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ВИКОНАННЯ БЮДЖЕТУ 2026 рік\Виконання місцевого бюджету за 1 півріччя 2026 року\"/>
    </mc:Choice>
  </mc:AlternateContent>
  <xr:revisionPtr revIDLastSave="0" documentId="13_ncr:1_{6E0414D9-E65D-40C8-B61E-2C248B2D2D1E}" xr6:coauthVersionLast="46" xr6:coauthVersionMax="46" xr10:uidLastSave="{00000000-0000-0000-0000-000000000000}"/>
  <bookViews>
    <workbookView xWindow="-120" yWindow="-120" windowWidth="29040" windowHeight="15840" activeTab="3" xr2:uid="{82CA6AB2-A734-41DB-8220-46DDC1B623DA}"/>
  </bookViews>
  <sheets>
    <sheet name="доходи ЗФ" sheetId="7" r:id="rId1"/>
    <sheet name="доходи СФ" sheetId="2" r:id="rId2"/>
    <sheet name="видатки ЗФ" sheetId="8" r:id="rId3"/>
    <sheet name="видатки СФ" sheetId="9" r:id="rId4"/>
    <sheet name="порівнял аналіз доходів ЗФ" sheetId="5" r:id="rId5"/>
    <sheet name="порівнял аналіз доходів СФ" sheetId="6" r:id="rId6"/>
  </sheets>
  <definedNames>
    <definedName name="CREXPORT" localSheetId="2">#REF!</definedName>
    <definedName name="CREXPORT" localSheetId="3">#REF!</definedName>
    <definedName name="CREXPORT" localSheetId="4">#REF!</definedName>
    <definedName name="CREXPORT" localSheetId="5">#REF!</definedName>
    <definedName name="CREXPORT">#REF!</definedName>
    <definedName name="n" localSheetId="2" hidden="1">{#N/A,#N/A,FALSE,"Лист4"}</definedName>
    <definedName name="n" localSheetId="3" hidden="1">{#N/A,#N/A,FALSE,"Лист4"}</definedName>
    <definedName name="n" localSheetId="4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4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" localSheetId="5" hidden="1">{#N/A,#N/A,FALSE,"Лист4"}</definedName>
    <definedName name="а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4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4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4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4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4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4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4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4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4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4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4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4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4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4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4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4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4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4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4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4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4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4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4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4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4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4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4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4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4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4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4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4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4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4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4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4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4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4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4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4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4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4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4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4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4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4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4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ЗФ'!$6:$7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4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4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4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4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4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4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4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4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4" hidden="1">{#N/A,#N/A,FALSE,"Лист4"}</definedName>
    <definedName name="івпа" localSheetId="5" hidden="1">{#N/A,#N/A,FALSE,"Лист4"}</definedName>
    <definedName name="івпа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4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4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4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4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4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4" hidden="1">{#N/A,#N/A,FALSE,"Лист4"}</definedName>
    <definedName name="іук" localSheetId="5" hidden="1">{#N/A,#N/A,FALSE,"Лист4"}</definedName>
    <definedName name="іук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4" hidden="1">{#N/A,#N/A,FALSE,"Лист4"}</definedName>
    <definedName name="їжд" localSheetId="5" hidden="1">{#N/A,#N/A,FALSE,"Лист4"}</definedName>
    <definedName name="їжд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4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4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4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4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4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4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4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4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4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4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4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4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4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4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4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4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4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4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4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4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4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4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4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4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4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4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4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4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4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4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4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4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4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4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4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4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4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4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4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4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4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4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4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4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4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4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4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4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4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4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4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4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4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4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4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4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4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4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4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4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4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4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4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4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4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4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4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4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4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4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4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4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4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4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4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4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4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4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4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4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4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4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4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4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4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4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4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4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4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4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4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4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4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4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4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4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4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4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4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4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4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4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4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4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4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4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4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4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4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4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4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4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4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4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4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4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4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4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4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4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4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4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4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4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4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4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8" l="1"/>
  <c r="G28" i="8"/>
  <c r="H28" i="8"/>
  <c r="F21" i="6"/>
  <c r="G21" i="6"/>
  <c r="F22" i="6"/>
  <c r="G22" i="6"/>
  <c r="H20" i="9"/>
  <c r="G20" i="9"/>
  <c r="F20" i="9"/>
  <c r="H19" i="9"/>
  <c r="G19" i="9"/>
  <c r="F19" i="9"/>
  <c r="H18" i="9"/>
  <c r="G18" i="9"/>
  <c r="F18" i="9"/>
  <c r="H17" i="9"/>
  <c r="G17" i="9"/>
  <c r="F17" i="9"/>
  <c r="H16" i="9"/>
  <c r="G16" i="9"/>
  <c r="F16" i="9"/>
  <c r="H15" i="9"/>
  <c r="G15" i="9"/>
  <c r="F15" i="9"/>
  <c r="H14" i="9"/>
  <c r="G14" i="9"/>
  <c r="F14" i="9"/>
  <c r="H13" i="9"/>
  <c r="G13" i="9"/>
  <c r="F13" i="9"/>
  <c r="H12" i="9"/>
  <c r="G12" i="9"/>
  <c r="F12" i="9"/>
  <c r="H11" i="9"/>
  <c r="G11" i="9"/>
  <c r="F11" i="9"/>
  <c r="H10" i="9"/>
  <c r="G10" i="9"/>
  <c r="F10" i="9"/>
  <c r="H9" i="9"/>
  <c r="G9" i="9"/>
  <c r="F9" i="9"/>
  <c r="H8" i="9"/>
  <c r="G8" i="9"/>
  <c r="F8" i="9"/>
  <c r="H42" i="8"/>
  <c r="G42" i="8"/>
  <c r="F42" i="8"/>
  <c r="H41" i="8"/>
  <c r="G41" i="8"/>
  <c r="F41" i="8"/>
  <c r="H40" i="8"/>
  <c r="G40" i="8"/>
  <c r="F40" i="8"/>
  <c r="H39" i="8"/>
  <c r="G39" i="8"/>
  <c r="F39" i="8"/>
  <c r="H38" i="8"/>
  <c r="G38" i="8"/>
  <c r="F38" i="8"/>
  <c r="H37" i="8"/>
  <c r="G37" i="8"/>
  <c r="F37" i="8"/>
  <c r="H36" i="8"/>
  <c r="G36" i="8"/>
  <c r="F36" i="8"/>
  <c r="H35" i="8"/>
  <c r="G35" i="8"/>
  <c r="F35" i="8"/>
  <c r="H34" i="8"/>
  <c r="G34" i="8"/>
  <c r="F34" i="8"/>
  <c r="H33" i="8"/>
  <c r="G33" i="8"/>
  <c r="F33" i="8"/>
  <c r="H32" i="8"/>
  <c r="G32" i="8"/>
  <c r="F32" i="8"/>
  <c r="H31" i="8"/>
  <c r="G31" i="8"/>
  <c r="F31" i="8"/>
  <c r="H30" i="8"/>
  <c r="G30" i="8"/>
  <c r="F30" i="8"/>
  <c r="H29" i="8"/>
  <c r="G29" i="8"/>
  <c r="F29" i="8"/>
  <c r="H27" i="8"/>
  <c r="G27" i="8"/>
  <c r="F27" i="8"/>
  <c r="H26" i="8"/>
  <c r="G26" i="8"/>
  <c r="F26" i="8"/>
  <c r="H25" i="8"/>
  <c r="G25" i="8"/>
  <c r="F25" i="8"/>
  <c r="H24" i="8"/>
  <c r="G24" i="8"/>
  <c r="F24" i="8"/>
  <c r="H23" i="8"/>
  <c r="G23" i="8"/>
  <c r="F23" i="8"/>
  <c r="H22" i="8"/>
  <c r="G22" i="8"/>
  <c r="F22" i="8"/>
  <c r="H21" i="8"/>
  <c r="G21" i="8"/>
  <c r="F21" i="8"/>
  <c r="H20" i="8"/>
  <c r="G20" i="8"/>
  <c r="F20" i="8"/>
  <c r="H19" i="8"/>
  <c r="G19" i="8"/>
  <c r="F19" i="8"/>
  <c r="H18" i="8"/>
  <c r="G18" i="8"/>
  <c r="F18" i="8"/>
  <c r="H17" i="8"/>
  <c r="G17" i="8"/>
  <c r="F17" i="8"/>
  <c r="H16" i="8"/>
  <c r="G16" i="8"/>
  <c r="F16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F10" i="8"/>
  <c r="H9" i="8"/>
  <c r="G9" i="8"/>
  <c r="F9" i="8"/>
  <c r="H8" i="8"/>
  <c r="G8" i="8"/>
  <c r="F8" i="8"/>
  <c r="D38" i="2"/>
  <c r="E38" i="2"/>
  <c r="C38" i="2"/>
  <c r="E15" i="2"/>
  <c r="E19" i="2"/>
  <c r="H76" i="7" l="1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F27" i="5"/>
  <c r="G27" i="5"/>
  <c r="F25" i="5"/>
  <c r="G25" i="5"/>
  <c r="D25" i="6"/>
  <c r="D18" i="6"/>
  <c r="D15" i="6"/>
  <c r="D12" i="6"/>
  <c r="D9" i="6" s="1"/>
  <c r="D27" i="6" s="1"/>
  <c r="D7" i="6"/>
  <c r="D6" i="6"/>
  <c r="D23" i="5"/>
  <c r="D15" i="5"/>
  <c r="D12" i="5"/>
  <c r="D7" i="5"/>
  <c r="D6" i="5" s="1"/>
  <c r="D38" i="5" s="1"/>
  <c r="G23" i="6"/>
  <c r="F23" i="6"/>
  <c r="F36" i="5"/>
  <c r="G36" i="5"/>
  <c r="G34" i="5"/>
  <c r="F34" i="5"/>
  <c r="F33" i="5"/>
  <c r="G33" i="5"/>
  <c r="F30" i="5"/>
  <c r="G30" i="5"/>
  <c r="F31" i="5"/>
  <c r="G31" i="5"/>
  <c r="F32" i="5"/>
  <c r="G32" i="5"/>
  <c r="G26" i="6"/>
  <c r="F26" i="6"/>
  <c r="E25" i="6"/>
  <c r="G24" i="6"/>
  <c r="F24" i="6"/>
  <c r="G20" i="6"/>
  <c r="F20" i="6"/>
  <c r="G19" i="6"/>
  <c r="F19" i="6"/>
  <c r="E18" i="6"/>
  <c r="G17" i="6"/>
  <c r="F17" i="6"/>
  <c r="G16" i="6"/>
  <c r="F16" i="6"/>
  <c r="E15" i="6"/>
  <c r="F15" i="6" s="1"/>
  <c r="G14" i="6"/>
  <c r="F14" i="6"/>
  <c r="G13" i="6"/>
  <c r="F13" i="6"/>
  <c r="E12" i="6"/>
  <c r="E9" i="6" s="1"/>
  <c r="G11" i="6"/>
  <c r="F11" i="6"/>
  <c r="G10" i="6"/>
  <c r="F10" i="6"/>
  <c r="G8" i="6"/>
  <c r="F8" i="6"/>
  <c r="E7" i="6"/>
  <c r="E6" i="6" s="1"/>
  <c r="G37" i="5"/>
  <c r="F37" i="5"/>
  <c r="G35" i="5"/>
  <c r="F35" i="5"/>
  <c r="G29" i="5"/>
  <c r="F29" i="5"/>
  <c r="G28" i="5"/>
  <c r="F28" i="5"/>
  <c r="G26" i="5"/>
  <c r="F26" i="5"/>
  <c r="G24" i="5"/>
  <c r="F24" i="5"/>
  <c r="E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E15" i="5"/>
  <c r="G14" i="5"/>
  <c r="F14" i="5"/>
  <c r="G13" i="5"/>
  <c r="F13" i="5"/>
  <c r="E12" i="5"/>
  <c r="G11" i="5"/>
  <c r="F11" i="5"/>
  <c r="G10" i="5"/>
  <c r="F10" i="5"/>
  <c r="G9" i="5"/>
  <c r="F9" i="5"/>
  <c r="G8" i="5"/>
  <c r="F8" i="5"/>
  <c r="E7" i="5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F25" i="6" l="1"/>
  <c r="D28" i="6"/>
  <c r="F18" i="6"/>
  <c r="D39" i="5"/>
  <c r="G25" i="6"/>
  <c r="G18" i="6"/>
  <c r="G15" i="6"/>
  <c r="G12" i="6"/>
  <c r="F12" i="6"/>
  <c r="G9" i="6"/>
  <c r="F9" i="6"/>
  <c r="G15" i="5"/>
  <c r="G12" i="5"/>
  <c r="F23" i="5"/>
  <c r="G23" i="5"/>
  <c r="E6" i="5"/>
  <c r="E38" i="5" s="1"/>
  <c r="G7" i="5"/>
  <c r="F12" i="5"/>
  <c r="F7" i="5"/>
  <c r="F15" i="5"/>
  <c r="F6" i="6"/>
  <c r="E27" i="6"/>
  <c r="G6" i="6"/>
  <c r="F7" i="6"/>
  <c r="G7" i="6"/>
  <c r="F38" i="5" l="1"/>
  <c r="G6" i="5"/>
  <c r="F6" i="5"/>
  <c r="G27" i="6"/>
  <c r="E28" i="6"/>
  <c r="F28" i="6" s="1"/>
  <c r="F27" i="6"/>
  <c r="E39" i="5"/>
  <c r="F39" i="5" l="1"/>
  <c r="G38" i="5"/>
  <c r="G28" i="6"/>
  <c r="G39" i="5" l="1"/>
</calcChain>
</file>

<file path=xl/sharedStrings.xml><?xml version="1.0" encoding="utf-8"?>
<sst xmlns="http://schemas.openxmlformats.org/spreadsheetml/2006/main" count="320" uniqueCount="236">
  <si>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</si>
  <si>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</si>
  <si>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</si>
  <si>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</si>
  <si>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</si>
  <si>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</si>
  <si>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</si>
  <si>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</si>
  <si>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</si>
  <si>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</si>
  <si>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</si>
  <si>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</si>
  <si>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</si>
  <si>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</si>
  <si>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</si>
  <si>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</si>
  <si>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</si>
  <si>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</si>
  <si>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</si>
  <si>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</si>
  <si>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</si>
  <si>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</si>
  <si>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</si>
  <si>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</si>
  <si>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</si>
  <si>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</si>
  <si>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</si>
  <si>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</si>
  <si>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</si>
  <si>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</si>
  <si>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</si>
  <si>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</si>
  <si>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</si>
  <si>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</si>
  <si>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</si>
  <si>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</si>
  <si>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</si>
  <si>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</si>
  <si>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</si>
  <si>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</si>
  <si>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</si>
  <si>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</si>
  <si>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</si>
  <si>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</si>
  <si>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</si>
  <si>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</si>
  <si>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</si>
  <si>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</si>
  <si>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</si>
  <si>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</si>
  <si>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</si>
  <si>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</si>
  <si>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</si>
  <si>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</si>
  <si>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</si>
  <si>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</si>
  <si>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</si>
  <si>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</si>
  <si>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</si>
  <si>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</si>
  <si>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</si>
  <si>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</si>
  <si>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</si>
  <si>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</si>
  <si>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</si>
  <si>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</si>
  <si>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</si>
  <si>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</si>
  <si>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тис. грн</t>
  </si>
  <si>
    <t>% виконання</t>
  </si>
  <si>
    <t>Всього без урахування трансфертів</t>
  </si>
  <si>
    <t>Усього</t>
  </si>
  <si>
    <t>Виконання дохідної частини бюджету Широківської сільської територіальної громади</t>
  </si>
  <si>
    <t>загальний фонд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</si>
  <si>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</si>
  <si>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спеціальний фонд</t>
  </si>
  <si>
    <t xml:space="preserve">% виконання 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</si>
  <si>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</si>
  <si>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</si>
  <si>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</si>
  <si>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</si>
  <si>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</si>
  <si>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Грошові стягнення за шкоду, заподіяну порушенням законодавства про охорону навколишнього природного середовища внаслідок господарської та іншої діяльності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</si>
  <si>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</si>
  <si>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</si>
  <si>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послуги, що надаються бюджетними установами згідно з їх основною діяльністю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</si>
  <si>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</si>
  <si>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</si>
  <si>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Інші джерела власних надходжень бюджетних установ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</si>
  <si>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</si>
  <si>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</si>
  <si>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Доходи від операцій з капіталом</t>
  </si>
  <si>
    <t>Надходження від продажу основного капіталу</t>
  </si>
  <si>
    <t>Кошти від відчуження майна, що належить Автономній Республіці Крим та майна, що перебуває в комунальній власності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</si>
  <si>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</si>
  <si>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Аналіз фінансування установ Широківської сільської територіальної громади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</si>
  <si>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</si>
  <si>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</si>
  <si>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</si>
  <si>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</si>
  <si>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</si>
  <si>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</si>
  <si>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</si>
  <si>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 xml:space="preserve">% виконання на вказаний період 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</si>
  <si>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</si>
  <si>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</si>
  <si>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</si>
  <si>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</si>
  <si>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</si>
  <si>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</si>
  <si>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</si>
  <si>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</si>
  <si>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</si>
  <si>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</si>
  <si>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</si>
  <si>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</si>
  <si>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</si>
  <si>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</si>
  <si>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</si>
  <si>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</si>
  <si>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</si>
  <si>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</si>
  <si>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</si>
  <si>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</si>
  <si>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</si>
  <si>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</si>
  <si>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</si>
  <si>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</si>
  <si>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</si>
  <si>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</si>
  <si>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</si>
  <si>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</si>
  <si>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</si>
  <si>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</si>
  <si>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</si>
  <si>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</si>
  <si>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</si>
  <si>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</si>
  <si>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</si>
  <si>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</si>
  <si>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</si>
  <si>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</si>
  <si>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</si>
  <si>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</si>
  <si>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</si>
  <si>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</si>
  <si>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</si>
  <si>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</si>
  <si>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</si>
  <si>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</si>
  <si>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</si>
  <si>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</si>
  <si>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</si>
  <si>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</si>
  <si>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</si>
  <si>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</si>
  <si>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</si>
  <si>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</si>
  <si>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</si>
  <si>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</si>
  <si>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</si>
  <si>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</si>
  <si>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</si>
  <si>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0111300</t>
  </si>
  <si>
    <t>0111700</t>
  </si>
  <si>
    <t>0112152</t>
  </si>
  <si>
    <t>Інші програми та заходи у сфері охорони здоров`я</t>
  </si>
  <si>
    <t>0112170</t>
  </si>
  <si>
    <t>0113210</t>
  </si>
  <si>
    <t>0117330</t>
  </si>
  <si>
    <t>0118312</t>
  </si>
  <si>
    <t>Оброблення (відновлення, у тому числі сортування, та видалення) відходів</t>
  </si>
  <si>
    <t>Порівняльний аналіз виконання дохідної частини бюджету Широківської сільської ТГ</t>
  </si>
  <si>
    <t>Загальний фонд</t>
  </si>
  <si>
    <t>тис. грн.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</si>
  <si>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</si>
  <si>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</si>
  <si>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</si>
  <si>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</si>
  <si>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</si>
  <si>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</si>
  <si>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</si>
  <si>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</si>
  <si>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</si>
  <si>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</si>
  <si>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</si>
  <si>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</si>
  <si>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державного бюджету місцевим бюджетам на облаштування безпечних умов у закладах, що надають загальну середню освіту</t>
  </si>
  <si>
    <t>Субвенція з місцевого бюджету за рахунок залишку коштів субвенції на надання державної підтримки особам з особливими освітніми потребами, що утворився на початок бюджетного періоду</t>
  </si>
  <si>
    <t>Всього</t>
  </si>
  <si>
    <t>Аналіз виконання плану по доходах</t>
  </si>
  <si>
    <t>станом на 01.07.2018 року</t>
  </si>
  <si>
    <t>Спеціальний фонд</t>
  </si>
  <si>
    <t>Інші податки та збори </t>
  </si>
  <si>
    <t>Екологічний податок </t>
  </si>
  <si>
    <t>Надходження коштів від відшкодування втрат сільськогосподарського і лісогосподарського виробництва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</si>
  <si>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</si>
  <si>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</si>
  <si>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</si>
  <si>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</si>
  <si>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</si>
  <si>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</si>
  <si>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</si>
  <si>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</si>
  <si>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Факт за  1 півріччя                                  2025 року</t>
  </si>
  <si>
    <t>Факт за 1 півріччя 2025 року</t>
  </si>
  <si>
    <t>Факт за  1 півріччя                                  2026 року</t>
  </si>
  <si>
    <t>Факт за 1 півріччя 2026 року</t>
  </si>
  <si>
    <t>Додаткова дотація з державного бюджету місцевим бюджетам на функціонування територій, на яких ведуться бойові дії</t>
  </si>
  <si>
    <t>Субвенція з державного бюджету місцевим бюджетам на забезпечення харчуванням учнів закладів загальної середньої освіти</t>
  </si>
  <si>
    <t>Поч.річн. план</t>
  </si>
  <si>
    <t>Податок на доходи фізичних осіб з грошового забезпечення, грошових винагород та інших виплат, одержаних військовослужбовцями, поліцейськими та особами рядового і начальницького складу, що сплачується податковими агентами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</si>
  <si>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</si>
  <si>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Транспортний податок з фізичних осіб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</si>
  <si>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</si>
  <si>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за 1 півріччя 2026 року</t>
  </si>
  <si>
    <t>Субвенція з місцевого бюджету на підготовку та реалізацію публічних інвестиційних проектів / програм публічних інвестицій</t>
  </si>
  <si>
    <t>Субвенція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</si>
  <si>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</si>
  <si>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</si>
  <si>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Інші заходи та заклади у сфері соціального захисту і соціального забезпечення</t>
  </si>
  <si>
    <t>1617350</t>
  </si>
  <si>
    <t>Розроблення схем планування та забудови територій (містобудівної документації)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</si>
  <si>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освіти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</si>
  <si>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</si>
  <si>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</si>
  <si>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Організація та проведення громадських робіт</t>
  </si>
  <si>
    <t>0116091</t>
  </si>
  <si>
    <t>Підготовка та реалізація публічних інвестиційних проектів / програм публічних інвестицій за рахунок коштів місцевого бюджету в галузі житлово-комунального господарства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</si>
  <si>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</si>
  <si>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0117367</t>
  </si>
  <si>
    <t>Реалізація проектів у рамках Програми відновлення України ІІІ</t>
  </si>
  <si>
    <t>0117670</t>
  </si>
  <si>
    <t>Внески до статутного капіталу суб`єктів господарювання</t>
  </si>
  <si>
    <t>0117461</t>
  </si>
  <si>
    <t>Утримання та розвиток автомобільних доріг та дорожньої інфраструктури за рахунок коштів місцевого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</si>
</sst>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0.00"/>
    <numFmt numFmtId="166" formatCode="#0.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</font>
    <font>
      <b/>
      <sz val="10"/>
      <name val="Arial"/>
      <family val="2"/>
      <charset val="204"/>
    </font>
    <font>
      <sz val="10"/>
      <name val="Arial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2" fillId="0" borderId="0"/>
    <xf numFmtId="0" fontId="18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164" fontId="3" fillId="0" borderId="1" xfId="0" applyNumberFormat="1" applyFont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6" fillId="0" borderId="0" xfId="1"/>
    <xf numFmtId="0" fontId="6" fillId="0" borderId="0" xfId="1" applyAlignment="1">
      <alignment horizontal="center"/>
    </xf>
    <xf numFmtId="0" fontId="6" fillId="0" borderId="0" xfId="1" applyAlignment="1">
      <alignment wrapText="1"/>
    </xf>
    <xf numFmtId="0" fontId="7" fillId="0" borderId="0" xfId="1" applyFont="1" applyAlignment="1">
      <alignment horizontal="center"/>
    </xf>
    <xf numFmtId="4" fontId="6" fillId="0" borderId="0" xfId="1" applyNumberFormat="1" applyAlignment="1">
      <alignment vertical="center"/>
    </xf>
    <xf numFmtId="0" fontId="6" fillId="0" borderId="0" xfId="1" applyAlignment="1">
      <alignment horizontal="center" vertical="center"/>
    </xf>
    <xf numFmtId="0" fontId="6" fillId="0" borderId="0" xfId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164" fontId="10" fillId="0" borderId="1" xfId="1" applyNumberFormat="1" applyFont="1" applyBorder="1" applyAlignment="1">
      <alignment vertical="center"/>
    </xf>
    <xf numFmtId="164" fontId="10" fillId="3" borderId="1" xfId="1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center" wrapText="1"/>
    </xf>
    <xf numFmtId="0" fontId="5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2" fillId="0" borderId="0" xfId="2"/>
    <xf numFmtId="0" fontId="14" fillId="0" borderId="0" xfId="2" applyFont="1"/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3" fillId="0" borderId="1" xfId="2" applyFont="1" applyBorder="1"/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wrapText="1"/>
    </xf>
    <xf numFmtId="164" fontId="4" fillId="4" borderId="1" xfId="2" applyNumberFormat="1" applyFont="1" applyFill="1" applyBorder="1" applyAlignment="1">
      <alignment horizontal="center"/>
    </xf>
    <xf numFmtId="4" fontId="12" fillId="0" borderId="0" xfId="2" applyNumberFormat="1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wrapText="1"/>
    </xf>
    <xf numFmtId="164" fontId="4" fillId="3" borderId="1" xfId="2" applyNumberFormat="1" applyFont="1" applyFill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1" xfId="2" applyFont="1" applyBorder="1" applyAlignment="1">
      <alignment wrapText="1"/>
    </xf>
    <xf numFmtId="164" fontId="3" fillId="3" borderId="1" xfId="2" applyNumberFormat="1" applyFont="1" applyFill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11" fillId="0" borderId="0" xfId="2" applyFont="1"/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wrapText="1"/>
    </xf>
    <xf numFmtId="0" fontId="3" fillId="0" borderId="1" xfId="2" applyFont="1" applyBorder="1" applyAlignment="1">
      <alignment horizontal="center" vertical="center"/>
    </xf>
    <xf numFmtId="164" fontId="4" fillId="5" borderId="1" xfId="2" applyNumberFormat="1" applyFont="1" applyFill="1" applyBorder="1" applyAlignment="1">
      <alignment horizontal="center"/>
    </xf>
    <xf numFmtId="0" fontId="12" fillId="0" borderId="0" xfId="2" applyAlignment="1">
      <alignment horizontal="center"/>
    </xf>
    <xf numFmtId="0" fontId="12" fillId="3" borderId="0" xfId="2" applyFill="1" applyAlignment="1">
      <alignment horizontal="center"/>
    </xf>
    <xf numFmtId="0" fontId="14" fillId="0" borderId="1" xfId="2" applyFont="1" applyBorder="1"/>
    <xf numFmtId="0" fontId="4" fillId="6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wrapText="1"/>
    </xf>
    <xf numFmtId="164" fontId="4" fillId="6" borderId="1" xfId="2" applyNumberFormat="1" applyFont="1" applyFill="1" applyBorder="1" applyAlignment="1">
      <alignment horizontal="center"/>
    </xf>
    <xf numFmtId="0" fontId="4" fillId="0" borderId="1" xfId="2" applyFont="1" applyBorder="1"/>
    <xf numFmtId="0" fontId="13" fillId="0" borderId="0" xfId="2" applyFont="1"/>
    <xf numFmtId="164" fontId="3" fillId="6" borderId="1" xfId="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wrapText="1"/>
    </xf>
    <xf numFmtId="0" fontId="6" fillId="3" borderId="0" xfId="1" applyFill="1"/>
    <xf numFmtId="0" fontId="3" fillId="0" borderId="1" xfId="2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4" fillId="2" borderId="1" xfId="0" applyNumberFormat="1" applyFont="1" applyFill="1" applyBorder="1"/>
    <xf numFmtId="166" fontId="4" fillId="2" borderId="1" xfId="0" applyNumberFormat="1" applyFont="1" applyFill="1" applyBorder="1"/>
    <xf numFmtId="0" fontId="6" fillId="0" borderId="0" xfId="1" applyAlignment="1">
      <alignment horizontal="right"/>
    </xf>
    <xf numFmtId="0" fontId="7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4" fontId="6" fillId="3" borderId="0" xfId="1" applyNumberFormat="1" applyFill="1" applyAlignment="1">
      <alignment vertical="center"/>
    </xf>
    <xf numFmtId="0" fontId="9" fillId="7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vertical="center" wrapText="1"/>
    </xf>
    <xf numFmtId="164" fontId="9" fillId="7" borderId="1" xfId="1" applyNumberFormat="1" applyFont="1" applyFill="1" applyBorder="1" applyAlignment="1">
      <alignment vertical="center"/>
    </xf>
    <xf numFmtId="4" fontId="17" fillId="0" borderId="0" xfId="1" applyNumberFormat="1" applyFont="1" applyAlignment="1">
      <alignment vertical="center"/>
    </xf>
    <xf numFmtId="0" fontId="17" fillId="0" borderId="0" xfId="1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2" fillId="0" borderId="0" xfId="0" applyFont="1" applyAlignment="1">
      <alignment horizontal="center" vertic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2" fillId="0" borderId="0" xfId="2" applyFont="1" applyAlignment="1">
      <alignment horizontal="center"/>
    </xf>
    <xf numFmtId="0" fontId="4" fillId="5" borderId="1" xfId="2" applyFont="1" applyFill="1" applyBorder="1"/>
    <xf numFmtId="0" fontId="3" fillId="0" borderId="1" xfId="2" applyFont="1" applyBorder="1"/>
    <xf numFmtId="0" fontId="10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/>
    </xf>
  </cellXfs>
  <cellStyles count="4">
    <cellStyle name="Обычный" xfId="0" builtinId="0"/>
    <cellStyle name="Обычный 2" xfId="1" xr:uid="{1542816E-31A4-414F-BBB3-DA53A414ADDC}"/>
    <cellStyle name="Обычный 2 2" xfId="2" xr:uid="{292161FF-55D2-49BF-BA65-601E5AC3ACCB}"/>
    <cellStyle name="Обычный 2 3" xfId="3" xr:uid="{03CCF34E-1F43-48D5-9189-E1D59CCBC579}"/>
  </cellStyles>
  <dxfs count="9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F1E7-139E-45D7-988A-AE5CE046313C}">
  <dimension ref="A1:K78"/>
  <sheetViews>
    <sheetView topLeftCell="A65" workbookViewId="0">
      <selection activeCell="O71" sqref="O71"/>
    </sheetView>
  </sheetViews>
  <sheetFormatPr defaultRowHeight="15" x14ac:dyDescent="0.25"/>
  <cols>
    <col min="1" max="1" width="11.5703125" style="2" customWidth="1"/>
    <col min="2" max="2" width="50.28515625" customWidth="1"/>
    <col min="3" max="3" width="13.85546875" hidden="1" customWidth="1"/>
    <col min="4" max="5" width="14.85546875" customWidth="1"/>
    <col min="6" max="6" width="13" customWidth="1"/>
    <col min="7" max="7" width="12.7109375" customWidth="1"/>
    <col min="8" max="8" width="13" customWidth="1"/>
  </cols>
  <sheetData>
    <row r="1" spans="1:11" x14ac:dyDescent="0.25">
      <c r="A1" s="69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93" t="s">
        <v>72</v>
      </c>
      <c r="B2" s="93"/>
      <c r="C2" s="93"/>
      <c r="D2" s="93"/>
      <c r="E2" s="93"/>
      <c r="F2" s="93"/>
      <c r="G2" s="93"/>
      <c r="H2" s="93"/>
      <c r="I2" s="3"/>
      <c r="J2" s="3"/>
      <c r="K2" s="3"/>
    </row>
    <row r="3" spans="1:11" ht="15.75" x14ac:dyDescent="0.25">
      <c r="A3" s="93" t="s">
        <v>215</v>
      </c>
      <c r="B3" s="93"/>
      <c r="C3" s="93"/>
      <c r="D3" s="93"/>
      <c r="E3" s="93"/>
      <c r="F3" s="93"/>
      <c r="G3" s="93"/>
      <c r="H3" s="93"/>
      <c r="I3" s="3"/>
      <c r="J3" s="3"/>
      <c r="K3" s="3"/>
    </row>
    <row r="4" spans="1:11" ht="15.75" x14ac:dyDescent="0.25">
      <c r="A4" s="87" t="s">
        <v>73</v>
      </c>
      <c r="B4" s="87"/>
      <c r="C4" s="87"/>
      <c r="D4" s="87"/>
      <c r="E4" s="87"/>
      <c r="F4" s="87"/>
      <c r="G4" s="87"/>
      <c r="H4" s="87"/>
      <c r="I4" s="1"/>
      <c r="J4" s="1"/>
      <c r="K4" s="1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4"/>
      <c r="B6" s="5"/>
      <c r="C6" s="5"/>
      <c r="D6" s="5"/>
      <c r="E6" s="5"/>
      <c r="F6" s="5"/>
      <c r="G6" s="5" t="s">
        <v>68</v>
      </c>
      <c r="H6" s="5"/>
    </row>
    <row r="7" spans="1:11" x14ac:dyDescent="0.25">
      <c r="A7" s="88" t="s">
        <v>0</v>
      </c>
      <c r="B7" s="88" t="s">
        <v>1</v>
      </c>
      <c r="C7" s="90" t="s">
        <v>2</v>
      </c>
      <c r="D7" s="91"/>
      <c r="E7" s="91"/>
      <c r="F7" s="91"/>
      <c r="G7" s="91"/>
      <c r="H7" s="91"/>
    </row>
    <row r="8" spans="1:11" ht="36.75" customHeight="1" x14ac:dyDescent="0.25">
      <c r="A8" s="89"/>
      <c r="B8" s="89"/>
      <c r="C8" s="8" t="s">
        <v>210</v>
      </c>
      <c r="D8" s="8" t="s">
        <v>3</v>
      </c>
      <c r="E8" s="8" t="s">
        <v>4</v>
      </c>
      <c r="F8" s="6" t="s">
        <v>5</v>
      </c>
      <c r="G8" s="6" t="s">
        <v>6</v>
      </c>
      <c r="H8" s="8" t="s">
        <v>69</v>
      </c>
    </row>
    <row r="9" spans="1:11" s="3" customFormat="1" x14ac:dyDescent="0.25">
      <c r="A9" s="6">
        <v>10000000</v>
      </c>
      <c r="B9" s="73" t="s">
        <v>7</v>
      </c>
      <c r="C9" s="74">
        <v>138266.70000000001</v>
      </c>
      <c r="D9" s="9">
        <v>177217.76300000001</v>
      </c>
      <c r="E9" s="9">
        <v>100269.243</v>
      </c>
      <c r="F9" s="9">
        <v>111076.22450000001</v>
      </c>
      <c r="G9" s="9">
        <f t="shared" ref="G9:G68" si="0">F9-E9</f>
        <v>10806.981500000009</v>
      </c>
      <c r="H9" s="75">
        <f t="shared" ref="H9:H68" si="1">IF(E9=0,0,F9/E9*100)</f>
        <v>110.77796259018334</v>
      </c>
    </row>
    <row r="10" spans="1:11" s="3" customFormat="1" ht="29.25" x14ac:dyDescent="0.25">
      <c r="A10" s="6">
        <v>11000000</v>
      </c>
      <c r="B10" s="12" t="s">
        <v>8</v>
      </c>
      <c r="C10" s="74">
        <v>60104.800000000003</v>
      </c>
      <c r="D10" s="9">
        <v>78586.8</v>
      </c>
      <c r="E10" s="9">
        <v>44101.599999999999</v>
      </c>
      <c r="F10" s="9">
        <v>50238.330590000005</v>
      </c>
      <c r="G10" s="9">
        <f t="shared" si="0"/>
        <v>6136.7305900000065</v>
      </c>
      <c r="H10" s="75">
        <f t="shared" si="1"/>
        <v>113.91498401418545</v>
      </c>
    </row>
    <row r="11" spans="1:11" x14ac:dyDescent="0.25">
      <c r="A11" s="7">
        <v>11010000</v>
      </c>
      <c r="B11" s="70" t="s">
        <v>9</v>
      </c>
      <c r="C11" s="71">
        <v>60004.800000000003</v>
      </c>
      <c r="D11" s="10">
        <v>78429.8</v>
      </c>
      <c r="E11" s="10">
        <v>43994.6</v>
      </c>
      <c r="F11" s="10">
        <v>50078.790590000004</v>
      </c>
      <c r="G11" s="10">
        <f t="shared" si="0"/>
        <v>6084.1905900000056</v>
      </c>
      <c r="H11" s="72">
        <f t="shared" si="1"/>
        <v>113.82940313129339</v>
      </c>
    </row>
    <row r="12" spans="1:11" ht="0.75" hidden="1" customHeight="1" x14ac:dyDescent="0.25">
      <c r="A12" s="7">
        <v>11010100</v>
      </c>
      <c r="B12" s="70" t="s">
        <v>10</v>
      </c>
      <c r="C12" s="71">
        <v>50545.8</v>
      </c>
      <c r="D12" s="10">
        <v>67970.8</v>
      </c>
      <c r="E12" s="10">
        <v>41889</v>
      </c>
      <c r="F12" s="10">
        <v>46327.502999999997</v>
      </c>
      <c r="G12" s="10">
        <f t="shared" si="0"/>
        <v>4438.502999999997</v>
      </c>
      <c r="H12" s="72">
        <f t="shared" si="1"/>
        <v>110.59586765021842</v>
      </c>
    </row>
    <row r="13" spans="1:11" hidden="1" x14ac:dyDescent="0.25">
      <c r="A13" s="7">
        <v>11010200</v>
      </c>
      <c r="B13" s="70" t="s">
        <v>211</v>
      </c>
      <c r="C13" s="71">
        <v>0</v>
      </c>
      <c r="D13" s="10">
        <v>0</v>
      </c>
      <c r="E13" s="10">
        <v>0</v>
      </c>
      <c r="F13" s="10">
        <v>-1.44</v>
      </c>
      <c r="G13" s="10">
        <f t="shared" si="0"/>
        <v>-1.44</v>
      </c>
      <c r="H13" s="72">
        <f t="shared" si="1"/>
        <v>0</v>
      </c>
    </row>
    <row r="14" spans="1:11" hidden="1" x14ac:dyDescent="0.25">
      <c r="A14" s="7">
        <v>11010400</v>
      </c>
      <c r="B14" s="70" t="s">
        <v>11</v>
      </c>
      <c r="C14" s="71">
        <v>8049</v>
      </c>
      <c r="D14" s="10">
        <v>8406</v>
      </c>
      <c r="E14" s="10">
        <v>717</v>
      </c>
      <c r="F14" s="10">
        <v>2241.6266499999997</v>
      </c>
      <c r="G14" s="10">
        <f t="shared" si="0"/>
        <v>1524.6266499999997</v>
      </c>
      <c r="H14" s="72">
        <f t="shared" si="1"/>
        <v>312.63970013946999</v>
      </c>
    </row>
    <row r="15" spans="1:11" hidden="1" x14ac:dyDescent="0.25">
      <c r="A15" s="7">
        <v>11010500</v>
      </c>
      <c r="B15" s="70" t="s">
        <v>12</v>
      </c>
      <c r="C15" s="71">
        <v>1360</v>
      </c>
      <c r="D15" s="10">
        <v>1360</v>
      </c>
      <c r="E15" s="10">
        <v>724</v>
      </c>
      <c r="F15" s="10">
        <v>735.19461999999999</v>
      </c>
      <c r="G15" s="10">
        <f t="shared" si="0"/>
        <v>11.194619999999986</v>
      </c>
      <c r="H15" s="72">
        <f t="shared" si="1"/>
        <v>101.5462182320442</v>
      </c>
    </row>
    <row r="16" spans="1:11" hidden="1" x14ac:dyDescent="0.25">
      <c r="A16" s="7">
        <v>11011300</v>
      </c>
      <c r="B16" s="70" t="s">
        <v>13</v>
      </c>
      <c r="C16" s="71">
        <v>50</v>
      </c>
      <c r="D16" s="10">
        <v>693</v>
      </c>
      <c r="E16" s="10">
        <v>664.6</v>
      </c>
      <c r="F16" s="10">
        <v>775.90631999999994</v>
      </c>
      <c r="G16" s="10">
        <f t="shared" si="0"/>
        <v>111.30631999999991</v>
      </c>
      <c r="H16" s="72">
        <f t="shared" si="1"/>
        <v>116.74786638579594</v>
      </c>
    </row>
    <row r="17" spans="1:8" ht="13.5" customHeight="1" x14ac:dyDescent="0.25">
      <c r="A17" s="7">
        <v>11020000</v>
      </c>
      <c r="B17" s="70" t="s">
        <v>14</v>
      </c>
      <c r="C17" s="71">
        <v>100</v>
      </c>
      <c r="D17" s="10">
        <v>157</v>
      </c>
      <c r="E17" s="10">
        <v>107</v>
      </c>
      <c r="F17" s="10">
        <v>159.54</v>
      </c>
      <c r="G17" s="10">
        <f t="shared" si="0"/>
        <v>52.539999999999992</v>
      </c>
      <c r="H17" s="72">
        <f t="shared" si="1"/>
        <v>149.10280373831773</v>
      </c>
    </row>
    <row r="18" spans="1:8" ht="0.75" hidden="1" customHeight="1" x14ac:dyDescent="0.25">
      <c r="A18" s="7">
        <v>11020200</v>
      </c>
      <c r="B18" s="70" t="s">
        <v>15</v>
      </c>
      <c r="C18" s="71">
        <v>100</v>
      </c>
      <c r="D18" s="10">
        <v>157</v>
      </c>
      <c r="E18" s="10">
        <v>107</v>
      </c>
      <c r="F18" s="10">
        <v>159.54</v>
      </c>
      <c r="G18" s="10">
        <f t="shared" si="0"/>
        <v>52.539999999999992</v>
      </c>
      <c r="H18" s="72">
        <f t="shared" si="1"/>
        <v>149.10280373831773</v>
      </c>
    </row>
    <row r="19" spans="1:8" ht="0.75" hidden="1" customHeight="1" x14ac:dyDescent="0.25">
      <c r="A19" s="7">
        <v>13000000</v>
      </c>
      <c r="B19" s="70" t="s">
        <v>16</v>
      </c>
      <c r="C19" s="71">
        <v>1.3</v>
      </c>
      <c r="D19" s="10">
        <v>1.3</v>
      </c>
      <c r="E19" s="10">
        <v>0.72</v>
      </c>
      <c r="F19" s="10">
        <v>0.93740999999999997</v>
      </c>
      <c r="G19" s="10">
        <f t="shared" si="0"/>
        <v>0.21740999999999999</v>
      </c>
      <c r="H19" s="72">
        <f t="shared" si="1"/>
        <v>130.19583333333333</v>
      </c>
    </row>
    <row r="20" spans="1:8" hidden="1" x14ac:dyDescent="0.25">
      <c r="A20" s="7">
        <v>13030000</v>
      </c>
      <c r="B20" s="70" t="s">
        <v>17</v>
      </c>
      <c r="C20" s="71">
        <v>1.3</v>
      </c>
      <c r="D20" s="10">
        <v>1.3</v>
      </c>
      <c r="E20" s="10">
        <v>0.72</v>
      </c>
      <c r="F20" s="10">
        <v>0.93740999999999997</v>
      </c>
      <c r="G20" s="10">
        <f t="shared" si="0"/>
        <v>0.21740999999999999</v>
      </c>
      <c r="H20" s="72">
        <f t="shared" si="1"/>
        <v>130.19583333333333</v>
      </c>
    </row>
    <row r="21" spans="1:8" hidden="1" x14ac:dyDescent="0.25">
      <c r="A21" s="7">
        <v>13030100</v>
      </c>
      <c r="B21" s="70" t="s">
        <v>212</v>
      </c>
      <c r="C21" s="71">
        <v>1.3</v>
      </c>
      <c r="D21" s="10">
        <v>1.3</v>
      </c>
      <c r="E21" s="10">
        <v>0.72</v>
      </c>
      <c r="F21" s="10">
        <v>0.93740999999999997</v>
      </c>
      <c r="G21" s="10">
        <f t="shared" si="0"/>
        <v>0.21740999999999999</v>
      </c>
      <c r="H21" s="72">
        <f t="shared" si="1"/>
        <v>130.19583333333333</v>
      </c>
    </row>
    <row r="22" spans="1:8" x14ac:dyDescent="0.25">
      <c r="A22" s="7">
        <v>14000000</v>
      </c>
      <c r="B22" s="70" t="s">
        <v>18</v>
      </c>
      <c r="C22" s="71">
        <v>28859</v>
      </c>
      <c r="D22" s="10">
        <v>33580.879999999997</v>
      </c>
      <c r="E22" s="10">
        <v>18876.48</v>
      </c>
      <c r="F22" s="10">
        <v>19780.200679999998</v>
      </c>
      <c r="G22" s="10">
        <f t="shared" si="0"/>
        <v>903.72067999999854</v>
      </c>
      <c r="H22" s="72">
        <f t="shared" si="1"/>
        <v>104.78754873790028</v>
      </c>
    </row>
    <row r="23" spans="1:8" hidden="1" x14ac:dyDescent="0.25">
      <c r="A23" s="7">
        <v>14020000</v>
      </c>
      <c r="B23" s="70" t="s">
        <v>19</v>
      </c>
      <c r="C23" s="71">
        <v>2752</v>
      </c>
      <c r="D23" s="10">
        <v>2966</v>
      </c>
      <c r="E23" s="10">
        <v>1589.8</v>
      </c>
      <c r="F23" s="10">
        <v>1610.5249199999998</v>
      </c>
      <c r="G23" s="10">
        <f t="shared" si="0"/>
        <v>20.724919999999884</v>
      </c>
      <c r="H23" s="72">
        <f t="shared" si="1"/>
        <v>101.30361806516541</v>
      </c>
    </row>
    <row r="24" spans="1:8" hidden="1" x14ac:dyDescent="0.25">
      <c r="A24" s="7">
        <v>14021900</v>
      </c>
      <c r="B24" s="70" t="s">
        <v>20</v>
      </c>
      <c r="C24" s="71">
        <v>2752</v>
      </c>
      <c r="D24" s="10">
        <v>2966</v>
      </c>
      <c r="E24" s="10">
        <v>1589.8</v>
      </c>
      <c r="F24" s="10">
        <v>1610.5249199999998</v>
      </c>
      <c r="G24" s="10">
        <f t="shared" si="0"/>
        <v>20.724919999999884</v>
      </c>
      <c r="H24" s="72">
        <f t="shared" si="1"/>
        <v>101.30361806516541</v>
      </c>
    </row>
    <row r="25" spans="1:8" hidden="1" x14ac:dyDescent="0.25">
      <c r="A25" s="7">
        <v>14030000</v>
      </c>
      <c r="B25" s="70" t="s">
        <v>21</v>
      </c>
      <c r="C25" s="71">
        <v>19000</v>
      </c>
      <c r="D25" s="10">
        <v>22823.88</v>
      </c>
      <c r="E25" s="10">
        <v>13321.88</v>
      </c>
      <c r="F25" s="10">
        <v>14112.701359999999</v>
      </c>
      <c r="G25" s="10">
        <f t="shared" si="0"/>
        <v>790.82135999999991</v>
      </c>
      <c r="H25" s="72">
        <f t="shared" si="1"/>
        <v>105.93625944686487</v>
      </c>
    </row>
    <row r="26" spans="1:8" hidden="1" x14ac:dyDescent="0.25">
      <c r="A26" s="7">
        <v>14031900</v>
      </c>
      <c r="B26" s="70" t="s">
        <v>20</v>
      </c>
      <c r="C26" s="71">
        <v>19000</v>
      </c>
      <c r="D26" s="10">
        <v>22823.88</v>
      </c>
      <c r="E26" s="10">
        <v>13321.88</v>
      </c>
      <c r="F26" s="10">
        <v>14112.701359999999</v>
      </c>
      <c r="G26" s="10">
        <f t="shared" si="0"/>
        <v>790.82135999999991</v>
      </c>
      <c r="H26" s="72">
        <f t="shared" si="1"/>
        <v>105.93625944686487</v>
      </c>
    </row>
    <row r="27" spans="1:8" hidden="1" x14ac:dyDescent="0.25">
      <c r="A27" s="7">
        <v>14040000</v>
      </c>
      <c r="B27" s="70" t="s">
        <v>22</v>
      </c>
      <c r="C27" s="71">
        <v>7107</v>
      </c>
      <c r="D27" s="10">
        <v>7791</v>
      </c>
      <c r="E27" s="10">
        <v>3964.8</v>
      </c>
      <c r="F27" s="10">
        <v>4056.9744000000005</v>
      </c>
      <c r="G27" s="10">
        <f t="shared" si="0"/>
        <v>92.174400000000333</v>
      </c>
      <c r="H27" s="72">
        <f t="shared" si="1"/>
        <v>102.32481840193705</v>
      </c>
    </row>
    <row r="28" spans="1:8" hidden="1" x14ac:dyDescent="0.25">
      <c r="A28" s="7">
        <v>14040100</v>
      </c>
      <c r="B28" s="70" t="s">
        <v>23</v>
      </c>
      <c r="C28" s="71">
        <v>5000</v>
      </c>
      <c r="D28" s="10">
        <v>5456</v>
      </c>
      <c r="E28" s="10">
        <v>2789.8</v>
      </c>
      <c r="F28" s="10">
        <v>2797.8255600000002</v>
      </c>
      <c r="G28" s="10">
        <f t="shared" si="0"/>
        <v>8.0255600000000413</v>
      </c>
      <c r="H28" s="72">
        <f t="shared" si="1"/>
        <v>100.28767510215786</v>
      </c>
    </row>
    <row r="29" spans="1:8" hidden="1" x14ac:dyDescent="0.25">
      <c r="A29" s="7">
        <v>14040200</v>
      </c>
      <c r="B29" s="70" t="s">
        <v>24</v>
      </c>
      <c r="C29" s="71">
        <v>2107</v>
      </c>
      <c r="D29" s="10">
        <v>2335</v>
      </c>
      <c r="E29" s="10">
        <v>1175</v>
      </c>
      <c r="F29" s="10">
        <v>1259.1488400000001</v>
      </c>
      <c r="G29" s="10">
        <f t="shared" si="0"/>
        <v>84.148840000000064</v>
      </c>
      <c r="H29" s="72">
        <f t="shared" si="1"/>
        <v>107.16160340425533</v>
      </c>
    </row>
    <row r="30" spans="1:8" s="3" customFormat="1" ht="43.5" x14ac:dyDescent="0.25">
      <c r="A30" s="6">
        <v>18000000</v>
      </c>
      <c r="B30" s="12" t="s">
        <v>25</v>
      </c>
      <c r="C30" s="74">
        <v>49301.599999999999</v>
      </c>
      <c r="D30" s="9">
        <v>65048.783000000003</v>
      </c>
      <c r="E30" s="9">
        <v>37290.442999999999</v>
      </c>
      <c r="F30" s="9">
        <v>41056.755819999998</v>
      </c>
      <c r="G30" s="9">
        <f t="shared" si="0"/>
        <v>3766.3128199999992</v>
      </c>
      <c r="H30" s="75">
        <f t="shared" si="1"/>
        <v>110.09994121013793</v>
      </c>
    </row>
    <row r="31" spans="1:8" ht="14.25" customHeight="1" x14ac:dyDescent="0.25">
      <c r="A31" s="7">
        <v>18010000</v>
      </c>
      <c r="B31" s="70" t="s">
        <v>26</v>
      </c>
      <c r="C31" s="71">
        <v>17467.599999999999</v>
      </c>
      <c r="D31" s="10">
        <v>19438.599999999999</v>
      </c>
      <c r="E31" s="10">
        <v>8235.26</v>
      </c>
      <c r="F31" s="10">
        <v>10623.162460000001</v>
      </c>
      <c r="G31" s="10">
        <f t="shared" si="0"/>
        <v>2387.9024600000012</v>
      </c>
      <c r="H31" s="72">
        <f t="shared" si="1"/>
        <v>128.99607856946838</v>
      </c>
    </row>
    <row r="32" spans="1:8" hidden="1" x14ac:dyDescent="0.25">
      <c r="A32" s="7">
        <v>18010100</v>
      </c>
      <c r="B32" s="70" t="s">
        <v>27</v>
      </c>
      <c r="C32" s="71">
        <v>80</v>
      </c>
      <c r="D32" s="10">
        <v>80</v>
      </c>
      <c r="E32" s="10">
        <v>23.6</v>
      </c>
      <c r="F32" s="10">
        <v>38.874970000000005</v>
      </c>
      <c r="G32" s="10">
        <f t="shared" si="0"/>
        <v>15.274970000000003</v>
      </c>
      <c r="H32" s="72">
        <f t="shared" si="1"/>
        <v>164.72444915254238</v>
      </c>
    </row>
    <row r="33" spans="1:8" hidden="1" x14ac:dyDescent="0.25">
      <c r="A33" s="7">
        <v>18010200</v>
      </c>
      <c r="B33" s="70" t="s">
        <v>28</v>
      </c>
      <c r="C33" s="71">
        <v>2288</v>
      </c>
      <c r="D33" s="10">
        <v>2288</v>
      </c>
      <c r="E33" s="10">
        <v>0</v>
      </c>
      <c r="F33" s="10">
        <v>1042.6280899999999</v>
      </c>
      <c r="G33" s="10">
        <f t="shared" si="0"/>
        <v>1042.6280899999999</v>
      </c>
      <c r="H33" s="72">
        <f t="shared" si="1"/>
        <v>0</v>
      </c>
    </row>
    <row r="34" spans="1:8" hidden="1" x14ac:dyDescent="0.25">
      <c r="A34" s="7">
        <v>18010300</v>
      </c>
      <c r="B34" s="70" t="s">
        <v>29</v>
      </c>
      <c r="C34" s="71">
        <v>1000</v>
      </c>
      <c r="D34" s="10">
        <v>1000</v>
      </c>
      <c r="E34" s="10">
        <v>0</v>
      </c>
      <c r="F34" s="10">
        <v>37.967649999999999</v>
      </c>
      <c r="G34" s="10">
        <f t="shared" si="0"/>
        <v>37.967649999999999</v>
      </c>
      <c r="H34" s="72">
        <f t="shared" si="1"/>
        <v>0</v>
      </c>
    </row>
    <row r="35" spans="1:8" hidden="1" x14ac:dyDescent="0.25">
      <c r="A35" s="7">
        <v>18010400</v>
      </c>
      <c r="B35" s="70" t="s">
        <v>30</v>
      </c>
      <c r="C35" s="71">
        <v>2320</v>
      </c>
      <c r="D35" s="10">
        <v>2938</v>
      </c>
      <c r="E35" s="10">
        <v>1784</v>
      </c>
      <c r="F35" s="10">
        <v>1878.4733700000002</v>
      </c>
      <c r="G35" s="10">
        <f t="shared" si="0"/>
        <v>94.473370000000159</v>
      </c>
      <c r="H35" s="72">
        <f t="shared" si="1"/>
        <v>105.29559248878924</v>
      </c>
    </row>
    <row r="36" spans="1:8" hidden="1" x14ac:dyDescent="0.25">
      <c r="A36" s="7">
        <v>18010500</v>
      </c>
      <c r="B36" s="70" t="s">
        <v>31</v>
      </c>
      <c r="C36" s="71">
        <v>1747.2</v>
      </c>
      <c r="D36" s="10">
        <v>2214.1999999999998</v>
      </c>
      <c r="E36" s="10">
        <v>1332.8</v>
      </c>
      <c r="F36" s="10">
        <v>1438.32728</v>
      </c>
      <c r="G36" s="10">
        <f t="shared" si="0"/>
        <v>105.52728000000002</v>
      </c>
      <c r="H36" s="72">
        <f t="shared" si="1"/>
        <v>107.9177130852341</v>
      </c>
    </row>
    <row r="37" spans="1:8" hidden="1" x14ac:dyDescent="0.25">
      <c r="A37" s="7">
        <v>18010600</v>
      </c>
      <c r="B37" s="70" t="s">
        <v>32</v>
      </c>
      <c r="C37" s="71">
        <v>7500</v>
      </c>
      <c r="D37" s="10">
        <v>8345</v>
      </c>
      <c r="E37" s="10">
        <v>4499</v>
      </c>
      <c r="F37" s="10">
        <v>4677.3130799999999</v>
      </c>
      <c r="G37" s="10">
        <f t="shared" si="0"/>
        <v>178.3130799999999</v>
      </c>
      <c r="H37" s="72">
        <f t="shared" si="1"/>
        <v>103.96339364303178</v>
      </c>
    </row>
    <row r="38" spans="1:8" hidden="1" x14ac:dyDescent="0.25">
      <c r="A38" s="7">
        <v>18010700</v>
      </c>
      <c r="B38" s="70" t="s">
        <v>33</v>
      </c>
      <c r="C38" s="71">
        <v>1500</v>
      </c>
      <c r="D38" s="10">
        <v>1500</v>
      </c>
      <c r="E38" s="10">
        <v>0</v>
      </c>
      <c r="F38" s="10">
        <v>1035.5458599999999</v>
      </c>
      <c r="G38" s="10">
        <f t="shared" si="0"/>
        <v>1035.5458599999999</v>
      </c>
      <c r="H38" s="72">
        <f t="shared" si="1"/>
        <v>0</v>
      </c>
    </row>
    <row r="39" spans="1:8" hidden="1" x14ac:dyDescent="0.25">
      <c r="A39" s="7">
        <v>18010900</v>
      </c>
      <c r="B39" s="70" t="s">
        <v>34</v>
      </c>
      <c r="C39" s="71">
        <v>1032.4000000000001</v>
      </c>
      <c r="D39" s="10">
        <v>1032.4000000000001</v>
      </c>
      <c r="E39" s="10">
        <v>554.86</v>
      </c>
      <c r="F39" s="10">
        <v>393.82383000000004</v>
      </c>
      <c r="G39" s="10">
        <f t="shared" si="0"/>
        <v>-161.03616999999997</v>
      </c>
      <c r="H39" s="72">
        <f t="shared" si="1"/>
        <v>70.97715279529973</v>
      </c>
    </row>
    <row r="40" spans="1:8" hidden="1" x14ac:dyDescent="0.25">
      <c r="A40" s="7">
        <v>18011000</v>
      </c>
      <c r="B40" s="70" t="s">
        <v>213</v>
      </c>
      <c r="C40" s="71">
        <v>0</v>
      </c>
      <c r="D40" s="10">
        <v>25</v>
      </c>
      <c r="E40" s="10">
        <v>25</v>
      </c>
      <c r="F40" s="10">
        <v>63.54166</v>
      </c>
      <c r="G40" s="10">
        <f t="shared" si="0"/>
        <v>38.54166</v>
      </c>
      <c r="H40" s="72">
        <f t="shared" si="1"/>
        <v>254.16664</v>
      </c>
    </row>
    <row r="41" spans="1:8" hidden="1" x14ac:dyDescent="0.25">
      <c r="A41" s="7">
        <v>18011100</v>
      </c>
      <c r="B41" s="70" t="s">
        <v>35</v>
      </c>
      <c r="C41" s="71">
        <v>0</v>
      </c>
      <c r="D41" s="10">
        <v>16</v>
      </c>
      <c r="E41" s="10">
        <v>16</v>
      </c>
      <c r="F41" s="10">
        <v>16.66667</v>
      </c>
      <c r="G41" s="10">
        <f t="shared" si="0"/>
        <v>0.66666999999999987</v>
      </c>
      <c r="H41" s="72">
        <f t="shared" si="1"/>
        <v>104.16668749999999</v>
      </c>
    </row>
    <row r="42" spans="1:8" x14ac:dyDescent="0.25">
      <c r="A42" s="7">
        <v>18050000</v>
      </c>
      <c r="B42" s="70" t="s">
        <v>36</v>
      </c>
      <c r="C42" s="71">
        <v>31834</v>
      </c>
      <c r="D42" s="10">
        <v>45610.182999999997</v>
      </c>
      <c r="E42" s="10">
        <v>29055.183000000001</v>
      </c>
      <c r="F42" s="10">
        <v>30433.593359999999</v>
      </c>
      <c r="G42" s="10">
        <f t="shared" si="0"/>
        <v>1378.410359999998</v>
      </c>
      <c r="H42" s="72">
        <f t="shared" si="1"/>
        <v>104.74411178205278</v>
      </c>
    </row>
    <row r="43" spans="1:8" hidden="1" x14ac:dyDescent="0.25">
      <c r="A43" s="7">
        <v>18050300</v>
      </c>
      <c r="B43" s="70" t="s">
        <v>37</v>
      </c>
      <c r="C43" s="71">
        <v>2962</v>
      </c>
      <c r="D43" s="10">
        <v>3747</v>
      </c>
      <c r="E43" s="10">
        <v>2304</v>
      </c>
      <c r="F43" s="10">
        <v>2400.3132599999999</v>
      </c>
      <c r="G43" s="10">
        <f t="shared" si="0"/>
        <v>96.3132599999999</v>
      </c>
      <c r="H43" s="72">
        <f t="shared" si="1"/>
        <v>104.18026302083332</v>
      </c>
    </row>
    <row r="44" spans="1:8" hidden="1" x14ac:dyDescent="0.25">
      <c r="A44" s="7">
        <v>18050400</v>
      </c>
      <c r="B44" s="70" t="s">
        <v>38</v>
      </c>
      <c r="C44" s="71">
        <v>20312</v>
      </c>
      <c r="D44" s="10">
        <v>27291</v>
      </c>
      <c r="E44" s="10">
        <v>16779</v>
      </c>
      <c r="F44" s="10">
        <v>17830.339660000001</v>
      </c>
      <c r="G44" s="10">
        <f t="shared" si="0"/>
        <v>1051.3396600000015</v>
      </c>
      <c r="H44" s="72">
        <f t="shared" si="1"/>
        <v>106.26580642469754</v>
      </c>
    </row>
    <row r="45" spans="1:8" hidden="1" x14ac:dyDescent="0.25">
      <c r="A45" s="7">
        <v>18050500</v>
      </c>
      <c r="B45" s="70" t="s">
        <v>39</v>
      </c>
      <c r="C45" s="71">
        <v>8560</v>
      </c>
      <c r="D45" s="10">
        <v>14572.183000000001</v>
      </c>
      <c r="E45" s="10">
        <v>9972.1830000000009</v>
      </c>
      <c r="F45" s="10">
        <v>10202.94044</v>
      </c>
      <c r="G45" s="10">
        <f t="shared" si="0"/>
        <v>230.75743999999941</v>
      </c>
      <c r="H45" s="72">
        <f t="shared" si="1"/>
        <v>102.31401128519202</v>
      </c>
    </row>
    <row r="46" spans="1:8" s="3" customFormat="1" ht="14.25" customHeight="1" x14ac:dyDescent="0.25">
      <c r="A46" s="6">
        <v>20000000</v>
      </c>
      <c r="B46" s="73" t="s">
        <v>40</v>
      </c>
      <c r="C46" s="74">
        <v>1954.3</v>
      </c>
      <c r="D46" s="9">
        <v>4705.3100000000004</v>
      </c>
      <c r="E46" s="9">
        <v>3670.49</v>
      </c>
      <c r="F46" s="9">
        <v>4986.5248400000009</v>
      </c>
      <c r="G46" s="9">
        <f t="shared" si="0"/>
        <v>1316.0348400000012</v>
      </c>
      <c r="H46" s="75">
        <f t="shared" si="1"/>
        <v>135.85447283605191</v>
      </c>
    </row>
    <row r="47" spans="1:8" ht="0.75" hidden="1" customHeight="1" x14ac:dyDescent="0.25">
      <c r="A47" s="7">
        <v>21000000</v>
      </c>
      <c r="B47" s="70" t="s">
        <v>41</v>
      </c>
      <c r="C47" s="71">
        <v>151</v>
      </c>
      <c r="D47" s="10">
        <v>161</v>
      </c>
      <c r="E47" s="10">
        <v>79.8</v>
      </c>
      <c r="F47" s="10">
        <v>371.31097999999997</v>
      </c>
      <c r="G47" s="10">
        <f t="shared" si="0"/>
        <v>291.51097999999996</v>
      </c>
      <c r="H47" s="72">
        <f t="shared" si="1"/>
        <v>465.30197994987469</v>
      </c>
    </row>
    <row r="48" spans="1:8" ht="75.75" customHeight="1" x14ac:dyDescent="0.25">
      <c r="A48" s="7">
        <v>21010000</v>
      </c>
      <c r="B48" s="13" t="s">
        <v>42</v>
      </c>
      <c r="C48" s="71">
        <v>1</v>
      </c>
      <c r="D48" s="10">
        <v>11</v>
      </c>
      <c r="E48" s="10">
        <v>10</v>
      </c>
      <c r="F48" s="10">
        <v>12.577959999999999</v>
      </c>
      <c r="G48" s="10">
        <f t="shared" si="0"/>
        <v>2.5779599999999991</v>
      </c>
      <c r="H48" s="72">
        <f t="shared" si="1"/>
        <v>125.77959999999999</v>
      </c>
    </row>
    <row r="49" spans="1:8" hidden="1" x14ac:dyDescent="0.25">
      <c r="A49" s="7">
        <v>21010300</v>
      </c>
      <c r="B49" s="70" t="s">
        <v>43</v>
      </c>
      <c r="C49" s="71">
        <v>1</v>
      </c>
      <c r="D49" s="10">
        <v>11</v>
      </c>
      <c r="E49" s="10">
        <v>10</v>
      </c>
      <c r="F49" s="10">
        <v>12.577959999999999</v>
      </c>
      <c r="G49" s="10">
        <f t="shared" si="0"/>
        <v>2.5779599999999991</v>
      </c>
      <c r="H49" s="72">
        <f t="shared" si="1"/>
        <v>125.77959999999999</v>
      </c>
    </row>
    <row r="50" spans="1:8" x14ac:dyDescent="0.25">
      <c r="A50" s="7">
        <v>21080000</v>
      </c>
      <c r="B50" s="70" t="s">
        <v>44</v>
      </c>
      <c r="C50" s="71">
        <v>150</v>
      </c>
      <c r="D50" s="10">
        <v>150</v>
      </c>
      <c r="E50" s="10">
        <v>69.8</v>
      </c>
      <c r="F50" s="10">
        <v>358.73302000000001</v>
      </c>
      <c r="G50" s="10">
        <f t="shared" si="0"/>
        <v>288.93302</v>
      </c>
      <c r="H50" s="72">
        <f t="shared" si="1"/>
        <v>513.94415472779372</v>
      </c>
    </row>
    <row r="51" spans="1:8" ht="0.75" hidden="1" customHeight="1" x14ac:dyDescent="0.25">
      <c r="A51" s="7">
        <v>21081100</v>
      </c>
      <c r="B51" s="70" t="s">
        <v>45</v>
      </c>
      <c r="C51" s="71">
        <v>50</v>
      </c>
      <c r="D51" s="10">
        <v>50</v>
      </c>
      <c r="E51" s="10">
        <v>20</v>
      </c>
      <c r="F51" s="10">
        <v>52.402680000000004</v>
      </c>
      <c r="G51" s="10">
        <f t="shared" si="0"/>
        <v>32.402680000000004</v>
      </c>
      <c r="H51" s="72">
        <f t="shared" si="1"/>
        <v>262.01340000000005</v>
      </c>
    </row>
    <row r="52" spans="1:8" hidden="1" x14ac:dyDescent="0.25">
      <c r="A52" s="7">
        <v>21081500</v>
      </c>
      <c r="B52" s="70" t="s">
        <v>46</v>
      </c>
      <c r="C52" s="71">
        <v>0</v>
      </c>
      <c r="D52" s="10">
        <v>0</v>
      </c>
      <c r="E52" s="10">
        <v>0</v>
      </c>
      <c r="F52" s="10">
        <v>190.23400000000001</v>
      </c>
      <c r="G52" s="10">
        <f t="shared" si="0"/>
        <v>190.23400000000001</v>
      </c>
      <c r="H52" s="72">
        <f t="shared" si="1"/>
        <v>0</v>
      </c>
    </row>
    <row r="53" spans="1:8" hidden="1" x14ac:dyDescent="0.25">
      <c r="A53" s="7">
        <v>21081800</v>
      </c>
      <c r="B53" s="70" t="s">
        <v>47</v>
      </c>
      <c r="C53" s="71">
        <v>100</v>
      </c>
      <c r="D53" s="10">
        <v>100</v>
      </c>
      <c r="E53" s="10">
        <v>49.8</v>
      </c>
      <c r="F53" s="10">
        <v>116.09634</v>
      </c>
      <c r="G53" s="10">
        <f t="shared" si="0"/>
        <v>66.296340000000001</v>
      </c>
      <c r="H53" s="72">
        <f t="shared" si="1"/>
        <v>233.12518072289157</v>
      </c>
    </row>
    <row r="54" spans="1:8" hidden="1" x14ac:dyDescent="0.25">
      <c r="A54" s="7">
        <v>22000000</v>
      </c>
      <c r="B54" s="70" t="s">
        <v>48</v>
      </c>
      <c r="C54" s="71">
        <v>1803.3</v>
      </c>
      <c r="D54" s="10">
        <v>1803.3</v>
      </c>
      <c r="E54" s="10">
        <v>849.68</v>
      </c>
      <c r="F54" s="10">
        <v>373.18816999999996</v>
      </c>
      <c r="G54" s="10">
        <f t="shared" si="0"/>
        <v>-476.49182999999999</v>
      </c>
      <c r="H54" s="72">
        <f t="shared" si="1"/>
        <v>43.921025562564722</v>
      </c>
    </row>
    <row r="55" spans="1:8" ht="14.25" customHeight="1" x14ac:dyDescent="0.25">
      <c r="A55" s="7">
        <v>22010000</v>
      </c>
      <c r="B55" s="70" t="s">
        <v>49</v>
      </c>
      <c r="C55" s="71">
        <v>1760</v>
      </c>
      <c r="D55" s="10">
        <v>1760</v>
      </c>
      <c r="E55" s="10">
        <v>830</v>
      </c>
      <c r="F55" s="10">
        <v>350.86129</v>
      </c>
      <c r="G55" s="10">
        <f t="shared" si="0"/>
        <v>-479.13871</v>
      </c>
      <c r="H55" s="72">
        <f t="shared" si="1"/>
        <v>42.272444578313248</v>
      </c>
    </row>
    <row r="56" spans="1:8" hidden="1" x14ac:dyDescent="0.25">
      <c r="A56" s="7">
        <v>22012500</v>
      </c>
      <c r="B56" s="70" t="s">
        <v>50</v>
      </c>
      <c r="C56" s="71">
        <v>1700</v>
      </c>
      <c r="D56" s="10">
        <v>1700</v>
      </c>
      <c r="E56" s="10">
        <v>800</v>
      </c>
      <c r="F56" s="10">
        <v>297.56587000000002</v>
      </c>
      <c r="G56" s="10">
        <f t="shared" si="0"/>
        <v>-502.43412999999998</v>
      </c>
      <c r="H56" s="72">
        <f t="shared" si="1"/>
        <v>37.195733750000002</v>
      </c>
    </row>
    <row r="57" spans="1:8" hidden="1" x14ac:dyDescent="0.25">
      <c r="A57" s="7">
        <v>22012600</v>
      </c>
      <c r="B57" s="70" t="s">
        <v>51</v>
      </c>
      <c r="C57" s="71">
        <v>60</v>
      </c>
      <c r="D57" s="10">
        <v>60</v>
      </c>
      <c r="E57" s="10">
        <v>30</v>
      </c>
      <c r="F57" s="10">
        <v>53.29542</v>
      </c>
      <c r="G57" s="10">
        <f t="shared" si="0"/>
        <v>23.29542</v>
      </c>
      <c r="H57" s="72">
        <f t="shared" si="1"/>
        <v>177.6514</v>
      </c>
    </row>
    <row r="58" spans="1:8" ht="14.25" customHeight="1" x14ac:dyDescent="0.25">
      <c r="A58" s="7">
        <v>22090000</v>
      </c>
      <c r="B58" s="70" t="s">
        <v>52</v>
      </c>
      <c r="C58" s="71">
        <v>40.200000000000003</v>
      </c>
      <c r="D58" s="10">
        <v>40.200000000000003</v>
      </c>
      <c r="E58" s="10">
        <v>19.68</v>
      </c>
      <c r="F58" s="10">
        <v>22.326880000000003</v>
      </c>
      <c r="G58" s="10">
        <f t="shared" si="0"/>
        <v>2.646880000000003</v>
      </c>
      <c r="H58" s="72">
        <f t="shared" si="1"/>
        <v>113.44959349593498</v>
      </c>
    </row>
    <row r="59" spans="1:8" hidden="1" x14ac:dyDescent="0.25">
      <c r="A59" s="7">
        <v>22090100</v>
      </c>
      <c r="B59" s="70" t="s">
        <v>53</v>
      </c>
      <c r="C59" s="71">
        <v>40</v>
      </c>
      <c r="D59" s="10">
        <v>40</v>
      </c>
      <c r="E59" s="10">
        <v>19.600000000000001</v>
      </c>
      <c r="F59" s="10">
        <v>22.326880000000003</v>
      </c>
      <c r="G59" s="10">
        <f t="shared" si="0"/>
        <v>2.7268800000000013</v>
      </c>
      <c r="H59" s="72">
        <f t="shared" si="1"/>
        <v>113.91265306122449</v>
      </c>
    </row>
    <row r="60" spans="1:8" hidden="1" x14ac:dyDescent="0.25">
      <c r="A60" s="7">
        <v>22090400</v>
      </c>
      <c r="B60" s="70" t="s">
        <v>54</v>
      </c>
      <c r="C60" s="71">
        <v>0.2</v>
      </c>
      <c r="D60" s="10">
        <v>0.2</v>
      </c>
      <c r="E60" s="10">
        <v>0.08</v>
      </c>
      <c r="F60" s="10">
        <v>0</v>
      </c>
      <c r="G60" s="10">
        <f t="shared" si="0"/>
        <v>-0.08</v>
      </c>
      <c r="H60" s="72">
        <f t="shared" si="1"/>
        <v>0</v>
      </c>
    </row>
    <row r="61" spans="1:8" ht="79.5" customHeight="1" x14ac:dyDescent="0.25">
      <c r="A61" s="7">
        <v>22130000</v>
      </c>
      <c r="B61" s="13" t="s">
        <v>55</v>
      </c>
      <c r="C61" s="71">
        <v>3.1</v>
      </c>
      <c r="D61" s="10">
        <v>3.1</v>
      </c>
      <c r="E61" s="10">
        <v>0</v>
      </c>
      <c r="F61" s="10">
        <v>0</v>
      </c>
      <c r="G61" s="10">
        <f t="shared" si="0"/>
        <v>0</v>
      </c>
      <c r="H61" s="72">
        <f t="shared" si="1"/>
        <v>0</v>
      </c>
    </row>
    <row r="62" spans="1:8" hidden="1" x14ac:dyDescent="0.25">
      <c r="A62" s="7">
        <v>24000000</v>
      </c>
      <c r="B62" s="70" t="s">
        <v>56</v>
      </c>
      <c r="C62" s="71">
        <v>0</v>
      </c>
      <c r="D62" s="10">
        <v>2741.01</v>
      </c>
      <c r="E62" s="10">
        <v>2741.01</v>
      </c>
      <c r="F62" s="10">
        <v>4242.0256900000004</v>
      </c>
      <c r="G62" s="10">
        <f t="shared" si="0"/>
        <v>1501.0156900000002</v>
      </c>
      <c r="H62" s="72">
        <f t="shared" si="1"/>
        <v>154.76140875078895</v>
      </c>
    </row>
    <row r="63" spans="1:8" x14ac:dyDescent="0.25">
      <c r="A63" s="7">
        <v>24060000</v>
      </c>
      <c r="B63" s="70" t="s">
        <v>44</v>
      </c>
      <c r="C63" s="71">
        <v>0</v>
      </c>
      <c r="D63" s="10">
        <v>2741.01</v>
      </c>
      <c r="E63" s="10">
        <v>2741.01</v>
      </c>
      <c r="F63" s="10">
        <v>4242.0256900000004</v>
      </c>
      <c r="G63" s="10">
        <f t="shared" si="0"/>
        <v>1501.0156900000002</v>
      </c>
      <c r="H63" s="72">
        <f t="shared" si="1"/>
        <v>154.76140875078895</v>
      </c>
    </row>
    <row r="64" spans="1:8" hidden="1" x14ac:dyDescent="0.25">
      <c r="A64" s="7">
        <v>24060300</v>
      </c>
      <c r="B64" s="70" t="s">
        <v>44</v>
      </c>
      <c r="C64" s="71">
        <v>0</v>
      </c>
      <c r="D64" s="10">
        <v>2741.01</v>
      </c>
      <c r="E64" s="10">
        <v>2741.01</v>
      </c>
      <c r="F64" s="10">
        <v>4242.0256900000004</v>
      </c>
      <c r="G64" s="10">
        <f t="shared" si="0"/>
        <v>1501.0156900000002</v>
      </c>
      <c r="H64" s="72">
        <f t="shared" si="1"/>
        <v>154.76140875078895</v>
      </c>
    </row>
    <row r="65" spans="1:8" s="3" customFormat="1" x14ac:dyDescent="0.25">
      <c r="A65" s="6">
        <v>40000000</v>
      </c>
      <c r="B65" s="73" t="s">
        <v>57</v>
      </c>
      <c r="C65" s="74">
        <v>38984.699999999997</v>
      </c>
      <c r="D65" s="9">
        <v>88450.463000000003</v>
      </c>
      <c r="E65" s="9">
        <v>64189.875</v>
      </c>
      <c r="F65" s="9">
        <v>63977.987999999998</v>
      </c>
      <c r="G65" s="9">
        <f t="shared" si="0"/>
        <v>-211.88700000000244</v>
      </c>
      <c r="H65" s="75">
        <f t="shared" si="1"/>
        <v>99.669905884689754</v>
      </c>
    </row>
    <row r="66" spans="1:8" x14ac:dyDescent="0.25">
      <c r="A66" s="7">
        <v>41020100</v>
      </c>
      <c r="B66" s="70" t="s">
        <v>59</v>
      </c>
      <c r="C66" s="71">
        <v>22616</v>
      </c>
      <c r="D66" s="10">
        <v>22616</v>
      </c>
      <c r="E66" s="10">
        <v>11308.2</v>
      </c>
      <c r="F66" s="10">
        <v>11308.2</v>
      </c>
      <c r="G66" s="10">
        <f t="shared" si="0"/>
        <v>0</v>
      </c>
      <c r="H66" s="72">
        <f t="shared" si="1"/>
        <v>100</v>
      </c>
    </row>
    <row r="67" spans="1:8" ht="45" x14ac:dyDescent="0.25">
      <c r="A67" s="7">
        <v>41020300</v>
      </c>
      <c r="B67" s="13" t="s">
        <v>208</v>
      </c>
      <c r="C67" s="71">
        <v>0</v>
      </c>
      <c r="D67" s="10">
        <v>6228.3</v>
      </c>
      <c r="E67" s="10">
        <v>3114</v>
      </c>
      <c r="F67" s="10">
        <v>3114</v>
      </c>
      <c r="G67" s="10">
        <f t="shared" si="0"/>
        <v>0</v>
      </c>
      <c r="H67" s="72">
        <f t="shared" si="1"/>
        <v>100</v>
      </c>
    </row>
    <row r="68" spans="1:8" ht="90" x14ac:dyDescent="0.25">
      <c r="A68" s="7">
        <v>41021400</v>
      </c>
      <c r="B68" s="13" t="s">
        <v>60</v>
      </c>
      <c r="C68" s="71">
        <v>10140.4</v>
      </c>
      <c r="D68" s="10">
        <v>10140.4</v>
      </c>
      <c r="E68" s="10">
        <v>5070</v>
      </c>
      <c r="F68" s="10">
        <v>5070</v>
      </c>
      <c r="G68" s="10">
        <f t="shared" si="0"/>
        <v>0</v>
      </c>
      <c r="H68" s="72">
        <f t="shared" si="1"/>
        <v>100</v>
      </c>
    </row>
    <row r="69" spans="1:8" ht="45" x14ac:dyDescent="0.25">
      <c r="A69" s="7">
        <v>41031100</v>
      </c>
      <c r="B69" s="13" t="s">
        <v>209</v>
      </c>
      <c r="C69" s="71">
        <v>0</v>
      </c>
      <c r="D69" s="10">
        <v>2060.1999999999998</v>
      </c>
      <c r="E69" s="10">
        <v>2060.1999999999998</v>
      </c>
      <c r="F69" s="10">
        <v>2060.1999999999998</v>
      </c>
      <c r="G69" s="10">
        <f t="shared" ref="G69:G76" si="2">F69-E69</f>
        <v>0</v>
      </c>
      <c r="H69" s="72">
        <f t="shared" ref="H69:H76" si="3">IF(E69=0,0,F69/E69*100)</f>
        <v>100</v>
      </c>
    </row>
    <row r="70" spans="1:8" ht="30" x14ac:dyDescent="0.25">
      <c r="A70" s="7">
        <v>41033900</v>
      </c>
      <c r="B70" s="13" t="s">
        <v>62</v>
      </c>
      <c r="C70" s="71">
        <v>0</v>
      </c>
      <c r="D70" s="10">
        <v>40191.9</v>
      </c>
      <c r="E70" s="10">
        <v>35979.699999999997</v>
      </c>
      <c r="F70" s="10">
        <v>35979.699999999997</v>
      </c>
      <c r="G70" s="10">
        <f t="shared" si="2"/>
        <v>0</v>
      </c>
      <c r="H70" s="72">
        <f t="shared" si="3"/>
        <v>100</v>
      </c>
    </row>
    <row r="71" spans="1:8" ht="45" x14ac:dyDescent="0.25">
      <c r="A71" s="7">
        <v>41035400</v>
      </c>
      <c r="B71" s="13" t="s">
        <v>63</v>
      </c>
      <c r="C71" s="71">
        <v>0</v>
      </c>
      <c r="D71" s="10">
        <v>161</v>
      </c>
      <c r="E71" s="10">
        <v>161</v>
      </c>
      <c r="F71" s="10">
        <v>161</v>
      </c>
      <c r="G71" s="10">
        <f t="shared" si="2"/>
        <v>0</v>
      </c>
      <c r="H71" s="72">
        <f t="shared" si="3"/>
        <v>100</v>
      </c>
    </row>
    <row r="72" spans="1:8" ht="45" x14ac:dyDescent="0.25">
      <c r="A72" s="7">
        <v>41036300</v>
      </c>
      <c r="B72" s="13" t="s">
        <v>65</v>
      </c>
      <c r="C72" s="71">
        <v>0</v>
      </c>
      <c r="D72" s="10">
        <v>5729</v>
      </c>
      <c r="E72" s="10">
        <v>5729</v>
      </c>
      <c r="F72" s="10">
        <v>5729</v>
      </c>
      <c r="G72" s="10">
        <f t="shared" si="2"/>
        <v>0</v>
      </c>
      <c r="H72" s="72">
        <f t="shared" si="3"/>
        <v>100</v>
      </c>
    </row>
    <row r="73" spans="1:8" x14ac:dyDescent="0.25">
      <c r="A73" s="7">
        <v>41053900</v>
      </c>
      <c r="B73" s="13" t="s">
        <v>66</v>
      </c>
      <c r="C73" s="71">
        <v>0</v>
      </c>
      <c r="D73" s="10">
        <v>211.887</v>
      </c>
      <c r="E73" s="10">
        <v>211.887</v>
      </c>
      <c r="F73" s="10">
        <v>0</v>
      </c>
      <c r="G73" s="10">
        <f t="shared" si="2"/>
        <v>-211.887</v>
      </c>
      <c r="H73" s="72">
        <f t="shared" si="3"/>
        <v>0</v>
      </c>
    </row>
    <row r="74" spans="1:8" ht="90" x14ac:dyDescent="0.25">
      <c r="A74" s="7">
        <v>41059300</v>
      </c>
      <c r="B74" s="13" t="s">
        <v>214</v>
      </c>
      <c r="C74" s="71">
        <v>0</v>
      </c>
      <c r="D74" s="10">
        <v>1111.7760000000001</v>
      </c>
      <c r="E74" s="10">
        <v>555.88800000000003</v>
      </c>
      <c r="F74" s="10">
        <v>555.88800000000003</v>
      </c>
      <c r="G74" s="10">
        <f t="shared" si="2"/>
        <v>0</v>
      </c>
      <c r="H74" s="72">
        <f t="shared" si="3"/>
        <v>100</v>
      </c>
    </row>
    <row r="75" spans="1:8" x14ac:dyDescent="0.25">
      <c r="A75" s="92" t="s">
        <v>70</v>
      </c>
      <c r="B75" s="92"/>
      <c r="C75" s="76">
        <v>140221</v>
      </c>
      <c r="D75" s="11">
        <v>181923.073</v>
      </c>
      <c r="E75" s="11">
        <v>103939.73299999999</v>
      </c>
      <c r="F75" s="11">
        <v>116062.74934000001</v>
      </c>
      <c r="G75" s="11">
        <f t="shared" si="2"/>
        <v>12123.016340000016</v>
      </c>
      <c r="H75" s="77">
        <f t="shared" si="3"/>
        <v>111.66350536998206</v>
      </c>
    </row>
    <row r="76" spans="1:8" x14ac:dyDescent="0.25">
      <c r="A76" s="92" t="s">
        <v>71</v>
      </c>
      <c r="B76" s="92"/>
      <c r="C76" s="76">
        <v>179205.7</v>
      </c>
      <c r="D76" s="11">
        <v>270373.53600000002</v>
      </c>
      <c r="E76" s="11">
        <v>168129.60800000001</v>
      </c>
      <c r="F76" s="11">
        <v>180040.73733999999</v>
      </c>
      <c r="G76" s="11">
        <f t="shared" si="2"/>
        <v>11911.129339999985</v>
      </c>
      <c r="H76" s="77">
        <f t="shared" si="3"/>
        <v>107.08449242325004</v>
      </c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</sheetData>
  <mergeCells count="8">
    <mergeCell ref="A76:B76"/>
    <mergeCell ref="A2:H2"/>
    <mergeCell ref="A3:H3"/>
    <mergeCell ref="A4:H4"/>
    <mergeCell ref="A7:A8"/>
    <mergeCell ref="B7:B8"/>
    <mergeCell ref="C7:H7"/>
    <mergeCell ref="A75:B75"/>
  </mergeCells>
  <pageMargins left="0.78740157480314965" right="0.59055118110236227" top="0.39370078740157483" bottom="0.39370078740157483" header="0" footer="0"/>
  <pageSetup paperSize="9" scale="65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AEBD-EB9B-4E73-836C-FCCC2FD3533F}">
  <dimension ref="A2:J40"/>
  <sheetViews>
    <sheetView workbookViewId="0">
      <selection activeCell="A35" sqref="A35:B36"/>
    </sheetView>
  </sheetViews>
  <sheetFormatPr defaultRowHeight="15" x14ac:dyDescent="0.25"/>
  <cols>
    <col min="1" max="1" width="14.140625" style="2" customWidth="1"/>
    <col min="2" max="2" width="50" customWidth="1"/>
    <col min="3" max="3" width="13.140625" customWidth="1"/>
    <col min="4" max="4" width="14.7109375" customWidth="1"/>
    <col min="5" max="5" width="14.140625" customWidth="1"/>
    <col min="6" max="6" width="11.7109375" customWidth="1"/>
    <col min="7" max="7" width="12.5703125" customWidth="1"/>
  </cols>
  <sheetData>
    <row r="2" spans="1:10" ht="15.75" x14ac:dyDescent="0.25">
      <c r="A2" s="93" t="s">
        <v>72</v>
      </c>
      <c r="B2" s="93"/>
      <c r="C2" s="93"/>
      <c r="D2" s="93"/>
      <c r="E2" s="93"/>
      <c r="F2" s="93"/>
      <c r="G2" s="93"/>
      <c r="H2" s="1"/>
      <c r="I2" s="1"/>
      <c r="J2" s="1"/>
    </row>
    <row r="3" spans="1:10" ht="15.75" x14ac:dyDescent="0.25">
      <c r="A3" s="93" t="s">
        <v>215</v>
      </c>
      <c r="B3" s="93"/>
      <c r="C3" s="93"/>
      <c r="D3" s="93"/>
      <c r="E3" s="93"/>
      <c r="F3" s="93"/>
      <c r="G3" s="93"/>
      <c r="H3" s="3"/>
      <c r="I3" s="3"/>
      <c r="J3" s="3"/>
    </row>
    <row r="4" spans="1:10" ht="15.75" x14ac:dyDescent="0.25">
      <c r="A4" s="87" t="s">
        <v>75</v>
      </c>
      <c r="B4" s="87"/>
      <c r="C4" s="87"/>
      <c r="D4" s="87"/>
      <c r="E4" s="87"/>
      <c r="F4" s="87"/>
      <c r="G4" s="87"/>
      <c r="H4" s="1"/>
      <c r="I4" s="1"/>
      <c r="J4" s="1"/>
    </row>
    <row r="5" spans="1:10" x14ac:dyDescent="0.25">
      <c r="A5" s="14"/>
      <c r="B5" s="14"/>
      <c r="C5" s="14"/>
      <c r="D5" s="14"/>
      <c r="E5" s="14"/>
      <c r="F5" s="14"/>
      <c r="G5" s="14"/>
      <c r="H5" s="3"/>
      <c r="I5" s="3"/>
      <c r="J5" s="3"/>
    </row>
    <row r="6" spans="1:10" x14ac:dyDescent="0.25">
      <c r="A6" s="4"/>
      <c r="B6" s="5"/>
      <c r="C6" s="5"/>
      <c r="D6" s="5"/>
      <c r="E6" s="5"/>
      <c r="F6" s="5" t="s">
        <v>68</v>
      </c>
      <c r="G6" s="5"/>
    </row>
    <row r="7" spans="1:10" x14ac:dyDescent="0.25">
      <c r="A7" s="88" t="s">
        <v>0</v>
      </c>
      <c r="B7" s="88" t="s">
        <v>1</v>
      </c>
      <c r="C7" s="94" t="s">
        <v>2</v>
      </c>
      <c r="D7" s="95"/>
      <c r="E7" s="95"/>
      <c r="F7" s="95"/>
      <c r="G7" s="95"/>
    </row>
    <row r="8" spans="1:10" ht="39.75" customHeight="1" x14ac:dyDescent="0.25">
      <c r="A8" s="89"/>
      <c r="B8" s="89"/>
      <c r="C8" s="8" t="s">
        <v>3</v>
      </c>
      <c r="D8" s="8" t="s">
        <v>4</v>
      </c>
      <c r="E8" s="6" t="s">
        <v>5</v>
      </c>
      <c r="F8" s="6" t="s">
        <v>6</v>
      </c>
      <c r="G8" s="8" t="s">
        <v>76</v>
      </c>
    </row>
    <row r="9" spans="1:10" s="3" customFormat="1" x14ac:dyDescent="0.25">
      <c r="A9" s="6">
        <v>10000000</v>
      </c>
      <c r="B9" s="12" t="s">
        <v>7</v>
      </c>
      <c r="C9" s="9">
        <v>35.799999999999997</v>
      </c>
      <c r="D9" s="9">
        <v>18.2</v>
      </c>
      <c r="E9" s="9">
        <v>16.2</v>
      </c>
      <c r="F9" s="9">
        <f t="shared" ref="F9:F38" si="0">E9-D9</f>
        <v>-2</v>
      </c>
      <c r="G9" s="9">
        <f t="shared" ref="G9:G38" si="1">IF(D9=0,0,E9/D9*100)</f>
        <v>89.010989010989007</v>
      </c>
    </row>
    <row r="10" spans="1:10" hidden="1" x14ac:dyDescent="0.25">
      <c r="A10" s="7">
        <v>19000000</v>
      </c>
      <c r="B10" s="13" t="s">
        <v>77</v>
      </c>
      <c r="C10" s="10">
        <v>41.677</v>
      </c>
      <c r="D10" s="10">
        <v>22.399000000000001</v>
      </c>
      <c r="E10" s="10">
        <v>18.419439999999998</v>
      </c>
      <c r="F10" s="10">
        <f t="shared" si="0"/>
        <v>-3.9795600000000029</v>
      </c>
      <c r="G10" s="10">
        <f t="shared" si="1"/>
        <v>82.233313987231554</v>
      </c>
    </row>
    <row r="11" spans="1:10" x14ac:dyDescent="0.25">
      <c r="A11" s="7">
        <v>19010000</v>
      </c>
      <c r="B11" s="13" t="s">
        <v>78</v>
      </c>
      <c r="C11" s="10">
        <v>35.799999999999997</v>
      </c>
      <c r="D11" s="10">
        <v>18.2</v>
      </c>
      <c r="E11" s="10">
        <v>16.2</v>
      </c>
      <c r="F11" s="10">
        <f t="shared" si="0"/>
        <v>-2</v>
      </c>
      <c r="G11" s="10">
        <f t="shared" si="1"/>
        <v>89.010989010989007</v>
      </c>
    </row>
    <row r="12" spans="1:10" ht="0.75" hidden="1" customHeight="1" x14ac:dyDescent="0.25">
      <c r="A12" s="7">
        <v>19010100</v>
      </c>
      <c r="B12" s="13" t="s">
        <v>79</v>
      </c>
      <c r="C12" s="10">
        <v>37.253999999999998</v>
      </c>
      <c r="D12" s="10">
        <v>19.917000000000002</v>
      </c>
      <c r="E12" s="10">
        <v>16.101879999999998</v>
      </c>
      <c r="F12" s="10">
        <f t="shared" si="0"/>
        <v>-3.8151200000000038</v>
      </c>
      <c r="G12" s="10">
        <f t="shared" si="1"/>
        <v>80.844906361399794</v>
      </c>
    </row>
    <row r="13" spans="1:10" ht="30" hidden="1" x14ac:dyDescent="0.25">
      <c r="A13" s="7">
        <v>19010200</v>
      </c>
      <c r="B13" s="13" t="s">
        <v>80</v>
      </c>
      <c r="C13" s="10">
        <v>4.0380000000000003</v>
      </c>
      <c r="D13" s="10">
        <v>2.1339999999999999</v>
      </c>
      <c r="E13" s="10">
        <v>2.2781400000000001</v>
      </c>
      <c r="F13" s="10">
        <f t="shared" si="0"/>
        <v>0.14414000000000016</v>
      </c>
      <c r="G13" s="10">
        <f t="shared" si="1"/>
        <v>106.75445173383318</v>
      </c>
    </row>
    <row r="14" spans="1:10" ht="60" hidden="1" x14ac:dyDescent="0.25">
      <c r="A14" s="7">
        <v>19010300</v>
      </c>
      <c r="B14" s="13" t="s">
        <v>81</v>
      </c>
      <c r="C14" s="10">
        <v>0.38500000000000001</v>
      </c>
      <c r="D14" s="10">
        <v>0.34799999999999998</v>
      </c>
      <c r="E14" s="10">
        <v>3.9420000000000004E-2</v>
      </c>
      <c r="F14" s="10">
        <f t="shared" si="0"/>
        <v>-0.30857999999999997</v>
      </c>
      <c r="G14" s="10">
        <f t="shared" si="1"/>
        <v>11.327586206896553</v>
      </c>
    </row>
    <row r="15" spans="1:10" s="3" customFormat="1" x14ac:dyDescent="0.25">
      <c r="A15" s="6">
        <v>20000000</v>
      </c>
      <c r="B15" s="12" t="s">
        <v>40</v>
      </c>
      <c r="C15" s="9">
        <v>220</v>
      </c>
      <c r="D15" s="9">
        <v>110</v>
      </c>
      <c r="E15" s="9">
        <f>E19+E17</f>
        <v>24795</v>
      </c>
      <c r="F15" s="9">
        <f t="shared" si="0"/>
        <v>24685</v>
      </c>
      <c r="G15" s="9">
        <f t="shared" si="1"/>
        <v>22540.909090909092</v>
      </c>
    </row>
    <row r="16" spans="1:10" hidden="1" x14ac:dyDescent="0.25">
      <c r="A16" s="7">
        <v>24000000</v>
      </c>
      <c r="B16" s="13" t="s">
        <v>56</v>
      </c>
      <c r="C16" s="10">
        <v>0</v>
      </c>
      <c r="D16" s="10">
        <v>0</v>
      </c>
      <c r="E16" s="10">
        <v>31.799189999999999</v>
      </c>
      <c r="F16" s="10">
        <f t="shared" si="0"/>
        <v>31.799189999999999</v>
      </c>
      <c r="G16" s="10">
        <f t="shared" si="1"/>
        <v>0</v>
      </c>
    </row>
    <row r="17" spans="1:7" x14ac:dyDescent="0.25">
      <c r="A17" s="7">
        <v>24060000</v>
      </c>
      <c r="B17" s="13" t="s">
        <v>44</v>
      </c>
      <c r="C17" s="10">
        <v>0</v>
      </c>
      <c r="D17" s="10">
        <v>0</v>
      </c>
      <c r="E17" s="10">
        <v>14.2</v>
      </c>
      <c r="F17" s="10">
        <f t="shared" si="0"/>
        <v>14.2</v>
      </c>
      <c r="G17" s="10">
        <f t="shared" si="1"/>
        <v>0</v>
      </c>
    </row>
    <row r="18" spans="1:7" ht="0.75" customHeight="1" x14ac:dyDescent="0.25">
      <c r="A18" s="7">
        <v>24062100</v>
      </c>
      <c r="B18" s="13" t="s">
        <v>82</v>
      </c>
      <c r="C18" s="10">
        <v>0</v>
      </c>
      <c r="D18" s="10">
        <v>0</v>
      </c>
      <c r="E18" s="10">
        <v>31.799189999999999</v>
      </c>
      <c r="F18" s="10">
        <f t="shared" si="0"/>
        <v>31.799189999999999</v>
      </c>
      <c r="G18" s="10">
        <f t="shared" si="1"/>
        <v>0</v>
      </c>
    </row>
    <row r="19" spans="1:7" s="3" customFormat="1" ht="15.75" customHeight="1" x14ac:dyDescent="0.25">
      <c r="A19" s="6">
        <v>25000000</v>
      </c>
      <c r="B19" s="12" t="s">
        <v>83</v>
      </c>
      <c r="C19" s="9">
        <v>220</v>
      </c>
      <c r="D19" s="9">
        <v>110</v>
      </c>
      <c r="E19" s="9">
        <f>E20+E24</f>
        <v>24780.799999999999</v>
      </c>
      <c r="F19" s="9">
        <f t="shared" si="0"/>
        <v>24670.799999999999</v>
      </c>
      <c r="G19" s="9">
        <f t="shared" si="1"/>
        <v>22528</v>
      </c>
    </row>
    <row r="20" spans="1:7" ht="32.25" customHeight="1" x14ac:dyDescent="0.25">
      <c r="A20" s="7">
        <v>25010000</v>
      </c>
      <c r="B20" s="13" t="s">
        <v>84</v>
      </c>
      <c r="C20" s="10">
        <v>220</v>
      </c>
      <c r="D20" s="10">
        <v>110</v>
      </c>
      <c r="E20" s="10">
        <v>290.8</v>
      </c>
      <c r="F20" s="10">
        <f t="shared" si="0"/>
        <v>180.8</v>
      </c>
      <c r="G20" s="10">
        <f t="shared" si="1"/>
        <v>264.36363636363637</v>
      </c>
    </row>
    <row r="21" spans="1:7" ht="30" hidden="1" x14ac:dyDescent="0.25">
      <c r="A21" s="7">
        <v>25010100</v>
      </c>
      <c r="B21" s="13" t="s">
        <v>85</v>
      </c>
      <c r="C21" s="10">
        <v>0</v>
      </c>
      <c r="D21" s="10">
        <v>0</v>
      </c>
      <c r="E21" s="10">
        <v>17.25</v>
      </c>
      <c r="F21" s="10">
        <f t="shared" si="0"/>
        <v>17.25</v>
      </c>
      <c r="G21" s="10">
        <f t="shared" si="1"/>
        <v>0</v>
      </c>
    </row>
    <row r="22" spans="1:7" ht="45" hidden="1" x14ac:dyDescent="0.25">
      <c r="A22" s="7">
        <v>25010300</v>
      </c>
      <c r="B22" s="13" t="s">
        <v>86</v>
      </c>
      <c r="C22" s="10">
        <v>200</v>
      </c>
      <c r="D22" s="10">
        <v>100</v>
      </c>
      <c r="E22" s="10">
        <v>149.47367000000003</v>
      </c>
      <c r="F22" s="10">
        <f t="shared" si="0"/>
        <v>49.473670000000027</v>
      </c>
      <c r="G22" s="10">
        <f t="shared" si="1"/>
        <v>149.47367000000003</v>
      </c>
    </row>
    <row r="23" spans="1:7" ht="15" customHeight="1" x14ac:dyDescent="0.25">
      <c r="A23" s="7">
        <v>25010400</v>
      </c>
      <c r="B23" s="13" t="s">
        <v>87</v>
      </c>
      <c r="C23" s="10">
        <v>0</v>
      </c>
      <c r="D23" s="10">
        <v>0</v>
      </c>
      <c r="E23" s="10">
        <v>14.4489</v>
      </c>
      <c r="F23" s="10">
        <f t="shared" si="0"/>
        <v>14.4489</v>
      </c>
      <c r="G23" s="10">
        <f t="shared" si="1"/>
        <v>0</v>
      </c>
    </row>
    <row r="24" spans="1:7" ht="13.5" customHeight="1" x14ac:dyDescent="0.25">
      <c r="A24" s="7">
        <v>25020000</v>
      </c>
      <c r="B24" s="13" t="s">
        <v>88</v>
      </c>
      <c r="C24" s="10">
        <v>0</v>
      </c>
      <c r="D24" s="10">
        <v>0</v>
      </c>
      <c r="E24" s="10">
        <v>24490</v>
      </c>
      <c r="F24" s="10">
        <f t="shared" si="0"/>
        <v>24490</v>
      </c>
      <c r="G24" s="10">
        <f t="shared" si="1"/>
        <v>0</v>
      </c>
    </row>
    <row r="25" spans="1:7" hidden="1" x14ac:dyDescent="0.25">
      <c r="A25" s="7">
        <v>25020100</v>
      </c>
      <c r="B25" s="13" t="s">
        <v>89</v>
      </c>
      <c r="C25" s="10">
        <v>0</v>
      </c>
      <c r="D25" s="10">
        <v>0</v>
      </c>
      <c r="E25" s="10">
        <v>1970.89149</v>
      </c>
      <c r="F25" s="10">
        <f t="shared" si="0"/>
        <v>1970.89149</v>
      </c>
      <c r="G25" s="10">
        <f t="shared" si="1"/>
        <v>0</v>
      </c>
    </row>
    <row r="26" spans="1:7" ht="90" hidden="1" x14ac:dyDescent="0.25">
      <c r="A26" s="7">
        <v>25020200</v>
      </c>
      <c r="B26" s="13" t="s">
        <v>90</v>
      </c>
      <c r="C26" s="10">
        <v>0</v>
      </c>
      <c r="D26" s="10">
        <v>0</v>
      </c>
      <c r="E26" s="10">
        <v>2957.8543500000001</v>
      </c>
      <c r="F26" s="10">
        <f t="shared" si="0"/>
        <v>2957.8543500000001</v>
      </c>
      <c r="G26" s="10">
        <f t="shared" si="1"/>
        <v>0</v>
      </c>
    </row>
    <row r="27" spans="1:7" s="3" customFormat="1" ht="14.25" hidden="1" customHeight="1" x14ac:dyDescent="0.25">
      <c r="A27" s="6">
        <v>30000000</v>
      </c>
      <c r="B27" s="12" t="s">
        <v>91</v>
      </c>
      <c r="C27" s="9">
        <v>0</v>
      </c>
      <c r="D27" s="9">
        <v>0</v>
      </c>
      <c r="E27" s="9">
        <v>0</v>
      </c>
      <c r="F27" s="9">
        <f t="shared" si="0"/>
        <v>0</v>
      </c>
      <c r="G27" s="9">
        <f t="shared" si="1"/>
        <v>0</v>
      </c>
    </row>
    <row r="28" spans="1:7" hidden="1" x14ac:dyDescent="0.25">
      <c r="A28" s="7">
        <v>31000000</v>
      </c>
      <c r="B28" s="13" t="s">
        <v>92</v>
      </c>
      <c r="C28" s="10">
        <v>0</v>
      </c>
      <c r="D28" s="10">
        <v>0</v>
      </c>
      <c r="E28" s="10">
        <v>38.842599999999997</v>
      </c>
      <c r="F28" s="10">
        <f t="shared" si="0"/>
        <v>38.842599999999997</v>
      </c>
      <c r="G28" s="10">
        <f t="shared" si="1"/>
        <v>0</v>
      </c>
    </row>
    <row r="29" spans="1:7" ht="52.5" hidden="1" customHeight="1" x14ac:dyDescent="0.25">
      <c r="A29" s="7">
        <v>31030000</v>
      </c>
      <c r="B29" s="13" t="s">
        <v>93</v>
      </c>
      <c r="C29" s="10">
        <v>0</v>
      </c>
      <c r="D29" s="10">
        <v>0</v>
      </c>
      <c r="E29" s="10">
        <v>0</v>
      </c>
      <c r="F29" s="10">
        <f t="shared" si="0"/>
        <v>0</v>
      </c>
      <c r="G29" s="10">
        <f t="shared" si="1"/>
        <v>0</v>
      </c>
    </row>
    <row r="30" spans="1:7" s="3" customFormat="1" ht="21.75" customHeight="1" x14ac:dyDescent="0.25">
      <c r="A30" s="6">
        <v>40000000</v>
      </c>
      <c r="B30" s="12" t="s">
        <v>57</v>
      </c>
      <c r="C30" s="9">
        <v>11656.2</v>
      </c>
      <c r="D30" s="9">
        <v>11656.2</v>
      </c>
      <c r="E30" s="9">
        <v>1543.6</v>
      </c>
      <c r="F30" s="9">
        <f t="shared" si="0"/>
        <v>-10112.6</v>
      </c>
      <c r="G30" s="9">
        <f t="shared" si="1"/>
        <v>13.242737770456921</v>
      </c>
    </row>
    <row r="31" spans="1:7" ht="0.75" hidden="1" customHeight="1" x14ac:dyDescent="0.25">
      <c r="A31" s="7">
        <v>41000000</v>
      </c>
      <c r="B31" s="13" t="s">
        <v>58</v>
      </c>
      <c r="C31" s="10">
        <v>7454.31</v>
      </c>
      <c r="D31" s="10">
        <v>7454.31</v>
      </c>
      <c r="E31" s="10">
        <v>7454.31</v>
      </c>
      <c r="F31" s="10">
        <f t="shared" si="0"/>
        <v>0</v>
      </c>
      <c r="G31" s="10">
        <f t="shared" si="1"/>
        <v>100</v>
      </c>
    </row>
    <row r="32" spans="1:7" ht="30" hidden="1" x14ac:dyDescent="0.25">
      <c r="A32" s="7">
        <v>41030000</v>
      </c>
      <c r="B32" s="13" t="s">
        <v>61</v>
      </c>
      <c r="C32" s="10">
        <v>1726.2</v>
      </c>
      <c r="D32" s="10">
        <v>1726.2</v>
      </c>
      <c r="E32" s="10">
        <v>1726.2</v>
      </c>
      <c r="F32" s="10">
        <f t="shared" si="0"/>
        <v>0</v>
      </c>
      <c r="G32" s="10">
        <f t="shared" si="1"/>
        <v>100</v>
      </c>
    </row>
    <row r="33" spans="1:7" ht="36.75" hidden="1" customHeight="1" x14ac:dyDescent="0.25">
      <c r="A33" s="7">
        <v>41033900</v>
      </c>
      <c r="B33" s="13" t="s">
        <v>62</v>
      </c>
      <c r="C33" s="10"/>
      <c r="D33" s="10"/>
      <c r="E33" s="10"/>
      <c r="F33" s="10">
        <f t="shared" si="0"/>
        <v>0</v>
      </c>
      <c r="G33" s="10">
        <f t="shared" si="1"/>
        <v>0</v>
      </c>
    </row>
    <row r="34" spans="1:7" ht="61.5" customHeight="1" x14ac:dyDescent="0.25">
      <c r="A34" s="7">
        <v>41037400</v>
      </c>
      <c r="B34" s="13" t="s">
        <v>94</v>
      </c>
      <c r="C34" s="10">
        <v>161.1</v>
      </c>
      <c r="D34" s="10">
        <v>161.1</v>
      </c>
      <c r="E34" s="10">
        <v>161.1</v>
      </c>
      <c r="F34" s="10">
        <f t="shared" si="0"/>
        <v>0</v>
      </c>
      <c r="G34" s="10">
        <f t="shared" si="1"/>
        <v>100</v>
      </c>
    </row>
    <row r="35" spans="1:7" ht="64.5" customHeight="1" x14ac:dyDescent="0.25">
      <c r="A35" s="7">
        <v>41038800</v>
      </c>
      <c r="B35" s="13" t="s">
        <v>217</v>
      </c>
      <c r="C35" s="10">
        <v>10500</v>
      </c>
      <c r="D35" s="10">
        <v>10500</v>
      </c>
      <c r="E35" s="10">
        <v>387.4</v>
      </c>
      <c r="F35" s="10">
        <f t="shared" si="0"/>
        <v>-10112.6</v>
      </c>
      <c r="G35" s="10">
        <f t="shared" si="1"/>
        <v>3.6895238095238092</v>
      </c>
    </row>
    <row r="36" spans="1:7" ht="45" x14ac:dyDescent="0.25">
      <c r="A36" s="7">
        <v>41053400</v>
      </c>
      <c r="B36" s="13" t="s">
        <v>216</v>
      </c>
      <c r="C36" s="10">
        <v>995.1</v>
      </c>
      <c r="D36" s="10">
        <v>995.1</v>
      </c>
      <c r="E36" s="10">
        <v>995.1</v>
      </c>
      <c r="F36" s="10">
        <f t="shared" si="0"/>
        <v>0</v>
      </c>
      <c r="G36" s="10">
        <f t="shared" si="1"/>
        <v>100</v>
      </c>
    </row>
    <row r="37" spans="1:7" x14ac:dyDescent="0.25">
      <c r="A37" s="92" t="s">
        <v>70</v>
      </c>
      <c r="B37" s="92"/>
      <c r="C37" s="11">
        <v>255.8</v>
      </c>
      <c r="D37" s="11">
        <v>128.19999999999999</v>
      </c>
      <c r="E37" s="11">
        <v>24811.200000000001</v>
      </c>
      <c r="F37" s="11">
        <f t="shared" si="0"/>
        <v>24683</v>
      </c>
      <c r="G37" s="11">
        <f t="shared" si="1"/>
        <v>19353.510140405619</v>
      </c>
    </row>
    <row r="38" spans="1:7" x14ac:dyDescent="0.25">
      <c r="A38" s="92" t="s">
        <v>71</v>
      </c>
      <c r="B38" s="92"/>
      <c r="C38" s="11">
        <f>C37+C30</f>
        <v>11912</v>
      </c>
      <c r="D38" s="11">
        <f t="shared" ref="D38:E38" si="2">D37+D30</f>
        <v>11784.400000000001</v>
      </c>
      <c r="E38" s="11">
        <f t="shared" si="2"/>
        <v>26354.799999999999</v>
      </c>
      <c r="F38" s="11">
        <f t="shared" si="0"/>
        <v>14570.399999999998</v>
      </c>
      <c r="G38" s="11">
        <f t="shared" si="1"/>
        <v>223.64142425579576</v>
      </c>
    </row>
    <row r="39" spans="1:7" x14ac:dyDescent="0.25">
      <c r="A39" s="4"/>
      <c r="B39" s="5"/>
      <c r="C39" s="5"/>
      <c r="D39" s="5"/>
      <c r="E39" s="5"/>
      <c r="F39" s="5"/>
      <c r="G39" s="5"/>
    </row>
    <row r="40" spans="1:7" x14ac:dyDescent="0.25">
      <c r="A40" s="4"/>
      <c r="B40" s="5"/>
      <c r="C40" s="5"/>
      <c r="D40" s="5"/>
      <c r="E40" s="5"/>
      <c r="F40" s="5"/>
      <c r="G40" s="5"/>
    </row>
  </sheetData>
  <mergeCells count="8">
    <mergeCell ref="A37:B37"/>
    <mergeCell ref="A38:B38"/>
    <mergeCell ref="A2:G2"/>
    <mergeCell ref="A3:G3"/>
    <mergeCell ref="A4:G4"/>
    <mergeCell ref="A7:A8"/>
    <mergeCell ref="B7:B8"/>
    <mergeCell ref="C7:G7"/>
  </mergeCells>
  <pageMargins left="0.59055118110236227" right="0.59055118110236227" top="0.39370078740157483" bottom="0.39370078740157483" header="0" footer="0"/>
  <pageSetup paperSize="9" scale="65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7A7B-E8C0-4781-AA54-2A2BFEB5DBD3}">
  <dimension ref="A2:H52"/>
  <sheetViews>
    <sheetView workbookViewId="0">
      <selection activeCell="P8" sqref="P8"/>
    </sheetView>
  </sheetViews>
  <sheetFormatPr defaultRowHeight="12.75" x14ac:dyDescent="0.2"/>
  <cols>
    <col min="1" max="1" width="12.7109375" style="16" customWidth="1"/>
    <col min="2" max="2" width="50.7109375" style="17" customWidth="1"/>
    <col min="3" max="8" width="15.7109375" style="15" customWidth="1"/>
    <col min="9" max="246" width="9.140625" style="15"/>
    <col min="247" max="247" width="12.7109375" style="15" customWidth="1"/>
    <col min="248" max="248" width="50.7109375" style="15" customWidth="1"/>
    <col min="249" max="262" width="15.7109375" style="15" customWidth="1"/>
    <col min="263" max="502" width="9.140625" style="15"/>
    <col min="503" max="503" width="12.7109375" style="15" customWidth="1"/>
    <col min="504" max="504" width="50.7109375" style="15" customWidth="1"/>
    <col min="505" max="518" width="15.7109375" style="15" customWidth="1"/>
    <col min="519" max="758" width="9.140625" style="15"/>
    <col min="759" max="759" width="12.7109375" style="15" customWidth="1"/>
    <col min="760" max="760" width="50.7109375" style="15" customWidth="1"/>
    <col min="761" max="774" width="15.7109375" style="15" customWidth="1"/>
    <col min="775" max="1014" width="9.140625" style="15"/>
    <col min="1015" max="1015" width="12.7109375" style="15" customWidth="1"/>
    <col min="1016" max="1016" width="50.7109375" style="15" customWidth="1"/>
    <col min="1017" max="1030" width="15.7109375" style="15" customWidth="1"/>
    <col min="1031" max="1270" width="9.140625" style="15"/>
    <col min="1271" max="1271" width="12.7109375" style="15" customWidth="1"/>
    <col min="1272" max="1272" width="50.7109375" style="15" customWidth="1"/>
    <col min="1273" max="1286" width="15.7109375" style="15" customWidth="1"/>
    <col min="1287" max="1526" width="9.140625" style="15"/>
    <col min="1527" max="1527" width="12.7109375" style="15" customWidth="1"/>
    <col min="1528" max="1528" width="50.7109375" style="15" customWidth="1"/>
    <col min="1529" max="1542" width="15.7109375" style="15" customWidth="1"/>
    <col min="1543" max="1782" width="9.140625" style="15"/>
    <col min="1783" max="1783" width="12.7109375" style="15" customWidth="1"/>
    <col min="1784" max="1784" width="50.7109375" style="15" customWidth="1"/>
    <col min="1785" max="1798" width="15.7109375" style="15" customWidth="1"/>
    <col min="1799" max="2038" width="9.140625" style="15"/>
    <col min="2039" max="2039" width="12.7109375" style="15" customWidth="1"/>
    <col min="2040" max="2040" width="50.7109375" style="15" customWidth="1"/>
    <col min="2041" max="2054" width="15.7109375" style="15" customWidth="1"/>
    <col min="2055" max="2294" width="9.140625" style="15"/>
    <col min="2295" max="2295" width="12.7109375" style="15" customWidth="1"/>
    <col min="2296" max="2296" width="50.7109375" style="15" customWidth="1"/>
    <col min="2297" max="2310" width="15.7109375" style="15" customWidth="1"/>
    <col min="2311" max="2550" width="9.140625" style="15"/>
    <col min="2551" max="2551" width="12.7109375" style="15" customWidth="1"/>
    <col min="2552" max="2552" width="50.7109375" style="15" customWidth="1"/>
    <col min="2553" max="2566" width="15.7109375" style="15" customWidth="1"/>
    <col min="2567" max="2806" width="9.140625" style="15"/>
    <col min="2807" max="2807" width="12.7109375" style="15" customWidth="1"/>
    <col min="2808" max="2808" width="50.7109375" style="15" customWidth="1"/>
    <col min="2809" max="2822" width="15.7109375" style="15" customWidth="1"/>
    <col min="2823" max="3062" width="9.140625" style="15"/>
    <col min="3063" max="3063" width="12.7109375" style="15" customWidth="1"/>
    <col min="3064" max="3064" width="50.7109375" style="15" customWidth="1"/>
    <col min="3065" max="3078" width="15.7109375" style="15" customWidth="1"/>
    <col min="3079" max="3318" width="9.140625" style="15"/>
    <col min="3319" max="3319" width="12.7109375" style="15" customWidth="1"/>
    <col min="3320" max="3320" width="50.7109375" style="15" customWidth="1"/>
    <col min="3321" max="3334" width="15.7109375" style="15" customWidth="1"/>
    <col min="3335" max="3574" width="9.140625" style="15"/>
    <col min="3575" max="3575" width="12.7109375" style="15" customWidth="1"/>
    <col min="3576" max="3576" width="50.7109375" style="15" customWidth="1"/>
    <col min="3577" max="3590" width="15.7109375" style="15" customWidth="1"/>
    <col min="3591" max="3830" width="9.140625" style="15"/>
    <col min="3831" max="3831" width="12.7109375" style="15" customWidth="1"/>
    <col min="3832" max="3832" width="50.7109375" style="15" customWidth="1"/>
    <col min="3833" max="3846" width="15.7109375" style="15" customWidth="1"/>
    <col min="3847" max="4086" width="9.140625" style="15"/>
    <col min="4087" max="4087" width="12.7109375" style="15" customWidth="1"/>
    <col min="4088" max="4088" width="50.7109375" style="15" customWidth="1"/>
    <col min="4089" max="4102" width="15.7109375" style="15" customWidth="1"/>
    <col min="4103" max="4342" width="9.140625" style="15"/>
    <col min="4343" max="4343" width="12.7109375" style="15" customWidth="1"/>
    <col min="4344" max="4344" width="50.7109375" style="15" customWidth="1"/>
    <col min="4345" max="4358" width="15.7109375" style="15" customWidth="1"/>
    <col min="4359" max="4598" width="9.140625" style="15"/>
    <col min="4599" max="4599" width="12.7109375" style="15" customWidth="1"/>
    <col min="4600" max="4600" width="50.7109375" style="15" customWidth="1"/>
    <col min="4601" max="4614" width="15.7109375" style="15" customWidth="1"/>
    <col min="4615" max="4854" width="9.140625" style="15"/>
    <col min="4855" max="4855" width="12.7109375" style="15" customWidth="1"/>
    <col min="4856" max="4856" width="50.7109375" style="15" customWidth="1"/>
    <col min="4857" max="4870" width="15.7109375" style="15" customWidth="1"/>
    <col min="4871" max="5110" width="9.140625" style="15"/>
    <col min="5111" max="5111" width="12.7109375" style="15" customWidth="1"/>
    <col min="5112" max="5112" width="50.7109375" style="15" customWidth="1"/>
    <col min="5113" max="5126" width="15.7109375" style="15" customWidth="1"/>
    <col min="5127" max="5366" width="9.140625" style="15"/>
    <col min="5367" max="5367" width="12.7109375" style="15" customWidth="1"/>
    <col min="5368" max="5368" width="50.7109375" style="15" customWidth="1"/>
    <col min="5369" max="5382" width="15.7109375" style="15" customWidth="1"/>
    <col min="5383" max="5622" width="9.140625" style="15"/>
    <col min="5623" max="5623" width="12.7109375" style="15" customWidth="1"/>
    <col min="5624" max="5624" width="50.7109375" style="15" customWidth="1"/>
    <col min="5625" max="5638" width="15.7109375" style="15" customWidth="1"/>
    <col min="5639" max="5878" width="9.140625" style="15"/>
    <col min="5879" max="5879" width="12.7109375" style="15" customWidth="1"/>
    <col min="5880" max="5880" width="50.7109375" style="15" customWidth="1"/>
    <col min="5881" max="5894" width="15.7109375" style="15" customWidth="1"/>
    <col min="5895" max="6134" width="9.140625" style="15"/>
    <col min="6135" max="6135" width="12.7109375" style="15" customWidth="1"/>
    <col min="6136" max="6136" width="50.7109375" style="15" customWidth="1"/>
    <col min="6137" max="6150" width="15.7109375" style="15" customWidth="1"/>
    <col min="6151" max="6390" width="9.140625" style="15"/>
    <col min="6391" max="6391" width="12.7109375" style="15" customWidth="1"/>
    <col min="6392" max="6392" width="50.7109375" style="15" customWidth="1"/>
    <col min="6393" max="6406" width="15.7109375" style="15" customWidth="1"/>
    <col min="6407" max="6646" width="9.140625" style="15"/>
    <col min="6647" max="6647" width="12.7109375" style="15" customWidth="1"/>
    <col min="6648" max="6648" width="50.7109375" style="15" customWidth="1"/>
    <col min="6649" max="6662" width="15.7109375" style="15" customWidth="1"/>
    <col min="6663" max="6902" width="9.140625" style="15"/>
    <col min="6903" max="6903" width="12.7109375" style="15" customWidth="1"/>
    <col min="6904" max="6904" width="50.7109375" style="15" customWidth="1"/>
    <col min="6905" max="6918" width="15.7109375" style="15" customWidth="1"/>
    <col min="6919" max="7158" width="9.140625" style="15"/>
    <col min="7159" max="7159" width="12.7109375" style="15" customWidth="1"/>
    <col min="7160" max="7160" width="50.7109375" style="15" customWidth="1"/>
    <col min="7161" max="7174" width="15.7109375" style="15" customWidth="1"/>
    <col min="7175" max="7414" width="9.140625" style="15"/>
    <col min="7415" max="7415" width="12.7109375" style="15" customWidth="1"/>
    <col min="7416" max="7416" width="50.7109375" style="15" customWidth="1"/>
    <col min="7417" max="7430" width="15.7109375" style="15" customWidth="1"/>
    <col min="7431" max="7670" width="9.140625" style="15"/>
    <col min="7671" max="7671" width="12.7109375" style="15" customWidth="1"/>
    <col min="7672" max="7672" width="50.7109375" style="15" customWidth="1"/>
    <col min="7673" max="7686" width="15.7109375" style="15" customWidth="1"/>
    <col min="7687" max="7926" width="9.140625" style="15"/>
    <col min="7927" max="7927" width="12.7109375" style="15" customWidth="1"/>
    <col min="7928" max="7928" width="50.7109375" style="15" customWidth="1"/>
    <col min="7929" max="7942" width="15.7109375" style="15" customWidth="1"/>
    <col min="7943" max="8182" width="9.140625" style="15"/>
    <col min="8183" max="8183" width="12.7109375" style="15" customWidth="1"/>
    <col min="8184" max="8184" width="50.7109375" style="15" customWidth="1"/>
    <col min="8185" max="8198" width="15.7109375" style="15" customWidth="1"/>
    <col min="8199" max="8438" width="9.140625" style="15"/>
    <col min="8439" max="8439" width="12.7109375" style="15" customWidth="1"/>
    <col min="8440" max="8440" width="50.7109375" style="15" customWidth="1"/>
    <col min="8441" max="8454" width="15.7109375" style="15" customWidth="1"/>
    <col min="8455" max="8694" width="9.140625" style="15"/>
    <col min="8695" max="8695" width="12.7109375" style="15" customWidth="1"/>
    <col min="8696" max="8696" width="50.7109375" style="15" customWidth="1"/>
    <col min="8697" max="8710" width="15.7109375" style="15" customWidth="1"/>
    <col min="8711" max="8950" width="9.140625" style="15"/>
    <col min="8951" max="8951" width="12.7109375" style="15" customWidth="1"/>
    <col min="8952" max="8952" width="50.7109375" style="15" customWidth="1"/>
    <col min="8953" max="8966" width="15.7109375" style="15" customWidth="1"/>
    <col min="8967" max="9206" width="9.140625" style="15"/>
    <col min="9207" max="9207" width="12.7109375" style="15" customWidth="1"/>
    <col min="9208" max="9208" width="50.7109375" style="15" customWidth="1"/>
    <col min="9209" max="9222" width="15.7109375" style="15" customWidth="1"/>
    <col min="9223" max="9462" width="9.140625" style="15"/>
    <col min="9463" max="9463" width="12.7109375" style="15" customWidth="1"/>
    <col min="9464" max="9464" width="50.7109375" style="15" customWidth="1"/>
    <col min="9465" max="9478" width="15.7109375" style="15" customWidth="1"/>
    <col min="9479" max="9718" width="9.140625" style="15"/>
    <col min="9719" max="9719" width="12.7109375" style="15" customWidth="1"/>
    <col min="9720" max="9720" width="50.7109375" style="15" customWidth="1"/>
    <col min="9721" max="9734" width="15.7109375" style="15" customWidth="1"/>
    <col min="9735" max="9974" width="9.140625" style="15"/>
    <col min="9975" max="9975" width="12.7109375" style="15" customWidth="1"/>
    <col min="9976" max="9976" width="50.7109375" style="15" customWidth="1"/>
    <col min="9977" max="9990" width="15.7109375" style="15" customWidth="1"/>
    <col min="9991" max="10230" width="9.140625" style="15"/>
    <col min="10231" max="10231" width="12.7109375" style="15" customWidth="1"/>
    <col min="10232" max="10232" width="50.7109375" style="15" customWidth="1"/>
    <col min="10233" max="10246" width="15.7109375" style="15" customWidth="1"/>
    <col min="10247" max="10486" width="9.140625" style="15"/>
    <col min="10487" max="10487" width="12.7109375" style="15" customWidth="1"/>
    <col min="10488" max="10488" width="50.7109375" style="15" customWidth="1"/>
    <col min="10489" max="10502" width="15.7109375" style="15" customWidth="1"/>
    <col min="10503" max="10742" width="9.140625" style="15"/>
    <col min="10743" max="10743" width="12.7109375" style="15" customWidth="1"/>
    <col min="10744" max="10744" width="50.7109375" style="15" customWidth="1"/>
    <col min="10745" max="10758" width="15.7109375" style="15" customWidth="1"/>
    <col min="10759" max="10998" width="9.140625" style="15"/>
    <col min="10999" max="10999" width="12.7109375" style="15" customWidth="1"/>
    <col min="11000" max="11000" width="50.7109375" style="15" customWidth="1"/>
    <col min="11001" max="11014" width="15.7109375" style="15" customWidth="1"/>
    <col min="11015" max="11254" width="9.140625" style="15"/>
    <col min="11255" max="11255" width="12.7109375" style="15" customWidth="1"/>
    <col min="11256" max="11256" width="50.7109375" style="15" customWidth="1"/>
    <col min="11257" max="11270" width="15.7109375" style="15" customWidth="1"/>
    <col min="11271" max="11510" width="9.140625" style="15"/>
    <col min="11511" max="11511" width="12.7109375" style="15" customWidth="1"/>
    <col min="11512" max="11512" width="50.7109375" style="15" customWidth="1"/>
    <col min="11513" max="11526" width="15.7109375" style="15" customWidth="1"/>
    <col min="11527" max="11766" width="9.140625" style="15"/>
    <col min="11767" max="11767" width="12.7109375" style="15" customWidth="1"/>
    <col min="11768" max="11768" width="50.7109375" style="15" customWidth="1"/>
    <col min="11769" max="11782" width="15.7109375" style="15" customWidth="1"/>
    <col min="11783" max="12022" width="9.140625" style="15"/>
    <col min="12023" max="12023" width="12.7109375" style="15" customWidth="1"/>
    <col min="12024" max="12024" width="50.7109375" style="15" customWidth="1"/>
    <col min="12025" max="12038" width="15.7109375" style="15" customWidth="1"/>
    <col min="12039" max="12278" width="9.140625" style="15"/>
    <col min="12279" max="12279" width="12.7109375" style="15" customWidth="1"/>
    <col min="12280" max="12280" width="50.7109375" style="15" customWidth="1"/>
    <col min="12281" max="12294" width="15.7109375" style="15" customWidth="1"/>
    <col min="12295" max="12534" width="9.140625" style="15"/>
    <col min="12535" max="12535" width="12.7109375" style="15" customWidth="1"/>
    <col min="12536" max="12536" width="50.7109375" style="15" customWidth="1"/>
    <col min="12537" max="12550" width="15.7109375" style="15" customWidth="1"/>
    <col min="12551" max="12790" width="9.140625" style="15"/>
    <col min="12791" max="12791" width="12.7109375" style="15" customWidth="1"/>
    <col min="12792" max="12792" width="50.7109375" style="15" customWidth="1"/>
    <col min="12793" max="12806" width="15.7109375" style="15" customWidth="1"/>
    <col min="12807" max="13046" width="9.140625" style="15"/>
    <col min="13047" max="13047" width="12.7109375" style="15" customWidth="1"/>
    <col min="13048" max="13048" width="50.7109375" style="15" customWidth="1"/>
    <col min="13049" max="13062" width="15.7109375" style="15" customWidth="1"/>
    <col min="13063" max="13302" width="9.140625" style="15"/>
    <col min="13303" max="13303" width="12.7109375" style="15" customWidth="1"/>
    <col min="13304" max="13304" width="50.7109375" style="15" customWidth="1"/>
    <col min="13305" max="13318" width="15.7109375" style="15" customWidth="1"/>
    <col min="13319" max="13558" width="9.140625" style="15"/>
    <col min="13559" max="13559" width="12.7109375" style="15" customWidth="1"/>
    <col min="13560" max="13560" width="50.7109375" style="15" customWidth="1"/>
    <col min="13561" max="13574" width="15.7109375" style="15" customWidth="1"/>
    <col min="13575" max="13814" width="9.140625" style="15"/>
    <col min="13815" max="13815" width="12.7109375" style="15" customWidth="1"/>
    <col min="13816" max="13816" width="50.7109375" style="15" customWidth="1"/>
    <col min="13817" max="13830" width="15.7109375" style="15" customWidth="1"/>
    <col min="13831" max="14070" width="9.140625" style="15"/>
    <col min="14071" max="14071" width="12.7109375" style="15" customWidth="1"/>
    <col min="14072" max="14072" width="50.7109375" style="15" customWidth="1"/>
    <col min="14073" max="14086" width="15.7109375" style="15" customWidth="1"/>
    <col min="14087" max="14326" width="9.140625" style="15"/>
    <col min="14327" max="14327" width="12.7109375" style="15" customWidth="1"/>
    <col min="14328" max="14328" width="50.7109375" style="15" customWidth="1"/>
    <col min="14329" max="14342" width="15.7109375" style="15" customWidth="1"/>
    <col min="14343" max="14582" width="9.140625" style="15"/>
    <col min="14583" max="14583" width="12.7109375" style="15" customWidth="1"/>
    <col min="14584" max="14584" width="50.7109375" style="15" customWidth="1"/>
    <col min="14585" max="14598" width="15.7109375" style="15" customWidth="1"/>
    <col min="14599" max="14838" width="9.140625" style="15"/>
    <col min="14839" max="14839" width="12.7109375" style="15" customWidth="1"/>
    <col min="14840" max="14840" width="50.7109375" style="15" customWidth="1"/>
    <col min="14841" max="14854" width="15.7109375" style="15" customWidth="1"/>
    <col min="14855" max="15094" width="9.140625" style="15"/>
    <col min="15095" max="15095" width="12.7109375" style="15" customWidth="1"/>
    <col min="15096" max="15096" width="50.7109375" style="15" customWidth="1"/>
    <col min="15097" max="15110" width="15.7109375" style="15" customWidth="1"/>
    <col min="15111" max="15350" width="9.140625" style="15"/>
    <col min="15351" max="15351" width="12.7109375" style="15" customWidth="1"/>
    <col min="15352" max="15352" width="50.7109375" style="15" customWidth="1"/>
    <col min="15353" max="15366" width="15.7109375" style="15" customWidth="1"/>
    <col min="15367" max="15606" width="9.140625" style="15"/>
    <col min="15607" max="15607" width="12.7109375" style="15" customWidth="1"/>
    <col min="15608" max="15608" width="50.7109375" style="15" customWidth="1"/>
    <col min="15609" max="15622" width="15.7109375" style="15" customWidth="1"/>
    <col min="15623" max="15862" width="9.140625" style="15"/>
    <col min="15863" max="15863" width="12.7109375" style="15" customWidth="1"/>
    <col min="15864" max="15864" width="50.7109375" style="15" customWidth="1"/>
    <col min="15865" max="15878" width="15.7109375" style="15" customWidth="1"/>
    <col min="15879" max="16118" width="9.140625" style="15"/>
    <col min="16119" max="16119" width="12.7109375" style="15" customWidth="1"/>
    <col min="16120" max="16120" width="50.7109375" style="15" customWidth="1"/>
    <col min="16121" max="16134" width="15.7109375" style="15" customWidth="1"/>
    <col min="16135" max="16384" width="9.140625" style="15"/>
  </cols>
  <sheetData>
    <row r="2" spans="1:8" ht="15.75" x14ac:dyDescent="0.25">
      <c r="A2" s="97" t="s">
        <v>95</v>
      </c>
      <c r="B2" s="97"/>
      <c r="C2" s="97"/>
      <c r="D2" s="97"/>
      <c r="E2" s="97"/>
      <c r="F2" s="97"/>
      <c r="G2" s="97"/>
      <c r="H2" s="97"/>
    </row>
    <row r="3" spans="1:8" ht="15.75" x14ac:dyDescent="0.2">
      <c r="A3" s="96" t="s">
        <v>215</v>
      </c>
      <c r="B3" s="96"/>
      <c r="C3" s="96"/>
      <c r="D3" s="96"/>
      <c r="E3" s="96"/>
      <c r="F3" s="96"/>
      <c r="G3" s="96"/>
      <c r="H3" s="96"/>
    </row>
    <row r="4" spans="1:8" ht="15.75" x14ac:dyDescent="0.25">
      <c r="A4" s="97" t="s">
        <v>73</v>
      </c>
      <c r="B4" s="97"/>
      <c r="C4" s="97"/>
      <c r="D4" s="97"/>
      <c r="E4" s="97"/>
      <c r="F4" s="97"/>
      <c r="G4" s="97"/>
      <c r="H4" s="97"/>
    </row>
    <row r="5" spans="1:8" x14ac:dyDescent="0.2">
      <c r="G5" s="78" t="s">
        <v>68</v>
      </c>
      <c r="H5" s="78"/>
    </row>
    <row r="6" spans="1:8" s="18" customFormat="1" ht="71.25" x14ac:dyDescent="0.2">
      <c r="A6" s="22" t="s">
        <v>96</v>
      </c>
      <c r="B6" s="22" t="s">
        <v>97</v>
      </c>
      <c r="C6" s="22" t="s">
        <v>98</v>
      </c>
      <c r="D6" s="22" t="s">
        <v>99</v>
      </c>
      <c r="E6" s="22" t="s">
        <v>100</v>
      </c>
      <c r="F6" s="22" t="s">
        <v>101</v>
      </c>
      <c r="G6" s="22" t="s">
        <v>102</v>
      </c>
      <c r="H6" s="22" t="s">
        <v>103</v>
      </c>
    </row>
    <row r="7" spans="1:8" ht="14.25" x14ac:dyDescent="0.2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G7" s="22">
        <v>7</v>
      </c>
      <c r="H7" s="22">
        <v>8</v>
      </c>
    </row>
    <row r="8" spans="1:8" ht="68.25" customHeight="1" x14ac:dyDescent="0.2">
      <c r="A8" s="23" t="s">
        <v>104</v>
      </c>
      <c r="B8" s="24" t="s">
        <v>105</v>
      </c>
      <c r="C8" s="25">
        <v>52933.913</v>
      </c>
      <c r="D8" s="25">
        <v>27561.326000000001</v>
      </c>
      <c r="E8" s="25">
        <v>16745.007410000002</v>
      </c>
      <c r="F8" s="26">
        <f t="shared" ref="F8:F42" si="0">C8-E8</f>
        <v>36188.905589999995</v>
      </c>
      <c r="G8" s="26">
        <f t="shared" ref="G8:G42" si="1">D8-E8</f>
        <v>10816.318589999999</v>
      </c>
      <c r="H8" s="26">
        <f t="shared" ref="H8:H42" si="2">IF(D8=0,0,(E8/D8)*100)</f>
        <v>60.755449175413411</v>
      </c>
    </row>
    <row r="9" spans="1:8" ht="45" x14ac:dyDescent="0.2">
      <c r="A9" s="23" t="s">
        <v>106</v>
      </c>
      <c r="B9" s="24" t="s">
        <v>107</v>
      </c>
      <c r="C9" s="25">
        <v>29751.903000000002</v>
      </c>
      <c r="D9" s="25">
        <v>19735.661999999997</v>
      </c>
      <c r="E9" s="25">
        <v>14024.191589999999</v>
      </c>
      <c r="F9" s="26">
        <f t="shared" si="0"/>
        <v>15727.711410000004</v>
      </c>
      <c r="G9" s="26">
        <f t="shared" si="1"/>
        <v>5711.4704099999981</v>
      </c>
      <c r="H9" s="26">
        <f t="shared" si="2"/>
        <v>71.060152884661292</v>
      </c>
    </row>
    <row r="10" spans="1:8" ht="45" x14ac:dyDescent="0.2">
      <c r="A10" s="23" t="s">
        <v>108</v>
      </c>
      <c r="B10" s="24" t="s">
        <v>109</v>
      </c>
      <c r="C10" s="25">
        <v>40191.9</v>
      </c>
      <c r="D10" s="25">
        <v>35979.700000000004</v>
      </c>
      <c r="E10" s="25">
        <v>35007.125910000002</v>
      </c>
      <c r="F10" s="26">
        <f t="shared" si="0"/>
        <v>5184.774089999999</v>
      </c>
      <c r="G10" s="26">
        <f t="shared" si="1"/>
        <v>972.57409000000189</v>
      </c>
      <c r="H10" s="26">
        <f t="shared" si="2"/>
        <v>97.296881046812501</v>
      </c>
    </row>
    <row r="11" spans="1:8" ht="75" x14ac:dyDescent="0.2">
      <c r="A11" s="23" t="s">
        <v>110</v>
      </c>
      <c r="B11" s="24" t="s">
        <v>111</v>
      </c>
      <c r="C11" s="25">
        <v>161</v>
      </c>
      <c r="D11" s="25">
        <v>161</v>
      </c>
      <c r="E11" s="25">
        <v>160.98211000000001</v>
      </c>
      <c r="F11" s="26">
        <f t="shared" si="0"/>
        <v>1.7889999999994188E-2</v>
      </c>
      <c r="G11" s="26">
        <f t="shared" si="1"/>
        <v>1.7889999999994188E-2</v>
      </c>
      <c r="H11" s="26">
        <f t="shared" si="2"/>
        <v>99.988888198757763</v>
      </c>
    </row>
    <row r="12" spans="1:8" ht="45" x14ac:dyDescent="0.2">
      <c r="A12" s="23" t="s">
        <v>112</v>
      </c>
      <c r="B12" s="24" t="s">
        <v>113</v>
      </c>
      <c r="C12" s="25">
        <v>5729</v>
      </c>
      <c r="D12" s="25">
        <v>5729</v>
      </c>
      <c r="E12" s="25">
        <v>4851.2597300000007</v>
      </c>
      <c r="F12" s="26">
        <f t="shared" si="0"/>
        <v>877.74026999999933</v>
      </c>
      <c r="G12" s="26">
        <f t="shared" si="1"/>
        <v>877.74026999999933</v>
      </c>
      <c r="H12" s="26">
        <f t="shared" si="2"/>
        <v>84.678996858090429</v>
      </c>
    </row>
    <row r="13" spans="1:8" ht="45" x14ac:dyDescent="0.2">
      <c r="A13" s="23" t="s">
        <v>218</v>
      </c>
      <c r="B13" s="24" t="s">
        <v>219</v>
      </c>
      <c r="C13" s="25">
        <v>2060.1999999999998</v>
      </c>
      <c r="D13" s="25">
        <v>2060.1999999999998</v>
      </c>
      <c r="E13" s="25">
        <v>1288.2540000000001</v>
      </c>
      <c r="F13" s="26">
        <f t="shared" si="0"/>
        <v>771.94599999999969</v>
      </c>
      <c r="G13" s="26">
        <f t="shared" si="1"/>
        <v>771.94599999999969</v>
      </c>
      <c r="H13" s="26">
        <f t="shared" si="2"/>
        <v>62.530531016406186</v>
      </c>
    </row>
    <row r="14" spans="1:8" ht="30" x14ac:dyDescent="0.2">
      <c r="A14" s="23" t="s">
        <v>114</v>
      </c>
      <c r="B14" s="24" t="s">
        <v>115</v>
      </c>
      <c r="C14" s="25">
        <v>4000.2550000000001</v>
      </c>
      <c r="D14" s="25">
        <v>4000.2550000000001</v>
      </c>
      <c r="E14" s="25">
        <v>2703.4963299999999</v>
      </c>
      <c r="F14" s="26">
        <f t="shared" si="0"/>
        <v>1296.7586700000002</v>
      </c>
      <c r="G14" s="26">
        <f t="shared" si="1"/>
        <v>1296.7586700000002</v>
      </c>
      <c r="H14" s="26">
        <f t="shared" si="2"/>
        <v>67.583099827386008</v>
      </c>
    </row>
    <row r="15" spans="1:8" ht="30" x14ac:dyDescent="0.2">
      <c r="A15" s="23" t="s">
        <v>116</v>
      </c>
      <c r="B15" s="24" t="s">
        <v>117</v>
      </c>
      <c r="C15" s="25">
        <v>640.26</v>
      </c>
      <c r="D15" s="25">
        <v>640.26</v>
      </c>
      <c r="E15" s="25">
        <v>626.33736999999996</v>
      </c>
      <c r="F15" s="26">
        <f t="shared" si="0"/>
        <v>13.922630000000026</v>
      </c>
      <c r="G15" s="26">
        <f t="shared" si="1"/>
        <v>13.922630000000026</v>
      </c>
      <c r="H15" s="26">
        <f t="shared" si="2"/>
        <v>97.825472464311375</v>
      </c>
    </row>
    <row r="16" spans="1:8" ht="15" x14ac:dyDescent="0.2">
      <c r="A16" s="23" t="s">
        <v>165</v>
      </c>
      <c r="B16" s="24" t="s">
        <v>166</v>
      </c>
      <c r="C16" s="25">
        <v>4206.8730000000005</v>
      </c>
      <c r="D16" s="25">
        <v>4206.8730000000005</v>
      </c>
      <c r="E16" s="25">
        <v>1365.1763000000001</v>
      </c>
      <c r="F16" s="26">
        <f t="shared" si="0"/>
        <v>2841.6967000000004</v>
      </c>
      <c r="G16" s="26">
        <f t="shared" si="1"/>
        <v>2841.6967000000004</v>
      </c>
      <c r="H16" s="26">
        <f t="shared" si="2"/>
        <v>32.451093722106656</v>
      </c>
    </row>
    <row r="17" spans="1:8" ht="30" x14ac:dyDescent="0.2">
      <c r="A17" s="23" t="s">
        <v>118</v>
      </c>
      <c r="B17" s="24" t="s">
        <v>119</v>
      </c>
      <c r="C17" s="25">
        <v>60</v>
      </c>
      <c r="D17" s="25">
        <v>60</v>
      </c>
      <c r="E17" s="25">
        <v>0</v>
      </c>
      <c r="F17" s="26">
        <f t="shared" si="0"/>
        <v>60</v>
      </c>
      <c r="G17" s="26">
        <f t="shared" si="1"/>
        <v>60</v>
      </c>
      <c r="H17" s="26">
        <f t="shared" si="2"/>
        <v>0</v>
      </c>
    </row>
    <row r="18" spans="1:8" ht="30" x14ac:dyDescent="0.2">
      <c r="A18" s="23" t="s">
        <v>120</v>
      </c>
      <c r="B18" s="24" t="s">
        <v>121</v>
      </c>
      <c r="C18" s="25">
        <v>30</v>
      </c>
      <c r="D18" s="25">
        <v>30</v>
      </c>
      <c r="E18" s="25">
        <v>0</v>
      </c>
      <c r="F18" s="26">
        <f t="shared" si="0"/>
        <v>30</v>
      </c>
      <c r="G18" s="26">
        <f t="shared" si="1"/>
        <v>30</v>
      </c>
      <c r="H18" s="26">
        <f t="shared" si="2"/>
        <v>0</v>
      </c>
    </row>
    <row r="19" spans="1:8" ht="60" x14ac:dyDescent="0.2">
      <c r="A19" s="23" t="s">
        <v>122</v>
      </c>
      <c r="B19" s="24" t="s">
        <v>123</v>
      </c>
      <c r="C19" s="25">
        <v>370</v>
      </c>
      <c r="D19" s="25">
        <v>370</v>
      </c>
      <c r="E19" s="25">
        <v>0</v>
      </c>
      <c r="F19" s="26">
        <f t="shared" si="0"/>
        <v>370</v>
      </c>
      <c r="G19" s="26">
        <f t="shared" si="1"/>
        <v>370</v>
      </c>
      <c r="H19" s="26">
        <f t="shared" si="2"/>
        <v>0</v>
      </c>
    </row>
    <row r="20" spans="1:8" ht="75" x14ac:dyDescent="0.2">
      <c r="A20" s="23" t="s">
        <v>124</v>
      </c>
      <c r="B20" s="24" t="s">
        <v>125</v>
      </c>
      <c r="C20" s="25">
        <v>508.8</v>
      </c>
      <c r="D20" s="25">
        <v>254.4</v>
      </c>
      <c r="E20" s="25">
        <v>87.234179999999995</v>
      </c>
      <c r="F20" s="26">
        <f t="shared" si="0"/>
        <v>421.56582000000003</v>
      </c>
      <c r="G20" s="26">
        <f t="shared" si="1"/>
        <v>167.16582</v>
      </c>
      <c r="H20" s="26">
        <f t="shared" si="2"/>
        <v>34.290165094339621</v>
      </c>
    </row>
    <row r="21" spans="1:8" ht="60" x14ac:dyDescent="0.2">
      <c r="A21" s="23" t="s">
        <v>126</v>
      </c>
      <c r="B21" s="24" t="s">
        <v>127</v>
      </c>
      <c r="C21" s="25">
        <v>1111.7760000000001</v>
      </c>
      <c r="D21" s="25">
        <v>555.88800000000003</v>
      </c>
      <c r="E21" s="25">
        <v>539.02743000000009</v>
      </c>
      <c r="F21" s="26">
        <f t="shared" si="0"/>
        <v>572.74856999999997</v>
      </c>
      <c r="G21" s="26">
        <f t="shared" si="1"/>
        <v>16.860569999999939</v>
      </c>
      <c r="H21" s="26">
        <f t="shared" si="2"/>
        <v>96.966912399620071</v>
      </c>
    </row>
    <row r="22" spans="1:8" ht="45" x14ac:dyDescent="0.2">
      <c r="A22" s="23" t="s">
        <v>128</v>
      </c>
      <c r="B22" s="24" t="s">
        <v>129</v>
      </c>
      <c r="C22" s="25">
        <v>15357.783000000001</v>
      </c>
      <c r="D22" s="25">
        <v>9261.4429999999993</v>
      </c>
      <c r="E22" s="25">
        <v>5587.2721100000017</v>
      </c>
      <c r="F22" s="26">
        <f t="shared" si="0"/>
        <v>9770.5108899999996</v>
      </c>
      <c r="G22" s="26">
        <f t="shared" si="1"/>
        <v>3674.1708899999976</v>
      </c>
      <c r="H22" s="26">
        <f t="shared" si="2"/>
        <v>60.328310717887071</v>
      </c>
    </row>
    <row r="23" spans="1:8" ht="30" x14ac:dyDescent="0.2">
      <c r="A23" s="23" t="s">
        <v>130</v>
      </c>
      <c r="B23" s="24" t="s">
        <v>220</v>
      </c>
      <c r="C23" s="25">
        <v>3590.2870000000003</v>
      </c>
      <c r="D23" s="25">
        <v>1901.085</v>
      </c>
      <c r="E23" s="25">
        <v>373.25200000000001</v>
      </c>
      <c r="F23" s="26">
        <f t="shared" si="0"/>
        <v>3217.0350000000003</v>
      </c>
      <c r="G23" s="26">
        <f t="shared" si="1"/>
        <v>1527.8330000000001</v>
      </c>
      <c r="H23" s="26">
        <f t="shared" si="2"/>
        <v>19.633630269030579</v>
      </c>
    </row>
    <row r="24" spans="1:8" ht="30" x14ac:dyDescent="0.2">
      <c r="A24" s="23" t="s">
        <v>131</v>
      </c>
      <c r="B24" s="24" t="s">
        <v>132</v>
      </c>
      <c r="C24" s="25">
        <v>12100.583000000001</v>
      </c>
      <c r="D24" s="25">
        <v>6388.8229999999994</v>
      </c>
      <c r="E24" s="25">
        <v>4971.1711500000001</v>
      </c>
      <c r="F24" s="26">
        <f t="shared" si="0"/>
        <v>7129.4118500000004</v>
      </c>
      <c r="G24" s="26">
        <f t="shared" si="1"/>
        <v>1417.6518499999993</v>
      </c>
      <c r="H24" s="26">
        <f t="shared" si="2"/>
        <v>77.810437853733006</v>
      </c>
    </row>
    <row r="25" spans="1:8" ht="45" x14ac:dyDescent="0.2">
      <c r="A25" s="23" t="s">
        <v>133</v>
      </c>
      <c r="B25" s="24" t="s">
        <v>134</v>
      </c>
      <c r="C25" s="25">
        <v>21727.891</v>
      </c>
      <c r="D25" s="25">
        <v>21727.891</v>
      </c>
      <c r="E25" s="25">
        <v>21605.9251</v>
      </c>
      <c r="F25" s="26">
        <f t="shared" si="0"/>
        <v>121.96589999999924</v>
      </c>
      <c r="G25" s="26">
        <f t="shared" si="1"/>
        <v>121.96589999999924</v>
      </c>
      <c r="H25" s="26">
        <f t="shared" si="2"/>
        <v>99.438666642795653</v>
      </c>
    </row>
    <row r="26" spans="1:8" ht="15" x14ac:dyDescent="0.2">
      <c r="A26" s="23" t="s">
        <v>135</v>
      </c>
      <c r="B26" s="24" t="s">
        <v>136</v>
      </c>
      <c r="C26" s="25">
        <v>38827.884000000005</v>
      </c>
      <c r="D26" s="25">
        <v>28521.934000000001</v>
      </c>
      <c r="E26" s="25">
        <v>21357.421700000003</v>
      </c>
      <c r="F26" s="26">
        <f t="shared" si="0"/>
        <v>17470.462300000003</v>
      </c>
      <c r="G26" s="26">
        <f t="shared" si="1"/>
        <v>7164.5122999999985</v>
      </c>
      <c r="H26" s="26">
        <f t="shared" si="2"/>
        <v>74.880692522463605</v>
      </c>
    </row>
    <row r="27" spans="1:8" ht="15" x14ac:dyDescent="0.2">
      <c r="A27" s="23" t="s">
        <v>137</v>
      </c>
      <c r="B27" s="24" t="s">
        <v>138</v>
      </c>
      <c r="C27" s="25">
        <v>298.99799999999999</v>
      </c>
      <c r="D27" s="25">
        <v>298.99799999999999</v>
      </c>
      <c r="E27" s="25">
        <v>99</v>
      </c>
      <c r="F27" s="26">
        <f t="shared" si="0"/>
        <v>199.99799999999999</v>
      </c>
      <c r="G27" s="26">
        <f t="shared" si="1"/>
        <v>199.99799999999999</v>
      </c>
      <c r="H27" s="26">
        <f t="shared" si="2"/>
        <v>33.110589368490764</v>
      </c>
    </row>
    <row r="28" spans="1:8" ht="45" x14ac:dyDescent="0.2">
      <c r="A28" s="101" t="s">
        <v>234</v>
      </c>
      <c r="B28" s="102" t="s">
        <v>235</v>
      </c>
      <c r="C28" s="25">
        <v>587.20000000000005</v>
      </c>
      <c r="D28" s="25">
        <v>587.20000000000005</v>
      </c>
      <c r="E28" s="25">
        <v>574.70000000000005</v>
      </c>
      <c r="F28" s="26">
        <f t="shared" si="0"/>
        <v>12.5</v>
      </c>
      <c r="G28" s="26">
        <f t="shared" si="1"/>
        <v>12.5</v>
      </c>
      <c r="H28" s="26">
        <f t="shared" si="2"/>
        <v>97.871253405994551</v>
      </c>
    </row>
    <row r="29" spans="1:8" ht="30" x14ac:dyDescent="0.2">
      <c r="A29" s="23" t="s">
        <v>139</v>
      </c>
      <c r="B29" s="24" t="s">
        <v>140</v>
      </c>
      <c r="C29" s="25">
        <v>138.62700000000001</v>
      </c>
      <c r="D29" s="25">
        <v>138.62700000000001</v>
      </c>
      <c r="E29" s="25">
        <v>78.453000000000003</v>
      </c>
      <c r="F29" s="26">
        <f t="shared" si="0"/>
        <v>60.174000000000007</v>
      </c>
      <c r="G29" s="26">
        <f t="shared" si="1"/>
        <v>60.174000000000007</v>
      </c>
      <c r="H29" s="26">
        <f t="shared" si="2"/>
        <v>56.592871518535347</v>
      </c>
    </row>
    <row r="30" spans="1:8" ht="15" x14ac:dyDescent="0.2">
      <c r="A30" s="23" t="s">
        <v>141</v>
      </c>
      <c r="B30" s="24" t="s">
        <v>142</v>
      </c>
      <c r="C30" s="25">
        <v>8075.2759999999998</v>
      </c>
      <c r="D30" s="25">
        <v>5553.5429999999997</v>
      </c>
      <c r="E30" s="25">
        <v>4090.4449800000002</v>
      </c>
      <c r="F30" s="26">
        <f t="shared" si="0"/>
        <v>3984.8310199999996</v>
      </c>
      <c r="G30" s="26">
        <f t="shared" si="1"/>
        <v>1463.0980199999995</v>
      </c>
      <c r="H30" s="26">
        <f t="shared" si="2"/>
        <v>73.654691788647369</v>
      </c>
    </row>
    <row r="31" spans="1:8" ht="30" x14ac:dyDescent="0.2">
      <c r="A31" s="23" t="s">
        <v>143</v>
      </c>
      <c r="B31" s="24" t="s">
        <v>144</v>
      </c>
      <c r="C31" s="25">
        <v>445</v>
      </c>
      <c r="D31" s="25">
        <v>0</v>
      </c>
      <c r="E31" s="25">
        <v>0</v>
      </c>
      <c r="F31" s="26">
        <f t="shared" si="0"/>
        <v>445</v>
      </c>
      <c r="G31" s="26">
        <f t="shared" si="1"/>
        <v>0</v>
      </c>
      <c r="H31" s="26">
        <f t="shared" si="2"/>
        <v>0</v>
      </c>
    </row>
    <row r="32" spans="1:8" ht="30" x14ac:dyDescent="0.2">
      <c r="A32" s="23" t="s">
        <v>145</v>
      </c>
      <c r="B32" s="24" t="s">
        <v>146</v>
      </c>
      <c r="C32" s="25">
        <v>9232.4009999999998</v>
      </c>
      <c r="D32" s="25">
        <v>5408.2110000000002</v>
      </c>
      <c r="E32" s="25">
        <v>4469.26037</v>
      </c>
      <c r="F32" s="26">
        <f t="shared" si="0"/>
        <v>4763.1406299999999</v>
      </c>
      <c r="G32" s="26">
        <f t="shared" si="1"/>
        <v>938.95063000000027</v>
      </c>
      <c r="H32" s="26">
        <f t="shared" si="2"/>
        <v>82.638424610282399</v>
      </c>
    </row>
    <row r="33" spans="1:8" ht="15" x14ac:dyDescent="0.2">
      <c r="A33" s="23" t="s">
        <v>147</v>
      </c>
      <c r="B33" s="24" t="s">
        <v>148</v>
      </c>
      <c r="C33" s="25">
        <v>526</v>
      </c>
      <c r="D33" s="25">
        <v>526</v>
      </c>
      <c r="E33" s="25">
        <v>93.75</v>
      </c>
      <c r="F33" s="26">
        <f t="shared" si="0"/>
        <v>432.25</v>
      </c>
      <c r="G33" s="26">
        <f t="shared" si="1"/>
        <v>432.25</v>
      </c>
      <c r="H33" s="26">
        <f t="shared" si="2"/>
        <v>17.823193916349812</v>
      </c>
    </row>
    <row r="34" spans="1:8" ht="15" x14ac:dyDescent="0.2">
      <c r="A34" s="23" t="s">
        <v>149</v>
      </c>
      <c r="B34" s="24" t="s">
        <v>150</v>
      </c>
      <c r="C34" s="25">
        <v>495.35</v>
      </c>
      <c r="D34" s="25">
        <v>495.35</v>
      </c>
      <c r="E34" s="25">
        <v>125.58</v>
      </c>
      <c r="F34" s="26">
        <f t="shared" si="0"/>
        <v>369.77000000000004</v>
      </c>
      <c r="G34" s="26">
        <f t="shared" si="1"/>
        <v>369.77000000000004</v>
      </c>
      <c r="H34" s="26">
        <f t="shared" si="2"/>
        <v>25.351771474714845</v>
      </c>
    </row>
    <row r="35" spans="1:8" ht="45" x14ac:dyDescent="0.2">
      <c r="A35" s="23" t="s">
        <v>152</v>
      </c>
      <c r="B35" s="24" t="s">
        <v>153</v>
      </c>
      <c r="C35" s="25">
        <v>3588.7660000000001</v>
      </c>
      <c r="D35" s="25">
        <v>3588.7660000000001</v>
      </c>
      <c r="E35" s="25">
        <v>3441.9</v>
      </c>
      <c r="F35" s="26">
        <f t="shared" si="0"/>
        <v>146.86599999999999</v>
      </c>
      <c r="G35" s="26">
        <f t="shared" si="1"/>
        <v>146.86599999999999</v>
      </c>
      <c r="H35" s="26">
        <f t="shared" si="2"/>
        <v>95.907618384703824</v>
      </c>
    </row>
    <row r="36" spans="1:8" ht="45" x14ac:dyDescent="0.2">
      <c r="A36" s="23" t="s">
        <v>154</v>
      </c>
      <c r="B36" s="24" t="s">
        <v>155</v>
      </c>
      <c r="C36" s="25">
        <v>2042.9059999999999</v>
      </c>
      <c r="D36" s="25">
        <v>959.08499999999992</v>
      </c>
      <c r="E36" s="25">
        <v>747.62229999999988</v>
      </c>
      <c r="F36" s="26">
        <f t="shared" si="0"/>
        <v>1295.2837</v>
      </c>
      <c r="G36" s="26">
        <f t="shared" si="1"/>
        <v>211.46270000000004</v>
      </c>
      <c r="H36" s="26">
        <f t="shared" si="2"/>
        <v>77.951620555008148</v>
      </c>
    </row>
    <row r="37" spans="1:8" ht="45" x14ac:dyDescent="0.2">
      <c r="A37" s="23" t="s">
        <v>156</v>
      </c>
      <c r="B37" s="24" t="s">
        <v>155</v>
      </c>
      <c r="C37" s="25">
        <v>10752.856000000003</v>
      </c>
      <c r="D37" s="25">
        <v>6418.2569999999996</v>
      </c>
      <c r="E37" s="25">
        <v>5434.0979900000002</v>
      </c>
      <c r="F37" s="26">
        <f t="shared" si="0"/>
        <v>5318.7580100000032</v>
      </c>
      <c r="G37" s="26">
        <f t="shared" si="1"/>
        <v>984.1590099999994</v>
      </c>
      <c r="H37" s="26">
        <f t="shared" si="2"/>
        <v>84.66625736551218</v>
      </c>
    </row>
    <row r="38" spans="1:8" ht="15" x14ac:dyDescent="0.2">
      <c r="A38" s="23" t="s">
        <v>157</v>
      </c>
      <c r="B38" s="24" t="s">
        <v>136</v>
      </c>
      <c r="C38" s="25">
        <v>3175</v>
      </c>
      <c r="D38" s="25">
        <v>1987</v>
      </c>
      <c r="E38" s="25">
        <v>1951.796</v>
      </c>
      <c r="F38" s="26">
        <f t="shared" si="0"/>
        <v>1223.204</v>
      </c>
      <c r="G38" s="26">
        <f t="shared" si="1"/>
        <v>35.203999999999951</v>
      </c>
      <c r="H38" s="26">
        <f t="shared" si="2"/>
        <v>98.228283844992461</v>
      </c>
    </row>
    <row r="39" spans="1:8" ht="30" x14ac:dyDescent="0.2">
      <c r="A39" s="23" t="s">
        <v>221</v>
      </c>
      <c r="B39" s="24" t="s">
        <v>222</v>
      </c>
      <c r="C39" s="25">
        <v>600</v>
      </c>
      <c r="D39" s="25">
        <v>600</v>
      </c>
      <c r="E39" s="25">
        <v>299.67450000000002</v>
      </c>
      <c r="F39" s="26">
        <f t="shared" si="0"/>
        <v>300.32549999999998</v>
      </c>
      <c r="G39" s="26">
        <f t="shared" si="1"/>
        <v>300.32549999999998</v>
      </c>
      <c r="H39" s="26">
        <f t="shared" si="2"/>
        <v>49.945750000000004</v>
      </c>
    </row>
    <row r="40" spans="1:8" ht="45" x14ac:dyDescent="0.2">
      <c r="A40" s="23" t="s">
        <v>158</v>
      </c>
      <c r="B40" s="24" t="s">
        <v>155</v>
      </c>
      <c r="C40" s="25">
        <v>2677.1640000000002</v>
      </c>
      <c r="D40" s="25">
        <v>1254.452</v>
      </c>
      <c r="E40" s="25">
        <v>1046.2435500000001</v>
      </c>
      <c r="F40" s="26">
        <f t="shared" si="0"/>
        <v>1630.9204500000001</v>
      </c>
      <c r="G40" s="26">
        <f t="shared" si="1"/>
        <v>208.20844999999986</v>
      </c>
      <c r="H40" s="26">
        <f t="shared" si="2"/>
        <v>83.402437877256375</v>
      </c>
    </row>
    <row r="41" spans="1:8" ht="15" x14ac:dyDescent="0.2">
      <c r="A41" s="23" t="s">
        <v>159</v>
      </c>
      <c r="B41" s="24" t="s">
        <v>160</v>
      </c>
      <c r="C41" s="25">
        <v>100</v>
      </c>
      <c r="D41" s="25">
        <v>100</v>
      </c>
      <c r="E41" s="25">
        <v>0</v>
      </c>
      <c r="F41" s="26">
        <f t="shared" si="0"/>
        <v>100</v>
      </c>
      <c r="G41" s="26">
        <f t="shared" si="1"/>
        <v>100</v>
      </c>
      <c r="H41" s="26">
        <f t="shared" si="2"/>
        <v>0</v>
      </c>
    </row>
    <row r="42" spans="1:8" ht="14.25" x14ac:dyDescent="0.2">
      <c r="A42" s="82" t="s">
        <v>161</v>
      </c>
      <c r="B42" s="83" t="s">
        <v>162</v>
      </c>
      <c r="C42" s="84">
        <v>276095.85199999996</v>
      </c>
      <c r="D42" s="84">
        <v>197061.22900000005</v>
      </c>
      <c r="E42" s="84">
        <v>153745.64070999998</v>
      </c>
      <c r="F42" s="84">
        <f t="shared" si="0"/>
        <v>122350.21128999998</v>
      </c>
      <c r="G42" s="84">
        <f t="shared" si="1"/>
        <v>43315.588290000072</v>
      </c>
      <c r="H42" s="84">
        <f t="shared" si="2"/>
        <v>78.019223512505306</v>
      </c>
    </row>
    <row r="43" spans="1:8" x14ac:dyDescent="0.2">
      <c r="F43" s="67"/>
      <c r="G43" s="67"/>
      <c r="H43" s="67"/>
    </row>
    <row r="44" spans="1:8" x14ac:dyDescent="0.2">
      <c r="A44" s="20"/>
      <c r="B44" s="21"/>
      <c r="C44" s="19"/>
      <c r="D44" s="19"/>
      <c r="E44" s="19"/>
      <c r="F44" s="81"/>
      <c r="G44" s="81"/>
      <c r="H44" s="81"/>
    </row>
    <row r="45" spans="1:8" x14ac:dyDescent="0.2">
      <c r="F45" s="67"/>
      <c r="G45" s="67"/>
      <c r="H45" s="67"/>
    </row>
    <row r="52" hidden="1" x14ac:dyDescent="0.2"/>
  </sheetData>
  <mergeCells count="3">
    <mergeCell ref="A3:H3"/>
    <mergeCell ref="A4:H4"/>
    <mergeCell ref="A2:H2"/>
  </mergeCells>
  <conditionalFormatting sqref="A8:A42">
    <cfRule type="expression" dxfId="95" priority="25" stopIfTrue="1">
      <formula>#REF!=1</formula>
    </cfRule>
    <cfRule type="expression" dxfId="94" priority="26" stopIfTrue="1">
      <formula>#REF!=2</formula>
    </cfRule>
    <cfRule type="expression" dxfId="93" priority="27" stopIfTrue="1">
      <formula>#REF!=3</formula>
    </cfRule>
  </conditionalFormatting>
  <conditionalFormatting sqref="B8:B42">
    <cfRule type="expression" dxfId="92" priority="28" stopIfTrue="1">
      <formula>#REF!=1</formula>
    </cfRule>
    <cfRule type="expression" dxfId="91" priority="29" stopIfTrue="1">
      <formula>#REF!=2</formula>
    </cfRule>
    <cfRule type="expression" dxfId="90" priority="30" stopIfTrue="1">
      <formula>#REF!=3</formula>
    </cfRule>
  </conditionalFormatting>
  <conditionalFormatting sqref="C8:C42">
    <cfRule type="expression" dxfId="89" priority="31" stopIfTrue="1">
      <formula>#REF!=1</formula>
    </cfRule>
    <cfRule type="expression" dxfId="88" priority="32" stopIfTrue="1">
      <formula>#REF!=2</formula>
    </cfRule>
    <cfRule type="expression" dxfId="87" priority="33" stopIfTrue="1">
      <formula>#REF!=3</formula>
    </cfRule>
  </conditionalFormatting>
  <conditionalFormatting sqref="D8:D42">
    <cfRule type="expression" dxfId="86" priority="34" stopIfTrue="1">
      <formula>#REF!=1</formula>
    </cfRule>
    <cfRule type="expression" dxfId="85" priority="35" stopIfTrue="1">
      <formula>#REF!=2</formula>
    </cfRule>
    <cfRule type="expression" dxfId="84" priority="36" stopIfTrue="1">
      <formula>#REF!=3</formula>
    </cfRule>
  </conditionalFormatting>
  <conditionalFormatting sqref="E8:E42">
    <cfRule type="expression" dxfId="83" priority="37" stopIfTrue="1">
      <formula>#REF!=1</formula>
    </cfRule>
    <cfRule type="expression" dxfId="82" priority="38" stopIfTrue="1">
      <formula>#REF!=2</formula>
    </cfRule>
    <cfRule type="expression" dxfId="81" priority="39" stopIfTrue="1">
      <formula>#REF!=3</formula>
    </cfRule>
  </conditionalFormatting>
  <conditionalFormatting sqref="F8:F42">
    <cfRule type="expression" dxfId="80" priority="40" stopIfTrue="1">
      <formula>#REF!=1</formula>
    </cfRule>
    <cfRule type="expression" dxfId="79" priority="41" stopIfTrue="1">
      <formula>#REF!=2</formula>
    </cfRule>
    <cfRule type="expression" dxfId="78" priority="42" stopIfTrue="1">
      <formula>#REF!=3</formula>
    </cfRule>
  </conditionalFormatting>
  <conditionalFormatting sqref="G8:G42">
    <cfRule type="expression" dxfId="77" priority="43" stopIfTrue="1">
      <formula>#REF!=1</formula>
    </cfRule>
    <cfRule type="expression" dxfId="76" priority="44" stopIfTrue="1">
      <formula>#REF!=2</formula>
    </cfRule>
    <cfRule type="expression" dxfId="75" priority="45" stopIfTrue="1">
      <formula>#REF!=3</formula>
    </cfRule>
  </conditionalFormatting>
  <conditionalFormatting sqref="H8:H42">
    <cfRule type="expression" dxfId="74" priority="46" stopIfTrue="1">
      <formula>#REF!=1</formula>
    </cfRule>
    <cfRule type="expression" dxfId="73" priority="47" stopIfTrue="1">
      <formula>#REF!=2</formula>
    </cfRule>
    <cfRule type="expression" dxfId="72" priority="48" stopIfTrue="1">
      <formula>#REF!=3</formula>
    </cfRule>
  </conditionalFormatting>
  <conditionalFormatting sqref="A44:A53">
    <cfRule type="expression" dxfId="71" priority="1" stopIfTrue="1">
      <formula>#REF!=1</formula>
    </cfRule>
    <cfRule type="expression" dxfId="70" priority="2" stopIfTrue="1">
      <formula>#REF!=2</formula>
    </cfRule>
    <cfRule type="expression" dxfId="69" priority="3" stopIfTrue="1">
      <formula>#REF!=3</formula>
    </cfRule>
  </conditionalFormatting>
  <conditionalFormatting sqref="B44:B53">
    <cfRule type="expression" dxfId="68" priority="4" stopIfTrue="1">
      <formula>#REF!=1</formula>
    </cfRule>
    <cfRule type="expression" dxfId="67" priority="5" stopIfTrue="1">
      <formula>#REF!=2</formula>
    </cfRule>
    <cfRule type="expression" dxfId="66" priority="6" stopIfTrue="1">
      <formula>#REF!=3</formula>
    </cfRule>
  </conditionalFormatting>
  <conditionalFormatting sqref="C44:C53">
    <cfRule type="expression" dxfId="65" priority="7" stopIfTrue="1">
      <formula>#REF!=1</formula>
    </cfRule>
    <cfRule type="expression" dxfId="64" priority="8" stopIfTrue="1">
      <formula>#REF!=2</formula>
    </cfRule>
    <cfRule type="expression" dxfId="63" priority="9" stopIfTrue="1">
      <formula>#REF!=3</formula>
    </cfRule>
  </conditionalFormatting>
  <conditionalFormatting sqref="D44:D53">
    <cfRule type="expression" dxfId="62" priority="10" stopIfTrue="1">
      <formula>#REF!=1</formula>
    </cfRule>
    <cfRule type="expression" dxfId="61" priority="11" stopIfTrue="1">
      <formula>#REF!=2</formula>
    </cfRule>
    <cfRule type="expression" dxfId="60" priority="12" stopIfTrue="1">
      <formula>#REF!=3</formula>
    </cfRule>
  </conditionalFormatting>
  <conditionalFormatting sqref="E44:E53">
    <cfRule type="expression" dxfId="59" priority="13" stopIfTrue="1">
      <formula>#REF!=1</formula>
    </cfRule>
    <cfRule type="expression" dxfId="58" priority="14" stopIfTrue="1">
      <formula>#REF!=2</formula>
    </cfRule>
    <cfRule type="expression" dxfId="57" priority="15" stopIfTrue="1">
      <formula>#REF!=3</formula>
    </cfRule>
  </conditionalFormatting>
  <conditionalFormatting sqref="F44:F53">
    <cfRule type="expression" dxfId="56" priority="16" stopIfTrue="1">
      <formula>#REF!=1</formula>
    </cfRule>
    <cfRule type="expression" dxfId="55" priority="17" stopIfTrue="1">
      <formula>#REF!=2</formula>
    </cfRule>
    <cfRule type="expression" dxfId="54" priority="18" stopIfTrue="1">
      <formula>#REF!=3</formula>
    </cfRule>
  </conditionalFormatting>
  <conditionalFormatting sqref="G44:G53">
    <cfRule type="expression" dxfId="53" priority="19" stopIfTrue="1">
      <formula>#REF!=1</formula>
    </cfRule>
    <cfRule type="expression" dxfId="52" priority="20" stopIfTrue="1">
      <formula>#REF!=2</formula>
    </cfRule>
    <cfRule type="expression" dxfId="51" priority="21" stopIfTrue="1">
      <formula>#REF!=3</formula>
    </cfRule>
  </conditionalFormatting>
  <conditionalFormatting sqref="H44:H53">
    <cfRule type="expression" dxfId="50" priority="22" stopIfTrue="1">
      <formula>#REF!=1</formula>
    </cfRule>
    <cfRule type="expression" dxfId="49" priority="23" stopIfTrue="1">
      <formula>#REF!=2</formula>
    </cfRule>
    <cfRule type="expression" dxfId="48" priority="24" stopIfTrue="1">
      <formula>#REF!=3</formula>
    </cfRule>
  </conditionalFormatting>
  <pageMargins left="0.70866141732283472" right="0.31496062992125984" top="0.39370078740157483" bottom="0.39370078740157483" header="0" footer="0"/>
  <pageSetup paperSize="9" scale="57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9A6E-1954-4E83-B275-40A3E71E108D}">
  <sheetPr>
    <pageSetUpPr fitToPage="1"/>
  </sheetPr>
  <dimension ref="A2:I30"/>
  <sheetViews>
    <sheetView tabSelected="1" topLeftCell="A16" workbookViewId="0">
      <selection activeCell="R10" sqref="R10"/>
    </sheetView>
  </sheetViews>
  <sheetFormatPr defaultRowHeight="12.75" x14ac:dyDescent="0.2"/>
  <cols>
    <col min="1" max="1" width="12.7109375" style="16" customWidth="1"/>
    <col min="2" max="2" width="50.7109375" style="17" customWidth="1"/>
    <col min="3" max="8" width="15.7109375" style="15" customWidth="1"/>
    <col min="9" max="248" width="9.140625" style="15"/>
    <col min="249" max="249" width="12.7109375" style="15" customWidth="1"/>
    <col min="250" max="250" width="50.7109375" style="15" customWidth="1"/>
    <col min="251" max="264" width="15.7109375" style="15" customWidth="1"/>
    <col min="265" max="504" width="9.140625" style="15"/>
    <col min="505" max="505" width="12.7109375" style="15" customWidth="1"/>
    <col min="506" max="506" width="50.7109375" style="15" customWidth="1"/>
    <col min="507" max="520" width="15.7109375" style="15" customWidth="1"/>
    <col min="521" max="760" width="9.140625" style="15"/>
    <col min="761" max="761" width="12.7109375" style="15" customWidth="1"/>
    <col min="762" max="762" width="50.7109375" style="15" customWidth="1"/>
    <col min="763" max="776" width="15.7109375" style="15" customWidth="1"/>
    <col min="777" max="1016" width="9.140625" style="15"/>
    <col min="1017" max="1017" width="12.7109375" style="15" customWidth="1"/>
    <col min="1018" max="1018" width="50.7109375" style="15" customWidth="1"/>
    <col min="1019" max="1032" width="15.7109375" style="15" customWidth="1"/>
    <col min="1033" max="1272" width="9.140625" style="15"/>
    <col min="1273" max="1273" width="12.7109375" style="15" customWidth="1"/>
    <col min="1274" max="1274" width="50.7109375" style="15" customWidth="1"/>
    <col min="1275" max="1288" width="15.7109375" style="15" customWidth="1"/>
    <col min="1289" max="1528" width="9.140625" style="15"/>
    <col min="1529" max="1529" width="12.7109375" style="15" customWidth="1"/>
    <col min="1530" max="1530" width="50.7109375" style="15" customWidth="1"/>
    <col min="1531" max="1544" width="15.7109375" style="15" customWidth="1"/>
    <col min="1545" max="1784" width="9.140625" style="15"/>
    <col min="1785" max="1785" width="12.7109375" style="15" customWidth="1"/>
    <col min="1786" max="1786" width="50.7109375" style="15" customWidth="1"/>
    <col min="1787" max="1800" width="15.7109375" style="15" customWidth="1"/>
    <col min="1801" max="2040" width="9.140625" style="15"/>
    <col min="2041" max="2041" width="12.7109375" style="15" customWidth="1"/>
    <col min="2042" max="2042" width="50.7109375" style="15" customWidth="1"/>
    <col min="2043" max="2056" width="15.7109375" style="15" customWidth="1"/>
    <col min="2057" max="2296" width="9.140625" style="15"/>
    <col min="2297" max="2297" width="12.7109375" style="15" customWidth="1"/>
    <col min="2298" max="2298" width="50.7109375" style="15" customWidth="1"/>
    <col min="2299" max="2312" width="15.7109375" style="15" customWidth="1"/>
    <col min="2313" max="2552" width="9.140625" style="15"/>
    <col min="2553" max="2553" width="12.7109375" style="15" customWidth="1"/>
    <col min="2554" max="2554" width="50.7109375" style="15" customWidth="1"/>
    <col min="2555" max="2568" width="15.7109375" style="15" customWidth="1"/>
    <col min="2569" max="2808" width="9.140625" style="15"/>
    <col min="2809" max="2809" width="12.7109375" style="15" customWidth="1"/>
    <col min="2810" max="2810" width="50.7109375" style="15" customWidth="1"/>
    <col min="2811" max="2824" width="15.7109375" style="15" customWidth="1"/>
    <col min="2825" max="3064" width="9.140625" style="15"/>
    <col min="3065" max="3065" width="12.7109375" style="15" customWidth="1"/>
    <col min="3066" max="3066" width="50.7109375" style="15" customWidth="1"/>
    <col min="3067" max="3080" width="15.7109375" style="15" customWidth="1"/>
    <col min="3081" max="3320" width="9.140625" style="15"/>
    <col min="3321" max="3321" width="12.7109375" style="15" customWidth="1"/>
    <col min="3322" max="3322" width="50.7109375" style="15" customWidth="1"/>
    <col min="3323" max="3336" width="15.7109375" style="15" customWidth="1"/>
    <col min="3337" max="3576" width="9.140625" style="15"/>
    <col min="3577" max="3577" width="12.7109375" style="15" customWidth="1"/>
    <col min="3578" max="3578" width="50.7109375" style="15" customWidth="1"/>
    <col min="3579" max="3592" width="15.7109375" style="15" customWidth="1"/>
    <col min="3593" max="3832" width="9.140625" style="15"/>
    <col min="3833" max="3833" width="12.7109375" style="15" customWidth="1"/>
    <col min="3834" max="3834" width="50.7109375" style="15" customWidth="1"/>
    <col min="3835" max="3848" width="15.7109375" style="15" customWidth="1"/>
    <col min="3849" max="4088" width="9.140625" style="15"/>
    <col min="4089" max="4089" width="12.7109375" style="15" customWidth="1"/>
    <col min="4090" max="4090" width="50.7109375" style="15" customWidth="1"/>
    <col min="4091" max="4104" width="15.7109375" style="15" customWidth="1"/>
    <col min="4105" max="4344" width="9.140625" style="15"/>
    <col min="4345" max="4345" width="12.7109375" style="15" customWidth="1"/>
    <col min="4346" max="4346" width="50.7109375" style="15" customWidth="1"/>
    <col min="4347" max="4360" width="15.7109375" style="15" customWidth="1"/>
    <col min="4361" max="4600" width="9.140625" style="15"/>
    <col min="4601" max="4601" width="12.7109375" style="15" customWidth="1"/>
    <col min="4602" max="4602" width="50.7109375" style="15" customWidth="1"/>
    <col min="4603" max="4616" width="15.7109375" style="15" customWidth="1"/>
    <col min="4617" max="4856" width="9.140625" style="15"/>
    <col min="4857" max="4857" width="12.7109375" style="15" customWidth="1"/>
    <col min="4858" max="4858" width="50.7109375" style="15" customWidth="1"/>
    <col min="4859" max="4872" width="15.7109375" style="15" customWidth="1"/>
    <col min="4873" max="5112" width="9.140625" style="15"/>
    <col min="5113" max="5113" width="12.7109375" style="15" customWidth="1"/>
    <col min="5114" max="5114" width="50.7109375" style="15" customWidth="1"/>
    <col min="5115" max="5128" width="15.7109375" style="15" customWidth="1"/>
    <col min="5129" max="5368" width="9.140625" style="15"/>
    <col min="5369" max="5369" width="12.7109375" style="15" customWidth="1"/>
    <col min="5370" max="5370" width="50.7109375" style="15" customWidth="1"/>
    <col min="5371" max="5384" width="15.7109375" style="15" customWidth="1"/>
    <col min="5385" max="5624" width="9.140625" style="15"/>
    <col min="5625" max="5625" width="12.7109375" style="15" customWidth="1"/>
    <col min="5626" max="5626" width="50.7109375" style="15" customWidth="1"/>
    <col min="5627" max="5640" width="15.7109375" style="15" customWidth="1"/>
    <col min="5641" max="5880" width="9.140625" style="15"/>
    <col min="5881" max="5881" width="12.7109375" style="15" customWidth="1"/>
    <col min="5882" max="5882" width="50.7109375" style="15" customWidth="1"/>
    <col min="5883" max="5896" width="15.7109375" style="15" customWidth="1"/>
    <col min="5897" max="6136" width="9.140625" style="15"/>
    <col min="6137" max="6137" width="12.7109375" style="15" customWidth="1"/>
    <col min="6138" max="6138" width="50.7109375" style="15" customWidth="1"/>
    <col min="6139" max="6152" width="15.7109375" style="15" customWidth="1"/>
    <col min="6153" max="6392" width="9.140625" style="15"/>
    <col min="6393" max="6393" width="12.7109375" style="15" customWidth="1"/>
    <col min="6394" max="6394" width="50.7109375" style="15" customWidth="1"/>
    <col min="6395" max="6408" width="15.7109375" style="15" customWidth="1"/>
    <col min="6409" max="6648" width="9.140625" style="15"/>
    <col min="6649" max="6649" width="12.7109375" style="15" customWidth="1"/>
    <col min="6650" max="6650" width="50.7109375" style="15" customWidth="1"/>
    <col min="6651" max="6664" width="15.7109375" style="15" customWidth="1"/>
    <col min="6665" max="6904" width="9.140625" style="15"/>
    <col min="6905" max="6905" width="12.7109375" style="15" customWidth="1"/>
    <col min="6906" max="6906" width="50.7109375" style="15" customWidth="1"/>
    <col min="6907" max="6920" width="15.7109375" style="15" customWidth="1"/>
    <col min="6921" max="7160" width="9.140625" style="15"/>
    <col min="7161" max="7161" width="12.7109375" style="15" customWidth="1"/>
    <col min="7162" max="7162" width="50.7109375" style="15" customWidth="1"/>
    <col min="7163" max="7176" width="15.7109375" style="15" customWidth="1"/>
    <col min="7177" max="7416" width="9.140625" style="15"/>
    <col min="7417" max="7417" width="12.7109375" style="15" customWidth="1"/>
    <col min="7418" max="7418" width="50.7109375" style="15" customWidth="1"/>
    <col min="7419" max="7432" width="15.7109375" style="15" customWidth="1"/>
    <col min="7433" max="7672" width="9.140625" style="15"/>
    <col min="7673" max="7673" width="12.7109375" style="15" customWidth="1"/>
    <col min="7674" max="7674" width="50.7109375" style="15" customWidth="1"/>
    <col min="7675" max="7688" width="15.7109375" style="15" customWidth="1"/>
    <col min="7689" max="7928" width="9.140625" style="15"/>
    <col min="7929" max="7929" width="12.7109375" style="15" customWidth="1"/>
    <col min="7930" max="7930" width="50.7109375" style="15" customWidth="1"/>
    <col min="7931" max="7944" width="15.7109375" style="15" customWidth="1"/>
    <col min="7945" max="8184" width="9.140625" style="15"/>
    <col min="8185" max="8185" width="12.7109375" style="15" customWidth="1"/>
    <col min="8186" max="8186" width="50.7109375" style="15" customWidth="1"/>
    <col min="8187" max="8200" width="15.7109375" style="15" customWidth="1"/>
    <col min="8201" max="8440" width="9.140625" style="15"/>
    <col min="8441" max="8441" width="12.7109375" style="15" customWidth="1"/>
    <col min="8442" max="8442" width="50.7109375" style="15" customWidth="1"/>
    <col min="8443" max="8456" width="15.7109375" style="15" customWidth="1"/>
    <col min="8457" max="8696" width="9.140625" style="15"/>
    <col min="8697" max="8697" width="12.7109375" style="15" customWidth="1"/>
    <col min="8698" max="8698" width="50.7109375" style="15" customWidth="1"/>
    <col min="8699" max="8712" width="15.7109375" style="15" customWidth="1"/>
    <col min="8713" max="8952" width="9.140625" style="15"/>
    <col min="8953" max="8953" width="12.7109375" style="15" customWidth="1"/>
    <col min="8954" max="8954" width="50.7109375" style="15" customWidth="1"/>
    <col min="8955" max="8968" width="15.7109375" style="15" customWidth="1"/>
    <col min="8969" max="9208" width="9.140625" style="15"/>
    <col min="9209" max="9209" width="12.7109375" style="15" customWidth="1"/>
    <col min="9210" max="9210" width="50.7109375" style="15" customWidth="1"/>
    <col min="9211" max="9224" width="15.7109375" style="15" customWidth="1"/>
    <col min="9225" max="9464" width="9.140625" style="15"/>
    <col min="9465" max="9465" width="12.7109375" style="15" customWidth="1"/>
    <col min="9466" max="9466" width="50.7109375" style="15" customWidth="1"/>
    <col min="9467" max="9480" width="15.7109375" style="15" customWidth="1"/>
    <col min="9481" max="9720" width="9.140625" style="15"/>
    <col min="9721" max="9721" width="12.7109375" style="15" customWidth="1"/>
    <col min="9722" max="9722" width="50.7109375" style="15" customWidth="1"/>
    <col min="9723" max="9736" width="15.7109375" style="15" customWidth="1"/>
    <col min="9737" max="9976" width="9.140625" style="15"/>
    <col min="9977" max="9977" width="12.7109375" style="15" customWidth="1"/>
    <col min="9978" max="9978" width="50.7109375" style="15" customWidth="1"/>
    <col min="9979" max="9992" width="15.7109375" style="15" customWidth="1"/>
    <col min="9993" max="10232" width="9.140625" style="15"/>
    <col min="10233" max="10233" width="12.7109375" style="15" customWidth="1"/>
    <col min="10234" max="10234" width="50.7109375" style="15" customWidth="1"/>
    <col min="10235" max="10248" width="15.7109375" style="15" customWidth="1"/>
    <col min="10249" max="10488" width="9.140625" style="15"/>
    <col min="10489" max="10489" width="12.7109375" style="15" customWidth="1"/>
    <col min="10490" max="10490" width="50.7109375" style="15" customWidth="1"/>
    <col min="10491" max="10504" width="15.7109375" style="15" customWidth="1"/>
    <col min="10505" max="10744" width="9.140625" style="15"/>
    <col min="10745" max="10745" width="12.7109375" style="15" customWidth="1"/>
    <col min="10746" max="10746" width="50.7109375" style="15" customWidth="1"/>
    <col min="10747" max="10760" width="15.7109375" style="15" customWidth="1"/>
    <col min="10761" max="11000" width="9.140625" style="15"/>
    <col min="11001" max="11001" width="12.7109375" style="15" customWidth="1"/>
    <col min="11002" max="11002" width="50.7109375" style="15" customWidth="1"/>
    <col min="11003" max="11016" width="15.7109375" style="15" customWidth="1"/>
    <col min="11017" max="11256" width="9.140625" style="15"/>
    <col min="11257" max="11257" width="12.7109375" style="15" customWidth="1"/>
    <col min="11258" max="11258" width="50.7109375" style="15" customWidth="1"/>
    <col min="11259" max="11272" width="15.7109375" style="15" customWidth="1"/>
    <col min="11273" max="11512" width="9.140625" style="15"/>
    <col min="11513" max="11513" width="12.7109375" style="15" customWidth="1"/>
    <col min="11514" max="11514" width="50.7109375" style="15" customWidth="1"/>
    <col min="11515" max="11528" width="15.7109375" style="15" customWidth="1"/>
    <col min="11529" max="11768" width="9.140625" style="15"/>
    <col min="11769" max="11769" width="12.7109375" style="15" customWidth="1"/>
    <col min="11770" max="11770" width="50.7109375" style="15" customWidth="1"/>
    <col min="11771" max="11784" width="15.7109375" style="15" customWidth="1"/>
    <col min="11785" max="12024" width="9.140625" style="15"/>
    <col min="12025" max="12025" width="12.7109375" style="15" customWidth="1"/>
    <col min="12026" max="12026" width="50.7109375" style="15" customWidth="1"/>
    <col min="12027" max="12040" width="15.7109375" style="15" customWidth="1"/>
    <col min="12041" max="12280" width="9.140625" style="15"/>
    <col min="12281" max="12281" width="12.7109375" style="15" customWidth="1"/>
    <col min="12282" max="12282" width="50.7109375" style="15" customWidth="1"/>
    <col min="12283" max="12296" width="15.7109375" style="15" customWidth="1"/>
    <col min="12297" max="12536" width="9.140625" style="15"/>
    <col min="12537" max="12537" width="12.7109375" style="15" customWidth="1"/>
    <col min="12538" max="12538" width="50.7109375" style="15" customWidth="1"/>
    <col min="12539" max="12552" width="15.7109375" style="15" customWidth="1"/>
    <col min="12553" max="12792" width="9.140625" style="15"/>
    <col min="12793" max="12793" width="12.7109375" style="15" customWidth="1"/>
    <col min="12794" max="12794" width="50.7109375" style="15" customWidth="1"/>
    <col min="12795" max="12808" width="15.7109375" style="15" customWidth="1"/>
    <col min="12809" max="13048" width="9.140625" style="15"/>
    <col min="13049" max="13049" width="12.7109375" style="15" customWidth="1"/>
    <col min="13050" max="13050" width="50.7109375" style="15" customWidth="1"/>
    <col min="13051" max="13064" width="15.7109375" style="15" customWidth="1"/>
    <col min="13065" max="13304" width="9.140625" style="15"/>
    <col min="13305" max="13305" width="12.7109375" style="15" customWidth="1"/>
    <col min="13306" max="13306" width="50.7109375" style="15" customWidth="1"/>
    <col min="13307" max="13320" width="15.7109375" style="15" customWidth="1"/>
    <col min="13321" max="13560" width="9.140625" style="15"/>
    <col min="13561" max="13561" width="12.7109375" style="15" customWidth="1"/>
    <col min="13562" max="13562" width="50.7109375" style="15" customWidth="1"/>
    <col min="13563" max="13576" width="15.7109375" style="15" customWidth="1"/>
    <col min="13577" max="13816" width="9.140625" style="15"/>
    <col min="13817" max="13817" width="12.7109375" style="15" customWidth="1"/>
    <col min="13818" max="13818" width="50.7109375" style="15" customWidth="1"/>
    <col min="13819" max="13832" width="15.7109375" style="15" customWidth="1"/>
    <col min="13833" max="14072" width="9.140625" style="15"/>
    <col min="14073" max="14073" width="12.7109375" style="15" customWidth="1"/>
    <col min="14074" max="14074" width="50.7109375" style="15" customWidth="1"/>
    <col min="14075" max="14088" width="15.7109375" style="15" customWidth="1"/>
    <col min="14089" max="14328" width="9.140625" style="15"/>
    <col min="14329" max="14329" width="12.7109375" style="15" customWidth="1"/>
    <col min="14330" max="14330" width="50.7109375" style="15" customWidth="1"/>
    <col min="14331" max="14344" width="15.7109375" style="15" customWidth="1"/>
    <col min="14345" max="14584" width="9.140625" style="15"/>
    <col min="14585" max="14585" width="12.7109375" style="15" customWidth="1"/>
    <col min="14586" max="14586" width="50.7109375" style="15" customWidth="1"/>
    <col min="14587" max="14600" width="15.7109375" style="15" customWidth="1"/>
    <col min="14601" max="14840" width="9.140625" style="15"/>
    <col min="14841" max="14841" width="12.7109375" style="15" customWidth="1"/>
    <col min="14842" max="14842" width="50.7109375" style="15" customWidth="1"/>
    <col min="14843" max="14856" width="15.7109375" style="15" customWidth="1"/>
    <col min="14857" max="15096" width="9.140625" style="15"/>
    <col min="15097" max="15097" width="12.7109375" style="15" customWidth="1"/>
    <col min="15098" max="15098" width="50.7109375" style="15" customWidth="1"/>
    <col min="15099" max="15112" width="15.7109375" style="15" customWidth="1"/>
    <col min="15113" max="15352" width="9.140625" style="15"/>
    <col min="15353" max="15353" width="12.7109375" style="15" customWidth="1"/>
    <col min="15354" max="15354" width="50.7109375" style="15" customWidth="1"/>
    <col min="15355" max="15368" width="15.7109375" style="15" customWidth="1"/>
    <col min="15369" max="15608" width="9.140625" style="15"/>
    <col min="15609" max="15609" width="12.7109375" style="15" customWidth="1"/>
    <col min="15610" max="15610" width="50.7109375" style="15" customWidth="1"/>
    <col min="15611" max="15624" width="15.7109375" style="15" customWidth="1"/>
    <col min="15625" max="15864" width="9.140625" style="15"/>
    <col min="15865" max="15865" width="12.7109375" style="15" customWidth="1"/>
    <col min="15866" max="15866" width="50.7109375" style="15" customWidth="1"/>
    <col min="15867" max="15880" width="15.7109375" style="15" customWidth="1"/>
    <col min="15881" max="16120" width="9.140625" style="15"/>
    <col min="16121" max="16121" width="12.7109375" style="15" customWidth="1"/>
    <col min="16122" max="16122" width="50.7109375" style="15" customWidth="1"/>
    <col min="16123" max="16136" width="15.7109375" style="15" customWidth="1"/>
    <col min="16137" max="16384" width="9.140625" style="15"/>
  </cols>
  <sheetData>
    <row r="2" spans="1:9" ht="15.75" x14ac:dyDescent="0.25">
      <c r="A2" s="97" t="s">
        <v>95</v>
      </c>
      <c r="B2" s="97"/>
      <c r="C2" s="97"/>
      <c r="D2" s="97"/>
      <c r="E2" s="97"/>
      <c r="F2" s="97"/>
      <c r="G2" s="97"/>
      <c r="H2" s="97"/>
    </row>
    <row r="3" spans="1:9" ht="15.75" x14ac:dyDescent="0.2">
      <c r="A3" s="96" t="s">
        <v>215</v>
      </c>
      <c r="B3" s="96"/>
      <c r="C3" s="96"/>
      <c r="D3" s="96"/>
      <c r="E3" s="96"/>
      <c r="F3" s="96"/>
      <c r="G3" s="96"/>
      <c r="H3" s="96"/>
    </row>
    <row r="4" spans="1:9" ht="15.75" x14ac:dyDescent="0.25">
      <c r="A4" s="97" t="s">
        <v>75</v>
      </c>
      <c r="B4" s="97"/>
      <c r="C4" s="97"/>
      <c r="D4" s="97"/>
      <c r="E4" s="97"/>
      <c r="F4" s="97"/>
      <c r="G4" s="97"/>
      <c r="H4" s="97"/>
    </row>
    <row r="5" spans="1:9" x14ac:dyDescent="0.2">
      <c r="G5" s="78" t="s">
        <v>68</v>
      </c>
      <c r="H5" s="78"/>
    </row>
    <row r="6" spans="1:9" s="18" customFormat="1" ht="63.75" x14ac:dyDescent="0.2">
      <c r="A6" s="79" t="s">
        <v>96</v>
      </c>
      <c r="B6" s="79" t="s">
        <v>97</v>
      </c>
      <c r="C6" s="79" t="s">
        <v>98</v>
      </c>
      <c r="D6" s="79" t="s">
        <v>99</v>
      </c>
      <c r="E6" s="79" t="s">
        <v>100</v>
      </c>
      <c r="F6" s="79" t="s">
        <v>101</v>
      </c>
      <c r="G6" s="79" t="s">
        <v>102</v>
      </c>
      <c r="H6" s="79" t="s">
        <v>103</v>
      </c>
    </row>
    <row r="7" spans="1:9" x14ac:dyDescent="0.2">
      <c r="A7" s="80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0">
        <v>7</v>
      </c>
      <c r="H7" s="80">
        <v>8</v>
      </c>
    </row>
    <row r="8" spans="1:9" ht="60" x14ac:dyDescent="0.2">
      <c r="A8" s="23" t="s">
        <v>104</v>
      </c>
      <c r="B8" s="24" t="s">
        <v>105</v>
      </c>
      <c r="C8" s="25">
        <v>220</v>
      </c>
      <c r="D8" s="25">
        <v>109.99999999999999</v>
      </c>
      <c r="E8" s="25">
        <v>19515.931340000003</v>
      </c>
      <c r="F8" s="26">
        <f t="shared" ref="F8:F20" si="0">C8-E8</f>
        <v>-19295.931340000003</v>
      </c>
      <c r="G8" s="26">
        <f t="shared" ref="G8:G20" si="1">D8-E8</f>
        <v>-19405.931340000003</v>
      </c>
      <c r="H8" s="26">
        <f t="shared" ref="H8:H20" si="2">IF(D8=0,0,(E8/D8)*100)</f>
        <v>17741.755763636367</v>
      </c>
      <c r="I8" s="19"/>
    </row>
    <row r="9" spans="1:9" ht="45" x14ac:dyDescent="0.2">
      <c r="A9" s="23" t="s">
        <v>106</v>
      </c>
      <c r="B9" s="24" t="s">
        <v>107</v>
      </c>
      <c r="C9" s="25">
        <v>0</v>
      </c>
      <c r="D9" s="25">
        <v>0</v>
      </c>
      <c r="E9" s="25">
        <v>420</v>
      </c>
      <c r="F9" s="26">
        <f t="shared" si="0"/>
        <v>-420</v>
      </c>
      <c r="G9" s="26">
        <f t="shared" si="1"/>
        <v>-420</v>
      </c>
      <c r="H9" s="26">
        <f t="shared" si="2"/>
        <v>0</v>
      </c>
      <c r="I9" s="19"/>
    </row>
    <row r="10" spans="1:9" ht="45" x14ac:dyDescent="0.2">
      <c r="A10" s="23" t="s">
        <v>163</v>
      </c>
      <c r="B10" s="24" t="s">
        <v>223</v>
      </c>
      <c r="C10" s="25">
        <v>1895.0830000000001</v>
      </c>
      <c r="D10" s="25">
        <v>1895.0830000000001</v>
      </c>
      <c r="E10" s="25">
        <v>404.46015000000006</v>
      </c>
      <c r="F10" s="26">
        <f t="shared" si="0"/>
        <v>1490.62285</v>
      </c>
      <c r="G10" s="26">
        <f t="shared" si="1"/>
        <v>1490.62285</v>
      </c>
      <c r="H10" s="26">
        <f t="shared" si="2"/>
        <v>21.342608740619806</v>
      </c>
      <c r="I10" s="19"/>
    </row>
    <row r="11" spans="1:9" ht="75" x14ac:dyDescent="0.2">
      <c r="A11" s="23" t="s">
        <v>164</v>
      </c>
      <c r="B11" s="24" t="s">
        <v>224</v>
      </c>
      <c r="C11" s="25">
        <v>161.1</v>
      </c>
      <c r="D11" s="25">
        <v>161.1</v>
      </c>
      <c r="E11" s="25">
        <v>85.41</v>
      </c>
      <c r="F11" s="26">
        <f t="shared" si="0"/>
        <v>75.69</v>
      </c>
      <c r="G11" s="26">
        <f t="shared" si="1"/>
        <v>75.69</v>
      </c>
      <c r="H11" s="26">
        <f t="shared" si="2"/>
        <v>53.016759776536318</v>
      </c>
      <c r="I11" s="19"/>
    </row>
    <row r="12" spans="1:9" ht="45" x14ac:dyDescent="0.2">
      <c r="A12" s="23" t="s">
        <v>167</v>
      </c>
      <c r="B12" s="24" t="s">
        <v>225</v>
      </c>
      <c r="C12" s="25">
        <v>3812.1959999999999</v>
      </c>
      <c r="D12" s="25">
        <v>3812.1959999999999</v>
      </c>
      <c r="E12" s="25">
        <v>635.42455000000007</v>
      </c>
      <c r="F12" s="26">
        <f t="shared" si="0"/>
        <v>3176.7714499999997</v>
      </c>
      <c r="G12" s="26">
        <f t="shared" si="1"/>
        <v>3176.7714499999997</v>
      </c>
      <c r="H12" s="26">
        <f t="shared" si="2"/>
        <v>16.668202526837554</v>
      </c>
      <c r="I12" s="19"/>
    </row>
    <row r="13" spans="1:9" ht="15" x14ac:dyDescent="0.2">
      <c r="A13" s="23" t="s">
        <v>168</v>
      </c>
      <c r="B13" s="24" t="s">
        <v>226</v>
      </c>
      <c r="C13" s="25">
        <v>0</v>
      </c>
      <c r="D13" s="25">
        <v>0</v>
      </c>
      <c r="E13" s="25">
        <v>4304.3991299999998</v>
      </c>
      <c r="F13" s="26">
        <f t="shared" si="0"/>
        <v>-4304.3991299999998</v>
      </c>
      <c r="G13" s="26">
        <f t="shared" si="1"/>
        <v>-4304.3991299999998</v>
      </c>
      <c r="H13" s="26">
        <f t="shared" si="2"/>
        <v>0</v>
      </c>
      <c r="I13" s="19"/>
    </row>
    <row r="14" spans="1:9" ht="60" x14ac:dyDescent="0.2">
      <c r="A14" s="23" t="s">
        <v>227</v>
      </c>
      <c r="B14" s="24" t="s">
        <v>228</v>
      </c>
      <c r="C14" s="25">
        <v>1369.3779999999999</v>
      </c>
      <c r="D14" s="25">
        <v>1369.3779999999999</v>
      </c>
      <c r="E14" s="25">
        <v>1369.3776</v>
      </c>
      <c r="F14" s="26">
        <f t="shared" si="0"/>
        <v>3.9999999989959178E-4</v>
      </c>
      <c r="G14" s="26">
        <f t="shared" si="1"/>
        <v>3.9999999989959178E-4</v>
      </c>
      <c r="H14" s="26">
        <f t="shared" si="2"/>
        <v>99.999970789657795</v>
      </c>
      <c r="I14" s="19"/>
    </row>
    <row r="15" spans="1:9" ht="60" x14ac:dyDescent="0.2">
      <c r="A15" s="23" t="s">
        <v>169</v>
      </c>
      <c r="B15" s="24" t="s">
        <v>229</v>
      </c>
      <c r="C15" s="25">
        <v>8691.027</v>
      </c>
      <c r="D15" s="25">
        <v>8691.027</v>
      </c>
      <c r="E15" s="25">
        <v>6939.0153499999997</v>
      </c>
      <c r="F15" s="26">
        <f t="shared" si="0"/>
        <v>1752.0116500000004</v>
      </c>
      <c r="G15" s="26">
        <f t="shared" si="1"/>
        <v>1752.0116500000004</v>
      </c>
      <c r="H15" s="26">
        <f t="shared" si="2"/>
        <v>79.841143630091125</v>
      </c>
      <c r="I15" s="19"/>
    </row>
    <row r="16" spans="1:9" ht="30" x14ac:dyDescent="0.2">
      <c r="A16" s="23" t="s">
        <v>230</v>
      </c>
      <c r="B16" s="24" t="s">
        <v>231</v>
      </c>
      <c r="C16" s="25">
        <v>10500</v>
      </c>
      <c r="D16" s="25">
        <v>10500</v>
      </c>
      <c r="E16" s="25">
        <v>387.41374000000002</v>
      </c>
      <c r="F16" s="26">
        <f t="shared" si="0"/>
        <v>10112.58626</v>
      </c>
      <c r="G16" s="26">
        <f t="shared" si="1"/>
        <v>10112.58626</v>
      </c>
      <c r="H16" s="26">
        <f t="shared" si="2"/>
        <v>3.6896546666666667</v>
      </c>
      <c r="I16" s="19"/>
    </row>
    <row r="17" spans="1:9" ht="30" x14ac:dyDescent="0.2">
      <c r="A17" s="23" t="s">
        <v>232</v>
      </c>
      <c r="B17" s="24" t="s">
        <v>233</v>
      </c>
      <c r="C17" s="25">
        <v>297</v>
      </c>
      <c r="D17" s="25">
        <v>297</v>
      </c>
      <c r="E17" s="25">
        <v>297</v>
      </c>
      <c r="F17" s="26">
        <f t="shared" si="0"/>
        <v>0</v>
      </c>
      <c r="G17" s="26">
        <f t="shared" si="1"/>
        <v>0</v>
      </c>
      <c r="H17" s="26">
        <f t="shared" si="2"/>
        <v>100</v>
      </c>
      <c r="I17" s="19"/>
    </row>
    <row r="18" spans="1:9" ht="30" x14ac:dyDescent="0.2">
      <c r="A18" s="23" t="s">
        <v>170</v>
      </c>
      <c r="B18" s="24" t="s">
        <v>171</v>
      </c>
      <c r="C18" s="25">
        <v>35.800000000000004</v>
      </c>
      <c r="D18" s="25">
        <v>18.238</v>
      </c>
      <c r="E18" s="25">
        <v>0</v>
      </c>
      <c r="F18" s="26">
        <f t="shared" si="0"/>
        <v>35.800000000000004</v>
      </c>
      <c r="G18" s="26">
        <f t="shared" si="1"/>
        <v>18.238</v>
      </c>
      <c r="H18" s="26">
        <f t="shared" si="2"/>
        <v>0</v>
      </c>
      <c r="I18" s="19"/>
    </row>
    <row r="19" spans="1:9" ht="45" x14ac:dyDescent="0.2">
      <c r="A19" s="23" t="s">
        <v>156</v>
      </c>
      <c r="B19" s="24" t="s">
        <v>155</v>
      </c>
      <c r="C19" s="25">
        <v>0</v>
      </c>
      <c r="D19" s="25">
        <v>0</v>
      </c>
      <c r="E19" s="25">
        <v>351.31416000000002</v>
      </c>
      <c r="F19" s="26">
        <f t="shared" si="0"/>
        <v>-351.31416000000002</v>
      </c>
      <c r="G19" s="26">
        <f t="shared" si="1"/>
        <v>-351.31416000000002</v>
      </c>
      <c r="H19" s="26">
        <f t="shared" si="2"/>
        <v>0</v>
      </c>
      <c r="I19" s="19"/>
    </row>
    <row r="20" spans="1:9" s="86" customFormat="1" ht="14.25" x14ac:dyDescent="0.2">
      <c r="A20" s="27" t="s">
        <v>161</v>
      </c>
      <c r="B20" s="28" t="s">
        <v>162</v>
      </c>
      <c r="C20" s="103">
        <v>26981.583999999999</v>
      </c>
      <c r="D20" s="103">
        <v>26854.022000000001</v>
      </c>
      <c r="E20" s="103">
        <v>34709.746019999999</v>
      </c>
      <c r="F20" s="103">
        <f t="shared" si="0"/>
        <v>-7728.1620199999998</v>
      </c>
      <c r="G20" s="103">
        <f t="shared" si="1"/>
        <v>-7855.7240199999978</v>
      </c>
      <c r="H20" s="103">
        <f t="shared" si="2"/>
        <v>129.25343555613381</v>
      </c>
      <c r="I20" s="85"/>
    </row>
    <row r="22" spans="1:9" x14ac:dyDescent="0.2">
      <c r="A22" s="20"/>
      <c r="B22" s="21"/>
      <c r="C22" s="19"/>
      <c r="D22" s="19"/>
      <c r="E22" s="19"/>
      <c r="F22" s="19"/>
      <c r="G22" s="19"/>
      <c r="H22" s="19"/>
    </row>
    <row r="30" spans="1:9" hidden="1" x14ac:dyDescent="0.2"/>
  </sheetData>
  <mergeCells count="3">
    <mergeCell ref="A3:H3"/>
    <mergeCell ref="A4:H4"/>
    <mergeCell ref="A2:H2"/>
  </mergeCells>
  <conditionalFormatting sqref="A8:A20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8:B20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8:C20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8:D20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8:E20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8:F20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8:G20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8:H20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22:A31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22:B31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22:C31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22:D31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22:E31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22:F31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22:G31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22:H31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51181102362204722" right="0.31496062992125984" top="0.39370078740157483" bottom="0.39370078740157483" header="0" footer="0"/>
  <pageSetup paperSize="9" scale="60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4EA-F2D7-49B5-824E-CA614C3138DC}">
  <dimension ref="A2:J41"/>
  <sheetViews>
    <sheetView workbookViewId="0">
      <selection activeCell="N16" sqref="N16"/>
    </sheetView>
  </sheetViews>
  <sheetFormatPr defaultRowHeight="12.75" x14ac:dyDescent="0.2"/>
  <cols>
    <col min="1" max="1" width="0.140625" style="31" customWidth="1"/>
    <col min="2" max="2" width="11.5703125" style="55" customWidth="1"/>
    <col min="3" max="3" width="54.85546875" style="31" customWidth="1"/>
    <col min="4" max="4" width="16.140625" style="55" customWidth="1"/>
    <col min="5" max="5" width="16.5703125" style="55" customWidth="1"/>
    <col min="6" max="6" width="14.5703125" style="55" customWidth="1"/>
    <col min="7" max="7" width="14.7109375" style="55" customWidth="1"/>
    <col min="8" max="8" width="7.42578125" style="31" customWidth="1"/>
    <col min="9" max="16384" width="9.140625" style="31"/>
  </cols>
  <sheetData>
    <row r="2" spans="1:10" ht="15.75" x14ac:dyDescent="0.25">
      <c r="A2" s="29"/>
      <c r="B2" s="98" t="s">
        <v>172</v>
      </c>
      <c r="C2" s="98"/>
      <c r="D2" s="98"/>
      <c r="E2" s="98"/>
      <c r="F2" s="98"/>
      <c r="G2" s="98"/>
      <c r="H2" s="30"/>
      <c r="I2" s="30"/>
      <c r="J2" s="30"/>
    </row>
    <row r="3" spans="1:10" ht="15.75" x14ac:dyDescent="0.25">
      <c r="A3" s="29"/>
      <c r="B3" s="98" t="s">
        <v>173</v>
      </c>
      <c r="C3" s="98"/>
      <c r="D3" s="98"/>
      <c r="E3" s="98"/>
      <c r="F3" s="98"/>
      <c r="G3" s="98"/>
      <c r="H3" s="30"/>
      <c r="I3" s="30"/>
      <c r="J3" s="30"/>
    </row>
    <row r="4" spans="1:10" ht="15.75" x14ac:dyDescent="0.25">
      <c r="A4" s="32"/>
      <c r="B4" s="33"/>
      <c r="C4" s="32"/>
      <c r="D4" s="33"/>
      <c r="E4" s="34"/>
      <c r="F4" s="33"/>
      <c r="G4" s="34" t="s">
        <v>68</v>
      </c>
    </row>
    <row r="5" spans="1:10" ht="68.25" customHeight="1" x14ac:dyDescent="0.25">
      <c r="A5" s="35"/>
      <c r="B5" s="36" t="s">
        <v>0</v>
      </c>
      <c r="C5" s="36" t="s">
        <v>1</v>
      </c>
      <c r="D5" s="37" t="s">
        <v>204</v>
      </c>
      <c r="E5" s="37" t="s">
        <v>206</v>
      </c>
      <c r="F5" s="37" t="s">
        <v>175</v>
      </c>
      <c r="G5" s="37" t="s">
        <v>69</v>
      </c>
    </row>
    <row r="6" spans="1:10" ht="15" x14ac:dyDescent="0.25">
      <c r="A6" s="35"/>
      <c r="B6" s="38">
        <v>10000000</v>
      </c>
      <c r="C6" s="39" t="s">
        <v>176</v>
      </c>
      <c r="D6" s="40">
        <f>D7+D11+D12+D10</f>
        <v>77183.200000000012</v>
      </c>
      <c r="E6" s="40">
        <f>E7+E11+E12+E10</f>
        <v>111076.2</v>
      </c>
      <c r="F6" s="40">
        <f t="shared" ref="F6:F39" si="0">E6-D6</f>
        <v>33892.999999999985</v>
      </c>
      <c r="G6" s="40">
        <f t="shared" ref="G6:G39" si="1">IF(D6=0,0,E6/D6*100)</f>
        <v>143.91240580851789</v>
      </c>
      <c r="H6" s="41"/>
    </row>
    <row r="7" spans="1:10" ht="29.25" x14ac:dyDescent="0.25">
      <c r="A7" s="35"/>
      <c r="B7" s="42">
        <v>11000000</v>
      </c>
      <c r="C7" s="43" t="s">
        <v>177</v>
      </c>
      <c r="D7" s="44">
        <f>D8+D9</f>
        <v>29377.100000000002</v>
      </c>
      <c r="E7" s="44">
        <f>E8+E9</f>
        <v>50238.3</v>
      </c>
      <c r="F7" s="45">
        <f t="shared" si="0"/>
        <v>20861.2</v>
      </c>
      <c r="G7" s="45">
        <f t="shared" si="1"/>
        <v>171.01177447739906</v>
      </c>
      <c r="H7" s="41"/>
    </row>
    <row r="8" spans="1:10" ht="15" x14ac:dyDescent="0.25">
      <c r="A8" s="35"/>
      <c r="B8" s="46">
        <v>11010000</v>
      </c>
      <c r="C8" s="47" t="s">
        <v>9</v>
      </c>
      <c r="D8" s="48">
        <v>29217.4</v>
      </c>
      <c r="E8" s="48">
        <v>50078.8</v>
      </c>
      <c r="F8" s="49">
        <f t="shared" si="0"/>
        <v>20861.400000000001</v>
      </c>
      <c r="G8" s="49">
        <f t="shared" si="1"/>
        <v>171.40060374982031</v>
      </c>
    </row>
    <row r="9" spans="1:10" s="50" customFormat="1" ht="15" x14ac:dyDescent="0.25">
      <c r="A9" s="35"/>
      <c r="B9" s="46">
        <v>11020000</v>
      </c>
      <c r="C9" s="47" t="s">
        <v>178</v>
      </c>
      <c r="D9" s="48">
        <v>159.69999999999999</v>
      </c>
      <c r="E9" s="48">
        <v>159.5</v>
      </c>
      <c r="F9" s="49">
        <f t="shared" si="0"/>
        <v>-0.19999999999998863</v>
      </c>
      <c r="G9" s="49">
        <f t="shared" si="1"/>
        <v>99.874765184721355</v>
      </c>
    </row>
    <row r="10" spans="1:10" s="50" customFormat="1" ht="34.5" customHeight="1" x14ac:dyDescent="0.25">
      <c r="A10" s="35"/>
      <c r="B10" s="42">
        <v>13000000</v>
      </c>
      <c r="C10" s="43" t="s">
        <v>16</v>
      </c>
      <c r="D10" s="44">
        <v>1.1000000000000001</v>
      </c>
      <c r="E10" s="44">
        <v>0.9</v>
      </c>
      <c r="F10" s="45">
        <f t="shared" si="0"/>
        <v>-0.20000000000000007</v>
      </c>
      <c r="G10" s="45">
        <f t="shared" si="1"/>
        <v>81.818181818181813</v>
      </c>
    </row>
    <row r="11" spans="1:10" s="50" customFormat="1" ht="29.25" x14ac:dyDescent="0.25">
      <c r="A11" s="35"/>
      <c r="B11" s="42">
        <v>14000000</v>
      </c>
      <c r="C11" s="43" t="s">
        <v>179</v>
      </c>
      <c r="D11" s="44">
        <v>14180.1</v>
      </c>
      <c r="E11" s="44">
        <v>19780.2</v>
      </c>
      <c r="F11" s="45">
        <f t="shared" si="0"/>
        <v>5600.1</v>
      </c>
      <c r="G11" s="45">
        <f t="shared" si="1"/>
        <v>139.4926693041657</v>
      </c>
    </row>
    <row r="12" spans="1:10" ht="45.75" customHeight="1" x14ac:dyDescent="0.25">
      <c r="A12" s="35"/>
      <c r="B12" s="51">
        <v>18000000</v>
      </c>
      <c r="C12" s="52" t="s">
        <v>25</v>
      </c>
      <c r="D12" s="44">
        <f>D13+D14</f>
        <v>33624.9</v>
      </c>
      <c r="E12" s="44">
        <f>E13+E14</f>
        <v>41056.800000000003</v>
      </c>
      <c r="F12" s="44">
        <f t="shared" ref="F12" si="2">F13+F14</f>
        <v>7431.8999999999978</v>
      </c>
      <c r="G12" s="44">
        <f t="shared" si="1"/>
        <v>122.10237056467084</v>
      </c>
    </row>
    <row r="13" spans="1:10" ht="18" customHeight="1" x14ac:dyDescent="0.25">
      <c r="A13" s="35"/>
      <c r="B13" s="46">
        <v>18010000</v>
      </c>
      <c r="C13" s="47" t="s">
        <v>26</v>
      </c>
      <c r="D13" s="48">
        <v>11079</v>
      </c>
      <c r="E13" s="48">
        <v>10623.2</v>
      </c>
      <c r="F13" s="49">
        <f>E13-D13</f>
        <v>-455.79999999999927</v>
      </c>
      <c r="G13" s="49">
        <f t="shared" si="1"/>
        <v>95.885910280711258</v>
      </c>
    </row>
    <row r="14" spans="1:10" ht="15" x14ac:dyDescent="0.25">
      <c r="A14" s="35"/>
      <c r="B14" s="46">
        <v>18050000</v>
      </c>
      <c r="C14" s="47" t="s">
        <v>180</v>
      </c>
      <c r="D14" s="48">
        <v>22545.9</v>
      </c>
      <c r="E14" s="48">
        <v>30433.599999999999</v>
      </c>
      <c r="F14" s="49">
        <f>E14-D14</f>
        <v>7887.6999999999971</v>
      </c>
      <c r="G14" s="49">
        <f t="shared" si="1"/>
        <v>134.98507489166542</v>
      </c>
    </row>
    <row r="15" spans="1:10" ht="13.5" customHeight="1" x14ac:dyDescent="0.25">
      <c r="A15" s="35"/>
      <c r="B15" s="38">
        <v>20000000</v>
      </c>
      <c r="C15" s="39" t="s">
        <v>181</v>
      </c>
      <c r="D15" s="40">
        <f>D21+D16+D17+D18+D19+D20</f>
        <v>4028.2999999999997</v>
      </c>
      <c r="E15" s="40">
        <f>E21+E16+E17+E18+E19+E20</f>
        <v>4986.5</v>
      </c>
      <c r="F15" s="40">
        <f t="shared" ref="F15" si="3">F21+F16+F17+F18+F19</f>
        <v>964.79999999999984</v>
      </c>
      <c r="G15" s="40">
        <f t="shared" si="1"/>
        <v>123.78670903358737</v>
      </c>
      <c r="H15" s="41"/>
    </row>
    <row r="16" spans="1:10" ht="87.75" customHeight="1" x14ac:dyDescent="0.25">
      <c r="A16" s="35"/>
      <c r="B16" s="42">
        <v>21010000</v>
      </c>
      <c r="C16" s="43" t="s">
        <v>182</v>
      </c>
      <c r="D16" s="44">
        <v>4.5999999999999996</v>
      </c>
      <c r="E16" s="44">
        <v>12.6</v>
      </c>
      <c r="F16" s="45">
        <f t="shared" si="0"/>
        <v>8</v>
      </c>
      <c r="G16" s="45">
        <f t="shared" si="1"/>
        <v>273.91304347826087</v>
      </c>
    </row>
    <row r="17" spans="1:7" ht="17.25" customHeight="1" x14ac:dyDescent="0.25">
      <c r="A17" s="35"/>
      <c r="B17" s="42">
        <v>21080000</v>
      </c>
      <c r="C17" s="43" t="s">
        <v>183</v>
      </c>
      <c r="D17" s="44">
        <v>264.60000000000002</v>
      </c>
      <c r="E17" s="44">
        <v>358.7</v>
      </c>
      <c r="F17" s="45">
        <f t="shared" si="0"/>
        <v>94.099999999999966</v>
      </c>
      <c r="G17" s="45">
        <f t="shared" si="1"/>
        <v>135.5631141345427</v>
      </c>
    </row>
    <row r="18" spans="1:7" ht="17.25" customHeight="1" x14ac:dyDescent="0.25">
      <c r="A18" s="35"/>
      <c r="B18" s="42">
        <v>22010000</v>
      </c>
      <c r="C18" s="43" t="s">
        <v>49</v>
      </c>
      <c r="D18" s="44">
        <v>1000.2</v>
      </c>
      <c r="E18" s="44">
        <v>350.9</v>
      </c>
      <c r="F18" s="45">
        <f t="shared" si="0"/>
        <v>-649.30000000000007</v>
      </c>
      <c r="G18" s="45">
        <f t="shared" si="1"/>
        <v>35.082983403319332</v>
      </c>
    </row>
    <row r="19" spans="1:7" ht="16.5" customHeight="1" x14ac:dyDescent="0.25">
      <c r="A19" s="35"/>
      <c r="B19" s="42">
        <v>22090000</v>
      </c>
      <c r="C19" s="43" t="s">
        <v>184</v>
      </c>
      <c r="D19" s="44">
        <v>24.8</v>
      </c>
      <c r="E19" s="44">
        <v>22.3</v>
      </c>
      <c r="F19" s="45">
        <f t="shared" si="0"/>
        <v>-2.5</v>
      </c>
      <c r="G19" s="45">
        <f t="shared" si="1"/>
        <v>89.91935483870968</v>
      </c>
    </row>
    <row r="20" spans="1:7" ht="84" customHeight="1" x14ac:dyDescent="0.25">
      <c r="A20" s="35"/>
      <c r="B20" s="6">
        <v>22130000</v>
      </c>
      <c r="C20" s="12" t="s">
        <v>55</v>
      </c>
      <c r="D20" s="44">
        <v>6.6</v>
      </c>
      <c r="E20" s="44">
        <v>0</v>
      </c>
      <c r="F20" s="45">
        <f t="shared" si="0"/>
        <v>-6.6</v>
      </c>
      <c r="G20" s="45">
        <f t="shared" si="1"/>
        <v>0</v>
      </c>
    </row>
    <row r="21" spans="1:7" ht="14.25" customHeight="1" x14ac:dyDescent="0.25">
      <c r="A21" s="35"/>
      <c r="B21" s="42">
        <v>24060000</v>
      </c>
      <c r="C21" s="43" t="s">
        <v>183</v>
      </c>
      <c r="D21" s="44">
        <v>2727.5</v>
      </c>
      <c r="E21" s="44">
        <v>4242</v>
      </c>
      <c r="F21" s="45">
        <f t="shared" si="0"/>
        <v>1514.5</v>
      </c>
      <c r="G21" s="45">
        <f t="shared" si="1"/>
        <v>155.52703941338223</v>
      </c>
    </row>
    <row r="22" spans="1:7" ht="15" hidden="1" customHeight="1" x14ac:dyDescent="0.25">
      <c r="A22" s="35"/>
      <c r="B22" s="42">
        <v>30000000</v>
      </c>
      <c r="C22" s="43" t="s">
        <v>91</v>
      </c>
      <c r="D22" s="44">
        <v>0</v>
      </c>
      <c r="E22" s="44">
        <v>0</v>
      </c>
      <c r="F22" s="45">
        <f t="shared" si="0"/>
        <v>0</v>
      </c>
      <c r="G22" s="45">
        <f t="shared" si="1"/>
        <v>0</v>
      </c>
    </row>
    <row r="23" spans="1:7" ht="15" x14ac:dyDescent="0.25">
      <c r="A23" s="35"/>
      <c r="B23" s="38">
        <v>40000000</v>
      </c>
      <c r="C23" s="39" t="s">
        <v>185</v>
      </c>
      <c r="D23" s="40">
        <f>SUM(D24:D37)</f>
        <v>66722.8</v>
      </c>
      <c r="E23" s="40">
        <f>SUM(E24:E37)</f>
        <v>63978</v>
      </c>
      <c r="F23" s="40">
        <f t="shared" si="0"/>
        <v>-2744.8000000000029</v>
      </c>
      <c r="G23" s="40">
        <f t="shared" si="1"/>
        <v>95.886263765909092</v>
      </c>
    </row>
    <row r="24" spans="1:7" ht="15" x14ac:dyDescent="0.25">
      <c r="A24" s="35"/>
      <c r="B24" s="46">
        <v>41020100</v>
      </c>
      <c r="C24" s="47" t="s">
        <v>59</v>
      </c>
      <c r="D24" s="48">
        <v>8817</v>
      </c>
      <c r="E24" s="48">
        <v>11308.2</v>
      </c>
      <c r="F24" s="49">
        <f t="shared" si="0"/>
        <v>2491.2000000000007</v>
      </c>
      <c r="G24" s="49">
        <f t="shared" si="1"/>
        <v>128.25450833616878</v>
      </c>
    </row>
    <row r="25" spans="1:7" ht="45" x14ac:dyDescent="0.25">
      <c r="A25" s="35"/>
      <c r="B25" s="46">
        <v>41020300</v>
      </c>
      <c r="C25" s="47" t="s">
        <v>208</v>
      </c>
      <c r="D25" s="48">
        <v>0</v>
      </c>
      <c r="E25" s="48">
        <v>3114</v>
      </c>
      <c r="F25" s="49">
        <f t="shared" si="0"/>
        <v>3114</v>
      </c>
      <c r="G25" s="49">
        <f t="shared" si="1"/>
        <v>0</v>
      </c>
    </row>
    <row r="26" spans="1:7" ht="81.75" customHeight="1" x14ac:dyDescent="0.25">
      <c r="A26" s="35"/>
      <c r="B26" s="53">
        <v>41021400</v>
      </c>
      <c r="C26" s="47" t="s">
        <v>186</v>
      </c>
      <c r="D26" s="48">
        <v>12019.8</v>
      </c>
      <c r="E26" s="48">
        <v>5070</v>
      </c>
      <c r="F26" s="49">
        <f t="shared" si="0"/>
        <v>-6949.7999999999993</v>
      </c>
      <c r="G26" s="49">
        <f t="shared" si="1"/>
        <v>42.180402336145363</v>
      </c>
    </row>
    <row r="27" spans="1:7" ht="56.25" customHeight="1" x14ac:dyDescent="0.25">
      <c r="A27" s="35"/>
      <c r="B27" s="53">
        <v>41031100</v>
      </c>
      <c r="C27" s="68" t="s">
        <v>209</v>
      </c>
      <c r="D27" s="48">
        <v>0</v>
      </c>
      <c r="E27" s="48">
        <v>2060.1999999999998</v>
      </c>
      <c r="F27" s="49">
        <f t="shared" si="0"/>
        <v>2060.1999999999998</v>
      </c>
      <c r="G27" s="49">
        <f t="shared" si="1"/>
        <v>0</v>
      </c>
    </row>
    <row r="28" spans="1:7" ht="48" customHeight="1" x14ac:dyDescent="0.25">
      <c r="A28" s="35"/>
      <c r="B28" s="7">
        <v>41032800</v>
      </c>
      <c r="C28" s="13" t="s">
        <v>187</v>
      </c>
      <c r="D28" s="48">
        <v>15032.1</v>
      </c>
      <c r="E28" s="48">
        <v>0</v>
      </c>
      <c r="F28" s="49">
        <f t="shared" si="0"/>
        <v>-15032.1</v>
      </c>
      <c r="G28" s="49">
        <f t="shared" si="1"/>
        <v>0</v>
      </c>
    </row>
    <row r="29" spans="1:7" ht="31.5" customHeight="1" x14ac:dyDescent="0.25">
      <c r="A29" s="35"/>
      <c r="B29" s="46">
        <v>41033900</v>
      </c>
      <c r="C29" s="47" t="s">
        <v>62</v>
      </c>
      <c r="D29" s="48">
        <v>28333</v>
      </c>
      <c r="E29" s="48">
        <v>35979.699999999997</v>
      </c>
      <c r="F29" s="49">
        <f t="shared" si="0"/>
        <v>7646.6999999999971</v>
      </c>
      <c r="G29" s="49">
        <f t="shared" si="1"/>
        <v>126.98867045494653</v>
      </c>
    </row>
    <row r="30" spans="1:7" ht="0.75" customHeight="1" x14ac:dyDescent="0.25">
      <c r="A30" s="35"/>
      <c r="B30" s="46">
        <v>41040400</v>
      </c>
      <c r="C30" s="47" t="s">
        <v>151</v>
      </c>
      <c r="D30" s="48"/>
      <c r="E30" s="48"/>
      <c r="F30" s="49">
        <f t="shared" ref="F30:F32" si="4">E30-D30</f>
        <v>0</v>
      </c>
      <c r="G30" s="49">
        <f t="shared" ref="G30:G32" si="5">IF(D30=0,0,E30/D30*100)</f>
        <v>0</v>
      </c>
    </row>
    <row r="31" spans="1:7" ht="48" customHeight="1" x14ac:dyDescent="0.25">
      <c r="A31" s="35"/>
      <c r="B31" s="46">
        <v>41035400</v>
      </c>
      <c r="C31" s="13" t="s">
        <v>63</v>
      </c>
      <c r="D31" s="48">
        <v>123</v>
      </c>
      <c r="E31" s="48">
        <v>161</v>
      </c>
      <c r="F31" s="49">
        <f t="shared" si="4"/>
        <v>38</v>
      </c>
      <c r="G31" s="49">
        <f t="shared" si="5"/>
        <v>130.89430894308941</v>
      </c>
    </row>
    <row r="32" spans="1:7" ht="66" customHeight="1" x14ac:dyDescent="0.25">
      <c r="A32" s="35"/>
      <c r="B32" s="46">
        <v>41036000</v>
      </c>
      <c r="C32" s="13" t="s">
        <v>64</v>
      </c>
      <c r="D32" s="48">
        <v>143.19999999999999</v>
      </c>
      <c r="E32" s="48">
        <v>0</v>
      </c>
      <c r="F32" s="49">
        <f t="shared" si="4"/>
        <v>-143.19999999999999</v>
      </c>
      <c r="G32" s="49">
        <f t="shared" si="5"/>
        <v>0</v>
      </c>
    </row>
    <row r="33" spans="1:7" ht="48.75" customHeight="1" x14ac:dyDescent="0.25">
      <c r="A33" s="35"/>
      <c r="B33" s="46">
        <v>41036300</v>
      </c>
      <c r="C33" s="13" t="s">
        <v>65</v>
      </c>
      <c r="D33" s="48">
        <v>1931.7</v>
      </c>
      <c r="E33" s="48">
        <v>5729</v>
      </c>
      <c r="F33" s="49">
        <f t="shared" ref="F33:F34" si="6">E33-D33</f>
        <v>3797.3</v>
      </c>
      <c r="G33" s="49">
        <f t="shared" ref="G33:G34" si="7">IF(D33=0,0,E33/D33*100)</f>
        <v>296.57814360407929</v>
      </c>
    </row>
    <row r="34" spans="1:7" ht="0.75" hidden="1" customHeight="1" x14ac:dyDescent="0.25">
      <c r="A34" s="35"/>
      <c r="B34" s="46">
        <v>41053900</v>
      </c>
      <c r="C34" s="47" t="s">
        <v>66</v>
      </c>
      <c r="D34" s="49">
        <v>0</v>
      </c>
      <c r="E34" s="49">
        <v>0</v>
      </c>
      <c r="F34" s="49">
        <f t="shared" si="6"/>
        <v>0</v>
      </c>
      <c r="G34" s="49">
        <f t="shared" si="7"/>
        <v>0</v>
      </c>
    </row>
    <row r="35" spans="1:7" ht="63" hidden="1" customHeight="1" x14ac:dyDescent="0.25">
      <c r="A35" s="35"/>
      <c r="B35" s="7">
        <v>41051700</v>
      </c>
      <c r="C35" s="13" t="s">
        <v>188</v>
      </c>
      <c r="D35" s="48">
        <v>0</v>
      </c>
      <c r="E35" s="48">
        <v>0</v>
      </c>
      <c r="F35" s="49">
        <f t="shared" si="0"/>
        <v>0</v>
      </c>
      <c r="G35" s="49">
        <f t="shared" si="1"/>
        <v>0</v>
      </c>
    </row>
    <row r="36" spans="1:7" ht="63" customHeight="1" x14ac:dyDescent="0.25">
      <c r="A36" s="35"/>
      <c r="B36" s="7">
        <v>41057900</v>
      </c>
      <c r="C36" s="13" t="s">
        <v>67</v>
      </c>
      <c r="D36" s="48">
        <v>138.69999999999999</v>
      </c>
      <c r="E36" s="48">
        <v>0</v>
      </c>
      <c r="F36" s="49">
        <f t="shared" ref="F36" si="8">E36-D36</f>
        <v>-138.69999999999999</v>
      </c>
      <c r="G36" s="49">
        <f t="shared" ref="G36" si="9">IF(D36=0,0,E36/D36*100)</f>
        <v>0</v>
      </c>
    </row>
    <row r="37" spans="1:7" ht="93" customHeight="1" x14ac:dyDescent="0.25">
      <c r="A37" s="35"/>
      <c r="B37" s="7">
        <v>41059300</v>
      </c>
      <c r="C37" s="13" t="s">
        <v>74</v>
      </c>
      <c r="D37" s="49">
        <v>184.3</v>
      </c>
      <c r="E37" s="49">
        <v>555.9</v>
      </c>
      <c r="F37" s="49">
        <f t="shared" si="0"/>
        <v>371.59999999999997</v>
      </c>
      <c r="G37" s="49">
        <f t="shared" si="1"/>
        <v>301.62778079218663</v>
      </c>
    </row>
    <row r="38" spans="1:7" ht="15" x14ac:dyDescent="0.25">
      <c r="A38" s="99" t="s">
        <v>70</v>
      </c>
      <c r="B38" s="100"/>
      <c r="C38" s="100"/>
      <c r="D38" s="54">
        <f>D6+D15</f>
        <v>81211.500000000015</v>
      </c>
      <c r="E38" s="54">
        <f>E6+E15</f>
        <v>116062.7</v>
      </c>
      <c r="F38" s="54">
        <f t="shared" si="0"/>
        <v>34851.199999999983</v>
      </c>
      <c r="G38" s="54">
        <f t="shared" si="1"/>
        <v>142.91411930576331</v>
      </c>
    </row>
    <row r="39" spans="1:7" ht="15" x14ac:dyDescent="0.25">
      <c r="A39" s="99" t="s">
        <v>189</v>
      </c>
      <c r="B39" s="100"/>
      <c r="C39" s="100"/>
      <c r="D39" s="54">
        <f>D38+D23</f>
        <v>147934.30000000002</v>
      </c>
      <c r="E39" s="54">
        <f>E38+E23</f>
        <v>180040.7</v>
      </c>
      <c r="F39" s="54">
        <f t="shared" si="0"/>
        <v>32106.399999999994</v>
      </c>
      <c r="G39" s="54">
        <f t="shared" si="1"/>
        <v>121.70314795148927</v>
      </c>
    </row>
    <row r="41" spans="1:7" x14ac:dyDescent="0.2">
      <c r="D41" s="56"/>
    </row>
  </sheetData>
  <mergeCells count="4">
    <mergeCell ref="B2:G2"/>
    <mergeCell ref="B3:G3"/>
    <mergeCell ref="A38:C38"/>
    <mergeCell ref="A39:C39"/>
  </mergeCells>
  <pageMargins left="0.78740157480314965" right="0.19685039370078741" top="0.59055118110236227" bottom="0.19685039370078741" header="0" footer="0"/>
  <pageSetup paperSize="9" scale="64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A135-1897-4592-9F38-514BC441966D}">
  <dimension ref="A2:J28"/>
  <sheetViews>
    <sheetView workbookViewId="0">
      <selection activeCell="G38" sqref="G38"/>
    </sheetView>
  </sheetViews>
  <sheetFormatPr defaultRowHeight="12.75" x14ac:dyDescent="0.2"/>
  <cols>
    <col min="1" max="1" width="0.140625" style="31" customWidth="1"/>
    <col min="2" max="2" width="10.42578125" style="55" customWidth="1"/>
    <col min="3" max="3" width="49.140625" style="31" customWidth="1"/>
    <col min="4" max="4" width="17.5703125" style="55" customWidth="1"/>
    <col min="5" max="5" width="16.5703125" style="55" customWidth="1"/>
    <col min="6" max="6" width="13.7109375" style="55" customWidth="1"/>
    <col min="7" max="7" width="13.85546875" style="55" customWidth="1"/>
    <col min="8" max="16384" width="9.140625" style="31"/>
  </cols>
  <sheetData>
    <row r="2" spans="1:10" ht="15.75" x14ac:dyDescent="0.25">
      <c r="A2" s="32" t="s">
        <v>190</v>
      </c>
      <c r="B2" s="98" t="s">
        <v>172</v>
      </c>
      <c r="C2" s="98"/>
      <c r="D2" s="98"/>
      <c r="E2" s="98"/>
      <c r="F2" s="98"/>
      <c r="G2" s="98"/>
    </row>
    <row r="3" spans="1:10" ht="15.75" x14ac:dyDescent="0.25">
      <c r="A3" s="29" t="s">
        <v>191</v>
      </c>
      <c r="B3" s="98" t="s">
        <v>192</v>
      </c>
      <c r="C3" s="98"/>
      <c r="D3" s="98"/>
      <c r="E3" s="98"/>
      <c r="F3" s="98"/>
      <c r="G3" s="98"/>
      <c r="H3" s="30"/>
      <c r="I3" s="30"/>
      <c r="J3" s="30"/>
    </row>
    <row r="4" spans="1:10" x14ac:dyDescent="0.2">
      <c r="A4" s="32"/>
      <c r="B4" s="33"/>
      <c r="C4" s="32"/>
      <c r="D4" s="33"/>
      <c r="E4" s="33"/>
      <c r="F4" s="33"/>
      <c r="G4" s="33" t="s">
        <v>174</v>
      </c>
    </row>
    <row r="5" spans="1:10" ht="49.5" customHeight="1" x14ac:dyDescent="0.2">
      <c r="A5" s="57"/>
      <c r="B5" s="36" t="s">
        <v>0</v>
      </c>
      <c r="C5" s="36" t="s">
        <v>1</v>
      </c>
      <c r="D5" s="37" t="s">
        <v>205</v>
      </c>
      <c r="E5" s="37" t="s">
        <v>207</v>
      </c>
      <c r="F5" s="37" t="s">
        <v>175</v>
      </c>
      <c r="G5" s="37" t="s">
        <v>69</v>
      </c>
    </row>
    <row r="6" spans="1:10" ht="19.5" customHeight="1" x14ac:dyDescent="0.25">
      <c r="A6" s="35"/>
      <c r="B6" s="58">
        <v>10000000</v>
      </c>
      <c r="C6" s="59" t="s">
        <v>176</v>
      </c>
      <c r="D6" s="60">
        <f>D7</f>
        <v>18.399999999999999</v>
      </c>
      <c r="E6" s="60">
        <f>E7</f>
        <v>16.2</v>
      </c>
      <c r="F6" s="60">
        <f t="shared" ref="F6:F28" si="0">E6-D6</f>
        <v>-2.1999999999999993</v>
      </c>
      <c r="G6" s="60">
        <f t="shared" ref="G6:G28" si="1">IF(D6=0,0,E6/D6*100)</f>
        <v>88.043478260869563</v>
      </c>
    </row>
    <row r="7" spans="1:10" ht="18.75" customHeight="1" x14ac:dyDescent="0.25">
      <c r="A7" s="35"/>
      <c r="B7" s="42">
        <v>19000000</v>
      </c>
      <c r="C7" s="43" t="s">
        <v>193</v>
      </c>
      <c r="D7" s="45">
        <f>D8</f>
        <v>18.399999999999999</v>
      </c>
      <c r="E7" s="45">
        <f>E8</f>
        <v>16.2</v>
      </c>
      <c r="F7" s="45">
        <f t="shared" si="0"/>
        <v>-2.1999999999999993</v>
      </c>
      <c r="G7" s="45">
        <f t="shared" si="1"/>
        <v>88.043478260869563</v>
      </c>
    </row>
    <row r="8" spans="1:10" s="62" customFormat="1" ht="18.75" customHeight="1" x14ac:dyDescent="0.25">
      <c r="A8" s="61"/>
      <c r="B8" s="46">
        <v>19010000</v>
      </c>
      <c r="C8" s="47" t="s">
        <v>194</v>
      </c>
      <c r="D8" s="49">
        <v>18.399999999999999</v>
      </c>
      <c r="E8" s="49">
        <v>16.2</v>
      </c>
      <c r="F8" s="49">
        <f t="shared" si="0"/>
        <v>-2.1999999999999993</v>
      </c>
      <c r="G8" s="49">
        <f t="shared" si="1"/>
        <v>88.043478260869563</v>
      </c>
    </row>
    <row r="9" spans="1:10" ht="23.25" customHeight="1" x14ac:dyDescent="0.25">
      <c r="A9" s="35"/>
      <c r="B9" s="58">
        <v>20000000</v>
      </c>
      <c r="C9" s="59" t="s">
        <v>181</v>
      </c>
      <c r="D9" s="60">
        <f>D12+D10+D11</f>
        <v>5141.7</v>
      </c>
      <c r="E9" s="60">
        <f>E12+E10+E11</f>
        <v>24795</v>
      </c>
      <c r="F9" s="60">
        <f t="shared" si="0"/>
        <v>19653.3</v>
      </c>
      <c r="G9" s="63">
        <f t="shared" si="1"/>
        <v>482.23350253807109</v>
      </c>
    </row>
    <row r="10" spans="1:10" ht="51" hidden="1" customHeight="1" x14ac:dyDescent="0.25">
      <c r="A10" s="35"/>
      <c r="B10" s="64">
        <v>21110000</v>
      </c>
      <c r="C10" s="13" t="s">
        <v>195</v>
      </c>
      <c r="D10" s="48">
        <v>0</v>
      </c>
      <c r="E10" s="48"/>
      <c r="F10" s="49">
        <f t="shared" si="0"/>
        <v>0</v>
      </c>
      <c r="G10" s="49">
        <f t="shared" si="1"/>
        <v>0</v>
      </c>
    </row>
    <row r="11" spans="1:10" ht="18" customHeight="1" x14ac:dyDescent="0.25">
      <c r="A11" s="35"/>
      <c r="B11" s="64">
        <v>24060000</v>
      </c>
      <c r="C11" s="13" t="s">
        <v>44</v>
      </c>
      <c r="D11" s="48">
        <v>31.8</v>
      </c>
      <c r="E11" s="48">
        <v>14.2</v>
      </c>
      <c r="F11" s="49">
        <f t="shared" si="0"/>
        <v>-17.600000000000001</v>
      </c>
      <c r="G11" s="49">
        <f t="shared" si="1"/>
        <v>44.654088050314463</v>
      </c>
    </row>
    <row r="12" spans="1:10" ht="19.5" customHeight="1" x14ac:dyDescent="0.25">
      <c r="A12" s="35"/>
      <c r="B12" s="42">
        <v>25000000</v>
      </c>
      <c r="C12" s="43" t="s">
        <v>196</v>
      </c>
      <c r="D12" s="45">
        <f>D13+D14</f>
        <v>5109.8999999999996</v>
      </c>
      <c r="E12" s="45">
        <f>E13+E14</f>
        <v>24780.799999999999</v>
      </c>
      <c r="F12" s="45">
        <f t="shared" si="0"/>
        <v>19670.900000000001</v>
      </c>
      <c r="G12" s="45">
        <f t="shared" si="1"/>
        <v>484.95665277206996</v>
      </c>
    </row>
    <row r="13" spans="1:10" ht="35.25" customHeight="1" x14ac:dyDescent="0.25">
      <c r="A13" s="35"/>
      <c r="B13" s="46">
        <v>25010000</v>
      </c>
      <c r="C13" s="47" t="s">
        <v>197</v>
      </c>
      <c r="D13" s="49">
        <v>181.2</v>
      </c>
      <c r="E13" s="49">
        <v>290.8</v>
      </c>
      <c r="F13" s="49">
        <f t="shared" si="0"/>
        <v>109.60000000000002</v>
      </c>
      <c r="G13" s="49">
        <f t="shared" si="1"/>
        <v>160.48565121412807</v>
      </c>
    </row>
    <row r="14" spans="1:10" ht="30" x14ac:dyDescent="0.25">
      <c r="A14" s="35"/>
      <c r="B14" s="46">
        <v>25020000</v>
      </c>
      <c r="C14" s="47" t="s">
        <v>198</v>
      </c>
      <c r="D14" s="49">
        <v>4928.7</v>
      </c>
      <c r="E14" s="49">
        <v>24490</v>
      </c>
      <c r="F14" s="49">
        <f t="shared" si="0"/>
        <v>19561.3</v>
      </c>
      <c r="G14" s="49">
        <f t="shared" si="1"/>
        <v>496.8855884918944</v>
      </c>
    </row>
    <row r="15" spans="1:10" ht="18.75" customHeight="1" x14ac:dyDescent="0.25">
      <c r="A15" s="35"/>
      <c r="B15" s="58">
        <v>30000000</v>
      </c>
      <c r="C15" s="59" t="s">
        <v>199</v>
      </c>
      <c r="D15" s="60">
        <f>SUM(D16:D17)</f>
        <v>38.9</v>
      </c>
      <c r="E15" s="60">
        <f>SUM(E16:E17)</f>
        <v>0</v>
      </c>
      <c r="F15" s="60">
        <f>E15-D15</f>
        <v>-38.9</v>
      </c>
      <c r="G15" s="60">
        <f t="shared" si="1"/>
        <v>0</v>
      </c>
    </row>
    <row r="16" spans="1:10" ht="0.75" customHeight="1" x14ac:dyDescent="0.25">
      <c r="A16" s="35"/>
      <c r="B16" s="46">
        <v>33010000</v>
      </c>
      <c r="C16" s="47" t="s">
        <v>200</v>
      </c>
      <c r="D16" s="49">
        <v>0</v>
      </c>
      <c r="E16" s="49"/>
      <c r="F16" s="49">
        <f t="shared" ref="F16" si="2">E16-D16</f>
        <v>0</v>
      </c>
      <c r="G16" s="49">
        <f t="shared" si="1"/>
        <v>0</v>
      </c>
    </row>
    <row r="17" spans="1:7" ht="45" x14ac:dyDescent="0.25">
      <c r="A17" s="35"/>
      <c r="B17" s="46">
        <v>31030000</v>
      </c>
      <c r="C17" s="13" t="s">
        <v>93</v>
      </c>
      <c r="D17" s="49">
        <v>38.9</v>
      </c>
      <c r="E17" s="49">
        <v>0</v>
      </c>
      <c r="F17" s="49">
        <f t="shared" si="0"/>
        <v>-38.9</v>
      </c>
      <c r="G17" s="49">
        <f t="shared" si="1"/>
        <v>0</v>
      </c>
    </row>
    <row r="18" spans="1:7" ht="20.25" customHeight="1" x14ac:dyDescent="0.25">
      <c r="A18" s="35"/>
      <c r="B18" s="58">
        <v>40000000</v>
      </c>
      <c r="C18" s="59" t="s">
        <v>185</v>
      </c>
      <c r="D18" s="60">
        <f>SUM(D19:D24)</f>
        <v>7454.3</v>
      </c>
      <c r="E18" s="60">
        <f>SUM(E19:E24)</f>
        <v>1543.6</v>
      </c>
      <c r="F18" s="60">
        <f t="shared" si="0"/>
        <v>-5910.7000000000007</v>
      </c>
      <c r="G18" s="60">
        <f t="shared" si="1"/>
        <v>20.707511100975275</v>
      </c>
    </row>
    <row r="19" spans="1:7" ht="36" customHeight="1" x14ac:dyDescent="0.25">
      <c r="A19" s="35"/>
      <c r="B19" s="7">
        <v>41033900</v>
      </c>
      <c r="C19" s="13" t="s">
        <v>62</v>
      </c>
      <c r="D19" s="48">
        <v>1611.9</v>
      </c>
      <c r="E19" s="48">
        <v>0</v>
      </c>
      <c r="F19" s="49">
        <f t="shared" si="0"/>
        <v>-1611.9</v>
      </c>
      <c r="G19" s="49">
        <f t="shared" si="1"/>
        <v>0</v>
      </c>
    </row>
    <row r="20" spans="1:7" ht="61.5" customHeight="1" x14ac:dyDescent="0.25">
      <c r="A20" s="35"/>
      <c r="B20" s="65">
        <v>41037400</v>
      </c>
      <c r="C20" s="13" t="s">
        <v>94</v>
      </c>
      <c r="D20" s="48">
        <v>114.3</v>
      </c>
      <c r="E20" s="48">
        <v>161.1</v>
      </c>
      <c r="F20" s="49">
        <f t="shared" si="0"/>
        <v>46.8</v>
      </c>
      <c r="G20" s="49">
        <f t="shared" si="1"/>
        <v>140.94488188976376</v>
      </c>
    </row>
    <row r="21" spans="1:7" ht="60" customHeight="1" x14ac:dyDescent="0.25">
      <c r="A21" s="35"/>
      <c r="B21" s="7">
        <v>41038800</v>
      </c>
      <c r="C21" s="13" t="s">
        <v>217</v>
      </c>
      <c r="D21" s="48">
        <v>0</v>
      </c>
      <c r="E21" s="48">
        <v>387.4</v>
      </c>
      <c r="F21" s="49">
        <f t="shared" ref="F21:F22" si="3">E21-D21</f>
        <v>387.4</v>
      </c>
      <c r="G21" s="49">
        <f t="shared" ref="G21:G22" si="4">IF(D21=0,0,E21/D21*100)</f>
        <v>0</v>
      </c>
    </row>
    <row r="22" spans="1:7" ht="47.25" customHeight="1" x14ac:dyDescent="0.25">
      <c r="A22" s="35"/>
      <c r="B22" s="7">
        <v>41053400</v>
      </c>
      <c r="C22" s="13" t="s">
        <v>216</v>
      </c>
      <c r="D22" s="48">
        <v>0</v>
      </c>
      <c r="E22" s="48">
        <v>995.1</v>
      </c>
      <c r="F22" s="49">
        <f t="shared" si="3"/>
        <v>995.1</v>
      </c>
      <c r="G22" s="49">
        <f t="shared" si="4"/>
        <v>0</v>
      </c>
    </row>
    <row r="23" spans="1:7" ht="18.75" customHeight="1" x14ac:dyDescent="0.25">
      <c r="A23" s="35"/>
      <c r="B23" s="65">
        <v>41053900</v>
      </c>
      <c r="C23" s="66" t="s">
        <v>66</v>
      </c>
      <c r="D23" s="48">
        <v>5728.1</v>
      </c>
      <c r="E23" s="48">
        <v>0</v>
      </c>
      <c r="F23" s="49">
        <f t="shared" ref="F23" si="5">E23-D23</f>
        <v>-5728.1</v>
      </c>
      <c r="G23" s="49">
        <f t="shared" ref="G23" si="6">IF(D23=0,0,E23/D23*100)</f>
        <v>0</v>
      </c>
    </row>
    <row r="24" spans="1:7" ht="60" hidden="1" x14ac:dyDescent="0.25">
      <c r="A24" s="35"/>
      <c r="B24" s="7">
        <v>41059100</v>
      </c>
      <c r="C24" s="13" t="s">
        <v>201</v>
      </c>
      <c r="D24" s="49">
        <v>0</v>
      </c>
      <c r="E24" s="49">
        <v>0</v>
      </c>
      <c r="F24" s="49">
        <f t="shared" si="0"/>
        <v>0</v>
      </c>
      <c r="G24" s="49">
        <f t="shared" si="1"/>
        <v>0</v>
      </c>
    </row>
    <row r="25" spans="1:7" ht="17.25" hidden="1" customHeight="1" x14ac:dyDescent="0.25">
      <c r="A25" s="35"/>
      <c r="B25" s="42">
        <v>50000000</v>
      </c>
      <c r="C25" s="43" t="s">
        <v>202</v>
      </c>
      <c r="D25" s="45">
        <f>D26</f>
        <v>0</v>
      </c>
      <c r="E25" s="45">
        <f>E26</f>
        <v>0</v>
      </c>
      <c r="F25" s="45">
        <f t="shared" si="0"/>
        <v>0</v>
      </c>
      <c r="G25" s="45">
        <f t="shared" si="1"/>
        <v>0</v>
      </c>
    </row>
    <row r="26" spans="1:7" ht="44.25" hidden="1" customHeight="1" x14ac:dyDescent="0.25">
      <c r="A26" s="35"/>
      <c r="B26" s="46">
        <v>50110000</v>
      </c>
      <c r="C26" s="47" t="s">
        <v>203</v>
      </c>
      <c r="D26" s="49">
        <v>0</v>
      </c>
      <c r="E26" s="49">
        <v>0</v>
      </c>
      <c r="F26" s="49">
        <f t="shared" si="0"/>
        <v>0</v>
      </c>
      <c r="G26" s="49">
        <f t="shared" si="1"/>
        <v>0</v>
      </c>
    </row>
    <row r="27" spans="1:7" ht="17.25" customHeight="1" x14ac:dyDescent="0.25">
      <c r="A27" s="99" t="s">
        <v>70</v>
      </c>
      <c r="B27" s="100"/>
      <c r="C27" s="100"/>
      <c r="D27" s="54">
        <f>D6+D9+D15+D25</f>
        <v>5198.9999999999991</v>
      </c>
      <c r="E27" s="54">
        <f>E6+E9+E15+E25</f>
        <v>24811.200000000001</v>
      </c>
      <c r="F27" s="54">
        <f t="shared" si="0"/>
        <v>19612.2</v>
      </c>
      <c r="G27" s="54">
        <f t="shared" si="1"/>
        <v>477.23023658395851</v>
      </c>
    </row>
    <row r="28" spans="1:7" ht="17.25" customHeight="1" x14ac:dyDescent="0.25">
      <c r="A28" s="99" t="s">
        <v>189</v>
      </c>
      <c r="B28" s="100"/>
      <c r="C28" s="100"/>
      <c r="D28" s="54">
        <f>D27+D18</f>
        <v>12653.3</v>
      </c>
      <c r="E28" s="54">
        <f>E27+E18</f>
        <v>26354.799999999999</v>
      </c>
      <c r="F28" s="54">
        <f t="shared" si="0"/>
        <v>13701.5</v>
      </c>
      <c r="G28" s="54">
        <f t="shared" si="1"/>
        <v>208.28400496313216</v>
      </c>
    </row>
  </sheetData>
  <mergeCells count="4">
    <mergeCell ref="B2:G2"/>
    <mergeCell ref="B3:G3"/>
    <mergeCell ref="A27:C27"/>
    <mergeCell ref="A28:C28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2026-07-01T11:12:46Z</cp:lastPrinted>
  <dcterms:created xsi:type="dcterms:W3CDTF">2025-07-01T08:43:45Z</dcterms:created>
  <dcterms:modified xsi:type="dcterms:W3CDTF">2026-07-01T11:13:20Z</dcterms:modified>
</cp:coreProperties>
</file>