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ВИКОНАННЯ БЮДЖЕТУ 2026 рік\"/>
    </mc:Choice>
  </mc:AlternateContent>
  <xr:revisionPtr revIDLastSave="0" documentId="13_ncr:1_{36808E6D-5B04-4628-9306-D0C18951B7CB}" xr6:coauthVersionLast="46" xr6:coauthVersionMax="46" xr10:uidLastSave="{00000000-0000-0000-0000-000000000000}"/>
  <bookViews>
    <workbookView xWindow="-120" yWindow="-120" windowWidth="29040" windowHeight="15840" xr2:uid="{0B80EC39-E389-439F-871A-670CE4764B51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видатки!$8:$9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<sst xmlns="http://schemas.openxmlformats.org/spreadsheetml/2006/main" count="119" uniqueCount="112">
  <si>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</si>
  <si>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</si>
  <si>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</si>
  <si>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</si>
  <si>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</si>
  <si>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</si>
  <si>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</si>
  <si>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</si>
  <si>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</si>
  <si>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</si>
  <si>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</si>
  <si>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прибуток підприємств</t>
  </si>
  <si>
    <t>Рентна плата та плата за використання інших природних ресурсів</t>
  </si>
  <si>
    <t>Внутрішні податки на товари та послуги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</si>
  <si>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</si>
  <si>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</si>
  <si>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Єдиний податок</t>
  </si>
  <si>
    <t>Неподаткові надходження</t>
  </si>
  <si>
    <t>Офіційні трансферти</t>
  </si>
  <si>
    <t>Базова дотація</t>
  </si>
  <si>
    <t>Додаткова дотація з державного бюджету місцевим бюджетам на функціонування територій, на яких ведуться бойові дії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</si>
  <si>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</si>
  <si>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закладів загальної середньої освіти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</si>
  <si>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</si>
  <si>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</si>
  <si>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</si>
  <si>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</si>
  <si>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</si>
  <si>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</si>
  <si>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тис. грн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</si>
  <si>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</si>
  <si>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</si>
  <si>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</si>
  <si>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</si>
  <si>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</si>
  <si>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</si>
  <si>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</si>
  <si>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% виконання на вказаний період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</si>
  <si>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</si>
  <si>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</si>
  <si>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</si>
  <si>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</si>
  <si>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</si>
  <si>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</si>
  <si>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</si>
  <si>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</si>
  <si>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</si>
  <si>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</si>
  <si>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</si>
  <si>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</si>
  <si>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</si>
  <si>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</si>
  <si>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</si>
  <si>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</si>
  <si>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0112152</t>
  </si>
  <si>
    <t>Інші програми та заходи у сфері охорони здоров`я</t>
  </si>
  <si>
    <t>0113031</t>
  </si>
  <si>
    <t>Надання інших пільг окремим категоріям громадян відповідно до законодавства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</si>
  <si>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</si>
  <si>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</si>
  <si>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</si>
  <si>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</si>
  <si>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</si>
  <si>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</si>
  <si>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</si>
  <si>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</si>
  <si>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</si>
  <si>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</si>
  <si>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</si>
  <si>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та заклади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</si>
  <si>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</si>
  <si>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</si>
  <si>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</si>
  <si>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</si>
  <si>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</si>
  <si>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</si>
  <si>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</si>
  <si>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</si>
  <si>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0117461</t>
  </si>
  <si>
    <t>Утримання та розвиток автомобільних доріг та дорожньої інфраструктури за рахунок коштів місцевого бюджету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</si>
  <si>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</si>
  <si>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</si>
  <si>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</si>
  <si>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</si>
  <si>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</si>
  <si>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</si>
  <si>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</si>
  <si>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</si>
  <si>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</si>
  <si>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</si>
  <si>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</si>
  <si>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</si>
  <si>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</si>
  <si>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</si>
  <si>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</si>
  <si>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</si>
  <si>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</si>
  <si>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</si>
  <si>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1617350</t>
  </si>
  <si>
    <t>Розроблення схем планування та забудови територій (містобудівної документації)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</si>
  <si>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</si>
  <si>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</si>
  <si>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</si>
  <si>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</si>
  <si>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</si>
  <si>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ІНФОРМАЦІЯ</t>
  </si>
  <si>
    <t>про виконання видаткової частини місцевого бюджету</t>
  </si>
  <si>
    <t>загальний фонд</t>
  </si>
  <si>
    <t>за січень-травень 2026 року</t>
  </si>
  <si>
    <t>про виконання доходної частини місцевого бюджету</t>
  </si>
  <si>
    <t>Всього без урахування трансфертів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</si>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</sst>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2" fillId="0" borderId="0" xfId="1"/>
    <xf numFmtId="0" fontId="2" fillId="0" borderId="0" xfId="1" applyAlignment="1">
      <alignment horizontal="right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4" fontId="2" fillId="0" borderId="1" xfId="1" applyNumberFormat="1" applyBorder="1" applyAlignment="1">
      <alignment vertical="center"/>
    </xf>
    <xf numFmtId="4" fontId="2" fillId="2" borderId="1" xfId="1" applyNumberFormat="1" applyFill="1" applyBorder="1" applyAlignment="1">
      <alignment vertical="center"/>
    </xf>
    <xf numFmtId="4" fontId="2" fillId="0" borderId="0" xfId="1" applyNumberFormat="1" applyAlignment="1">
      <alignment vertical="center"/>
    </xf>
    <xf numFmtId="4" fontId="5" fillId="0" borderId="0" xfId="1" applyNumberFormat="1" applyFont="1" applyAlignment="1">
      <alignment vertical="center"/>
    </xf>
    <xf numFmtId="0" fontId="5" fillId="0" borderId="0" xfId="1" applyFont="1"/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0" fillId="0" borderId="0" xfId="0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vertical="center" wrapText="1"/>
    </xf>
    <xf numFmtId="4" fontId="5" fillId="3" borderId="1" xfId="1" applyNumberFormat="1" applyFont="1" applyFill="1" applyBorder="1" applyAlignment="1">
      <alignment vertical="center"/>
    </xf>
    <xf numFmtId="0" fontId="1" fillId="0" borderId="1" xfId="0" quotePrefix="1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/>
    <xf numFmtId="164" fontId="1" fillId="3" borderId="1" xfId="0" applyNumberFormat="1" applyFont="1" applyFill="1" applyBorder="1"/>
    <xf numFmtId="4" fontId="1" fillId="0" borderId="1" xfId="0" applyNumberFormat="1" applyFont="1" applyBorder="1"/>
    <xf numFmtId="4" fontId="0" fillId="0" borderId="1" xfId="0" applyNumberFormat="1" applyBorder="1"/>
    <xf numFmtId="4" fontId="1" fillId="3" borderId="1" xfId="0" applyNumberFormat="1" applyFont="1" applyFill="1" applyBorder="1"/>
    <xf numFmtId="4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0" xfId="0" applyFont="1" applyAlignment="1">
      <alignment horizontal="center"/>
    </xf>
    <xf numFmtId="0" fontId="8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1" applyFont="1" applyAlignment="1">
      <alignment horizontal="center"/>
    </xf>
  </cellXfs>
  <cellStyles count="2">
    <cellStyle name="Обычный" xfId="0" builtinId="0"/>
    <cellStyle name="Обычный 2" xfId="1" xr:uid="{3197F5FE-3A28-4607-AA07-5CC3912DC0AA}"/>
  </cellStyles>
  <dxfs count="48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74B7-62FF-4F2F-9692-4A49F80347CC}">
  <dimension ref="A2:K32"/>
  <sheetViews>
    <sheetView tabSelected="1" topLeftCell="A10" workbookViewId="0">
      <selection activeCell="L17" sqref="L17"/>
    </sheetView>
  </sheetViews>
  <sheetFormatPr defaultRowHeight="15" x14ac:dyDescent="0.25"/>
  <cols>
    <col min="2" max="2" width="61.140625" customWidth="1"/>
    <col min="3" max="3" width="13.7109375" customWidth="1"/>
    <col min="4" max="5" width="13.85546875" customWidth="1"/>
    <col min="6" max="6" width="12" customWidth="1"/>
    <col min="7" max="7" width="11.7109375" customWidth="1"/>
    <col min="8" max="8" width="10.28515625" customWidth="1"/>
  </cols>
  <sheetData>
    <row r="2" spans="1:11" x14ac:dyDescent="0.25">
      <c r="A2" s="37" t="s">
        <v>105</v>
      </c>
      <c r="B2" s="37"/>
      <c r="C2" s="37"/>
      <c r="D2" s="37"/>
      <c r="E2" s="37"/>
      <c r="F2" s="37"/>
      <c r="G2" s="37"/>
      <c r="H2" s="1"/>
      <c r="I2" s="1"/>
      <c r="J2" s="1"/>
      <c r="K2" s="1"/>
    </row>
    <row r="3" spans="1:11" x14ac:dyDescent="0.25">
      <c r="A3" s="37" t="s">
        <v>109</v>
      </c>
      <c r="B3" s="37"/>
      <c r="C3" s="37"/>
      <c r="D3" s="37"/>
      <c r="E3" s="37"/>
      <c r="F3" s="37"/>
      <c r="G3" s="37"/>
      <c r="H3" s="1"/>
      <c r="I3" s="1"/>
      <c r="J3" s="1"/>
      <c r="K3" s="1"/>
    </row>
    <row r="4" spans="1:11" x14ac:dyDescent="0.25">
      <c r="A4" s="37" t="s">
        <v>107</v>
      </c>
      <c r="B4" s="37"/>
      <c r="C4" s="37"/>
      <c r="D4" s="37"/>
      <c r="E4" s="37"/>
      <c r="F4" s="37"/>
      <c r="G4" s="37"/>
      <c r="H4" s="1"/>
      <c r="I4" s="1"/>
      <c r="J4" s="1"/>
      <c r="K4" s="1"/>
    </row>
    <row r="5" spans="1:11" x14ac:dyDescent="0.25">
      <c r="A5" s="37" t="s">
        <v>108</v>
      </c>
      <c r="B5" s="37"/>
      <c r="C5" s="37"/>
      <c r="D5" s="37"/>
      <c r="E5" s="37"/>
      <c r="F5" s="37"/>
      <c r="G5" s="37"/>
      <c r="H5" s="1"/>
      <c r="I5" s="1"/>
      <c r="J5" s="1"/>
      <c r="K5" s="1"/>
    </row>
    <row r="6" spans="1:11" x14ac:dyDescent="0.25">
      <c r="F6" s="22" t="s">
        <v>29</v>
      </c>
    </row>
    <row r="7" spans="1:11" x14ac:dyDescent="0.25">
      <c r="A7" s="39" t="s">
        <v>0</v>
      </c>
      <c r="B7" s="41" t="s">
        <v>1</v>
      </c>
      <c r="C7" s="26" t="s">
        <v>2</v>
      </c>
      <c r="D7" s="2"/>
      <c r="E7" s="2"/>
      <c r="F7" s="2"/>
      <c r="G7" s="2"/>
    </row>
    <row r="8" spans="1:11" ht="28.5" customHeight="1" x14ac:dyDescent="0.25">
      <c r="A8" s="40"/>
      <c r="B8" s="42"/>
      <c r="C8" s="3" t="s">
        <v>3</v>
      </c>
      <c r="D8" s="3" t="s">
        <v>4</v>
      </c>
      <c r="E8" s="4" t="s">
        <v>5</v>
      </c>
      <c r="F8" s="4" t="s">
        <v>6</v>
      </c>
      <c r="G8" s="4" t="s">
        <v>7</v>
      </c>
    </row>
    <row r="9" spans="1:11" s="29" customFormat="1" x14ac:dyDescent="0.25">
      <c r="A9" s="27">
        <v>10000000</v>
      </c>
      <c r="B9" s="35" t="s">
        <v>8</v>
      </c>
      <c r="C9" s="31">
        <v>168211.76300000001</v>
      </c>
      <c r="D9" s="31">
        <v>81934.642999999996</v>
      </c>
      <c r="E9" s="31">
        <v>94311.550329999998</v>
      </c>
      <c r="F9" s="31">
        <f t="shared" ref="F9:F16" si="0">E9-D9</f>
        <v>12376.907330000002</v>
      </c>
      <c r="G9" s="28">
        <f t="shared" ref="G9:G16" si="1">IF(D9=0,0,E9/D9*100)</f>
        <v>115.10582932545394</v>
      </c>
    </row>
    <row r="10" spans="1:11" ht="30" x14ac:dyDescent="0.25">
      <c r="A10" s="2">
        <v>11000000</v>
      </c>
      <c r="B10" s="36" t="s">
        <v>9</v>
      </c>
      <c r="C10" s="32">
        <v>74407.8</v>
      </c>
      <c r="D10" s="32">
        <v>35007.1</v>
      </c>
      <c r="E10" s="32">
        <v>40515.867760000008</v>
      </c>
      <c r="F10" s="32">
        <f t="shared" si="0"/>
        <v>5508.7677600000097</v>
      </c>
      <c r="G10" s="5">
        <f t="shared" si="1"/>
        <v>115.73614426787711</v>
      </c>
    </row>
    <row r="11" spans="1:11" x14ac:dyDescent="0.25">
      <c r="A11" s="2">
        <v>11010000</v>
      </c>
      <c r="B11" s="36" t="s">
        <v>10</v>
      </c>
      <c r="C11" s="32">
        <v>74302.8</v>
      </c>
      <c r="D11" s="32">
        <v>34952.1</v>
      </c>
      <c r="E11" s="32">
        <v>40358.574760000003</v>
      </c>
      <c r="F11" s="32">
        <f t="shared" si="0"/>
        <v>5406.4747600000046</v>
      </c>
      <c r="G11" s="5">
        <f t="shared" si="1"/>
        <v>115.46824013435533</v>
      </c>
    </row>
    <row r="12" spans="1:11" x14ac:dyDescent="0.25">
      <c r="A12" s="2">
        <v>11020000</v>
      </c>
      <c r="B12" s="36" t="s">
        <v>11</v>
      </c>
      <c r="C12" s="32">
        <v>105</v>
      </c>
      <c r="D12" s="32">
        <v>55</v>
      </c>
      <c r="E12" s="32">
        <v>157.29300000000001</v>
      </c>
      <c r="F12" s="32">
        <f t="shared" si="0"/>
        <v>102.29300000000001</v>
      </c>
      <c r="G12" s="5">
        <f t="shared" si="1"/>
        <v>285.98727272727274</v>
      </c>
    </row>
    <row r="13" spans="1:11" ht="22.5" customHeight="1" x14ac:dyDescent="0.25">
      <c r="A13" s="2">
        <v>13000000</v>
      </c>
      <c r="B13" s="36" t="s">
        <v>12</v>
      </c>
      <c r="C13" s="32">
        <v>1.3</v>
      </c>
      <c r="D13" s="32">
        <v>0.72</v>
      </c>
      <c r="E13" s="32">
        <v>0.93240999999999996</v>
      </c>
      <c r="F13" s="32">
        <f t="shared" si="0"/>
        <v>0.21240999999999999</v>
      </c>
      <c r="G13" s="5">
        <f t="shared" si="1"/>
        <v>129.5013888888889</v>
      </c>
    </row>
    <row r="14" spans="1:11" x14ac:dyDescent="0.25">
      <c r="A14" s="2">
        <v>14000000</v>
      </c>
      <c r="B14" s="36" t="s">
        <v>13</v>
      </c>
      <c r="C14" s="32">
        <v>32685.88</v>
      </c>
      <c r="D14" s="32">
        <v>15537.88</v>
      </c>
      <c r="E14" s="32">
        <v>16393.653880000002</v>
      </c>
      <c r="F14" s="32">
        <f t="shared" si="0"/>
        <v>855.77388000000246</v>
      </c>
      <c r="G14" s="5">
        <f t="shared" si="1"/>
        <v>105.50766179169875</v>
      </c>
    </row>
    <row r="15" spans="1:11" s="29" customFormat="1" ht="30" x14ac:dyDescent="0.25">
      <c r="A15" s="27">
        <v>18000000</v>
      </c>
      <c r="B15" s="35" t="s">
        <v>14</v>
      </c>
      <c r="C15" s="31">
        <v>61116.783000000003</v>
      </c>
      <c r="D15" s="31">
        <v>31388.942999999999</v>
      </c>
      <c r="E15" s="31">
        <v>37401.096279999998</v>
      </c>
      <c r="F15" s="31">
        <f t="shared" si="0"/>
        <v>6012.1532799999986</v>
      </c>
      <c r="G15" s="28">
        <f t="shared" si="1"/>
        <v>119.15372964295101</v>
      </c>
    </row>
    <row r="16" spans="1:11" x14ac:dyDescent="0.25">
      <c r="A16" s="2">
        <v>18010000</v>
      </c>
      <c r="B16" s="36" t="s">
        <v>15</v>
      </c>
      <c r="C16" s="32">
        <v>19218.599999999999</v>
      </c>
      <c r="D16" s="32">
        <v>6976.76</v>
      </c>
      <c r="E16" s="32">
        <v>8794.9322599999996</v>
      </c>
      <c r="F16" s="32">
        <f t="shared" si="0"/>
        <v>1818.1722599999994</v>
      </c>
      <c r="G16" s="5">
        <f t="shared" si="1"/>
        <v>126.06040998973735</v>
      </c>
    </row>
    <row r="17" spans="1:7" x14ac:dyDescent="0.25">
      <c r="A17" s="2">
        <v>18050000</v>
      </c>
      <c r="B17" s="36" t="s">
        <v>16</v>
      </c>
      <c r="C17" s="32">
        <v>41898.182999999997</v>
      </c>
      <c r="D17" s="32">
        <v>24412.183000000001</v>
      </c>
      <c r="E17" s="32">
        <v>28606.164019999997</v>
      </c>
      <c r="F17" s="32">
        <f t="shared" ref="F17:F23" si="2">E17-D17</f>
        <v>4193.9810199999956</v>
      </c>
      <c r="G17" s="5">
        <f t="shared" ref="G17:G23" si="3">IF(D17=0,0,E17/D17*100)</f>
        <v>117.1798688384402</v>
      </c>
    </row>
    <row r="18" spans="1:7" s="29" customFormat="1" x14ac:dyDescent="0.25">
      <c r="A18" s="27">
        <v>20000000</v>
      </c>
      <c r="B18" s="35" t="s">
        <v>17</v>
      </c>
      <c r="C18" s="31">
        <v>4049.3</v>
      </c>
      <c r="D18" s="31">
        <v>2842.76</v>
      </c>
      <c r="E18" s="31">
        <v>3161.2214199999999</v>
      </c>
      <c r="F18" s="31">
        <f t="shared" si="2"/>
        <v>318.46141999999963</v>
      </c>
      <c r="G18" s="28">
        <f t="shared" si="3"/>
        <v>111.20254330298722</v>
      </c>
    </row>
    <row r="19" spans="1:7" s="29" customFormat="1" x14ac:dyDescent="0.25">
      <c r="A19" s="27">
        <v>40000000</v>
      </c>
      <c r="B19" s="35" t="s">
        <v>18</v>
      </c>
      <c r="C19" s="31">
        <v>88450.463000000003</v>
      </c>
      <c r="D19" s="31">
        <v>49344.527000000002</v>
      </c>
      <c r="E19" s="31">
        <v>49132.639999999999</v>
      </c>
      <c r="F19" s="31">
        <f t="shared" si="2"/>
        <v>-211.88700000000244</v>
      </c>
      <c r="G19" s="28">
        <f t="shared" si="3"/>
        <v>99.570596755340262</v>
      </c>
    </row>
    <row r="20" spans="1:7" x14ac:dyDescent="0.25">
      <c r="A20" s="2">
        <v>41020100</v>
      </c>
      <c r="B20" s="36" t="s">
        <v>19</v>
      </c>
      <c r="C20" s="32">
        <v>22616</v>
      </c>
      <c r="D20" s="32">
        <v>9423.5</v>
      </c>
      <c r="E20" s="32">
        <v>9423.5</v>
      </c>
      <c r="F20" s="32">
        <f t="shared" si="2"/>
        <v>0</v>
      </c>
      <c r="G20" s="5">
        <f t="shared" si="3"/>
        <v>100</v>
      </c>
    </row>
    <row r="21" spans="1:7" ht="30" x14ac:dyDescent="0.25">
      <c r="A21" s="2">
        <v>41020300</v>
      </c>
      <c r="B21" s="36" t="s">
        <v>20</v>
      </c>
      <c r="C21" s="32">
        <v>6228.3</v>
      </c>
      <c r="D21" s="32">
        <v>2595</v>
      </c>
      <c r="E21" s="32">
        <v>2595</v>
      </c>
      <c r="F21" s="32">
        <f t="shared" si="2"/>
        <v>0</v>
      </c>
      <c r="G21" s="5">
        <f t="shared" si="3"/>
        <v>100</v>
      </c>
    </row>
    <row r="22" spans="1:7" ht="75" x14ac:dyDescent="0.25">
      <c r="A22" s="2">
        <v>41021400</v>
      </c>
      <c r="B22" s="36" t="s">
        <v>21</v>
      </c>
      <c r="C22" s="32">
        <v>10140.4</v>
      </c>
      <c r="D22" s="32">
        <v>4225</v>
      </c>
      <c r="E22" s="32">
        <v>4225</v>
      </c>
      <c r="F22" s="32">
        <f t="shared" si="2"/>
        <v>0</v>
      </c>
      <c r="G22" s="5">
        <f t="shared" si="3"/>
        <v>100</v>
      </c>
    </row>
    <row r="23" spans="1:7" ht="45" x14ac:dyDescent="0.25">
      <c r="A23" s="2">
        <v>41031100</v>
      </c>
      <c r="B23" s="36" t="s">
        <v>22</v>
      </c>
      <c r="C23" s="32">
        <v>2060.1999999999998</v>
      </c>
      <c r="D23" s="32">
        <v>2060.1999999999998</v>
      </c>
      <c r="E23" s="32">
        <v>2060.1999999999998</v>
      </c>
      <c r="F23" s="32">
        <f t="shared" si="2"/>
        <v>0</v>
      </c>
      <c r="G23" s="5">
        <f t="shared" si="3"/>
        <v>100</v>
      </c>
    </row>
    <row r="24" spans="1:7" x14ac:dyDescent="0.25">
      <c r="A24" s="2">
        <v>41033900</v>
      </c>
      <c r="B24" s="36" t="s">
        <v>23</v>
      </c>
      <c r="C24" s="32">
        <v>40191.9</v>
      </c>
      <c r="D24" s="32">
        <v>25457.7</v>
      </c>
      <c r="E24" s="32">
        <v>25457.7</v>
      </c>
      <c r="F24" s="32">
        <f t="shared" ref="F24:F31" si="4">E24-D24</f>
        <v>0</v>
      </c>
      <c r="G24" s="5">
        <f t="shared" ref="G24:G31" si="5">IF(D24=0,0,E24/D24*100)</f>
        <v>100</v>
      </c>
    </row>
    <row r="25" spans="1:7" ht="45" x14ac:dyDescent="0.25">
      <c r="A25" s="2">
        <v>41035400</v>
      </c>
      <c r="B25" s="36" t="s">
        <v>24</v>
      </c>
      <c r="C25" s="32">
        <v>161</v>
      </c>
      <c r="D25" s="32">
        <v>134</v>
      </c>
      <c r="E25" s="32">
        <v>134</v>
      </c>
      <c r="F25" s="32">
        <f t="shared" si="4"/>
        <v>0</v>
      </c>
      <c r="G25" s="5">
        <f t="shared" si="5"/>
        <v>100</v>
      </c>
    </row>
    <row r="26" spans="1:7" ht="45" x14ac:dyDescent="0.25">
      <c r="A26" s="2">
        <v>41036300</v>
      </c>
      <c r="B26" s="36" t="s">
        <v>25</v>
      </c>
      <c r="C26" s="32">
        <v>5729</v>
      </c>
      <c r="D26" s="32">
        <v>4774</v>
      </c>
      <c r="E26" s="32">
        <v>4774</v>
      </c>
      <c r="F26" s="32">
        <f t="shared" si="4"/>
        <v>0</v>
      </c>
      <c r="G26" s="5">
        <f t="shared" si="5"/>
        <v>100</v>
      </c>
    </row>
    <row r="27" spans="1:7" x14ac:dyDescent="0.25">
      <c r="A27" s="2">
        <v>41050000</v>
      </c>
      <c r="B27" s="36" t="s">
        <v>26</v>
      </c>
      <c r="C27" s="32">
        <v>1323.663</v>
      </c>
      <c r="D27" s="32">
        <v>675.12699999999995</v>
      </c>
      <c r="E27" s="32">
        <v>463.24</v>
      </c>
      <c r="F27" s="32">
        <f t="shared" si="4"/>
        <v>-211.88699999999994</v>
      </c>
      <c r="G27" s="5">
        <f t="shared" si="5"/>
        <v>68.615238318123843</v>
      </c>
    </row>
    <row r="28" spans="1:7" x14ac:dyDescent="0.25">
      <c r="A28" s="2">
        <v>41053900</v>
      </c>
      <c r="B28" s="36" t="s">
        <v>27</v>
      </c>
      <c r="C28" s="32">
        <v>211.887</v>
      </c>
      <c r="D28" s="32">
        <v>211.887</v>
      </c>
      <c r="E28" s="32">
        <v>0</v>
      </c>
      <c r="F28" s="32">
        <f t="shared" si="4"/>
        <v>-211.887</v>
      </c>
      <c r="G28" s="5">
        <f t="shared" si="5"/>
        <v>0</v>
      </c>
    </row>
    <row r="29" spans="1:7" ht="75" x14ac:dyDescent="0.25">
      <c r="A29" s="2">
        <v>41059300</v>
      </c>
      <c r="B29" s="36" t="s">
        <v>28</v>
      </c>
      <c r="C29" s="32">
        <v>1111.7760000000001</v>
      </c>
      <c r="D29" s="32">
        <v>463.24</v>
      </c>
      <c r="E29" s="32">
        <v>463.24</v>
      </c>
      <c r="F29" s="32">
        <f t="shared" si="4"/>
        <v>0</v>
      </c>
      <c r="G29" s="5">
        <f t="shared" si="5"/>
        <v>100</v>
      </c>
    </row>
    <row r="30" spans="1:7" x14ac:dyDescent="0.25">
      <c r="A30" s="38" t="s">
        <v>110</v>
      </c>
      <c r="B30" s="38"/>
      <c r="C30" s="33">
        <v>172261.06299999999</v>
      </c>
      <c r="D30" s="33">
        <v>84777.403000000006</v>
      </c>
      <c r="E30" s="33">
        <v>97472.77175</v>
      </c>
      <c r="F30" s="33">
        <f t="shared" si="4"/>
        <v>12695.368749999994</v>
      </c>
      <c r="G30" s="30">
        <f t="shared" si="5"/>
        <v>114.97494414873736</v>
      </c>
    </row>
    <row r="31" spans="1:7" x14ac:dyDescent="0.25">
      <c r="A31" s="38" t="s">
        <v>111</v>
      </c>
      <c r="B31" s="38"/>
      <c r="C31" s="33">
        <v>260711.52600000001</v>
      </c>
      <c r="D31" s="33">
        <v>134121.93</v>
      </c>
      <c r="E31" s="33">
        <v>146605.41175</v>
      </c>
      <c r="F31" s="33">
        <f t="shared" si="4"/>
        <v>12483.481750000006</v>
      </c>
      <c r="G31" s="30">
        <f t="shared" si="5"/>
        <v>109.30756196991797</v>
      </c>
    </row>
    <row r="32" spans="1:7" x14ac:dyDescent="0.25">
      <c r="C32" s="34"/>
      <c r="D32" s="34"/>
      <c r="E32" s="34"/>
      <c r="F32" s="34"/>
    </row>
  </sheetData>
  <mergeCells count="8">
    <mergeCell ref="A31:B31"/>
    <mergeCell ref="A7:A8"/>
    <mergeCell ref="B7:B8"/>
    <mergeCell ref="A2:G2"/>
    <mergeCell ref="A3:G3"/>
    <mergeCell ref="A4:G4"/>
    <mergeCell ref="A5:G5"/>
    <mergeCell ref="A30:B30"/>
  </mergeCells>
  <pageMargins left="0.59055118110236227" right="0.19685039370078741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0A57-FFD9-47C8-A417-F0A4868CA71F}">
  <sheetPr>
    <pageSetUpPr fitToPage="1"/>
  </sheetPr>
  <dimension ref="A2:I54"/>
  <sheetViews>
    <sheetView topLeftCell="A28" workbookViewId="0">
      <selection activeCell="M11" sqref="M11"/>
    </sheetView>
  </sheetViews>
  <sheetFormatPr defaultRowHeight="12.75" x14ac:dyDescent="0.2"/>
  <cols>
    <col min="1" max="1" width="12.7109375" style="6" customWidth="1"/>
    <col min="2" max="2" width="50.7109375" style="7" customWidth="1"/>
    <col min="3" max="8" width="15.7109375" style="8" customWidth="1"/>
    <col min="9" max="248" width="9.140625" style="8"/>
    <col min="249" max="249" width="12.7109375" style="8" customWidth="1"/>
    <col min="250" max="250" width="50.7109375" style="8" customWidth="1"/>
    <col min="251" max="264" width="15.7109375" style="8" customWidth="1"/>
    <col min="265" max="504" width="9.140625" style="8"/>
    <col min="505" max="505" width="12.7109375" style="8" customWidth="1"/>
    <col min="506" max="506" width="50.7109375" style="8" customWidth="1"/>
    <col min="507" max="520" width="15.7109375" style="8" customWidth="1"/>
    <col min="521" max="760" width="9.140625" style="8"/>
    <col min="761" max="761" width="12.7109375" style="8" customWidth="1"/>
    <col min="762" max="762" width="50.7109375" style="8" customWidth="1"/>
    <col min="763" max="776" width="15.7109375" style="8" customWidth="1"/>
    <col min="777" max="1016" width="9.140625" style="8"/>
    <col min="1017" max="1017" width="12.7109375" style="8" customWidth="1"/>
    <col min="1018" max="1018" width="50.7109375" style="8" customWidth="1"/>
    <col min="1019" max="1032" width="15.7109375" style="8" customWidth="1"/>
    <col min="1033" max="1272" width="9.140625" style="8"/>
    <col min="1273" max="1273" width="12.7109375" style="8" customWidth="1"/>
    <col min="1274" max="1274" width="50.7109375" style="8" customWidth="1"/>
    <col min="1275" max="1288" width="15.7109375" style="8" customWidth="1"/>
    <col min="1289" max="1528" width="9.140625" style="8"/>
    <col min="1529" max="1529" width="12.7109375" style="8" customWidth="1"/>
    <col min="1530" max="1530" width="50.7109375" style="8" customWidth="1"/>
    <col min="1531" max="1544" width="15.7109375" style="8" customWidth="1"/>
    <col min="1545" max="1784" width="9.140625" style="8"/>
    <col min="1785" max="1785" width="12.7109375" style="8" customWidth="1"/>
    <col min="1786" max="1786" width="50.7109375" style="8" customWidth="1"/>
    <col min="1787" max="1800" width="15.7109375" style="8" customWidth="1"/>
    <col min="1801" max="2040" width="9.140625" style="8"/>
    <col min="2041" max="2041" width="12.7109375" style="8" customWidth="1"/>
    <col min="2042" max="2042" width="50.7109375" style="8" customWidth="1"/>
    <col min="2043" max="2056" width="15.7109375" style="8" customWidth="1"/>
    <col min="2057" max="2296" width="9.140625" style="8"/>
    <col min="2297" max="2297" width="12.7109375" style="8" customWidth="1"/>
    <col min="2298" max="2298" width="50.7109375" style="8" customWidth="1"/>
    <col min="2299" max="2312" width="15.7109375" style="8" customWidth="1"/>
    <col min="2313" max="2552" width="9.140625" style="8"/>
    <col min="2553" max="2553" width="12.7109375" style="8" customWidth="1"/>
    <col min="2554" max="2554" width="50.7109375" style="8" customWidth="1"/>
    <col min="2555" max="2568" width="15.7109375" style="8" customWidth="1"/>
    <col min="2569" max="2808" width="9.140625" style="8"/>
    <col min="2809" max="2809" width="12.7109375" style="8" customWidth="1"/>
    <col min="2810" max="2810" width="50.7109375" style="8" customWidth="1"/>
    <col min="2811" max="2824" width="15.7109375" style="8" customWidth="1"/>
    <col min="2825" max="3064" width="9.140625" style="8"/>
    <col min="3065" max="3065" width="12.7109375" style="8" customWidth="1"/>
    <col min="3066" max="3066" width="50.7109375" style="8" customWidth="1"/>
    <col min="3067" max="3080" width="15.7109375" style="8" customWidth="1"/>
    <col min="3081" max="3320" width="9.140625" style="8"/>
    <col min="3321" max="3321" width="12.7109375" style="8" customWidth="1"/>
    <col min="3322" max="3322" width="50.7109375" style="8" customWidth="1"/>
    <col min="3323" max="3336" width="15.7109375" style="8" customWidth="1"/>
    <col min="3337" max="3576" width="9.140625" style="8"/>
    <col min="3577" max="3577" width="12.7109375" style="8" customWidth="1"/>
    <col min="3578" max="3578" width="50.7109375" style="8" customWidth="1"/>
    <col min="3579" max="3592" width="15.7109375" style="8" customWidth="1"/>
    <col min="3593" max="3832" width="9.140625" style="8"/>
    <col min="3833" max="3833" width="12.7109375" style="8" customWidth="1"/>
    <col min="3834" max="3834" width="50.7109375" style="8" customWidth="1"/>
    <col min="3835" max="3848" width="15.7109375" style="8" customWidth="1"/>
    <col min="3849" max="4088" width="9.140625" style="8"/>
    <col min="4089" max="4089" width="12.7109375" style="8" customWidth="1"/>
    <col min="4090" max="4090" width="50.7109375" style="8" customWidth="1"/>
    <col min="4091" max="4104" width="15.7109375" style="8" customWidth="1"/>
    <col min="4105" max="4344" width="9.140625" style="8"/>
    <col min="4345" max="4345" width="12.7109375" style="8" customWidth="1"/>
    <col min="4346" max="4346" width="50.7109375" style="8" customWidth="1"/>
    <col min="4347" max="4360" width="15.7109375" style="8" customWidth="1"/>
    <col min="4361" max="4600" width="9.140625" style="8"/>
    <col min="4601" max="4601" width="12.7109375" style="8" customWidth="1"/>
    <col min="4602" max="4602" width="50.7109375" style="8" customWidth="1"/>
    <col min="4603" max="4616" width="15.7109375" style="8" customWidth="1"/>
    <col min="4617" max="4856" width="9.140625" style="8"/>
    <col min="4857" max="4857" width="12.7109375" style="8" customWidth="1"/>
    <col min="4858" max="4858" width="50.7109375" style="8" customWidth="1"/>
    <col min="4859" max="4872" width="15.7109375" style="8" customWidth="1"/>
    <col min="4873" max="5112" width="9.140625" style="8"/>
    <col min="5113" max="5113" width="12.7109375" style="8" customWidth="1"/>
    <col min="5114" max="5114" width="50.7109375" style="8" customWidth="1"/>
    <col min="5115" max="5128" width="15.7109375" style="8" customWidth="1"/>
    <col min="5129" max="5368" width="9.140625" style="8"/>
    <col min="5369" max="5369" width="12.7109375" style="8" customWidth="1"/>
    <col min="5370" max="5370" width="50.7109375" style="8" customWidth="1"/>
    <col min="5371" max="5384" width="15.7109375" style="8" customWidth="1"/>
    <col min="5385" max="5624" width="9.140625" style="8"/>
    <col min="5625" max="5625" width="12.7109375" style="8" customWidth="1"/>
    <col min="5626" max="5626" width="50.7109375" style="8" customWidth="1"/>
    <col min="5627" max="5640" width="15.7109375" style="8" customWidth="1"/>
    <col min="5641" max="5880" width="9.140625" style="8"/>
    <col min="5881" max="5881" width="12.7109375" style="8" customWidth="1"/>
    <col min="5882" max="5882" width="50.7109375" style="8" customWidth="1"/>
    <col min="5883" max="5896" width="15.7109375" style="8" customWidth="1"/>
    <col min="5897" max="6136" width="9.140625" style="8"/>
    <col min="6137" max="6137" width="12.7109375" style="8" customWidth="1"/>
    <col min="6138" max="6138" width="50.7109375" style="8" customWidth="1"/>
    <col min="6139" max="6152" width="15.7109375" style="8" customWidth="1"/>
    <col min="6153" max="6392" width="9.140625" style="8"/>
    <col min="6393" max="6393" width="12.7109375" style="8" customWidth="1"/>
    <col min="6394" max="6394" width="50.7109375" style="8" customWidth="1"/>
    <col min="6395" max="6408" width="15.7109375" style="8" customWidth="1"/>
    <col min="6409" max="6648" width="9.140625" style="8"/>
    <col min="6649" max="6649" width="12.7109375" style="8" customWidth="1"/>
    <col min="6650" max="6650" width="50.7109375" style="8" customWidth="1"/>
    <col min="6651" max="6664" width="15.7109375" style="8" customWidth="1"/>
    <col min="6665" max="6904" width="9.140625" style="8"/>
    <col min="6905" max="6905" width="12.7109375" style="8" customWidth="1"/>
    <col min="6906" max="6906" width="50.7109375" style="8" customWidth="1"/>
    <col min="6907" max="6920" width="15.7109375" style="8" customWidth="1"/>
    <col min="6921" max="7160" width="9.140625" style="8"/>
    <col min="7161" max="7161" width="12.7109375" style="8" customWidth="1"/>
    <col min="7162" max="7162" width="50.7109375" style="8" customWidth="1"/>
    <col min="7163" max="7176" width="15.7109375" style="8" customWidth="1"/>
    <col min="7177" max="7416" width="9.140625" style="8"/>
    <col min="7417" max="7417" width="12.7109375" style="8" customWidth="1"/>
    <col min="7418" max="7418" width="50.7109375" style="8" customWidth="1"/>
    <col min="7419" max="7432" width="15.7109375" style="8" customWidth="1"/>
    <col min="7433" max="7672" width="9.140625" style="8"/>
    <col min="7673" max="7673" width="12.7109375" style="8" customWidth="1"/>
    <col min="7674" max="7674" width="50.7109375" style="8" customWidth="1"/>
    <col min="7675" max="7688" width="15.7109375" style="8" customWidth="1"/>
    <col min="7689" max="7928" width="9.140625" style="8"/>
    <col min="7929" max="7929" width="12.7109375" style="8" customWidth="1"/>
    <col min="7930" max="7930" width="50.7109375" style="8" customWidth="1"/>
    <col min="7931" max="7944" width="15.7109375" style="8" customWidth="1"/>
    <col min="7945" max="8184" width="9.140625" style="8"/>
    <col min="8185" max="8185" width="12.7109375" style="8" customWidth="1"/>
    <col min="8186" max="8186" width="50.7109375" style="8" customWidth="1"/>
    <col min="8187" max="8200" width="15.7109375" style="8" customWidth="1"/>
    <col min="8201" max="8440" width="9.140625" style="8"/>
    <col min="8441" max="8441" width="12.7109375" style="8" customWidth="1"/>
    <col min="8442" max="8442" width="50.7109375" style="8" customWidth="1"/>
    <col min="8443" max="8456" width="15.7109375" style="8" customWidth="1"/>
    <col min="8457" max="8696" width="9.140625" style="8"/>
    <col min="8697" max="8697" width="12.7109375" style="8" customWidth="1"/>
    <col min="8698" max="8698" width="50.7109375" style="8" customWidth="1"/>
    <col min="8699" max="8712" width="15.7109375" style="8" customWidth="1"/>
    <col min="8713" max="8952" width="9.140625" style="8"/>
    <col min="8953" max="8953" width="12.7109375" style="8" customWidth="1"/>
    <col min="8954" max="8954" width="50.7109375" style="8" customWidth="1"/>
    <col min="8955" max="8968" width="15.7109375" style="8" customWidth="1"/>
    <col min="8969" max="9208" width="9.140625" style="8"/>
    <col min="9209" max="9209" width="12.7109375" style="8" customWidth="1"/>
    <col min="9210" max="9210" width="50.7109375" style="8" customWidth="1"/>
    <col min="9211" max="9224" width="15.7109375" style="8" customWidth="1"/>
    <col min="9225" max="9464" width="9.140625" style="8"/>
    <col min="9465" max="9465" width="12.7109375" style="8" customWidth="1"/>
    <col min="9466" max="9466" width="50.7109375" style="8" customWidth="1"/>
    <col min="9467" max="9480" width="15.7109375" style="8" customWidth="1"/>
    <col min="9481" max="9720" width="9.140625" style="8"/>
    <col min="9721" max="9721" width="12.7109375" style="8" customWidth="1"/>
    <col min="9722" max="9722" width="50.7109375" style="8" customWidth="1"/>
    <col min="9723" max="9736" width="15.7109375" style="8" customWidth="1"/>
    <col min="9737" max="9976" width="9.140625" style="8"/>
    <col min="9977" max="9977" width="12.7109375" style="8" customWidth="1"/>
    <col min="9978" max="9978" width="50.7109375" style="8" customWidth="1"/>
    <col min="9979" max="9992" width="15.7109375" style="8" customWidth="1"/>
    <col min="9993" max="10232" width="9.140625" style="8"/>
    <col min="10233" max="10233" width="12.7109375" style="8" customWidth="1"/>
    <col min="10234" max="10234" width="50.7109375" style="8" customWidth="1"/>
    <col min="10235" max="10248" width="15.7109375" style="8" customWidth="1"/>
    <col min="10249" max="10488" width="9.140625" style="8"/>
    <col min="10489" max="10489" width="12.7109375" style="8" customWidth="1"/>
    <col min="10490" max="10490" width="50.7109375" style="8" customWidth="1"/>
    <col min="10491" max="10504" width="15.7109375" style="8" customWidth="1"/>
    <col min="10505" max="10744" width="9.140625" style="8"/>
    <col min="10745" max="10745" width="12.7109375" style="8" customWidth="1"/>
    <col min="10746" max="10746" width="50.7109375" style="8" customWidth="1"/>
    <col min="10747" max="10760" width="15.7109375" style="8" customWidth="1"/>
    <col min="10761" max="11000" width="9.140625" style="8"/>
    <col min="11001" max="11001" width="12.7109375" style="8" customWidth="1"/>
    <col min="11002" max="11002" width="50.7109375" style="8" customWidth="1"/>
    <col min="11003" max="11016" width="15.7109375" style="8" customWidth="1"/>
    <col min="11017" max="11256" width="9.140625" style="8"/>
    <col min="11257" max="11257" width="12.7109375" style="8" customWidth="1"/>
    <col min="11258" max="11258" width="50.7109375" style="8" customWidth="1"/>
    <col min="11259" max="11272" width="15.7109375" style="8" customWidth="1"/>
    <col min="11273" max="11512" width="9.140625" style="8"/>
    <col min="11513" max="11513" width="12.7109375" style="8" customWidth="1"/>
    <col min="11514" max="11514" width="50.7109375" style="8" customWidth="1"/>
    <col min="11515" max="11528" width="15.7109375" style="8" customWidth="1"/>
    <col min="11529" max="11768" width="9.140625" style="8"/>
    <col min="11769" max="11769" width="12.7109375" style="8" customWidth="1"/>
    <col min="11770" max="11770" width="50.7109375" style="8" customWidth="1"/>
    <col min="11771" max="11784" width="15.7109375" style="8" customWidth="1"/>
    <col min="11785" max="12024" width="9.140625" style="8"/>
    <col min="12025" max="12025" width="12.7109375" style="8" customWidth="1"/>
    <col min="12026" max="12026" width="50.7109375" style="8" customWidth="1"/>
    <col min="12027" max="12040" width="15.7109375" style="8" customWidth="1"/>
    <col min="12041" max="12280" width="9.140625" style="8"/>
    <col min="12281" max="12281" width="12.7109375" style="8" customWidth="1"/>
    <col min="12282" max="12282" width="50.7109375" style="8" customWidth="1"/>
    <col min="12283" max="12296" width="15.7109375" style="8" customWidth="1"/>
    <col min="12297" max="12536" width="9.140625" style="8"/>
    <col min="12537" max="12537" width="12.7109375" style="8" customWidth="1"/>
    <col min="12538" max="12538" width="50.7109375" style="8" customWidth="1"/>
    <col min="12539" max="12552" width="15.7109375" style="8" customWidth="1"/>
    <col min="12553" max="12792" width="9.140625" style="8"/>
    <col min="12793" max="12793" width="12.7109375" style="8" customWidth="1"/>
    <col min="12794" max="12794" width="50.7109375" style="8" customWidth="1"/>
    <col min="12795" max="12808" width="15.7109375" style="8" customWidth="1"/>
    <col min="12809" max="13048" width="9.140625" style="8"/>
    <col min="13049" max="13049" width="12.7109375" style="8" customWidth="1"/>
    <col min="13050" max="13050" width="50.7109375" style="8" customWidth="1"/>
    <col min="13051" max="13064" width="15.7109375" style="8" customWidth="1"/>
    <col min="13065" max="13304" width="9.140625" style="8"/>
    <col min="13305" max="13305" width="12.7109375" style="8" customWidth="1"/>
    <col min="13306" max="13306" width="50.7109375" style="8" customWidth="1"/>
    <col min="13307" max="13320" width="15.7109375" style="8" customWidth="1"/>
    <col min="13321" max="13560" width="9.140625" style="8"/>
    <col min="13561" max="13561" width="12.7109375" style="8" customWidth="1"/>
    <col min="13562" max="13562" width="50.7109375" style="8" customWidth="1"/>
    <col min="13563" max="13576" width="15.7109375" style="8" customWidth="1"/>
    <col min="13577" max="13816" width="9.140625" style="8"/>
    <col min="13817" max="13817" width="12.7109375" style="8" customWidth="1"/>
    <col min="13818" max="13818" width="50.7109375" style="8" customWidth="1"/>
    <col min="13819" max="13832" width="15.7109375" style="8" customWidth="1"/>
    <col min="13833" max="14072" width="9.140625" style="8"/>
    <col min="14073" max="14073" width="12.7109375" style="8" customWidth="1"/>
    <col min="14074" max="14074" width="50.7109375" style="8" customWidth="1"/>
    <col min="14075" max="14088" width="15.7109375" style="8" customWidth="1"/>
    <col min="14089" max="14328" width="9.140625" style="8"/>
    <col min="14329" max="14329" width="12.7109375" style="8" customWidth="1"/>
    <col min="14330" max="14330" width="50.7109375" style="8" customWidth="1"/>
    <col min="14331" max="14344" width="15.7109375" style="8" customWidth="1"/>
    <col min="14345" max="14584" width="9.140625" style="8"/>
    <col min="14585" max="14585" width="12.7109375" style="8" customWidth="1"/>
    <col min="14586" max="14586" width="50.7109375" style="8" customWidth="1"/>
    <col min="14587" max="14600" width="15.7109375" style="8" customWidth="1"/>
    <col min="14601" max="14840" width="9.140625" style="8"/>
    <col min="14841" max="14841" width="12.7109375" style="8" customWidth="1"/>
    <col min="14842" max="14842" width="50.7109375" style="8" customWidth="1"/>
    <col min="14843" max="14856" width="15.7109375" style="8" customWidth="1"/>
    <col min="14857" max="15096" width="9.140625" style="8"/>
    <col min="15097" max="15097" width="12.7109375" style="8" customWidth="1"/>
    <col min="15098" max="15098" width="50.7109375" style="8" customWidth="1"/>
    <col min="15099" max="15112" width="15.7109375" style="8" customWidth="1"/>
    <col min="15113" max="15352" width="9.140625" style="8"/>
    <col min="15353" max="15353" width="12.7109375" style="8" customWidth="1"/>
    <col min="15354" max="15354" width="50.7109375" style="8" customWidth="1"/>
    <col min="15355" max="15368" width="15.7109375" style="8" customWidth="1"/>
    <col min="15369" max="15608" width="9.140625" style="8"/>
    <col min="15609" max="15609" width="12.7109375" style="8" customWidth="1"/>
    <col min="15610" max="15610" width="50.7109375" style="8" customWidth="1"/>
    <col min="15611" max="15624" width="15.7109375" style="8" customWidth="1"/>
    <col min="15625" max="15864" width="9.140625" style="8"/>
    <col min="15865" max="15865" width="12.7109375" style="8" customWidth="1"/>
    <col min="15866" max="15866" width="50.7109375" style="8" customWidth="1"/>
    <col min="15867" max="15880" width="15.7109375" style="8" customWidth="1"/>
    <col min="15881" max="16120" width="9.140625" style="8"/>
    <col min="16121" max="16121" width="12.7109375" style="8" customWidth="1"/>
    <col min="16122" max="16122" width="50.7109375" style="8" customWidth="1"/>
    <col min="16123" max="16136" width="15.7109375" style="8" customWidth="1"/>
    <col min="16137" max="16384" width="9.140625" style="8"/>
  </cols>
  <sheetData>
    <row r="2" spans="1:9" ht="15" x14ac:dyDescent="0.25">
      <c r="A2" s="43" t="s">
        <v>105</v>
      </c>
      <c r="B2" s="43"/>
      <c r="C2" s="43"/>
      <c r="D2" s="43"/>
      <c r="E2" s="43"/>
      <c r="F2" s="43"/>
      <c r="G2" s="43"/>
      <c r="H2" s="43"/>
    </row>
    <row r="3" spans="1:9" ht="15" x14ac:dyDescent="0.25">
      <c r="A3" s="43" t="s">
        <v>106</v>
      </c>
      <c r="B3" s="43"/>
      <c r="C3" s="43"/>
      <c r="D3" s="43"/>
      <c r="E3" s="43"/>
      <c r="F3" s="43"/>
      <c r="G3" s="43"/>
      <c r="H3" s="43"/>
    </row>
    <row r="4" spans="1:9" ht="15" x14ac:dyDescent="0.25">
      <c r="A4" s="43" t="s">
        <v>107</v>
      </c>
      <c r="B4" s="43"/>
      <c r="C4" s="43"/>
      <c r="D4" s="43"/>
      <c r="E4" s="43"/>
      <c r="F4" s="43"/>
      <c r="G4" s="43"/>
      <c r="H4" s="43"/>
    </row>
    <row r="5" spans="1:9" ht="15" x14ac:dyDescent="0.25">
      <c r="A5" s="43" t="s">
        <v>108</v>
      </c>
      <c r="B5" s="43"/>
      <c r="C5" s="43"/>
      <c r="D5" s="43"/>
      <c r="E5" s="43"/>
      <c r="F5" s="43"/>
      <c r="G5" s="43"/>
      <c r="H5" s="43"/>
    </row>
    <row r="7" spans="1:9" x14ac:dyDescent="0.2">
      <c r="G7" s="9" t="s">
        <v>29</v>
      </c>
    </row>
    <row r="8" spans="1:9" s="11" customFormat="1" ht="63.75" x14ac:dyDescent="0.2">
      <c r="A8" s="10" t="s">
        <v>30</v>
      </c>
      <c r="B8" s="10" t="s">
        <v>31</v>
      </c>
      <c r="C8" s="10" t="s">
        <v>32</v>
      </c>
      <c r="D8" s="10" t="s">
        <v>33</v>
      </c>
      <c r="E8" s="10" t="s">
        <v>34</v>
      </c>
      <c r="F8" s="10" t="s">
        <v>35</v>
      </c>
      <c r="G8" s="10" t="s">
        <v>36</v>
      </c>
      <c r="H8" s="10" t="s">
        <v>37</v>
      </c>
    </row>
    <row r="9" spans="1:9" x14ac:dyDescent="0.2">
      <c r="A9" s="12">
        <v>1</v>
      </c>
      <c r="B9" s="12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</row>
    <row r="10" spans="1:9" ht="51" x14ac:dyDescent="0.2">
      <c r="A10" s="13" t="s">
        <v>38</v>
      </c>
      <c r="B10" s="14" t="s">
        <v>39</v>
      </c>
      <c r="C10" s="15">
        <v>52609.459000000003</v>
      </c>
      <c r="D10" s="15">
        <v>23022.503000000001</v>
      </c>
      <c r="E10" s="15">
        <v>13227.95888</v>
      </c>
      <c r="F10" s="16">
        <f t="shared" ref="F10:F44" si="0">C10-E10</f>
        <v>39381.500120000004</v>
      </c>
      <c r="G10" s="16">
        <f t="shared" ref="G10:G44" si="1">D10-E10</f>
        <v>9794.5441200000005</v>
      </c>
      <c r="H10" s="16">
        <f t="shared" ref="H10:H44" si="2">IF(D10=0,0,(E10/D10)*100)</f>
        <v>57.456649609297472</v>
      </c>
      <c r="I10" s="17"/>
    </row>
    <row r="11" spans="1:9" ht="38.25" x14ac:dyDescent="0.2">
      <c r="A11" s="13" t="s">
        <v>40</v>
      </c>
      <c r="B11" s="14" t="s">
        <v>41</v>
      </c>
      <c r="C11" s="15">
        <v>29751.903000000002</v>
      </c>
      <c r="D11" s="15">
        <v>17996.760999999999</v>
      </c>
      <c r="E11" s="15">
        <v>12399.213899999999</v>
      </c>
      <c r="F11" s="16">
        <f t="shared" si="0"/>
        <v>17352.689100000003</v>
      </c>
      <c r="G11" s="16">
        <f t="shared" si="1"/>
        <v>5597.5470999999998</v>
      </c>
      <c r="H11" s="16">
        <f t="shared" si="2"/>
        <v>68.896919284531251</v>
      </c>
      <c r="I11" s="17"/>
    </row>
    <row r="12" spans="1:9" ht="38.25" x14ac:dyDescent="0.2">
      <c r="A12" s="13" t="s">
        <v>42</v>
      </c>
      <c r="B12" s="14" t="s">
        <v>43</v>
      </c>
      <c r="C12" s="15">
        <v>40191.9</v>
      </c>
      <c r="D12" s="15">
        <v>25457.7</v>
      </c>
      <c r="E12" s="15">
        <v>23601.97277</v>
      </c>
      <c r="F12" s="16">
        <f t="shared" si="0"/>
        <v>16589.927230000001</v>
      </c>
      <c r="G12" s="16">
        <f t="shared" si="1"/>
        <v>1855.7272300000004</v>
      </c>
      <c r="H12" s="16">
        <f t="shared" si="2"/>
        <v>92.710546396571573</v>
      </c>
      <c r="I12" s="17"/>
    </row>
    <row r="13" spans="1:9" ht="63.75" x14ac:dyDescent="0.2">
      <c r="A13" s="13" t="s">
        <v>44</v>
      </c>
      <c r="B13" s="14" t="s">
        <v>45</v>
      </c>
      <c r="C13" s="15">
        <v>161</v>
      </c>
      <c r="D13" s="15">
        <v>134</v>
      </c>
      <c r="E13" s="15">
        <v>133.86387999999999</v>
      </c>
      <c r="F13" s="16">
        <f t="shared" si="0"/>
        <v>27.136120000000005</v>
      </c>
      <c r="G13" s="16">
        <f t="shared" si="1"/>
        <v>0.13612000000000535</v>
      </c>
      <c r="H13" s="16">
        <f t="shared" si="2"/>
        <v>99.898417910447762</v>
      </c>
      <c r="I13" s="17"/>
    </row>
    <row r="14" spans="1:9" ht="38.25" x14ac:dyDescent="0.2">
      <c r="A14" s="13" t="s">
        <v>46</v>
      </c>
      <c r="B14" s="14" t="s">
        <v>47</v>
      </c>
      <c r="C14" s="15">
        <v>5729</v>
      </c>
      <c r="D14" s="15">
        <v>4774</v>
      </c>
      <c r="E14" s="15">
        <v>4448.8588300000001</v>
      </c>
      <c r="F14" s="16">
        <f t="shared" si="0"/>
        <v>1280.1411699999999</v>
      </c>
      <c r="G14" s="16">
        <f t="shared" si="1"/>
        <v>325.14116999999987</v>
      </c>
      <c r="H14" s="16">
        <f t="shared" si="2"/>
        <v>93.189334520318397</v>
      </c>
      <c r="I14" s="17"/>
    </row>
    <row r="15" spans="1:9" ht="38.25" x14ac:dyDescent="0.2">
      <c r="A15" s="13" t="s">
        <v>48</v>
      </c>
      <c r="B15" s="14" t="s">
        <v>49</v>
      </c>
      <c r="C15" s="15">
        <v>2060.1999999999998</v>
      </c>
      <c r="D15" s="15">
        <v>2060.1999999999998</v>
      </c>
      <c r="E15" s="15">
        <v>1288.2540000000001</v>
      </c>
      <c r="F15" s="16">
        <f t="shared" si="0"/>
        <v>771.94599999999969</v>
      </c>
      <c r="G15" s="16">
        <f t="shared" si="1"/>
        <v>771.94599999999969</v>
      </c>
      <c r="H15" s="16">
        <f t="shared" si="2"/>
        <v>62.530531016406186</v>
      </c>
      <c r="I15" s="17"/>
    </row>
    <row r="16" spans="1:9" ht="25.5" x14ac:dyDescent="0.2">
      <c r="A16" s="13" t="s">
        <v>50</v>
      </c>
      <c r="B16" s="14" t="s">
        <v>51</v>
      </c>
      <c r="C16" s="15">
        <v>3100.2550000000001</v>
      </c>
      <c r="D16" s="15">
        <v>3100.2550000000001</v>
      </c>
      <c r="E16" s="15">
        <v>2253.5880699999998</v>
      </c>
      <c r="F16" s="16">
        <f t="shared" si="0"/>
        <v>846.66693000000032</v>
      </c>
      <c r="G16" s="16">
        <f t="shared" si="1"/>
        <v>846.66693000000032</v>
      </c>
      <c r="H16" s="16">
        <f t="shared" si="2"/>
        <v>72.690409982404674</v>
      </c>
      <c r="I16" s="17"/>
    </row>
    <row r="17" spans="1:9" ht="25.5" x14ac:dyDescent="0.2">
      <c r="A17" s="13" t="s">
        <v>52</v>
      </c>
      <c r="B17" s="14" t="s">
        <v>53</v>
      </c>
      <c r="C17" s="15">
        <v>640.26</v>
      </c>
      <c r="D17" s="15">
        <v>640.26</v>
      </c>
      <c r="E17" s="15">
        <v>626.33736999999996</v>
      </c>
      <c r="F17" s="16">
        <f t="shared" si="0"/>
        <v>13.922630000000026</v>
      </c>
      <c r="G17" s="16">
        <f t="shared" si="1"/>
        <v>13.922630000000026</v>
      </c>
      <c r="H17" s="16">
        <f t="shared" si="2"/>
        <v>97.825472464311375</v>
      </c>
      <c r="I17" s="17"/>
    </row>
    <row r="18" spans="1:9" x14ac:dyDescent="0.2">
      <c r="A18" s="13" t="s">
        <v>54</v>
      </c>
      <c r="B18" s="14" t="s">
        <v>55</v>
      </c>
      <c r="C18" s="15">
        <v>1645</v>
      </c>
      <c r="D18" s="15">
        <v>1645</v>
      </c>
      <c r="E18" s="15">
        <v>934.55332999999996</v>
      </c>
      <c r="F18" s="16">
        <f t="shared" si="0"/>
        <v>710.44667000000004</v>
      </c>
      <c r="G18" s="16">
        <f t="shared" si="1"/>
        <v>710.44667000000004</v>
      </c>
      <c r="H18" s="16">
        <f t="shared" si="2"/>
        <v>56.811752583586625</v>
      </c>
      <c r="I18" s="17"/>
    </row>
    <row r="19" spans="1:9" ht="25.5" x14ac:dyDescent="0.2">
      <c r="A19" s="13" t="s">
        <v>56</v>
      </c>
      <c r="B19" s="14" t="s">
        <v>57</v>
      </c>
      <c r="C19" s="15">
        <v>60</v>
      </c>
      <c r="D19" s="15">
        <v>60</v>
      </c>
      <c r="E19" s="15">
        <v>0</v>
      </c>
      <c r="F19" s="16">
        <f t="shared" si="0"/>
        <v>60</v>
      </c>
      <c r="G19" s="16">
        <f t="shared" si="1"/>
        <v>60</v>
      </c>
      <c r="H19" s="16">
        <f t="shared" si="2"/>
        <v>0</v>
      </c>
      <c r="I19" s="17"/>
    </row>
    <row r="20" spans="1:9" ht="25.5" x14ac:dyDescent="0.2">
      <c r="A20" s="13" t="s">
        <v>58</v>
      </c>
      <c r="B20" s="14" t="s">
        <v>59</v>
      </c>
      <c r="C20" s="15">
        <v>30</v>
      </c>
      <c r="D20" s="15">
        <v>30</v>
      </c>
      <c r="E20" s="15">
        <v>0</v>
      </c>
      <c r="F20" s="16">
        <f t="shared" si="0"/>
        <v>30</v>
      </c>
      <c r="G20" s="16">
        <f t="shared" si="1"/>
        <v>30</v>
      </c>
      <c r="H20" s="16">
        <f t="shared" si="2"/>
        <v>0</v>
      </c>
      <c r="I20" s="17"/>
    </row>
    <row r="21" spans="1:9" ht="51" x14ac:dyDescent="0.2">
      <c r="A21" s="13" t="s">
        <v>60</v>
      </c>
      <c r="B21" s="14" t="s">
        <v>61</v>
      </c>
      <c r="C21" s="15">
        <v>370</v>
      </c>
      <c r="D21" s="15">
        <v>370</v>
      </c>
      <c r="E21" s="15">
        <v>0</v>
      </c>
      <c r="F21" s="16">
        <f t="shared" si="0"/>
        <v>370</v>
      </c>
      <c r="G21" s="16">
        <f t="shared" si="1"/>
        <v>370</v>
      </c>
      <c r="H21" s="16">
        <f t="shared" si="2"/>
        <v>0</v>
      </c>
      <c r="I21" s="17"/>
    </row>
    <row r="22" spans="1:9" ht="63.75" x14ac:dyDescent="0.2">
      <c r="A22" s="13" t="s">
        <v>62</v>
      </c>
      <c r="B22" s="14" t="s">
        <v>63</v>
      </c>
      <c r="C22" s="15">
        <v>508.8</v>
      </c>
      <c r="D22" s="15">
        <v>212</v>
      </c>
      <c r="E22" s="15">
        <v>65.517809999999997</v>
      </c>
      <c r="F22" s="16">
        <f t="shared" si="0"/>
        <v>443.28219000000001</v>
      </c>
      <c r="G22" s="16">
        <f t="shared" si="1"/>
        <v>146.48219</v>
      </c>
      <c r="H22" s="16">
        <f t="shared" si="2"/>
        <v>30.904627358490565</v>
      </c>
      <c r="I22" s="17"/>
    </row>
    <row r="23" spans="1:9" ht="51" x14ac:dyDescent="0.2">
      <c r="A23" s="13" t="s">
        <v>64</v>
      </c>
      <c r="B23" s="14" t="s">
        <v>65</v>
      </c>
      <c r="C23" s="15">
        <v>1111.7760000000001</v>
      </c>
      <c r="D23" s="15">
        <v>463.24</v>
      </c>
      <c r="E23" s="15">
        <v>440.78359</v>
      </c>
      <c r="F23" s="16">
        <f t="shared" si="0"/>
        <v>670.99241000000006</v>
      </c>
      <c r="G23" s="16">
        <f t="shared" si="1"/>
        <v>22.456410000000005</v>
      </c>
      <c r="H23" s="16">
        <f t="shared" si="2"/>
        <v>95.152316293929701</v>
      </c>
      <c r="I23" s="17"/>
    </row>
    <row r="24" spans="1:9" ht="38.25" x14ac:dyDescent="0.2">
      <c r="A24" s="13" t="s">
        <v>66</v>
      </c>
      <c r="B24" s="14" t="s">
        <v>67</v>
      </c>
      <c r="C24" s="15">
        <v>14564.383</v>
      </c>
      <c r="D24" s="15">
        <v>7406.5420000000004</v>
      </c>
      <c r="E24" s="15">
        <v>4403.1952599999986</v>
      </c>
      <c r="F24" s="16">
        <f t="shared" si="0"/>
        <v>10161.187740000001</v>
      </c>
      <c r="G24" s="16">
        <f t="shared" si="1"/>
        <v>3003.3467400000018</v>
      </c>
      <c r="H24" s="16">
        <f t="shared" si="2"/>
        <v>59.450081563028988</v>
      </c>
      <c r="I24" s="17"/>
    </row>
    <row r="25" spans="1:9" ht="25.5" x14ac:dyDescent="0.2">
      <c r="A25" s="13" t="s">
        <v>68</v>
      </c>
      <c r="B25" s="14" t="s">
        <v>69</v>
      </c>
      <c r="C25" s="15">
        <v>3590.2870000000003</v>
      </c>
      <c r="D25" s="15">
        <v>1619.5520000000001</v>
      </c>
      <c r="E25" s="15">
        <v>300.13400000000001</v>
      </c>
      <c r="F25" s="16">
        <f t="shared" si="0"/>
        <v>3290.1530000000002</v>
      </c>
      <c r="G25" s="16">
        <f t="shared" si="1"/>
        <v>1319.4180000000001</v>
      </c>
      <c r="H25" s="16">
        <f t="shared" si="2"/>
        <v>18.531914998715692</v>
      </c>
      <c r="I25" s="17"/>
    </row>
    <row r="26" spans="1:9" ht="25.5" x14ac:dyDescent="0.2">
      <c r="A26" s="13" t="s">
        <v>70</v>
      </c>
      <c r="B26" s="14" t="s">
        <v>71</v>
      </c>
      <c r="C26" s="15">
        <v>11672.532000000001</v>
      </c>
      <c r="D26" s="15">
        <v>4845.0650000000005</v>
      </c>
      <c r="E26" s="15">
        <v>3649.1365800000003</v>
      </c>
      <c r="F26" s="16">
        <f t="shared" si="0"/>
        <v>8023.3954200000007</v>
      </c>
      <c r="G26" s="16">
        <f t="shared" si="1"/>
        <v>1195.9284200000002</v>
      </c>
      <c r="H26" s="16">
        <f t="shared" si="2"/>
        <v>75.316566031621875</v>
      </c>
      <c r="I26" s="17"/>
    </row>
    <row r="27" spans="1:9" ht="38.25" x14ac:dyDescent="0.2">
      <c r="A27" s="13" t="s">
        <v>72</v>
      </c>
      <c r="B27" s="14" t="s">
        <v>73</v>
      </c>
      <c r="C27" s="15">
        <v>18294.132000000001</v>
      </c>
      <c r="D27" s="15">
        <v>18294.132000000001</v>
      </c>
      <c r="E27" s="15">
        <v>18162.089250000001</v>
      </c>
      <c r="F27" s="16">
        <f t="shared" si="0"/>
        <v>132.04275000000052</v>
      </c>
      <c r="G27" s="16">
        <f t="shared" si="1"/>
        <v>132.04275000000052</v>
      </c>
      <c r="H27" s="16">
        <f t="shared" si="2"/>
        <v>99.27822347624911</v>
      </c>
      <c r="I27" s="17"/>
    </row>
    <row r="28" spans="1:9" x14ac:dyDescent="0.2">
      <c r="A28" s="13" t="s">
        <v>74</v>
      </c>
      <c r="B28" s="14" t="s">
        <v>75</v>
      </c>
      <c r="C28" s="15">
        <v>37145.444000000003</v>
      </c>
      <c r="D28" s="15">
        <v>24015.344000000001</v>
      </c>
      <c r="E28" s="15">
        <v>13291.112450000001</v>
      </c>
      <c r="F28" s="16">
        <f t="shared" si="0"/>
        <v>23854.331550000003</v>
      </c>
      <c r="G28" s="16">
        <f t="shared" si="1"/>
        <v>10724.23155</v>
      </c>
      <c r="H28" s="16">
        <f t="shared" si="2"/>
        <v>55.344251783359844</v>
      </c>
      <c r="I28" s="17"/>
    </row>
    <row r="29" spans="1:9" x14ac:dyDescent="0.2">
      <c r="A29" s="13" t="s">
        <v>76</v>
      </c>
      <c r="B29" s="14" t="s">
        <v>77</v>
      </c>
      <c r="C29" s="15">
        <v>298.99799999999999</v>
      </c>
      <c r="D29" s="15">
        <v>298.99799999999999</v>
      </c>
      <c r="E29" s="15">
        <v>99</v>
      </c>
      <c r="F29" s="16">
        <f t="shared" si="0"/>
        <v>199.99799999999999</v>
      </c>
      <c r="G29" s="16">
        <f t="shared" si="1"/>
        <v>199.99799999999999</v>
      </c>
      <c r="H29" s="16">
        <f t="shared" si="2"/>
        <v>33.110589368490764</v>
      </c>
      <c r="I29" s="17"/>
    </row>
    <row r="30" spans="1:9" ht="38.25" x14ac:dyDescent="0.2">
      <c r="A30" s="13" t="s">
        <v>78</v>
      </c>
      <c r="B30" s="14" t="s">
        <v>79</v>
      </c>
      <c r="C30" s="15">
        <v>587.20000000000005</v>
      </c>
      <c r="D30" s="15">
        <v>587.20000000000005</v>
      </c>
      <c r="E30" s="15">
        <v>574.68359999999996</v>
      </c>
      <c r="F30" s="16">
        <f t="shared" si="0"/>
        <v>12.51640000000009</v>
      </c>
      <c r="G30" s="16">
        <f t="shared" si="1"/>
        <v>12.51640000000009</v>
      </c>
      <c r="H30" s="16">
        <f t="shared" si="2"/>
        <v>97.868460490463207</v>
      </c>
      <c r="I30" s="17"/>
    </row>
    <row r="31" spans="1:9" ht="25.5" x14ac:dyDescent="0.2">
      <c r="A31" s="13" t="s">
        <v>80</v>
      </c>
      <c r="B31" s="14" t="s">
        <v>81</v>
      </c>
      <c r="C31" s="15">
        <v>138.62700000000001</v>
      </c>
      <c r="D31" s="15">
        <v>138.62700000000001</v>
      </c>
      <c r="E31" s="15">
        <v>78.453000000000003</v>
      </c>
      <c r="F31" s="16">
        <f t="shared" si="0"/>
        <v>60.174000000000007</v>
      </c>
      <c r="G31" s="16">
        <f t="shared" si="1"/>
        <v>60.174000000000007</v>
      </c>
      <c r="H31" s="16">
        <f t="shared" si="2"/>
        <v>56.592871518535347</v>
      </c>
      <c r="I31" s="17"/>
    </row>
    <row r="32" spans="1:9" x14ac:dyDescent="0.2">
      <c r="A32" s="13" t="s">
        <v>82</v>
      </c>
      <c r="B32" s="14" t="s">
        <v>83</v>
      </c>
      <c r="C32" s="15">
        <v>7676.2759999999998</v>
      </c>
      <c r="D32" s="15">
        <v>4569.7150000000001</v>
      </c>
      <c r="E32" s="15">
        <v>3299.0511700000002</v>
      </c>
      <c r="F32" s="16">
        <f t="shared" si="0"/>
        <v>4377.2248299999992</v>
      </c>
      <c r="G32" s="16">
        <f t="shared" si="1"/>
        <v>1270.66383</v>
      </c>
      <c r="H32" s="16">
        <f t="shared" si="2"/>
        <v>72.19380574062059</v>
      </c>
      <c r="I32" s="17"/>
    </row>
    <row r="33" spans="1:9" ht="25.5" x14ac:dyDescent="0.2">
      <c r="A33" s="13" t="s">
        <v>84</v>
      </c>
      <c r="B33" s="14" t="s">
        <v>85</v>
      </c>
      <c r="C33" s="15">
        <v>445</v>
      </c>
      <c r="D33" s="15">
        <v>0</v>
      </c>
      <c r="E33" s="15">
        <v>0</v>
      </c>
      <c r="F33" s="16">
        <f t="shared" si="0"/>
        <v>445</v>
      </c>
      <c r="G33" s="16">
        <f t="shared" si="1"/>
        <v>0</v>
      </c>
      <c r="H33" s="16">
        <f t="shared" si="2"/>
        <v>0</v>
      </c>
      <c r="I33" s="17"/>
    </row>
    <row r="34" spans="1:9" ht="25.5" x14ac:dyDescent="0.2">
      <c r="A34" s="13" t="s">
        <v>86</v>
      </c>
      <c r="B34" s="14" t="s">
        <v>87</v>
      </c>
      <c r="C34" s="15">
        <v>9018.0310000000009</v>
      </c>
      <c r="D34" s="15">
        <v>4307.6710000000003</v>
      </c>
      <c r="E34" s="15">
        <v>3296.7818600000001</v>
      </c>
      <c r="F34" s="16">
        <f t="shared" si="0"/>
        <v>5721.2491400000008</v>
      </c>
      <c r="G34" s="16">
        <f t="shared" si="1"/>
        <v>1010.8891400000002</v>
      </c>
      <c r="H34" s="16">
        <f t="shared" si="2"/>
        <v>76.532814599815069</v>
      </c>
      <c r="I34" s="17"/>
    </row>
    <row r="35" spans="1:9" x14ac:dyDescent="0.2">
      <c r="A35" s="13" t="s">
        <v>88</v>
      </c>
      <c r="B35" s="14" t="s">
        <v>89</v>
      </c>
      <c r="C35" s="15">
        <v>100</v>
      </c>
      <c r="D35" s="15">
        <v>100</v>
      </c>
      <c r="E35" s="15">
        <v>0</v>
      </c>
      <c r="F35" s="16">
        <f t="shared" si="0"/>
        <v>100</v>
      </c>
      <c r="G35" s="16">
        <f t="shared" si="1"/>
        <v>100</v>
      </c>
      <c r="H35" s="16">
        <f t="shared" si="2"/>
        <v>0</v>
      </c>
      <c r="I35" s="17"/>
    </row>
    <row r="36" spans="1:9" x14ac:dyDescent="0.2">
      <c r="A36" s="13" t="s">
        <v>90</v>
      </c>
      <c r="B36" s="14" t="s">
        <v>91</v>
      </c>
      <c r="C36" s="15">
        <v>495.35</v>
      </c>
      <c r="D36" s="15">
        <v>495.35</v>
      </c>
      <c r="E36" s="15">
        <v>125.58</v>
      </c>
      <c r="F36" s="16">
        <f t="shared" si="0"/>
        <v>369.77000000000004</v>
      </c>
      <c r="G36" s="16">
        <f t="shared" si="1"/>
        <v>369.77000000000004</v>
      </c>
      <c r="H36" s="16">
        <f t="shared" si="2"/>
        <v>25.351771474714845</v>
      </c>
      <c r="I36" s="17"/>
    </row>
    <row r="37" spans="1:9" ht="38.25" x14ac:dyDescent="0.2">
      <c r="A37" s="13" t="s">
        <v>92</v>
      </c>
      <c r="B37" s="14" t="s">
        <v>93</v>
      </c>
      <c r="C37" s="15">
        <v>3288.7660000000001</v>
      </c>
      <c r="D37" s="15">
        <v>3288.7660000000001</v>
      </c>
      <c r="E37" s="15">
        <v>3141.9</v>
      </c>
      <c r="F37" s="16">
        <f t="shared" si="0"/>
        <v>146.86599999999999</v>
      </c>
      <c r="G37" s="16">
        <f t="shared" si="1"/>
        <v>146.86599999999999</v>
      </c>
      <c r="H37" s="16">
        <f t="shared" si="2"/>
        <v>95.534312869933586</v>
      </c>
      <c r="I37" s="17"/>
    </row>
    <row r="38" spans="1:9" ht="25.5" x14ac:dyDescent="0.2">
      <c r="A38" s="13" t="s">
        <v>94</v>
      </c>
      <c r="B38" s="14" t="s">
        <v>95</v>
      </c>
      <c r="C38" s="15">
        <v>2037.9059999999999</v>
      </c>
      <c r="D38" s="15">
        <v>722.93299999999999</v>
      </c>
      <c r="E38" s="15">
        <v>571.12067999999999</v>
      </c>
      <c r="F38" s="16">
        <f t="shared" si="0"/>
        <v>1466.78532</v>
      </c>
      <c r="G38" s="16">
        <f t="shared" si="1"/>
        <v>151.81232</v>
      </c>
      <c r="H38" s="16">
        <f t="shared" si="2"/>
        <v>79.000499354711991</v>
      </c>
      <c r="I38" s="17"/>
    </row>
    <row r="39" spans="1:9" ht="25.5" x14ac:dyDescent="0.2">
      <c r="A39" s="13" t="s">
        <v>96</v>
      </c>
      <c r="B39" s="14" t="s">
        <v>95</v>
      </c>
      <c r="C39" s="15">
        <v>10499.056</v>
      </c>
      <c r="D39" s="15">
        <v>5244.4350000000004</v>
      </c>
      <c r="E39" s="15">
        <v>4366.386919999999</v>
      </c>
      <c r="F39" s="16">
        <f t="shared" si="0"/>
        <v>6132.6690800000015</v>
      </c>
      <c r="G39" s="16">
        <f t="shared" si="1"/>
        <v>878.04808000000139</v>
      </c>
      <c r="H39" s="16">
        <f t="shared" si="2"/>
        <v>83.257527645971379</v>
      </c>
      <c r="I39" s="17"/>
    </row>
    <row r="40" spans="1:9" x14ac:dyDescent="0.2">
      <c r="A40" s="13" t="s">
        <v>97</v>
      </c>
      <c r="B40" s="14" t="s">
        <v>75</v>
      </c>
      <c r="C40" s="15">
        <v>2950</v>
      </c>
      <c r="D40" s="15">
        <v>1562</v>
      </c>
      <c r="E40" s="15">
        <v>1527.65</v>
      </c>
      <c r="F40" s="16">
        <f t="shared" si="0"/>
        <v>1422.35</v>
      </c>
      <c r="G40" s="16">
        <f t="shared" si="1"/>
        <v>34.349999999999909</v>
      </c>
      <c r="H40" s="16">
        <f t="shared" si="2"/>
        <v>97.800896286811792</v>
      </c>
      <c r="I40" s="17"/>
    </row>
    <row r="41" spans="1:9" ht="25.5" x14ac:dyDescent="0.2">
      <c r="A41" s="13" t="s">
        <v>98</v>
      </c>
      <c r="B41" s="14" t="s">
        <v>99</v>
      </c>
      <c r="C41" s="15">
        <v>600</v>
      </c>
      <c r="D41" s="15">
        <v>600</v>
      </c>
      <c r="E41" s="15">
        <v>299.67450000000002</v>
      </c>
      <c r="F41" s="16">
        <f t="shared" si="0"/>
        <v>300.32549999999998</v>
      </c>
      <c r="G41" s="16">
        <f t="shared" si="1"/>
        <v>300.32549999999998</v>
      </c>
      <c r="H41" s="16">
        <f t="shared" si="2"/>
        <v>49.945750000000004</v>
      </c>
      <c r="I41" s="17"/>
    </row>
    <row r="42" spans="1:9" ht="25.5" x14ac:dyDescent="0.2">
      <c r="A42" s="13" t="s">
        <v>100</v>
      </c>
      <c r="B42" s="14" t="s">
        <v>95</v>
      </c>
      <c r="C42" s="15">
        <v>2677.1640000000002</v>
      </c>
      <c r="D42" s="15">
        <v>1039.396</v>
      </c>
      <c r="E42" s="15">
        <v>836.74786000000006</v>
      </c>
      <c r="F42" s="16">
        <f t="shared" si="0"/>
        <v>1840.4161400000003</v>
      </c>
      <c r="G42" s="16">
        <f t="shared" si="1"/>
        <v>202.6481399999999</v>
      </c>
      <c r="H42" s="16">
        <f t="shared" si="2"/>
        <v>80.503278827318951</v>
      </c>
      <c r="I42" s="17"/>
    </row>
    <row r="43" spans="1:9" x14ac:dyDescent="0.2">
      <c r="A43" s="13" t="s">
        <v>101</v>
      </c>
      <c r="B43" s="14" t="s">
        <v>102</v>
      </c>
      <c r="C43" s="15">
        <v>100</v>
      </c>
      <c r="D43" s="15">
        <v>100</v>
      </c>
      <c r="E43" s="15">
        <v>0</v>
      </c>
      <c r="F43" s="16">
        <f t="shared" si="0"/>
        <v>100</v>
      </c>
      <c r="G43" s="16">
        <f t="shared" si="1"/>
        <v>100</v>
      </c>
      <c r="H43" s="16">
        <f t="shared" si="2"/>
        <v>0</v>
      </c>
      <c r="I43" s="17"/>
    </row>
    <row r="44" spans="1:9" s="19" customFormat="1" ht="15" x14ac:dyDescent="0.25">
      <c r="A44" s="23" t="s">
        <v>103</v>
      </c>
      <c r="B44" s="24" t="s">
        <v>104</v>
      </c>
      <c r="C44" s="25">
        <v>264148.70500000007</v>
      </c>
      <c r="D44" s="25">
        <v>159201.64500000002</v>
      </c>
      <c r="E44" s="25">
        <v>117443.59955999999</v>
      </c>
      <c r="F44" s="25">
        <f t="shared" si="0"/>
        <v>146705.10544000007</v>
      </c>
      <c r="G44" s="25">
        <f t="shared" si="1"/>
        <v>41758.045440000031</v>
      </c>
      <c r="H44" s="25">
        <f t="shared" si="2"/>
        <v>73.770342988604156</v>
      </c>
      <c r="I44" s="18"/>
    </row>
    <row r="46" spans="1:9" x14ac:dyDescent="0.2">
      <c r="A46" s="20"/>
      <c r="B46" s="21"/>
      <c r="C46" s="17"/>
      <c r="D46" s="17"/>
      <c r="E46" s="17"/>
      <c r="F46" s="17"/>
      <c r="G46" s="17"/>
      <c r="H46" s="17"/>
    </row>
    <row r="54" hidden="1" x14ac:dyDescent="0.2"/>
  </sheetData>
  <mergeCells count="4">
    <mergeCell ref="A2:H2"/>
    <mergeCell ref="A3:H3"/>
    <mergeCell ref="A4:H4"/>
    <mergeCell ref="A5:H5"/>
  </mergeCells>
  <conditionalFormatting sqref="A10:A44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10:B44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10:C44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10:D44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10:E44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10:F44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10:G44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10:H44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46:A55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46:B55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46:C55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46:D55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46:E55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46:F55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46:G55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46:H55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32" right="0.33" top="0.39370078740157499" bottom="0.39370078740157499" header="0" footer="0"/>
  <pageSetup paperSize="9" scale="49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2026-06-01T13:35:53Z</cp:lastPrinted>
  <dcterms:created xsi:type="dcterms:W3CDTF">2026-06-01T11:43:23Z</dcterms:created>
  <dcterms:modified xsi:type="dcterms:W3CDTF">2026-06-02T07:15:47Z</dcterms:modified>
</cp:coreProperties>
</file>