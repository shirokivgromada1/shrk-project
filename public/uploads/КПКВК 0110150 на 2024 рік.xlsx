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26F44BD4-840A-4AB8-8B80-B9A62E15C04D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0150" sheetId="6" r:id="rId1"/>
  </sheets>
  <definedNames>
    <definedName name="_xlnm.Print_Area" localSheetId="0">'Додаток2 КПК0110150'!$A$1:$BY$412</definedName>
  </definedNames>
  <calcPr calcId="191029"/>
</workbook>
</file>

<file path=xl/calcChain.xml><?xml version="1.0" encoding="utf-8"?>
<calcChain xmlns="http://schemas.openxmlformats.org/spreadsheetml/2006/main">
  <c r="BH389" i="6" l="1"/>
  <c r="AT389" i="6"/>
  <c r="AJ389" i="6"/>
  <c r="BG380" i="6"/>
  <c r="AQ380" i="6"/>
  <c r="AZ357" i="6"/>
  <c r="AK357" i="6"/>
  <c r="BO349" i="6"/>
  <c r="AZ349" i="6"/>
  <c r="AK349" i="6"/>
  <c r="BD276" i="6"/>
  <c r="AJ276" i="6"/>
  <c r="BD275" i="6"/>
  <c r="AJ275" i="6"/>
  <c r="BD274" i="6"/>
  <c r="AJ274" i="6"/>
  <c r="BD273" i="6"/>
  <c r="AJ273" i="6"/>
  <c r="BD272" i="6"/>
  <c r="AJ272" i="6"/>
  <c r="BD271" i="6"/>
  <c r="AJ271" i="6"/>
  <c r="BD270" i="6"/>
  <c r="AJ270" i="6"/>
  <c r="BD269" i="6"/>
  <c r="AJ269" i="6"/>
  <c r="BD268" i="6"/>
  <c r="AJ268" i="6"/>
  <c r="BD267" i="6"/>
  <c r="AJ267" i="6"/>
  <c r="BD266" i="6"/>
  <c r="AJ266" i="6"/>
  <c r="BD265" i="6"/>
  <c r="AJ265" i="6"/>
  <c r="BD264" i="6"/>
  <c r="AJ264" i="6"/>
  <c r="BD263" i="6"/>
  <c r="AJ263" i="6"/>
  <c r="BD262" i="6"/>
  <c r="AJ262" i="6"/>
  <c r="BD261" i="6"/>
  <c r="AJ261" i="6"/>
  <c r="BD260" i="6"/>
  <c r="AJ260" i="6"/>
  <c r="BD259" i="6"/>
  <c r="AJ259" i="6"/>
  <c r="BD258" i="6"/>
  <c r="AJ258" i="6"/>
  <c r="BD257" i="6"/>
  <c r="AJ257" i="6"/>
  <c r="BD256" i="6"/>
  <c r="AJ256" i="6"/>
  <c r="BD255" i="6"/>
  <c r="AJ255" i="6"/>
  <c r="BD254" i="6"/>
  <c r="AJ254" i="6"/>
  <c r="BD253" i="6"/>
  <c r="AJ253" i="6"/>
  <c r="BD252" i="6"/>
  <c r="AJ252" i="6"/>
  <c r="BD251" i="6"/>
  <c r="AJ251" i="6"/>
  <c r="BD250" i="6"/>
  <c r="AJ250" i="6"/>
  <c r="BD249" i="6"/>
  <c r="AJ249" i="6"/>
  <c r="BD248" i="6"/>
  <c r="AJ248" i="6"/>
  <c r="BD247" i="6"/>
  <c r="AJ247" i="6"/>
  <c r="BD246" i="6"/>
  <c r="AJ246" i="6"/>
  <c r="BD245" i="6"/>
  <c r="AJ245" i="6"/>
  <c r="BD244" i="6"/>
  <c r="AJ244" i="6"/>
  <c r="BD243" i="6"/>
  <c r="AJ243" i="6"/>
  <c r="BD242" i="6"/>
  <c r="AJ242" i="6"/>
  <c r="BD241" i="6"/>
  <c r="AJ241" i="6"/>
  <c r="BD240" i="6"/>
  <c r="AJ240" i="6"/>
  <c r="BD239" i="6"/>
  <c r="AJ239" i="6"/>
  <c r="BD238" i="6"/>
  <c r="AJ238" i="6"/>
  <c r="BD237" i="6"/>
  <c r="AJ237" i="6"/>
  <c r="BD236" i="6"/>
  <c r="AJ236" i="6"/>
  <c r="BD235" i="6"/>
  <c r="AJ235" i="6"/>
  <c r="BD234" i="6"/>
  <c r="AJ234" i="6"/>
  <c r="BD233" i="6"/>
  <c r="AJ233" i="6"/>
  <c r="BD232" i="6"/>
  <c r="AJ232" i="6"/>
  <c r="BD231" i="6"/>
  <c r="AJ231" i="6"/>
  <c r="BD230" i="6"/>
  <c r="AJ230" i="6"/>
  <c r="BD229" i="6"/>
  <c r="AJ229" i="6"/>
  <c r="BD228" i="6"/>
  <c r="AJ228" i="6"/>
  <c r="BD227" i="6"/>
  <c r="AJ227" i="6"/>
  <c r="BD226" i="6"/>
  <c r="AJ226" i="6"/>
  <c r="BD225" i="6"/>
  <c r="AJ225" i="6"/>
  <c r="BD224" i="6"/>
  <c r="AJ224" i="6"/>
  <c r="BD223" i="6"/>
  <c r="AJ223" i="6"/>
  <c r="BD222" i="6"/>
  <c r="AJ222" i="6"/>
  <c r="BD221" i="6"/>
  <c r="AJ221" i="6"/>
  <c r="BD220" i="6"/>
  <c r="AJ220" i="6"/>
  <c r="BD219" i="6"/>
  <c r="AJ219" i="6"/>
  <c r="BD218" i="6"/>
  <c r="AJ218" i="6"/>
  <c r="BD217" i="6"/>
  <c r="AJ217" i="6"/>
  <c r="BD216" i="6"/>
  <c r="AJ216" i="6"/>
  <c r="BD215" i="6"/>
  <c r="AJ215" i="6"/>
  <c r="BD214" i="6"/>
  <c r="AJ214" i="6"/>
  <c r="BD213" i="6"/>
  <c r="AJ213" i="6"/>
  <c r="BD212" i="6"/>
  <c r="AJ212" i="6"/>
  <c r="BD211" i="6"/>
  <c r="AJ211" i="6"/>
  <c r="BD210" i="6"/>
  <c r="AJ210" i="6"/>
  <c r="BD209" i="6"/>
  <c r="AJ209" i="6"/>
  <c r="BD208" i="6"/>
  <c r="AJ208" i="6"/>
  <c r="BD207" i="6"/>
  <c r="AJ207" i="6"/>
  <c r="BD206" i="6"/>
  <c r="AJ206" i="6"/>
  <c r="BD205" i="6"/>
  <c r="AJ205" i="6"/>
  <c r="BD204" i="6"/>
  <c r="AJ204" i="6"/>
  <c r="BU196" i="6"/>
  <c r="BB196" i="6"/>
  <c r="AI196" i="6"/>
  <c r="BU195" i="6"/>
  <c r="BB195" i="6"/>
  <c r="AI195" i="6"/>
  <c r="BU194" i="6"/>
  <c r="BB194" i="6"/>
  <c r="AI194" i="6"/>
  <c r="BU193" i="6"/>
  <c r="BB193" i="6"/>
  <c r="AI193" i="6"/>
  <c r="BU192" i="6"/>
  <c r="BB192" i="6"/>
  <c r="AI192" i="6"/>
  <c r="BU191" i="6"/>
  <c r="BB191" i="6"/>
  <c r="AI191" i="6"/>
  <c r="BU190" i="6"/>
  <c r="BB190" i="6"/>
  <c r="AI190" i="6"/>
  <c r="BU189" i="6"/>
  <c r="BB189" i="6"/>
  <c r="AI189" i="6"/>
  <c r="BU188" i="6"/>
  <c r="BB188" i="6"/>
  <c r="AI188" i="6"/>
  <c r="BU187" i="6"/>
  <c r="BB187" i="6"/>
  <c r="AI187" i="6"/>
  <c r="BU186" i="6"/>
  <c r="BB186" i="6"/>
  <c r="AI186" i="6"/>
  <c r="BU185" i="6"/>
  <c r="BB185" i="6"/>
  <c r="AI185" i="6"/>
  <c r="BU184" i="6"/>
  <c r="BB184" i="6"/>
  <c r="AI184" i="6"/>
  <c r="BU183" i="6"/>
  <c r="BB183" i="6"/>
  <c r="AI183" i="6"/>
  <c r="BU182" i="6"/>
  <c r="BB182" i="6"/>
  <c r="AI182" i="6"/>
  <c r="BU181" i="6"/>
  <c r="BB181" i="6"/>
  <c r="AI181" i="6"/>
  <c r="BU180" i="6"/>
  <c r="BB180" i="6"/>
  <c r="AI180" i="6"/>
  <c r="BU179" i="6"/>
  <c r="BB179" i="6"/>
  <c r="AI179" i="6"/>
  <c r="BU178" i="6"/>
  <c r="BB178" i="6"/>
  <c r="AI178" i="6"/>
  <c r="BU177" i="6"/>
  <c r="BB177" i="6"/>
  <c r="AI177" i="6"/>
  <c r="BU176" i="6"/>
  <c r="BB176" i="6"/>
  <c r="AI176" i="6"/>
  <c r="BU175" i="6"/>
  <c r="BB175" i="6"/>
  <c r="AI175" i="6"/>
  <c r="BU174" i="6"/>
  <c r="BB174" i="6"/>
  <c r="AI174" i="6"/>
  <c r="BU173" i="6"/>
  <c r="BB173" i="6"/>
  <c r="AI173" i="6"/>
  <c r="BU172" i="6"/>
  <c r="BB172" i="6"/>
  <c r="AI172" i="6"/>
  <c r="BU171" i="6"/>
  <c r="BB171" i="6"/>
  <c r="AI171" i="6"/>
  <c r="BU170" i="6"/>
  <c r="BB170" i="6"/>
  <c r="AI170" i="6"/>
  <c r="BU169" i="6"/>
  <c r="BB169" i="6"/>
  <c r="AI169" i="6"/>
  <c r="BU168" i="6"/>
  <c r="BB168" i="6"/>
  <c r="AI168" i="6"/>
  <c r="BU167" i="6"/>
  <c r="BB167" i="6"/>
  <c r="AI167" i="6"/>
  <c r="BU166" i="6"/>
  <c r="BB166" i="6"/>
  <c r="AI166" i="6"/>
  <c r="BU165" i="6"/>
  <c r="BB165" i="6"/>
  <c r="AI165" i="6"/>
  <c r="BU164" i="6"/>
  <c r="BB164" i="6"/>
  <c r="AI164" i="6"/>
  <c r="BU163" i="6"/>
  <c r="BB163" i="6"/>
  <c r="AI163" i="6"/>
  <c r="BU162" i="6"/>
  <c r="BB162" i="6"/>
  <c r="AI162" i="6"/>
  <c r="BU161" i="6"/>
  <c r="BB161" i="6"/>
  <c r="AI161" i="6"/>
  <c r="BU160" i="6"/>
  <c r="BB160" i="6"/>
  <c r="AI160" i="6"/>
  <c r="BU159" i="6"/>
  <c r="BB159" i="6"/>
  <c r="AI159" i="6"/>
  <c r="BU158" i="6"/>
  <c r="BB158" i="6"/>
  <c r="AI158" i="6"/>
  <c r="BU157" i="6"/>
  <c r="BB157" i="6"/>
  <c r="AI157" i="6"/>
  <c r="BU156" i="6"/>
  <c r="BB156" i="6"/>
  <c r="AI156" i="6"/>
  <c r="BU155" i="6"/>
  <c r="BB155" i="6"/>
  <c r="AI155" i="6"/>
  <c r="BU154" i="6"/>
  <c r="BB154" i="6"/>
  <c r="AI154" i="6"/>
  <c r="BU153" i="6"/>
  <c r="BB153" i="6"/>
  <c r="AI153" i="6"/>
  <c r="BU152" i="6"/>
  <c r="BB152" i="6"/>
  <c r="AI152" i="6"/>
  <c r="BU151" i="6"/>
  <c r="BB151" i="6"/>
  <c r="AI151" i="6"/>
  <c r="BU150" i="6"/>
  <c r="BB150" i="6"/>
  <c r="AI150" i="6"/>
  <c r="BU149" i="6"/>
  <c r="BB149" i="6"/>
  <c r="AI149" i="6"/>
  <c r="BU148" i="6"/>
  <c r="BB148" i="6"/>
  <c r="AI148" i="6"/>
  <c r="BU147" i="6"/>
  <c r="BB147" i="6"/>
  <c r="AI147" i="6"/>
  <c r="BU146" i="6"/>
  <c r="BB146" i="6"/>
  <c r="AI146" i="6"/>
  <c r="BU145" i="6"/>
  <c r="BB145" i="6"/>
  <c r="AI145" i="6"/>
  <c r="BU144" i="6"/>
  <c r="BB144" i="6"/>
  <c r="AI144" i="6"/>
  <c r="BU143" i="6"/>
  <c r="BB143" i="6"/>
  <c r="AI143" i="6"/>
  <c r="BU142" i="6"/>
  <c r="BB142" i="6"/>
  <c r="AI142" i="6"/>
  <c r="BU141" i="6"/>
  <c r="BB141" i="6"/>
  <c r="AI141" i="6"/>
  <c r="BU140" i="6"/>
  <c r="BB140" i="6"/>
  <c r="AI140" i="6"/>
  <c r="BU139" i="6"/>
  <c r="BB139" i="6"/>
  <c r="AI139" i="6"/>
  <c r="BU138" i="6"/>
  <c r="BB138" i="6"/>
  <c r="AI138" i="6"/>
  <c r="BU137" i="6"/>
  <c r="BB137" i="6"/>
  <c r="AI137" i="6"/>
  <c r="BU136" i="6"/>
  <c r="BB136" i="6"/>
  <c r="AI136" i="6"/>
  <c r="BU135" i="6"/>
  <c r="BB135" i="6"/>
  <c r="AI135" i="6"/>
  <c r="BU134" i="6"/>
  <c r="BB134" i="6"/>
  <c r="AI134" i="6"/>
  <c r="BU133" i="6"/>
  <c r="BB133" i="6"/>
  <c r="AI133" i="6"/>
  <c r="BU132" i="6"/>
  <c r="BB132" i="6"/>
  <c r="AI132" i="6"/>
  <c r="BU131" i="6"/>
  <c r="BB131" i="6"/>
  <c r="AI131" i="6"/>
  <c r="BU130" i="6"/>
  <c r="BB130" i="6"/>
  <c r="AI130" i="6"/>
  <c r="BU129" i="6"/>
  <c r="BB129" i="6"/>
  <c r="AI129" i="6"/>
  <c r="BU128" i="6"/>
  <c r="BB128" i="6"/>
  <c r="AI128" i="6"/>
  <c r="BU127" i="6"/>
  <c r="BB127" i="6"/>
  <c r="AI127" i="6"/>
  <c r="BU126" i="6"/>
  <c r="BB126" i="6"/>
  <c r="AI126" i="6"/>
  <c r="BU125" i="6"/>
  <c r="BB125" i="6"/>
  <c r="AI125" i="6"/>
  <c r="BU124" i="6"/>
  <c r="BB124" i="6"/>
  <c r="AI124" i="6"/>
  <c r="BG114" i="6"/>
  <c r="AM114" i="6"/>
  <c r="BG106" i="6"/>
  <c r="AM106" i="6"/>
  <c r="BG105" i="6"/>
  <c r="AM105" i="6"/>
  <c r="BG104" i="6"/>
  <c r="AM104" i="6"/>
  <c r="BG103" i="6"/>
  <c r="AM103" i="6"/>
  <c r="BG102" i="6"/>
  <c r="AM102" i="6"/>
  <c r="BG101" i="6"/>
  <c r="AM101" i="6"/>
  <c r="BG100" i="6"/>
  <c r="AM100" i="6"/>
  <c r="BG99" i="6"/>
  <c r="AM99" i="6"/>
  <c r="BG98" i="6"/>
  <c r="AM98" i="6"/>
  <c r="BG97" i="6"/>
  <c r="AM97" i="6"/>
  <c r="BG96" i="6"/>
  <c r="AM96" i="6"/>
  <c r="BG95" i="6"/>
  <c r="AM95" i="6"/>
  <c r="BG94" i="6"/>
  <c r="AM94" i="6"/>
  <c r="BG93" i="6"/>
  <c r="AM93" i="6"/>
  <c r="BG92" i="6"/>
  <c r="AM92" i="6"/>
  <c r="BG91" i="6"/>
  <c r="AM91" i="6"/>
  <c r="BU83" i="6"/>
  <c r="BB83" i="6"/>
  <c r="AI83" i="6"/>
  <c r="BU75" i="6"/>
  <c r="BB75" i="6"/>
  <c r="AI75" i="6"/>
  <c r="BU74" i="6"/>
  <c r="BB74" i="6"/>
  <c r="AI74" i="6"/>
  <c r="BU73" i="6"/>
  <c r="BB73" i="6"/>
  <c r="AI73" i="6"/>
  <c r="BU72" i="6"/>
  <c r="BB72" i="6"/>
  <c r="AI72" i="6"/>
  <c r="BU71" i="6"/>
  <c r="BB71" i="6"/>
  <c r="AI71" i="6"/>
  <c r="BU70" i="6"/>
  <c r="BB70" i="6"/>
  <c r="AI70" i="6"/>
  <c r="BU69" i="6"/>
  <c r="BB69" i="6"/>
  <c r="AI69" i="6"/>
  <c r="BU68" i="6"/>
  <c r="BB68" i="6"/>
  <c r="AI68" i="6"/>
  <c r="BU67" i="6"/>
  <c r="BB67" i="6"/>
  <c r="AI67" i="6"/>
  <c r="BU66" i="6"/>
  <c r="BB66" i="6"/>
  <c r="AI66" i="6"/>
  <c r="BU65" i="6"/>
  <c r="BB65" i="6"/>
  <c r="AI65" i="6"/>
  <c r="BU64" i="6"/>
  <c r="BB64" i="6"/>
  <c r="AI64" i="6"/>
  <c r="BU63" i="6"/>
  <c r="BB63" i="6"/>
  <c r="AI63" i="6"/>
  <c r="BU62" i="6"/>
  <c r="BB62" i="6"/>
  <c r="AI62" i="6"/>
  <c r="BU61" i="6"/>
  <c r="BB61" i="6"/>
  <c r="AI61" i="6"/>
  <c r="BU60" i="6"/>
  <c r="BB60" i="6"/>
  <c r="AI60" i="6"/>
  <c r="BG50" i="6"/>
  <c r="AM50" i="6"/>
  <c r="BG49" i="6"/>
  <c r="AM49" i="6"/>
  <c r="BG48" i="6"/>
  <c r="AM48" i="6"/>
  <c r="BG47" i="6"/>
  <c r="AM47" i="6"/>
  <c r="BG46" i="6"/>
  <c r="AM46" i="6"/>
  <c r="BG45" i="6"/>
  <c r="AM45" i="6"/>
  <c r="BG44" i="6"/>
  <c r="AM44" i="6"/>
  <c r="BU36" i="6"/>
  <c r="BB36" i="6"/>
  <c r="AI36" i="6"/>
  <c r="BU35" i="6"/>
  <c r="BB35" i="6"/>
  <c r="AI35" i="6"/>
  <c r="BU34" i="6"/>
  <c r="BB34" i="6"/>
  <c r="AI34" i="6"/>
  <c r="BU33" i="6"/>
  <c r="BB33" i="6"/>
  <c r="AI33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<sst xmlns="http://schemas.openxmlformats.org/spreadsheetml/2006/main" count="907" uniqueCount="346">
  <si>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</si>
  <si>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</si>
  <si>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</si>
  <si>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</si>
  <si>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</si>
  <si>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</si>
  <si>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</si>
  <si>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</si>
  <si>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</si>
  <si>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</si>
  <si>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</si>
  <si>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</si>
  <si>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</si>
  <si>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</si>
  <si>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</si>
  <si>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</si>
  <si>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</si>
  <si>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</si>
  <si>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</si>
  <si>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</si>
  <si>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</si>
  <si>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</si>
  <si>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</si>
  <si>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</si>
  <si>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</si>
  <si>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</si>
  <si>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</si>
  <si>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</si>
  <si>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</si>
  <si>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</si>
  <si>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</si>
  <si>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</si>
  <si>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</si>
  <si>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</si>
  <si>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</si>
  <si>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</si>
  <si>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</si>
  <si>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</si>
  <si>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</si>
  <si>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</si>
  <si>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</si>
  <si>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</si>
  <si>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</si>
  <si>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</si>
  <si>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</si>
  <si>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</si>
  <si>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</si>
  <si>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</si>
  <si>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</si>
  <si>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</si>
  <si>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</si>
  <si>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</si>
  <si>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</si>
  <si>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</si>
  <si>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</si>
  <si>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</si>
  <si>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</si>
  <si>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</si>
  <si>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</si>
  <si>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</si>
  <si>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</si>
  <si>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</si>
  <si>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</si>
  <si>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</si>
  <si>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</si>
  <si>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</si>
  <si>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</si>
  <si>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</si>
  <si>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</si>
  <si>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</si>
  <si>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</si>
  <si>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</si>
  <si>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</si>
  <si>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</si>
  <si>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</si>
  <si>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</si>
  <si>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</si>
  <si>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</si>
  <si>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</si>
  <si>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</si>
  <si>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</si>
  <si>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</si>
  <si>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</si>
  <si>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</si>
  <si>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</si>
  <si>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</si>
  <si>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</si>
  <si>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</si>
  <si>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</si>
  <si>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</si>
  <si>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</si>
  <si>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</si>
  <si>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</si>
  <si>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</si>
  <si>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</si>
  <si>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</si>
  <si>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</si>
  <si>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</si>
  <si>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</si>
  <si>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</si>
  <si>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</si>
  <si>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</si>
  <si>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</si>
  <si>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</si>
  <si>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</si>
  <si>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</si>
  <si>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</si>
  <si>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</si>
  <si>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</si>
  <si>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</si>
  <si>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</si>
  <si>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</si>
  <si>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</si>
  <si>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</si>
  <si>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</si>
  <si>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</si>
  <si>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</si>
  <si>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</si>
  <si>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</si>
  <si>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</si>
  <si>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</si>
  <si>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</si>
  <si>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</si>
  <si>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</si>
  <si>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</si>
  <si>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</si>
  <si>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</si>
  <si>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</si>
  <si>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</si>
  <si>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</si>
  <si>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</si>
  <si>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</si>
  <si>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</si>
  <si>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</si>
  <si>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</si>
  <si>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</si>
  <si>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</si>
  <si>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</si>
  <si>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</si>
  <si>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</si>
  <si>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</si>
  <si>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</si>
  <si>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</si>
  <si>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</si>
  <si>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</si>
  <si>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</si>
  <si>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</si>
  <si>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</si>
  <si>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</si>
  <si>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</si>
  <si>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</si>
  <si>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</si>
  <si>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</si>
  <si>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</si>
  <si>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</si>
  <si>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</si>
  <si>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</si>
  <si>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</si>
  <si>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</si>
  <si>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</si>
  <si>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</si>
  <si>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</si>
  <si>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</si>
  <si>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</si>
  <si>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</si>
  <si>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</si>
  <si>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</si>
  <si>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</si>
  <si>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</si>
  <si>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</si>
  <si>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</si>
  <si>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</si>
  <si>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</si>
  <si>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</si>
  <si>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Власні надходження бюджетних установ (розписати за видами надходжень)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</si>
  <si>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</si>
  <si>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</t>
  </si>
  <si>
    <t>Інші надходження спеціального фонду (розписати за видами надходжень)</t>
  </si>
  <si>
    <t>Кошти, що передаються із загального фонду бюджету до бюджету розвитку (спеціального фонду)</t>
  </si>
  <si>
    <t>Заробітна плата</t>
  </si>
  <si>
    <t>Нарахування на оплату праці</t>
  </si>
  <si>
    <t>Предмети, матеріали, обладнання та інвентар</t>
  </si>
  <si>
    <t>Продукти харчування</t>
  </si>
  <si>
    <t>Оплата послуг (крім комунальних)</t>
  </si>
  <si>
    <t>Видатки на відрядження</t>
  </si>
  <si>
    <t>Оплата теплопостачання</t>
  </si>
  <si>
    <t>Оплата водопостачання та водовідведення</t>
  </si>
  <si>
    <t>Оплата електроенергії</t>
  </si>
  <si>
    <t>Оплата природного газу</t>
  </si>
  <si>
    <t>Оплата інших енергоносіїв та інших комунальних послуг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</si>
  <si>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</si>
  <si>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</t>
  </si>
  <si>
    <t>Інші поточні видатки</t>
  </si>
  <si>
    <t>Придбання обладнання і предметів довгострокового користування</t>
  </si>
  <si>
    <t>Виготовлення технічної документації на об"єкти нерухомого майна</t>
  </si>
  <si>
    <t>Інформаційні послуги</t>
  </si>
  <si>
    <t>Обслуговування газових котлів</t>
  </si>
  <si>
    <t>Оплата експлуатаційних послуг, пов"язаних з утриманням будинків і споруд</t>
  </si>
  <si>
    <t>Оплата за водопостачання</t>
  </si>
  <si>
    <t>Оплата за науково-технічні роботи з розроблення тимчасової індивідуальної базової лінійної норми витрати палива на автомобілі</t>
  </si>
  <si>
    <t>Оплата за оренду приміщень</t>
  </si>
  <si>
    <t>Оплата за природний газ</t>
  </si>
  <si>
    <t>Оплата збору на обов"язкове державне пенсійне страхування при першій державній реєстрації транспортних засобів</t>
  </si>
  <si>
    <t>Оплата навчання посадових осіб по охороні праці</t>
  </si>
  <si>
    <t>Оплата послуг з виготовлення поліграфічної продукції</t>
  </si>
  <si>
    <t>Оплата послуг з виготовлення технічної документації на об"єкти нерухомого майна для включення об"єктів до державного реєстру об"єктів культурної спадщини будівель с.Миколай-Поле</t>
  </si>
  <si>
    <t>Оплата послуг з впровадження системи електронного внутрішнього документообігу</t>
  </si>
  <si>
    <t>Оплата послуг з інженерного проектування (електрозабезпечення струмоприймачів)</t>
  </si>
  <si>
    <t>Оплата послуг з обстеження і оцінка технічного стану будівельних конструкцій будівлі клубу в с.Привільне</t>
  </si>
  <si>
    <t>Оплата послуг з охорони приміщень</t>
  </si>
  <si>
    <t>Оплата послуг з перезарядки вогнегасників</t>
  </si>
  <si>
    <t>Оплата послуг з перезарядки картриджів, тонерів</t>
  </si>
  <si>
    <t>Оплата послуг з підвозу питної води</t>
  </si>
  <si>
    <t>Оплата послуг з побудови, створення і впровадження локальних мереж</t>
  </si>
  <si>
    <t>Оплата послуг з побудови, створення і впровадження систем відеоспостереження</t>
  </si>
  <si>
    <t>Оплата послуг з повірки засобів обліку</t>
  </si>
  <si>
    <t>Оплата послуг з поточного ремонту внутрішніх електричних мереж</t>
  </si>
  <si>
    <t>Оплата послуг з поточного ремонту зовнішніх електричних мереж</t>
  </si>
  <si>
    <t>Оплата послуг з поточного ремонту транспортних засобів</t>
  </si>
  <si>
    <t>Оплата послуг з проведення експертизи з визначення технічного стану транспортних засобів</t>
  </si>
  <si>
    <t>Оплата послуг з технічного обслуговування газового обладнання</t>
  </si>
  <si>
    <t>Оплата послуг за проведення експертизи визначення технічного стану автобуса</t>
  </si>
  <si>
    <t>Оплата послуг зі встановлення кондиціонерів</t>
  </si>
  <si>
    <t>Оплата послуг зі спостереження за комплексом тривожної сигналізації (КТС)</t>
  </si>
  <si>
    <t>Оплата послуг перевірки димовентиляційних каналів</t>
  </si>
  <si>
    <t>Оплата послуг по здійсненню нерегулярних пасажирських перевезень</t>
  </si>
  <si>
    <t>Оплата послуг поводження з побутовими відходами</t>
  </si>
  <si>
    <t>Оплата послуг страхування транспортних засобів</t>
  </si>
  <si>
    <t>Оплата послуг телефонного зв"язку</t>
  </si>
  <si>
    <t>Оплата поточного ремонту кондиціонерів</t>
  </si>
  <si>
    <t>Оплата поточного ремонту приміщень будівель сільської ради</t>
  </si>
  <si>
    <t>Оплата реєстрації транспортних засобів</t>
  </si>
  <si>
    <t>Оплата службових відряджень</t>
  </si>
  <si>
    <t>Оплата телекомунікаційних послуг (придбання серверу, підключення до мережі Інтернет, консультаційні послуги по експлуатації сервера)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</si>
  <si>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</si>
  <si>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Послуги з оцінки комунального майна</t>
  </si>
  <si>
    <t>Поточний ремонт електричних мереж будівель сільської ради</t>
  </si>
  <si>
    <t>Придбання або передплата періодчиних, інформаційних видань</t>
  </si>
  <si>
    <t>Придбання веб-камер, клавіатур, мікрофонів</t>
  </si>
  <si>
    <t>Придбання дезінфекційних засобів</t>
  </si>
  <si>
    <t>Придбання електричного котла для адмінбудівлі за адресою: с.Веселе, вул.Центральна, 48а</t>
  </si>
  <si>
    <t>Придбання жалюзі</t>
  </si>
  <si>
    <t>Придбання запасних частин для трансопртних засобів</t>
  </si>
  <si>
    <t>Придбання захищеного носія особистого ключа для адміністраторів</t>
  </si>
  <si>
    <t>Придбання канцелярських предметів та приладдя</t>
  </si>
  <si>
    <t>Придбання комп"ютерної техніки, планшетів для впровадження електронного голосування</t>
  </si>
  <si>
    <t>Придбання конвертів та марок для відправки службової кореспонденції</t>
  </si>
  <si>
    <t>Придбання кондиціонерів</t>
  </si>
  <si>
    <t>Придбання матеріалів, інвентарю та інструментів для господарської діяльності</t>
  </si>
  <si>
    <t>Придбання меблів</t>
  </si>
  <si>
    <t>Придбання модему до лічильника</t>
  </si>
  <si>
    <t>Придбання обладнання для відділу внутрішньої та інформаційної політики</t>
  </si>
  <si>
    <t>Придбання основних засобів</t>
  </si>
  <si>
    <t>Придбання пально-мастильних матеріалів</t>
  </si>
  <si>
    <t>Придбання питної води</t>
  </si>
  <si>
    <t>Придбання побутової техніки</t>
  </si>
  <si>
    <t>Придбання рециркуляторів побутових РЦП з таймером</t>
  </si>
  <si>
    <t>Придбання ролетів на вікна</t>
  </si>
  <si>
    <t>Придбання світлодіодних ламп</t>
  </si>
  <si>
    <t>Придбання службових автомобілів</t>
  </si>
  <si>
    <t>Придбання трифазного лічильника АСЕ</t>
  </si>
  <si>
    <t>Судові збори, штрафи, пені</t>
  </si>
  <si>
    <t>затрат</t>
  </si>
  <si>
    <t xml:space="preserve">formula=RC[-16]+RC[-8]                          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</si>
  <si>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</si>
  <si>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</si>
  <si>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</si>
  <si>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</si>
  <si>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</si>
  <si>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</si>
  <si>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</si>
  <si>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</si>
  <si>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</si>
  <si>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</si>
  <si>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</si>
  <si>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</si>
  <si>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</si>
  <si>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</si>
  <si>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</si>
  <si>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</si>
  <si>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</si>
  <si>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</si>
  <si>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Обов’язкові виплати, у тому числі: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</si>
  <si>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</si>
  <si>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</si>
  <si>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</si>
  <si>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</si>
  <si>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</si>
  <si>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</si>
  <si>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</si>
  <si>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</si>
  <si>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</si>
  <si>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</si>
  <si>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</si>
  <si>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Забезпечення виконання наданих законодавством повноважень</t>
  </si>
  <si>
    <t>- Бюджетний кодекс України;_x000D_
- Закон України "Про місцеве самоврядування в Україні";_x000D_
- Конституція України;_x000D_
-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-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- 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-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- 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</si>
  <si>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</si>
  <si>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</si>
  <si>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</si>
  <si>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</si>
  <si>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</si>
  <si>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</si>
  <si>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</si>
  <si>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</si>
  <si>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</si>
  <si>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</si>
  <si>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</si>
  <si>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</si>
  <si>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</si>
  <si>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</si>
  <si>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</si>
  <si>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</si>
  <si>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</si>
  <si>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</si>
  <si>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</si>
  <si>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</si>
  <si>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</si>
  <si>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</si>
  <si>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</si>
  <si>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</si>
  <si>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</si>
  <si>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</si>
  <si>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</si>
  <si>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</si>
  <si>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</si>
  <si>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</si>
  <si>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</si>
  <si>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</si>
  <si>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</si>
  <si>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</si>
  <si>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</si>
  <si>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</si>
  <si>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</si>
  <si>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</si>
  <si>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</si>
  <si>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</si>
  <si>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</si>
  <si>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</si>
  <si>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</si>
  <si>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</si>
  <si>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</si>
  <si>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(0)(1)(1)(0)(1)(5)(0)</t>
  </si>
  <si>
    <t>(0)(1)(5)(0)</t>
  </si>
  <si>
    <t>(0)(1)(1)(1)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</si>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</sst>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18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413"/>
  <sheetViews>
    <sheetView tabSelected="1" topLeftCell="A307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328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6" t="s">
        <v>297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8"/>
      <c r="AH4" s="35" t="s">
        <v>296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1" t="s">
        <v>302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6" t="s">
        <v>344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8"/>
      <c r="AH7" s="35" t="s">
        <v>345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1" t="s">
        <v>302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42.75" customHeight="1" x14ac:dyDescent="0.2">
      <c r="A10" s="11" t="s">
        <v>163</v>
      </c>
      <c r="B10" s="35" t="s">
        <v>341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342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343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2" t="s">
        <v>293</v>
      </c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20"/>
      <c r="BL10" s="131" t="s">
        <v>303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329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4" t="s">
        <v>293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4" t="s">
        <v>294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35" customHeight="1" x14ac:dyDescent="0.2">
      <c r="A21" s="124" t="s">
        <v>295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315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304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305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308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316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18451875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18451875</v>
      </c>
      <c r="AJ30" s="97"/>
      <c r="AK30" s="97"/>
      <c r="AL30" s="97"/>
      <c r="AM30" s="98"/>
      <c r="AN30" s="96">
        <v>28112137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28112137</v>
      </c>
      <c r="BC30" s="97"/>
      <c r="BD30" s="97"/>
      <c r="BE30" s="97"/>
      <c r="BF30" s="98"/>
      <c r="BG30" s="96">
        <v>35814339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35814339</v>
      </c>
      <c r="BV30" s="97"/>
      <c r="BW30" s="97"/>
      <c r="BX30" s="97"/>
      <c r="BY30" s="98"/>
      <c r="CA30" s="99" t="s">
        <v>22</v>
      </c>
    </row>
    <row r="31" spans="1:79" s="99" customFormat="1" ht="25.5" customHeight="1" x14ac:dyDescent="0.2">
      <c r="A31" s="89"/>
      <c r="B31" s="90"/>
      <c r="C31" s="90"/>
      <c r="D31" s="91"/>
      <c r="E31" s="92" t="s">
        <v>174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95" t="s">
        <v>173</v>
      </c>
      <c r="V31" s="95"/>
      <c r="W31" s="95"/>
      <c r="X31" s="95"/>
      <c r="Y31" s="95"/>
      <c r="Z31" s="95">
        <v>670179</v>
      </c>
      <c r="AA31" s="95"/>
      <c r="AB31" s="95"/>
      <c r="AC31" s="95"/>
      <c r="AD31" s="95"/>
      <c r="AE31" s="96">
        <v>0</v>
      </c>
      <c r="AF31" s="97"/>
      <c r="AG31" s="97"/>
      <c r="AH31" s="98"/>
      <c r="AI31" s="96">
        <f>IF(ISNUMBER(U31),U31,0)+IF(ISNUMBER(Z31),Z31,0)</f>
        <v>670179</v>
      </c>
      <c r="AJ31" s="97"/>
      <c r="AK31" s="97"/>
      <c r="AL31" s="97"/>
      <c r="AM31" s="98"/>
      <c r="AN31" s="96" t="s">
        <v>173</v>
      </c>
      <c r="AO31" s="97"/>
      <c r="AP31" s="97"/>
      <c r="AQ31" s="97"/>
      <c r="AR31" s="98"/>
      <c r="AS31" s="96">
        <v>32646985</v>
      </c>
      <c r="AT31" s="97"/>
      <c r="AU31" s="97"/>
      <c r="AV31" s="97"/>
      <c r="AW31" s="98"/>
      <c r="AX31" s="96">
        <v>0</v>
      </c>
      <c r="AY31" s="97"/>
      <c r="AZ31" s="97"/>
      <c r="BA31" s="98"/>
      <c r="BB31" s="96">
        <f>IF(ISNUMBER(AN31),AN31,0)+IF(ISNUMBER(AS31),AS31,0)</f>
        <v>32646985</v>
      </c>
      <c r="BC31" s="97"/>
      <c r="BD31" s="97"/>
      <c r="BE31" s="97"/>
      <c r="BF31" s="98"/>
      <c r="BG31" s="96" t="s">
        <v>173</v>
      </c>
      <c r="BH31" s="97"/>
      <c r="BI31" s="97"/>
      <c r="BJ31" s="97"/>
      <c r="BK31" s="98"/>
      <c r="BL31" s="96">
        <v>250000</v>
      </c>
      <c r="BM31" s="97"/>
      <c r="BN31" s="97"/>
      <c r="BO31" s="97"/>
      <c r="BP31" s="98"/>
      <c r="BQ31" s="96">
        <v>0</v>
      </c>
      <c r="BR31" s="97"/>
      <c r="BS31" s="97"/>
      <c r="BT31" s="98"/>
      <c r="BU31" s="96">
        <f>IF(ISNUMBER(BG31),BG31,0)+IF(ISNUMBER(BL31),BL31,0)</f>
        <v>250000</v>
      </c>
      <c r="BV31" s="97"/>
      <c r="BW31" s="97"/>
      <c r="BX31" s="97"/>
      <c r="BY31" s="98"/>
    </row>
    <row r="32" spans="1:79" s="99" customFormat="1" ht="38.25" customHeight="1" x14ac:dyDescent="0.2">
      <c r="A32" s="89">
        <v>25010300</v>
      </c>
      <c r="B32" s="90"/>
      <c r="C32" s="90"/>
      <c r="D32" s="91"/>
      <c r="E32" s="92" t="s">
        <v>175</v>
      </c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  <c r="U32" s="95" t="s">
        <v>173</v>
      </c>
      <c r="V32" s="95"/>
      <c r="W32" s="95"/>
      <c r="X32" s="95"/>
      <c r="Y32" s="95"/>
      <c r="Z32" s="95">
        <v>198641</v>
      </c>
      <c r="AA32" s="95"/>
      <c r="AB32" s="95"/>
      <c r="AC32" s="95"/>
      <c r="AD32" s="95"/>
      <c r="AE32" s="96">
        <v>0</v>
      </c>
      <c r="AF32" s="97"/>
      <c r="AG32" s="97"/>
      <c r="AH32" s="98"/>
      <c r="AI32" s="96">
        <f>IF(ISNUMBER(U32),U32,0)+IF(ISNUMBER(Z32),Z32,0)</f>
        <v>198641</v>
      </c>
      <c r="AJ32" s="97"/>
      <c r="AK32" s="97"/>
      <c r="AL32" s="97"/>
      <c r="AM32" s="98"/>
      <c r="AN32" s="96" t="s">
        <v>173</v>
      </c>
      <c r="AO32" s="97"/>
      <c r="AP32" s="97"/>
      <c r="AQ32" s="97"/>
      <c r="AR32" s="98"/>
      <c r="AS32" s="96">
        <v>150000</v>
      </c>
      <c r="AT32" s="97"/>
      <c r="AU32" s="97"/>
      <c r="AV32" s="97"/>
      <c r="AW32" s="98"/>
      <c r="AX32" s="96">
        <v>0</v>
      </c>
      <c r="AY32" s="97"/>
      <c r="AZ32" s="97"/>
      <c r="BA32" s="98"/>
      <c r="BB32" s="96">
        <f>IF(ISNUMBER(AN32),AN32,0)+IF(ISNUMBER(AS32),AS32,0)</f>
        <v>150000</v>
      </c>
      <c r="BC32" s="97"/>
      <c r="BD32" s="97"/>
      <c r="BE32" s="97"/>
      <c r="BF32" s="98"/>
      <c r="BG32" s="96" t="s">
        <v>173</v>
      </c>
      <c r="BH32" s="97"/>
      <c r="BI32" s="97"/>
      <c r="BJ32" s="97"/>
      <c r="BK32" s="98"/>
      <c r="BL32" s="96">
        <v>250000</v>
      </c>
      <c r="BM32" s="97"/>
      <c r="BN32" s="97"/>
      <c r="BO32" s="97"/>
      <c r="BP32" s="98"/>
      <c r="BQ32" s="96">
        <v>0</v>
      </c>
      <c r="BR32" s="97"/>
      <c r="BS32" s="97"/>
      <c r="BT32" s="98"/>
      <c r="BU32" s="96">
        <f>IF(ISNUMBER(BG32),BG32,0)+IF(ISNUMBER(BL32),BL32,0)</f>
        <v>250000</v>
      </c>
      <c r="BV32" s="97"/>
      <c r="BW32" s="97"/>
      <c r="BX32" s="97"/>
      <c r="BY32" s="98"/>
    </row>
    <row r="33" spans="1:79" s="99" customFormat="1" ht="76.5" customHeight="1" x14ac:dyDescent="0.2">
      <c r="A33" s="89">
        <v>25020200</v>
      </c>
      <c r="B33" s="90"/>
      <c r="C33" s="90"/>
      <c r="D33" s="91"/>
      <c r="E33" s="92" t="s">
        <v>176</v>
      </c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4"/>
      <c r="U33" s="95" t="s">
        <v>173</v>
      </c>
      <c r="V33" s="95"/>
      <c r="W33" s="95"/>
      <c r="X33" s="95"/>
      <c r="Y33" s="95"/>
      <c r="Z33" s="95">
        <v>471538</v>
      </c>
      <c r="AA33" s="95"/>
      <c r="AB33" s="95"/>
      <c r="AC33" s="95"/>
      <c r="AD33" s="95"/>
      <c r="AE33" s="96">
        <v>0</v>
      </c>
      <c r="AF33" s="97"/>
      <c r="AG33" s="97"/>
      <c r="AH33" s="98"/>
      <c r="AI33" s="96">
        <f>IF(ISNUMBER(U33),U33,0)+IF(ISNUMBER(Z33),Z33,0)</f>
        <v>471538</v>
      </c>
      <c r="AJ33" s="97"/>
      <c r="AK33" s="97"/>
      <c r="AL33" s="97"/>
      <c r="AM33" s="98"/>
      <c r="AN33" s="96" t="s">
        <v>173</v>
      </c>
      <c r="AO33" s="97"/>
      <c r="AP33" s="97"/>
      <c r="AQ33" s="97"/>
      <c r="AR33" s="98"/>
      <c r="AS33" s="96">
        <v>32496985</v>
      </c>
      <c r="AT33" s="97"/>
      <c r="AU33" s="97"/>
      <c r="AV33" s="97"/>
      <c r="AW33" s="98"/>
      <c r="AX33" s="96">
        <v>0</v>
      </c>
      <c r="AY33" s="97"/>
      <c r="AZ33" s="97"/>
      <c r="BA33" s="98"/>
      <c r="BB33" s="96">
        <f>IF(ISNUMBER(AN33),AN33,0)+IF(ISNUMBER(AS33),AS33,0)</f>
        <v>32496985</v>
      </c>
      <c r="BC33" s="97"/>
      <c r="BD33" s="97"/>
      <c r="BE33" s="97"/>
      <c r="BF33" s="98"/>
      <c r="BG33" s="96" t="s">
        <v>173</v>
      </c>
      <c r="BH33" s="97"/>
      <c r="BI33" s="97"/>
      <c r="BJ33" s="97"/>
      <c r="BK33" s="98"/>
      <c r="BL33" s="96">
        <v>0</v>
      </c>
      <c r="BM33" s="97"/>
      <c r="BN33" s="97"/>
      <c r="BO33" s="97"/>
      <c r="BP33" s="98"/>
      <c r="BQ33" s="96">
        <v>0</v>
      </c>
      <c r="BR33" s="97"/>
      <c r="BS33" s="97"/>
      <c r="BT33" s="98"/>
      <c r="BU33" s="96">
        <f>IF(ISNUMBER(BG33),BG33,0)+IF(ISNUMBER(BL33),BL33,0)</f>
        <v>0</v>
      </c>
      <c r="BV33" s="97"/>
      <c r="BW33" s="97"/>
      <c r="BX33" s="97"/>
      <c r="BY33" s="98"/>
    </row>
    <row r="34" spans="1:79" s="99" customFormat="1" ht="25.5" customHeight="1" x14ac:dyDescent="0.2">
      <c r="A34" s="89"/>
      <c r="B34" s="90"/>
      <c r="C34" s="90"/>
      <c r="D34" s="91"/>
      <c r="E34" s="92" t="s">
        <v>177</v>
      </c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4"/>
      <c r="U34" s="95" t="s">
        <v>173</v>
      </c>
      <c r="V34" s="95"/>
      <c r="W34" s="95"/>
      <c r="X34" s="95"/>
      <c r="Y34" s="95"/>
      <c r="Z34" s="95">
        <v>137389</v>
      </c>
      <c r="AA34" s="95"/>
      <c r="AB34" s="95"/>
      <c r="AC34" s="95"/>
      <c r="AD34" s="95"/>
      <c r="AE34" s="96">
        <v>137389</v>
      </c>
      <c r="AF34" s="97"/>
      <c r="AG34" s="97"/>
      <c r="AH34" s="98"/>
      <c r="AI34" s="96">
        <f>IF(ISNUMBER(U34),U34,0)+IF(ISNUMBER(Z34),Z34,0)</f>
        <v>137389</v>
      </c>
      <c r="AJ34" s="97"/>
      <c r="AK34" s="97"/>
      <c r="AL34" s="97"/>
      <c r="AM34" s="98"/>
      <c r="AN34" s="96" t="s">
        <v>173</v>
      </c>
      <c r="AO34" s="97"/>
      <c r="AP34" s="97"/>
      <c r="AQ34" s="97"/>
      <c r="AR34" s="98"/>
      <c r="AS34" s="96">
        <v>4660936</v>
      </c>
      <c r="AT34" s="97"/>
      <c r="AU34" s="97"/>
      <c r="AV34" s="97"/>
      <c r="AW34" s="98"/>
      <c r="AX34" s="96">
        <v>4660936</v>
      </c>
      <c r="AY34" s="97"/>
      <c r="AZ34" s="97"/>
      <c r="BA34" s="98"/>
      <c r="BB34" s="96">
        <f>IF(ISNUMBER(AN34),AN34,0)+IF(ISNUMBER(AS34),AS34,0)</f>
        <v>4660936</v>
      </c>
      <c r="BC34" s="97"/>
      <c r="BD34" s="97"/>
      <c r="BE34" s="97"/>
      <c r="BF34" s="98"/>
      <c r="BG34" s="96" t="s">
        <v>173</v>
      </c>
      <c r="BH34" s="97"/>
      <c r="BI34" s="97"/>
      <c r="BJ34" s="97"/>
      <c r="BK34" s="98"/>
      <c r="BL34" s="96">
        <v>0</v>
      </c>
      <c r="BM34" s="97"/>
      <c r="BN34" s="97"/>
      <c r="BO34" s="97"/>
      <c r="BP34" s="98"/>
      <c r="BQ34" s="96">
        <v>0</v>
      </c>
      <c r="BR34" s="97"/>
      <c r="BS34" s="97"/>
      <c r="BT34" s="98"/>
      <c r="BU34" s="96">
        <f>IF(ISNUMBER(BG34),BG34,0)+IF(ISNUMBER(BL34),BL34,0)</f>
        <v>0</v>
      </c>
      <c r="BV34" s="97"/>
      <c r="BW34" s="97"/>
      <c r="BX34" s="97"/>
      <c r="BY34" s="98"/>
    </row>
    <row r="35" spans="1:79" s="99" customFormat="1" ht="38.25" customHeight="1" x14ac:dyDescent="0.2">
      <c r="A35" s="89">
        <v>208400</v>
      </c>
      <c r="B35" s="90"/>
      <c r="C35" s="90"/>
      <c r="D35" s="91"/>
      <c r="E35" s="92" t="s">
        <v>178</v>
      </c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4"/>
      <c r="U35" s="95" t="s">
        <v>173</v>
      </c>
      <c r="V35" s="95"/>
      <c r="W35" s="95"/>
      <c r="X35" s="95"/>
      <c r="Y35" s="95"/>
      <c r="Z35" s="95">
        <v>137389</v>
      </c>
      <c r="AA35" s="95"/>
      <c r="AB35" s="95"/>
      <c r="AC35" s="95"/>
      <c r="AD35" s="95"/>
      <c r="AE35" s="96">
        <v>137389</v>
      </c>
      <c r="AF35" s="97"/>
      <c r="AG35" s="97"/>
      <c r="AH35" s="98"/>
      <c r="AI35" s="96">
        <f>IF(ISNUMBER(U35),U35,0)+IF(ISNUMBER(Z35),Z35,0)</f>
        <v>137389</v>
      </c>
      <c r="AJ35" s="97"/>
      <c r="AK35" s="97"/>
      <c r="AL35" s="97"/>
      <c r="AM35" s="98"/>
      <c r="AN35" s="96" t="s">
        <v>173</v>
      </c>
      <c r="AO35" s="97"/>
      <c r="AP35" s="97"/>
      <c r="AQ35" s="97"/>
      <c r="AR35" s="98"/>
      <c r="AS35" s="96">
        <v>4660936</v>
      </c>
      <c r="AT35" s="97"/>
      <c r="AU35" s="97"/>
      <c r="AV35" s="97"/>
      <c r="AW35" s="98"/>
      <c r="AX35" s="96">
        <v>4660936</v>
      </c>
      <c r="AY35" s="97"/>
      <c r="AZ35" s="97"/>
      <c r="BA35" s="98"/>
      <c r="BB35" s="96">
        <f>IF(ISNUMBER(AN35),AN35,0)+IF(ISNUMBER(AS35),AS35,0)</f>
        <v>4660936</v>
      </c>
      <c r="BC35" s="97"/>
      <c r="BD35" s="97"/>
      <c r="BE35" s="97"/>
      <c r="BF35" s="98"/>
      <c r="BG35" s="96" t="s">
        <v>173</v>
      </c>
      <c r="BH35" s="97"/>
      <c r="BI35" s="97"/>
      <c r="BJ35" s="97"/>
      <c r="BK35" s="98"/>
      <c r="BL35" s="96">
        <v>0</v>
      </c>
      <c r="BM35" s="97"/>
      <c r="BN35" s="97"/>
      <c r="BO35" s="97"/>
      <c r="BP35" s="98"/>
      <c r="BQ35" s="96">
        <v>0</v>
      </c>
      <c r="BR35" s="97"/>
      <c r="BS35" s="97"/>
      <c r="BT35" s="98"/>
      <c r="BU35" s="96">
        <f>IF(ISNUMBER(BG35),BG35,0)+IF(ISNUMBER(BL35),BL35,0)</f>
        <v>0</v>
      </c>
      <c r="BV35" s="97"/>
      <c r="BW35" s="97"/>
      <c r="BX35" s="97"/>
      <c r="BY35" s="98"/>
    </row>
    <row r="36" spans="1:79" s="6" customFormat="1" ht="12.75" customHeight="1" x14ac:dyDescent="0.2">
      <c r="A36" s="86"/>
      <c r="B36" s="87"/>
      <c r="C36" s="87"/>
      <c r="D36" s="88"/>
      <c r="E36" s="100" t="s">
        <v>147</v>
      </c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2"/>
      <c r="U36" s="103">
        <v>18451875</v>
      </c>
      <c r="V36" s="103"/>
      <c r="W36" s="103"/>
      <c r="X36" s="103"/>
      <c r="Y36" s="103"/>
      <c r="Z36" s="103">
        <v>807568</v>
      </c>
      <c r="AA36" s="103"/>
      <c r="AB36" s="103"/>
      <c r="AC36" s="103"/>
      <c r="AD36" s="103"/>
      <c r="AE36" s="104">
        <v>137389</v>
      </c>
      <c r="AF36" s="105"/>
      <c r="AG36" s="105"/>
      <c r="AH36" s="106"/>
      <c r="AI36" s="104">
        <f>IF(ISNUMBER(U36),U36,0)+IF(ISNUMBER(Z36),Z36,0)</f>
        <v>19259443</v>
      </c>
      <c r="AJ36" s="105"/>
      <c r="AK36" s="105"/>
      <c r="AL36" s="105"/>
      <c r="AM36" s="106"/>
      <c r="AN36" s="104">
        <v>28112137</v>
      </c>
      <c r="AO36" s="105"/>
      <c r="AP36" s="105"/>
      <c r="AQ36" s="105"/>
      <c r="AR36" s="106"/>
      <c r="AS36" s="104">
        <v>37307921</v>
      </c>
      <c r="AT36" s="105"/>
      <c r="AU36" s="105"/>
      <c r="AV36" s="105"/>
      <c r="AW36" s="106"/>
      <c r="AX36" s="104">
        <v>4660936</v>
      </c>
      <c r="AY36" s="105"/>
      <c r="AZ36" s="105"/>
      <c r="BA36" s="106"/>
      <c r="BB36" s="104">
        <f>IF(ISNUMBER(AN36),AN36,0)+IF(ISNUMBER(AS36),AS36,0)</f>
        <v>65420058</v>
      </c>
      <c r="BC36" s="105"/>
      <c r="BD36" s="105"/>
      <c r="BE36" s="105"/>
      <c r="BF36" s="106"/>
      <c r="BG36" s="104">
        <v>35814339</v>
      </c>
      <c r="BH36" s="105"/>
      <c r="BI36" s="105"/>
      <c r="BJ36" s="105"/>
      <c r="BK36" s="106"/>
      <c r="BL36" s="104">
        <v>250000</v>
      </c>
      <c r="BM36" s="105"/>
      <c r="BN36" s="105"/>
      <c r="BO36" s="105"/>
      <c r="BP36" s="106"/>
      <c r="BQ36" s="104">
        <v>0</v>
      </c>
      <c r="BR36" s="105"/>
      <c r="BS36" s="105"/>
      <c r="BT36" s="106"/>
      <c r="BU36" s="104">
        <f>IF(ISNUMBER(BG36),BG36,0)+IF(ISNUMBER(BL36),BL36,0)</f>
        <v>36064339</v>
      </c>
      <c r="BV36" s="105"/>
      <c r="BW36" s="105"/>
      <c r="BX36" s="105"/>
      <c r="BY36" s="106"/>
    </row>
    <row r="38" spans="1:79" ht="14.25" customHeight="1" x14ac:dyDescent="0.2">
      <c r="A38" s="79" t="s">
        <v>330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</row>
    <row r="39" spans="1:79" ht="15" customHeight="1" x14ac:dyDescent="0.2">
      <c r="A39" s="44" t="s">
        <v>304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79" ht="22.5" customHeight="1" x14ac:dyDescent="0.2">
      <c r="A40" s="51" t="s">
        <v>2</v>
      </c>
      <c r="B40" s="52"/>
      <c r="C40" s="52"/>
      <c r="D40" s="53"/>
      <c r="E40" s="51" t="s">
        <v>19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3"/>
      <c r="X40" s="36" t="s">
        <v>326</v>
      </c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8"/>
      <c r="AR40" s="27" t="s">
        <v>331</v>
      </c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1:79" ht="36" customHeight="1" x14ac:dyDescent="0.2">
      <c r="A41" s="54"/>
      <c r="B41" s="55"/>
      <c r="C41" s="55"/>
      <c r="D41" s="56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6"/>
      <c r="X41" s="27" t="s">
        <v>4</v>
      </c>
      <c r="Y41" s="27"/>
      <c r="Z41" s="27"/>
      <c r="AA41" s="27"/>
      <c r="AB41" s="27"/>
      <c r="AC41" s="27" t="s">
        <v>3</v>
      </c>
      <c r="AD41" s="27"/>
      <c r="AE41" s="27"/>
      <c r="AF41" s="27"/>
      <c r="AG41" s="27"/>
      <c r="AH41" s="57" t="s">
        <v>116</v>
      </c>
      <c r="AI41" s="58"/>
      <c r="AJ41" s="58"/>
      <c r="AK41" s="58"/>
      <c r="AL41" s="59"/>
      <c r="AM41" s="36" t="s">
        <v>5</v>
      </c>
      <c r="AN41" s="37"/>
      <c r="AO41" s="37"/>
      <c r="AP41" s="37"/>
      <c r="AQ41" s="38"/>
      <c r="AR41" s="36" t="s">
        <v>4</v>
      </c>
      <c r="AS41" s="37"/>
      <c r="AT41" s="37"/>
      <c r="AU41" s="37"/>
      <c r="AV41" s="38"/>
      <c r="AW41" s="36" t="s">
        <v>3</v>
      </c>
      <c r="AX41" s="37"/>
      <c r="AY41" s="37"/>
      <c r="AZ41" s="37"/>
      <c r="BA41" s="38"/>
      <c r="BB41" s="57" t="s">
        <v>116</v>
      </c>
      <c r="BC41" s="58"/>
      <c r="BD41" s="58"/>
      <c r="BE41" s="58"/>
      <c r="BF41" s="59"/>
      <c r="BG41" s="36" t="s">
        <v>96</v>
      </c>
      <c r="BH41" s="37"/>
      <c r="BI41" s="37"/>
      <c r="BJ41" s="37"/>
      <c r="BK41" s="38"/>
    </row>
    <row r="42" spans="1:79" ht="15" customHeight="1" x14ac:dyDescent="0.2">
      <c r="A42" s="36">
        <v>1</v>
      </c>
      <c r="B42" s="37"/>
      <c r="C42" s="37"/>
      <c r="D42" s="38"/>
      <c r="E42" s="36">
        <v>2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8"/>
      <c r="X42" s="27">
        <v>3</v>
      </c>
      <c r="Y42" s="27"/>
      <c r="Z42" s="27"/>
      <c r="AA42" s="27"/>
      <c r="AB42" s="27"/>
      <c r="AC42" s="27">
        <v>4</v>
      </c>
      <c r="AD42" s="27"/>
      <c r="AE42" s="27"/>
      <c r="AF42" s="27"/>
      <c r="AG42" s="27"/>
      <c r="AH42" s="27">
        <v>5</v>
      </c>
      <c r="AI42" s="27"/>
      <c r="AJ42" s="27"/>
      <c r="AK42" s="27"/>
      <c r="AL42" s="27"/>
      <c r="AM42" s="27">
        <v>6</v>
      </c>
      <c r="AN42" s="27"/>
      <c r="AO42" s="27"/>
      <c r="AP42" s="27"/>
      <c r="AQ42" s="27"/>
      <c r="AR42" s="36">
        <v>7</v>
      </c>
      <c r="AS42" s="37"/>
      <c r="AT42" s="37"/>
      <c r="AU42" s="37"/>
      <c r="AV42" s="38"/>
      <c r="AW42" s="36">
        <v>8</v>
      </c>
      <c r="AX42" s="37"/>
      <c r="AY42" s="37"/>
      <c r="AZ42" s="37"/>
      <c r="BA42" s="38"/>
      <c r="BB42" s="36">
        <v>9</v>
      </c>
      <c r="BC42" s="37"/>
      <c r="BD42" s="37"/>
      <c r="BE42" s="37"/>
      <c r="BF42" s="38"/>
      <c r="BG42" s="36">
        <v>10</v>
      </c>
      <c r="BH42" s="37"/>
      <c r="BI42" s="37"/>
      <c r="BJ42" s="37"/>
      <c r="BK42" s="38"/>
    </row>
    <row r="43" spans="1:79" ht="20.25" hidden="1" customHeight="1" x14ac:dyDescent="0.2">
      <c r="A43" s="39" t="s">
        <v>56</v>
      </c>
      <c r="B43" s="40"/>
      <c r="C43" s="40"/>
      <c r="D43" s="41"/>
      <c r="E43" s="39" t="s">
        <v>57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1"/>
      <c r="X43" s="26" t="s">
        <v>60</v>
      </c>
      <c r="Y43" s="26"/>
      <c r="Z43" s="26"/>
      <c r="AA43" s="26"/>
      <c r="AB43" s="26"/>
      <c r="AC43" s="26" t="s">
        <v>61</v>
      </c>
      <c r="AD43" s="26"/>
      <c r="AE43" s="26"/>
      <c r="AF43" s="26"/>
      <c r="AG43" s="26"/>
      <c r="AH43" s="39" t="s">
        <v>94</v>
      </c>
      <c r="AI43" s="40"/>
      <c r="AJ43" s="40"/>
      <c r="AK43" s="40"/>
      <c r="AL43" s="41"/>
      <c r="AM43" s="47" t="s">
        <v>170</v>
      </c>
      <c r="AN43" s="48"/>
      <c r="AO43" s="48"/>
      <c r="AP43" s="48"/>
      <c r="AQ43" s="49"/>
      <c r="AR43" s="39" t="s">
        <v>62</v>
      </c>
      <c r="AS43" s="40"/>
      <c r="AT43" s="40"/>
      <c r="AU43" s="40"/>
      <c r="AV43" s="41"/>
      <c r="AW43" s="39" t="s">
        <v>63</v>
      </c>
      <c r="AX43" s="40"/>
      <c r="AY43" s="40"/>
      <c r="AZ43" s="40"/>
      <c r="BA43" s="41"/>
      <c r="BB43" s="39" t="s">
        <v>95</v>
      </c>
      <c r="BC43" s="40"/>
      <c r="BD43" s="40"/>
      <c r="BE43" s="40"/>
      <c r="BF43" s="41"/>
      <c r="BG43" s="47" t="s">
        <v>170</v>
      </c>
      <c r="BH43" s="48"/>
      <c r="BI43" s="48"/>
      <c r="BJ43" s="48"/>
      <c r="BK43" s="49"/>
      <c r="CA43" t="s">
        <v>23</v>
      </c>
    </row>
    <row r="44" spans="1:79" s="99" customFormat="1" ht="12.75" customHeight="1" x14ac:dyDescent="0.2">
      <c r="A44" s="89"/>
      <c r="B44" s="90"/>
      <c r="C44" s="90"/>
      <c r="D44" s="91"/>
      <c r="E44" s="92" t="s">
        <v>172</v>
      </c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6">
        <v>38568150</v>
      </c>
      <c r="Y44" s="97"/>
      <c r="Z44" s="97"/>
      <c r="AA44" s="97"/>
      <c r="AB44" s="98"/>
      <c r="AC44" s="96" t="s">
        <v>173</v>
      </c>
      <c r="AD44" s="97"/>
      <c r="AE44" s="97"/>
      <c r="AF44" s="97"/>
      <c r="AG44" s="98"/>
      <c r="AH44" s="96" t="s">
        <v>173</v>
      </c>
      <c r="AI44" s="97"/>
      <c r="AJ44" s="97"/>
      <c r="AK44" s="97"/>
      <c r="AL44" s="98"/>
      <c r="AM44" s="96">
        <f>IF(ISNUMBER(X44),X44,0)+IF(ISNUMBER(AC44),AC44,0)</f>
        <v>38568150</v>
      </c>
      <c r="AN44" s="97"/>
      <c r="AO44" s="97"/>
      <c r="AP44" s="97"/>
      <c r="AQ44" s="98"/>
      <c r="AR44" s="96">
        <v>41226802</v>
      </c>
      <c r="AS44" s="97"/>
      <c r="AT44" s="97"/>
      <c r="AU44" s="97"/>
      <c r="AV44" s="98"/>
      <c r="AW44" s="96" t="s">
        <v>173</v>
      </c>
      <c r="AX44" s="97"/>
      <c r="AY44" s="97"/>
      <c r="AZ44" s="97"/>
      <c r="BA44" s="98"/>
      <c r="BB44" s="96" t="s">
        <v>173</v>
      </c>
      <c r="BC44" s="97"/>
      <c r="BD44" s="97"/>
      <c r="BE44" s="97"/>
      <c r="BF44" s="98"/>
      <c r="BG44" s="95">
        <f>IF(ISNUMBER(AR44),AR44,0)+IF(ISNUMBER(AW44),AW44,0)</f>
        <v>41226802</v>
      </c>
      <c r="BH44" s="95"/>
      <c r="BI44" s="95"/>
      <c r="BJ44" s="95"/>
      <c r="BK44" s="95"/>
      <c r="CA44" s="99" t="s">
        <v>24</v>
      </c>
    </row>
    <row r="45" spans="1:79" s="99" customFormat="1" ht="25.5" customHeight="1" x14ac:dyDescent="0.2">
      <c r="A45" s="89"/>
      <c r="B45" s="90"/>
      <c r="C45" s="90"/>
      <c r="D45" s="91"/>
      <c r="E45" s="92" t="s">
        <v>174</v>
      </c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4"/>
      <c r="X45" s="96" t="s">
        <v>173</v>
      </c>
      <c r="Y45" s="97"/>
      <c r="Z45" s="97"/>
      <c r="AA45" s="97"/>
      <c r="AB45" s="98"/>
      <c r="AC45" s="96">
        <v>0</v>
      </c>
      <c r="AD45" s="97"/>
      <c r="AE45" s="97"/>
      <c r="AF45" s="97"/>
      <c r="AG45" s="98"/>
      <c r="AH45" s="96">
        <v>0</v>
      </c>
      <c r="AI45" s="97"/>
      <c r="AJ45" s="97"/>
      <c r="AK45" s="97"/>
      <c r="AL45" s="98"/>
      <c r="AM45" s="96">
        <f>IF(ISNUMBER(X45),X45,0)+IF(ISNUMBER(AC45),AC45,0)</f>
        <v>0</v>
      </c>
      <c r="AN45" s="97"/>
      <c r="AO45" s="97"/>
      <c r="AP45" s="97"/>
      <c r="AQ45" s="98"/>
      <c r="AR45" s="96" t="s">
        <v>173</v>
      </c>
      <c r="AS45" s="97"/>
      <c r="AT45" s="97"/>
      <c r="AU45" s="97"/>
      <c r="AV45" s="98"/>
      <c r="AW45" s="96">
        <v>0</v>
      </c>
      <c r="AX45" s="97"/>
      <c r="AY45" s="97"/>
      <c r="AZ45" s="97"/>
      <c r="BA45" s="98"/>
      <c r="BB45" s="96">
        <v>0</v>
      </c>
      <c r="BC45" s="97"/>
      <c r="BD45" s="97"/>
      <c r="BE45" s="97"/>
      <c r="BF45" s="98"/>
      <c r="BG45" s="95">
        <f>IF(ISNUMBER(AR45),AR45,0)+IF(ISNUMBER(AW45),AW45,0)</f>
        <v>0</v>
      </c>
      <c r="BH45" s="95"/>
      <c r="BI45" s="95"/>
      <c r="BJ45" s="95"/>
      <c r="BK45" s="95"/>
    </row>
    <row r="46" spans="1:79" s="99" customFormat="1" ht="38.25" customHeight="1" x14ac:dyDescent="0.2">
      <c r="A46" s="89">
        <v>25010300</v>
      </c>
      <c r="B46" s="90"/>
      <c r="C46" s="90"/>
      <c r="D46" s="91"/>
      <c r="E46" s="92" t="s">
        <v>175</v>
      </c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4"/>
      <c r="X46" s="96" t="s">
        <v>173</v>
      </c>
      <c r="Y46" s="97"/>
      <c r="Z46" s="97"/>
      <c r="AA46" s="97"/>
      <c r="AB46" s="98"/>
      <c r="AC46" s="96">
        <v>0</v>
      </c>
      <c r="AD46" s="97"/>
      <c r="AE46" s="97"/>
      <c r="AF46" s="97"/>
      <c r="AG46" s="98"/>
      <c r="AH46" s="96">
        <v>0</v>
      </c>
      <c r="AI46" s="97"/>
      <c r="AJ46" s="97"/>
      <c r="AK46" s="97"/>
      <c r="AL46" s="98"/>
      <c r="AM46" s="96">
        <f>IF(ISNUMBER(X46),X46,0)+IF(ISNUMBER(AC46),AC46,0)</f>
        <v>0</v>
      </c>
      <c r="AN46" s="97"/>
      <c r="AO46" s="97"/>
      <c r="AP46" s="97"/>
      <c r="AQ46" s="98"/>
      <c r="AR46" s="96" t="s">
        <v>173</v>
      </c>
      <c r="AS46" s="97"/>
      <c r="AT46" s="97"/>
      <c r="AU46" s="97"/>
      <c r="AV46" s="98"/>
      <c r="AW46" s="96">
        <v>0</v>
      </c>
      <c r="AX46" s="97"/>
      <c r="AY46" s="97"/>
      <c r="AZ46" s="97"/>
      <c r="BA46" s="98"/>
      <c r="BB46" s="96">
        <v>0</v>
      </c>
      <c r="BC46" s="97"/>
      <c r="BD46" s="97"/>
      <c r="BE46" s="97"/>
      <c r="BF46" s="98"/>
      <c r="BG46" s="95">
        <f>IF(ISNUMBER(AR46),AR46,0)+IF(ISNUMBER(AW46),AW46,0)</f>
        <v>0</v>
      </c>
      <c r="BH46" s="95"/>
      <c r="BI46" s="95"/>
      <c r="BJ46" s="95"/>
      <c r="BK46" s="95"/>
    </row>
    <row r="47" spans="1:79" s="99" customFormat="1" ht="63.75" customHeight="1" x14ac:dyDescent="0.2">
      <c r="A47" s="89">
        <v>25020200</v>
      </c>
      <c r="B47" s="90"/>
      <c r="C47" s="90"/>
      <c r="D47" s="91"/>
      <c r="E47" s="92" t="s">
        <v>176</v>
      </c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4"/>
      <c r="X47" s="96" t="s">
        <v>173</v>
      </c>
      <c r="Y47" s="97"/>
      <c r="Z47" s="97"/>
      <c r="AA47" s="97"/>
      <c r="AB47" s="98"/>
      <c r="AC47" s="96">
        <v>0</v>
      </c>
      <c r="AD47" s="97"/>
      <c r="AE47" s="97"/>
      <c r="AF47" s="97"/>
      <c r="AG47" s="98"/>
      <c r="AH47" s="96">
        <v>0</v>
      </c>
      <c r="AI47" s="97"/>
      <c r="AJ47" s="97"/>
      <c r="AK47" s="97"/>
      <c r="AL47" s="98"/>
      <c r="AM47" s="96">
        <f>IF(ISNUMBER(X47),X47,0)+IF(ISNUMBER(AC47),AC47,0)</f>
        <v>0</v>
      </c>
      <c r="AN47" s="97"/>
      <c r="AO47" s="97"/>
      <c r="AP47" s="97"/>
      <c r="AQ47" s="98"/>
      <c r="AR47" s="96" t="s">
        <v>173</v>
      </c>
      <c r="AS47" s="97"/>
      <c r="AT47" s="97"/>
      <c r="AU47" s="97"/>
      <c r="AV47" s="98"/>
      <c r="AW47" s="96">
        <v>0</v>
      </c>
      <c r="AX47" s="97"/>
      <c r="AY47" s="97"/>
      <c r="AZ47" s="97"/>
      <c r="BA47" s="98"/>
      <c r="BB47" s="96">
        <v>0</v>
      </c>
      <c r="BC47" s="97"/>
      <c r="BD47" s="97"/>
      <c r="BE47" s="97"/>
      <c r="BF47" s="98"/>
      <c r="BG47" s="95">
        <f>IF(ISNUMBER(AR47),AR47,0)+IF(ISNUMBER(AW47),AW47,0)</f>
        <v>0</v>
      </c>
      <c r="BH47" s="95"/>
      <c r="BI47" s="95"/>
      <c r="BJ47" s="95"/>
      <c r="BK47" s="95"/>
    </row>
    <row r="48" spans="1:79" s="99" customFormat="1" ht="25.5" customHeight="1" x14ac:dyDescent="0.2">
      <c r="A48" s="89"/>
      <c r="B48" s="90"/>
      <c r="C48" s="90"/>
      <c r="D48" s="91"/>
      <c r="E48" s="92" t="s">
        <v>177</v>
      </c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6" t="s">
        <v>173</v>
      </c>
      <c r="Y48" s="97"/>
      <c r="Z48" s="97"/>
      <c r="AA48" s="97"/>
      <c r="AB48" s="98"/>
      <c r="AC48" s="96">
        <v>0</v>
      </c>
      <c r="AD48" s="97"/>
      <c r="AE48" s="97"/>
      <c r="AF48" s="97"/>
      <c r="AG48" s="98"/>
      <c r="AH48" s="96">
        <v>0</v>
      </c>
      <c r="AI48" s="97"/>
      <c r="AJ48" s="97"/>
      <c r="AK48" s="97"/>
      <c r="AL48" s="98"/>
      <c r="AM48" s="96">
        <f>IF(ISNUMBER(X48),X48,0)+IF(ISNUMBER(AC48),AC48,0)</f>
        <v>0</v>
      </c>
      <c r="AN48" s="97"/>
      <c r="AO48" s="97"/>
      <c r="AP48" s="97"/>
      <c r="AQ48" s="98"/>
      <c r="AR48" s="96" t="s">
        <v>173</v>
      </c>
      <c r="AS48" s="97"/>
      <c r="AT48" s="97"/>
      <c r="AU48" s="97"/>
      <c r="AV48" s="98"/>
      <c r="AW48" s="96">
        <v>0</v>
      </c>
      <c r="AX48" s="97"/>
      <c r="AY48" s="97"/>
      <c r="AZ48" s="97"/>
      <c r="BA48" s="98"/>
      <c r="BB48" s="96">
        <v>0</v>
      </c>
      <c r="BC48" s="97"/>
      <c r="BD48" s="97"/>
      <c r="BE48" s="97"/>
      <c r="BF48" s="98"/>
      <c r="BG48" s="95">
        <f>IF(ISNUMBER(AR48),AR48,0)+IF(ISNUMBER(AW48),AW48,0)</f>
        <v>0</v>
      </c>
      <c r="BH48" s="95"/>
      <c r="BI48" s="95"/>
      <c r="BJ48" s="95"/>
      <c r="BK48" s="95"/>
    </row>
    <row r="49" spans="1:79" s="99" customFormat="1" ht="25.5" customHeight="1" x14ac:dyDescent="0.2">
      <c r="A49" s="89">
        <v>208400</v>
      </c>
      <c r="B49" s="90"/>
      <c r="C49" s="90"/>
      <c r="D49" s="91"/>
      <c r="E49" s="92" t="s">
        <v>178</v>
      </c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6" t="s">
        <v>173</v>
      </c>
      <c r="Y49" s="97"/>
      <c r="Z49" s="97"/>
      <c r="AA49" s="97"/>
      <c r="AB49" s="98"/>
      <c r="AC49" s="96">
        <v>0</v>
      </c>
      <c r="AD49" s="97"/>
      <c r="AE49" s="97"/>
      <c r="AF49" s="97"/>
      <c r="AG49" s="98"/>
      <c r="AH49" s="96">
        <v>0</v>
      </c>
      <c r="AI49" s="97"/>
      <c r="AJ49" s="97"/>
      <c r="AK49" s="97"/>
      <c r="AL49" s="98"/>
      <c r="AM49" s="96">
        <f>IF(ISNUMBER(X49),X49,0)+IF(ISNUMBER(AC49),AC49,0)</f>
        <v>0</v>
      </c>
      <c r="AN49" s="97"/>
      <c r="AO49" s="97"/>
      <c r="AP49" s="97"/>
      <c r="AQ49" s="98"/>
      <c r="AR49" s="96" t="s">
        <v>173</v>
      </c>
      <c r="AS49" s="97"/>
      <c r="AT49" s="97"/>
      <c r="AU49" s="97"/>
      <c r="AV49" s="98"/>
      <c r="AW49" s="96">
        <v>0</v>
      </c>
      <c r="AX49" s="97"/>
      <c r="AY49" s="97"/>
      <c r="AZ49" s="97"/>
      <c r="BA49" s="98"/>
      <c r="BB49" s="96">
        <v>0</v>
      </c>
      <c r="BC49" s="97"/>
      <c r="BD49" s="97"/>
      <c r="BE49" s="97"/>
      <c r="BF49" s="98"/>
      <c r="BG49" s="95">
        <f>IF(ISNUMBER(AR49),AR49,0)+IF(ISNUMBER(AW49),AW49,0)</f>
        <v>0</v>
      </c>
      <c r="BH49" s="95"/>
      <c r="BI49" s="95"/>
      <c r="BJ49" s="95"/>
      <c r="BK49" s="95"/>
    </row>
    <row r="50" spans="1:79" s="6" customFormat="1" ht="12.75" customHeight="1" x14ac:dyDescent="0.2">
      <c r="A50" s="86"/>
      <c r="B50" s="87"/>
      <c r="C50" s="87"/>
      <c r="D50" s="88"/>
      <c r="E50" s="100" t="s">
        <v>147</v>
      </c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2"/>
      <c r="X50" s="104">
        <v>38568150</v>
      </c>
      <c r="Y50" s="105"/>
      <c r="Z50" s="105"/>
      <c r="AA50" s="105"/>
      <c r="AB50" s="106"/>
      <c r="AC50" s="104">
        <v>0</v>
      </c>
      <c r="AD50" s="105"/>
      <c r="AE50" s="105"/>
      <c r="AF50" s="105"/>
      <c r="AG50" s="106"/>
      <c r="AH50" s="104">
        <v>0</v>
      </c>
      <c r="AI50" s="105"/>
      <c r="AJ50" s="105"/>
      <c r="AK50" s="105"/>
      <c r="AL50" s="106"/>
      <c r="AM50" s="104">
        <f>IF(ISNUMBER(X50),X50,0)+IF(ISNUMBER(AC50),AC50,0)</f>
        <v>38568150</v>
      </c>
      <c r="AN50" s="105"/>
      <c r="AO50" s="105"/>
      <c r="AP50" s="105"/>
      <c r="AQ50" s="106"/>
      <c r="AR50" s="104">
        <v>41226802</v>
      </c>
      <c r="AS50" s="105"/>
      <c r="AT50" s="105"/>
      <c r="AU50" s="105"/>
      <c r="AV50" s="106"/>
      <c r="AW50" s="104">
        <v>0</v>
      </c>
      <c r="AX50" s="105"/>
      <c r="AY50" s="105"/>
      <c r="AZ50" s="105"/>
      <c r="BA50" s="106"/>
      <c r="BB50" s="104">
        <v>0</v>
      </c>
      <c r="BC50" s="105"/>
      <c r="BD50" s="105"/>
      <c r="BE50" s="105"/>
      <c r="BF50" s="106"/>
      <c r="BG50" s="103">
        <f>IF(ISNUMBER(AR50),AR50,0)+IF(ISNUMBER(AW50),AW50,0)</f>
        <v>41226802</v>
      </c>
      <c r="BH50" s="103"/>
      <c r="BI50" s="103"/>
      <c r="BJ50" s="103"/>
      <c r="BK50" s="103"/>
    </row>
    <row r="51" spans="1:79" s="4" customFormat="1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</row>
    <row r="53" spans="1:79" s="3" customFormat="1" ht="14.25" customHeight="1" x14ac:dyDescent="0.2">
      <c r="A53" s="29" t="s">
        <v>117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9"/>
    </row>
    <row r="54" spans="1:79" ht="14.25" customHeight="1" x14ac:dyDescent="0.2">
      <c r="A54" s="29" t="s">
        <v>317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</row>
    <row r="55" spans="1:79" ht="15" customHeight="1" x14ac:dyDescent="0.2">
      <c r="A55" s="31" t="s">
        <v>304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</row>
    <row r="56" spans="1:79" ht="23.1" customHeight="1" x14ac:dyDescent="0.2">
      <c r="A56" s="61" t="s">
        <v>118</v>
      </c>
      <c r="B56" s="62"/>
      <c r="C56" s="62"/>
      <c r="D56" s="63"/>
      <c r="E56" s="27" t="s">
        <v>19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305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8"/>
      <c r="AN56" s="36" t="s">
        <v>308</v>
      </c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8"/>
      <c r="BG56" s="36" t="s">
        <v>316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8"/>
    </row>
    <row r="57" spans="1:79" ht="48.75" customHeight="1" x14ac:dyDescent="0.2">
      <c r="A57" s="64"/>
      <c r="B57" s="65"/>
      <c r="C57" s="65"/>
      <c r="D57" s="6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4</v>
      </c>
      <c r="V57" s="37"/>
      <c r="W57" s="37"/>
      <c r="X57" s="37"/>
      <c r="Y57" s="38"/>
      <c r="Z57" s="36" t="s">
        <v>3</v>
      </c>
      <c r="AA57" s="37"/>
      <c r="AB57" s="37"/>
      <c r="AC57" s="37"/>
      <c r="AD57" s="38"/>
      <c r="AE57" s="57" t="s">
        <v>116</v>
      </c>
      <c r="AF57" s="58"/>
      <c r="AG57" s="58"/>
      <c r="AH57" s="59"/>
      <c r="AI57" s="36" t="s">
        <v>5</v>
      </c>
      <c r="AJ57" s="37"/>
      <c r="AK57" s="37"/>
      <c r="AL57" s="37"/>
      <c r="AM57" s="38"/>
      <c r="AN57" s="36" t="s">
        <v>4</v>
      </c>
      <c r="AO57" s="37"/>
      <c r="AP57" s="37"/>
      <c r="AQ57" s="37"/>
      <c r="AR57" s="38"/>
      <c r="AS57" s="36" t="s">
        <v>3</v>
      </c>
      <c r="AT57" s="37"/>
      <c r="AU57" s="37"/>
      <c r="AV57" s="37"/>
      <c r="AW57" s="38"/>
      <c r="AX57" s="57" t="s">
        <v>116</v>
      </c>
      <c r="AY57" s="58"/>
      <c r="AZ57" s="58"/>
      <c r="BA57" s="59"/>
      <c r="BB57" s="36" t="s">
        <v>96</v>
      </c>
      <c r="BC57" s="37"/>
      <c r="BD57" s="37"/>
      <c r="BE57" s="37"/>
      <c r="BF57" s="38"/>
      <c r="BG57" s="36" t="s">
        <v>4</v>
      </c>
      <c r="BH57" s="37"/>
      <c r="BI57" s="37"/>
      <c r="BJ57" s="37"/>
      <c r="BK57" s="38"/>
      <c r="BL57" s="36" t="s">
        <v>3</v>
      </c>
      <c r="BM57" s="37"/>
      <c r="BN57" s="37"/>
      <c r="BO57" s="37"/>
      <c r="BP57" s="38"/>
      <c r="BQ57" s="57" t="s">
        <v>116</v>
      </c>
      <c r="BR57" s="58"/>
      <c r="BS57" s="58"/>
      <c r="BT57" s="59"/>
      <c r="BU57" s="36" t="s">
        <v>97</v>
      </c>
      <c r="BV57" s="37"/>
      <c r="BW57" s="37"/>
      <c r="BX57" s="37"/>
      <c r="BY57" s="38"/>
    </row>
    <row r="58" spans="1:79" ht="15" customHeight="1" x14ac:dyDescent="0.2">
      <c r="A58" s="36">
        <v>1</v>
      </c>
      <c r="B58" s="37"/>
      <c r="C58" s="37"/>
      <c r="D58" s="38"/>
      <c r="E58" s="36">
        <v>2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6">
        <v>3</v>
      </c>
      <c r="V58" s="37"/>
      <c r="W58" s="37"/>
      <c r="X58" s="37"/>
      <c r="Y58" s="38"/>
      <c r="Z58" s="36">
        <v>4</v>
      </c>
      <c r="AA58" s="37"/>
      <c r="AB58" s="37"/>
      <c r="AC58" s="37"/>
      <c r="AD58" s="38"/>
      <c r="AE58" s="36">
        <v>5</v>
      </c>
      <c r="AF58" s="37"/>
      <c r="AG58" s="37"/>
      <c r="AH58" s="38"/>
      <c r="AI58" s="36">
        <v>6</v>
      </c>
      <c r="AJ58" s="37"/>
      <c r="AK58" s="37"/>
      <c r="AL58" s="37"/>
      <c r="AM58" s="38"/>
      <c r="AN58" s="36">
        <v>7</v>
      </c>
      <c r="AO58" s="37"/>
      <c r="AP58" s="37"/>
      <c r="AQ58" s="37"/>
      <c r="AR58" s="38"/>
      <c r="AS58" s="36">
        <v>8</v>
      </c>
      <c r="AT58" s="37"/>
      <c r="AU58" s="37"/>
      <c r="AV58" s="37"/>
      <c r="AW58" s="38"/>
      <c r="AX58" s="36">
        <v>9</v>
      </c>
      <c r="AY58" s="37"/>
      <c r="AZ58" s="37"/>
      <c r="BA58" s="38"/>
      <c r="BB58" s="36">
        <v>10</v>
      </c>
      <c r="BC58" s="37"/>
      <c r="BD58" s="37"/>
      <c r="BE58" s="37"/>
      <c r="BF58" s="38"/>
      <c r="BG58" s="36">
        <v>11</v>
      </c>
      <c r="BH58" s="37"/>
      <c r="BI58" s="37"/>
      <c r="BJ58" s="37"/>
      <c r="BK58" s="38"/>
      <c r="BL58" s="36">
        <v>12</v>
      </c>
      <c r="BM58" s="37"/>
      <c r="BN58" s="37"/>
      <c r="BO58" s="37"/>
      <c r="BP58" s="38"/>
      <c r="BQ58" s="36">
        <v>13</v>
      </c>
      <c r="BR58" s="37"/>
      <c r="BS58" s="37"/>
      <c r="BT58" s="38"/>
      <c r="BU58" s="36">
        <v>14</v>
      </c>
      <c r="BV58" s="37"/>
      <c r="BW58" s="37"/>
      <c r="BX58" s="37"/>
      <c r="BY58" s="38"/>
    </row>
    <row r="59" spans="1:79" s="1" customFormat="1" ht="12.75" hidden="1" customHeight="1" x14ac:dyDescent="0.2">
      <c r="A59" s="39" t="s">
        <v>64</v>
      </c>
      <c r="B59" s="40"/>
      <c r="C59" s="40"/>
      <c r="D59" s="41"/>
      <c r="E59" s="39" t="s">
        <v>57</v>
      </c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39" t="s">
        <v>65</v>
      </c>
      <c r="V59" s="40"/>
      <c r="W59" s="40"/>
      <c r="X59" s="40"/>
      <c r="Y59" s="41"/>
      <c r="Z59" s="39" t="s">
        <v>66</v>
      </c>
      <c r="AA59" s="40"/>
      <c r="AB59" s="40"/>
      <c r="AC59" s="40"/>
      <c r="AD59" s="41"/>
      <c r="AE59" s="39" t="s">
        <v>91</v>
      </c>
      <c r="AF59" s="40"/>
      <c r="AG59" s="40"/>
      <c r="AH59" s="41"/>
      <c r="AI59" s="47" t="s">
        <v>169</v>
      </c>
      <c r="AJ59" s="48"/>
      <c r="AK59" s="48"/>
      <c r="AL59" s="48"/>
      <c r="AM59" s="49"/>
      <c r="AN59" s="39" t="s">
        <v>67</v>
      </c>
      <c r="AO59" s="40"/>
      <c r="AP59" s="40"/>
      <c r="AQ59" s="40"/>
      <c r="AR59" s="41"/>
      <c r="AS59" s="39" t="s">
        <v>68</v>
      </c>
      <c r="AT59" s="40"/>
      <c r="AU59" s="40"/>
      <c r="AV59" s="40"/>
      <c r="AW59" s="41"/>
      <c r="AX59" s="39" t="s">
        <v>92</v>
      </c>
      <c r="AY59" s="40"/>
      <c r="AZ59" s="40"/>
      <c r="BA59" s="41"/>
      <c r="BB59" s="47" t="s">
        <v>169</v>
      </c>
      <c r="BC59" s="48"/>
      <c r="BD59" s="48"/>
      <c r="BE59" s="48"/>
      <c r="BF59" s="49"/>
      <c r="BG59" s="39" t="s">
        <v>58</v>
      </c>
      <c r="BH59" s="40"/>
      <c r="BI59" s="40"/>
      <c r="BJ59" s="40"/>
      <c r="BK59" s="41"/>
      <c r="BL59" s="39" t="s">
        <v>59</v>
      </c>
      <c r="BM59" s="40"/>
      <c r="BN59" s="40"/>
      <c r="BO59" s="40"/>
      <c r="BP59" s="41"/>
      <c r="BQ59" s="39" t="s">
        <v>93</v>
      </c>
      <c r="BR59" s="40"/>
      <c r="BS59" s="40"/>
      <c r="BT59" s="41"/>
      <c r="BU59" s="47" t="s">
        <v>169</v>
      </c>
      <c r="BV59" s="48"/>
      <c r="BW59" s="48"/>
      <c r="BX59" s="48"/>
      <c r="BY59" s="49"/>
      <c r="CA59" t="s">
        <v>25</v>
      </c>
    </row>
    <row r="60" spans="1:79" s="99" customFormat="1" ht="12.75" customHeight="1" x14ac:dyDescent="0.2">
      <c r="A60" s="89">
        <v>2111</v>
      </c>
      <c r="B60" s="90"/>
      <c r="C60" s="90"/>
      <c r="D60" s="91"/>
      <c r="E60" s="92" t="s">
        <v>179</v>
      </c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4"/>
      <c r="U60" s="96">
        <v>13104354</v>
      </c>
      <c r="V60" s="97"/>
      <c r="W60" s="97"/>
      <c r="X60" s="97"/>
      <c r="Y60" s="98"/>
      <c r="Z60" s="96">
        <v>0</v>
      </c>
      <c r="AA60" s="97"/>
      <c r="AB60" s="97"/>
      <c r="AC60" s="97"/>
      <c r="AD60" s="98"/>
      <c r="AE60" s="96">
        <v>0</v>
      </c>
      <c r="AF60" s="97"/>
      <c r="AG60" s="97"/>
      <c r="AH60" s="98"/>
      <c r="AI60" s="96">
        <f>IF(ISNUMBER(U60),U60,0)+IF(ISNUMBER(Z60),Z60,0)</f>
        <v>13104354</v>
      </c>
      <c r="AJ60" s="97"/>
      <c r="AK60" s="97"/>
      <c r="AL60" s="97"/>
      <c r="AM60" s="98"/>
      <c r="AN60" s="96">
        <v>18211500</v>
      </c>
      <c r="AO60" s="97"/>
      <c r="AP60" s="97"/>
      <c r="AQ60" s="97"/>
      <c r="AR60" s="98"/>
      <c r="AS60" s="96">
        <v>0</v>
      </c>
      <c r="AT60" s="97"/>
      <c r="AU60" s="97"/>
      <c r="AV60" s="97"/>
      <c r="AW60" s="98"/>
      <c r="AX60" s="96">
        <v>0</v>
      </c>
      <c r="AY60" s="97"/>
      <c r="AZ60" s="97"/>
      <c r="BA60" s="98"/>
      <c r="BB60" s="96">
        <f>IF(ISNUMBER(AN60),AN60,0)+IF(ISNUMBER(AS60),AS60,0)</f>
        <v>18211500</v>
      </c>
      <c r="BC60" s="97"/>
      <c r="BD60" s="97"/>
      <c r="BE60" s="97"/>
      <c r="BF60" s="98"/>
      <c r="BG60" s="96">
        <v>24772570</v>
      </c>
      <c r="BH60" s="97"/>
      <c r="BI60" s="97"/>
      <c r="BJ60" s="97"/>
      <c r="BK60" s="98"/>
      <c r="BL60" s="96">
        <v>0</v>
      </c>
      <c r="BM60" s="97"/>
      <c r="BN60" s="97"/>
      <c r="BO60" s="97"/>
      <c r="BP60" s="98"/>
      <c r="BQ60" s="96">
        <v>0</v>
      </c>
      <c r="BR60" s="97"/>
      <c r="BS60" s="97"/>
      <c r="BT60" s="98"/>
      <c r="BU60" s="96">
        <f>IF(ISNUMBER(BG60),BG60,0)+IF(ISNUMBER(BL60),BL60,0)</f>
        <v>24772570</v>
      </c>
      <c r="BV60" s="97"/>
      <c r="BW60" s="97"/>
      <c r="BX60" s="97"/>
      <c r="BY60" s="98"/>
      <c r="CA60" s="99" t="s">
        <v>26</v>
      </c>
    </row>
    <row r="61" spans="1:79" s="99" customFormat="1" ht="12.75" customHeight="1" x14ac:dyDescent="0.2">
      <c r="A61" s="89">
        <v>2120</v>
      </c>
      <c r="B61" s="90"/>
      <c r="C61" s="90"/>
      <c r="D61" s="91"/>
      <c r="E61" s="92" t="s">
        <v>180</v>
      </c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4"/>
      <c r="U61" s="96">
        <v>2884220</v>
      </c>
      <c r="V61" s="97"/>
      <c r="W61" s="97"/>
      <c r="X61" s="97"/>
      <c r="Y61" s="98"/>
      <c r="Z61" s="96">
        <v>0</v>
      </c>
      <c r="AA61" s="97"/>
      <c r="AB61" s="97"/>
      <c r="AC61" s="97"/>
      <c r="AD61" s="98"/>
      <c r="AE61" s="96">
        <v>0</v>
      </c>
      <c r="AF61" s="97"/>
      <c r="AG61" s="97"/>
      <c r="AH61" s="98"/>
      <c r="AI61" s="96">
        <f>IF(ISNUMBER(U61),U61,0)+IF(ISNUMBER(Z61),Z61,0)</f>
        <v>2884220</v>
      </c>
      <c r="AJ61" s="97"/>
      <c r="AK61" s="97"/>
      <c r="AL61" s="97"/>
      <c r="AM61" s="98"/>
      <c r="AN61" s="96">
        <v>4006530</v>
      </c>
      <c r="AO61" s="97"/>
      <c r="AP61" s="97"/>
      <c r="AQ61" s="97"/>
      <c r="AR61" s="98"/>
      <c r="AS61" s="96">
        <v>0</v>
      </c>
      <c r="AT61" s="97"/>
      <c r="AU61" s="97"/>
      <c r="AV61" s="97"/>
      <c r="AW61" s="98"/>
      <c r="AX61" s="96">
        <v>0</v>
      </c>
      <c r="AY61" s="97"/>
      <c r="AZ61" s="97"/>
      <c r="BA61" s="98"/>
      <c r="BB61" s="96">
        <f>IF(ISNUMBER(AN61),AN61,0)+IF(ISNUMBER(AS61),AS61,0)</f>
        <v>4006530</v>
      </c>
      <c r="BC61" s="97"/>
      <c r="BD61" s="97"/>
      <c r="BE61" s="97"/>
      <c r="BF61" s="98"/>
      <c r="BG61" s="96">
        <v>5449965</v>
      </c>
      <c r="BH61" s="97"/>
      <c r="BI61" s="97"/>
      <c r="BJ61" s="97"/>
      <c r="BK61" s="98"/>
      <c r="BL61" s="96">
        <v>0</v>
      </c>
      <c r="BM61" s="97"/>
      <c r="BN61" s="97"/>
      <c r="BO61" s="97"/>
      <c r="BP61" s="98"/>
      <c r="BQ61" s="96">
        <v>0</v>
      </c>
      <c r="BR61" s="97"/>
      <c r="BS61" s="97"/>
      <c r="BT61" s="98"/>
      <c r="BU61" s="96">
        <f>IF(ISNUMBER(BG61),BG61,0)+IF(ISNUMBER(BL61),BL61,0)</f>
        <v>5449965</v>
      </c>
      <c r="BV61" s="97"/>
      <c r="BW61" s="97"/>
      <c r="BX61" s="97"/>
      <c r="BY61" s="98"/>
    </row>
    <row r="62" spans="1:79" s="99" customFormat="1" ht="12.75" customHeight="1" x14ac:dyDescent="0.2">
      <c r="A62" s="89">
        <v>2210</v>
      </c>
      <c r="B62" s="90"/>
      <c r="C62" s="90"/>
      <c r="D62" s="91"/>
      <c r="E62" s="92" t="s">
        <v>181</v>
      </c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4"/>
      <c r="U62" s="96">
        <v>571186</v>
      </c>
      <c r="V62" s="97"/>
      <c r="W62" s="97"/>
      <c r="X62" s="97"/>
      <c r="Y62" s="98"/>
      <c r="Z62" s="96">
        <v>222424</v>
      </c>
      <c r="AA62" s="97"/>
      <c r="AB62" s="97"/>
      <c r="AC62" s="97"/>
      <c r="AD62" s="98"/>
      <c r="AE62" s="96">
        <v>0</v>
      </c>
      <c r="AF62" s="97"/>
      <c r="AG62" s="97"/>
      <c r="AH62" s="98"/>
      <c r="AI62" s="96">
        <f>IF(ISNUMBER(U62),U62,0)+IF(ISNUMBER(Z62),Z62,0)</f>
        <v>793610</v>
      </c>
      <c r="AJ62" s="97"/>
      <c r="AK62" s="97"/>
      <c r="AL62" s="97"/>
      <c r="AM62" s="98"/>
      <c r="AN62" s="96">
        <v>1168233</v>
      </c>
      <c r="AO62" s="97"/>
      <c r="AP62" s="97"/>
      <c r="AQ62" s="97"/>
      <c r="AR62" s="98"/>
      <c r="AS62" s="96">
        <v>3672783</v>
      </c>
      <c r="AT62" s="97"/>
      <c r="AU62" s="97"/>
      <c r="AV62" s="97"/>
      <c r="AW62" s="98"/>
      <c r="AX62" s="96">
        <v>0</v>
      </c>
      <c r="AY62" s="97"/>
      <c r="AZ62" s="97"/>
      <c r="BA62" s="98"/>
      <c r="BB62" s="96">
        <f>IF(ISNUMBER(AN62),AN62,0)+IF(ISNUMBER(AS62),AS62,0)</f>
        <v>4841016</v>
      </c>
      <c r="BC62" s="97"/>
      <c r="BD62" s="97"/>
      <c r="BE62" s="97"/>
      <c r="BF62" s="98"/>
      <c r="BG62" s="96">
        <v>1580800</v>
      </c>
      <c r="BH62" s="97"/>
      <c r="BI62" s="97"/>
      <c r="BJ62" s="97"/>
      <c r="BK62" s="98"/>
      <c r="BL62" s="96">
        <v>250000</v>
      </c>
      <c r="BM62" s="97"/>
      <c r="BN62" s="97"/>
      <c r="BO62" s="97"/>
      <c r="BP62" s="98"/>
      <c r="BQ62" s="96">
        <v>0</v>
      </c>
      <c r="BR62" s="97"/>
      <c r="BS62" s="97"/>
      <c r="BT62" s="98"/>
      <c r="BU62" s="96">
        <f>IF(ISNUMBER(BG62),BG62,0)+IF(ISNUMBER(BL62),BL62,0)</f>
        <v>1830800</v>
      </c>
      <c r="BV62" s="97"/>
      <c r="BW62" s="97"/>
      <c r="BX62" s="97"/>
      <c r="BY62" s="98"/>
    </row>
    <row r="63" spans="1:79" s="99" customFormat="1" ht="12.75" customHeight="1" x14ac:dyDescent="0.2">
      <c r="A63" s="89">
        <v>2230</v>
      </c>
      <c r="B63" s="90"/>
      <c r="C63" s="90"/>
      <c r="D63" s="91"/>
      <c r="E63" s="92" t="s">
        <v>182</v>
      </c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4"/>
      <c r="U63" s="96">
        <v>0</v>
      </c>
      <c r="V63" s="97"/>
      <c r="W63" s="97"/>
      <c r="X63" s="97"/>
      <c r="Y63" s="98"/>
      <c r="Z63" s="96">
        <v>0</v>
      </c>
      <c r="AA63" s="97"/>
      <c r="AB63" s="97"/>
      <c r="AC63" s="97"/>
      <c r="AD63" s="98"/>
      <c r="AE63" s="96">
        <v>0</v>
      </c>
      <c r="AF63" s="97"/>
      <c r="AG63" s="97"/>
      <c r="AH63" s="98"/>
      <c r="AI63" s="96">
        <f>IF(ISNUMBER(U63),U63,0)+IF(ISNUMBER(Z63),Z63,0)</f>
        <v>0</v>
      </c>
      <c r="AJ63" s="97"/>
      <c r="AK63" s="97"/>
      <c r="AL63" s="97"/>
      <c r="AM63" s="98"/>
      <c r="AN63" s="96">
        <v>0</v>
      </c>
      <c r="AO63" s="97"/>
      <c r="AP63" s="97"/>
      <c r="AQ63" s="97"/>
      <c r="AR63" s="98"/>
      <c r="AS63" s="96">
        <v>18006401</v>
      </c>
      <c r="AT63" s="97"/>
      <c r="AU63" s="97"/>
      <c r="AV63" s="97"/>
      <c r="AW63" s="98"/>
      <c r="AX63" s="96">
        <v>0</v>
      </c>
      <c r="AY63" s="97"/>
      <c r="AZ63" s="97"/>
      <c r="BA63" s="98"/>
      <c r="BB63" s="96">
        <f>IF(ISNUMBER(AN63),AN63,0)+IF(ISNUMBER(AS63),AS63,0)</f>
        <v>18006401</v>
      </c>
      <c r="BC63" s="97"/>
      <c r="BD63" s="97"/>
      <c r="BE63" s="97"/>
      <c r="BF63" s="98"/>
      <c r="BG63" s="96">
        <v>0</v>
      </c>
      <c r="BH63" s="97"/>
      <c r="BI63" s="97"/>
      <c r="BJ63" s="97"/>
      <c r="BK63" s="98"/>
      <c r="BL63" s="96">
        <v>0</v>
      </c>
      <c r="BM63" s="97"/>
      <c r="BN63" s="97"/>
      <c r="BO63" s="97"/>
      <c r="BP63" s="98"/>
      <c r="BQ63" s="96">
        <v>0</v>
      </c>
      <c r="BR63" s="97"/>
      <c r="BS63" s="97"/>
      <c r="BT63" s="98"/>
      <c r="BU63" s="96">
        <f>IF(ISNUMBER(BG63),BG63,0)+IF(ISNUMBER(BL63),BL63,0)</f>
        <v>0</v>
      </c>
      <c r="BV63" s="97"/>
      <c r="BW63" s="97"/>
      <c r="BX63" s="97"/>
      <c r="BY63" s="98"/>
    </row>
    <row r="64" spans="1:79" s="99" customFormat="1" ht="12.75" customHeight="1" x14ac:dyDescent="0.2">
      <c r="A64" s="89">
        <v>2240</v>
      </c>
      <c r="B64" s="90"/>
      <c r="C64" s="90"/>
      <c r="D64" s="91"/>
      <c r="E64" s="92" t="s">
        <v>183</v>
      </c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4"/>
      <c r="U64" s="96">
        <v>1209745</v>
      </c>
      <c r="V64" s="97"/>
      <c r="W64" s="97"/>
      <c r="X64" s="97"/>
      <c r="Y64" s="98"/>
      <c r="Z64" s="96">
        <v>22519</v>
      </c>
      <c r="AA64" s="97"/>
      <c r="AB64" s="97"/>
      <c r="AC64" s="97"/>
      <c r="AD64" s="98"/>
      <c r="AE64" s="96">
        <v>0</v>
      </c>
      <c r="AF64" s="97"/>
      <c r="AG64" s="97"/>
      <c r="AH64" s="98"/>
      <c r="AI64" s="96">
        <f>IF(ISNUMBER(U64),U64,0)+IF(ISNUMBER(Z64),Z64,0)</f>
        <v>1232264</v>
      </c>
      <c r="AJ64" s="97"/>
      <c r="AK64" s="97"/>
      <c r="AL64" s="97"/>
      <c r="AM64" s="98"/>
      <c r="AN64" s="96">
        <v>2694209</v>
      </c>
      <c r="AO64" s="97"/>
      <c r="AP64" s="97"/>
      <c r="AQ64" s="97"/>
      <c r="AR64" s="98"/>
      <c r="AS64" s="96">
        <v>4777</v>
      </c>
      <c r="AT64" s="97"/>
      <c r="AU64" s="97"/>
      <c r="AV64" s="97"/>
      <c r="AW64" s="98"/>
      <c r="AX64" s="96">
        <v>0</v>
      </c>
      <c r="AY64" s="97"/>
      <c r="AZ64" s="97"/>
      <c r="BA64" s="98"/>
      <c r="BB64" s="96">
        <f>IF(ISNUMBER(AN64),AN64,0)+IF(ISNUMBER(AS64),AS64,0)</f>
        <v>2698986</v>
      </c>
      <c r="BC64" s="97"/>
      <c r="BD64" s="97"/>
      <c r="BE64" s="97"/>
      <c r="BF64" s="98"/>
      <c r="BG64" s="96">
        <v>1571900</v>
      </c>
      <c r="BH64" s="97"/>
      <c r="BI64" s="97"/>
      <c r="BJ64" s="97"/>
      <c r="BK64" s="98"/>
      <c r="BL64" s="96">
        <v>0</v>
      </c>
      <c r="BM64" s="97"/>
      <c r="BN64" s="97"/>
      <c r="BO64" s="97"/>
      <c r="BP64" s="98"/>
      <c r="BQ64" s="96">
        <v>0</v>
      </c>
      <c r="BR64" s="97"/>
      <c r="BS64" s="97"/>
      <c r="BT64" s="98"/>
      <c r="BU64" s="96">
        <f>IF(ISNUMBER(BG64),BG64,0)+IF(ISNUMBER(BL64),BL64,0)</f>
        <v>1571900</v>
      </c>
      <c r="BV64" s="97"/>
      <c r="BW64" s="97"/>
      <c r="BX64" s="97"/>
      <c r="BY64" s="98"/>
    </row>
    <row r="65" spans="1:77" s="99" customFormat="1" ht="12.75" customHeight="1" x14ac:dyDescent="0.2">
      <c r="A65" s="89">
        <v>2250</v>
      </c>
      <c r="B65" s="90"/>
      <c r="C65" s="90"/>
      <c r="D65" s="91"/>
      <c r="E65" s="92" t="s">
        <v>184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4"/>
      <c r="U65" s="96">
        <v>300</v>
      </c>
      <c r="V65" s="97"/>
      <c r="W65" s="97"/>
      <c r="X65" s="97"/>
      <c r="Y65" s="98"/>
      <c r="Z65" s="96">
        <v>0</v>
      </c>
      <c r="AA65" s="97"/>
      <c r="AB65" s="97"/>
      <c r="AC65" s="97"/>
      <c r="AD65" s="98"/>
      <c r="AE65" s="96">
        <v>0</v>
      </c>
      <c r="AF65" s="97"/>
      <c r="AG65" s="97"/>
      <c r="AH65" s="98"/>
      <c r="AI65" s="96">
        <f>IF(ISNUMBER(U65),U65,0)+IF(ISNUMBER(Z65),Z65,0)</f>
        <v>300</v>
      </c>
      <c r="AJ65" s="97"/>
      <c r="AK65" s="97"/>
      <c r="AL65" s="97"/>
      <c r="AM65" s="98"/>
      <c r="AN65" s="96">
        <v>50040</v>
      </c>
      <c r="AO65" s="97"/>
      <c r="AP65" s="97"/>
      <c r="AQ65" s="97"/>
      <c r="AR65" s="98"/>
      <c r="AS65" s="96">
        <v>0</v>
      </c>
      <c r="AT65" s="97"/>
      <c r="AU65" s="97"/>
      <c r="AV65" s="97"/>
      <c r="AW65" s="98"/>
      <c r="AX65" s="96">
        <v>0</v>
      </c>
      <c r="AY65" s="97"/>
      <c r="AZ65" s="97"/>
      <c r="BA65" s="98"/>
      <c r="BB65" s="96">
        <f>IF(ISNUMBER(AN65),AN65,0)+IF(ISNUMBER(AS65),AS65,0)</f>
        <v>50040</v>
      </c>
      <c r="BC65" s="97"/>
      <c r="BD65" s="97"/>
      <c r="BE65" s="97"/>
      <c r="BF65" s="98"/>
      <c r="BG65" s="96">
        <v>105000</v>
      </c>
      <c r="BH65" s="97"/>
      <c r="BI65" s="97"/>
      <c r="BJ65" s="97"/>
      <c r="BK65" s="98"/>
      <c r="BL65" s="96">
        <v>0</v>
      </c>
      <c r="BM65" s="97"/>
      <c r="BN65" s="97"/>
      <c r="BO65" s="97"/>
      <c r="BP65" s="98"/>
      <c r="BQ65" s="96">
        <v>0</v>
      </c>
      <c r="BR65" s="97"/>
      <c r="BS65" s="97"/>
      <c r="BT65" s="98"/>
      <c r="BU65" s="96">
        <f>IF(ISNUMBER(BG65),BG65,0)+IF(ISNUMBER(BL65),BL65,0)</f>
        <v>105000</v>
      </c>
      <c r="BV65" s="97"/>
      <c r="BW65" s="97"/>
      <c r="BX65" s="97"/>
      <c r="BY65" s="98"/>
    </row>
    <row r="66" spans="1:77" s="99" customFormat="1" ht="12.75" customHeight="1" x14ac:dyDescent="0.2">
      <c r="A66" s="89">
        <v>2271</v>
      </c>
      <c r="B66" s="90"/>
      <c r="C66" s="90"/>
      <c r="D66" s="91"/>
      <c r="E66" s="92" t="s">
        <v>185</v>
      </c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4"/>
      <c r="U66" s="96">
        <v>250938</v>
      </c>
      <c r="V66" s="97"/>
      <c r="W66" s="97"/>
      <c r="X66" s="97"/>
      <c r="Y66" s="98"/>
      <c r="Z66" s="96">
        <v>0</v>
      </c>
      <c r="AA66" s="97"/>
      <c r="AB66" s="97"/>
      <c r="AC66" s="97"/>
      <c r="AD66" s="98"/>
      <c r="AE66" s="96">
        <v>0</v>
      </c>
      <c r="AF66" s="97"/>
      <c r="AG66" s="97"/>
      <c r="AH66" s="98"/>
      <c r="AI66" s="96">
        <f>IF(ISNUMBER(U66),U66,0)+IF(ISNUMBER(Z66),Z66,0)</f>
        <v>250938</v>
      </c>
      <c r="AJ66" s="97"/>
      <c r="AK66" s="97"/>
      <c r="AL66" s="97"/>
      <c r="AM66" s="98"/>
      <c r="AN66" s="96">
        <v>207176</v>
      </c>
      <c r="AO66" s="97"/>
      <c r="AP66" s="97"/>
      <c r="AQ66" s="97"/>
      <c r="AR66" s="98"/>
      <c r="AS66" s="96">
        <v>0</v>
      </c>
      <c r="AT66" s="97"/>
      <c r="AU66" s="97"/>
      <c r="AV66" s="97"/>
      <c r="AW66" s="98"/>
      <c r="AX66" s="96">
        <v>0</v>
      </c>
      <c r="AY66" s="97"/>
      <c r="AZ66" s="97"/>
      <c r="BA66" s="98"/>
      <c r="BB66" s="96">
        <f>IF(ISNUMBER(AN66),AN66,0)+IF(ISNUMBER(AS66),AS66,0)</f>
        <v>207176</v>
      </c>
      <c r="BC66" s="97"/>
      <c r="BD66" s="97"/>
      <c r="BE66" s="97"/>
      <c r="BF66" s="98"/>
      <c r="BG66" s="96">
        <v>244800</v>
      </c>
      <c r="BH66" s="97"/>
      <c r="BI66" s="97"/>
      <c r="BJ66" s="97"/>
      <c r="BK66" s="98"/>
      <c r="BL66" s="96">
        <v>0</v>
      </c>
      <c r="BM66" s="97"/>
      <c r="BN66" s="97"/>
      <c r="BO66" s="97"/>
      <c r="BP66" s="98"/>
      <c r="BQ66" s="96">
        <v>0</v>
      </c>
      <c r="BR66" s="97"/>
      <c r="BS66" s="97"/>
      <c r="BT66" s="98"/>
      <c r="BU66" s="96">
        <f>IF(ISNUMBER(BG66),BG66,0)+IF(ISNUMBER(BL66),BL66,0)</f>
        <v>244800</v>
      </c>
      <c r="BV66" s="97"/>
      <c r="BW66" s="97"/>
      <c r="BX66" s="97"/>
      <c r="BY66" s="98"/>
    </row>
    <row r="67" spans="1:77" s="99" customFormat="1" ht="12.75" customHeight="1" x14ac:dyDescent="0.2">
      <c r="A67" s="89">
        <v>2272</v>
      </c>
      <c r="B67" s="90"/>
      <c r="C67" s="90"/>
      <c r="D67" s="91"/>
      <c r="E67" s="92" t="s">
        <v>186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4"/>
      <c r="U67" s="96">
        <v>12121</v>
      </c>
      <c r="V67" s="97"/>
      <c r="W67" s="97"/>
      <c r="X67" s="97"/>
      <c r="Y67" s="98"/>
      <c r="Z67" s="96">
        <v>0</v>
      </c>
      <c r="AA67" s="97"/>
      <c r="AB67" s="97"/>
      <c r="AC67" s="97"/>
      <c r="AD67" s="98"/>
      <c r="AE67" s="96">
        <v>0</v>
      </c>
      <c r="AF67" s="97"/>
      <c r="AG67" s="97"/>
      <c r="AH67" s="98"/>
      <c r="AI67" s="96">
        <f>IF(ISNUMBER(U67),U67,0)+IF(ISNUMBER(Z67),Z67,0)</f>
        <v>12121</v>
      </c>
      <c r="AJ67" s="97"/>
      <c r="AK67" s="97"/>
      <c r="AL67" s="97"/>
      <c r="AM67" s="98"/>
      <c r="AN67" s="96">
        <v>80568</v>
      </c>
      <c r="AO67" s="97"/>
      <c r="AP67" s="97"/>
      <c r="AQ67" s="97"/>
      <c r="AR67" s="98"/>
      <c r="AS67" s="96">
        <v>0</v>
      </c>
      <c r="AT67" s="97"/>
      <c r="AU67" s="97"/>
      <c r="AV67" s="97"/>
      <c r="AW67" s="98"/>
      <c r="AX67" s="96">
        <v>0</v>
      </c>
      <c r="AY67" s="97"/>
      <c r="AZ67" s="97"/>
      <c r="BA67" s="98"/>
      <c r="BB67" s="96">
        <f>IF(ISNUMBER(AN67),AN67,0)+IF(ISNUMBER(AS67),AS67,0)</f>
        <v>80568</v>
      </c>
      <c r="BC67" s="97"/>
      <c r="BD67" s="97"/>
      <c r="BE67" s="97"/>
      <c r="BF67" s="98"/>
      <c r="BG67" s="96">
        <v>23000</v>
      </c>
      <c r="BH67" s="97"/>
      <c r="BI67" s="97"/>
      <c r="BJ67" s="97"/>
      <c r="BK67" s="98"/>
      <c r="BL67" s="96">
        <v>0</v>
      </c>
      <c r="BM67" s="97"/>
      <c r="BN67" s="97"/>
      <c r="BO67" s="97"/>
      <c r="BP67" s="98"/>
      <c r="BQ67" s="96">
        <v>0</v>
      </c>
      <c r="BR67" s="97"/>
      <c r="BS67" s="97"/>
      <c r="BT67" s="98"/>
      <c r="BU67" s="96">
        <f>IF(ISNUMBER(BG67),BG67,0)+IF(ISNUMBER(BL67),BL67,0)</f>
        <v>23000</v>
      </c>
      <c r="BV67" s="97"/>
      <c r="BW67" s="97"/>
      <c r="BX67" s="97"/>
      <c r="BY67" s="98"/>
    </row>
    <row r="68" spans="1:77" s="99" customFormat="1" ht="12.75" customHeight="1" x14ac:dyDescent="0.2">
      <c r="A68" s="89">
        <v>2273</v>
      </c>
      <c r="B68" s="90"/>
      <c r="C68" s="90"/>
      <c r="D68" s="91"/>
      <c r="E68" s="92" t="s">
        <v>187</v>
      </c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4"/>
      <c r="U68" s="96">
        <v>303846</v>
      </c>
      <c r="V68" s="97"/>
      <c r="W68" s="97"/>
      <c r="X68" s="97"/>
      <c r="Y68" s="98"/>
      <c r="Z68" s="96">
        <v>0</v>
      </c>
      <c r="AA68" s="97"/>
      <c r="AB68" s="97"/>
      <c r="AC68" s="97"/>
      <c r="AD68" s="98"/>
      <c r="AE68" s="96">
        <v>0</v>
      </c>
      <c r="AF68" s="97"/>
      <c r="AG68" s="97"/>
      <c r="AH68" s="98"/>
      <c r="AI68" s="96">
        <f>IF(ISNUMBER(U68),U68,0)+IF(ISNUMBER(Z68),Z68,0)</f>
        <v>303846</v>
      </c>
      <c r="AJ68" s="97"/>
      <c r="AK68" s="97"/>
      <c r="AL68" s="97"/>
      <c r="AM68" s="98"/>
      <c r="AN68" s="96">
        <v>1272882</v>
      </c>
      <c r="AO68" s="97"/>
      <c r="AP68" s="97"/>
      <c r="AQ68" s="97"/>
      <c r="AR68" s="98"/>
      <c r="AS68" s="96">
        <v>0</v>
      </c>
      <c r="AT68" s="97"/>
      <c r="AU68" s="97"/>
      <c r="AV68" s="97"/>
      <c r="AW68" s="98"/>
      <c r="AX68" s="96">
        <v>0</v>
      </c>
      <c r="AY68" s="97"/>
      <c r="AZ68" s="97"/>
      <c r="BA68" s="98"/>
      <c r="BB68" s="96">
        <f>IF(ISNUMBER(AN68),AN68,0)+IF(ISNUMBER(AS68),AS68,0)</f>
        <v>1272882</v>
      </c>
      <c r="BC68" s="97"/>
      <c r="BD68" s="97"/>
      <c r="BE68" s="97"/>
      <c r="BF68" s="98"/>
      <c r="BG68" s="96">
        <v>1733400</v>
      </c>
      <c r="BH68" s="97"/>
      <c r="BI68" s="97"/>
      <c r="BJ68" s="97"/>
      <c r="BK68" s="98"/>
      <c r="BL68" s="96">
        <v>0</v>
      </c>
      <c r="BM68" s="97"/>
      <c r="BN68" s="97"/>
      <c r="BO68" s="97"/>
      <c r="BP68" s="98"/>
      <c r="BQ68" s="96">
        <v>0</v>
      </c>
      <c r="BR68" s="97"/>
      <c r="BS68" s="97"/>
      <c r="BT68" s="98"/>
      <c r="BU68" s="96">
        <f>IF(ISNUMBER(BG68),BG68,0)+IF(ISNUMBER(BL68),BL68,0)</f>
        <v>1733400</v>
      </c>
      <c r="BV68" s="97"/>
      <c r="BW68" s="97"/>
      <c r="BX68" s="97"/>
      <c r="BY68" s="98"/>
    </row>
    <row r="69" spans="1:77" s="99" customFormat="1" ht="12.75" customHeight="1" x14ac:dyDescent="0.2">
      <c r="A69" s="89">
        <v>2274</v>
      </c>
      <c r="B69" s="90"/>
      <c r="C69" s="90"/>
      <c r="D69" s="91"/>
      <c r="E69" s="92" t="s">
        <v>188</v>
      </c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4"/>
      <c r="U69" s="96">
        <v>96741</v>
      </c>
      <c r="V69" s="97"/>
      <c r="W69" s="97"/>
      <c r="X69" s="97"/>
      <c r="Y69" s="98"/>
      <c r="Z69" s="96">
        <v>0</v>
      </c>
      <c r="AA69" s="97"/>
      <c r="AB69" s="97"/>
      <c r="AC69" s="97"/>
      <c r="AD69" s="98"/>
      <c r="AE69" s="96">
        <v>0</v>
      </c>
      <c r="AF69" s="97"/>
      <c r="AG69" s="97"/>
      <c r="AH69" s="98"/>
      <c r="AI69" s="96">
        <f>IF(ISNUMBER(U69),U69,0)+IF(ISNUMBER(Z69),Z69,0)</f>
        <v>96741</v>
      </c>
      <c r="AJ69" s="97"/>
      <c r="AK69" s="97"/>
      <c r="AL69" s="97"/>
      <c r="AM69" s="98"/>
      <c r="AN69" s="96">
        <v>148328</v>
      </c>
      <c r="AO69" s="97"/>
      <c r="AP69" s="97"/>
      <c r="AQ69" s="97"/>
      <c r="AR69" s="98"/>
      <c r="AS69" s="96">
        <v>0</v>
      </c>
      <c r="AT69" s="97"/>
      <c r="AU69" s="97"/>
      <c r="AV69" s="97"/>
      <c r="AW69" s="98"/>
      <c r="AX69" s="96">
        <v>0</v>
      </c>
      <c r="AY69" s="97"/>
      <c r="AZ69" s="97"/>
      <c r="BA69" s="98"/>
      <c r="BB69" s="96">
        <f>IF(ISNUMBER(AN69),AN69,0)+IF(ISNUMBER(AS69),AS69,0)</f>
        <v>148328</v>
      </c>
      <c r="BC69" s="97"/>
      <c r="BD69" s="97"/>
      <c r="BE69" s="97"/>
      <c r="BF69" s="98"/>
      <c r="BG69" s="96">
        <v>166867</v>
      </c>
      <c r="BH69" s="97"/>
      <c r="BI69" s="97"/>
      <c r="BJ69" s="97"/>
      <c r="BK69" s="98"/>
      <c r="BL69" s="96">
        <v>0</v>
      </c>
      <c r="BM69" s="97"/>
      <c r="BN69" s="97"/>
      <c r="BO69" s="97"/>
      <c r="BP69" s="98"/>
      <c r="BQ69" s="96">
        <v>0</v>
      </c>
      <c r="BR69" s="97"/>
      <c r="BS69" s="97"/>
      <c r="BT69" s="98"/>
      <c r="BU69" s="96">
        <f>IF(ISNUMBER(BG69),BG69,0)+IF(ISNUMBER(BL69),BL69,0)</f>
        <v>166867</v>
      </c>
      <c r="BV69" s="97"/>
      <c r="BW69" s="97"/>
      <c r="BX69" s="97"/>
      <c r="BY69" s="98"/>
    </row>
    <row r="70" spans="1:77" s="99" customFormat="1" ht="25.5" customHeight="1" x14ac:dyDescent="0.2">
      <c r="A70" s="89">
        <v>2275</v>
      </c>
      <c r="B70" s="90"/>
      <c r="C70" s="90"/>
      <c r="D70" s="91"/>
      <c r="E70" s="92" t="s">
        <v>189</v>
      </c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4"/>
      <c r="U70" s="96">
        <v>18416</v>
      </c>
      <c r="V70" s="97"/>
      <c r="W70" s="97"/>
      <c r="X70" s="97"/>
      <c r="Y70" s="98"/>
      <c r="Z70" s="96">
        <v>0</v>
      </c>
      <c r="AA70" s="97"/>
      <c r="AB70" s="97"/>
      <c r="AC70" s="97"/>
      <c r="AD70" s="98"/>
      <c r="AE70" s="96">
        <v>0</v>
      </c>
      <c r="AF70" s="97"/>
      <c r="AG70" s="97"/>
      <c r="AH70" s="98"/>
      <c r="AI70" s="96">
        <f>IF(ISNUMBER(U70),U70,0)+IF(ISNUMBER(Z70),Z70,0)</f>
        <v>18416</v>
      </c>
      <c r="AJ70" s="97"/>
      <c r="AK70" s="97"/>
      <c r="AL70" s="97"/>
      <c r="AM70" s="98"/>
      <c r="AN70" s="96">
        <v>31671</v>
      </c>
      <c r="AO70" s="97"/>
      <c r="AP70" s="97"/>
      <c r="AQ70" s="97"/>
      <c r="AR70" s="98"/>
      <c r="AS70" s="96">
        <v>0</v>
      </c>
      <c r="AT70" s="97"/>
      <c r="AU70" s="97"/>
      <c r="AV70" s="97"/>
      <c r="AW70" s="98"/>
      <c r="AX70" s="96">
        <v>0</v>
      </c>
      <c r="AY70" s="97"/>
      <c r="AZ70" s="97"/>
      <c r="BA70" s="98"/>
      <c r="BB70" s="96">
        <f>IF(ISNUMBER(AN70),AN70,0)+IF(ISNUMBER(AS70),AS70,0)</f>
        <v>31671</v>
      </c>
      <c r="BC70" s="97"/>
      <c r="BD70" s="97"/>
      <c r="BE70" s="97"/>
      <c r="BF70" s="98"/>
      <c r="BG70" s="96">
        <v>35037</v>
      </c>
      <c r="BH70" s="97"/>
      <c r="BI70" s="97"/>
      <c r="BJ70" s="97"/>
      <c r="BK70" s="98"/>
      <c r="BL70" s="96">
        <v>0</v>
      </c>
      <c r="BM70" s="97"/>
      <c r="BN70" s="97"/>
      <c r="BO70" s="97"/>
      <c r="BP70" s="98"/>
      <c r="BQ70" s="96">
        <v>0</v>
      </c>
      <c r="BR70" s="97"/>
      <c r="BS70" s="97"/>
      <c r="BT70" s="98"/>
      <c r="BU70" s="96">
        <f>IF(ISNUMBER(BG70),BG70,0)+IF(ISNUMBER(BL70),BL70,0)</f>
        <v>35037</v>
      </c>
      <c r="BV70" s="97"/>
      <c r="BW70" s="97"/>
      <c r="BX70" s="97"/>
      <c r="BY70" s="98"/>
    </row>
    <row r="71" spans="1:77" s="99" customFormat="1" ht="25.5" customHeight="1" x14ac:dyDescent="0.2">
      <c r="A71" s="89">
        <v>2281</v>
      </c>
      <c r="B71" s="90"/>
      <c r="C71" s="90"/>
      <c r="D71" s="91"/>
      <c r="E71" s="92" t="s">
        <v>190</v>
      </c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4"/>
      <c r="U71" s="96">
        <v>0</v>
      </c>
      <c r="V71" s="97"/>
      <c r="W71" s="97"/>
      <c r="X71" s="97"/>
      <c r="Y71" s="98"/>
      <c r="Z71" s="96">
        <v>0</v>
      </c>
      <c r="AA71" s="97"/>
      <c r="AB71" s="97"/>
      <c r="AC71" s="97"/>
      <c r="AD71" s="98"/>
      <c r="AE71" s="96">
        <v>0</v>
      </c>
      <c r="AF71" s="97"/>
      <c r="AG71" s="97"/>
      <c r="AH71" s="98"/>
      <c r="AI71" s="96">
        <f>IF(ISNUMBER(U71),U71,0)+IF(ISNUMBER(Z71),Z71,0)</f>
        <v>0</v>
      </c>
      <c r="AJ71" s="97"/>
      <c r="AK71" s="97"/>
      <c r="AL71" s="97"/>
      <c r="AM71" s="98"/>
      <c r="AN71" s="96">
        <v>31000</v>
      </c>
      <c r="AO71" s="97"/>
      <c r="AP71" s="97"/>
      <c r="AQ71" s="97"/>
      <c r="AR71" s="98"/>
      <c r="AS71" s="96">
        <v>0</v>
      </c>
      <c r="AT71" s="97"/>
      <c r="AU71" s="97"/>
      <c r="AV71" s="97"/>
      <c r="AW71" s="98"/>
      <c r="AX71" s="96">
        <v>0</v>
      </c>
      <c r="AY71" s="97"/>
      <c r="AZ71" s="97"/>
      <c r="BA71" s="98"/>
      <c r="BB71" s="96">
        <f>IF(ISNUMBER(AN71),AN71,0)+IF(ISNUMBER(AS71),AS71,0)</f>
        <v>31000</v>
      </c>
      <c r="BC71" s="97"/>
      <c r="BD71" s="97"/>
      <c r="BE71" s="97"/>
      <c r="BF71" s="98"/>
      <c r="BG71" s="96">
        <v>16000</v>
      </c>
      <c r="BH71" s="97"/>
      <c r="BI71" s="97"/>
      <c r="BJ71" s="97"/>
      <c r="BK71" s="98"/>
      <c r="BL71" s="96">
        <v>0</v>
      </c>
      <c r="BM71" s="97"/>
      <c r="BN71" s="97"/>
      <c r="BO71" s="97"/>
      <c r="BP71" s="98"/>
      <c r="BQ71" s="96">
        <v>0</v>
      </c>
      <c r="BR71" s="97"/>
      <c r="BS71" s="97"/>
      <c r="BT71" s="98"/>
      <c r="BU71" s="96">
        <f>IF(ISNUMBER(BG71),BG71,0)+IF(ISNUMBER(BL71),BL71,0)</f>
        <v>16000</v>
      </c>
      <c r="BV71" s="97"/>
      <c r="BW71" s="97"/>
      <c r="BX71" s="97"/>
      <c r="BY71" s="98"/>
    </row>
    <row r="72" spans="1:77" s="99" customFormat="1" ht="38.25" customHeight="1" x14ac:dyDescent="0.2">
      <c r="A72" s="89">
        <v>2282</v>
      </c>
      <c r="B72" s="90"/>
      <c r="C72" s="90"/>
      <c r="D72" s="91"/>
      <c r="E72" s="92" t="s">
        <v>191</v>
      </c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4"/>
      <c r="U72" s="96">
        <v>0</v>
      </c>
      <c r="V72" s="97"/>
      <c r="W72" s="97"/>
      <c r="X72" s="97"/>
      <c r="Y72" s="98"/>
      <c r="Z72" s="96">
        <v>0</v>
      </c>
      <c r="AA72" s="97"/>
      <c r="AB72" s="97"/>
      <c r="AC72" s="97"/>
      <c r="AD72" s="98"/>
      <c r="AE72" s="96">
        <v>0</v>
      </c>
      <c r="AF72" s="97"/>
      <c r="AG72" s="97"/>
      <c r="AH72" s="98"/>
      <c r="AI72" s="96">
        <f>IF(ISNUMBER(U72),U72,0)+IF(ISNUMBER(Z72),Z72,0)</f>
        <v>0</v>
      </c>
      <c r="AJ72" s="97"/>
      <c r="AK72" s="97"/>
      <c r="AL72" s="97"/>
      <c r="AM72" s="98"/>
      <c r="AN72" s="96">
        <v>5000</v>
      </c>
      <c r="AO72" s="97"/>
      <c r="AP72" s="97"/>
      <c r="AQ72" s="97"/>
      <c r="AR72" s="98"/>
      <c r="AS72" s="96">
        <v>0</v>
      </c>
      <c r="AT72" s="97"/>
      <c r="AU72" s="97"/>
      <c r="AV72" s="97"/>
      <c r="AW72" s="98"/>
      <c r="AX72" s="96">
        <v>0</v>
      </c>
      <c r="AY72" s="97"/>
      <c r="AZ72" s="97"/>
      <c r="BA72" s="98"/>
      <c r="BB72" s="96">
        <f>IF(ISNUMBER(AN72),AN72,0)+IF(ISNUMBER(AS72),AS72,0)</f>
        <v>5000</v>
      </c>
      <c r="BC72" s="97"/>
      <c r="BD72" s="97"/>
      <c r="BE72" s="97"/>
      <c r="BF72" s="98"/>
      <c r="BG72" s="96">
        <v>65000</v>
      </c>
      <c r="BH72" s="97"/>
      <c r="BI72" s="97"/>
      <c r="BJ72" s="97"/>
      <c r="BK72" s="98"/>
      <c r="BL72" s="96">
        <v>0</v>
      </c>
      <c r="BM72" s="97"/>
      <c r="BN72" s="97"/>
      <c r="BO72" s="97"/>
      <c r="BP72" s="98"/>
      <c r="BQ72" s="96">
        <v>0</v>
      </c>
      <c r="BR72" s="97"/>
      <c r="BS72" s="97"/>
      <c r="BT72" s="98"/>
      <c r="BU72" s="96">
        <f>IF(ISNUMBER(BG72),BG72,0)+IF(ISNUMBER(BL72),BL72,0)</f>
        <v>65000</v>
      </c>
      <c r="BV72" s="97"/>
      <c r="BW72" s="97"/>
      <c r="BX72" s="97"/>
      <c r="BY72" s="98"/>
    </row>
    <row r="73" spans="1:77" s="99" customFormat="1" ht="12.75" customHeight="1" x14ac:dyDescent="0.2">
      <c r="A73" s="89">
        <v>2800</v>
      </c>
      <c r="B73" s="90"/>
      <c r="C73" s="90"/>
      <c r="D73" s="91"/>
      <c r="E73" s="92" t="s">
        <v>192</v>
      </c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4"/>
      <c r="U73" s="96">
        <v>8</v>
      </c>
      <c r="V73" s="97"/>
      <c r="W73" s="97"/>
      <c r="X73" s="97"/>
      <c r="Y73" s="98"/>
      <c r="Z73" s="96">
        <v>0</v>
      </c>
      <c r="AA73" s="97"/>
      <c r="AB73" s="97"/>
      <c r="AC73" s="97"/>
      <c r="AD73" s="98"/>
      <c r="AE73" s="96">
        <v>0</v>
      </c>
      <c r="AF73" s="97"/>
      <c r="AG73" s="97"/>
      <c r="AH73" s="98"/>
      <c r="AI73" s="96">
        <f>IF(ISNUMBER(U73),U73,0)+IF(ISNUMBER(Z73),Z73,0)</f>
        <v>8</v>
      </c>
      <c r="AJ73" s="97"/>
      <c r="AK73" s="97"/>
      <c r="AL73" s="97"/>
      <c r="AM73" s="98"/>
      <c r="AN73" s="96">
        <v>205000</v>
      </c>
      <c r="AO73" s="97"/>
      <c r="AP73" s="97"/>
      <c r="AQ73" s="97"/>
      <c r="AR73" s="98"/>
      <c r="AS73" s="96">
        <v>0</v>
      </c>
      <c r="AT73" s="97"/>
      <c r="AU73" s="97"/>
      <c r="AV73" s="97"/>
      <c r="AW73" s="98"/>
      <c r="AX73" s="96">
        <v>0</v>
      </c>
      <c r="AY73" s="97"/>
      <c r="AZ73" s="97"/>
      <c r="BA73" s="98"/>
      <c r="BB73" s="96">
        <f>IF(ISNUMBER(AN73),AN73,0)+IF(ISNUMBER(AS73),AS73,0)</f>
        <v>205000</v>
      </c>
      <c r="BC73" s="97"/>
      <c r="BD73" s="97"/>
      <c r="BE73" s="97"/>
      <c r="BF73" s="98"/>
      <c r="BG73" s="96">
        <v>50000</v>
      </c>
      <c r="BH73" s="97"/>
      <c r="BI73" s="97"/>
      <c r="BJ73" s="97"/>
      <c r="BK73" s="98"/>
      <c r="BL73" s="96">
        <v>0</v>
      </c>
      <c r="BM73" s="97"/>
      <c r="BN73" s="97"/>
      <c r="BO73" s="97"/>
      <c r="BP73" s="98"/>
      <c r="BQ73" s="96">
        <v>0</v>
      </c>
      <c r="BR73" s="97"/>
      <c r="BS73" s="97"/>
      <c r="BT73" s="98"/>
      <c r="BU73" s="96">
        <f>IF(ISNUMBER(BG73),BG73,0)+IF(ISNUMBER(BL73),BL73,0)</f>
        <v>50000</v>
      </c>
      <c r="BV73" s="97"/>
      <c r="BW73" s="97"/>
      <c r="BX73" s="97"/>
      <c r="BY73" s="98"/>
    </row>
    <row r="74" spans="1:77" s="99" customFormat="1" ht="25.5" customHeight="1" x14ac:dyDescent="0.2">
      <c r="A74" s="89">
        <v>3110</v>
      </c>
      <c r="B74" s="90"/>
      <c r="C74" s="90"/>
      <c r="D74" s="91"/>
      <c r="E74" s="92" t="s">
        <v>193</v>
      </c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4"/>
      <c r="U74" s="96">
        <v>0</v>
      </c>
      <c r="V74" s="97"/>
      <c r="W74" s="97"/>
      <c r="X74" s="97"/>
      <c r="Y74" s="98"/>
      <c r="Z74" s="96">
        <v>562625</v>
      </c>
      <c r="AA74" s="97"/>
      <c r="AB74" s="97"/>
      <c r="AC74" s="97"/>
      <c r="AD74" s="98"/>
      <c r="AE74" s="96">
        <v>0</v>
      </c>
      <c r="AF74" s="97"/>
      <c r="AG74" s="97"/>
      <c r="AH74" s="98"/>
      <c r="AI74" s="96">
        <f>IF(ISNUMBER(U74),U74,0)+IF(ISNUMBER(Z74),Z74,0)</f>
        <v>562625</v>
      </c>
      <c r="AJ74" s="97"/>
      <c r="AK74" s="97"/>
      <c r="AL74" s="97"/>
      <c r="AM74" s="98"/>
      <c r="AN74" s="96">
        <v>0</v>
      </c>
      <c r="AO74" s="97"/>
      <c r="AP74" s="97"/>
      <c r="AQ74" s="97"/>
      <c r="AR74" s="98"/>
      <c r="AS74" s="96">
        <v>15623960</v>
      </c>
      <c r="AT74" s="97"/>
      <c r="AU74" s="97"/>
      <c r="AV74" s="97"/>
      <c r="AW74" s="98"/>
      <c r="AX74" s="96">
        <v>0</v>
      </c>
      <c r="AY74" s="97"/>
      <c r="AZ74" s="97"/>
      <c r="BA74" s="98"/>
      <c r="BB74" s="96">
        <f>IF(ISNUMBER(AN74),AN74,0)+IF(ISNUMBER(AS74),AS74,0)</f>
        <v>15623960</v>
      </c>
      <c r="BC74" s="97"/>
      <c r="BD74" s="97"/>
      <c r="BE74" s="97"/>
      <c r="BF74" s="98"/>
      <c r="BG74" s="96">
        <v>0</v>
      </c>
      <c r="BH74" s="97"/>
      <c r="BI74" s="97"/>
      <c r="BJ74" s="97"/>
      <c r="BK74" s="98"/>
      <c r="BL74" s="96">
        <v>0</v>
      </c>
      <c r="BM74" s="97"/>
      <c r="BN74" s="97"/>
      <c r="BO74" s="97"/>
      <c r="BP74" s="98"/>
      <c r="BQ74" s="96">
        <v>0</v>
      </c>
      <c r="BR74" s="97"/>
      <c r="BS74" s="97"/>
      <c r="BT74" s="98"/>
      <c r="BU74" s="96">
        <f>IF(ISNUMBER(BG74),BG74,0)+IF(ISNUMBER(BL74),BL74,0)</f>
        <v>0</v>
      </c>
      <c r="BV74" s="97"/>
      <c r="BW74" s="97"/>
      <c r="BX74" s="97"/>
      <c r="BY74" s="98"/>
    </row>
    <row r="75" spans="1:77" s="6" customFormat="1" ht="12.75" customHeight="1" x14ac:dyDescent="0.2">
      <c r="A75" s="86"/>
      <c r="B75" s="87"/>
      <c r="C75" s="87"/>
      <c r="D75" s="88"/>
      <c r="E75" s="100" t="s">
        <v>147</v>
      </c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2"/>
      <c r="U75" s="104">
        <v>18451875</v>
      </c>
      <c r="V75" s="105"/>
      <c r="W75" s="105"/>
      <c r="X75" s="105"/>
      <c r="Y75" s="106"/>
      <c r="Z75" s="104">
        <v>807568</v>
      </c>
      <c r="AA75" s="105"/>
      <c r="AB75" s="105"/>
      <c r="AC75" s="105"/>
      <c r="AD75" s="106"/>
      <c r="AE75" s="104">
        <v>0</v>
      </c>
      <c r="AF75" s="105"/>
      <c r="AG75" s="105"/>
      <c r="AH75" s="106"/>
      <c r="AI75" s="104">
        <f>IF(ISNUMBER(U75),U75,0)+IF(ISNUMBER(Z75),Z75,0)</f>
        <v>19259443</v>
      </c>
      <c r="AJ75" s="105"/>
      <c r="AK75" s="105"/>
      <c r="AL75" s="105"/>
      <c r="AM75" s="106"/>
      <c r="AN75" s="104">
        <v>28112137</v>
      </c>
      <c r="AO75" s="105"/>
      <c r="AP75" s="105"/>
      <c r="AQ75" s="105"/>
      <c r="AR75" s="106"/>
      <c r="AS75" s="104">
        <v>37307921</v>
      </c>
      <c r="AT75" s="105"/>
      <c r="AU75" s="105"/>
      <c r="AV75" s="105"/>
      <c r="AW75" s="106"/>
      <c r="AX75" s="104">
        <v>0</v>
      </c>
      <c r="AY75" s="105"/>
      <c r="AZ75" s="105"/>
      <c r="BA75" s="106"/>
      <c r="BB75" s="104">
        <f>IF(ISNUMBER(AN75),AN75,0)+IF(ISNUMBER(AS75),AS75,0)</f>
        <v>65420058</v>
      </c>
      <c r="BC75" s="105"/>
      <c r="BD75" s="105"/>
      <c r="BE75" s="105"/>
      <c r="BF75" s="106"/>
      <c r="BG75" s="104">
        <v>35814339</v>
      </c>
      <c r="BH75" s="105"/>
      <c r="BI75" s="105"/>
      <c r="BJ75" s="105"/>
      <c r="BK75" s="106"/>
      <c r="BL75" s="104">
        <v>250000</v>
      </c>
      <c r="BM75" s="105"/>
      <c r="BN75" s="105"/>
      <c r="BO75" s="105"/>
      <c r="BP75" s="106"/>
      <c r="BQ75" s="104">
        <v>0</v>
      </c>
      <c r="BR75" s="105"/>
      <c r="BS75" s="105"/>
      <c r="BT75" s="106"/>
      <c r="BU75" s="104">
        <f>IF(ISNUMBER(BG75),BG75,0)+IF(ISNUMBER(BL75),BL75,0)</f>
        <v>36064339</v>
      </c>
      <c r="BV75" s="105"/>
      <c r="BW75" s="105"/>
      <c r="BX75" s="105"/>
      <c r="BY75" s="106"/>
    </row>
    <row r="77" spans="1:77" ht="14.25" customHeight="1" x14ac:dyDescent="0.2">
      <c r="A77" s="29" t="s">
        <v>318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</row>
    <row r="78" spans="1:77" ht="15" customHeight="1" x14ac:dyDescent="0.2">
      <c r="A78" s="44" t="s">
        <v>304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</row>
    <row r="79" spans="1:77" ht="23.1" customHeight="1" x14ac:dyDescent="0.2">
      <c r="A79" s="61" t="s">
        <v>119</v>
      </c>
      <c r="B79" s="62"/>
      <c r="C79" s="62"/>
      <c r="D79" s="62"/>
      <c r="E79" s="63"/>
      <c r="F79" s="27" t="s">
        <v>19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36" t="s">
        <v>305</v>
      </c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8"/>
      <c r="AN79" s="36" t="s">
        <v>308</v>
      </c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8"/>
      <c r="BG79" s="36" t="s">
        <v>316</v>
      </c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8"/>
    </row>
    <row r="80" spans="1:77" ht="51.75" customHeight="1" x14ac:dyDescent="0.2">
      <c r="A80" s="64"/>
      <c r="B80" s="65"/>
      <c r="C80" s="65"/>
      <c r="D80" s="65"/>
      <c r="E80" s="6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36" t="s">
        <v>4</v>
      </c>
      <c r="V80" s="37"/>
      <c r="W80" s="37"/>
      <c r="X80" s="37"/>
      <c r="Y80" s="38"/>
      <c r="Z80" s="36" t="s">
        <v>3</v>
      </c>
      <c r="AA80" s="37"/>
      <c r="AB80" s="37"/>
      <c r="AC80" s="37"/>
      <c r="AD80" s="38"/>
      <c r="AE80" s="57" t="s">
        <v>116</v>
      </c>
      <c r="AF80" s="58"/>
      <c r="AG80" s="58"/>
      <c r="AH80" s="59"/>
      <c r="AI80" s="36" t="s">
        <v>5</v>
      </c>
      <c r="AJ80" s="37"/>
      <c r="AK80" s="37"/>
      <c r="AL80" s="37"/>
      <c r="AM80" s="38"/>
      <c r="AN80" s="36" t="s">
        <v>4</v>
      </c>
      <c r="AO80" s="37"/>
      <c r="AP80" s="37"/>
      <c r="AQ80" s="37"/>
      <c r="AR80" s="38"/>
      <c r="AS80" s="36" t="s">
        <v>3</v>
      </c>
      <c r="AT80" s="37"/>
      <c r="AU80" s="37"/>
      <c r="AV80" s="37"/>
      <c r="AW80" s="38"/>
      <c r="AX80" s="57" t="s">
        <v>116</v>
      </c>
      <c r="AY80" s="58"/>
      <c r="AZ80" s="58"/>
      <c r="BA80" s="59"/>
      <c r="BB80" s="36" t="s">
        <v>96</v>
      </c>
      <c r="BC80" s="37"/>
      <c r="BD80" s="37"/>
      <c r="BE80" s="37"/>
      <c r="BF80" s="38"/>
      <c r="BG80" s="36" t="s">
        <v>4</v>
      </c>
      <c r="BH80" s="37"/>
      <c r="BI80" s="37"/>
      <c r="BJ80" s="37"/>
      <c r="BK80" s="38"/>
      <c r="BL80" s="36" t="s">
        <v>3</v>
      </c>
      <c r="BM80" s="37"/>
      <c r="BN80" s="37"/>
      <c r="BO80" s="37"/>
      <c r="BP80" s="38"/>
      <c r="BQ80" s="57" t="s">
        <v>116</v>
      </c>
      <c r="BR80" s="58"/>
      <c r="BS80" s="58"/>
      <c r="BT80" s="59"/>
      <c r="BU80" s="27" t="s">
        <v>97</v>
      </c>
      <c r="BV80" s="27"/>
      <c r="BW80" s="27"/>
      <c r="BX80" s="27"/>
      <c r="BY80" s="27"/>
    </row>
    <row r="81" spans="1:79" ht="15" customHeight="1" x14ac:dyDescent="0.2">
      <c r="A81" s="36">
        <v>1</v>
      </c>
      <c r="B81" s="37"/>
      <c r="C81" s="37"/>
      <c r="D81" s="37"/>
      <c r="E81" s="38"/>
      <c r="F81" s="36">
        <v>2</v>
      </c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8"/>
      <c r="U81" s="36">
        <v>3</v>
      </c>
      <c r="V81" s="37"/>
      <c r="W81" s="37"/>
      <c r="X81" s="37"/>
      <c r="Y81" s="38"/>
      <c r="Z81" s="36">
        <v>4</v>
      </c>
      <c r="AA81" s="37"/>
      <c r="AB81" s="37"/>
      <c r="AC81" s="37"/>
      <c r="AD81" s="38"/>
      <c r="AE81" s="36">
        <v>5</v>
      </c>
      <c r="AF81" s="37"/>
      <c r="AG81" s="37"/>
      <c r="AH81" s="38"/>
      <c r="AI81" s="36">
        <v>6</v>
      </c>
      <c r="AJ81" s="37"/>
      <c r="AK81" s="37"/>
      <c r="AL81" s="37"/>
      <c r="AM81" s="38"/>
      <c r="AN81" s="36">
        <v>7</v>
      </c>
      <c r="AO81" s="37"/>
      <c r="AP81" s="37"/>
      <c r="AQ81" s="37"/>
      <c r="AR81" s="38"/>
      <c r="AS81" s="36">
        <v>8</v>
      </c>
      <c r="AT81" s="37"/>
      <c r="AU81" s="37"/>
      <c r="AV81" s="37"/>
      <c r="AW81" s="38"/>
      <c r="AX81" s="36">
        <v>9</v>
      </c>
      <c r="AY81" s="37"/>
      <c r="AZ81" s="37"/>
      <c r="BA81" s="38"/>
      <c r="BB81" s="36">
        <v>10</v>
      </c>
      <c r="BC81" s="37"/>
      <c r="BD81" s="37"/>
      <c r="BE81" s="37"/>
      <c r="BF81" s="38"/>
      <c r="BG81" s="36">
        <v>11</v>
      </c>
      <c r="BH81" s="37"/>
      <c r="BI81" s="37"/>
      <c r="BJ81" s="37"/>
      <c r="BK81" s="38"/>
      <c r="BL81" s="36">
        <v>12</v>
      </c>
      <c r="BM81" s="37"/>
      <c r="BN81" s="37"/>
      <c r="BO81" s="37"/>
      <c r="BP81" s="38"/>
      <c r="BQ81" s="36">
        <v>13</v>
      </c>
      <c r="BR81" s="37"/>
      <c r="BS81" s="37"/>
      <c r="BT81" s="38"/>
      <c r="BU81" s="27">
        <v>14</v>
      </c>
      <c r="BV81" s="27"/>
      <c r="BW81" s="27"/>
      <c r="BX81" s="27"/>
      <c r="BY81" s="27"/>
    </row>
    <row r="82" spans="1:79" s="1" customFormat="1" ht="13.5" hidden="1" customHeight="1" x14ac:dyDescent="0.2">
      <c r="A82" s="39" t="s">
        <v>64</v>
      </c>
      <c r="B82" s="40"/>
      <c r="C82" s="40"/>
      <c r="D82" s="40"/>
      <c r="E82" s="41"/>
      <c r="F82" s="39" t="s">
        <v>57</v>
      </c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1"/>
      <c r="U82" s="39" t="s">
        <v>65</v>
      </c>
      <c r="V82" s="40"/>
      <c r="W82" s="40"/>
      <c r="X82" s="40"/>
      <c r="Y82" s="41"/>
      <c r="Z82" s="39" t="s">
        <v>66</v>
      </c>
      <c r="AA82" s="40"/>
      <c r="AB82" s="40"/>
      <c r="AC82" s="40"/>
      <c r="AD82" s="41"/>
      <c r="AE82" s="39" t="s">
        <v>91</v>
      </c>
      <c r="AF82" s="40"/>
      <c r="AG82" s="40"/>
      <c r="AH82" s="41"/>
      <c r="AI82" s="47" t="s">
        <v>169</v>
      </c>
      <c r="AJ82" s="48"/>
      <c r="AK82" s="48"/>
      <c r="AL82" s="48"/>
      <c r="AM82" s="49"/>
      <c r="AN82" s="39" t="s">
        <v>67</v>
      </c>
      <c r="AO82" s="40"/>
      <c r="AP82" s="40"/>
      <c r="AQ82" s="40"/>
      <c r="AR82" s="41"/>
      <c r="AS82" s="39" t="s">
        <v>68</v>
      </c>
      <c r="AT82" s="40"/>
      <c r="AU82" s="40"/>
      <c r="AV82" s="40"/>
      <c r="AW82" s="41"/>
      <c r="AX82" s="39" t="s">
        <v>92</v>
      </c>
      <c r="AY82" s="40"/>
      <c r="AZ82" s="40"/>
      <c r="BA82" s="41"/>
      <c r="BB82" s="47" t="s">
        <v>169</v>
      </c>
      <c r="BC82" s="48"/>
      <c r="BD82" s="48"/>
      <c r="BE82" s="48"/>
      <c r="BF82" s="49"/>
      <c r="BG82" s="39" t="s">
        <v>58</v>
      </c>
      <c r="BH82" s="40"/>
      <c r="BI82" s="40"/>
      <c r="BJ82" s="40"/>
      <c r="BK82" s="41"/>
      <c r="BL82" s="39" t="s">
        <v>59</v>
      </c>
      <c r="BM82" s="40"/>
      <c r="BN82" s="40"/>
      <c r="BO82" s="40"/>
      <c r="BP82" s="41"/>
      <c r="BQ82" s="39" t="s">
        <v>93</v>
      </c>
      <c r="BR82" s="40"/>
      <c r="BS82" s="40"/>
      <c r="BT82" s="41"/>
      <c r="BU82" s="50" t="s">
        <v>169</v>
      </c>
      <c r="BV82" s="50"/>
      <c r="BW82" s="50"/>
      <c r="BX82" s="50"/>
      <c r="BY82" s="50"/>
      <c r="CA82" t="s">
        <v>27</v>
      </c>
    </row>
    <row r="83" spans="1:79" s="6" customFormat="1" ht="12.75" customHeight="1" x14ac:dyDescent="0.2">
      <c r="A83" s="86"/>
      <c r="B83" s="87"/>
      <c r="C83" s="87"/>
      <c r="D83" s="87"/>
      <c r="E83" s="88"/>
      <c r="F83" s="86" t="s">
        <v>147</v>
      </c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8"/>
      <c r="U83" s="104"/>
      <c r="V83" s="105"/>
      <c r="W83" s="105"/>
      <c r="X83" s="105"/>
      <c r="Y83" s="106"/>
      <c r="Z83" s="104"/>
      <c r="AA83" s="105"/>
      <c r="AB83" s="105"/>
      <c r="AC83" s="105"/>
      <c r="AD83" s="106"/>
      <c r="AE83" s="104"/>
      <c r="AF83" s="105"/>
      <c r="AG83" s="105"/>
      <c r="AH83" s="106"/>
      <c r="AI83" s="104">
        <f>IF(ISNUMBER(U83),U83,0)+IF(ISNUMBER(Z83),Z83,0)</f>
        <v>0</v>
      </c>
      <c r="AJ83" s="105"/>
      <c r="AK83" s="105"/>
      <c r="AL83" s="105"/>
      <c r="AM83" s="106"/>
      <c r="AN83" s="104"/>
      <c r="AO83" s="105"/>
      <c r="AP83" s="105"/>
      <c r="AQ83" s="105"/>
      <c r="AR83" s="106"/>
      <c r="AS83" s="104"/>
      <c r="AT83" s="105"/>
      <c r="AU83" s="105"/>
      <c r="AV83" s="105"/>
      <c r="AW83" s="106"/>
      <c r="AX83" s="104"/>
      <c r="AY83" s="105"/>
      <c r="AZ83" s="105"/>
      <c r="BA83" s="106"/>
      <c r="BB83" s="104">
        <f>IF(ISNUMBER(AN83),AN83,0)+IF(ISNUMBER(AS83),AS83,0)</f>
        <v>0</v>
      </c>
      <c r="BC83" s="105"/>
      <c r="BD83" s="105"/>
      <c r="BE83" s="105"/>
      <c r="BF83" s="106"/>
      <c r="BG83" s="104"/>
      <c r="BH83" s="105"/>
      <c r="BI83" s="105"/>
      <c r="BJ83" s="105"/>
      <c r="BK83" s="106"/>
      <c r="BL83" s="104"/>
      <c r="BM83" s="105"/>
      <c r="BN83" s="105"/>
      <c r="BO83" s="105"/>
      <c r="BP83" s="106"/>
      <c r="BQ83" s="104"/>
      <c r="BR83" s="105"/>
      <c r="BS83" s="105"/>
      <c r="BT83" s="106"/>
      <c r="BU83" s="104">
        <f>IF(ISNUMBER(BG83),BG83,0)+IF(ISNUMBER(BL83),BL83,0)</f>
        <v>0</v>
      </c>
      <c r="BV83" s="105"/>
      <c r="BW83" s="105"/>
      <c r="BX83" s="105"/>
      <c r="BY83" s="106"/>
      <c r="CA83" s="6" t="s">
        <v>28</v>
      </c>
    </row>
    <row r="85" spans="1:79" ht="14.25" customHeight="1" x14ac:dyDescent="0.2">
      <c r="A85" s="29" t="s">
        <v>332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</row>
    <row r="86" spans="1:79" ht="15" customHeight="1" x14ac:dyDescent="0.2">
      <c r="A86" s="44" t="s">
        <v>304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</row>
    <row r="87" spans="1:79" ht="23.1" customHeight="1" x14ac:dyDescent="0.2">
      <c r="A87" s="61" t="s">
        <v>118</v>
      </c>
      <c r="B87" s="62"/>
      <c r="C87" s="62"/>
      <c r="D87" s="63"/>
      <c r="E87" s="51" t="s">
        <v>19</v>
      </c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3"/>
      <c r="X87" s="36" t="s">
        <v>326</v>
      </c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8"/>
      <c r="AR87" s="27" t="s">
        <v>331</v>
      </c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</row>
    <row r="88" spans="1:79" ht="48.75" customHeight="1" x14ac:dyDescent="0.2">
      <c r="A88" s="64"/>
      <c r="B88" s="65"/>
      <c r="C88" s="65"/>
      <c r="D88" s="66"/>
      <c r="E88" s="54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6"/>
      <c r="X88" s="51" t="s">
        <v>4</v>
      </c>
      <c r="Y88" s="52"/>
      <c r="Z88" s="52"/>
      <c r="AA88" s="52"/>
      <c r="AB88" s="53"/>
      <c r="AC88" s="51" t="s">
        <v>3</v>
      </c>
      <c r="AD88" s="52"/>
      <c r="AE88" s="52"/>
      <c r="AF88" s="52"/>
      <c r="AG88" s="53"/>
      <c r="AH88" s="57" t="s">
        <v>116</v>
      </c>
      <c r="AI88" s="58"/>
      <c r="AJ88" s="58"/>
      <c r="AK88" s="58"/>
      <c r="AL88" s="59"/>
      <c r="AM88" s="36" t="s">
        <v>5</v>
      </c>
      <c r="AN88" s="37"/>
      <c r="AO88" s="37"/>
      <c r="AP88" s="37"/>
      <c r="AQ88" s="38"/>
      <c r="AR88" s="36" t="s">
        <v>4</v>
      </c>
      <c r="AS88" s="37"/>
      <c r="AT88" s="37"/>
      <c r="AU88" s="37"/>
      <c r="AV88" s="38"/>
      <c r="AW88" s="36" t="s">
        <v>3</v>
      </c>
      <c r="AX88" s="37"/>
      <c r="AY88" s="37"/>
      <c r="AZ88" s="37"/>
      <c r="BA88" s="38"/>
      <c r="BB88" s="57" t="s">
        <v>116</v>
      </c>
      <c r="BC88" s="58"/>
      <c r="BD88" s="58"/>
      <c r="BE88" s="58"/>
      <c r="BF88" s="59"/>
      <c r="BG88" s="36" t="s">
        <v>96</v>
      </c>
      <c r="BH88" s="37"/>
      <c r="BI88" s="37"/>
      <c r="BJ88" s="37"/>
      <c r="BK88" s="38"/>
    </row>
    <row r="89" spans="1:79" ht="12.75" customHeight="1" x14ac:dyDescent="0.2">
      <c r="A89" s="36">
        <v>1</v>
      </c>
      <c r="B89" s="37"/>
      <c r="C89" s="37"/>
      <c r="D89" s="38"/>
      <c r="E89" s="36">
        <v>2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8"/>
      <c r="X89" s="36">
        <v>3</v>
      </c>
      <c r="Y89" s="37"/>
      <c r="Z89" s="37"/>
      <c r="AA89" s="37"/>
      <c r="AB89" s="38"/>
      <c r="AC89" s="36">
        <v>4</v>
      </c>
      <c r="AD89" s="37"/>
      <c r="AE89" s="37"/>
      <c r="AF89" s="37"/>
      <c r="AG89" s="38"/>
      <c r="AH89" s="36">
        <v>5</v>
      </c>
      <c r="AI89" s="37"/>
      <c r="AJ89" s="37"/>
      <c r="AK89" s="37"/>
      <c r="AL89" s="38"/>
      <c r="AM89" s="36">
        <v>6</v>
      </c>
      <c r="AN89" s="37"/>
      <c r="AO89" s="37"/>
      <c r="AP89" s="37"/>
      <c r="AQ89" s="38"/>
      <c r="AR89" s="36">
        <v>7</v>
      </c>
      <c r="AS89" s="37"/>
      <c r="AT89" s="37"/>
      <c r="AU89" s="37"/>
      <c r="AV89" s="38"/>
      <c r="AW89" s="36">
        <v>8</v>
      </c>
      <c r="AX89" s="37"/>
      <c r="AY89" s="37"/>
      <c r="AZ89" s="37"/>
      <c r="BA89" s="38"/>
      <c r="BB89" s="36">
        <v>9</v>
      </c>
      <c r="BC89" s="37"/>
      <c r="BD89" s="37"/>
      <c r="BE89" s="37"/>
      <c r="BF89" s="38"/>
      <c r="BG89" s="36">
        <v>10</v>
      </c>
      <c r="BH89" s="37"/>
      <c r="BI89" s="37"/>
      <c r="BJ89" s="37"/>
      <c r="BK89" s="38"/>
    </row>
    <row r="90" spans="1:79" s="1" customFormat="1" ht="12.75" hidden="1" customHeight="1" x14ac:dyDescent="0.2">
      <c r="A90" s="39" t="s">
        <v>64</v>
      </c>
      <c r="B90" s="40"/>
      <c r="C90" s="40"/>
      <c r="D90" s="41"/>
      <c r="E90" s="39" t="s">
        <v>57</v>
      </c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1"/>
      <c r="X90" s="68" t="s">
        <v>60</v>
      </c>
      <c r="Y90" s="69"/>
      <c r="Z90" s="69"/>
      <c r="AA90" s="69"/>
      <c r="AB90" s="70"/>
      <c r="AC90" s="68" t="s">
        <v>61</v>
      </c>
      <c r="AD90" s="69"/>
      <c r="AE90" s="69"/>
      <c r="AF90" s="69"/>
      <c r="AG90" s="70"/>
      <c r="AH90" s="39" t="s">
        <v>94</v>
      </c>
      <c r="AI90" s="40"/>
      <c r="AJ90" s="40"/>
      <c r="AK90" s="40"/>
      <c r="AL90" s="41"/>
      <c r="AM90" s="47" t="s">
        <v>170</v>
      </c>
      <c r="AN90" s="48"/>
      <c r="AO90" s="48"/>
      <c r="AP90" s="48"/>
      <c r="AQ90" s="49"/>
      <c r="AR90" s="39" t="s">
        <v>62</v>
      </c>
      <c r="AS90" s="40"/>
      <c r="AT90" s="40"/>
      <c r="AU90" s="40"/>
      <c r="AV90" s="41"/>
      <c r="AW90" s="39" t="s">
        <v>63</v>
      </c>
      <c r="AX90" s="40"/>
      <c r="AY90" s="40"/>
      <c r="AZ90" s="40"/>
      <c r="BA90" s="41"/>
      <c r="BB90" s="39" t="s">
        <v>95</v>
      </c>
      <c r="BC90" s="40"/>
      <c r="BD90" s="40"/>
      <c r="BE90" s="40"/>
      <c r="BF90" s="41"/>
      <c r="BG90" s="47" t="s">
        <v>170</v>
      </c>
      <c r="BH90" s="48"/>
      <c r="BI90" s="48"/>
      <c r="BJ90" s="48"/>
      <c r="BK90" s="49"/>
      <c r="CA90" t="s">
        <v>29</v>
      </c>
    </row>
    <row r="91" spans="1:79" s="99" customFormat="1" ht="12.75" customHeight="1" x14ac:dyDescent="0.2">
      <c r="A91" s="89">
        <v>2111</v>
      </c>
      <c r="B91" s="90"/>
      <c r="C91" s="90"/>
      <c r="D91" s="91"/>
      <c r="E91" s="92" t="s">
        <v>179</v>
      </c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4"/>
      <c r="X91" s="96">
        <v>26680058</v>
      </c>
      <c r="Y91" s="97"/>
      <c r="Z91" s="97"/>
      <c r="AA91" s="97"/>
      <c r="AB91" s="98"/>
      <c r="AC91" s="96">
        <v>0</v>
      </c>
      <c r="AD91" s="97"/>
      <c r="AE91" s="97"/>
      <c r="AF91" s="97"/>
      <c r="AG91" s="98"/>
      <c r="AH91" s="96">
        <v>0</v>
      </c>
      <c r="AI91" s="97"/>
      <c r="AJ91" s="97"/>
      <c r="AK91" s="97"/>
      <c r="AL91" s="98"/>
      <c r="AM91" s="96">
        <f>IF(ISNUMBER(X91),X91,0)+IF(ISNUMBER(AC91),AC91,0)</f>
        <v>26680058</v>
      </c>
      <c r="AN91" s="97"/>
      <c r="AO91" s="97"/>
      <c r="AP91" s="97"/>
      <c r="AQ91" s="98"/>
      <c r="AR91" s="96">
        <v>28547662</v>
      </c>
      <c r="AS91" s="97"/>
      <c r="AT91" s="97"/>
      <c r="AU91" s="97"/>
      <c r="AV91" s="98"/>
      <c r="AW91" s="96">
        <v>0</v>
      </c>
      <c r="AX91" s="97"/>
      <c r="AY91" s="97"/>
      <c r="AZ91" s="97"/>
      <c r="BA91" s="98"/>
      <c r="BB91" s="96">
        <v>0</v>
      </c>
      <c r="BC91" s="97"/>
      <c r="BD91" s="97"/>
      <c r="BE91" s="97"/>
      <c r="BF91" s="98"/>
      <c r="BG91" s="95">
        <f>IF(ISNUMBER(AR91),AR91,0)+IF(ISNUMBER(AW91),AW91,0)</f>
        <v>28547662</v>
      </c>
      <c r="BH91" s="95"/>
      <c r="BI91" s="95"/>
      <c r="BJ91" s="95"/>
      <c r="BK91" s="95"/>
      <c r="CA91" s="99" t="s">
        <v>30</v>
      </c>
    </row>
    <row r="92" spans="1:79" s="99" customFormat="1" ht="12.75" customHeight="1" x14ac:dyDescent="0.2">
      <c r="A92" s="89">
        <v>2120</v>
      </c>
      <c r="B92" s="90"/>
      <c r="C92" s="90"/>
      <c r="D92" s="91"/>
      <c r="E92" s="92" t="s">
        <v>180</v>
      </c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4"/>
      <c r="X92" s="96">
        <v>5869612</v>
      </c>
      <c r="Y92" s="97"/>
      <c r="Z92" s="97"/>
      <c r="AA92" s="97"/>
      <c r="AB92" s="98"/>
      <c r="AC92" s="96">
        <v>0</v>
      </c>
      <c r="AD92" s="97"/>
      <c r="AE92" s="97"/>
      <c r="AF92" s="97"/>
      <c r="AG92" s="98"/>
      <c r="AH92" s="96">
        <v>0</v>
      </c>
      <c r="AI92" s="97"/>
      <c r="AJ92" s="97"/>
      <c r="AK92" s="97"/>
      <c r="AL92" s="98"/>
      <c r="AM92" s="96">
        <f>IF(ISNUMBER(X92),X92,0)+IF(ISNUMBER(AC92),AC92,0)</f>
        <v>5869612</v>
      </c>
      <c r="AN92" s="97"/>
      <c r="AO92" s="97"/>
      <c r="AP92" s="97"/>
      <c r="AQ92" s="98"/>
      <c r="AR92" s="96">
        <v>6280485</v>
      </c>
      <c r="AS92" s="97"/>
      <c r="AT92" s="97"/>
      <c r="AU92" s="97"/>
      <c r="AV92" s="98"/>
      <c r="AW92" s="96">
        <v>0</v>
      </c>
      <c r="AX92" s="97"/>
      <c r="AY92" s="97"/>
      <c r="AZ92" s="97"/>
      <c r="BA92" s="98"/>
      <c r="BB92" s="96">
        <v>0</v>
      </c>
      <c r="BC92" s="97"/>
      <c r="BD92" s="97"/>
      <c r="BE92" s="97"/>
      <c r="BF92" s="98"/>
      <c r="BG92" s="95">
        <f>IF(ISNUMBER(AR92),AR92,0)+IF(ISNUMBER(AW92),AW92,0)</f>
        <v>6280485</v>
      </c>
      <c r="BH92" s="95"/>
      <c r="BI92" s="95"/>
      <c r="BJ92" s="95"/>
      <c r="BK92" s="95"/>
    </row>
    <row r="93" spans="1:79" s="99" customFormat="1" ht="12.75" customHeight="1" x14ac:dyDescent="0.2">
      <c r="A93" s="89">
        <v>2210</v>
      </c>
      <c r="B93" s="90"/>
      <c r="C93" s="90"/>
      <c r="D93" s="91"/>
      <c r="E93" s="92" t="s">
        <v>181</v>
      </c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6">
        <v>1691456</v>
      </c>
      <c r="Y93" s="97"/>
      <c r="Z93" s="97"/>
      <c r="AA93" s="97"/>
      <c r="AB93" s="98"/>
      <c r="AC93" s="96">
        <v>0</v>
      </c>
      <c r="AD93" s="97"/>
      <c r="AE93" s="97"/>
      <c r="AF93" s="97"/>
      <c r="AG93" s="98"/>
      <c r="AH93" s="96">
        <v>0</v>
      </c>
      <c r="AI93" s="97"/>
      <c r="AJ93" s="97"/>
      <c r="AK93" s="97"/>
      <c r="AL93" s="98"/>
      <c r="AM93" s="96">
        <f>IF(ISNUMBER(X93),X93,0)+IF(ISNUMBER(AC93),AC93,0)</f>
        <v>1691456</v>
      </c>
      <c r="AN93" s="97"/>
      <c r="AO93" s="97"/>
      <c r="AP93" s="97"/>
      <c r="AQ93" s="98"/>
      <c r="AR93" s="96">
        <v>1789560</v>
      </c>
      <c r="AS93" s="97"/>
      <c r="AT93" s="97"/>
      <c r="AU93" s="97"/>
      <c r="AV93" s="98"/>
      <c r="AW93" s="96">
        <v>0</v>
      </c>
      <c r="AX93" s="97"/>
      <c r="AY93" s="97"/>
      <c r="AZ93" s="97"/>
      <c r="BA93" s="98"/>
      <c r="BB93" s="96">
        <v>0</v>
      </c>
      <c r="BC93" s="97"/>
      <c r="BD93" s="97"/>
      <c r="BE93" s="97"/>
      <c r="BF93" s="98"/>
      <c r="BG93" s="95">
        <f>IF(ISNUMBER(AR93),AR93,0)+IF(ISNUMBER(AW93),AW93,0)</f>
        <v>1789560</v>
      </c>
      <c r="BH93" s="95"/>
      <c r="BI93" s="95"/>
      <c r="BJ93" s="95"/>
      <c r="BK93" s="95"/>
    </row>
    <row r="94" spans="1:79" s="99" customFormat="1" ht="12.75" customHeight="1" x14ac:dyDescent="0.2">
      <c r="A94" s="89">
        <v>2230</v>
      </c>
      <c r="B94" s="90"/>
      <c r="C94" s="90"/>
      <c r="D94" s="91"/>
      <c r="E94" s="92" t="s">
        <v>182</v>
      </c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4"/>
      <c r="X94" s="96">
        <v>0</v>
      </c>
      <c r="Y94" s="97"/>
      <c r="Z94" s="97"/>
      <c r="AA94" s="97"/>
      <c r="AB94" s="98"/>
      <c r="AC94" s="96">
        <v>0</v>
      </c>
      <c r="AD94" s="97"/>
      <c r="AE94" s="97"/>
      <c r="AF94" s="97"/>
      <c r="AG94" s="98"/>
      <c r="AH94" s="96">
        <v>0</v>
      </c>
      <c r="AI94" s="97"/>
      <c r="AJ94" s="97"/>
      <c r="AK94" s="97"/>
      <c r="AL94" s="98"/>
      <c r="AM94" s="96">
        <f>IF(ISNUMBER(X94),X94,0)+IF(ISNUMBER(AC94),AC94,0)</f>
        <v>0</v>
      </c>
      <c r="AN94" s="97"/>
      <c r="AO94" s="97"/>
      <c r="AP94" s="97"/>
      <c r="AQ94" s="98"/>
      <c r="AR94" s="96">
        <v>0</v>
      </c>
      <c r="AS94" s="97"/>
      <c r="AT94" s="97"/>
      <c r="AU94" s="97"/>
      <c r="AV94" s="98"/>
      <c r="AW94" s="96">
        <v>0</v>
      </c>
      <c r="AX94" s="97"/>
      <c r="AY94" s="97"/>
      <c r="AZ94" s="97"/>
      <c r="BA94" s="98"/>
      <c r="BB94" s="96">
        <v>0</v>
      </c>
      <c r="BC94" s="97"/>
      <c r="BD94" s="97"/>
      <c r="BE94" s="97"/>
      <c r="BF94" s="98"/>
      <c r="BG94" s="95">
        <f>IF(ISNUMBER(AR94),AR94,0)+IF(ISNUMBER(AW94),AW94,0)</f>
        <v>0</v>
      </c>
      <c r="BH94" s="95"/>
      <c r="BI94" s="95"/>
      <c r="BJ94" s="95"/>
      <c r="BK94" s="95"/>
    </row>
    <row r="95" spans="1:79" s="99" customFormat="1" ht="12.75" customHeight="1" x14ac:dyDescent="0.2">
      <c r="A95" s="89">
        <v>2240</v>
      </c>
      <c r="B95" s="90"/>
      <c r="C95" s="90"/>
      <c r="D95" s="91"/>
      <c r="E95" s="92" t="s">
        <v>183</v>
      </c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4"/>
      <c r="X95" s="96">
        <v>1681933</v>
      </c>
      <c r="Y95" s="97"/>
      <c r="Z95" s="97"/>
      <c r="AA95" s="97"/>
      <c r="AB95" s="98"/>
      <c r="AC95" s="96">
        <v>0</v>
      </c>
      <c r="AD95" s="97"/>
      <c r="AE95" s="97"/>
      <c r="AF95" s="97"/>
      <c r="AG95" s="98"/>
      <c r="AH95" s="96">
        <v>0</v>
      </c>
      <c r="AI95" s="97"/>
      <c r="AJ95" s="97"/>
      <c r="AK95" s="97"/>
      <c r="AL95" s="98"/>
      <c r="AM95" s="96">
        <f>IF(ISNUMBER(X95),X95,0)+IF(ISNUMBER(AC95),AC95,0)</f>
        <v>1681933</v>
      </c>
      <c r="AN95" s="97"/>
      <c r="AO95" s="97"/>
      <c r="AP95" s="97"/>
      <c r="AQ95" s="98"/>
      <c r="AR95" s="96">
        <v>1779485</v>
      </c>
      <c r="AS95" s="97"/>
      <c r="AT95" s="97"/>
      <c r="AU95" s="97"/>
      <c r="AV95" s="98"/>
      <c r="AW95" s="96">
        <v>0</v>
      </c>
      <c r="AX95" s="97"/>
      <c r="AY95" s="97"/>
      <c r="AZ95" s="97"/>
      <c r="BA95" s="98"/>
      <c r="BB95" s="96">
        <v>0</v>
      </c>
      <c r="BC95" s="97"/>
      <c r="BD95" s="97"/>
      <c r="BE95" s="97"/>
      <c r="BF95" s="98"/>
      <c r="BG95" s="95">
        <f>IF(ISNUMBER(AR95),AR95,0)+IF(ISNUMBER(AW95),AW95,0)</f>
        <v>1779485</v>
      </c>
      <c r="BH95" s="95"/>
      <c r="BI95" s="95"/>
      <c r="BJ95" s="95"/>
      <c r="BK95" s="95"/>
    </row>
    <row r="96" spans="1:79" s="99" customFormat="1" ht="12.75" customHeight="1" x14ac:dyDescent="0.2">
      <c r="A96" s="89">
        <v>2250</v>
      </c>
      <c r="B96" s="90"/>
      <c r="C96" s="90"/>
      <c r="D96" s="91"/>
      <c r="E96" s="92" t="s">
        <v>184</v>
      </c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4"/>
      <c r="X96" s="96">
        <v>112350</v>
      </c>
      <c r="Y96" s="97"/>
      <c r="Z96" s="97"/>
      <c r="AA96" s="97"/>
      <c r="AB96" s="98"/>
      <c r="AC96" s="96">
        <v>0</v>
      </c>
      <c r="AD96" s="97"/>
      <c r="AE96" s="97"/>
      <c r="AF96" s="97"/>
      <c r="AG96" s="98"/>
      <c r="AH96" s="96">
        <v>0</v>
      </c>
      <c r="AI96" s="97"/>
      <c r="AJ96" s="97"/>
      <c r="AK96" s="97"/>
      <c r="AL96" s="98"/>
      <c r="AM96" s="96">
        <f>IF(ISNUMBER(X96),X96,0)+IF(ISNUMBER(AC96),AC96,0)</f>
        <v>112350</v>
      </c>
      <c r="AN96" s="97"/>
      <c r="AO96" s="97"/>
      <c r="AP96" s="97"/>
      <c r="AQ96" s="98"/>
      <c r="AR96" s="96">
        <v>118866</v>
      </c>
      <c r="AS96" s="97"/>
      <c r="AT96" s="97"/>
      <c r="AU96" s="97"/>
      <c r="AV96" s="98"/>
      <c r="AW96" s="96">
        <v>0</v>
      </c>
      <c r="AX96" s="97"/>
      <c r="AY96" s="97"/>
      <c r="AZ96" s="97"/>
      <c r="BA96" s="98"/>
      <c r="BB96" s="96">
        <v>0</v>
      </c>
      <c r="BC96" s="97"/>
      <c r="BD96" s="97"/>
      <c r="BE96" s="97"/>
      <c r="BF96" s="98"/>
      <c r="BG96" s="95">
        <f>IF(ISNUMBER(AR96),AR96,0)+IF(ISNUMBER(AW96),AW96,0)</f>
        <v>118866</v>
      </c>
      <c r="BH96" s="95"/>
      <c r="BI96" s="95"/>
      <c r="BJ96" s="95"/>
      <c r="BK96" s="95"/>
    </row>
    <row r="97" spans="1:64" s="99" customFormat="1" ht="12.75" customHeight="1" x14ac:dyDescent="0.2">
      <c r="A97" s="89">
        <v>2271</v>
      </c>
      <c r="B97" s="90"/>
      <c r="C97" s="90"/>
      <c r="D97" s="91"/>
      <c r="E97" s="92" t="s">
        <v>185</v>
      </c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4"/>
      <c r="X97" s="96">
        <v>265853</v>
      </c>
      <c r="Y97" s="97"/>
      <c r="Z97" s="97"/>
      <c r="AA97" s="97"/>
      <c r="AB97" s="98"/>
      <c r="AC97" s="96">
        <v>0</v>
      </c>
      <c r="AD97" s="97"/>
      <c r="AE97" s="97"/>
      <c r="AF97" s="97"/>
      <c r="AG97" s="98"/>
      <c r="AH97" s="96">
        <v>0</v>
      </c>
      <c r="AI97" s="97"/>
      <c r="AJ97" s="97"/>
      <c r="AK97" s="97"/>
      <c r="AL97" s="98"/>
      <c r="AM97" s="96">
        <f>IF(ISNUMBER(X97),X97,0)+IF(ISNUMBER(AC97),AC97,0)</f>
        <v>265853</v>
      </c>
      <c r="AN97" s="97"/>
      <c r="AO97" s="97"/>
      <c r="AP97" s="97"/>
      <c r="AQ97" s="98"/>
      <c r="AR97" s="96">
        <v>284729</v>
      </c>
      <c r="AS97" s="97"/>
      <c r="AT97" s="97"/>
      <c r="AU97" s="97"/>
      <c r="AV97" s="98"/>
      <c r="AW97" s="96">
        <v>0</v>
      </c>
      <c r="AX97" s="97"/>
      <c r="AY97" s="97"/>
      <c r="AZ97" s="97"/>
      <c r="BA97" s="98"/>
      <c r="BB97" s="96">
        <v>0</v>
      </c>
      <c r="BC97" s="97"/>
      <c r="BD97" s="97"/>
      <c r="BE97" s="97"/>
      <c r="BF97" s="98"/>
      <c r="BG97" s="95">
        <f>IF(ISNUMBER(AR97),AR97,0)+IF(ISNUMBER(AW97),AW97,0)</f>
        <v>284729</v>
      </c>
      <c r="BH97" s="95"/>
      <c r="BI97" s="95"/>
      <c r="BJ97" s="95"/>
      <c r="BK97" s="95"/>
    </row>
    <row r="98" spans="1:64" s="99" customFormat="1" ht="12.75" customHeight="1" x14ac:dyDescent="0.2">
      <c r="A98" s="89">
        <v>2272</v>
      </c>
      <c r="B98" s="90"/>
      <c r="C98" s="90"/>
      <c r="D98" s="91"/>
      <c r="E98" s="92" t="s">
        <v>186</v>
      </c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4"/>
      <c r="X98" s="96">
        <v>24978</v>
      </c>
      <c r="Y98" s="97"/>
      <c r="Z98" s="97"/>
      <c r="AA98" s="97"/>
      <c r="AB98" s="98"/>
      <c r="AC98" s="96">
        <v>0</v>
      </c>
      <c r="AD98" s="97"/>
      <c r="AE98" s="97"/>
      <c r="AF98" s="97"/>
      <c r="AG98" s="98"/>
      <c r="AH98" s="96">
        <v>0</v>
      </c>
      <c r="AI98" s="97"/>
      <c r="AJ98" s="97"/>
      <c r="AK98" s="97"/>
      <c r="AL98" s="98"/>
      <c r="AM98" s="96">
        <f>IF(ISNUMBER(X98),X98,0)+IF(ISNUMBER(AC98),AC98,0)</f>
        <v>24978</v>
      </c>
      <c r="AN98" s="97"/>
      <c r="AO98" s="97"/>
      <c r="AP98" s="97"/>
      <c r="AQ98" s="98"/>
      <c r="AR98" s="96">
        <v>26751</v>
      </c>
      <c r="AS98" s="97"/>
      <c r="AT98" s="97"/>
      <c r="AU98" s="97"/>
      <c r="AV98" s="98"/>
      <c r="AW98" s="96">
        <v>0</v>
      </c>
      <c r="AX98" s="97"/>
      <c r="AY98" s="97"/>
      <c r="AZ98" s="97"/>
      <c r="BA98" s="98"/>
      <c r="BB98" s="96">
        <v>0</v>
      </c>
      <c r="BC98" s="97"/>
      <c r="BD98" s="97"/>
      <c r="BE98" s="97"/>
      <c r="BF98" s="98"/>
      <c r="BG98" s="95">
        <f>IF(ISNUMBER(AR98),AR98,0)+IF(ISNUMBER(AW98),AW98,0)</f>
        <v>26751</v>
      </c>
      <c r="BH98" s="95"/>
      <c r="BI98" s="95"/>
      <c r="BJ98" s="95"/>
      <c r="BK98" s="95"/>
    </row>
    <row r="99" spans="1:64" s="99" customFormat="1" ht="12.75" customHeight="1" x14ac:dyDescent="0.2">
      <c r="A99" s="89">
        <v>2273</v>
      </c>
      <c r="B99" s="90"/>
      <c r="C99" s="90"/>
      <c r="D99" s="91"/>
      <c r="E99" s="92" t="s">
        <v>187</v>
      </c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4"/>
      <c r="X99" s="96">
        <v>1882472</v>
      </c>
      <c r="Y99" s="97"/>
      <c r="Z99" s="97"/>
      <c r="AA99" s="97"/>
      <c r="AB99" s="98"/>
      <c r="AC99" s="96">
        <v>0</v>
      </c>
      <c r="AD99" s="97"/>
      <c r="AE99" s="97"/>
      <c r="AF99" s="97"/>
      <c r="AG99" s="98"/>
      <c r="AH99" s="96">
        <v>0</v>
      </c>
      <c r="AI99" s="97"/>
      <c r="AJ99" s="97"/>
      <c r="AK99" s="97"/>
      <c r="AL99" s="98"/>
      <c r="AM99" s="96">
        <f>IF(ISNUMBER(X99),X99,0)+IF(ISNUMBER(AC99),AC99,0)</f>
        <v>1882472</v>
      </c>
      <c r="AN99" s="97"/>
      <c r="AO99" s="97"/>
      <c r="AP99" s="97"/>
      <c r="AQ99" s="98"/>
      <c r="AR99" s="96">
        <v>2016128</v>
      </c>
      <c r="AS99" s="97"/>
      <c r="AT99" s="97"/>
      <c r="AU99" s="97"/>
      <c r="AV99" s="98"/>
      <c r="AW99" s="96">
        <v>0</v>
      </c>
      <c r="AX99" s="97"/>
      <c r="AY99" s="97"/>
      <c r="AZ99" s="97"/>
      <c r="BA99" s="98"/>
      <c r="BB99" s="96">
        <v>0</v>
      </c>
      <c r="BC99" s="97"/>
      <c r="BD99" s="97"/>
      <c r="BE99" s="97"/>
      <c r="BF99" s="98"/>
      <c r="BG99" s="95">
        <f>IF(ISNUMBER(AR99),AR99,0)+IF(ISNUMBER(AW99),AW99,0)</f>
        <v>2016128</v>
      </c>
      <c r="BH99" s="95"/>
      <c r="BI99" s="95"/>
      <c r="BJ99" s="95"/>
      <c r="BK99" s="95"/>
    </row>
    <row r="100" spans="1:64" s="99" customFormat="1" ht="12.75" customHeight="1" x14ac:dyDescent="0.2">
      <c r="A100" s="89">
        <v>2274</v>
      </c>
      <c r="B100" s="90"/>
      <c r="C100" s="90"/>
      <c r="D100" s="91"/>
      <c r="E100" s="92" t="s">
        <v>188</v>
      </c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4"/>
      <c r="X100" s="96">
        <v>181218</v>
      </c>
      <c r="Y100" s="97"/>
      <c r="Z100" s="97"/>
      <c r="AA100" s="97"/>
      <c r="AB100" s="98"/>
      <c r="AC100" s="96">
        <v>0</v>
      </c>
      <c r="AD100" s="97"/>
      <c r="AE100" s="97"/>
      <c r="AF100" s="97"/>
      <c r="AG100" s="98"/>
      <c r="AH100" s="96">
        <v>0</v>
      </c>
      <c r="AI100" s="97"/>
      <c r="AJ100" s="97"/>
      <c r="AK100" s="97"/>
      <c r="AL100" s="98"/>
      <c r="AM100" s="96">
        <f>IF(ISNUMBER(X100),X100,0)+IF(ISNUMBER(AC100),AC100,0)</f>
        <v>181218</v>
      </c>
      <c r="AN100" s="97"/>
      <c r="AO100" s="97"/>
      <c r="AP100" s="97"/>
      <c r="AQ100" s="98"/>
      <c r="AR100" s="96">
        <v>194084</v>
      </c>
      <c r="AS100" s="97"/>
      <c r="AT100" s="97"/>
      <c r="AU100" s="97"/>
      <c r="AV100" s="98"/>
      <c r="AW100" s="96">
        <v>0</v>
      </c>
      <c r="AX100" s="97"/>
      <c r="AY100" s="97"/>
      <c r="AZ100" s="97"/>
      <c r="BA100" s="98"/>
      <c r="BB100" s="96">
        <v>0</v>
      </c>
      <c r="BC100" s="97"/>
      <c r="BD100" s="97"/>
      <c r="BE100" s="97"/>
      <c r="BF100" s="98"/>
      <c r="BG100" s="95">
        <f>IF(ISNUMBER(AR100),AR100,0)+IF(ISNUMBER(AW100),AW100,0)</f>
        <v>194084</v>
      </c>
      <c r="BH100" s="95"/>
      <c r="BI100" s="95"/>
      <c r="BJ100" s="95"/>
      <c r="BK100" s="95"/>
    </row>
    <row r="101" spans="1:64" s="99" customFormat="1" ht="12.75" customHeight="1" x14ac:dyDescent="0.2">
      <c r="A101" s="89">
        <v>2275</v>
      </c>
      <c r="B101" s="90"/>
      <c r="C101" s="90"/>
      <c r="D101" s="91"/>
      <c r="E101" s="92" t="s">
        <v>189</v>
      </c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4"/>
      <c r="X101" s="96">
        <v>38050</v>
      </c>
      <c r="Y101" s="97"/>
      <c r="Z101" s="97"/>
      <c r="AA101" s="97"/>
      <c r="AB101" s="98"/>
      <c r="AC101" s="96">
        <v>0</v>
      </c>
      <c r="AD101" s="97"/>
      <c r="AE101" s="97"/>
      <c r="AF101" s="97"/>
      <c r="AG101" s="98"/>
      <c r="AH101" s="96">
        <v>0</v>
      </c>
      <c r="AI101" s="97"/>
      <c r="AJ101" s="97"/>
      <c r="AK101" s="97"/>
      <c r="AL101" s="98"/>
      <c r="AM101" s="96">
        <f>IF(ISNUMBER(X101),X101,0)+IF(ISNUMBER(AC101),AC101,0)</f>
        <v>38050</v>
      </c>
      <c r="AN101" s="97"/>
      <c r="AO101" s="97"/>
      <c r="AP101" s="97"/>
      <c r="AQ101" s="98"/>
      <c r="AR101" s="96">
        <v>40752</v>
      </c>
      <c r="AS101" s="97"/>
      <c r="AT101" s="97"/>
      <c r="AU101" s="97"/>
      <c r="AV101" s="98"/>
      <c r="AW101" s="96">
        <v>0</v>
      </c>
      <c r="AX101" s="97"/>
      <c r="AY101" s="97"/>
      <c r="AZ101" s="97"/>
      <c r="BA101" s="98"/>
      <c r="BB101" s="96">
        <v>0</v>
      </c>
      <c r="BC101" s="97"/>
      <c r="BD101" s="97"/>
      <c r="BE101" s="97"/>
      <c r="BF101" s="98"/>
      <c r="BG101" s="95">
        <f>IF(ISNUMBER(AR101),AR101,0)+IF(ISNUMBER(AW101),AW101,0)</f>
        <v>40752</v>
      </c>
      <c r="BH101" s="95"/>
      <c r="BI101" s="95"/>
      <c r="BJ101" s="95"/>
      <c r="BK101" s="95"/>
    </row>
    <row r="102" spans="1:64" s="99" customFormat="1" ht="25.5" customHeight="1" x14ac:dyDescent="0.2">
      <c r="A102" s="89">
        <v>2281</v>
      </c>
      <c r="B102" s="90"/>
      <c r="C102" s="90"/>
      <c r="D102" s="91"/>
      <c r="E102" s="92" t="s">
        <v>190</v>
      </c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4"/>
      <c r="X102" s="96">
        <v>17120</v>
      </c>
      <c r="Y102" s="97"/>
      <c r="Z102" s="97"/>
      <c r="AA102" s="97"/>
      <c r="AB102" s="98"/>
      <c r="AC102" s="96">
        <v>0</v>
      </c>
      <c r="AD102" s="97"/>
      <c r="AE102" s="97"/>
      <c r="AF102" s="97"/>
      <c r="AG102" s="98"/>
      <c r="AH102" s="96">
        <v>0</v>
      </c>
      <c r="AI102" s="97"/>
      <c r="AJ102" s="97"/>
      <c r="AK102" s="97"/>
      <c r="AL102" s="98"/>
      <c r="AM102" s="96">
        <f>IF(ISNUMBER(X102),X102,0)+IF(ISNUMBER(AC102),AC102,0)</f>
        <v>17120</v>
      </c>
      <c r="AN102" s="97"/>
      <c r="AO102" s="97"/>
      <c r="AP102" s="97"/>
      <c r="AQ102" s="98"/>
      <c r="AR102" s="96">
        <v>18113</v>
      </c>
      <c r="AS102" s="97"/>
      <c r="AT102" s="97"/>
      <c r="AU102" s="97"/>
      <c r="AV102" s="98"/>
      <c r="AW102" s="96">
        <v>0</v>
      </c>
      <c r="AX102" s="97"/>
      <c r="AY102" s="97"/>
      <c r="AZ102" s="97"/>
      <c r="BA102" s="98"/>
      <c r="BB102" s="96">
        <v>0</v>
      </c>
      <c r="BC102" s="97"/>
      <c r="BD102" s="97"/>
      <c r="BE102" s="97"/>
      <c r="BF102" s="98"/>
      <c r="BG102" s="95">
        <f>IF(ISNUMBER(AR102),AR102,0)+IF(ISNUMBER(AW102),AW102,0)</f>
        <v>18113</v>
      </c>
      <c r="BH102" s="95"/>
      <c r="BI102" s="95"/>
      <c r="BJ102" s="95"/>
      <c r="BK102" s="95"/>
    </row>
    <row r="103" spans="1:64" s="99" customFormat="1" ht="25.5" customHeight="1" x14ac:dyDescent="0.2">
      <c r="A103" s="89">
        <v>2282</v>
      </c>
      <c r="B103" s="90"/>
      <c r="C103" s="90"/>
      <c r="D103" s="91"/>
      <c r="E103" s="92" t="s">
        <v>191</v>
      </c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4"/>
      <c r="X103" s="96">
        <v>69550</v>
      </c>
      <c r="Y103" s="97"/>
      <c r="Z103" s="97"/>
      <c r="AA103" s="97"/>
      <c r="AB103" s="98"/>
      <c r="AC103" s="96">
        <v>0</v>
      </c>
      <c r="AD103" s="97"/>
      <c r="AE103" s="97"/>
      <c r="AF103" s="97"/>
      <c r="AG103" s="98"/>
      <c r="AH103" s="96">
        <v>0</v>
      </c>
      <c r="AI103" s="97"/>
      <c r="AJ103" s="97"/>
      <c r="AK103" s="97"/>
      <c r="AL103" s="98"/>
      <c r="AM103" s="96">
        <f>IF(ISNUMBER(X103),X103,0)+IF(ISNUMBER(AC103),AC103,0)</f>
        <v>69550</v>
      </c>
      <c r="AN103" s="97"/>
      <c r="AO103" s="97"/>
      <c r="AP103" s="97"/>
      <c r="AQ103" s="98"/>
      <c r="AR103" s="96">
        <v>73584</v>
      </c>
      <c r="AS103" s="97"/>
      <c r="AT103" s="97"/>
      <c r="AU103" s="97"/>
      <c r="AV103" s="98"/>
      <c r="AW103" s="96">
        <v>0</v>
      </c>
      <c r="AX103" s="97"/>
      <c r="AY103" s="97"/>
      <c r="AZ103" s="97"/>
      <c r="BA103" s="98"/>
      <c r="BB103" s="96">
        <v>0</v>
      </c>
      <c r="BC103" s="97"/>
      <c r="BD103" s="97"/>
      <c r="BE103" s="97"/>
      <c r="BF103" s="98"/>
      <c r="BG103" s="95">
        <f>IF(ISNUMBER(AR103),AR103,0)+IF(ISNUMBER(AW103),AW103,0)</f>
        <v>73584</v>
      </c>
      <c r="BH103" s="95"/>
      <c r="BI103" s="95"/>
      <c r="BJ103" s="95"/>
      <c r="BK103" s="95"/>
    </row>
    <row r="104" spans="1:64" s="99" customFormat="1" ht="12.75" customHeight="1" x14ac:dyDescent="0.2">
      <c r="A104" s="89">
        <v>2800</v>
      </c>
      <c r="B104" s="90"/>
      <c r="C104" s="90"/>
      <c r="D104" s="91"/>
      <c r="E104" s="92" t="s">
        <v>192</v>
      </c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4"/>
      <c r="X104" s="96">
        <v>53500</v>
      </c>
      <c r="Y104" s="97"/>
      <c r="Z104" s="97"/>
      <c r="AA104" s="97"/>
      <c r="AB104" s="98"/>
      <c r="AC104" s="96">
        <v>0</v>
      </c>
      <c r="AD104" s="97"/>
      <c r="AE104" s="97"/>
      <c r="AF104" s="97"/>
      <c r="AG104" s="98"/>
      <c r="AH104" s="96">
        <v>0</v>
      </c>
      <c r="AI104" s="97"/>
      <c r="AJ104" s="97"/>
      <c r="AK104" s="97"/>
      <c r="AL104" s="98"/>
      <c r="AM104" s="96">
        <f>IF(ISNUMBER(X104),X104,0)+IF(ISNUMBER(AC104),AC104,0)</f>
        <v>53500</v>
      </c>
      <c r="AN104" s="97"/>
      <c r="AO104" s="97"/>
      <c r="AP104" s="97"/>
      <c r="AQ104" s="98"/>
      <c r="AR104" s="96">
        <v>56603</v>
      </c>
      <c r="AS104" s="97"/>
      <c r="AT104" s="97"/>
      <c r="AU104" s="97"/>
      <c r="AV104" s="98"/>
      <c r="AW104" s="96">
        <v>0</v>
      </c>
      <c r="AX104" s="97"/>
      <c r="AY104" s="97"/>
      <c r="AZ104" s="97"/>
      <c r="BA104" s="98"/>
      <c r="BB104" s="96">
        <v>0</v>
      </c>
      <c r="BC104" s="97"/>
      <c r="BD104" s="97"/>
      <c r="BE104" s="97"/>
      <c r="BF104" s="98"/>
      <c r="BG104" s="95">
        <f>IF(ISNUMBER(AR104),AR104,0)+IF(ISNUMBER(AW104),AW104,0)</f>
        <v>56603</v>
      </c>
      <c r="BH104" s="95"/>
      <c r="BI104" s="95"/>
      <c r="BJ104" s="95"/>
      <c r="BK104" s="95"/>
    </row>
    <row r="105" spans="1:64" s="99" customFormat="1" ht="25.5" customHeight="1" x14ac:dyDescent="0.2">
      <c r="A105" s="89">
        <v>3110</v>
      </c>
      <c r="B105" s="90"/>
      <c r="C105" s="90"/>
      <c r="D105" s="91"/>
      <c r="E105" s="92" t="s">
        <v>193</v>
      </c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4"/>
      <c r="X105" s="96">
        <v>0</v>
      </c>
      <c r="Y105" s="97"/>
      <c r="Z105" s="97"/>
      <c r="AA105" s="97"/>
      <c r="AB105" s="98"/>
      <c r="AC105" s="96">
        <v>0</v>
      </c>
      <c r="AD105" s="97"/>
      <c r="AE105" s="97"/>
      <c r="AF105" s="97"/>
      <c r="AG105" s="98"/>
      <c r="AH105" s="96">
        <v>0</v>
      </c>
      <c r="AI105" s="97"/>
      <c r="AJ105" s="97"/>
      <c r="AK105" s="97"/>
      <c r="AL105" s="98"/>
      <c r="AM105" s="96">
        <f>IF(ISNUMBER(X105),X105,0)+IF(ISNUMBER(AC105),AC105,0)</f>
        <v>0</v>
      </c>
      <c r="AN105" s="97"/>
      <c r="AO105" s="97"/>
      <c r="AP105" s="97"/>
      <c r="AQ105" s="98"/>
      <c r="AR105" s="96">
        <v>0</v>
      </c>
      <c r="AS105" s="97"/>
      <c r="AT105" s="97"/>
      <c r="AU105" s="97"/>
      <c r="AV105" s="98"/>
      <c r="AW105" s="96">
        <v>0</v>
      </c>
      <c r="AX105" s="97"/>
      <c r="AY105" s="97"/>
      <c r="AZ105" s="97"/>
      <c r="BA105" s="98"/>
      <c r="BB105" s="96">
        <v>0</v>
      </c>
      <c r="BC105" s="97"/>
      <c r="BD105" s="97"/>
      <c r="BE105" s="97"/>
      <c r="BF105" s="98"/>
      <c r="BG105" s="95">
        <f>IF(ISNUMBER(AR105),AR105,0)+IF(ISNUMBER(AW105),AW105,0)</f>
        <v>0</v>
      </c>
      <c r="BH105" s="95"/>
      <c r="BI105" s="95"/>
      <c r="BJ105" s="95"/>
      <c r="BK105" s="95"/>
    </row>
    <row r="106" spans="1:64" s="6" customFormat="1" ht="12.75" customHeight="1" x14ac:dyDescent="0.2">
      <c r="A106" s="86"/>
      <c r="B106" s="87"/>
      <c r="C106" s="87"/>
      <c r="D106" s="88"/>
      <c r="E106" s="100" t="s">
        <v>147</v>
      </c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2"/>
      <c r="X106" s="104">
        <v>38568150</v>
      </c>
      <c r="Y106" s="105"/>
      <c r="Z106" s="105"/>
      <c r="AA106" s="105"/>
      <c r="AB106" s="106"/>
      <c r="AC106" s="104">
        <v>0</v>
      </c>
      <c r="AD106" s="105"/>
      <c r="AE106" s="105"/>
      <c r="AF106" s="105"/>
      <c r="AG106" s="106"/>
      <c r="AH106" s="104">
        <v>0</v>
      </c>
      <c r="AI106" s="105"/>
      <c r="AJ106" s="105"/>
      <c r="AK106" s="105"/>
      <c r="AL106" s="106"/>
      <c r="AM106" s="104">
        <f>IF(ISNUMBER(X106),X106,0)+IF(ISNUMBER(AC106),AC106,0)</f>
        <v>38568150</v>
      </c>
      <c r="AN106" s="105"/>
      <c r="AO106" s="105"/>
      <c r="AP106" s="105"/>
      <c r="AQ106" s="106"/>
      <c r="AR106" s="104">
        <v>41226802</v>
      </c>
      <c r="AS106" s="105"/>
      <c r="AT106" s="105"/>
      <c r="AU106" s="105"/>
      <c r="AV106" s="106"/>
      <c r="AW106" s="104">
        <v>0</v>
      </c>
      <c r="AX106" s="105"/>
      <c r="AY106" s="105"/>
      <c r="AZ106" s="105"/>
      <c r="BA106" s="106"/>
      <c r="BB106" s="104">
        <v>0</v>
      </c>
      <c r="BC106" s="105"/>
      <c r="BD106" s="105"/>
      <c r="BE106" s="105"/>
      <c r="BF106" s="106"/>
      <c r="BG106" s="103">
        <f>IF(ISNUMBER(AR106),AR106,0)+IF(ISNUMBER(AW106),AW106,0)</f>
        <v>41226802</v>
      </c>
      <c r="BH106" s="103"/>
      <c r="BI106" s="103"/>
      <c r="BJ106" s="103"/>
      <c r="BK106" s="103"/>
    </row>
    <row r="108" spans="1:64" ht="14.25" customHeight="1" x14ac:dyDescent="0.2">
      <c r="A108" s="29" t="s">
        <v>333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</row>
    <row r="109" spans="1:64" ht="15" customHeight="1" x14ac:dyDescent="0.2">
      <c r="A109" s="44" t="s">
        <v>304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</row>
    <row r="110" spans="1:64" ht="23.1" customHeight="1" x14ac:dyDescent="0.2">
      <c r="A110" s="61" t="s">
        <v>119</v>
      </c>
      <c r="B110" s="62"/>
      <c r="C110" s="62"/>
      <c r="D110" s="62"/>
      <c r="E110" s="63"/>
      <c r="F110" s="51" t="s">
        <v>19</v>
      </c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3"/>
      <c r="X110" s="27" t="s">
        <v>326</v>
      </c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36" t="s">
        <v>331</v>
      </c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8"/>
    </row>
    <row r="111" spans="1:64" ht="53.25" customHeight="1" x14ac:dyDescent="0.2">
      <c r="A111" s="64"/>
      <c r="B111" s="65"/>
      <c r="C111" s="65"/>
      <c r="D111" s="65"/>
      <c r="E111" s="66"/>
      <c r="F111" s="54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6"/>
      <c r="X111" s="36" t="s">
        <v>4</v>
      </c>
      <c r="Y111" s="37"/>
      <c r="Z111" s="37"/>
      <c r="AA111" s="37"/>
      <c r="AB111" s="38"/>
      <c r="AC111" s="36" t="s">
        <v>3</v>
      </c>
      <c r="AD111" s="37"/>
      <c r="AE111" s="37"/>
      <c r="AF111" s="37"/>
      <c r="AG111" s="38"/>
      <c r="AH111" s="57" t="s">
        <v>116</v>
      </c>
      <c r="AI111" s="58"/>
      <c r="AJ111" s="58"/>
      <c r="AK111" s="58"/>
      <c r="AL111" s="59"/>
      <c r="AM111" s="36" t="s">
        <v>5</v>
      </c>
      <c r="AN111" s="37"/>
      <c r="AO111" s="37"/>
      <c r="AP111" s="37"/>
      <c r="AQ111" s="38"/>
      <c r="AR111" s="36" t="s">
        <v>4</v>
      </c>
      <c r="AS111" s="37"/>
      <c r="AT111" s="37"/>
      <c r="AU111" s="37"/>
      <c r="AV111" s="38"/>
      <c r="AW111" s="36" t="s">
        <v>3</v>
      </c>
      <c r="AX111" s="37"/>
      <c r="AY111" s="37"/>
      <c r="AZ111" s="37"/>
      <c r="BA111" s="38"/>
      <c r="BB111" s="74" t="s">
        <v>116</v>
      </c>
      <c r="BC111" s="74"/>
      <c r="BD111" s="74"/>
      <c r="BE111" s="74"/>
      <c r="BF111" s="74"/>
      <c r="BG111" s="36" t="s">
        <v>96</v>
      </c>
      <c r="BH111" s="37"/>
      <c r="BI111" s="37"/>
      <c r="BJ111" s="37"/>
      <c r="BK111" s="38"/>
    </row>
    <row r="112" spans="1:64" ht="15" customHeight="1" x14ac:dyDescent="0.2">
      <c r="A112" s="36">
        <v>1</v>
      </c>
      <c r="B112" s="37"/>
      <c r="C112" s="37"/>
      <c r="D112" s="37"/>
      <c r="E112" s="38"/>
      <c r="F112" s="36">
        <v>2</v>
      </c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8"/>
      <c r="X112" s="36">
        <v>3</v>
      </c>
      <c r="Y112" s="37"/>
      <c r="Z112" s="37"/>
      <c r="AA112" s="37"/>
      <c r="AB112" s="38"/>
      <c r="AC112" s="36">
        <v>4</v>
      </c>
      <c r="AD112" s="37"/>
      <c r="AE112" s="37"/>
      <c r="AF112" s="37"/>
      <c r="AG112" s="38"/>
      <c r="AH112" s="36">
        <v>5</v>
      </c>
      <c r="AI112" s="37"/>
      <c r="AJ112" s="37"/>
      <c r="AK112" s="37"/>
      <c r="AL112" s="38"/>
      <c r="AM112" s="36">
        <v>6</v>
      </c>
      <c r="AN112" s="37"/>
      <c r="AO112" s="37"/>
      <c r="AP112" s="37"/>
      <c r="AQ112" s="38"/>
      <c r="AR112" s="36">
        <v>7</v>
      </c>
      <c r="AS112" s="37"/>
      <c r="AT112" s="37"/>
      <c r="AU112" s="37"/>
      <c r="AV112" s="38"/>
      <c r="AW112" s="36">
        <v>8</v>
      </c>
      <c r="AX112" s="37"/>
      <c r="AY112" s="37"/>
      <c r="AZ112" s="37"/>
      <c r="BA112" s="38"/>
      <c r="BB112" s="36">
        <v>9</v>
      </c>
      <c r="BC112" s="37"/>
      <c r="BD112" s="37"/>
      <c r="BE112" s="37"/>
      <c r="BF112" s="38"/>
      <c r="BG112" s="36">
        <v>10</v>
      </c>
      <c r="BH112" s="37"/>
      <c r="BI112" s="37"/>
      <c r="BJ112" s="37"/>
      <c r="BK112" s="38"/>
    </row>
    <row r="113" spans="1:79" s="1" customFormat="1" ht="15" hidden="1" customHeight="1" x14ac:dyDescent="0.2">
      <c r="A113" s="39" t="s">
        <v>64</v>
      </c>
      <c r="B113" s="40"/>
      <c r="C113" s="40"/>
      <c r="D113" s="40"/>
      <c r="E113" s="41"/>
      <c r="F113" s="39" t="s">
        <v>57</v>
      </c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1"/>
      <c r="X113" s="39" t="s">
        <v>60</v>
      </c>
      <c r="Y113" s="40"/>
      <c r="Z113" s="40"/>
      <c r="AA113" s="40"/>
      <c r="AB113" s="41"/>
      <c r="AC113" s="39" t="s">
        <v>61</v>
      </c>
      <c r="AD113" s="40"/>
      <c r="AE113" s="40"/>
      <c r="AF113" s="40"/>
      <c r="AG113" s="41"/>
      <c r="AH113" s="39" t="s">
        <v>94</v>
      </c>
      <c r="AI113" s="40"/>
      <c r="AJ113" s="40"/>
      <c r="AK113" s="40"/>
      <c r="AL113" s="41"/>
      <c r="AM113" s="47" t="s">
        <v>170</v>
      </c>
      <c r="AN113" s="48"/>
      <c r="AO113" s="48"/>
      <c r="AP113" s="48"/>
      <c r="AQ113" s="49"/>
      <c r="AR113" s="39" t="s">
        <v>62</v>
      </c>
      <c r="AS113" s="40"/>
      <c r="AT113" s="40"/>
      <c r="AU113" s="40"/>
      <c r="AV113" s="41"/>
      <c r="AW113" s="39" t="s">
        <v>63</v>
      </c>
      <c r="AX113" s="40"/>
      <c r="AY113" s="40"/>
      <c r="AZ113" s="40"/>
      <c r="BA113" s="41"/>
      <c r="BB113" s="39" t="s">
        <v>95</v>
      </c>
      <c r="BC113" s="40"/>
      <c r="BD113" s="40"/>
      <c r="BE113" s="40"/>
      <c r="BF113" s="41"/>
      <c r="BG113" s="47" t="s">
        <v>170</v>
      </c>
      <c r="BH113" s="48"/>
      <c r="BI113" s="48"/>
      <c r="BJ113" s="48"/>
      <c r="BK113" s="49"/>
      <c r="CA113" t="s">
        <v>31</v>
      </c>
    </row>
    <row r="114" spans="1:79" s="6" customFormat="1" ht="12.75" customHeight="1" x14ac:dyDescent="0.2">
      <c r="A114" s="86"/>
      <c r="B114" s="87"/>
      <c r="C114" s="87"/>
      <c r="D114" s="87"/>
      <c r="E114" s="88"/>
      <c r="F114" s="86" t="s">
        <v>147</v>
      </c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8"/>
      <c r="X114" s="107"/>
      <c r="Y114" s="108"/>
      <c r="Z114" s="108"/>
      <c r="AA114" s="108"/>
      <c r="AB114" s="109"/>
      <c r="AC114" s="107"/>
      <c r="AD114" s="108"/>
      <c r="AE114" s="108"/>
      <c r="AF114" s="108"/>
      <c r="AG114" s="109"/>
      <c r="AH114" s="103"/>
      <c r="AI114" s="103"/>
      <c r="AJ114" s="103"/>
      <c r="AK114" s="103"/>
      <c r="AL114" s="103"/>
      <c r="AM114" s="103">
        <f>IF(ISNUMBER(X114),X114,0)+IF(ISNUMBER(AC114),AC114,0)</f>
        <v>0</v>
      </c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>
        <f>IF(ISNUMBER(AR114),AR114,0)+IF(ISNUMBER(AW114),AW114,0)</f>
        <v>0</v>
      </c>
      <c r="BH114" s="103"/>
      <c r="BI114" s="103"/>
      <c r="BJ114" s="103"/>
      <c r="BK114" s="103"/>
      <c r="CA114" s="6" t="s">
        <v>32</v>
      </c>
    </row>
    <row r="117" spans="1:79" ht="14.25" customHeight="1" x14ac:dyDescent="0.2">
      <c r="A117" s="29" t="s">
        <v>120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</row>
    <row r="118" spans="1:79" ht="14.25" customHeight="1" x14ac:dyDescent="0.2">
      <c r="A118" s="29" t="s">
        <v>319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</row>
    <row r="119" spans="1:79" ht="15" customHeight="1" x14ac:dyDescent="0.2">
      <c r="A119" s="44" t="s">
        <v>304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</row>
    <row r="120" spans="1:79" ht="23.1" customHeight="1" x14ac:dyDescent="0.2">
      <c r="A120" s="51" t="s">
        <v>6</v>
      </c>
      <c r="B120" s="52"/>
      <c r="C120" s="52"/>
      <c r="D120" s="51" t="s">
        <v>121</v>
      </c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3"/>
      <c r="U120" s="36" t="s">
        <v>305</v>
      </c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8"/>
      <c r="AN120" s="36" t="s">
        <v>308</v>
      </c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8"/>
      <c r="BG120" s="27" t="s">
        <v>316</v>
      </c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</row>
    <row r="121" spans="1:79" ht="52.5" customHeight="1" x14ac:dyDescent="0.2">
      <c r="A121" s="54"/>
      <c r="B121" s="55"/>
      <c r="C121" s="55"/>
      <c r="D121" s="54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6"/>
      <c r="U121" s="36" t="s">
        <v>4</v>
      </c>
      <c r="V121" s="37"/>
      <c r="W121" s="37"/>
      <c r="X121" s="37"/>
      <c r="Y121" s="38"/>
      <c r="Z121" s="36" t="s">
        <v>3</v>
      </c>
      <c r="AA121" s="37"/>
      <c r="AB121" s="37"/>
      <c r="AC121" s="37"/>
      <c r="AD121" s="38"/>
      <c r="AE121" s="57" t="s">
        <v>116</v>
      </c>
      <c r="AF121" s="58"/>
      <c r="AG121" s="58"/>
      <c r="AH121" s="59"/>
      <c r="AI121" s="36" t="s">
        <v>5</v>
      </c>
      <c r="AJ121" s="37"/>
      <c r="AK121" s="37"/>
      <c r="AL121" s="37"/>
      <c r="AM121" s="38"/>
      <c r="AN121" s="36" t="s">
        <v>4</v>
      </c>
      <c r="AO121" s="37"/>
      <c r="AP121" s="37"/>
      <c r="AQ121" s="37"/>
      <c r="AR121" s="38"/>
      <c r="AS121" s="36" t="s">
        <v>3</v>
      </c>
      <c r="AT121" s="37"/>
      <c r="AU121" s="37"/>
      <c r="AV121" s="37"/>
      <c r="AW121" s="38"/>
      <c r="AX121" s="57" t="s">
        <v>116</v>
      </c>
      <c r="AY121" s="58"/>
      <c r="AZ121" s="58"/>
      <c r="BA121" s="59"/>
      <c r="BB121" s="36" t="s">
        <v>96</v>
      </c>
      <c r="BC121" s="37"/>
      <c r="BD121" s="37"/>
      <c r="BE121" s="37"/>
      <c r="BF121" s="38"/>
      <c r="BG121" s="36" t="s">
        <v>4</v>
      </c>
      <c r="BH121" s="37"/>
      <c r="BI121" s="37"/>
      <c r="BJ121" s="37"/>
      <c r="BK121" s="38"/>
      <c r="BL121" s="27" t="s">
        <v>3</v>
      </c>
      <c r="BM121" s="27"/>
      <c r="BN121" s="27"/>
      <c r="BO121" s="27"/>
      <c r="BP121" s="27"/>
      <c r="BQ121" s="74" t="s">
        <v>116</v>
      </c>
      <c r="BR121" s="74"/>
      <c r="BS121" s="74"/>
      <c r="BT121" s="74"/>
      <c r="BU121" s="36" t="s">
        <v>97</v>
      </c>
      <c r="BV121" s="37"/>
      <c r="BW121" s="37"/>
      <c r="BX121" s="37"/>
      <c r="BY121" s="38"/>
    </row>
    <row r="122" spans="1:79" ht="15" customHeight="1" x14ac:dyDescent="0.2">
      <c r="A122" s="36">
        <v>1</v>
      </c>
      <c r="B122" s="37"/>
      <c r="C122" s="37"/>
      <c r="D122" s="36">
        <v>2</v>
      </c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8"/>
      <c r="U122" s="36">
        <v>3</v>
      </c>
      <c r="V122" s="37"/>
      <c r="W122" s="37"/>
      <c r="X122" s="37"/>
      <c r="Y122" s="38"/>
      <c r="Z122" s="36">
        <v>4</v>
      </c>
      <c r="AA122" s="37"/>
      <c r="AB122" s="37"/>
      <c r="AC122" s="37"/>
      <c r="AD122" s="38"/>
      <c r="AE122" s="36">
        <v>5</v>
      </c>
      <c r="AF122" s="37"/>
      <c r="AG122" s="37"/>
      <c r="AH122" s="38"/>
      <c r="AI122" s="36">
        <v>6</v>
      </c>
      <c r="AJ122" s="37"/>
      <c r="AK122" s="37"/>
      <c r="AL122" s="37"/>
      <c r="AM122" s="38"/>
      <c r="AN122" s="36">
        <v>7</v>
      </c>
      <c r="AO122" s="37"/>
      <c r="AP122" s="37"/>
      <c r="AQ122" s="37"/>
      <c r="AR122" s="38"/>
      <c r="AS122" s="36">
        <v>8</v>
      </c>
      <c r="AT122" s="37"/>
      <c r="AU122" s="37"/>
      <c r="AV122" s="37"/>
      <c r="AW122" s="38"/>
      <c r="AX122" s="27">
        <v>9</v>
      </c>
      <c r="AY122" s="27"/>
      <c r="AZ122" s="27"/>
      <c r="BA122" s="27"/>
      <c r="BB122" s="36">
        <v>10</v>
      </c>
      <c r="BC122" s="37"/>
      <c r="BD122" s="37"/>
      <c r="BE122" s="37"/>
      <c r="BF122" s="38"/>
      <c r="BG122" s="36">
        <v>11</v>
      </c>
      <c r="BH122" s="37"/>
      <c r="BI122" s="37"/>
      <c r="BJ122" s="37"/>
      <c r="BK122" s="38"/>
      <c r="BL122" s="27">
        <v>12</v>
      </c>
      <c r="BM122" s="27"/>
      <c r="BN122" s="27"/>
      <c r="BO122" s="27"/>
      <c r="BP122" s="27"/>
      <c r="BQ122" s="36">
        <v>13</v>
      </c>
      <c r="BR122" s="37"/>
      <c r="BS122" s="37"/>
      <c r="BT122" s="38"/>
      <c r="BU122" s="36">
        <v>14</v>
      </c>
      <c r="BV122" s="37"/>
      <c r="BW122" s="37"/>
      <c r="BX122" s="37"/>
      <c r="BY122" s="38"/>
    </row>
    <row r="123" spans="1:79" s="1" customFormat="1" ht="14.25" hidden="1" customHeight="1" x14ac:dyDescent="0.2">
      <c r="A123" s="39" t="s">
        <v>69</v>
      </c>
      <c r="B123" s="40"/>
      <c r="C123" s="40"/>
      <c r="D123" s="39" t="s">
        <v>57</v>
      </c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1"/>
      <c r="U123" s="26" t="s">
        <v>65</v>
      </c>
      <c r="V123" s="26"/>
      <c r="W123" s="26"/>
      <c r="X123" s="26"/>
      <c r="Y123" s="26"/>
      <c r="Z123" s="26" t="s">
        <v>66</v>
      </c>
      <c r="AA123" s="26"/>
      <c r="AB123" s="26"/>
      <c r="AC123" s="26"/>
      <c r="AD123" s="26"/>
      <c r="AE123" s="26" t="s">
        <v>91</v>
      </c>
      <c r="AF123" s="26"/>
      <c r="AG123" s="26"/>
      <c r="AH123" s="26"/>
      <c r="AI123" s="50" t="s">
        <v>169</v>
      </c>
      <c r="AJ123" s="50"/>
      <c r="AK123" s="50"/>
      <c r="AL123" s="50"/>
      <c r="AM123" s="50"/>
      <c r="AN123" s="26" t="s">
        <v>67</v>
      </c>
      <c r="AO123" s="26"/>
      <c r="AP123" s="26"/>
      <c r="AQ123" s="26"/>
      <c r="AR123" s="26"/>
      <c r="AS123" s="26" t="s">
        <v>68</v>
      </c>
      <c r="AT123" s="26"/>
      <c r="AU123" s="26"/>
      <c r="AV123" s="26"/>
      <c r="AW123" s="26"/>
      <c r="AX123" s="26" t="s">
        <v>92</v>
      </c>
      <c r="AY123" s="26"/>
      <c r="AZ123" s="26"/>
      <c r="BA123" s="26"/>
      <c r="BB123" s="50" t="s">
        <v>169</v>
      </c>
      <c r="BC123" s="50"/>
      <c r="BD123" s="50"/>
      <c r="BE123" s="50"/>
      <c r="BF123" s="50"/>
      <c r="BG123" s="26" t="s">
        <v>58</v>
      </c>
      <c r="BH123" s="26"/>
      <c r="BI123" s="26"/>
      <c r="BJ123" s="26"/>
      <c r="BK123" s="26"/>
      <c r="BL123" s="26" t="s">
        <v>59</v>
      </c>
      <c r="BM123" s="26"/>
      <c r="BN123" s="26"/>
      <c r="BO123" s="26"/>
      <c r="BP123" s="26"/>
      <c r="BQ123" s="26" t="s">
        <v>93</v>
      </c>
      <c r="BR123" s="26"/>
      <c r="BS123" s="26"/>
      <c r="BT123" s="26"/>
      <c r="BU123" s="50" t="s">
        <v>169</v>
      </c>
      <c r="BV123" s="50"/>
      <c r="BW123" s="50"/>
      <c r="BX123" s="50"/>
      <c r="BY123" s="50"/>
      <c r="CA123" t="s">
        <v>33</v>
      </c>
    </row>
    <row r="124" spans="1:79" s="99" customFormat="1" ht="25.5" customHeight="1" x14ac:dyDescent="0.2">
      <c r="A124" s="89">
        <v>1</v>
      </c>
      <c r="B124" s="90"/>
      <c r="C124" s="90"/>
      <c r="D124" s="92" t="s">
        <v>194</v>
      </c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4"/>
      <c r="U124" s="96">
        <v>48000</v>
      </c>
      <c r="V124" s="97"/>
      <c r="W124" s="97"/>
      <c r="X124" s="97"/>
      <c r="Y124" s="98"/>
      <c r="Z124" s="96">
        <v>0</v>
      </c>
      <c r="AA124" s="97"/>
      <c r="AB124" s="97"/>
      <c r="AC124" s="97"/>
      <c r="AD124" s="98"/>
      <c r="AE124" s="96">
        <v>0</v>
      </c>
      <c r="AF124" s="97"/>
      <c r="AG124" s="97"/>
      <c r="AH124" s="98"/>
      <c r="AI124" s="96">
        <f>IF(ISNUMBER(U124),U124,0)+IF(ISNUMBER(Z124),Z124,0)</f>
        <v>48000</v>
      </c>
      <c r="AJ124" s="97"/>
      <c r="AK124" s="97"/>
      <c r="AL124" s="97"/>
      <c r="AM124" s="98"/>
      <c r="AN124" s="96">
        <v>48000</v>
      </c>
      <c r="AO124" s="97"/>
      <c r="AP124" s="97"/>
      <c r="AQ124" s="97"/>
      <c r="AR124" s="98"/>
      <c r="AS124" s="96">
        <v>0</v>
      </c>
      <c r="AT124" s="97"/>
      <c r="AU124" s="97"/>
      <c r="AV124" s="97"/>
      <c r="AW124" s="98"/>
      <c r="AX124" s="96">
        <v>0</v>
      </c>
      <c r="AY124" s="97"/>
      <c r="AZ124" s="97"/>
      <c r="BA124" s="98"/>
      <c r="BB124" s="96">
        <f>IF(ISNUMBER(AN124),AN124,0)+IF(ISNUMBER(AS124),AS124,0)</f>
        <v>48000</v>
      </c>
      <c r="BC124" s="97"/>
      <c r="BD124" s="97"/>
      <c r="BE124" s="97"/>
      <c r="BF124" s="98"/>
      <c r="BG124" s="96">
        <v>0</v>
      </c>
      <c r="BH124" s="97"/>
      <c r="BI124" s="97"/>
      <c r="BJ124" s="97"/>
      <c r="BK124" s="98"/>
      <c r="BL124" s="96">
        <v>0</v>
      </c>
      <c r="BM124" s="97"/>
      <c r="BN124" s="97"/>
      <c r="BO124" s="97"/>
      <c r="BP124" s="98"/>
      <c r="BQ124" s="96">
        <v>0</v>
      </c>
      <c r="BR124" s="97"/>
      <c r="BS124" s="97"/>
      <c r="BT124" s="98"/>
      <c r="BU124" s="96">
        <f>IF(ISNUMBER(BG124),BG124,0)+IF(ISNUMBER(BL124),BL124,0)</f>
        <v>0</v>
      </c>
      <c r="BV124" s="97"/>
      <c r="BW124" s="97"/>
      <c r="BX124" s="97"/>
      <c r="BY124" s="98"/>
      <c r="CA124" s="99" t="s">
        <v>34</v>
      </c>
    </row>
    <row r="125" spans="1:79" s="99" customFormat="1" ht="12.75" customHeight="1" x14ac:dyDescent="0.2">
      <c r="A125" s="89">
        <v>2</v>
      </c>
      <c r="B125" s="90"/>
      <c r="C125" s="90"/>
      <c r="D125" s="92" t="s">
        <v>179</v>
      </c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4"/>
      <c r="U125" s="96">
        <v>13104354</v>
      </c>
      <c r="V125" s="97"/>
      <c r="W125" s="97"/>
      <c r="X125" s="97"/>
      <c r="Y125" s="98"/>
      <c r="Z125" s="96">
        <v>0</v>
      </c>
      <c r="AA125" s="97"/>
      <c r="AB125" s="97"/>
      <c r="AC125" s="97"/>
      <c r="AD125" s="98"/>
      <c r="AE125" s="96">
        <v>0</v>
      </c>
      <c r="AF125" s="97"/>
      <c r="AG125" s="97"/>
      <c r="AH125" s="98"/>
      <c r="AI125" s="96">
        <f>IF(ISNUMBER(U125),U125,0)+IF(ISNUMBER(Z125),Z125,0)</f>
        <v>13104354</v>
      </c>
      <c r="AJ125" s="97"/>
      <c r="AK125" s="97"/>
      <c r="AL125" s="97"/>
      <c r="AM125" s="98"/>
      <c r="AN125" s="96">
        <v>18535965</v>
      </c>
      <c r="AO125" s="97"/>
      <c r="AP125" s="97"/>
      <c r="AQ125" s="97"/>
      <c r="AR125" s="98"/>
      <c r="AS125" s="96">
        <v>0</v>
      </c>
      <c r="AT125" s="97"/>
      <c r="AU125" s="97"/>
      <c r="AV125" s="97"/>
      <c r="AW125" s="98"/>
      <c r="AX125" s="96">
        <v>0</v>
      </c>
      <c r="AY125" s="97"/>
      <c r="AZ125" s="97"/>
      <c r="BA125" s="98"/>
      <c r="BB125" s="96">
        <f>IF(ISNUMBER(AN125),AN125,0)+IF(ISNUMBER(AS125),AS125,0)</f>
        <v>18535965</v>
      </c>
      <c r="BC125" s="97"/>
      <c r="BD125" s="97"/>
      <c r="BE125" s="97"/>
      <c r="BF125" s="98"/>
      <c r="BG125" s="96">
        <v>0</v>
      </c>
      <c r="BH125" s="97"/>
      <c r="BI125" s="97"/>
      <c r="BJ125" s="97"/>
      <c r="BK125" s="98"/>
      <c r="BL125" s="96">
        <v>0</v>
      </c>
      <c r="BM125" s="97"/>
      <c r="BN125" s="97"/>
      <c r="BO125" s="97"/>
      <c r="BP125" s="98"/>
      <c r="BQ125" s="96">
        <v>0</v>
      </c>
      <c r="BR125" s="97"/>
      <c r="BS125" s="97"/>
      <c r="BT125" s="98"/>
      <c r="BU125" s="96">
        <f>IF(ISNUMBER(BG125),BG125,0)+IF(ISNUMBER(BL125),BL125,0)</f>
        <v>0</v>
      </c>
      <c r="BV125" s="97"/>
      <c r="BW125" s="97"/>
      <c r="BX125" s="97"/>
      <c r="BY125" s="98"/>
    </row>
    <row r="126" spans="1:79" s="99" customFormat="1" ht="12.75" customHeight="1" x14ac:dyDescent="0.2">
      <c r="A126" s="89">
        <v>3</v>
      </c>
      <c r="B126" s="90"/>
      <c r="C126" s="90"/>
      <c r="D126" s="92" t="s">
        <v>195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4"/>
      <c r="U126" s="96">
        <v>58554</v>
      </c>
      <c r="V126" s="97"/>
      <c r="W126" s="97"/>
      <c r="X126" s="97"/>
      <c r="Y126" s="98"/>
      <c r="Z126" s="96">
        <v>0</v>
      </c>
      <c r="AA126" s="97"/>
      <c r="AB126" s="97"/>
      <c r="AC126" s="97"/>
      <c r="AD126" s="98"/>
      <c r="AE126" s="96">
        <v>0</v>
      </c>
      <c r="AF126" s="97"/>
      <c r="AG126" s="97"/>
      <c r="AH126" s="98"/>
      <c r="AI126" s="96">
        <f>IF(ISNUMBER(U126),U126,0)+IF(ISNUMBER(Z126),Z126,0)</f>
        <v>58554</v>
      </c>
      <c r="AJ126" s="97"/>
      <c r="AK126" s="97"/>
      <c r="AL126" s="97"/>
      <c r="AM126" s="98"/>
      <c r="AN126" s="96">
        <v>50000</v>
      </c>
      <c r="AO126" s="97"/>
      <c r="AP126" s="97"/>
      <c r="AQ126" s="97"/>
      <c r="AR126" s="98"/>
      <c r="AS126" s="96">
        <v>0</v>
      </c>
      <c r="AT126" s="97"/>
      <c r="AU126" s="97"/>
      <c r="AV126" s="97"/>
      <c r="AW126" s="98"/>
      <c r="AX126" s="96">
        <v>0</v>
      </c>
      <c r="AY126" s="97"/>
      <c r="AZ126" s="97"/>
      <c r="BA126" s="98"/>
      <c r="BB126" s="96">
        <f>IF(ISNUMBER(AN126),AN126,0)+IF(ISNUMBER(AS126),AS126,0)</f>
        <v>50000</v>
      </c>
      <c r="BC126" s="97"/>
      <c r="BD126" s="97"/>
      <c r="BE126" s="97"/>
      <c r="BF126" s="98"/>
      <c r="BG126" s="96">
        <v>0</v>
      </c>
      <c r="BH126" s="97"/>
      <c r="BI126" s="97"/>
      <c r="BJ126" s="97"/>
      <c r="BK126" s="98"/>
      <c r="BL126" s="96">
        <v>0</v>
      </c>
      <c r="BM126" s="97"/>
      <c r="BN126" s="97"/>
      <c r="BO126" s="97"/>
      <c r="BP126" s="98"/>
      <c r="BQ126" s="96">
        <v>0</v>
      </c>
      <c r="BR126" s="97"/>
      <c r="BS126" s="97"/>
      <c r="BT126" s="98"/>
      <c r="BU126" s="96">
        <f>IF(ISNUMBER(BG126),BG126,0)+IF(ISNUMBER(BL126),BL126,0)</f>
        <v>0</v>
      </c>
      <c r="BV126" s="97"/>
      <c r="BW126" s="97"/>
      <c r="BX126" s="97"/>
      <c r="BY126" s="98"/>
    </row>
    <row r="127" spans="1:79" s="99" customFormat="1" ht="12.75" customHeight="1" x14ac:dyDescent="0.2">
      <c r="A127" s="89">
        <v>4</v>
      </c>
      <c r="B127" s="90"/>
      <c r="C127" s="90"/>
      <c r="D127" s="92" t="s">
        <v>180</v>
      </c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4"/>
      <c r="U127" s="96">
        <v>2884220</v>
      </c>
      <c r="V127" s="97"/>
      <c r="W127" s="97"/>
      <c r="X127" s="97"/>
      <c r="Y127" s="98"/>
      <c r="Z127" s="96">
        <v>0</v>
      </c>
      <c r="AA127" s="97"/>
      <c r="AB127" s="97"/>
      <c r="AC127" s="97"/>
      <c r="AD127" s="98"/>
      <c r="AE127" s="96">
        <v>0</v>
      </c>
      <c r="AF127" s="97"/>
      <c r="AG127" s="97"/>
      <c r="AH127" s="98"/>
      <c r="AI127" s="96">
        <f>IF(ISNUMBER(U127),U127,0)+IF(ISNUMBER(Z127),Z127,0)</f>
        <v>2884220</v>
      </c>
      <c r="AJ127" s="97"/>
      <c r="AK127" s="97"/>
      <c r="AL127" s="97"/>
      <c r="AM127" s="98"/>
      <c r="AN127" s="96">
        <v>4077912</v>
      </c>
      <c r="AO127" s="97"/>
      <c r="AP127" s="97"/>
      <c r="AQ127" s="97"/>
      <c r="AR127" s="98"/>
      <c r="AS127" s="96">
        <v>0</v>
      </c>
      <c r="AT127" s="97"/>
      <c r="AU127" s="97"/>
      <c r="AV127" s="97"/>
      <c r="AW127" s="98"/>
      <c r="AX127" s="96">
        <v>0</v>
      </c>
      <c r="AY127" s="97"/>
      <c r="AZ127" s="97"/>
      <c r="BA127" s="98"/>
      <c r="BB127" s="96">
        <f>IF(ISNUMBER(AN127),AN127,0)+IF(ISNUMBER(AS127),AS127,0)</f>
        <v>4077912</v>
      </c>
      <c r="BC127" s="97"/>
      <c r="BD127" s="97"/>
      <c r="BE127" s="97"/>
      <c r="BF127" s="98"/>
      <c r="BG127" s="96">
        <v>0</v>
      </c>
      <c r="BH127" s="97"/>
      <c r="BI127" s="97"/>
      <c r="BJ127" s="97"/>
      <c r="BK127" s="98"/>
      <c r="BL127" s="96">
        <v>0</v>
      </c>
      <c r="BM127" s="97"/>
      <c r="BN127" s="97"/>
      <c r="BO127" s="97"/>
      <c r="BP127" s="98"/>
      <c r="BQ127" s="96">
        <v>0</v>
      </c>
      <c r="BR127" s="97"/>
      <c r="BS127" s="97"/>
      <c r="BT127" s="98"/>
      <c r="BU127" s="96">
        <f>IF(ISNUMBER(BG127),BG127,0)+IF(ISNUMBER(BL127),BL127,0)</f>
        <v>0</v>
      </c>
      <c r="BV127" s="97"/>
      <c r="BW127" s="97"/>
      <c r="BX127" s="97"/>
      <c r="BY127" s="98"/>
    </row>
    <row r="128" spans="1:79" s="99" customFormat="1" ht="12.75" customHeight="1" x14ac:dyDescent="0.2">
      <c r="A128" s="89">
        <v>5</v>
      </c>
      <c r="B128" s="90"/>
      <c r="C128" s="90"/>
      <c r="D128" s="92" t="s">
        <v>196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4"/>
      <c r="U128" s="96">
        <v>0</v>
      </c>
      <c r="V128" s="97"/>
      <c r="W128" s="97"/>
      <c r="X128" s="97"/>
      <c r="Y128" s="98"/>
      <c r="Z128" s="96">
        <v>0</v>
      </c>
      <c r="AA128" s="97"/>
      <c r="AB128" s="97"/>
      <c r="AC128" s="97"/>
      <c r="AD128" s="98"/>
      <c r="AE128" s="96">
        <v>0</v>
      </c>
      <c r="AF128" s="97"/>
      <c r="AG128" s="97"/>
      <c r="AH128" s="98"/>
      <c r="AI128" s="96">
        <f>IF(ISNUMBER(U128),U128,0)+IF(ISNUMBER(Z128),Z128,0)</f>
        <v>0</v>
      </c>
      <c r="AJ128" s="97"/>
      <c r="AK128" s="97"/>
      <c r="AL128" s="97"/>
      <c r="AM128" s="98"/>
      <c r="AN128" s="96">
        <v>21600</v>
      </c>
      <c r="AO128" s="97"/>
      <c r="AP128" s="97"/>
      <c r="AQ128" s="97"/>
      <c r="AR128" s="98"/>
      <c r="AS128" s="96">
        <v>0</v>
      </c>
      <c r="AT128" s="97"/>
      <c r="AU128" s="97"/>
      <c r="AV128" s="97"/>
      <c r="AW128" s="98"/>
      <c r="AX128" s="96">
        <v>0</v>
      </c>
      <c r="AY128" s="97"/>
      <c r="AZ128" s="97"/>
      <c r="BA128" s="98"/>
      <c r="BB128" s="96">
        <f>IF(ISNUMBER(AN128),AN128,0)+IF(ISNUMBER(AS128),AS128,0)</f>
        <v>21600</v>
      </c>
      <c r="BC128" s="97"/>
      <c r="BD128" s="97"/>
      <c r="BE128" s="97"/>
      <c r="BF128" s="98"/>
      <c r="BG128" s="96">
        <v>0</v>
      </c>
      <c r="BH128" s="97"/>
      <c r="BI128" s="97"/>
      <c r="BJ128" s="97"/>
      <c r="BK128" s="98"/>
      <c r="BL128" s="96">
        <v>0</v>
      </c>
      <c r="BM128" s="97"/>
      <c r="BN128" s="97"/>
      <c r="BO128" s="97"/>
      <c r="BP128" s="98"/>
      <c r="BQ128" s="96">
        <v>0</v>
      </c>
      <c r="BR128" s="97"/>
      <c r="BS128" s="97"/>
      <c r="BT128" s="98"/>
      <c r="BU128" s="96">
        <f>IF(ISNUMBER(BG128),BG128,0)+IF(ISNUMBER(BL128),BL128,0)</f>
        <v>0</v>
      </c>
      <c r="BV128" s="97"/>
      <c r="BW128" s="97"/>
      <c r="BX128" s="97"/>
      <c r="BY128" s="98"/>
    </row>
    <row r="129" spans="1:77" s="99" customFormat="1" ht="25.5" customHeight="1" x14ac:dyDescent="0.2">
      <c r="A129" s="89">
        <v>6</v>
      </c>
      <c r="B129" s="90"/>
      <c r="C129" s="90"/>
      <c r="D129" s="92" t="s">
        <v>197</v>
      </c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4"/>
      <c r="U129" s="96">
        <v>420396</v>
      </c>
      <c r="V129" s="97"/>
      <c r="W129" s="97"/>
      <c r="X129" s="97"/>
      <c r="Y129" s="98"/>
      <c r="Z129" s="96">
        <v>0</v>
      </c>
      <c r="AA129" s="97"/>
      <c r="AB129" s="97"/>
      <c r="AC129" s="97"/>
      <c r="AD129" s="98"/>
      <c r="AE129" s="96">
        <v>0</v>
      </c>
      <c r="AF129" s="97"/>
      <c r="AG129" s="97"/>
      <c r="AH129" s="98"/>
      <c r="AI129" s="96">
        <f>IF(ISNUMBER(U129),U129,0)+IF(ISNUMBER(Z129),Z129,0)</f>
        <v>420396</v>
      </c>
      <c r="AJ129" s="97"/>
      <c r="AK129" s="97"/>
      <c r="AL129" s="97"/>
      <c r="AM129" s="98"/>
      <c r="AN129" s="96">
        <v>420000</v>
      </c>
      <c r="AO129" s="97"/>
      <c r="AP129" s="97"/>
      <c r="AQ129" s="97"/>
      <c r="AR129" s="98"/>
      <c r="AS129" s="96">
        <v>0</v>
      </c>
      <c r="AT129" s="97"/>
      <c r="AU129" s="97"/>
      <c r="AV129" s="97"/>
      <c r="AW129" s="98"/>
      <c r="AX129" s="96">
        <v>0</v>
      </c>
      <c r="AY129" s="97"/>
      <c r="AZ129" s="97"/>
      <c r="BA129" s="98"/>
      <c r="BB129" s="96">
        <f>IF(ISNUMBER(AN129),AN129,0)+IF(ISNUMBER(AS129),AS129,0)</f>
        <v>420000</v>
      </c>
      <c r="BC129" s="97"/>
      <c r="BD129" s="97"/>
      <c r="BE129" s="97"/>
      <c r="BF129" s="98"/>
      <c r="BG129" s="96">
        <v>0</v>
      </c>
      <c r="BH129" s="97"/>
      <c r="BI129" s="97"/>
      <c r="BJ129" s="97"/>
      <c r="BK129" s="98"/>
      <c r="BL129" s="96">
        <v>0</v>
      </c>
      <c r="BM129" s="97"/>
      <c r="BN129" s="97"/>
      <c r="BO129" s="97"/>
      <c r="BP129" s="98"/>
      <c r="BQ129" s="96">
        <v>0</v>
      </c>
      <c r="BR129" s="97"/>
      <c r="BS129" s="97"/>
      <c r="BT129" s="98"/>
      <c r="BU129" s="96">
        <f>IF(ISNUMBER(BG129),BG129,0)+IF(ISNUMBER(BL129),BL129,0)</f>
        <v>0</v>
      </c>
      <c r="BV129" s="97"/>
      <c r="BW129" s="97"/>
      <c r="BX129" s="97"/>
      <c r="BY129" s="98"/>
    </row>
    <row r="130" spans="1:77" s="99" customFormat="1" ht="12.75" customHeight="1" x14ac:dyDescent="0.2">
      <c r="A130" s="89">
        <v>7</v>
      </c>
      <c r="B130" s="90"/>
      <c r="C130" s="90"/>
      <c r="D130" s="92" t="s">
        <v>187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4"/>
      <c r="U130" s="96">
        <v>737464</v>
      </c>
      <c r="V130" s="97"/>
      <c r="W130" s="97"/>
      <c r="X130" s="97"/>
      <c r="Y130" s="98"/>
      <c r="Z130" s="96">
        <v>0</v>
      </c>
      <c r="AA130" s="97"/>
      <c r="AB130" s="97"/>
      <c r="AC130" s="97"/>
      <c r="AD130" s="98"/>
      <c r="AE130" s="96">
        <v>0</v>
      </c>
      <c r="AF130" s="97"/>
      <c r="AG130" s="97"/>
      <c r="AH130" s="98"/>
      <c r="AI130" s="96">
        <f>IF(ISNUMBER(U130),U130,0)+IF(ISNUMBER(Z130),Z130,0)</f>
        <v>737464</v>
      </c>
      <c r="AJ130" s="97"/>
      <c r="AK130" s="97"/>
      <c r="AL130" s="97"/>
      <c r="AM130" s="98"/>
      <c r="AN130" s="96">
        <v>708841</v>
      </c>
      <c r="AO130" s="97"/>
      <c r="AP130" s="97"/>
      <c r="AQ130" s="97"/>
      <c r="AR130" s="98"/>
      <c r="AS130" s="96">
        <v>0</v>
      </c>
      <c r="AT130" s="97"/>
      <c r="AU130" s="97"/>
      <c r="AV130" s="97"/>
      <c r="AW130" s="98"/>
      <c r="AX130" s="96">
        <v>0</v>
      </c>
      <c r="AY130" s="97"/>
      <c r="AZ130" s="97"/>
      <c r="BA130" s="98"/>
      <c r="BB130" s="96">
        <f>IF(ISNUMBER(AN130),AN130,0)+IF(ISNUMBER(AS130),AS130,0)</f>
        <v>708841</v>
      </c>
      <c r="BC130" s="97"/>
      <c r="BD130" s="97"/>
      <c r="BE130" s="97"/>
      <c r="BF130" s="98"/>
      <c r="BG130" s="96">
        <v>0</v>
      </c>
      <c r="BH130" s="97"/>
      <c r="BI130" s="97"/>
      <c r="BJ130" s="97"/>
      <c r="BK130" s="98"/>
      <c r="BL130" s="96">
        <v>0</v>
      </c>
      <c r="BM130" s="97"/>
      <c r="BN130" s="97"/>
      <c r="BO130" s="97"/>
      <c r="BP130" s="98"/>
      <c r="BQ130" s="96">
        <v>0</v>
      </c>
      <c r="BR130" s="97"/>
      <c r="BS130" s="97"/>
      <c r="BT130" s="98"/>
      <c r="BU130" s="96">
        <f>IF(ISNUMBER(BG130),BG130,0)+IF(ISNUMBER(BL130),BL130,0)</f>
        <v>0</v>
      </c>
      <c r="BV130" s="97"/>
      <c r="BW130" s="97"/>
      <c r="BX130" s="97"/>
      <c r="BY130" s="98"/>
    </row>
    <row r="131" spans="1:77" s="99" customFormat="1" ht="12.75" customHeight="1" x14ac:dyDescent="0.2">
      <c r="A131" s="89">
        <v>8</v>
      </c>
      <c r="B131" s="90"/>
      <c r="C131" s="90"/>
      <c r="D131" s="92" t="s">
        <v>198</v>
      </c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4"/>
      <c r="U131" s="96">
        <v>17524</v>
      </c>
      <c r="V131" s="97"/>
      <c r="W131" s="97"/>
      <c r="X131" s="97"/>
      <c r="Y131" s="98"/>
      <c r="Z131" s="96">
        <v>0</v>
      </c>
      <c r="AA131" s="97"/>
      <c r="AB131" s="97"/>
      <c r="AC131" s="97"/>
      <c r="AD131" s="98"/>
      <c r="AE131" s="96">
        <v>0</v>
      </c>
      <c r="AF131" s="97"/>
      <c r="AG131" s="97"/>
      <c r="AH131" s="98"/>
      <c r="AI131" s="96">
        <f>IF(ISNUMBER(U131),U131,0)+IF(ISNUMBER(Z131),Z131,0)</f>
        <v>17524</v>
      </c>
      <c r="AJ131" s="97"/>
      <c r="AK131" s="97"/>
      <c r="AL131" s="97"/>
      <c r="AM131" s="98"/>
      <c r="AN131" s="96">
        <v>20568</v>
      </c>
      <c r="AO131" s="97"/>
      <c r="AP131" s="97"/>
      <c r="AQ131" s="97"/>
      <c r="AR131" s="98"/>
      <c r="AS131" s="96">
        <v>0</v>
      </c>
      <c r="AT131" s="97"/>
      <c r="AU131" s="97"/>
      <c r="AV131" s="97"/>
      <c r="AW131" s="98"/>
      <c r="AX131" s="96">
        <v>0</v>
      </c>
      <c r="AY131" s="97"/>
      <c r="AZ131" s="97"/>
      <c r="BA131" s="98"/>
      <c r="BB131" s="96">
        <f>IF(ISNUMBER(AN131),AN131,0)+IF(ISNUMBER(AS131),AS131,0)</f>
        <v>20568</v>
      </c>
      <c r="BC131" s="97"/>
      <c r="BD131" s="97"/>
      <c r="BE131" s="97"/>
      <c r="BF131" s="98"/>
      <c r="BG131" s="96">
        <v>0</v>
      </c>
      <c r="BH131" s="97"/>
      <c r="BI131" s="97"/>
      <c r="BJ131" s="97"/>
      <c r="BK131" s="98"/>
      <c r="BL131" s="96">
        <v>0</v>
      </c>
      <c r="BM131" s="97"/>
      <c r="BN131" s="97"/>
      <c r="BO131" s="97"/>
      <c r="BP131" s="98"/>
      <c r="BQ131" s="96">
        <v>0</v>
      </c>
      <c r="BR131" s="97"/>
      <c r="BS131" s="97"/>
      <c r="BT131" s="98"/>
      <c r="BU131" s="96">
        <f>IF(ISNUMBER(BG131),BG131,0)+IF(ISNUMBER(BL131),BL131,0)</f>
        <v>0</v>
      </c>
      <c r="BV131" s="97"/>
      <c r="BW131" s="97"/>
      <c r="BX131" s="97"/>
      <c r="BY131" s="98"/>
    </row>
    <row r="132" spans="1:77" s="99" customFormat="1" ht="38.25" customHeight="1" x14ac:dyDescent="0.2">
      <c r="A132" s="89">
        <v>9</v>
      </c>
      <c r="B132" s="90"/>
      <c r="C132" s="90"/>
      <c r="D132" s="92" t="s">
        <v>199</v>
      </c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4"/>
      <c r="U132" s="96">
        <v>6000</v>
      </c>
      <c r="V132" s="97"/>
      <c r="W132" s="97"/>
      <c r="X132" s="97"/>
      <c r="Y132" s="98"/>
      <c r="Z132" s="96">
        <v>0</v>
      </c>
      <c r="AA132" s="97"/>
      <c r="AB132" s="97"/>
      <c r="AC132" s="97"/>
      <c r="AD132" s="98"/>
      <c r="AE132" s="96">
        <v>0</v>
      </c>
      <c r="AF132" s="97"/>
      <c r="AG132" s="97"/>
      <c r="AH132" s="98"/>
      <c r="AI132" s="96">
        <f>IF(ISNUMBER(U132),U132,0)+IF(ISNUMBER(Z132),Z132,0)</f>
        <v>6000</v>
      </c>
      <c r="AJ132" s="97"/>
      <c r="AK132" s="97"/>
      <c r="AL132" s="97"/>
      <c r="AM132" s="98"/>
      <c r="AN132" s="96">
        <v>6000</v>
      </c>
      <c r="AO132" s="97"/>
      <c r="AP132" s="97"/>
      <c r="AQ132" s="97"/>
      <c r="AR132" s="98"/>
      <c r="AS132" s="96">
        <v>0</v>
      </c>
      <c r="AT132" s="97"/>
      <c r="AU132" s="97"/>
      <c r="AV132" s="97"/>
      <c r="AW132" s="98"/>
      <c r="AX132" s="96">
        <v>0</v>
      </c>
      <c r="AY132" s="97"/>
      <c r="AZ132" s="97"/>
      <c r="BA132" s="98"/>
      <c r="BB132" s="96">
        <f>IF(ISNUMBER(AN132),AN132,0)+IF(ISNUMBER(AS132),AS132,0)</f>
        <v>6000</v>
      </c>
      <c r="BC132" s="97"/>
      <c r="BD132" s="97"/>
      <c r="BE132" s="97"/>
      <c r="BF132" s="98"/>
      <c r="BG132" s="96">
        <v>0</v>
      </c>
      <c r="BH132" s="97"/>
      <c r="BI132" s="97"/>
      <c r="BJ132" s="97"/>
      <c r="BK132" s="98"/>
      <c r="BL132" s="96">
        <v>0</v>
      </c>
      <c r="BM132" s="97"/>
      <c r="BN132" s="97"/>
      <c r="BO132" s="97"/>
      <c r="BP132" s="98"/>
      <c r="BQ132" s="96">
        <v>0</v>
      </c>
      <c r="BR132" s="97"/>
      <c r="BS132" s="97"/>
      <c r="BT132" s="98"/>
      <c r="BU132" s="96">
        <f>IF(ISNUMBER(BG132),BG132,0)+IF(ISNUMBER(BL132),BL132,0)</f>
        <v>0</v>
      </c>
      <c r="BV132" s="97"/>
      <c r="BW132" s="97"/>
      <c r="BX132" s="97"/>
      <c r="BY132" s="98"/>
    </row>
    <row r="133" spans="1:77" s="99" customFormat="1" ht="12.75" customHeight="1" x14ac:dyDescent="0.2">
      <c r="A133" s="89">
        <v>10</v>
      </c>
      <c r="B133" s="90"/>
      <c r="C133" s="90"/>
      <c r="D133" s="92" t="s">
        <v>200</v>
      </c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4"/>
      <c r="U133" s="96">
        <v>0</v>
      </c>
      <c r="V133" s="97"/>
      <c r="W133" s="97"/>
      <c r="X133" s="97"/>
      <c r="Y133" s="98"/>
      <c r="Z133" s="96">
        <v>0</v>
      </c>
      <c r="AA133" s="97"/>
      <c r="AB133" s="97"/>
      <c r="AC133" s="97"/>
      <c r="AD133" s="98"/>
      <c r="AE133" s="96">
        <v>0</v>
      </c>
      <c r="AF133" s="97"/>
      <c r="AG133" s="97"/>
      <c r="AH133" s="98"/>
      <c r="AI133" s="96">
        <f>IF(ISNUMBER(U133),U133,0)+IF(ISNUMBER(Z133),Z133,0)</f>
        <v>0</v>
      </c>
      <c r="AJ133" s="97"/>
      <c r="AK133" s="97"/>
      <c r="AL133" s="97"/>
      <c r="AM133" s="98"/>
      <c r="AN133" s="96">
        <v>0</v>
      </c>
      <c r="AO133" s="97"/>
      <c r="AP133" s="97"/>
      <c r="AQ133" s="97"/>
      <c r="AR133" s="98"/>
      <c r="AS133" s="96">
        <v>0</v>
      </c>
      <c r="AT133" s="97"/>
      <c r="AU133" s="97"/>
      <c r="AV133" s="97"/>
      <c r="AW133" s="98"/>
      <c r="AX133" s="96">
        <v>0</v>
      </c>
      <c r="AY133" s="97"/>
      <c r="AZ133" s="97"/>
      <c r="BA133" s="98"/>
      <c r="BB133" s="96">
        <f>IF(ISNUMBER(AN133),AN133,0)+IF(ISNUMBER(AS133),AS133,0)</f>
        <v>0</v>
      </c>
      <c r="BC133" s="97"/>
      <c r="BD133" s="97"/>
      <c r="BE133" s="97"/>
      <c r="BF133" s="98"/>
      <c r="BG133" s="96">
        <v>0</v>
      </c>
      <c r="BH133" s="97"/>
      <c r="BI133" s="97"/>
      <c r="BJ133" s="97"/>
      <c r="BK133" s="98"/>
      <c r="BL133" s="96">
        <v>0</v>
      </c>
      <c r="BM133" s="97"/>
      <c r="BN133" s="97"/>
      <c r="BO133" s="97"/>
      <c r="BP133" s="98"/>
      <c r="BQ133" s="96">
        <v>0</v>
      </c>
      <c r="BR133" s="97"/>
      <c r="BS133" s="97"/>
      <c r="BT133" s="98"/>
      <c r="BU133" s="96">
        <f>IF(ISNUMBER(BG133),BG133,0)+IF(ISNUMBER(BL133),BL133,0)</f>
        <v>0</v>
      </c>
      <c r="BV133" s="97"/>
      <c r="BW133" s="97"/>
      <c r="BX133" s="97"/>
      <c r="BY133" s="98"/>
    </row>
    <row r="134" spans="1:77" s="99" customFormat="1" ht="12.75" customHeight="1" x14ac:dyDescent="0.2">
      <c r="A134" s="89">
        <v>11</v>
      </c>
      <c r="B134" s="90"/>
      <c r="C134" s="90"/>
      <c r="D134" s="92" t="s">
        <v>201</v>
      </c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4"/>
      <c r="U134" s="96">
        <v>148328</v>
      </c>
      <c r="V134" s="97"/>
      <c r="W134" s="97"/>
      <c r="X134" s="97"/>
      <c r="Y134" s="98"/>
      <c r="Z134" s="96">
        <v>0</v>
      </c>
      <c r="AA134" s="97"/>
      <c r="AB134" s="97"/>
      <c r="AC134" s="97"/>
      <c r="AD134" s="98"/>
      <c r="AE134" s="96">
        <v>0</v>
      </c>
      <c r="AF134" s="97"/>
      <c r="AG134" s="97"/>
      <c r="AH134" s="98"/>
      <c r="AI134" s="96">
        <f>IF(ISNUMBER(U134),U134,0)+IF(ISNUMBER(Z134),Z134,0)</f>
        <v>148328</v>
      </c>
      <c r="AJ134" s="97"/>
      <c r="AK134" s="97"/>
      <c r="AL134" s="97"/>
      <c r="AM134" s="98"/>
      <c r="AN134" s="96">
        <v>148328</v>
      </c>
      <c r="AO134" s="97"/>
      <c r="AP134" s="97"/>
      <c r="AQ134" s="97"/>
      <c r="AR134" s="98"/>
      <c r="AS134" s="96">
        <v>0</v>
      </c>
      <c r="AT134" s="97"/>
      <c r="AU134" s="97"/>
      <c r="AV134" s="97"/>
      <c r="AW134" s="98"/>
      <c r="AX134" s="96">
        <v>0</v>
      </c>
      <c r="AY134" s="97"/>
      <c r="AZ134" s="97"/>
      <c r="BA134" s="98"/>
      <c r="BB134" s="96">
        <f>IF(ISNUMBER(AN134),AN134,0)+IF(ISNUMBER(AS134),AS134,0)</f>
        <v>148328</v>
      </c>
      <c r="BC134" s="97"/>
      <c r="BD134" s="97"/>
      <c r="BE134" s="97"/>
      <c r="BF134" s="98"/>
      <c r="BG134" s="96">
        <v>0</v>
      </c>
      <c r="BH134" s="97"/>
      <c r="BI134" s="97"/>
      <c r="BJ134" s="97"/>
      <c r="BK134" s="98"/>
      <c r="BL134" s="96">
        <v>0</v>
      </c>
      <c r="BM134" s="97"/>
      <c r="BN134" s="97"/>
      <c r="BO134" s="97"/>
      <c r="BP134" s="98"/>
      <c r="BQ134" s="96">
        <v>0</v>
      </c>
      <c r="BR134" s="97"/>
      <c r="BS134" s="97"/>
      <c r="BT134" s="98"/>
      <c r="BU134" s="96">
        <f>IF(ISNUMBER(BG134),BG134,0)+IF(ISNUMBER(BL134),BL134,0)</f>
        <v>0</v>
      </c>
      <c r="BV134" s="97"/>
      <c r="BW134" s="97"/>
      <c r="BX134" s="97"/>
      <c r="BY134" s="98"/>
    </row>
    <row r="135" spans="1:77" s="99" customFormat="1" ht="38.25" customHeight="1" x14ac:dyDescent="0.2">
      <c r="A135" s="89">
        <v>12</v>
      </c>
      <c r="B135" s="90"/>
      <c r="C135" s="90"/>
      <c r="D135" s="92" t="s">
        <v>202</v>
      </c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4"/>
      <c r="U135" s="96">
        <v>0</v>
      </c>
      <c r="V135" s="97"/>
      <c r="W135" s="97"/>
      <c r="X135" s="97"/>
      <c r="Y135" s="98"/>
      <c r="Z135" s="96">
        <v>0</v>
      </c>
      <c r="AA135" s="97"/>
      <c r="AB135" s="97"/>
      <c r="AC135" s="97"/>
      <c r="AD135" s="98"/>
      <c r="AE135" s="96">
        <v>0</v>
      </c>
      <c r="AF135" s="97"/>
      <c r="AG135" s="97"/>
      <c r="AH135" s="98"/>
      <c r="AI135" s="96">
        <f>IF(ISNUMBER(U135),U135,0)+IF(ISNUMBER(Z135),Z135,0)</f>
        <v>0</v>
      </c>
      <c r="AJ135" s="97"/>
      <c r="AK135" s="97"/>
      <c r="AL135" s="97"/>
      <c r="AM135" s="98"/>
      <c r="AN135" s="96">
        <v>0</v>
      </c>
      <c r="AO135" s="97"/>
      <c r="AP135" s="97"/>
      <c r="AQ135" s="97"/>
      <c r="AR135" s="98"/>
      <c r="AS135" s="96">
        <v>0</v>
      </c>
      <c r="AT135" s="97"/>
      <c r="AU135" s="97"/>
      <c r="AV135" s="97"/>
      <c r="AW135" s="98"/>
      <c r="AX135" s="96">
        <v>0</v>
      </c>
      <c r="AY135" s="97"/>
      <c r="AZ135" s="97"/>
      <c r="BA135" s="98"/>
      <c r="BB135" s="96">
        <f>IF(ISNUMBER(AN135),AN135,0)+IF(ISNUMBER(AS135),AS135,0)</f>
        <v>0</v>
      </c>
      <c r="BC135" s="97"/>
      <c r="BD135" s="97"/>
      <c r="BE135" s="97"/>
      <c r="BF135" s="98"/>
      <c r="BG135" s="96">
        <v>0</v>
      </c>
      <c r="BH135" s="97"/>
      <c r="BI135" s="97"/>
      <c r="BJ135" s="97"/>
      <c r="BK135" s="98"/>
      <c r="BL135" s="96">
        <v>0</v>
      </c>
      <c r="BM135" s="97"/>
      <c r="BN135" s="97"/>
      <c r="BO135" s="97"/>
      <c r="BP135" s="98"/>
      <c r="BQ135" s="96">
        <v>0</v>
      </c>
      <c r="BR135" s="97"/>
      <c r="BS135" s="97"/>
      <c r="BT135" s="98"/>
      <c r="BU135" s="96">
        <f>IF(ISNUMBER(BG135),BG135,0)+IF(ISNUMBER(BL135),BL135,0)</f>
        <v>0</v>
      </c>
      <c r="BV135" s="97"/>
      <c r="BW135" s="97"/>
      <c r="BX135" s="97"/>
      <c r="BY135" s="98"/>
    </row>
    <row r="136" spans="1:77" s="99" customFormat="1" ht="12.75" customHeight="1" x14ac:dyDescent="0.2">
      <c r="A136" s="89">
        <v>13</v>
      </c>
      <c r="B136" s="90"/>
      <c r="C136" s="90"/>
      <c r="D136" s="92" t="s">
        <v>203</v>
      </c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4"/>
      <c r="U136" s="96">
        <v>5000</v>
      </c>
      <c r="V136" s="97"/>
      <c r="W136" s="97"/>
      <c r="X136" s="97"/>
      <c r="Y136" s="98"/>
      <c r="Z136" s="96">
        <v>0</v>
      </c>
      <c r="AA136" s="97"/>
      <c r="AB136" s="97"/>
      <c r="AC136" s="97"/>
      <c r="AD136" s="98"/>
      <c r="AE136" s="96">
        <v>0</v>
      </c>
      <c r="AF136" s="97"/>
      <c r="AG136" s="97"/>
      <c r="AH136" s="98"/>
      <c r="AI136" s="96">
        <f>IF(ISNUMBER(U136),U136,0)+IF(ISNUMBER(Z136),Z136,0)</f>
        <v>5000</v>
      </c>
      <c r="AJ136" s="97"/>
      <c r="AK136" s="97"/>
      <c r="AL136" s="97"/>
      <c r="AM136" s="98"/>
      <c r="AN136" s="96">
        <v>5000</v>
      </c>
      <c r="AO136" s="97"/>
      <c r="AP136" s="97"/>
      <c r="AQ136" s="97"/>
      <c r="AR136" s="98"/>
      <c r="AS136" s="96">
        <v>0</v>
      </c>
      <c r="AT136" s="97"/>
      <c r="AU136" s="97"/>
      <c r="AV136" s="97"/>
      <c r="AW136" s="98"/>
      <c r="AX136" s="96">
        <v>0</v>
      </c>
      <c r="AY136" s="97"/>
      <c r="AZ136" s="97"/>
      <c r="BA136" s="98"/>
      <c r="BB136" s="96">
        <f>IF(ISNUMBER(AN136),AN136,0)+IF(ISNUMBER(AS136),AS136,0)</f>
        <v>5000</v>
      </c>
      <c r="BC136" s="97"/>
      <c r="BD136" s="97"/>
      <c r="BE136" s="97"/>
      <c r="BF136" s="98"/>
      <c r="BG136" s="96">
        <v>0</v>
      </c>
      <c r="BH136" s="97"/>
      <c r="BI136" s="97"/>
      <c r="BJ136" s="97"/>
      <c r="BK136" s="98"/>
      <c r="BL136" s="96">
        <v>0</v>
      </c>
      <c r="BM136" s="97"/>
      <c r="BN136" s="97"/>
      <c r="BO136" s="97"/>
      <c r="BP136" s="98"/>
      <c r="BQ136" s="96">
        <v>0</v>
      </c>
      <c r="BR136" s="97"/>
      <c r="BS136" s="97"/>
      <c r="BT136" s="98"/>
      <c r="BU136" s="96">
        <f>IF(ISNUMBER(BG136),BG136,0)+IF(ISNUMBER(BL136),BL136,0)</f>
        <v>0</v>
      </c>
      <c r="BV136" s="97"/>
      <c r="BW136" s="97"/>
      <c r="BX136" s="97"/>
      <c r="BY136" s="98"/>
    </row>
    <row r="137" spans="1:77" s="99" customFormat="1" ht="12.75" customHeight="1" x14ac:dyDescent="0.2">
      <c r="A137" s="89">
        <v>14</v>
      </c>
      <c r="B137" s="90"/>
      <c r="C137" s="90"/>
      <c r="D137" s="92" t="s">
        <v>204</v>
      </c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4"/>
      <c r="U137" s="96">
        <v>0</v>
      </c>
      <c r="V137" s="97"/>
      <c r="W137" s="97"/>
      <c r="X137" s="97"/>
      <c r="Y137" s="98"/>
      <c r="Z137" s="96">
        <v>0</v>
      </c>
      <c r="AA137" s="97"/>
      <c r="AB137" s="97"/>
      <c r="AC137" s="97"/>
      <c r="AD137" s="98"/>
      <c r="AE137" s="96">
        <v>0</v>
      </c>
      <c r="AF137" s="97"/>
      <c r="AG137" s="97"/>
      <c r="AH137" s="98"/>
      <c r="AI137" s="96">
        <f>IF(ISNUMBER(U137),U137,0)+IF(ISNUMBER(Z137),Z137,0)</f>
        <v>0</v>
      </c>
      <c r="AJ137" s="97"/>
      <c r="AK137" s="97"/>
      <c r="AL137" s="97"/>
      <c r="AM137" s="98"/>
      <c r="AN137" s="96">
        <v>12000</v>
      </c>
      <c r="AO137" s="97"/>
      <c r="AP137" s="97"/>
      <c r="AQ137" s="97"/>
      <c r="AR137" s="98"/>
      <c r="AS137" s="96">
        <v>0</v>
      </c>
      <c r="AT137" s="97"/>
      <c r="AU137" s="97"/>
      <c r="AV137" s="97"/>
      <c r="AW137" s="98"/>
      <c r="AX137" s="96">
        <v>0</v>
      </c>
      <c r="AY137" s="97"/>
      <c r="AZ137" s="97"/>
      <c r="BA137" s="98"/>
      <c r="BB137" s="96">
        <f>IF(ISNUMBER(AN137),AN137,0)+IF(ISNUMBER(AS137),AS137,0)</f>
        <v>12000</v>
      </c>
      <c r="BC137" s="97"/>
      <c r="BD137" s="97"/>
      <c r="BE137" s="97"/>
      <c r="BF137" s="98"/>
      <c r="BG137" s="96">
        <v>0</v>
      </c>
      <c r="BH137" s="97"/>
      <c r="BI137" s="97"/>
      <c r="BJ137" s="97"/>
      <c r="BK137" s="98"/>
      <c r="BL137" s="96">
        <v>0</v>
      </c>
      <c r="BM137" s="97"/>
      <c r="BN137" s="97"/>
      <c r="BO137" s="97"/>
      <c r="BP137" s="98"/>
      <c r="BQ137" s="96">
        <v>0</v>
      </c>
      <c r="BR137" s="97"/>
      <c r="BS137" s="97"/>
      <c r="BT137" s="98"/>
      <c r="BU137" s="96">
        <f>IF(ISNUMBER(BG137),BG137,0)+IF(ISNUMBER(BL137),BL137,0)</f>
        <v>0</v>
      </c>
      <c r="BV137" s="97"/>
      <c r="BW137" s="97"/>
      <c r="BX137" s="97"/>
      <c r="BY137" s="98"/>
    </row>
    <row r="138" spans="1:77" s="99" customFormat="1" ht="51" customHeight="1" x14ac:dyDescent="0.2">
      <c r="A138" s="89">
        <v>15</v>
      </c>
      <c r="B138" s="90"/>
      <c r="C138" s="90"/>
      <c r="D138" s="92" t="s">
        <v>205</v>
      </c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4"/>
      <c r="U138" s="96">
        <v>0</v>
      </c>
      <c r="V138" s="97"/>
      <c r="W138" s="97"/>
      <c r="X138" s="97"/>
      <c r="Y138" s="98"/>
      <c r="Z138" s="96">
        <v>0</v>
      </c>
      <c r="AA138" s="97"/>
      <c r="AB138" s="97"/>
      <c r="AC138" s="97"/>
      <c r="AD138" s="98"/>
      <c r="AE138" s="96">
        <v>0</v>
      </c>
      <c r="AF138" s="97"/>
      <c r="AG138" s="97"/>
      <c r="AH138" s="98"/>
      <c r="AI138" s="96">
        <f>IF(ISNUMBER(U138),U138,0)+IF(ISNUMBER(Z138),Z138,0)</f>
        <v>0</v>
      </c>
      <c r="AJ138" s="97"/>
      <c r="AK138" s="97"/>
      <c r="AL138" s="97"/>
      <c r="AM138" s="98"/>
      <c r="AN138" s="96">
        <v>0</v>
      </c>
      <c r="AO138" s="97"/>
      <c r="AP138" s="97"/>
      <c r="AQ138" s="97"/>
      <c r="AR138" s="98"/>
      <c r="AS138" s="96">
        <v>0</v>
      </c>
      <c r="AT138" s="97"/>
      <c r="AU138" s="97"/>
      <c r="AV138" s="97"/>
      <c r="AW138" s="98"/>
      <c r="AX138" s="96">
        <v>0</v>
      </c>
      <c r="AY138" s="97"/>
      <c r="AZ138" s="97"/>
      <c r="BA138" s="98"/>
      <c r="BB138" s="96">
        <f>IF(ISNUMBER(AN138),AN138,0)+IF(ISNUMBER(AS138),AS138,0)</f>
        <v>0</v>
      </c>
      <c r="BC138" s="97"/>
      <c r="BD138" s="97"/>
      <c r="BE138" s="97"/>
      <c r="BF138" s="98"/>
      <c r="BG138" s="96">
        <v>0</v>
      </c>
      <c r="BH138" s="97"/>
      <c r="BI138" s="97"/>
      <c r="BJ138" s="97"/>
      <c r="BK138" s="98"/>
      <c r="BL138" s="96">
        <v>0</v>
      </c>
      <c r="BM138" s="97"/>
      <c r="BN138" s="97"/>
      <c r="BO138" s="97"/>
      <c r="BP138" s="98"/>
      <c r="BQ138" s="96">
        <v>0</v>
      </c>
      <c r="BR138" s="97"/>
      <c r="BS138" s="97"/>
      <c r="BT138" s="98"/>
      <c r="BU138" s="96">
        <f>IF(ISNUMBER(BG138),BG138,0)+IF(ISNUMBER(BL138),BL138,0)</f>
        <v>0</v>
      </c>
      <c r="BV138" s="97"/>
      <c r="BW138" s="97"/>
      <c r="BX138" s="97"/>
      <c r="BY138" s="98"/>
    </row>
    <row r="139" spans="1:77" s="99" customFormat="1" ht="25.5" customHeight="1" x14ac:dyDescent="0.2">
      <c r="A139" s="89">
        <v>16</v>
      </c>
      <c r="B139" s="90"/>
      <c r="C139" s="90"/>
      <c r="D139" s="92" t="s">
        <v>206</v>
      </c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4"/>
      <c r="U139" s="96">
        <v>64070</v>
      </c>
      <c r="V139" s="97"/>
      <c r="W139" s="97"/>
      <c r="X139" s="97"/>
      <c r="Y139" s="98"/>
      <c r="Z139" s="96">
        <v>0</v>
      </c>
      <c r="AA139" s="97"/>
      <c r="AB139" s="97"/>
      <c r="AC139" s="97"/>
      <c r="AD139" s="98"/>
      <c r="AE139" s="96">
        <v>0</v>
      </c>
      <c r="AF139" s="97"/>
      <c r="AG139" s="97"/>
      <c r="AH139" s="98"/>
      <c r="AI139" s="96">
        <f>IF(ISNUMBER(U139),U139,0)+IF(ISNUMBER(Z139),Z139,0)</f>
        <v>64070</v>
      </c>
      <c r="AJ139" s="97"/>
      <c r="AK139" s="97"/>
      <c r="AL139" s="97"/>
      <c r="AM139" s="98"/>
      <c r="AN139" s="96">
        <v>0</v>
      </c>
      <c r="AO139" s="97"/>
      <c r="AP139" s="97"/>
      <c r="AQ139" s="97"/>
      <c r="AR139" s="98"/>
      <c r="AS139" s="96">
        <v>0</v>
      </c>
      <c r="AT139" s="97"/>
      <c r="AU139" s="97"/>
      <c r="AV139" s="97"/>
      <c r="AW139" s="98"/>
      <c r="AX139" s="96">
        <v>0</v>
      </c>
      <c r="AY139" s="97"/>
      <c r="AZ139" s="97"/>
      <c r="BA139" s="98"/>
      <c r="BB139" s="96">
        <f>IF(ISNUMBER(AN139),AN139,0)+IF(ISNUMBER(AS139),AS139,0)</f>
        <v>0</v>
      </c>
      <c r="BC139" s="97"/>
      <c r="BD139" s="97"/>
      <c r="BE139" s="97"/>
      <c r="BF139" s="98"/>
      <c r="BG139" s="96">
        <v>0</v>
      </c>
      <c r="BH139" s="97"/>
      <c r="BI139" s="97"/>
      <c r="BJ139" s="97"/>
      <c r="BK139" s="98"/>
      <c r="BL139" s="96">
        <v>0</v>
      </c>
      <c r="BM139" s="97"/>
      <c r="BN139" s="97"/>
      <c r="BO139" s="97"/>
      <c r="BP139" s="98"/>
      <c r="BQ139" s="96">
        <v>0</v>
      </c>
      <c r="BR139" s="97"/>
      <c r="BS139" s="97"/>
      <c r="BT139" s="98"/>
      <c r="BU139" s="96">
        <f>IF(ISNUMBER(BG139),BG139,0)+IF(ISNUMBER(BL139),BL139,0)</f>
        <v>0</v>
      </c>
      <c r="BV139" s="97"/>
      <c r="BW139" s="97"/>
      <c r="BX139" s="97"/>
      <c r="BY139" s="98"/>
    </row>
    <row r="140" spans="1:77" s="99" customFormat="1" ht="25.5" customHeight="1" x14ac:dyDescent="0.2">
      <c r="A140" s="89">
        <v>17</v>
      </c>
      <c r="B140" s="90"/>
      <c r="C140" s="90"/>
      <c r="D140" s="92" t="s">
        <v>207</v>
      </c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4"/>
      <c r="U140" s="96">
        <v>0</v>
      </c>
      <c r="V140" s="97"/>
      <c r="W140" s="97"/>
      <c r="X140" s="97"/>
      <c r="Y140" s="98"/>
      <c r="Z140" s="96">
        <v>0</v>
      </c>
      <c r="AA140" s="97"/>
      <c r="AB140" s="97"/>
      <c r="AC140" s="97"/>
      <c r="AD140" s="98"/>
      <c r="AE140" s="96">
        <v>0</v>
      </c>
      <c r="AF140" s="97"/>
      <c r="AG140" s="97"/>
      <c r="AH140" s="98"/>
      <c r="AI140" s="96">
        <f>IF(ISNUMBER(U140),U140,0)+IF(ISNUMBER(Z140),Z140,0)</f>
        <v>0</v>
      </c>
      <c r="AJ140" s="97"/>
      <c r="AK140" s="97"/>
      <c r="AL140" s="97"/>
      <c r="AM140" s="98"/>
      <c r="AN140" s="96">
        <v>0</v>
      </c>
      <c r="AO140" s="97"/>
      <c r="AP140" s="97"/>
      <c r="AQ140" s="97"/>
      <c r="AR140" s="98"/>
      <c r="AS140" s="96">
        <v>0</v>
      </c>
      <c r="AT140" s="97"/>
      <c r="AU140" s="97"/>
      <c r="AV140" s="97"/>
      <c r="AW140" s="98"/>
      <c r="AX140" s="96">
        <v>0</v>
      </c>
      <c r="AY140" s="97"/>
      <c r="AZ140" s="97"/>
      <c r="BA140" s="98"/>
      <c r="BB140" s="96">
        <f>IF(ISNUMBER(AN140),AN140,0)+IF(ISNUMBER(AS140),AS140,0)</f>
        <v>0</v>
      </c>
      <c r="BC140" s="97"/>
      <c r="BD140" s="97"/>
      <c r="BE140" s="97"/>
      <c r="BF140" s="98"/>
      <c r="BG140" s="96">
        <v>0</v>
      </c>
      <c r="BH140" s="97"/>
      <c r="BI140" s="97"/>
      <c r="BJ140" s="97"/>
      <c r="BK140" s="98"/>
      <c r="BL140" s="96">
        <v>0</v>
      </c>
      <c r="BM140" s="97"/>
      <c r="BN140" s="97"/>
      <c r="BO140" s="97"/>
      <c r="BP140" s="98"/>
      <c r="BQ140" s="96">
        <v>0</v>
      </c>
      <c r="BR140" s="97"/>
      <c r="BS140" s="97"/>
      <c r="BT140" s="98"/>
      <c r="BU140" s="96">
        <f>IF(ISNUMBER(BG140),BG140,0)+IF(ISNUMBER(BL140),BL140,0)</f>
        <v>0</v>
      </c>
      <c r="BV140" s="97"/>
      <c r="BW140" s="97"/>
      <c r="BX140" s="97"/>
      <c r="BY140" s="98"/>
    </row>
    <row r="141" spans="1:77" s="99" customFormat="1" ht="25.5" customHeight="1" x14ac:dyDescent="0.2">
      <c r="A141" s="89">
        <v>18</v>
      </c>
      <c r="B141" s="90"/>
      <c r="C141" s="90"/>
      <c r="D141" s="92" t="s">
        <v>208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4"/>
      <c r="U141" s="96">
        <v>0</v>
      </c>
      <c r="V141" s="97"/>
      <c r="W141" s="97"/>
      <c r="X141" s="97"/>
      <c r="Y141" s="98"/>
      <c r="Z141" s="96">
        <v>0</v>
      </c>
      <c r="AA141" s="97"/>
      <c r="AB141" s="97"/>
      <c r="AC141" s="97"/>
      <c r="AD141" s="98"/>
      <c r="AE141" s="96">
        <v>0</v>
      </c>
      <c r="AF141" s="97"/>
      <c r="AG141" s="97"/>
      <c r="AH141" s="98"/>
      <c r="AI141" s="96">
        <f>IF(ISNUMBER(U141),U141,0)+IF(ISNUMBER(Z141),Z141,0)</f>
        <v>0</v>
      </c>
      <c r="AJ141" s="97"/>
      <c r="AK141" s="97"/>
      <c r="AL141" s="97"/>
      <c r="AM141" s="98"/>
      <c r="AN141" s="96">
        <v>0</v>
      </c>
      <c r="AO141" s="97"/>
      <c r="AP141" s="97"/>
      <c r="AQ141" s="97"/>
      <c r="AR141" s="98"/>
      <c r="AS141" s="96">
        <v>0</v>
      </c>
      <c r="AT141" s="97"/>
      <c r="AU141" s="97"/>
      <c r="AV141" s="97"/>
      <c r="AW141" s="98"/>
      <c r="AX141" s="96">
        <v>0</v>
      </c>
      <c r="AY141" s="97"/>
      <c r="AZ141" s="97"/>
      <c r="BA141" s="98"/>
      <c r="BB141" s="96">
        <f>IF(ISNUMBER(AN141),AN141,0)+IF(ISNUMBER(AS141),AS141,0)</f>
        <v>0</v>
      </c>
      <c r="BC141" s="97"/>
      <c r="BD141" s="97"/>
      <c r="BE141" s="97"/>
      <c r="BF141" s="98"/>
      <c r="BG141" s="96">
        <v>0</v>
      </c>
      <c r="BH141" s="97"/>
      <c r="BI141" s="97"/>
      <c r="BJ141" s="97"/>
      <c r="BK141" s="98"/>
      <c r="BL141" s="96">
        <v>0</v>
      </c>
      <c r="BM141" s="97"/>
      <c r="BN141" s="97"/>
      <c r="BO141" s="97"/>
      <c r="BP141" s="98"/>
      <c r="BQ141" s="96">
        <v>0</v>
      </c>
      <c r="BR141" s="97"/>
      <c r="BS141" s="97"/>
      <c r="BT141" s="98"/>
      <c r="BU141" s="96">
        <f>IF(ISNUMBER(BG141),BG141,0)+IF(ISNUMBER(BL141),BL141,0)</f>
        <v>0</v>
      </c>
      <c r="BV141" s="97"/>
      <c r="BW141" s="97"/>
      <c r="BX141" s="97"/>
      <c r="BY141" s="98"/>
    </row>
    <row r="142" spans="1:77" s="99" customFormat="1" ht="12.75" customHeight="1" x14ac:dyDescent="0.2">
      <c r="A142" s="89">
        <v>19</v>
      </c>
      <c r="B142" s="90"/>
      <c r="C142" s="90"/>
      <c r="D142" s="92" t="s">
        <v>209</v>
      </c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4"/>
      <c r="U142" s="96">
        <v>79566</v>
      </c>
      <c r="V142" s="97"/>
      <c r="W142" s="97"/>
      <c r="X142" s="97"/>
      <c r="Y142" s="98"/>
      <c r="Z142" s="96">
        <v>0</v>
      </c>
      <c r="AA142" s="97"/>
      <c r="AB142" s="97"/>
      <c r="AC142" s="97"/>
      <c r="AD142" s="98"/>
      <c r="AE142" s="96">
        <v>0</v>
      </c>
      <c r="AF142" s="97"/>
      <c r="AG142" s="97"/>
      <c r="AH142" s="98"/>
      <c r="AI142" s="96">
        <f>IF(ISNUMBER(U142),U142,0)+IF(ISNUMBER(Z142),Z142,0)</f>
        <v>79566</v>
      </c>
      <c r="AJ142" s="97"/>
      <c r="AK142" s="97"/>
      <c r="AL142" s="97"/>
      <c r="AM142" s="98"/>
      <c r="AN142" s="96">
        <v>87840</v>
      </c>
      <c r="AO142" s="97"/>
      <c r="AP142" s="97"/>
      <c r="AQ142" s="97"/>
      <c r="AR142" s="98"/>
      <c r="AS142" s="96">
        <v>0</v>
      </c>
      <c r="AT142" s="97"/>
      <c r="AU142" s="97"/>
      <c r="AV142" s="97"/>
      <c r="AW142" s="98"/>
      <c r="AX142" s="96">
        <v>0</v>
      </c>
      <c r="AY142" s="97"/>
      <c r="AZ142" s="97"/>
      <c r="BA142" s="98"/>
      <c r="BB142" s="96">
        <f>IF(ISNUMBER(AN142),AN142,0)+IF(ISNUMBER(AS142),AS142,0)</f>
        <v>87840</v>
      </c>
      <c r="BC142" s="97"/>
      <c r="BD142" s="97"/>
      <c r="BE142" s="97"/>
      <c r="BF142" s="98"/>
      <c r="BG142" s="96">
        <v>0</v>
      </c>
      <c r="BH142" s="97"/>
      <c r="BI142" s="97"/>
      <c r="BJ142" s="97"/>
      <c r="BK142" s="98"/>
      <c r="BL142" s="96">
        <v>0</v>
      </c>
      <c r="BM142" s="97"/>
      <c r="BN142" s="97"/>
      <c r="BO142" s="97"/>
      <c r="BP142" s="98"/>
      <c r="BQ142" s="96">
        <v>0</v>
      </c>
      <c r="BR142" s="97"/>
      <c r="BS142" s="97"/>
      <c r="BT142" s="98"/>
      <c r="BU142" s="96">
        <f>IF(ISNUMBER(BG142),BG142,0)+IF(ISNUMBER(BL142),BL142,0)</f>
        <v>0</v>
      </c>
      <c r="BV142" s="97"/>
      <c r="BW142" s="97"/>
      <c r="BX142" s="97"/>
      <c r="BY142" s="98"/>
    </row>
    <row r="143" spans="1:77" s="99" customFormat="1" ht="12.75" customHeight="1" x14ac:dyDescent="0.2">
      <c r="A143" s="89">
        <v>20</v>
      </c>
      <c r="B143" s="90"/>
      <c r="C143" s="90"/>
      <c r="D143" s="92" t="s">
        <v>210</v>
      </c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4"/>
      <c r="U143" s="96">
        <v>1600</v>
      </c>
      <c r="V143" s="97"/>
      <c r="W143" s="97"/>
      <c r="X143" s="97"/>
      <c r="Y143" s="98"/>
      <c r="Z143" s="96">
        <v>0</v>
      </c>
      <c r="AA143" s="97"/>
      <c r="AB143" s="97"/>
      <c r="AC143" s="97"/>
      <c r="AD143" s="98"/>
      <c r="AE143" s="96">
        <v>0</v>
      </c>
      <c r="AF143" s="97"/>
      <c r="AG143" s="97"/>
      <c r="AH143" s="98"/>
      <c r="AI143" s="96">
        <f>IF(ISNUMBER(U143),U143,0)+IF(ISNUMBER(Z143),Z143,0)</f>
        <v>1600</v>
      </c>
      <c r="AJ143" s="97"/>
      <c r="AK143" s="97"/>
      <c r="AL143" s="97"/>
      <c r="AM143" s="98"/>
      <c r="AN143" s="96">
        <v>1600</v>
      </c>
      <c r="AO143" s="97"/>
      <c r="AP143" s="97"/>
      <c r="AQ143" s="97"/>
      <c r="AR143" s="98"/>
      <c r="AS143" s="96">
        <v>0</v>
      </c>
      <c r="AT143" s="97"/>
      <c r="AU143" s="97"/>
      <c r="AV143" s="97"/>
      <c r="AW143" s="98"/>
      <c r="AX143" s="96">
        <v>0</v>
      </c>
      <c r="AY143" s="97"/>
      <c r="AZ143" s="97"/>
      <c r="BA143" s="98"/>
      <c r="BB143" s="96">
        <f>IF(ISNUMBER(AN143),AN143,0)+IF(ISNUMBER(AS143),AS143,0)</f>
        <v>1600</v>
      </c>
      <c r="BC143" s="97"/>
      <c r="BD143" s="97"/>
      <c r="BE143" s="97"/>
      <c r="BF143" s="98"/>
      <c r="BG143" s="96">
        <v>0</v>
      </c>
      <c r="BH143" s="97"/>
      <c r="BI143" s="97"/>
      <c r="BJ143" s="97"/>
      <c r="BK143" s="98"/>
      <c r="BL143" s="96">
        <v>0</v>
      </c>
      <c r="BM143" s="97"/>
      <c r="BN143" s="97"/>
      <c r="BO143" s="97"/>
      <c r="BP143" s="98"/>
      <c r="BQ143" s="96">
        <v>0</v>
      </c>
      <c r="BR143" s="97"/>
      <c r="BS143" s="97"/>
      <c r="BT143" s="98"/>
      <c r="BU143" s="96">
        <f>IF(ISNUMBER(BG143),BG143,0)+IF(ISNUMBER(BL143),BL143,0)</f>
        <v>0</v>
      </c>
      <c r="BV143" s="97"/>
      <c r="BW143" s="97"/>
      <c r="BX143" s="97"/>
      <c r="BY143" s="98"/>
    </row>
    <row r="144" spans="1:77" s="99" customFormat="1" ht="12.75" customHeight="1" x14ac:dyDescent="0.2">
      <c r="A144" s="89">
        <v>21</v>
      </c>
      <c r="B144" s="90"/>
      <c r="C144" s="90"/>
      <c r="D144" s="92" t="s">
        <v>211</v>
      </c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4"/>
      <c r="U144" s="96">
        <v>49200</v>
      </c>
      <c r="V144" s="97"/>
      <c r="W144" s="97"/>
      <c r="X144" s="97"/>
      <c r="Y144" s="98"/>
      <c r="Z144" s="96">
        <v>0</v>
      </c>
      <c r="AA144" s="97"/>
      <c r="AB144" s="97"/>
      <c r="AC144" s="97"/>
      <c r="AD144" s="98"/>
      <c r="AE144" s="96">
        <v>0</v>
      </c>
      <c r="AF144" s="97"/>
      <c r="AG144" s="97"/>
      <c r="AH144" s="98"/>
      <c r="AI144" s="96">
        <f>IF(ISNUMBER(U144),U144,0)+IF(ISNUMBER(Z144),Z144,0)</f>
        <v>49200</v>
      </c>
      <c r="AJ144" s="97"/>
      <c r="AK144" s="97"/>
      <c r="AL144" s="97"/>
      <c r="AM144" s="98"/>
      <c r="AN144" s="96">
        <v>49900</v>
      </c>
      <c r="AO144" s="97"/>
      <c r="AP144" s="97"/>
      <c r="AQ144" s="97"/>
      <c r="AR144" s="98"/>
      <c r="AS144" s="96">
        <v>0</v>
      </c>
      <c r="AT144" s="97"/>
      <c r="AU144" s="97"/>
      <c r="AV144" s="97"/>
      <c r="AW144" s="98"/>
      <c r="AX144" s="96">
        <v>0</v>
      </c>
      <c r="AY144" s="97"/>
      <c r="AZ144" s="97"/>
      <c r="BA144" s="98"/>
      <c r="BB144" s="96">
        <f>IF(ISNUMBER(AN144),AN144,0)+IF(ISNUMBER(AS144),AS144,0)</f>
        <v>49900</v>
      </c>
      <c r="BC144" s="97"/>
      <c r="BD144" s="97"/>
      <c r="BE144" s="97"/>
      <c r="BF144" s="98"/>
      <c r="BG144" s="96">
        <v>0</v>
      </c>
      <c r="BH144" s="97"/>
      <c r="BI144" s="97"/>
      <c r="BJ144" s="97"/>
      <c r="BK144" s="98"/>
      <c r="BL144" s="96">
        <v>0</v>
      </c>
      <c r="BM144" s="97"/>
      <c r="BN144" s="97"/>
      <c r="BO144" s="97"/>
      <c r="BP144" s="98"/>
      <c r="BQ144" s="96">
        <v>0</v>
      </c>
      <c r="BR144" s="97"/>
      <c r="BS144" s="97"/>
      <c r="BT144" s="98"/>
      <c r="BU144" s="96">
        <f>IF(ISNUMBER(BG144),BG144,0)+IF(ISNUMBER(BL144),BL144,0)</f>
        <v>0</v>
      </c>
      <c r="BV144" s="97"/>
      <c r="BW144" s="97"/>
      <c r="BX144" s="97"/>
      <c r="BY144" s="98"/>
    </row>
    <row r="145" spans="1:77" s="99" customFormat="1" ht="12.75" customHeight="1" x14ac:dyDescent="0.2">
      <c r="A145" s="89">
        <v>22</v>
      </c>
      <c r="B145" s="90"/>
      <c r="C145" s="90"/>
      <c r="D145" s="92" t="s">
        <v>212</v>
      </c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4"/>
      <c r="U145" s="96">
        <v>49900</v>
      </c>
      <c r="V145" s="97"/>
      <c r="W145" s="97"/>
      <c r="X145" s="97"/>
      <c r="Y145" s="98"/>
      <c r="Z145" s="96">
        <v>0</v>
      </c>
      <c r="AA145" s="97"/>
      <c r="AB145" s="97"/>
      <c r="AC145" s="97"/>
      <c r="AD145" s="98"/>
      <c r="AE145" s="96">
        <v>0</v>
      </c>
      <c r="AF145" s="97"/>
      <c r="AG145" s="97"/>
      <c r="AH145" s="98"/>
      <c r="AI145" s="96">
        <f>IF(ISNUMBER(U145),U145,0)+IF(ISNUMBER(Z145),Z145,0)</f>
        <v>49900</v>
      </c>
      <c r="AJ145" s="97"/>
      <c r="AK145" s="97"/>
      <c r="AL145" s="97"/>
      <c r="AM145" s="98"/>
      <c r="AN145" s="96">
        <v>10000</v>
      </c>
      <c r="AO145" s="97"/>
      <c r="AP145" s="97"/>
      <c r="AQ145" s="97"/>
      <c r="AR145" s="98"/>
      <c r="AS145" s="96">
        <v>0</v>
      </c>
      <c r="AT145" s="97"/>
      <c r="AU145" s="97"/>
      <c r="AV145" s="97"/>
      <c r="AW145" s="98"/>
      <c r="AX145" s="96">
        <v>0</v>
      </c>
      <c r="AY145" s="97"/>
      <c r="AZ145" s="97"/>
      <c r="BA145" s="98"/>
      <c r="BB145" s="96">
        <f>IF(ISNUMBER(AN145),AN145,0)+IF(ISNUMBER(AS145),AS145,0)</f>
        <v>10000</v>
      </c>
      <c r="BC145" s="97"/>
      <c r="BD145" s="97"/>
      <c r="BE145" s="97"/>
      <c r="BF145" s="98"/>
      <c r="BG145" s="96">
        <v>0</v>
      </c>
      <c r="BH145" s="97"/>
      <c r="BI145" s="97"/>
      <c r="BJ145" s="97"/>
      <c r="BK145" s="98"/>
      <c r="BL145" s="96">
        <v>0</v>
      </c>
      <c r="BM145" s="97"/>
      <c r="BN145" s="97"/>
      <c r="BO145" s="97"/>
      <c r="BP145" s="98"/>
      <c r="BQ145" s="96">
        <v>0</v>
      </c>
      <c r="BR145" s="97"/>
      <c r="BS145" s="97"/>
      <c r="BT145" s="98"/>
      <c r="BU145" s="96">
        <f>IF(ISNUMBER(BG145),BG145,0)+IF(ISNUMBER(BL145),BL145,0)</f>
        <v>0</v>
      </c>
      <c r="BV145" s="97"/>
      <c r="BW145" s="97"/>
      <c r="BX145" s="97"/>
      <c r="BY145" s="98"/>
    </row>
    <row r="146" spans="1:77" s="99" customFormat="1" ht="25.5" customHeight="1" x14ac:dyDescent="0.2">
      <c r="A146" s="89">
        <v>23</v>
      </c>
      <c r="B146" s="90"/>
      <c r="C146" s="90"/>
      <c r="D146" s="92" t="s">
        <v>213</v>
      </c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4"/>
      <c r="U146" s="96">
        <v>0</v>
      </c>
      <c r="V146" s="97"/>
      <c r="W146" s="97"/>
      <c r="X146" s="97"/>
      <c r="Y146" s="98"/>
      <c r="Z146" s="96">
        <v>0</v>
      </c>
      <c r="AA146" s="97"/>
      <c r="AB146" s="97"/>
      <c r="AC146" s="97"/>
      <c r="AD146" s="98"/>
      <c r="AE146" s="96">
        <v>0</v>
      </c>
      <c r="AF146" s="97"/>
      <c r="AG146" s="97"/>
      <c r="AH146" s="98"/>
      <c r="AI146" s="96">
        <f>IF(ISNUMBER(U146),U146,0)+IF(ISNUMBER(Z146),Z146,0)</f>
        <v>0</v>
      </c>
      <c r="AJ146" s="97"/>
      <c r="AK146" s="97"/>
      <c r="AL146" s="97"/>
      <c r="AM146" s="98"/>
      <c r="AN146" s="96">
        <v>0</v>
      </c>
      <c r="AO146" s="97"/>
      <c r="AP146" s="97"/>
      <c r="AQ146" s="97"/>
      <c r="AR146" s="98"/>
      <c r="AS146" s="96">
        <v>0</v>
      </c>
      <c r="AT146" s="97"/>
      <c r="AU146" s="97"/>
      <c r="AV146" s="97"/>
      <c r="AW146" s="98"/>
      <c r="AX146" s="96">
        <v>0</v>
      </c>
      <c r="AY146" s="97"/>
      <c r="AZ146" s="97"/>
      <c r="BA146" s="98"/>
      <c r="BB146" s="96">
        <f>IF(ISNUMBER(AN146),AN146,0)+IF(ISNUMBER(AS146),AS146,0)</f>
        <v>0</v>
      </c>
      <c r="BC146" s="97"/>
      <c r="BD146" s="97"/>
      <c r="BE146" s="97"/>
      <c r="BF146" s="98"/>
      <c r="BG146" s="96">
        <v>0</v>
      </c>
      <c r="BH146" s="97"/>
      <c r="BI146" s="97"/>
      <c r="BJ146" s="97"/>
      <c r="BK146" s="98"/>
      <c r="BL146" s="96">
        <v>0</v>
      </c>
      <c r="BM146" s="97"/>
      <c r="BN146" s="97"/>
      <c r="BO146" s="97"/>
      <c r="BP146" s="98"/>
      <c r="BQ146" s="96">
        <v>0</v>
      </c>
      <c r="BR146" s="97"/>
      <c r="BS146" s="97"/>
      <c r="BT146" s="98"/>
      <c r="BU146" s="96">
        <f>IF(ISNUMBER(BG146),BG146,0)+IF(ISNUMBER(BL146),BL146,0)</f>
        <v>0</v>
      </c>
      <c r="BV146" s="97"/>
      <c r="BW146" s="97"/>
      <c r="BX146" s="97"/>
      <c r="BY146" s="98"/>
    </row>
    <row r="147" spans="1:77" s="99" customFormat="1" ht="25.5" customHeight="1" x14ac:dyDescent="0.2">
      <c r="A147" s="89">
        <v>24</v>
      </c>
      <c r="B147" s="90"/>
      <c r="C147" s="90"/>
      <c r="D147" s="92" t="s">
        <v>214</v>
      </c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4"/>
      <c r="U147" s="96">
        <v>0</v>
      </c>
      <c r="V147" s="97"/>
      <c r="W147" s="97"/>
      <c r="X147" s="97"/>
      <c r="Y147" s="98"/>
      <c r="Z147" s="96">
        <v>0</v>
      </c>
      <c r="AA147" s="97"/>
      <c r="AB147" s="97"/>
      <c r="AC147" s="97"/>
      <c r="AD147" s="98"/>
      <c r="AE147" s="96">
        <v>0</v>
      </c>
      <c r="AF147" s="97"/>
      <c r="AG147" s="97"/>
      <c r="AH147" s="98"/>
      <c r="AI147" s="96">
        <f>IF(ISNUMBER(U147),U147,0)+IF(ISNUMBER(Z147),Z147,0)</f>
        <v>0</v>
      </c>
      <c r="AJ147" s="97"/>
      <c r="AK147" s="97"/>
      <c r="AL147" s="97"/>
      <c r="AM147" s="98"/>
      <c r="AN147" s="96">
        <v>0</v>
      </c>
      <c r="AO147" s="97"/>
      <c r="AP147" s="97"/>
      <c r="AQ147" s="97"/>
      <c r="AR147" s="98"/>
      <c r="AS147" s="96">
        <v>0</v>
      </c>
      <c r="AT147" s="97"/>
      <c r="AU147" s="97"/>
      <c r="AV147" s="97"/>
      <c r="AW147" s="98"/>
      <c r="AX147" s="96">
        <v>0</v>
      </c>
      <c r="AY147" s="97"/>
      <c r="AZ147" s="97"/>
      <c r="BA147" s="98"/>
      <c r="BB147" s="96">
        <f>IF(ISNUMBER(AN147),AN147,0)+IF(ISNUMBER(AS147),AS147,0)</f>
        <v>0</v>
      </c>
      <c r="BC147" s="97"/>
      <c r="BD147" s="97"/>
      <c r="BE147" s="97"/>
      <c r="BF147" s="98"/>
      <c r="BG147" s="96">
        <v>0</v>
      </c>
      <c r="BH147" s="97"/>
      <c r="BI147" s="97"/>
      <c r="BJ147" s="97"/>
      <c r="BK147" s="98"/>
      <c r="BL147" s="96">
        <v>0</v>
      </c>
      <c r="BM147" s="97"/>
      <c r="BN147" s="97"/>
      <c r="BO147" s="97"/>
      <c r="BP147" s="98"/>
      <c r="BQ147" s="96">
        <v>0</v>
      </c>
      <c r="BR147" s="97"/>
      <c r="BS147" s="97"/>
      <c r="BT147" s="98"/>
      <c r="BU147" s="96">
        <f>IF(ISNUMBER(BG147),BG147,0)+IF(ISNUMBER(BL147),BL147,0)</f>
        <v>0</v>
      </c>
      <c r="BV147" s="97"/>
      <c r="BW147" s="97"/>
      <c r="BX147" s="97"/>
      <c r="BY147" s="98"/>
    </row>
    <row r="148" spans="1:77" s="99" customFormat="1" ht="12.75" customHeight="1" x14ac:dyDescent="0.2">
      <c r="A148" s="89">
        <v>25</v>
      </c>
      <c r="B148" s="90"/>
      <c r="C148" s="90"/>
      <c r="D148" s="92" t="s">
        <v>215</v>
      </c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4"/>
      <c r="U148" s="96">
        <v>3000</v>
      </c>
      <c r="V148" s="97"/>
      <c r="W148" s="97"/>
      <c r="X148" s="97"/>
      <c r="Y148" s="98"/>
      <c r="Z148" s="96">
        <v>0</v>
      </c>
      <c r="AA148" s="97"/>
      <c r="AB148" s="97"/>
      <c r="AC148" s="97"/>
      <c r="AD148" s="98"/>
      <c r="AE148" s="96">
        <v>0</v>
      </c>
      <c r="AF148" s="97"/>
      <c r="AG148" s="97"/>
      <c r="AH148" s="98"/>
      <c r="AI148" s="96">
        <f>IF(ISNUMBER(U148),U148,0)+IF(ISNUMBER(Z148),Z148,0)</f>
        <v>3000</v>
      </c>
      <c r="AJ148" s="97"/>
      <c r="AK148" s="97"/>
      <c r="AL148" s="97"/>
      <c r="AM148" s="98"/>
      <c r="AN148" s="96">
        <v>3000</v>
      </c>
      <c r="AO148" s="97"/>
      <c r="AP148" s="97"/>
      <c r="AQ148" s="97"/>
      <c r="AR148" s="98"/>
      <c r="AS148" s="96">
        <v>0</v>
      </c>
      <c r="AT148" s="97"/>
      <c r="AU148" s="97"/>
      <c r="AV148" s="97"/>
      <c r="AW148" s="98"/>
      <c r="AX148" s="96">
        <v>0</v>
      </c>
      <c r="AY148" s="97"/>
      <c r="AZ148" s="97"/>
      <c r="BA148" s="98"/>
      <c r="BB148" s="96">
        <f>IF(ISNUMBER(AN148),AN148,0)+IF(ISNUMBER(AS148),AS148,0)</f>
        <v>3000</v>
      </c>
      <c r="BC148" s="97"/>
      <c r="BD148" s="97"/>
      <c r="BE148" s="97"/>
      <c r="BF148" s="98"/>
      <c r="BG148" s="96">
        <v>0</v>
      </c>
      <c r="BH148" s="97"/>
      <c r="BI148" s="97"/>
      <c r="BJ148" s="97"/>
      <c r="BK148" s="98"/>
      <c r="BL148" s="96">
        <v>0</v>
      </c>
      <c r="BM148" s="97"/>
      <c r="BN148" s="97"/>
      <c r="BO148" s="97"/>
      <c r="BP148" s="98"/>
      <c r="BQ148" s="96">
        <v>0</v>
      </c>
      <c r="BR148" s="97"/>
      <c r="BS148" s="97"/>
      <c r="BT148" s="98"/>
      <c r="BU148" s="96">
        <f>IF(ISNUMBER(BG148),BG148,0)+IF(ISNUMBER(BL148),BL148,0)</f>
        <v>0</v>
      </c>
      <c r="BV148" s="97"/>
      <c r="BW148" s="97"/>
      <c r="BX148" s="97"/>
      <c r="BY148" s="98"/>
    </row>
    <row r="149" spans="1:77" s="99" customFormat="1" ht="25.5" customHeight="1" x14ac:dyDescent="0.2">
      <c r="A149" s="89">
        <v>26</v>
      </c>
      <c r="B149" s="90"/>
      <c r="C149" s="90"/>
      <c r="D149" s="92" t="s">
        <v>216</v>
      </c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4"/>
      <c r="U149" s="96">
        <v>0</v>
      </c>
      <c r="V149" s="97"/>
      <c r="W149" s="97"/>
      <c r="X149" s="97"/>
      <c r="Y149" s="98"/>
      <c r="Z149" s="96">
        <v>0</v>
      </c>
      <c r="AA149" s="97"/>
      <c r="AB149" s="97"/>
      <c r="AC149" s="97"/>
      <c r="AD149" s="98"/>
      <c r="AE149" s="96">
        <v>0</v>
      </c>
      <c r="AF149" s="97"/>
      <c r="AG149" s="97"/>
      <c r="AH149" s="98"/>
      <c r="AI149" s="96">
        <f>IF(ISNUMBER(U149),U149,0)+IF(ISNUMBER(Z149),Z149,0)</f>
        <v>0</v>
      </c>
      <c r="AJ149" s="97"/>
      <c r="AK149" s="97"/>
      <c r="AL149" s="97"/>
      <c r="AM149" s="98"/>
      <c r="AN149" s="96">
        <v>0</v>
      </c>
      <c r="AO149" s="97"/>
      <c r="AP149" s="97"/>
      <c r="AQ149" s="97"/>
      <c r="AR149" s="98"/>
      <c r="AS149" s="96">
        <v>0</v>
      </c>
      <c r="AT149" s="97"/>
      <c r="AU149" s="97"/>
      <c r="AV149" s="97"/>
      <c r="AW149" s="98"/>
      <c r="AX149" s="96">
        <v>0</v>
      </c>
      <c r="AY149" s="97"/>
      <c r="AZ149" s="97"/>
      <c r="BA149" s="98"/>
      <c r="BB149" s="96">
        <f>IF(ISNUMBER(AN149),AN149,0)+IF(ISNUMBER(AS149),AS149,0)</f>
        <v>0</v>
      </c>
      <c r="BC149" s="97"/>
      <c r="BD149" s="97"/>
      <c r="BE149" s="97"/>
      <c r="BF149" s="98"/>
      <c r="BG149" s="96">
        <v>0</v>
      </c>
      <c r="BH149" s="97"/>
      <c r="BI149" s="97"/>
      <c r="BJ149" s="97"/>
      <c r="BK149" s="98"/>
      <c r="BL149" s="96">
        <v>0</v>
      </c>
      <c r="BM149" s="97"/>
      <c r="BN149" s="97"/>
      <c r="BO149" s="97"/>
      <c r="BP149" s="98"/>
      <c r="BQ149" s="96">
        <v>0</v>
      </c>
      <c r="BR149" s="97"/>
      <c r="BS149" s="97"/>
      <c r="BT149" s="98"/>
      <c r="BU149" s="96">
        <f>IF(ISNUMBER(BG149),BG149,0)+IF(ISNUMBER(BL149),BL149,0)</f>
        <v>0</v>
      </c>
      <c r="BV149" s="97"/>
      <c r="BW149" s="97"/>
      <c r="BX149" s="97"/>
      <c r="BY149" s="98"/>
    </row>
    <row r="150" spans="1:77" s="99" customFormat="1" ht="25.5" customHeight="1" x14ac:dyDescent="0.2">
      <c r="A150" s="89">
        <v>27</v>
      </c>
      <c r="B150" s="90"/>
      <c r="C150" s="90"/>
      <c r="D150" s="92" t="s">
        <v>217</v>
      </c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4"/>
      <c r="U150" s="96">
        <v>0</v>
      </c>
      <c r="V150" s="97"/>
      <c r="W150" s="97"/>
      <c r="X150" s="97"/>
      <c r="Y150" s="98"/>
      <c r="Z150" s="96">
        <v>0</v>
      </c>
      <c r="AA150" s="97"/>
      <c r="AB150" s="97"/>
      <c r="AC150" s="97"/>
      <c r="AD150" s="98"/>
      <c r="AE150" s="96">
        <v>0</v>
      </c>
      <c r="AF150" s="97"/>
      <c r="AG150" s="97"/>
      <c r="AH150" s="98"/>
      <c r="AI150" s="96">
        <f>IF(ISNUMBER(U150),U150,0)+IF(ISNUMBER(Z150),Z150,0)</f>
        <v>0</v>
      </c>
      <c r="AJ150" s="97"/>
      <c r="AK150" s="97"/>
      <c r="AL150" s="97"/>
      <c r="AM150" s="98"/>
      <c r="AN150" s="96">
        <v>0</v>
      </c>
      <c r="AO150" s="97"/>
      <c r="AP150" s="97"/>
      <c r="AQ150" s="97"/>
      <c r="AR150" s="98"/>
      <c r="AS150" s="96">
        <v>0</v>
      </c>
      <c r="AT150" s="97"/>
      <c r="AU150" s="97"/>
      <c r="AV150" s="97"/>
      <c r="AW150" s="98"/>
      <c r="AX150" s="96">
        <v>0</v>
      </c>
      <c r="AY150" s="97"/>
      <c r="AZ150" s="97"/>
      <c r="BA150" s="98"/>
      <c r="BB150" s="96">
        <f>IF(ISNUMBER(AN150),AN150,0)+IF(ISNUMBER(AS150),AS150,0)</f>
        <v>0</v>
      </c>
      <c r="BC150" s="97"/>
      <c r="BD150" s="97"/>
      <c r="BE150" s="97"/>
      <c r="BF150" s="98"/>
      <c r="BG150" s="96">
        <v>0</v>
      </c>
      <c r="BH150" s="97"/>
      <c r="BI150" s="97"/>
      <c r="BJ150" s="97"/>
      <c r="BK150" s="98"/>
      <c r="BL150" s="96">
        <v>0</v>
      </c>
      <c r="BM150" s="97"/>
      <c r="BN150" s="97"/>
      <c r="BO150" s="97"/>
      <c r="BP150" s="98"/>
      <c r="BQ150" s="96">
        <v>0</v>
      </c>
      <c r="BR150" s="97"/>
      <c r="BS150" s="97"/>
      <c r="BT150" s="98"/>
      <c r="BU150" s="96">
        <f>IF(ISNUMBER(BG150),BG150,0)+IF(ISNUMBER(BL150),BL150,0)</f>
        <v>0</v>
      </c>
      <c r="BV150" s="97"/>
      <c r="BW150" s="97"/>
      <c r="BX150" s="97"/>
      <c r="BY150" s="98"/>
    </row>
    <row r="151" spans="1:77" s="99" customFormat="1" ht="25.5" customHeight="1" x14ac:dyDescent="0.2">
      <c r="A151" s="89">
        <v>28</v>
      </c>
      <c r="B151" s="90"/>
      <c r="C151" s="90"/>
      <c r="D151" s="92" t="s">
        <v>218</v>
      </c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4"/>
      <c r="U151" s="96">
        <v>99800</v>
      </c>
      <c r="V151" s="97"/>
      <c r="W151" s="97"/>
      <c r="X151" s="97"/>
      <c r="Y151" s="98"/>
      <c r="Z151" s="96">
        <v>0</v>
      </c>
      <c r="AA151" s="97"/>
      <c r="AB151" s="97"/>
      <c r="AC151" s="97"/>
      <c r="AD151" s="98"/>
      <c r="AE151" s="96">
        <v>0</v>
      </c>
      <c r="AF151" s="97"/>
      <c r="AG151" s="97"/>
      <c r="AH151" s="98"/>
      <c r="AI151" s="96">
        <f>IF(ISNUMBER(U151),U151,0)+IF(ISNUMBER(Z151),Z151,0)</f>
        <v>99800</v>
      </c>
      <c r="AJ151" s="97"/>
      <c r="AK151" s="97"/>
      <c r="AL151" s="97"/>
      <c r="AM151" s="98"/>
      <c r="AN151" s="96">
        <v>49900</v>
      </c>
      <c r="AO151" s="97"/>
      <c r="AP151" s="97"/>
      <c r="AQ151" s="97"/>
      <c r="AR151" s="98"/>
      <c r="AS151" s="96">
        <v>0</v>
      </c>
      <c r="AT151" s="97"/>
      <c r="AU151" s="97"/>
      <c r="AV151" s="97"/>
      <c r="AW151" s="98"/>
      <c r="AX151" s="96">
        <v>0</v>
      </c>
      <c r="AY151" s="97"/>
      <c r="AZ151" s="97"/>
      <c r="BA151" s="98"/>
      <c r="BB151" s="96">
        <f>IF(ISNUMBER(AN151),AN151,0)+IF(ISNUMBER(AS151),AS151,0)</f>
        <v>49900</v>
      </c>
      <c r="BC151" s="97"/>
      <c r="BD151" s="97"/>
      <c r="BE151" s="97"/>
      <c r="BF151" s="98"/>
      <c r="BG151" s="96">
        <v>0</v>
      </c>
      <c r="BH151" s="97"/>
      <c r="BI151" s="97"/>
      <c r="BJ151" s="97"/>
      <c r="BK151" s="98"/>
      <c r="BL151" s="96">
        <v>0</v>
      </c>
      <c r="BM151" s="97"/>
      <c r="BN151" s="97"/>
      <c r="BO151" s="97"/>
      <c r="BP151" s="98"/>
      <c r="BQ151" s="96">
        <v>0</v>
      </c>
      <c r="BR151" s="97"/>
      <c r="BS151" s="97"/>
      <c r="BT151" s="98"/>
      <c r="BU151" s="96">
        <f>IF(ISNUMBER(BG151),BG151,0)+IF(ISNUMBER(BL151),BL151,0)</f>
        <v>0</v>
      </c>
      <c r="BV151" s="97"/>
      <c r="BW151" s="97"/>
      <c r="BX151" s="97"/>
      <c r="BY151" s="98"/>
    </row>
    <row r="152" spans="1:77" s="99" customFormat="1" ht="25.5" customHeight="1" x14ac:dyDescent="0.2">
      <c r="A152" s="89">
        <v>29</v>
      </c>
      <c r="B152" s="90"/>
      <c r="C152" s="90"/>
      <c r="D152" s="92" t="s">
        <v>219</v>
      </c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4"/>
      <c r="U152" s="96">
        <v>0</v>
      </c>
      <c r="V152" s="97"/>
      <c r="W152" s="97"/>
      <c r="X152" s="97"/>
      <c r="Y152" s="98"/>
      <c r="Z152" s="96">
        <v>0</v>
      </c>
      <c r="AA152" s="97"/>
      <c r="AB152" s="97"/>
      <c r="AC152" s="97"/>
      <c r="AD152" s="98"/>
      <c r="AE152" s="96">
        <v>0</v>
      </c>
      <c r="AF152" s="97"/>
      <c r="AG152" s="97"/>
      <c r="AH152" s="98"/>
      <c r="AI152" s="96">
        <f>IF(ISNUMBER(U152),U152,0)+IF(ISNUMBER(Z152),Z152,0)</f>
        <v>0</v>
      </c>
      <c r="AJ152" s="97"/>
      <c r="AK152" s="97"/>
      <c r="AL152" s="97"/>
      <c r="AM152" s="98"/>
      <c r="AN152" s="96">
        <v>0</v>
      </c>
      <c r="AO152" s="97"/>
      <c r="AP152" s="97"/>
      <c r="AQ152" s="97"/>
      <c r="AR152" s="98"/>
      <c r="AS152" s="96">
        <v>0</v>
      </c>
      <c r="AT152" s="97"/>
      <c r="AU152" s="97"/>
      <c r="AV152" s="97"/>
      <c r="AW152" s="98"/>
      <c r="AX152" s="96">
        <v>0</v>
      </c>
      <c r="AY152" s="97"/>
      <c r="AZ152" s="97"/>
      <c r="BA152" s="98"/>
      <c r="BB152" s="96">
        <f>IF(ISNUMBER(AN152),AN152,0)+IF(ISNUMBER(AS152),AS152,0)</f>
        <v>0</v>
      </c>
      <c r="BC152" s="97"/>
      <c r="BD152" s="97"/>
      <c r="BE152" s="97"/>
      <c r="BF152" s="98"/>
      <c r="BG152" s="96">
        <v>0</v>
      </c>
      <c r="BH152" s="97"/>
      <c r="BI152" s="97"/>
      <c r="BJ152" s="97"/>
      <c r="BK152" s="98"/>
      <c r="BL152" s="96">
        <v>0</v>
      </c>
      <c r="BM152" s="97"/>
      <c r="BN152" s="97"/>
      <c r="BO152" s="97"/>
      <c r="BP152" s="98"/>
      <c r="BQ152" s="96">
        <v>0</v>
      </c>
      <c r="BR152" s="97"/>
      <c r="BS152" s="97"/>
      <c r="BT152" s="98"/>
      <c r="BU152" s="96">
        <f>IF(ISNUMBER(BG152),BG152,0)+IF(ISNUMBER(BL152),BL152,0)</f>
        <v>0</v>
      </c>
      <c r="BV152" s="97"/>
      <c r="BW152" s="97"/>
      <c r="BX152" s="97"/>
      <c r="BY152" s="98"/>
    </row>
    <row r="153" spans="1:77" s="99" customFormat="1" ht="25.5" customHeight="1" x14ac:dyDescent="0.2">
      <c r="A153" s="89">
        <v>30</v>
      </c>
      <c r="B153" s="90"/>
      <c r="C153" s="90"/>
      <c r="D153" s="92" t="s">
        <v>220</v>
      </c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4"/>
      <c r="U153" s="96">
        <v>21600</v>
      </c>
      <c r="V153" s="97"/>
      <c r="W153" s="97"/>
      <c r="X153" s="97"/>
      <c r="Y153" s="98"/>
      <c r="Z153" s="96">
        <v>0</v>
      </c>
      <c r="AA153" s="97"/>
      <c r="AB153" s="97"/>
      <c r="AC153" s="97"/>
      <c r="AD153" s="98"/>
      <c r="AE153" s="96">
        <v>0</v>
      </c>
      <c r="AF153" s="97"/>
      <c r="AG153" s="97"/>
      <c r="AH153" s="98"/>
      <c r="AI153" s="96">
        <f>IF(ISNUMBER(U153),U153,0)+IF(ISNUMBER(Z153),Z153,0)</f>
        <v>21600</v>
      </c>
      <c r="AJ153" s="97"/>
      <c r="AK153" s="97"/>
      <c r="AL153" s="97"/>
      <c r="AM153" s="98"/>
      <c r="AN153" s="96">
        <v>0</v>
      </c>
      <c r="AO153" s="97"/>
      <c r="AP153" s="97"/>
      <c r="AQ153" s="97"/>
      <c r="AR153" s="98"/>
      <c r="AS153" s="96">
        <v>0</v>
      </c>
      <c r="AT153" s="97"/>
      <c r="AU153" s="97"/>
      <c r="AV153" s="97"/>
      <c r="AW153" s="98"/>
      <c r="AX153" s="96">
        <v>0</v>
      </c>
      <c r="AY153" s="97"/>
      <c r="AZ153" s="97"/>
      <c r="BA153" s="98"/>
      <c r="BB153" s="96">
        <f>IF(ISNUMBER(AN153),AN153,0)+IF(ISNUMBER(AS153),AS153,0)</f>
        <v>0</v>
      </c>
      <c r="BC153" s="97"/>
      <c r="BD153" s="97"/>
      <c r="BE153" s="97"/>
      <c r="BF153" s="98"/>
      <c r="BG153" s="96">
        <v>0</v>
      </c>
      <c r="BH153" s="97"/>
      <c r="BI153" s="97"/>
      <c r="BJ153" s="97"/>
      <c r="BK153" s="98"/>
      <c r="BL153" s="96">
        <v>0</v>
      </c>
      <c r="BM153" s="97"/>
      <c r="BN153" s="97"/>
      <c r="BO153" s="97"/>
      <c r="BP153" s="98"/>
      <c r="BQ153" s="96">
        <v>0</v>
      </c>
      <c r="BR153" s="97"/>
      <c r="BS153" s="97"/>
      <c r="BT153" s="98"/>
      <c r="BU153" s="96">
        <f>IF(ISNUMBER(BG153),BG153,0)+IF(ISNUMBER(BL153),BL153,0)</f>
        <v>0</v>
      </c>
      <c r="BV153" s="97"/>
      <c r="BW153" s="97"/>
      <c r="BX153" s="97"/>
      <c r="BY153" s="98"/>
    </row>
    <row r="154" spans="1:77" s="99" customFormat="1" ht="25.5" customHeight="1" x14ac:dyDescent="0.2">
      <c r="A154" s="89">
        <v>31</v>
      </c>
      <c r="B154" s="90"/>
      <c r="C154" s="90"/>
      <c r="D154" s="92" t="s">
        <v>221</v>
      </c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4"/>
      <c r="U154" s="96">
        <v>2500</v>
      </c>
      <c r="V154" s="97"/>
      <c r="W154" s="97"/>
      <c r="X154" s="97"/>
      <c r="Y154" s="98"/>
      <c r="Z154" s="96">
        <v>0</v>
      </c>
      <c r="AA154" s="97"/>
      <c r="AB154" s="97"/>
      <c r="AC154" s="97"/>
      <c r="AD154" s="98"/>
      <c r="AE154" s="96">
        <v>0</v>
      </c>
      <c r="AF154" s="97"/>
      <c r="AG154" s="97"/>
      <c r="AH154" s="98"/>
      <c r="AI154" s="96">
        <f>IF(ISNUMBER(U154),U154,0)+IF(ISNUMBER(Z154),Z154,0)</f>
        <v>2500</v>
      </c>
      <c r="AJ154" s="97"/>
      <c r="AK154" s="97"/>
      <c r="AL154" s="97"/>
      <c r="AM154" s="98"/>
      <c r="AN154" s="96">
        <v>0</v>
      </c>
      <c r="AO154" s="97"/>
      <c r="AP154" s="97"/>
      <c r="AQ154" s="97"/>
      <c r="AR154" s="98"/>
      <c r="AS154" s="96">
        <v>0</v>
      </c>
      <c r="AT154" s="97"/>
      <c r="AU154" s="97"/>
      <c r="AV154" s="97"/>
      <c r="AW154" s="98"/>
      <c r="AX154" s="96">
        <v>0</v>
      </c>
      <c r="AY154" s="97"/>
      <c r="AZ154" s="97"/>
      <c r="BA154" s="98"/>
      <c r="BB154" s="96">
        <f>IF(ISNUMBER(AN154),AN154,0)+IF(ISNUMBER(AS154),AS154,0)</f>
        <v>0</v>
      </c>
      <c r="BC154" s="97"/>
      <c r="BD154" s="97"/>
      <c r="BE154" s="97"/>
      <c r="BF154" s="98"/>
      <c r="BG154" s="96">
        <v>0</v>
      </c>
      <c r="BH154" s="97"/>
      <c r="BI154" s="97"/>
      <c r="BJ154" s="97"/>
      <c r="BK154" s="98"/>
      <c r="BL154" s="96">
        <v>0</v>
      </c>
      <c r="BM154" s="97"/>
      <c r="BN154" s="97"/>
      <c r="BO154" s="97"/>
      <c r="BP154" s="98"/>
      <c r="BQ154" s="96">
        <v>0</v>
      </c>
      <c r="BR154" s="97"/>
      <c r="BS154" s="97"/>
      <c r="BT154" s="98"/>
      <c r="BU154" s="96">
        <f>IF(ISNUMBER(BG154),BG154,0)+IF(ISNUMBER(BL154),BL154,0)</f>
        <v>0</v>
      </c>
      <c r="BV154" s="97"/>
      <c r="BW154" s="97"/>
      <c r="BX154" s="97"/>
      <c r="BY154" s="98"/>
    </row>
    <row r="155" spans="1:77" s="99" customFormat="1" ht="12.75" customHeight="1" x14ac:dyDescent="0.2">
      <c r="A155" s="89">
        <v>32</v>
      </c>
      <c r="B155" s="90"/>
      <c r="C155" s="90"/>
      <c r="D155" s="92" t="s">
        <v>222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4"/>
      <c r="U155" s="96">
        <v>0</v>
      </c>
      <c r="V155" s="97"/>
      <c r="W155" s="97"/>
      <c r="X155" s="97"/>
      <c r="Y155" s="98"/>
      <c r="Z155" s="96">
        <v>0</v>
      </c>
      <c r="AA155" s="97"/>
      <c r="AB155" s="97"/>
      <c r="AC155" s="97"/>
      <c r="AD155" s="98"/>
      <c r="AE155" s="96">
        <v>0</v>
      </c>
      <c r="AF155" s="97"/>
      <c r="AG155" s="97"/>
      <c r="AH155" s="98"/>
      <c r="AI155" s="96">
        <f>IF(ISNUMBER(U155),U155,0)+IF(ISNUMBER(Z155),Z155,0)</f>
        <v>0</v>
      </c>
      <c r="AJ155" s="97"/>
      <c r="AK155" s="97"/>
      <c r="AL155" s="97"/>
      <c r="AM155" s="98"/>
      <c r="AN155" s="96">
        <v>0</v>
      </c>
      <c r="AO155" s="97"/>
      <c r="AP155" s="97"/>
      <c r="AQ155" s="97"/>
      <c r="AR155" s="98"/>
      <c r="AS155" s="96">
        <v>0</v>
      </c>
      <c r="AT155" s="97"/>
      <c r="AU155" s="97"/>
      <c r="AV155" s="97"/>
      <c r="AW155" s="98"/>
      <c r="AX155" s="96">
        <v>0</v>
      </c>
      <c r="AY155" s="97"/>
      <c r="AZ155" s="97"/>
      <c r="BA155" s="98"/>
      <c r="BB155" s="96">
        <f>IF(ISNUMBER(AN155),AN155,0)+IF(ISNUMBER(AS155),AS155,0)</f>
        <v>0</v>
      </c>
      <c r="BC155" s="97"/>
      <c r="BD155" s="97"/>
      <c r="BE155" s="97"/>
      <c r="BF155" s="98"/>
      <c r="BG155" s="96">
        <v>0</v>
      </c>
      <c r="BH155" s="97"/>
      <c r="BI155" s="97"/>
      <c r="BJ155" s="97"/>
      <c r="BK155" s="98"/>
      <c r="BL155" s="96">
        <v>0</v>
      </c>
      <c r="BM155" s="97"/>
      <c r="BN155" s="97"/>
      <c r="BO155" s="97"/>
      <c r="BP155" s="98"/>
      <c r="BQ155" s="96">
        <v>0</v>
      </c>
      <c r="BR155" s="97"/>
      <c r="BS155" s="97"/>
      <c r="BT155" s="98"/>
      <c r="BU155" s="96">
        <f>IF(ISNUMBER(BG155),BG155,0)+IF(ISNUMBER(BL155),BL155,0)</f>
        <v>0</v>
      </c>
      <c r="BV155" s="97"/>
      <c r="BW155" s="97"/>
      <c r="BX155" s="97"/>
      <c r="BY155" s="98"/>
    </row>
    <row r="156" spans="1:77" s="99" customFormat="1" ht="25.5" customHeight="1" x14ac:dyDescent="0.2">
      <c r="A156" s="89">
        <v>33</v>
      </c>
      <c r="B156" s="90"/>
      <c r="C156" s="90"/>
      <c r="D156" s="92" t="s">
        <v>223</v>
      </c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4"/>
      <c r="U156" s="96">
        <v>0</v>
      </c>
      <c r="V156" s="97"/>
      <c r="W156" s="97"/>
      <c r="X156" s="97"/>
      <c r="Y156" s="98"/>
      <c r="Z156" s="96">
        <v>0</v>
      </c>
      <c r="AA156" s="97"/>
      <c r="AB156" s="97"/>
      <c r="AC156" s="97"/>
      <c r="AD156" s="98"/>
      <c r="AE156" s="96">
        <v>0</v>
      </c>
      <c r="AF156" s="97"/>
      <c r="AG156" s="97"/>
      <c r="AH156" s="98"/>
      <c r="AI156" s="96">
        <f>IF(ISNUMBER(U156),U156,0)+IF(ISNUMBER(Z156),Z156,0)</f>
        <v>0</v>
      </c>
      <c r="AJ156" s="97"/>
      <c r="AK156" s="97"/>
      <c r="AL156" s="97"/>
      <c r="AM156" s="98"/>
      <c r="AN156" s="96">
        <v>0</v>
      </c>
      <c r="AO156" s="97"/>
      <c r="AP156" s="97"/>
      <c r="AQ156" s="97"/>
      <c r="AR156" s="98"/>
      <c r="AS156" s="96">
        <v>0</v>
      </c>
      <c r="AT156" s="97"/>
      <c r="AU156" s="97"/>
      <c r="AV156" s="97"/>
      <c r="AW156" s="98"/>
      <c r="AX156" s="96">
        <v>0</v>
      </c>
      <c r="AY156" s="97"/>
      <c r="AZ156" s="97"/>
      <c r="BA156" s="98"/>
      <c r="BB156" s="96">
        <f>IF(ISNUMBER(AN156),AN156,0)+IF(ISNUMBER(AS156),AS156,0)</f>
        <v>0</v>
      </c>
      <c r="BC156" s="97"/>
      <c r="BD156" s="97"/>
      <c r="BE156" s="97"/>
      <c r="BF156" s="98"/>
      <c r="BG156" s="96">
        <v>0</v>
      </c>
      <c r="BH156" s="97"/>
      <c r="BI156" s="97"/>
      <c r="BJ156" s="97"/>
      <c r="BK156" s="98"/>
      <c r="BL156" s="96">
        <v>0</v>
      </c>
      <c r="BM156" s="97"/>
      <c r="BN156" s="97"/>
      <c r="BO156" s="97"/>
      <c r="BP156" s="98"/>
      <c r="BQ156" s="96">
        <v>0</v>
      </c>
      <c r="BR156" s="97"/>
      <c r="BS156" s="97"/>
      <c r="BT156" s="98"/>
      <c r="BU156" s="96">
        <f>IF(ISNUMBER(BG156),BG156,0)+IF(ISNUMBER(BL156),BL156,0)</f>
        <v>0</v>
      </c>
      <c r="BV156" s="97"/>
      <c r="BW156" s="97"/>
      <c r="BX156" s="97"/>
      <c r="BY156" s="98"/>
    </row>
    <row r="157" spans="1:77" s="99" customFormat="1" ht="12.75" customHeight="1" x14ac:dyDescent="0.2">
      <c r="A157" s="89">
        <v>34</v>
      </c>
      <c r="B157" s="90"/>
      <c r="C157" s="90"/>
      <c r="D157" s="92" t="s">
        <v>224</v>
      </c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4"/>
      <c r="U157" s="96">
        <v>4000</v>
      </c>
      <c r="V157" s="97"/>
      <c r="W157" s="97"/>
      <c r="X157" s="97"/>
      <c r="Y157" s="98"/>
      <c r="Z157" s="96">
        <v>0</v>
      </c>
      <c r="AA157" s="97"/>
      <c r="AB157" s="97"/>
      <c r="AC157" s="97"/>
      <c r="AD157" s="98"/>
      <c r="AE157" s="96">
        <v>0</v>
      </c>
      <c r="AF157" s="97"/>
      <c r="AG157" s="97"/>
      <c r="AH157" s="98"/>
      <c r="AI157" s="96">
        <f>IF(ISNUMBER(U157),U157,0)+IF(ISNUMBER(Z157),Z157,0)</f>
        <v>4000</v>
      </c>
      <c r="AJ157" s="97"/>
      <c r="AK157" s="97"/>
      <c r="AL157" s="97"/>
      <c r="AM157" s="98"/>
      <c r="AN157" s="96">
        <v>4000</v>
      </c>
      <c r="AO157" s="97"/>
      <c r="AP157" s="97"/>
      <c r="AQ157" s="97"/>
      <c r="AR157" s="98"/>
      <c r="AS157" s="96">
        <v>0</v>
      </c>
      <c r="AT157" s="97"/>
      <c r="AU157" s="97"/>
      <c r="AV157" s="97"/>
      <c r="AW157" s="98"/>
      <c r="AX157" s="96">
        <v>0</v>
      </c>
      <c r="AY157" s="97"/>
      <c r="AZ157" s="97"/>
      <c r="BA157" s="98"/>
      <c r="BB157" s="96">
        <f>IF(ISNUMBER(AN157),AN157,0)+IF(ISNUMBER(AS157),AS157,0)</f>
        <v>4000</v>
      </c>
      <c r="BC157" s="97"/>
      <c r="BD157" s="97"/>
      <c r="BE157" s="97"/>
      <c r="BF157" s="98"/>
      <c r="BG157" s="96">
        <v>0</v>
      </c>
      <c r="BH157" s="97"/>
      <c r="BI157" s="97"/>
      <c r="BJ157" s="97"/>
      <c r="BK157" s="98"/>
      <c r="BL157" s="96">
        <v>0</v>
      </c>
      <c r="BM157" s="97"/>
      <c r="BN157" s="97"/>
      <c r="BO157" s="97"/>
      <c r="BP157" s="98"/>
      <c r="BQ157" s="96">
        <v>0</v>
      </c>
      <c r="BR157" s="97"/>
      <c r="BS157" s="97"/>
      <c r="BT157" s="98"/>
      <c r="BU157" s="96">
        <f>IF(ISNUMBER(BG157),BG157,0)+IF(ISNUMBER(BL157),BL157,0)</f>
        <v>0</v>
      </c>
      <c r="BV157" s="97"/>
      <c r="BW157" s="97"/>
      <c r="BX157" s="97"/>
      <c r="BY157" s="98"/>
    </row>
    <row r="158" spans="1:77" s="99" customFormat="1" ht="25.5" customHeight="1" x14ac:dyDescent="0.2">
      <c r="A158" s="89">
        <v>35</v>
      </c>
      <c r="B158" s="90"/>
      <c r="C158" s="90"/>
      <c r="D158" s="92" t="s">
        <v>225</v>
      </c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4"/>
      <c r="U158" s="96">
        <v>0</v>
      </c>
      <c r="V158" s="97"/>
      <c r="W158" s="97"/>
      <c r="X158" s="97"/>
      <c r="Y158" s="98"/>
      <c r="Z158" s="96">
        <v>0</v>
      </c>
      <c r="AA158" s="97"/>
      <c r="AB158" s="97"/>
      <c r="AC158" s="97"/>
      <c r="AD158" s="98"/>
      <c r="AE158" s="96">
        <v>0</v>
      </c>
      <c r="AF158" s="97"/>
      <c r="AG158" s="97"/>
      <c r="AH158" s="98"/>
      <c r="AI158" s="96">
        <f>IF(ISNUMBER(U158),U158,0)+IF(ISNUMBER(Z158),Z158,0)</f>
        <v>0</v>
      </c>
      <c r="AJ158" s="97"/>
      <c r="AK158" s="97"/>
      <c r="AL158" s="97"/>
      <c r="AM158" s="98"/>
      <c r="AN158" s="96">
        <v>0</v>
      </c>
      <c r="AO158" s="97"/>
      <c r="AP158" s="97"/>
      <c r="AQ158" s="97"/>
      <c r="AR158" s="98"/>
      <c r="AS158" s="96">
        <v>0</v>
      </c>
      <c r="AT158" s="97"/>
      <c r="AU158" s="97"/>
      <c r="AV158" s="97"/>
      <c r="AW158" s="98"/>
      <c r="AX158" s="96">
        <v>0</v>
      </c>
      <c r="AY158" s="97"/>
      <c r="AZ158" s="97"/>
      <c r="BA158" s="98"/>
      <c r="BB158" s="96">
        <f>IF(ISNUMBER(AN158),AN158,0)+IF(ISNUMBER(AS158),AS158,0)</f>
        <v>0</v>
      </c>
      <c r="BC158" s="97"/>
      <c r="BD158" s="97"/>
      <c r="BE158" s="97"/>
      <c r="BF158" s="98"/>
      <c r="BG158" s="96">
        <v>0</v>
      </c>
      <c r="BH158" s="97"/>
      <c r="BI158" s="97"/>
      <c r="BJ158" s="97"/>
      <c r="BK158" s="98"/>
      <c r="BL158" s="96">
        <v>0</v>
      </c>
      <c r="BM158" s="97"/>
      <c r="BN158" s="97"/>
      <c r="BO158" s="97"/>
      <c r="BP158" s="98"/>
      <c r="BQ158" s="96">
        <v>0</v>
      </c>
      <c r="BR158" s="97"/>
      <c r="BS158" s="97"/>
      <c r="BT158" s="98"/>
      <c r="BU158" s="96">
        <f>IF(ISNUMBER(BG158),BG158,0)+IF(ISNUMBER(BL158),BL158,0)</f>
        <v>0</v>
      </c>
      <c r="BV158" s="97"/>
      <c r="BW158" s="97"/>
      <c r="BX158" s="97"/>
      <c r="BY158" s="98"/>
    </row>
    <row r="159" spans="1:77" s="99" customFormat="1" ht="12.75" customHeight="1" x14ac:dyDescent="0.2">
      <c r="A159" s="89">
        <v>36</v>
      </c>
      <c r="B159" s="90"/>
      <c r="C159" s="90"/>
      <c r="D159" s="92" t="s">
        <v>226</v>
      </c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4"/>
      <c r="U159" s="96">
        <v>16171</v>
      </c>
      <c r="V159" s="97"/>
      <c r="W159" s="97"/>
      <c r="X159" s="97"/>
      <c r="Y159" s="98"/>
      <c r="Z159" s="96">
        <v>0</v>
      </c>
      <c r="AA159" s="97"/>
      <c r="AB159" s="97"/>
      <c r="AC159" s="97"/>
      <c r="AD159" s="98"/>
      <c r="AE159" s="96">
        <v>0</v>
      </c>
      <c r="AF159" s="97"/>
      <c r="AG159" s="97"/>
      <c r="AH159" s="98"/>
      <c r="AI159" s="96">
        <f>IF(ISNUMBER(U159),U159,0)+IF(ISNUMBER(Z159),Z159,0)</f>
        <v>16171</v>
      </c>
      <c r="AJ159" s="97"/>
      <c r="AK159" s="97"/>
      <c r="AL159" s="97"/>
      <c r="AM159" s="98"/>
      <c r="AN159" s="96">
        <v>16171</v>
      </c>
      <c r="AO159" s="97"/>
      <c r="AP159" s="97"/>
      <c r="AQ159" s="97"/>
      <c r="AR159" s="98"/>
      <c r="AS159" s="96">
        <v>0</v>
      </c>
      <c r="AT159" s="97"/>
      <c r="AU159" s="97"/>
      <c r="AV159" s="97"/>
      <c r="AW159" s="98"/>
      <c r="AX159" s="96">
        <v>0</v>
      </c>
      <c r="AY159" s="97"/>
      <c r="AZ159" s="97"/>
      <c r="BA159" s="98"/>
      <c r="BB159" s="96">
        <f>IF(ISNUMBER(AN159),AN159,0)+IF(ISNUMBER(AS159),AS159,0)</f>
        <v>16171</v>
      </c>
      <c r="BC159" s="97"/>
      <c r="BD159" s="97"/>
      <c r="BE159" s="97"/>
      <c r="BF159" s="98"/>
      <c r="BG159" s="96">
        <v>0</v>
      </c>
      <c r="BH159" s="97"/>
      <c r="BI159" s="97"/>
      <c r="BJ159" s="97"/>
      <c r="BK159" s="98"/>
      <c r="BL159" s="96">
        <v>0</v>
      </c>
      <c r="BM159" s="97"/>
      <c r="BN159" s="97"/>
      <c r="BO159" s="97"/>
      <c r="BP159" s="98"/>
      <c r="BQ159" s="96">
        <v>0</v>
      </c>
      <c r="BR159" s="97"/>
      <c r="BS159" s="97"/>
      <c r="BT159" s="98"/>
      <c r="BU159" s="96">
        <f>IF(ISNUMBER(BG159),BG159,0)+IF(ISNUMBER(BL159),BL159,0)</f>
        <v>0</v>
      </c>
      <c r="BV159" s="97"/>
      <c r="BW159" s="97"/>
      <c r="BX159" s="97"/>
      <c r="BY159" s="98"/>
    </row>
    <row r="160" spans="1:77" s="99" customFormat="1" ht="12.75" customHeight="1" x14ac:dyDescent="0.2">
      <c r="A160" s="89">
        <v>37</v>
      </c>
      <c r="B160" s="90"/>
      <c r="C160" s="90"/>
      <c r="D160" s="92" t="s">
        <v>227</v>
      </c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4"/>
      <c r="U160" s="96">
        <v>80000</v>
      </c>
      <c r="V160" s="97"/>
      <c r="W160" s="97"/>
      <c r="X160" s="97"/>
      <c r="Y160" s="98"/>
      <c r="Z160" s="96">
        <v>0</v>
      </c>
      <c r="AA160" s="97"/>
      <c r="AB160" s="97"/>
      <c r="AC160" s="97"/>
      <c r="AD160" s="98"/>
      <c r="AE160" s="96">
        <v>0</v>
      </c>
      <c r="AF160" s="97"/>
      <c r="AG160" s="97"/>
      <c r="AH160" s="98"/>
      <c r="AI160" s="96">
        <f>IF(ISNUMBER(U160),U160,0)+IF(ISNUMBER(Z160),Z160,0)</f>
        <v>80000</v>
      </c>
      <c r="AJ160" s="97"/>
      <c r="AK160" s="97"/>
      <c r="AL160" s="97"/>
      <c r="AM160" s="98"/>
      <c r="AN160" s="96">
        <v>80000</v>
      </c>
      <c r="AO160" s="97"/>
      <c r="AP160" s="97"/>
      <c r="AQ160" s="97"/>
      <c r="AR160" s="98"/>
      <c r="AS160" s="96">
        <v>0</v>
      </c>
      <c r="AT160" s="97"/>
      <c r="AU160" s="97"/>
      <c r="AV160" s="97"/>
      <c r="AW160" s="98"/>
      <c r="AX160" s="96">
        <v>0</v>
      </c>
      <c r="AY160" s="97"/>
      <c r="AZ160" s="97"/>
      <c r="BA160" s="98"/>
      <c r="BB160" s="96">
        <f>IF(ISNUMBER(AN160),AN160,0)+IF(ISNUMBER(AS160),AS160,0)</f>
        <v>80000</v>
      </c>
      <c r="BC160" s="97"/>
      <c r="BD160" s="97"/>
      <c r="BE160" s="97"/>
      <c r="BF160" s="98"/>
      <c r="BG160" s="96">
        <v>0</v>
      </c>
      <c r="BH160" s="97"/>
      <c r="BI160" s="97"/>
      <c r="BJ160" s="97"/>
      <c r="BK160" s="98"/>
      <c r="BL160" s="96">
        <v>0</v>
      </c>
      <c r="BM160" s="97"/>
      <c r="BN160" s="97"/>
      <c r="BO160" s="97"/>
      <c r="BP160" s="98"/>
      <c r="BQ160" s="96">
        <v>0</v>
      </c>
      <c r="BR160" s="97"/>
      <c r="BS160" s="97"/>
      <c r="BT160" s="98"/>
      <c r="BU160" s="96">
        <f>IF(ISNUMBER(BG160),BG160,0)+IF(ISNUMBER(BL160),BL160,0)</f>
        <v>0</v>
      </c>
      <c r="BV160" s="97"/>
      <c r="BW160" s="97"/>
      <c r="BX160" s="97"/>
      <c r="BY160" s="98"/>
    </row>
    <row r="161" spans="1:77" s="99" customFormat="1" ht="12.75" customHeight="1" x14ac:dyDescent="0.2">
      <c r="A161" s="89">
        <v>38</v>
      </c>
      <c r="B161" s="90"/>
      <c r="C161" s="90"/>
      <c r="D161" s="92" t="s">
        <v>228</v>
      </c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4"/>
      <c r="U161" s="96">
        <v>57600</v>
      </c>
      <c r="V161" s="97"/>
      <c r="W161" s="97"/>
      <c r="X161" s="97"/>
      <c r="Y161" s="98"/>
      <c r="Z161" s="96">
        <v>0</v>
      </c>
      <c r="AA161" s="97"/>
      <c r="AB161" s="97"/>
      <c r="AC161" s="97"/>
      <c r="AD161" s="98"/>
      <c r="AE161" s="96">
        <v>0</v>
      </c>
      <c r="AF161" s="97"/>
      <c r="AG161" s="97"/>
      <c r="AH161" s="98"/>
      <c r="AI161" s="96">
        <f>IF(ISNUMBER(U161),U161,0)+IF(ISNUMBER(Z161),Z161,0)</f>
        <v>57600</v>
      </c>
      <c r="AJ161" s="97"/>
      <c r="AK161" s="97"/>
      <c r="AL161" s="97"/>
      <c r="AM161" s="98"/>
      <c r="AN161" s="96">
        <v>63768</v>
      </c>
      <c r="AO161" s="97"/>
      <c r="AP161" s="97"/>
      <c r="AQ161" s="97"/>
      <c r="AR161" s="98"/>
      <c r="AS161" s="96">
        <v>0</v>
      </c>
      <c r="AT161" s="97"/>
      <c r="AU161" s="97"/>
      <c r="AV161" s="97"/>
      <c r="AW161" s="98"/>
      <c r="AX161" s="96">
        <v>0</v>
      </c>
      <c r="AY161" s="97"/>
      <c r="AZ161" s="97"/>
      <c r="BA161" s="98"/>
      <c r="BB161" s="96">
        <f>IF(ISNUMBER(AN161),AN161,0)+IF(ISNUMBER(AS161),AS161,0)</f>
        <v>63768</v>
      </c>
      <c r="BC161" s="97"/>
      <c r="BD161" s="97"/>
      <c r="BE161" s="97"/>
      <c r="BF161" s="98"/>
      <c r="BG161" s="96">
        <v>0</v>
      </c>
      <c r="BH161" s="97"/>
      <c r="BI161" s="97"/>
      <c r="BJ161" s="97"/>
      <c r="BK161" s="98"/>
      <c r="BL161" s="96">
        <v>0</v>
      </c>
      <c r="BM161" s="97"/>
      <c r="BN161" s="97"/>
      <c r="BO161" s="97"/>
      <c r="BP161" s="98"/>
      <c r="BQ161" s="96">
        <v>0</v>
      </c>
      <c r="BR161" s="97"/>
      <c r="BS161" s="97"/>
      <c r="BT161" s="98"/>
      <c r="BU161" s="96">
        <f>IF(ISNUMBER(BG161),BG161,0)+IF(ISNUMBER(BL161),BL161,0)</f>
        <v>0</v>
      </c>
      <c r="BV161" s="97"/>
      <c r="BW161" s="97"/>
      <c r="BX161" s="97"/>
      <c r="BY161" s="98"/>
    </row>
    <row r="162" spans="1:77" s="99" customFormat="1" ht="12.75" customHeight="1" x14ac:dyDescent="0.2">
      <c r="A162" s="89">
        <v>39</v>
      </c>
      <c r="B162" s="90"/>
      <c r="C162" s="90"/>
      <c r="D162" s="92" t="s">
        <v>229</v>
      </c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4"/>
      <c r="U162" s="96">
        <v>21000</v>
      </c>
      <c r="V162" s="97"/>
      <c r="W162" s="97"/>
      <c r="X162" s="97"/>
      <c r="Y162" s="98"/>
      <c r="Z162" s="96">
        <v>0</v>
      </c>
      <c r="AA162" s="97"/>
      <c r="AB162" s="97"/>
      <c r="AC162" s="97"/>
      <c r="AD162" s="98"/>
      <c r="AE162" s="96">
        <v>0</v>
      </c>
      <c r="AF162" s="97"/>
      <c r="AG162" s="97"/>
      <c r="AH162" s="98"/>
      <c r="AI162" s="96">
        <f>IF(ISNUMBER(U162),U162,0)+IF(ISNUMBER(Z162),Z162,0)</f>
        <v>21000</v>
      </c>
      <c r="AJ162" s="97"/>
      <c r="AK162" s="97"/>
      <c r="AL162" s="97"/>
      <c r="AM162" s="98"/>
      <c r="AN162" s="96">
        <v>25000</v>
      </c>
      <c r="AO162" s="97"/>
      <c r="AP162" s="97"/>
      <c r="AQ162" s="97"/>
      <c r="AR162" s="98"/>
      <c r="AS162" s="96">
        <v>0</v>
      </c>
      <c r="AT162" s="97"/>
      <c r="AU162" s="97"/>
      <c r="AV162" s="97"/>
      <c r="AW162" s="98"/>
      <c r="AX162" s="96">
        <v>0</v>
      </c>
      <c r="AY162" s="97"/>
      <c r="AZ162" s="97"/>
      <c r="BA162" s="98"/>
      <c r="BB162" s="96">
        <f>IF(ISNUMBER(AN162),AN162,0)+IF(ISNUMBER(AS162),AS162,0)</f>
        <v>25000</v>
      </c>
      <c r="BC162" s="97"/>
      <c r="BD162" s="97"/>
      <c r="BE162" s="97"/>
      <c r="BF162" s="98"/>
      <c r="BG162" s="96">
        <v>0</v>
      </c>
      <c r="BH162" s="97"/>
      <c r="BI162" s="97"/>
      <c r="BJ162" s="97"/>
      <c r="BK162" s="98"/>
      <c r="BL162" s="96">
        <v>0</v>
      </c>
      <c r="BM162" s="97"/>
      <c r="BN162" s="97"/>
      <c r="BO162" s="97"/>
      <c r="BP162" s="98"/>
      <c r="BQ162" s="96">
        <v>0</v>
      </c>
      <c r="BR162" s="97"/>
      <c r="BS162" s="97"/>
      <c r="BT162" s="98"/>
      <c r="BU162" s="96">
        <f>IF(ISNUMBER(BG162),BG162,0)+IF(ISNUMBER(BL162),BL162,0)</f>
        <v>0</v>
      </c>
      <c r="BV162" s="97"/>
      <c r="BW162" s="97"/>
      <c r="BX162" s="97"/>
      <c r="BY162" s="98"/>
    </row>
    <row r="163" spans="1:77" s="99" customFormat="1" ht="25.5" customHeight="1" x14ac:dyDescent="0.2">
      <c r="A163" s="89">
        <v>40</v>
      </c>
      <c r="B163" s="90"/>
      <c r="C163" s="90"/>
      <c r="D163" s="92" t="s">
        <v>230</v>
      </c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4"/>
      <c r="U163" s="96">
        <v>0</v>
      </c>
      <c r="V163" s="97"/>
      <c r="W163" s="97"/>
      <c r="X163" s="97"/>
      <c r="Y163" s="98"/>
      <c r="Z163" s="96">
        <v>0</v>
      </c>
      <c r="AA163" s="97"/>
      <c r="AB163" s="97"/>
      <c r="AC163" s="97"/>
      <c r="AD163" s="98"/>
      <c r="AE163" s="96">
        <v>0</v>
      </c>
      <c r="AF163" s="97"/>
      <c r="AG163" s="97"/>
      <c r="AH163" s="98"/>
      <c r="AI163" s="96">
        <f>IF(ISNUMBER(U163),U163,0)+IF(ISNUMBER(Z163),Z163,0)</f>
        <v>0</v>
      </c>
      <c r="AJ163" s="97"/>
      <c r="AK163" s="97"/>
      <c r="AL163" s="97"/>
      <c r="AM163" s="98"/>
      <c r="AN163" s="96">
        <v>0</v>
      </c>
      <c r="AO163" s="97"/>
      <c r="AP163" s="97"/>
      <c r="AQ163" s="97"/>
      <c r="AR163" s="98"/>
      <c r="AS163" s="96">
        <v>0</v>
      </c>
      <c r="AT163" s="97"/>
      <c r="AU163" s="97"/>
      <c r="AV163" s="97"/>
      <c r="AW163" s="98"/>
      <c r="AX163" s="96">
        <v>0</v>
      </c>
      <c r="AY163" s="97"/>
      <c r="AZ163" s="97"/>
      <c r="BA163" s="98"/>
      <c r="BB163" s="96">
        <f>IF(ISNUMBER(AN163),AN163,0)+IF(ISNUMBER(AS163),AS163,0)</f>
        <v>0</v>
      </c>
      <c r="BC163" s="97"/>
      <c r="BD163" s="97"/>
      <c r="BE163" s="97"/>
      <c r="BF163" s="98"/>
      <c r="BG163" s="96">
        <v>0</v>
      </c>
      <c r="BH163" s="97"/>
      <c r="BI163" s="97"/>
      <c r="BJ163" s="97"/>
      <c r="BK163" s="98"/>
      <c r="BL163" s="96">
        <v>0</v>
      </c>
      <c r="BM163" s="97"/>
      <c r="BN163" s="97"/>
      <c r="BO163" s="97"/>
      <c r="BP163" s="98"/>
      <c r="BQ163" s="96">
        <v>0</v>
      </c>
      <c r="BR163" s="97"/>
      <c r="BS163" s="97"/>
      <c r="BT163" s="98"/>
      <c r="BU163" s="96">
        <f>IF(ISNUMBER(BG163),BG163,0)+IF(ISNUMBER(BL163),BL163,0)</f>
        <v>0</v>
      </c>
      <c r="BV163" s="97"/>
      <c r="BW163" s="97"/>
      <c r="BX163" s="97"/>
      <c r="BY163" s="98"/>
    </row>
    <row r="164" spans="1:77" s="99" customFormat="1" ht="12.75" customHeight="1" x14ac:dyDescent="0.2">
      <c r="A164" s="89">
        <v>41</v>
      </c>
      <c r="B164" s="90"/>
      <c r="C164" s="90"/>
      <c r="D164" s="92" t="s">
        <v>231</v>
      </c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4"/>
      <c r="U164" s="96">
        <v>0</v>
      </c>
      <c r="V164" s="97"/>
      <c r="W164" s="97"/>
      <c r="X164" s="97"/>
      <c r="Y164" s="98"/>
      <c r="Z164" s="96">
        <v>0</v>
      </c>
      <c r="AA164" s="97"/>
      <c r="AB164" s="97"/>
      <c r="AC164" s="97"/>
      <c r="AD164" s="98"/>
      <c r="AE164" s="96">
        <v>0</v>
      </c>
      <c r="AF164" s="97"/>
      <c r="AG164" s="97"/>
      <c r="AH164" s="98"/>
      <c r="AI164" s="96">
        <f>IF(ISNUMBER(U164),U164,0)+IF(ISNUMBER(Z164),Z164,0)</f>
        <v>0</v>
      </c>
      <c r="AJ164" s="97"/>
      <c r="AK164" s="97"/>
      <c r="AL164" s="97"/>
      <c r="AM164" s="98"/>
      <c r="AN164" s="96">
        <v>0</v>
      </c>
      <c r="AO164" s="97"/>
      <c r="AP164" s="97"/>
      <c r="AQ164" s="97"/>
      <c r="AR164" s="98"/>
      <c r="AS164" s="96">
        <v>0</v>
      </c>
      <c r="AT164" s="97"/>
      <c r="AU164" s="97"/>
      <c r="AV164" s="97"/>
      <c r="AW164" s="98"/>
      <c r="AX164" s="96">
        <v>0</v>
      </c>
      <c r="AY164" s="97"/>
      <c r="AZ164" s="97"/>
      <c r="BA164" s="98"/>
      <c r="BB164" s="96">
        <f>IF(ISNUMBER(AN164),AN164,0)+IF(ISNUMBER(AS164),AS164,0)</f>
        <v>0</v>
      </c>
      <c r="BC164" s="97"/>
      <c r="BD164" s="97"/>
      <c r="BE164" s="97"/>
      <c r="BF164" s="98"/>
      <c r="BG164" s="96">
        <v>0</v>
      </c>
      <c r="BH164" s="97"/>
      <c r="BI164" s="97"/>
      <c r="BJ164" s="97"/>
      <c r="BK164" s="98"/>
      <c r="BL164" s="96">
        <v>0</v>
      </c>
      <c r="BM164" s="97"/>
      <c r="BN164" s="97"/>
      <c r="BO164" s="97"/>
      <c r="BP164" s="98"/>
      <c r="BQ164" s="96">
        <v>0</v>
      </c>
      <c r="BR164" s="97"/>
      <c r="BS164" s="97"/>
      <c r="BT164" s="98"/>
      <c r="BU164" s="96">
        <f>IF(ISNUMBER(BG164),BG164,0)+IF(ISNUMBER(BL164),BL164,0)</f>
        <v>0</v>
      </c>
      <c r="BV164" s="97"/>
      <c r="BW164" s="97"/>
      <c r="BX164" s="97"/>
      <c r="BY164" s="98"/>
    </row>
    <row r="165" spans="1:77" s="99" customFormat="1" ht="12.75" customHeight="1" x14ac:dyDescent="0.2">
      <c r="A165" s="89">
        <v>42</v>
      </c>
      <c r="B165" s="90"/>
      <c r="C165" s="90"/>
      <c r="D165" s="92" t="s">
        <v>232</v>
      </c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4"/>
      <c r="U165" s="96">
        <v>50040</v>
      </c>
      <c r="V165" s="97"/>
      <c r="W165" s="97"/>
      <c r="X165" s="97"/>
      <c r="Y165" s="98"/>
      <c r="Z165" s="96">
        <v>0</v>
      </c>
      <c r="AA165" s="97"/>
      <c r="AB165" s="97"/>
      <c r="AC165" s="97"/>
      <c r="AD165" s="98"/>
      <c r="AE165" s="96">
        <v>0</v>
      </c>
      <c r="AF165" s="97"/>
      <c r="AG165" s="97"/>
      <c r="AH165" s="98"/>
      <c r="AI165" s="96">
        <f>IF(ISNUMBER(U165),U165,0)+IF(ISNUMBER(Z165),Z165,0)</f>
        <v>50040</v>
      </c>
      <c r="AJ165" s="97"/>
      <c r="AK165" s="97"/>
      <c r="AL165" s="97"/>
      <c r="AM165" s="98"/>
      <c r="AN165" s="96">
        <v>50040</v>
      </c>
      <c r="AO165" s="97"/>
      <c r="AP165" s="97"/>
      <c r="AQ165" s="97"/>
      <c r="AR165" s="98"/>
      <c r="AS165" s="96">
        <v>0</v>
      </c>
      <c r="AT165" s="97"/>
      <c r="AU165" s="97"/>
      <c r="AV165" s="97"/>
      <c r="AW165" s="98"/>
      <c r="AX165" s="96">
        <v>0</v>
      </c>
      <c r="AY165" s="97"/>
      <c r="AZ165" s="97"/>
      <c r="BA165" s="98"/>
      <c r="BB165" s="96">
        <f>IF(ISNUMBER(AN165),AN165,0)+IF(ISNUMBER(AS165),AS165,0)</f>
        <v>50040</v>
      </c>
      <c r="BC165" s="97"/>
      <c r="BD165" s="97"/>
      <c r="BE165" s="97"/>
      <c r="BF165" s="98"/>
      <c r="BG165" s="96">
        <v>0</v>
      </c>
      <c r="BH165" s="97"/>
      <c r="BI165" s="97"/>
      <c r="BJ165" s="97"/>
      <c r="BK165" s="98"/>
      <c r="BL165" s="96">
        <v>0</v>
      </c>
      <c r="BM165" s="97"/>
      <c r="BN165" s="97"/>
      <c r="BO165" s="97"/>
      <c r="BP165" s="98"/>
      <c r="BQ165" s="96">
        <v>0</v>
      </c>
      <c r="BR165" s="97"/>
      <c r="BS165" s="97"/>
      <c r="BT165" s="98"/>
      <c r="BU165" s="96">
        <f>IF(ISNUMBER(BG165),BG165,0)+IF(ISNUMBER(BL165),BL165,0)</f>
        <v>0</v>
      </c>
      <c r="BV165" s="97"/>
      <c r="BW165" s="97"/>
      <c r="BX165" s="97"/>
      <c r="BY165" s="98"/>
    </row>
    <row r="166" spans="1:77" s="99" customFormat="1" ht="38.25" customHeight="1" x14ac:dyDescent="0.2">
      <c r="A166" s="89">
        <v>43</v>
      </c>
      <c r="B166" s="90"/>
      <c r="C166" s="90"/>
      <c r="D166" s="92" t="s">
        <v>233</v>
      </c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4"/>
      <c r="U166" s="96">
        <v>0</v>
      </c>
      <c r="V166" s="97"/>
      <c r="W166" s="97"/>
      <c r="X166" s="97"/>
      <c r="Y166" s="98"/>
      <c r="Z166" s="96">
        <v>0</v>
      </c>
      <c r="AA166" s="97"/>
      <c r="AB166" s="97"/>
      <c r="AC166" s="97"/>
      <c r="AD166" s="98"/>
      <c r="AE166" s="96">
        <v>0</v>
      </c>
      <c r="AF166" s="97"/>
      <c r="AG166" s="97"/>
      <c r="AH166" s="98"/>
      <c r="AI166" s="96">
        <f>IF(ISNUMBER(U166),U166,0)+IF(ISNUMBER(Z166),Z166,0)</f>
        <v>0</v>
      </c>
      <c r="AJ166" s="97"/>
      <c r="AK166" s="97"/>
      <c r="AL166" s="97"/>
      <c r="AM166" s="98"/>
      <c r="AN166" s="96">
        <v>0</v>
      </c>
      <c r="AO166" s="97"/>
      <c r="AP166" s="97"/>
      <c r="AQ166" s="97"/>
      <c r="AR166" s="98"/>
      <c r="AS166" s="96">
        <v>0</v>
      </c>
      <c r="AT166" s="97"/>
      <c r="AU166" s="97"/>
      <c r="AV166" s="97"/>
      <c r="AW166" s="98"/>
      <c r="AX166" s="96">
        <v>0</v>
      </c>
      <c r="AY166" s="97"/>
      <c r="AZ166" s="97"/>
      <c r="BA166" s="98"/>
      <c r="BB166" s="96">
        <f>IF(ISNUMBER(AN166),AN166,0)+IF(ISNUMBER(AS166),AS166,0)</f>
        <v>0</v>
      </c>
      <c r="BC166" s="97"/>
      <c r="BD166" s="97"/>
      <c r="BE166" s="97"/>
      <c r="BF166" s="98"/>
      <c r="BG166" s="96">
        <v>0</v>
      </c>
      <c r="BH166" s="97"/>
      <c r="BI166" s="97"/>
      <c r="BJ166" s="97"/>
      <c r="BK166" s="98"/>
      <c r="BL166" s="96">
        <v>0</v>
      </c>
      <c r="BM166" s="97"/>
      <c r="BN166" s="97"/>
      <c r="BO166" s="97"/>
      <c r="BP166" s="98"/>
      <c r="BQ166" s="96">
        <v>0</v>
      </c>
      <c r="BR166" s="97"/>
      <c r="BS166" s="97"/>
      <c r="BT166" s="98"/>
      <c r="BU166" s="96">
        <f>IF(ISNUMBER(BG166),BG166,0)+IF(ISNUMBER(BL166),BL166,0)</f>
        <v>0</v>
      </c>
      <c r="BV166" s="97"/>
      <c r="BW166" s="97"/>
      <c r="BX166" s="97"/>
      <c r="BY166" s="98"/>
    </row>
    <row r="167" spans="1:77" s="99" customFormat="1" ht="12.75" customHeight="1" x14ac:dyDescent="0.2">
      <c r="A167" s="89">
        <v>44</v>
      </c>
      <c r="B167" s="90"/>
      <c r="C167" s="90"/>
      <c r="D167" s="92" t="s">
        <v>185</v>
      </c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4"/>
      <c r="U167" s="96">
        <v>207176</v>
      </c>
      <c r="V167" s="97"/>
      <c r="W167" s="97"/>
      <c r="X167" s="97"/>
      <c r="Y167" s="98"/>
      <c r="Z167" s="96">
        <v>0</v>
      </c>
      <c r="AA167" s="97"/>
      <c r="AB167" s="97"/>
      <c r="AC167" s="97"/>
      <c r="AD167" s="98"/>
      <c r="AE167" s="96">
        <v>0</v>
      </c>
      <c r="AF167" s="97"/>
      <c r="AG167" s="97"/>
      <c r="AH167" s="98"/>
      <c r="AI167" s="96">
        <f>IF(ISNUMBER(U167),U167,0)+IF(ISNUMBER(Z167),Z167,0)</f>
        <v>207176</v>
      </c>
      <c r="AJ167" s="97"/>
      <c r="AK167" s="97"/>
      <c r="AL167" s="97"/>
      <c r="AM167" s="98"/>
      <c r="AN167" s="96">
        <v>207176</v>
      </c>
      <c r="AO167" s="97"/>
      <c r="AP167" s="97"/>
      <c r="AQ167" s="97"/>
      <c r="AR167" s="98"/>
      <c r="AS167" s="96">
        <v>0</v>
      </c>
      <c r="AT167" s="97"/>
      <c r="AU167" s="97"/>
      <c r="AV167" s="97"/>
      <c r="AW167" s="98"/>
      <c r="AX167" s="96">
        <v>0</v>
      </c>
      <c r="AY167" s="97"/>
      <c r="AZ167" s="97"/>
      <c r="BA167" s="98"/>
      <c r="BB167" s="96">
        <f>IF(ISNUMBER(AN167),AN167,0)+IF(ISNUMBER(AS167),AS167,0)</f>
        <v>207176</v>
      </c>
      <c r="BC167" s="97"/>
      <c r="BD167" s="97"/>
      <c r="BE167" s="97"/>
      <c r="BF167" s="98"/>
      <c r="BG167" s="96">
        <v>0</v>
      </c>
      <c r="BH167" s="97"/>
      <c r="BI167" s="97"/>
      <c r="BJ167" s="97"/>
      <c r="BK167" s="98"/>
      <c r="BL167" s="96">
        <v>0</v>
      </c>
      <c r="BM167" s="97"/>
      <c r="BN167" s="97"/>
      <c r="BO167" s="97"/>
      <c r="BP167" s="98"/>
      <c r="BQ167" s="96">
        <v>0</v>
      </c>
      <c r="BR167" s="97"/>
      <c r="BS167" s="97"/>
      <c r="BT167" s="98"/>
      <c r="BU167" s="96">
        <f>IF(ISNUMBER(BG167),BG167,0)+IF(ISNUMBER(BL167),BL167,0)</f>
        <v>0</v>
      </c>
      <c r="BV167" s="97"/>
      <c r="BW167" s="97"/>
      <c r="BX167" s="97"/>
      <c r="BY167" s="98"/>
    </row>
    <row r="168" spans="1:77" s="99" customFormat="1" ht="51" customHeight="1" x14ac:dyDescent="0.2">
      <c r="A168" s="89">
        <v>45</v>
      </c>
      <c r="B168" s="90"/>
      <c r="C168" s="90"/>
      <c r="D168" s="92" t="s">
        <v>234</v>
      </c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4"/>
      <c r="U168" s="96">
        <v>230100</v>
      </c>
      <c r="V168" s="97"/>
      <c r="W168" s="97"/>
      <c r="X168" s="97"/>
      <c r="Y168" s="98"/>
      <c r="Z168" s="96">
        <v>0</v>
      </c>
      <c r="AA168" s="97"/>
      <c r="AB168" s="97"/>
      <c r="AC168" s="97"/>
      <c r="AD168" s="98"/>
      <c r="AE168" s="96">
        <v>0</v>
      </c>
      <c r="AF168" s="97"/>
      <c r="AG168" s="97"/>
      <c r="AH168" s="98"/>
      <c r="AI168" s="96">
        <f>IF(ISNUMBER(U168),U168,0)+IF(ISNUMBER(Z168),Z168,0)</f>
        <v>230100</v>
      </c>
      <c r="AJ168" s="97"/>
      <c r="AK168" s="97"/>
      <c r="AL168" s="97"/>
      <c r="AM168" s="98"/>
      <c r="AN168" s="96">
        <v>198600</v>
      </c>
      <c r="AO168" s="97"/>
      <c r="AP168" s="97"/>
      <c r="AQ168" s="97"/>
      <c r="AR168" s="98"/>
      <c r="AS168" s="96">
        <v>0</v>
      </c>
      <c r="AT168" s="97"/>
      <c r="AU168" s="97"/>
      <c r="AV168" s="97"/>
      <c r="AW168" s="98"/>
      <c r="AX168" s="96">
        <v>0</v>
      </c>
      <c r="AY168" s="97"/>
      <c r="AZ168" s="97"/>
      <c r="BA168" s="98"/>
      <c r="BB168" s="96">
        <f>IF(ISNUMBER(AN168),AN168,0)+IF(ISNUMBER(AS168),AS168,0)</f>
        <v>198600</v>
      </c>
      <c r="BC168" s="97"/>
      <c r="BD168" s="97"/>
      <c r="BE168" s="97"/>
      <c r="BF168" s="98"/>
      <c r="BG168" s="96">
        <v>0</v>
      </c>
      <c r="BH168" s="97"/>
      <c r="BI168" s="97"/>
      <c r="BJ168" s="97"/>
      <c r="BK168" s="98"/>
      <c r="BL168" s="96">
        <v>0</v>
      </c>
      <c r="BM168" s="97"/>
      <c r="BN168" s="97"/>
      <c r="BO168" s="97"/>
      <c r="BP168" s="98"/>
      <c r="BQ168" s="96">
        <v>0</v>
      </c>
      <c r="BR168" s="97"/>
      <c r="BS168" s="97"/>
      <c r="BT168" s="98"/>
      <c r="BU168" s="96">
        <f>IF(ISNUMBER(BG168),BG168,0)+IF(ISNUMBER(BL168),BL168,0)</f>
        <v>0</v>
      </c>
      <c r="BV168" s="97"/>
      <c r="BW168" s="97"/>
      <c r="BX168" s="97"/>
      <c r="BY168" s="98"/>
    </row>
    <row r="169" spans="1:77" s="99" customFormat="1" ht="12.75" customHeight="1" x14ac:dyDescent="0.2">
      <c r="A169" s="89">
        <v>46</v>
      </c>
      <c r="B169" s="90"/>
      <c r="C169" s="90"/>
      <c r="D169" s="92" t="s">
        <v>235</v>
      </c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4"/>
      <c r="U169" s="96">
        <v>15000</v>
      </c>
      <c r="V169" s="97"/>
      <c r="W169" s="97"/>
      <c r="X169" s="97"/>
      <c r="Y169" s="98"/>
      <c r="Z169" s="96">
        <v>0</v>
      </c>
      <c r="AA169" s="97"/>
      <c r="AB169" s="97"/>
      <c r="AC169" s="97"/>
      <c r="AD169" s="98"/>
      <c r="AE169" s="96">
        <v>0</v>
      </c>
      <c r="AF169" s="97"/>
      <c r="AG169" s="97"/>
      <c r="AH169" s="98"/>
      <c r="AI169" s="96">
        <f>IF(ISNUMBER(U169),U169,0)+IF(ISNUMBER(Z169),Z169,0)</f>
        <v>15000</v>
      </c>
      <c r="AJ169" s="97"/>
      <c r="AK169" s="97"/>
      <c r="AL169" s="97"/>
      <c r="AM169" s="98"/>
      <c r="AN169" s="96">
        <v>15000</v>
      </c>
      <c r="AO169" s="97"/>
      <c r="AP169" s="97"/>
      <c r="AQ169" s="97"/>
      <c r="AR169" s="98"/>
      <c r="AS169" s="96">
        <v>0</v>
      </c>
      <c r="AT169" s="97"/>
      <c r="AU169" s="97"/>
      <c r="AV169" s="97"/>
      <c r="AW169" s="98"/>
      <c r="AX169" s="96">
        <v>0</v>
      </c>
      <c r="AY169" s="97"/>
      <c r="AZ169" s="97"/>
      <c r="BA169" s="98"/>
      <c r="BB169" s="96">
        <f>IF(ISNUMBER(AN169),AN169,0)+IF(ISNUMBER(AS169),AS169,0)</f>
        <v>15000</v>
      </c>
      <c r="BC169" s="97"/>
      <c r="BD169" s="97"/>
      <c r="BE169" s="97"/>
      <c r="BF169" s="98"/>
      <c r="BG169" s="96">
        <v>0</v>
      </c>
      <c r="BH169" s="97"/>
      <c r="BI169" s="97"/>
      <c r="BJ169" s="97"/>
      <c r="BK169" s="98"/>
      <c r="BL169" s="96">
        <v>0</v>
      </c>
      <c r="BM169" s="97"/>
      <c r="BN169" s="97"/>
      <c r="BO169" s="97"/>
      <c r="BP169" s="98"/>
      <c r="BQ169" s="96">
        <v>0</v>
      </c>
      <c r="BR169" s="97"/>
      <c r="BS169" s="97"/>
      <c r="BT169" s="98"/>
      <c r="BU169" s="96">
        <f>IF(ISNUMBER(BG169),BG169,0)+IF(ISNUMBER(BL169),BL169,0)</f>
        <v>0</v>
      </c>
      <c r="BV169" s="97"/>
      <c r="BW169" s="97"/>
      <c r="BX169" s="97"/>
      <c r="BY169" s="98"/>
    </row>
    <row r="170" spans="1:77" s="99" customFormat="1" ht="25.5" customHeight="1" x14ac:dyDescent="0.2">
      <c r="A170" s="89">
        <v>47</v>
      </c>
      <c r="B170" s="90"/>
      <c r="C170" s="90"/>
      <c r="D170" s="92" t="s">
        <v>236</v>
      </c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4"/>
      <c r="U170" s="96">
        <v>0</v>
      </c>
      <c r="V170" s="97"/>
      <c r="W170" s="97"/>
      <c r="X170" s="97"/>
      <c r="Y170" s="98"/>
      <c r="Z170" s="96">
        <v>0</v>
      </c>
      <c r="AA170" s="97"/>
      <c r="AB170" s="97"/>
      <c r="AC170" s="97"/>
      <c r="AD170" s="98"/>
      <c r="AE170" s="96">
        <v>0</v>
      </c>
      <c r="AF170" s="97"/>
      <c r="AG170" s="97"/>
      <c r="AH170" s="98"/>
      <c r="AI170" s="96">
        <f>IF(ISNUMBER(U170),U170,0)+IF(ISNUMBER(Z170),Z170,0)</f>
        <v>0</v>
      </c>
      <c r="AJ170" s="97"/>
      <c r="AK170" s="97"/>
      <c r="AL170" s="97"/>
      <c r="AM170" s="98"/>
      <c r="AN170" s="96">
        <v>0</v>
      </c>
      <c r="AO170" s="97"/>
      <c r="AP170" s="97"/>
      <c r="AQ170" s="97"/>
      <c r="AR170" s="98"/>
      <c r="AS170" s="96">
        <v>0</v>
      </c>
      <c r="AT170" s="97"/>
      <c r="AU170" s="97"/>
      <c r="AV170" s="97"/>
      <c r="AW170" s="98"/>
      <c r="AX170" s="96">
        <v>0</v>
      </c>
      <c r="AY170" s="97"/>
      <c r="AZ170" s="97"/>
      <c r="BA170" s="98"/>
      <c r="BB170" s="96">
        <f>IF(ISNUMBER(AN170),AN170,0)+IF(ISNUMBER(AS170),AS170,0)</f>
        <v>0</v>
      </c>
      <c r="BC170" s="97"/>
      <c r="BD170" s="97"/>
      <c r="BE170" s="97"/>
      <c r="BF170" s="98"/>
      <c r="BG170" s="96">
        <v>0</v>
      </c>
      <c r="BH170" s="97"/>
      <c r="BI170" s="97"/>
      <c r="BJ170" s="97"/>
      <c r="BK170" s="98"/>
      <c r="BL170" s="96">
        <v>0</v>
      </c>
      <c r="BM170" s="97"/>
      <c r="BN170" s="97"/>
      <c r="BO170" s="97"/>
      <c r="BP170" s="98"/>
      <c r="BQ170" s="96">
        <v>0</v>
      </c>
      <c r="BR170" s="97"/>
      <c r="BS170" s="97"/>
      <c r="BT170" s="98"/>
      <c r="BU170" s="96">
        <f>IF(ISNUMBER(BG170),BG170,0)+IF(ISNUMBER(BL170),BL170,0)</f>
        <v>0</v>
      </c>
      <c r="BV170" s="97"/>
      <c r="BW170" s="97"/>
      <c r="BX170" s="97"/>
      <c r="BY170" s="98"/>
    </row>
    <row r="171" spans="1:77" s="99" customFormat="1" ht="25.5" customHeight="1" x14ac:dyDescent="0.2">
      <c r="A171" s="89">
        <v>48</v>
      </c>
      <c r="B171" s="90"/>
      <c r="C171" s="90"/>
      <c r="D171" s="92" t="s">
        <v>237</v>
      </c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4"/>
      <c r="U171" s="96">
        <v>12800</v>
      </c>
      <c r="V171" s="97"/>
      <c r="W171" s="97"/>
      <c r="X171" s="97"/>
      <c r="Y171" s="98"/>
      <c r="Z171" s="96">
        <v>0</v>
      </c>
      <c r="AA171" s="97"/>
      <c r="AB171" s="97"/>
      <c r="AC171" s="97"/>
      <c r="AD171" s="98"/>
      <c r="AE171" s="96">
        <v>0</v>
      </c>
      <c r="AF171" s="97"/>
      <c r="AG171" s="97"/>
      <c r="AH171" s="98"/>
      <c r="AI171" s="96">
        <f>IF(ISNUMBER(U171),U171,0)+IF(ISNUMBER(Z171),Z171,0)</f>
        <v>12800</v>
      </c>
      <c r="AJ171" s="97"/>
      <c r="AK171" s="97"/>
      <c r="AL171" s="97"/>
      <c r="AM171" s="98"/>
      <c r="AN171" s="96">
        <v>12800</v>
      </c>
      <c r="AO171" s="97"/>
      <c r="AP171" s="97"/>
      <c r="AQ171" s="97"/>
      <c r="AR171" s="98"/>
      <c r="AS171" s="96">
        <v>0</v>
      </c>
      <c r="AT171" s="97"/>
      <c r="AU171" s="97"/>
      <c r="AV171" s="97"/>
      <c r="AW171" s="98"/>
      <c r="AX171" s="96">
        <v>0</v>
      </c>
      <c r="AY171" s="97"/>
      <c r="AZ171" s="97"/>
      <c r="BA171" s="98"/>
      <c r="BB171" s="96">
        <f>IF(ISNUMBER(AN171),AN171,0)+IF(ISNUMBER(AS171),AS171,0)</f>
        <v>12800</v>
      </c>
      <c r="BC171" s="97"/>
      <c r="BD171" s="97"/>
      <c r="BE171" s="97"/>
      <c r="BF171" s="98"/>
      <c r="BG171" s="96">
        <v>0</v>
      </c>
      <c r="BH171" s="97"/>
      <c r="BI171" s="97"/>
      <c r="BJ171" s="97"/>
      <c r="BK171" s="98"/>
      <c r="BL171" s="96">
        <v>0</v>
      </c>
      <c r="BM171" s="97"/>
      <c r="BN171" s="97"/>
      <c r="BO171" s="97"/>
      <c r="BP171" s="98"/>
      <c r="BQ171" s="96">
        <v>0</v>
      </c>
      <c r="BR171" s="97"/>
      <c r="BS171" s="97"/>
      <c r="BT171" s="98"/>
      <c r="BU171" s="96">
        <f>IF(ISNUMBER(BG171),BG171,0)+IF(ISNUMBER(BL171),BL171,0)</f>
        <v>0</v>
      </c>
      <c r="BV171" s="97"/>
      <c r="BW171" s="97"/>
      <c r="BX171" s="97"/>
      <c r="BY171" s="98"/>
    </row>
    <row r="172" spans="1:77" s="99" customFormat="1" ht="12.75" customHeight="1" x14ac:dyDescent="0.2">
      <c r="A172" s="89">
        <v>49</v>
      </c>
      <c r="B172" s="90"/>
      <c r="C172" s="90"/>
      <c r="D172" s="92" t="s">
        <v>238</v>
      </c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4"/>
      <c r="U172" s="96">
        <v>0</v>
      </c>
      <c r="V172" s="97"/>
      <c r="W172" s="97"/>
      <c r="X172" s="97"/>
      <c r="Y172" s="98"/>
      <c r="Z172" s="96">
        <v>0</v>
      </c>
      <c r="AA172" s="97"/>
      <c r="AB172" s="97"/>
      <c r="AC172" s="97"/>
      <c r="AD172" s="98"/>
      <c r="AE172" s="96">
        <v>0</v>
      </c>
      <c r="AF172" s="97"/>
      <c r="AG172" s="97"/>
      <c r="AH172" s="98"/>
      <c r="AI172" s="96">
        <f>IF(ISNUMBER(U172),U172,0)+IF(ISNUMBER(Z172),Z172,0)</f>
        <v>0</v>
      </c>
      <c r="AJ172" s="97"/>
      <c r="AK172" s="97"/>
      <c r="AL172" s="97"/>
      <c r="AM172" s="98"/>
      <c r="AN172" s="96">
        <v>31000</v>
      </c>
      <c r="AO172" s="97"/>
      <c r="AP172" s="97"/>
      <c r="AQ172" s="97"/>
      <c r="AR172" s="98"/>
      <c r="AS172" s="96">
        <v>0</v>
      </c>
      <c r="AT172" s="97"/>
      <c r="AU172" s="97"/>
      <c r="AV172" s="97"/>
      <c r="AW172" s="98"/>
      <c r="AX172" s="96">
        <v>0</v>
      </c>
      <c r="AY172" s="97"/>
      <c r="AZ172" s="97"/>
      <c r="BA172" s="98"/>
      <c r="BB172" s="96">
        <f>IF(ISNUMBER(AN172),AN172,0)+IF(ISNUMBER(AS172),AS172,0)</f>
        <v>31000</v>
      </c>
      <c r="BC172" s="97"/>
      <c r="BD172" s="97"/>
      <c r="BE172" s="97"/>
      <c r="BF172" s="98"/>
      <c r="BG172" s="96">
        <v>0</v>
      </c>
      <c r="BH172" s="97"/>
      <c r="BI172" s="97"/>
      <c r="BJ172" s="97"/>
      <c r="BK172" s="98"/>
      <c r="BL172" s="96">
        <v>0</v>
      </c>
      <c r="BM172" s="97"/>
      <c r="BN172" s="97"/>
      <c r="BO172" s="97"/>
      <c r="BP172" s="98"/>
      <c r="BQ172" s="96">
        <v>0</v>
      </c>
      <c r="BR172" s="97"/>
      <c r="BS172" s="97"/>
      <c r="BT172" s="98"/>
      <c r="BU172" s="96">
        <f>IF(ISNUMBER(BG172),BG172,0)+IF(ISNUMBER(BL172),BL172,0)</f>
        <v>0</v>
      </c>
      <c r="BV172" s="97"/>
      <c r="BW172" s="97"/>
      <c r="BX172" s="97"/>
      <c r="BY172" s="98"/>
    </row>
    <row r="173" spans="1:77" s="99" customFormat="1" ht="12.75" customHeight="1" x14ac:dyDescent="0.2">
      <c r="A173" s="89">
        <v>50</v>
      </c>
      <c r="B173" s="90"/>
      <c r="C173" s="90"/>
      <c r="D173" s="92" t="s">
        <v>239</v>
      </c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4"/>
      <c r="U173" s="96">
        <v>8400</v>
      </c>
      <c r="V173" s="97"/>
      <c r="W173" s="97"/>
      <c r="X173" s="97"/>
      <c r="Y173" s="98"/>
      <c r="Z173" s="96">
        <v>0</v>
      </c>
      <c r="AA173" s="97"/>
      <c r="AB173" s="97"/>
      <c r="AC173" s="97"/>
      <c r="AD173" s="98"/>
      <c r="AE173" s="96">
        <v>0</v>
      </c>
      <c r="AF173" s="97"/>
      <c r="AG173" s="97"/>
      <c r="AH173" s="98"/>
      <c r="AI173" s="96">
        <f>IF(ISNUMBER(U173),U173,0)+IF(ISNUMBER(Z173),Z173,0)</f>
        <v>8400</v>
      </c>
      <c r="AJ173" s="97"/>
      <c r="AK173" s="97"/>
      <c r="AL173" s="97"/>
      <c r="AM173" s="98"/>
      <c r="AN173" s="96">
        <v>9000</v>
      </c>
      <c r="AO173" s="97"/>
      <c r="AP173" s="97"/>
      <c r="AQ173" s="97"/>
      <c r="AR173" s="98"/>
      <c r="AS173" s="96">
        <v>0</v>
      </c>
      <c r="AT173" s="97"/>
      <c r="AU173" s="97"/>
      <c r="AV173" s="97"/>
      <c r="AW173" s="98"/>
      <c r="AX173" s="96">
        <v>0</v>
      </c>
      <c r="AY173" s="97"/>
      <c r="AZ173" s="97"/>
      <c r="BA173" s="98"/>
      <c r="BB173" s="96">
        <f>IF(ISNUMBER(AN173),AN173,0)+IF(ISNUMBER(AS173),AS173,0)</f>
        <v>9000</v>
      </c>
      <c r="BC173" s="97"/>
      <c r="BD173" s="97"/>
      <c r="BE173" s="97"/>
      <c r="BF173" s="98"/>
      <c r="BG173" s="96">
        <v>0</v>
      </c>
      <c r="BH173" s="97"/>
      <c r="BI173" s="97"/>
      <c r="BJ173" s="97"/>
      <c r="BK173" s="98"/>
      <c r="BL173" s="96">
        <v>0</v>
      </c>
      <c r="BM173" s="97"/>
      <c r="BN173" s="97"/>
      <c r="BO173" s="97"/>
      <c r="BP173" s="98"/>
      <c r="BQ173" s="96">
        <v>0</v>
      </c>
      <c r="BR173" s="97"/>
      <c r="BS173" s="97"/>
      <c r="BT173" s="98"/>
      <c r="BU173" s="96">
        <f>IF(ISNUMBER(BG173),BG173,0)+IF(ISNUMBER(BL173),BL173,0)</f>
        <v>0</v>
      </c>
      <c r="BV173" s="97"/>
      <c r="BW173" s="97"/>
      <c r="BX173" s="97"/>
      <c r="BY173" s="98"/>
    </row>
    <row r="174" spans="1:77" s="99" customFormat="1" ht="25.5" customHeight="1" x14ac:dyDescent="0.2">
      <c r="A174" s="89">
        <v>51</v>
      </c>
      <c r="B174" s="90"/>
      <c r="C174" s="90"/>
      <c r="D174" s="92" t="s">
        <v>240</v>
      </c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4"/>
      <c r="U174" s="96">
        <v>0</v>
      </c>
      <c r="V174" s="97"/>
      <c r="W174" s="97"/>
      <c r="X174" s="97"/>
      <c r="Y174" s="98"/>
      <c r="Z174" s="96">
        <v>0</v>
      </c>
      <c r="AA174" s="97"/>
      <c r="AB174" s="97"/>
      <c r="AC174" s="97"/>
      <c r="AD174" s="98"/>
      <c r="AE174" s="96">
        <v>45000</v>
      </c>
      <c r="AF174" s="97"/>
      <c r="AG174" s="97"/>
      <c r="AH174" s="98"/>
      <c r="AI174" s="96">
        <f>IF(ISNUMBER(U174),U174,0)+IF(ISNUMBER(Z174),Z174,0)</f>
        <v>0</v>
      </c>
      <c r="AJ174" s="97"/>
      <c r="AK174" s="97"/>
      <c r="AL174" s="97"/>
      <c r="AM174" s="98"/>
      <c r="AN174" s="96">
        <v>0</v>
      </c>
      <c r="AO174" s="97"/>
      <c r="AP174" s="97"/>
      <c r="AQ174" s="97"/>
      <c r="AR174" s="98"/>
      <c r="AS174" s="96">
        <v>0</v>
      </c>
      <c r="AT174" s="97"/>
      <c r="AU174" s="97"/>
      <c r="AV174" s="97"/>
      <c r="AW174" s="98"/>
      <c r="AX174" s="96">
        <v>0</v>
      </c>
      <c r="AY174" s="97"/>
      <c r="AZ174" s="97"/>
      <c r="BA174" s="98"/>
      <c r="BB174" s="96">
        <f>IF(ISNUMBER(AN174),AN174,0)+IF(ISNUMBER(AS174),AS174,0)</f>
        <v>0</v>
      </c>
      <c r="BC174" s="97"/>
      <c r="BD174" s="97"/>
      <c r="BE174" s="97"/>
      <c r="BF174" s="98"/>
      <c r="BG174" s="96">
        <v>0</v>
      </c>
      <c r="BH174" s="97"/>
      <c r="BI174" s="97"/>
      <c r="BJ174" s="97"/>
      <c r="BK174" s="98"/>
      <c r="BL174" s="96">
        <v>0</v>
      </c>
      <c r="BM174" s="97"/>
      <c r="BN174" s="97"/>
      <c r="BO174" s="97"/>
      <c r="BP174" s="98"/>
      <c r="BQ174" s="96">
        <v>0</v>
      </c>
      <c r="BR174" s="97"/>
      <c r="BS174" s="97"/>
      <c r="BT174" s="98"/>
      <c r="BU174" s="96">
        <f>IF(ISNUMBER(BG174),BG174,0)+IF(ISNUMBER(BL174),BL174,0)</f>
        <v>0</v>
      </c>
      <c r="BV174" s="97"/>
      <c r="BW174" s="97"/>
      <c r="BX174" s="97"/>
      <c r="BY174" s="98"/>
    </row>
    <row r="175" spans="1:77" s="99" customFormat="1" ht="12.75" customHeight="1" x14ac:dyDescent="0.2">
      <c r="A175" s="89">
        <v>52</v>
      </c>
      <c r="B175" s="90"/>
      <c r="C175" s="90"/>
      <c r="D175" s="92" t="s">
        <v>241</v>
      </c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4"/>
      <c r="U175" s="96">
        <v>0</v>
      </c>
      <c r="V175" s="97"/>
      <c r="W175" s="97"/>
      <c r="X175" s="97"/>
      <c r="Y175" s="98"/>
      <c r="Z175" s="96">
        <v>0</v>
      </c>
      <c r="AA175" s="97"/>
      <c r="AB175" s="97"/>
      <c r="AC175" s="97"/>
      <c r="AD175" s="98"/>
      <c r="AE175" s="96">
        <v>0</v>
      </c>
      <c r="AF175" s="97"/>
      <c r="AG175" s="97"/>
      <c r="AH175" s="98"/>
      <c r="AI175" s="96">
        <f>IF(ISNUMBER(U175),U175,0)+IF(ISNUMBER(Z175),Z175,0)</f>
        <v>0</v>
      </c>
      <c r="AJ175" s="97"/>
      <c r="AK175" s="97"/>
      <c r="AL175" s="97"/>
      <c r="AM175" s="98"/>
      <c r="AN175" s="96">
        <v>0</v>
      </c>
      <c r="AO175" s="97"/>
      <c r="AP175" s="97"/>
      <c r="AQ175" s="97"/>
      <c r="AR175" s="98"/>
      <c r="AS175" s="96">
        <v>0</v>
      </c>
      <c r="AT175" s="97"/>
      <c r="AU175" s="97"/>
      <c r="AV175" s="97"/>
      <c r="AW175" s="98"/>
      <c r="AX175" s="96">
        <v>0</v>
      </c>
      <c r="AY175" s="97"/>
      <c r="AZ175" s="97"/>
      <c r="BA175" s="98"/>
      <c r="BB175" s="96">
        <f>IF(ISNUMBER(AN175),AN175,0)+IF(ISNUMBER(AS175),AS175,0)</f>
        <v>0</v>
      </c>
      <c r="BC175" s="97"/>
      <c r="BD175" s="97"/>
      <c r="BE175" s="97"/>
      <c r="BF175" s="98"/>
      <c r="BG175" s="96">
        <v>0</v>
      </c>
      <c r="BH175" s="97"/>
      <c r="BI175" s="97"/>
      <c r="BJ175" s="97"/>
      <c r="BK175" s="98"/>
      <c r="BL175" s="96">
        <v>0</v>
      </c>
      <c r="BM175" s="97"/>
      <c r="BN175" s="97"/>
      <c r="BO175" s="97"/>
      <c r="BP175" s="98"/>
      <c r="BQ175" s="96">
        <v>0</v>
      </c>
      <c r="BR175" s="97"/>
      <c r="BS175" s="97"/>
      <c r="BT175" s="98"/>
      <c r="BU175" s="96">
        <f>IF(ISNUMBER(BG175),BG175,0)+IF(ISNUMBER(BL175),BL175,0)</f>
        <v>0</v>
      </c>
      <c r="BV175" s="97"/>
      <c r="BW175" s="97"/>
      <c r="BX175" s="97"/>
      <c r="BY175" s="98"/>
    </row>
    <row r="176" spans="1:77" s="99" customFormat="1" ht="25.5" customHeight="1" x14ac:dyDescent="0.2">
      <c r="A176" s="89">
        <v>53</v>
      </c>
      <c r="B176" s="90"/>
      <c r="C176" s="90"/>
      <c r="D176" s="92" t="s">
        <v>242</v>
      </c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4"/>
      <c r="U176" s="96">
        <v>49900</v>
      </c>
      <c r="V176" s="97"/>
      <c r="W176" s="97"/>
      <c r="X176" s="97"/>
      <c r="Y176" s="98"/>
      <c r="Z176" s="96">
        <v>0</v>
      </c>
      <c r="AA176" s="97"/>
      <c r="AB176" s="97"/>
      <c r="AC176" s="97"/>
      <c r="AD176" s="98"/>
      <c r="AE176" s="96">
        <v>0</v>
      </c>
      <c r="AF176" s="97"/>
      <c r="AG176" s="97"/>
      <c r="AH176" s="98"/>
      <c r="AI176" s="96">
        <f>IF(ISNUMBER(U176),U176,0)+IF(ISNUMBER(Z176),Z176,0)</f>
        <v>49900</v>
      </c>
      <c r="AJ176" s="97"/>
      <c r="AK176" s="97"/>
      <c r="AL176" s="97"/>
      <c r="AM176" s="98"/>
      <c r="AN176" s="96">
        <v>49900</v>
      </c>
      <c r="AO176" s="97"/>
      <c r="AP176" s="97"/>
      <c r="AQ176" s="97"/>
      <c r="AR176" s="98"/>
      <c r="AS176" s="96">
        <v>0</v>
      </c>
      <c r="AT176" s="97"/>
      <c r="AU176" s="97"/>
      <c r="AV176" s="97"/>
      <c r="AW176" s="98"/>
      <c r="AX176" s="96">
        <v>0</v>
      </c>
      <c r="AY176" s="97"/>
      <c r="AZ176" s="97"/>
      <c r="BA176" s="98"/>
      <c r="BB176" s="96">
        <f>IF(ISNUMBER(AN176),AN176,0)+IF(ISNUMBER(AS176),AS176,0)</f>
        <v>49900</v>
      </c>
      <c r="BC176" s="97"/>
      <c r="BD176" s="97"/>
      <c r="BE176" s="97"/>
      <c r="BF176" s="98"/>
      <c r="BG176" s="96">
        <v>0</v>
      </c>
      <c r="BH176" s="97"/>
      <c r="BI176" s="97"/>
      <c r="BJ176" s="97"/>
      <c r="BK176" s="98"/>
      <c r="BL176" s="96">
        <v>0</v>
      </c>
      <c r="BM176" s="97"/>
      <c r="BN176" s="97"/>
      <c r="BO176" s="97"/>
      <c r="BP176" s="98"/>
      <c r="BQ176" s="96">
        <v>0</v>
      </c>
      <c r="BR176" s="97"/>
      <c r="BS176" s="97"/>
      <c r="BT176" s="98"/>
      <c r="BU176" s="96">
        <f>IF(ISNUMBER(BG176),BG176,0)+IF(ISNUMBER(BL176),BL176,0)</f>
        <v>0</v>
      </c>
      <c r="BV176" s="97"/>
      <c r="BW176" s="97"/>
      <c r="BX176" s="97"/>
      <c r="BY176" s="98"/>
    </row>
    <row r="177" spans="1:77" s="99" customFormat="1" ht="25.5" customHeight="1" x14ac:dyDescent="0.2">
      <c r="A177" s="89">
        <v>54</v>
      </c>
      <c r="B177" s="90"/>
      <c r="C177" s="90"/>
      <c r="D177" s="92" t="s">
        <v>243</v>
      </c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4"/>
      <c r="U177" s="96">
        <v>6500</v>
      </c>
      <c r="V177" s="97"/>
      <c r="W177" s="97"/>
      <c r="X177" s="97"/>
      <c r="Y177" s="98"/>
      <c r="Z177" s="96">
        <v>0</v>
      </c>
      <c r="AA177" s="97"/>
      <c r="AB177" s="97"/>
      <c r="AC177" s="97"/>
      <c r="AD177" s="98"/>
      <c r="AE177" s="96">
        <v>0</v>
      </c>
      <c r="AF177" s="97"/>
      <c r="AG177" s="97"/>
      <c r="AH177" s="98"/>
      <c r="AI177" s="96">
        <f>IF(ISNUMBER(U177),U177,0)+IF(ISNUMBER(Z177),Z177,0)</f>
        <v>6500</v>
      </c>
      <c r="AJ177" s="97"/>
      <c r="AK177" s="97"/>
      <c r="AL177" s="97"/>
      <c r="AM177" s="98"/>
      <c r="AN177" s="96">
        <v>7000</v>
      </c>
      <c r="AO177" s="97"/>
      <c r="AP177" s="97"/>
      <c r="AQ177" s="97"/>
      <c r="AR177" s="98"/>
      <c r="AS177" s="96">
        <v>0</v>
      </c>
      <c r="AT177" s="97"/>
      <c r="AU177" s="97"/>
      <c r="AV177" s="97"/>
      <c r="AW177" s="98"/>
      <c r="AX177" s="96">
        <v>0</v>
      </c>
      <c r="AY177" s="97"/>
      <c r="AZ177" s="97"/>
      <c r="BA177" s="98"/>
      <c r="BB177" s="96">
        <f>IF(ISNUMBER(AN177),AN177,0)+IF(ISNUMBER(AS177),AS177,0)</f>
        <v>7000</v>
      </c>
      <c r="BC177" s="97"/>
      <c r="BD177" s="97"/>
      <c r="BE177" s="97"/>
      <c r="BF177" s="98"/>
      <c r="BG177" s="96">
        <v>0</v>
      </c>
      <c r="BH177" s="97"/>
      <c r="BI177" s="97"/>
      <c r="BJ177" s="97"/>
      <c r="BK177" s="98"/>
      <c r="BL177" s="96">
        <v>0</v>
      </c>
      <c r="BM177" s="97"/>
      <c r="BN177" s="97"/>
      <c r="BO177" s="97"/>
      <c r="BP177" s="98"/>
      <c r="BQ177" s="96">
        <v>0</v>
      </c>
      <c r="BR177" s="97"/>
      <c r="BS177" s="97"/>
      <c r="BT177" s="98"/>
      <c r="BU177" s="96">
        <f>IF(ISNUMBER(BG177),BG177,0)+IF(ISNUMBER(BL177),BL177,0)</f>
        <v>0</v>
      </c>
      <c r="BV177" s="97"/>
      <c r="BW177" s="97"/>
      <c r="BX177" s="97"/>
      <c r="BY177" s="98"/>
    </row>
    <row r="178" spans="1:77" s="99" customFormat="1" ht="12.75" customHeight="1" x14ac:dyDescent="0.2">
      <c r="A178" s="89">
        <v>55</v>
      </c>
      <c r="B178" s="90"/>
      <c r="C178" s="90"/>
      <c r="D178" s="92" t="s">
        <v>244</v>
      </c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4"/>
      <c r="U178" s="96">
        <v>47000</v>
      </c>
      <c r="V178" s="97"/>
      <c r="W178" s="97"/>
      <c r="X178" s="97"/>
      <c r="Y178" s="98"/>
      <c r="Z178" s="96">
        <v>176122</v>
      </c>
      <c r="AA178" s="97"/>
      <c r="AB178" s="97"/>
      <c r="AC178" s="97"/>
      <c r="AD178" s="98"/>
      <c r="AE178" s="96">
        <v>0</v>
      </c>
      <c r="AF178" s="97"/>
      <c r="AG178" s="97"/>
      <c r="AH178" s="98"/>
      <c r="AI178" s="96">
        <f>IF(ISNUMBER(U178),U178,0)+IF(ISNUMBER(Z178),Z178,0)</f>
        <v>223122</v>
      </c>
      <c r="AJ178" s="97"/>
      <c r="AK178" s="97"/>
      <c r="AL178" s="97"/>
      <c r="AM178" s="98"/>
      <c r="AN178" s="96">
        <v>49900</v>
      </c>
      <c r="AO178" s="97"/>
      <c r="AP178" s="97"/>
      <c r="AQ178" s="97"/>
      <c r="AR178" s="98"/>
      <c r="AS178" s="96">
        <v>0</v>
      </c>
      <c r="AT178" s="97"/>
      <c r="AU178" s="97"/>
      <c r="AV178" s="97"/>
      <c r="AW178" s="98"/>
      <c r="AX178" s="96">
        <v>0</v>
      </c>
      <c r="AY178" s="97"/>
      <c r="AZ178" s="97"/>
      <c r="BA178" s="98"/>
      <c r="BB178" s="96">
        <f>IF(ISNUMBER(AN178),AN178,0)+IF(ISNUMBER(AS178),AS178,0)</f>
        <v>49900</v>
      </c>
      <c r="BC178" s="97"/>
      <c r="BD178" s="97"/>
      <c r="BE178" s="97"/>
      <c r="BF178" s="98"/>
      <c r="BG178" s="96">
        <v>0</v>
      </c>
      <c r="BH178" s="97"/>
      <c r="BI178" s="97"/>
      <c r="BJ178" s="97"/>
      <c r="BK178" s="98"/>
      <c r="BL178" s="96">
        <v>0</v>
      </c>
      <c r="BM178" s="97"/>
      <c r="BN178" s="97"/>
      <c r="BO178" s="97"/>
      <c r="BP178" s="98"/>
      <c r="BQ178" s="96">
        <v>0</v>
      </c>
      <c r="BR178" s="97"/>
      <c r="BS178" s="97"/>
      <c r="BT178" s="98"/>
      <c r="BU178" s="96">
        <f>IF(ISNUMBER(BG178),BG178,0)+IF(ISNUMBER(BL178),BL178,0)</f>
        <v>0</v>
      </c>
      <c r="BV178" s="97"/>
      <c r="BW178" s="97"/>
      <c r="BX178" s="97"/>
      <c r="BY178" s="98"/>
    </row>
    <row r="179" spans="1:77" s="99" customFormat="1" ht="25.5" customHeight="1" x14ac:dyDescent="0.2">
      <c r="A179" s="89">
        <v>56</v>
      </c>
      <c r="B179" s="90"/>
      <c r="C179" s="90"/>
      <c r="D179" s="92" t="s">
        <v>245</v>
      </c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4"/>
      <c r="U179" s="96">
        <v>0</v>
      </c>
      <c r="V179" s="97"/>
      <c r="W179" s="97"/>
      <c r="X179" s="97"/>
      <c r="Y179" s="98"/>
      <c r="Z179" s="96">
        <v>0</v>
      </c>
      <c r="AA179" s="97"/>
      <c r="AB179" s="97"/>
      <c r="AC179" s="97"/>
      <c r="AD179" s="98"/>
      <c r="AE179" s="96">
        <v>242000</v>
      </c>
      <c r="AF179" s="97"/>
      <c r="AG179" s="97"/>
      <c r="AH179" s="98"/>
      <c r="AI179" s="96">
        <f>IF(ISNUMBER(U179),U179,0)+IF(ISNUMBER(Z179),Z179,0)</f>
        <v>0</v>
      </c>
      <c r="AJ179" s="97"/>
      <c r="AK179" s="97"/>
      <c r="AL179" s="97"/>
      <c r="AM179" s="98"/>
      <c r="AN179" s="96">
        <v>0</v>
      </c>
      <c r="AO179" s="97"/>
      <c r="AP179" s="97"/>
      <c r="AQ179" s="97"/>
      <c r="AR179" s="98"/>
      <c r="AS179" s="96">
        <v>0</v>
      </c>
      <c r="AT179" s="97"/>
      <c r="AU179" s="97"/>
      <c r="AV179" s="97"/>
      <c r="AW179" s="98"/>
      <c r="AX179" s="96">
        <v>0</v>
      </c>
      <c r="AY179" s="97"/>
      <c r="AZ179" s="97"/>
      <c r="BA179" s="98"/>
      <c r="BB179" s="96">
        <f>IF(ISNUMBER(AN179),AN179,0)+IF(ISNUMBER(AS179),AS179,0)</f>
        <v>0</v>
      </c>
      <c r="BC179" s="97"/>
      <c r="BD179" s="97"/>
      <c r="BE179" s="97"/>
      <c r="BF179" s="98"/>
      <c r="BG179" s="96">
        <v>0</v>
      </c>
      <c r="BH179" s="97"/>
      <c r="BI179" s="97"/>
      <c r="BJ179" s="97"/>
      <c r="BK179" s="98"/>
      <c r="BL179" s="96">
        <v>0</v>
      </c>
      <c r="BM179" s="97"/>
      <c r="BN179" s="97"/>
      <c r="BO179" s="97"/>
      <c r="BP179" s="98"/>
      <c r="BQ179" s="96">
        <v>0</v>
      </c>
      <c r="BR179" s="97"/>
      <c r="BS179" s="97"/>
      <c r="BT179" s="98"/>
      <c r="BU179" s="96">
        <f>IF(ISNUMBER(BG179),BG179,0)+IF(ISNUMBER(BL179),BL179,0)</f>
        <v>0</v>
      </c>
      <c r="BV179" s="97"/>
      <c r="BW179" s="97"/>
      <c r="BX179" s="97"/>
      <c r="BY179" s="98"/>
    </row>
    <row r="180" spans="1:77" s="99" customFormat="1" ht="25.5" customHeight="1" x14ac:dyDescent="0.2">
      <c r="A180" s="89">
        <v>57</v>
      </c>
      <c r="B180" s="90"/>
      <c r="C180" s="90"/>
      <c r="D180" s="92" t="s">
        <v>246</v>
      </c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4"/>
      <c r="U180" s="96">
        <v>0</v>
      </c>
      <c r="V180" s="97"/>
      <c r="W180" s="97"/>
      <c r="X180" s="97"/>
      <c r="Y180" s="98"/>
      <c r="Z180" s="96">
        <v>0</v>
      </c>
      <c r="AA180" s="97"/>
      <c r="AB180" s="97"/>
      <c r="AC180" s="97"/>
      <c r="AD180" s="98"/>
      <c r="AE180" s="96">
        <v>0</v>
      </c>
      <c r="AF180" s="97"/>
      <c r="AG180" s="97"/>
      <c r="AH180" s="98"/>
      <c r="AI180" s="96">
        <f>IF(ISNUMBER(U180),U180,0)+IF(ISNUMBER(Z180),Z180,0)</f>
        <v>0</v>
      </c>
      <c r="AJ180" s="97"/>
      <c r="AK180" s="97"/>
      <c r="AL180" s="97"/>
      <c r="AM180" s="98"/>
      <c r="AN180" s="96">
        <v>0</v>
      </c>
      <c r="AO180" s="97"/>
      <c r="AP180" s="97"/>
      <c r="AQ180" s="97"/>
      <c r="AR180" s="98"/>
      <c r="AS180" s="96">
        <v>0</v>
      </c>
      <c r="AT180" s="97"/>
      <c r="AU180" s="97"/>
      <c r="AV180" s="97"/>
      <c r="AW180" s="98"/>
      <c r="AX180" s="96">
        <v>0</v>
      </c>
      <c r="AY180" s="97"/>
      <c r="AZ180" s="97"/>
      <c r="BA180" s="98"/>
      <c r="BB180" s="96">
        <f>IF(ISNUMBER(AN180),AN180,0)+IF(ISNUMBER(AS180),AS180,0)</f>
        <v>0</v>
      </c>
      <c r="BC180" s="97"/>
      <c r="BD180" s="97"/>
      <c r="BE180" s="97"/>
      <c r="BF180" s="98"/>
      <c r="BG180" s="96">
        <v>0</v>
      </c>
      <c r="BH180" s="97"/>
      <c r="BI180" s="97"/>
      <c r="BJ180" s="97"/>
      <c r="BK180" s="98"/>
      <c r="BL180" s="96">
        <v>0</v>
      </c>
      <c r="BM180" s="97"/>
      <c r="BN180" s="97"/>
      <c r="BO180" s="97"/>
      <c r="BP180" s="98"/>
      <c r="BQ180" s="96">
        <v>0</v>
      </c>
      <c r="BR180" s="97"/>
      <c r="BS180" s="97"/>
      <c r="BT180" s="98"/>
      <c r="BU180" s="96">
        <f>IF(ISNUMBER(BG180),BG180,0)+IF(ISNUMBER(BL180),BL180,0)</f>
        <v>0</v>
      </c>
      <c r="BV180" s="97"/>
      <c r="BW180" s="97"/>
      <c r="BX180" s="97"/>
      <c r="BY180" s="98"/>
    </row>
    <row r="181" spans="1:77" s="99" customFormat="1" ht="12.75" customHeight="1" x14ac:dyDescent="0.2">
      <c r="A181" s="89">
        <v>58</v>
      </c>
      <c r="B181" s="90"/>
      <c r="C181" s="90"/>
      <c r="D181" s="92" t="s">
        <v>247</v>
      </c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4"/>
      <c r="U181" s="96">
        <v>0</v>
      </c>
      <c r="V181" s="97"/>
      <c r="W181" s="97"/>
      <c r="X181" s="97"/>
      <c r="Y181" s="98"/>
      <c r="Z181" s="96">
        <v>0</v>
      </c>
      <c r="AA181" s="97"/>
      <c r="AB181" s="97"/>
      <c r="AC181" s="97"/>
      <c r="AD181" s="98"/>
      <c r="AE181" s="96">
        <v>0</v>
      </c>
      <c r="AF181" s="97"/>
      <c r="AG181" s="97"/>
      <c r="AH181" s="98"/>
      <c r="AI181" s="96">
        <f>IF(ISNUMBER(U181),U181,0)+IF(ISNUMBER(Z181),Z181,0)</f>
        <v>0</v>
      </c>
      <c r="AJ181" s="97"/>
      <c r="AK181" s="97"/>
      <c r="AL181" s="97"/>
      <c r="AM181" s="98"/>
      <c r="AN181" s="96">
        <v>0</v>
      </c>
      <c r="AO181" s="97"/>
      <c r="AP181" s="97"/>
      <c r="AQ181" s="97"/>
      <c r="AR181" s="98"/>
      <c r="AS181" s="96">
        <v>0</v>
      </c>
      <c r="AT181" s="97"/>
      <c r="AU181" s="97"/>
      <c r="AV181" s="97"/>
      <c r="AW181" s="98"/>
      <c r="AX181" s="96">
        <v>0</v>
      </c>
      <c r="AY181" s="97"/>
      <c r="AZ181" s="97"/>
      <c r="BA181" s="98"/>
      <c r="BB181" s="96">
        <f>IF(ISNUMBER(AN181),AN181,0)+IF(ISNUMBER(AS181),AS181,0)</f>
        <v>0</v>
      </c>
      <c r="BC181" s="97"/>
      <c r="BD181" s="97"/>
      <c r="BE181" s="97"/>
      <c r="BF181" s="98"/>
      <c r="BG181" s="96">
        <v>0</v>
      </c>
      <c r="BH181" s="97"/>
      <c r="BI181" s="97"/>
      <c r="BJ181" s="97"/>
      <c r="BK181" s="98"/>
      <c r="BL181" s="96">
        <v>0</v>
      </c>
      <c r="BM181" s="97"/>
      <c r="BN181" s="97"/>
      <c r="BO181" s="97"/>
      <c r="BP181" s="98"/>
      <c r="BQ181" s="96">
        <v>0</v>
      </c>
      <c r="BR181" s="97"/>
      <c r="BS181" s="97"/>
      <c r="BT181" s="98"/>
      <c r="BU181" s="96">
        <f>IF(ISNUMBER(BG181),BG181,0)+IF(ISNUMBER(BL181),BL181,0)</f>
        <v>0</v>
      </c>
      <c r="BV181" s="97"/>
      <c r="BW181" s="97"/>
      <c r="BX181" s="97"/>
      <c r="BY181" s="98"/>
    </row>
    <row r="182" spans="1:77" s="99" customFormat="1" ht="25.5" customHeight="1" x14ac:dyDescent="0.2">
      <c r="A182" s="89">
        <v>59</v>
      </c>
      <c r="B182" s="90"/>
      <c r="C182" s="90"/>
      <c r="D182" s="92" t="s">
        <v>248</v>
      </c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4"/>
      <c r="U182" s="96">
        <v>28100</v>
      </c>
      <c r="V182" s="97"/>
      <c r="W182" s="97"/>
      <c r="X182" s="97"/>
      <c r="Y182" s="98"/>
      <c r="Z182" s="96">
        <v>0</v>
      </c>
      <c r="AA182" s="97"/>
      <c r="AB182" s="97"/>
      <c r="AC182" s="97"/>
      <c r="AD182" s="98"/>
      <c r="AE182" s="96">
        <v>0</v>
      </c>
      <c r="AF182" s="97"/>
      <c r="AG182" s="97"/>
      <c r="AH182" s="98"/>
      <c r="AI182" s="96">
        <f>IF(ISNUMBER(U182),U182,0)+IF(ISNUMBER(Z182),Z182,0)</f>
        <v>28100</v>
      </c>
      <c r="AJ182" s="97"/>
      <c r="AK182" s="97"/>
      <c r="AL182" s="97"/>
      <c r="AM182" s="98"/>
      <c r="AN182" s="96">
        <v>28000</v>
      </c>
      <c r="AO182" s="97"/>
      <c r="AP182" s="97"/>
      <c r="AQ182" s="97"/>
      <c r="AR182" s="98"/>
      <c r="AS182" s="96">
        <v>0</v>
      </c>
      <c r="AT182" s="97"/>
      <c r="AU182" s="97"/>
      <c r="AV182" s="97"/>
      <c r="AW182" s="98"/>
      <c r="AX182" s="96">
        <v>0</v>
      </c>
      <c r="AY182" s="97"/>
      <c r="AZ182" s="97"/>
      <c r="BA182" s="98"/>
      <c r="BB182" s="96">
        <f>IF(ISNUMBER(AN182),AN182,0)+IF(ISNUMBER(AS182),AS182,0)</f>
        <v>28000</v>
      </c>
      <c r="BC182" s="97"/>
      <c r="BD182" s="97"/>
      <c r="BE182" s="97"/>
      <c r="BF182" s="98"/>
      <c r="BG182" s="96">
        <v>0</v>
      </c>
      <c r="BH182" s="97"/>
      <c r="BI182" s="97"/>
      <c r="BJ182" s="97"/>
      <c r="BK182" s="98"/>
      <c r="BL182" s="96">
        <v>0</v>
      </c>
      <c r="BM182" s="97"/>
      <c r="BN182" s="97"/>
      <c r="BO182" s="97"/>
      <c r="BP182" s="98"/>
      <c r="BQ182" s="96">
        <v>0</v>
      </c>
      <c r="BR182" s="97"/>
      <c r="BS182" s="97"/>
      <c r="BT182" s="98"/>
      <c r="BU182" s="96">
        <f>IF(ISNUMBER(BG182),BG182,0)+IF(ISNUMBER(BL182),BL182,0)</f>
        <v>0</v>
      </c>
      <c r="BV182" s="97"/>
      <c r="BW182" s="97"/>
      <c r="BX182" s="97"/>
      <c r="BY182" s="98"/>
    </row>
    <row r="183" spans="1:77" s="99" customFormat="1" ht="12.75" customHeight="1" x14ac:dyDescent="0.2">
      <c r="A183" s="89">
        <v>60</v>
      </c>
      <c r="B183" s="90"/>
      <c r="C183" s="90"/>
      <c r="D183" s="92" t="s">
        <v>249</v>
      </c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4"/>
      <c r="U183" s="96">
        <v>0</v>
      </c>
      <c r="V183" s="97"/>
      <c r="W183" s="97"/>
      <c r="X183" s="97"/>
      <c r="Y183" s="98"/>
      <c r="Z183" s="96">
        <v>0</v>
      </c>
      <c r="AA183" s="97"/>
      <c r="AB183" s="97"/>
      <c r="AC183" s="97"/>
      <c r="AD183" s="98"/>
      <c r="AE183" s="96">
        <v>0</v>
      </c>
      <c r="AF183" s="97"/>
      <c r="AG183" s="97"/>
      <c r="AH183" s="98"/>
      <c r="AI183" s="96">
        <f>IF(ISNUMBER(U183),U183,0)+IF(ISNUMBER(Z183),Z183,0)</f>
        <v>0</v>
      </c>
      <c r="AJ183" s="97"/>
      <c r="AK183" s="97"/>
      <c r="AL183" s="97"/>
      <c r="AM183" s="98"/>
      <c r="AN183" s="96">
        <v>0</v>
      </c>
      <c r="AO183" s="97"/>
      <c r="AP183" s="97"/>
      <c r="AQ183" s="97"/>
      <c r="AR183" s="98"/>
      <c r="AS183" s="96">
        <v>0</v>
      </c>
      <c r="AT183" s="97"/>
      <c r="AU183" s="97"/>
      <c r="AV183" s="97"/>
      <c r="AW183" s="98"/>
      <c r="AX183" s="96">
        <v>0</v>
      </c>
      <c r="AY183" s="97"/>
      <c r="AZ183" s="97"/>
      <c r="BA183" s="98"/>
      <c r="BB183" s="96">
        <f>IF(ISNUMBER(AN183),AN183,0)+IF(ISNUMBER(AS183),AS183,0)</f>
        <v>0</v>
      </c>
      <c r="BC183" s="97"/>
      <c r="BD183" s="97"/>
      <c r="BE183" s="97"/>
      <c r="BF183" s="98"/>
      <c r="BG183" s="96">
        <v>0</v>
      </c>
      <c r="BH183" s="97"/>
      <c r="BI183" s="97"/>
      <c r="BJ183" s="97"/>
      <c r="BK183" s="98"/>
      <c r="BL183" s="96">
        <v>0</v>
      </c>
      <c r="BM183" s="97"/>
      <c r="BN183" s="97"/>
      <c r="BO183" s="97"/>
      <c r="BP183" s="98"/>
      <c r="BQ183" s="96">
        <v>0</v>
      </c>
      <c r="BR183" s="97"/>
      <c r="BS183" s="97"/>
      <c r="BT183" s="98"/>
      <c r="BU183" s="96">
        <f>IF(ISNUMBER(BG183),BG183,0)+IF(ISNUMBER(BL183),BL183,0)</f>
        <v>0</v>
      </c>
      <c r="BV183" s="97"/>
      <c r="BW183" s="97"/>
      <c r="BX183" s="97"/>
      <c r="BY183" s="98"/>
    </row>
    <row r="184" spans="1:77" s="99" customFormat="1" ht="12.75" customHeight="1" x14ac:dyDescent="0.2">
      <c r="A184" s="89">
        <v>61</v>
      </c>
      <c r="B184" s="90"/>
      <c r="C184" s="90"/>
      <c r="D184" s="92" t="s">
        <v>250</v>
      </c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4"/>
      <c r="U184" s="96">
        <v>0</v>
      </c>
      <c r="V184" s="97"/>
      <c r="W184" s="97"/>
      <c r="X184" s="97"/>
      <c r="Y184" s="98"/>
      <c r="Z184" s="96">
        <v>0</v>
      </c>
      <c r="AA184" s="97"/>
      <c r="AB184" s="97"/>
      <c r="AC184" s="97"/>
      <c r="AD184" s="98"/>
      <c r="AE184" s="96">
        <v>0</v>
      </c>
      <c r="AF184" s="97"/>
      <c r="AG184" s="97"/>
      <c r="AH184" s="98"/>
      <c r="AI184" s="96">
        <f>IF(ISNUMBER(U184),U184,0)+IF(ISNUMBER(Z184),Z184,0)</f>
        <v>0</v>
      </c>
      <c r="AJ184" s="97"/>
      <c r="AK184" s="97"/>
      <c r="AL184" s="97"/>
      <c r="AM184" s="98"/>
      <c r="AN184" s="96">
        <v>0</v>
      </c>
      <c r="AO184" s="97"/>
      <c r="AP184" s="97"/>
      <c r="AQ184" s="97"/>
      <c r="AR184" s="98"/>
      <c r="AS184" s="96">
        <v>0</v>
      </c>
      <c r="AT184" s="97"/>
      <c r="AU184" s="97"/>
      <c r="AV184" s="97"/>
      <c r="AW184" s="98"/>
      <c r="AX184" s="96">
        <v>0</v>
      </c>
      <c r="AY184" s="97"/>
      <c r="AZ184" s="97"/>
      <c r="BA184" s="98"/>
      <c r="BB184" s="96">
        <f>IF(ISNUMBER(AN184),AN184,0)+IF(ISNUMBER(AS184),AS184,0)</f>
        <v>0</v>
      </c>
      <c r="BC184" s="97"/>
      <c r="BD184" s="97"/>
      <c r="BE184" s="97"/>
      <c r="BF184" s="98"/>
      <c r="BG184" s="96">
        <v>0</v>
      </c>
      <c r="BH184" s="97"/>
      <c r="BI184" s="97"/>
      <c r="BJ184" s="97"/>
      <c r="BK184" s="98"/>
      <c r="BL184" s="96">
        <v>0</v>
      </c>
      <c r="BM184" s="97"/>
      <c r="BN184" s="97"/>
      <c r="BO184" s="97"/>
      <c r="BP184" s="98"/>
      <c r="BQ184" s="96">
        <v>0</v>
      </c>
      <c r="BR184" s="97"/>
      <c r="BS184" s="97"/>
      <c r="BT184" s="98"/>
      <c r="BU184" s="96">
        <f>IF(ISNUMBER(BG184),BG184,0)+IF(ISNUMBER(BL184),BL184,0)</f>
        <v>0</v>
      </c>
      <c r="BV184" s="97"/>
      <c r="BW184" s="97"/>
      <c r="BX184" s="97"/>
      <c r="BY184" s="98"/>
    </row>
    <row r="185" spans="1:77" s="99" customFormat="1" ht="25.5" customHeight="1" x14ac:dyDescent="0.2">
      <c r="A185" s="89">
        <v>62</v>
      </c>
      <c r="B185" s="90"/>
      <c r="C185" s="90"/>
      <c r="D185" s="92" t="s">
        <v>251</v>
      </c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4"/>
      <c r="U185" s="96">
        <v>0</v>
      </c>
      <c r="V185" s="97"/>
      <c r="W185" s="97"/>
      <c r="X185" s="97"/>
      <c r="Y185" s="98"/>
      <c r="Z185" s="96">
        <v>0</v>
      </c>
      <c r="AA185" s="97"/>
      <c r="AB185" s="97"/>
      <c r="AC185" s="97"/>
      <c r="AD185" s="98"/>
      <c r="AE185" s="96">
        <v>0</v>
      </c>
      <c r="AF185" s="97"/>
      <c r="AG185" s="97"/>
      <c r="AH185" s="98"/>
      <c r="AI185" s="96">
        <f>IF(ISNUMBER(U185),U185,0)+IF(ISNUMBER(Z185),Z185,0)</f>
        <v>0</v>
      </c>
      <c r="AJ185" s="97"/>
      <c r="AK185" s="97"/>
      <c r="AL185" s="97"/>
      <c r="AM185" s="98"/>
      <c r="AN185" s="96">
        <v>0</v>
      </c>
      <c r="AO185" s="97"/>
      <c r="AP185" s="97"/>
      <c r="AQ185" s="97"/>
      <c r="AR185" s="98"/>
      <c r="AS185" s="96">
        <v>0</v>
      </c>
      <c r="AT185" s="97"/>
      <c r="AU185" s="97"/>
      <c r="AV185" s="97"/>
      <c r="AW185" s="98"/>
      <c r="AX185" s="96">
        <v>0</v>
      </c>
      <c r="AY185" s="97"/>
      <c r="AZ185" s="97"/>
      <c r="BA185" s="98"/>
      <c r="BB185" s="96">
        <f>IF(ISNUMBER(AN185),AN185,0)+IF(ISNUMBER(AS185),AS185,0)</f>
        <v>0</v>
      </c>
      <c r="BC185" s="97"/>
      <c r="BD185" s="97"/>
      <c r="BE185" s="97"/>
      <c r="BF185" s="98"/>
      <c r="BG185" s="96">
        <v>0</v>
      </c>
      <c r="BH185" s="97"/>
      <c r="BI185" s="97"/>
      <c r="BJ185" s="97"/>
      <c r="BK185" s="98"/>
      <c r="BL185" s="96">
        <v>0</v>
      </c>
      <c r="BM185" s="97"/>
      <c r="BN185" s="97"/>
      <c r="BO185" s="97"/>
      <c r="BP185" s="98"/>
      <c r="BQ185" s="96">
        <v>0</v>
      </c>
      <c r="BR185" s="97"/>
      <c r="BS185" s="97"/>
      <c r="BT185" s="98"/>
      <c r="BU185" s="96">
        <f>IF(ISNUMBER(BG185),BG185,0)+IF(ISNUMBER(BL185),BL185,0)</f>
        <v>0</v>
      </c>
      <c r="BV185" s="97"/>
      <c r="BW185" s="97"/>
      <c r="BX185" s="97"/>
      <c r="BY185" s="98"/>
    </row>
    <row r="186" spans="1:77" s="99" customFormat="1" ht="12.75" customHeight="1" x14ac:dyDescent="0.2">
      <c r="A186" s="89">
        <v>63</v>
      </c>
      <c r="B186" s="90"/>
      <c r="C186" s="90"/>
      <c r="D186" s="92" t="s">
        <v>252</v>
      </c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4"/>
      <c r="U186" s="96">
        <v>0</v>
      </c>
      <c r="V186" s="97"/>
      <c r="W186" s="97"/>
      <c r="X186" s="97"/>
      <c r="Y186" s="98"/>
      <c r="Z186" s="96">
        <v>137389</v>
      </c>
      <c r="AA186" s="97"/>
      <c r="AB186" s="97"/>
      <c r="AC186" s="97"/>
      <c r="AD186" s="98"/>
      <c r="AE186" s="96">
        <v>0</v>
      </c>
      <c r="AF186" s="97"/>
      <c r="AG186" s="97"/>
      <c r="AH186" s="98"/>
      <c r="AI186" s="96">
        <f>IF(ISNUMBER(U186),U186,0)+IF(ISNUMBER(Z186),Z186,0)</f>
        <v>137389</v>
      </c>
      <c r="AJ186" s="97"/>
      <c r="AK186" s="97"/>
      <c r="AL186" s="97"/>
      <c r="AM186" s="98"/>
      <c r="AN186" s="96">
        <v>0</v>
      </c>
      <c r="AO186" s="97"/>
      <c r="AP186" s="97"/>
      <c r="AQ186" s="97"/>
      <c r="AR186" s="98"/>
      <c r="AS186" s="96">
        <v>0</v>
      </c>
      <c r="AT186" s="97"/>
      <c r="AU186" s="97"/>
      <c r="AV186" s="97"/>
      <c r="AW186" s="98"/>
      <c r="AX186" s="96">
        <v>0</v>
      </c>
      <c r="AY186" s="97"/>
      <c r="AZ186" s="97"/>
      <c r="BA186" s="98"/>
      <c r="BB186" s="96">
        <f>IF(ISNUMBER(AN186),AN186,0)+IF(ISNUMBER(AS186),AS186,0)</f>
        <v>0</v>
      </c>
      <c r="BC186" s="97"/>
      <c r="BD186" s="97"/>
      <c r="BE186" s="97"/>
      <c r="BF186" s="98"/>
      <c r="BG186" s="96">
        <v>0</v>
      </c>
      <c r="BH186" s="97"/>
      <c r="BI186" s="97"/>
      <c r="BJ186" s="97"/>
      <c r="BK186" s="98"/>
      <c r="BL186" s="96">
        <v>0</v>
      </c>
      <c r="BM186" s="97"/>
      <c r="BN186" s="97"/>
      <c r="BO186" s="97"/>
      <c r="BP186" s="98"/>
      <c r="BQ186" s="96">
        <v>0</v>
      </c>
      <c r="BR186" s="97"/>
      <c r="BS186" s="97"/>
      <c r="BT186" s="98"/>
      <c r="BU186" s="96">
        <f>IF(ISNUMBER(BG186),BG186,0)+IF(ISNUMBER(BL186),BL186,0)</f>
        <v>0</v>
      </c>
      <c r="BV186" s="97"/>
      <c r="BW186" s="97"/>
      <c r="BX186" s="97"/>
      <c r="BY186" s="98"/>
    </row>
    <row r="187" spans="1:77" s="99" customFormat="1" ht="12.75" customHeight="1" x14ac:dyDescent="0.2">
      <c r="A187" s="89">
        <v>64</v>
      </c>
      <c r="B187" s="90"/>
      <c r="C187" s="90"/>
      <c r="D187" s="92" t="s">
        <v>253</v>
      </c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4"/>
      <c r="U187" s="96">
        <v>49900</v>
      </c>
      <c r="V187" s="97"/>
      <c r="W187" s="97"/>
      <c r="X187" s="97"/>
      <c r="Y187" s="98"/>
      <c r="Z187" s="96">
        <v>0</v>
      </c>
      <c r="AA187" s="97"/>
      <c r="AB187" s="97"/>
      <c r="AC187" s="97"/>
      <c r="AD187" s="98"/>
      <c r="AE187" s="96">
        <v>0</v>
      </c>
      <c r="AF187" s="97"/>
      <c r="AG187" s="97"/>
      <c r="AH187" s="98"/>
      <c r="AI187" s="96">
        <f>IF(ISNUMBER(U187),U187,0)+IF(ISNUMBER(Z187),Z187,0)</f>
        <v>49900</v>
      </c>
      <c r="AJ187" s="97"/>
      <c r="AK187" s="97"/>
      <c r="AL187" s="97"/>
      <c r="AM187" s="98"/>
      <c r="AN187" s="96">
        <v>864000</v>
      </c>
      <c r="AO187" s="97"/>
      <c r="AP187" s="97"/>
      <c r="AQ187" s="97"/>
      <c r="AR187" s="98"/>
      <c r="AS187" s="96">
        <v>0</v>
      </c>
      <c r="AT187" s="97"/>
      <c r="AU187" s="97"/>
      <c r="AV187" s="97"/>
      <c r="AW187" s="98"/>
      <c r="AX187" s="96">
        <v>0</v>
      </c>
      <c r="AY187" s="97"/>
      <c r="AZ187" s="97"/>
      <c r="BA187" s="98"/>
      <c r="BB187" s="96">
        <f>IF(ISNUMBER(AN187),AN187,0)+IF(ISNUMBER(AS187),AS187,0)</f>
        <v>864000</v>
      </c>
      <c r="BC187" s="97"/>
      <c r="BD187" s="97"/>
      <c r="BE187" s="97"/>
      <c r="BF187" s="98"/>
      <c r="BG187" s="96">
        <v>0</v>
      </c>
      <c r="BH187" s="97"/>
      <c r="BI187" s="97"/>
      <c r="BJ187" s="97"/>
      <c r="BK187" s="98"/>
      <c r="BL187" s="96">
        <v>0</v>
      </c>
      <c r="BM187" s="97"/>
      <c r="BN187" s="97"/>
      <c r="BO187" s="97"/>
      <c r="BP187" s="98"/>
      <c r="BQ187" s="96">
        <v>0</v>
      </c>
      <c r="BR187" s="97"/>
      <c r="BS187" s="97"/>
      <c r="BT187" s="98"/>
      <c r="BU187" s="96">
        <f>IF(ISNUMBER(BG187),BG187,0)+IF(ISNUMBER(BL187),BL187,0)</f>
        <v>0</v>
      </c>
      <c r="BV187" s="97"/>
      <c r="BW187" s="97"/>
      <c r="BX187" s="97"/>
      <c r="BY187" s="98"/>
    </row>
    <row r="188" spans="1:77" s="99" customFormat="1" ht="12.75" customHeight="1" x14ac:dyDescent="0.2">
      <c r="A188" s="89">
        <v>65</v>
      </c>
      <c r="B188" s="90"/>
      <c r="C188" s="90"/>
      <c r="D188" s="92" t="s">
        <v>254</v>
      </c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4"/>
      <c r="U188" s="96">
        <v>25025</v>
      </c>
      <c r="V188" s="97"/>
      <c r="W188" s="97"/>
      <c r="X188" s="97"/>
      <c r="Y188" s="98"/>
      <c r="Z188" s="96">
        <v>0</v>
      </c>
      <c r="AA188" s="97"/>
      <c r="AB188" s="97"/>
      <c r="AC188" s="97"/>
      <c r="AD188" s="98"/>
      <c r="AE188" s="96">
        <v>0</v>
      </c>
      <c r="AF188" s="97"/>
      <c r="AG188" s="97"/>
      <c r="AH188" s="98"/>
      <c r="AI188" s="96">
        <f>IF(ISNUMBER(U188),U188,0)+IF(ISNUMBER(Z188),Z188,0)</f>
        <v>25025</v>
      </c>
      <c r="AJ188" s="97"/>
      <c r="AK188" s="97"/>
      <c r="AL188" s="97"/>
      <c r="AM188" s="98"/>
      <c r="AN188" s="96">
        <v>0</v>
      </c>
      <c r="AO188" s="97"/>
      <c r="AP188" s="97"/>
      <c r="AQ188" s="97"/>
      <c r="AR188" s="98"/>
      <c r="AS188" s="96">
        <v>0</v>
      </c>
      <c r="AT188" s="97"/>
      <c r="AU188" s="97"/>
      <c r="AV188" s="97"/>
      <c r="AW188" s="98"/>
      <c r="AX188" s="96">
        <v>0</v>
      </c>
      <c r="AY188" s="97"/>
      <c r="AZ188" s="97"/>
      <c r="BA188" s="98"/>
      <c r="BB188" s="96">
        <f>IF(ISNUMBER(AN188),AN188,0)+IF(ISNUMBER(AS188),AS188,0)</f>
        <v>0</v>
      </c>
      <c r="BC188" s="97"/>
      <c r="BD188" s="97"/>
      <c r="BE188" s="97"/>
      <c r="BF188" s="98"/>
      <c r="BG188" s="96">
        <v>0</v>
      </c>
      <c r="BH188" s="97"/>
      <c r="BI188" s="97"/>
      <c r="BJ188" s="97"/>
      <c r="BK188" s="98"/>
      <c r="BL188" s="96">
        <v>0</v>
      </c>
      <c r="BM188" s="97"/>
      <c r="BN188" s="97"/>
      <c r="BO188" s="97"/>
      <c r="BP188" s="98"/>
      <c r="BQ188" s="96">
        <v>0</v>
      </c>
      <c r="BR188" s="97"/>
      <c r="BS188" s="97"/>
      <c r="BT188" s="98"/>
      <c r="BU188" s="96">
        <f>IF(ISNUMBER(BG188),BG188,0)+IF(ISNUMBER(BL188),BL188,0)</f>
        <v>0</v>
      </c>
      <c r="BV188" s="97"/>
      <c r="BW188" s="97"/>
      <c r="BX188" s="97"/>
      <c r="BY188" s="98"/>
    </row>
    <row r="189" spans="1:77" s="99" customFormat="1" ht="12.75" customHeight="1" x14ac:dyDescent="0.2">
      <c r="A189" s="89">
        <v>66</v>
      </c>
      <c r="B189" s="90"/>
      <c r="C189" s="90"/>
      <c r="D189" s="92" t="s">
        <v>255</v>
      </c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4"/>
      <c r="U189" s="96">
        <v>0</v>
      </c>
      <c r="V189" s="97"/>
      <c r="W189" s="97"/>
      <c r="X189" s="97"/>
      <c r="Y189" s="98"/>
      <c r="Z189" s="96">
        <v>0</v>
      </c>
      <c r="AA189" s="97"/>
      <c r="AB189" s="97"/>
      <c r="AC189" s="97"/>
      <c r="AD189" s="98"/>
      <c r="AE189" s="96">
        <v>0</v>
      </c>
      <c r="AF189" s="97"/>
      <c r="AG189" s="97"/>
      <c r="AH189" s="98"/>
      <c r="AI189" s="96">
        <f>IF(ISNUMBER(U189),U189,0)+IF(ISNUMBER(Z189),Z189,0)</f>
        <v>0</v>
      </c>
      <c r="AJ189" s="97"/>
      <c r="AK189" s="97"/>
      <c r="AL189" s="97"/>
      <c r="AM189" s="98"/>
      <c r="AN189" s="96">
        <v>0</v>
      </c>
      <c r="AO189" s="97"/>
      <c r="AP189" s="97"/>
      <c r="AQ189" s="97"/>
      <c r="AR189" s="98"/>
      <c r="AS189" s="96">
        <v>0</v>
      </c>
      <c r="AT189" s="97"/>
      <c r="AU189" s="97"/>
      <c r="AV189" s="97"/>
      <c r="AW189" s="98"/>
      <c r="AX189" s="96">
        <v>0</v>
      </c>
      <c r="AY189" s="97"/>
      <c r="AZ189" s="97"/>
      <c r="BA189" s="98"/>
      <c r="BB189" s="96">
        <f>IF(ISNUMBER(AN189),AN189,0)+IF(ISNUMBER(AS189),AS189,0)</f>
        <v>0</v>
      </c>
      <c r="BC189" s="97"/>
      <c r="BD189" s="97"/>
      <c r="BE189" s="97"/>
      <c r="BF189" s="98"/>
      <c r="BG189" s="96">
        <v>0</v>
      </c>
      <c r="BH189" s="97"/>
      <c r="BI189" s="97"/>
      <c r="BJ189" s="97"/>
      <c r="BK189" s="98"/>
      <c r="BL189" s="96">
        <v>0</v>
      </c>
      <c r="BM189" s="97"/>
      <c r="BN189" s="97"/>
      <c r="BO189" s="97"/>
      <c r="BP189" s="98"/>
      <c r="BQ189" s="96">
        <v>0</v>
      </c>
      <c r="BR189" s="97"/>
      <c r="BS189" s="97"/>
      <c r="BT189" s="98"/>
      <c r="BU189" s="96">
        <f>IF(ISNUMBER(BG189),BG189,0)+IF(ISNUMBER(BL189),BL189,0)</f>
        <v>0</v>
      </c>
      <c r="BV189" s="97"/>
      <c r="BW189" s="97"/>
      <c r="BX189" s="97"/>
      <c r="BY189" s="98"/>
    </row>
    <row r="190" spans="1:77" s="99" customFormat="1" ht="25.5" customHeight="1" x14ac:dyDescent="0.2">
      <c r="A190" s="89">
        <v>67</v>
      </c>
      <c r="B190" s="90"/>
      <c r="C190" s="90"/>
      <c r="D190" s="92" t="s">
        <v>256</v>
      </c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4"/>
      <c r="U190" s="96">
        <v>0</v>
      </c>
      <c r="V190" s="97"/>
      <c r="W190" s="97"/>
      <c r="X190" s="97"/>
      <c r="Y190" s="98"/>
      <c r="Z190" s="96">
        <v>0</v>
      </c>
      <c r="AA190" s="97"/>
      <c r="AB190" s="97"/>
      <c r="AC190" s="97"/>
      <c r="AD190" s="98"/>
      <c r="AE190" s="96">
        <v>0</v>
      </c>
      <c r="AF190" s="97"/>
      <c r="AG190" s="97"/>
      <c r="AH190" s="98"/>
      <c r="AI190" s="96">
        <f>IF(ISNUMBER(U190),U190,0)+IF(ISNUMBER(Z190),Z190,0)</f>
        <v>0</v>
      </c>
      <c r="AJ190" s="97"/>
      <c r="AK190" s="97"/>
      <c r="AL190" s="97"/>
      <c r="AM190" s="98"/>
      <c r="AN190" s="96">
        <v>0</v>
      </c>
      <c r="AO190" s="97"/>
      <c r="AP190" s="97"/>
      <c r="AQ190" s="97"/>
      <c r="AR190" s="98"/>
      <c r="AS190" s="96">
        <v>0</v>
      </c>
      <c r="AT190" s="97"/>
      <c r="AU190" s="97"/>
      <c r="AV190" s="97"/>
      <c r="AW190" s="98"/>
      <c r="AX190" s="96">
        <v>0</v>
      </c>
      <c r="AY190" s="97"/>
      <c r="AZ190" s="97"/>
      <c r="BA190" s="98"/>
      <c r="BB190" s="96">
        <f>IF(ISNUMBER(AN190),AN190,0)+IF(ISNUMBER(AS190),AS190,0)</f>
        <v>0</v>
      </c>
      <c r="BC190" s="97"/>
      <c r="BD190" s="97"/>
      <c r="BE190" s="97"/>
      <c r="BF190" s="98"/>
      <c r="BG190" s="96">
        <v>0</v>
      </c>
      <c r="BH190" s="97"/>
      <c r="BI190" s="97"/>
      <c r="BJ190" s="97"/>
      <c r="BK190" s="98"/>
      <c r="BL190" s="96">
        <v>0</v>
      </c>
      <c r="BM190" s="97"/>
      <c r="BN190" s="97"/>
      <c r="BO190" s="97"/>
      <c r="BP190" s="98"/>
      <c r="BQ190" s="96">
        <v>0</v>
      </c>
      <c r="BR190" s="97"/>
      <c r="BS190" s="97"/>
      <c r="BT190" s="98"/>
      <c r="BU190" s="96">
        <f>IF(ISNUMBER(BG190),BG190,0)+IF(ISNUMBER(BL190),BL190,0)</f>
        <v>0</v>
      </c>
      <c r="BV190" s="97"/>
      <c r="BW190" s="97"/>
      <c r="BX190" s="97"/>
      <c r="BY190" s="98"/>
    </row>
    <row r="191" spans="1:77" s="99" customFormat="1" ht="12.75" customHeight="1" x14ac:dyDescent="0.2">
      <c r="A191" s="89">
        <v>68</v>
      </c>
      <c r="B191" s="90"/>
      <c r="C191" s="90"/>
      <c r="D191" s="92" t="s">
        <v>257</v>
      </c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4"/>
      <c r="U191" s="96">
        <v>0</v>
      </c>
      <c r="V191" s="97"/>
      <c r="W191" s="97"/>
      <c r="X191" s="97"/>
      <c r="Y191" s="98"/>
      <c r="Z191" s="96">
        <v>0</v>
      </c>
      <c r="AA191" s="97"/>
      <c r="AB191" s="97"/>
      <c r="AC191" s="97"/>
      <c r="AD191" s="98"/>
      <c r="AE191" s="96">
        <v>0</v>
      </c>
      <c r="AF191" s="97"/>
      <c r="AG191" s="97"/>
      <c r="AH191" s="98"/>
      <c r="AI191" s="96">
        <f>IF(ISNUMBER(U191),U191,0)+IF(ISNUMBER(Z191),Z191,0)</f>
        <v>0</v>
      </c>
      <c r="AJ191" s="97"/>
      <c r="AK191" s="97"/>
      <c r="AL191" s="97"/>
      <c r="AM191" s="98"/>
      <c r="AN191" s="96">
        <v>0</v>
      </c>
      <c r="AO191" s="97"/>
      <c r="AP191" s="97"/>
      <c r="AQ191" s="97"/>
      <c r="AR191" s="98"/>
      <c r="AS191" s="96">
        <v>0</v>
      </c>
      <c r="AT191" s="97"/>
      <c r="AU191" s="97"/>
      <c r="AV191" s="97"/>
      <c r="AW191" s="98"/>
      <c r="AX191" s="96">
        <v>0</v>
      </c>
      <c r="AY191" s="97"/>
      <c r="AZ191" s="97"/>
      <c r="BA191" s="98"/>
      <c r="BB191" s="96">
        <f>IF(ISNUMBER(AN191),AN191,0)+IF(ISNUMBER(AS191),AS191,0)</f>
        <v>0</v>
      </c>
      <c r="BC191" s="97"/>
      <c r="BD191" s="97"/>
      <c r="BE191" s="97"/>
      <c r="BF191" s="98"/>
      <c r="BG191" s="96">
        <v>0</v>
      </c>
      <c r="BH191" s="97"/>
      <c r="BI191" s="97"/>
      <c r="BJ191" s="97"/>
      <c r="BK191" s="98"/>
      <c r="BL191" s="96">
        <v>0</v>
      </c>
      <c r="BM191" s="97"/>
      <c r="BN191" s="97"/>
      <c r="BO191" s="97"/>
      <c r="BP191" s="98"/>
      <c r="BQ191" s="96">
        <v>0</v>
      </c>
      <c r="BR191" s="97"/>
      <c r="BS191" s="97"/>
      <c r="BT191" s="98"/>
      <c r="BU191" s="96">
        <f>IF(ISNUMBER(BG191),BG191,0)+IF(ISNUMBER(BL191),BL191,0)</f>
        <v>0</v>
      </c>
      <c r="BV191" s="97"/>
      <c r="BW191" s="97"/>
      <c r="BX191" s="97"/>
      <c r="BY191" s="98"/>
    </row>
    <row r="192" spans="1:77" s="99" customFormat="1" ht="12.75" customHeight="1" x14ac:dyDescent="0.2">
      <c r="A192" s="89">
        <v>69</v>
      </c>
      <c r="B192" s="90"/>
      <c r="C192" s="90"/>
      <c r="D192" s="92" t="s">
        <v>258</v>
      </c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4"/>
      <c r="U192" s="96">
        <v>0</v>
      </c>
      <c r="V192" s="97"/>
      <c r="W192" s="97"/>
      <c r="X192" s="97"/>
      <c r="Y192" s="98"/>
      <c r="Z192" s="96">
        <v>0</v>
      </c>
      <c r="AA192" s="97"/>
      <c r="AB192" s="97"/>
      <c r="AC192" s="97"/>
      <c r="AD192" s="98"/>
      <c r="AE192" s="96">
        <v>0</v>
      </c>
      <c r="AF192" s="97"/>
      <c r="AG192" s="97"/>
      <c r="AH192" s="98"/>
      <c r="AI192" s="96">
        <f>IF(ISNUMBER(U192),U192,0)+IF(ISNUMBER(Z192),Z192,0)</f>
        <v>0</v>
      </c>
      <c r="AJ192" s="97"/>
      <c r="AK192" s="97"/>
      <c r="AL192" s="97"/>
      <c r="AM192" s="98"/>
      <c r="AN192" s="96">
        <v>0</v>
      </c>
      <c r="AO192" s="97"/>
      <c r="AP192" s="97"/>
      <c r="AQ192" s="97"/>
      <c r="AR192" s="98"/>
      <c r="AS192" s="96">
        <v>0</v>
      </c>
      <c r="AT192" s="97"/>
      <c r="AU192" s="97"/>
      <c r="AV192" s="97"/>
      <c r="AW192" s="98"/>
      <c r="AX192" s="96">
        <v>0</v>
      </c>
      <c r="AY192" s="97"/>
      <c r="AZ192" s="97"/>
      <c r="BA192" s="98"/>
      <c r="BB192" s="96">
        <f>IF(ISNUMBER(AN192),AN192,0)+IF(ISNUMBER(AS192),AS192,0)</f>
        <v>0</v>
      </c>
      <c r="BC192" s="97"/>
      <c r="BD192" s="97"/>
      <c r="BE192" s="97"/>
      <c r="BF192" s="98"/>
      <c r="BG192" s="96">
        <v>0</v>
      </c>
      <c r="BH192" s="97"/>
      <c r="BI192" s="97"/>
      <c r="BJ192" s="97"/>
      <c r="BK192" s="98"/>
      <c r="BL192" s="96">
        <v>0</v>
      </c>
      <c r="BM192" s="97"/>
      <c r="BN192" s="97"/>
      <c r="BO192" s="97"/>
      <c r="BP192" s="98"/>
      <c r="BQ192" s="96">
        <v>0</v>
      </c>
      <c r="BR192" s="97"/>
      <c r="BS192" s="97"/>
      <c r="BT192" s="98"/>
      <c r="BU192" s="96">
        <f>IF(ISNUMBER(BG192),BG192,0)+IF(ISNUMBER(BL192),BL192,0)</f>
        <v>0</v>
      </c>
      <c r="BV192" s="97"/>
      <c r="BW192" s="97"/>
      <c r="BX192" s="97"/>
      <c r="BY192" s="98"/>
    </row>
    <row r="193" spans="1:79" s="99" customFormat="1" ht="12.75" customHeight="1" x14ac:dyDescent="0.2">
      <c r="A193" s="89">
        <v>70</v>
      </c>
      <c r="B193" s="90"/>
      <c r="C193" s="90"/>
      <c r="D193" s="92" t="s">
        <v>259</v>
      </c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4"/>
      <c r="U193" s="96">
        <v>0</v>
      </c>
      <c r="V193" s="97"/>
      <c r="W193" s="97"/>
      <c r="X193" s="97"/>
      <c r="Y193" s="98"/>
      <c r="Z193" s="96">
        <v>0</v>
      </c>
      <c r="AA193" s="97"/>
      <c r="AB193" s="97"/>
      <c r="AC193" s="97"/>
      <c r="AD193" s="98"/>
      <c r="AE193" s="96">
        <v>0</v>
      </c>
      <c r="AF193" s="97"/>
      <c r="AG193" s="97"/>
      <c r="AH193" s="98"/>
      <c r="AI193" s="96">
        <f>IF(ISNUMBER(U193),U193,0)+IF(ISNUMBER(Z193),Z193,0)</f>
        <v>0</v>
      </c>
      <c r="AJ193" s="97"/>
      <c r="AK193" s="97"/>
      <c r="AL193" s="97"/>
      <c r="AM193" s="98"/>
      <c r="AN193" s="96">
        <v>0</v>
      </c>
      <c r="AO193" s="97"/>
      <c r="AP193" s="97"/>
      <c r="AQ193" s="97"/>
      <c r="AR193" s="98"/>
      <c r="AS193" s="96">
        <v>0</v>
      </c>
      <c r="AT193" s="97"/>
      <c r="AU193" s="97"/>
      <c r="AV193" s="97"/>
      <c r="AW193" s="98"/>
      <c r="AX193" s="96">
        <v>0</v>
      </c>
      <c r="AY193" s="97"/>
      <c r="AZ193" s="97"/>
      <c r="BA193" s="98"/>
      <c r="BB193" s="96">
        <f>IF(ISNUMBER(AN193),AN193,0)+IF(ISNUMBER(AS193),AS193,0)</f>
        <v>0</v>
      </c>
      <c r="BC193" s="97"/>
      <c r="BD193" s="97"/>
      <c r="BE193" s="97"/>
      <c r="BF193" s="98"/>
      <c r="BG193" s="96">
        <v>0</v>
      </c>
      <c r="BH193" s="97"/>
      <c r="BI193" s="97"/>
      <c r="BJ193" s="97"/>
      <c r="BK193" s="98"/>
      <c r="BL193" s="96">
        <v>0</v>
      </c>
      <c r="BM193" s="97"/>
      <c r="BN193" s="97"/>
      <c r="BO193" s="97"/>
      <c r="BP193" s="98"/>
      <c r="BQ193" s="96">
        <v>0</v>
      </c>
      <c r="BR193" s="97"/>
      <c r="BS193" s="97"/>
      <c r="BT193" s="98"/>
      <c r="BU193" s="96">
        <f>IF(ISNUMBER(BG193),BG193,0)+IF(ISNUMBER(BL193),BL193,0)</f>
        <v>0</v>
      </c>
      <c r="BV193" s="97"/>
      <c r="BW193" s="97"/>
      <c r="BX193" s="97"/>
      <c r="BY193" s="98"/>
    </row>
    <row r="194" spans="1:79" s="99" customFormat="1" ht="12.75" customHeight="1" x14ac:dyDescent="0.2">
      <c r="A194" s="89">
        <v>71</v>
      </c>
      <c r="B194" s="90"/>
      <c r="C194" s="90"/>
      <c r="D194" s="92" t="s">
        <v>260</v>
      </c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4"/>
      <c r="U194" s="96">
        <v>0</v>
      </c>
      <c r="V194" s="97"/>
      <c r="W194" s="97"/>
      <c r="X194" s="97"/>
      <c r="Y194" s="98"/>
      <c r="Z194" s="96">
        <v>0</v>
      </c>
      <c r="AA194" s="97"/>
      <c r="AB194" s="97"/>
      <c r="AC194" s="97"/>
      <c r="AD194" s="98"/>
      <c r="AE194" s="96">
        <v>0</v>
      </c>
      <c r="AF194" s="97"/>
      <c r="AG194" s="97"/>
      <c r="AH194" s="98"/>
      <c r="AI194" s="96">
        <f>IF(ISNUMBER(U194),U194,0)+IF(ISNUMBER(Z194),Z194,0)</f>
        <v>0</v>
      </c>
      <c r="AJ194" s="97"/>
      <c r="AK194" s="97"/>
      <c r="AL194" s="97"/>
      <c r="AM194" s="98"/>
      <c r="AN194" s="96">
        <v>0</v>
      </c>
      <c r="AO194" s="97"/>
      <c r="AP194" s="97"/>
      <c r="AQ194" s="97"/>
      <c r="AR194" s="98"/>
      <c r="AS194" s="96">
        <v>0</v>
      </c>
      <c r="AT194" s="97"/>
      <c r="AU194" s="97"/>
      <c r="AV194" s="97"/>
      <c r="AW194" s="98"/>
      <c r="AX194" s="96">
        <v>0</v>
      </c>
      <c r="AY194" s="97"/>
      <c r="AZ194" s="97"/>
      <c r="BA194" s="98"/>
      <c r="BB194" s="96">
        <f>IF(ISNUMBER(AN194),AN194,0)+IF(ISNUMBER(AS194),AS194,0)</f>
        <v>0</v>
      </c>
      <c r="BC194" s="97"/>
      <c r="BD194" s="97"/>
      <c r="BE194" s="97"/>
      <c r="BF194" s="98"/>
      <c r="BG194" s="96">
        <v>0</v>
      </c>
      <c r="BH194" s="97"/>
      <c r="BI194" s="97"/>
      <c r="BJ194" s="97"/>
      <c r="BK194" s="98"/>
      <c r="BL194" s="96">
        <v>0</v>
      </c>
      <c r="BM194" s="97"/>
      <c r="BN194" s="97"/>
      <c r="BO194" s="97"/>
      <c r="BP194" s="98"/>
      <c r="BQ194" s="96">
        <v>0</v>
      </c>
      <c r="BR194" s="97"/>
      <c r="BS194" s="97"/>
      <c r="BT194" s="98"/>
      <c r="BU194" s="96">
        <f>IF(ISNUMBER(BG194),BG194,0)+IF(ISNUMBER(BL194),BL194,0)</f>
        <v>0</v>
      </c>
      <c r="BV194" s="97"/>
      <c r="BW194" s="97"/>
      <c r="BX194" s="97"/>
      <c r="BY194" s="98"/>
    </row>
    <row r="195" spans="1:79" s="99" customFormat="1" ht="12.75" customHeight="1" x14ac:dyDescent="0.2">
      <c r="A195" s="89">
        <v>72</v>
      </c>
      <c r="B195" s="90"/>
      <c r="C195" s="90"/>
      <c r="D195" s="92" t="s">
        <v>261</v>
      </c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4"/>
      <c r="U195" s="96">
        <v>8</v>
      </c>
      <c r="V195" s="97"/>
      <c r="W195" s="97"/>
      <c r="X195" s="97"/>
      <c r="Y195" s="98"/>
      <c r="Z195" s="96">
        <v>0</v>
      </c>
      <c r="AA195" s="97"/>
      <c r="AB195" s="97"/>
      <c r="AC195" s="97"/>
      <c r="AD195" s="98"/>
      <c r="AE195" s="96">
        <v>0</v>
      </c>
      <c r="AF195" s="97"/>
      <c r="AG195" s="97"/>
      <c r="AH195" s="98"/>
      <c r="AI195" s="96">
        <f>IF(ISNUMBER(U195),U195,0)+IF(ISNUMBER(Z195),Z195,0)</f>
        <v>8</v>
      </c>
      <c r="AJ195" s="97"/>
      <c r="AK195" s="97"/>
      <c r="AL195" s="97"/>
      <c r="AM195" s="98"/>
      <c r="AN195" s="96">
        <v>50000</v>
      </c>
      <c r="AO195" s="97"/>
      <c r="AP195" s="97"/>
      <c r="AQ195" s="97"/>
      <c r="AR195" s="98"/>
      <c r="AS195" s="96">
        <v>0</v>
      </c>
      <c r="AT195" s="97"/>
      <c r="AU195" s="97"/>
      <c r="AV195" s="97"/>
      <c r="AW195" s="98"/>
      <c r="AX195" s="96">
        <v>0</v>
      </c>
      <c r="AY195" s="97"/>
      <c r="AZ195" s="97"/>
      <c r="BA195" s="98"/>
      <c r="BB195" s="96">
        <f>IF(ISNUMBER(AN195),AN195,0)+IF(ISNUMBER(AS195),AS195,0)</f>
        <v>50000</v>
      </c>
      <c r="BC195" s="97"/>
      <c r="BD195" s="97"/>
      <c r="BE195" s="97"/>
      <c r="BF195" s="98"/>
      <c r="BG195" s="96">
        <v>0</v>
      </c>
      <c r="BH195" s="97"/>
      <c r="BI195" s="97"/>
      <c r="BJ195" s="97"/>
      <c r="BK195" s="98"/>
      <c r="BL195" s="96">
        <v>0</v>
      </c>
      <c r="BM195" s="97"/>
      <c r="BN195" s="97"/>
      <c r="BO195" s="97"/>
      <c r="BP195" s="98"/>
      <c r="BQ195" s="96">
        <v>0</v>
      </c>
      <c r="BR195" s="97"/>
      <c r="BS195" s="97"/>
      <c r="BT195" s="98"/>
      <c r="BU195" s="96">
        <f>IF(ISNUMBER(BG195),BG195,0)+IF(ISNUMBER(BL195),BL195,0)</f>
        <v>0</v>
      </c>
      <c r="BV195" s="97"/>
      <c r="BW195" s="97"/>
      <c r="BX195" s="97"/>
      <c r="BY195" s="98"/>
    </row>
    <row r="196" spans="1:79" s="6" customFormat="1" ht="12.75" customHeight="1" x14ac:dyDescent="0.2">
      <c r="A196" s="86"/>
      <c r="B196" s="87"/>
      <c r="C196" s="87"/>
      <c r="D196" s="100" t="s">
        <v>147</v>
      </c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2"/>
      <c r="U196" s="104">
        <v>18709796</v>
      </c>
      <c r="V196" s="105"/>
      <c r="W196" s="105"/>
      <c r="X196" s="105"/>
      <c r="Y196" s="106"/>
      <c r="Z196" s="104">
        <v>313511</v>
      </c>
      <c r="AA196" s="105"/>
      <c r="AB196" s="105"/>
      <c r="AC196" s="105"/>
      <c r="AD196" s="106"/>
      <c r="AE196" s="104">
        <v>287000</v>
      </c>
      <c r="AF196" s="105"/>
      <c r="AG196" s="105"/>
      <c r="AH196" s="106"/>
      <c r="AI196" s="104">
        <f>IF(ISNUMBER(U196),U196,0)+IF(ISNUMBER(Z196),Z196,0)</f>
        <v>19023307</v>
      </c>
      <c r="AJ196" s="105"/>
      <c r="AK196" s="105"/>
      <c r="AL196" s="105"/>
      <c r="AM196" s="106"/>
      <c r="AN196" s="104">
        <v>26017809</v>
      </c>
      <c r="AO196" s="105"/>
      <c r="AP196" s="105"/>
      <c r="AQ196" s="105"/>
      <c r="AR196" s="106"/>
      <c r="AS196" s="104">
        <v>0</v>
      </c>
      <c r="AT196" s="105"/>
      <c r="AU196" s="105"/>
      <c r="AV196" s="105"/>
      <c r="AW196" s="106"/>
      <c r="AX196" s="104">
        <v>0</v>
      </c>
      <c r="AY196" s="105"/>
      <c r="AZ196" s="105"/>
      <c r="BA196" s="106"/>
      <c r="BB196" s="104">
        <f>IF(ISNUMBER(AN196),AN196,0)+IF(ISNUMBER(AS196),AS196,0)</f>
        <v>26017809</v>
      </c>
      <c r="BC196" s="105"/>
      <c r="BD196" s="105"/>
      <c r="BE196" s="105"/>
      <c r="BF196" s="106"/>
      <c r="BG196" s="104">
        <v>0</v>
      </c>
      <c r="BH196" s="105"/>
      <c r="BI196" s="105"/>
      <c r="BJ196" s="105"/>
      <c r="BK196" s="106"/>
      <c r="BL196" s="104">
        <v>0</v>
      </c>
      <c r="BM196" s="105"/>
      <c r="BN196" s="105"/>
      <c r="BO196" s="105"/>
      <c r="BP196" s="106"/>
      <c r="BQ196" s="104">
        <v>0</v>
      </c>
      <c r="BR196" s="105"/>
      <c r="BS196" s="105"/>
      <c r="BT196" s="106"/>
      <c r="BU196" s="104">
        <f>IF(ISNUMBER(BG196),BG196,0)+IF(ISNUMBER(BL196),BL196,0)</f>
        <v>0</v>
      </c>
      <c r="BV196" s="105"/>
      <c r="BW196" s="105"/>
      <c r="BX196" s="105"/>
      <c r="BY196" s="106"/>
    </row>
    <row r="198" spans="1:79" ht="14.25" customHeight="1" x14ac:dyDescent="0.2">
      <c r="A198" s="29" t="s">
        <v>334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</row>
    <row r="199" spans="1:79" ht="15" customHeight="1" x14ac:dyDescent="0.2">
      <c r="A199" s="75" t="s">
        <v>304</v>
      </c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</row>
    <row r="200" spans="1:79" ht="23.1" customHeight="1" x14ac:dyDescent="0.2">
      <c r="A200" s="51" t="s">
        <v>6</v>
      </c>
      <c r="B200" s="52"/>
      <c r="C200" s="52"/>
      <c r="D200" s="51" t="s">
        <v>121</v>
      </c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3"/>
      <c r="U200" s="27" t="s">
        <v>326</v>
      </c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 t="s">
        <v>331</v>
      </c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</row>
    <row r="201" spans="1:79" ht="54" customHeight="1" x14ac:dyDescent="0.2">
      <c r="A201" s="54"/>
      <c r="B201" s="55"/>
      <c r="C201" s="55"/>
      <c r="D201" s="54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6"/>
      <c r="U201" s="36" t="s">
        <v>4</v>
      </c>
      <c r="V201" s="37"/>
      <c r="W201" s="37"/>
      <c r="X201" s="37"/>
      <c r="Y201" s="38"/>
      <c r="Z201" s="36" t="s">
        <v>3</v>
      </c>
      <c r="AA201" s="37"/>
      <c r="AB201" s="37"/>
      <c r="AC201" s="37"/>
      <c r="AD201" s="38"/>
      <c r="AE201" s="57" t="s">
        <v>116</v>
      </c>
      <c r="AF201" s="58"/>
      <c r="AG201" s="58"/>
      <c r="AH201" s="58"/>
      <c r="AI201" s="59"/>
      <c r="AJ201" s="36" t="s">
        <v>5</v>
      </c>
      <c r="AK201" s="37"/>
      <c r="AL201" s="37"/>
      <c r="AM201" s="37"/>
      <c r="AN201" s="38"/>
      <c r="AO201" s="36" t="s">
        <v>4</v>
      </c>
      <c r="AP201" s="37"/>
      <c r="AQ201" s="37"/>
      <c r="AR201" s="37"/>
      <c r="AS201" s="38"/>
      <c r="AT201" s="36" t="s">
        <v>3</v>
      </c>
      <c r="AU201" s="37"/>
      <c r="AV201" s="37"/>
      <c r="AW201" s="37"/>
      <c r="AX201" s="38"/>
      <c r="AY201" s="57" t="s">
        <v>116</v>
      </c>
      <c r="AZ201" s="58"/>
      <c r="BA201" s="58"/>
      <c r="BB201" s="58"/>
      <c r="BC201" s="59"/>
      <c r="BD201" s="27" t="s">
        <v>96</v>
      </c>
      <c r="BE201" s="27"/>
      <c r="BF201" s="27"/>
      <c r="BG201" s="27"/>
      <c r="BH201" s="27"/>
    </row>
    <row r="202" spans="1:79" ht="15" customHeight="1" x14ac:dyDescent="0.2">
      <c r="A202" s="36" t="s">
        <v>168</v>
      </c>
      <c r="B202" s="37"/>
      <c r="C202" s="37"/>
      <c r="D202" s="36">
        <v>2</v>
      </c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8"/>
      <c r="U202" s="36">
        <v>3</v>
      </c>
      <c r="V202" s="37"/>
      <c r="W202" s="37"/>
      <c r="X202" s="37"/>
      <c r="Y202" s="38"/>
      <c r="Z202" s="36">
        <v>4</v>
      </c>
      <c r="AA202" s="37"/>
      <c r="AB202" s="37"/>
      <c r="AC202" s="37"/>
      <c r="AD202" s="38"/>
      <c r="AE202" s="36">
        <v>5</v>
      </c>
      <c r="AF202" s="37"/>
      <c r="AG202" s="37"/>
      <c r="AH202" s="37"/>
      <c r="AI202" s="38"/>
      <c r="AJ202" s="36">
        <v>6</v>
      </c>
      <c r="AK202" s="37"/>
      <c r="AL202" s="37"/>
      <c r="AM202" s="37"/>
      <c r="AN202" s="38"/>
      <c r="AO202" s="36">
        <v>7</v>
      </c>
      <c r="AP202" s="37"/>
      <c r="AQ202" s="37"/>
      <c r="AR202" s="37"/>
      <c r="AS202" s="38"/>
      <c r="AT202" s="36">
        <v>8</v>
      </c>
      <c r="AU202" s="37"/>
      <c r="AV202" s="37"/>
      <c r="AW202" s="37"/>
      <c r="AX202" s="38"/>
      <c r="AY202" s="36">
        <v>9</v>
      </c>
      <c r="AZ202" s="37"/>
      <c r="BA202" s="37"/>
      <c r="BB202" s="37"/>
      <c r="BC202" s="38"/>
      <c r="BD202" s="36">
        <v>10</v>
      </c>
      <c r="BE202" s="37"/>
      <c r="BF202" s="37"/>
      <c r="BG202" s="37"/>
      <c r="BH202" s="38"/>
    </row>
    <row r="203" spans="1:79" s="1" customFormat="1" ht="12.75" hidden="1" customHeight="1" x14ac:dyDescent="0.2">
      <c r="A203" s="39" t="s">
        <v>69</v>
      </c>
      <c r="B203" s="40"/>
      <c r="C203" s="40"/>
      <c r="D203" s="39" t="s">
        <v>57</v>
      </c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1"/>
      <c r="U203" s="39" t="s">
        <v>60</v>
      </c>
      <c r="V203" s="40"/>
      <c r="W203" s="40"/>
      <c r="X203" s="40"/>
      <c r="Y203" s="41"/>
      <c r="Z203" s="39" t="s">
        <v>61</v>
      </c>
      <c r="AA203" s="40"/>
      <c r="AB203" s="40"/>
      <c r="AC203" s="40"/>
      <c r="AD203" s="41"/>
      <c r="AE203" s="39" t="s">
        <v>94</v>
      </c>
      <c r="AF203" s="40"/>
      <c r="AG203" s="40"/>
      <c r="AH203" s="40"/>
      <c r="AI203" s="41"/>
      <c r="AJ203" s="47" t="s">
        <v>170</v>
      </c>
      <c r="AK203" s="48"/>
      <c r="AL203" s="48"/>
      <c r="AM203" s="48"/>
      <c r="AN203" s="49"/>
      <c r="AO203" s="39" t="s">
        <v>62</v>
      </c>
      <c r="AP203" s="40"/>
      <c r="AQ203" s="40"/>
      <c r="AR203" s="40"/>
      <c r="AS203" s="41"/>
      <c r="AT203" s="39" t="s">
        <v>63</v>
      </c>
      <c r="AU203" s="40"/>
      <c r="AV203" s="40"/>
      <c r="AW203" s="40"/>
      <c r="AX203" s="41"/>
      <c r="AY203" s="39" t="s">
        <v>95</v>
      </c>
      <c r="AZ203" s="40"/>
      <c r="BA203" s="40"/>
      <c r="BB203" s="40"/>
      <c r="BC203" s="41"/>
      <c r="BD203" s="50" t="s">
        <v>170</v>
      </c>
      <c r="BE203" s="50"/>
      <c r="BF203" s="50"/>
      <c r="BG203" s="50"/>
      <c r="BH203" s="50"/>
      <c r="CA203" s="1" t="s">
        <v>35</v>
      </c>
    </row>
    <row r="204" spans="1:79" s="99" customFormat="1" ht="25.5" customHeight="1" x14ac:dyDescent="0.2">
      <c r="A204" s="89">
        <v>1</v>
      </c>
      <c r="B204" s="90"/>
      <c r="C204" s="90"/>
      <c r="D204" s="92" t="s">
        <v>194</v>
      </c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4"/>
      <c r="U204" s="96">
        <v>0</v>
      </c>
      <c r="V204" s="97"/>
      <c r="W204" s="97"/>
      <c r="X204" s="97"/>
      <c r="Y204" s="98"/>
      <c r="Z204" s="96">
        <v>0</v>
      </c>
      <c r="AA204" s="97"/>
      <c r="AB204" s="97"/>
      <c r="AC204" s="97"/>
      <c r="AD204" s="98"/>
      <c r="AE204" s="95">
        <v>0</v>
      </c>
      <c r="AF204" s="95"/>
      <c r="AG204" s="95"/>
      <c r="AH204" s="95"/>
      <c r="AI204" s="95"/>
      <c r="AJ204" s="110">
        <f>IF(ISNUMBER(U204),U204,0)+IF(ISNUMBER(Z204),Z204,0)</f>
        <v>0</v>
      </c>
      <c r="AK204" s="110"/>
      <c r="AL204" s="110"/>
      <c r="AM204" s="110"/>
      <c r="AN204" s="110"/>
      <c r="AO204" s="95">
        <v>0</v>
      </c>
      <c r="AP204" s="95"/>
      <c r="AQ204" s="95"/>
      <c r="AR204" s="95"/>
      <c r="AS204" s="95"/>
      <c r="AT204" s="110">
        <v>0</v>
      </c>
      <c r="AU204" s="110"/>
      <c r="AV204" s="110"/>
      <c r="AW204" s="110"/>
      <c r="AX204" s="110"/>
      <c r="AY204" s="95">
        <v>0</v>
      </c>
      <c r="AZ204" s="95"/>
      <c r="BA204" s="95"/>
      <c r="BB204" s="95"/>
      <c r="BC204" s="95"/>
      <c r="BD204" s="110">
        <f>IF(ISNUMBER(AO204),AO204,0)+IF(ISNUMBER(AT204),AT204,0)</f>
        <v>0</v>
      </c>
      <c r="BE204" s="110"/>
      <c r="BF204" s="110"/>
      <c r="BG204" s="110"/>
      <c r="BH204" s="110"/>
      <c r="CA204" s="99" t="s">
        <v>36</v>
      </c>
    </row>
    <row r="205" spans="1:79" s="99" customFormat="1" ht="12.75" customHeight="1" x14ac:dyDescent="0.2">
      <c r="A205" s="89">
        <v>2</v>
      </c>
      <c r="B205" s="90"/>
      <c r="C205" s="90"/>
      <c r="D205" s="92" t="s">
        <v>179</v>
      </c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4"/>
      <c r="U205" s="96">
        <v>0</v>
      </c>
      <c r="V205" s="97"/>
      <c r="W205" s="97"/>
      <c r="X205" s="97"/>
      <c r="Y205" s="98"/>
      <c r="Z205" s="96">
        <v>0</v>
      </c>
      <c r="AA205" s="97"/>
      <c r="AB205" s="97"/>
      <c r="AC205" s="97"/>
      <c r="AD205" s="98"/>
      <c r="AE205" s="95">
        <v>0</v>
      </c>
      <c r="AF205" s="95"/>
      <c r="AG205" s="95"/>
      <c r="AH205" s="95"/>
      <c r="AI205" s="95"/>
      <c r="AJ205" s="110">
        <f>IF(ISNUMBER(U205),U205,0)+IF(ISNUMBER(Z205),Z205,0)</f>
        <v>0</v>
      </c>
      <c r="AK205" s="110"/>
      <c r="AL205" s="110"/>
      <c r="AM205" s="110"/>
      <c r="AN205" s="110"/>
      <c r="AO205" s="95">
        <v>0</v>
      </c>
      <c r="AP205" s="95"/>
      <c r="AQ205" s="95"/>
      <c r="AR205" s="95"/>
      <c r="AS205" s="95"/>
      <c r="AT205" s="110">
        <v>0</v>
      </c>
      <c r="AU205" s="110"/>
      <c r="AV205" s="110"/>
      <c r="AW205" s="110"/>
      <c r="AX205" s="110"/>
      <c r="AY205" s="95">
        <v>0</v>
      </c>
      <c r="AZ205" s="95"/>
      <c r="BA205" s="95"/>
      <c r="BB205" s="95"/>
      <c r="BC205" s="95"/>
      <c r="BD205" s="110">
        <f>IF(ISNUMBER(AO205),AO205,0)+IF(ISNUMBER(AT205),AT205,0)</f>
        <v>0</v>
      </c>
      <c r="BE205" s="110"/>
      <c r="BF205" s="110"/>
      <c r="BG205" s="110"/>
      <c r="BH205" s="110"/>
    </row>
    <row r="206" spans="1:79" s="99" customFormat="1" ht="12.75" customHeight="1" x14ac:dyDescent="0.2">
      <c r="A206" s="89">
        <v>3</v>
      </c>
      <c r="B206" s="90"/>
      <c r="C206" s="90"/>
      <c r="D206" s="92" t="s">
        <v>195</v>
      </c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4"/>
      <c r="U206" s="96">
        <v>0</v>
      </c>
      <c r="V206" s="97"/>
      <c r="W206" s="97"/>
      <c r="X206" s="97"/>
      <c r="Y206" s="98"/>
      <c r="Z206" s="96">
        <v>0</v>
      </c>
      <c r="AA206" s="97"/>
      <c r="AB206" s="97"/>
      <c r="AC206" s="97"/>
      <c r="AD206" s="98"/>
      <c r="AE206" s="95">
        <v>0</v>
      </c>
      <c r="AF206" s="95"/>
      <c r="AG206" s="95"/>
      <c r="AH206" s="95"/>
      <c r="AI206" s="95"/>
      <c r="AJ206" s="110">
        <f>IF(ISNUMBER(U206),U206,0)+IF(ISNUMBER(Z206),Z206,0)</f>
        <v>0</v>
      </c>
      <c r="AK206" s="110"/>
      <c r="AL206" s="110"/>
      <c r="AM206" s="110"/>
      <c r="AN206" s="110"/>
      <c r="AO206" s="95">
        <v>0</v>
      </c>
      <c r="AP206" s="95"/>
      <c r="AQ206" s="95"/>
      <c r="AR206" s="95"/>
      <c r="AS206" s="95"/>
      <c r="AT206" s="110">
        <v>0</v>
      </c>
      <c r="AU206" s="110"/>
      <c r="AV206" s="110"/>
      <c r="AW206" s="110"/>
      <c r="AX206" s="110"/>
      <c r="AY206" s="95">
        <v>0</v>
      </c>
      <c r="AZ206" s="95"/>
      <c r="BA206" s="95"/>
      <c r="BB206" s="95"/>
      <c r="BC206" s="95"/>
      <c r="BD206" s="110">
        <f>IF(ISNUMBER(AO206),AO206,0)+IF(ISNUMBER(AT206),AT206,0)</f>
        <v>0</v>
      </c>
      <c r="BE206" s="110"/>
      <c r="BF206" s="110"/>
      <c r="BG206" s="110"/>
      <c r="BH206" s="110"/>
    </row>
    <row r="207" spans="1:79" s="99" customFormat="1" ht="12.75" customHeight="1" x14ac:dyDescent="0.2">
      <c r="A207" s="89">
        <v>4</v>
      </c>
      <c r="B207" s="90"/>
      <c r="C207" s="90"/>
      <c r="D207" s="92" t="s">
        <v>180</v>
      </c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4"/>
      <c r="U207" s="96">
        <v>0</v>
      </c>
      <c r="V207" s="97"/>
      <c r="W207" s="97"/>
      <c r="X207" s="97"/>
      <c r="Y207" s="98"/>
      <c r="Z207" s="96">
        <v>0</v>
      </c>
      <c r="AA207" s="97"/>
      <c r="AB207" s="97"/>
      <c r="AC207" s="97"/>
      <c r="AD207" s="98"/>
      <c r="AE207" s="95">
        <v>0</v>
      </c>
      <c r="AF207" s="95"/>
      <c r="AG207" s="95"/>
      <c r="AH207" s="95"/>
      <c r="AI207" s="95"/>
      <c r="AJ207" s="110">
        <f>IF(ISNUMBER(U207),U207,0)+IF(ISNUMBER(Z207),Z207,0)</f>
        <v>0</v>
      </c>
      <c r="AK207" s="110"/>
      <c r="AL207" s="110"/>
      <c r="AM207" s="110"/>
      <c r="AN207" s="110"/>
      <c r="AO207" s="95">
        <v>0</v>
      </c>
      <c r="AP207" s="95"/>
      <c r="AQ207" s="95"/>
      <c r="AR207" s="95"/>
      <c r="AS207" s="95"/>
      <c r="AT207" s="110">
        <v>0</v>
      </c>
      <c r="AU207" s="110"/>
      <c r="AV207" s="110"/>
      <c r="AW207" s="110"/>
      <c r="AX207" s="110"/>
      <c r="AY207" s="95">
        <v>0</v>
      </c>
      <c r="AZ207" s="95"/>
      <c r="BA207" s="95"/>
      <c r="BB207" s="95"/>
      <c r="BC207" s="95"/>
      <c r="BD207" s="110">
        <f>IF(ISNUMBER(AO207),AO207,0)+IF(ISNUMBER(AT207),AT207,0)</f>
        <v>0</v>
      </c>
      <c r="BE207" s="110"/>
      <c r="BF207" s="110"/>
      <c r="BG207" s="110"/>
      <c r="BH207" s="110"/>
    </row>
    <row r="208" spans="1:79" s="99" customFormat="1" ht="12.75" customHeight="1" x14ac:dyDescent="0.2">
      <c r="A208" s="89">
        <v>5</v>
      </c>
      <c r="B208" s="90"/>
      <c r="C208" s="90"/>
      <c r="D208" s="92" t="s">
        <v>196</v>
      </c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4"/>
      <c r="U208" s="96">
        <v>0</v>
      </c>
      <c r="V208" s="97"/>
      <c r="W208" s="97"/>
      <c r="X208" s="97"/>
      <c r="Y208" s="98"/>
      <c r="Z208" s="96">
        <v>0</v>
      </c>
      <c r="AA208" s="97"/>
      <c r="AB208" s="97"/>
      <c r="AC208" s="97"/>
      <c r="AD208" s="98"/>
      <c r="AE208" s="95">
        <v>0</v>
      </c>
      <c r="AF208" s="95"/>
      <c r="AG208" s="95"/>
      <c r="AH208" s="95"/>
      <c r="AI208" s="95"/>
      <c r="AJ208" s="110">
        <f>IF(ISNUMBER(U208),U208,0)+IF(ISNUMBER(Z208),Z208,0)</f>
        <v>0</v>
      </c>
      <c r="AK208" s="110"/>
      <c r="AL208" s="110"/>
      <c r="AM208" s="110"/>
      <c r="AN208" s="110"/>
      <c r="AO208" s="95">
        <v>0</v>
      </c>
      <c r="AP208" s="95"/>
      <c r="AQ208" s="95"/>
      <c r="AR208" s="95"/>
      <c r="AS208" s="95"/>
      <c r="AT208" s="110">
        <v>0</v>
      </c>
      <c r="AU208" s="110"/>
      <c r="AV208" s="110"/>
      <c r="AW208" s="110"/>
      <c r="AX208" s="110"/>
      <c r="AY208" s="95">
        <v>0</v>
      </c>
      <c r="AZ208" s="95"/>
      <c r="BA208" s="95"/>
      <c r="BB208" s="95"/>
      <c r="BC208" s="95"/>
      <c r="BD208" s="110">
        <f>IF(ISNUMBER(AO208),AO208,0)+IF(ISNUMBER(AT208),AT208,0)</f>
        <v>0</v>
      </c>
      <c r="BE208" s="110"/>
      <c r="BF208" s="110"/>
      <c r="BG208" s="110"/>
      <c r="BH208" s="110"/>
    </row>
    <row r="209" spans="1:60" s="99" customFormat="1" ht="25.5" customHeight="1" x14ac:dyDescent="0.2">
      <c r="A209" s="89">
        <v>6</v>
      </c>
      <c r="B209" s="90"/>
      <c r="C209" s="90"/>
      <c r="D209" s="92" t="s">
        <v>197</v>
      </c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4"/>
      <c r="U209" s="96">
        <v>0</v>
      </c>
      <c r="V209" s="97"/>
      <c r="W209" s="97"/>
      <c r="X209" s="97"/>
      <c r="Y209" s="98"/>
      <c r="Z209" s="96">
        <v>0</v>
      </c>
      <c r="AA209" s="97"/>
      <c r="AB209" s="97"/>
      <c r="AC209" s="97"/>
      <c r="AD209" s="98"/>
      <c r="AE209" s="95">
        <v>0</v>
      </c>
      <c r="AF209" s="95"/>
      <c r="AG209" s="95"/>
      <c r="AH209" s="95"/>
      <c r="AI209" s="95"/>
      <c r="AJ209" s="110">
        <f>IF(ISNUMBER(U209),U209,0)+IF(ISNUMBER(Z209),Z209,0)</f>
        <v>0</v>
      </c>
      <c r="AK209" s="110"/>
      <c r="AL209" s="110"/>
      <c r="AM209" s="110"/>
      <c r="AN209" s="110"/>
      <c r="AO209" s="95">
        <v>0</v>
      </c>
      <c r="AP209" s="95"/>
      <c r="AQ209" s="95"/>
      <c r="AR209" s="95"/>
      <c r="AS209" s="95"/>
      <c r="AT209" s="110">
        <v>0</v>
      </c>
      <c r="AU209" s="110"/>
      <c r="AV209" s="110"/>
      <c r="AW209" s="110"/>
      <c r="AX209" s="110"/>
      <c r="AY209" s="95">
        <v>0</v>
      </c>
      <c r="AZ209" s="95"/>
      <c r="BA209" s="95"/>
      <c r="BB209" s="95"/>
      <c r="BC209" s="95"/>
      <c r="BD209" s="110">
        <f>IF(ISNUMBER(AO209),AO209,0)+IF(ISNUMBER(AT209),AT209,0)</f>
        <v>0</v>
      </c>
      <c r="BE209" s="110"/>
      <c r="BF209" s="110"/>
      <c r="BG209" s="110"/>
      <c r="BH209" s="110"/>
    </row>
    <row r="210" spans="1:60" s="99" customFormat="1" ht="12.75" customHeight="1" x14ac:dyDescent="0.2">
      <c r="A210" s="89">
        <v>7</v>
      </c>
      <c r="B210" s="90"/>
      <c r="C210" s="90"/>
      <c r="D210" s="92" t="s">
        <v>187</v>
      </c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4"/>
      <c r="U210" s="96">
        <v>0</v>
      </c>
      <c r="V210" s="97"/>
      <c r="W210" s="97"/>
      <c r="X210" s="97"/>
      <c r="Y210" s="98"/>
      <c r="Z210" s="96">
        <v>0</v>
      </c>
      <c r="AA210" s="97"/>
      <c r="AB210" s="97"/>
      <c r="AC210" s="97"/>
      <c r="AD210" s="98"/>
      <c r="AE210" s="95">
        <v>0</v>
      </c>
      <c r="AF210" s="95"/>
      <c r="AG210" s="95"/>
      <c r="AH210" s="95"/>
      <c r="AI210" s="95"/>
      <c r="AJ210" s="110">
        <f>IF(ISNUMBER(U210),U210,0)+IF(ISNUMBER(Z210),Z210,0)</f>
        <v>0</v>
      </c>
      <c r="AK210" s="110"/>
      <c r="AL210" s="110"/>
      <c r="AM210" s="110"/>
      <c r="AN210" s="110"/>
      <c r="AO210" s="95">
        <v>0</v>
      </c>
      <c r="AP210" s="95"/>
      <c r="AQ210" s="95"/>
      <c r="AR210" s="95"/>
      <c r="AS210" s="95"/>
      <c r="AT210" s="110">
        <v>0</v>
      </c>
      <c r="AU210" s="110"/>
      <c r="AV210" s="110"/>
      <c r="AW210" s="110"/>
      <c r="AX210" s="110"/>
      <c r="AY210" s="95">
        <v>0</v>
      </c>
      <c r="AZ210" s="95"/>
      <c r="BA210" s="95"/>
      <c r="BB210" s="95"/>
      <c r="BC210" s="95"/>
      <c r="BD210" s="110">
        <f>IF(ISNUMBER(AO210),AO210,0)+IF(ISNUMBER(AT210),AT210,0)</f>
        <v>0</v>
      </c>
      <c r="BE210" s="110"/>
      <c r="BF210" s="110"/>
      <c r="BG210" s="110"/>
      <c r="BH210" s="110"/>
    </row>
    <row r="211" spans="1:60" s="99" customFormat="1" ht="12.75" customHeight="1" x14ac:dyDescent="0.2">
      <c r="A211" s="89">
        <v>8</v>
      </c>
      <c r="B211" s="90"/>
      <c r="C211" s="90"/>
      <c r="D211" s="92" t="s">
        <v>198</v>
      </c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4"/>
      <c r="U211" s="96">
        <v>0</v>
      </c>
      <c r="V211" s="97"/>
      <c r="W211" s="97"/>
      <c r="X211" s="97"/>
      <c r="Y211" s="98"/>
      <c r="Z211" s="96">
        <v>0</v>
      </c>
      <c r="AA211" s="97"/>
      <c r="AB211" s="97"/>
      <c r="AC211" s="97"/>
      <c r="AD211" s="98"/>
      <c r="AE211" s="95">
        <v>0</v>
      </c>
      <c r="AF211" s="95"/>
      <c r="AG211" s="95"/>
      <c r="AH211" s="95"/>
      <c r="AI211" s="95"/>
      <c r="AJ211" s="110">
        <f>IF(ISNUMBER(U211),U211,0)+IF(ISNUMBER(Z211),Z211,0)</f>
        <v>0</v>
      </c>
      <c r="AK211" s="110"/>
      <c r="AL211" s="110"/>
      <c r="AM211" s="110"/>
      <c r="AN211" s="110"/>
      <c r="AO211" s="95">
        <v>0</v>
      </c>
      <c r="AP211" s="95"/>
      <c r="AQ211" s="95"/>
      <c r="AR211" s="95"/>
      <c r="AS211" s="95"/>
      <c r="AT211" s="110">
        <v>0</v>
      </c>
      <c r="AU211" s="110"/>
      <c r="AV211" s="110"/>
      <c r="AW211" s="110"/>
      <c r="AX211" s="110"/>
      <c r="AY211" s="95">
        <v>0</v>
      </c>
      <c r="AZ211" s="95"/>
      <c r="BA211" s="95"/>
      <c r="BB211" s="95"/>
      <c r="BC211" s="95"/>
      <c r="BD211" s="110">
        <f>IF(ISNUMBER(AO211),AO211,0)+IF(ISNUMBER(AT211),AT211,0)</f>
        <v>0</v>
      </c>
      <c r="BE211" s="110"/>
      <c r="BF211" s="110"/>
      <c r="BG211" s="110"/>
      <c r="BH211" s="110"/>
    </row>
    <row r="212" spans="1:60" s="99" customFormat="1" ht="38.25" customHeight="1" x14ac:dyDescent="0.2">
      <c r="A212" s="89">
        <v>9</v>
      </c>
      <c r="B212" s="90"/>
      <c r="C212" s="90"/>
      <c r="D212" s="92" t="s">
        <v>199</v>
      </c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4"/>
      <c r="U212" s="96">
        <v>0</v>
      </c>
      <c r="V212" s="97"/>
      <c r="W212" s="97"/>
      <c r="X212" s="97"/>
      <c r="Y212" s="98"/>
      <c r="Z212" s="96">
        <v>0</v>
      </c>
      <c r="AA212" s="97"/>
      <c r="AB212" s="97"/>
      <c r="AC212" s="97"/>
      <c r="AD212" s="98"/>
      <c r="AE212" s="95">
        <v>0</v>
      </c>
      <c r="AF212" s="95"/>
      <c r="AG212" s="95"/>
      <c r="AH212" s="95"/>
      <c r="AI212" s="95"/>
      <c r="AJ212" s="110">
        <f>IF(ISNUMBER(U212),U212,0)+IF(ISNUMBER(Z212),Z212,0)</f>
        <v>0</v>
      </c>
      <c r="AK212" s="110"/>
      <c r="AL212" s="110"/>
      <c r="AM212" s="110"/>
      <c r="AN212" s="110"/>
      <c r="AO212" s="95">
        <v>0</v>
      </c>
      <c r="AP212" s="95"/>
      <c r="AQ212" s="95"/>
      <c r="AR212" s="95"/>
      <c r="AS212" s="95"/>
      <c r="AT212" s="110">
        <v>0</v>
      </c>
      <c r="AU212" s="110"/>
      <c r="AV212" s="110"/>
      <c r="AW212" s="110"/>
      <c r="AX212" s="110"/>
      <c r="AY212" s="95">
        <v>0</v>
      </c>
      <c r="AZ212" s="95"/>
      <c r="BA212" s="95"/>
      <c r="BB212" s="95"/>
      <c r="BC212" s="95"/>
      <c r="BD212" s="110">
        <f>IF(ISNUMBER(AO212),AO212,0)+IF(ISNUMBER(AT212),AT212,0)</f>
        <v>0</v>
      </c>
      <c r="BE212" s="110"/>
      <c r="BF212" s="110"/>
      <c r="BG212" s="110"/>
      <c r="BH212" s="110"/>
    </row>
    <row r="213" spans="1:60" s="99" customFormat="1" ht="12.75" customHeight="1" x14ac:dyDescent="0.2">
      <c r="A213" s="89">
        <v>10</v>
      </c>
      <c r="B213" s="90"/>
      <c r="C213" s="90"/>
      <c r="D213" s="92" t="s">
        <v>200</v>
      </c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4"/>
      <c r="U213" s="96">
        <v>0</v>
      </c>
      <c r="V213" s="97"/>
      <c r="W213" s="97"/>
      <c r="X213" s="97"/>
      <c r="Y213" s="98"/>
      <c r="Z213" s="96">
        <v>0</v>
      </c>
      <c r="AA213" s="97"/>
      <c r="AB213" s="97"/>
      <c r="AC213" s="97"/>
      <c r="AD213" s="98"/>
      <c r="AE213" s="95">
        <v>0</v>
      </c>
      <c r="AF213" s="95"/>
      <c r="AG213" s="95"/>
      <c r="AH213" s="95"/>
      <c r="AI213" s="95"/>
      <c r="AJ213" s="110">
        <f>IF(ISNUMBER(U213),U213,0)+IF(ISNUMBER(Z213),Z213,0)</f>
        <v>0</v>
      </c>
      <c r="AK213" s="110"/>
      <c r="AL213" s="110"/>
      <c r="AM213" s="110"/>
      <c r="AN213" s="110"/>
      <c r="AO213" s="95">
        <v>0</v>
      </c>
      <c r="AP213" s="95"/>
      <c r="AQ213" s="95"/>
      <c r="AR213" s="95"/>
      <c r="AS213" s="95"/>
      <c r="AT213" s="110">
        <v>0</v>
      </c>
      <c r="AU213" s="110"/>
      <c r="AV213" s="110"/>
      <c r="AW213" s="110"/>
      <c r="AX213" s="110"/>
      <c r="AY213" s="95">
        <v>0</v>
      </c>
      <c r="AZ213" s="95"/>
      <c r="BA213" s="95"/>
      <c r="BB213" s="95"/>
      <c r="BC213" s="95"/>
      <c r="BD213" s="110">
        <f>IF(ISNUMBER(AO213),AO213,0)+IF(ISNUMBER(AT213),AT213,0)</f>
        <v>0</v>
      </c>
      <c r="BE213" s="110"/>
      <c r="BF213" s="110"/>
      <c r="BG213" s="110"/>
      <c r="BH213" s="110"/>
    </row>
    <row r="214" spans="1:60" s="99" customFormat="1" ht="12.75" customHeight="1" x14ac:dyDescent="0.2">
      <c r="A214" s="89">
        <v>11</v>
      </c>
      <c r="B214" s="90"/>
      <c r="C214" s="90"/>
      <c r="D214" s="92" t="s">
        <v>201</v>
      </c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4"/>
      <c r="U214" s="96">
        <v>0</v>
      </c>
      <c r="V214" s="97"/>
      <c r="W214" s="97"/>
      <c r="X214" s="97"/>
      <c r="Y214" s="98"/>
      <c r="Z214" s="96">
        <v>0</v>
      </c>
      <c r="AA214" s="97"/>
      <c r="AB214" s="97"/>
      <c r="AC214" s="97"/>
      <c r="AD214" s="98"/>
      <c r="AE214" s="95">
        <v>0</v>
      </c>
      <c r="AF214" s="95"/>
      <c r="AG214" s="95"/>
      <c r="AH214" s="95"/>
      <c r="AI214" s="95"/>
      <c r="AJ214" s="110">
        <f>IF(ISNUMBER(U214),U214,0)+IF(ISNUMBER(Z214),Z214,0)</f>
        <v>0</v>
      </c>
      <c r="AK214" s="110"/>
      <c r="AL214" s="110"/>
      <c r="AM214" s="110"/>
      <c r="AN214" s="110"/>
      <c r="AO214" s="95">
        <v>0</v>
      </c>
      <c r="AP214" s="95"/>
      <c r="AQ214" s="95"/>
      <c r="AR214" s="95"/>
      <c r="AS214" s="95"/>
      <c r="AT214" s="110">
        <v>0</v>
      </c>
      <c r="AU214" s="110"/>
      <c r="AV214" s="110"/>
      <c r="AW214" s="110"/>
      <c r="AX214" s="110"/>
      <c r="AY214" s="95">
        <v>0</v>
      </c>
      <c r="AZ214" s="95"/>
      <c r="BA214" s="95"/>
      <c r="BB214" s="95"/>
      <c r="BC214" s="95"/>
      <c r="BD214" s="110">
        <f>IF(ISNUMBER(AO214),AO214,0)+IF(ISNUMBER(AT214),AT214,0)</f>
        <v>0</v>
      </c>
      <c r="BE214" s="110"/>
      <c r="BF214" s="110"/>
      <c r="BG214" s="110"/>
      <c r="BH214" s="110"/>
    </row>
    <row r="215" spans="1:60" s="99" customFormat="1" ht="38.25" customHeight="1" x14ac:dyDescent="0.2">
      <c r="A215" s="89">
        <v>12</v>
      </c>
      <c r="B215" s="90"/>
      <c r="C215" s="90"/>
      <c r="D215" s="92" t="s">
        <v>202</v>
      </c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4"/>
      <c r="U215" s="96">
        <v>0</v>
      </c>
      <c r="V215" s="97"/>
      <c r="W215" s="97"/>
      <c r="X215" s="97"/>
      <c r="Y215" s="98"/>
      <c r="Z215" s="96">
        <v>0</v>
      </c>
      <c r="AA215" s="97"/>
      <c r="AB215" s="97"/>
      <c r="AC215" s="97"/>
      <c r="AD215" s="98"/>
      <c r="AE215" s="95">
        <v>0</v>
      </c>
      <c r="AF215" s="95"/>
      <c r="AG215" s="95"/>
      <c r="AH215" s="95"/>
      <c r="AI215" s="95"/>
      <c r="AJ215" s="110">
        <f>IF(ISNUMBER(U215),U215,0)+IF(ISNUMBER(Z215),Z215,0)</f>
        <v>0</v>
      </c>
      <c r="AK215" s="110"/>
      <c r="AL215" s="110"/>
      <c r="AM215" s="110"/>
      <c r="AN215" s="110"/>
      <c r="AO215" s="95">
        <v>0</v>
      </c>
      <c r="AP215" s="95"/>
      <c r="AQ215" s="95"/>
      <c r="AR215" s="95"/>
      <c r="AS215" s="95"/>
      <c r="AT215" s="110">
        <v>0</v>
      </c>
      <c r="AU215" s="110"/>
      <c r="AV215" s="110"/>
      <c r="AW215" s="110"/>
      <c r="AX215" s="110"/>
      <c r="AY215" s="95">
        <v>0</v>
      </c>
      <c r="AZ215" s="95"/>
      <c r="BA215" s="95"/>
      <c r="BB215" s="95"/>
      <c r="BC215" s="95"/>
      <c r="BD215" s="110">
        <f>IF(ISNUMBER(AO215),AO215,0)+IF(ISNUMBER(AT215),AT215,0)</f>
        <v>0</v>
      </c>
      <c r="BE215" s="110"/>
      <c r="BF215" s="110"/>
      <c r="BG215" s="110"/>
      <c r="BH215" s="110"/>
    </row>
    <row r="216" spans="1:60" s="99" customFormat="1" ht="12.75" customHeight="1" x14ac:dyDescent="0.2">
      <c r="A216" s="89">
        <v>13</v>
      </c>
      <c r="B216" s="90"/>
      <c r="C216" s="90"/>
      <c r="D216" s="92" t="s">
        <v>203</v>
      </c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4"/>
      <c r="U216" s="96">
        <v>0</v>
      </c>
      <c r="V216" s="97"/>
      <c r="W216" s="97"/>
      <c r="X216" s="97"/>
      <c r="Y216" s="98"/>
      <c r="Z216" s="96">
        <v>0</v>
      </c>
      <c r="AA216" s="97"/>
      <c r="AB216" s="97"/>
      <c r="AC216" s="97"/>
      <c r="AD216" s="98"/>
      <c r="AE216" s="95">
        <v>0</v>
      </c>
      <c r="AF216" s="95"/>
      <c r="AG216" s="95"/>
      <c r="AH216" s="95"/>
      <c r="AI216" s="95"/>
      <c r="AJ216" s="110">
        <f>IF(ISNUMBER(U216),U216,0)+IF(ISNUMBER(Z216),Z216,0)</f>
        <v>0</v>
      </c>
      <c r="AK216" s="110"/>
      <c r="AL216" s="110"/>
      <c r="AM216" s="110"/>
      <c r="AN216" s="110"/>
      <c r="AO216" s="95">
        <v>0</v>
      </c>
      <c r="AP216" s="95"/>
      <c r="AQ216" s="95"/>
      <c r="AR216" s="95"/>
      <c r="AS216" s="95"/>
      <c r="AT216" s="110">
        <v>0</v>
      </c>
      <c r="AU216" s="110"/>
      <c r="AV216" s="110"/>
      <c r="AW216" s="110"/>
      <c r="AX216" s="110"/>
      <c r="AY216" s="95">
        <v>0</v>
      </c>
      <c r="AZ216" s="95"/>
      <c r="BA216" s="95"/>
      <c r="BB216" s="95"/>
      <c r="BC216" s="95"/>
      <c r="BD216" s="110">
        <f>IF(ISNUMBER(AO216),AO216,0)+IF(ISNUMBER(AT216),AT216,0)</f>
        <v>0</v>
      </c>
      <c r="BE216" s="110"/>
      <c r="BF216" s="110"/>
      <c r="BG216" s="110"/>
      <c r="BH216" s="110"/>
    </row>
    <row r="217" spans="1:60" s="99" customFormat="1" ht="12.75" customHeight="1" x14ac:dyDescent="0.2">
      <c r="A217" s="89">
        <v>14</v>
      </c>
      <c r="B217" s="90"/>
      <c r="C217" s="90"/>
      <c r="D217" s="92" t="s">
        <v>204</v>
      </c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4"/>
      <c r="U217" s="96">
        <v>0</v>
      </c>
      <c r="V217" s="97"/>
      <c r="W217" s="97"/>
      <c r="X217" s="97"/>
      <c r="Y217" s="98"/>
      <c r="Z217" s="96">
        <v>0</v>
      </c>
      <c r="AA217" s="97"/>
      <c r="AB217" s="97"/>
      <c r="AC217" s="97"/>
      <c r="AD217" s="98"/>
      <c r="AE217" s="95">
        <v>0</v>
      </c>
      <c r="AF217" s="95"/>
      <c r="AG217" s="95"/>
      <c r="AH217" s="95"/>
      <c r="AI217" s="95"/>
      <c r="AJ217" s="110">
        <f>IF(ISNUMBER(U217),U217,0)+IF(ISNUMBER(Z217),Z217,0)</f>
        <v>0</v>
      </c>
      <c r="AK217" s="110"/>
      <c r="AL217" s="110"/>
      <c r="AM217" s="110"/>
      <c r="AN217" s="110"/>
      <c r="AO217" s="95">
        <v>0</v>
      </c>
      <c r="AP217" s="95"/>
      <c r="AQ217" s="95"/>
      <c r="AR217" s="95"/>
      <c r="AS217" s="95"/>
      <c r="AT217" s="110">
        <v>0</v>
      </c>
      <c r="AU217" s="110"/>
      <c r="AV217" s="110"/>
      <c r="AW217" s="110"/>
      <c r="AX217" s="110"/>
      <c r="AY217" s="95">
        <v>0</v>
      </c>
      <c r="AZ217" s="95"/>
      <c r="BA217" s="95"/>
      <c r="BB217" s="95"/>
      <c r="BC217" s="95"/>
      <c r="BD217" s="110">
        <f>IF(ISNUMBER(AO217),AO217,0)+IF(ISNUMBER(AT217),AT217,0)</f>
        <v>0</v>
      </c>
      <c r="BE217" s="110"/>
      <c r="BF217" s="110"/>
      <c r="BG217" s="110"/>
      <c r="BH217" s="110"/>
    </row>
    <row r="218" spans="1:60" s="99" customFormat="1" ht="51" customHeight="1" x14ac:dyDescent="0.2">
      <c r="A218" s="89">
        <v>15</v>
      </c>
      <c r="B218" s="90"/>
      <c r="C218" s="90"/>
      <c r="D218" s="92" t="s">
        <v>205</v>
      </c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4"/>
      <c r="U218" s="96">
        <v>0</v>
      </c>
      <c r="V218" s="97"/>
      <c r="W218" s="97"/>
      <c r="X218" s="97"/>
      <c r="Y218" s="98"/>
      <c r="Z218" s="96">
        <v>0</v>
      </c>
      <c r="AA218" s="97"/>
      <c r="AB218" s="97"/>
      <c r="AC218" s="97"/>
      <c r="AD218" s="98"/>
      <c r="AE218" s="95">
        <v>0</v>
      </c>
      <c r="AF218" s="95"/>
      <c r="AG218" s="95"/>
      <c r="AH218" s="95"/>
      <c r="AI218" s="95"/>
      <c r="AJ218" s="110">
        <f>IF(ISNUMBER(U218),U218,0)+IF(ISNUMBER(Z218),Z218,0)</f>
        <v>0</v>
      </c>
      <c r="AK218" s="110"/>
      <c r="AL218" s="110"/>
      <c r="AM218" s="110"/>
      <c r="AN218" s="110"/>
      <c r="AO218" s="95">
        <v>0</v>
      </c>
      <c r="AP218" s="95"/>
      <c r="AQ218" s="95"/>
      <c r="AR218" s="95"/>
      <c r="AS218" s="95"/>
      <c r="AT218" s="110">
        <v>0</v>
      </c>
      <c r="AU218" s="110"/>
      <c r="AV218" s="110"/>
      <c r="AW218" s="110"/>
      <c r="AX218" s="110"/>
      <c r="AY218" s="95">
        <v>0</v>
      </c>
      <c r="AZ218" s="95"/>
      <c r="BA218" s="95"/>
      <c r="BB218" s="95"/>
      <c r="BC218" s="95"/>
      <c r="BD218" s="110">
        <f>IF(ISNUMBER(AO218),AO218,0)+IF(ISNUMBER(AT218),AT218,0)</f>
        <v>0</v>
      </c>
      <c r="BE218" s="110"/>
      <c r="BF218" s="110"/>
      <c r="BG218" s="110"/>
      <c r="BH218" s="110"/>
    </row>
    <row r="219" spans="1:60" s="99" customFormat="1" ht="25.5" customHeight="1" x14ac:dyDescent="0.2">
      <c r="A219" s="89">
        <v>16</v>
      </c>
      <c r="B219" s="90"/>
      <c r="C219" s="90"/>
      <c r="D219" s="92" t="s">
        <v>206</v>
      </c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4"/>
      <c r="U219" s="96">
        <v>0</v>
      </c>
      <c r="V219" s="97"/>
      <c r="W219" s="97"/>
      <c r="X219" s="97"/>
      <c r="Y219" s="98"/>
      <c r="Z219" s="96">
        <v>0</v>
      </c>
      <c r="AA219" s="97"/>
      <c r="AB219" s="97"/>
      <c r="AC219" s="97"/>
      <c r="AD219" s="98"/>
      <c r="AE219" s="95">
        <v>0</v>
      </c>
      <c r="AF219" s="95"/>
      <c r="AG219" s="95"/>
      <c r="AH219" s="95"/>
      <c r="AI219" s="95"/>
      <c r="AJ219" s="110">
        <f>IF(ISNUMBER(U219),U219,0)+IF(ISNUMBER(Z219),Z219,0)</f>
        <v>0</v>
      </c>
      <c r="AK219" s="110"/>
      <c r="AL219" s="110"/>
      <c r="AM219" s="110"/>
      <c r="AN219" s="110"/>
      <c r="AO219" s="95">
        <v>0</v>
      </c>
      <c r="AP219" s="95"/>
      <c r="AQ219" s="95"/>
      <c r="AR219" s="95"/>
      <c r="AS219" s="95"/>
      <c r="AT219" s="110">
        <v>0</v>
      </c>
      <c r="AU219" s="110"/>
      <c r="AV219" s="110"/>
      <c r="AW219" s="110"/>
      <c r="AX219" s="110"/>
      <c r="AY219" s="95">
        <v>0</v>
      </c>
      <c r="AZ219" s="95"/>
      <c r="BA219" s="95"/>
      <c r="BB219" s="95"/>
      <c r="BC219" s="95"/>
      <c r="BD219" s="110">
        <f>IF(ISNUMBER(AO219),AO219,0)+IF(ISNUMBER(AT219),AT219,0)</f>
        <v>0</v>
      </c>
      <c r="BE219" s="110"/>
      <c r="BF219" s="110"/>
      <c r="BG219" s="110"/>
      <c r="BH219" s="110"/>
    </row>
    <row r="220" spans="1:60" s="99" customFormat="1" ht="25.5" customHeight="1" x14ac:dyDescent="0.2">
      <c r="A220" s="89">
        <v>17</v>
      </c>
      <c r="B220" s="90"/>
      <c r="C220" s="90"/>
      <c r="D220" s="92" t="s">
        <v>207</v>
      </c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4"/>
      <c r="U220" s="96">
        <v>0</v>
      </c>
      <c r="V220" s="97"/>
      <c r="W220" s="97"/>
      <c r="X220" s="97"/>
      <c r="Y220" s="98"/>
      <c r="Z220" s="96">
        <v>0</v>
      </c>
      <c r="AA220" s="97"/>
      <c r="AB220" s="97"/>
      <c r="AC220" s="97"/>
      <c r="AD220" s="98"/>
      <c r="AE220" s="95">
        <v>0</v>
      </c>
      <c r="AF220" s="95"/>
      <c r="AG220" s="95"/>
      <c r="AH220" s="95"/>
      <c r="AI220" s="95"/>
      <c r="AJ220" s="110">
        <f>IF(ISNUMBER(U220),U220,0)+IF(ISNUMBER(Z220),Z220,0)</f>
        <v>0</v>
      </c>
      <c r="AK220" s="110"/>
      <c r="AL220" s="110"/>
      <c r="AM220" s="110"/>
      <c r="AN220" s="110"/>
      <c r="AO220" s="95">
        <v>0</v>
      </c>
      <c r="AP220" s="95"/>
      <c r="AQ220" s="95"/>
      <c r="AR220" s="95"/>
      <c r="AS220" s="95"/>
      <c r="AT220" s="110">
        <v>0</v>
      </c>
      <c r="AU220" s="110"/>
      <c r="AV220" s="110"/>
      <c r="AW220" s="110"/>
      <c r="AX220" s="110"/>
      <c r="AY220" s="95">
        <v>0</v>
      </c>
      <c r="AZ220" s="95"/>
      <c r="BA220" s="95"/>
      <c r="BB220" s="95"/>
      <c r="BC220" s="95"/>
      <c r="BD220" s="110">
        <f>IF(ISNUMBER(AO220),AO220,0)+IF(ISNUMBER(AT220),AT220,0)</f>
        <v>0</v>
      </c>
      <c r="BE220" s="110"/>
      <c r="BF220" s="110"/>
      <c r="BG220" s="110"/>
      <c r="BH220" s="110"/>
    </row>
    <row r="221" spans="1:60" s="99" customFormat="1" ht="25.5" customHeight="1" x14ac:dyDescent="0.2">
      <c r="A221" s="89">
        <v>18</v>
      </c>
      <c r="B221" s="90"/>
      <c r="C221" s="90"/>
      <c r="D221" s="92" t="s">
        <v>208</v>
      </c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4"/>
      <c r="U221" s="96">
        <v>0</v>
      </c>
      <c r="V221" s="97"/>
      <c r="W221" s="97"/>
      <c r="X221" s="97"/>
      <c r="Y221" s="98"/>
      <c r="Z221" s="96">
        <v>0</v>
      </c>
      <c r="AA221" s="97"/>
      <c r="AB221" s="97"/>
      <c r="AC221" s="97"/>
      <c r="AD221" s="98"/>
      <c r="AE221" s="95">
        <v>0</v>
      </c>
      <c r="AF221" s="95"/>
      <c r="AG221" s="95"/>
      <c r="AH221" s="95"/>
      <c r="AI221" s="95"/>
      <c r="AJ221" s="110">
        <f>IF(ISNUMBER(U221),U221,0)+IF(ISNUMBER(Z221),Z221,0)</f>
        <v>0</v>
      </c>
      <c r="AK221" s="110"/>
      <c r="AL221" s="110"/>
      <c r="AM221" s="110"/>
      <c r="AN221" s="110"/>
      <c r="AO221" s="95">
        <v>0</v>
      </c>
      <c r="AP221" s="95"/>
      <c r="AQ221" s="95"/>
      <c r="AR221" s="95"/>
      <c r="AS221" s="95"/>
      <c r="AT221" s="110">
        <v>0</v>
      </c>
      <c r="AU221" s="110"/>
      <c r="AV221" s="110"/>
      <c r="AW221" s="110"/>
      <c r="AX221" s="110"/>
      <c r="AY221" s="95">
        <v>0</v>
      </c>
      <c r="AZ221" s="95"/>
      <c r="BA221" s="95"/>
      <c r="BB221" s="95"/>
      <c r="BC221" s="95"/>
      <c r="BD221" s="110">
        <f>IF(ISNUMBER(AO221),AO221,0)+IF(ISNUMBER(AT221),AT221,0)</f>
        <v>0</v>
      </c>
      <c r="BE221" s="110"/>
      <c r="BF221" s="110"/>
      <c r="BG221" s="110"/>
      <c r="BH221" s="110"/>
    </row>
    <row r="222" spans="1:60" s="99" customFormat="1" ht="12.75" customHeight="1" x14ac:dyDescent="0.2">
      <c r="A222" s="89">
        <v>19</v>
      </c>
      <c r="B222" s="90"/>
      <c r="C222" s="90"/>
      <c r="D222" s="92" t="s">
        <v>209</v>
      </c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4"/>
      <c r="U222" s="96">
        <v>0</v>
      </c>
      <c r="V222" s="97"/>
      <c r="W222" s="97"/>
      <c r="X222" s="97"/>
      <c r="Y222" s="98"/>
      <c r="Z222" s="96">
        <v>0</v>
      </c>
      <c r="AA222" s="97"/>
      <c r="AB222" s="97"/>
      <c r="AC222" s="97"/>
      <c r="AD222" s="98"/>
      <c r="AE222" s="95">
        <v>0</v>
      </c>
      <c r="AF222" s="95"/>
      <c r="AG222" s="95"/>
      <c r="AH222" s="95"/>
      <c r="AI222" s="95"/>
      <c r="AJ222" s="110">
        <f>IF(ISNUMBER(U222),U222,0)+IF(ISNUMBER(Z222),Z222,0)</f>
        <v>0</v>
      </c>
      <c r="AK222" s="110"/>
      <c r="AL222" s="110"/>
      <c r="AM222" s="110"/>
      <c r="AN222" s="110"/>
      <c r="AO222" s="95">
        <v>0</v>
      </c>
      <c r="AP222" s="95"/>
      <c r="AQ222" s="95"/>
      <c r="AR222" s="95"/>
      <c r="AS222" s="95"/>
      <c r="AT222" s="110">
        <v>0</v>
      </c>
      <c r="AU222" s="110"/>
      <c r="AV222" s="110"/>
      <c r="AW222" s="110"/>
      <c r="AX222" s="110"/>
      <c r="AY222" s="95">
        <v>0</v>
      </c>
      <c r="AZ222" s="95"/>
      <c r="BA222" s="95"/>
      <c r="BB222" s="95"/>
      <c r="BC222" s="95"/>
      <c r="BD222" s="110">
        <f>IF(ISNUMBER(AO222),AO222,0)+IF(ISNUMBER(AT222),AT222,0)</f>
        <v>0</v>
      </c>
      <c r="BE222" s="110"/>
      <c r="BF222" s="110"/>
      <c r="BG222" s="110"/>
      <c r="BH222" s="110"/>
    </row>
    <row r="223" spans="1:60" s="99" customFormat="1" ht="12.75" customHeight="1" x14ac:dyDescent="0.2">
      <c r="A223" s="89">
        <v>20</v>
      </c>
      <c r="B223" s="90"/>
      <c r="C223" s="90"/>
      <c r="D223" s="92" t="s">
        <v>210</v>
      </c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4"/>
      <c r="U223" s="96">
        <v>0</v>
      </c>
      <c r="V223" s="97"/>
      <c r="W223" s="97"/>
      <c r="X223" s="97"/>
      <c r="Y223" s="98"/>
      <c r="Z223" s="96">
        <v>0</v>
      </c>
      <c r="AA223" s="97"/>
      <c r="AB223" s="97"/>
      <c r="AC223" s="97"/>
      <c r="AD223" s="98"/>
      <c r="AE223" s="95">
        <v>0</v>
      </c>
      <c r="AF223" s="95"/>
      <c r="AG223" s="95"/>
      <c r="AH223" s="95"/>
      <c r="AI223" s="95"/>
      <c r="AJ223" s="110">
        <f>IF(ISNUMBER(U223),U223,0)+IF(ISNUMBER(Z223),Z223,0)</f>
        <v>0</v>
      </c>
      <c r="AK223" s="110"/>
      <c r="AL223" s="110"/>
      <c r="AM223" s="110"/>
      <c r="AN223" s="110"/>
      <c r="AO223" s="95">
        <v>0</v>
      </c>
      <c r="AP223" s="95"/>
      <c r="AQ223" s="95"/>
      <c r="AR223" s="95"/>
      <c r="AS223" s="95"/>
      <c r="AT223" s="110">
        <v>0</v>
      </c>
      <c r="AU223" s="110"/>
      <c r="AV223" s="110"/>
      <c r="AW223" s="110"/>
      <c r="AX223" s="110"/>
      <c r="AY223" s="95">
        <v>0</v>
      </c>
      <c r="AZ223" s="95"/>
      <c r="BA223" s="95"/>
      <c r="BB223" s="95"/>
      <c r="BC223" s="95"/>
      <c r="BD223" s="110">
        <f>IF(ISNUMBER(AO223),AO223,0)+IF(ISNUMBER(AT223),AT223,0)</f>
        <v>0</v>
      </c>
      <c r="BE223" s="110"/>
      <c r="BF223" s="110"/>
      <c r="BG223" s="110"/>
      <c r="BH223" s="110"/>
    </row>
    <row r="224" spans="1:60" s="99" customFormat="1" ht="12.75" customHeight="1" x14ac:dyDescent="0.2">
      <c r="A224" s="89">
        <v>21</v>
      </c>
      <c r="B224" s="90"/>
      <c r="C224" s="90"/>
      <c r="D224" s="92" t="s">
        <v>211</v>
      </c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4"/>
      <c r="U224" s="96">
        <v>0</v>
      </c>
      <c r="V224" s="97"/>
      <c r="W224" s="97"/>
      <c r="X224" s="97"/>
      <c r="Y224" s="98"/>
      <c r="Z224" s="96">
        <v>0</v>
      </c>
      <c r="AA224" s="97"/>
      <c r="AB224" s="97"/>
      <c r="AC224" s="97"/>
      <c r="AD224" s="98"/>
      <c r="AE224" s="95">
        <v>0</v>
      </c>
      <c r="AF224" s="95"/>
      <c r="AG224" s="95"/>
      <c r="AH224" s="95"/>
      <c r="AI224" s="95"/>
      <c r="AJ224" s="110">
        <f>IF(ISNUMBER(U224),U224,0)+IF(ISNUMBER(Z224),Z224,0)</f>
        <v>0</v>
      </c>
      <c r="AK224" s="110"/>
      <c r="AL224" s="110"/>
      <c r="AM224" s="110"/>
      <c r="AN224" s="110"/>
      <c r="AO224" s="95">
        <v>0</v>
      </c>
      <c r="AP224" s="95"/>
      <c r="AQ224" s="95"/>
      <c r="AR224" s="95"/>
      <c r="AS224" s="95"/>
      <c r="AT224" s="110">
        <v>0</v>
      </c>
      <c r="AU224" s="110"/>
      <c r="AV224" s="110"/>
      <c r="AW224" s="110"/>
      <c r="AX224" s="110"/>
      <c r="AY224" s="95">
        <v>0</v>
      </c>
      <c r="AZ224" s="95"/>
      <c r="BA224" s="95"/>
      <c r="BB224" s="95"/>
      <c r="BC224" s="95"/>
      <c r="BD224" s="110">
        <f>IF(ISNUMBER(AO224),AO224,0)+IF(ISNUMBER(AT224),AT224,0)</f>
        <v>0</v>
      </c>
      <c r="BE224" s="110"/>
      <c r="BF224" s="110"/>
      <c r="BG224" s="110"/>
      <c r="BH224" s="110"/>
    </row>
    <row r="225" spans="1:60" s="99" customFormat="1" ht="12.75" customHeight="1" x14ac:dyDescent="0.2">
      <c r="A225" s="89">
        <v>22</v>
      </c>
      <c r="B225" s="90"/>
      <c r="C225" s="90"/>
      <c r="D225" s="92" t="s">
        <v>212</v>
      </c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4"/>
      <c r="U225" s="96">
        <v>0</v>
      </c>
      <c r="V225" s="97"/>
      <c r="W225" s="97"/>
      <c r="X225" s="97"/>
      <c r="Y225" s="98"/>
      <c r="Z225" s="96">
        <v>0</v>
      </c>
      <c r="AA225" s="97"/>
      <c r="AB225" s="97"/>
      <c r="AC225" s="97"/>
      <c r="AD225" s="98"/>
      <c r="AE225" s="95">
        <v>0</v>
      </c>
      <c r="AF225" s="95"/>
      <c r="AG225" s="95"/>
      <c r="AH225" s="95"/>
      <c r="AI225" s="95"/>
      <c r="AJ225" s="110">
        <f>IF(ISNUMBER(U225),U225,0)+IF(ISNUMBER(Z225),Z225,0)</f>
        <v>0</v>
      </c>
      <c r="AK225" s="110"/>
      <c r="AL225" s="110"/>
      <c r="AM225" s="110"/>
      <c r="AN225" s="110"/>
      <c r="AO225" s="95">
        <v>0</v>
      </c>
      <c r="AP225" s="95"/>
      <c r="AQ225" s="95"/>
      <c r="AR225" s="95"/>
      <c r="AS225" s="95"/>
      <c r="AT225" s="110">
        <v>0</v>
      </c>
      <c r="AU225" s="110"/>
      <c r="AV225" s="110"/>
      <c r="AW225" s="110"/>
      <c r="AX225" s="110"/>
      <c r="AY225" s="95">
        <v>0</v>
      </c>
      <c r="AZ225" s="95"/>
      <c r="BA225" s="95"/>
      <c r="BB225" s="95"/>
      <c r="BC225" s="95"/>
      <c r="BD225" s="110">
        <f>IF(ISNUMBER(AO225),AO225,0)+IF(ISNUMBER(AT225),AT225,0)</f>
        <v>0</v>
      </c>
      <c r="BE225" s="110"/>
      <c r="BF225" s="110"/>
      <c r="BG225" s="110"/>
      <c r="BH225" s="110"/>
    </row>
    <row r="226" spans="1:60" s="99" customFormat="1" ht="25.5" customHeight="1" x14ac:dyDescent="0.2">
      <c r="A226" s="89">
        <v>23</v>
      </c>
      <c r="B226" s="90"/>
      <c r="C226" s="90"/>
      <c r="D226" s="92" t="s">
        <v>213</v>
      </c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4"/>
      <c r="U226" s="96">
        <v>0</v>
      </c>
      <c r="V226" s="97"/>
      <c r="W226" s="97"/>
      <c r="X226" s="97"/>
      <c r="Y226" s="98"/>
      <c r="Z226" s="96">
        <v>0</v>
      </c>
      <c r="AA226" s="97"/>
      <c r="AB226" s="97"/>
      <c r="AC226" s="97"/>
      <c r="AD226" s="98"/>
      <c r="AE226" s="95">
        <v>0</v>
      </c>
      <c r="AF226" s="95"/>
      <c r="AG226" s="95"/>
      <c r="AH226" s="95"/>
      <c r="AI226" s="95"/>
      <c r="AJ226" s="110">
        <f>IF(ISNUMBER(U226),U226,0)+IF(ISNUMBER(Z226),Z226,0)</f>
        <v>0</v>
      </c>
      <c r="AK226" s="110"/>
      <c r="AL226" s="110"/>
      <c r="AM226" s="110"/>
      <c r="AN226" s="110"/>
      <c r="AO226" s="95">
        <v>0</v>
      </c>
      <c r="AP226" s="95"/>
      <c r="AQ226" s="95"/>
      <c r="AR226" s="95"/>
      <c r="AS226" s="95"/>
      <c r="AT226" s="110">
        <v>0</v>
      </c>
      <c r="AU226" s="110"/>
      <c r="AV226" s="110"/>
      <c r="AW226" s="110"/>
      <c r="AX226" s="110"/>
      <c r="AY226" s="95">
        <v>0</v>
      </c>
      <c r="AZ226" s="95"/>
      <c r="BA226" s="95"/>
      <c r="BB226" s="95"/>
      <c r="BC226" s="95"/>
      <c r="BD226" s="110">
        <f>IF(ISNUMBER(AO226),AO226,0)+IF(ISNUMBER(AT226),AT226,0)</f>
        <v>0</v>
      </c>
      <c r="BE226" s="110"/>
      <c r="BF226" s="110"/>
      <c r="BG226" s="110"/>
      <c r="BH226" s="110"/>
    </row>
    <row r="227" spans="1:60" s="99" customFormat="1" ht="25.5" customHeight="1" x14ac:dyDescent="0.2">
      <c r="A227" s="89">
        <v>24</v>
      </c>
      <c r="B227" s="90"/>
      <c r="C227" s="90"/>
      <c r="D227" s="92" t="s">
        <v>214</v>
      </c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4"/>
      <c r="U227" s="96">
        <v>0</v>
      </c>
      <c r="V227" s="97"/>
      <c r="W227" s="97"/>
      <c r="X227" s="97"/>
      <c r="Y227" s="98"/>
      <c r="Z227" s="96">
        <v>0</v>
      </c>
      <c r="AA227" s="97"/>
      <c r="AB227" s="97"/>
      <c r="AC227" s="97"/>
      <c r="AD227" s="98"/>
      <c r="AE227" s="95">
        <v>0</v>
      </c>
      <c r="AF227" s="95"/>
      <c r="AG227" s="95"/>
      <c r="AH227" s="95"/>
      <c r="AI227" s="95"/>
      <c r="AJ227" s="110">
        <f>IF(ISNUMBER(U227),U227,0)+IF(ISNUMBER(Z227),Z227,0)</f>
        <v>0</v>
      </c>
      <c r="AK227" s="110"/>
      <c r="AL227" s="110"/>
      <c r="AM227" s="110"/>
      <c r="AN227" s="110"/>
      <c r="AO227" s="95">
        <v>0</v>
      </c>
      <c r="AP227" s="95"/>
      <c r="AQ227" s="95"/>
      <c r="AR227" s="95"/>
      <c r="AS227" s="95"/>
      <c r="AT227" s="110">
        <v>0</v>
      </c>
      <c r="AU227" s="110"/>
      <c r="AV227" s="110"/>
      <c r="AW227" s="110"/>
      <c r="AX227" s="110"/>
      <c r="AY227" s="95">
        <v>0</v>
      </c>
      <c r="AZ227" s="95"/>
      <c r="BA227" s="95"/>
      <c r="BB227" s="95"/>
      <c r="BC227" s="95"/>
      <c r="BD227" s="110">
        <f>IF(ISNUMBER(AO227),AO227,0)+IF(ISNUMBER(AT227),AT227,0)</f>
        <v>0</v>
      </c>
      <c r="BE227" s="110"/>
      <c r="BF227" s="110"/>
      <c r="BG227" s="110"/>
      <c r="BH227" s="110"/>
    </row>
    <row r="228" spans="1:60" s="99" customFormat="1" ht="12.75" customHeight="1" x14ac:dyDescent="0.2">
      <c r="A228" s="89">
        <v>25</v>
      </c>
      <c r="B228" s="90"/>
      <c r="C228" s="90"/>
      <c r="D228" s="92" t="s">
        <v>215</v>
      </c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4"/>
      <c r="U228" s="96">
        <v>0</v>
      </c>
      <c r="V228" s="97"/>
      <c r="W228" s="97"/>
      <c r="X228" s="97"/>
      <c r="Y228" s="98"/>
      <c r="Z228" s="96">
        <v>0</v>
      </c>
      <c r="AA228" s="97"/>
      <c r="AB228" s="97"/>
      <c r="AC228" s="97"/>
      <c r="AD228" s="98"/>
      <c r="AE228" s="95">
        <v>0</v>
      </c>
      <c r="AF228" s="95"/>
      <c r="AG228" s="95"/>
      <c r="AH228" s="95"/>
      <c r="AI228" s="95"/>
      <c r="AJ228" s="110">
        <f>IF(ISNUMBER(U228),U228,0)+IF(ISNUMBER(Z228),Z228,0)</f>
        <v>0</v>
      </c>
      <c r="AK228" s="110"/>
      <c r="AL228" s="110"/>
      <c r="AM228" s="110"/>
      <c r="AN228" s="110"/>
      <c r="AO228" s="95">
        <v>0</v>
      </c>
      <c r="AP228" s="95"/>
      <c r="AQ228" s="95"/>
      <c r="AR228" s="95"/>
      <c r="AS228" s="95"/>
      <c r="AT228" s="110">
        <v>0</v>
      </c>
      <c r="AU228" s="110"/>
      <c r="AV228" s="110"/>
      <c r="AW228" s="110"/>
      <c r="AX228" s="110"/>
      <c r="AY228" s="95">
        <v>0</v>
      </c>
      <c r="AZ228" s="95"/>
      <c r="BA228" s="95"/>
      <c r="BB228" s="95"/>
      <c r="BC228" s="95"/>
      <c r="BD228" s="110">
        <f>IF(ISNUMBER(AO228),AO228,0)+IF(ISNUMBER(AT228),AT228,0)</f>
        <v>0</v>
      </c>
      <c r="BE228" s="110"/>
      <c r="BF228" s="110"/>
      <c r="BG228" s="110"/>
      <c r="BH228" s="110"/>
    </row>
    <row r="229" spans="1:60" s="99" customFormat="1" ht="25.5" customHeight="1" x14ac:dyDescent="0.2">
      <c r="A229" s="89">
        <v>26</v>
      </c>
      <c r="B229" s="90"/>
      <c r="C229" s="90"/>
      <c r="D229" s="92" t="s">
        <v>216</v>
      </c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4"/>
      <c r="U229" s="96">
        <v>0</v>
      </c>
      <c r="V229" s="97"/>
      <c r="W229" s="97"/>
      <c r="X229" s="97"/>
      <c r="Y229" s="98"/>
      <c r="Z229" s="96">
        <v>0</v>
      </c>
      <c r="AA229" s="97"/>
      <c r="AB229" s="97"/>
      <c r="AC229" s="97"/>
      <c r="AD229" s="98"/>
      <c r="AE229" s="95">
        <v>0</v>
      </c>
      <c r="AF229" s="95"/>
      <c r="AG229" s="95"/>
      <c r="AH229" s="95"/>
      <c r="AI229" s="95"/>
      <c r="AJ229" s="110">
        <f>IF(ISNUMBER(U229),U229,0)+IF(ISNUMBER(Z229),Z229,0)</f>
        <v>0</v>
      </c>
      <c r="AK229" s="110"/>
      <c r="AL229" s="110"/>
      <c r="AM229" s="110"/>
      <c r="AN229" s="110"/>
      <c r="AO229" s="95">
        <v>0</v>
      </c>
      <c r="AP229" s="95"/>
      <c r="AQ229" s="95"/>
      <c r="AR229" s="95"/>
      <c r="AS229" s="95"/>
      <c r="AT229" s="110">
        <v>0</v>
      </c>
      <c r="AU229" s="110"/>
      <c r="AV229" s="110"/>
      <c r="AW229" s="110"/>
      <c r="AX229" s="110"/>
      <c r="AY229" s="95">
        <v>0</v>
      </c>
      <c r="AZ229" s="95"/>
      <c r="BA229" s="95"/>
      <c r="BB229" s="95"/>
      <c r="BC229" s="95"/>
      <c r="BD229" s="110">
        <f>IF(ISNUMBER(AO229),AO229,0)+IF(ISNUMBER(AT229),AT229,0)</f>
        <v>0</v>
      </c>
      <c r="BE229" s="110"/>
      <c r="BF229" s="110"/>
      <c r="BG229" s="110"/>
      <c r="BH229" s="110"/>
    </row>
    <row r="230" spans="1:60" s="99" customFormat="1" ht="25.5" customHeight="1" x14ac:dyDescent="0.2">
      <c r="A230" s="89">
        <v>27</v>
      </c>
      <c r="B230" s="90"/>
      <c r="C230" s="90"/>
      <c r="D230" s="92" t="s">
        <v>217</v>
      </c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4"/>
      <c r="U230" s="96">
        <v>0</v>
      </c>
      <c r="V230" s="97"/>
      <c r="W230" s="97"/>
      <c r="X230" s="97"/>
      <c r="Y230" s="98"/>
      <c r="Z230" s="96">
        <v>0</v>
      </c>
      <c r="AA230" s="97"/>
      <c r="AB230" s="97"/>
      <c r="AC230" s="97"/>
      <c r="AD230" s="98"/>
      <c r="AE230" s="95">
        <v>0</v>
      </c>
      <c r="AF230" s="95"/>
      <c r="AG230" s="95"/>
      <c r="AH230" s="95"/>
      <c r="AI230" s="95"/>
      <c r="AJ230" s="110">
        <f>IF(ISNUMBER(U230),U230,0)+IF(ISNUMBER(Z230),Z230,0)</f>
        <v>0</v>
      </c>
      <c r="AK230" s="110"/>
      <c r="AL230" s="110"/>
      <c r="AM230" s="110"/>
      <c r="AN230" s="110"/>
      <c r="AO230" s="95">
        <v>0</v>
      </c>
      <c r="AP230" s="95"/>
      <c r="AQ230" s="95"/>
      <c r="AR230" s="95"/>
      <c r="AS230" s="95"/>
      <c r="AT230" s="110">
        <v>0</v>
      </c>
      <c r="AU230" s="110"/>
      <c r="AV230" s="110"/>
      <c r="AW230" s="110"/>
      <c r="AX230" s="110"/>
      <c r="AY230" s="95">
        <v>0</v>
      </c>
      <c r="AZ230" s="95"/>
      <c r="BA230" s="95"/>
      <c r="BB230" s="95"/>
      <c r="BC230" s="95"/>
      <c r="BD230" s="110">
        <f>IF(ISNUMBER(AO230),AO230,0)+IF(ISNUMBER(AT230),AT230,0)</f>
        <v>0</v>
      </c>
      <c r="BE230" s="110"/>
      <c r="BF230" s="110"/>
      <c r="BG230" s="110"/>
      <c r="BH230" s="110"/>
    </row>
    <row r="231" spans="1:60" s="99" customFormat="1" ht="25.5" customHeight="1" x14ac:dyDescent="0.2">
      <c r="A231" s="89">
        <v>28</v>
      </c>
      <c r="B231" s="90"/>
      <c r="C231" s="90"/>
      <c r="D231" s="92" t="s">
        <v>218</v>
      </c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4"/>
      <c r="U231" s="96">
        <v>0</v>
      </c>
      <c r="V231" s="97"/>
      <c r="W231" s="97"/>
      <c r="X231" s="97"/>
      <c r="Y231" s="98"/>
      <c r="Z231" s="96">
        <v>0</v>
      </c>
      <c r="AA231" s="97"/>
      <c r="AB231" s="97"/>
      <c r="AC231" s="97"/>
      <c r="AD231" s="98"/>
      <c r="AE231" s="95">
        <v>0</v>
      </c>
      <c r="AF231" s="95"/>
      <c r="AG231" s="95"/>
      <c r="AH231" s="95"/>
      <c r="AI231" s="95"/>
      <c r="AJ231" s="110">
        <f>IF(ISNUMBER(U231),U231,0)+IF(ISNUMBER(Z231),Z231,0)</f>
        <v>0</v>
      </c>
      <c r="AK231" s="110"/>
      <c r="AL231" s="110"/>
      <c r="AM231" s="110"/>
      <c r="AN231" s="110"/>
      <c r="AO231" s="95">
        <v>0</v>
      </c>
      <c r="AP231" s="95"/>
      <c r="AQ231" s="95"/>
      <c r="AR231" s="95"/>
      <c r="AS231" s="95"/>
      <c r="AT231" s="110">
        <v>0</v>
      </c>
      <c r="AU231" s="110"/>
      <c r="AV231" s="110"/>
      <c r="AW231" s="110"/>
      <c r="AX231" s="110"/>
      <c r="AY231" s="95">
        <v>0</v>
      </c>
      <c r="AZ231" s="95"/>
      <c r="BA231" s="95"/>
      <c r="BB231" s="95"/>
      <c r="BC231" s="95"/>
      <c r="BD231" s="110">
        <f>IF(ISNUMBER(AO231),AO231,0)+IF(ISNUMBER(AT231),AT231,0)</f>
        <v>0</v>
      </c>
      <c r="BE231" s="110"/>
      <c r="BF231" s="110"/>
      <c r="BG231" s="110"/>
      <c r="BH231" s="110"/>
    </row>
    <row r="232" spans="1:60" s="99" customFormat="1" ht="25.5" customHeight="1" x14ac:dyDescent="0.2">
      <c r="A232" s="89">
        <v>29</v>
      </c>
      <c r="B232" s="90"/>
      <c r="C232" s="90"/>
      <c r="D232" s="92" t="s">
        <v>219</v>
      </c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4"/>
      <c r="U232" s="96">
        <v>0</v>
      </c>
      <c r="V232" s="97"/>
      <c r="W232" s="97"/>
      <c r="X232" s="97"/>
      <c r="Y232" s="98"/>
      <c r="Z232" s="96">
        <v>0</v>
      </c>
      <c r="AA232" s="97"/>
      <c r="AB232" s="97"/>
      <c r="AC232" s="97"/>
      <c r="AD232" s="98"/>
      <c r="AE232" s="95">
        <v>0</v>
      </c>
      <c r="AF232" s="95"/>
      <c r="AG232" s="95"/>
      <c r="AH232" s="95"/>
      <c r="AI232" s="95"/>
      <c r="AJ232" s="110">
        <f>IF(ISNUMBER(U232),U232,0)+IF(ISNUMBER(Z232),Z232,0)</f>
        <v>0</v>
      </c>
      <c r="AK232" s="110"/>
      <c r="AL232" s="110"/>
      <c r="AM232" s="110"/>
      <c r="AN232" s="110"/>
      <c r="AO232" s="95">
        <v>0</v>
      </c>
      <c r="AP232" s="95"/>
      <c r="AQ232" s="95"/>
      <c r="AR232" s="95"/>
      <c r="AS232" s="95"/>
      <c r="AT232" s="110">
        <v>0</v>
      </c>
      <c r="AU232" s="110"/>
      <c r="AV232" s="110"/>
      <c r="AW232" s="110"/>
      <c r="AX232" s="110"/>
      <c r="AY232" s="95">
        <v>0</v>
      </c>
      <c r="AZ232" s="95"/>
      <c r="BA232" s="95"/>
      <c r="BB232" s="95"/>
      <c r="BC232" s="95"/>
      <c r="BD232" s="110">
        <f>IF(ISNUMBER(AO232),AO232,0)+IF(ISNUMBER(AT232),AT232,0)</f>
        <v>0</v>
      </c>
      <c r="BE232" s="110"/>
      <c r="BF232" s="110"/>
      <c r="BG232" s="110"/>
      <c r="BH232" s="110"/>
    </row>
    <row r="233" spans="1:60" s="99" customFormat="1" ht="25.5" customHeight="1" x14ac:dyDescent="0.2">
      <c r="A233" s="89">
        <v>30</v>
      </c>
      <c r="B233" s="90"/>
      <c r="C233" s="90"/>
      <c r="D233" s="92" t="s">
        <v>220</v>
      </c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4"/>
      <c r="U233" s="96">
        <v>0</v>
      </c>
      <c r="V233" s="97"/>
      <c r="W233" s="97"/>
      <c r="X233" s="97"/>
      <c r="Y233" s="98"/>
      <c r="Z233" s="96">
        <v>0</v>
      </c>
      <c r="AA233" s="97"/>
      <c r="AB233" s="97"/>
      <c r="AC233" s="97"/>
      <c r="AD233" s="98"/>
      <c r="AE233" s="95">
        <v>0</v>
      </c>
      <c r="AF233" s="95"/>
      <c r="AG233" s="95"/>
      <c r="AH233" s="95"/>
      <c r="AI233" s="95"/>
      <c r="AJ233" s="110">
        <f>IF(ISNUMBER(U233),U233,0)+IF(ISNUMBER(Z233),Z233,0)</f>
        <v>0</v>
      </c>
      <c r="AK233" s="110"/>
      <c r="AL233" s="110"/>
      <c r="AM233" s="110"/>
      <c r="AN233" s="110"/>
      <c r="AO233" s="95">
        <v>0</v>
      </c>
      <c r="AP233" s="95"/>
      <c r="AQ233" s="95"/>
      <c r="AR233" s="95"/>
      <c r="AS233" s="95"/>
      <c r="AT233" s="110">
        <v>0</v>
      </c>
      <c r="AU233" s="110"/>
      <c r="AV233" s="110"/>
      <c r="AW233" s="110"/>
      <c r="AX233" s="110"/>
      <c r="AY233" s="95">
        <v>0</v>
      </c>
      <c r="AZ233" s="95"/>
      <c r="BA233" s="95"/>
      <c r="BB233" s="95"/>
      <c r="BC233" s="95"/>
      <c r="BD233" s="110">
        <f>IF(ISNUMBER(AO233),AO233,0)+IF(ISNUMBER(AT233),AT233,0)</f>
        <v>0</v>
      </c>
      <c r="BE233" s="110"/>
      <c r="BF233" s="110"/>
      <c r="BG233" s="110"/>
      <c r="BH233" s="110"/>
    </row>
    <row r="234" spans="1:60" s="99" customFormat="1" ht="25.5" customHeight="1" x14ac:dyDescent="0.2">
      <c r="A234" s="89">
        <v>31</v>
      </c>
      <c r="B234" s="90"/>
      <c r="C234" s="90"/>
      <c r="D234" s="92" t="s">
        <v>221</v>
      </c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4"/>
      <c r="U234" s="96">
        <v>0</v>
      </c>
      <c r="V234" s="97"/>
      <c r="W234" s="97"/>
      <c r="X234" s="97"/>
      <c r="Y234" s="98"/>
      <c r="Z234" s="96">
        <v>0</v>
      </c>
      <c r="AA234" s="97"/>
      <c r="AB234" s="97"/>
      <c r="AC234" s="97"/>
      <c r="AD234" s="98"/>
      <c r="AE234" s="95">
        <v>0</v>
      </c>
      <c r="AF234" s="95"/>
      <c r="AG234" s="95"/>
      <c r="AH234" s="95"/>
      <c r="AI234" s="95"/>
      <c r="AJ234" s="110">
        <f>IF(ISNUMBER(U234),U234,0)+IF(ISNUMBER(Z234),Z234,0)</f>
        <v>0</v>
      </c>
      <c r="AK234" s="110"/>
      <c r="AL234" s="110"/>
      <c r="AM234" s="110"/>
      <c r="AN234" s="110"/>
      <c r="AO234" s="95">
        <v>0</v>
      </c>
      <c r="AP234" s="95"/>
      <c r="AQ234" s="95"/>
      <c r="AR234" s="95"/>
      <c r="AS234" s="95"/>
      <c r="AT234" s="110">
        <v>0</v>
      </c>
      <c r="AU234" s="110"/>
      <c r="AV234" s="110"/>
      <c r="AW234" s="110"/>
      <c r="AX234" s="110"/>
      <c r="AY234" s="95">
        <v>0</v>
      </c>
      <c r="AZ234" s="95"/>
      <c r="BA234" s="95"/>
      <c r="BB234" s="95"/>
      <c r="BC234" s="95"/>
      <c r="BD234" s="110">
        <f>IF(ISNUMBER(AO234),AO234,0)+IF(ISNUMBER(AT234),AT234,0)</f>
        <v>0</v>
      </c>
      <c r="BE234" s="110"/>
      <c r="BF234" s="110"/>
      <c r="BG234" s="110"/>
      <c r="BH234" s="110"/>
    </row>
    <row r="235" spans="1:60" s="99" customFormat="1" ht="12.75" customHeight="1" x14ac:dyDescent="0.2">
      <c r="A235" s="89">
        <v>32</v>
      </c>
      <c r="B235" s="90"/>
      <c r="C235" s="90"/>
      <c r="D235" s="92" t="s">
        <v>222</v>
      </c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4"/>
      <c r="U235" s="96">
        <v>0</v>
      </c>
      <c r="V235" s="97"/>
      <c r="W235" s="97"/>
      <c r="X235" s="97"/>
      <c r="Y235" s="98"/>
      <c r="Z235" s="96">
        <v>0</v>
      </c>
      <c r="AA235" s="97"/>
      <c r="AB235" s="97"/>
      <c r="AC235" s="97"/>
      <c r="AD235" s="98"/>
      <c r="AE235" s="95">
        <v>0</v>
      </c>
      <c r="AF235" s="95"/>
      <c r="AG235" s="95"/>
      <c r="AH235" s="95"/>
      <c r="AI235" s="95"/>
      <c r="AJ235" s="110">
        <f>IF(ISNUMBER(U235),U235,0)+IF(ISNUMBER(Z235),Z235,0)</f>
        <v>0</v>
      </c>
      <c r="AK235" s="110"/>
      <c r="AL235" s="110"/>
      <c r="AM235" s="110"/>
      <c r="AN235" s="110"/>
      <c r="AO235" s="95">
        <v>0</v>
      </c>
      <c r="AP235" s="95"/>
      <c r="AQ235" s="95"/>
      <c r="AR235" s="95"/>
      <c r="AS235" s="95"/>
      <c r="AT235" s="110">
        <v>0</v>
      </c>
      <c r="AU235" s="110"/>
      <c r="AV235" s="110"/>
      <c r="AW235" s="110"/>
      <c r="AX235" s="110"/>
      <c r="AY235" s="95">
        <v>0</v>
      </c>
      <c r="AZ235" s="95"/>
      <c r="BA235" s="95"/>
      <c r="BB235" s="95"/>
      <c r="BC235" s="95"/>
      <c r="BD235" s="110">
        <f>IF(ISNUMBER(AO235),AO235,0)+IF(ISNUMBER(AT235),AT235,0)</f>
        <v>0</v>
      </c>
      <c r="BE235" s="110"/>
      <c r="BF235" s="110"/>
      <c r="BG235" s="110"/>
      <c r="BH235" s="110"/>
    </row>
    <row r="236" spans="1:60" s="99" customFormat="1" ht="25.5" customHeight="1" x14ac:dyDescent="0.2">
      <c r="A236" s="89">
        <v>33</v>
      </c>
      <c r="B236" s="90"/>
      <c r="C236" s="90"/>
      <c r="D236" s="92" t="s">
        <v>223</v>
      </c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4"/>
      <c r="U236" s="96">
        <v>0</v>
      </c>
      <c r="V236" s="97"/>
      <c r="W236" s="97"/>
      <c r="X236" s="97"/>
      <c r="Y236" s="98"/>
      <c r="Z236" s="96">
        <v>0</v>
      </c>
      <c r="AA236" s="97"/>
      <c r="AB236" s="97"/>
      <c r="AC236" s="97"/>
      <c r="AD236" s="98"/>
      <c r="AE236" s="95">
        <v>0</v>
      </c>
      <c r="AF236" s="95"/>
      <c r="AG236" s="95"/>
      <c r="AH236" s="95"/>
      <c r="AI236" s="95"/>
      <c r="AJ236" s="110">
        <f>IF(ISNUMBER(U236),U236,0)+IF(ISNUMBER(Z236),Z236,0)</f>
        <v>0</v>
      </c>
      <c r="AK236" s="110"/>
      <c r="AL236" s="110"/>
      <c r="AM236" s="110"/>
      <c r="AN236" s="110"/>
      <c r="AO236" s="95">
        <v>0</v>
      </c>
      <c r="AP236" s="95"/>
      <c r="AQ236" s="95"/>
      <c r="AR236" s="95"/>
      <c r="AS236" s="95"/>
      <c r="AT236" s="110">
        <v>0</v>
      </c>
      <c r="AU236" s="110"/>
      <c r="AV236" s="110"/>
      <c r="AW236" s="110"/>
      <c r="AX236" s="110"/>
      <c r="AY236" s="95">
        <v>0</v>
      </c>
      <c r="AZ236" s="95"/>
      <c r="BA236" s="95"/>
      <c r="BB236" s="95"/>
      <c r="BC236" s="95"/>
      <c r="BD236" s="110">
        <f>IF(ISNUMBER(AO236),AO236,0)+IF(ISNUMBER(AT236),AT236,0)</f>
        <v>0</v>
      </c>
      <c r="BE236" s="110"/>
      <c r="BF236" s="110"/>
      <c r="BG236" s="110"/>
      <c r="BH236" s="110"/>
    </row>
    <row r="237" spans="1:60" s="99" customFormat="1" ht="12.75" customHeight="1" x14ac:dyDescent="0.2">
      <c r="A237" s="89">
        <v>34</v>
      </c>
      <c r="B237" s="90"/>
      <c r="C237" s="90"/>
      <c r="D237" s="92" t="s">
        <v>224</v>
      </c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4"/>
      <c r="U237" s="96">
        <v>0</v>
      </c>
      <c r="V237" s="97"/>
      <c r="W237" s="97"/>
      <c r="X237" s="97"/>
      <c r="Y237" s="98"/>
      <c r="Z237" s="96">
        <v>0</v>
      </c>
      <c r="AA237" s="97"/>
      <c r="AB237" s="97"/>
      <c r="AC237" s="97"/>
      <c r="AD237" s="98"/>
      <c r="AE237" s="95">
        <v>0</v>
      </c>
      <c r="AF237" s="95"/>
      <c r="AG237" s="95"/>
      <c r="AH237" s="95"/>
      <c r="AI237" s="95"/>
      <c r="AJ237" s="110">
        <f>IF(ISNUMBER(U237),U237,0)+IF(ISNUMBER(Z237),Z237,0)</f>
        <v>0</v>
      </c>
      <c r="AK237" s="110"/>
      <c r="AL237" s="110"/>
      <c r="AM237" s="110"/>
      <c r="AN237" s="110"/>
      <c r="AO237" s="95">
        <v>0</v>
      </c>
      <c r="AP237" s="95"/>
      <c r="AQ237" s="95"/>
      <c r="AR237" s="95"/>
      <c r="AS237" s="95"/>
      <c r="AT237" s="110">
        <v>0</v>
      </c>
      <c r="AU237" s="110"/>
      <c r="AV237" s="110"/>
      <c r="AW237" s="110"/>
      <c r="AX237" s="110"/>
      <c r="AY237" s="95">
        <v>0</v>
      </c>
      <c r="AZ237" s="95"/>
      <c r="BA237" s="95"/>
      <c r="BB237" s="95"/>
      <c r="BC237" s="95"/>
      <c r="BD237" s="110">
        <f>IF(ISNUMBER(AO237),AO237,0)+IF(ISNUMBER(AT237),AT237,0)</f>
        <v>0</v>
      </c>
      <c r="BE237" s="110"/>
      <c r="BF237" s="110"/>
      <c r="BG237" s="110"/>
      <c r="BH237" s="110"/>
    </row>
    <row r="238" spans="1:60" s="99" customFormat="1" ht="25.5" customHeight="1" x14ac:dyDescent="0.2">
      <c r="A238" s="89">
        <v>35</v>
      </c>
      <c r="B238" s="90"/>
      <c r="C238" s="90"/>
      <c r="D238" s="92" t="s">
        <v>225</v>
      </c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4"/>
      <c r="U238" s="96">
        <v>0</v>
      </c>
      <c r="V238" s="97"/>
      <c r="W238" s="97"/>
      <c r="X238" s="97"/>
      <c r="Y238" s="98"/>
      <c r="Z238" s="96">
        <v>0</v>
      </c>
      <c r="AA238" s="97"/>
      <c r="AB238" s="97"/>
      <c r="AC238" s="97"/>
      <c r="AD238" s="98"/>
      <c r="AE238" s="95">
        <v>0</v>
      </c>
      <c r="AF238" s="95"/>
      <c r="AG238" s="95"/>
      <c r="AH238" s="95"/>
      <c r="AI238" s="95"/>
      <c r="AJ238" s="110">
        <f>IF(ISNUMBER(U238),U238,0)+IF(ISNUMBER(Z238),Z238,0)</f>
        <v>0</v>
      </c>
      <c r="AK238" s="110"/>
      <c r="AL238" s="110"/>
      <c r="AM238" s="110"/>
      <c r="AN238" s="110"/>
      <c r="AO238" s="95">
        <v>0</v>
      </c>
      <c r="AP238" s="95"/>
      <c r="AQ238" s="95"/>
      <c r="AR238" s="95"/>
      <c r="AS238" s="95"/>
      <c r="AT238" s="110">
        <v>0</v>
      </c>
      <c r="AU238" s="110"/>
      <c r="AV238" s="110"/>
      <c r="AW238" s="110"/>
      <c r="AX238" s="110"/>
      <c r="AY238" s="95">
        <v>0</v>
      </c>
      <c r="AZ238" s="95"/>
      <c r="BA238" s="95"/>
      <c r="BB238" s="95"/>
      <c r="BC238" s="95"/>
      <c r="BD238" s="110">
        <f>IF(ISNUMBER(AO238),AO238,0)+IF(ISNUMBER(AT238),AT238,0)</f>
        <v>0</v>
      </c>
      <c r="BE238" s="110"/>
      <c r="BF238" s="110"/>
      <c r="BG238" s="110"/>
      <c r="BH238" s="110"/>
    </row>
    <row r="239" spans="1:60" s="99" customFormat="1" ht="12.75" customHeight="1" x14ac:dyDescent="0.2">
      <c r="A239" s="89">
        <v>36</v>
      </c>
      <c r="B239" s="90"/>
      <c r="C239" s="90"/>
      <c r="D239" s="92" t="s">
        <v>226</v>
      </c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4"/>
      <c r="U239" s="96">
        <v>0</v>
      </c>
      <c r="V239" s="97"/>
      <c r="W239" s="97"/>
      <c r="X239" s="97"/>
      <c r="Y239" s="98"/>
      <c r="Z239" s="96">
        <v>0</v>
      </c>
      <c r="AA239" s="97"/>
      <c r="AB239" s="97"/>
      <c r="AC239" s="97"/>
      <c r="AD239" s="98"/>
      <c r="AE239" s="95">
        <v>0</v>
      </c>
      <c r="AF239" s="95"/>
      <c r="AG239" s="95"/>
      <c r="AH239" s="95"/>
      <c r="AI239" s="95"/>
      <c r="AJ239" s="110">
        <f>IF(ISNUMBER(U239),U239,0)+IF(ISNUMBER(Z239),Z239,0)</f>
        <v>0</v>
      </c>
      <c r="AK239" s="110"/>
      <c r="AL239" s="110"/>
      <c r="AM239" s="110"/>
      <c r="AN239" s="110"/>
      <c r="AO239" s="95">
        <v>0</v>
      </c>
      <c r="AP239" s="95"/>
      <c r="AQ239" s="95"/>
      <c r="AR239" s="95"/>
      <c r="AS239" s="95"/>
      <c r="AT239" s="110">
        <v>0</v>
      </c>
      <c r="AU239" s="110"/>
      <c r="AV239" s="110"/>
      <c r="AW239" s="110"/>
      <c r="AX239" s="110"/>
      <c r="AY239" s="95">
        <v>0</v>
      </c>
      <c r="AZ239" s="95"/>
      <c r="BA239" s="95"/>
      <c r="BB239" s="95"/>
      <c r="BC239" s="95"/>
      <c r="BD239" s="110">
        <f>IF(ISNUMBER(AO239),AO239,0)+IF(ISNUMBER(AT239),AT239,0)</f>
        <v>0</v>
      </c>
      <c r="BE239" s="110"/>
      <c r="BF239" s="110"/>
      <c r="BG239" s="110"/>
      <c r="BH239" s="110"/>
    </row>
    <row r="240" spans="1:60" s="99" customFormat="1" ht="12.75" customHeight="1" x14ac:dyDescent="0.2">
      <c r="A240" s="89">
        <v>37</v>
      </c>
      <c r="B240" s="90"/>
      <c r="C240" s="90"/>
      <c r="D240" s="92" t="s">
        <v>227</v>
      </c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4"/>
      <c r="U240" s="96">
        <v>0</v>
      </c>
      <c r="V240" s="97"/>
      <c r="W240" s="97"/>
      <c r="X240" s="97"/>
      <c r="Y240" s="98"/>
      <c r="Z240" s="96">
        <v>0</v>
      </c>
      <c r="AA240" s="97"/>
      <c r="AB240" s="97"/>
      <c r="AC240" s="97"/>
      <c r="AD240" s="98"/>
      <c r="AE240" s="95">
        <v>0</v>
      </c>
      <c r="AF240" s="95"/>
      <c r="AG240" s="95"/>
      <c r="AH240" s="95"/>
      <c r="AI240" s="95"/>
      <c r="AJ240" s="110">
        <f>IF(ISNUMBER(U240),U240,0)+IF(ISNUMBER(Z240),Z240,0)</f>
        <v>0</v>
      </c>
      <c r="AK240" s="110"/>
      <c r="AL240" s="110"/>
      <c r="AM240" s="110"/>
      <c r="AN240" s="110"/>
      <c r="AO240" s="95">
        <v>0</v>
      </c>
      <c r="AP240" s="95"/>
      <c r="AQ240" s="95"/>
      <c r="AR240" s="95"/>
      <c r="AS240" s="95"/>
      <c r="AT240" s="110">
        <v>0</v>
      </c>
      <c r="AU240" s="110"/>
      <c r="AV240" s="110"/>
      <c r="AW240" s="110"/>
      <c r="AX240" s="110"/>
      <c r="AY240" s="95">
        <v>0</v>
      </c>
      <c r="AZ240" s="95"/>
      <c r="BA240" s="95"/>
      <c r="BB240" s="95"/>
      <c r="BC240" s="95"/>
      <c r="BD240" s="110">
        <f>IF(ISNUMBER(AO240),AO240,0)+IF(ISNUMBER(AT240),AT240,0)</f>
        <v>0</v>
      </c>
      <c r="BE240" s="110"/>
      <c r="BF240" s="110"/>
      <c r="BG240" s="110"/>
      <c r="BH240" s="110"/>
    </row>
    <row r="241" spans="1:60" s="99" customFormat="1" ht="12.75" customHeight="1" x14ac:dyDescent="0.2">
      <c r="A241" s="89">
        <v>38</v>
      </c>
      <c r="B241" s="90"/>
      <c r="C241" s="90"/>
      <c r="D241" s="92" t="s">
        <v>228</v>
      </c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4"/>
      <c r="U241" s="96">
        <v>0</v>
      </c>
      <c r="V241" s="97"/>
      <c r="W241" s="97"/>
      <c r="X241" s="97"/>
      <c r="Y241" s="98"/>
      <c r="Z241" s="96">
        <v>0</v>
      </c>
      <c r="AA241" s="97"/>
      <c r="AB241" s="97"/>
      <c r="AC241" s="97"/>
      <c r="AD241" s="98"/>
      <c r="AE241" s="95">
        <v>0</v>
      </c>
      <c r="AF241" s="95"/>
      <c r="AG241" s="95"/>
      <c r="AH241" s="95"/>
      <c r="AI241" s="95"/>
      <c r="AJ241" s="110">
        <f>IF(ISNUMBER(U241),U241,0)+IF(ISNUMBER(Z241),Z241,0)</f>
        <v>0</v>
      </c>
      <c r="AK241" s="110"/>
      <c r="AL241" s="110"/>
      <c r="AM241" s="110"/>
      <c r="AN241" s="110"/>
      <c r="AO241" s="95">
        <v>0</v>
      </c>
      <c r="AP241" s="95"/>
      <c r="AQ241" s="95"/>
      <c r="AR241" s="95"/>
      <c r="AS241" s="95"/>
      <c r="AT241" s="110">
        <v>0</v>
      </c>
      <c r="AU241" s="110"/>
      <c r="AV241" s="110"/>
      <c r="AW241" s="110"/>
      <c r="AX241" s="110"/>
      <c r="AY241" s="95">
        <v>0</v>
      </c>
      <c r="AZ241" s="95"/>
      <c r="BA241" s="95"/>
      <c r="BB241" s="95"/>
      <c r="BC241" s="95"/>
      <c r="BD241" s="110">
        <f>IF(ISNUMBER(AO241),AO241,0)+IF(ISNUMBER(AT241),AT241,0)</f>
        <v>0</v>
      </c>
      <c r="BE241" s="110"/>
      <c r="BF241" s="110"/>
      <c r="BG241" s="110"/>
      <c r="BH241" s="110"/>
    </row>
    <row r="242" spans="1:60" s="99" customFormat="1" ht="12.75" customHeight="1" x14ac:dyDescent="0.2">
      <c r="A242" s="89">
        <v>39</v>
      </c>
      <c r="B242" s="90"/>
      <c r="C242" s="90"/>
      <c r="D242" s="92" t="s">
        <v>229</v>
      </c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4"/>
      <c r="U242" s="96">
        <v>0</v>
      </c>
      <c r="V242" s="97"/>
      <c r="W242" s="97"/>
      <c r="X242" s="97"/>
      <c r="Y242" s="98"/>
      <c r="Z242" s="96">
        <v>0</v>
      </c>
      <c r="AA242" s="97"/>
      <c r="AB242" s="97"/>
      <c r="AC242" s="97"/>
      <c r="AD242" s="98"/>
      <c r="AE242" s="95">
        <v>0</v>
      </c>
      <c r="AF242" s="95"/>
      <c r="AG242" s="95"/>
      <c r="AH242" s="95"/>
      <c r="AI242" s="95"/>
      <c r="AJ242" s="110">
        <f>IF(ISNUMBER(U242),U242,0)+IF(ISNUMBER(Z242),Z242,0)</f>
        <v>0</v>
      </c>
      <c r="AK242" s="110"/>
      <c r="AL242" s="110"/>
      <c r="AM242" s="110"/>
      <c r="AN242" s="110"/>
      <c r="AO242" s="95">
        <v>0</v>
      </c>
      <c r="AP242" s="95"/>
      <c r="AQ242" s="95"/>
      <c r="AR242" s="95"/>
      <c r="AS242" s="95"/>
      <c r="AT242" s="110">
        <v>0</v>
      </c>
      <c r="AU242" s="110"/>
      <c r="AV242" s="110"/>
      <c r="AW242" s="110"/>
      <c r="AX242" s="110"/>
      <c r="AY242" s="95">
        <v>0</v>
      </c>
      <c r="AZ242" s="95"/>
      <c r="BA242" s="95"/>
      <c r="BB242" s="95"/>
      <c r="BC242" s="95"/>
      <c r="BD242" s="110">
        <f>IF(ISNUMBER(AO242),AO242,0)+IF(ISNUMBER(AT242),AT242,0)</f>
        <v>0</v>
      </c>
      <c r="BE242" s="110"/>
      <c r="BF242" s="110"/>
      <c r="BG242" s="110"/>
      <c r="BH242" s="110"/>
    </row>
    <row r="243" spans="1:60" s="99" customFormat="1" ht="25.5" customHeight="1" x14ac:dyDescent="0.2">
      <c r="A243" s="89">
        <v>40</v>
      </c>
      <c r="B243" s="90"/>
      <c r="C243" s="90"/>
      <c r="D243" s="92" t="s">
        <v>230</v>
      </c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4"/>
      <c r="U243" s="96">
        <v>0</v>
      </c>
      <c r="V243" s="97"/>
      <c r="W243" s="97"/>
      <c r="X243" s="97"/>
      <c r="Y243" s="98"/>
      <c r="Z243" s="96">
        <v>0</v>
      </c>
      <c r="AA243" s="97"/>
      <c r="AB243" s="97"/>
      <c r="AC243" s="97"/>
      <c r="AD243" s="98"/>
      <c r="AE243" s="95">
        <v>0</v>
      </c>
      <c r="AF243" s="95"/>
      <c r="AG243" s="95"/>
      <c r="AH243" s="95"/>
      <c r="AI243" s="95"/>
      <c r="AJ243" s="110">
        <f>IF(ISNUMBER(U243),U243,0)+IF(ISNUMBER(Z243),Z243,0)</f>
        <v>0</v>
      </c>
      <c r="AK243" s="110"/>
      <c r="AL243" s="110"/>
      <c r="AM243" s="110"/>
      <c r="AN243" s="110"/>
      <c r="AO243" s="95">
        <v>0</v>
      </c>
      <c r="AP243" s="95"/>
      <c r="AQ243" s="95"/>
      <c r="AR243" s="95"/>
      <c r="AS243" s="95"/>
      <c r="AT243" s="110">
        <v>0</v>
      </c>
      <c r="AU243" s="110"/>
      <c r="AV243" s="110"/>
      <c r="AW243" s="110"/>
      <c r="AX243" s="110"/>
      <c r="AY243" s="95">
        <v>0</v>
      </c>
      <c r="AZ243" s="95"/>
      <c r="BA243" s="95"/>
      <c r="BB243" s="95"/>
      <c r="BC243" s="95"/>
      <c r="BD243" s="110">
        <f>IF(ISNUMBER(AO243),AO243,0)+IF(ISNUMBER(AT243),AT243,0)</f>
        <v>0</v>
      </c>
      <c r="BE243" s="110"/>
      <c r="BF243" s="110"/>
      <c r="BG243" s="110"/>
      <c r="BH243" s="110"/>
    </row>
    <row r="244" spans="1:60" s="99" customFormat="1" ht="12.75" customHeight="1" x14ac:dyDescent="0.2">
      <c r="A244" s="89">
        <v>41</v>
      </c>
      <c r="B244" s="90"/>
      <c r="C244" s="90"/>
      <c r="D244" s="92" t="s">
        <v>231</v>
      </c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4"/>
      <c r="U244" s="96">
        <v>0</v>
      </c>
      <c r="V244" s="97"/>
      <c r="W244" s="97"/>
      <c r="X244" s="97"/>
      <c r="Y244" s="98"/>
      <c r="Z244" s="96">
        <v>0</v>
      </c>
      <c r="AA244" s="97"/>
      <c r="AB244" s="97"/>
      <c r="AC244" s="97"/>
      <c r="AD244" s="98"/>
      <c r="AE244" s="95">
        <v>0</v>
      </c>
      <c r="AF244" s="95"/>
      <c r="AG244" s="95"/>
      <c r="AH244" s="95"/>
      <c r="AI244" s="95"/>
      <c r="AJ244" s="110">
        <f>IF(ISNUMBER(U244),U244,0)+IF(ISNUMBER(Z244),Z244,0)</f>
        <v>0</v>
      </c>
      <c r="AK244" s="110"/>
      <c r="AL244" s="110"/>
      <c r="AM244" s="110"/>
      <c r="AN244" s="110"/>
      <c r="AO244" s="95">
        <v>0</v>
      </c>
      <c r="AP244" s="95"/>
      <c r="AQ244" s="95"/>
      <c r="AR244" s="95"/>
      <c r="AS244" s="95"/>
      <c r="AT244" s="110">
        <v>0</v>
      </c>
      <c r="AU244" s="110"/>
      <c r="AV244" s="110"/>
      <c r="AW244" s="110"/>
      <c r="AX244" s="110"/>
      <c r="AY244" s="95">
        <v>0</v>
      </c>
      <c r="AZ244" s="95"/>
      <c r="BA244" s="95"/>
      <c r="BB244" s="95"/>
      <c r="BC244" s="95"/>
      <c r="BD244" s="110">
        <f>IF(ISNUMBER(AO244),AO244,0)+IF(ISNUMBER(AT244),AT244,0)</f>
        <v>0</v>
      </c>
      <c r="BE244" s="110"/>
      <c r="BF244" s="110"/>
      <c r="BG244" s="110"/>
      <c r="BH244" s="110"/>
    </row>
    <row r="245" spans="1:60" s="99" customFormat="1" ht="12.75" customHeight="1" x14ac:dyDescent="0.2">
      <c r="A245" s="89">
        <v>42</v>
      </c>
      <c r="B245" s="90"/>
      <c r="C245" s="90"/>
      <c r="D245" s="92" t="s">
        <v>232</v>
      </c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4"/>
      <c r="U245" s="96">
        <v>0</v>
      </c>
      <c r="V245" s="97"/>
      <c r="W245" s="97"/>
      <c r="X245" s="97"/>
      <c r="Y245" s="98"/>
      <c r="Z245" s="96">
        <v>0</v>
      </c>
      <c r="AA245" s="97"/>
      <c r="AB245" s="97"/>
      <c r="AC245" s="97"/>
      <c r="AD245" s="98"/>
      <c r="AE245" s="95">
        <v>0</v>
      </c>
      <c r="AF245" s="95"/>
      <c r="AG245" s="95"/>
      <c r="AH245" s="95"/>
      <c r="AI245" s="95"/>
      <c r="AJ245" s="110">
        <f>IF(ISNUMBER(U245),U245,0)+IF(ISNUMBER(Z245),Z245,0)</f>
        <v>0</v>
      </c>
      <c r="AK245" s="110"/>
      <c r="AL245" s="110"/>
      <c r="AM245" s="110"/>
      <c r="AN245" s="110"/>
      <c r="AO245" s="95">
        <v>0</v>
      </c>
      <c r="AP245" s="95"/>
      <c r="AQ245" s="95"/>
      <c r="AR245" s="95"/>
      <c r="AS245" s="95"/>
      <c r="AT245" s="110">
        <v>0</v>
      </c>
      <c r="AU245" s="110"/>
      <c r="AV245" s="110"/>
      <c r="AW245" s="110"/>
      <c r="AX245" s="110"/>
      <c r="AY245" s="95">
        <v>0</v>
      </c>
      <c r="AZ245" s="95"/>
      <c r="BA245" s="95"/>
      <c r="BB245" s="95"/>
      <c r="BC245" s="95"/>
      <c r="BD245" s="110">
        <f>IF(ISNUMBER(AO245),AO245,0)+IF(ISNUMBER(AT245),AT245,0)</f>
        <v>0</v>
      </c>
      <c r="BE245" s="110"/>
      <c r="BF245" s="110"/>
      <c r="BG245" s="110"/>
      <c r="BH245" s="110"/>
    </row>
    <row r="246" spans="1:60" s="99" customFormat="1" ht="38.25" customHeight="1" x14ac:dyDescent="0.2">
      <c r="A246" s="89">
        <v>43</v>
      </c>
      <c r="B246" s="90"/>
      <c r="C246" s="90"/>
      <c r="D246" s="92" t="s">
        <v>233</v>
      </c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4"/>
      <c r="U246" s="96">
        <v>0</v>
      </c>
      <c r="V246" s="97"/>
      <c r="W246" s="97"/>
      <c r="X246" s="97"/>
      <c r="Y246" s="98"/>
      <c r="Z246" s="96">
        <v>0</v>
      </c>
      <c r="AA246" s="97"/>
      <c r="AB246" s="97"/>
      <c r="AC246" s="97"/>
      <c r="AD246" s="98"/>
      <c r="AE246" s="95">
        <v>0</v>
      </c>
      <c r="AF246" s="95"/>
      <c r="AG246" s="95"/>
      <c r="AH246" s="95"/>
      <c r="AI246" s="95"/>
      <c r="AJ246" s="110">
        <f>IF(ISNUMBER(U246),U246,0)+IF(ISNUMBER(Z246),Z246,0)</f>
        <v>0</v>
      </c>
      <c r="AK246" s="110"/>
      <c r="AL246" s="110"/>
      <c r="AM246" s="110"/>
      <c r="AN246" s="110"/>
      <c r="AO246" s="95">
        <v>0</v>
      </c>
      <c r="AP246" s="95"/>
      <c r="AQ246" s="95"/>
      <c r="AR246" s="95"/>
      <c r="AS246" s="95"/>
      <c r="AT246" s="110">
        <v>0</v>
      </c>
      <c r="AU246" s="110"/>
      <c r="AV246" s="110"/>
      <c r="AW246" s="110"/>
      <c r="AX246" s="110"/>
      <c r="AY246" s="95">
        <v>0</v>
      </c>
      <c r="AZ246" s="95"/>
      <c r="BA246" s="95"/>
      <c r="BB246" s="95"/>
      <c r="BC246" s="95"/>
      <c r="BD246" s="110">
        <f>IF(ISNUMBER(AO246),AO246,0)+IF(ISNUMBER(AT246),AT246,0)</f>
        <v>0</v>
      </c>
      <c r="BE246" s="110"/>
      <c r="BF246" s="110"/>
      <c r="BG246" s="110"/>
      <c r="BH246" s="110"/>
    </row>
    <row r="247" spans="1:60" s="99" customFormat="1" ht="12.75" customHeight="1" x14ac:dyDescent="0.2">
      <c r="A247" s="89">
        <v>44</v>
      </c>
      <c r="B247" s="90"/>
      <c r="C247" s="90"/>
      <c r="D247" s="92" t="s">
        <v>185</v>
      </c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4"/>
      <c r="U247" s="96">
        <v>0</v>
      </c>
      <c r="V247" s="97"/>
      <c r="W247" s="97"/>
      <c r="X247" s="97"/>
      <c r="Y247" s="98"/>
      <c r="Z247" s="96">
        <v>0</v>
      </c>
      <c r="AA247" s="97"/>
      <c r="AB247" s="97"/>
      <c r="AC247" s="97"/>
      <c r="AD247" s="98"/>
      <c r="AE247" s="95">
        <v>0</v>
      </c>
      <c r="AF247" s="95"/>
      <c r="AG247" s="95"/>
      <c r="AH247" s="95"/>
      <c r="AI247" s="95"/>
      <c r="AJ247" s="110">
        <f>IF(ISNUMBER(U247),U247,0)+IF(ISNUMBER(Z247),Z247,0)</f>
        <v>0</v>
      </c>
      <c r="AK247" s="110"/>
      <c r="AL247" s="110"/>
      <c r="AM247" s="110"/>
      <c r="AN247" s="110"/>
      <c r="AO247" s="95">
        <v>0</v>
      </c>
      <c r="AP247" s="95"/>
      <c r="AQ247" s="95"/>
      <c r="AR247" s="95"/>
      <c r="AS247" s="95"/>
      <c r="AT247" s="110">
        <v>0</v>
      </c>
      <c r="AU247" s="110"/>
      <c r="AV247" s="110"/>
      <c r="AW247" s="110"/>
      <c r="AX247" s="110"/>
      <c r="AY247" s="95">
        <v>0</v>
      </c>
      <c r="AZ247" s="95"/>
      <c r="BA247" s="95"/>
      <c r="BB247" s="95"/>
      <c r="BC247" s="95"/>
      <c r="BD247" s="110">
        <f>IF(ISNUMBER(AO247),AO247,0)+IF(ISNUMBER(AT247),AT247,0)</f>
        <v>0</v>
      </c>
      <c r="BE247" s="110"/>
      <c r="BF247" s="110"/>
      <c r="BG247" s="110"/>
      <c r="BH247" s="110"/>
    </row>
    <row r="248" spans="1:60" s="99" customFormat="1" ht="51" customHeight="1" x14ac:dyDescent="0.2">
      <c r="A248" s="89">
        <v>45</v>
      </c>
      <c r="B248" s="90"/>
      <c r="C248" s="90"/>
      <c r="D248" s="92" t="s">
        <v>234</v>
      </c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4"/>
      <c r="U248" s="96">
        <v>0</v>
      </c>
      <c r="V248" s="97"/>
      <c r="W248" s="97"/>
      <c r="X248" s="97"/>
      <c r="Y248" s="98"/>
      <c r="Z248" s="96">
        <v>0</v>
      </c>
      <c r="AA248" s="97"/>
      <c r="AB248" s="97"/>
      <c r="AC248" s="97"/>
      <c r="AD248" s="98"/>
      <c r="AE248" s="95">
        <v>0</v>
      </c>
      <c r="AF248" s="95"/>
      <c r="AG248" s="95"/>
      <c r="AH248" s="95"/>
      <c r="AI248" s="95"/>
      <c r="AJ248" s="110">
        <f>IF(ISNUMBER(U248),U248,0)+IF(ISNUMBER(Z248),Z248,0)</f>
        <v>0</v>
      </c>
      <c r="AK248" s="110"/>
      <c r="AL248" s="110"/>
      <c r="AM248" s="110"/>
      <c r="AN248" s="110"/>
      <c r="AO248" s="95">
        <v>0</v>
      </c>
      <c r="AP248" s="95"/>
      <c r="AQ248" s="95"/>
      <c r="AR248" s="95"/>
      <c r="AS248" s="95"/>
      <c r="AT248" s="110">
        <v>0</v>
      </c>
      <c r="AU248" s="110"/>
      <c r="AV248" s="110"/>
      <c r="AW248" s="110"/>
      <c r="AX248" s="110"/>
      <c r="AY248" s="95">
        <v>0</v>
      </c>
      <c r="AZ248" s="95"/>
      <c r="BA248" s="95"/>
      <c r="BB248" s="95"/>
      <c r="BC248" s="95"/>
      <c r="BD248" s="110">
        <f>IF(ISNUMBER(AO248),AO248,0)+IF(ISNUMBER(AT248),AT248,0)</f>
        <v>0</v>
      </c>
      <c r="BE248" s="110"/>
      <c r="BF248" s="110"/>
      <c r="BG248" s="110"/>
      <c r="BH248" s="110"/>
    </row>
    <row r="249" spans="1:60" s="99" customFormat="1" ht="12.75" customHeight="1" x14ac:dyDescent="0.2">
      <c r="A249" s="89">
        <v>46</v>
      </c>
      <c r="B249" s="90"/>
      <c r="C249" s="90"/>
      <c r="D249" s="92" t="s">
        <v>235</v>
      </c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4"/>
      <c r="U249" s="96">
        <v>0</v>
      </c>
      <c r="V249" s="97"/>
      <c r="W249" s="97"/>
      <c r="X249" s="97"/>
      <c r="Y249" s="98"/>
      <c r="Z249" s="96">
        <v>0</v>
      </c>
      <c r="AA249" s="97"/>
      <c r="AB249" s="97"/>
      <c r="AC249" s="97"/>
      <c r="AD249" s="98"/>
      <c r="AE249" s="95">
        <v>0</v>
      </c>
      <c r="AF249" s="95"/>
      <c r="AG249" s="95"/>
      <c r="AH249" s="95"/>
      <c r="AI249" s="95"/>
      <c r="AJ249" s="110">
        <f>IF(ISNUMBER(U249),U249,0)+IF(ISNUMBER(Z249),Z249,0)</f>
        <v>0</v>
      </c>
      <c r="AK249" s="110"/>
      <c r="AL249" s="110"/>
      <c r="AM249" s="110"/>
      <c r="AN249" s="110"/>
      <c r="AO249" s="95">
        <v>0</v>
      </c>
      <c r="AP249" s="95"/>
      <c r="AQ249" s="95"/>
      <c r="AR249" s="95"/>
      <c r="AS249" s="95"/>
      <c r="AT249" s="110">
        <v>0</v>
      </c>
      <c r="AU249" s="110"/>
      <c r="AV249" s="110"/>
      <c r="AW249" s="110"/>
      <c r="AX249" s="110"/>
      <c r="AY249" s="95">
        <v>0</v>
      </c>
      <c r="AZ249" s="95"/>
      <c r="BA249" s="95"/>
      <c r="BB249" s="95"/>
      <c r="BC249" s="95"/>
      <c r="BD249" s="110">
        <f>IF(ISNUMBER(AO249),AO249,0)+IF(ISNUMBER(AT249),AT249,0)</f>
        <v>0</v>
      </c>
      <c r="BE249" s="110"/>
      <c r="BF249" s="110"/>
      <c r="BG249" s="110"/>
      <c r="BH249" s="110"/>
    </row>
    <row r="250" spans="1:60" s="99" customFormat="1" ht="25.5" customHeight="1" x14ac:dyDescent="0.2">
      <c r="A250" s="89">
        <v>47</v>
      </c>
      <c r="B250" s="90"/>
      <c r="C250" s="90"/>
      <c r="D250" s="92" t="s">
        <v>236</v>
      </c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4"/>
      <c r="U250" s="96">
        <v>0</v>
      </c>
      <c r="V250" s="97"/>
      <c r="W250" s="97"/>
      <c r="X250" s="97"/>
      <c r="Y250" s="98"/>
      <c r="Z250" s="96">
        <v>0</v>
      </c>
      <c r="AA250" s="97"/>
      <c r="AB250" s="97"/>
      <c r="AC250" s="97"/>
      <c r="AD250" s="98"/>
      <c r="AE250" s="95">
        <v>0</v>
      </c>
      <c r="AF250" s="95"/>
      <c r="AG250" s="95"/>
      <c r="AH250" s="95"/>
      <c r="AI250" s="95"/>
      <c r="AJ250" s="110">
        <f>IF(ISNUMBER(U250),U250,0)+IF(ISNUMBER(Z250),Z250,0)</f>
        <v>0</v>
      </c>
      <c r="AK250" s="110"/>
      <c r="AL250" s="110"/>
      <c r="AM250" s="110"/>
      <c r="AN250" s="110"/>
      <c r="AO250" s="95">
        <v>0</v>
      </c>
      <c r="AP250" s="95"/>
      <c r="AQ250" s="95"/>
      <c r="AR250" s="95"/>
      <c r="AS250" s="95"/>
      <c r="AT250" s="110">
        <v>0</v>
      </c>
      <c r="AU250" s="110"/>
      <c r="AV250" s="110"/>
      <c r="AW250" s="110"/>
      <c r="AX250" s="110"/>
      <c r="AY250" s="95">
        <v>0</v>
      </c>
      <c r="AZ250" s="95"/>
      <c r="BA250" s="95"/>
      <c r="BB250" s="95"/>
      <c r="BC250" s="95"/>
      <c r="BD250" s="110">
        <f>IF(ISNUMBER(AO250),AO250,0)+IF(ISNUMBER(AT250),AT250,0)</f>
        <v>0</v>
      </c>
      <c r="BE250" s="110"/>
      <c r="BF250" s="110"/>
      <c r="BG250" s="110"/>
      <c r="BH250" s="110"/>
    </row>
    <row r="251" spans="1:60" s="99" customFormat="1" ht="25.5" customHeight="1" x14ac:dyDescent="0.2">
      <c r="A251" s="89">
        <v>48</v>
      </c>
      <c r="B251" s="90"/>
      <c r="C251" s="90"/>
      <c r="D251" s="92" t="s">
        <v>237</v>
      </c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4"/>
      <c r="U251" s="96">
        <v>0</v>
      </c>
      <c r="V251" s="97"/>
      <c r="W251" s="97"/>
      <c r="X251" s="97"/>
      <c r="Y251" s="98"/>
      <c r="Z251" s="96">
        <v>0</v>
      </c>
      <c r="AA251" s="97"/>
      <c r="AB251" s="97"/>
      <c r="AC251" s="97"/>
      <c r="AD251" s="98"/>
      <c r="AE251" s="95">
        <v>0</v>
      </c>
      <c r="AF251" s="95"/>
      <c r="AG251" s="95"/>
      <c r="AH251" s="95"/>
      <c r="AI251" s="95"/>
      <c r="AJ251" s="110">
        <f>IF(ISNUMBER(U251),U251,0)+IF(ISNUMBER(Z251),Z251,0)</f>
        <v>0</v>
      </c>
      <c r="AK251" s="110"/>
      <c r="AL251" s="110"/>
      <c r="AM251" s="110"/>
      <c r="AN251" s="110"/>
      <c r="AO251" s="95">
        <v>0</v>
      </c>
      <c r="AP251" s="95"/>
      <c r="AQ251" s="95"/>
      <c r="AR251" s="95"/>
      <c r="AS251" s="95"/>
      <c r="AT251" s="110">
        <v>0</v>
      </c>
      <c r="AU251" s="110"/>
      <c r="AV251" s="110"/>
      <c r="AW251" s="110"/>
      <c r="AX251" s="110"/>
      <c r="AY251" s="95">
        <v>0</v>
      </c>
      <c r="AZ251" s="95"/>
      <c r="BA251" s="95"/>
      <c r="BB251" s="95"/>
      <c r="BC251" s="95"/>
      <c r="BD251" s="110">
        <f>IF(ISNUMBER(AO251),AO251,0)+IF(ISNUMBER(AT251),AT251,0)</f>
        <v>0</v>
      </c>
      <c r="BE251" s="110"/>
      <c r="BF251" s="110"/>
      <c r="BG251" s="110"/>
      <c r="BH251" s="110"/>
    </row>
    <row r="252" spans="1:60" s="99" customFormat="1" ht="12.75" customHeight="1" x14ac:dyDescent="0.2">
      <c r="A252" s="89">
        <v>49</v>
      </c>
      <c r="B252" s="90"/>
      <c r="C252" s="90"/>
      <c r="D252" s="92" t="s">
        <v>238</v>
      </c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4"/>
      <c r="U252" s="96">
        <v>0</v>
      </c>
      <c r="V252" s="97"/>
      <c r="W252" s="97"/>
      <c r="X252" s="97"/>
      <c r="Y252" s="98"/>
      <c r="Z252" s="96">
        <v>0</v>
      </c>
      <c r="AA252" s="97"/>
      <c r="AB252" s="97"/>
      <c r="AC252" s="97"/>
      <c r="AD252" s="98"/>
      <c r="AE252" s="95">
        <v>0</v>
      </c>
      <c r="AF252" s="95"/>
      <c r="AG252" s="95"/>
      <c r="AH252" s="95"/>
      <c r="AI252" s="95"/>
      <c r="AJ252" s="110">
        <f>IF(ISNUMBER(U252),U252,0)+IF(ISNUMBER(Z252),Z252,0)</f>
        <v>0</v>
      </c>
      <c r="AK252" s="110"/>
      <c r="AL252" s="110"/>
      <c r="AM252" s="110"/>
      <c r="AN252" s="110"/>
      <c r="AO252" s="95">
        <v>0</v>
      </c>
      <c r="AP252" s="95"/>
      <c r="AQ252" s="95"/>
      <c r="AR252" s="95"/>
      <c r="AS252" s="95"/>
      <c r="AT252" s="110">
        <v>0</v>
      </c>
      <c r="AU252" s="110"/>
      <c r="AV252" s="110"/>
      <c r="AW252" s="110"/>
      <c r="AX252" s="110"/>
      <c r="AY252" s="95">
        <v>0</v>
      </c>
      <c r="AZ252" s="95"/>
      <c r="BA252" s="95"/>
      <c r="BB252" s="95"/>
      <c r="BC252" s="95"/>
      <c r="BD252" s="110">
        <f>IF(ISNUMBER(AO252),AO252,0)+IF(ISNUMBER(AT252),AT252,0)</f>
        <v>0</v>
      </c>
      <c r="BE252" s="110"/>
      <c r="BF252" s="110"/>
      <c r="BG252" s="110"/>
      <c r="BH252" s="110"/>
    </row>
    <row r="253" spans="1:60" s="99" customFormat="1" ht="12.75" customHeight="1" x14ac:dyDescent="0.2">
      <c r="A253" s="89">
        <v>50</v>
      </c>
      <c r="B253" s="90"/>
      <c r="C253" s="90"/>
      <c r="D253" s="92" t="s">
        <v>239</v>
      </c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4"/>
      <c r="U253" s="96">
        <v>0</v>
      </c>
      <c r="V253" s="97"/>
      <c r="W253" s="97"/>
      <c r="X253" s="97"/>
      <c r="Y253" s="98"/>
      <c r="Z253" s="96">
        <v>0</v>
      </c>
      <c r="AA253" s="97"/>
      <c r="AB253" s="97"/>
      <c r="AC253" s="97"/>
      <c r="AD253" s="98"/>
      <c r="AE253" s="95">
        <v>0</v>
      </c>
      <c r="AF253" s="95"/>
      <c r="AG253" s="95"/>
      <c r="AH253" s="95"/>
      <c r="AI253" s="95"/>
      <c r="AJ253" s="110">
        <f>IF(ISNUMBER(U253),U253,0)+IF(ISNUMBER(Z253),Z253,0)</f>
        <v>0</v>
      </c>
      <c r="AK253" s="110"/>
      <c r="AL253" s="110"/>
      <c r="AM253" s="110"/>
      <c r="AN253" s="110"/>
      <c r="AO253" s="95">
        <v>0</v>
      </c>
      <c r="AP253" s="95"/>
      <c r="AQ253" s="95"/>
      <c r="AR253" s="95"/>
      <c r="AS253" s="95"/>
      <c r="AT253" s="110">
        <v>0</v>
      </c>
      <c r="AU253" s="110"/>
      <c r="AV253" s="110"/>
      <c r="AW253" s="110"/>
      <c r="AX253" s="110"/>
      <c r="AY253" s="95">
        <v>0</v>
      </c>
      <c r="AZ253" s="95"/>
      <c r="BA253" s="95"/>
      <c r="BB253" s="95"/>
      <c r="BC253" s="95"/>
      <c r="BD253" s="110">
        <f>IF(ISNUMBER(AO253),AO253,0)+IF(ISNUMBER(AT253),AT253,0)</f>
        <v>0</v>
      </c>
      <c r="BE253" s="110"/>
      <c r="BF253" s="110"/>
      <c r="BG253" s="110"/>
      <c r="BH253" s="110"/>
    </row>
    <row r="254" spans="1:60" s="99" customFormat="1" ht="25.5" customHeight="1" x14ac:dyDescent="0.2">
      <c r="A254" s="89">
        <v>51</v>
      </c>
      <c r="B254" s="90"/>
      <c r="C254" s="90"/>
      <c r="D254" s="92" t="s">
        <v>240</v>
      </c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4"/>
      <c r="U254" s="96">
        <v>0</v>
      </c>
      <c r="V254" s="97"/>
      <c r="W254" s="97"/>
      <c r="X254" s="97"/>
      <c r="Y254" s="98"/>
      <c r="Z254" s="96">
        <v>0</v>
      </c>
      <c r="AA254" s="97"/>
      <c r="AB254" s="97"/>
      <c r="AC254" s="97"/>
      <c r="AD254" s="98"/>
      <c r="AE254" s="95">
        <v>0</v>
      </c>
      <c r="AF254" s="95"/>
      <c r="AG254" s="95"/>
      <c r="AH254" s="95"/>
      <c r="AI254" s="95"/>
      <c r="AJ254" s="110">
        <f>IF(ISNUMBER(U254),U254,0)+IF(ISNUMBER(Z254),Z254,0)</f>
        <v>0</v>
      </c>
      <c r="AK254" s="110"/>
      <c r="AL254" s="110"/>
      <c r="AM254" s="110"/>
      <c r="AN254" s="110"/>
      <c r="AO254" s="95">
        <v>0</v>
      </c>
      <c r="AP254" s="95"/>
      <c r="AQ254" s="95"/>
      <c r="AR254" s="95"/>
      <c r="AS254" s="95"/>
      <c r="AT254" s="110">
        <v>0</v>
      </c>
      <c r="AU254" s="110"/>
      <c r="AV254" s="110"/>
      <c r="AW254" s="110"/>
      <c r="AX254" s="110"/>
      <c r="AY254" s="95">
        <v>0</v>
      </c>
      <c r="AZ254" s="95"/>
      <c r="BA254" s="95"/>
      <c r="BB254" s="95"/>
      <c r="BC254" s="95"/>
      <c r="BD254" s="110">
        <f>IF(ISNUMBER(AO254),AO254,0)+IF(ISNUMBER(AT254),AT254,0)</f>
        <v>0</v>
      </c>
      <c r="BE254" s="110"/>
      <c r="BF254" s="110"/>
      <c r="BG254" s="110"/>
      <c r="BH254" s="110"/>
    </row>
    <row r="255" spans="1:60" s="99" customFormat="1" ht="12.75" customHeight="1" x14ac:dyDescent="0.2">
      <c r="A255" s="89">
        <v>52</v>
      </c>
      <c r="B255" s="90"/>
      <c r="C255" s="90"/>
      <c r="D255" s="92" t="s">
        <v>241</v>
      </c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4"/>
      <c r="U255" s="96">
        <v>0</v>
      </c>
      <c r="V255" s="97"/>
      <c r="W255" s="97"/>
      <c r="X255" s="97"/>
      <c r="Y255" s="98"/>
      <c r="Z255" s="96">
        <v>0</v>
      </c>
      <c r="AA255" s="97"/>
      <c r="AB255" s="97"/>
      <c r="AC255" s="97"/>
      <c r="AD255" s="98"/>
      <c r="AE255" s="95">
        <v>0</v>
      </c>
      <c r="AF255" s="95"/>
      <c r="AG255" s="95"/>
      <c r="AH255" s="95"/>
      <c r="AI255" s="95"/>
      <c r="AJ255" s="110">
        <f>IF(ISNUMBER(U255),U255,0)+IF(ISNUMBER(Z255),Z255,0)</f>
        <v>0</v>
      </c>
      <c r="AK255" s="110"/>
      <c r="AL255" s="110"/>
      <c r="AM255" s="110"/>
      <c r="AN255" s="110"/>
      <c r="AO255" s="95">
        <v>0</v>
      </c>
      <c r="AP255" s="95"/>
      <c r="AQ255" s="95"/>
      <c r="AR255" s="95"/>
      <c r="AS255" s="95"/>
      <c r="AT255" s="110">
        <v>0</v>
      </c>
      <c r="AU255" s="110"/>
      <c r="AV255" s="110"/>
      <c r="AW255" s="110"/>
      <c r="AX255" s="110"/>
      <c r="AY255" s="95">
        <v>0</v>
      </c>
      <c r="AZ255" s="95"/>
      <c r="BA255" s="95"/>
      <c r="BB255" s="95"/>
      <c r="BC255" s="95"/>
      <c r="BD255" s="110">
        <f>IF(ISNUMBER(AO255),AO255,0)+IF(ISNUMBER(AT255),AT255,0)</f>
        <v>0</v>
      </c>
      <c r="BE255" s="110"/>
      <c r="BF255" s="110"/>
      <c r="BG255" s="110"/>
      <c r="BH255" s="110"/>
    </row>
    <row r="256" spans="1:60" s="99" customFormat="1" ht="25.5" customHeight="1" x14ac:dyDescent="0.2">
      <c r="A256" s="89">
        <v>53</v>
      </c>
      <c r="B256" s="90"/>
      <c r="C256" s="90"/>
      <c r="D256" s="92" t="s">
        <v>242</v>
      </c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4"/>
      <c r="U256" s="96">
        <v>0</v>
      </c>
      <c r="V256" s="97"/>
      <c r="W256" s="97"/>
      <c r="X256" s="97"/>
      <c r="Y256" s="98"/>
      <c r="Z256" s="96">
        <v>0</v>
      </c>
      <c r="AA256" s="97"/>
      <c r="AB256" s="97"/>
      <c r="AC256" s="97"/>
      <c r="AD256" s="98"/>
      <c r="AE256" s="95">
        <v>0</v>
      </c>
      <c r="AF256" s="95"/>
      <c r="AG256" s="95"/>
      <c r="AH256" s="95"/>
      <c r="AI256" s="95"/>
      <c r="AJ256" s="110">
        <f>IF(ISNUMBER(U256),U256,0)+IF(ISNUMBER(Z256),Z256,0)</f>
        <v>0</v>
      </c>
      <c r="AK256" s="110"/>
      <c r="AL256" s="110"/>
      <c r="AM256" s="110"/>
      <c r="AN256" s="110"/>
      <c r="AO256" s="95">
        <v>0</v>
      </c>
      <c r="AP256" s="95"/>
      <c r="AQ256" s="95"/>
      <c r="AR256" s="95"/>
      <c r="AS256" s="95"/>
      <c r="AT256" s="110">
        <v>0</v>
      </c>
      <c r="AU256" s="110"/>
      <c r="AV256" s="110"/>
      <c r="AW256" s="110"/>
      <c r="AX256" s="110"/>
      <c r="AY256" s="95">
        <v>0</v>
      </c>
      <c r="AZ256" s="95"/>
      <c r="BA256" s="95"/>
      <c r="BB256" s="95"/>
      <c r="BC256" s="95"/>
      <c r="BD256" s="110">
        <f>IF(ISNUMBER(AO256),AO256,0)+IF(ISNUMBER(AT256),AT256,0)</f>
        <v>0</v>
      </c>
      <c r="BE256" s="110"/>
      <c r="BF256" s="110"/>
      <c r="BG256" s="110"/>
      <c r="BH256" s="110"/>
    </row>
    <row r="257" spans="1:60" s="99" customFormat="1" ht="25.5" customHeight="1" x14ac:dyDescent="0.2">
      <c r="A257" s="89">
        <v>54</v>
      </c>
      <c r="B257" s="90"/>
      <c r="C257" s="90"/>
      <c r="D257" s="92" t="s">
        <v>243</v>
      </c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4"/>
      <c r="U257" s="96">
        <v>0</v>
      </c>
      <c r="V257" s="97"/>
      <c r="W257" s="97"/>
      <c r="X257" s="97"/>
      <c r="Y257" s="98"/>
      <c r="Z257" s="96">
        <v>0</v>
      </c>
      <c r="AA257" s="97"/>
      <c r="AB257" s="97"/>
      <c r="AC257" s="97"/>
      <c r="AD257" s="98"/>
      <c r="AE257" s="95">
        <v>0</v>
      </c>
      <c r="AF257" s="95"/>
      <c r="AG257" s="95"/>
      <c r="AH257" s="95"/>
      <c r="AI257" s="95"/>
      <c r="AJ257" s="110">
        <f>IF(ISNUMBER(U257),U257,0)+IF(ISNUMBER(Z257),Z257,0)</f>
        <v>0</v>
      </c>
      <c r="AK257" s="110"/>
      <c r="AL257" s="110"/>
      <c r="AM257" s="110"/>
      <c r="AN257" s="110"/>
      <c r="AO257" s="95">
        <v>0</v>
      </c>
      <c r="AP257" s="95"/>
      <c r="AQ257" s="95"/>
      <c r="AR257" s="95"/>
      <c r="AS257" s="95"/>
      <c r="AT257" s="110">
        <v>0</v>
      </c>
      <c r="AU257" s="110"/>
      <c r="AV257" s="110"/>
      <c r="AW257" s="110"/>
      <c r="AX257" s="110"/>
      <c r="AY257" s="95">
        <v>0</v>
      </c>
      <c r="AZ257" s="95"/>
      <c r="BA257" s="95"/>
      <c r="BB257" s="95"/>
      <c r="BC257" s="95"/>
      <c r="BD257" s="110">
        <f>IF(ISNUMBER(AO257),AO257,0)+IF(ISNUMBER(AT257),AT257,0)</f>
        <v>0</v>
      </c>
      <c r="BE257" s="110"/>
      <c r="BF257" s="110"/>
      <c r="BG257" s="110"/>
      <c r="BH257" s="110"/>
    </row>
    <row r="258" spans="1:60" s="99" customFormat="1" ht="12.75" customHeight="1" x14ac:dyDescent="0.2">
      <c r="A258" s="89">
        <v>55</v>
      </c>
      <c r="B258" s="90"/>
      <c r="C258" s="90"/>
      <c r="D258" s="92" t="s">
        <v>244</v>
      </c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4"/>
      <c r="U258" s="96">
        <v>0</v>
      </c>
      <c r="V258" s="97"/>
      <c r="W258" s="97"/>
      <c r="X258" s="97"/>
      <c r="Y258" s="98"/>
      <c r="Z258" s="96">
        <v>0</v>
      </c>
      <c r="AA258" s="97"/>
      <c r="AB258" s="97"/>
      <c r="AC258" s="97"/>
      <c r="AD258" s="98"/>
      <c r="AE258" s="95">
        <v>0</v>
      </c>
      <c r="AF258" s="95"/>
      <c r="AG258" s="95"/>
      <c r="AH258" s="95"/>
      <c r="AI258" s="95"/>
      <c r="AJ258" s="110">
        <f>IF(ISNUMBER(U258),U258,0)+IF(ISNUMBER(Z258),Z258,0)</f>
        <v>0</v>
      </c>
      <c r="AK258" s="110"/>
      <c r="AL258" s="110"/>
      <c r="AM258" s="110"/>
      <c r="AN258" s="110"/>
      <c r="AO258" s="95">
        <v>0</v>
      </c>
      <c r="AP258" s="95"/>
      <c r="AQ258" s="95"/>
      <c r="AR258" s="95"/>
      <c r="AS258" s="95"/>
      <c r="AT258" s="110">
        <v>0</v>
      </c>
      <c r="AU258" s="110"/>
      <c r="AV258" s="110"/>
      <c r="AW258" s="110"/>
      <c r="AX258" s="110"/>
      <c r="AY258" s="95">
        <v>0</v>
      </c>
      <c r="AZ258" s="95"/>
      <c r="BA258" s="95"/>
      <c r="BB258" s="95"/>
      <c r="BC258" s="95"/>
      <c r="BD258" s="110">
        <f>IF(ISNUMBER(AO258),AO258,0)+IF(ISNUMBER(AT258),AT258,0)</f>
        <v>0</v>
      </c>
      <c r="BE258" s="110"/>
      <c r="BF258" s="110"/>
      <c r="BG258" s="110"/>
      <c r="BH258" s="110"/>
    </row>
    <row r="259" spans="1:60" s="99" customFormat="1" ht="25.5" customHeight="1" x14ac:dyDescent="0.2">
      <c r="A259" s="89">
        <v>56</v>
      </c>
      <c r="B259" s="90"/>
      <c r="C259" s="90"/>
      <c r="D259" s="92" t="s">
        <v>245</v>
      </c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4"/>
      <c r="U259" s="96">
        <v>0</v>
      </c>
      <c r="V259" s="97"/>
      <c r="W259" s="97"/>
      <c r="X259" s="97"/>
      <c r="Y259" s="98"/>
      <c r="Z259" s="96">
        <v>0</v>
      </c>
      <c r="AA259" s="97"/>
      <c r="AB259" s="97"/>
      <c r="AC259" s="97"/>
      <c r="AD259" s="98"/>
      <c r="AE259" s="95">
        <v>0</v>
      </c>
      <c r="AF259" s="95"/>
      <c r="AG259" s="95"/>
      <c r="AH259" s="95"/>
      <c r="AI259" s="95"/>
      <c r="AJ259" s="110">
        <f>IF(ISNUMBER(U259),U259,0)+IF(ISNUMBER(Z259),Z259,0)</f>
        <v>0</v>
      </c>
      <c r="AK259" s="110"/>
      <c r="AL259" s="110"/>
      <c r="AM259" s="110"/>
      <c r="AN259" s="110"/>
      <c r="AO259" s="95">
        <v>0</v>
      </c>
      <c r="AP259" s="95"/>
      <c r="AQ259" s="95"/>
      <c r="AR259" s="95"/>
      <c r="AS259" s="95"/>
      <c r="AT259" s="110">
        <v>0</v>
      </c>
      <c r="AU259" s="110"/>
      <c r="AV259" s="110"/>
      <c r="AW259" s="110"/>
      <c r="AX259" s="110"/>
      <c r="AY259" s="95">
        <v>0</v>
      </c>
      <c r="AZ259" s="95"/>
      <c r="BA259" s="95"/>
      <c r="BB259" s="95"/>
      <c r="BC259" s="95"/>
      <c r="BD259" s="110">
        <f>IF(ISNUMBER(AO259),AO259,0)+IF(ISNUMBER(AT259),AT259,0)</f>
        <v>0</v>
      </c>
      <c r="BE259" s="110"/>
      <c r="BF259" s="110"/>
      <c r="BG259" s="110"/>
      <c r="BH259" s="110"/>
    </row>
    <row r="260" spans="1:60" s="99" customFormat="1" ht="25.5" customHeight="1" x14ac:dyDescent="0.2">
      <c r="A260" s="89">
        <v>57</v>
      </c>
      <c r="B260" s="90"/>
      <c r="C260" s="90"/>
      <c r="D260" s="92" t="s">
        <v>246</v>
      </c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4"/>
      <c r="U260" s="96">
        <v>0</v>
      </c>
      <c r="V260" s="97"/>
      <c r="W260" s="97"/>
      <c r="X260" s="97"/>
      <c r="Y260" s="98"/>
      <c r="Z260" s="96">
        <v>0</v>
      </c>
      <c r="AA260" s="97"/>
      <c r="AB260" s="97"/>
      <c r="AC260" s="97"/>
      <c r="AD260" s="98"/>
      <c r="AE260" s="95">
        <v>0</v>
      </c>
      <c r="AF260" s="95"/>
      <c r="AG260" s="95"/>
      <c r="AH260" s="95"/>
      <c r="AI260" s="95"/>
      <c r="AJ260" s="110">
        <f>IF(ISNUMBER(U260),U260,0)+IF(ISNUMBER(Z260),Z260,0)</f>
        <v>0</v>
      </c>
      <c r="AK260" s="110"/>
      <c r="AL260" s="110"/>
      <c r="AM260" s="110"/>
      <c r="AN260" s="110"/>
      <c r="AO260" s="95">
        <v>0</v>
      </c>
      <c r="AP260" s="95"/>
      <c r="AQ260" s="95"/>
      <c r="AR260" s="95"/>
      <c r="AS260" s="95"/>
      <c r="AT260" s="110">
        <v>0</v>
      </c>
      <c r="AU260" s="110"/>
      <c r="AV260" s="110"/>
      <c r="AW260" s="110"/>
      <c r="AX260" s="110"/>
      <c r="AY260" s="95">
        <v>0</v>
      </c>
      <c r="AZ260" s="95"/>
      <c r="BA260" s="95"/>
      <c r="BB260" s="95"/>
      <c r="BC260" s="95"/>
      <c r="BD260" s="110">
        <f>IF(ISNUMBER(AO260),AO260,0)+IF(ISNUMBER(AT260),AT260,0)</f>
        <v>0</v>
      </c>
      <c r="BE260" s="110"/>
      <c r="BF260" s="110"/>
      <c r="BG260" s="110"/>
      <c r="BH260" s="110"/>
    </row>
    <row r="261" spans="1:60" s="99" customFormat="1" ht="12.75" customHeight="1" x14ac:dyDescent="0.2">
      <c r="A261" s="89">
        <v>58</v>
      </c>
      <c r="B261" s="90"/>
      <c r="C261" s="90"/>
      <c r="D261" s="92" t="s">
        <v>247</v>
      </c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4"/>
      <c r="U261" s="96">
        <v>0</v>
      </c>
      <c r="V261" s="97"/>
      <c r="W261" s="97"/>
      <c r="X261" s="97"/>
      <c r="Y261" s="98"/>
      <c r="Z261" s="96">
        <v>0</v>
      </c>
      <c r="AA261" s="97"/>
      <c r="AB261" s="97"/>
      <c r="AC261" s="97"/>
      <c r="AD261" s="98"/>
      <c r="AE261" s="95">
        <v>0</v>
      </c>
      <c r="AF261" s="95"/>
      <c r="AG261" s="95"/>
      <c r="AH261" s="95"/>
      <c r="AI261" s="95"/>
      <c r="AJ261" s="110">
        <f>IF(ISNUMBER(U261),U261,0)+IF(ISNUMBER(Z261),Z261,0)</f>
        <v>0</v>
      </c>
      <c r="AK261" s="110"/>
      <c r="AL261" s="110"/>
      <c r="AM261" s="110"/>
      <c r="AN261" s="110"/>
      <c r="AO261" s="95">
        <v>0</v>
      </c>
      <c r="AP261" s="95"/>
      <c r="AQ261" s="95"/>
      <c r="AR261" s="95"/>
      <c r="AS261" s="95"/>
      <c r="AT261" s="110">
        <v>0</v>
      </c>
      <c r="AU261" s="110"/>
      <c r="AV261" s="110"/>
      <c r="AW261" s="110"/>
      <c r="AX261" s="110"/>
      <c r="AY261" s="95">
        <v>0</v>
      </c>
      <c r="AZ261" s="95"/>
      <c r="BA261" s="95"/>
      <c r="BB261" s="95"/>
      <c r="BC261" s="95"/>
      <c r="BD261" s="110">
        <f>IF(ISNUMBER(AO261),AO261,0)+IF(ISNUMBER(AT261),AT261,0)</f>
        <v>0</v>
      </c>
      <c r="BE261" s="110"/>
      <c r="BF261" s="110"/>
      <c r="BG261" s="110"/>
      <c r="BH261" s="110"/>
    </row>
    <row r="262" spans="1:60" s="99" customFormat="1" ht="25.5" customHeight="1" x14ac:dyDescent="0.2">
      <c r="A262" s="89">
        <v>59</v>
      </c>
      <c r="B262" s="90"/>
      <c r="C262" s="90"/>
      <c r="D262" s="92" t="s">
        <v>248</v>
      </c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4"/>
      <c r="U262" s="96">
        <v>0</v>
      </c>
      <c r="V262" s="97"/>
      <c r="W262" s="97"/>
      <c r="X262" s="97"/>
      <c r="Y262" s="98"/>
      <c r="Z262" s="96">
        <v>0</v>
      </c>
      <c r="AA262" s="97"/>
      <c r="AB262" s="97"/>
      <c r="AC262" s="97"/>
      <c r="AD262" s="98"/>
      <c r="AE262" s="95">
        <v>0</v>
      </c>
      <c r="AF262" s="95"/>
      <c r="AG262" s="95"/>
      <c r="AH262" s="95"/>
      <c r="AI262" s="95"/>
      <c r="AJ262" s="110">
        <f>IF(ISNUMBER(U262),U262,0)+IF(ISNUMBER(Z262),Z262,0)</f>
        <v>0</v>
      </c>
      <c r="AK262" s="110"/>
      <c r="AL262" s="110"/>
      <c r="AM262" s="110"/>
      <c r="AN262" s="110"/>
      <c r="AO262" s="95">
        <v>0</v>
      </c>
      <c r="AP262" s="95"/>
      <c r="AQ262" s="95"/>
      <c r="AR262" s="95"/>
      <c r="AS262" s="95"/>
      <c r="AT262" s="110">
        <v>0</v>
      </c>
      <c r="AU262" s="110"/>
      <c r="AV262" s="110"/>
      <c r="AW262" s="110"/>
      <c r="AX262" s="110"/>
      <c r="AY262" s="95">
        <v>0</v>
      </c>
      <c r="AZ262" s="95"/>
      <c r="BA262" s="95"/>
      <c r="BB262" s="95"/>
      <c r="BC262" s="95"/>
      <c r="BD262" s="110">
        <f>IF(ISNUMBER(AO262),AO262,0)+IF(ISNUMBER(AT262),AT262,0)</f>
        <v>0</v>
      </c>
      <c r="BE262" s="110"/>
      <c r="BF262" s="110"/>
      <c r="BG262" s="110"/>
      <c r="BH262" s="110"/>
    </row>
    <row r="263" spans="1:60" s="99" customFormat="1" ht="12.75" customHeight="1" x14ac:dyDescent="0.2">
      <c r="A263" s="89">
        <v>60</v>
      </c>
      <c r="B263" s="90"/>
      <c r="C263" s="90"/>
      <c r="D263" s="92" t="s">
        <v>249</v>
      </c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4"/>
      <c r="U263" s="96">
        <v>0</v>
      </c>
      <c r="V263" s="97"/>
      <c r="W263" s="97"/>
      <c r="X263" s="97"/>
      <c r="Y263" s="98"/>
      <c r="Z263" s="96">
        <v>0</v>
      </c>
      <c r="AA263" s="97"/>
      <c r="AB263" s="97"/>
      <c r="AC263" s="97"/>
      <c r="AD263" s="98"/>
      <c r="AE263" s="95">
        <v>0</v>
      </c>
      <c r="AF263" s="95"/>
      <c r="AG263" s="95"/>
      <c r="AH263" s="95"/>
      <c r="AI263" s="95"/>
      <c r="AJ263" s="110">
        <f>IF(ISNUMBER(U263),U263,0)+IF(ISNUMBER(Z263),Z263,0)</f>
        <v>0</v>
      </c>
      <c r="AK263" s="110"/>
      <c r="AL263" s="110"/>
      <c r="AM263" s="110"/>
      <c r="AN263" s="110"/>
      <c r="AO263" s="95">
        <v>0</v>
      </c>
      <c r="AP263" s="95"/>
      <c r="AQ263" s="95"/>
      <c r="AR263" s="95"/>
      <c r="AS263" s="95"/>
      <c r="AT263" s="110">
        <v>0</v>
      </c>
      <c r="AU263" s="110"/>
      <c r="AV263" s="110"/>
      <c r="AW263" s="110"/>
      <c r="AX263" s="110"/>
      <c r="AY263" s="95">
        <v>0</v>
      </c>
      <c r="AZ263" s="95"/>
      <c r="BA263" s="95"/>
      <c r="BB263" s="95"/>
      <c r="BC263" s="95"/>
      <c r="BD263" s="110">
        <f>IF(ISNUMBER(AO263),AO263,0)+IF(ISNUMBER(AT263),AT263,0)</f>
        <v>0</v>
      </c>
      <c r="BE263" s="110"/>
      <c r="BF263" s="110"/>
      <c r="BG263" s="110"/>
      <c r="BH263" s="110"/>
    </row>
    <row r="264" spans="1:60" s="99" customFormat="1" ht="12.75" customHeight="1" x14ac:dyDescent="0.2">
      <c r="A264" s="89">
        <v>61</v>
      </c>
      <c r="B264" s="90"/>
      <c r="C264" s="90"/>
      <c r="D264" s="92" t="s">
        <v>250</v>
      </c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4"/>
      <c r="U264" s="96">
        <v>0</v>
      </c>
      <c r="V264" s="97"/>
      <c r="W264" s="97"/>
      <c r="X264" s="97"/>
      <c r="Y264" s="98"/>
      <c r="Z264" s="96">
        <v>0</v>
      </c>
      <c r="AA264" s="97"/>
      <c r="AB264" s="97"/>
      <c r="AC264" s="97"/>
      <c r="AD264" s="98"/>
      <c r="AE264" s="95">
        <v>0</v>
      </c>
      <c r="AF264" s="95"/>
      <c r="AG264" s="95"/>
      <c r="AH264" s="95"/>
      <c r="AI264" s="95"/>
      <c r="AJ264" s="110">
        <f>IF(ISNUMBER(U264),U264,0)+IF(ISNUMBER(Z264),Z264,0)</f>
        <v>0</v>
      </c>
      <c r="AK264" s="110"/>
      <c r="AL264" s="110"/>
      <c r="AM264" s="110"/>
      <c r="AN264" s="110"/>
      <c r="AO264" s="95">
        <v>0</v>
      </c>
      <c r="AP264" s="95"/>
      <c r="AQ264" s="95"/>
      <c r="AR264" s="95"/>
      <c r="AS264" s="95"/>
      <c r="AT264" s="110">
        <v>0</v>
      </c>
      <c r="AU264" s="110"/>
      <c r="AV264" s="110"/>
      <c r="AW264" s="110"/>
      <c r="AX264" s="110"/>
      <c r="AY264" s="95">
        <v>0</v>
      </c>
      <c r="AZ264" s="95"/>
      <c r="BA264" s="95"/>
      <c r="BB264" s="95"/>
      <c r="BC264" s="95"/>
      <c r="BD264" s="110">
        <f>IF(ISNUMBER(AO264),AO264,0)+IF(ISNUMBER(AT264),AT264,0)</f>
        <v>0</v>
      </c>
      <c r="BE264" s="110"/>
      <c r="BF264" s="110"/>
      <c r="BG264" s="110"/>
      <c r="BH264" s="110"/>
    </row>
    <row r="265" spans="1:60" s="99" customFormat="1" ht="25.5" customHeight="1" x14ac:dyDescent="0.2">
      <c r="A265" s="89">
        <v>62</v>
      </c>
      <c r="B265" s="90"/>
      <c r="C265" s="90"/>
      <c r="D265" s="92" t="s">
        <v>251</v>
      </c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4"/>
      <c r="U265" s="96">
        <v>0</v>
      </c>
      <c r="V265" s="97"/>
      <c r="W265" s="97"/>
      <c r="X265" s="97"/>
      <c r="Y265" s="98"/>
      <c r="Z265" s="96">
        <v>0</v>
      </c>
      <c r="AA265" s="97"/>
      <c r="AB265" s="97"/>
      <c r="AC265" s="97"/>
      <c r="AD265" s="98"/>
      <c r="AE265" s="95">
        <v>0</v>
      </c>
      <c r="AF265" s="95"/>
      <c r="AG265" s="95"/>
      <c r="AH265" s="95"/>
      <c r="AI265" s="95"/>
      <c r="AJ265" s="110">
        <f>IF(ISNUMBER(U265),U265,0)+IF(ISNUMBER(Z265),Z265,0)</f>
        <v>0</v>
      </c>
      <c r="AK265" s="110"/>
      <c r="AL265" s="110"/>
      <c r="AM265" s="110"/>
      <c r="AN265" s="110"/>
      <c r="AO265" s="95">
        <v>0</v>
      </c>
      <c r="AP265" s="95"/>
      <c r="AQ265" s="95"/>
      <c r="AR265" s="95"/>
      <c r="AS265" s="95"/>
      <c r="AT265" s="110">
        <v>0</v>
      </c>
      <c r="AU265" s="110"/>
      <c r="AV265" s="110"/>
      <c r="AW265" s="110"/>
      <c r="AX265" s="110"/>
      <c r="AY265" s="95">
        <v>0</v>
      </c>
      <c r="AZ265" s="95"/>
      <c r="BA265" s="95"/>
      <c r="BB265" s="95"/>
      <c r="BC265" s="95"/>
      <c r="BD265" s="110">
        <f>IF(ISNUMBER(AO265),AO265,0)+IF(ISNUMBER(AT265),AT265,0)</f>
        <v>0</v>
      </c>
      <c r="BE265" s="110"/>
      <c r="BF265" s="110"/>
      <c r="BG265" s="110"/>
      <c r="BH265" s="110"/>
    </row>
    <row r="266" spans="1:60" s="99" customFormat="1" ht="12.75" customHeight="1" x14ac:dyDescent="0.2">
      <c r="A266" s="89">
        <v>63</v>
      </c>
      <c r="B266" s="90"/>
      <c r="C266" s="90"/>
      <c r="D266" s="92" t="s">
        <v>252</v>
      </c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4"/>
      <c r="U266" s="96">
        <v>0</v>
      </c>
      <c r="V266" s="97"/>
      <c r="W266" s="97"/>
      <c r="X266" s="97"/>
      <c r="Y266" s="98"/>
      <c r="Z266" s="96">
        <v>0</v>
      </c>
      <c r="AA266" s="97"/>
      <c r="AB266" s="97"/>
      <c r="AC266" s="97"/>
      <c r="AD266" s="98"/>
      <c r="AE266" s="95">
        <v>0</v>
      </c>
      <c r="AF266" s="95"/>
      <c r="AG266" s="95"/>
      <c r="AH266" s="95"/>
      <c r="AI266" s="95"/>
      <c r="AJ266" s="110">
        <f>IF(ISNUMBER(U266),U266,0)+IF(ISNUMBER(Z266),Z266,0)</f>
        <v>0</v>
      </c>
      <c r="AK266" s="110"/>
      <c r="AL266" s="110"/>
      <c r="AM266" s="110"/>
      <c r="AN266" s="110"/>
      <c r="AO266" s="95">
        <v>0</v>
      </c>
      <c r="AP266" s="95"/>
      <c r="AQ266" s="95"/>
      <c r="AR266" s="95"/>
      <c r="AS266" s="95"/>
      <c r="AT266" s="110">
        <v>0</v>
      </c>
      <c r="AU266" s="110"/>
      <c r="AV266" s="110"/>
      <c r="AW266" s="110"/>
      <c r="AX266" s="110"/>
      <c r="AY266" s="95">
        <v>0</v>
      </c>
      <c r="AZ266" s="95"/>
      <c r="BA266" s="95"/>
      <c r="BB266" s="95"/>
      <c r="BC266" s="95"/>
      <c r="BD266" s="110">
        <f>IF(ISNUMBER(AO266),AO266,0)+IF(ISNUMBER(AT266),AT266,0)</f>
        <v>0</v>
      </c>
      <c r="BE266" s="110"/>
      <c r="BF266" s="110"/>
      <c r="BG266" s="110"/>
      <c r="BH266" s="110"/>
    </row>
    <row r="267" spans="1:60" s="99" customFormat="1" ht="12.75" customHeight="1" x14ac:dyDescent="0.2">
      <c r="A267" s="89">
        <v>64</v>
      </c>
      <c r="B267" s="90"/>
      <c r="C267" s="90"/>
      <c r="D267" s="92" t="s">
        <v>253</v>
      </c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4"/>
      <c r="U267" s="96">
        <v>0</v>
      </c>
      <c r="V267" s="97"/>
      <c r="W267" s="97"/>
      <c r="X267" s="97"/>
      <c r="Y267" s="98"/>
      <c r="Z267" s="96">
        <v>0</v>
      </c>
      <c r="AA267" s="97"/>
      <c r="AB267" s="97"/>
      <c r="AC267" s="97"/>
      <c r="AD267" s="98"/>
      <c r="AE267" s="95">
        <v>0</v>
      </c>
      <c r="AF267" s="95"/>
      <c r="AG267" s="95"/>
      <c r="AH267" s="95"/>
      <c r="AI267" s="95"/>
      <c r="AJ267" s="110">
        <f>IF(ISNUMBER(U267),U267,0)+IF(ISNUMBER(Z267),Z267,0)</f>
        <v>0</v>
      </c>
      <c r="AK267" s="110"/>
      <c r="AL267" s="110"/>
      <c r="AM267" s="110"/>
      <c r="AN267" s="110"/>
      <c r="AO267" s="95">
        <v>0</v>
      </c>
      <c r="AP267" s="95"/>
      <c r="AQ267" s="95"/>
      <c r="AR267" s="95"/>
      <c r="AS267" s="95"/>
      <c r="AT267" s="110">
        <v>0</v>
      </c>
      <c r="AU267" s="110"/>
      <c r="AV267" s="110"/>
      <c r="AW267" s="110"/>
      <c r="AX267" s="110"/>
      <c r="AY267" s="95">
        <v>0</v>
      </c>
      <c r="AZ267" s="95"/>
      <c r="BA267" s="95"/>
      <c r="BB267" s="95"/>
      <c r="BC267" s="95"/>
      <c r="BD267" s="110">
        <f>IF(ISNUMBER(AO267),AO267,0)+IF(ISNUMBER(AT267),AT267,0)</f>
        <v>0</v>
      </c>
      <c r="BE267" s="110"/>
      <c r="BF267" s="110"/>
      <c r="BG267" s="110"/>
      <c r="BH267" s="110"/>
    </row>
    <row r="268" spans="1:60" s="99" customFormat="1" ht="12.75" customHeight="1" x14ac:dyDescent="0.2">
      <c r="A268" s="89">
        <v>65</v>
      </c>
      <c r="B268" s="90"/>
      <c r="C268" s="90"/>
      <c r="D268" s="92" t="s">
        <v>254</v>
      </c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4"/>
      <c r="U268" s="96">
        <v>0</v>
      </c>
      <c r="V268" s="97"/>
      <c r="W268" s="97"/>
      <c r="X268" s="97"/>
      <c r="Y268" s="98"/>
      <c r="Z268" s="96">
        <v>0</v>
      </c>
      <c r="AA268" s="97"/>
      <c r="AB268" s="97"/>
      <c r="AC268" s="97"/>
      <c r="AD268" s="98"/>
      <c r="AE268" s="95">
        <v>0</v>
      </c>
      <c r="AF268" s="95"/>
      <c r="AG268" s="95"/>
      <c r="AH268" s="95"/>
      <c r="AI268" s="95"/>
      <c r="AJ268" s="110">
        <f>IF(ISNUMBER(U268),U268,0)+IF(ISNUMBER(Z268),Z268,0)</f>
        <v>0</v>
      </c>
      <c r="AK268" s="110"/>
      <c r="AL268" s="110"/>
      <c r="AM268" s="110"/>
      <c r="AN268" s="110"/>
      <c r="AO268" s="95">
        <v>0</v>
      </c>
      <c r="AP268" s="95"/>
      <c r="AQ268" s="95"/>
      <c r="AR268" s="95"/>
      <c r="AS268" s="95"/>
      <c r="AT268" s="110">
        <v>0</v>
      </c>
      <c r="AU268" s="110"/>
      <c r="AV268" s="110"/>
      <c r="AW268" s="110"/>
      <c r="AX268" s="110"/>
      <c r="AY268" s="95">
        <v>0</v>
      </c>
      <c r="AZ268" s="95"/>
      <c r="BA268" s="95"/>
      <c r="BB268" s="95"/>
      <c r="BC268" s="95"/>
      <c r="BD268" s="110">
        <f>IF(ISNUMBER(AO268),AO268,0)+IF(ISNUMBER(AT268),AT268,0)</f>
        <v>0</v>
      </c>
      <c r="BE268" s="110"/>
      <c r="BF268" s="110"/>
      <c r="BG268" s="110"/>
      <c r="BH268" s="110"/>
    </row>
    <row r="269" spans="1:60" s="99" customFormat="1" ht="12.75" customHeight="1" x14ac:dyDescent="0.2">
      <c r="A269" s="89">
        <v>66</v>
      </c>
      <c r="B269" s="90"/>
      <c r="C269" s="90"/>
      <c r="D269" s="92" t="s">
        <v>255</v>
      </c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4"/>
      <c r="U269" s="96">
        <v>0</v>
      </c>
      <c r="V269" s="97"/>
      <c r="W269" s="97"/>
      <c r="X269" s="97"/>
      <c r="Y269" s="98"/>
      <c r="Z269" s="96">
        <v>0</v>
      </c>
      <c r="AA269" s="97"/>
      <c r="AB269" s="97"/>
      <c r="AC269" s="97"/>
      <c r="AD269" s="98"/>
      <c r="AE269" s="95">
        <v>0</v>
      </c>
      <c r="AF269" s="95"/>
      <c r="AG269" s="95"/>
      <c r="AH269" s="95"/>
      <c r="AI269" s="95"/>
      <c r="AJ269" s="110">
        <f>IF(ISNUMBER(U269),U269,0)+IF(ISNUMBER(Z269),Z269,0)</f>
        <v>0</v>
      </c>
      <c r="AK269" s="110"/>
      <c r="AL269" s="110"/>
      <c r="AM269" s="110"/>
      <c r="AN269" s="110"/>
      <c r="AO269" s="95">
        <v>0</v>
      </c>
      <c r="AP269" s="95"/>
      <c r="AQ269" s="95"/>
      <c r="AR269" s="95"/>
      <c r="AS269" s="95"/>
      <c r="AT269" s="110">
        <v>0</v>
      </c>
      <c r="AU269" s="110"/>
      <c r="AV269" s="110"/>
      <c r="AW269" s="110"/>
      <c r="AX269" s="110"/>
      <c r="AY269" s="95">
        <v>0</v>
      </c>
      <c r="AZ269" s="95"/>
      <c r="BA269" s="95"/>
      <c r="BB269" s="95"/>
      <c r="BC269" s="95"/>
      <c r="BD269" s="110">
        <f>IF(ISNUMBER(AO269),AO269,0)+IF(ISNUMBER(AT269),AT269,0)</f>
        <v>0</v>
      </c>
      <c r="BE269" s="110"/>
      <c r="BF269" s="110"/>
      <c r="BG269" s="110"/>
      <c r="BH269" s="110"/>
    </row>
    <row r="270" spans="1:60" s="99" customFormat="1" ht="25.5" customHeight="1" x14ac:dyDescent="0.2">
      <c r="A270" s="89">
        <v>67</v>
      </c>
      <c r="B270" s="90"/>
      <c r="C270" s="90"/>
      <c r="D270" s="92" t="s">
        <v>256</v>
      </c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4"/>
      <c r="U270" s="96">
        <v>0</v>
      </c>
      <c r="V270" s="97"/>
      <c r="W270" s="97"/>
      <c r="X270" s="97"/>
      <c r="Y270" s="98"/>
      <c r="Z270" s="96">
        <v>0</v>
      </c>
      <c r="AA270" s="97"/>
      <c r="AB270" s="97"/>
      <c r="AC270" s="97"/>
      <c r="AD270" s="98"/>
      <c r="AE270" s="95">
        <v>0</v>
      </c>
      <c r="AF270" s="95"/>
      <c r="AG270" s="95"/>
      <c r="AH270" s="95"/>
      <c r="AI270" s="95"/>
      <c r="AJ270" s="110">
        <f>IF(ISNUMBER(U270),U270,0)+IF(ISNUMBER(Z270),Z270,0)</f>
        <v>0</v>
      </c>
      <c r="AK270" s="110"/>
      <c r="AL270" s="110"/>
      <c r="AM270" s="110"/>
      <c r="AN270" s="110"/>
      <c r="AO270" s="95">
        <v>0</v>
      </c>
      <c r="AP270" s="95"/>
      <c r="AQ270" s="95"/>
      <c r="AR270" s="95"/>
      <c r="AS270" s="95"/>
      <c r="AT270" s="110">
        <v>0</v>
      </c>
      <c r="AU270" s="110"/>
      <c r="AV270" s="110"/>
      <c r="AW270" s="110"/>
      <c r="AX270" s="110"/>
      <c r="AY270" s="95">
        <v>0</v>
      </c>
      <c r="AZ270" s="95"/>
      <c r="BA270" s="95"/>
      <c r="BB270" s="95"/>
      <c r="BC270" s="95"/>
      <c r="BD270" s="110">
        <f>IF(ISNUMBER(AO270),AO270,0)+IF(ISNUMBER(AT270),AT270,0)</f>
        <v>0</v>
      </c>
      <c r="BE270" s="110"/>
      <c r="BF270" s="110"/>
      <c r="BG270" s="110"/>
      <c r="BH270" s="110"/>
    </row>
    <row r="271" spans="1:60" s="99" customFormat="1" ht="12.75" customHeight="1" x14ac:dyDescent="0.2">
      <c r="A271" s="89">
        <v>68</v>
      </c>
      <c r="B271" s="90"/>
      <c r="C271" s="90"/>
      <c r="D271" s="92" t="s">
        <v>257</v>
      </c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4"/>
      <c r="U271" s="96">
        <v>0</v>
      </c>
      <c r="V271" s="97"/>
      <c r="W271" s="97"/>
      <c r="X271" s="97"/>
      <c r="Y271" s="98"/>
      <c r="Z271" s="96">
        <v>0</v>
      </c>
      <c r="AA271" s="97"/>
      <c r="AB271" s="97"/>
      <c r="AC271" s="97"/>
      <c r="AD271" s="98"/>
      <c r="AE271" s="95">
        <v>0</v>
      </c>
      <c r="AF271" s="95"/>
      <c r="AG271" s="95"/>
      <c r="AH271" s="95"/>
      <c r="AI271" s="95"/>
      <c r="AJ271" s="110">
        <f>IF(ISNUMBER(U271),U271,0)+IF(ISNUMBER(Z271),Z271,0)</f>
        <v>0</v>
      </c>
      <c r="AK271" s="110"/>
      <c r="AL271" s="110"/>
      <c r="AM271" s="110"/>
      <c r="AN271" s="110"/>
      <c r="AO271" s="95">
        <v>0</v>
      </c>
      <c r="AP271" s="95"/>
      <c r="AQ271" s="95"/>
      <c r="AR271" s="95"/>
      <c r="AS271" s="95"/>
      <c r="AT271" s="110">
        <v>0</v>
      </c>
      <c r="AU271" s="110"/>
      <c r="AV271" s="110"/>
      <c r="AW271" s="110"/>
      <c r="AX271" s="110"/>
      <c r="AY271" s="95">
        <v>0</v>
      </c>
      <c r="AZ271" s="95"/>
      <c r="BA271" s="95"/>
      <c r="BB271" s="95"/>
      <c r="BC271" s="95"/>
      <c r="BD271" s="110">
        <f>IF(ISNUMBER(AO271),AO271,0)+IF(ISNUMBER(AT271),AT271,0)</f>
        <v>0</v>
      </c>
      <c r="BE271" s="110"/>
      <c r="BF271" s="110"/>
      <c r="BG271" s="110"/>
      <c r="BH271" s="110"/>
    </row>
    <row r="272" spans="1:60" s="99" customFormat="1" ht="12.75" customHeight="1" x14ac:dyDescent="0.2">
      <c r="A272" s="89">
        <v>69</v>
      </c>
      <c r="B272" s="90"/>
      <c r="C272" s="90"/>
      <c r="D272" s="92" t="s">
        <v>258</v>
      </c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4"/>
      <c r="U272" s="96">
        <v>0</v>
      </c>
      <c r="V272" s="97"/>
      <c r="W272" s="97"/>
      <c r="X272" s="97"/>
      <c r="Y272" s="98"/>
      <c r="Z272" s="96">
        <v>0</v>
      </c>
      <c r="AA272" s="97"/>
      <c r="AB272" s="97"/>
      <c r="AC272" s="97"/>
      <c r="AD272" s="98"/>
      <c r="AE272" s="95">
        <v>0</v>
      </c>
      <c r="AF272" s="95"/>
      <c r="AG272" s="95"/>
      <c r="AH272" s="95"/>
      <c r="AI272" s="95"/>
      <c r="AJ272" s="110">
        <f>IF(ISNUMBER(U272),U272,0)+IF(ISNUMBER(Z272),Z272,0)</f>
        <v>0</v>
      </c>
      <c r="AK272" s="110"/>
      <c r="AL272" s="110"/>
      <c r="AM272" s="110"/>
      <c r="AN272" s="110"/>
      <c r="AO272" s="95">
        <v>0</v>
      </c>
      <c r="AP272" s="95"/>
      <c r="AQ272" s="95"/>
      <c r="AR272" s="95"/>
      <c r="AS272" s="95"/>
      <c r="AT272" s="110">
        <v>0</v>
      </c>
      <c r="AU272" s="110"/>
      <c r="AV272" s="110"/>
      <c r="AW272" s="110"/>
      <c r="AX272" s="110"/>
      <c r="AY272" s="95">
        <v>0</v>
      </c>
      <c r="AZ272" s="95"/>
      <c r="BA272" s="95"/>
      <c r="BB272" s="95"/>
      <c r="BC272" s="95"/>
      <c r="BD272" s="110">
        <f>IF(ISNUMBER(AO272),AO272,0)+IF(ISNUMBER(AT272),AT272,0)</f>
        <v>0</v>
      </c>
      <c r="BE272" s="110"/>
      <c r="BF272" s="110"/>
      <c r="BG272" s="110"/>
      <c r="BH272" s="110"/>
    </row>
    <row r="273" spans="1:79" s="99" customFormat="1" ht="12.75" customHeight="1" x14ac:dyDescent="0.2">
      <c r="A273" s="89">
        <v>70</v>
      </c>
      <c r="B273" s="90"/>
      <c r="C273" s="90"/>
      <c r="D273" s="92" t="s">
        <v>259</v>
      </c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4"/>
      <c r="U273" s="96">
        <v>0</v>
      </c>
      <c r="V273" s="97"/>
      <c r="W273" s="97"/>
      <c r="X273" s="97"/>
      <c r="Y273" s="98"/>
      <c r="Z273" s="96">
        <v>0</v>
      </c>
      <c r="AA273" s="97"/>
      <c r="AB273" s="97"/>
      <c r="AC273" s="97"/>
      <c r="AD273" s="98"/>
      <c r="AE273" s="95">
        <v>0</v>
      </c>
      <c r="AF273" s="95"/>
      <c r="AG273" s="95"/>
      <c r="AH273" s="95"/>
      <c r="AI273" s="95"/>
      <c r="AJ273" s="110">
        <f>IF(ISNUMBER(U273),U273,0)+IF(ISNUMBER(Z273),Z273,0)</f>
        <v>0</v>
      </c>
      <c r="AK273" s="110"/>
      <c r="AL273" s="110"/>
      <c r="AM273" s="110"/>
      <c r="AN273" s="110"/>
      <c r="AO273" s="95">
        <v>0</v>
      </c>
      <c r="AP273" s="95"/>
      <c r="AQ273" s="95"/>
      <c r="AR273" s="95"/>
      <c r="AS273" s="95"/>
      <c r="AT273" s="110">
        <v>0</v>
      </c>
      <c r="AU273" s="110"/>
      <c r="AV273" s="110"/>
      <c r="AW273" s="110"/>
      <c r="AX273" s="110"/>
      <c r="AY273" s="95">
        <v>0</v>
      </c>
      <c r="AZ273" s="95"/>
      <c r="BA273" s="95"/>
      <c r="BB273" s="95"/>
      <c r="BC273" s="95"/>
      <c r="BD273" s="110">
        <f>IF(ISNUMBER(AO273),AO273,0)+IF(ISNUMBER(AT273),AT273,0)</f>
        <v>0</v>
      </c>
      <c r="BE273" s="110"/>
      <c r="BF273" s="110"/>
      <c r="BG273" s="110"/>
      <c r="BH273" s="110"/>
    </row>
    <row r="274" spans="1:79" s="99" customFormat="1" ht="12.75" customHeight="1" x14ac:dyDescent="0.2">
      <c r="A274" s="89">
        <v>71</v>
      </c>
      <c r="B274" s="90"/>
      <c r="C274" s="90"/>
      <c r="D274" s="92" t="s">
        <v>260</v>
      </c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4"/>
      <c r="U274" s="96">
        <v>0</v>
      </c>
      <c r="V274" s="97"/>
      <c r="W274" s="97"/>
      <c r="X274" s="97"/>
      <c r="Y274" s="98"/>
      <c r="Z274" s="96">
        <v>0</v>
      </c>
      <c r="AA274" s="97"/>
      <c r="AB274" s="97"/>
      <c r="AC274" s="97"/>
      <c r="AD274" s="98"/>
      <c r="AE274" s="95">
        <v>0</v>
      </c>
      <c r="AF274" s="95"/>
      <c r="AG274" s="95"/>
      <c r="AH274" s="95"/>
      <c r="AI274" s="95"/>
      <c r="AJ274" s="110">
        <f>IF(ISNUMBER(U274),U274,0)+IF(ISNUMBER(Z274),Z274,0)</f>
        <v>0</v>
      </c>
      <c r="AK274" s="110"/>
      <c r="AL274" s="110"/>
      <c r="AM274" s="110"/>
      <c r="AN274" s="110"/>
      <c r="AO274" s="95">
        <v>0</v>
      </c>
      <c r="AP274" s="95"/>
      <c r="AQ274" s="95"/>
      <c r="AR274" s="95"/>
      <c r="AS274" s="95"/>
      <c r="AT274" s="110">
        <v>0</v>
      </c>
      <c r="AU274" s="110"/>
      <c r="AV274" s="110"/>
      <c r="AW274" s="110"/>
      <c r="AX274" s="110"/>
      <c r="AY274" s="95">
        <v>0</v>
      </c>
      <c r="AZ274" s="95"/>
      <c r="BA274" s="95"/>
      <c r="BB274" s="95"/>
      <c r="BC274" s="95"/>
      <c r="BD274" s="110">
        <f>IF(ISNUMBER(AO274),AO274,0)+IF(ISNUMBER(AT274),AT274,0)</f>
        <v>0</v>
      </c>
      <c r="BE274" s="110"/>
      <c r="BF274" s="110"/>
      <c r="BG274" s="110"/>
      <c r="BH274" s="110"/>
    </row>
    <row r="275" spans="1:79" s="99" customFormat="1" ht="12.75" customHeight="1" x14ac:dyDescent="0.2">
      <c r="A275" s="89">
        <v>72</v>
      </c>
      <c r="B275" s="90"/>
      <c r="C275" s="90"/>
      <c r="D275" s="92" t="s">
        <v>261</v>
      </c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4"/>
      <c r="U275" s="96">
        <v>0</v>
      </c>
      <c r="V275" s="97"/>
      <c r="W275" s="97"/>
      <c r="X275" s="97"/>
      <c r="Y275" s="98"/>
      <c r="Z275" s="96">
        <v>0</v>
      </c>
      <c r="AA275" s="97"/>
      <c r="AB275" s="97"/>
      <c r="AC275" s="97"/>
      <c r="AD275" s="98"/>
      <c r="AE275" s="95">
        <v>0</v>
      </c>
      <c r="AF275" s="95"/>
      <c r="AG275" s="95"/>
      <c r="AH275" s="95"/>
      <c r="AI275" s="95"/>
      <c r="AJ275" s="110">
        <f>IF(ISNUMBER(U275),U275,0)+IF(ISNUMBER(Z275),Z275,0)</f>
        <v>0</v>
      </c>
      <c r="AK275" s="110"/>
      <c r="AL275" s="110"/>
      <c r="AM275" s="110"/>
      <c r="AN275" s="110"/>
      <c r="AO275" s="95">
        <v>0</v>
      </c>
      <c r="AP275" s="95"/>
      <c r="AQ275" s="95"/>
      <c r="AR275" s="95"/>
      <c r="AS275" s="95"/>
      <c r="AT275" s="110">
        <v>0</v>
      </c>
      <c r="AU275" s="110"/>
      <c r="AV275" s="110"/>
      <c r="AW275" s="110"/>
      <c r="AX275" s="110"/>
      <c r="AY275" s="95">
        <v>0</v>
      </c>
      <c r="AZ275" s="95"/>
      <c r="BA275" s="95"/>
      <c r="BB275" s="95"/>
      <c r="BC275" s="95"/>
      <c r="BD275" s="110">
        <f>IF(ISNUMBER(AO275),AO275,0)+IF(ISNUMBER(AT275),AT275,0)</f>
        <v>0</v>
      </c>
      <c r="BE275" s="110"/>
      <c r="BF275" s="110"/>
      <c r="BG275" s="110"/>
      <c r="BH275" s="110"/>
    </row>
    <row r="276" spans="1:79" s="6" customFormat="1" ht="12.75" customHeight="1" x14ac:dyDescent="0.2">
      <c r="A276" s="86"/>
      <c r="B276" s="87"/>
      <c r="C276" s="87"/>
      <c r="D276" s="100" t="s">
        <v>147</v>
      </c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2"/>
      <c r="U276" s="104">
        <v>0</v>
      </c>
      <c r="V276" s="105"/>
      <c r="W276" s="105"/>
      <c r="X276" s="105"/>
      <c r="Y276" s="106"/>
      <c r="Z276" s="104">
        <v>0</v>
      </c>
      <c r="AA276" s="105"/>
      <c r="AB276" s="105"/>
      <c r="AC276" s="105"/>
      <c r="AD276" s="106"/>
      <c r="AE276" s="103">
        <v>0</v>
      </c>
      <c r="AF276" s="103"/>
      <c r="AG276" s="103"/>
      <c r="AH276" s="103"/>
      <c r="AI276" s="103"/>
      <c r="AJ276" s="85">
        <f>IF(ISNUMBER(U276),U276,0)+IF(ISNUMBER(Z276),Z276,0)</f>
        <v>0</v>
      </c>
      <c r="AK276" s="85"/>
      <c r="AL276" s="85"/>
      <c r="AM276" s="85"/>
      <c r="AN276" s="85"/>
      <c r="AO276" s="103">
        <v>0</v>
      </c>
      <c r="AP276" s="103"/>
      <c r="AQ276" s="103"/>
      <c r="AR276" s="103"/>
      <c r="AS276" s="103"/>
      <c r="AT276" s="85">
        <v>0</v>
      </c>
      <c r="AU276" s="85"/>
      <c r="AV276" s="85"/>
      <c r="AW276" s="85"/>
      <c r="AX276" s="85"/>
      <c r="AY276" s="103">
        <v>0</v>
      </c>
      <c r="AZ276" s="103"/>
      <c r="BA276" s="103"/>
      <c r="BB276" s="103"/>
      <c r="BC276" s="103"/>
      <c r="BD276" s="85">
        <f>IF(ISNUMBER(AO276),AO276,0)+IF(ISNUMBER(AT276),AT276,0)</f>
        <v>0</v>
      </c>
      <c r="BE276" s="85"/>
      <c r="BF276" s="85"/>
      <c r="BG276" s="85"/>
      <c r="BH276" s="85"/>
    </row>
    <row r="277" spans="1:79" s="5" customFormat="1" ht="12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</row>
    <row r="279" spans="1:79" ht="14.25" customHeight="1" x14ac:dyDescent="0.2">
      <c r="A279" s="29" t="s">
        <v>152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</row>
    <row r="280" spans="1:79" ht="14.25" customHeight="1" x14ac:dyDescent="0.2">
      <c r="A280" s="29" t="s">
        <v>320</v>
      </c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</row>
    <row r="281" spans="1:79" ht="23.1" customHeight="1" x14ac:dyDescent="0.2">
      <c r="A281" s="51" t="s">
        <v>6</v>
      </c>
      <c r="B281" s="52"/>
      <c r="C281" s="52"/>
      <c r="D281" s="27" t="s">
        <v>9</v>
      </c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 t="s">
        <v>8</v>
      </c>
      <c r="R281" s="27"/>
      <c r="S281" s="27"/>
      <c r="T281" s="27"/>
      <c r="U281" s="27"/>
      <c r="V281" s="27" t="s">
        <v>7</v>
      </c>
      <c r="W281" s="27"/>
      <c r="X281" s="27"/>
      <c r="Y281" s="27"/>
      <c r="Z281" s="27"/>
      <c r="AA281" s="27"/>
      <c r="AB281" s="27"/>
      <c r="AC281" s="27"/>
      <c r="AD281" s="27"/>
      <c r="AE281" s="27"/>
      <c r="AF281" s="36" t="s">
        <v>305</v>
      </c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8"/>
      <c r="AU281" s="36" t="s">
        <v>308</v>
      </c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8"/>
      <c r="BJ281" s="36" t="s">
        <v>316</v>
      </c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8"/>
    </row>
    <row r="282" spans="1:79" ht="32.25" customHeight="1" x14ac:dyDescent="0.2">
      <c r="A282" s="54"/>
      <c r="B282" s="55"/>
      <c r="C282" s="55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 t="s">
        <v>4</v>
      </c>
      <c r="AG282" s="27"/>
      <c r="AH282" s="27"/>
      <c r="AI282" s="27"/>
      <c r="AJ282" s="27"/>
      <c r="AK282" s="27" t="s">
        <v>3</v>
      </c>
      <c r="AL282" s="27"/>
      <c r="AM282" s="27"/>
      <c r="AN282" s="27"/>
      <c r="AO282" s="27"/>
      <c r="AP282" s="27" t="s">
        <v>123</v>
      </c>
      <c r="AQ282" s="27"/>
      <c r="AR282" s="27"/>
      <c r="AS282" s="27"/>
      <c r="AT282" s="27"/>
      <c r="AU282" s="27" t="s">
        <v>4</v>
      </c>
      <c r="AV282" s="27"/>
      <c r="AW282" s="27"/>
      <c r="AX282" s="27"/>
      <c r="AY282" s="27"/>
      <c r="AZ282" s="27" t="s">
        <v>3</v>
      </c>
      <c r="BA282" s="27"/>
      <c r="BB282" s="27"/>
      <c r="BC282" s="27"/>
      <c r="BD282" s="27"/>
      <c r="BE282" s="27" t="s">
        <v>90</v>
      </c>
      <c r="BF282" s="27"/>
      <c r="BG282" s="27"/>
      <c r="BH282" s="27"/>
      <c r="BI282" s="27"/>
      <c r="BJ282" s="27" t="s">
        <v>4</v>
      </c>
      <c r="BK282" s="27"/>
      <c r="BL282" s="27"/>
      <c r="BM282" s="27"/>
      <c r="BN282" s="27"/>
      <c r="BO282" s="27" t="s">
        <v>3</v>
      </c>
      <c r="BP282" s="27"/>
      <c r="BQ282" s="27"/>
      <c r="BR282" s="27"/>
      <c r="BS282" s="27"/>
      <c r="BT282" s="27" t="s">
        <v>97</v>
      </c>
      <c r="BU282" s="27"/>
      <c r="BV282" s="27"/>
      <c r="BW282" s="27"/>
      <c r="BX282" s="27"/>
    </row>
    <row r="283" spans="1:79" ht="15" customHeight="1" x14ac:dyDescent="0.2">
      <c r="A283" s="36">
        <v>1</v>
      </c>
      <c r="B283" s="37"/>
      <c r="C283" s="37"/>
      <c r="D283" s="27">
        <v>2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>
        <v>3</v>
      </c>
      <c r="R283" s="27"/>
      <c r="S283" s="27"/>
      <c r="T283" s="27"/>
      <c r="U283" s="27"/>
      <c r="V283" s="27">
        <v>4</v>
      </c>
      <c r="W283" s="27"/>
      <c r="X283" s="27"/>
      <c r="Y283" s="27"/>
      <c r="Z283" s="27"/>
      <c r="AA283" s="27"/>
      <c r="AB283" s="27"/>
      <c r="AC283" s="27"/>
      <c r="AD283" s="27"/>
      <c r="AE283" s="27"/>
      <c r="AF283" s="27">
        <v>5</v>
      </c>
      <c r="AG283" s="27"/>
      <c r="AH283" s="27"/>
      <c r="AI283" s="27"/>
      <c r="AJ283" s="27"/>
      <c r="AK283" s="27">
        <v>6</v>
      </c>
      <c r="AL283" s="27"/>
      <c r="AM283" s="27"/>
      <c r="AN283" s="27"/>
      <c r="AO283" s="27"/>
      <c r="AP283" s="27">
        <v>7</v>
      </c>
      <c r="AQ283" s="27"/>
      <c r="AR283" s="27"/>
      <c r="AS283" s="27"/>
      <c r="AT283" s="27"/>
      <c r="AU283" s="27">
        <v>8</v>
      </c>
      <c r="AV283" s="27"/>
      <c r="AW283" s="27"/>
      <c r="AX283" s="27"/>
      <c r="AY283" s="27"/>
      <c r="AZ283" s="27">
        <v>9</v>
      </c>
      <c r="BA283" s="27"/>
      <c r="BB283" s="27"/>
      <c r="BC283" s="27"/>
      <c r="BD283" s="27"/>
      <c r="BE283" s="27">
        <v>10</v>
      </c>
      <c r="BF283" s="27"/>
      <c r="BG283" s="27"/>
      <c r="BH283" s="27"/>
      <c r="BI283" s="27"/>
      <c r="BJ283" s="27">
        <v>11</v>
      </c>
      <c r="BK283" s="27"/>
      <c r="BL283" s="27"/>
      <c r="BM283" s="27"/>
      <c r="BN283" s="27"/>
      <c r="BO283" s="27">
        <v>12</v>
      </c>
      <c r="BP283" s="27"/>
      <c r="BQ283" s="27"/>
      <c r="BR283" s="27"/>
      <c r="BS283" s="27"/>
      <c r="BT283" s="27">
        <v>13</v>
      </c>
      <c r="BU283" s="27"/>
      <c r="BV283" s="27"/>
      <c r="BW283" s="27"/>
      <c r="BX283" s="27"/>
    </row>
    <row r="284" spans="1:79" ht="10.5" hidden="1" customHeight="1" x14ac:dyDescent="0.2">
      <c r="A284" s="39" t="s">
        <v>154</v>
      </c>
      <c r="B284" s="40"/>
      <c r="C284" s="40"/>
      <c r="D284" s="27" t="s">
        <v>57</v>
      </c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 t="s">
        <v>70</v>
      </c>
      <c r="R284" s="27"/>
      <c r="S284" s="27"/>
      <c r="T284" s="27"/>
      <c r="U284" s="27"/>
      <c r="V284" s="27" t="s">
        <v>71</v>
      </c>
      <c r="W284" s="27"/>
      <c r="X284" s="27"/>
      <c r="Y284" s="27"/>
      <c r="Z284" s="27"/>
      <c r="AA284" s="27"/>
      <c r="AB284" s="27"/>
      <c r="AC284" s="27"/>
      <c r="AD284" s="27"/>
      <c r="AE284" s="27"/>
      <c r="AF284" s="26" t="s">
        <v>111</v>
      </c>
      <c r="AG284" s="26"/>
      <c r="AH284" s="26"/>
      <c r="AI284" s="26"/>
      <c r="AJ284" s="26"/>
      <c r="AK284" s="30" t="s">
        <v>112</v>
      </c>
      <c r="AL284" s="30"/>
      <c r="AM284" s="30"/>
      <c r="AN284" s="30"/>
      <c r="AO284" s="30"/>
      <c r="AP284" s="50" t="s">
        <v>263</v>
      </c>
      <c r="AQ284" s="50"/>
      <c r="AR284" s="50"/>
      <c r="AS284" s="50"/>
      <c r="AT284" s="50"/>
      <c r="AU284" s="26" t="s">
        <v>113</v>
      </c>
      <c r="AV284" s="26"/>
      <c r="AW284" s="26"/>
      <c r="AX284" s="26"/>
      <c r="AY284" s="26"/>
      <c r="AZ284" s="30" t="s">
        <v>114</v>
      </c>
      <c r="BA284" s="30"/>
      <c r="BB284" s="30"/>
      <c r="BC284" s="30"/>
      <c r="BD284" s="30"/>
      <c r="BE284" s="50" t="s">
        <v>263</v>
      </c>
      <c r="BF284" s="50"/>
      <c r="BG284" s="50"/>
      <c r="BH284" s="50"/>
      <c r="BI284" s="50"/>
      <c r="BJ284" s="26" t="s">
        <v>105</v>
      </c>
      <c r="BK284" s="26"/>
      <c r="BL284" s="26"/>
      <c r="BM284" s="26"/>
      <c r="BN284" s="26"/>
      <c r="BO284" s="30" t="s">
        <v>106</v>
      </c>
      <c r="BP284" s="30"/>
      <c r="BQ284" s="30"/>
      <c r="BR284" s="30"/>
      <c r="BS284" s="30"/>
      <c r="BT284" s="50" t="s">
        <v>263</v>
      </c>
      <c r="BU284" s="50"/>
      <c r="BV284" s="50"/>
      <c r="BW284" s="50"/>
      <c r="BX284" s="50"/>
      <c r="CA284" t="s">
        <v>37</v>
      </c>
    </row>
    <row r="285" spans="1:79" s="6" customFormat="1" ht="15" customHeight="1" x14ac:dyDescent="0.2">
      <c r="A285" s="86">
        <v>0</v>
      </c>
      <c r="B285" s="87"/>
      <c r="C285" s="87"/>
      <c r="D285" s="111" t="s">
        <v>262</v>
      </c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CA285" s="6" t="s">
        <v>38</v>
      </c>
    </row>
    <row r="286" spans="1:79" s="99" customFormat="1" ht="15" customHeight="1" x14ac:dyDescent="0.2">
      <c r="A286" s="89">
        <v>1</v>
      </c>
      <c r="B286" s="90"/>
      <c r="C286" s="90"/>
      <c r="D286" s="114" t="s">
        <v>264</v>
      </c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4"/>
      <c r="Q286" s="27" t="s">
        <v>265</v>
      </c>
      <c r="R286" s="27"/>
      <c r="S286" s="27"/>
      <c r="T286" s="27"/>
      <c r="U286" s="27"/>
      <c r="V286" s="27" t="s">
        <v>266</v>
      </c>
      <c r="W286" s="27"/>
      <c r="X286" s="27"/>
      <c r="Y286" s="27"/>
      <c r="Z286" s="27"/>
      <c r="AA286" s="27"/>
      <c r="AB286" s="27"/>
      <c r="AC286" s="27"/>
      <c r="AD286" s="27"/>
      <c r="AE286" s="27"/>
      <c r="AF286" s="115">
        <v>74</v>
      </c>
      <c r="AG286" s="115"/>
      <c r="AH286" s="115"/>
      <c r="AI286" s="115"/>
      <c r="AJ286" s="115"/>
      <c r="AK286" s="115">
        <v>0</v>
      </c>
      <c r="AL286" s="115"/>
      <c r="AM286" s="115"/>
      <c r="AN286" s="115"/>
      <c r="AO286" s="115"/>
      <c r="AP286" s="115">
        <v>74</v>
      </c>
      <c r="AQ286" s="115"/>
      <c r="AR286" s="115"/>
      <c r="AS286" s="115"/>
      <c r="AT286" s="115"/>
      <c r="AU286" s="115">
        <v>65</v>
      </c>
      <c r="AV286" s="115"/>
      <c r="AW286" s="115"/>
      <c r="AX286" s="115"/>
      <c r="AY286" s="115"/>
      <c r="AZ286" s="115">
        <v>0</v>
      </c>
      <c r="BA286" s="115"/>
      <c r="BB286" s="115"/>
      <c r="BC286" s="115"/>
      <c r="BD286" s="115"/>
      <c r="BE286" s="115">
        <v>65</v>
      </c>
      <c r="BF286" s="115"/>
      <c r="BG286" s="115"/>
      <c r="BH286" s="115"/>
      <c r="BI286" s="115"/>
      <c r="BJ286" s="115">
        <v>65</v>
      </c>
      <c r="BK286" s="115"/>
      <c r="BL286" s="115"/>
      <c r="BM286" s="115"/>
      <c r="BN286" s="115"/>
      <c r="BO286" s="115">
        <v>0</v>
      </c>
      <c r="BP286" s="115"/>
      <c r="BQ286" s="115"/>
      <c r="BR286" s="115"/>
      <c r="BS286" s="115"/>
      <c r="BT286" s="115">
        <v>65</v>
      </c>
      <c r="BU286" s="115"/>
      <c r="BV286" s="115"/>
      <c r="BW286" s="115"/>
      <c r="BX286" s="115"/>
    </row>
    <row r="287" spans="1:79" s="6" customFormat="1" ht="15" customHeight="1" x14ac:dyDescent="0.2">
      <c r="A287" s="86">
        <v>0</v>
      </c>
      <c r="B287" s="87"/>
      <c r="C287" s="87"/>
      <c r="D287" s="113" t="s">
        <v>267</v>
      </c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2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</row>
    <row r="288" spans="1:79" s="99" customFormat="1" ht="28.5" customHeight="1" x14ac:dyDescent="0.2">
      <c r="A288" s="89">
        <v>1</v>
      </c>
      <c r="B288" s="90"/>
      <c r="C288" s="90"/>
      <c r="D288" s="114" t="s">
        <v>268</v>
      </c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4"/>
      <c r="Q288" s="27" t="s">
        <v>265</v>
      </c>
      <c r="R288" s="27"/>
      <c r="S288" s="27"/>
      <c r="T288" s="27"/>
      <c r="U288" s="27"/>
      <c r="V288" s="114" t="s">
        <v>269</v>
      </c>
      <c r="W288" s="93"/>
      <c r="X288" s="93"/>
      <c r="Y288" s="93"/>
      <c r="Z288" s="93"/>
      <c r="AA288" s="93"/>
      <c r="AB288" s="93"/>
      <c r="AC288" s="93"/>
      <c r="AD288" s="93"/>
      <c r="AE288" s="94"/>
      <c r="AF288" s="115">
        <v>5500</v>
      </c>
      <c r="AG288" s="115"/>
      <c r="AH288" s="115"/>
      <c r="AI288" s="115"/>
      <c r="AJ288" s="115"/>
      <c r="AK288" s="115">
        <v>0</v>
      </c>
      <c r="AL288" s="115"/>
      <c r="AM288" s="115"/>
      <c r="AN288" s="115"/>
      <c r="AO288" s="115"/>
      <c r="AP288" s="115">
        <v>5500</v>
      </c>
      <c r="AQ288" s="115"/>
      <c r="AR288" s="115"/>
      <c r="AS288" s="115"/>
      <c r="AT288" s="115"/>
      <c r="AU288" s="115">
        <v>6000</v>
      </c>
      <c r="AV288" s="115"/>
      <c r="AW288" s="115"/>
      <c r="AX288" s="115"/>
      <c r="AY288" s="115"/>
      <c r="AZ288" s="115">
        <v>0</v>
      </c>
      <c r="BA288" s="115"/>
      <c r="BB288" s="115"/>
      <c r="BC288" s="115"/>
      <c r="BD288" s="115"/>
      <c r="BE288" s="115">
        <v>6000</v>
      </c>
      <c r="BF288" s="115"/>
      <c r="BG288" s="115"/>
      <c r="BH288" s="115"/>
      <c r="BI288" s="115"/>
      <c r="BJ288" s="115">
        <v>6000</v>
      </c>
      <c r="BK288" s="115"/>
      <c r="BL288" s="115"/>
      <c r="BM288" s="115"/>
      <c r="BN288" s="115"/>
      <c r="BO288" s="115">
        <v>0</v>
      </c>
      <c r="BP288" s="115"/>
      <c r="BQ288" s="115"/>
      <c r="BR288" s="115"/>
      <c r="BS288" s="115"/>
      <c r="BT288" s="115">
        <v>6000</v>
      </c>
      <c r="BU288" s="115"/>
      <c r="BV288" s="115"/>
      <c r="BW288" s="115"/>
      <c r="BX288" s="115"/>
    </row>
    <row r="289" spans="1:79" s="99" customFormat="1" ht="45" customHeight="1" x14ac:dyDescent="0.2">
      <c r="A289" s="89">
        <v>2</v>
      </c>
      <c r="B289" s="90"/>
      <c r="C289" s="90"/>
      <c r="D289" s="114" t="s">
        <v>270</v>
      </c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4"/>
      <c r="Q289" s="27" t="s">
        <v>265</v>
      </c>
      <c r="R289" s="27"/>
      <c r="S289" s="27"/>
      <c r="T289" s="27"/>
      <c r="U289" s="27"/>
      <c r="V289" s="114" t="s">
        <v>271</v>
      </c>
      <c r="W289" s="93"/>
      <c r="X289" s="93"/>
      <c r="Y289" s="93"/>
      <c r="Z289" s="93"/>
      <c r="AA289" s="93"/>
      <c r="AB289" s="93"/>
      <c r="AC289" s="93"/>
      <c r="AD289" s="93"/>
      <c r="AE289" s="94"/>
      <c r="AF289" s="115">
        <v>700</v>
      </c>
      <c r="AG289" s="115"/>
      <c r="AH289" s="115"/>
      <c r="AI289" s="115"/>
      <c r="AJ289" s="115"/>
      <c r="AK289" s="115">
        <v>0</v>
      </c>
      <c r="AL289" s="115"/>
      <c r="AM289" s="115"/>
      <c r="AN289" s="115"/>
      <c r="AO289" s="115"/>
      <c r="AP289" s="115">
        <v>700</v>
      </c>
      <c r="AQ289" s="115"/>
      <c r="AR289" s="115"/>
      <c r="AS289" s="115"/>
      <c r="AT289" s="115"/>
      <c r="AU289" s="115">
        <v>700</v>
      </c>
      <c r="AV289" s="115"/>
      <c r="AW289" s="115"/>
      <c r="AX289" s="115"/>
      <c r="AY289" s="115"/>
      <c r="AZ289" s="115">
        <v>0</v>
      </c>
      <c r="BA289" s="115"/>
      <c r="BB289" s="115"/>
      <c r="BC289" s="115"/>
      <c r="BD289" s="115"/>
      <c r="BE289" s="115">
        <v>700</v>
      </c>
      <c r="BF289" s="115"/>
      <c r="BG289" s="115"/>
      <c r="BH289" s="115"/>
      <c r="BI289" s="115"/>
      <c r="BJ289" s="115">
        <v>700</v>
      </c>
      <c r="BK289" s="115"/>
      <c r="BL289" s="115"/>
      <c r="BM289" s="115"/>
      <c r="BN289" s="115"/>
      <c r="BO289" s="115">
        <v>0</v>
      </c>
      <c r="BP289" s="115"/>
      <c r="BQ289" s="115"/>
      <c r="BR289" s="115"/>
      <c r="BS289" s="115"/>
      <c r="BT289" s="115">
        <v>700</v>
      </c>
      <c r="BU289" s="115"/>
      <c r="BV289" s="115"/>
      <c r="BW289" s="115"/>
      <c r="BX289" s="115"/>
    </row>
    <row r="290" spans="1:79" s="6" customFormat="1" ht="15" customHeight="1" x14ac:dyDescent="0.2">
      <c r="A290" s="86">
        <v>0</v>
      </c>
      <c r="B290" s="87"/>
      <c r="C290" s="87"/>
      <c r="D290" s="113" t="s">
        <v>272</v>
      </c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2"/>
      <c r="Q290" s="111"/>
      <c r="R290" s="111"/>
      <c r="S290" s="111"/>
      <c r="T290" s="111"/>
      <c r="U290" s="111"/>
      <c r="V290" s="113"/>
      <c r="W290" s="101"/>
      <c r="X290" s="101"/>
      <c r="Y290" s="101"/>
      <c r="Z290" s="101"/>
      <c r="AA290" s="101"/>
      <c r="AB290" s="101"/>
      <c r="AC290" s="101"/>
      <c r="AD290" s="101"/>
      <c r="AE290" s="10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</row>
    <row r="291" spans="1:79" s="99" customFormat="1" ht="42.75" customHeight="1" x14ac:dyDescent="0.2">
      <c r="A291" s="89">
        <v>1</v>
      </c>
      <c r="B291" s="90"/>
      <c r="C291" s="90"/>
      <c r="D291" s="114" t="s">
        <v>273</v>
      </c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4"/>
      <c r="Q291" s="27" t="s">
        <v>265</v>
      </c>
      <c r="R291" s="27"/>
      <c r="S291" s="27"/>
      <c r="T291" s="27"/>
      <c r="U291" s="27"/>
      <c r="V291" s="114" t="s">
        <v>274</v>
      </c>
      <c r="W291" s="93"/>
      <c r="X291" s="93"/>
      <c r="Y291" s="93"/>
      <c r="Z291" s="93"/>
      <c r="AA291" s="93"/>
      <c r="AB291" s="93"/>
      <c r="AC291" s="93"/>
      <c r="AD291" s="93"/>
      <c r="AE291" s="94"/>
      <c r="AF291" s="115">
        <v>74</v>
      </c>
      <c r="AG291" s="115"/>
      <c r="AH291" s="115"/>
      <c r="AI291" s="115"/>
      <c r="AJ291" s="115"/>
      <c r="AK291" s="115">
        <v>0</v>
      </c>
      <c r="AL291" s="115"/>
      <c r="AM291" s="115"/>
      <c r="AN291" s="115"/>
      <c r="AO291" s="115"/>
      <c r="AP291" s="115">
        <v>74</v>
      </c>
      <c r="AQ291" s="115"/>
      <c r="AR291" s="115"/>
      <c r="AS291" s="115"/>
      <c r="AT291" s="115"/>
      <c r="AU291" s="115">
        <v>87</v>
      </c>
      <c r="AV291" s="115"/>
      <c r="AW291" s="115"/>
      <c r="AX291" s="115"/>
      <c r="AY291" s="115"/>
      <c r="AZ291" s="115">
        <v>0</v>
      </c>
      <c r="BA291" s="115"/>
      <c r="BB291" s="115"/>
      <c r="BC291" s="115"/>
      <c r="BD291" s="115"/>
      <c r="BE291" s="115">
        <v>87</v>
      </c>
      <c r="BF291" s="115"/>
      <c r="BG291" s="115"/>
      <c r="BH291" s="115"/>
      <c r="BI291" s="115"/>
      <c r="BJ291" s="115">
        <v>87</v>
      </c>
      <c r="BK291" s="115"/>
      <c r="BL291" s="115"/>
      <c r="BM291" s="115"/>
      <c r="BN291" s="115"/>
      <c r="BO291" s="115">
        <v>0</v>
      </c>
      <c r="BP291" s="115"/>
      <c r="BQ291" s="115"/>
      <c r="BR291" s="115"/>
      <c r="BS291" s="115"/>
      <c r="BT291" s="115">
        <v>87</v>
      </c>
      <c r="BU291" s="115"/>
      <c r="BV291" s="115"/>
      <c r="BW291" s="115"/>
      <c r="BX291" s="115"/>
    </row>
    <row r="292" spans="1:79" s="99" customFormat="1" ht="45" customHeight="1" x14ac:dyDescent="0.2">
      <c r="A292" s="89">
        <v>2</v>
      </c>
      <c r="B292" s="90"/>
      <c r="C292" s="90"/>
      <c r="D292" s="114" t="s">
        <v>275</v>
      </c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4"/>
      <c r="Q292" s="27" t="s">
        <v>265</v>
      </c>
      <c r="R292" s="27"/>
      <c r="S292" s="27"/>
      <c r="T292" s="27"/>
      <c r="U292" s="27"/>
      <c r="V292" s="114" t="s">
        <v>274</v>
      </c>
      <c r="W292" s="93"/>
      <c r="X292" s="93"/>
      <c r="Y292" s="93"/>
      <c r="Z292" s="93"/>
      <c r="AA292" s="93"/>
      <c r="AB292" s="93"/>
      <c r="AC292" s="93"/>
      <c r="AD292" s="93"/>
      <c r="AE292" s="94"/>
      <c r="AF292" s="115">
        <v>9</v>
      </c>
      <c r="AG292" s="115"/>
      <c r="AH292" s="115"/>
      <c r="AI292" s="115"/>
      <c r="AJ292" s="115"/>
      <c r="AK292" s="115">
        <v>0</v>
      </c>
      <c r="AL292" s="115"/>
      <c r="AM292" s="115"/>
      <c r="AN292" s="115"/>
      <c r="AO292" s="115"/>
      <c r="AP292" s="115">
        <v>9</v>
      </c>
      <c r="AQ292" s="115"/>
      <c r="AR292" s="115"/>
      <c r="AS292" s="115"/>
      <c r="AT292" s="115"/>
      <c r="AU292" s="115">
        <v>10</v>
      </c>
      <c r="AV292" s="115"/>
      <c r="AW292" s="115"/>
      <c r="AX292" s="115"/>
      <c r="AY292" s="115"/>
      <c r="AZ292" s="115">
        <v>0</v>
      </c>
      <c r="BA292" s="115"/>
      <c r="BB292" s="115"/>
      <c r="BC292" s="115"/>
      <c r="BD292" s="115"/>
      <c r="BE292" s="115">
        <v>10</v>
      </c>
      <c r="BF292" s="115"/>
      <c r="BG292" s="115"/>
      <c r="BH292" s="115"/>
      <c r="BI292" s="115"/>
      <c r="BJ292" s="115">
        <v>10</v>
      </c>
      <c r="BK292" s="115"/>
      <c r="BL292" s="115"/>
      <c r="BM292" s="115"/>
      <c r="BN292" s="115"/>
      <c r="BO292" s="115">
        <v>0</v>
      </c>
      <c r="BP292" s="115"/>
      <c r="BQ292" s="115"/>
      <c r="BR292" s="115"/>
      <c r="BS292" s="115"/>
      <c r="BT292" s="115">
        <v>10</v>
      </c>
      <c r="BU292" s="115"/>
      <c r="BV292" s="115"/>
      <c r="BW292" s="115"/>
      <c r="BX292" s="115"/>
    </row>
    <row r="293" spans="1:79" s="99" customFormat="1" ht="30" customHeight="1" x14ac:dyDescent="0.2">
      <c r="A293" s="89">
        <v>3</v>
      </c>
      <c r="B293" s="90"/>
      <c r="C293" s="90"/>
      <c r="D293" s="114" t="s">
        <v>276</v>
      </c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4"/>
      <c r="Q293" s="27" t="s">
        <v>277</v>
      </c>
      <c r="R293" s="27"/>
      <c r="S293" s="27"/>
      <c r="T293" s="27"/>
      <c r="U293" s="27"/>
      <c r="V293" s="114" t="s">
        <v>274</v>
      </c>
      <c r="W293" s="93"/>
      <c r="X293" s="93"/>
      <c r="Y293" s="93"/>
      <c r="Z293" s="93"/>
      <c r="AA293" s="93"/>
      <c r="AB293" s="93"/>
      <c r="AC293" s="93"/>
      <c r="AD293" s="93"/>
      <c r="AE293" s="94"/>
      <c r="AF293" s="115">
        <v>305931</v>
      </c>
      <c r="AG293" s="115"/>
      <c r="AH293" s="115"/>
      <c r="AI293" s="115"/>
      <c r="AJ293" s="115"/>
      <c r="AK293" s="115">
        <v>0</v>
      </c>
      <c r="AL293" s="115"/>
      <c r="AM293" s="115"/>
      <c r="AN293" s="115"/>
      <c r="AO293" s="115"/>
      <c r="AP293" s="115">
        <v>305931</v>
      </c>
      <c r="AQ293" s="115"/>
      <c r="AR293" s="115"/>
      <c r="AS293" s="115"/>
      <c r="AT293" s="115"/>
      <c r="AU293" s="115">
        <v>280177</v>
      </c>
      <c r="AV293" s="115"/>
      <c r="AW293" s="115"/>
      <c r="AX293" s="115"/>
      <c r="AY293" s="115"/>
      <c r="AZ293" s="115">
        <v>0</v>
      </c>
      <c r="BA293" s="115"/>
      <c r="BB293" s="115"/>
      <c r="BC293" s="115"/>
      <c r="BD293" s="115"/>
      <c r="BE293" s="115">
        <v>280177</v>
      </c>
      <c r="BF293" s="115"/>
      <c r="BG293" s="115"/>
      <c r="BH293" s="115"/>
      <c r="BI293" s="115"/>
      <c r="BJ293" s="115">
        <v>381116</v>
      </c>
      <c r="BK293" s="115"/>
      <c r="BL293" s="115"/>
      <c r="BM293" s="115"/>
      <c r="BN293" s="115"/>
      <c r="BO293" s="115">
        <v>0</v>
      </c>
      <c r="BP293" s="115"/>
      <c r="BQ293" s="115"/>
      <c r="BR293" s="115"/>
      <c r="BS293" s="115"/>
      <c r="BT293" s="115">
        <v>381116</v>
      </c>
      <c r="BU293" s="115"/>
      <c r="BV293" s="115"/>
      <c r="BW293" s="115"/>
      <c r="BX293" s="115"/>
    </row>
    <row r="294" spans="1:79" s="6" customFormat="1" ht="15" customHeight="1" x14ac:dyDescent="0.2">
      <c r="A294" s="86">
        <v>0</v>
      </c>
      <c r="B294" s="87"/>
      <c r="C294" s="87"/>
      <c r="D294" s="113" t="s">
        <v>278</v>
      </c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2"/>
      <c r="Q294" s="111"/>
      <c r="R294" s="111"/>
      <c r="S294" s="111"/>
      <c r="T294" s="111"/>
      <c r="U294" s="111"/>
      <c r="V294" s="113"/>
      <c r="W294" s="101"/>
      <c r="X294" s="101"/>
      <c r="Y294" s="101"/>
      <c r="Z294" s="101"/>
      <c r="AA294" s="101"/>
      <c r="AB294" s="101"/>
      <c r="AC294" s="101"/>
      <c r="AD294" s="101"/>
      <c r="AE294" s="10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</row>
    <row r="295" spans="1:79" s="99" customFormat="1" ht="42.75" customHeight="1" x14ac:dyDescent="0.2">
      <c r="A295" s="89">
        <v>1</v>
      </c>
      <c r="B295" s="90"/>
      <c r="C295" s="90"/>
      <c r="D295" s="114" t="s">
        <v>279</v>
      </c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4"/>
      <c r="Q295" s="27" t="s">
        <v>280</v>
      </c>
      <c r="R295" s="27"/>
      <c r="S295" s="27"/>
      <c r="T295" s="27"/>
      <c r="U295" s="27"/>
      <c r="V295" s="114" t="s">
        <v>281</v>
      </c>
      <c r="W295" s="93"/>
      <c r="X295" s="93"/>
      <c r="Y295" s="93"/>
      <c r="Z295" s="93"/>
      <c r="AA295" s="93"/>
      <c r="AB295" s="93"/>
      <c r="AC295" s="93"/>
      <c r="AD295" s="93"/>
      <c r="AE295" s="94"/>
      <c r="AF295" s="115">
        <v>100</v>
      </c>
      <c r="AG295" s="115"/>
      <c r="AH295" s="115"/>
      <c r="AI295" s="115"/>
      <c r="AJ295" s="115"/>
      <c r="AK295" s="115">
        <v>0</v>
      </c>
      <c r="AL295" s="115"/>
      <c r="AM295" s="115"/>
      <c r="AN295" s="115"/>
      <c r="AO295" s="115"/>
      <c r="AP295" s="115">
        <v>100</v>
      </c>
      <c r="AQ295" s="115"/>
      <c r="AR295" s="115"/>
      <c r="AS295" s="115"/>
      <c r="AT295" s="115"/>
      <c r="AU295" s="115">
        <v>100</v>
      </c>
      <c r="AV295" s="115"/>
      <c r="AW295" s="115"/>
      <c r="AX295" s="115"/>
      <c r="AY295" s="115"/>
      <c r="AZ295" s="115">
        <v>0</v>
      </c>
      <c r="BA295" s="115"/>
      <c r="BB295" s="115"/>
      <c r="BC295" s="115"/>
      <c r="BD295" s="115"/>
      <c r="BE295" s="115">
        <v>100</v>
      </c>
      <c r="BF295" s="115"/>
      <c r="BG295" s="115"/>
      <c r="BH295" s="115"/>
      <c r="BI295" s="115"/>
      <c r="BJ295" s="115">
        <v>100</v>
      </c>
      <c r="BK295" s="115"/>
      <c r="BL295" s="115"/>
      <c r="BM295" s="115"/>
      <c r="BN295" s="115"/>
      <c r="BO295" s="115">
        <v>0</v>
      </c>
      <c r="BP295" s="115"/>
      <c r="BQ295" s="115"/>
      <c r="BR295" s="115"/>
      <c r="BS295" s="115"/>
      <c r="BT295" s="115">
        <v>100</v>
      </c>
      <c r="BU295" s="115"/>
      <c r="BV295" s="115"/>
      <c r="BW295" s="115"/>
      <c r="BX295" s="115"/>
    </row>
    <row r="297" spans="1:79" ht="14.25" customHeight="1" x14ac:dyDescent="0.2">
      <c r="A297" s="29" t="s">
        <v>335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</row>
    <row r="298" spans="1:79" ht="23.1" customHeight="1" x14ac:dyDescent="0.2">
      <c r="A298" s="51" t="s">
        <v>6</v>
      </c>
      <c r="B298" s="52"/>
      <c r="C298" s="52"/>
      <c r="D298" s="27" t="s">
        <v>9</v>
      </c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 t="s">
        <v>8</v>
      </c>
      <c r="R298" s="27"/>
      <c r="S298" s="27"/>
      <c r="T298" s="27"/>
      <c r="U298" s="27"/>
      <c r="V298" s="27" t="s">
        <v>7</v>
      </c>
      <c r="W298" s="27"/>
      <c r="X298" s="27"/>
      <c r="Y298" s="27"/>
      <c r="Z298" s="27"/>
      <c r="AA298" s="27"/>
      <c r="AB298" s="27"/>
      <c r="AC298" s="27"/>
      <c r="AD298" s="27"/>
      <c r="AE298" s="27"/>
      <c r="AF298" s="36" t="s">
        <v>326</v>
      </c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8"/>
      <c r="AU298" s="36" t="s">
        <v>331</v>
      </c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8"/>
    </row>
    <row r="299" spans="1:79" ht="28.5" customHeight="1" x14ac:dyDescent="0.2">
      <c r="A299" s="54"/>
      <c r="B299" s="55"/>
      <c r="C299" s="55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 t="s">
        <v>4</v>
      </c>
      <c r="AG299" s="27"/>
      <c r="AH299" s="27"/>
      <c r="AI299" s="27"/>
      <c r="AJ299" s="27"/>
      <c r="AK299" s="27" t="s">
        <v>3</v>
      </c>
      <c r="AL299" s="27"/>
      <c r="AM299" s="27"/>
      <c r="AN299" s="27"/>
      <c r="AO299" s="27"/>
      <c r="AP299" s="27" t="s">
        <v>123</v>
      </c>
      <c r="AQ299" s="27"/>
      <c r="AR299" s="27"/>
      <c r="AS299" s="27"/>
      <c r="AT299" s="27"/>
      <c r="AU299" s="27" t="s">
        <v>4</v>
      </c>
      <c r="AV299" s="27"/>
      <c r="AW299" s="27"/>
      <c r="AX299" s="27"/>
      <c r="AY299" s="27"/>
      <c r="AZ299" s="27" t="s">
        <v>3</v>
      </c>
      <c r="BA299" s="27"/>
      <c r="BB299" s="27"/>
      <c r="BC299" s="27"/>
      <c r="BD299" s="27"/>
      <c r="BE299" s="27" t="s">
        <v>90</v>
      </c>
      <c r="BF299" s="27"/>
      <c r="BG299" s="27"/>
      <c r="BH299" s="27"/>
      <c r="BI299" s="27"/>
    </row>
    <row r="300" spans="1:79" ht="15" customHeight="1" x14ac:dyDescent="0.2">
      <c r="A300" s="36">
        <v>1</v>
      </c>
      <c r="B300" s="37"/>
      <c r="C300" s="37"/>
      <c r="D300" s="27">
        <v>2</v>
      </c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>
        <v>3</v>
      </c>
      <c r="R300" s="27"/>
      <c r="S300" s="27"/>
      <c r="T300" s="27"/>
      <c r="U300" s="27"/>
      <c r="V300" s="27">
        <v>4</v>
      </c>
      <c r="W300" s="27"/>
      <c r="X300" s="27"/>
      <c r="Y300" s="27"/>
      <c r="Z300" s="27"/>
      <c r="AA300" s="27"/>
      <c r="AB300" s="27"/>
      <c r="AC300" s="27"/>
      <c r="AD300" s="27"/>
      <c r="AE300" s="27"/>
      <c r="AF300" s="27">
        <v>5</v>
      </c>
      <c r="AG300" s="27"/>
      <c r="AH300" s="27"/>
      <c r="AI300" s="27"/>
      <c r="AJ300" s="27"/>
      <c r="AK300" s="27">
        <v>6</v>
      </c>
      <c r="AL300" s="27"/>
      <c r="AM300" s="27"/>
      <c r="AN300" s="27"/>
      <c r="AO300" s="27"/>
      <c r="AP300" s="27">
        <v>7</v>
      </c>
      <c r="AQ300" s="27"/>
      <c r="AR300" s="27"/>
      <c r="AS300" s="27"/>
      <c r="AT300" s="27"/>
      <c r="AU300" s="27">
        <v>8</v>
      </c>
      <c r="AV300" s="27"/>
      <c r="AW300" s="27"/>
      <c r="AX300" s="27"/>
      <c r="AY300" s="27"/>
      <c r="AZ300" s="27">
        <v>9</v>
      </c>
      <c r="BA300" s="27"/>
      <c r="BB300" s="27"/>
      <c r="BC300" s="27"/>
      <c r="BD300" s="27"/>
      <c r="BE300" s="27">
        <v>10</v>
      </c>
      <c r="BF300" s="27"/>
      <c r="BG300" s="27"/>
      <c r="BH300" s="27"/>
      <c r="BI300" s="27"/>
    </row>
    <row r="301" spans="1:79" ht="15.75" hidden="1" customHeight="1" x14ac:dyDescent="0.2">
      <c r="A301" s="39" t="s">
        <v>154</v>
      </c>
      <c r="B301" s="40"/>
      <c r="C301" s="40"/>
      <c r="D301" s="27" t="s">
        <v>57</v>
      </c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 t="s">
        <v>70</v>
      </c>
      <c r="R301" s="27"/>
      <c r="S301" s="27"/>
      <c r="T301" s="27"/>
      <c r="U301" s="27"/>
      <c r="V301" s="27" t="s">
        <v>71</v>
      </c>
      <c r="W301" s="27"/>
      <c r="X301" s="27"/>
      <c r="Y301" s="27"/>
      <c r="Z301" s="27"/>
      <c r="AA301" s="27"/>
      <c r="AB301" s="27"/>
      <c r="AC301" s="27"/>
      <c r="AD301" s="27"/>
      <c r="AE301" s="27"/>
      <c r="AF301" s="26" t="s">
        <v>107</v>
      </c>
      <c r="AG301" s="26"/>
      <c r="AH301" s="26"/>
      <c r="AI301" s="26"/>
      <c r="AJ301" s="26"/>
      <c r="AK301" s="30" t="s">
        <v>108</v>
      </c>
      <c r="AL301" s="30"/>
      <c r="AM301" s="30"/>
      <c r="AN301" s="30"/>
      <c r="AO301" s="30"/>
      <c r="AP301" s="50" t="s">
        <v>263</v>
      </c>
      <c r="AQ301" s="50"/>
      <c r="AR301" s="50"/>
      <c r="AS301" s="50"/>
      <c r="AT301" s="50"/>
      <c r="AU301" s="26" t="s">
        <v>109</v>
      </c>
      <c r="AV301" s="26"/>
      <c r="AW301" s="26"/>
      <c r="AX301" s="26"/>
      <c r="AY301" s="26"/>
      <c r="AZ301" s="30" t="s">
        <v>110</v>
      </c>
      <c r="BA301" s="30"/>
      <c r="BB301" s="30"/>
      <c r="BC301" s="30"/>
      <c r="BD301" s="30"/>
      <c r="BE301" s="50" t="s">
        <v>263</v>
      </c>
      <c r="BF301" s="50"/>
      <c r="BG301" s="50"/>
      <c r="BH301" s="50"/>
      <c r="BI301" s="50"/>
      <c r="CA301" t="s">
        <v>39</v>
      </c>
    </row>
    <row r="302" spans="1:79" s="6" customFormat="1" ht="14.25" x14ac:dyDescent="0.2">
      <c r="A302" s="86">
        <v>0</v>
      </c>
      <c r="B302" s="87"/>
      <c r="C302" s="87"/>
      <c r="D302" s="111" t="s">
        <v>262</v>
      </c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CA302" s="6" t="s">
        <v>40</v>
      </c>
    </row>
    <row r="303" spans="1:79" s="99" customFormat="1" ht="14.25" customHeight="1" x14ac:dyDescent="0.2">
      <c r="A303" s="89">
        <v>1</v>
      </c>
      <c r="B303" s="90"/>
      <c r="C303" s="90"/>
      <c r="D303" s="114" t="s">
        <v>264</v>
      </c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4"/>
      <c r="Q303" s="27" t="s">
        <v>265</v>
      </c>
      <c r="R303" s="27"/>
      <c r="S303" s="27"/>
      <c r="T303" s="27"/>
      <c r="U303" s="27"/>
      <c r="V303" s="27" t="s">
        <v>266</v>
      </c>
      <c r="W303" s="27"/>
      <c r="X303" s="27"/>
      <c r="Y303" s="27"/>
      <c r="Z303" s="27"/>
      <c r="AA303" s="27"/>
      <c r="AB303" s="27"/>
      <c r="AC303" s="27"/>
      <c r="AD303" s="27"/>
      <c r="AE303" s="27"/>
      <c r="AF303" s="115">
        <v>0</v>
      </c>
      <c r="AG303" s="115"/>
      <c r="AH303" s="115"/>
      <c r="AI303" s="115"/>
      <c r="AJ303" s="115"/>
      <c r="AK303" s="115">
        <v>0</v>
      </c>
      <c r="AL303" s="115"/>
      <c r="AM303" s="115"/>
      <c r="AN303" s="115"/>
      <c r="AO303" s="115"/>
      <c r="AP303" s="115">
        <v>0</v>
      </c>
      <c r="AQ303" s="115"/>
      <c r="AR303" s="115"/>
      <c r="AS303" s="115"/>
      <c r="AT303" s="115"/>
      <c r="AU303" s="115">
        <v>0</v>
      </c>
      <c r="AV303" s="115"/>
      <c r="AW303" s="115"/>
      <c r="AX303" s="115"/>
      <c r="AY303" s="115"/>
      <c r="AZ303" s="115">
        <v>0</v>
      </c>
      <c r="BA303" s="115"/>
      <c r="BB303" s="115"/>
      <c r="BC303" s="115"/>
      <c r="BD303" s="115"/>
      <c r="BE303" s="115">
        <v>0</v>
      </c>
      <c r="BF303" s="115"/>
      <c r="BG303" s="115"/>
      <c r="BH303" s="115"/>
      <c r="BI303" s="115"/>
    </row>
    <row r="304" spans="1:79" s="6" customFormat="1" ht="14.25" x14ac:dyDescent="0.2">
      <c r="A304" s="86">
        <v>0</v>
      </c>
      <c r="B304" s="87"/>
      <c r="C304" s="87"/>
      <c r="D304" s="113" t="s">
        <v>267</v>
      </c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2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</row>
    <row r="305" spans="1:79" s="99" customFormat="1" ht="28.5" customHeight="1" x14ac:dyDescent="0.2">
      <c r="A305" s="89">
        <v>1</v>
      </c>
      <c r="B305" s="90"/>
      <c r="C305" s="90"/>
      <c r="D305" s="114" t="s">
        <v>268</v>
      </c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4"/>
      <c r="Q305" s="27" t="s">
        <v>265</v>
      </c>
      <c r="R305" s="27"/>
      <c r="S305" s="27"/>
      <c r="T305" s="27"/>
      <c r="U305" s="27"/>
      <c r="V305" s="114" t="s">
        <v>269</v>
      </c>
      <c r="W305" s="93"/>
      <c r="X305" s="93"/>
      <c r="Y305" s="93"/>
      <c r="Z305" s="93"/>
      <c r="AA305" s="93"/>
      <c r="AB305" s="93"/>
      <c r="AC305" s="93"/>
      <c r="AD305" s="93"/>
      <c r="AE305" s="94"/>
      <c r="AF305" s="115">
        <v>0</v>
      </c>
      <c r="AG305" s="115"/>
      <c r="AH305" s="115"/>
      <c r="AI305" s="115"/>
      <c r="AJ305" s="115"/>
      <c r="AK305" s="115">
        <v>0</v>
      </c>
      <c r="AL305" s="115"/>
      <c r="AM305" s="115"/>
      <c r="AN305" s="115"/>
      <c r="AO305" s="115"/>
      <c r="AP305" s="115">
        <v>0</v>
      </c>
      <c r="AQ305" s="115"/>
      <c r="AR305" s="115"/>
      <c r="AS305" s="115"/>
      <c r="AT305" s="115"/>
      <c r="AU305" s="115">
        <v>0</v>
      </c>
      <c r="AV305" s="115"/>
      <c r="AW305" s="115"/>
      <c r="AX305" s="115"/>
      <c r="AY305" s="115"/>
      <c r="AZ305" s="115">
        <v>0</v>
      </c>
      <c r="BA305" s="115"/>
      <c r="BB305" s="115"/>
      <c r="BC305" s="115"/>
      <c r="BD305" s="115"/>
      <c r="BE305" s="115">
        <v>0</v>
      </c>
      <c r="BF305" s="115"/>
      <c r="BG305" s="115"/>
      <c r="BH305" s="115"/>
      <c r="BI305" s="115"/>
    </row>
    <row r="306" spans="1:79" s="99" customFormat="1" ht="45" customHeight="1" x14ac:dyDescent="0.2">
      <c r="A306" s="89">
        <v>2</v>
      </c>
      <c r="B306" s="90"/>
      <c r="C306" s="90"/>
      <c r="D306" s="114" t="s">
        <v>270</v>
      </c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4"/>
      <c r="Q306" s="27" t="s">
        <v>265</v>
      </c>
      <c r="R306" s="27"/>
      <c r="S306" s="27"/>
      <c r="T306" s="27"/>
      <c r="U306" s="27"/>
      <c r="V306" s="114" t="s">
        <v>271</v>
      </c>
      <c r="W306" s="93"/>
      <c r="X306" s="93"/>
      <c r="Y306" s="93"/>
      <c r="Z306" s="93"/>
      <c r="AA306" s="93"/>
      <c r="AB306" s="93"/>
      <c r="AC306" s="93"/>
      <c r="AD306" s="93"/>
      <c r="AE306" s="94"/>
      <c r="AF306" s="115">
        <v>0</v>
      </c>
      <c r="AG306" s="115"/>
      <c r="AH306" s="115"/>
      <c r="AI306" s="115"/>
      <c r="AJ306" s="115"/>
      <c r="AK306" s="115">
        <v>0</v>
      </c>
      <c r="AL306" s="115"/>
      <c r="AM306" s="115"/>
      <c r="AN306" s="115"/>
      <c r="AO306" s="115"/>
      <c r="AP306" s="115">
        <v>0</v>
      </c>
      <c r="AQ306" s="115"/>
      <c r="AR306" s="115"/>
      <c r="AS306" s="115"/>
      <c r="AT306" s="115"/>
      <c r="AU306" s="115">
        <v>0</v>
      </c>
      <c r="AV306" s="115"/>
      <c r="AW306" s="115"/>
      <c r="AX306" s="115"/>
      <c r="AY306" s="115"/>
      <c r="AZ306" s="115">
        <v>0</v>
      </c>
      <c r="BA306" s="115"/>
      <c r="BB306" s="115"/>
      <c r="BC306" s="115"/>
      <c r="BD306" s="115"/>
      <c r="BE306" s="115">
        <v>0</v>
      </c>
      <c r="BF306" s="115"/>
      <c r="BG306" s="115"/>
      <c r="BH306" s="115"/>
      <c r="BI306" s="115"/>
    </row>
    <row r="307" spans="1:79" s="6" customFormat="1" ht="14.25" x14ac:dyDescent="0.2">
      <c r="A307" s="86">
        <v>0</v>
      </c>
      <c r="B307" s="87"/>
      <c r="C307" s="87"/>
      <c r="D307" s="113" t="s">
        <v>272</v>
      </c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2"/>
      <c r="Q307" s="111"/>
      <c r="R307" s="111"/>
      <c r="S307" s="111"/>
      <c r="T307" s="111"/>
      <c r="U307" s="111"/>
      <c r="V307" s="113"/>
      <c r="W307" s="101"/>
      <c r="X307" s="101"/>
      <c r="Y307" s="101"/>
      <c r="Z307" s="101"/>
      <c r="AA307" s="101"/>
      <c r="AB307" s="101"/>
      <c r="AC307" s="101"/>
      <c r="AD307" s="101"/>
      <c r="AE307" s="10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</row>
    <row r="308" spans="1:79" s="99" customFormat="1" ht="42.75" customHeight="1" x14ac:dyDescent="0.2">
      <c r="A308" s="89">
        <v>1</v>
      </c>
      <c r="B308" s="90"/>
      <c r="C308" s="90"/>
      <c r="D308" s="114" t="s">
        <v>273</v>
      </c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4"/>
      <c r="Q308" s="27" t="s">
        <v>265</v>
      </c>
      <c r="R308" s="27"/>
      <c r="S308" s="27"/>
      <c r="T308" s="27"/>
      <c r="U308" s="27"/>
      <c r="V308" s="114" t="s">
        <v>274</v>
      </c>
      <c r="W308" s="93"/>
      <c r="X308" s="93"/>
      <c r="Y308" s="93"/>
      <c r="Z308" s="93"/>
      <c r="AA308" s="93"/>
      <c r="AB308" s="93"/>
      <c r="AC308" s="93"/>
      <c r="AD308" s="93"/>
      <c r="AE308" s="94"/>
      <c r="AF308" s="115">
        <v>0</v>
      </c>
      <c r="AG308" s="115"/>
      <c r="AH308" s="115"/>
      <c r="AI308" s="115"/>
      <c r="AJ308" s="115"/>
      <c r="AK308" s="115">
        <v>0</v>
      </c>
      <c r="AL308" s="115"/>
      <c r="AM308" s="115"/>
      <c r="AN308" s="115"/>
      <c r="AO308" s="115"/>
      <c r="AP308" s="115">
        <v>0</v>
      </c>
      <c r="AQ308" s="115"/>
      <c r="AR308" s="115"/>
      <c r="AS308" s="115"/>
      <c r="AT308" s="115"/>
      <c r="AU308" s="115">
        <v>0</v>
      </c>
      <c r="AV308" s="115"/>
      <c r="AW308" s="115"/>
      <c r="AX308" s="115"/>
      <c r="AY308" s="115"/>
      <c r="AZ308" s="115">
        <v>0</v>
      </c>
      <c r="BA308" s="115"/>
      <c r="BB308" s="115"/>
      <c r="BC308" s="115"/>
      <c r="BD308" s="115"/>
      <c r="BE308" s="115">
        <v>0</v>
      </c>
      <c r="BF308" s="115"/>
      <c r="BG308" s="115"/>
      <c r="BH308" s="115"/>
      <c r="BI308" s="115"/>
    </row>
    <row r="309" spans="1:79" s="99" customFormat="1" ht="45" customHeight="1" x14ac:dyDescent="0.2">
      <c r="A309" s="89">
        <v>2</v>
      </c>
      <c r="B309" s="90"/>
      <c r="C309" s="90"/>
      <c r="D309" s="114" t="s">
        <v>275</v>
      </c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4"/>
      <c r="Q309" s="27" t="s">
        <v>265</v>
      </c>
      <c r="R309" s="27"/>
      <c r="S309" s="27"/>
      <c r="T309" s="27"/>
      <c r="U309" s="27"/>
      <c r="V309" s="114" t="s">
        <v>274</v>
      </c>
      <c r="W309" s="93"/>
      <c r="X309" s="93"/>
      <c r="Y309" s="93"/>
      <c r="Z309" s="93"/>
      <c r="AA309" s="93"/>
      <c r="AB309" s="93"/>
      <c r="AC309" s="93"/>
      <c r="AD309" s="93"/>
      <c r="AE309" s="94"/>
      <c r="AF309" s="115">
        <v>0</v>
      </c>
      <c r="AG309" s="115"/>
      <c r="AH309" s="115"/>
      <c r="AI309" s="115"/>
      <c r="AJ309" s="115"/>
      <c r="AK309" s="115">
        <v>0</v>
      </c>
      <c r="AL309" s="115"/>
      <c r="AM309" s="115"/>
      <c r="AN309" s="115"/>
      <c r="AO309" s="115"/>
      <c r="AP309" s="115">
        <v>0</v>
      </c>
      <c r="AQ309" s="115"/>
      <c r="AR309" s="115"/>
      <c r="AS309" s="115"/>
      <c r="AT309" s="115"/>
      <c r="AU309" s="115">
        <v>0</v>
      </c>
      <c r="AV309" s="115"/>
      <c r="AW309" s="115"/>
      <c r="AX309" s="115"/>
      <c r="AY309" s="115"/>
      <c r="AZ309" s="115">
        <v>0</v>
      </c>
      <c r="BA309" s="115"/>
      <c r="BB309" s="115"/>
      <c r="BC309" s="115"/>
      <c r="BD309" s="115"/>
      <c r="BE309" s="115">
        <v>0</v>
      </c>
      <c r="BF309" s="115"/>
      <c r="BG309" s="115"/>
      <c r="BH309" s="115"/>
      <c r="BI309" s="115"/>
    </row>
    <row r="310" spans="1:79" s="99" customFormat="1" ht="30" customHeight="1" x14ac:dyDescent="0.2">
      <c r="A310" s="89">
        <v>3</v>
      </c>
      <c r="B310" s="90"/>
      <c r="C310" s="90"/>
      <c r="D310" s="114" t="s">
        <v>276</v>
      </c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4"/>
      <c r="Q310" s="27" t="s">
        <v>277</v>
      </c>
      <c r="R310" s="27"/>
      <c r="S310" s="27"/>
      <c r="T310" s="27"/>
      <c r="U310" s="27"/>
      <c r="V310" s="114" t="s">
        <v>274</v>
      </c>
      <c r="W310" s="93"/>
      <c r="X310" s="93"/>
      <c r="Y310" s="93"/>
      <c r="Z310" s="93"/>
      <c r="AA310" s="93"/>
      <c r="AB310" s="93"/>
      <c r="AC310" s="93"/>
      <c r="AD310" s="93"/>
      <c r="AE310" s="94"/>
      <c r="AF310" s="115">
        <v>0</v>
      </c>
      <c r="AG310" s="115"/>
      <c r="AH310" s="115"/>
      <c r="AI310" s="115"/>
      <c r="AJ310" s="115"/>
      <c r="AK310" s="115">
        <v>0</v>
      </c>
      <c r="AL310" s="115"/>
      <c r="AM310" s="115"/>
      <c r="AN310" s="115"/>
      <c r="AO310" s="115"/>
      <c r="AP310" s="115">
        <v>0</v>
      </c>
      <c r="AQ310" s="115"/>
      <c r="AR310" s="115"/>
      <c r="AS310" s="115"/>
      <c r="AT310" s="115"/>
      <c r="AU310" s="115">
        <v>0</v>
      </c>
      <c r="AV310" s="115"/>
      <c r="AW310" s="115"/>
      <c r="AX310" s="115"/>
      <c r="AY310" s="115"/>
      <c r="AZ310" s="115">
        <v>0</v>
      </c>
      <c r="BA310" s="115"/>
      <c r="BB310" s="115"/>
      <c r="BC310" s="115"/>
      <c r="BD310" s="115"/>
      <c r="BE310" s="115">
        <v>0</v>
      </c>
      <c r="BF310" s="115"/>
      <c r="BG310" s="115"/>
      <c r="BH310" s="115"/>
      <c r="BI310" s="115"/>
    </row>
    <row r="311" spans="1:79" s="6" customFormat="1" ht="14.25" x14ac:dyDescent="0.2">
      <c r="A311" s="86">
        <v>0</v>
      </c>
      <c r="B311" s="87"/>
      <c r="C311" s="87"/>
      <c r="D311" s="113" t="s">
        <v>278</v>
      </c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2"/>
      <c r="Q311" s="111"/>
      <c r="R311" s="111"/>
      <c r="S311" s="111"/>
      <c r="T311" s="111"/>
      <c r="U311" s="111"/>
      <c r="V311" s="113"/>
      <c r="W311" s="101"/>
      <c r="X311" s="101"/>
      <c r="Y311" s="101"/>
      <c r="Z311" s="101"/>
      <c r="AA311" s="101"/>
      <c r="AB311" s="101"/>
      <c r="AC311" s="101"/>
      <c r="AD311" s="101"/>
      <c r="AE311" s="10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</row>
    <row r="312" spans="1:79" s="99" customFormat="1" ht="42.75" customHeight="1" x14ac:dyDescent="0.2">
      <c r="A312" s="89">
        <v>1</v>
      </c>
      <c r="B312" s="90"/>
      <c r="C312" s="90"/>
      <c r="D312" s="114" t="s">
        <v>279</v>
      </c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4"/>
      <c r="Q312" s="27" t="s">
        <v>280</v>
      </c>
      <c r="R312" s="27"/>
      <c r="S312" s="27"/>
      <c r="T312" s="27"/>
      <c r="U312" s="27"/>
      <c r="V312" s="114" t="s">
        <v>281</v>
      </c>
      <c r="W312" s="93"/>
      <c r="X312" s="93"/>
      <c r="Y312" s="93"/>
      <c r="Z312" s="93"/>
      <c r="AA312" s="93"/>
      <c r="AB312" s="93"/>
      <c r="AC312" s="93"/>
      <c r="AD312" s="93"/>
      <c r="AE312" s="94"/>
      <c r="AF312" s="115">
        <v>0</v>
      </c>
      <c r="AG312" s="115"/>
      <c r="AH312" s="115"/>
      <c r="AI312" s="115"/>
      <c r="AJ312" s="115"/>
      <c r="AK312" s="115">
        <v>0</v>
      </c>
      <c r="AL312" s="115"/>
      <c r="AM312" s="115"/>
      <c r="AN312" s="115"/>
      <c r="AO312" s="115"/>
      <c r="AP312" s="115">
        <v>0</v>
      </c>
      <c r="AQ312" s="115"/>
      <c r="AR312" s="115"/>
      <c r="AS312" s="115"/>
      <c r="AT312" s="115"/>
      <c r="AU312" s="115">
        <v>0</v>
      </c>
      <c r="AV312" s="115"/>
      <c r="AW312" s="115"/>
      <c r="AX312" s="115"/>
      <c r="AY312" s="115"/>
      <c r="AZ312" s="115">
        <v>0</v>
      </c>
      <c r="BA312" s="115"/>
      <c r="BB312" s="115"/>
      <c r="BC312" s="115"/>
      <c r="BD312" s="115"/>
      <c r="BE312" s="115">
        <v>0</v>
      </c>
      <c r="BF312" s="115"/>
      <c r="BG312" s="115"/>
      <c r="BH312" s="115"/>
      <c r="BI312" s="115"/>
    </row>
    <row r="314" spans="1:79" ht="14.25" customHeight="1" x14ac:dyDescent="0.2">
      <c r="A314" s="29" t="s">
        <v>124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</row>
    <row r="315" spans="1:79" ht="15" customHeight="1" x14ac:dyDescent="0.2">
      <c r="A315" s="44" t="s">
        <v>304</v>
      </c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</row>
    <row r="316" spans="1:79" ht="12.95" customHeight="1" x14ac:dyDescent="0.2">
      <c r="A316" s="51" t="s">
        <v>19</v>
      </c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3"/>
      <c r="U316" s="27" t="s">
        <v>305</v>
      </c>
      <c r="V316" s="27"/>
      <c r="W316" s="27"/>
      <c r="X316" s="27"/>
      <c r="Y316" s="27"/>
      <c r="Z316" s="27"/>
      <c r="AA316" s="27"/>
      <c r="AB316" s="27"/>
      <c r="AC316" s="27"/>
      <c r="AD316" s="27"/>
      <c r="AE316" s="27" t="s">
        <v>308</v>
      </c>
      <c r="AF316" s="27"/>
      <c r="AG316" s="27"/>
      <c r="AH316" s="27"/>
      <c r="AI316" s="27"/>
      <c r="AJ316" s="27"/>
      <c r="AK316" s="27"/>
      <c r="AL316" s="27"/>
      <c r="AM316" s="27"/>
      <c r="AN316" s="27"/>
      <c r="AO316" s="27" t="s">
        <v>316</v>
      </c>
      <c r="AP316" s="27"/>
      <c r="AQ316" s="27"/>
      <c r="AR316" s="27"/>
      <c r="AS316" s="27"/>
      <c r="AT316" s="27"/>
      <c r="AU316" s="27"/>
      <c r="AV316" s="27"/>
      <c r="AW316" s="27"/>
      <c r="AX316" s="27"/>
      <c r="AY316" s="27" t="s">
        <v>326</v>
      </c>
      <c r="AZ316" s="27"/>
      <c r="BA316" s="27"/>
      <c r="BB316" s="27"/>
      <c r="BC316" s="27"/>
      <c r="BD316" s="27"/>
      <c r="BE316" s="27"/>
      <c r="BF316" s="27"/>
      <c r="BG316" s="27"/>
      <c r="BH316" s="27"/>
      <c r="BI316" s="27" t="s">
        <v>331</v>
      </c>
      <c r="BJ316" s="27"/>
      <c r="BK316" s="27"/>
      <c r="BL316" s="27"/>
      <c r="BM316" s="27"/>
      <c r="BN316" s="27"/>
      <c r="BO316" s="27"/>
      <c r="BP316" s="27"/>
      <c r="BQ316" s="27"/>
      <c r="BR316" s="27"/>
    </row>
    <row r="317" spans="1:79" ht="30" customHeight="1" x14ac:dyDescent="0.2">
      <c r="A317" s="54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6"/>
      <c r="U317" s="27" t="s">
        <v>4</v>
      </c>
      <c r="V317" s="27"/>
      <c r="W317" s="27"/>
      <c r="X317" s="27"/>
      <c r="Y317" s="27"/>
      <c r="Z317" s="27" t="s">
        <v>3</v>
      </c>
      <c r="AA317" s="27"/>
      <c r="AB317" s="27"/>
      <c r="AC317" s="27"/>
      <c r="AD317" s="27"/>
      <c r="AE317" s="27" t="s">
        <v>4</v>
      </c>
      <c r="AF317" s="27"/>
      <c r="AG317" s="27"/>
      <c r="AH317" s="27"/>
      <c r="AI317" s="27"/>
      <c r="AJ317" s="27" t="s">
        <v>3</v>
      </c>
      <c r="AK317" s="27"/>
      <c r="AL317" s="27"/>
      <c r="AM317" s="27"/>
      <c r="AN317" s="27"/>
      <c r="AO317" s="27" t="s">
        <v>4</v>
      </c>
      <c r="AP317" s="27"/>
      <c r="AQ317" s="27"/>
      <c r="AR317" s="27"/>
      <c r="AS317" s="27"/>
      <c r="AT317" s="27" t="s">
        <v>3</v>
      </c>
      <c r="AU317" s="27"/>
      <c r="AV317" s="27"/>
      <c r="AW317" s="27"/>
      <c r="AX317" s="27"/>
      <c r="AY317" s="27" t="s">
        <v>4</v>
      </c>
      <c r="AZ317" s="27"/>
      <c r="BA317" s="27"/>
      <c r="BB317" s="27"/>
      <c r="BC317" s="27"/>
      <c r="BD317" s="27" t="s">
        <v>3</v>
      </c>
      <c r="BE317" s="27"/>
      <c r="BF317" s="27"/>
      <c r="BG317" s="27"/>
      <c r="BH317" s="27"/>
      <c r="BI317" s="27" t="s">
        <v>4</v>
      </c>
      <c r="BJ317" s="27"/>
      <c r="BK317" s="27"/>
      <c r="BL317" s="27"/>
      <c r="BM317" s="27"/>
      <c r="BN317" s="27" t="s">
        <v>3</v>
      </c>
      <c r="BO317" s="27"/>
      <c r="BP317" s="27"/>
      <c r="BQ317" s="27"/>
      <c r="BR317" s="27"/>
    </row>
    <row r="318" spans="1:79" ht="15" customHeight="1" x14ac:dyDescent="0.2">
      <c r="A318" s="36">
        <v>1</v>
      </c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8"/>
      <c r="U318" s="27">
        <v>2</v>
      </c>
      <c r="V318" s="27"/>
      <c r="W318" s="27"/>
      <c r="X318" s="27"/>
      <c r="Y318" s="27"/>
      <c r="Z318" s="27">
        <v>3</v>
      </c>
      <c r="AA318" s="27"/>
      <c r="AB318" s="27"/>
      <c r="AC318" s="27"/>
      <c r="AD318" s="27"/>
      <c r="AE318" s="27">
        <v>4</v>
      </c>
      <c r="AF318" s="27"/>
      <c r="AG318" s="27"/>
      <c r="AH318" s="27"/>
      <c r="AI318" s="27"/>
      <c r="AJ318" s="27">
        <v>5</v>
      </c>
      <c r="AK318" s="27"/>
      <c r="AL318" s="27"/>
      <c r="AM318" s="27"/>
      <c r="AN318" s="27"/>
      <c r="AO318" s="27">
        <v>6</v>
      </c>
      <c r="AP318" s="27"/>
      <c r="AQ318" s="27"/>
      <c r="AR318" s="27"/>
      <c r="AS318" s="27"/>
      <c r="AT318" s="27">
        <v>7</v>
      </c>
      <c r="AU318" s="27"/>
      <c r="AV318" s="27"/>
      <c r="AW318" s="27"/>
      <c r="AX318" s="27"/>
      <c r="AY318" s="27">
        <v>8</v>
      </c>
      <c r="AZ318" s="27"/>
      <c r="BA318" s="27"/>
      <c r="BB318" s="27"/>
      <c r="BC318" s="27"/>
      <c r="BD318" s="27">
        <v>9</v>
      </c>
      <c r="BE318" s="27"/>
      <c r="BF318" s="27"/>
      <c r="BG318" s="27"/>
      <c r="BH318" s="27"/>
      <c r="BI318" s="27">
        <v>10</v>
      </c>
      <c r="BJ318" s="27"/>
      <c r="BK318" s="27"/>
      <c r="BL318" s="27"/>
      <c r="BM318" s="27"/>
      <c r="BN318" s="27">
        <v>11</v>
      </c>
      <c r="BO318" s="27"/>
      <c r="BP318" s="27"/>
      <c r="BQ318" s="27"/>
      <c r="BR318" s="27"/>
    </row>
    <row r="319" spans="1:79" s="1" customFormat="1" ht="15.75" hidden="1" customHeight="1" x14ac:dyDescent="0.2">
      <c r="A319" s="39" t="s">
        <v>57</v>
      </c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1"/>
      <c r="U319" s="26" t="s">
        <v>65</v>
      </c>
      <c r="V319" s="26"/>
      <c r="W319" s="26"/>
      <c r="X319" s="26"/>
      <c r="Y319" s="26"/>
      <c r="Z319" s="30" t="s">
        <v>66</v>
      </c>
      <c r="AA319" s="30"/>
      <c r="AB319" s="30"/>
      <c r="AC319" s="30"/>
      <c r="AD319" s="30"/>
      <c r="AE319" s="26" t="s">
        <v>67</v>
      </c>
      <c r="AF319" s="26"/>
      <c r="AG319" s="26"/>
      <c r="AH319" s="26"/>
      <c r="AI319" s="26"/>
      <c r="AJ319" s="30" t="s">
        <v>68</v>
      </c>
      <c r="AK319" s="30"/>
      <c r="AL319" s="30"/>
      <c r="AM319" s="30"/>
      <c r="AN319" s="30"/>
      <c r="AO319" s="26" t="s">
        <v>58</v>
      </c>
      <c r="AP319" s="26"/>
      <c r="AQ319" s="26"/>
      <c r="AR319" s="26"/>
      <c r="AS319" s="26"/>
      <c r="AT319" s="30" t="s">
        <v>59</v>
      </c>
      <c r="AU319" s="30"/>
      <c r="AV319" s="30"/>
      <c r="AW319" s="30"/>
      <c r="AX319" s="30"/>
      <c r="AY319" s="26" t="s">
        <v>60</v>
      </c>
      <c r="AZ319" s="26"/>
      <c r="BA319" s="26"/>
      <c r="BB319" s="26"/>
      <c r="BC319" s="26"/>
      <c r="BD319" s="30" t="s">
        <v>61</v>
      </c>
      <c r="BE319" s="30"/>
      <c r="BF319" s="30"/>
      <c r="BG319" s="30"/>
      <c r="BH319" s="30"/>
      <c r="BI319" s="26" t="s">
        <v>62</v>
      </c>
      <c r="BJ319" s="26"/>
      <c r="BK319" s="26"/>
      <c r="BL319" s="26"/>
      <c r="BM319" s="26"/>
      <c r="BN319" s="30" t="s">
        <v>63</v>
      </c>
      <c r="BO319" s="30"/>
      <c r="BP319" s="30"/>
      <c r="BQ319" s="30"/>
      <c r="BR319" s="30"/>
      <c r="CA319" t="s">
        <v>41</v>
      </c>
    </row>
    <row r="320" spans="1:79" s="6" customFormat="1" ht="12.75" customHeight="1" x14ac:dyDescent="0.2">
      <c r="A320" s="100" t="s">
        <v>282</v>
      </c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2"/>
      <c r="U320" s="116">
        <v>8660940</v>
      </c>
      <c r="V320" s="116"/>
      <c r="W320" s="116"/>
      <c r="X320" s="116"/>
      <c r="Y320" s="116"/>
      <c r="Z320" s="116">
        <v>0</v>
      </c>
      <c r="AA320" s="116"/>
      <c r="AB320" s="116"/>
      <c r="AC320" s="116"/>
      <c r="AD320" s="116"/>
      <c r="AE320" s="116">
        <v>8396670</v>
      </c>
      <c r="AF320" s="116"/>
      <c r="AG320" s="116"/>
      <c r="AH320" s="116"/>
      <c r="AI320" s="116"/>
      <c r="AJ320" s="116">
        <v>0</v>
      </c>
      <c r="AK320" s="116"/>
      <c r="AL320" s="116"/>
      <c r="AM320" s="116"/>
      <c r="AN320" s="116"/>
      <c r="AO320" s="116">
        <v>0</v>
      </c>
      <c r="AP320" s="116"/>
      <c r="AQ320" s="116"/>
      <c r="AR320" s="116"/>
      <c r="AS320" s="116"/>
      <c r="AT320" s="116">
        <v>0</v>
      </c>
      <c r="AU320" s="116"/>
      <c r="AV320" s="116"/>
      <c r="AW320" s="116"/>
      <c r="AX320" s="116"/>
      <c r="AY320" s="116">
        <v>0</v>
      </c>
      <c r="AZ320" s="116"/>
      <c r="BA320" s="116"/>
      <c r="BB320" s="116"/>
      <c r="BC320" s="116"/>
      <c r="BD320" s="116">
        <v>0</v>
      </c>
      <c r="BE320" s="116"/>
      <c r="BF320" s="116"/>
      <c r="BG320" s="116"/>
      <c r="BH320" s="116"/>
      <c r="BI320" s="116">
        <v>0</v>
      </c>
      <c r="BJ320" s="116"/>
      <c r="BK320" s="116"/>
      <c r="BL320" s="116"/>
      <c r="BM320" s="116"/>
      <c r="BN320" s="116">
        <v>0</v>
      </c>
      <c r="BO320" s="116"/>
      <c r="BP320" s="116"/>
      <c r="BQ320" s="116"/>
      <c r="BR320" s="116"/>
      <c r="CA320" s="6" t="s">
        <v>42</v>
      </c>
    </row>
    <row r="321" spans="1:70" s="99" customFormat="1" ht="12.75" customHeight="1" x14ac:dyDescent="0.2">
      <c r="A321" s="92" t="s">
        <v>283</v>
      </c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4"/>
      <c r="U321" s="117">
        <v>5755332</v>
      </c>
      <c r="V321" s="117"/>
      <c r="W321" s="117"/>
      <c r="X321" s="117"/>
      <c r="Y321" s="117"/>
      <c r="Z321" s="117">
        <v>0</v>
      </c>
      <c r="AA321" s="117"/>
      <c r="AB321" s="117"/>
      <c r="AC321" s="117"/>
      <c r="AD321" s="117"/>
      <c r="AE321" s="117">
        <v>5474052</v>
      </c>
      <c r="AF321" s="117"/>
      <c r="AG321" s="117"/>
      <c r="AH321" s="117"/>
      <c r="AI321" s="117"/>
      <c r="AJ321" s="117">
        <v>0</v>
      </c>
      <c r="AK321" s="117"/>
      <c r="AL321" s="117"/>
      <c r="AM321" s="117"/>
      <c r="AN321" s="117"/>
      <c r="AO321" s="117">
        <v>0</v>
      </c>
      <c r="AP321" s="117"/>
      <c r="AQ321" s="117"/>
      <c r="AR321" s="117"/>
      <c r="AS321" s="117"/>
      <c r="AT321" s="117">
        <v>0</v>
      </c>
      <c r="AU321" s="117"/>
      <c r="AV321" s="117"/>
      <c r="AW321" s="117"/>
      <c r="AX321" s="117"/>
      <c r="AY321" s="117">
        <v>0</v>
      </c>
      <c r="AZ321" s="117"/>
      <c r="BA321" s="117"/>
      <c r="BB321" s="117"/>
      <c r="BC321" s="117"/>
      <c r="BD321" s="117">
        <v>0</v>
      </c>
      <c r="BE321" s="117"/>
      <c r="BF321" s="117"/>
      <c r="BG321" s="117"/>
      <c r="BH321" s="117"/>
      <c r="BI321" s="117">
        <v>0</v>
      </c>
      <c r="BJ321" s="117"/>
      <c r="BK321" s="117"/>
      <c r="BL321" s="117"/>
      <c r="BM321" s="117"/>
      <c r="BN321" s="117">
        <v>0</v>
      </c>
      <c r="BO321" s="117"/>
      <c r="BP321" s="117"/>
      <c r="BQ321" s="117"/>
      <c r="BR321" s="117"/>
    </row>
    <row r="322" spans="1:70" s="99" customFormat="1" ht="12.75" customHeight="1" x14ac:dyDescent="0.2">
      <c r="A322" s="92" t="s">
        <v>284</v>
      </c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4"/>
      <c r="U322" s="117">
        <v>2905608</v>
      </c>
      <c r="V322" s="117"/>
      <c r="W322" s="117"/>
      <c r="X322" s="117"/>
      <c r="Y322" s="117"/>
      <c r="Z322" s="117">
        <v>0</v>
      </c>
      <c r="AA322" s="117"/>
      <c r="AB322" s="117"/>
      <c r="AC322" s="117"/>
      <c r="AD322" s="117"/>
      <c r="AE322" s="117">
        <v>2922618</v>
      </c>
      <c r="AF322" s="117"/>
      <c r="AG322" s="117"/>
      <c r="AH322" s="117"/>
      <c r="AI322" s="117"/>
      <c r="AJ322" s="117">
        <v>0</v>
      </c>
      <c r="AK322" s="117"/>
      <c r="AL322" s="117"/>
      <c r="AM322" s="117"/>
      <c r="AN322" s="117"/>
      <c r="AO322" s="117">
        <v>0</v>
      </c>
      <c r="AP322" s="117"/>
      <c r="AQ322" s="117"/>
      <c r="AR322" s="117"/>
      <c r="AS322" s="117"/>
      <c r="AT322" s="117">
        <v>0</v>
      </c>
      <c r="AU322" s="117"/>
      <c r="AV322" s="117"/>
      <c r="AW322" s="117"/>
      <c r="AX322" s="117"/>
      <c r="AY322" s="117">
        <v>0</v>
      </c>
      <c r="AZ322" s="117"/>
      <c r="BA322" s="117"/>
      <c r="BB322" s="117"/>
      <c r="BC322" s="117"/>
      <c r="BD322" s="117">
        <v>0</v>
      </c>
      <c r="BE322" s="117"/>
      <c r="BF322" s="117"/>
      <c r="BG322" s="117"/>
      <c r="BH322" s="117"/>
      <c r="BI322" s="117">
        <v>0</v>
      </c>
      <c r="BJ322" s="117"/>
      <c r="BK322" s="117"/>
      <c r="BL322" s="117"/>
      <c r="BM322" s="117"/>
      <c r="BN322" s="117">
        <v>0</v>
      </c>
      <c r="BO322" s="117"/>
      <c r="BP322" s="117"/>
      <c r="BQ322" s="117"/>
      <c r="BR322" s="117"/>
    </row>
    <row r="323" spans="1:70" s="99" customFormat="1" ht="12.75" customHeight="1" x14ac:dyDescent="0.2">
      <c r="A323" s="92" t="s">
        <v>285</v>
      </c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4"/>
      <c r="U323" s="117">
        <v>7423407</v>
      </c>
      <c r="V323" s="117"/>
      <c r="W323" s="117"/>
      <c r="X323" s="117"/>
      <c r="Y323" s="117"/>
      <c r="Z323" s="117">
        <v>0</v>
      </c>
      <c r="AA323" s="117"/>
      <c r="AB323" s="117"/>
      <c r="AC323" s="117"/>
      <c r="AD323" s="117"/>
      <c r="AE323" s="117">
        <v>7563258</v>
      </c>
      <c r="AF323" s="117"/>
      <c r="AG323" s="117"/>
      <c r="AH323" s="117"/>
      <c r="AI323" s="117"/>
      <c r="AJ323" s="117">
        <v>0</v>
      </c>
      <c r="AK323" s="117"/>
      <c r="AL323" s="117"/>
      <c r="AM323" s="117"/>
      <c r="AN323" s="117"/>
      <c r="AO323" s="117">
        <v>0</v>
      </c>
      <c r="AP323" s="117"/>
      <c r="AQ323" s="117"/>
      <c r="AR323" s="117"/>
      <c r="AS323" s="117"/>
      <c r="AT323" s="117">
        <v>0</v>
      </c>
      <c r="AU323" s="117"/>
      <c r="AV323" s="117"/>
      <c r="AW323" s="117"/>
      <c r="AX323" s="117"/>
      <c r="AY323" s="117">
        <v>0</v>
      </c>
      <c r="AZ323" s="117"/>
      <c r="BA323" s="117"/>
      <c r="BB323" s="117"/>
      <c r="BC323" s="117"/>
      <c r="BD323" s="117">
        <v>0</v>
      </c>
      <c r="BE323" s="117"/>
      <c r="BF323" s="117"/>
      <c r="BG323" s="117"/>
      <c r="BH323" s="117"/>
      <c r="BI323" s="117">
        <v>0</v>
      </c>
      <c r="BJ323" s="117"/>
      <c r="BK323" s="117"/>
      <c r="BL323" s="117"/>
      <c r="BM323" s="117"/>
      <c r="BN323" s="117">
        <v>0</v>
      </c>
      <c r="BO323" s="117"/>
      <c r="BP323" s="117"/>
      <c r="BQ323" s="117"/>
      <c r="BR323" s="117"/>
    </row>
    <row r="324" spans="1:70" s="6" customFormat="1" ht="12.75" customHeight="1" x14ac:dyDescent="0.2">
      <c r="A324" s="100" t="s">
        <v>286</v>
      </c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2"/>
      <c r="U324" s="116">
        <v>2249235</v>
      </c>
      <c r="V324" s="116"/>
      <c r="W324" s="116"/>
      <c r="X324" s="116"/>
      <c r="Y324" s="116"/>
      <c r="Z324" s="116">
        <v>0</v>
      </c>
      <c r="AA324" s="116"/>
      <c r="AB324" s="116"/>
      <c r="AC324" s="116"/>
      <c r="AD324" s="116"/>
      <c r="AE324" s="116">
        <v>2166100</v>
      </c>
      <c r="AF324" s="116"/>
      <c r="AG324" s="116"/>
      <c r="AH324" s="116"/>
      <c r="AI324" s="116"/>
      <c r="AJ324" s="116">
        <v>0</v>
      </c>
      <c r="AK324" s="116"/>
      <c r="AL324" s="116"/>
      <c r="AM324" s="116"/>
      <c r="AN324" s="116"/>
      <c r="AO324" s="116">
        <v>0</v>
      </c>
      <c r="AP324" s="116"/>
      <c r="AQ324" s="116"/>
      <c r="AR324" s="116"/>
      <c r="AS324" s="116"/>
      <c r="AT324" s="116">
        <v>0</v>
      </c>
      <c r="AU324" s="116"/>
      <c r="AV324" s="116"/>
      <c r="AW324" s="116"/>
      <c r="AX324" s="116"/>
      <c r="AY324" s="116">
        <v>0</v>
      </c>
      <c r="AZ324" s="116"/>
      <c r="BA324" s="116"/>
      <c r="BB324" s="116"/>
      <c r="BC324" s="116"/>
      <c r="BD324" s="116">
        <v>0</v>
      </c>
      <c r="BE324" s="116"/>
      <c r="BF324" s="116"/>
      <c r="BG324" s="116"/>
      <c r="BH324" s="116"/>
      <c r="BI324" s="116">
        <v>0</v>
      </c>
      <c r="BJ324" s="116"/>
      <c r="BK324" s="116"/>
      <c r="BL324" s="116"/>
      <c r="BM324" s="116"/>
      <c r="BN324" s="116">
        <v>0</v>
      </c>
      <c r="BO324" s="116"/>
      <c r="BP324" s="116"/>
      <c r="BQ324" s="116"/>
      <c r="BR324" s="116"/>
    </row>
    <row r="325" spans="1:70" s="99" customFormat="1" ht="12.75" customHeight="1" x14ac:dyDescent="0.2">
      <c r="A325" s="92" t="s">
        <v>287</v>
      </c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4"/>
      <c r="U325" s="117">
        <v>1140523</v>
      </c>
      <c r="V325" s="117"/>
      <c r="W325" s="117"/>
      <c r="X325" s="117"/>
      <c r="Y325" s="117"/>
      <c r="Z325" s="117">
        <v>0</v>
      </c>
      <c r="AA325" s="117"/>
      <c r="AB325" s="117"/>
      <c r="AC325" s="117"/>
      <c r="AD325" s="117"/>
      <c r="AE325" s="117">
        <v>1101908</v>
      </c>
      <c r="AF325" s="117"/>
      <c r="AG325" s="117"/>
      <c r="AH325" s="117"/>
      <c r="AI325" s="117"/>
      <c r="AJ325" s="117">
        <v>0</v>
      </c>
      <c r="AK325" s="117"/>
      <c r="AL325" s="117"/>
      <c r="AM325" s="117"/>
      <c r="AN325" s="117"/>
      <c r="AO325" s="117">
        <v>0</v>
      </c>
      <c r="AP325" s="117"/>
      <c r="AQ325" s="117"/>
      <c r="AR325" s="117"/>
      <c r="AS325" s="117"/>
      <c r="AT325" s="117">
        <v>0</v>
      </c>
      <c r="AU325" s="117"/>
      <c r="AV325" s="117"/>
      <c r="AW325" s="117"/>
      <c r="AX325" s="117"/>
      <c r="AY325" s="117">
        <v>0</v>
      </c>
      <c r="AZ325" s="117"/>
      <c r="BA325" s="117"/>
      <c r="BB325" s="117"/>
      <c r="BC325" s="117"/>
      <c r="BD325" s="117">
        <v>0</v>
      </c>
      <c r="BE325" s="117"/>
      <c r="BF325" s="117"/>
      <c r="BG325" s="117"/>
      <c r="BH325" s="117"/>
      <c r="BI325" s="117">
        <v>0</v>
      </c>
      <c r="BJ325" s="117"/>
      <c r="BK325" s="117"/>
      <c r="BL325" s="117"/>
      <c r="BM325" s="117"/>
      <c r="BN325" s="117">
        <v>0</v>
      </c>
      <c r="BO325" s="117"/>
      <c r="BP325" s="117"/>
      <c r="BQ325" s="117"/>
      <c r="BR325" s="117"/>
    </row>
    <row r="326" spans="1:70" s="99" customFormat="1" ht="12.75" customHeight="1" x14ac:dyDescent="0.2">
      <c r="A326" s="92" t="s">
        <v>288</v>
      </c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4"/>
      <c r="U326" s="117">
        <v>1108712</v>
      </c>
      <c r="V326" s="117"/>
      <c r="W326" s="117"/>
      <c r="X326" s="117"/>
      <c r="Y326" s="117"/>
      <c r="Z326" s="117">
        <v>0</v>
      </c>
      <c r="AA326" s="117"/>
      <c r="AB326" s="117"/>
      <c r="AC326" s="117"/>
      <c r="AD326" s="117"/>
      <c r="AE326" s="117">
        <v>1064192</v>
      </c>
      <c r="AF326" s="117"/>
      <c r="AG326" s="117"/>
      <c r="AH326" s="117"/>
      <c r="AI326" s="117"/>
      <c r="AJ326" s="117">
        <v>0</v>
      </c>
      <c r="AK326" s="117"/>
      <c r="AL326" s="117"/>
      <c r="AM326" s="117"/>
      <c r="AN326" s="117"/>
      <c r="AO326" s="117">
        <v>0</v>
      </c>
      <c r="AP326" s="117"/>
      <c r="AQ326" s="117"/>
      <c r="AR326" s="117"/>
      <c r="AS326" s="117"/>
      <c r="AT326" s="117">
        <v>0</v>
      </c>
      <c r="AU326" s="117"/>
      <c r="AV326" s="117"/>
      <c r="AW326" s="117"/>
      <c r="AX326" s="117"/>
      <c r="AY326" s="117">
        <v>0</v>
      </c>
      <c r="AZ326" s="117"/>
      <c r="BA326" s="117"/>
      <c r="BB326" s="117"/>
      <c r="BC326" s="117"/>
      <c r="BD326" s="117">
        <v>0</v>
      </c>
      <c r="BE326" s="117"/>
      <c r="BF326" s="117"/>
      <c r="BG326" s="117"/>
      <c r="BH326" s="117"/>
      <c r="BI326" s="117">
        <v>0</v>
      </c>
      <c r="BJ326" s="117"/>
      <c r="BK326" s="117"/>
      <c r="BL326" s="117"/>
      <c r="BM326" s="117"/>
      <c r="BN326" s="117">
        <v>0</v>
      </c>
      <c r="BO326" s="117"/>
      <c r="BP326" s="117"/>
      <c r="BQ326" s="117"/>
      <c r="BR326" s="117"/>
    </row>
    <row r="327" spans="1:70" s="99" customFormat="1" ht="12.75" customHeight="1" x14ac:dyDescent="0.2">
      <c r="A327" s="92" t="s">
        <v>289</v>
      </c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4"/>
      <c r="U327" s="117">
        <v>202383</v>
      </c>
      <c r="V327" s="117"/>
      <c r="W327" s="117"/>
      <c r="X327" s="117"/>
      <c r="Y327" s="117"/>
      <c r="Z327" s="117">
        <v>0</v>
      </c>
      <c r="AA327" s="117"/>
      <c r="AB327" s="117"/>
      <c r="AC327" s="117"/>
      <c r="AD327" s="117"/>
      <c r="AE327" s="117">
        <v>409937</v>
      </c>
      <c r="AF327" s="117"/>
      <c r="AG327" s="117"/>
      <c r="AH327" s="117"/>
      <c r="AI327" s="117"/>
      <c r="AJ327" s="117">
        <v>0</v>
      </c>
      <c r="AK327" s="117"/>
      <c r="AL327" s="117"/>
      <c r="AM327" s="117"/>
      <c r="AN327" s="117"/>
      <c r="AO327" s="117">
        <v>0</v>
      </c>
      <c r="AP327" s="117"/>
      <c r="AQ327" s="117"/>
      <c r="AR327" s="117"/>
      <c r="AS327" s="117"/>
      <c r="AT327" s="117">
        <v>0</v>
      </c>
      <c r="AU327" s="117"/>
      <c r="AV327" s="117"/>
      <c r="AW327" s="117"/>
      <c r="AX327" s="117"/>
      <c r="AY327" s="117">
        <v>0</v>
      </c>
      <c r="AZ327" s="117"/>
      <c r="BA327" s="117"/>
      <c r="BB327" s="117"/>
      <c r="BC327" s="117"/>
      <c r="BD327" s="117">
        <v>0</v>
      </c>
      <c r="BE327" s="117"/>
      <c r="BF327" s="117"/>
      <c r="BG327" s="117"/>
      <c r="BH327" s="117"/>
      <c r="BI327" s="117">
        <v>0</v>
      </c>
      <c r="BJ327" s="117"/>
      <c r="BK327" s="117"/>
      <c r="BL327" s="117"/>
      <c r="BM327" s="117"/>
      <c r="BN327" s="117">
        <v>0</v>
      </c>
      <c r="BO327" s="117"/>
      <c r="BP327" s="117"/>
      <c r="BQ327" s="117"/>
      <c r="BR327" s="117"/>
    </row>
    <row r="328" spans="1:70" s="6" customFormat="1" ht="12.75" customHeight="1" x14ac:dyDescent="0.2">
      <c r="A328" s="100" t="s">
        <v>147</v>
      </c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2"/>
      <c r="U328" s="116">
        <v>18535965</v>
      </c>
      <c r="V328" s="116"/>
      <c r="W328" s="116"/>
      <c r="X328" s="116"/>
      <c r="Y328" s="116"/>
      <c r="Z328" s="116">
        <v>0</v>
      </c>
      <c r="AA328" s="116"/>
      <c r="AB328" s="116"/>
      <c r="AC328" s="116"/>
      <c r="AD328" s="116"/>
      <c r="AE328" s="116">
        <v>18535965</v>
      </c>
      <c r="AF328" s="116"/>
      <c r="AG328" s="116"/>
      <c r="AH328" s="116"/>
      <c r="AI328" s="116"/>
      <c r="AJ328" s="116">
        <v>0</v>
      </c>
      <c r="AK328" s="116"/>
      <c r="AL328" s="116"/>
      <c r="AM328" s="116"/>
      <c r="AN328" s="116"/>
      <c r="AO328" s="116">
        <v>0</v>
      </c>
      <c r="AP328" s="116"/>
      <c r="AQ328" s="116"/>
      <c r="AR328" s="116"/>
      <c r="AS328" s="116"/>
      <c r="AT328" s="116">
        <v>0</v>
      </c>
      <c r="AU328" s="116"/>
      <c r="AV328" s="116"/>
      <c r="AW328" s="116"/>
      <c r="AX328" s="116"/>
      <c r="AY328" s="116">
        <v>0</v>
      </c>
      <c r="AZ328" s="116"/>
      <c r="BA328" s="116"/>
      <c r="BB328" s="116"/>
      <c r="BC328" s="116"/>
      <c r="BD328" s="116">
        <v>0</v>
      </c>
      <c r="BE328" s="116"/>
      <c r="BF328" s="116"/>
      <c r="BG328" s="116"/>
      <c r="BH328" s="116"/>
      <c r="BI328" s="116">
        <v>0</v>
      </c>
      <c r="BJ328" s="116"/>
      <c r="BK328" s="116"/>
      <c r="BL328" s="116"/>
      <c r="BM328" s="116"/>
      <c r="BN328" s="116">
        <v>0</v>
      </c>
      <c r="BO328" s="116"/>
      <c r="BP328" s="116"/>
      <c r="BQ328" s="116"/>
      <c r="BR328" s="116"/>
    </row>
    <row r="329" spans="1:70" s="99" customFormat="1" ht="38.25" customHeight="1" x14ac:dyDescent="0.2">
      <c r="A329" s="92" t="s">
        <v>290</v>
      </c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4"/>
      <c r="U329" s="117" t="s">
        <v>173</v>
      </c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 t="s">
        <v>173</v>
      </c>
      <c r="AF329" s="117"/>
      <c r="AG329" s="117"/>
      <c r="AH329" s="117"/>
      <c r="AI329" s="117"/>
      <c r="AJ329" s="117"/>
      <c r="AK329" s="117"/>
      <c r="AL329" s="117"/>
      <c r="AM329" s="117"/>
      <c r="AN329" s="117"/>
      <c r="AO329" s="117" t="s">
        <v>173</v>
      </c>
      <c r="AP329" s="117"/>
      <c r="AQ329" s="117"/>
      <c r="AR329" s="117"/>
      <c r="AS329" s="117"/>
      <c r="AT329" s="117"/>
      <c r="AU329" s="117"/>
      <c r="AV329" s="117"/>
      <c r="AW329" s="117"/>
      <c r="AX329" s="117"/>
      <c r="AY329" s="117" t="s">
        <v>173</v>
      </c>
      <c r="AZ329" s="117"/>
      <c r="BA329" s="117"/>
      <c r="BB329" s="117"/>
      <c r="BC329" s="117"/>
      <c r="BD329" s="117"/>
      <c r="BE329" s="117"/>
      <c r="BF329" s="117"/>
      <c r="BG329" s="117"/>
      <c r="BH329" s="117"/>
      <c r="BI329" s="117" t="s">
        <v>173</v>
      </c>
      <c r="BJ329" s="117"/>
      <c r="BK329" s="117"/>
      <c r="BL329" s="117"/>
      <c r="BM329" s="117"/>
      <c r="BN329" s="117"/>
      <c r="BO329" s="117"/>
      <c r="BP329" s="117"/>
      <c r="BQ329" s="117"/>
      <c r="BR329" s="117"/>
    </row>
    <row r="332" spans="1:70" ht="14.25" customHeight="1" x14ac:dyDescent="0.2">
      <c r="A332" s="29" t="s">
        <v>125</v>
      </c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</row>
    <row r="333" spans="1:70" ht="15" customHeight="1" x14ac:dyDescent="0.2">
      <c r="A333" s="51" t="s">
        <v>6</v>
      </c>
      <c r="B333" s="52"/>
      <c r="C333" s="52"/>
      <c r="D333" s="51" t="s">
        <v>10</v>
      </c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3"/>
      <c r="W333" s="27" t="s">
        <v>305</v>
      </c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 t="s">
        <v>309</v>
      </c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 t="s">
        <v>321</v>
      </c>
      <c r="AV333" s="27"/>
      <c r="AW333" s="27"/>
      <c r="AX333" s="27"/>
      <c r="AY333" s="27"/>
      <c r="AZ333" s="27"/>
      <c r="BA333" s="27" t="s">
        <v>327</v>
      </c>
      <c r="BB333" s="27"/>
      <c r="BC333" s="27"/>
      <c r="BD333" s="27"/>
      <c r="BE333" s="27"/>
      <c r="BF333" s="27"/>
      <c r="BG333" s="27" t="s">
        <v>336</v>
      </c>
      <c r="BH333" s="27"/>
      <c r="BI333" s="27"/>
      <c r="BJ333" s="27"/>
      <c r="BK333" s="27"/>
      <c r="BL333" s="27"/>
    </row>
    <row r="334" spans="1:70" ht="15" customHeight="1" x14ac:dyDescent="0.2">
      <c r="A334" s="71"/>
      <c r="B334" s="72"/>
      <c r="C334" s="72"/>
      <c r="D334" s="71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3"/>
      <c r="W334" s="27" t="s">
        <v>4</v>
      </c>
      <c r="X334" s="27"/>
      <c r="Y334" s="27"/>
      <c r="Z334" s="27"/>
      <c r="AA334" s="27"/>
      <c r="AB334" s="27"/>
      <c r="AC334" s="27" t="s">
        <v>3</v>
      </c>
      <c r="AD334" s="27"/>
      <c r="AE334" s="27"/>
      <c r="AF334" s="27"/>
      <c r="AG334" s="27"/>
      <c r="AH334" s="27"/>
      <c r="AI334" s="27" t="s">
        <v>4</v>
      </c>
      <c r="AJ334" s="27"/>
      <c r="AK334" s="27"/>
      <c r="AL334" s="27"/>
      <c r="AM334" s="27"/>
      <c r="AN334" s="27"/>
      <c r="AO334" s="27" t="s">
        <v>3</v>
      </c>
      <c r="AP334" s="27"/>
      <c r="AQ334" s="27"/>
      <c r="AR334" s="27"/>
      <c r="AS334" s="27"/>
      <c r="AT334" s="27"/>
      <c r="AU334" s="74" t="s">
        <v>4</v>
      </c>
      <c r="AV334" s="74"/>
      <c r="AW334" s="74"/>
      <c r="AX334" s="74" t="s">
        <v>3</v>
      </c>
      <c r="AY334" s="74"/>
      <c r="AZ334" s="74"/>
      <c r="BA334" s="74" t="s">
        <v>4</v>
      </c>
      <c r="BB334" s="74"/>
      <c r="BC334" s="74"/>
      <c r="BD334" s="74" t="s">
        <v>3</v>
      </c>
      <c r="BE334" s="74"/>
      <c r="BF334" s="74"/>
      <c r="BG334" s="74" t="s">
        <v>4</v>
      </c>
      <c r="BH334" s="74"/>
      <c r="BI334" s="74"/>
      <c r="BJ334" s="74" t="s">
        <v>3</v>
      </c>
      <c r="BK334" s="74"/>
      <c r="BL334" s="74"/>
    </row>
    <row r="335" spans="1:70" ht="57" customHeight="1" x14ac:dyDescent="0.2">
      <c r="A335" s="54"/>
      <c r="B335" s="55"/>
      <c r="C335" s="55"/>
      <c r="D335" s="54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6"/>
      <c r="W335" s="27" t="s">
        <v>12</v>
      </c>
      <c r="X335" s="27"/>
      <c r="Y335" s="27"/>
      <c r="Z335" s="27" t="s">
        <v>11</v>
      </c>
      <c r="AA335" s="27"/>
      <c r="AB335" s="27"/>
      <c r="AC335" s="27" t="s">
        <v>12</v>
      </c>
      <c r="AD335" s="27"/>
      <c r="AE335" s="27"/>
      <c r="AF335" s="27" t="s">
        <v>11</v>
      </c>
      <c r="AG335" s="27"/>
      <c r="AH335" s="27"/>
      <c r="AI335" s="27" t="s">
        <v>12</v>
      </c>
      <c r="AJ335" s="27"/>
      <c r="AK335" s="27"/>
      <c r="AL335" s="27" t="s">
        <v>11</v>
      </c>
      <c r="AM335" s="27"/>
      <c r="AN335" s="27"/>
      <c r="AO335" s="27" t="s">
        <v>12</v>
      </c>
      <c r="AP335" s="27"/>
      <c r="AQ335" s="27"/>
      <c r="AR335" s="27" t="s">
        <v>11</v>
      </c>
      <c r="AS335" s="27"/>
      <c r="AT335" s="27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</row>
    <row r="336" spans="1:70" ht="15" customHeight="1" x14ac:dyDescent="0.2">
      <c r="A336" s="36">
        <v>1</v>
      </c>
      <c r="B336" s="37"/>
      <c r="C336" s="37"/>
      <c r="D336" s="36">
        <v>2</v>
      </c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8"/>
      <c r="W336" s="27">
        <v>3</v>
      </c>
      <c r="X336" s="27"/>
      <c r="Y336" s="27"/>
      <c r="Z336" s="27">
        <v>4</v>
      </c>
      <c r="AA336" s="27"/>
      <c r="AB336" s="27"/>
      <c r="AC336" s="27">
        <v>5</v>
      </c>
      <c r="AD336" s="27"/>
      <c r="AE336" s="27"/>
      <c r="AF336" s="27">
        <v>6</v>
      </c>
      <c r="AG336" s="27"/>
      <c r="AH336" s="27"/>
      <c r="AI336" s="27">
        <v>7</v>
      </c>
      <c r="AJ336" s="27"/>
      <c r="AK336" s="27"/>
      <c r="AL336" s="27">
        <v>8</v>
      </c>
      <c r="AM336" s="27"/>
      <c r="AN336" s="27"/>
      <c r="AO336" s="27">
        <v>9</v>
      </c>
      <c r="AP336" s="27"/>
      <c r="AQ336" s="27"/>
      <c r="AR336" s="27">
        <v>10</v>
      </c>
      <c r="AS336" s="27"/>
      <c r="AT336" s="27"/>
      <c r="AU336" s="27">
        <v>11</v>
      </c>
      <c r="AV336" s="27"/>
      <c r="AW336" s="27"/>
      <c r="AX336" s="27">
        <v>12</v>
      </c>
      <c r="AY336" s="27"/>
      <c r="AZ336" s="27"/>
      <c r="BA336" s="27">
        <v>13</v>
      </c>
      <c r="BB336" s="27"/>
      <c r="BC336" s="27"/>
      <c r="BD336" s="27">
        <v>14</v>
      </c>
      <c r="BE336" s="27"/>
      <c r="BF336" s="27"/>
      <c r="BG336" s="27">
        <v>15</v>
      </c>
      <c r="BH336" s="27"/>
      <c r="BI336" s="27"/>
      <c r="BJ336" s="27">
        <v>16</v>
      </c>
      <c r="BK336" s="27"/>
      <c r="BL336" s="27"/>
    </row>
    <row r="337" spans="1:79" s="1" customFormat="1" ht="12.75" hidden="1" customHeight="1" x14ac:dyDescent="0.2">
      <c r="A337" s="39" t="s">
        <v>69</v>
      </c>
      <c r="B337" s="40"/>
      <c r="C337" s="40"/>
      <c r="D337" s="39" t="s">
        <v>57</v>
      </c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1"/>
      <c r="W337" s="26" t="s">
        <v>72</v>
      </c>
      <c r="X337" s="26"/>
      <c r="Y337" s="26"/>
      <c r="Z337" s="26" t="s">
        <v>73</v>
      </c>
      <c r="AA337" s="26"/>
      <c r="AB337" s="26"/>
      <c r="AC337" s="30" t="s">
        <v>74</v>
      </c>
      <c r="AD337" s="30"/>
      <c r="AE337" s="30"/>
      <c r="AF337" s="30" t="s">
        <v>75</v>
      </c>
      <c r="AG337" s="30"/>
      <c r="AH337" s="30"/>
      <c r="AI337" s="26" t="s">
        <v>76</v>
      </c>
      <c r="AJ337" s="26"/>
      <c r="AK337" s="26"/>
      <c r="AL337" s="26" t="s">
        <v>77</v>
      </c>
      <c r="AM337" s="26"/>
      <c r="AN337" s="26"/>
      <c r="AO337" s="30" t="s">
        <v>104</v>
      </c>
      <c r="AP337" s="30"/>
      <c r="AQ337" s="30"/>
      <c r="AR337" s="30" t="s">
        <v>78</v>
      </c>
      <c r="AS337" s="30"/>
      <c r="AT337" s="30"/>
      <c r="AU337" s="26" t="s">
        <v>105</v>
      </c>
      <c r="AV337" s="26"/>
      <c r="AW337" s="26"/>
      <c r="AX337" s="30" t="s">
        <v>106</v>
      </c>
      <c r="AY337" s="30"/>
      <c r="AZ337" s="30"/>
      <c r="BA337" s="26" t="s">
        <v>107</v>
      </c>
      <c r="BB337" s="26"/>
      <c r="BC337" s="26"/>
      <c r="BD337" s="30" t="s">
        <v>108</v>
      </c>
      <c r="BE337" s="30"/>
      <c r="BF337" s="30"/>
      <c r="BG337" s="26" t="s">
        <v>109</v>
      </c>
      <c r="BH337" s="26"/>
      <c r="BI337" s="26"/>
      <c r="BJ337" s="30" t="s">
        <v>110</v>
      </c>
      <c r="BK337" s="30"/>
      <c r="BL337" s="30"/>
      <c r="CA337" s="1" t="s">
        <v>103</v>
      </c>
    </row>
    <row r="338" spans="1:79" s="6" customFormat="1" ht="12.75" customHeight="1" x14ac:dyDescent="0.2">
      <c r="A338" s="86">
        <v>1</v>
      </c>
      <c r="B338" s="87"/>
      <c r="C338" s="87"/>
      <c r="D338" s="100" t="s">
        <v>291</v>
      </c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CA338" s="6" t="s">
        <v>43</v>
      </c>
    </row>
    <row r="339" spans="1:79" s="99" customFormat="1" ht="25.5" customHeight="1" x14ac:dyDescent="0.2">
      <c r="A339" s="89">
        <v>2</v>
      </c>
      <c r="B339" s="90"/>
      <c r="C339" s="90"/>
      <c r="D339" s="92" t="s">
        <v>292</v>
      </c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4"/>
      <c r="W339" s="115" t="s">
        <v>173</v>
      </c>
      <c r="X339" s="115"/>
      <c r="Y339" s="115"/>
      <c r="Z339" s="115" t="s">
        <v>173</v>
      </c>
      <c r="AA339" s="115"/>
      <c r="AB339" s="115"/>
      <c r="AC339" s="115"/>
      <c r="AD339" s="115"/>
      <c r="AE339" s="115"/>
      <c r="AF339" s="115"/>
      <c r="AG339" s="115"/>
      <c r="AH339" s="115"/>
      <c r="AI339" s="115" t="s">
        <v>173</v>
      </c>
      <c r="AJ339" s="115"/>
      <c r="AK339" s="115"/>
      <c r="AL339" s="115" t="s">
        <v>173</v>
      </c>
      <c r="AM339" s="115"/>
      <c r="AN339" s="115"/>
      <c r="AO339" s="115"/>
      <c r="AP339" s="115"/>
      <c r="AQ339" s="115"/>
      <c r="AR339" s="115"/>
      <c r="AS339" s="115"/>
      <c r="AT339" s="115"/>
      <c r="AU339" s="115" t="s">
        <v>173</v>
      </c>
      <c r="AV339" s="115"/>
      <c r="AW339" s="115"/>
      <c r="AX339" s="115"/>
      <c r="AY339" s="115"/>
      <c r="AZ339" s="115"/>
      <c r="BA339" s="115" t="s">
        <v>173</v>
      </c>
      <c r="BB339" s="115"/>
      <c r="BC339" s="115"/>
      <c r="BD339" s="115"/>
      <c r="BE339" s="115"/>
      <c r="BF339" s="115"/>
      <c r="BG339" s="115" t="s">
        <v>173</v>
      </c>
      <c r="BH339" s="115"/>
      <c r="BI339" s="115"/>
      <c r="BJ339" s="115"/>
      <c r="BK339" s="115"/>
      <c r="BL339" s="115"/>
    </row>
    <row r="342" spans="1:79" ht="14.25" customHeight="1" x14ac:dyDescent="0.2">
      <c r="A342" s="29" t="s">
        <v>153</v>
      </c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</row>
    <row r="343" spans="1:79" ht="14.25" customHeight="1" x14ac:dyDescent="0.2">
      <c r="A343" s="29" t="s">
        <v>322</v>
      </c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</row>
    <row r="344" spans="1:79" ht="15" customHeight="1" x14ac:dyDescent="0.2">
      <c r="A344" s="31" t="s">
        <v>304</v>
      </c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</row>
    <row r="345" spans="1:79" ht="15" customHeight="1" x14ac:dyDescent="0.2">
      <c r="A345" s="27" t="s">
        <v>6</v>
      </c>
      <c r="B345" s="27"/>
      <c r="C345" s="27"/>
      <c r="D345" s="27"/>
      <c r="E345" s="27"/>
      <c r="F345" s="27"/>
      <c r="G345" s="27" t="s">
        <v>126</v>
      </c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 t="s">
        <v>13</v>
      </c>
      <c r="U345" s="27"/>
      <c r="V345" s="27"/>
      <c r="W345" s="27"/>
      <c r="X345" s="27"/>
      <c r="Y345" s="27"/>
      <c r="Z345" s="27"/>
      <c r="AA345" s="36" t="s">
        <v>305</v>
      </c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7"/>
      <c r="AP345" s="36" t="s">
        <v>308</v>
      </c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8"/>
      <c r="BE345" s="36" t="s">
        <v>316</v>
      </c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8"/>
    </row>
    <row r="346" spans="1:79" ht="32.1" customHeight="1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 t="s">
        <v>4</v>
      </c>
      <c r="AB346" s="27"/>
      <c r="AC346" s="27"/>
      <c r="AD346" s="27"/>
      <c r="AE346" s="27"/>
      <c r="AF346" s="27" t="s">
        <v>3</v>
      </c>
      <c r="AG346" s="27"/>
      <c r="AH346" s="27"/>
      <c r="AI346" s="27"/>
      <c r="AJ346" s="27"/>
      <c r="AK346" s="27" t="s">
        <v>89</v>
      </c>
      <c r="AL346" s="27"/>
      <c r="AM346" s="27"/>
      <c r="AN346" s="27"/>
      <c r="AO346" s="27"/>
      <c r="AP346" s="27" t="s">
        <v>4</v>
      </c>
      <c r="AQ346" s="27"/>
      <c r="AR346" s="27"/>
      <c r="AS346" s="27"/>
      <c r="AT346" s="27"/>
      <c r="AU346" s="27" t="s">
        <v>3</v>
      </c>
      <c r="AV346" s="27"/>
      <c r="AW346" s="27"/>
      <c r="AX346" s="27"/>
      <c r="AY346" s="27"/>
      <c r="AZ346" s="27" t="s">
        <v>96</v>
      </c>
      <c r="BA346" s="27"/>
      <c r="BB346" s="27"/>
      <c r="BC346" s="27"/>
      <c r="BD346" s="27"/>
      <c r="BE346" s="27" t="s">
        <v>4</v>
      </c>
      <c r="BF346" s="27"/>
      <c r="BG346" s="27"/>
      <c r="BH346" s="27"/>
      <c r="BI346" s="27"/>
      <c r="BJ346" s="27" t="s">
        <v>3</v>
      </c>
      <c r="BK346" s="27"/>
      <c r="BL346" s="27"/>
      <c r="BM346" s="27"/>
      <c r="BN346" s="27"/>
      <c r="BO346" s="27" t="s">
        <v>127</v>
      </c>
      <c r="BP346" s="27"/>
      <c r="BQ346" s="27"/>
      <c r="BR346" s="27"/>
      <c r="BS346" s="27"/>
    </row>
    <row r="347" spans="1:79" ht="15" customHeight="1" x14ac:dyDescent="0.2">
      <c r="A347" s="27">
        <v>1</v>
      </c>
      <c r="B347" s="27"/>
      <c r="C347" s="27"/>
      <c r="D347" s="27"/>
      <c r="E347" s="27"/>
      <c r="F347" s="27"/>
      <c r="G347" s="27">
        <v>2</v>
      </c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>
        <v>3</v>
      </c>
      <c r="U347" s="27"/>
      <c r="V347" s="27"/>
      <c r="W347" s="27"/>
      <c r="X347" s="27"/>
      <c r="Y347" s="27"/>
      <c r="Z347" s="27"/>
      <c r="AA347" s="27">
        <v>4</v>
      </c>
      <c r="AB347" s="27"/>
      <c r="AC347" s="27"/>
      <c r="AD347" s="27"/>
      <c r="AE347" s="27"/>
      <c r="AF347" s="27">
        <v>5</v>
      </c>
      <c r="AG347" s="27"/>
      <c r="AH347" s="27"/>
      <c r="AI347" s="27"/>
      <c r="AJ347" s="27"/>
      <c r="AK347" s="27">
        <v>6</v>
      </c>
      <c r="AL347" s="27"/>
      <c r="AM347" s="27"/>
      <c r="AN347" s="27"/>
      <c r="AO347" s="27"/>
      <c r="AP347" s="27">
        <v>7</v>
      </c>
      <c r="AQ347" s="27"/>
      <c r="AR347" s="27"/>
      <c r="AS347" s="27"/>
      <c r="AT347" s="27"/>
      <c r="AU347" s="27">
        <v>8</v>
      </c>
      <c r="AV347" s="27"/>
      <c r="AW347" s="27"/>
      <c r="AX347" s="27"/>
      <c r="AY347" s="27"/>
      <c r="AZ347" s="27">
        <v>9</v>
      </c>
      <c r="BA347" s="27"/>
      <c r="BB347" s="27"/>
      <c r="BC347" s="27"/>
      <c r="BD347" s="27"/>
      <c r="BE347" s="27">
        <v>10</v>
      </c>
      <c r="BF347" s="27"/>
      <c r="BG347" s="27"/>
      <c r="BH347" s="27"/>
      <c r="BI347" s="27"/>
      <c r="BJ347" s="27">
        <v>11</v>
      </c>
      <c r="BK347" s="27"/>
      <c r="BL347" s="27"/>
      <c r="BM347" s="27"/>
      <c r="BN347" s="27"/>
      <c r="BO347" s="27">
        <v>12</v>
      </c>
      <c r="BP347" s="27"/>
      <c r="BQ347" s="27"/>
      <c r="BR347" s="27"/>
      <c r="BS347" s="27"/>
    </row>
    <row r="348" spans="1:79" s="1" customFormat="1" ht="15" hidden="1" customHeight="1" x14ac:dyDescent="0.2">
      <c r="A348" s="26" t="s">
        <v>69</v>
      </c>
      <c r="B348" s="26"/>
      <c r="C348" s="26"/>
      <c r="D348" s="26"/>
      <c r="E348" s="26"/>
      <c r="F348" s="26"/>
      <c r="G348" s="67" t="s">
        <v>57</v>
      </c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 t="s">
        <v>79</v>
      </c>
      <c r="U348" s="67"/>
      <c r="V348" s="67"/>
      <c r="W348" s="67"/>
      <c r="X348" s="67"/>
      <c r="Y348" s="67"/>
      <c r="Z348" s="67"/>
      <c r="AA348" s="30" t="s">
        <v>65</v>
      </c>
      <c r="AB348" s="30"/>
      <c r="AC348" s="30"/>
      <c r="AD348" s="30"/>
      <c r="AE348" s="30"/>
      <c r="AF348" s="30" t="s">
        <v>66</v>
      </c>
      <c r="AG348" s="30"/>
      <c r="AH348" s="30"/>
      <c r="AI348" s="30"/>
      <c r="AJ348" s="30"/>
      <c r="AK348" s="50" t="s">
        <v>122</v>
      </c>
      <c r="AL348" s="50"/>
      <c r="AM348" s="50"/>
      <c r="AN348" s="50"/>
      <c r="AO348" s="50"/>
      <c r="AP348" s="30" t="s">
        <v>67</v>
      </c>
      <c r="AQ348" s="30"/>
      <c r="AR348" s="30"/>
      <c r="AS348" s="30"/>
      <c r="AT348" s="30"/>
      <c r="AU348" s="30" t="s">
        <v>68</v>
      </c>
      <c r="AV348" s="30"/>
      <c r="AW348" s="30"/>
      <c r="AX348" s="30"/>
      <c r="AY348" s="30"/>
      <c r="AZ348" s="50" t="s">
        <v>122</v>
      </c>
      <c r="BA348" s="50"/>
      <c r="BB348" s="50"/>
      <c r="BC348" s="50"/>
      <c r="BD348" s="50"/>
      <c r="BE348" s="30" t="s">
        <v>58</v>
      </c>
      <c r="BF348" s="30"/>
      <c r="BG348" s="30"/>
      <c r="BH348" s="30"/>
      <c r="BI348" s="30"/>
      <c r="BJ348" s="30" t="s">
        <v>59</v>
      </c>
      <c r="BK348" s="30"/>
      <c r="BL348" s="30"/>
      <c r="BM348" s="30"/>
      <c r="BN348" s="30"/>
      <c r="BO348" s="50" t="s">
        <v>122</v>
      </c>
      <c r="BP348" s="50"/>
      <c r="BQ348" s="50"/>
      <c r="BR348" s="50"/>
      <c r="BS348" s="50"/>
      <c r="CA348" s="1" t="s">
        <v>44</v>
      </c>
    </row>
    <row r="349" spans="1:79" s="6" customFormat="1" ht="12.75" customHeight="1" x14ac:dyDescent="0.2">
      <c r="A349" s="85"/>
      <c r="B349" s="85"/>
      <c r="C349" s="85"/>
      <c r="D349" s="85"/>
      <c r="E349" s="85"/>
      <c r="F349" s="85"/>
      <c r="G349" s="118" t="s">
        <v>147</v>
      </c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9"/>
      <c r="U349" s="119"/>
      <c r="V349" s="119"/>
      <c r="W349" s="119"/>
      <c r="X349" s="119"/>
      <c r="Y349" s="119"/>
      <c r="Z349" s="119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>
        <f>IF(ISNUMBER(AA349),AA349,0)+IF(ISNUMBER(AF349),AF349,0)</f>
        <v>0</v>
      </c>
      <c r="AL349" s="116"/>
      <c r="AM349" s="116"/>
      <c r="AN349" s="116"/>
      <c r="AO349" s="116"/>
      <c r="AP349" s="116"/>
      <c r="AQ349" s="116"/>
      <c r="AR349" s="116"/>
      <c r="AS349" s="116"/>
      <c r="AT349" s="116"/>
      <c r="AU349" s="116"/>
      <c r="AV349" s="116"/>
      <c r="AW349" s="116"/>
      <c r="AX349" s="116"/>
      <c r="AY349" s="116"/>
      <c r="AZ349" s="116">
        <f>IF(ISNUMBER(AP349),AP349,0)+IF(ISNUMBER(AU349),AU349,0)</f>
        <v>0</v>
      </c>
      <c r="BA349" s="116"/>
      <c r="BB349" s="116"/>
      <c r="BC349" s="116"/>
      <c r="BD349" s="116"/>
      <c r="BE349" s="116"/>
      <c r="BF349" s="116"/>
      <c r="BG349" s="116"/>
      <c r="BH349" s="116"/>
      <c r="BI349" s="116"/>
      <c r="BJ349" s="116"/>
      <c r="BK349" s="116"/>
      <c r="BL349" s="116"/>
      <c r="BM349" s="116"/>
      <c r="BN349" s="116"/>
      <c r="BO349" s="116">
        <f>IF(ISNUMBER(BE349),BE349,0)+IF(ISNUMBER(BJ349),BJ349,0)</f>
        <v>0</v>
      </c>
      <c r="BP349" s="116"/>
      <c r="BQ349" s="116"/>
      <c r="BR349" s="116"/>
      <c r="BS349" s="116"/>
      <c r="CA349" s="6" t="s">
        <v>45</v>
      </c>
    </row>
    <row r="351" spans="1:79" ht="13.5" customHeight="1" x14ac:dyDescent="0.2">
      <c r="A351" s="29" t="s">
        <v>337</v>
      </c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</row>
    <row r="352" spans="1:79" ht="15" customHeight="1" x14ac:dyDescent="0.2">
      <c r="A352" s="44" t="s">
        <v>304</v>
      </c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</row>
    <row r="353" spans="1:79" ht="15" customHeight="1" x14ac:dyDescent="0.2">
      <c r="A353" s="27" t="s">
        <v>6</v>
      </c>
      <c r="B353" s="27"/>
      <c r="C353" s="27"/>
      <c r="D353" s="27"/>
      <c r="E353" s="27"/>
      <c r="F353" s="27"/>
      <c r="G353" s="27" t="s">
        <v>126</v>
      </c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 t="s">
        <v>13</v>
      </c>
      <c r="U353" s="27"/>
      <c r="V353" s="27"/>
      <c r="W353" s="27"/>
      <c r="X353" s="27"/>
      <c r="Y353" s="27"/>
      <c r="Z353" s="27"/>
      <c r="AA353" s="36" t="s">
        <v>326</v>
      </c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7"/>
      <c r="AP353" s="36" t="s">
        <v>331</v>
      </c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8"/>
    </row>
    <row r="354" spans="1:79" ht="32.1" customHeight="1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 t="s">
        <v>4</v>
      </c>
      <c r="AB354" s="27"/>
      <c r="AC354" s="27"/>
      <c r="AD354" s="27"/>
      <c r="AE354" s="27"/>
      <c r="AF354" s="27" t="s">
        <v>3</v>
      </c>
      <c r="AG354" s="27"/>
      <c r="AH354" s="27"/>
      <c r="AI354" s="27"/>
      <c r="AJ354" s="27"/>
      <c r="AK354" s="27" t="s">
        <v>89</v>
      </c>
      <c r="AL354" s="27"/>
      <c r="AM354" s="27"/>
      <c r="AN354" s="27"/>
      <c r="AO354" s="27"/>
      <c r="AP354" s="27" t="s">
        <v>4</v>
      </c>
      <c r="AQ354" s="27"/>
      <c r="AR354" s="27"/>
      <c r="AS354" s="27"/>
      <c r="AT354" s="27"/>
      <c r="AU354" s="27" t="s">
        <v>3</v>
      </c>
      <c r="AV354" s="27"/>
      <c r="AW354" s="27"/>
      <c r="AX354" s="27"/>
      <c r="AY354" s="27"/>
      <c r="AZ354" s="27" t="s">
        <v>96</v>
      </c>
      <c r="BA354" s="27"/>
      <c r="BB354" s="27"/>
      <c r="BC354" s="27"/>
      <c r="BD354" s="27"/>
    </row>
    <row r="355" spans="1:79" ht="15" customHeight="1" x14ac:dyDescent="0.2">
      <c r="A355" s="27">
        <v>1</v>
      </c>
      <c r="B355" s="27"/>
      <c r="C355" s="27"/>
      <c r="D355" s="27"/>
      <c r="E355" s="27"/>
      <c r="F355" s="27"/>
      <c r="G355" s="27">
        <v>2</v>
      </c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>
        <v>3</v>
      </c>
      <c r="U355" s="27"/>
      <c r="V355" s="27"/>
      <c r="W355" s="27"/>
      <c r="X355" s="27"/>
      <c r="Y355" s="27"/>
      <c r="Z355" s="27"/>
      <c r="AA355" s="27">
        <v>4</v>
      </c>
      <c r="AB355" s="27"/>
      <c r="AC355" s="27"/>
      <c r="AD355" s="27"/>
      <c r="AE355" s="27"/>
      <c r="AF355" s="27">
        <v>5</v>
      </c>
      <c r="AG355" s="27"/>
      <c r="AH355" s="27"/>
      <c r="AI355" s="27"/>
      <c r="AJ355" s="27"/>
      <c r="AK355" s="27">
        <v>6</v>
      </c>
      <c r="AL355" s="27"/>
      <c r="AM355" s="27"/>
      <c r="AN355" s="27"/>
      <c r="AO355" s="27"/>
      <c r="AP355" s="27">
        <v>7</v>
      </c>
      <c r="AQ355" s="27"/>
      <c r="AR355" s="27"/>
      <c r="AS355" s="27"/>
      <c r="AT355" s="27"/>
      <c r="AU355" s="27">
        <v>8</v>
      </c>
      <c r="AV355" s="27"/>
      <c r="AW355" s="27"/>
      <c r="AX355" s="27"/>
      <c r="AY355" s="27"/>
      <c r="AZ355" s="27">
        <v>9</v>
      </c>
      <c r="BA355" s="27"/>
      <c r="BB355" s="27"/>
      <c r="BC355" s="27"/>
      <c r="BD355" s="27"/>
    </row>
    <row r="356" spans="1:79" s="1" customFormat="1" ht="12" hidden="1" customHeight="1" x14ac:dyDescent="0.2">
      <c r="A356" s="26" t="s">
        <v>69</v>
      </c>
      <c r="B356" s="26"/>
      <c r="C356" s="26"/>
      <c r="D356" s="26"/>
      <c r="E356" s="26"/>
      <c r="F356" s="26"/>
      <c r="G356" s="67" t="s">
        <v>57</v>
      </c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 t="s">
        <v>79</v>
      </c>
      <c r="U356" s="67"/>
      <c r="V356" s="67"/>
      <c r="W356" s="67"/>
      <c r="X356" s="67"/>
      <c r="Y356" s="67"/>
      <c r="Z356" s="67"/>
      <c r="AA356" s="30" t="s">
        <v>60</v>
      </c>
      <c r="AB356" s="30"/>
      <c r="AC356" s="30"/>
      <c r="AD356" s="30"/>
      <c r="AE356" s="30"/>
      <c r="AF356" s="30" t="s">
        <v>61</v>
      </c>
      <c r="AG356" s="30"/>
      <c r="AH356" s="30"/>
      <c r="AI356" s="30"/>
      <c r="AJ356" s="30"/>
      <c r="AK356" s="50" t="s">
        <v>122</v>
      </c>
      <c r="AL356" s="50"/>
      <c r="AM356" s="50"/>
      <c r="AN356" s="50"/>
      <c r="AO356" s="50"/>
      <c r="AP356" s="30" t="s">
        <v>62</v>
      </c>
      <c r="AQ356" s="30"/>
      <c r="AR356" s="30"/>
      <c r="AS356" s="30"/>
      <c r="AT356" s="30"/>
      <c r="AU356" s="30" t="s">
        <v>63</v>
      </c>
      <c r="AV356" s="30"/>
      <c r="AW356" s="30"/>
      <c r="AX356" s="30"/>
      <c r="AY356" s="30"/>
      <c r="AZ356" s="50" t="s">
        <v>122</v>
      </c>
      <c r="BA356" s="50"/>
      <c r="BB356" s="50"/>
      <c r="BC356" s="50"/>
      <c r="BD356" s="50"/>
      <c r="CA356" s="1" t="s">
        <v>46</v>
      </c>
    </row>
    <row r="357" spans="1:79" s="6" customFormat="1" x14ac:dyDescent="0.2">
      <c r="A357" s="85"/>
      <c r="B357" s="85"/>
      <c r="C357" s="85"/>
      <c r="D357" s="85"/>
      <c r="E357" s="85"/>
      <c r="F357" s="85"/>
      <c r="G357" s="118" t="s">
        <v>147</v>
      </c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9"/>
      <c r="U357" s="119"/>
      <c r="V357" s="119"/>
      <c r="W357" s="119"/>
      <c r="X357" s="119"/>
      <c r="Y357" s="119"/>
      <c r="Z357" s="119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>
        <f>IF(ISNUMBER(AA357),AA357,0)+IF(ISNUMBER(AF357),AF357,0)</f>
        <v>0</v>
      </c>
      <c r="AL357" s="116"/>
      <c r="AM357" s="116"/>
      <c r="AN357" s="116"/>
      <c r="AO357" s="116"/>
      <c r="AP357" s="116"/>
      <c r="AQ357" s="116"/>
      <c r="AR357" s="116"/>
      <c r="AS357" s="116"/>
      <c r="AT357" s="116"/>
      <c r="AU357" s="116"/>
      <c r="AV357" s="116"/>
      <c r="AW357" s="116"/>
      <c r="AX357" s="116"/>
      <c r="AY357" s="116"/>
      <c r="AZ357" s="116">
        <f>IF(ISNUMBER(AP357),AP357,0)+IF(ISNUMBER(AU357),AU357,0)</f>
        <v>0</v>
      </c>
      <c r="BA357" s="116"/>
      <c r="BB357" s="116"/>
      <c r="BC357" s="116"/>
      <c r="BD357" s="116"/>
      <c r="CA357" s="6" t="s">
        <v>47</v>
      </c>
    </row>
    <row r="360" spans="1:79" ht="14.25" customHeight="1" x14ac:dyDescent="0.2">
      <c r="A360" s="29" t="s">
        <v>338</v>
      </c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</row>
    <row r="361" spans="1:79" ht="15" customHeight="1" x14ac:dyDescent="0.2">
      <c r="A361" s="44" t="s">
        <v>304</v>
      </c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J361" s="75"/>
      <c r="BK361" s="75"/>
      <c r="BL361" s="75"/>
      <c r="BM361" s="75"/>
    </row>
    <row r="362" spans="1:79" ht="23.1" customHeight="1" x14ac:dyDescent="0.2">
      <c r="A362" s="27" t="s">
        <v>128</v>
      </c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51" t="s">
        <v>129</v>
      </c>
      <c r="O362" s="52"/>
      <c r="P362" s="52"/>
      <c r="Q362" s="52"/>
      <c r="R362" s="52"/>
      <c r="S362" s="52"/>
      <c r="T362" s="52"/>
      <c r="U362" s="53"/>
      <c r="V362" s="51" t="s">
        <v>130</v>
      </c>
      <c r="W362" s="52"/>
      <c r="X362" s="52"/>
      <c r="Y362" s="52"/>
      <c r="Z362" s="53"/>
      <c r="AA362" s="27" t="s">
        <v>305</v>
      </c>
      <c r="AB362" s="27"/>
      <c r="AC362" s="27"/>
      <c r="AD362" s="27"/>
      <c r="AE362" s="27"/>
      <c r="AF362" s="27"/>
      <c r="AG362" s="27"/>
      <c r="AH362" s="27"/>
      <c r="AI362" s="27"/>
      <c r="AJ362" s="27" t="s">
        <v>308</v>
      </c>
      <c r="AK362" s="27"/>
      <c r="AL362" s="27"/>
      <c r="AM362" s="27"/>
      <c r="AN362" s="27"/>
      <c r="AO362" s="27"/>
      <c r="AP362" s="27"/>
      <c r="AQ362" s="27"/>
      <c r="AR362" s="27"/>
      <c r="AS362" s="27" t="s">
        <v>316</v>
      </c>
      <c r="AT362" s="27"/>
      <c r="AU362" s="27"/>
      <c r="AV362" s="27"/>
      <c r="AW362" s="27"/>
      <c r="AX362" s="27"/>
      <c r="AY362" s="27"/>
      <c r="AZ362" s="27"/>
      <c r="BA362" s="27"/>
      <c r="BB362" s="27" t="s">
        <v>326</v>
      </c>
      <c r="BC362" s="27"/>
      <c r="BD362" s="27"/>
      <c r="BE362" s="27"/>
      <c r="BF362" s="27"/>
      <c r="BG362" s="27"/>
      <c r="BH362" s="27"/>
      <c r="BI362" s="27"/>
      <c r="BJ362" s="27"/>
      <c r="BK362" s="27" t="s">
        <v>331</v>
      </c>
      <c r="BL362" s="27"/>
      <c r="BM362" s="27"/>
      <c r="BN362" s="27"/>
      <c r="BO362" s="27"/>
      <c r="BP362" s="27"/>
      <c r="BQ362" s="27"/>
      <c r="BR362" s="27"/>
      <c r="BS362" s="27"/>
    </row>
    <row r="363" spans="1:79" ht="95.25" customHeight="1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54"/>
      <c r="O363" s="55"/>
      <c r="P363" s="55"/>
      <c r="Q363" s="55"/>
      <c r="R363" s="55"/>
      <c r="S363" s="55"/>
      <c r="T363" s="55"/>
      <c r="U363" s="56"/>
      <c r="V363" s="54"/>
      <c r="W363" s="55"/>
      <c r="X363" s="55"/>
      <c r="Y363" s="55"/>
      <c r="Z363" s="56"/>
      <c r="AA363" s="74" t="s">
        <v>133</v>
      </c>
      <c r="AB363" s="74"/>
      <c r="AC363" s="74"/>
      <c r="AD363" s="74"/>
      <c r="AE363" s="74"/>
      <c r="AF363" s="74" t="s">
        <v>134</v>
      </c>
      <c r="AG363" s="74"/>
      <c r="AH363" s="74"/>
      <c r="AI363" s="74"/>
      <c r="AJ363" s="74" t="s">
        <v>133</v>
      </c>
      <c r="AK363" s="74"/>
      <c r="AL363" s="74"/>
      <c r="AM363" s="74"/>
      <c r="AN363" s="74"/>
      <c r="AO363" s="74" t="s">
        <v>134</v>
      </c>
      <c r="AP363" s="74"/>
      <c r="AQ363" s="74"/>
      <c r="AR363" s="74"/>
      <c r="AS363" s="74" t="s">
        <v>133</v>
      </c>
      <c r="AT363" s="74"/>
      <c r="AU363" s="74"/>
      <c r="AV363" s="74"/>
      <c r="AW363" s="74"/>
      <c r="AX363" s="74" t="s">
        <v>134</v>
      </c>
      <c r="AY363" s="74"/>
      <c r="AZ363" s="74"/>
      <c r="BA363" s="74"/>
      <c r="BB363" s="74" t="s">
        <v>133</v>
      </c>
      <c r="BC363" s="74"/>
      <c r="BD363" s="74"/>
      <c r="BE363" s="74"/>
      <c r="BF363" s="74"/>
      <c r="BG363" s="74" t="s">
        <v>134</v>
      </c>
      <c r="BH363" s="74"/>
      <c r="BI363" s="74"/>
      <c r="BJ363" s="74"/>
      <c r="BK363" s="74" t="s">
        <v>133</v>
      </c>
      <c r="BL363" s="74"/>
      <c r="BM363" s="74"/>
      <c r="BN363" s="74"/>
      <c r="BO363" s="74"/>
      <c r="BP363" s="74" t="s">
        <v>134</v>
      </c>
      <c r="BQ363" s="74"/>
      <c r="BR363" s="74"/>
      <c r="BS363" s="74"/>
    </row>
    <row r="364" spans="1:79" ht="15" customHeight="1" x14ac:dyDescent="0.2">
      <c r="A364" s="27">
        <v>1</v>
      </c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36">
        <v>2</v>
      </c>
      <c r="O364" s="37"/>
      <c r="P364" s="37"/>
      <c r="Q364" s="37"/>
      <c r="R364" s="37"/>
      <c r="S364" s="37"/>
      <c r="T364" s="37"/>
      <c r="U364" s="38"/>
      <c r="V364" s="27">
        <v>3</v>
      </c>
      <c r="W364" s="27"/>
      <c r="X364" s="27"/>
      <c r="Y364" s="27"/>
      <c r="Z364" s="27"/>
      <c r="AA364" s="27">
        <v>4</v>
      </c>
      <c r="AB364" s="27"/>
      <c r="AC364" s="27"/>
      <c r="AD364" s="27"/>
      <c r="AE364" s="27"/>
      <c r="AF364" s="27">
        <v>5</v>
      </c>
      <c r="AG364" s="27"/>
      <c r="AH364" s="27"/>
      <c r="AI364" s="27"/>
      <c r="AJ364" s="27">
        <v>6</v>
      </c>
      <c r="AK364" s="27"/>
      <c r="AL364" s="27"/>
      <c r="AM364" s="27"/>
      <c r="AN364" s="27"/>
      <c r="AO364" s="27">
        <v>7</v>
      </c>
      <c r="AP364" s="27"/>
      <c r="AQ364" s="27"/>
      <c r="AR364" s="27"/>
      <c r="AS364" s="27">
        <v>8</v>
      </c>
      <c r="AT364" s="27"/>
      <c r="AU364" s="27"/>
      <c r="AV364" s="27"/>
      <c r="AW364" s="27"/>
      <c r="AX364" s="27">
        <v>9</v>
      </c>
      <c r="AY364" s="27"/>
      <c r="AZ364" s="27"/>
      <c r="BA364" s="27"/>
      <c r="BB364" s="27">
        <v>10</v>
      </c>
      <c r="BC364" s="27"/>
      <c r="BD364" s="27"/>
      <c r="BE364" s="27"/>
      <c r="BF364" s="27"/>
      <c r="BG364" s="27">
        <v>11</v>
      </c>
      <c r="BH364" s="27"/>
      <c r="BI364" s="27"/>
      <c r="BJ364" s="27"/>
      <c r="BK364" s="27">
        <v>12</v>
      </c>
      <c r="BL364" s="27"/>
      <c r="BM364" s="27"/>
      <c r="BN364" s="27"/>
      <c r="BO364" s="27"/>
      <c r="BP364" s="27">
        <v>13</v>
      </c>
      <c r="BQ364" s="27"/>
      <c r="BR364" s="27"/>
      <c r="BS364" s="27"/>
    </row>
    <row r="365" spans="1:79" s="1" customFormat="1" ht="12" hidden="1" customHeight="1" x14ac:dyDescent="0.2">
      <c r="A365" s="67" t="s">
        <v>146</v>
      </c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26" t="s">
        <v>131</v>
      </c>
      <c r="O365" s="26"/>
      <c r="P365" s="26"/>
      <c r="Q365" s="26"/>
      <c r="R365" s="26"/>
      <c r="S365" s="26"/>
      <c r="T365" s="26"/>
      <c r="U365" s="26"/>
      <c r="V365" s="26" t="s">
        <v>132</v>
      </c>
      <c r="W365" s="26"/>
      <c r="X365" s="26"/>
      <c r="Y365" s="26"/>
      <c r="Z365" s="26"/>
      <c r="AA365" s="30" t="s">
        <v>65</v>
      </c>
      <c r="AB365" s="30"/>
      <c r="AC365" s="30"/>
      <c r="AD365" s="30"/>
      <c r="AE365" s="30"/>
      <c r="AF365" s="30" t="s">
        <v>66</v>
      </c>
      <c r="AG365" s="30"/>
      <c r="AH365" s="30"/>
      <c r="AI365" s="30"/>
      <c r="AJ365" s="30" t="s">
        <v>67</v>
      </c>
      <c r="AK365" s="30"/>
      <c r="AL365" s="30"/>
      <c r="AM365" s="30"/>
      <c r="AN365" s="30"/>
      <c r="AO365" s="30" t="s">
        <v>68</v>
      </c>
      <c r="AP365" s="30"/>
      <c r="AQ365" s="30"/>
      <c r="AR365" s="30"/>
      <c r="AS365" s="30" t="s">
        <v>58</v>
      </c>
      <c r="AT365" s="30"/>
      <c r="AU365" s="30"/>
      <c r="AV365" s="30"/>
      <c r="AW365" s="30"/>
      <c r="AX365" s="30" t="s">
        <v>59</v>
      </c>
      <c r="AY365" s="30"/>
      <c r="AZ365" s="30"/>
      <c r="BA365" s="30"/>
      <c r="BB365" s="30" t="s">
        <v>60</v>
      </c>
      <c r="BC365" s="30"/>
      <c r="BD365" s="30"/>
      <c r="BE365" s="30"/>
      <c r="BF365" s="30"/>
      <c r="BG365" s="30" t="s">
        <v>61</v>
      </c>
      <c r="BH365" s="30"/>
      <c r="BI365" s="30"/>
      <c r="BJ365" s="30"/>
      <c r="BK365" s="30" t="s">
        <v>62</v>
      </c>
      <c r="BL365" s="30"/>
      <c r="BM365" s="30"/>
      <c r="BN365" s="30"/>
      <c r="BO365" s="30"/>
      <c r="BP365" s="30" t="s">
        <v>63</v>
      </c>
      <c r="BQ365" s="30"/>
      <c r="BR365" s="30"/>
      <c r="BS365" s="30"/>
      <c r="CA365" s="1" t="s">
        <v>48</v>
      </c>
    </row>
    <row r="366" spans="1:79" s="6" customFormat="1" ht="12.75" customHeight="1" x14ac:dyDescent="0.2">
      <c r="A366" s="118" t="s">
        <v>147</v>
      </c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86"/>
      <c r="O366" s="87"/>
      <c r="P366" s="87"/>
      <c r="Q366" s="87"/>
      <c r="R366" s="87"/>
      <c r="S366" s="87"/>
      <c r="T366" s="87"/>
      <c r="U366" s="88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1"/>
      <c r="BQ366" s="122"/>
      <c r="BR366" s="122"/>
      <c r="BS366" s="123"/>
      <c r="CA366" s="6" t="s">
        <v>49</v>
      </c>
    </row>
    <row r="369" spans="1:79" ht="35.25" customHeight="1" x14ac:dyDescent="0.2">
      <c r="A369" s="29" t="s">
        <v>339</v>
      </c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</row>
    <row r="370" spans="1:79" ht="15" x14ac:dyDescent="0.2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</row>
    <row r="371" spans="1:79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3" spans="1:79" ht="28.5" customHeight="1" x14ac:dyDescent="0.2">
      <c r="A373" s="34" t="s">
        <v>323</v>
      </c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</row>
    <row r="374" spans="1:79" ht="14.25" customHeight="1" x14ac:dyDescent="0.2">
      <c r="A374" s="29" t="s">
        <v>306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</row>
    <row r="375" spans="1:79" ht="15" customHeight="1" x14ac:dyDescent="0.2">
      <c r="A375" s="31" t="s">
        <v>304</v>
      </c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</row>
    <row r="376" spans="1:79" ht="42.95" customHeight="1" x14ac:dyDescent="0.2">
      <c r="A376" s="74" t="s">
        <v>135</v>
      </c>
      <c r="B376" s="74"/>
      <c r="C376" s="74"/>
      <c r="D376" s="74"/>
      <c r="E376" s="74"/>
      <c r="F376" s="74"/>
      <c r="G376" s="27" t="s">
        <v>19</v>
      </c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 t="s">
        <v>15</v>
      </c>
      <c r="U376" s="27"/>
      <c r="V376" s="27"/>
      <c r="W376" s="27"/>
      <c r="X376" s="27"/>
      <c r="Y376" s="27"/>
      <c r="Z376" s="27" t="s">
        <v>14</v>
      </c>
      <c r="AA376" s="27"/>
      <c r="AB376" s="27"/>
      <c r="AC376" s="27"/>
      <c r="AD376" s="27"/>
      <c r="AE376" s="27" t="s">
        <v>136</v>
      </c>
      <c r="AF376" s="27"/>
      <c r="AG376" s="27"/>
      <c r="AH376" s="27"/>
      <c r="AI376" s="27"/>
      <c r="AJ376" s="27"/>
      <c r="AK376" s="27" t="s">
        <v>137</v>
      </c>
      <c r="AL376" s="27"/>
      <c r="AM376" s="27"/>
      <c r="AN376" s="27"/>
      <c r="AO376" s="27"/>
      <c r="AP376" s="27"/>
      <c r="AQ376" s="27" t="s">
        <v>138</v>
      </c>
      <c r="AR376" s="27"/>
      <c r="AS376" s="27"/>
      <c r="AT376" s="27"/>
      <c r="AU376" s="27"/>
      <c r="AV376" s="27"/>
      <c r="AW376" s="27" t="s">
        <v>98</v>
      </c>
      <c r="AX376" s="27"/>
      <c r="AY376" s="27"/>
      <c r="AZ376" s="27"/>
      <c r="BA376" s="27"/>
      <c r="BB376" s="27"/>
      <c r="BC376" s="27"/>
      <c r="BD376" s="27"/>
      <c r="BE376" s="27"/>
      <c r="BF376" s="27"/>
      <c r="BG376" s="27" t="s">
        <v>139</v>
      </c>
      <c r="BH376" s="27"/>
      <c r="BI376" s="27"/>
      <c r="BJ376" s="27"/>
      <c r="BK376" s="27"/>
      <c r="BL376" s="27"/>
    </row>
    <row r="377" spans="1:79" ht="39.950000000000003" customHeight="1" x14ac:dyDescent="0.2">
      <c r="A377" s="74"/>
      <c r="B377" s="74"/>
      <c r="C377" s="74"/>
      <c r="D377" s="74"/>
      <c r="E377" s="74"/>
      <c r="F377" s="74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 t="s">
        <v>17</v>
      </c>
      <c r="AX377" s="27"/>
      <c r="AY377" s="27"/>
      <c r="AZ377" s="27"/>
      <c r="BA377" s="27"/>
      <c r="BB377" s="27" t="s">
        <v>16</v>
      </c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</row>
    <row r="378" spans="1:79" ht="15" customHeight="1" x14ac:dyDescent="0.2">
      <c r="A378" s="27">
        <v>1</v>
      </c>
      <c r="B378" s="27"/>
      <c r="C378" s="27"/>
      <c r="D378" s="27"/>
      <c r="E378" s="27"/>
      <c r="F378" s="27"/>
      <c r="G378" s="27">
        <v>2</v>
      </c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>
        <v>3</v>
      </c>
      <c r="U378" s="27"/>
      <c r="V378" s="27"/>
      <c r="W378" s="27"/>
      <c r="X378" s="27"/>
      <c r="Y378" s="27"/>
      <c r="Z378" s="27">
        <v>4</v>
      </c>
      <c r="AA378" s="27"/>
      <c r="AB378" s="27"/>
      <c r="AC378" s="27"/>
      <c r="AD378" s="27"/>
      <c r="AE378" s="27">
        <v>5</v>
      </c>
      <c r="AF378" s="27"/>
      <c r="AG378" s="27"/>
      <c r="AH378" s="27"/>
      <c r="AI378" s="27"/>
      <c r="AJ378" s="27"/>
      <c r="AK378" s="27">
        <v>6</v>
      </c>
      <c r="AL378" s="27"/>
      <c r="AM378" s="27"/>
      <c r="AN378" s="27"/>
      <c r="AO378" s="27"/>
      <c r="AP378" s="27"/>
      <c r="AQ378" s="27">
        <v>7</v>
      </c>
      <c r="AR378" s="27"/>
      <c r="AS378" s="27"/>
      <c r="AT378" s="27"/>
      <c r="AU378" s="27"/>
      <c r="AV378" s="27"/>
      <c r="AW378" s="27">
        <v>8</v>
      </c>
      <c r="AX378" s="27"/>
      <c r="AY378" s="27"/>
      <c r="AZ378" s="27"/>
      <c r="BA378" s="27"/>
      <c r="BB378" s="27">
        <v>9</v>
      </c>
      <c r="BC378" s="27"/>
      <c r="BD378" s="27"/>
      <c r="BE378" s="27"/>
      <c r="BF378" s="27"/>
      <c r="BG378" s="27">
        <v>10</v>
      </c>
      <c r="BH378" s="27"/>
      <c r="BI378" s="27"/>
      <c r="BJ378" s="27"/>
      <c r="BK378" s="27"/>
      <c r="BL378" s="27"/>
    </row>
    <row r="379" spans="1:79" s="1" customFormat="1" ht="12" hidden="1" customHeight="1" x14ac:dyDescent="0.2">
      <c r="A379" s="26" t="s">
        <v>64</v>
      </c>
      <c r="B379" s="26"/>
      <c r="C379" s="26"/>
      <c r="D379" s="26"/>
      <c r="E379" s="26"/>
      <c r="F379" s="26"/>
      <c r="G379" s="67" t="s">
        <v>57</v>
      </c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30" t="s">
        <v>80</v>
      </c>
      <c r="U379" s="30"/>
      <c r="V379" s="30"/>
      <c r="W379" s="30"/>
      <c r="X379" s="30"/>
      <c r="Y379" s="30"/>
      <c r="Z379" s="30" t="s">
        <v>81</v>
      </c>
      <c r="AA379" s="30"/>
      <c r="AB379" s="30"/>
      <c r="AC379" s="30"/>
      <c r="AD379" s="30"/>
      <c r="AE379" s="30" t="s">
        <v>82</v>
      </c>
      <c r="AF379" s="30"/>
      <c r="AG379" s="30"/>
      <c r="AH379" s="30"/>
      <c r="AI379" s="30"/>
      <c r="AJ379" s="30"/>
      <c r="AK379" s="30" t="s">
        <v>83</v>
      </c>
      <c r="AL379" s="30"/>
      <c r="AM379" s="30"/>
      <c r="AN379" s="30"/>
      <c r="AO379" s="30"/>
      <c r="AP379" s="30"/>
      <c r="AQ379" s="78" t="s">
        <v>99</v>
      </c>
      <c r="AR379" s="30"/>
      <c r="AS379" s="30"/>
      <c r="AT379" s="30"/>
      <c r="AU379" s="30"/>
      <c r="AV379" s="30"/>
      <c r="AW379" s="30" t="s">
        <v>84</v>
      </c>
      <c r="AX379" s="30"/>
      <c r="AY379" s="30"/>
      <c r="AZ379" s="30"/>
      <c r="BA379" s="30"/>
      <c r="BB379" s="30" t="s">
        <v>85</v>
      </c>
      <c r="BC379" s="30"/>
      <c r="BD379" s="30"/>
      <c r="BE379" s="30"/>
      <c r="BF379" s="30"/>
      <c r="BG379" s="78" t="s">
        <v>100</v>
      </c>
      <c r="BH379" s="30"/>
      <c r="BI379" s="30"/>
      <c r="BJ379" s="30"/>
      <c r="BK379" s="30"/>
      <c r="BL379" s="30"/>
      <c r="CA379" s="1" t="s">
        <v>50</v>
      </c>
    </row>
    <row r="380" spans="1:79" s="6" customFormat="1" ht="12.75" customHeight="1" x14ac:dyDescent="0.2">
      <c r="A380" s="85"/>
      <c r="B380" s="85"/>
      <c r="C380" s="85"/>
      <c r="D380" s="85"/>
      <c r="E380" s="85"/>
      <c r="F380" s="85"/>
      <c r="G380" s="118" t="s">
        <v>147</v>
      </c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>
        <f>IF(ISNUMBER(AK380),AK380,0)-IF(ISNUMBER(AE380),AE380,0)</f>
        <v>0</v>
      </c>
      <c r="AR380" s="116"/>
      <c r="AS380" s="116"/>
      <c r="AT380" s="116"/>
      <c r="AU380" s="116"/>
      <c r="AV380" s="116"/>
      <c r="AW380" s="116"/>
      <c r="AX380" s="116"/>
      <c r="AY380" s="116"/>
      <c r="AZ380" s="116"/>
      <c r="BA380" s="116"/>
      <c r="BB380" s="116"/>
      <c r="BC380" s="116"/>
      <c r="BD380" s="116"/>
      <c r="BE380" s="116"/>
      <c r="BF380" s="116"/>
      <c r="BG380" s="116">
        <f>IF(ISNUMBER(Z380),Z380,0)+IF(ISNUMBER(AK380),AK380,0)</f>
        <v>0</v>
      </c>
      <c r="BH380" s="116"/>
      <c r="BI380" s="116"/>
      <c r="BJ380" s="116"/>
      <c r="BK380" s="116"/>
      <c r="BL380" s="116"/>
      <c r="CA380" s="6" t="s">
        <v>51</v>
      </c>
    </row>
    <row r="382" spans="1:79" ht="14.25" customHeight="1" x14ac:dyDescent="0.2">
      <c r="A382" s="29" t="s">
        <v>324</v>
      </c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</row>
    <row r="383" spans="1:79" ht="15" customHeight="1" x14ac:dyDescent="0.2">
      <c r="A383" s="31" t="s">
        <v>304</v>
      </c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</row>
    <row r="384" spans="1:79" ht="18" customHeight="1" x14ac:dyDescent="0.2">
      <c r="A384" s="27" t="s">
        <v>135</v>
      </c>
      <c r="B384" s="27"/>
      <c r="C384" s="27"/>
      <c r="D384" s="27"/>
      <c r="E384" s="27"/>
      <c r="F384" s="27"/>
      <c r="G384" s="27" t="s">
        <v>19</v>
      </c>
      <c r="H384" s="27"/>
      <c r="I384" s="27"/>
      <c r="J384" s="27"/>
      <c r="K384" s="27"/>
      <c r="L384" s="27"/>
      <c r="M384" s="27"/>
      <c r="N384" s="27"/>
      <c r="O384" s="27"/>
      <c r="P384" s="27"/>
      <c r="Q384" s="27" t="s">
        <v>310</v>
      </c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 t="s">
        <v>321</v>
      </c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</row>
    <row r="385" spans="1:79" ht="42.95" customHeight="1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 t="s">
        <v>140</v>
      </c>
      <c r="R385" s="27"/>
      <c r="S385" s="27"/>
      <c r="T385" s="27"/>
      <c r="U385" s="27"/>
      <c r="V385" s="74" t="s">
        <v>141</v>
      </c>
      <c r="W385" s="74"/>
      <c r="X385" s="74"/>
      <c r="Y385" s="74"/>
      <c r="Z385" s="27" t="s">
        <v>142</v>
      </c>
      <c r="AA385" s="27"/>
      <c r="AB385" s="27"/>
      <c r="AC385" s="27"/>
      <c r="AD385" s="27"/>
      <c r="AE385" s="27"/>
      <c r="AF385" s="27"/>
      <c r="AG385" s="27"/>
      <c r="AH385" s="27"/>
      <c r="AI385" s="27"/>
      <c r="AJ385" s="27" t="s">
        <v>143</v>
      </c>
      <c r="AK385" s="27"/>
      <c r="AL385" s="27"/>
      <c r="AM385" s="27"/>
      <c r="AN385" s="27"/>
      <c r="AO385" s="27" t="s">
        <v>20</v>
      </c>
      <c r="AP385" s="27"/>
      <c r="AQ385" s="27"/>
      <c r="AR385" s="27"/>
      <c r="AS385" s="27"/>
      <c r="AT385" s="74" t="s">
        <v>144</v>
      </c>
      <c r="AU385" s="74"/>
      <c r="AV385" s="74"/>
      <c r="AW385" s="74"/>
      <c r="AX385" s="27" t="s">
        <v>142</v>
      </c>
      <c r="AY385" s="27"/>
      <c r="AZ385" s="27"/>
      <c r="BA385" s="27"/>
      <c r="BB385" s="27"/>
      <c r="BC385" s="27"/>
      <c r="BD385" s="27"/>
      <c r="BE385" s="27"/>
      <c r="BF385" s="27"/>
      <c r="BG385" s="27"/>
      <c r="BH385" s="27" t="s">
        <v>145</v>
      </c>
      <c r="BI385" s="27"/>
      <c r="BJ385" s="27"/>
      <c r="BK385" s="27"/>
      <c r="BL385" s="27"/>
    </row>
    <row r="386" spans="1:79" ht="63" customHeight="1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74"/>
      <c r="W386" s="74"/>
      <c r="X386" s="74"/>
      <c r="Y386" s="74"/>
      <c r="Z386" s="27" t="s">
        <v>17</v>
      </c>
      <c r="AA386" s="27"/>
      <c r="AB386" s="27"/>
      <c r="AC386" s="27"/>
      <c r="AD386" s="27"/>
      <c r="AE386" s="27" t="s">
        <v>16</v>
      </c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74"/>
      <c r="AU386" s="74"/>
      <c r="AV386" s="74"/>
      <c r="AW386" s="74"/>
      <c r="AX386" s="27" t="s">
        <v>17</v>
      </c>
      <c r="AY386" s="27"/>
      <c r="AZ386" s="27"/>
      <c r="BA386" s="27"/>
      <c r="BB386" s="27"/>
      <c r="BC386" s="27" t="s">
        <v>16</v>
      </c>
      <c r="BD386" s="27"/>
      <c r="BE386" s="27"/>
      <c r="BF386" s="27"/>
      <c r="BG386" s="27"/>
      <c r="BH386" s="27"/>
      <c r="BI386" s="27"/>
      <c r="BJ386" s="27"/>
      <c r="BK386" s="27"/>
      <c r="BL386" s="27"/>
    </row>
    <row r="387" spans="1:79" ht="15" customHeight="1" x14ac:dyDescent="0.2">
      <c r="A387" s="27">
        <v>1</v>
      </c>
      <c r="B387" s="27"/>
      <c r="C387" s="27"/>
      <c r="D387" s="27"/>
      <c r="E387" s="27"/>
      <c r="F387" s="27"/>
      <c r="G387" s="27">
        <v>2</v>
      </c>
      <c r="H387" s="27"/>
      <c r="I387" s="27"/>
      <c r="J387" s="27"/>
      <c r="K387" s="27"/>
      <c r="L387" s="27"/>
      <c r="M387" s="27"/>
      <c r="N387" s="27"/>
      <c r="O387" s="27"/>
      <c r="P387" s="27"/>
      <c r="Q387" s="27">
        <v>3</v>
      </c>
      <c r="R387" s="27"/>
      <c r="S387" s="27"/>
      <c r="T387" s="27"/>
      <c r="U387" s="27"/>
      <c r="V387" s="27">
        <v>4</v>
      </c>
      <c r="W387" s="27"/>
      <c r="X387" s="27"/>
      <c r="Y387" s="27"/>
      <c r="Z387" s="27">
        <v>5</v>
      </c>
      <c r="AA387" s="27"/>
      <c r="AB387" s="27"/>
      <c r="AC387" s="27"/>
      <c r="AD387" s="27"/>
      <c r="AE387" s="27">
        <v>6</v>
      </c>
      <c r="AF387" s="27"/>
      <c r="AG387" s="27"/>
      <c r="AH387" s="27"/>
      <c r="AI387" s="27"/>
      <c r="AJ387" s="27">
        <v>7</v>
      </c>
      <c r="AK387" s="27"/>
      <c r="AL387" s="27"/>
      <c r="AM387" s="27"/>
      <c r="AN387" s="27"/>
      <c r="AO387" s="27">
        <v>8</v>
      </c>
      <c r="AP387" s="27"/>
      <c r="AQ387" s="27"/>
      <c r="AR387" s="27"/>
      <c r="AS387" s="27"/>
      <c r="AT387" s="27">
        <v>9</v>
      </c>
      <c r="AU387" s="27"/>
      <c r="AV387" s="27"/>
      <c r="AW387" s="27"/>
      <c r="AX387" s="27">
        <v>10</v>
      </c>
      <c r="AY387" s="27"/>
      <c r="AZ387" s="27"/>
      <c r="BA387" s="27"/>
      <c r="BB387" s="27"/>
      <c r="BC387" s="27">
        <v>11</v>
      </c>
      <c r="BD387" s="27"/>
      <c r="BE387" s="27"/>
      <c r="BF387" s="27"/>
      <c r="BG387" s="27"/>
      <c r="BH387" s="27">
        <v>12</v>
      </c>
      <c r="BI387" s="27"/>
      <c r="BJ387" s="27"/>
      <c r="BK387" s="27"/>
      <c r="BL387" s="27"/>
    </row>
    <row r="388" spans="1:79" s="1" customFormat="1" ht="12" hidden="1" customHeight="1" x14ac:dyDescent="0.2">
      <c r="A388" s="26" t="s">
        <v>64</v>
      </c>
      <c r="B388" s="26"/>
      <c r="C388" s="26"/>
      <c r="D388" s="26"/>
      <c r="E388" s="26"/>
      <c r="F388" s="26"/>
      <c r="G388" s="67" t="s">
        <v>57</v>
      </c>
      <c r="H388" s="67"/>
      <c r="I388" s="67"/>
      <c r="J388" s="67"/>
      <c r="K388" s="67"/>
      <c r="L388" s="67"/>
      <c r="M388" s="67"/>
      <c r="N388" s="67"/>
      <c r="O388" s="67"/>
      <c r="P388" s="67"/>
      <c r="Q388" s="30" t="s">
        <v>80</v>
      </c>
      <c r="R388" s="30"/>
      <c r="S388" s="30"/>
      <c r="T388" s="30"/>
      <c r="U388" s="30"/>
      <c r="V388" s="30" t="s">
        <v>81</v>
      </c>
      <c r="W388" s="30"/>
      <c r="X388" s="30"/>
      <c r="Y388" s="30"/>
      <c r="Z388" s="30" t="s">
        <v>82</v>
      </c>
      <c r="AA388" s="30"/>
      <c r="AB388" s="30"/>
      <c r="AC388" s="30"/>
      <c r="AD388" s="30"/>
      <c r="AE388" s="30" t="s">
        <v>83</v>
      </c>
      <c r="AF388" s="30"/>
      <c r="AG388" s="30"/>
      <c r="AH388" s="30"/>
      <c r="AI388" s="30"/>
      <c r="AJ388" s="78" t="s">
        <v>101</v>
      </c>
      <c r="AK388" s="30"/>
      <c r="AL388" s="30"/>
      <c r="AM388" s="30"/>
      <c r="AN388" s="30"/>
      <c r="AO388" s="30" t="s">
        <v>84</v>
      </c>
      <c r="AP388" s="30"/>
      <c r="AQ388" s="30"/>
      <c r="AR388" s="30"/>
      <c r="AS388" s="30"/>
      <c r="AT388" s="78" t="s">
        <v>102</v>
      </c>
      <c r="AU388" s="30"/>
      <c r="AV388" s="30"/>
      <c r="AW388" s="30"/>
      <c r="AX388" s="30" t="s">
        <v>85</v>
      </c>
      <c r="AY388" s="30"/>
      <c r="AZ388" s="30"/>
      <c r="BA388" s="30"/>
      <c r="BB388" s="30"/>
      <c r="BC388" s="30" t="s">
        <v>86</v>
      </c>
      <c r="BD388" s="30"/>
      <c r="BE388" s="30"/>
      <c r="BF388" s="30"/>
      <c r="BG388" s="30"/>
      <c r="BH388" s="78" t="s">
        <v>101</v>
      </c>
      <c r="BI388" s="30"/>
      <c r="BJ388" s="30"/>
      <c r="BK388" s="30"/>
      <c r="BL388" s="30"/>
      <c r="CA388" s="1" t="s">
        <v>52</v>
      </c>
    </row>
    <row r="389" spans="1:79" s="6" customFormat="1" ht="12.75" customHeight="1" x14ac:dyDescent="0.2">
      <c r="A389" s="85"/>
      <c r="B389" s="85"/>
      <c r="C389" s="85"/>
      <c r="D389" s="85"/>
      <c r="E389" s="85"/>
      <c r="F389" s="85"/>
      <c r="G389" s="118" t="s">
        <v>147</v>
      </c>
      <c r="H389" s="118"/>
      <c r="I389" s="118"/>
      <c r="J389" s="118"/>
      <c r="K389" s="118"/>
      <c r="L389" s="118"/>
      <c r="M389" s="118"/>
      <c r="N389" s="118"/>
      <c r="O389" s="118"/>
      <c r="P389" s="118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>
        <f>IF(ISNUMBER(Q389),Q389,0)-IF(ISNUMBER(Z389),Z389,0)</f>
        <v>0</v>
      </c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>
        <f>IF(ISNUMBER(V389),V389,0)-IF(ISNUMBER(Z389),Z389,0)-IF(ISNUMBER(AE389),AE389,0)</f>
        <v>0</v>
      </c>
      <c r="AU389" s="116"/>
      <c r="AV389" s="116"/>
      <c r="AW389" s="116"/>
      <c r="AX389" s="116"/>
      <c r="AY389" s="116"/>
      <c r="AZ389" s="116"/>
      <c r="BA389" s="116"/>
      <c r="BB389" s="116"/>
      <c r="BC389" s="116"/>
      <c r="BD389" s="116"/>
      <c r="BE389" s="116"/>
      <c r="BF389" s="116"/>
      <c r="BG389" s="116"/>
      <c r="BH389" s="116">
        <f>IF(ISNUMBER(AO389),AO389,0)-IF(ISNUMBER(AX389),AX389,0)</f>
        <v>0</v>
      </c>
      <c r="BI389" s="116"/>
      <c r="BJ389" s="116"/>
      <c r="BK389" s="116"/>
      <c r="BL389" s="116"/>
      <c r="CA389" s="6" t="s">
        <v>53</v>
      </c>
    </row>
    <row r="391" spans="1:79" ht="14.25" customHeight="1" x14ac:dyDescent="0.2">
      <c r="A391" s="29" t="s">
        <v>311</v>
      </c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</row>
    <row r="392" spans="1:79" ht="15" customHeight="1" x14ac:dyDescent="0.2">
      <c r="A392" s="31" t="s">
        <v>304</v>
      </c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</row>
    <row r="393" spans="1:79" ht="42.95" customHeight="1" x14ac:dyDescent="0.2">
      <c r="A393" s="74" t="s">
        <v>135</v>
      </c>
      <c r="B393" s="74"/>
      <c r="C393" s="74"/>
      <c r="D393" s="74"/>
      <c r="E393" s="74"/>
      <c r="F393" s="74"/>
      <c r="G393" s="27" t="s">
        <v>19</v>
      </c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 t="s">
        <v>15</v>
      </c>
      <c r="U393" s="27"/>
      <c r="V393" s="27"/>
      <c r="W393" s="27"/>
      <c r="X393" s="27"/>
      <c r="Y393" s="27"/>
      <c r="Z393" s="27" t="s">
        <v>14</v>
      </c>
      <c r="AA393" s="27"/>
      <c r="AB393" s="27"/>
      <c r="AC393" s="27"/>
      <c r="AD393" s="27"/>
      <c r="AE393" s="27" t="s">
        <v>307</v>
      </c>
      <c r="AF393" s="27"/>
      <c r="AG393" s="27"/>
      <c r="AH393" s="27"/>
      <c r="AI393" s="27"/>
      <c r="AJ393" s="27"/>
      <c r="AK393" s="27" t="s">
        <v>312</v>
      </c>
      <c r="AL393" s="27"/>
      <c r="AM393" s="27"/>
      <c r="AN393" s="27"/>
      <c r="AO393" s="27"/>
      <c r="AP393" s="27"/>
      <c r="AQ393" s="27" t="s">
        <v>325</v>
      </c>
      <c r="AR393" s="27"/>
      <c r="AS393" s="27"/>
      <c r="AT393" s="27"/>
      <c r="AU393" s="27"/>
      <c r="AV393" s="27"/>
      <c r="AW393" s="27" t="s">
        <v>18</v>
      </c>
      <c r="AX393" s="27"/>
      <c r="AY393" s="27"/>
      <c r="AZ393" s="27"/>
      <c r="BA393" s="27"/>
      <c r="BB393" s="27"/>
      <c r="BC393" s="27"/>
      <c r="BD393" s="27"/>
      <c r="BE393" s="27" t="s">
        <v>156</v>
      </c>
      <c r="BF393" s="27"/>
      <c r="BG393" s="27"/>
      <c r="BH393" s="27"/>
      <c r="BI393" s="27"/>
      <c r="BJ393" s="27"/>
      <c r="BK393" s="27"/>
      <c r="BL393" s="27"/>
    </row>
    <row r="394" spans="1:79" ht="21.75" customHeight="1" x14ac:dyDescent="0.2">
      <c r="A394" s="74"/>
      <c r="B394" s="74"/>
      <c r="C394" s="74"/>
      <c r="D394" s="74"/>
      <c r="E394" s="74"/>
      <c r="F394" s="74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</row>
    <row r="395" spans="1:79" ht="15" customHeight="1" x14ac:dyDescent="0.2">
      <c r="A395" s="27">
        <v>1</v>
      </c>
      <c r="B395" s="27"/>
      <c r="C395" s="27"/>
      <c r="D395" s="27"/>
      <c r="E395" s="27"/>
      <c r="F395" s="27"/>
      <c r="G395" s="27">
        <v>2</v>
      </c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>
        <v>3</v>
      </c>
      <c r="U395" s="27"/>
      <c r="V395" s="27"/>
      <c r="W395" s="27"/>
      <c r="X395" s="27"/>
      <c r="Y395" s="27"/>
      <c r="Z395" s="27">
        <v>4</v>
      </c>
      <c r="AA395" s="27"/>
      <c r="AB395" s="27"/>
      <c r="AC395" s="27"/>
      <c r="AD395" s="27"/>
      <c r="AE395" s="27">
        <v>5</v>
      </c>
      <c r="AF395" s="27"/>
      <c r="AG395" s="27"/>
      <c r="AH395" s="27"/>
      <c r="AI395" s="27"/>
      <c r="AJ395" s="27"/>
      <c r="AK395" s="27">
        <v>6</v>
      </c>
      <c r="AL395" s="27"/>
      <c r="AM395" s="27"/>
      <c r="AN395" s="27"/>
      <c r="AO395" s="27"/>
      <c r="AP395" s="27"/>
      <c r="AQ395" s="27">
        <v>7</v>
      </c>
      <c r="AR395" s="27"/>
      <c r="AS395" s="27"/>
      <c r="AT395" s="27"/>
      <c r="AU395" s="27"/>
      <c r="AV395" s="27"/>
      <c r="AW395" s="26">
        <v>8</v>
      </c>
      <c r="AX395" s="26"/>
      <c r="AY395" s="26"/>
      <c r="AZ395" s="26"/>
      <c r="BA395" s="26"/>
      <c r="BB395" s="26"/>
      <c r="BC395" s="26"/>
      <c r="BD395" s="26"/>
      <c r="BE395" s="26">
        <v>9</v>
      </c>
      <c r="BF395" s="26"/>
      <c r="BG395" s="26"/>
      <c r="BH395" s="26"/>
      <c r="BI395" s="26"/>
      <c r="BJ395" s="26"/>
      <c r="BK395" s="26"/>
      <c r="BL395" s="26"/>
    </row>
    <row r="396" spans="1:79" s="1" customFormat="1" ht="18.75" hidden="1" customHeight="1" x14ac:dyDescent="0.2">
      <c r="A396" s="26" t="s">
        <v>64</v>
      </c>
      <c r="B396" s="26"/>
      <c r="C396" s="26"/>
      <c r="D396" s="26"/>
      <c r="E396" s="26"/>
      <c r="F396" s="26"/>
      <c r="G396" s="67" t="s">
        <v>57</v>
      </c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30" t="s">
        <v>80</v>
      </c>
      <c r="U396" s="30"/>
      <c r="V396" s="30"/>
      <c r="W396" s="30"/>
      <c r="X396" s="30"/>
      <c r="Y396" s="30"/>
      <c r="Z396" s="30" t="s">
        <v>81</v>
      </c>
      <c r="AA396" s="30"/>
      <c r="AB396" s="30"/>
      <c r="AC396" s="30"/>
      <c r="AD396" s="30"/>
      <c r="AE396" s="30" t="s">
        <v>82</v>
      </c>
      <c r="AF396" s="30"/>
      <c r="AG396" s="30"/>
      <c r="AH396" s="30"/>
      <c r="AI396" s="30"/>
      <c r="AJ396" s="30"/>
      <c r="AK396" s="30" t="s">
        <v>83</v>
      </c>
      <c r="AL396" s="30"/>
      <c r="AM396" s="30"/>
      <c r="AN396" s="30"/>
      <c r="AO396" s="30"/>
      <c r="AP396" s="30"/>
      <c r="AQ396" s="30" t="s">
        <v>84</v>
      </c>
      <c r="AR396" s="30"/>
      <c r="AS396" s="30"/>
      <c r="AT396" s="30"/>
      <c r="AU396" s="30"/>
      <c r="AV396" s="30"/>
      <c r="AW396" s="67" t="s">
        <v>87</v>
      </c>
      <c r="AX396" s="67"/>
      <c r="AY396" s="67"/>
      <c r="AZ396" s="67"/>
      <c r="BA396" s="67"/>
      <c r="BB396" s="67"/>
      <c r="BC396" s="67"/>
      <c r="BD396" s="67"/>
      <c r="BE396" s="67" t="s">
        <v>88</v>
      </c>
      <c r="BF396" s="67"/>
      <c r="BG396" s="67"/>
      <c r="BH396" s="67"/>
      <c r="BI396" s="67"/>
      <c r="BJ396" s="67"/>
      <c r="BK396" s="67"/>
      <c r="BL396" s="67"/>
      <c r="CA396" s="1" t="s">
        <v>54</v>
      </c>
    </row>
    <row r="397" spans="1:79" s="6" customFormat="1" ht="12.75" customHeight="1" x14ac:dyDescent="0.2">
      <c r="A397" s="85"/>
      <c r="B397" s="85"/>
      <c r="C397" s="85"/>
      <c r="D397" s="85"/>
      <c r="E397" s="85"/>
      <c r="F397" s="85"/>
      <c r="G397" s="118" t="s">
        <v>147</v>
      </c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8"/>
      <c r="AX397" s="118"/>
      <c r="AY397" s="118"/>
      <c r="AZ397" s="118"/>
      <c r="BA397" s="118"/>
      <c r="BB397" s="118"/>
      <c r="BC397" s="118"/>
      <c r="BD397" s="118"/>
      <c r="BE397" s="118"/>
      <c r="BF397" s="118"/>
      <c r="BG397" s="118"/>
      <c r="BH397" s="118"/>
      <c r="BI397" s="118"/>
      <c r="BJ397" s="118"/>
      <c r="BK397" s="118"/>
      <c r="BL397" s="118"/>
      <c r="CA397" s="6" t="s">
        <v>55</v>
      </c>
    </row>
    <row r="399" spans="1:79" ht="14.25" customHeight="1" x14ac:dyDescent="0.2">
      <c r="A399" s="29" t="s">
        <v>313</v>
      </c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</row>
    <row r="400" spans="1:79" ht="15" customHeight="1" x14ac:dyDescent="0.2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  <c r="BL400" s="60"/>
    </row>
    <row r="401" spans="1:64" ht="1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3" spans="1:64" ht="14.25" x14ac:dyDescent="0.2">
      <c r="A403" s="29" t="s">
        <v>340</v>
      </c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</row>
    <row r="404" spans="1:64" ht="14.25" x14ac:dyDescent="0.2">
      <c r="A404" s="29" t="s">
        <v>314</v>
      </c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</row>
    <row r="405" spans="1:64" ht="15" customHeight="1" x14ac:dyDescent="0.2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</row>
    <row r="406" spans="1:64" ht="1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9" spans="1:64" ht="18.95" customHeight="1" x14ac:dyDescent="0.2">
      <c r="A409" s="128" t="s">
        <v>298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22"/>
      <c r="AC409" s="22"/>
      <c r="AD409" s="22"/>
      <c r="AE409" s="22"/>
      <c r="AF409" s="22"/>
      <c r="AG409" s="22"/>
      <c r="AH409" s="42"/>
      <c r="AI409" s="42"/>
      <c r="AJ409" s="42"/>
      <c r="AK409" s="42"/>
      <c r="AL409" s="42"/>
      <c r="AM409" s="42"/>
      <c r="AN409" s="42"/>
      <c r="AO409" s="42"/>
      <c r="AP409" s="42"/>
      <c r="AQ409" s="22"/>
      <c r="AR409" s="22"/>
      <c r="AS409" s="22"/>
      <c r="AT409" s="22"/>
      <c r="AU409" s="129" t="s">
        <v>300</v>
      </c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</row>
    <row r="410" spans="1:64" ht="12.75" customHeight="1" x14ac:dyDescent="0.2">
      <c r="AB410" s="23"/>
      <c r="AC410" s="23"/>
      <c r="AD410" s="23"/>
      <c r="AE410" s="23"/>
      <c r="AF410" s="23"/>
      <c r="AG410" s="23"/>
      <c r="AH410" s="28" t="s">
        <v>1</v>
      </c>
      <c r="AI410" s="28"/>
      <c r="AJ410" s="28"/>
      <c r="AK410" s="28"/>
      <c r="AL410" s="28"/>
      <c r="AM410" s="28"/>
      <c r="AN410" s="28"/>
      <c r="AO410" s="28"/>
      <c r="AP410" s="28"/>
      <c r="AQ410" s="23"/>
      <c r="AR410" s="23"/>
      <c r="AS410" s="23"/>
      <c r="AT410" s="23"/>
      <c r="AU410" s="28" t="s">
        <v>171</v>
      </c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</row>
    <row r="411" spans="1:64" ht="15" x14ac:dyDescent="0.2">
      <c r="AB411" s="23"/>
      <c r="AC411" s="23"/>
      <c r="AD411" s="23"/>
      <c r="AE411" s="23"/>
      <c r="AF411" s="23"/>
      <c r="AG411" s="23"/>
      <c r="AH411" s="24"/>
      <c r="AI411" s="24"/>
      <c r="AJ411" s="24"/>
      <c r="AK411" s="24"/>
      <c r="AL411" s="24"/>
      <c r="AM411" s="24"/>
      <c r="AN411" s="24"/>
      <c r="AO411" s="24"/>
      <c r="AP411" s="24"/>
      <c r="AQ411" s="23"/>
      <c r="AR411" s="23"/>
      <c r="AS411" s="23"/>
      <c r="AT411" s="23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</row>
    <row r="412" spans="1:64" ht="18" customHeight="1" x14ac:dyDescent="0.2">
      <c r="A412" s="128" t="s">
        <v>299</v>
      </c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23"/>
      <c r="AC412" s="23"/>
      <c r="AD412" s="23"/>
      <c r="AE412" s="23"/>
      <c r="AF412" s="23"/>
      <c r="AG412" s="23"/>
      <c r="AH412" s="43"/>
      <c r="AI412" s="43"/>
      <c r="AJ412" s="43"/>
      <c r="AK412" s="43"/>
      <c r="AL412" s="43"/>
      <c r="AM412" s="43"/>
      <c r="AN412" s="43"/>
      <c r="AO412" s="43"/>
      <c r="AP412" s="43"/>
      <c r="AQ412" s="23"/>
      <c r="AR412" s="23"/>
      <c r="AS412" s="23"/>
      <c r="AT412" s="23"/>
      <c r="AU412" s="130" t="s">
        <v>301</v>
      </c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</row>
    <row r="413" spans="1:64" ht="12" customHeight="1" x14ac:dyDescent="0.2">
      <c r="AB413" s="23"/>
      <c r="AC413" s="23"/>
      <c r="AD413" s="23"/>
      <c r="AE413" s="23"/>
      <c r="AF413" s="23"/>
      <c r="AG413" s="23"/>
      <c r="AH413" s="28" t="s">
        <v>1</v>
      </c>
      <c r="AI413" s="28"/>
      <c r="AJ413" s="28"/>
      <c r="AK413" s="28"/>
      <c r="AL413" s="28"/>
      <c r="AM413" s="28"/>
      <c r="AN413" s="28"/>
      <c r="AO413" s="28"/>
      <c r="AP413" s="28"/>
      <c r="AQ413" s="23"/>
      <c r="AR413" s="23"/>
      <c r="AS413" s="23"/>
      <c r="AT413" s="23"/>
      <c r="AU413" s="28" t="s">
        <v>171</v>
      </c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</row>
  </sheetData>
  <mergeCells count="3562">
    <mergeCell ref="AU339:AW339"/>
    <mergeCell ref="AX339:AZ339"/>
    <mergeCell ref="BA339:BC339"/>
    <mergeCell ref="BD339:BF339"/>
    <mergeCell ref="BG339:BI339"/>
    <mergeCell ref="BJ339:BL339"/>
    <mergeCell ref="AC339:AE339"/>
    <mergeCell ref="AF339:AH339"/>
    <mergeCell ref="AI339:AK339"/>
    <mergeCell ref="AL339:AN339"/>
    <mergeCell ref="AO339:AQ339"/>
    <mergeCell ref="AR339:AT339"/>
    <mergeCell ref="AT329:AX329"/>
    <mergeCell ref="AY329:BC329"/>
    <mergeCell ref="BD329:BH329"/>
    <mergeCell ref="BI329:BM329"/>
    <mergeCell ref="BN329:BR329"/>
    <mergeCell ref="A329:T329"/>
    <mergeCell ref="U329:Y329"/>
    <mergeCell ref="Z329:AD329"/>
    <mergeCell ref="AE329:AI329"/>
    <mergeCell ref="AJ329:AN329"/>
    <mergeCell ref="AO329:AS329"/>
    <mergeCell ref="AO328:AS328"/>
    <mergeCell ref="AT328:AX328"/>
    <mergeCell ref="AY328:BC328"/>
    <mergeCell ref="BD328:BH328"/>
    <mergeCell ref="BI328:BM328"/>
    <mergeCell ref="BN328:BR328"/>
    <mergeCell ref="AT327:AX327"/>
    <mergeCell ref="AY327:BC327"/>
    <mergeCell ref="BD327:BH327"/>
    <mergeCell ref="BI327:BM327"/>
    <mergeCell ref="BN327:BR327"/>
    <mergeCell ref="A328:T328"/>
    <mergeCell ref="U328:Y328"/>
    <mergeCell ref="Z328:AD328"/>
    <mergeCell ref="AE328:AI328"/>
    <mergeCell ref="AJ328:AN328"/>
    <mergeCell ref="A327:T327"/>
    <mergeCell ref="U327:Y327"/>
    <mergeCell ref="Z327:AD327"/>
    <mergeCell ref="AE327:AI327"/>
    <mergeCell ref="AJ327:AN327"/>
    <mergeCell ref="AO327:AS327"/>
    <mergeCell ref="AO326:AS326"/>
    <mergeCell ref="AT326:AX326"/>
    <mergeCell ref="AY326:BC326"/>
    <mergeCell ref="BD326:BH326"/>
    <mergeCell ref="BI326:BM326"/>
    <mergeCell ref="BN326:BR326"/>
    <mergeCell ref="AT325:AX325"/>
    <mergeCell ref="AY325:BC325"/>
    <mergeCell ref="BD325:BH325"/>
    <mergeCell ref="BI325:BM325"/>
    <mergeCell ref="BN325:BR325"/>
    <mergeCell ref="A326:T326"/>
    <mergeCell ref="U326:Y326"/>
    <mergeCell ref="Z326:AD326"/>
    <mergeCell ref="AE326:AI326"/>
    <mergeCell ref="AJ326:AN326"/>
    <mergeCell ref="AY324:BC324"/>
    <mergeCell ref="BD324:BH324"/>
    <mergeCell ref="BI324:BM324"/>
    <mergeCell ref="BN324:BR324"/>
    <mergeCell ref="A325:T325"/>
    <mergeCell ref="U325:Y325"/>
    <mergeCell ref="Z325:AD325"/>
    <mergeCell ref="AE325:AI325"/>
    <mergeCell ref="AJ325:AN325"/>
    <mergeCell ref="AO325:AS325"/>
    <mergeCell ref="BD323:BH323"/>
    <mergeCell ref="BI323:BM323"/>
    <mergeCell ref="BN323:BR323"/>
    <mergeCell ref="A324:T324"/>
    <mergeCell ref="U324:Y324"/>
    <mergeCell ref="Z324:AD324"/>
    <mergeCell ref="AE324:AI324"/>
    <mergeCell ref="AJ324:AN324"/>
    <mergeCell ref="AO324:AS324"/>
    <mergeCell ref="AT324:AX324"/>
    <mergeCell ref="BI322:BM322"/>
    <mergeCell ref="BN322:BR322"/>
    <mergeCell ref="A323:T323"/>
    <mergeCell ref="U323:Y323"/>
    <mergeCell ref="Z323:AD323"/>
    <mergeCell ref="AE323:AI323"/>
    <mergeCell ref="AJ323:AN323"/>
    <mergeCell ref="AO323:AS323"/>
    <mergeCell ref="AT323:AX323"/>
    <mergeCell ref="AY323:BC323"/>
    <mergeCell ref="BN321:BR321"/>
    <mergeCell ref="A322:T322"/>
    <mergeCell ref="U322:Y322"/>
    <mergeCell ref="Z322:AD322"/>
    <mergeCell ref="AE322:AI322"/>
    <mergeCell ref="AJ322:AN322"/>
    <mergeCell ref="AO322:AS322"/>
    <mergeCell ref="AT322:AX322"/>
    <mergeCell ref="AY322:BC322"/>
    <mergeCell ref="BD322:BH322"/>
    <mergeCell ref="A321:T321"/>
    <mergeCell ref="U321:Y321"/>
    <mergeCell ref="Z321:AD321"/>
    <mergeCell ref="AE321:AI321"/>
    <mergeCell ref="AJ321:AN321"/>
    <mergeCell ref="AO321:AS321"/>
    <mergeCell ref="AP312:AT312"/>
    <mergeCell ref="AU312:AY312"/>
    <mergeCell ref="AZ312:BD312"/>
    <mergeCell ref="BE312:BI312"/>
    <mergeCell ref="AP311:AT311"/>
    <mergeCell ref="AU311:AY311"/>
    <mergeCell ref="AZ311:BD311"/>
    <mergeCell ref="BE311:BI311"/>
    <mergeCell ref="A312:C312"/>
    <mergeCell ref="D312:P312"/>
    <mergeCell ref="Q312:U312"/>
    <mergeCell ref="V312:AE312"/>
    <mergeCell ref="AF312:AJ312"/>
    <mergeCell ref="AK312:AO312"/>
    <mergeCell ref="AP310:AT310"/>
    <mergeCell ref="AU310:AY310"/>
    <mergeCell ref="AZ310:BD310"/>
    <mergeCell ref="BE310:BI310"/>
    <mergeCell ref="A311:C311"/>
    <mergeCell ref="D311:P311"/>
    <mergeCell ref="Q311:U311"/>
    <mergeCell ref="V311:AE311"/>
    <mergeCell ref="AF311:AJ311"/>
    <mergeCell ref="AK311:AO311"/>
    <mergeCell ref="AP309:AT309"/>
    <mergeCell ref="AU309:AY309"/>
    <mergeCell ref="AZ309:BD309"/>
    <mergeCell ref="BE309:BI309"/>
    <mergeCell ref="A310:C310"/>
    <mergeCell ref="D310:P310"/>
    <mergeCell ref="Q310:U310"/>
    <mergeCell ref="V310:AE310"/>
    <mergeCell ref="AF310:AJ310"/>
    <mergeCell ref="AK310:AO310"/>
    <mergeCell ref="AP308:AT308"/>
    <mergeCell ref="AU308:AY308"/>
    <mergeCell ref="AZ308:BD308"/>
    <mergeCell ref="BE308:BI308"/>
    <mergeCell ref="A309:C309"/>
    <mergeCell ref="D309:P309"/>
    <mergeCell ref="Q309:U309"/>
    <mergeCell ref="V309:AE309"/>
    <mergeCell ref="AF309:AJ309"/>
    <mergeCell ref="AK309:AO309"/>
    <mergeCell ref="AP307:AT307"/>
    <mergeCell ref="AU307:AY307"/>
    <mergeCell ref="AZ307:BD307"/>
    <mergeCell ref="BE307:BI307"/>
    <mergeCell ref="A308:C308"/>
    <mergeCell ref="D308:P308"/>
    <mergeCell ref="Q308:U308"/>
    <mergeCell ref="V308:AE308"/>
    <mergeCell ref="AF308:AJ308"/>
    <mergeCell ref="AK308:AO308"/>
    <mergeCell ref="AP306:AT306"/>
    <mergeCell ref="AU306:AY306"/>
    <mergeCell ref="AZ306:BD306"/>
    <mergeCell ref="BE306:BI306"/>
    <mergeCell ref="A307:C307"/>
    <mergeCell ref="D307:P307"/>
    <mergeCell ref="Q307:U307"/>
    <mergeCell ref="V307:AE307"/>
    <mergeCell ref="AF307:AJ307"/>
    <mergeCell ref="AK307:AO307"/>
    <mergeCell ref="AP305:AT305"/>
    <mergeCell ref="AU305:AY305"/>
    <mergeCell ref="AZ305:BD305"/>
    <mergeCell ref="BE305:BI305"/>
    <mergeCell ref="A306:C306"/>
    <mergeCell ref="D306:P306"/>
    <mergeCell ref="Q306:U306"/>
    <mergeCell ref="V306:AE306"/>
    <mergeCell ref="AF306:AJ306"/>
    <mergeCell ref="AK306:AO306"/>
    <mergeCell ref="AP304:AT304"/>
    <mergeCell ref="AU304:AY304"/>
    <mergeCell ref="AZ304:BD304"/>
    <mergeCell ref="BE304:BI304"/>
    <mergeCell ref="A305:C305"/>
    <mergeCell ref="D305:P305"/>
    <mergeCell ref="Q305:U305"/>
    <mergeCell ref="V305:AE305"/>
    <mergeCell ref="AF305:AJ305"/>
    <mergeCell ref="AK305:AO305"/>
    <mergeCell ref="A304:C304"/>
    <mergeCell ref="D304:P304"/>
    <mergeCell ref="Q304:U304"/>
    <mergeCell ref="V304:AE304"/>
    <mergeCell ref="AF304:AJ304"/>
    <mergeCell ref="AK304:AO304"/>
    <mergeCell ref="A303:C303"/>
    <mergeCell ref="D303:P303"/>
    <mergeCell ref="Q303:U303"/>
    <mergeCell ref="V303:AE303"/>
    <mergeCell ref="AF303:AJ303"/>
    <mergeCell ref="AK303:AO303"/>
    <mergeCell ref="BT295:BX295"/>
    <mergeCell ref="AP295:AT295"/>
    <mergeCell ref="AU295:AY295"/>
    <mergeCell ref="AZ295:BD295"/>
    <mergeCell ref="BE295:BI295"/>
    <mergeCell ref="BJ295:BN295"/>
    <mergeCell ref="BO295:BS295"/>
    <mergeCell ref="BE294:BI294"/>
    <mergeCell ref="BJ294:BN294"/>
    <mergeCell ref="BO294:BS294"/>
    <mergeCell ref="BT294:BX294"/>
    <mergeCell ref="A295:C295"/>
    <mergeCell ref="D295:P295"/>
    <mergeCell ref="Q295:U295"/>
    <mergeCell ref="V295:AE295"/>
    <mergeCell ref="AF295:AJ295"/>
    <mergeCell ref="AK295:AO295"/>
    <mergeCell ref="BT293:BX293"/>
    <mergeCell ref="A294:C294"/>
    <mergeCell ref="D294:P294"/>
    <mergeCell ref="Q294:U294"/>
    <mergeCell ref="V294:AE294"/>
    <mergeCell ref="AF294:AJ294"/>
    <mergeCell ref="AK294:AO294"/>
    <mergeCell ref="AP294:AT294"/>
    <mergeCell ref="AU294:AY294"/>
    <mergeCell ref="AZ294:BD294"/>
    <mergeCell ref="AP293:AT293"/>
    <mergeCell ref="AU293:AY293"/>
    <mergeCell ref="AZ293:BD293"/>
    <mergeCell ref="BE293:BI293"/>
    <mergeCell ref="BJ293:BN293"/>
    <mergeCell ref="BO293:BS293"/>
    <mergeCell ref="BE292:BI292"/>
    <mergeCell ref="BJ292:BN292"/>
    <mergeCell ref="BO292:BS292"/>
    <mergeCell ref="BT292:BX292"/>
    <mergeCell ref="A293:C293"/>
    <mergeCell ref="D293:P293"/>
    <mergeCell ref="Q293:U293"/>
    <mergeCell ref="V293:AE293"/>
    <mergeCell ref="AF293:AJ293"/>
    <mergeCell ref="AK293:AO293"/>
    <mergeCell ref="BT291:BX291"/>
    <mergeCell ref="A292:C292"/>
    <mergeCell ref="D292:P292"/>
    <mergeCell ref="Q292:U292"/>
    <mergeCell ref="V292:AE292"/>
    <mergeCell ref="AF292:AJ292"/>
    <mergeCell ref="AK292:AO292"/>
    <mergeCell ref="AP292:AT292"/>
    <mergeCell ref="AU292:AY292"/>
    <mergeCell ref="AZ292:BD292"/>
    <mergeCell ref="AP291:AT291"/>
    <mergeCell ref="AU291:AY291"/>
    <mergeCell ref="AZ291:BD291"/>
    <mergeCell ref="BE291:BI291"/>
    <mergeCell ref="BJ291:BN291"/>
    <mergeCell ref="BO291:BS291"/>
    <mergeCell ref="BE290:BI290"/>
    <mergeCell ref="BJ290:BN290"/>
    <mergeCell ref="BO290:BS290"/>
    <mergeCell ref="BT290:BX290"/>
    <mergeCell ref="A291:C291"/>
    <mergeCell ref="D291:P291"/>
    <mergeCell ref="Q291:U291"/>
    <mergeCell ref="V291:AE291"/>
    <mergeCell ref="AF291:AJ291"/>
    <mergeCell ref="AK291:AO291"/>
    <mergeCell ref="BT289:BX289"/>
    <mergeCell ref="A290:C290"/>
    <mergeCell ref="D290:P290"/>
    <mergeCell ref="Q290:U290"/>
    <mergeCell ref="V290:AE290"/>
    <mergeCell ref="AF290:AJ290"/>
    <mergeCell ref="AK290:AO290"/>
    <mergeCell ref="AP290:AT290"/>
    <mergeCell ref="AU290:AY290"/>
    <mergeCell ref="AZ290:BD290"/>
    <mergeCell ref="AP289:AT289"/>
    <mergeCell ref="AU289:AY289"/>
    <mergeCell ref="AZ289:BD289"/>
    <mergeCell ref="BE289:BI289"/>
    <mergeCell ref="BJ289:BN289"/>
    <mergeCell ref="BO289:BS289"/>
    <mergeCell ref="BE288:BI288"/>
    <mergeCell ref="BJ288:BN288"/>
    <mergeCell ref="BO288:BS288"/>
    <mergeCell ref="BT288:BX288"/>
    <mergeCell ref="A289:C289"/>
    <mergeCell ref="D289:P289"/>
    <mergeCell ref="Q289:U289"/>
    <mergeCell ref="V289:AE289"/>
    <mergeCell ref="AF289:AJ289"/>
    <mergeCell ref="AK289:AO289"/>
    <mergeCell ref="BT287:BX287"/>
    <mergeCell ref="A288:C288"/>
    <mergeCell ref="D288:P288"/>
    <mergeCell ref="Q288:U288"/>
    <mergeCell ref="V288:AE288"/>
    <mergeCell ref="AF288:AJ288"/>
    <mergeCell ref="AK288:AO288"/>
    <mergeCell ref="AP288:AT288"/>
    <mergeCell ref="AU288:AY288"/>
    <mergeCell ref="AZ288:BD288"/>
    <mergeCell ref="AP287:AT287"/>
    <mergeCell ref="AU287:AY287"/>
    <mergeCell ref="AZ287:BD287"/>
    <mergeCell ref="BE287:BI287"/>
    <mergeCell ref="BJ287:BN287"/>
    <mergeCell ref="BO287:BS287"/>
    <mergeCell ref="BE286:BI286"/>
    <mergeCell ref="BJ286:BN286"/>
    <mergeCell ref="BO286:BS286"/>
    <mergeCell ref="BT286:BX286"/>
    <mergeCell ref="A287:C287"/>
    <mergeCell ref="D287:P287"/>
    <mergeCell ref="Q287:U287"/>
    <mergeCell ref="V287:AE287"/>
    <mergeCell ref="AF287:AJ287"/>
    <mergeCell ref="AK287:AO287"/>
    <mergeCell ref="A286:C286"/>
    <mergeCell ref="D286:P286"/>
    <mergeCell ref="Q286:U286"/>
    <mergeCell ref="V286:AE286"/>
    <mergeCell ref="AF286:AJ286"/>
    <mergeCell ref="AK286:AO286"/>
    <mergeCell ref="AP286:AT286"/>
    <mergeCell ref="AU286:AY286"/>
    <mergeCell ref="AZ286:BD286"/>
    <mergeCell ref="BD276:BH276"/>
    <mergeCell ref="BD275:BH275"/>
    <mergeCell ref="A276:C276"/>
    <mergeCell ref="D276:T276"/>
    <mergeCell ref="U276:Y276"/>
    <mergeCell ref="Z276:AD276"/>
    <mergeCell ref="AE276:AI276"/>
    <mergeCell ref="AJ276:AN276"/>
    <mergeCell ref="AO276:AS276"/>
    <mergeCell ref="AT276:AX276"/>
    <mergeCell ref="AY276:BC276"/>
    <mergeCell ref="BD274:BH274"/>
    <mergeCell ref="A275:C275"/>
    <mergeCell ref="D275:T275"/>
    <mergeCell ref="U275:Y275"/>
    <mergeCell ref="Z275:AD275"/>
    <mergeCell ref="AE275:AI275"/>
    <mergeCell ref="AJ275:AN275"/>
    <mergeCell ref="AO275:AS275"/>
    <mergeCell ref="AT275:AX275"/>
    <mergeCell ref="AY275:BC275"/>
    <mergeCell ref="BD273:BH273"/>
    <mergeCell ref="A274:C274"/>
    <mergeCell ref="D274:T274"/>
    <mergeCell ref="U274:Y274"/>
    <mergeCell ref="Z274:AD274"/>
    <mergeCell ref="AE274:AI274"/>
    <mergeCell ref="AJ274:AN274"/>
    <mergeCell ref="AO274:AS274"/>
    <mergeCell ref="AT274:AX274"/>
    <mergeCell ref="AY274:BC274"/>
    <mergeCell ref="BD272:BH272"/>
    <mergeCell ref="A273:C273"/>
    <mergeCell ref="D273:T273"/>
    <mergeCell ref="U273:Y273"/>
    <mergeCell ref="Z273:AD273"/>
    <mergeCell ref="AE273:AI273"/>
    <mergeCell ref="AJ273:AN273"/>
    <mergeCell ref="AO273:AS273"/>
    <mergeCell ref="AT273:AX273"/>
    <mergeCell ref="AY273:BC273"/>
    <mergeCell ref="BD271:BH271"/>
    <mergeCell ref="A272:C272"/>
    <mergeCell ref="D272:T272"/>
    <mergeCell ref="U272:Y272"/>
    <mergeCell ref="Z272:AD272"/>
    <mergeCell ref="AE272:AI272"/>
    <mergeCell ref="AJ272:AN272"/>
    <mergeCell ref="AO272:AS272"/>
    <mergeCell ref="AT272:AX272"/>
    <mergeCell ref="AY272:BC272"/>
    <mergeCell ref="BD270:BH270"/>
    <mergeCell ref="A271:C271"/>
    <mergeCell ref="D271:T271"/>
    <mergeCell ref="U271:Y271"/>
    <mergeCell ref="Z271:AD271"/>
    <mergeCell ref="AE271:AI271"/>
    <mergeCell ref="AJ271:AN271"/>
    <mergeCell ref="AO271:AS271"/>
    <mergeCell ref="AT271:AX271"/>
    <mergeCell ref="AY271:BC271"/>
    <mergeCell ref="BD269:BH269"/>
    <mergeCell ref="A270:C270"/>
    <mergeCell ref="D270:T270"/>
    <mergeCell ref="U270:Y270"/>
    <mergeCell ref="Z270:AD270"/>
    <mergeCell ref="AE270:AI270"/>
    <mergeCell ref="AJ270:AN270"/>
    <mergeCell ref="AO270:AS270"/>
    <mergeCell ref="AT270:AX270"/>
    <mergeCell ref="AY270:BC270"/>
    <mergeCell ref="BD268:BH268"/>
    <mergeCell ref="A269:C269"/>
    <mergeCell ref="D269:T269"/>
    <mergeCell ref="U269:Y269"/>
    <mergeCell ref="Z269:AD269"/>
    <mergeCell ref="AE269:AI269"/>
    <mergeCell ref="AJ269:AN269"/>
    <mergeCell ref="AO269:AS269"/>
    <mergeCell ref="AT269:AX269"/>
    <mergeCell ref="AY269:BC269"/>
    <mergeCell ref="BD267:BH267"/>
    <mergeCell ref="A268:C268"/>
    <mergeCell ref="D268:T268"/>
    <mergeCell ref="U268:Y268"/>
    <mergeCell ref="Z268:AD268"/>
    <mergeCell ref="AE268:AI268"/>
    <mergeCell ref="AJ268:AN268"/>
    <mergeCell ref="AO268:AS268"/>
    <mergeCell ref="AT268:AX268"/>
    <mergeCell ref="AY268:BC268"/>
    <mergeCell ref="BD266:BH266"/>
    <mergeCell ref="A267:C267"/>
    <mergeCell ref="D267:T267"/>
    <mergeCell ref="U267:Y267"/>
    <mergeCell ref="Z267:AD267"/>
    <mergeCell ref="AE267:AI267"/>
    <mergeCell ref="AJ267:AN267"/>
    <mergeCell ref="AO267:AS267"/>
    <mergeCell ref="AT267:AX267"/>
    <mergeCell ref="AY267:BC267"/>
    <mergeCell ref="BD265:BH265"/>
    <mergeCell ref="A266:C266"/>
    <mergeCell ref="D266:T266"/>
    <mergeCell ref="U266:Y266"/>
    <mergeCell ref="Z266:AD266"/>
    <mergeCell ref="AE266:AI266"/>
    <mergeCell ref="AJ266:AN266"/>
    <mergeCell ref="AO266:AS266"/>
    <mergeCell ref="AT266:AX266"/>
    <mergeCell ref="AY266:BC266"/>
    <mergeCell ref="BD264:BH264"/>
    <mergeCell ref="A265:C265"/>
    <mergeCell ref="D265:T265"/>
    <mergeCell ref="U265:Y265"/>
    <mergeCell ref="Z265:AD265"/>
    <mergeCell ref="AE265:AI265"/>
    <mergeCell ref="AJ265:AN265"/>
    <mergeCell ref="AO265:AS265"/>
    <mergeCell ref="AT265:AX265"/>
    <mergeCell ref="AY265:BC265"/>
    <mergeCell ref="BD263:BH263"/>
    <mergeCell ref="A264:C264"/>
    <mergeCell ref="D264:T264"/>
    <mergeCell ref="U264:Y264"/>
    <mergeCell ref="Z264:AD264"/>
    <mergeCell ref="AE264:AI264"/>
    <mergeCell ref="AJ264:AN264"/>
    <mergeCell ref="AO264:AS264"/>
    <mergeCell ref="AT264:AX264"/>
    <mergeCell ref="AY264:BC264"/>
    <mergeCell ref="BD262:BH262"/>
    <mergeCell ref="A263:C263"/>
    <mergeCell ref="D263:T263"/>
    <mergeCell ref="U263:Y263"/>
    <mergeCell ref="Z263:AD263"/>
    <mergeCell ref="AE263:AI263"/>
    <mergeCell ref="AJ263:AN263"/>
    <mergeCell ref="AO263:AS263"/>
    <mergeCell ref="AT263:AX263"/>
    <mergeCell ref="AY263:BC263"/>
    <mergeCell ref="BD261:BH261"/>
    <mergeCell ref="A262:C262"/>
    <mergeCell ref="D262:T262"/>
    <mergeCell ref="U262:Y262"/>
    <mergeCell ref="Z262:AD262"/>
    <mergeCell ref="AE262:AI262"/>
    <mergeCell ref="AJ262:AN262"/>
    <mergeCell ref="AO262:AS262"/>
    <mergeCell ref="AT262:AX262"/>
    <mergeCell ref="AY262:BC262"/>
    <mergeCell ref="BD260:BH260"/>
    <mergeCell ref="A261:C261"/>
    <mergeCell ref="D261:T261"/>
    <mergeCell ref="U261:Y261"/>
    <mergeCell ref="Z261:AD261"/>
    <mergeCell ref="AE261:AI261"/>
    <mergeCell ref="AJ261:AN261"/>
    <mergeCell ref="AO261:AS261"/>
    <mergeCell ref="AT261:AX261"/>
    <mergeCell ref="AY261:BC261"/>
    <mergeCell ref="BD259:BH259"/>
    <mergeCell ref="A260:C260"/>
    <mergeCell ref="D260:T260"/>
    <mergeCell ref="U260:Y260"/>
    <mergeCell ref="Z260:AD260"/>
    <mergeCell ref="AE260:AI260"/>
    <mergeCell ref="AJ260:AN260"/>
    <mergeCell ref="AO260:AS260"/>
    <mergeCell ref="AT260:AX260"/>
    <mergeCell ref="AY260:BC260"/>
    <mergeCell ref="BD258:BH258"/>
    <mergeCell ref="A259:C259"/>
    <mergeCell ref="D259:T259"/>
    <mergeCell ref="U259:Y259"/>
    <mergeCell ref="Z259:AD259"/>
    <mergeCell ref="AE259:AI259"/>
    <mergeCell ref="AJ259:AN259"/>
    <mergeCell ref="AO259:AS259"/>
    <mergeCell ref="AT259:AX259"/>
    <mergeCell ref="AY259:BC259"/>
    <mergeCell ref="BD257:BH257"/>
    <mergeCell ref="A258:C258"/>
    <mergeCell ref="D258:T258"/>
    <mergeCell ref="U258:Y258"/>
    <mergeCell ref="Z258:AD258"/>
    <mergeCell ref="AE258:AI258"/>
    <mergeCell ref="AJ258:AN258"/>
    <mergeCell ref="AO258:AS258"/>
    <mergeCell ref="AT258:AX258"/>
    <mergeCell ref="AY258:BC258"/>
    <mergeCell ref="BD256:BH256"/>
    <mergeCell ref="A257:C257"/>
    <mergeCell ref="D257:T257"/>
    <mergeCell ref="U257:Y257"/>
    <mergeCell ref="Z257:AD257"/>
    <mergeCell ref="AE257:AI257"/>
    <mergeCell ref="AJ257:AN257"/>
    <mergeCell ref="AO257:AS257"/>
    <mergeCell ref="AT257:AX257"/>
    <mergeCell ref="AY257:BC257"/>
    <mergeCell ref="BD255:BH255"/>
    <mergeCell ref="A256:C256"/>
    <mergeCell ref="D256:T256"/>
    <mergeCell ref="U256:Y256"/>
    <mergeCell ref="Z256:AD256"/>
    <mergeCell ref="AE256:AI256"/>
    <mergeCell ref="AJ256:AN256"/>
    <mergeCell ref="AO256:AS256"/>
    <mergeCell ref="AT256:AX256"/>
    <mergeCell ref="AY256:BC256"/>
    <mergeCell ref="BD254:BH254"/>
    <mergeCell ref="A255:C255"/>
    <mergeCell ref="D255:T255"/>
    <mergeCell ref="U255:Y255"/>
    <mergeCell ref="Z255:AD255"/>
    <mergeCell ref="AE255:AI255"/>
    <mergeCell ref="AJ255:AN255"/>
    <mergeCell ref="AO255:AS255"/>
    <mergeCell ref="AT255:AX255"/>
    <mergeCell ref="AY255:BC255"/>
    <mergeCell ref="BD253:BH253"/>
    <mergeCell ref="A254:C254"/>
    <mergeCell ref="D254:T254"/>
    <mergeCell ref="U254:Y254"/>
    <mergeCell ref="Z254:AD254"/>
    <mergeCell ref="AE254:AI254"/>
    <mergeCell ref="AJ254:AN254"/>
    <mergeCell ref="AO254:AS254"/>
    <mergeCell ref="AT254:AX254"/>
    <mergeCell ref="AY254:BC254"/>
    <mergeCell ref="BD252:BH252"/>
    <mergeCell ref="A253:C253"/>
    <mergeCell ref="D253:T253"/>
    <mergeCell ref="U253:Y253"/>
    <mergeCell ref="Z253:AD253"/>
    <mergeCell ref="AE253:AI253"/>
    <mergeCell ref="AJ253:AN253"/>
    <mergeCell ref="AO253:AS253"/>
    <mergeCell ref="AT253:AX253"/>
    <mergeCell ref="AY253:BC253"/>
    <mergeCell ref="BD251:BH251"/>
    <mergeCell ref="A252:C252"/>
    <mergeCell ref="D252:T252"/>
    <mergeCell ref="U252:Y252"/>
    <mergeCell ref="Z252:AD252"/>
    <mergeCell ref="AE252:AI252"/>
    <mergeCell ref="AJ252:AN252"/>
    <mergeCell ref="AO252:AS252"/>
    <mergeCell ref="AT252:AX252"/>
    <mergeCell ref="AY252:BC252"/>
    <mergeCell ref="BD250:BH250"/>
    <mergeCell ref="A251:C251"/>
    <mergeCell ref="D251:T251"/>
    <mergeCell ref="U251:Y251"/>
    <mergeCell ref="Z251:AD251"/>
    <mergeCell ref="AE251:AI251"/>
    <mergeCell ref="AJ251:AN251"/>
    <mergeCell ref="AO251:AS251"/>
    <mergeCell ref="AT251:AX251"/>
    <mergeCell ref="AY251:BC251"/>
    <mergeCell ref="BD249:BH249"/>
    <mergeCell ref="A250:C250"/>
    <mergeCell ref="D250:T250"/>
    <mergeCell ref="U250:Y250"/>
    <mergeCell ref="Z250:AD250"/>
    <mergeCell ref="AE250:AI250"/>
    <mergeCell ref="AJ250:AN250"/>
    <mergeCell ref="AO250:AS250"/>
    <mergeCell ref="AT250:AX250"/>
    <mergeCell ref="AY250:BC250"/>
    <mergeCell ref="BD248:BH248"/>
    <mergeCell ref="A249:C249"/>
    <mergeCell ref="D249:T249"/>
    <mergeCell ref="U249:Y249"/>
    <mergeCell ref="Z249:AD249"/>
    <mergeCell ref="AE249:AI249"/>
    <mergeCell ref="AJ249:AN249"/>
    <mergeCell ref="AO249:AS249"/>
    <mergeCell ref="AT249:AX249"/>
    <mergeCell ref="AY249:BC249"/>
    <mergeCell ref="BD247:BH247"/>
    <mergeCell ref="A248:C248"/>
    <mergeCell ref="D248:T248"/>
    <mergeCell ref="U248:Y248"/>
    <mergeCell ref="Z248:AD248"/>
    <mergeCell ref="AE248:AI248"/>
    <mergeCell ref="AJ248:AN248"/>
    <mergeCell ref="AO248:AS248"/>
    <mergeCell ref="AT248:AX248"/>
    <mergeCell ref="AY248:BC248"/>
    <mergeCell ref="BD246:BH246"/>
    <mergeCell ref="A247:C247"/>
    <mergeCell ref="D247:T247"/>
    <mergeCell ref="U247:Y247"/>
    <mergeCell ref="Z247:AD247"/>
    <mergeCell ref="AE247:AI247"/>
    <mergeCell ref="AJ247:AN247"/>
    <mergeCell ref="AO247:AS247"/>
    <mergeCell ref="AT247:AX247"/>
    <mergeCell ref="AY247:BC247"/>
    <mergeCell ref="BD245:BH245"/>
    <mergeCell ref="A246:C246"/>
    <mergeCell ref="D246:T246"/>
    <mergeCell ref="U246:Y246"/>
    <mergeCell ref="Z246:AD246"/>
    <mergeCell ref="AE246:AI246"/>
    <mergeCell ref="AJ246:AN246"/>
    <mergeCell ref="AO246:AS246"/>
    <mergeCell ref="AT246:AX246"/>
    <mergeCell ref="AY246:BC246"/>
    <mergeCell ref="BD244:BH244"/>
    <mergeCell ref="A245:C245"/>
    <mergeCell ref="D245:T245"/>
    <mergeCell ref="U245:Y245"/>
    <mergeCell ref="Z245:AD245"/>
    <mergeCell ref="AE245:AI245"/>
    <mergeCell ref="AJ245:AN245"/>
    <mergeCell ref="AO245:AS245"/>
    <mergeCell ref="AT245:AX245"/>
    <mergeCell ref="AY245:BC245"/>
    <mergeCell ref="BD243:BH243"/>
    <mergeCell ref="A244:C244"/>
    <mergeCell ref="D244:T244"/>
    <mergeCell ref="U244:Y244"/>
    <mergeCell ref="Z244:AD244"/>
    <mergeCell ref="AE244:AI244"/>
    <mergeCell ref="AJ244:AN244"/>
    <mergeCell ref="AO244:AS244"/>
    <mergeCell ref="AT244:AX244"/>
    <mergeCell ref="AY244:BC244"/>
    <mergeCell ref="BD242:BH242"/>
    <mergeCell ref="A243:C243"/>
    <mergeCell ref="D243:T243"/>
    <mergeCell ref="U243:Y243"/>
    <mergeCell ref="Z243:AD243"/>
    <mergeCell ref="AE243:AI243"/>
    <mergeCell ref="AJ243:AN243"/>
    <mergeCell ref="AO243:AS243"/>
    <mergeCell ref="AT243:AX243"/>
    <mergeCell ref="AY243:BC243"/>
    <mergeCell ref="BD241:BH241"/>
    <mergeCell ref="A242:C242"/>
    <mergeCell ref="D242:T242"/>
    <mergeCell ref="U242:Y242"/>
    <mergeCell ref="Z242:AD242"/>
    <mergeCell ref="AE242:AI242"/>
    <mergeCell ref="AJ242:AN242"/>
    <mergeCell ref="AO242:AS242"/>
    <mergeCell ref="AT242:AX242"/>
    <mergeCell ref="AY242:BC242"/>
    <mergeCell ref="BD240:BH240"/>
    <mergeCell ref="A241:C241"/>
    <mergeCell ref="D241:T241"/>
    <mergeCell ref="U241:Y241"/>
    <mergeCell ref="Z241:AD241"/>
    <mergeCell ref="AE241:AI241"/>
    <mergeCell ref="AJ241:AN241"/>
    <mergeCell ref="AO241:AS241"/>
    <mergeCell ref="AT241:AX241"/>
    <mergeCell ref="AY241:BC241"/>
    <mergeCell ref="BD239:BH239"/>
    <mergeCell ref="A240:C240"/>
    <mergeCell ref="D240:T240"/>
    <mergeCell ref="U240:Y240"/>
    <mergeCell ref="Z240:AD240"/>
    <mergeCell ref="AE240:AI240"/>
    <mergeCell ref="AJ240:AN240"/>
    <mergeCell ref="AO240:AS240"/>
    <mergeCell ref="AT240:AX240"/>
    <mergeCell ref="AY240:BC240"/>
    <mergeCell ref="BD238:BH238"/>
    <mergeCell ref="A239:C239"/>
    <mergeCell ref="D239:T239"/>
    <mergeCell ref="U239:Y239"/>
    <mergeCell ref="Z239:AD239"/>
    <mergeCell ref="AE239:AI239"/>
    <mergeCell ref="AJ239:AN239"/>
    <mergeCell ref="AO239:AS239"/>
    <mergeCell ref="AT239:AX239"/>
    <mergeCell ref="AY239:BC239"/>
    <mergeCell ref="BD237:BH237"/>
    <mergeCell ref="A238:C238"/>
    <mergeCell ref="D238:T238"/>
    <mergeCell ref="U238:Y238"/>
    <mergeCell ref="Z238:AD238"/>
    <mergeCell ref="AE238:AI238"/>
    <mergeCell ref="AJ238:AN238"/>
    <mergeCell ref="AO238:AS238"/>
    <mergeCell ref="AT238:AX238"/>
    <mergeCell ref="AY238:BC238"/>
    <mergeCell ref="BD236:BH236"/>
    <mergeCell ref="A237:C237"/>
    <mergeCell ref="D237:T237"/>
    <mergeCell ref="U237:Y237"/>
    <mergeCell ref="Z237:AD237"/>
    <mergeCell ref="AE237:AI237"/>
    <mergeCell ref="AJ237:AN237"/>
    <mergeCell ref="AO237:AS237"/>
    <mergeCell ref="AT237:AX237"/>
    <mergeCell ref="AY237:BC237"/>
    <mergeCell ref="BD235:BH235"/>
    <mergeCell ref="A236:C236"/>
    <mergeCell ref="D236:T236"/>
    <mergeCell ref="U236:Y236"/>
    <mergeCell ref="Z236:AD236"/>
    <mergeCell ref="AE236:AI236"/>
    <mergeCell ref="AJ236:AN236"/>
    <mergeCell ref="AO236:AS236"/>
    <mergeCell ref="AT236:AX236"/>
    <mergeCell ref="AY236:BC236"/>
    <mergeCell ref="BD234:BH234"/>
    <mergeCell ref="A235:C235"/>
    <mergeCell ref="D235:T235"/>
    <mergeCell ref="U235:Y235"/>
    <mergeCell ref="Z235:AD235"/>
    <mergeCell ref="AE235:AI235"/>
    <mergeCell ref="AJ235:AN235"/>
    <mergeCell ref="AO235:AS235"/>
    <mergeCell ref="AT235:AX235"/>
    <mergeCell ref="AY235:BC235"/>
    <mergeCell ref="BD233:BH233"/>
    <mergeCell ref="A234:C234"/>
    <mergeCell ref="D234:T234"/>
    <mergeCell ref="U234:Y234"/>
    <mergeCell ref="Z234:AD234"/>
    <mergeCell ref="AE234:AI234"/>
    <mergeCell ref="AJ234:AN234"/>
    <mergeCell ref="AO234:AS234"/>
    <mergeCell ref="AT234:AX234"/>
    <mergeCell ref="AY234:BC234"/>
    <mergeCell ref="BD232:BH232"/>
    <mergeCell ref="A233:C233"/>
    <mergeCell ref="D233:T233"/>
    <mergeCell ref="U233:Y233"/>
    <mergeCell ref="Z233:AD233"/>
    <mergeCell ref="AE233:AI233"/>
    <mergeCell ref="AJ233:AN233"/>
    <mergeCell ref="AO233:AS233"/>
    <mergeCell ref="AT233:AX233"/>
    <mergeCell ref="AY233:BC233"/>
    <mergeCell ref="BD231:BH231"/>
    <mergeCell ref="A232:C232"/>
    <mergeCell ref="D232:T232"/>
    <mergeCell ref="U232:Y232"/>
    <mergeCell ref="Z232:AD232"/>
    <mergeCell ref="AE232:AI232"/>
    <mergeCell ref="AJ232:AN232"/>
    <mergeCell ref="AO232:AS232"/>
    <mergeCell ref="AT232:AX232"/>
    <mergeCell ref="AY232:BC232"/>
    <mergeCell ref="BD230:BH230"/>
    <mergeCell ref="A231:C231"/>
    <mergeCell ref="D231:T231"/>
    <mergeCell ref="U231:Y231"/>
    <mergeCell ref="Z231:AD231"/>
    <mergeCell ref="AE231:AI231"/>
    <mergeCell ref="AJ231:AN231"/>
    <mergeCell ref="AO231:AS231"/>
    <mergeCell ref="AT231:AX231"/>
    <mergeCell ref="AY231:BC231"/>
    <mergeCell ref="BD229:BH229"/>
    <mergeCell ref="A230:C230"/>
    <mergeCell ref="D230:T230"/>
    <mergeCell ref="U230:Y230"/>
    <mergeCell ref="Z230:AD230"/>
    <mergeCell ref="AE230:AI230"/>
    <mergeCell ref="AJ230:AN230"/>
    <mergeCell ref="AO230:AS230"/>
    <mergeCell ref="AT230:AX230"/>
    <mergeCell ref="AY230:BC230"/>
    <mergeCell ref="BD228:BH228"/>
    <mergeCell ref="A229:C229"/>
    <mergeCell ref="D229:T229"/>
    <mergeCell ref="U229:Y229"/>
    <mergeCell ref="Z229:AD229"/>
    <mergeCell ref="AE229:AI229"/>
    <mergeCell ref="AJ229:AN229"/>
    <mergeCell ref="AO229:AS229"/>
    <mergeCell ref="AT229:AX229"/>
    <mergeCell ref="AY229:BC229"/>
    <mergeCell ref="BD227:BH227"/>
    <mergeCell ref="A228:C228"/>
    <mergeCell ref="D228:T228"/>
    <mergeCell ref="U228:Y228"/>
    <mergeCell ref="Z228:AD228"/>
    <mergeCell ref="AE228:AI228"/>
    <mergeCell ref="AJ228:AN228"/>
    <mergeCell ref="AO228:AS228"/>
    <mergeCell ref="AT228:AX228"/>
    <mergeCell ref="AY228:BC228"/>
    <mergeCell ref="BD226:BH226"/>
    <mergeCell ref="A227:C227"/>
    <mergeCell ref="D227:T227"/>
    <mergeCell ref="U227:Y227"/>
    <mergeCell ref="Z227:AD227"/>
    <mergeCell ref="AE227:AI227"/>
    <mergeCell ref="AJ227:AN227"/>
    <mergeCell ref="AO227:AS227"/>
    <mergeCell ref="AT227:AX227"/>
    <mergeCell ref="AY227:BC227"/>
    <mergeCell ref="BD225:BH225"/>
    <mergeCell ref="A226:C226"/>
    <mergeCell ref="D226:T226"/>
    <mergeCell ref="U226:Y226"/>
    <mergeCell ref="Z226:AD226"/>
    <mergeCell ref="AE226:AI226"/>
    <mergeCell ref="AJ226:AN226"/>
    <mergeCell ref="AO226:AS226"/>
    <mergeCell ref="AT226:AX226"/>
    <mergeCell ref="AY226:BC226"/>
    <mergeCell ref="BD224:BH224"/>
    <mergeCell ref="A225:C225"/>
    <mergeCell ref="D225:T225"/>
    <mergeCell ref="U225:Y225"/>
    <mergeCell ref="Z225:AD225"/>
    <mergeCell ref="AE225:AI225"/>
    <mergeCell ref="AJ225:AN225"/>
    <mergeCell ref="AO225:AS225"/>
    <mergeCell ref="AT225:AX225"/>
    <mergeCell ref="AY225:BC225"/>
    <mergeCell ref="BD223:BH223"/>
    <mergeCell ref="A224:C224"/>
    <mergeCell ref="D224:T224"/>
    <mergeCell ref="U224:Y224"/>
    <mergeCell ref="Z224:AD224"/>
    <mergeCell ref="AE224:AI224"/>
    <mergeCell ref="AJ224:AN224"/>
    <mergeCell ref="AO224:AS224"/>
    <mergeCell ref="AT224:AX224"/>
    <mergeCell ref="AY224:BC224"/>
    <mergeCell ref="BD222:BH222"/>
    <mergeCell ref="A223:C223"/>
    <mergeCell ref="D223:T223"/>
    <mergeCell ref="U223:Y223"/>
    <mergeCell ref="Z223:AD223"/>
    <mergeCell ref="AE223:AI223"/>
    <mergeCell ref="AJ223:AN223"/>
    <mergeCell ref="AO223:AS223"/>
    <mergeCell ref="AT223:AX223"/>
    <mergeCell ref="AY223:BC223"/>
    <mergeCell ref="BD221:BH221"/>
    <mergeCell ref="A222:C222"/>
    <mergeCell ref="D222:T222"/>
    <mergeCell ref="U222:Y222"/>
    <mergeCell ref="Z222:AD222"/>
    <mergeCell ref="AE222:AI222"/>
    <mergeCell ref="AJ222:AN222"/>
    <mergeCell ref="AO222:AS222"/>
    <mergeCell ref="AT222:AX222"/>
    <mergeCell ref="AY222:BC222"/>
    <mergeCell ref="BD220:BH220"/>
    <mergeCell ref="A221:C221"/>
    <mergeCell ref="D221:T221"/>
    <mergeCell ref="U221:Y221"/>
    <mergeCell ref="Z221:AD221"/>
    <mergeCell ref="AE221:AI221"/>
    <mergeCell ref="AJ221:AN221"/>
    <mergeCell ref="AO221:AS221"/>
    <mergeCell ref="AT221:AX221"/>
    <mergeCell ref="AY221:BC221"/>
    <mergeCell ref="BD219:BH219"/>
    <mergeCell ref="A220:C220"/>
    <mergeCell ref="D220:T220"/>
    <mergeCell ref="U220:Y220"/>
    <mergeCell ref="Z220:AD220"/>
    <mergeCell ref="AE220:AI220"/>
    <mergeCell ref="AJ220:AN220"/>
    <mergeCell ref="AO220:AS220"/>
    <mergeCell ref="AT220:AX220"/>
    <mergeCell ref="AY220:BC220"/>
    <mergeCell ref="BD218:BH218"/>
    <mergeCell ref="A219:C219"/>
    <mergeCell ref="D219:T219"/>
    <mergeCell ref="U219:Y219"/>
    <mergeCell ref="Z219:AD219"/>
    <mergeCell ref="AE219:AI219"/>
    <mergeCell ref="AJ219:AN219"/>
    <mergeCell ref="AO219:AS219"/>
    <mergeCell ref="AT219:AX219"/>
    <mergeCell ref="AY219:BC219"/>
    <mergeCell ref="BD217:BH217"/>
    <mergeCell ref="A218:C218"/>
    <mergeCell ref="D218:T218"/>
    <mergeCell ref="U218:Y218"/>
    <mergeCell ref="Z218:AD218"/>
    <mergeCell ref="AE218:AI218"/>
    <mergeCell ref="AJ218:AN218"/>
    <mergeCell ref="AO218:AS218"/>
    <mergeCell ref="AT218:AX218"/>
    <mergeCell ref="AY218:BC218"/>
    <mergeCell ref="BD216:BH216"/>
    <mergeCell ref="A217:C217"/>
    <mergeCell ref="D217:T217"/>
    <mergeCell ref="U217:Y217"/>
    <mergeCell ref="Z217:AD217"/>
    <mergeCell ref="AE217:AI217"/>
    <mergeCell ref="AJ217:AN217"/>
    <mergeCell ref="AO217:AS217"/>
    <mergeCell ref="AT217:AX217"/>
    <mergeCell ref="AY217:BC217"/>
    <mergeCell ref="BD215:BH215"/>
    <mergeCell ref="A216:C216"/>
    <mergeCell ref="D216:T216"/>
    <mergeCell ref="U216:Y216"/>
    <mergeCell ref="Z216:AD216"/>
    <mergeCell ref="AE216:AI216"/>
    <mergeCell ref="AJ216:AN216"/>
    <mergeCell ref="AO216:AS216"/>
    <mergeCell ref="AT216:AX216"/>
    <mergeCell ref="AY216:BC216"/>
    <mergeCell ref="BD214:BH214"/>
    <mergeCell ref="A215:C215"/>
    <mergeCell ref="D215:T215"/>
    <mergeCell ref="U215:Y215"/>
    <mergeCell ref="Z215:AD215"/>
    <mergeCell ref="AE215:AI215"/>
    <mergeCell ref="AJ215:AN215"/>
    <mergeCell ref="AO215:AS215"/>
    <mergeCell ref="AT215:AX215"/>
    <mergeCell ref="AY215:BC215"/>
    <mergeCell ref="BD213:BH213"/>
    <mergeCell ref="A214:C214"/>
    <mergeCell ref="D214:T214"/>
    <mergeCell ref="U214:Y214"/>
    <mergeCell ref="Z214:AD214"/>
    <mergeCell ref="AE214:AI214"/>
    <mergeCell ref="AJ214:AN214"/>
    <mergeCell ref="AO214:AS214"/>
    <mergeCell ref="AT214:AX214"/>
    <mergeCell ref="AY214:BC214"/>
    <mergeCell ref="BD212:BH212"/>
    <mergeCell ref="A213:C213"/>
    <mergeCell ref="D213:T213"/>
    <mergeCell ref="U213:Y213"/>
    <mergeCell ref="Z213:AD213"/>
    <mergeCell ref="AE213:AI213"/>
    <mergeCell ref="AJ213:AN213"/>
    <mergeCell ref="AO213:AS213"/>
    <mergeCell ref="AT213:AX213"/>
    <mergeCell ref="AY213:BC213"/>
    <mergeCell ref="BD211:BH211"/>
    <mergeCell ref="A212:C212"/>
    <mergeCell ref="D212:T212"/>
    <mergeCell ref="U212:Y212"/>
    <mergeCell ref="Z212:AD212"/>
    <mergeCell ref="AE212:AI212"/>
    <mergeCell ref="AJ212:AN212"/>
    <mergeCell ref="AO212:AS212"/>
    <mergeCell ref="AT212:AX212"/>
    <mergeCell ref="AY212:BC212"/>
    <mergeCell ref="BD210:BH210"/>
    <mergeCell ref="A211:C211"/>
    <mergeCell ref="D211:T211"/>
    <mergeCell ref="U211:Y211"/>
    <mergeCell ref="Z211:AD211"/>
    <mergeCell ref="AE211:AI211"/>
    <mergeCell ref="AJ211:AN211"/>
    <mergeCell ref="AO211:AS211"/>
    <mergeCell ref="AT211:AX211"/>
    <mergeCell ref="AY211:BC211"/>
    <mergeCell ref="BD209:BH209"/>
    <mergeCell ref="A210:C210"/>
    <mergeCell ref="D210:T210"/>
    <mergeCell ref="U210:Y210"/>
    <mergeCell ref="Z210:AD210"/>
    <mergeCell ref="AE210:AI210"/>
    <mergeCell ref="AJ210:AN210"/>
    <mergeCell ref="AO210:AS210"/>
    <mergeCell ref="AT210:AX210"/>
    <mergeCell ref="AY210:BC210"/>
    <mergeCell ref="BD208:BH208"/>
    <mergeCell ref="A209:C209"/>
    <mergeCell ref="D209:T209"/>
    <mergeCell ref="U209:Y209"/>
    <mergeCell ref="Z209:AD209"/>
    <mergeCell ref="AE209:AI209"/>
    <mergeCell ref="AJ209:AN209"/>
    <mergeCell ref="AO209:AS209"/>
    <mergeCell ref="AT209:AX209"/>
    <mergeCell ref="AY209:BC209"/>
    <mergeCell ref="BD207:BH207"/>
    <mergeCell ref="A208:C208"/>
    <mergeCell ref="D208:T208"/>
    <mergeCell ref="U208:Y208"/>
    <mergeCell ref="Z208:AD208"/>
    <mergeCell ref="AE208:AI208"/>
    <mergeCell ref="AJ208:AN208"/>
    <mergeCell ref="AO208:AS208"/>
    <mergeCell ref="AT208:AX208"/>
    <mergeCell ref="AY208:BC208"/>
    <mergeCell ref="BD206:BH206"/>
    <mergeCell ref="A207:C207"/>
    <mergeCell ref="D207:T207"/>
    <mergeCell ref="U207:Y207"/>
    <mergeCell ref="Z207:AD207"/>
    <mergeCell ref="AE207:AI207"/>
    <mergeCell ref="AJ207:AN207"/>
    <mergeCell ref="AO207:AS207"/>
    <mergeCell ref="AT207:AX207"/>
    <mergeCell ref="AY207:BC207"/>
    <mergeCell ref="Z206:AD206"/>
    <mergeCell ref="AE206:AI206"/>
    <mergeCell ref="AJ206:AN206"/>
    <mergeCell ref="AO206:AS206"/>
    <mergeCell ref="AT206:AX206"/>
    <mergeCell ref="AY206:BC206"/>
    <mergeCell ref="A205:C205"/>
    <mergeCell ref="D205:T205"/>
    <mergeCell ref="U205:Y205"/>
    <mergeCell ref="Z205:AD205"/>
    <mergeCell ref="AE205:AI205"/>
    <mergeCell ref="AJ205:AN205"/>
    <mergeCell ref="AO205:AS205"/>
    <mergeCell ref="AT205:AX205"/>
    <mergeCell ref="AY205:BC205"/>
    <mergeCell ref="BL196:BP196"/>
    <mergeCell ref="BQ196:BT196"/>
    <mergeCell ref="BU196:BY196"/>
    <mergeCell ref="AI196:AM196"/>
    <mergeCell ref="AN196:AR196"/>
    <mergeCell ref="AS196:AW196"/>
    <mergeCell ref="AX196:BA196"/>
    <mergeCell ref="BB196:BF196"/>
    <mergeCell ref="BG196:BK196"/>
    <mergeCell ref="BB195:BF195"/>
    <mergeCell ref="BG195:BK195"/>
    <mergeCell ref="BL195:BP195"/>
    <mergeCell ref="BQ195:BT195"/>
    <mergeCell ref="BU195:BY195"/>
    <mergeCell ref="A196:C196"/>
    <mergeCell ref="D196:T196"/>
    <mergeCell ref="U196:Y196"/>
    <mergeCell ref="Z196:AD196"/>
    <mergeCell ref="AE196:AH196"/>
    <mergeCell ref="BU194:BY194"/>
    <mergeCell ref="A195:C195"/>
    <mergeCell ref="D195:T195"/>
    <mergeCell ref="U195:Y195"/>
    <mergeCell ref="Z195:AD195"/>
    <mergeCell ref="AE195:AH195"/>
    <mergeCell ref="AI195:AM195"/>
    <mergeCell ref="AN195:AR195"/>
    <mergeCell ref="AS195:AW195"/>
    <mergeCell ref="AX195:BA195"/>
    <mergeCell ref="AS194:AW194"/>
    <mergeCell ref="AX194:BA194"/>
    <mergeCell ref="BB194:BF194"/>
    <mergeCell ref="BG194:BK194"/>
    <mergeCell ref="BL194:BP194"/>
    <mergeCell ref="BQ194:BT194"/>
    <mergeCell ref="BL193:BP193"/>
    <mergeCell ref="BQ193:BT193"/>
    <mergeCell ref="BU193:BY193"/>
    <mergeCell ref="A194:C194"/>
    <mergeCell ref="D194:T194"/>
    <mergeCell ref="U194:Y194"/>
    <mergeCell ref="Z194:AD194"/>
    <mergeCell ref="AE194:AH194"/>
    <mergeCell ref="AI194:AM194"/>
    <mergeCell ref="AN194:AR194"/>
    <mergeCell ref="AI193:AM193"/>
    <mergeCell ref="AN193:AR193"/>
    <mergeCell ref="AS193:AW193"/>
    <mergeCell ref="AX193:BA193"/>
    <mergeCell ref="BB193:BF193"/>
    <mergeCell ref="BG193:BK193"/>
    <mergeCell ref="BB192:BF192"/>
    <mergeCell ref="BG192:BK192"/>
    <mergeCell ref="BL192:BP192"/>
    <mergeCell ref="BQ192:BT192"/>
    <mergeCell ref="BU192:BY192"/>
    <mergeCell ref="A193:C193"/>
    <mergeCell ref="D193:T193"/>
    <mergeCell ref="U193:Y193"/>
    <mergeCell ref="Z193:AD193"/>
    <mergeCell ref="AE193:AH193"/>
    <mergeCell ref="BU191:BY191"/>
    <mergeCell ref="A192:C192"/>
    <mergeCell ref="D192:T192"/>
    <mergeCell ref="U192:Y192"/>
    <mergeCell ref="Z192:AD192"/>
    <mergeCell ref="AE192:AH192"/>
    <mergeCell ref="AI192:AM192"/>
    <mergeCell ref="AN192:AR192"/>
    <mergeCell ref="AS192:AW192"/>
    <mergeCell ref="AX192:BA192"/>
    <mergeCell ref="AS191:AW191"/>
    <mergeCell ref="AX191:BA191"/>
    <mergeCell ref="BB191:BF191"/>
    <mergeCell ref="BG191:BK191"/>
    <mergeCell ref="BL191:BP191"/>
    <mergeCell ref="BQ191:BT191"/>
    <mergeCell ref="BL190:BP190"/>
    <mergeCell ref="BQ190:BT190"/>
    <mergeCell ref="BU190:BY190"/>
    <mergeCell ref="A191:C191"/>
    <mergeCell ref="D191:T191"/>
    <mergeCell ref="U191:Y191"/>
    <mergeCell ref="Z191:AD191"/>
    <mergeCell ref="AE191:AH191"/>
    <mergeCell ref="AI191:AM191"/>
    <mergeCell ref="AN191:AR191"/>
    <mergeCell ref="AI190:AM190"/>
    <mergeCell ref="AN190:AR190"/>
    <mergeCell ref="AS190:AW190"/>
    <mergeCell ref="AX190:BA190"/>
    <mergeCell ref="BB190:BF190"/>
    <mergeCell ref="BG190:BK190"/>
    <mergeCell ref="BB189:BF189"/>
    <mergeCell ref="BG189:BK189"/>
    <mergeCell ref="BL189:BP189"/>
    <mergeCell ref="BQ189:BT189"/>
    <mergeCell ref="BU189:BY189"/>
    <mergeCell ref="A190:C190"/>
    <mergeCell ref="D190:T190"/>
    <mergeCell ref="U190:Y190"/>
    <mergeCell ref="Z190:AD190"/>
    <mergeCell ref="AE190:AH190"/>
    <mergeCell ref="BU188:BY188"/>
    <mergeCell ref="A189:C189"/>
    <mergeCell ref="D189:T189"/>
    <mergeCell ref="U189:Y189"/>
    <mergeCell ref="Z189:AD189"/>
    <mergeCell ref="AE189:AH189"/>
    <mergeCell ref="AI189:AM189"/>
    <mergeCell ref="AN189:AR189"/>
    <mergeCell ref="AS189:AW189"/>
    <mergeCell ref="AX189:BA189"/>
    <mergeCell ref="AS188:AW188"/>
    <mergeCell ref="AX188:BA188"/>
    <mergeCell ref="BB188:BF188"/>
    <mergeCell ref="BG188:BK188"/>
    <mergeCell ref="BL188:BP188"/>
    <mergeCell ref="BQ188:BT188"/>
    <mergeCell ref="BL187:BP187"/>
    <mergeCell ref="BQ187:BT187"/>
    <mergeCell ref="BU187:BY187"/>
    <mergeCell ref="A188:C188"/>
    <mergeCell ref="D188:T188"/>
    <mergeCell ref="U188:Y188"/>
    <mergeCell ref="Z188:AD188"/>
    <mergeCell ref="AE188:AH188"/>
    <mergeCell ref="AI188:AM188"/>
    <mergeCell ref="AN188:AR188"/>
    <mergeCell ref="AI187:AM187"/>
    <mergeCell ref="AN187:AR187"/>
    <mergeCell ref="AS187:AW187"/>
    <mergeCell ref="AX187:BA187"/>
    <mergeCell ref="BB187:BF187"/>
    <mergeCell ref="BG187:BK187"/>
    <mergeCell ref="BB186:BF186"/>
    <mergeCell ref="BG186:BK186"/>
    <mergeCell ref="BL186:BP186"/>
    <mergeCell ref="BQ186:BT186"/>
    <mergeCell ref="BU186:BY186"/>
    <mergeCell ref="A187:C187"/>
    <mergeCell ref="D187:T187"/>
    <mergeCell ref="U187:Y187"/>
    <mergeCell ref="Z187:AD187"/>
    <mergeCell ref="AE187:AH187"/>
    <mergeCell ref="BU185:BY185"/>
    <mergeCell ref="A186:C186"/>
    <mergeCell ref="D186:T186"/>
    <mergeCell ref="U186:Y186"/>
    <mergeCell ref="Z186:AD186"/>
    <mergeCell ref="AE186:AH186"/>
    <mergeCell ref="AI186:AM186"/>
    <mergeCell ref="AN186:AR186"/>
    <mergeCell ref="AS186:AW186"/>
    <mergeCell ref="AX186:BA186"/>
    <mergeCell ref="AS185:AW185"/>
    <mergeCell ref="AX185:BA185"/>
    <mergeCell ref="BB185:BF185"/>
    <mergeCell ref="BG185:BK185"/>
    <mergeCell ref="BL185:BP185"/>
    <mergeCell ref="BQ185:BT185"/>
    <mergeCell ref="BL184:BP184"/>
    <mergeCell ref="BQ184:BT184"/>
    <mergeCell ref="BU184:BY184"/>
    <mergeCell ref="A185:C185"/>
    <mergeCell ref="D185:T185"/>
    <mergeCell ref="U185:Y185"/>
    <mergeCell ref="Z185:AD185"/>
    <mergeCell ref="AE185:AH185"/>
    <mergeCell ref="AI185:AM185"/>
    <mergeCell ref="AN185:AR185"/>
    <mergeCell ref="AI184:AM184"/>
    <mergeCell ref="AN184:AR184"/>
    <mergeCell ref="AS184:AW184"/>
    <mergeCell ref="AX184:BA184"/>
    <mergeCell ref="BB184:BF184"/>
    <mergeCell ref="BG184:BK184"/>
    <mergeCell ref="BB183:BF183"/>
    <mergeCell ref="BG183:BK183"/>
    <mergeCell ref="BL183:BP183"/>
    <mergeCell ref="BQ183:BT183"/>
    <mergeCell ref="BU183:BY183"/>
    <mergeCell ref="A184:C184"/>
    <mergeCell ref="D184:T184"/>
    <mergeCell ref="U184:Y184"/>
    <mergeCell ref="Z184:AD184"/>
    <mergeCell ref="AE184:AH184"/>
    <mergeCell ref="BU182:BY182"/>
    <mergeCell ref="A183:C183"/>
    <mergeCell ref="D183:T183"/>
    <mergeCell ref="U183:Y183"/>
    <mergeCell ref="Z183:AD183"/>
    <mergeCell ref="AE183:AH183"/>
    <mergeCell ref="AI183:AM183"/>
    <mergeCell ref="AN183:AR183"/>
    <mergeCell ref="AS183:AW183"/>
    <mergeCell ref="AX183:BA183"/>
    <mergeCell ref="AS182:AW182"/>
    <mergeCell ref="AX182:BA182"/>
    <mergeCell ref="BB182:BF182"/>
    <mergeCell ref="BG182:BK182"/>
    <mergeCell ref="BL182:BP182"/>
    <mergeCell ref="BQ182:BT182"/>
    <mergeCell ref="BL181:BP181"/>
    <mergeCell ref="BQ181:BT181"/>
    <mergeCell ref="BU181:BY181"/>
    <mergeCell ref="A182:C182"/>
    <mergeCell ref="D182:T182"/>
    <mergeCell ref="U182:Y182"/>
    <mergeCell ref="Z182:AD182"/>
    <mergeCell ref="AE182:AH182"/>
    <mergeCell ref="AI182:AM182"/>
    <mergeCell ref="AN182:AR182"/>
    <mergeCell ref="AI181:AM181"/>
    <mergeCell ref="AN181:AR181"/>
    <mergeCell ref="AS181:AW181"/>
    <mergeCell ref="AX181:BA181"/>
    <mergeCell ref="BB181:BF181"/>
    <mergeCell ref="BG181:BK181"/>
    <mergeCell ref="BB180:BF180"/>
    <mergeCell ref="BG180:BK180"/>
    <mergeCell ref="BL180:BP180"/>
    <mergeCell ref="BQ180:BT180"/>
    <mergeCell ref="BU180:BY180"/>
    <mergeCell ref="A181:C181"/>
    <mergeCell ref="D181:T181"/>
    <mergeCell ref="U181:Y181"/>
    <mergeCell ref="Z181:AD181"/>
    <mergeCell ref="AE181:AH181"/>
    <mergeCell ref="BU179:BY179"/>
    <mergeCell ref="A180:C180"/>
    <mergeCell ref="D180:T180"/>
    <mergeCell ref="U180:Y180"/>
    <mergeCell ref="Z180:AD180"/>
    <mergeCell ref="AE180:AH180"/>
    <mergeCell ref="AI180:AM180"/>
    <mergeCell ref="AN180:AR180"/>
    <mergeCell ref="AS180:AW180"/>
    <mergeCell ref="AX180:BA180"/>
    <mergeCell ref="AS179:AW179"/>
    <mergeCell ref="AX179:BA179"/>
    <mergeCell ref="BB179:BF179"/>
    <mergeCell ref="BG179:BK179"/>
    <mergeCell ref="BL179:BP179"/>
    <mergeCell ref="BQ179:BT179"/>
    <mergeCell ref="BL178:BP178"/>
    <mergeCell ref="BQ178:BT178"/>
    <mergeCell ref="BU178:BY178"/>
    <mergeCell ref="A179:C179"/>
    <mergeCell ref="D179:T179"/>
    <mergeCell ref="U179:Y179"/>
    <mergeCell ref="Z179:AD179"/>
    <mergeCell ref="AE179:AH179"/>
    <mergeCell ref="AI179:AM179"/>
    <mergeCell ref="AN179:AR179"/>
    <mergeCell ref="AI178:AM178"/>
    <mergeCell ref="AN178:AR178"/>
    <mergeCell ref="AS178:AW178"/>
    <mergeCell ref="AX178:BA178"/>
    <mergeCell ref="BB178:BF178"/>
    <mergeCell ref="BG178:BK178"/>
    <mergeCell ref="BB177:BF177"/>
    <mergeCell ref="BG177:BK177"/>
    <mergeCell ref="BL177:BP177"/>
    <mergeCell ref="BQ177:BT177"/>
    <mergeCell ref="BU177:BY177"/>
    <mergeCell ref="A178:C178"/>
    <mergeCell ref="D178:T178"/>
    <mergeCell ref="U178:Y178"/>
    <mergeCell ref="Z178:AD178"/>
    <mergeCell ref="AE178:AH178"/>
    <mergeCell ref="BU176:BY176"/>
    <mergeCell ref="A177:C177"/>
    <mergeCell ref="D177:T177"/>
    <mergeCell ref="U177:Y177"/>
    <mergeCell ref="Z177:AD177"/>
    <mergeCell ref="AE177:AH177"/>
    <mergeCell ref="AI177:AM177"/>
    <mergeCell ref="AN177:AR177"/>
    <mergeCell ref="AS177:AW177"/>
    <mergeCell ref="AX177:BA177"/>
    <mergeCell ref="AS176:AW176"/>
    <mergeCell ref="AX176:BA176"/>
    <mergeCell ref="BB176:BF176"/>
    <mergeCell ref="BG176:BK176"/>
    <mergeCell ref="BL176:BP176"/>
    <mergeCell ref="BQ176:BT176"/>
    <mergeCell ref="BL175:BP175"/>
    <mergeCell ref="BQ175:BT175"/>
    <mergeCell ref="BU175:BY175"/>
    <mergeCell ref="A176:C176"/>
    <mergeCell ref="D176:T176"/>
    <mergeCell ref="U176:Y176"/>
    <mergeCell ref="Z176:AD176"/>
    <mergeCell ref="AE176:AH176"/>
    <mergeCell ref="AI176:AM176"/>
    <mergeCell ref="AN176:AR176"/>
    <mergeCell ref="AI175:AM175"/>
    <mergeCell ref="AN175:AR175"/>
    <mergeCell ref="AS175:AW175"/>
    <mergeCell ref="AX175:BA175"/>
    <mergeCell ref="BB175:BF175"/>
    <mergeCell ref="BG175:BK175"/>
    <mergeCell ref="BB174:BF174"/>
    <mergeCell ref="BG174:BK174"/>
    <mergeCell ref="BL174:BP174"/>
    <mergeCell ref="BQ174:BT174"/>
    <mergeCell ref="BU174:BY174"/>
    <mergeCell ref="A175:C175"/>
    <mergeCell ref="D175:T175"/>
    <mergeCell ref="U175:Y175"/>
    <mergeCell ref="Z175:AD175"/>
    <mergeCell ref="AE175:AH175"/>
    <mergeCell ref="BU173:BY173"/>
    <mergeCell ref="A174:C174"/>
    <mergeCell ref="D174:T174"/>
    <mergeCell ref="U174:Y174"/>
    <mergeCell ref="Z174:AD174"/>
    <mergeCell ref="AE174:AH174"/>
    <mergeCell ref="AI174:AM174"/>
    <mergeCell ref="AN174:AR174"/>
    <mergeCell ref="AS174:AW174"/>
    <mergeCell ref="AX174:BA174"/>
    <mergeCell ref="AS173:AW173"/>
    <mergeCell ref="AX173:BA173"/>
    <mergeCell ref="BB173:BF173"/>
    <mergeCell ref="BG173:BK173"/>
    <mergeCell ref="BL173:BP173"/>
    <mergeCell ref="BQ173:BT173"/>
    <mergeCell ref="BL172:BP172"/>
    <mergeCell ref="BQ172:BT172"/>
    <mergeCell ref="BU172:BY172"/>
    <mergeCell ref="A173:C173"/>
    <mergeCell ref="D173:T173"/>
    <mergeCell ref="U173:Y173"/>
    <mergeCell ref="Z173:AD173"/>
    <mergeCell ref="AE173:AH173"/>
    <mergeCell ref="AI173:AM173"/>
    <mergeCell ref="AN173:AR173"/>
    <mergeCell ref="AI172:AM172"/>
    <mergeCell ref="AN172:AR172"/>
    <mergeCell ref="AS172:AW172"/>
    <mergeCell ref="AX172:BA172"/>
    <mergeCell ref="BB172:BF172"/>
    <mergeCell ref="BG172:BK172"/>
    <mergeCell ref="BB171:BF171"/>
    <mergeCell ref="BG171:BK171"/>
    <mergeCell ref="BL171:BP171"/>
    <mergeCell ref="BQ171:BT171"/>
    <mergeCell ref="BU171:BY171"/>
    <mergeCell ref="A172:C172"/>
    <mergeCell ref="D172:T172"/>
    <mergeCell ref="U172:Y172"/>
    <mergeCell ref="Z172:AD172"/>
    <mergeCell ref="AE172:AH172"/>
    <mergeCell ref="BU170:BY170"/>
    <mergeCell ref="A171:C171"/>
    <mergeCell ref="D171:T171"/>
    <mergeCell ref="U171:Y171"/>
    <mergeCell ref="Z171:AD171"/>
    <mergeCell ref="AE171:AH171"/>
    <mergeCell ref="AI171:AM171"/>
    <mergeCell ref="AN171:AR171"/>
    <mergeCell ref="AS171:AW171"/>
    <mergeCell ref="AX171:BA171"/>
    <mergeCell ref="AS170:AW170"/>
    <mergeCell ref="AX170:BA170"/>
    <mergeCell ref="BB170:BF170"/>
    <mergeCell ref="BG170:BK170"/>
    <mergeCell ref="BL170:BP170"/>
    <mergeCell ref="BQ170:BT170"/>
    <mergeCell ref="BL169:BP169"/>
    <mergeCell ref="BQ169:BT169"/>
    <mergeCell ref="BU169:BY169"/>
    <mergeCell ref="A170:C170"/>
    <mergeCell ref="D170:T170"/>
    <mergeCell ref="U170:Y170"/>
    <mergeCell ref="Z170:AD170"/>
    <mergeCell ref="AE170:AH170"/>
    <mergeCell ref="AI170:AM170"/>
    <mergeCell ref="AN170:AR170"/>
    <mergeCell ref="AI169:AM169"/>
    <mergeCell ref="AN169:AR169"/>
    <mergeCell ref="AS169:AW169"/>
    <mergeCell ref="AX169:BA169"/>
    <mergeCell ref="BB169:BF169"/>
    <mergeCell ref="BG169:BK169"/>
    <mergeCell ref="BB168:BF168"/>
    <mergeCell ref="BG168:BK168"/>
    <mergeCell ref="BL168:BP168"/>
    <mergeCell ref="BQ168:BT168"/>
    <mergeCell ref="BU168:BY168"/>
    <mergeCell ref="A169:C169"/>
    <mergeCell ref="D169:T169"/>
    <mergeCell ref="U169:Y169"/>
    <mergeCell ref="Z169:AD169"/>
    <mergeCell ref="AE169:AH169"/>
    <mergeCell ref="BU167:BY167"/>
    <mergeCell ref="A168:C168"/>
    <mergeCell ref="D168:T168"/>
    <mergeCell ref="U168:Y168"/>
    <mergeCell ref="Z168:AD168"/>
    <mergeCell ref="AE168:AH168"/>
    <mergeCell ref="AI168:AM168"/>
    <mergeCell ref="AN168:AR168"/>
    <mergeCell ref="AS168:AW168"/>
    <mergeCell ref="AX168:BA168"/>
    <mergeCell ref="AS167:AW167"/>
    <mergeCell ref="AX167:BA167"/>
    <mergeCell ref="BB167:BF167"/>
    <mergeCell ref="BG167:BK167"/>
    <mergeCell ref="BL167:BP167"/>
    <mergeCell ref="BQ167:BT167"/>
    <mergeCell ref="BL166:BP166"/>
    <mergeCell ref="BQ166:BT166"/>
    <mergeCell ref="BU166:BY166"/>
    <mergeCell ref="A167:C167"/>
    <mergeCell ref="D167:T167"/>
    <mergeCell ref="U167:Y167"/>
    <mergeCell ref="Z167:AD167"/>
    <mergeCell ref="AE167:AH167"/>
    <mergeCell ref="AI167:AM167"/>
    <mergeCell ref="AN167:AR167"/>
    <mergeCell ref="AI166:AM166"/>
    <mergeCell ref="AN166:AR166"/>
    <mergeCell ref="AS166:AW166"/>
    <mergeCell ref="AX166:BA166"/>
    <mergeCell ref="BB166:BF166"/>
    <mergeCell ref="BG166:BK166"/>
    <mergeCell ref="BB165:BF165"/>
    <mergeCell ref="BG165:BK165"/>
    <mergeCell ref="BL165:BP165"/>
    <mergeCell ref="BQ165:BT165"/>
    <mergeCell ref="BU165:BY165"/>
    <mergeCell ref="A166:C166"/>
    <mergeCell ref="D166:T166"/>
    <mergeCell ref="U166:Y166"/>
    <mergeCell ref="Z166:AD166"/>
    <mergeCell ref="AE166:AH166"/>
    <mergeCell ref="BU164:BY164"/>
    <mergeCell ref="A165:C165"/>
    <mergeCell ref="D165:T165"/>
    <mergeCell ref="U165:Y165"/>
    <mergeCell ref="Z165:AD165"/>
    <mergeCell ref="AE165:AH165"/>
    <mergeCell ref="AI165:AM165"/>
    <mergeCell ref="AN165:AR165"/>
    <mergeCell ref="AS165:AW165"/>
    <mergeCell ref="AX165:BA165"/>
    <mergeCell ref="AS164:AW164"/>
    <mergeCell ref="AX164:BA164"/>
    <mergeCell ref="BB164:BF164"/>
    <mergeCell ref="BG164:BK164"/>
    <mergeCell ref="BL164:BP164"/>
    <mergeCell ref="BQ164:BT164"/>
    <mergeCell ref="BL163:BP163"/>
    <mergeCell ref="BQ163:BT163"/>
    <mergeCell ref="BU163:BY163"/>
    <mergeCell ref="A164:C164"/>
    <mergeCell ref="D164:T164"/>
    <mergeCell ref="U164:Y164"/>
    <mergeCell ref="Z164:AD164"/>
    <mergeCell ref="AE164:AH164"/>
    <mergeCell ref="AI164:AM164"/>
    <mergeCell ref="AN164:AR164"/>
    <mergeCell ref="AI163:AM163"/>
    <mergeCell ref="AN163:AR163"/>
    <mergeCell ref="AS163:AW163"/>
    <mergeCell ref="AX163:BA163"/>
    <mergeCell ref="BB163:BF163"/>
    <mergeCell ref="BG163:BK163"/>
    <mergeCell ref="BB162:BF162"/>
    <mergeCell ref="BG162:BK162"/>
    <mergeCell ref="BL162:BP162"/>
    <mergeCell ref="BQ162:BT162"/>
    <mergeCell ref="BU162:BY162"/>
    <mergeCell ref="A163:C163"/>
    <mergeCell ref="D163:T163"/>
    <mergeCell ref="U163:Y163"/>
    <mergeCell ref="Z163:AD163"/>
    <mergeCell ref="AE163:AH163"/>
    <mergeCell ref="BU161:BY161"/>
    <mergeCell ref="A162:C162"/>
    <mergeCell ref="D162:T162"/>
    <mergeCell ref="U162:Y162"/>
    <mergeCell ref="Z162:AD162"/>
    <mergeCell ref="AE162:AH162"/>
    <mergeCell ref="AI162:AM162"/>
    <mergeCell ref="AN162:AR162"/>
    <mergeCell ref="AS162:AW162"/>
    <mergeCell ref="AX162:BA162"/>
    <mergeCell ref="AS161:AW161"/>
    <mergeCell ref="AX161:BA161"/>
    <mergeCell ref="BB161:BF161"/>
    <mergeCell ref="BG161:BK161"/>
    <mergeCell ref="BL161:BP161"/>
    <mergeCell ref="BQ161:BT161"/>
    <mergeCell ref="BL160:BP160"/>
    <mergeCell ref="BQ160:BT160"/>
    <mergeCell ref="BU160:BY160"/>
    <mergeCell ref="A161:C161"/>
    <mergeCell ref="D161:T161"/>
    <mergeCell ref="U161:Y161"/>
    <mergeCell ref="Z161:AD161"/>
    <mergeCell ref="AE161:AH161"/>
    <mergeCell ref="AI161:AM161"/>
    <mergeCell ref="AN161:AR161"/>
    <mergeCell ref="AI160:AM160"/>
    <mergeCell ref="AN160:AR160"/>
    <mergeCell ref="AS160:AW160"/>
    <mergeCell ref="AX160:BA160"/>
    <mergeCell ref="BB160:BF160"/>
    <mergeCell ref="BG160:BK160"/>
    <mergeCell ref="BB159:BF159"/>
    <mergeCell ref="BG159:BK159"/>
    <mergeCell ref="BL159:BP159"/>
    <mergeCell ref="BQ159:BT159"/>
    <mergeCell ref="BU159:BY159"/>
    <mergeCell ref="A160:C160"/>
    <mergeCell ref="D160:T160"/>
    <mergeCell ref="U160:Y160"/>
    <mergeCell ref="Z160:AD160"/>
    <mergeCell ref="AE160:AH160"/>
    <mergeCell ref="BU158:BY158"/>
    <mergeCell ref="A159:C159"/>
    <mergeCell ref="D159:T159"/>
    <mergeCell ref="U159:Y159"/>
    <mergeCell ref="Z159:AD159"/>
    <mergeCell ref="AE159:AH159"/>
    <mergeCell ref="AI159:AM159"/>
    <mergeCell ref="AN159:AR159"/>
    <mergeCell ref="AS159:AW159"/>
    <mergeCell ref="AX159:BA159"/>
    <mergeCell ref="AS158:AW158"/>
    <mergeCell ref="AX158:BA158"/>
    <mergeCell ref="BB158:BF158"/>
    <mergeCell ref="BG158:BK158"/>
    <mergeCell ref="BL158:BP158"/>
    <mergeCell ref="BQ158:BT158"/>
    <mergeCell ref="BL157:BP157"/>
    <mergeCell ref="BQ157:BT157"/>
    <mergeCell ref="BU157:BY157"/>
    <mergeCell ref="A158:C158"/>
    <mergeCell ref="D158:T158"/>
    <mergeCell ref="U158:Y158"/>
    <mergeCell ref="Z158:AD158"/>
    <mergeCell ref="AE158:AH158"/>
    <mergeCell ref="AI158:AM158"/>
    <mergeCell ref="AN158:AR158"/>
    <mergeCell ref="AI157:AM157"/>
    <mergeCell ref="AN157:AR157"/>
    <mergeCell ref="AS157:AW157"/>
    <mergeCell ref="AX157:BA157"/>
    <mergeCell ref="BB157:BF157"/>
    <mergeCell ref="BG157:BK157"/>
    <mergeCell ref="BB156:BF156"/>
    <mergeCell ref="BG156:BK156"/>
    <mergeCell ref="BL156:BP156"/>
    <mergeCell ref="BQ156:BT156"/>
    <mergeCell ref="BU156:BY156"/>
    <mergeCell ref="A157:C157"/>
    <mergeCell ref="D157:T157"/>
    <mergeCell ref="U157:Y157"/>
    <mergeCell ref="Z157:AD157"/>
    <mergeCell ref="AE157:AH157"/>
    <mergeCell ref="BU155:BY155"/>
    <mergeCell ref="A156:C156"/>
    <mergeCell ref="D156:T156"/>
    <mergeCell ref="U156:Y156"/>
    <mergeCell ref="Z156:AD156"/>
    <mergeCell ref="AE156:AH156"/>
    <mergeCell ref="AI156:AM156"/>
    <mergeCell ref="AN156:AR156"/>
    <mergeCell ref="AS156:AW156"/>
    <mergeCell ref="AX156:BA156"/>
    <mergeCell ref="AS155:AW155"/>
    <mergeCell ref="AX155:BA155"/>
    <mergeCell ref="BB155:BF155"/>
    <mergeCell ref="BG155:BK155"/>
    <mergeCell ref="BL155:BP155"/>
    <mergeCell ref="BQ155:BT155"/>
    <mergeCell ref="BL154:BP154"/>
    <mergeCell ref="BQ154:BT154"/>
    <mergeCell ref="BU154:BY154"/>
    <mergeCell ref="A155:C155"/>
    <mergeCell ref="D155:T155"/>
    <mergeCell ref="U155:Y155"/>
    <mergeCell ref="Z155:AD155"/>
    <mergeCell ref="AE155:AH155"/>
    <mergeCell ref="AI155:AM155"/>
    <mergeCell ref="AN155:AR155"/>
    <mergeCell ref="AI154:AM154"/>
    <mergeCell ref="AN154:AR154"/>
    <mergeCell ref="AS154:AW154"/>
    <mergeCell ref="AX154:BA154"/>
    <mergeCell ref="BB154:BF154"/>
    <mergeCell ref="BG154:BK154"/>
    <mergeCell ref="BB153:BF153"/>
    <mergeCell ref="BG153:BK153"/>
    <mergeCell ref="BL153:BP153"/>
    <mergeCell ref="BQ153:BT153"/>
    <mergeCell ref="BU153:BY153"/>
    <mergeCell ref="A154:C154"/>
    <mergeCell ref="D154:T154"/>
    <mergeCell ref="U154:Y154"/>
    <mergeCell ref="Z154:AD154"/>
    <mergeCell ref="AE154:AH154"/>
    <mergeCell ref="BU152:BY152"/>
    <mergeCell ref="A153:C153"/>
    <mergeCell ref="D153:T153"/>
    <mergeCell ref="U153:Y153"/>
    <mergeCell ref="Z153:AD153"/>
    <mergeCell ref="AE153:AH153"/>
    <mergeCell ref="AI153:AM153"/>
    <mergeCell ref="AN153:AR153"/>
    <mergeCell ref="AS153:AW153"/>
    <mergeCell ref="AX153:BA153"/>
    <mergeCell ref="AS152:AW152"/>
    <mergeCell ref="AX152:BA152"/>
    <mergeCell ref="BB152:BF152"/>
    <mergeCell ref="BG152:BK152"/>
    <mergeCell ref="BL152:BP152"/>
    <mergeCell ref="BQ152:BT152"/>
    <mergeCell ref="BL151:BP151"/>
    <mergeCell ref="BQ151:BT151"/>
    <mergeCell ref="BU151:BY151"/>
    <mergeCell ref="A152:C152"/>
    <mergeCell ref="D152:T152"/>
    <mergeCell ref="U152:Y152"/>
    <mergeCell ref="Z152:AD152"/>
    <mergeCell ref="AE152:AH152"/>
    <mergeCell ref="AI152:AM152"/>
    <mergeCell ref="AN152:AR152"/>
    <mergeCell ref="AI151:AM151"/>
    <mergeCell ref="AN151:AR151"/>
    <mergeCell ref="AS151:AW151"/>
    <mergeCell ref="AX151:BA151"/>
    <mergeCell ref="BB151:BF151"/>
    <mergeCell ref="BG151:BK151"/>
    <mergeCell ref="BB150:BF150"/>
    <mergeCell ref="BG150:BK150"/>
    <mergeCell ref="BL150:BP150"/>
    <mergeCell ref="BQ150:BT150"/>
    <mergeCell ref="BU150:BY150"/>
    <mergeCell ref="A151:C151"/>
    <mergeCell ref="D151:T151"/>
    <mergeCell ref="U151:Y151"/>
    <mergeCell ref="Z151:AD151"/>
    <mergeCell ref="AE151:AH151"/>
    <mergeCell ref="BU149:BY149"/>
    <mergeCell ref="A150:C150"/>
    <mergeCell ref="D150:T150"/>
    <mergeCell ref="U150:Y150"/>
    <mergeCell ref="Z150:AD150"/>
    <mergeCell ref="AE150:AH150"/>
    <mergeCell ref="AI150:AM150"/>
    <mergeCell ref="AN150:AR150"/>
    <mergeCell ref="AS150:AW150"/>
    <mergeCell ref="AX150:BA150"/>
    <mergeCell ref="AS149:AW149"/>
    <mergeCell ref="AX149:BA149"/>
    <mergeCell ref="BB149:BF149"/>
    <mergeCell ref="BG149:BK149"/>
    <mergeCell ref="BL149:BP149"/>
    <mergeCell ref="BQ149:BT149"/>
    <mergeCell ref="BL148:BP148"/>
    <mergeCell ref="BQ148:BT148"/>
    <mergeCell ref="BU148:BY148"/>
    <mergeCell ref="A149:C149"/>
    <mergeCell ref="D149:T149"/>
    <mergeCell ref="U149:Y149"/>
    <mergeCell ref="Z149:AD149"/>
    <mergeCell ref="AE149:AH149"/>
    <mergeCell ref="AI149:AM149"/>
    <mergeCell ref="AN149:AR149"/>
    <mergeCell ref="AI148:AM148"/>
    <mergeCell ref="AN148:AR148"/>
    <mergeCell ref="AS148:AW148"/>
    <mergeCell ref="AX148:BA148"/>
    <mergeCell ref="BB148:BF148"/>
    <mergeCell ref="BG148:BK148"/>
    <mergeCell ref="BB147:BF147"/>
    <mergeCell ref="BG147:BK147"/>
    <mergeCell ref="BL147:BP147"/>
    <mergeCell ref="BQ147:BT147"/>
    <mergeCell ref="BU147:BY147"/>
    <mergeCell ref="A148:C148"/>
    <mergeCell ref="D148:T148"/>
    <mergeCell ref="U148:Y148"/>
    <mergeCell ref="Z148:AD148"/>
    <mergeCell ref="AE148:AH148"/>
    <mergeCell ref="BU146:BY146"/>
    <mergeCell ref="A147:C147"/>
    <mergeCell ref="D147:T147"/>
    <mergeCell ref="U147:Y147"/>
    <mergeCell ref="Z147:AD147"/>
    <mergeCell ref="AE147:AH147"/>
    <mergeCell ref="AI147:AM147"/>
    <mergeCell ref="AN147:AR147"/>
    <mergeCell ref="AS147:AW147"/>
    <mergeCell ref="AX147:BA147"/>
    <mergeCell ref="AS146:AW146"/>
    <mergeCell ref="AX146:BA146"/>
    <mergeCell ref="BB146:BF146"/>
    <mergeCell ref="BG146:BK146"/>
    <mergeCell ref="BL146:BP146"/>
    <mergeCell ref="BQ146:BT146"/>
    <mergeCell ref="BL145:BP145"/>
    <mergeCell ref="BQ145:BT145"/>
    <mergeCell ref="BU145:BY145"/>
    <mergeCell ref="A146:C146"/>
    <mergeCell ref="D146:T146"/>
    <mergeCell ref="U146:Y146"/>
    <mergeCell ref="Z146:AD146"/>
    <mergeCell ref="AE146:AH146"/>
    <mergeCell ref="AI146:AM146"/>
    <mergeCell ref="AN146:AR146"/>
    <mergeCell ref="AI145:AM145"/>
    <mergeCell ref="AN145:AR145"/>
    <mergeCell ref="AS145:AW145"/>
    <mergeCell ref="AX145:BA145"/>
    <mergeCell ref="BB145:BF145"/>
    <mergeCell ref="BG145:BK145"/>
    <mergeCell ref="BB144:BF144"/>
    <mergeCell ref="BG144:BK144"/>
    <mergeCell ref="BL144:BP144"/>
    <mergeCell ref="BQ144:BT144"/>
    <mergeCell ref="BU144:BY144"/>
    <mergeCell ref="A145:C145"/>
    <mergeCell ref="D145:T145"/>
    <mergeCell ref="U145:Y145"/>
    <mergeCell ref="Z145:AD145"/>
    <mergeCell ref="AE145:AH145"/>
    <mergeCell ref="BU143:BY143"/>
    <mergeCell ref="A144:C144"/>
    <mergeCell ref="D144:T144"/>
    <mergeCell ref="U144:Y144"/>
    <mergeCell ref="Z144:AD144"/>
    <mergeCell ref="AE144:AH144"/>
    <mergeCell ref="AI144:AM144"/>
    <mergeCell ref="AN144:AR144"/>
    <mergeCell ref="AS144:AW144"/>
    <mergeCell ref="AX144:BA144"/>
    <mergeCell ref="AS143:AW143"/>
    <mergeCell ref="AX143:BA143"/>
    <mergeCell ref="BB143:BF143"/>
    <mergeCell ref="BG143:BK143"/>
    <mergeCell ref="BL143:BP143"/>
    <mergeCell ref="BQ143:BT143"/>
    <mergeCell ref="BL142:BP142"/>
    <mergeCell ref="BQ142:BT142"/>
    <mergeCell ref="BU142:BY142"/>
    <mergeCell ref="A143:C143"/>
    <mergeCell ref="D143:T143"/>
    <mergeCell ref="U143:Y143"/>
    <mergeCell ref="Z143:AD143"/>
    <mergeCell ref="AE143:AH143"/>
    <mergeCell ref="AI143:AM143"/>
    <mergeCell ref="AN143:AR143"/>
    <mergeCell ref="AI142:AM142"/>
    <mergeCell ref="AN142:AR142"/>
    <mergeCell ref="AS142:AW142"/>
    <mergeCell ref="AX142:BA142"/>
    <mergeCell ref="BB142:BF142"/>
    <mergeCell ref="BG142:BK142"/>
    <mergeCell ref="BB141:BF141"/>
    <mergeCell ref="BG141:BK141"/>
    <mergeCell ref="BL141:BP141"/>
    <mergeCell ref="BQ141:BT141"/>
    <mergeCell ref="BU141:BY141"/>
    <mergeCell ref="A142:C142"/>
    <mergeCell ref="D142:T142"/>
    <mergeCell ref="U142:Y142"/>
    <mergeCell ref="Z142:AD142"/>
    <mergeCell ref="AE142:AH142"/>
    <mergeCell ref="BU140:BY140"/>
    <mergeCell ref="A141:C141"/>
    <mergeCell ref="D141:T141"/>
    <mergeCell ref="U141:Y141"/>
    <mergeCell ref="Z141:AD141"/>
    <mergeCell ref="AE141:AH141"/>
    <mergeCell ref="AI141:AM141"/>
    <mergeCell ref="AN141:AR141"/>
    <mergeCell ref="AS141:AW141"/>
    <mergeCell ref="AX141:BA141"/>
    <mergeCell ref="AS140:AW140"/>
    <mergeCell ref="AX140:BA140"/>
    <mergeCell ref="BB140:BF140"/>
    <mergeCell ref="BG140:BK140"/>
    <mergeCell ref="BL140:BP140"/>
    <mergeCell ref="BQ140:BT140"/>
    <mergeCell ref="BL139:BP139"/>
    <mergeCell ref="BQ139:BT139"/>
    <mergeCell ref="BU139:BY139"/>
    <mergeCell ref="A140:C140"/>
    <mergeCell ref="D140:T140"/>
    <mergeCell ref="U140:Y140"/>
    <mergeCell ref="Z140:AD140"/>
    <mergeCell ref="AE140:AH140"/>
    <mergeCell ref="AI140:AM140"/>
    <mergeCell ref="AN140:AR140"/>
    <mergeCell ref="AI139:AM139"/>
    <mergeCell ref="AN139:AR139"/>
    <mergeCell ref="AS139:AW139"/>
    <mergeCell ref="AX139:BA139"/>
    <mergeCell ref="BB139:BF139"/>
    <mergeCell ref="BG139:BK139"/>
    <mergeCell ref="BB138:BF138"/>
    <mergeCell ref="BG138:BK138"/>
    <mergeCell ref="BL138:BP138"/>
    <mergeCell ref="BQ138:BT138"/>
    <mergeCell ref="BU138:BY138"/>
    <mergeCell ref="A139:C139"/>
    <mergeCell ref="D139:T139"/>
    <mergeCell ref="U139:Y139"/>
    <mergeCell ref="Z139:AD139"/>
    <mergeCell ref="AE139:AH139"/>
    <mergeCell ref="BU137:BY137"/>
    <mergeCell ref="A138:C138"/>
    <mergeCell ref="D138:T138"/>
    <mergeCell ref="U138:Y138"/>
    <mergeCell ref="Z138:AD138"/>
    <mergeCell ref="AE138:AH138"/>
    <mergeCell ref="AI138:AM138"/>
    <mergeCell ref="AN138:AR138"/>
    <mergeCell ref="AS138:AW138"/>
    <mergeCell ref="AX138:BA138"/>
    <mergeCell ref="AS137:AW137"/>
    <mergeCell ref="AX137:BA137"/>
    <mergeCell ref="BB137:BF137"/>
    <mergeCell ref="BG137:BK137"/>
    <mergeCell ref="BL137:BP137"/>
    <mergeCell ref="BQ137:BT137"/>
    <mergeCell ref="BL136:BP136"/>
    <mergeCell ref="BQ136:BT136"/>
    <mergeCell ref="BU136:BY136"/>
    <mergeCell ref="A137:C137"/>
    <mergeCell ref="D137:T137"/>
    <mergeCell ref="U137:Y137"/>
    <mergeCell ref="Z137:AD137"/>
    <mergeCell ref="AE137:AH137"/>
    <mergeCell ref="AI137:AM137"/>
    <mergeCell ref="AN137:AR137"/>
    <mergeCell ref="AI136:AM136"/>
    <mergeCell ref="AN136:AR136"/>
    <mergeCell ref="AS136:AW136"/>
    <mergeCell ref="AX136:BA136"/>
    <mergeCell ref="BB136:BF136"/>
    <mergeCell ref="BG136:BK136"/>
    <mergeCell ref="BB135:BF135"/>
    <mergeCell ref="BG135:BK135"/>
    <mergeCell ref="BL135:BP135"/>
    <mergeCell ref="BQ135:BT135"/>
    <mergeCell ref="BU135:BY135"/>
    <mergeCell ref="A136:C136"/>
    <mergeCell ref="D136:T136"/>
    <mergeCell ref="U136:Y136"/>
    <mergeCell ref="Z136:AD136"/>
    <mergeCell ref="AE136:AH136"/>
    <mergeCell ref="BU134:BY134"/>
    <mergeCell ref="A135:C135"/>
    <mergeCell ref="D135:T135"/>
    <mergeCell ref="U135:Y135"/>
    <mergeCell ref="Z135:AD135"/>
    <mergeCell ref="AE135:AH135"/>
    <mergeCell ref="AI135:AM135"/>
    <mergeCell ref="AN135:AR135"/>
    <mergeCell ref="AS135:AW135"/>
    <mergeCell ref="AX135:BA135"/>
    <mergeCell ref="AS134:AW134"/>
    <mergeCell ref="AX134:BA134"/>
    <mergeCell ref="BB134:BF134"/>
    <mergeCell ref="BG134:BK134"/>
    <mergeCell ref="BL134:BP134"/>
    <mergeCell ref="BQ134:BT134"/>
    <mergeCell ref="BL133:BP133"/>
    <mergeCell ref="BQ133:BT133"/>
    <mergeCell ref="BU133:BY133"/>
    <mergeCell ref="A134:C134"/>
    <mergeCell ref="D134:T134"/>
    <mergeCell ref="U134:Y134"/>
    <mergeCell ref="Z134:AD134"/>
    <mergeCell ref="AE134:AH134"/>
    <mergeCell ref="AI134:AM134"/>
    <mergeCell ref="AN134:AR134"/>
    <mergeCell ref="AI133:AM133"/>
    <mergeCell ref="AN133:AR133"/>
    <mergeCell ref="AS133:AW133"/>
    <mergeCell ref="AX133:BA133"/>
    <mergeCell ref="BB133:BF133"/>
    <mergeCell ref="BG133:BK133"/>
    <mergeCell ref="BB132:BF132"/>
    <mergeCell ref="BG132:BK132"/>
    <mergeCell ref="BL132:BP132"/>
    <mergeCell ref="BQ132:BT132"/>
    <mergeCell ref="BU132:BY132"/>
    <mergeCell ref="A133:C133"/>
    <mergeCell ref="D133:T133"/>
    <mergeCell ref="U133:Y133"/>
    <mergeCell ref="Z133:AD133"/>
    <mergeCell ref="AE133:AH133"/>
    <mergeCell ref="BU131:BY131"/>
    <mergeCell ref="A132:C132"/>
    <mergeCell ref="D132:T132"/>
    <mergeCell ref="U132:Y132"/>
    <mergeCell ref="Z132:AD132"/>
    <mergeCell ref="AE132:AH132"/>
    <mergeCell ref="AI132:AM132"/>
    <mergeCell ref="AN132:AR132"/>
    <mergeCell ref="AS132:AW132"/>
    <mergeCell ref="AX132:BA132"/>
    <mergeCell ref="AS131:AW131"/>
    <mergeCell ref="AX131:BA131"/>
    <mergeCell ref="BB131:BF131"/>
    <mergeCell ref="BG131:BK131"/>
    <mergeCell ref="BL131:BP131"/>
    <mergeCell ref="BQ131:BT131"/>
    <mergeCell ref="BL130:BP130"/>
    <mergeCell ref="BQ130:BT130"/>
    <mergeCell ref="BU130:BY130"/>
    <mergeCell ref="A131:C131"/>
    <mergeCell ref="D131:T131"/>
    <mergeCell ref="U131:Y131"/>
    <mergeCell ref="Z131:AD131"/>
    <mergeCell ref="AE131:AH131"/>
    <mergeCell ref="AI131:AM131"/>
    <mergeCell ref="AN131:AR131"/>
    <mergeCell ref="AI130:AM130"/>
    <mergeCell ref="AN130:AR130"/>
    <mergeCell ref="AS130:AW130"/>
    <mergeCell ref="AX130:BA130"/>
    <mergeCell ref="BB130:BF130"/>
    <mergeCell ref="BG130:BK130"/>
    <mergeCell ref="BB129:BF129"/>
    <mergeCell ref="BG129:BK129"/>
    <mergeCell ref="BL129:BP129"/>
    <mergeCell ref="BQ129:BT129"/>
    <mergeCell ref="BU129:BY129"/>
    <mergeCell ref="A130:C130"/>
    <mergeCell ref="D130:T130"/>
    <mergeCell ref="U130:Y130"/>
    <mergeCell ref="Z130:AD130"/>
    <mergeCell ref="AE130:AH130"/>
    <mergeCell ref="BU128:BY128"/>
    <mergeCell ref="A129:C129"/>
    <mergeCell ref="D129:T129"/>
    <mergeCell ref="U129:Y129"/>
    <mergeCell ref="Z129:AD129"/>
    <mergeCell ref="AE129:AH129"/>
    <mergeCell ref="AI129:AM129"/>
    <mergeCell ref="AN129:AR129"/>
    <mergeCell ref="AS129:AW129"/>
    <mergeCell ref="AX129:BA129"/>
    <mergeCell ref="AS128:AW128"/>
    <mergeCell ref="AX128:BA128"/>
    <mergeCell ref="BB128:BF128"/>
    <mergeCell ref="BG128:BK128"/>
    <mergeCell ref="BL128:BP128"/>
    <mergeCell ref="BQ128:BT128"/>
    <mergeCell ref="BL127:BP127"/>
    <mergeCell ref="BQ127:BT127"/>
    <mergeCell ref="BU127:BY127"/>
    <mergeCell ref="A128:C128"/>
    <mergeCell ref="D128:T128"/>
    <mergeCell ref="U128:Y128"/>
    <mergeCell ref="Z128:AD128"/>
    <mergeCell ref="AE128:AH128"/>
    <mergeCell ref="AI128:AM128"/>
    <mergeCell ref="AN128:AR128"/>
    <mergeCell ref="AI127:AM127"/>
    <mergeCell ref="AN127:AR127"/>
    <mergeCell ref="AS127:AW127"/>
    <mergeCell ref="AX127:BA127"/>
    <mergeCell ref="BB127:BF127"/>
    <mergeCell ref="BG127:BK127"/>
    <mergeCell ref="BB126:BF126"/>
    <mergeCell ref="BG126:BK126"/>
    <mergeCell ref="BL126:BP126"/>
    <mergeCell ref="BQ126:BT126"/>
    <mergeCell ref="BU126:BY126"/>
    <mergeCell ref="A127:C127"/>
    <mergeCell ref="D127:T127"/>
    <mergeCell ref="U127:Y127"/>
    <mergeCell ref="Z127:AD127"/>
    <mergeCell ref="AE127:AH127"/>
    <mergeCell ref="BU125:BY125"/>
    <mergeCell ref="A126:C126"/>
    <mergeCell ref="D126:T126"/>
    <mergeCell ref="U126:Y126"/>
    <mergeCell ref="Z126:AD126"/>
    <mergeCell ref="AE126:AH126"/>
    <mergeCell ref="AI126:AM126"/>
    <mergeCell ref="AN126:AR126"/>
    <mergeCell ref="AS126:AW126"/>
    <mergeCell ref="AX126:BA126"/>
    <mergeCell ref="AS125:AW125"/>
    <mergeCell ref="AX125:BA125"/>
    <mergeCell ref="BB125:BF125"/>
    <mergeCell ref="BG125:BK125"/>
    <mergeCell ref="BL125:BP125"/>
    <mergeCell ref="BQ125:BT125"/>
    <mergeCell ref="A125:C125"/>
    <mergeCell ref="D125:T125"/>
    <mergeCell ref="U125:Y125"/>
    <mergeCell ref="Z125:AD125"/>
    <mergeCell ref="AE125:AH125"/>
    <mergeCell ref="AI125:AM125"/>
    <mergeCell ref="AN125:AR125"/>
    <mergeCell ref="AW106:BA106"/>
    <mergeCell ref="BB106:BF106"/>
    <mergeCell ref="BG106:BK106"/>
    <mergeCell ref="AW105:BA105"/>
    <mergeCell ref="BB105:BF105"/>
    <mergeCell ref="BG105:BK105"/>
    <mergeCell ref="A106:D106"/>
    <mergeCell ref="E106:W106"/>
    <mergeCell ref="X106:AB106"/>
    <mergeCell ref="AC106:AG106"/>
    <mergeCell ref="AH106:AL106"/>
    <mergeCell ref="AM106:AQ106"/>
    <mergeCell ref="AR106:AV106"/>
    <mergeCell ref="AW104:BA104"/>
    <mergeCell ref="BB104:BF104"/>
    <mergeCell ref="BG104:BK104"/>
    <mergeCell ref="A105:D105"/>
    <mergeCell ref="E105:W105"/>
    <mergeCell ref="X105:AB105"/>
    <mergeCell ref="AC105:AG105"/>
    <mergeCell ref="AH105:AL105"/>
    <mergeCell ref="AM105:AQ105"/>
    <mergeCell ref="AR105:AV105"/>
    <mergeCell ref="AW103:BA103"/>
    <mergeCell ref="BB103:BF103"/>
    <mergeCell ref="BG103:BK103"/>
    <mergeCell ref="A104:D104"/>
    <mergeCell ref="E104:W104"/>
    <mergeCell ref="X104:AB104"/>
    <mergeCell ref="AC104:AG104"/>
    <mergeCell ref="AH104:AL104"/>
    <mergeCell ref="AM104:AQ104"/>
    <mergeCell ref="AR104:AV104"/>
    <mergeCell ref="AW102:BA102"/>
    <mergeCell ref="BB102:BF102"/>
    <mergeCell ref="BG102:BK102"/>
    <mergeCell ref="A103:D103"/>
    <mergeCell ref="E103:W103"/>
    <mergeCell ref="X103:AB103"/>
    <mergeCell ref="AC103:AG103"/>
    <mergeCell ref="AH103:AL103"/>
    <mergeCell ref="AM103:AQ103"/>
    <mergeCell ref="AR103:AV103"/>
    <mergeCell ref="AW101:BA101"/>
    <mergeCell ref="BB101:BF101"/>
    <mergeCell ref="BG101:BK101"/>
    <mergeCell ref="A102:D102"/>
    <mergeCell ref="E102:W102"/>
    <mergeCell ref="X102:AB102"/>
    <mergeCell ref="AC102:AG102"/>
    <mergeCell ref="AH102:AL102"/>
    <mergeCell ref="AM102:AQ102"/>
    <mergeCell ref="AR102:AV102"/>
    <mergeCell ref="AW100:BA100"/>
    <mergeCell ref="BB100:BF100"/>
    <mergeCell ref="BG100:BK100"/>
    <mergeCell ref="A101:D101"/>
    <mergeCell ref="E101:W101"/>
    <mergeCell ref="X101:AB101"/>
    <mergeCell ref="AC101:AG101"/>
    <mergeCell ref="AH101:AL101"/>
    <mergeCell ref="AM101:AQ101"/>
    <mergeCell ref="AR101:AV101"/>
    <mergeCell ref="AW99:BA99"/>
    <mergeCell ref="BB99:BF99"/>
    <mergeCell ref="BG99:BK99"/>
    <mergeCell ref="A100:D100"/>
    <mergeCell ref="E100:W100"/>
    <mergeCell ref="X100:AB100"/>
    <mergeCell ref="AC100:AG100"/>
    <mergeCell ref="AH100:AL100"/>
    <mergeCell ref="AM100:AQ100"/>
    <mergeCell ref="AR100:AV100"/>
    <mergeCell ref="AW98:BA98"/>
    <mergeCell ref="BB98:BF98"/>
    <mergeCell ref="BG98:BK98"/>
    <mergeCell ref="A99:D99"/>
    <mergeCell ref="E99:W99"/>
    <mergeCell ref="X99:AB99"/>
    <mergeCell ref="AC99:AG99"/>
    <mergeCell ref="AH99:AL99"/>
    <mergeCell ref="AM99:AQ99"/>
    <mergeCell ref="AR99:AV99"/>
    <mergeCell ref="AW97:BA97"/>
    <mergeCell ref="BB97:BF97"/>
    <mergeCell ref="BG97:BK97"/>
    <mergeCell ref="A98:D98"/>
    <mergeCell ref="E98:W98"/>
    <mergeCell ref="X98:AB98"/>
    <mergeCell ref="AC98:AG98"/>
    <mergeCell ref="AH98:AL98"/>
    <mergeCell ref="AM98:AQ98"/>
    <mergeCell ref="AR98:AV98"/>
    <mergeCell ref="AW96:BA96"/>
    <mergeCell ref="BB96:BF96"/>
    <mergeCell ref="BG96:BK96"/>
    <mergeCell ref="A97:D97"/>
    <mergeCell ref="E97:W97"/>
    <mergeCell ref="X97:AB97"/>
    <mergeCell ref="AC97:AG97"/>
    <mergeCell ref="AH97:AL97"/>
    <mergeCell ref="AM97:AQ97"/>
    <mergeCell ref="AR97:AV97"/>
    <mergeCell ref="AW95:BA95"/>
    <mergeCell ref="BB95:BF95"/>
    <mergeCell ref="BG95:BK95"/>
    <mergeCell ref="A96:D96"/>
    <mergeCell ref="E96:W96"/>
    <mergeCell ref="X96:AB96"/>
    <mergeCell ref="AC96:AG96"/>
    <mergeCell ref="AH96:AL96"/>
    <mergeCell ref="AM96:AQ96"/>
    <mergeCell ref="AR96:AV96"/>
    <mergeCell ref="AW94:BA94"/>
    <mergeCell ref="BB94:BF94"/>
    <mergeCell ref="BG94:BK94"/>
    <mergeCell ref="A95:D95"/>
    <mergeCell ref="E95:W95"/>
    <mergeCell ref="X95:AB95"/>
    <mergeCell ref="AC95:AG95"/>
    <mergeCell ref="AH95:AL95"/>
    <mergeCell ref="AM95:AQ95"/>
    <mergeCell ref="AR95:AV95"/>
    <mergeCell ref="AW93:BA93"/>
    <mergeCell ref="BB93:BF93"/>
    <mergeCell ref="BG93:BK93"/>
    <mergeCell ref="A94:D94"/>
    <mergeCell ref="E94:W94"/>
    <mergeCell ref="X94:AB94"/>
    <mergeCell ref="AC94:AG94"/>
    <mergeCell ref="AH94:AL94"/>
    <mergeCell ref="AM94:AQ94"/>
    <mergeCell ref="AR94:AV94"/>
    <mergeCell ref="E93:W93"/>
    <mergeCell ref="X93:AB93"/>
    <mergeCell ref="AC93:AG93"/>
    <mergeCell ref="AH93:AL93"/>
    <mergeCell ref="AM93:AQ93"/>
    <mergeCell ref="AR93:AV93"/>
    <mergeCell ref="A92:D92"/>
    <mergeCell ref="E92:W92"/>
    <mergeCell ref="X92:AB92"/>
    <mergeCell ref="AC92:AG92"/>
    <mergeCell ref="AH92:AL92"/>
    <mergeCell ref="AM92:AQ92"/>
    <mergeCell ref="AR92:AV92"/>
    <mergeCell ref="BU75:BY75"/>
    <mergeCell ref="AS75:AW75"/>
    <mergeCell ref="AX75:BA75"/>
    <mergeCell ref="BB75:BF75"/>
    <mergeCell ref="BG75:BK75"/>
    <mergeCell ref="BL75:BP75"/>
    <mergeCell ref="BQ75:BT75"/>
    <mergeCell ref="BL74:BP74"/>
    <mergeCell ref="BQ74:BT74"/>
    <mergeCell ref="BU74:BY74"/>
    <mergeCell ref="A75:D75"/>
    <mergeCell ref="E75:T75"/>
    <mergeCell ref="U75:Y75"/>
    <mergeCell ref="Z75:AD75"/>
    <mergeCell ref="AE75:AH75"/>
    <mergeCell ref="AI75:AM75"/>
    <mergeCell ref="AN75:AR75"/>
    <mergeCell ref="AI74:AM74"/>
    <mergeCell ref="AN74:AR74"/>
    <mergeCell ref="AS74:AW74"/>
    <mergeCell ref="AX74:BA74"/>
    <mergeCell ref="BB74:BF74"/>
    <mergeCell ref="BG74:BK74"/>
    <mergeCell ref="BB73:BF73"/>
    <mergeCell ref="BG73:BK73"/>
    <mergeCell ref="BL73:BP73"/>
    <mergeCell ref="BQ73:BT73"/>
    <mergeCell ref="BU73:BY73"/>
    <mergeCell ref="A74:D74"/>
    <mergeCell ref="E74:T74"/>
    <mergeCell ref="U74:Y74"/>
    <mergeCell ref="Z74:AD74"/>
    <mergeCell ref="AE74:AH74"/>
    <mergeCell ref="BU72:BY72"/>
    <mergeCell ref="A73:D73"/>
    <mergeCell ref="E73:T73"/>
    <mergeCell ref="U73:Y73"/>
    <mergeCell ref="Z73:AD73"/>
    <mergeCell ref="AE73:AH73"/>
    <mergeCell ref="AI73:AM73"/>
    <mergeCell ref="AN73:AR73"/>
    <mergeCell ref="AS73:AW73"/>
    <mergeCell ref="AX73:BA73"/>
    <mergeCell ref="AS72:AW72"/>
    <mergeCell ref="AX72:BA72"/>
    <mergeCell ref="BB72:BF72"/>
    <mergeCell ref="BG72:BK72"/>
    <mergeCell ref="BL72:BP72"/>
    <mergeCell ref="BQ72:BT72"/>
    <mergeCell ref="BL71:BP71"/>
    <mergeCell ref="BQ71:BT71"/>
    <mergeCell ref="BU71:BY71"/>
    <mergeCell ref="A72:D72"/>
    <mergeCell ref="E72:T72"/>
    <mergeCell ref="U72:Y72"/>
    <mergeCell ref="Z72:AD72"/>
    <mergeCell ref="AE72:AH72"/>
    <mergeCell ref="AI72:AM72"/>
    <mergeCell ref="AN72:AR72"/>
    <mergeCell ref="AI71:AM71"/>
    <mergeCell ref="AN71:AR71"/>
    <mergeCell ref="AS71:AW71"/>
    <mergeCell ref="AX71:BA71"/>
    <mergeCell ref="BB71:BF71"/>
    <mergeCell ref="BG71:BK71"/>
    <mergeCell ref="BB70:BF70"/>
    <mergeCell ref="BG70:BK70"/>
    <mergeCell ref="BL70:BP70"/>
    <mergeCell ref="BQ70:BT70"/>
    <mergeCell ref="BU70:BY70"/>
    <mergeCell ref="A71:D71"/>
    <mergeCell ref="E71:T71"/>
    <mergeCell ref="U71:Y71"/>
    <mergeCell ref="Z71:AD71"/>
    <mergeCell ref="AE71:AH71"/>
    <mergeCell ref="BU69:BY69"/>
    <mergeCell ref="A70:D70"/>
    <mergeCell ref="E70:T70"/>
    <mergeCell ref="U70:Y70"/>
    <mergeCell ref="Z70:AD70"/>
    <mergeCell ref="AE70:AH70"/>
    <mergeCell ref="AI70:AM70"/>
    <mergeCell ref="AN70:AR70"/>
    <mergeCell ref="AS70:AW70"/>
    <mergeCell ref="AX70:BA70"/>
    <mergeCell ref="AS69:AW69"/>
    <mergeCell ref="AX69:BA69"/>
    <mergeCell ref="BB69:BF69"/>
    <mergeCell ref="BG69:BK69"/>
    <mergeCell ref="BL69:BP69"/>
    <mergeCell ref="BQ69:BT69"/>
    <mergeCell ref="BL68:BP68"/>
    <mergeCell ref="BQ68:BT68"/>
    <mergeCell ref="BU68:BY68"/>
    <mergeCell ref="A69:D69"/>
    <mergeCell ref="E69:T69"/>
    <mergeCell ref="U69:Y69"/>
    <mergeCell ref="Z69:AD69"/>
    <mergeCell ref="AE69:AH69"/>
    <mergeCell ref="AI69:AM69"/>
    <mergeCell ref="AN69:AR69"/>
    <mergeCell ref="AI68:AM68"/>
    <mergeCell ref="AN68:AR68"/>
    <mergeCell ref="AS68:AW68"/>
    <mergeCell ref="AX68:BA68"/>
    <mergeCell ref="BB68:BF68"/>
    <mergeCell ref="BG68:BK68"/>
    <mergeCell ref="BB67:BF67"/>
    <mergeCell ref="BG67:BK67"/>
    <mergeCell ref="BL67:BP67"/>
    <mergeCell ref="BQ67:BT67"/>
    <mergeCell ref="BU67:BY67"/>
    <mergeCell ref="A68:D68"/>
    <mergeCell ref="E68:T68"/>
    <mergeCell ref="U68:Y68"/>
    <mergeCell ref="Z68:AD68"/>
    <mergeCell ref="AE68:AH68"/>
    <mergeCell ref="BU66:BY66"/>
    <mergeCell ref="A67:D67"/>
    <mergeCell ref="E67:T67"/>
    <mergeCell ref="U67:Y67"/>
    <mergeCell ref="Z67:AD67"/>
    <mergeCell ref="AE67:AH67"/>
    <mergeCell ref="AI67:AM67"/>
    <mergeCell ref="AN67:AR67"/>
    <mergeCell ref="AS67:AW67"/>
    <mergeCell ref="AX67:BA67"/>
    <mergeCell ref="AS66:AW66"/>
    <mergeCell ref="AX66:BA66"/>
    <mergeCell ref="BB66:BF66"/>
    <mergeCell ref="BG66:BK66"/>
    <mergeCell ref="BL66:BP66"/>
    <mergeCell ref="BQ66:BT66"/>
    <mergeCell ref="BL65:BP65"/>
    <mergeCell ref="BQ65:BT65"/>
    <mergeCell ref="BU65:BY65"/>
    <mergeCell ref="A66:D66"/>
    <mergeCell ref="E66:T66"/>
    <mergeCell ref="U66:Y66"/>
    <mergeCell ref="Z66:AD66"/>
    <mergeCell ref="AE66:AH66"/>
    <mergeCell ref="AI66:AM66"/>
    <mergeCell ref="AN66:AR66"/>
    <mergeCell ref="AI65:AM65"/>
    <mergeCell ref="AN65:AR65"/>
    <mergeCell ref="AS65:AW65"/>
    <mergeCell ref="AX65:BA65"/>
    <mergeCell ref="BB65:BF65"/>
    <mergeCell ref="BG65:BK65"/>
    <mergeCell ref="BB64:BF64"/>
    <mergeCell ref="BG64:BK64"/>
    <mergeCell ref="BL64:BP64"/>
    <mergeCell ref="BQ64:BT64"/>
    <mergeCell ref="BU64:BY64"/>
    <mergeCell ref="A65:D65"/>
    <mergeCell ref="E65:T65"/>
    <mergeCell ref="U65:Y65"/>
    <mergeCell ref="Z65:AD65"/>
    <mergeCell ref="AE65:AH65"/>
    <mergeCell ref="BU63:BY63"/>
    <mergeCell ref="A64:D64"/>
    <mergeCell ref="E64:T64"/>
    <mergeCell ref="U64:Y64"/>
    <mergeCell ref="Z64:AD64"/>
    <mergeCell ref="AE64:AH64"/>
    <mergeCell ref="AI64:AM64"/>
    <mergeCell ref="AN64:AR64"/>
    <mergeCell ref="AS64:AW64"/>
    <mergeCell ref="AX64:BA64"/>
    <mergeCell ref="AS63:AW63"/>
    <mergeCell ref="AX63:BA63"/>
    <mergeCell ref="BB63:BF63"/>
    <mergeCell ref="BG63:BK63"/>
    <mergeCell ref="BL63:BP63"/>
    <mergeCell ref="BQ63:BT63"/>
    <mergeCell ref="BL62:BP62"/>
    <mergeCell ref="BQ62:BT62"/>
    <mergeCell ref="BU62:BY62"/>
    <mergeCell ref="A63:D63"/>
    <mergeCell ref="E63:T63"/>
    <mergeCell ref="U63:Y63"/>
    <mergeCell ref="Z63:AD63"/>
    <mergeCell ref="AE63:AH63"/>
    <mergeCell ref="AI63:AM63"/>
    <mergeCell ref="AN63:AR63"/>
    <mergeCell ref="AI62:AM62"/>
    <mergeCell ref="AN62:AR62"/>
    <mergeCell ref="AS62:AW62"/>
    <mergeCell ref="AX62:BA62"/>
    <mergeCell ref="BB62:BF62"/>
    <mergeCell ref="BG62:BK62"/>
    <mergeCell ref="BB61:BF61"/>
    <mergeCell ref="BG61:BK61"/>
    <mergeCell ref="BL61:BP61"/>
    <mergeCell ref="BQ61:BT61"/>
    <mergeCell ref="BU61:BY61"/>
    <mergeCell ref="A62:D62"/>
    <mergeCell ref="E62:T62"/>
    <mergeCell ref="U62:Y62"/>
    <mergeCell ref="Z62:AD62"/>
    <mergeCell ref="AE62:AH62"/>
    <mergeCell ref="A61:D61"/>
    <mergeCell ref="E61:T61"/>
    <mergeCell ref="U61:Y61"/>
    <mergeCell ref="Z61:AD61"/>
    <mergeCell ref="AE61:AH61"/>
    <mergeCell ref="AI61:AM61"/>
    <mergeCell ref="AN61:AR61"/>
    <mergeCell ref="AS61:AW61"/>
    <mergeCell ref="AX61:BA61"/>
    <mergeCell ref="BG50:BK50"/>
    <mergeCell ref="BG49:BK49"/>
    <mergeCell ref="A50:D50"/>
    <mergeCell ref="E50:W50"/>
    <mergeCell ref="X50:AB50"/>
    <mergeCell ref="AC50:AG50"/>
    <mergeCell ref="AH50:AL50"/>
    <mergeCell ref="AM50:AQ50"/>
    <mergeCell ref="AR50:AV50"/>
    <mergeCell ref="AW50:BA50"/>
    <mergeCell ref="BB50:BF50"/>
    <mergeCell ref="BG48:BK48"/>
    <mergeCell ref="A49:D49"/>
    <mergeCell ref="E49:W49"/>
    <mergeCell ref="X49:AB49"/>
    <mergeCell ref="AC49:AG49"/>
    <mergeCell ref="AH49:AL49"/>
    <mergeCell ref="AM49:AQ49"/>
    <mergeCell ref="AR49:AV49"/>
    <mergeCell ref="AW49:BA49"/>
    <mergeCell ref="BB49:BF49"/>
    <mergeCell ref="BG47:BK47"/>
    <mergeCell ref="A48:D48"/>
    <mergeCell ref="E48:W48"/>
    <mergeCell ref="X48:AB48"/>
    <mergeCell ref="AC48:AG48"/>
    <mergeCell ref="AH48:AL48"/>
    <mergeCell ref="AM48:AQ48"/>
    <mergeCell ref="AR48:AV48"/>
    <mergeCell ref="AW48:BA48"/>
    <mergeCell ref="BB48:BF48"/>
    <mergeCell ref="BG46:BK46"/>
    <mergeCell ref="A47:D47"/>
    <mergeCell ref="E47:W47"/>
    <mergeCell ref="X47:AB47"/>
    <mergeCell ref="AC47:AG47"/>
    <mergeCell ref="AH47:AL47"/>
    <mergeCell ref="AM47:AQ47"/>
    <mergeCell ref="AR47:AV47"/>
    <mergeCell ref="AW47:BA47"/>
    <mergeCell ref="BB47:BF47"/>
    <mergeCell ref="BG45:BK45"/>
    <mergeCell ref="A46:D46"/>
    <mergeCell ref="E46:W46"/>
    <mergeCell ref="X46:AB46"/>
    <mergeCell ref="AC46:AG46"/>
    <mergeCell ref="AH46:AL46"/>
    <mergeCell ref="AM46:AQ46"/>
    <mergeCell ref="AR46:AV46"/>
    <mergeCell ref="AW46:BA46"/>
    <mergeCell ref="BB46:BF46"/>
    <mergeCell ref="A45:D45"/>
    <mergeCell ref="E45:W45"/>
    <mergeCell ref="X45:AB45"/>
    <mergeCell ref="AC45:AG45"/>
    <mergeCell ref="AH45:AL45"/>
    <mergeCell ref="BU36:BY36"/>
    <mergeCell ref="AS36:AW36"/>
    <mergeCell ref="AX36:BA36"/>
    <mergeCell ref="BB36:BF36"/>
    <mergeCell ref="BG36:BK36"/>
    <mergeCell ref="BL36:BP36"/>
    <mergeCell ref="BQ36:BT36"/>
    <mergeCell ref="BL35:BP35"/>
    <mergeCell ref="BQ35:BT35"/>
    <mergeCell ref="BU35:BY35"/>
    <mergeCell ref="A36:D36"/>
    <mergeCell ref="E36:T36"/>
    <mergeCell ref="U36:Y36"/>
    <mergeCell ref="Z36:AD36"/>
    <mergeCell ref="AE36:AH36"/>
    <mergeCell ref="AI36:AM36"/>
    <mergeCell ref="AN36:AR36"/>
    <mergeCell ref="AI35:AM35"/>
    <mergeCell ref="AN35:AR35"/>
    <mergeCell ref="AS35:AW35"/>
    <mergeCell ref="AX35:BA35"/>
    <mergeCell ref="BB35:BF35"/>
    <mergeCell ref="BG35:BK35"/>
    <mergeCell ref="BB34:BF34"/>
    <mergeCell ref="BG34:BK34"/>
    <mergeCell ref="BL34:BP34"/>
    <mergeCell ref="BQ34:BT34"/>
    <mergeCell ref="BU34:BY34"/>
    <mergeCell ref="A35:D35"/>
    <mergeCell ref="E35:T35"/>
    <mergeCell ref="U35:Y35"/>
    <mergeCell ref="Z35:AD35"/>
    <mergeCell ref="AE35:AH35"/>
    <mergeCell ref="BU33:BY33"/>
    <mergeCell ref="A34:D34"/>
    <mergeCell ref="E34:T34"/>
    <mergeCell ref="U34:Y34"/>
    <mergeCell ref="Z34:AD34"/>
    <mergeCell ref="AE34:AH34"/>
    <mergeCell ref="AI34:AM34"/>
    <mergeCell ref="AN34:AR34"/>
    <mergeCell ref="AS34:AW34"/>
    <mergeCell ref="AX34:BA34"/>
    <mergeCell ref="AS33:AW33"/>
    <mergeCell ref="AX33:BA33"/>
    <mergeCell ref="BB33:BF33"/>
    <mergeCell ref="BG33:BK33"/>
    <mergeCell ref="BL33:BP33"/>
    <mergeCell ref="BQ33:BT33"/>
    <mergeCell ref="BL32:BP32"/>
    <mergeCell ref="BQ32:BT32"/>
    <mergeCell ref="BU32:BY32"/>
    <mergeCell ref="A33:D33"/>
    <mergeCell ref="E33:T33"/>
    <mergeCell ref="U33:Y33"/>
    <mergeCell ref="Z33:AD33"/>
    <mergeCell ref="AE33:AH33"/>
    <mergeCell ref="AI33:AM33"/>
    <mergeCell ref="AN33:AR33"/>
    <mergeCell ref="AI32:AM32"/>
    <mergeCell ref="AN32:AR32"/>
    <mergeCell ref="AS32:AW32"/>
    <mergeCell ref="AX32:BA32"/>
    <mergeCell ref="BB32:BF32"/>
    <mergeCell ref="BG32:BK32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412:AA412"/>
    <mergeCell ref="AH412:AP412"/>
    <mergeCell ref="AU412:BF412"/>
    <mergeCell ref="AH413:AP413"/>
    <mergeCell ref="AU413:BF413"/>
    <mergeCell ref="A31:D31"/>
    <mergeCell ref="E31:T31"/>
    <mergeCell ref="U31:Y31"/>
    <mergeCell ref="Z31:AD31"/>
    <mergeCell ref="AE31:AH31"/>
    <mergeCell ref="A405:BL405"/>
    <mergeCell ref="A409:AA409"/>
    <mergeCell ref="AH409:AP409"/>
    <mergeCell ref="AU409:BF409"/>
    <mergeCell ref="AH410:AP410"/>
    <mergeCell ref="AU410:BF410"/>
    <mergeCell ref="AW397:BD397"/>
    <mergeCell ref="BE397:BL397"/>
    <mergeCell ref="A399:BL399"/>
    <mergeCell ref="A400:BL400"/>
    <mergeCell ref="A403:BL403"/>
    <mergeCell ref="A404:BL404"/>
    <mergeCell ref="AQ396:AV396"/>
    <mergeCell ref="AW396:BD396"/>
    <mergeCell ref="BE396:BL396"/>
    <mergeCell ref="A397:F397"/>
    <mergeCell ref="G397:S397"/>
    <mergeCell ref="T397:Y397"/>
    <mergeCell ref="Z397:AD397"/>
    <mergeCell ref="AE397:AJ397"/>
    <mergeCell ref="AK397:AP397"/>
    <mergeCell ref="AQ397:AV397"/>
    <mergeCell ref="A396:F396"/>
    <mergeCell ref="G396:S396"/>
    <mergeCell ref="T396:Y396"/>
    <mergeCell ref="Z396:AD396"/>
    <mergeCell ref="AE396:AJ396"/>
    <mergeCell ref="AK396:AP396"/>
    <mergeCell ref="BE393:BL394"/>
    <mergeCell ref="A395:F395"/>
    <mergeCell ref="G395:S395"/>
    <mergeCell ref="T395:Y395"/>
    <mergeCell ref="Z395:AD395"/>
    <mergeCell ref="AE395:AJ395"/>
    <mergeCell ref="AK395:AP395"/>
    <mergeCell ref="AQ395:AV395"/>
    <mergeCell ref="AW395:BD395"/>
    <mergeCell ref="BE395:BL395"/>
    <mergeCell ref="A391:BL391"/>
    <mergeCell ref="A392:BL392"/>
    <mergeCell ref="A393:F394"/>
    <mergeCell ref="G393:S394"/>
    <mergeCell ref="T393:Y394"/>
    <mergeCell ref="Z393:AD394"/>
    <mergeCell ref="AE393:AJ394"/>
    <mergeCell ref="AK393:AP394"/>
    <mergeCell ref="AQ393:AV394"/>
    <mergeCell ref="AW393:BD394"/>
    <mergeCell ref="AJ389:AN389"/>
    <mergeCell ref="AO389:AS389"/>
    <mergeCell ref="AT389:AW389"/>
    <mergeCell ref="AX389:BB389"/>
    <mergeCell ref="BC389:BG389"/>
    <mergeCell ref="BH389:BL389"/>
    <mergeCell ref="A389:F389"/>
    <mergeCell ref="G389:P389"/>
    <mergeCell ref="Q389:U389"/>
    <mergeCell ref="V389:Y389"/>
    <mergeCell ref="Z389:AD389"/>
    <mergeCell ref="AE389:AI389"/>
    <mergeCell ref="AJ388:AN388"/>
    <mergeCell ref="AO388:AS388"/>
    <mergeCell ref="AT388:AW388"/>
    <mergeCell ref="AX388:BB388"/>
    <mergeCell ref="BC388:BG388"/>
    <mergeCell ref="BH388:BL388"/>
    <mergeCell ref="A388:F388"/>
    <mergeCell ref="G388:P388"/>
    <mergeCell ref="Q388:U388"/>
    <mergeCell ref="V388:Y388"/>
    <mergeCell ref="Z388:AD388"/>
    <mergeCell ref="AE388:AI388"/>
    <mergeCell ref="AJ387:AN387"/>
    <mergeCell ref="AO387:AS387"/>
    <mergeCell ref="AT387:AW387"/>
    <mergeCell ref="AX387:BB387"/>
    <mergeCell ref="BC387:BG387"/>
    <mergeCell ref="BH387:BL387"/>
    <mergeCell ref="A387:F387"/>
    <mergeCell ref="G387:P387"/>
    <mergeCell ref="Q387:U387"/>
    <mergeCell ref="V387:Y387"/>
    <mergeCell ref="Z387:AD387"/>
    <mergeCell ref="AE387:AI387"/>
    <mergeCell ref="AT385:AW386"/>
    <mergeCell ref="AX385:BG385"/>
    <mergeCell ref="BH385:BL386"/>
    <mergeCell ref="Z386:AD386"/>
    <mergeCell ref="AE386:AI386"/>
    <mergeCell ref="AX386:BB386"/>
    <mergeCell ref="BC386:BG386"/>
    <mergeCell ref="A383:BL383"/>
    <mergeCell ref="A384:F386"/>
    <mergeCell ref="G384:P386"/>
    <mergeCell ref="Q384:AN384"/>
    <mergeCell ref="AO384:BL384"/>
    <mergeCell ref="Q385:U386"/>
    <mergeCell ref="V385:Y386"/>
    <mergeCell ref="Z385:AI385"/>
    <mergeCell ref="AJ385:AN386"/>
    <mergeCell ref="AO385:AS386"/>
    <mergeCell ref="AK380:AP380"/>
    <mergeCell ref="AQ380:AV380"/>
    <mergeCell ref="AW380:BA380"/>
    <mergeCell ref="BB380:BF380"/>
    <mergeCell ref="BG380:BL380"/>
    <mergeCell ref="A382:BL382"/>
    <mergeCell ref="AK379:AP379"/>
    <mergeCell ref="AQ379:AV379"/>
    <mergeCell ref="AW379:BA379"/>
    <mergeCell ref="BB379:BF379"/>
    <mergeCell ref="BG379:BL379"/>
    <mergeCell ref="A380:F380"/>
    <mergeCell ref="G380:S380"/>
    <mergeCell ref="T380:Y380"/>
    <mergeCell ref="Z380:AD380"/>
    <mergeCell ref="AE380:AJ380"/>
    <mergeCell ref="AK378:AP378"/>
    <mergeCell ref="AQ378:AV378"/>
    <mergeCell ref="AW378:BA378"/>
    <mergeCell ref="BB378:BF378"/>
    <mergeCell ref="BG378:BL378"/>
    <mergeCell ref="A379:F379"/>
    <mergeCell ref="G379:S379"/>
    <mergeCell ref="T379:Y379"/>
    <mergeCell ref="Z379:AD379"/>
    <mergeCell ref="AE379:AJ379"/>
    <mergeCell ref="AQ376:AV377"/>
    <mergeCell ref="AW376:BF376"/>
    <mergeCell ref="BG376:BL377"/>
    <mergeCell ref="AW377:BA377"/>
    <mergeCell ref="BB377:BF377"/>
    <mergeCell ref="A378:F378"/>
    <mergeCell ref="G378:S378"/>
    <mergeCell ref="T378:Y378"/>
    <mergeCell ref="Z378:AD378"/>
    <mergeCell ref="AE378:AJ378"/>
    <mergeCell ref="A376:F377"/>
    <mergeCell ref="G376:S377"/>
    <mergeCell ref="T376:Y377"/>
    <mergeCell ref="Z376:AD377"/>
    <mergeCell ref="AE376:AJ377"/>
    <mergeCell ref="AK376:AP377"/>
    <mergeCell ref="BP366:BS366"/>
    <mergeCell ref="A369:BL369"/>
    <mergeCell ref="A370:BL370"/>
    <mergeCell ref="A373:BL373"/>
    <mergeCell ref="A374:BL374"/>
    <mergeCell ref="A375:BL375"/>
    <mergeCell ref="AO366:AR366"/>
    <mergeCell ref="AS366:AW366"/>
    <mergeCell ref="AX366:BA366"/>
    <mergeCell ref="BB366:BF366"/>
    <mergeCell ref="BG366:BJ366"/>
    <mergeCell ref="BK366:BO366"/>
    <mergeCell ref="BB365:BF365"/>
    <mergeCell ref="BG365:BJ365"/>
    <mergeCell ref="BK365:BO365"/>
    <mergeCell ref="BP365:BS365"/>
    <mergeCell ref="A366:M366"/>
    <mergeCell ref="N366:U366"/>
    <mergeCell ref="V366:Z366"/>
    <mergeCell ref="AA366:AE366"/>
    <mergeCell ref="AF366:AI366"/>
    <mergeCell ref="AJ366:AN366"/>
    <mergeCell ref="BP364:BS364"/>
    <mergeCell ref="A365:M365"/>
    <mergeCell ref="N365:U365"/>
    <mergeCell ref="V365:Z365"/>
    <mergeCell ref="AA365:AE365"/>
    <mergeCell ref="AF365:AI365"/>
    <mergeCell ref="AJ365:AN365"/>
    <mergeCell ref="AO365:AR365"/>
    <mergeCell ref="AS365:AW365"/>
    <mergeCell ref="AX365:BA365"/>
    <mergeCell ref="AO364:AR364"/>
    <mergeCell ref="AS364:AW364"/>
    <mergeCell ref="AX364:BA364"/>
    <mergeCell ref="BB364:BF364"/>
    <mergeCell ref="BG364:BJ364"/>
    <mergeCell ref="BK364:BO364"/>
    <mergeCell ref="BB363:BF363"/>
    <mergeCell ref="BG363:BJ363"/>
    <mergeCell ref="BK363:BO363"/>
    <mergeCell ref="BP363:BS363"/>
    <mergeCell ref="A364:M364"/>
    <mergeCell ref="N364:U364"/>
    <mergeCell ref="V364:Z364"/>
    <mergeCell ref="AA364:AE364"/>
    <mergeCell ref="AF364:AI364"/>
    <mergeCell ref="AJ364:AN364"/>
    <mergeCell ref="AA363:AE363"/>
    <mergeCell ref="AF363:AI363"/>
    <mergeCell ref="AJ363:AN363"/>
    <mergeCell ref="AO363:AR363"/>
    <mergeCell ref="AS363:AW363"/>
    <mergeCell ref="AX363:BA363"/>
    <mergeCell ref="A360:BL360"/>
    <mergeCell ref="A361:BM361"/>
    <mergeCell ref="A362:M363"/>
    <mergeCell ref="N362:U363"/>
    <mergeCell ref="V362:Z363"/>
    <mergeCell ref="AA362:AI362"/>
    <mergeCell ref="AJ362:AR362"/>
    <mergeCell ref="AS362:BA362"/>
    <mergeCell ref="BB362:BJ362"/>
    <mergeCell ref="BK362:BS362"/>
    <mergeCell ref="AZ356:BD356"/>
    <mergeCell ref="A357:F357"/>
    <mergeCell ref="G357:S357"/>
    <mergeCell ref="T357:Z357"/>
    <mergeCell ref="AA357:AE357"/>
    <mergeCell ref="AF357:AJ357"/>
    <mergeCell ref="AK357:AO357"/>
    <mergeCell ref="AP357:AT357"/>
    <mergeCell ref="AU357:AY357"/>
    <mergeCell ref="AZ357:BD357"/>
    <mergeCell ref="AU355:AY355"/>
    <mergeCell ref="AZ355:BD355"/>
    <mergeCell ref="A356:F356"/>
    <mergeCell ref="G356:S356"/>
    <mergeCell ref="T356:Z356"/>
    <mergeCell ref="AA356:AE356"/>
    <mergeCell ref="AF356:AJ356"/>
    <mergeCell ref="AK356:AO356"/>
    <mergeCell ref="AP356:AT356"/>
    <mergeCell ref="AU356:AY356"/>
    <mergeCell ref="AP354:AT354"/>
    <mergeCell ref="AU354:AY354"/>
    <mergeCell ref="AZ354:BD354"/>
    <mergeCell ref="A355:F355"/>
    <mergeCell ref="G355:S355"/>
    <mergeCell ref="T355:Z355"/>
    <mergeCell ref="AA355:AE355"/>
    <mergeCell ref="AF355:AJ355"/>
    <mergeCell ref="AK355:AO355"/>
    <mergeCell ref="AP355:AT355"/>
    <mergeCell ref="A351:BL351"/>
    <mergeCell ref="A352:BD352"/>
    <mergeCell ref="A353:F354"/>
    <mergeCell ref="G353:S354"/>
    <mergeCell ref="T353:Z354"/>
    <mergeCell ref="AA353:AO353"/>
    <mergeCell ref="AP353:BD353"/>
    <mergeCell ref="AA354:AE354"/>
    <mergeCell ref="AF354:AJ354"/>
    <mergeCell ref="AK354:AO354"/>
    <mergeCell ref="AP349:AT349"/>
    <mergeCell ref="AU349:AY349"/>
    <mergeCell ref="AZ349:BD349"/>
    <mergeCell ref="BE349:BI349"/>
    <mergeCell ref="BJ349:BN349"/>
    <mergeCell ref="BO349:BS349"/>
    <mergeCell ref="A349:F349"/>
    <mergeCell ref="G349:S349"/>
    <mergeCell ref="T349:Z349"/>
    <mergeCell ref="AA349:AE349"/>
    <mergeCell ref="AF349:AJ349"/>
    <mergeCell ref="AK349:AO349"/>
    <mergeCell ref="AP348:AT348"/>
    <mergeCell ref="AU348:AY348"/>
    <mergeCell ref="AZ348:BD348"/>
    <mergeCell ref="BE348:BI348"/>
    <mergeCell ref="BJ348:BN348"/>
    <mergeCell ref="BO348:BS348"/>
    <mergeCell ref="A348:F348"/>
    <mergeCell ref="G348:S348"/>
    <mergeCell ref="T348:Z348"/>
    <mergeCell ref="AA348:AE348"/>
    <mergeCell ref="AF348:AJ348"/>
    <mergeCell ref="AK348:AO348"/>
    <mergeCell ref="AP347:AT347"/>
    <mergeCell ref="AU347:AY347"/>
    <mergeCell ref="AZ347:BD347"/>
    <mergeCell ref="BE347:BI347"/>
    <mergeCell ref="BJ347:BN347"/>
    <mergeCell ref="BO347:BS347"/>
    <mergeCell ref="A347:F347"/>
    <mergeCell ref="G347:S347"/>
    <mergeCell ref="T347:Z347"/>
    <mergeCell ref="AA347:AE347"/>
    <mergeCell ref="AF347:AJ347"/>
    <mergeCell ref="AK347:AO347"/>
    <mergeCell ref="AP346:AT346"/>
    <mergeCell ref="AU346:AY346"/>
    <mergeCell ref="AZ346:BD346"/>
    <mergeCell ref="BE346:BI346"/>
    <mergeCell ref="BJ346:BN346"/>
    <mergeCell ref="BO346:BS346"/>
    <mergeCell ref="A344:BS344"/>
    <mergeCell ref="A345:F346"/>
    <mergeCell ref="G345:S346"/>
    <mergeCell ref="T345:Z346"/>
    <mergeCell ref="AA345:AO345"/>
    <mergeCell ref="AP345:BD345"/>
    <mergeCell ref="BE345:BS345"/>
    <mergeCell ref="AA346:AE346"/>
    <mergeCell ref="AF346:AJ346"/>
    <mergeCell ref="AK346:AO346"/>
    <mergeCell ref="BA338:BC338"/>
    <mergeCell ref="BD338:BF338"/>
    <mergeCell ref="BG338:BI338"/>
    <mergeCell ref="BJ338:BL338"/>
    <mergeCell ref="A342:BL342"/>
    <mergeCell ref="A343:BS343"/>
    <mergeCell ref="A339:C339"/>
    <mergeCell ref="D339:V339"/>
    <mergeCell ref="W339:Y339"/>
    <mergeCell ref="Z339:AB339"/>
    <mergeCell ref="AI338:AK338"/>
    <mergeCell ref="AL338:AN338"/>
    <mergeCell ref="AO338:AQ338"/>
    <mergeCell ref="AR338:AT338"/>
    <mergeCell ref="AU338:AW338"/>
    <mergeCell ref="AX338:AZ338"/>
    <mergeCell ref="BA337:BC337"/>
    <mergeCell ref="BD337:BF337"/>
    <mergeCell ref="BG337:BI337"/>
    <mergeCell ref="BJ337:BL337"/>
    <mergeCell ref="A338:C338"/>
    <mergeCell ref="D338:V338"/>
    <mergeCell ref="W338:Y338"/>
    <mergeCell ref="Z338:AB338"/>
    <mergeCell ref="AC338:AE338"/>
    <mergeCell ref="AF338:AH338"/>
    <mergeCell ref="AI337:AK337"/>
    <mergeCell ref="AL337:AN337"/>
    <mergeCell ref="AO337:AQ337"/>
    <mergeCell ref="AR337:AT337"/>
    <mergeCell ref="AU337:AW337"/>
    <mergeCell ref="AX337:AZ337"/>
    <mergeCell ref="BA336:BC336"/>
    <mergeCell ref="BD336:BF336"/>
    <mergeCell ref="BG336:BI336"/>
    <mergeCell ref="BJ336:BL336"/>
    <mergeCell ref="A337:C337"/>
    <mergeCell ref="D337:V337"/>
    <mergeCell ref="W337:Y337"/>
    <mergeCell ref="Z337:AB337"/>
    <mergeCell ref="AC337:AE337"/>
    <mergeCell ref="AF337:AH337"/>
    <mergeCell ref="AI336:AK336"/>
    <mergeCell ref="AL336:AN336"/>
    <mergeCell ref="AO336:AQ336"/>
    <mergeCell ref="AR336:AT336"/>
    <mergeCell ref="AU336:AW336"/>
    <mergeCell ref="AX336:AZ336"/>
    <mergeCell ref="A336:C336"/>
    <mergeCell ref="D336:V336"/>
    <mergeCell ref="W336:Y336"/>
    <mergeCell ref="Z336:AB336"/>
    <mergeCell ref="AC336:AE336"/>
    <mergeCell ref="AF336:AH336"/>
    <mergeCell ref="BJ334:BL335"/>
    <mergeCell ref="W335:Y335"/>
    <mergeCell ref="Z335:AB335"/>
    <mergeCell ref="AC335:AE335"/>
    <mergeCell ref="AF335:AH335"/>
    <mergeCell ref="AI335:AK335"/>
    <mergeCell ref="AL335:AN335"/>
    <mergeCell ref="AO335:AQ335"/>
    <mergeCell ref="AR335:AT335"/>
    <mergeCell ref="BG333:BL333"/>
    <mergeCell ref="W334:AB334"/>
    <mergeCell ref="AC334:AH334"/>
    <mergeCell ref="AI334:AN334"/>
    <mergeCell ref="AO334:AT334"/>
    <mergeCell ref="AU334:AW335"/>
    <mergeCell ref="AX334:AZ335"/>
    <mergeCell ref="BA334:BC335"/>
    <mergeCell ref="BD334:BF335"/>
    <mergeCell ref="BG334:BI335"/>
    <mergeCell ref="A333:C335"/>
    <mergeCell ref="D333:V335"/>
    <mergeCell ref="W333:AH333"/>
    <mergeCell ref="AI333:AT333"/>
    <mergeCell ref="AU333:AZ333"/>
    <mergeCell ref="BA333:BF333"/>
    <mergeCell ref="AT320:AX320"/>
    <mergeCell ref="AY320:BC320"/>
    <mergeCell ref="BD320:BH320"/>
    <mergeCell ref="BI320:BM320"/>
    <mergeCell ref="BN320:BR320"/>
    <mergeCell ref="A332:BL332"/>
    <mergeCell ref="AT321:AX321"/>
    <mergeCell ref="AY321:BC321"/>
    <mergeCell ref="BD321:BH321"/>
    <mergeCell ref="BI321:BM321"/>
    <mergeCell ref="A320:T320"/>
    <mergeCell ref="U320:Y320"/>
    <mergeCell ref="Z320:AD320"/>
    <mergeCell ref="AE320:AI320"/>
    <mergeCell ref="AJ320:AN320"/>
    <mergeCell ref="AO320:AS320"/>
    <mergeCell ref="AO319:AS319"/>
    <mergeCell ref="AT319:AX319"/>
    <mergeCell ref="AY319:BC319"/>
    <mergeCell ref="BD319:BH319"/>
    <mergeCell ref="BI319:BM319"/>
    <mergeCell ref="BN319:BR319"/>
    <mergeCell ref="AT318:AX318"/>
    <mergeCell ref="AY318:BC318"/>
    <mergeCell ref="BD318:BH318"/>
    <mergeCell ref="BI318:BM318"/>
    <mergeCell ref="BN318:BR318"/>
    <mergeCell ref="A319:T319"/>
    <mergeCell ref="U319:Y319"/>
    <mergeCell ref="Z319:AD319"/>
    <mergeCell ref="AE319:AI319"/>
    <mergeCell ref="AJ319:AN319"/>
    <mergeCell ref="A318:T318"/>
    <mergeCell ref="U318:Y318"/>
    <mergeCell ref="Z318:AD318"/>
    <mergeCell ref="AE318:AI318"/>
    <mergeCell ref="AJ318:AN318"/>
    <mergeCell ref="AO318:AS318"/>
    <mergeCell ref="AO317:AS317"/>
    <mergeCell ref="AT317:AX317"/>
    <mergeCell ref="AY317:BC317"/>
    <mergeCell ref="BD317:BH317"/>
    <mergeCell ref="BI317:BM317"/>
    <mergeCell ref="BN317:BR317"/>
    <mergeCell ref="A316:T317"/>
    <mergeCell ref="U316:AD316"/>
    <mergeCell ref="AE316:AN316"/>
    <mergeCell ref="AO316:AX316"/>
    <mergeCell ref="AY316:BH316"/>
    <mergeCell ref="BI316:BR316"/>
    <mergeCell ref="U317:Y317"/>
    <mergeCell ref="Z317:AD317"/>
    <mergeCell ref="AE317:AI317"/>
    <mergeCell ref="AJ317:AN317"/>
    <mergeCell ref="AP302:AT302"/>
    <mergeCell ref="AU302:AY302"/>
    <mergeCell ref="AZ302:BD302"/>
    <mergeCell ref="BE302:BI302"/>
    <mergeCell ref="A314:BL314"/>
    <mergeCell ref="A315:BR315"/>
    <mergeCell ref="AP303:AT303"/>
    <mergeCell ref="AU303:AY303"/>
    <mergeCell ref="AZ303:BD303"/>
    <mergeCell ref="BE303:BI303"/>
    <mergeCell ref="AP301:AT301"/>
    <mergeCell ref="AU301:AY301"/>
    <mergeCell ref="AZ301:BD301"/>
    <mergeCell ref="BE301:BI301"/>
    <mergeCell ref="A302:C302"/>
    <mergeCell ref="D302:P302"/>
    <mergeCell ref="Q302:U302"/>
    <mergeCell ref="V302:AE302"/>
    <mergeCell ref="AF302:AJ302"/>
    <mergeCell ref="AK302:AO302"/>
    <mergeCell ref="AP300:AT300"/>
    <mergeCell ref="AU300:AY300"/>
    <mergeCell ref="AZ300:BD300"/>
    <mergeCell ref="BE300:BI300"/>
    <mergeCell ref="A301:C301"/>
    <mergeCell ref="D301:P301"/>
    <mergeCell ref="Q301:U301"/>
    <mergeCell ref="V301:AE301"/>
    <mergeCell ref="AF301:AJ301"/>
    <mergeCell ref="AK301:AO301"/>
    <mergeCell ref="AP299:AT299"/>
    <mergeCell ref="AU299:AY299"/>
    <mergeCell ref="AZ299:BD299"/>
    <mergeCell ref="BE299:BI299"/>
    <mergeCell ref="A300:C300"/>
    <mergeCell ref="D300:P300"/>
    <mergeCell ref="Q300:U300"/>
    <mergeCell ref="V300:AE300"/>
    <mergeCell ref="AF300:AJ300"/>
    <mergeCell ref="AK300:AO300"/>
    <mergeCell ref="BT285:BX285"/>
    <mergeCell ref="A297:BL297"/>
    <mergeCell ref="A298:C299"/>
    <mergeCell ref="D298:P299"/>
    <mergeCell ref="Q298:U299"/>
    <mergeCell ref="V298:AE299"/>
    <mergeCell ref="AF298:AT298"/>
    <mergeCell ref="AU298:BI298"/>
    <mergeCell ref="AF299:AJ299"/>
    <mergeCell ref="AK299:AO299"/>
    <mergeCell ref="AP285:AT285"/>
    <mergeCell ref="AU285:AY285"/>
    <mergeCell ref="AZ285:BD285"/>
    <mergeCell ref="BE285:BI285"/>
    <mergeCell ref="BJ285:BN285"/>
    <mergeCell ref="BO285:BS285"/>
    <mergeCell ref="BE284:BI284"/>
    <mergeCell ref="BJ284:BN284"/>
    <mergeCell ref="BO284:BS284"/>
    <mergeCell ref="BT284:BX284"/>
    <mergeCell ref="A285:C285"/>
    <mergeCell ref="D285:P285"/>
    <mergeCell ref="Q285:U285"/>
    <mergeCell ref="V285:AE285"/>
    <mergeCell ref="AF285:AJ285"/>
    <mergeCell ref="AK285:AO285"/>
    <mergeCell ref="BT283:BX283"/>
    <mergeCell ref="A284:C284"/>
    <mergeCell ref="D284:P284"/>
    <mergeCell ref="Q284:U284"/>
    <mergeCell ref="V284:AE284"/>
    <mergeCell ref="AF284:AJ284"/>
    <mergeCell ref="AK284:AO284"/>
    <mergeCell ref="AP284:AT284"/>
    <mergeCell ref="AU284:AY284"/>
    <mergeCell ref="AZ284:BD284"/>
    <mergeCell ref="AP283:AT283"/>
    <mergeCell ref="AU283:AY283"/>
    <mergeCell ref="AZ283:BD283"/>
    <mergeCell ref="BE283:BI283"/>
    <mergeCell ref="BJ283:BN283"/>
    <mergeCell ref="BO283:BS283"/>
    <mergeCell ref="A283:C283"/>
    <mergeCell ref="D283:P283"/>
    <mergeCell ref="Q283:U283"/>
    <mergeCell ref="V283:AE283"/>
    <mergeCell ref="AF283:AJ283"/>
    <mergeCell ref="AK283:AO283"/>
    <mergeCell ref="BJ281:BX281"/>
    <mergeCell ref="AF282:AJ282"/>
    <mergeCell ref="AK282:AO282"/>
    <mergeCell ref="AP282:AT282"/>
    <mergeCell ref="AU282:AY282"/>
    <mergeCell ref="AZ282:BD282"/>
    <mergeCell ref="BE282:BI282"/>
    <mergeCell ref="BJ282:BN282"/>
    <mergeCell ref="BO282:BS282"/>
    <mergeCell ref="BT282:BX282"/>
    <mergeCell ref="A281:C282"/>
    <mergeCell ref="D281:P282"/>
    <mergeCell ref="Q281:U282"/>
    <mergeCell ref="V281:AE282"/>
    <mergeCell ref="AF281:AT281"/>
    <mergeCell ref="AU281:BI281"/>
    <mergeCell ref="AO204:AS204"/>
    <mergeCell ref="AT204:AX204"/>
    <mergeCell ref="AY204:BC204"/>
    <mergeCell ref="BD204:BH204"/>
    <mergeCell ref="A279:BL279"/>
    <mergeCell ref="A280:BL280"/>
    <mergeCell ref="BD205:BH205"/>
    <mergeCell ref="A206:C206"/>
    <mergeCell ref="D206:T206"/>
    <mergeCell ref="U206:Y206"/>
    <mergeCell ref="AO203:AS203"/>
    <mergeCell ref="AT203:AX203"/>
    <mergeCell ref="AY203:BC203"/>
    <mergeCell ref="BD203:BH203"/>
    <mergeCell ref="A204:C204"/>
    <mergeCell ref="D204:T204"/>
    <mergeCell ref="U204:Y204"/>
    <mergeCell ref="Z204:AD204"/>
    <mergeCell ref="AE204:AI204"/>
    <mergeCell ref="AJ204:AN204"/>
    <mergeCell ref="AO202:AS202"/>
    <mergeCell ref="AT202:AX202"/>
    <mergeCell ref="AY202:BC202"/>
    <mergeCell ref="BD202:BH202"/>
    <mergeCell ref="A203:C203"/>
    <mergeCell ref="D203:T203"/>
    <mergeCell ref="U203:Y203"/>
    <mergeCell ref="Z203:AD203"/>
    <mergeCell ref="AE203:AI203"/>
    <mergeCell ref="AJ203:AN203"/>
    <mergeCell ref="A202:C202"/>
    <mergeCell ref="D202:T202"/>
    <mergeCell ref="U202:Y202"/>
    <mergeCell ref="Z202:AD202"/>
    <mergeCell ref="AE202:AI202"/>
    <mergeCell ref="AJ202:AN202"/>
    <mergeCell ref="AE201:AI201"/>
    <mergeCell ref="AJ201:AN201"/>
    <mergeCell ref="AO201:AS201"/>
    <mergeCell ref="AT201:AX201"/>
    <mergeCell ref="AY201:BC201"/>
    <mergeCell ref="BD201:BH201"/>
    <mergeCell ref="BQ124:BT124"/>
    <mergeCell ref="BU124:BY124"/>
    <mergeCell ref="A198:BL198"/>
    <mergeCell ref="A199:BH199"/>
    <mergeCell ref="A200:C201"/>
    <mergeCell ref="D200:T201"/>
    <mergeCell ref="U200:AN200"/>
    <mergeCell ref="AO200:BH200"/>
    <mergeCell ref="U201:Y201"/>
    <mergeCell ref="Z201:AD201"/>
    <mergeCell ref="AN124:AR124"/>
    <mergeCell ref="AS124:AW124"/>
    <mergeCell ref="AX124:BA124"/>
    <mergeCell ref="BB124:BF124"/>
    <mergeCell ref="BG124:BK124"/>
    <mergeCell ref="BL124:BP124"/>
    <mergeCell ref="A124:C124"/>
    <mergeCell ref="D124:T124"/>
    <mergeCell ref="U124:Y124"/>
    <mergeCell ref="Z124:AD124"/>
    <mergeCell ref="AE124:AH124"/>
    <mergeCell ref="AI124:AM124"/>
    <mergeCell ref="AX123:BA123"/>
    <mergeCell ref="BB123:BF123"/>
    <mergeCell ref="BG123:BK123"/>
    <mergeCell ref="BL123:BP123"/>
    <mergeCell ref="BQ123:BT123"/>
    <mergeCell ref="BU123:BY123"/>
    <mergeCell ref="BQ122:BT122"/>
    <mergeCell ref="BU122:BY122"/>
    <mergeCell ref="A123:C123"/>
    <mergeCell ref="D123:T123"/>
    <mergeCell ref="U123:Y123"/>
    <mergeCell ref="Z123:AD123"/>
    <mergeCell ref="AE123:AH123"/>
    <mergeCell ref="AI123:AM123"/>
    <mergeCell ref="AN123:AR123"/>
    <mergeCell ref="AS123:AW123"/>
    <mergeCell ref="AN122:AR122"/>
    <mergeCell ref="AS122:AW122"/>
    <mergeCell ref="AX122:BA122"/>
    <mergeCell ref="BB122:BF122"/>
    <mergeCell ref="BG122:BK122"/>
    <mergeCell ref="BL122:BP122"/>
    <mergeCell ref="A122:C122"/>
    <mergeCell ref="D122:T122"/>
    <mergeCell ref="U122:Y122"/>
    <mergeCell ref="Z122:AD122"/>
    <mergeCell ref="AE122:AH122"/>
    <mergeCell ref="AI122:AM122"/>
    <mergeCell ref="AX121:BA121"/>
    <mergeCell ref="BB121:BF121"/>
    <mergeCell ref="BG121:BK121"/>
    <mergeCell ref="BL121:BP121"/>
    <mergeCell ref="BQ121:BT121"/>
    <mergeCell ref="BU121:BY121"/>
    <mergeCell ref="U121:Y121"/>
    <mergeCell ref="Z121:AD121"/>
    <mergeCell ref="AE121:AH121"/>
    <mergeCell ref="AI121:AM121"/>
    <mergeCell ref="AN121:AR121"/>
    <mergeCell ref="AS121:AW121"/>
    <mergeCell ref="BB114:BF114"/>
    <mergeCell ref="BG114:BK114"/>
    <mergeCell ref="A117:BL117"/>
    <mergeCell ref="A118:BL118"/>
    <mergeCell ref="A119:BY119"/>
    <mergeCell ref="A120:C121"/>
    <mergeCell ref="D120:T121"/>
    <mergeCell ref="U120:AM120"/>
    <mergeCell ref="AN120:BF120"/>
    <mergeCell ref="BG120:BY120"/>
    <mergeCell ref="BB113:BF113"/>
    <mergeCell ref="BG113:BK113"/>
    <mergeCell ref="A114:E114"/>
    <mergeCell ref="F114:W114"/>
    <mergeCell ref="X114:AB114"/>
    <mergeCell ref="AC114:AG114"/>
    <mergeCell ref="AH114:AL114"/>
    <mergeCell ref="AM114:AQ114"/>
    <mergeCell ref="AR114:AV114"/>
    <mergeCell ref="AW114:BA114"/>
    <mergeCell ref="BB112:BF112"/>
    <mergeCell ref="BG112:BK112"/>
    <mergeCell ref="A113:E113"/>
    <mergeCell ref="F113:W113"/>
    <mergeCell ref="X113:AB113"/>
    <mergeCell ref="AC113:AG113"/>
    <mergeCell ref="AH113:AL113"/>
    <mergeCell ref="AM113:AQ113"/>
    <mergeCell ref="AR113:AV113"/>
    <mergeCell ref="AW113:BA113"/>
    <mergeCell ref="BB111:BF111"/>
    <mergeCell ref="BG111:BK111"/>
    <mergeCell ref="A112:E112"/>
    <mergeCell ref="F112:W112"/>
    <mergeCell ref="X112:AB112"/>
    <mergeCell ref="AC112:AG112"/>
    <mergeCell ref="AH112:AL112"/>
    <mergeCell ref="AM112:AQ112"/>
    <mergeCell ref="AR112:AV112"/>
    <mergeCell ref="AW112:BA112"/>
    <mergeCell ref="A110:E111"/>
    <mergeCell ref="F110:W111"/>
    <mergeCell ref="X110:AQ110"/>
    <mergeCell ref="AR110:BK110"/>
    <mergeCell ref="X111:AB111"/>
    <mergeCell ref="AC111:AG111"/>
    <mergeCell ref="AH111:AL111"/>
    <mergeCell ref="AM111:AQ111"/>
    <mergeCell ref="AR111:AV111"/>
    <mergeCell ref="AW111:BA111"/>
    <mergeCell ref="AR91:AV91"/>
    <mergeCell ref="AW91:BA91"/>
    <mergeCell ref="BB91:BF91"/>
    <mergeCell ref="BG91:BK91"/>
    <mergeCell ref="A108:BL108"/>
    <mergeCell ref="A109:BK109"/>
    <mergeCell ref="AW92:BA92"/>
    <mergeCell ref="BB92:BF92"/>
    <mergeCell ref="BG92:BK92"/>
    <mergeCell ref="A93:D93"/>
    <mergeCell ref="AR90:AV90"/>
    <mergeCell ref="AW90:BA90"/>
    <mergeCell ref="BB90:BF90"/>
    <mergeCell ref="BG90:BK90"/>
    <mergeCell ref="A91:D91"/>
    <mergeCell ref="E91:W91"/>
    <mergeCell ref="X91:AB91"/>
    <mergeCell ref="AC91:AG91"/>
    <mergeCell ref="AH91:AL91"/>
    <mergeCell ref="AM91:AQ91"/>
    <mergeCell ref="AR89:AV89"/>
    <mergeCell ref="AW89:BA89"/>
    <mergeCell ref="BB89:BF89"/>
    <mergeCell ref="BG89:BK89"/>
    <mergeCell ref="A90:D90"/>
    <mergeCell ref="E90:W90"/>
    <mergeCell ref="X90:AB90"/>
    <mergeCell ref="AC90:AG90"/>
    <mergeCell ref="AH90:AL90"/>
    <mergeCell ref="AM90:AQ90"/>
    <mergeCell ref="A89:D89"/>
    <mergeCell ref="E89:W89"/>
    <mergeCell ref="X89:AB89"/>
    <mergeCell ref="AC89:AG89"/>
    <mergeCell ref="AH89:AL89"/>
    <mergeCell ref="AM89:AQ89"/>
    <mergeCell ref="AH88:AL88"/>
    <mergeCell ref="AM88:AQ88"/>
    <mergeCell ref="AR88:AV88"/>
    <mergeCell ref="AW88:BA88"/>
    <mergeCell ref="BB88:BF88"/>
    <mergeCell ref="BG88:BK88"/>
    <mergeCell ref="BQ83:BT83"/>
    <mergeCell ref="BU83:BY83"/>
    <mergeCell ref="A85:BL85"/>
    <mergeCell ref="A86:BK86"/>
    <mergeCell ref="A87:D88"/>
    <mergeCell ref="E87:W88"/>
    <mergeCell ref="X87:AQ87"/>
    <mergeCell ref="AR87:BK87"/>
    <mergeCell ref="X88:AB88"/>
    <mergeCell ref="AC88:AG88"/>
    <mergeCell ref="AN83:AR83"/>
    <mergeCell ref="AS83:AW83"/>
    <mergeCell ref="AX83:BA83"/>
    <mergeCell ref="BB83:BF83"/>
    <mergeCell ref="BG83:BK83"/>
    <mergeCell ref="BL83:BP83"/>
    <mergeCell ref="A83:E83"/>
    <mergeCell ref="F83:T83"/>
    <mergeCell ref="U83:Y83"/>
    <mergeCell ref="Z83:AD83"/>
    <mergeCell ref="AE83:AH83"/>
    <mergeCell ref="AI83:AM83"/>
    <mergeCell ref="AX82:BA82"/>
    <mergeCell ref="BB82:BF82"/>
    <mergeCell ref="BG82:BK82"/>
    <mergeCell ref="BL82:BP82"/>
    <mergeCell ref="BQ82:BT82"/>
    <mergeCell ref="BU82:BY82"/>
    <mergeCell ref="BQ81:BT81"/>
    <mergeCell ref="BU81:BY81"/>
    <mergeCell ref="A82:E82"/>
    <mergeCell ref="F82:T82"/>
    <mergeCell ref="U82:Y82"/>
    <mergeCell ref="Z82:AD82"/>
    <mergeCell ref="AE82:AH82"/>
    <mergeCell ref="AI82:AM82"/>
    <mergeCell ref="AN82:AR82"/>
    <mergeCell ref="AS82:AW82"/>
    <mergeCell ref="AN81:AR81"/>
    <mergeCell ref="AS81:AW81"/>
    <mergeCell ref="AX81:BA81"/>
    <mergeCell ref="BB81:BF81"/>
    <mergeCell ref="BG81:BK81"/>
    <mergeCell ref="BL81:BP81"/>
    <mergeCell ref="BG80:BK80"/>
    <mergeCell ref="BL80:BP80"/>
    <mergeCell ref="BQ80:BT80"/>
    <mergeCell ref="BU80:BY80"/>
    <mergeCell ref="A81:E81"/>
    <mergeCell ref="F81:T81"/>
    <mergeCell ref="U81:Y81"/>
    <mergeCell ref="Z81:AD81"/>
    <mergeCell ref="AE81:AH81"/>
    <mergeCell ref="AI81:AM81"/>
    <mergeCell ref="AE80:AH80"/>
    <mergeCell ref="AI80:AM80"/>
    <mergeCell ref="AN80:AR80"/>
    <mergeCell ref="AS80:AW80"/>
    <mergeCell ref="AX80:BA80"/>
    <mergeCell ref="BB80:BF80"/>
    <mergeCell ref="BU60:BY60"/>
    <mergeCell ref="A77:BL77"/>
    <mergeCell ref="A78:BY78"/>
    <mergeCell ref="A79:E80"/>
    <mergeCell ref="F79:T80"/>
    <mergeCell ref="U79:AM79"/>
    <mergeCell ref="AN79:BF79"/>
    <mergeCell ref="BG79:BY79"/>
    <mergeCell ref="U80:Y80"/>
    <mergeCell ref="Z80:AD80"/>
    <mergeCell ref="AS60:AW60"/>
    <mergeCell ref="AX60:BA60"/>
    <mergeCell ref="BB60:BF60"/>
    <mergeCell ref="BG60:BK60"/>
    <mergeCell ref="BL60:BP60"/>
    <mergeCell ref="BQ60:BT60"/>
    <mergeCell ref="BL59:BP59"/>
    <mergeCell ref="BQ59:BT59"/>
    <mergeCell ref="BU59:BY59"/>
    <mergeCell ref="A60:D60"/>
    <mergeCell ref="E60:T60"/>
    <mergeCell ref="U60:Y60"/>
    <mergeCell ref="Z60:AD60"/>
    <mergeCell ref="AE60:AH60"/>
    <mergeCell ref="AI60:AM60"/>
    <mergeCell ref="AN60:AR60"/>
    <mergeCell ref="AI59:AM59"/>
    <mergeCell ref="AN59:AR59"/>
    <mergeCell ref="AS59:AW59"/>
    <mergeCell ref="AX59:BA59"/>
    <mergeCell ref="BB59:BF59"/>
    <mergeCell ref="BG59:BK59"/>
    <mergeCell ref="BB58:BF58"/>
    <mergeCell ref="BG58:BK58"/>
    <mergeCell ref="BL58:BP58"/>
    <mergeCell ref="BQ58:BT58"/>
    <mergeCell ref="BU58:BY58"/>
    <mergeCell ref="A59:D59"/>
    <mergeCell ref="E59:T59"/>
    <mergeCell ref="U59:Y59"/>
    <mergeCell ref="Z59:AD59"/>
    <mergeCell ref="AE59:AH59"/>
    <mergeCell ref="BU57:BY57"/>
    <mergeCell ref="A58:D58"/>
    <mergeCell ref="E58:T58"/>
    <mergeCell ref="U58:Y58"/>
    <mergeCell ref="Z58:AD58"/>
    <mergeCell ref="AE58:AH58"/>
    <mergeCell ref="AI58:AM58"/>
    <mergeCell ref="AN58:AR58"/>
    <mergeCell ref="AS58:AW58"/>
    <mergeCell ref="AX58:BA58"/>
    <mergeCell ref="AS57:AW57"/>
    <mergeCell ref="AX57:BA57"/>
    <mergeCell ref="BB57:BF57"/>
    <mergeCell ref="BG57:BK57"/>
    <mergeCell ref="BL57:BP57"/>
    <mergeCell ref="BQ57:BT57"/>
    <mergeCell ref="A56:D57"/>
    <mergeCell ref="E56:T57"/>
    <mergeCell ref="U56:AM56"/>
    <mergeCell ref="AN56:BF56"/>
    <mergeCell ref="BG56:BY56"/>
    <mergeCell ref="U57:Y57"/>
    <mergeCell ref="Z57:AD57"/>
    <mergeCell ref="AE57:AH57"/>
    <mergeCell ref="AI57:AM57"/>
    <mergeCell ref="AN57:AR57"/>
    <mergeCell ref="AW44:BA44"/>
    <mergeCell ref="BB44:BF44"/>
    <mergeCell ref="BG44:BK44"/>
    <mergeCell ref="A53:BY53"/>
    <mergeCell ref="A54:BY54"/>
    <mergeCell ref="A55:BY55"/>
    <mergeCell ref="AM45:AQ45"/>
    <mergeCell ref="AR45:AV45"/>
    <mergeCell ref="AW45:BA45"/>
    <mergeCell ref="BB45:BF45"/>
    <mergeCell ref="AW43:BA43"/>
    <mergeCell ref="BB43:BF43"/>
    <mergeCell ref="BG43:BK43"/>
    <mergeCell ref="A44:D44"/>
    <mergeCell ref="E44:W44"/>
    <mergeCell ref="X44:AB44"/>
    <mergeCell ref="AC44:AG44"/>
    <mergeCell ref="AH44:AL44"/>
    <mergeCell ref="AM44:AQ44"/>
    <mergeCell ref="AR44:AV44"/>
    <mergeCell ref="AW42:BA42"/>
    <mergeCell ref="BB42:BF42"/>
    <mergeCell ref="BG42:BK42"/>
    <mergeCell ref="A43:D43"/>
    <mergeCell ref="E43:W43"/>
    <mergeCell ref="X43:AB43"/>
    <mergeCell ref="AC43:AG43"/>
    <mergeCell ref="AH43:AL43"/>
    <mergeCell ref="AM43:AQ43"/>
    <mergeCell ref="AR43:AV43"/>
    <mergeCell ref="AW41:BA41"/>
    <mergeCell ref="BB41:BF41"/>
    <mergeCell ref="BG41:BK41"/>
    <mergeCell ref="A42:D42"/>
    <mergeCell ref="E42:W42"/>
    <mergeCell ref="X42:AB42"/>
    <mergeCell ref="AC42:AG42"/>
    <mergeCell ref="AH42:AL42"/>
    <mergeCell ref="AM42:AQ42"/>
    <mergeCell ref="AR42:AV42"/>
    <mergeCell ref="A39:BK39"/>
    <mergeCell ref="A40:D41"/>
    <mergeCell ref="E40:W41"/>
    <mergeCell ref="X40:AQ40"/>
    <mergeCell ref="AR40:BK40"/>
    <mergeCell ref="X41:AB41"/>
    <mergeCell ref="AC41:AG41"/>
    <mergeCell ref="AH41:AL41"/>
    <mergeCell ref="AM41:AQ41"/>
    <mergeCell ref="AR41:AV41"/>
    <mergeCell ref="BB30:BF30"/>
    <mergeCell ref="BG30:BK30"/>
    <mergeCell ref="BL30:BP30"/>
    <mergeCell ref="BQ30:BT30"/>
    <mergeCell ref="BU30:BY30"/>
    <mergeCell ref="A38:BL38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124 A338 A204">
    <cfRule type="cellIs" dxfId="188" priority="193" stopIfTrue="1" operator="equal">
      <formula>A123</formula>
    </cfRule>
  </conditionalFormatting>
  <conditionalFormatting sqref="A285:C285 A302:C302">
    <cfRule type="cellIs" dxfId="187" priority="194" stopIfTrue="1" operator="equal">
      <formula>A284</formula>
    </cfRule>
    <cfRule type="cellIs" dxfId="186" priority="195" stopIfTrue="1" operator="equal">
      <formula>0</formula>
    </cfRule>
  </conditionalFormatting>
  <conditionalFormatting sqref="A125">
    <cfRule type="cellIs" dxfId="185" priority="192" stopIfTrue="1" operator="equal">
      <formula>A124</formula>
    </cfRule>
  </conditionalFormatting>
  <conditionalFormatting sqref="A126">
    <cfRule type="cellIs" dxfId="184" priority="191" stopIfTrue="1" operator="equal">
      <formula>A125</formula>
    </cfRule>
  </conditionalFormatting>
  <conditionalFormatting sqref="A127">
    <cfRule type="cellIs" dxfId="183" priority="190" stopIfTrue="1" operator="equal">
      <formula>A126</formula>
    </cfRule>
  </conditionalFormatting>
  <conditionalFormatting sqref="A128">
    <cfRule type="cellIs" dxfId="182" priority="189" stopIfTrue="1" operator="equal">
      <formula>A127</formula>
    </cfRule>
  </conditionalFormatting>
  <conditionalFormatting sqref="A129">
    <cfRule type="cellIs" dxfId="181" priority="188" stopIfTrue="1" operator="equal">
      <formula>A128</formula>
    </cfRule>
  </conditionalFormatting>
  <conditionalFormatting sqref="A130">
    <cfRule type="cellIs" dxfId="180" priority="187" stopIfTrue="1" operator="equal">
      <formula>A129</formula>
    </cfRule>
  </conditionalFormatting>
  <conditionalFormatting sqref="A131">
    <cfRule type="cellIs" dxfId="179" priority="186" stopIfTrue="1" operator="equal">
      <formula>A130</formula>
    </cfRule>
  </conditionalFormatting>
  <conditionalFormatting sqref="A132">
    <cfRule type="cellIs" dxfId="178" priority="185" stopIfTrue="1" operator="equal">
      <formula>A131</formula>
    </cfRule>
  </conditionalFormatting>
  <conditionalFormatting sqref="A133">
    <cfRule type="cellIs" dxfId="177" priority="184" stopIfTrue="1" operator="equal">
      <formula>A132</formula>
    </cfRule>
  </conditionalFormatting>
  <conditionalFormatting sqref="A134">
    <cfRule type="cellIs" dxfId="176" priority="183" stopIfTrue="1" operator="equal">
      <formula>A133</formula>
    </cfRule>
  </conditionalFormatting>
  <conditionalFormatting sqref="A135">
    <cfRule type="cellIs" dxfId="175" priority="182" stopIfTrue="1" operator="equal">
      <formula>A134</formula>
    </cfRule>
  </conditionalFormatting>
  <conditionalFormatting sqref="A136">
    <cfRule type="cellIs" dxfId="174" priority="181" stopIfTrue="1" operator="equal">
      <formula>A135</formula>
    </cfRule>
  </conditionalFormatting>
  <conditionalFormatting sqref="A137">
    <cfRule type="cellIs" dxfId="173" priority="180" stopIfTrue="1" operator="equal">
      <formula>A136</formula>
    </cfRule>
  </conditionalFormatting>
  <conditionalFormatting sqref="A138">
    <cfRule type="cellIs" dxfId="172" priority="179" stopIfTrue="1" operator="equal">
      <formula>A137</formula>
    </cfRule>
  </conditionalFormatting>
  <conditionalFormatting sqref="A139">
    <cfRule type="cellIs" dxfId="171" priority="178" stopIfTrue="1" operator="equal">
      <formula>A138</formula>
    </cfRule>
  </conditionalFormatting>
  <conditionalFormatting sqref="A140">
    <cfRule type="cellIs" dxfId="170" priority="177" stopIfTrue="1" operator="equal">
      <formula>A139</formula>
    </cfRule>
  </conditionalFormatting>
  <conditionalFormatting sqref="A141">
    <cfRule type="cellIs" dxfId="169" priority="176" stopIfTrue="1" operator="equal">
      <formula>A140</formula>
    </cfRule>
  </conditionalFormatting>
  <conditionalFormatting sqref="A142">
    <cfRule type="cellIs" dxfId="168" priority="175" stopIfTrue="1" operator="equal">
      <formula>A141</formula>
    </cfRule>
  </conditionalFormatting>
  <conditionalFormatting sqref="A143">
    <cfRule type="cellIs" dxfId="167" priority="174" stopIfTrue="1" operator="equal">
      <formula>A142</formula>
    </cfRule>
  </conditionalFormatting>
  <conditionalFormatting sqref="A144">
    <cfRule type="cellIs" dxfId="166" priority="173" stopIfTrue="1" operator="equal">
      <formula>A143</formula>
    </cfRule>
  </conditionalFormatting>
  <conditionalFormatting sqref="A145">
    <cfRule type="cellIs" dxfId="165" priority="172" stopIfTrue="1" operator="equal">
      <formula>A144</formula>
    </cfRule>
  </conditionalFormatting>
  <conditionalFormatting sqref="A146">
    <cfRule type="cellIs" dxfId="164" priority="171" stopIfTrue="1" operator="equal">
      <formula>A145</formula>
    </cfRule>
  </conditionalFormatting>
  <conditionalFormatting sqref="A147">
    <cfRule type="cellIs" dxfId="163" priority="170" stopIfTrue="1" operator="equal">
      <formula>A146</formula>
    </cfRule>
  </conditionalFormatting>
  <conditionalFormatting sqref="A148">
    <cfRule type="cellIs" dxfId="162" priority="169" stopIfTrue="1" operator="equal">
      <formula>A147</formula>
    </cfRule>
  </conditionalFormatting>
  <conditionalFormatting sqref="A149">
    <cfRule type="cellIs" dxfId="161" priority="168" stopIfTrue="1" operator="equal">
      <formula>A148</formula>
    </cfRule>
  </conditionalFormatting>
  <conditionalFormatting sqref="A150">
    <cfRule type="cellIs" dxfId="160" priority="167" stopIfTrue="1" operator="equal">
      <formula>A149</formula>
    </cfRule>
  </conditionalFormatting>
  <conditionalFormatting sqref="A151">
    <cfRule type="cellIs" dxfId="159" priority="166" stopIfTrue="1" operator="equal">
      <formula>A150</formula>
    </cfRule>
  </conditionalFormatting>
  <conditionalFormatting sqref="A152">
    <cfRule type="cellIs" dxfId="158" priority="165" stopIfTrue="1" operator="equal">
      <formula>A151</formula>
    </cfRule>
  </conditionalFormatting>
  <conditionalFormatting sqref="A153">
    <cfRule type="cellIs" dxfId="157" priority="164" stopIfTrue="1" operator="equal">
      <formula>A152</formula>
    </cfRule>
  </conditionalFormatting>
  <conditionalFormatting sqref="A154">
    <cfRule type="cellIs" dxfId="156" priority="163" stopIfTrue="1" operator="equal">
      <formula>A153</formula>
    </cfRule>
  </conditionalFormatting>
  <conditionalFormatting sqref="A155">
    <cfRule type="cellIs" dxfId="155" priority="162" stopIfTrue="1" operator="equal">
      <formula>A154</formula>
    </cfRule>
  </conditionalFormatting>
  <conditionalFormatting sqref="A156">
    <cfRule type="cellIs" dxfId="154" priority="161" stopIfTrue="1" operator="equal">
      <formula>A155</formula>
    </cfRule>
  </conditionalFormatting>
  <conditionalFormatting sqref="A157">
    <cfRule type="cellIs" dxfId="153" priority="160" stopIfTrue="1" operator="equal">
      <formula>A156</formula>
    </cfRule>
  </conditionalFormatting>
  <conditionalFormatting sqref="A158">
    <cfRule type="cellIs" dxfId="152" priority="159" stopIfTrue="1" operator="equal">
      <formula>A157</formula>
    </cfRule>
  </conditionalFormatting>
  <conditionalFormatting sqref="A159">
    <cfRule type="cellIs" dxfId="151" priority="158" stopIfTrue="1" operator="equal">
      <formula>A158</formula>
    </cfRule>
  </conditionalFormatting>
  <conditionalFormatting sqref="A160">
    <cfRule type="cellIs" dxfId="150" priority="157" stopIfTrue="1" operator="equal">
      <formula>A159</formula>
    </cfRule>
  </conditionalFormatting>
  <conditionalFormatting sqref="A161">
    <cfRule type="cellIs" dxfId="149" priority="156" stopIfTrue="1" operator="equal">
      <formula>A160</formula>
    </cfRule>
  </conditionalFormatting>
  <conditionalFormatting sqref="A162">
    <cfRule type="cellIs" dxfId="148" priority="155" stopIfTrue="1" operator="equal">
      <formula>A161</formula>
    </cfRule>
  </conditionalFormatting>
  <conditionalFormatting sqref="A163">
    <cfRule type="cellIs" dxfId="147" priority="154" stopIfTrue="1" operator="equal">
      <formula>A162</formula>
    </cfRule>
  </conditionalFormatting>
  <conditionalFormatting sqref="A164">
    <cfRule type="cellIs" dxfId="146" priority="153" stopIfTrue="1" operator="equal">
      <formula>A163</formula>
    </cfRule>
  </conditionalFormatting>
  <conditionalFormatting sqref="A165">
    <cfRule type="cellIs" dxfId="145" priority="152" stopIfTrue="1" operator="equal">
      <formula>A164</formula>
    </cfRule>
  </conditionalFormatting>
  <conditionalFormatting sqref="A166">
    <cfRule type="cellIs" dxfId="144" priority="151" stopIfTrue="1" operator="equal">
      <formula>A165</formula>
    </cfRule>
  </conditionalFormatting>
  <conditionalFormatting sqref="A167">
    <cfRule type="cellIs" dxfId="143" priority="150" stopIfTrue="1" operator="equal">
      <formula>A166</formula>
    </cfRule>
  </conditionalFormatting>
  <conditionalFormatting sqref="A168">
    <cfRule type="cellIs" dxfId="142" priority="149" stopIfTrue="1" operator="equal">
      <formula>A167</formula>
    </cfRule>
  </conditionalFormatting>
  <conditionalFormatting sqref="A169">
    <cfRule type="cellIs" dxfId="141" priority="148" stopIfTrue="1" operator="equal">
      <formula>A168</formula>
    </cfRule>
  </conditionalFormatting>
  <conditionalFormatting sqref="A170">
    <cfRule type="cellIs" dxfId="140" priority="147" stopIfTrue="1" operator="equal">
      <formula>A169</formula>
    </cfRule>
  </conditionalFormatting>
  <conditionalFormatting sqref="A171">
    <cfRule type="cellIs" dxfId="139" priority="146" stopIfTrue="1" operator="equal">
      <formula>A170</formula>
    </cfRule>
  </conditionalFormatting>
  <conditionalFormatting sqref="A172">
    <cfRule type="cellIs" dxfId="138" priority="145" stopIfTrue="1" operator="equal">
      <formula>A171</formula>
    </cfRule>
  </conditionalFormatting>
  <conditionalFormatting sqref="A173">
    <cfRule type="cellIs" dxfId="137" priority="144" stopIfTrue="1" operator="equal">
      <formula>A172</formula>
    </cfRule>
  </conditionalFormatting>
  <conditionalFormatting sqref="A174">
    <cfRule type="cellIs" dxfId="136" priority="143" stopIfTrue="1" operator="equal">
      <formula>A173</formula>
    </cfRule>
  </conditionalFormatting>
  <conditionalFormatting sqref="A175">
    <cfRule type="cellIs" dxfId="135" priority="142" stopIfTrue="1" operator="equal">
      <formula>A174</formula>
    </cfRule>
  </conditionalFormatting>
  <conditionalFormatting sqref="A176">
    <cfRule type="cellIs" dxfId="134" priority="141" stopIfTrue="1" operator="equal">
      <formula>A175</formula>
    </cfRule>
  </conditionalFormatting>
  <conditionalFormatting sqref="A177">
    <cfRule type="cellIs" dxfId="133" priority="140" stopIfTrue="1" operator="equal">
      <formula>A176</formula>
    </cfRule>
  </conditionalFormatting>
  <conditionalFormatting sqref="A178">
    <cfRule type="cellIs" dxfId="132" priority="139" stopIfTrue="1" operator="equal">
      <formula>A177</formula>
    </cfRule>
  </conditionalFormatting>
  <conditionalFormatting sqref="A179">
    <cfRule type="cellIs" dxfId="131" priority="138" stopIfTrue="1" operator="equal">
      <formula>A178</formula>
    </cfRule>
  </conditionalFormatting>
  <conditionalFormatting sqref="A180">
    <cfRule type="cellIs" dxfId="130" priority="137" stopIfTrue="1" operator="equal">
      <formula>A179</formula>
    </cfRule>
  </conditionalFormatting>
  <conditionalFormatting sqref="A181">
    <cfRule type="cellIs" dxfId="129" priority="136" stopIfTrue="1" operator="equal">
      <formula>A180</formula>
    </cfRule>
  </conditionalFormatting>
  <conditionalFormatting sqref="A182">
    <cfRule type="cellIs" dxfId="128" priority="135" stopIfTrue="1" operator="equal">
      <formula>A181</formula>
    </cfRule>
  </conditionalFormatting>
  <conditionalFormatting sqref="A183">
    <cfRule type="cellIs" dxfId="127" priority="134" stopIfTrue="1" operator="equal">
      <formula>A182</formula>
    </cfRule>
  </conditionalFormatting>
  <conditionalFormatting sqref="A184">
    <cfRule type="cellIs" dxfId="126" priority="133" stopIfTrue="1" operator="equal">
      <formula>A183</formula>
    </cfRule>
  </conditionalFormatting>
  <conditionalFormatting sqref="A185">
    <cfRule type="cellIs" dxfId="125" priority="132" stopIfTrue="1" operator="equal">
      <formula>A184</formula>
    </cfRule>
  </conditionalFormatting>
  <conditionalFormatting sqref="A186">
    <cfRule type="cellIs" dxfId="124" priority="131" stopIfTrue="1" operator="equal">
      <formula>A185</formula>
    </cfRule>
  </conditionalFormatting>
  <conditionalFormatting sqref="A187">
    <cfRule type="cellIs" dxfId="123" priority="130" stopIfTrue="1" operator="equal">
      <formula>A186</formula>
    </cfRule>
  </conditionalFormatting>
  <conditionalFormatting sqref="A188">
    <cfRule type="cellIs" dxfId="122" priority="129" stopIfTrue="1" operator="equal">
      <formula>A187</formula>
    </cfRule>
  </conditionalFormatting>
  <conditionalFormatting sqref="A189">
    <cfRule type="cellIs" dxfId="121" priority="128" stopIfTrue="1" operator="equal">
      <formula>A188</formula>
    </cfRule>
  </conditionalFormatting>
  <conditionalFormatting sqref="A190">
    <cfRule type="cellIs" dxfId="120" priority="127" stopIfTrue="1" operator="equal">
      <formula>A189</formula>
    </cfRule>
  </conditionalFormatting>
  <conditionalFormatting sqref="A191">
    <cfRule type="cellIs" dxfId="119" priority="126" stopIfTrue="1" operator="equal">
      <formula>A190</formula>
    </cfRule>
  </conditionalFormatting>
  <conditionalFormatting sqref="A192">
    <cfRule type="cellIs" dxfId="118" priority="125" stopIfTrue="1" operator="equal">
      <formula>A191</formula>
    </cfRule>
  </conditionalFormatting>
  <conditionalFormatting sqref="A193">
    <cfRule type="cellIs" dxfId="117" priority="124" stopIfTrue="1" operator="equal">
      <formula>A192</formula>
    </cfRule>
  </conditionalFormatting>
  <conditionalFormatting sqref="A194">
    <cfRule type="cellIs" dxfId="116" priority="123" stopIfTrue="1" operator="equal">
      <formula>A193</formula>
    </cfRule>
  </conditionalFormatting>
  <conditionalFormatting sqref="A195">
    <cfRule type="cellIs" dxfId="115" priority="122" stopIfTrue="1" operator="equal">
      <formula>A194</formula>
    </cfRule>
  </conditionalFormatting>
  <conditionalFormatting sqref="A196">
    <cfRule type="cellIs" dxfId="114" priority="121" stopIfTrue="1" operator="equal">
      <formula>A195</formula>
    </cfRule>
  </conditionalFormatting>
  <conditionalFormatting sqref="A277">
    <cfRule type="cellIs" dxfId="113" priority="197" stopIfTrue="1" operator="equal">
      <formula>A204</formula>
    </cfRule>
  </conditionalFormatting>
  <conditionalFormatting sqref="A205">
    <cfRule type="cellIs" dxfId="112" priority="119" stopIfTrue="1" operator="equal">
      <formula>A204</formula>
    </cfRule>
  </conditionalFormatting>
  <conditionalFormatting sqref="A206">
    <cfRule type="cellIs" dxfId="111" priority="118" stopIfTrue="1" operator="equal">
      <formula>A205</formula>
    </cfRule>
  </conditionalFormatting>
  <conditionalFormatting sqref="A207">
    <cfRule type="cellIs" dxfId="110" priority="117" stopIfTrue="1" operator="equal">
      <formula>A206</formula>
    </cfRule>
  </conditionalFormatting>
  <conditionalFormatting sqref="A208">
    <cfRule type="cellIs" dxfId="109" priority="116" stopIfTrue="1" operator="equal">
      <formula>A207</formula>
    </cfRule>
  </conditionalFormatting>
  <conditionalFormatting sqref="A209">
    <cfRule type="cellIs" dxfId="108" priority="115" stopIfTrue="1" operator="equal">
      <formula>A208</formula>
    </cfRule>
  </conditionalFormatting>
  <conditionalFormatting sqref="A210">
    <cfRule type="cellIs" dxfId="107" priority="114" stopIfTrue="1" operator="equal">
      <formula>A209</formula>
    </cfRule>
  </conditionalFormatting>
  <conditionalFormatting sqref="A211">
    <cfRule type="cellIs" dxfId="106" priority="113" stopIfTrue="1" operator="equal">
      <formula>A210</formula>
    </cfRule>
  </conditionalFormatting>
  <conditionalFormatting sqref="A212">
    <cfRule type="cellIs" dxfId="105" priority="112" stopIfTrue="1" operator="equal">
      <formula>A211</formula>
    </cfRule>
  </conditionalFormatting>
  <conditionalFormatting sqref="A213">
    <cfRule type="cellIs" dxfId="104" priority="111" stopIfTrue="1" operator="equal">
      <formula>A212</formula>
    </cfRule>
  </conditionalFormatting>
  <conditionalFormatting sqref="A214">
    <cfRule type="cellIs" dxfId="103" priority="110" stopIfTrue="1" operator="equal">
      <formula>A213</formula>
    </cfRule>
  </conditionalFormatting>
  <conditionalFormatting sqref="A215">
    <cfRule type="cellIs" dxfId="102" priority="109" stopIfTrue="1" operator="equal">
      <formula>A214</formula>
    </cfRule>
  </conditionalFormatting>
  <conditionalFormatting sqref="A216">
    <cfRule type="cellIs" dxfId="101" priority="108" stopIfTrue="1" operator="equal">
      <formula>A215</formula>
    </cfRule>
  </conditionalFormatting>
  <conditionalFormatting sqref="A217">
    <cfRule type="cellIs" dxfId="100" priority="107" stopIfTrue="1" operator="equal">
      <formula>A216</formula>
    </cfRule>
  </conditionalFormatting>
  <conditionalFormatting sqref="A218">
    <cfRule type="cellIs" dxfId="99" priority="106" stopIfTrue="1" operator="equal">
      <formula>A217</formula>
    </cfRule>
  </conditionalFormatting>
  <conditionalFormatting sqref="A219">
    <cfRule type="cellIs" dxfId="98" priority="105" stopIfTrue="1" operator="equal">
      <formula>A218</formula>
    </cfRule>
  </conditionalFormatting>
  <conditionalFormatting sqref="A220">
    <cfRule type="cellIs" dxfId="97" priority="104" stopIfTrue="1" operator="equal">
      <formula>A219</formula>
    </cfRule>
  </conditionalFormatting>
  <conditionalFormatting sqref="A221">
    <cfRule type="cellIs" dxfId="96" priority="103" stopIfTrue="1" operator="equal">
      <formula>A220</formula>
    </cfRule>
  </conditionalFormatting>
  <conditionalFormatting sqref="A222">
    <cfRule type="cellIs" dxfId="95" priority="102" stopIfTrue="1" operator="equal">
      <formula>A221</formula>
    </cfRule>
  </conditionalFormatting>
  <conditionalFormatting sqref="A223">
    <cfRule type="cellIs" dxfId="94" priority="101" stopIfTrue="1" operator="equal">
      <formula>A222</formula>
    </cfRule>
  </conditionalFormatting>
  <conditionalFormatting sqref="A224">
    <cfRule type="cellIs" dxfId="93" priority="100" stopIfTrue="1" operator="equal">
      <formula>A223</formula>
    </cfRule>
  </conditionalFormatting>
  <conditionalFormatting sqref="A225">
    <cfRule type="cellIs" dxfId="92" priority="99" stopIfTrue="1" operator="equal">
      <formula>A224</formula>
    </cfRule>
  </conditionalFormatting>
  <conditionalFormatting sqref="A226">
    <cfRule type="cellIs" dxfId="91" priority="98" stopIfTrue="1" operator="equal">
      <formula>A225</formula>
    </cfRule>
  </conditionalFormatting>
  <conditionalFormatting sqref="A227">
    <cfRule type="cellIs" dxfId="90" priority="97" stopIfTrue="1" operator="equal">
      <formula>A226</formula>
    </cfRule>
  </conditionalFormatting>
  <conditionalFormatting sqref="A228">
    <cfRule type="cellIs" dxfId="89" priority="96" stopIfTrue="1" operator="equal">
      <formula>A227</formula>
    </cfRule>
  </conditionalFormatting>
  <conditionalFormatting sqref="A229">
    <cfRule type="cellIs" dxfId="88" priority="95" stopIfTrue="1" operator="equal">
      <formula>A228</formula>
    </cfRule>
  </conditionalFormatting>
  <conditionalFormatting sqref="A230">
    <cfRule type="cellIs" dxfId="87" priority="94" stopIfTrue="1" operator="equal">
      <formula>A229</formula>
    </cfRule>
  </conditionalFormatting>
  <conditionalFormatting sqref="A231">
    <cfRule type="cellIs" dxfId="86" priority="93" stopIfTrue="1" operator="equal">
      <formula>A230</formula>
    </cfRule>
  </conditionalFormatting>
  <conditionalFormatting sqref="A232">
    <cfRule type="cellIs" dxfId="85" priority="92" stopIfTrue="1" operator="equal">
      <formula>A231</formula>
    </cfRule>
  </conditionalFormatting>
  <conditionalFormatting sqref="A233">
    <cfRule type="cellIs" dxfId="84" priority="91" stopIfTrue="1" operator="equal">
      <formula>A232</formula>
    </cfRule>
  </conditionalFormatting>
  <conditionalFormatting sqref="A234">
    <cfRule type="cellIs" dxfId="83" priority="90" stopIfTrue="1" operator="equal">
      <formula>A233</formula>
    </cfRule>
  </conditionalFormatting>
  <conditionalFormatting sqref="A235">
    <cfRule type="cellIs" dxfId="82" priority="89" stopIfTrue="1" operator="equal">
      <formula>A234</formula>
    </cfRule>
  </conditionalFormatting>
  <conditionalFormatting sqref="A236">
    <cfRule type="cellIs" dxfId="81" priority="88" stopIfTrue="1" operator="equal">
      <formula>A235</formula>
    </cfRule>
  </conditionalFormatting>
  <conditionalFormatting sqref="A237">
    <cfRule type="cellIs" dxfId="80" priority="87" stopIfTrue="1" operator="equal">
      <formula>A236</formula>
    </cfRule>
  </conditionalFormatting>
  <conditionalFormatting sqref="A238">
    <cfRule type="cellIs" dxfId="79" priority="86" stopIfTrue="1" operator="equal">
      <formula>A237</formula>
    </cfRule>
  </conditionalFormatting>
  <conditionalFormatting sqref="A239">
    <cfRule type="cellIs" dxfId="78" priority="85" stopIfTrue="1" operator="equal">
      <formula>A238</formula>
    </cfRule>
  </conditionalFormatting>
  <conditionalFormatting sqref="A240">
    <cfRule type="cellIs" dxfId="77" priority="84" stopIfTrue="1" operator="equal">
      <formula>A239</formula>
    </cfRule>
  </conditionalFormatting>
  <conditionalFormatting sqref="A241">
    <cfRule type="cellIs" dxfId="76" priority="83" stopIfTrue="1" operator="equal">
      <formula>A240</formula>
    </cfRule>
  </conditionalFormatting>
  <conditionalFormatting sqref="A242">
    <cfRule type="cellIs" dxfId="75" priority="82" stopIfTrue="1" operator="equal">
      <formula>A241</formula>
    </cfRule>
  </conditionalFormatting>
  <conditionalFormatting sqref="A243">
    <cfRule type="cellIs" dxfId="74" priority="81" stopIfTrue="1" operator="equal">
      <formula>A242</formula>
    </cfRule>
  </conditionalFormatting>
  <conditionalFormatting sqref="A244">
    <cfRule type="cellIs" dxfId="73" priority="80" stopIfTrue="1" operator="equal">
      <formula>A243</formula>
    </cfRule>
  </conditionalFormatting>
  <conditionalFormatting sqref="A245">
    <cfRule type="cellIs" dxfId="72" priority="79" stopIfTrue="1" operator="equal">
      <formula>A244</formula>
    </cfRule>
  </conditionalFormatting>
  <conditionalFormatting sqref="A246">
    <cfRule type="cellIs" dxfId="71" priority="78" stopIfTrue="1" operator="equal">
      <formula>A245</formula>
    </cfRule>
  </conditionalFormatting>
  <conditionalFormatting sqref="A247">
    <cfRule type="cellIs" dxfId="70" priority="77" stopIfTrue="1" operator="equal">
      <formula>A246</formula>
    </cfRule>
  </conditionalFormatting>
  <conditionalFormatting sqref="A248">
    <cfRule type="cellIs" dxfId="69" priority="76" stopIfTrue="1" operator="equal">
      <formula>A247</formula>
    </cfRule>
  </conditionalFormatting>
  <conditionalFormatting sqref="A249">
    <cfRule type="cellIs" dxfId="68" priority="75" stopIfTrue="1" operator="equal">
      <formula>A248</formula>
    </cfRule>
  </conditionalFormatting>
  <conditionalFormatting sqref="A250">
    <cfRule type="cellIs" dxfId="67" priority="74" stopIfTrue="1" operator="equal">
      <formula>A249</formula>
    </cfRule>
  </conditionalFormatting>
  <conditionalFormatting sqref="A251">
    <cfRule type="cellIs" dxfId="66" priority="73" stopIfTrue="1" operator="equal">
      <formula>A250</formula>
    </cfRule>
  </conditionalFormatting>
  <conditionalFormatting sqref="A252">
    <cfRule type="cellIs" dxfId="65" priority="72" stopIfTrue="1" operator="equal">
      <formula>A251</formula>
    </cfRule>
  </conditionalFormatting>
  <conditionalFormatting sqref="A253">
    <cfRule type="cellIs" dxfId="64" priority="71" stopIfTrue="1" operator="equal">
      <formula>A252</formula>
    </cfRule>
  </conditionalFormatting>
  <conditionalFormatting sqref="A254">
    <cfRule type="cellIs" dxfId="63" priority="70" stopIfTrue="1" operator="equal">
      <formula>A253</formula>
    </cfRule>
  </conditionalFormatting>
  <conditionalFormatting sqref="A255">
    <cfRule type="cellIs" dxfId="62" priority="69" stopIfTrue="1" operator="equal">
      <formula>A254</formula>
    </cfRule>
  </conditionalFormatting>
  <conditionalFormatting sqref="A256">
    <cfRule type="cellIs" dxfId="61" priority="68" stopIfTrue="1" operator="equal">
      <formula>A255</formula>
    </cfRule>
  </conditionalFormatting>
  <conditionalFormatting sqref="A257">
    <cfRule type="cellIs" dxfId="60" priority="67" stopIfTrue="1" operator="equal">
      <formula>A256</formula>
    </cfRule>
  </conditionalFormatting>
  <conditionalFormatting sqref="A258">
    <cfRule type="cellIs" dxfId="59" priority="66" stopIfTrue="1" operator="equal">
      <formula>A257</formula>
    </cfRule>
  </conditionalFormatting>
  <conditionalFormatting sqref="A259">
    <cfRule type="cellIs" dxfId="58" priority="65" stopIfTrue="1" operator="equal">
      <formula>A258</formula>
    </cfRule>
  </conditionalFormatting>
  <conditionalFormatting sqref="A260">
    <cfRule type="cellIs" dxfId="57" priority="64" stopIfTrue="1" operator="equal">
      <formula>A259</formula>
    </cfRule>
  </conditionalFormatting>
  <conditionalFormatting sqref="A261">
    <cfRule type="cellIs" dxfId="56" priority="63" stopIfTrue="1" operator="equal">
      <formula>A260</formula>
    </cfRule>
  </conditionalFormatting>
  <conditionalFormatting sqref="A262">
    <cfRule type="cellIs" dxfId="55" priority="62" stopIfTrue="1" operator="equal">
      <formula>A261</formula>
    </cfRule>
  </conditionalFormatting>
  <conditionalFormatting sqref="A263">
    <cfRule type="cellIs" dxfId="54" priority="61" stopIfTrue="1" operator="equal">
      <formula>A262</formula>
    </cfRule>
  </conditionalFormatting>
  <conditionalFormatting sqref="A264">
    <cfRule type="cellIs" dxfId="53" priority="60" stopIfTrue="1" operator="equal">
      <formula>A263</formula>
    </cfRule>
  </conditionalFormatting>
  <conditionalFormatting sqref="A265">
    <cfRule type="cellIs" dxfId="52" priority="59" stopIfTrue="1" operator="equal">
      <formula>A264</formula>
    </cfRule>
  </conditionalFormatting>
  <conditionalFormatting sqref="A266">
    <cfRule type="cellIs" dxfId="51" priority="58" stopIfTrue="1" operator="equal">
      <formula>A265</formula>
    </cfRule>
  </conditionalFormatting>
  <conditionalFormatting sqref="A267">
    <cfRule type="cellIs" dxfId="50" priority="57" stopIfTrue="1" operator="equal">
      <formula>A266</formula>
    </cfRule>
  </conditionalFormatting>
  <conditionalFormatting sqref="A268">
    <cfRule type="cellIs" dxfId="49" priority="56" stopIfTrue="1" operator="equal">
      <formula>A267</formula>
    </cfRule>
  </conditionalFormatting>
  <conditionalFormatting sqref="A269">
    <cfRule type="cellIs" dxfId="48" priority="55" stopIfTrue="1" operator="equal">
      <formula>A268</formula>
    </cfRule>
  </conditionalFormatting>
  <conditionalFormatting sqref="A270">
    <cfRule type="cellIs" dxfId="47" priority="54" stopIfTrue="1" operator="equal">
      <formula>A269</formula>
    </cfRule>
  </conditionalFormatting>
  <conditionalFormatting sqref="A271">
    <cfRule type="cellIs" dxfId="46" priority="53" stopIfTrue="1" operator="equal">
      <formula>A270</formula>
    </cfRule>
  </conditionalFormatting>
  <conditionalFormatting sqref="A272">
    <cfRule type="cellIs" dxfId="45" priority="52" stopIfTrue="1" operator="equal">
      <formula>A271</formula>
    </cfRule>
  </conditionalFormatting>
  <conditionalFormatting sqref="A273">
    <cfRule type="cellIs" dxfId="44" priority="51" stopIfTrue="1" operator="equal">
      <formula>A272</formula>
    </cfRule>
  </conditionalFormatting>
  <conditionalFormatting sqref="A274">
    <cfRule type="cellIs" dxfId="43" priority="50" stopIfTrue="1" operator="equal">
      <formula>A273</formula>
    </cfRule>
  </conditionalFormatting>
  <conditionalFormatting sqref="A275">
    <cfRule type="cellIs" dxfId="42" priority="49" stopIfTrue="1" operator="equal">
      <formula>A274</formula>
    </cfRule>
  </conditionalFormatting>
  <conditionalFormatting sqref="A276">
    <cfRule type="cellIs" dxfId="41" priority="48" stopIfTrue="1" operator="equal">
      <formula>A275</formula>
    </cfRule>
  </conditionalFormatting>
  <conditionalFormatting sqref="A339">
    <cfRule type="cellIs" dxfId="40" priority="2" stopIfTrue="1" operator="equal">
      <formula>A338</formula>
    </cfRule>
  </conditionalFormatting>
  <conditionalFormatting sqref="A286:C286">
    <cfRule type="cellIs" dxfId="39" priority="45" stopIfTrue="1" operator="equal">
      <formula>A285</formula>
    </cfRule>
    <cfRule type="cellIs" dxfId="38" priority="46" stopIfTrue="1" operator="equal">
      <formula>0</formula>
    </cfRule>
  </conditionalFormatting>
  <conditionalFormatting sqref="A287:C287">
    <cfRule type="cellIs" dxfId="37" priority="43" stopIfTrue="1" operator="equal">
      <formula>A286</formula>
    </cfRule>
    <cfRule type="cellIs" dxfId="36" priority="44" stopIfTrue="1" operator="equal">
      <formula>0</formula>
    </cfRule>
  </conditionalFormatting>
  <conditionalFormatting sqref="A288:C288">
    <cfRule type="cellIs" dxfId="35" priority="41" stopIfTrue="1" operator="equal">
      <formula>A287</formula>
    </cfRule>
    <cfRule type="cellIs" dxfId="34" priority="42" stopIfTrue="1" operator="equal">
      <formula>0</formula>
    </cfRule>
  </conditionalFormatting>
  <conditionalFormatting sqref="A289:C289">
    <cfRule type="cellIs" dxfId="33" priority="39" stopIfTrue="1" operator="equal">
      <formula>A288</formula>
    </cfRule>
    <cfRule type="cellIs" dxfId="32" priority="40" stopIfTrue="1" operator="equal">
      <formula>0</formula>
    </cfRule>
  </conditionalFormatting>
  <conditionalFormatting sqref="A290:C290">
    <cfRule type="cellIs" dxfId="31" priority="37" stopIfTrue="1" operator="equal">
      <formula>A289</formula>
    </cfRule>
    <cfRule type="cellIs" dxfId="30" priority="38" stopIfTrue="1" operator="equal">
      <formula>0</formula>
    </cfRule>
  </conditionalFormatting>
  <conditionalFormatting sqref="A291:C291">
    <cfRule type="cellIs" dxfId="29" priority="35" stopIfTrue="1" operator="equal">
      <formula>A290</formula>
    </cfRule>
    <cfRule type="cellIs" dxfId="28" priority="36" stopIfTrue="1" operator="equal">
      <formula>0</formula>
    </cfRule>
  </conditionalFormatting>
  <conditionalFormatting sqref="A292:C292">
    <cfRule type="cellIs" dxfId="27" priority="33" stopIfTrue="1" operator="equal">
      <formula>A291</formula>
    </cfRule>
    <cfRule type="cellIs" dxfId="26" priority="34" stopIfTrue="1" operator="equal">
      <formula>0</formula>
    </cfRule>
  </conditionalFormatting>
  <conditionalFormatting sqref="A293:C293">
    <cfRule type="cellIs" dxfId="25" priority="31" stopIfTrue="1" operator="equal">
      <formula>A292</formula>
    </cfRule>
    <cfRule type="cellIs" dxfId="24" priority="32" stopIfTrue="1" operator="equal">
      <formula>0</formula>
    </cfRule>
  </conditionalFormatting>
  <conditionalFormatting sqref="A294:C294">
    <cfRule type="cellIs" dxfId="23" priority="29" stopIfTrue="1" operator="equal">
      <formula>A293</formula>
    </cfRule>
    <cfRule type="cellIs" dxfId="22" priority="30" stopIfTrue="1" operator="equal">
      <formula>0</formula>
    </cfRule>
  </conditionalFormatting>
  <conditionalFormatting sqref="A295:C295">
    <cfRule type="cellIs" dxfId="21" priority="27" stopIfTrue="1" operator="equal">
      <formula>A294</formula>
    </cfRule>
    <cfRule type="cellIs" dxfId="20" priority="28" stopIfTrue="1" operator="equal">
      <formula>0</formula>
    </cfRule>
  </conditionalFormatting>
  <conditionalFormatting sqref="A303:C303">
    <cfRule type="cellIs" dxfId="19" priority="23" stopIfTrue="1" operator="equal">
      <formula>A302</formula>
    </cfRule>
    <cfRule type="cellIs" dxfId="18" priority="24" stopIfTrue="1" operator="equal">
      <formula>0</formula>
    </cfRule>
  </conditionalFormatting>
  <conditionalFormatting sqref="A304:C304">
    <cfRule type="cellIs" dxfId="17" priority="21" stopIfTrue="1" operator="equal">
      <formula>A303</formula>
    </cfRule>
    <cfRule type="cellIs" dxfId="16" priority="22" stopIfTrue="1" operator="equal">
      <formula>0</formula>
    </cfRule>
  </conditionalFormatting>
  <conditionalFormatting sqref="A305:C305">
    <cfRule type="cellIs" dxfId="15" priority="19" stopIfTrue="1" operator="equal">
      <formula>A304</formula>
    </cfRule>
    <cfRule type="cellIs" dxfId="14" priority="20" stopIfTrue="1" operator="equal">
      <formula>0</formula>
    </cfRule>
  </conditionalFormatting>
  <conditionalFormatting sqref="A306:C306">
    <cfRule type="cellIs" dxfId="13" priority="17" stopIfTrue="1" operator="equal">
      <formula>A305</formula>
    </cfRule>
    <cfRule type="cellIs" dxfId="12" priority="18" stopIfTrue="1" operator="equal">
      <formula>0</formula>
    </cfRule>
  </conditionalFormatting>
  <conditionalFormatting sqref="A307:C307">
    <cfRule type="cellIs" dxfId="11" priority="15" stopIfTrue="1" operator="equal">
      <formula>A306</formula>
    </cfRule>
    <cfRule type="cellIs" dxfId="10" priority="16" stopIfTrue="1" operator="equal">
      <formula>0</formula>
    </cfRule>
  </conditionalFormatting>
  <conditionalFormatting sqref="A308:C308">
    <cfRule type="cellIs" dxfId="9" priority="13" stopIfTrue="1" operator="equal">
      <formula>A307</formula>
    </cfRule>
    <cfRule type="cellIs" dxfId="8" priority="14" stopIfTrue="1" operator="equal">
      <formula>0</formula>
    </cfRule>
  </conditionalFormatting>
  <conditionalFormatting sqref="A309:C309">
    <cfRule type="cellIs" dxfId="7" priority="11" stopIfTrue="1" operator="equal">
      <formula>A308</formula>
    </cfRule>
    <cfRule type="cellIs" dxfId="6" priority="12" stopIfTrue="1" operator="equal">
      <formula>0</formula>
    </cfRule>
  </conditionalFormatting>
  <conditionalFormatting sqref="A310:C310">
    <cfRule type="cellIs" dxfId="5" priority="9" stopIfTrue="1" operator="equal">
      <formula>A309</formula>
    </cfRule>
    <cfRule type="cellIs" dxfId="4" priority="10" stopIfTrue="1" operator="equal">
      <formula>0</formula>
    </cfRule>
  </conditionalFormatting>
  <conditionalFormatting sqref="A311:C311">
    <cfRule type="cellIs" dxfId="3" priority="7" stopIfTrue="1" operator="equal">
      <formula>A310</formula>
    </cfRule>
    <cfRule type="cellIs" dxfId="2" priority="8" stopIfTrue="1" operator="equal">
      <formula>0</formula>
    </cfRule>
  </conditionalFormatting>
  <conditionalFormatting sqref="A312:C312">
    <cfRule type="cellIs" dxfId="1" priority="5" stopIfTrue="1" operator="equal">
      <formula>A311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КПК0110150</vt:lpstr>
      <vt:lpstr>'Додаток2 КПК0110150'!Область_печати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2024-11-11T11:01:23Z</dcterms:modified>
</cp:coreProperties>
</file>