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defaultThemeVersion="166925"/>
  <mc:AlternateContent xmlns:mc="http://schemas.openxmlformats.org/markup-compatibility/2006">
    <mc:Choice Requires="x15">
      <x15ac:absPath xmlns:x15ac="http://schemas.microsoft.com/office/spreadsheetml/2010/11/ac" url="D:\с рабочего стола\Мої документи\Бюджетні запити\на 2025 рік\"/>
    </mc:Choice>
  </mc:AlternateContent>
  <xr:revisionPtr revIDLastSave="0" documentId="13_ncr:1_{F21C2AFE-AC3C-4882-BA71-4929906F64B2}" xr6:coauthVersionLast="46" xr6:coauthVersionMax="46" xr10:uidLastSave="{00000000-0000-0000-0000-000000000000}"/>
  <bookViews>
    <workbookView xWindow="-120" yWindow="-120" windowWidth="29040" windowHeight="15840" tabRatio="522" xr2:uid="{00000000-000D-0000-FFFF-FFFF00000000}"/>
  </bookViews>
  <sheets>
    <sheet name="Додаток2 КПК0111021" sheetId="6" r:id="rId1"/>
  </sheets>
  <definedNames>
    <definedName name="_xlnm.Print_Area" localSheetId="0">'Додаток2 КПК0111021'!$A$1:$BY$383</definedName>
  </definedNames>
  <calcPr calcId="191029"/>
</workbook>
</file>

<file path=xl/calcChain.xml><?xml version="1.0" encoding="utf-8"?>
<calcChain xmlns="http://schemas.openxmlformats.org/spreadsheetml/2006/main">
  <c r="BH354" i="6" l="1"/>
  <c r="AT354" i="6"/>
  <c r="AJ354" i="6"/>
  <c r="BH353" i="6"/>
  <c r="AT353" i="6"/>
  <c r="AJ353" i="6"/>
  <c r="BH352" i="6"/>
  <c r="AT352" i="6"/>
  <c r="AJ352" i="6"/>
  <c r="BH351" i="6"/>
  <c r="AT351" i="6"/>
  <c r="AJ351" i="6"/>
  <c r="BH350" i="6"/>
  <c r="AT350" i="6"/>
  <c r="AJ350" i="6"/>
  <c r="BH349" i="6"/>
  <c r="AT349" i="6"/>
  <c r="AJ349" i="6"/>
  <c r="BH348" i="6"/>
  <c r="AT348" i="6"/>
  <c r="AJ348" i="6"/>
  <c r="BH347" i="6"/>
  <c r="AT347" i="6"/>
  <c r="AJ347" i="6"/>
  <c r="BH346" i="6"/>
  <c r="AT346" i="6"/>
  <c r="AJ346" i="6"/>
  <c r="BH345" i="6"/>
  <c r="AT345" i="6"/>
  <c r="AJ345" i="6"/>
  <c r="BH344" i="6"/>
  <c r="AT344" i="6"/>
  <c r="AJ344" i="6"/>
  <c r="BH343" i="6"/>
  <c r="AT343" i="6"/>
  <c r="AJ343" i="6"/>
  <c r="BG334" i="6"/>
  <c r="AQ334" i="6"/>
  <c r="BG333" i="6"/>
  <c r="AQ333" i="6"/>
  <c r="BG332" i="6"/>
  <c r="AQ332" i="6"/>
  <c r="BG331" i="6"/>
  <c r="AQ331" i="6"/>
  <c r="BG330" i="6"/>
  <c r="AQ330" i="6"/>
  <c r="BG329" i="6"/>
  <c r="AQ329" i="6"/>
  <c r="BG328" i="6"/>
  <c r="AQ328" i="6"/>
  <c r="BG327" i="6"/>
  <c r="AQ327" i="6"/>
  <c r="BG326" i="6"/>
  <c r="AQ326" i="6"/>
  <c r="BG325" i="6"/>
  <c r="AQ325" i="6"/>
  <c r="BG324" i="6"/>
  <c r="AQ324" i="6"/>
  <c r="AZ304" i="6"/>
  <c r="AK304" i="6"/>
  <c r="BO296" i="6"/>
  <c r="AZ296" i="6"/>
  <c r="AK296" i="6"/>
  <c r="BD222" i="6"/>
  <c r="AJ222" i="6"/>
  <c r="BD221" i="6"/>
  <c r="AJ221" i="6"/>
  <c r="BD220" i="6"/>
  <c r="AJ220" i="6"/>
  <c r="BD219" i="6"/>
  <c r="AJ219" i="6"/>
  <c r="BD218" i="6"/>
  <c r="AJ218" i="6"/>
  <c r="BD217" i="6"/>
  <c r="AJ217" i="6"/>
  <c r="BD216" i="6"/>
  <c r="AJ216" i="6"/>
  <c r="BD215" i="6"/>
  <c r="AJ215" i="6"/>
  <c r="BD214" i="6"/>
  <c r="AJ214" i="6"/>
  <c r="BD213" i="6"/>
  <c r="AJ213" i="6"/>
  <c r="BD212" i="6"/>
  <c r="AJ212" i="6"/>
  <c r="BD211" i="6"/>
  <c r="AJ211" i="6"/>
  <c r="BD210" i="6"/>
  <c r="AJ210" i="6"/>
  <c r="BD209" i="6"/>
  <c r="AJ209" i="6"/>
  <c r="BD208" i="6"/>
  <c r="AJ208" i="6"/>
  <c r="BD207" i="6"/>
  <c r="AJ207" i="6"/>
  <c r="BD206" i="6"/>
  <c r="AJ206" i="6"/>
  <c r="BD205" i="6"/>
  <c r="AJ205" i="6"/>
  <c r="BD204" i="6"/>
  <c r="AJ204" i="6"/>
  <c r="BD203" i="6"/>
  <c r="AJ203" i="6"/>
  <c r="BD202" i="6"/>
  <c r="AJ202" i="6"/>
  <c r="BD201" i="6"/>
  <c r="AJ201" i="6"/>
  <c r="BD200" i="6"/>
  <c r="AJ200" i="6"/>
  <c r="BD199" i="6"/>
  <c r="AJ199" i="6"/>
  <c r="BD198" i="6"/>
  <c r="AJ198" i="6"/>
  <c r="BD197" i="6"/>
  <c r="AJ197" i="6"/>
  <c r="BD196" i="6"/>
  <c r="AJ196" i="6"/>
  <c r="BD195" i="6"/>
  <c r="AJ195" i="6"/>
  <c r="BD194" i="6"/>
  <c r="AJ194" i="6"/>
  <c r="BD193" i="6"/>
  <c r="AJ193" i="6"/>
  <c r="BD192" i="6"/>
  <c r="AJ192" i="6"/>
  <c r="BD191" i="6"/>
  <c r="AJ191" i="6"/>
  <c r="BD190" i="6"/>
  <c r="AJ190" i="6"/>
  <c r="BD189" i="6"/>
  <c r="AJ189" i="6"/>
  <c r="BD188" i="6"/>
  <c r="AJ188" i="6"/>
  <c r="BD187" i="6"/>
  <c r="AJ187" i="6"/>
  <c r="BD186" i="6"/>
  <c r="AJ186" i="6"/>
  <c r="BD185" i="6"/>
  <c r="AJ185" i="6"/>
  <c r="BD184" i="6"/>
  <c r="AJ184" i="6"/>
  <c r="BD183" i="6"/>
  <c r="AJ183" i="6"/>
  <c r="BD182" i="6"/>
  <c r="AJ182" i="6"/>
  <c r="BD181" i="6"/>
  <c r="AJ181" i="6"/>
  <c r="BD180" i="6"/>
  <c r="AJ180" i="6"/>
  <c r="BD179" i="6"/>
  <c r="AJ179" i="6"/>
  <c r="BD178" i="6"/>
  <c r="AJ178" i="6"/>
  <c r="BD177" i="6"/>
  <c r="AJ177" i="6"/>
  <c r="BD176" i="6"/>
  <c r="AJ176" i="6"/>
  <c r="BD175" i="6"/>
  <c r="AJ175" i="6"/>
  <c r="BD174" i="6"/>
  <c r="AJ174" i="6"/>
  <c r="BD173" i="6"/>
  <c r="AJ173" i="6"/>
  <c r="BU165" i="6"/>
  <c r="BB165" i="6"/>
  <c r="AI165" i="6"/>
  <c r="BU164" i="6"/>
  <c r="BB164" i="6"/>
  <c r="AI164" i="6"/>
  <c r="BU163" i="6"/>
  <c r="BB163" i="6"/>
  <c r="AI163" i="6"/>
  <c r="BU162" i="6"/>
  <c r="BB162" i="6"/>
  <c r="AI162" i="6"/>
  <c r="BU161" i="6"/>
  <c r="BB161" i="6"/>
  <c r="AI161" i="6"/>
  <c r="BU160" i="6"/>
  <c r="BB160" i="6"/>
  <c r="AI160" i="6"/>
  <c r="BU159" i="6"/>
  <c r="BB159" i="6"/>
  <c r="AI159" i="6"/>
  <c r="BU158" i="6"/>
  <c r="BB158" i="6"/>
  <c r="AI158" i="6"/>
  <c r="BU157" i="6"/>
  <c r="BB157" i="6"/>
  <c r="AI157" i="6"/>
  <c r="BU156" i="6"/>
  <c r="BB156" i="6"/>
  <c r="AI156" i="6"/>
  <c r="BU155" i="6"/>
  <c r="BB155" i="6"/>
  <c r="AI155" i="6"/>
  <c r="BU154" i="6"/>
  <c r="BB154" i="6"/>
  <c r="AI154" i="6"/>
  <c r="BU153" i="6"/>
  <c r="BB153" i="6"/>
  <c r="AI153" i="6"/>
  <c r="BU152" i="6"/>
  <c r="BB152" i="6"/>
  <c r="AI152" i="6"/>
  <c r="BU151" i="6"/>
  <c r="BB151" i="6"/>
  <c r="AI151" i="6"/>
  <c r="BU150" i="6"/>
  <c r="BB150" i="6"/>
  <c r="AI150" i="6"/>
  <c r="BU149" i="6"/>
  <c r="BB149" i="6"/>
  <c r="AI149" i="6"/>
  <c r="BU148" i="6"/>
  <c r="BB148" i="6"/>
  <c r="AI148" i="6"/>
  <c r="BU147" i="6"/>
  <c r="BB147" i="6"/>
  <c r="AI147" i="6"/>
  <c r="BU146" i="6"/>
  <c r="BB146" i="6"/>
  <c r="AI146" i="6"/>
  <c r="BU145" i="6"/>
  <c r="BB145" i="6"/>
  <c r="AI145" i="6"/>
  <c r="BU144" i="6"/>
  <c r="BB144" i="6"/>
  <c r="AI144" i="6"/>
  <c r="BU143" i="6"/>
  <c r="BB143" i="6"/>
  <c r="AI143" i="6"/>
  <c r="BU142" i="6"/>
  <c r="BB142" i="6"/>
  <c r="AI142" i="6"/>
  <c r="BU141" i="6"/>
  <c r="BB141" i="6"/>
  <c r="AI141" i="6"/>
  <c r="BU140" i="6"/>
  <c r="BB140" i="6"/>
  <c r="AI140" i="6"/>
  <c r="BU139" i="6"/>
  <c r="BB139" i="6"/>
  <c r="AI139" i="6"/>
  <c r="BU138" i="6"/>
  <c r="BB138" i="6"/>
  <c r="AI138" i="6"/>
  <c r="BU137" i="6"/>
  <c r="BB137" i="6"/>
  <c r="AI137" i="6"/>
  <c r="BU136" i="6"/>
  <c r="BB136" i="6"/>
  <c r="AI136" i="6"/>
  <c r="BU135" i="6"/>
  <c r="BB135" i="6"/>
  <c r="AI135" i="6"/>
  <c r="BU134" i="6"/>
  <c r="BB134" i="6"/>
  <c r="AI134" i="6"/>
  <c r="BU133" i="6"/>
  <c r="BB133" i="6"/>
  <c r="AI133" i="6"/>
  <c r="BU132" i="6"/>
  <c r="BB132" i="6"/>
  <c r="AI132" i="6"/>
  <c r="BU131" i="6"/>
  <c r="BB131" i="6"/>
  <c r="AI131" i="6"/>
  <c r="BU130" i="6"/>
  <c r="BB130" i="6"/>
  <c r="AI130" i="6"/>
  <c r="BU129" i="6"/>
  <c r="BB129" i="6"/>
  <c r="AI129" i="6"/>
  <c r="BU128" i="6"/>
  <c r="BB128" i="6"/>
  <c r="AI128" i="6"/>
  <c r="BU127" i="6"/>
  <c r="BB127" i="6"/>
  <c r="AI127" i="6"/>
  <c r="BU126" i="6"/>
  <c r="BB126" i="6"/>
  <c r="AI126" i="6"/>
  <c r="BU125" i="6"/>
  <c r="BB125" i="6"/>
  <c r="AI125" i="6"/>
  <c r="BU124" i="6"/>
  <c r="BB124" i="6"/>
  <c r="AI124" i="6"/>
  <c r="BU123" i="6"/>
  <c r="BB123" i="6"/>
  <c r="AI123" i="6"/>
  <c r="BU122" i="6"/>
  <c r="BB122" i="6"/>
  <c r="AI122" i="6"/>
  <c r="BU121" i="6"/>
  <c r="BB121" i="6"/>
  <c r="AI121" i="6"/>
  <c r="BU120" i="6"/>
  <c r="BB120" i="6"/>
  <c r="AI120" i="6"/>
  <c r="BU119" i="6"/>
  <c r="BB119" i="6"/>
  <c r="AI119" i="6"/>
  <c r="BU118" i="6"/>
  <c r="BB118" i="6"/>
  <c r="AI118" i="6"/>
  <c r="BU117" i="6"/>
  <c r="BB117" i="6"/>
  <c r="AI117" i="6"/>
  <c r="BU116" i="6"/>
  <c r="BB116" i="6"/>
  <c r="AI116" i="6"/>
  <c r="BG107" i="6"/>
  <c r="AM107" i="6"/>
  <c r="BG99" i="6"/>
  <c r="AM99" i="6"/>
  <c r="BG98" i="6"/>
  <c r="AM98" i="6"/>
  <c r="BG97" i="6"/>
  <c r="AM97" i="6"/>
  <c r="BG96" i="6"/>
  <c r="AM96" i="6"/>
  <c r="BG95" i="6"/>
  <c r="AM95" i="6"/>
  <c r="BG94" i="6"/>
  <c r="AM94" i="6"/>
  <c r="BG93" i="6"/>
  <c r="AM93" i="6"/>
  <c r="BG92" i="6"/>
  <c r="AM92" i="6"/>
  <c r="BG91" i="6"/>
  <c r="AM91" i="6"/>
  <c r="BG90" i="6"/>
  <c r="AM90" i="6"/>
  <c r="BG89" i="6"/>
  <c r="AM89" i="6"/>
  <c r="BG88" i="6"/>
  <c r="AM88" i="6"/>
  <c r="BG87" i="6"/>
  <c r="AM87" i="6"/>
  <c r="BG86" i="6"/>
  <c r="AM86" i="6"/>
  <c r="BU78" i="6"/>
  <c r="BB78" i="6"/>
  <c r="AI78" i="6"/>
  <c r="BU70" i="6"/>
  <c r="BB70" i="6"/>
  <c r="AI70" i="6"/>
  <c r="BU69" i="6"/>
  <c r="BB69" i="6"/>
  <c r="AI69" i="6"/>
  <c r="BU68" i="6"/>
  <c r="BB68" i="6"/>
  <c r="AI68" i="6"/>
  <c r="BU67" i="6"/>
  <c r="BB67" i="6"/>
  <c r="AI67" i="6"/>
  <c r="BU66" i="6"/>
  <c r="BB66" i="6"/>
  <c r="AI66" i="6"/>
  <c r="BU65" i="6"/>
  <c r="BB65" i="6"/>
  <c r="AI65" i="6"/>
  <c r="BU64" i="6"/>
  <c r="BB64" i="6"/>
  <c r="AI64" i="6"/>
  <c r="BU63" i="6"/>
  <c r="BB63" i="6"/>
  <c r="AI63" i="6"/>
  <c r="BU62" i="6"/>
  <c r="BB62" i="6"/>
  <c r="AI62" i="6"/>
  <c r="BU61" i="6"/>
  <c r="BB61" i="6"/>
  <c r="AI61" i="6"/>
  <c r="BU60" i="6"/>
  <c r="BB60" i="6"/>
  <c r="AI60" i="6"/>
  <c r="BU59" i="6"/>
  <c r="BB59" i="6"/>
  <c r="AI59" i="6"/>
  <c r="BU58" i="6"/>
  <c r="BB58" i="6"/>
  <c r="AI58" i="6"/>
  <c r="BU57" i="6"/>
  <c r="BB57" i="6"/>
  <c r="AI57" i="6"/>
  <c r="BG48" i="6"/>
  <c r="AM48" i="6"/>
  <c r="BG47" i="6"/>
  <c r="AM47" i="6"/>
  <c r="BG46" i="6"/>
  <c r="AM46" i="6"/>
  <c r="BG45" i="6"/>
  <c r="AM45" i="6"/>
  <c r="BG44" i="6"/>
  <c r="AM44" i="6"/>
  <c r="BG43" i="6"/>
  <c r="AM43" i="6"/>
  <c r="BU35" i="6"/>
  <c r="BB35" i="6"/>
  <c r="AI35" i="6"/>
  <c r="BU34" i="6"/>
  <c r="BB34" i="6"/>
  <c r="AI34" i="6"/>
  <c r="BU33" i="6"/>
  <c r="BB33" i="6"/>
  <c r="AI33" i="6"/>
  <c r="BU32" i="6"/>
  <c r="BB32" i="6"/>
  <c r="AI32" i="6"/>
  <c r="BU31" i="6"/>
  <c r="BB31" i="6"/>
  <c r="AI31" i="6"/>
  <c r="BU30" i="6"/>
  <c r="BB30" i="6"/>
  <c r="AI30" i="6"/>
</calcChain>
</file>

<file path=xl/sharedStrings.xml><?xml version="1.0" encoding="utf-8"?>
<sst xmlns="http://schemas.openxmlformats.org/spreadsheetml/2006/main" count="891" uniqueCount="327">
  <si>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</si>
  <si>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</si>
  <si>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</si>
  <si>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</si>
  <si>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</si>
  <si>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</si>
  <si>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</si>
  <si>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</si>
  <si>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</si>
  <si>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</si>
  <si>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</si>
  <si>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</si>
  <si>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</si>
  <si>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</si>
  <si>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</si>
  <si>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</si>
  <si>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</si>
  <si>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</si>
  <si>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</si>
  <si>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</si>
  <si>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</si>
  <si>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</si>
  <si>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</si>
  <si>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</si>
  <si>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</si>
  <si>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</si>
  <si>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</si>
  <si>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</si>
  <si>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</si>
  <si>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</si>
  <si>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</si>
  <si>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</si>
  <si>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</si>
  <si>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</si>
  <si>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</si>
  <si>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</si>
  <si>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</si>
  <si>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</si>
  <si>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</si>
  <si>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</si>
  <si>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</si>
  <si>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</si>
  <si>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</si>
  <si>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</si>
  <si>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</si>
  <si>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</si>
  <si>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</si>
  <si>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</si>
  <si>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</si>
  <si>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</si>
  <si>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</si>
  <si>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</si>
  <si>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</si>
  <si>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</si>
  <si>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</si>
  <si>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</si>
  <si>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</si>
  <si>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</si>
  <si>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</si>
  <si>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</si>
  <si>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</si>
  <si>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</si>
  <si>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</si>
  <si>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</si>
  <si>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</si>
  <si>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</si>
  <si>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</si>
  <si>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</si>
  <si>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</si>
  <si>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</si>
  <si>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</si>
  <si>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</si>
  <si>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</si>
  <si>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</si>
  <si>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</si>
  <si>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</si>
  <si>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</si>
  <si>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</si>
  <si>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</si>
  <si>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</si>
  <si>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</si>
  <si>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</si>
  <si>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</si>
  <si>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</si>
  <si>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</si>
  <si>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</si>
  <si>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</si>
  <si>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</si>
  <si>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</si>
  <si>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</si>
  <si>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</si>
  <si>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</si>
  <si>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</si>
  <si>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</si>
  <si>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</si>
  <si>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</si>
  <si>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</si>
  <si>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</si>
  <si>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</si>
  <si>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</si>
  <si>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</si>
  <si>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</si>
  <si>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</si>
  <si>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</si>
  <si>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</si>
  <si>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</si>
  <si>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</si>
  <si>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</si>
  <si>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</si>
  <si>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</si>
  <si>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</si>
  <si>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</si>
  <si>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</si>
  <si>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</si>
  <si>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</si>
  <si>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</si>
  <si>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</si>
  <si>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</si>
  <si>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</si>
  <si>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</si>
  <si>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</si>
  <si>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</si>
  <si>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</si>
  <si>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</si>
  <si>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</si>
  <si>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</si>
  <si>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</si>
  <si>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</si>
  <si>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</si>
  <si>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</si>
  <si>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</si>
  <si>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</si>
  <si>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</si>
  <si>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</si>
  <si>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</si>
  <si>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</si>
  <si>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</si>
  <si>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</si>
  <si>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</si>
  <si>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</si>
  <si>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</si>
  <si>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</si>
  <si>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</si>
  <si>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</si>
  <si>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</si>
  <si>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</si>
  <si>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</si>
  <si>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</si>
  <si>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</si>
  <si>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</si>
  <si>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</si>
  <si>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</si>
  <si>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</si>
  <si>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</si>
  <si>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</si>
  <si>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</si>
  <si>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</si>
  <si>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</si>
  <si>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</si>
  <si>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</si>
  <si>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</si>
  <si>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</si>
  <si>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</si>
  <si>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</si>
  <si>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</si>
  <si>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</si>
  <si>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</si>
  <si>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</si>
  <si>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</si>
  <si>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</si>
  <si>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</si>
  <si>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</si>
  <si>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</si>
  <si>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</si>
  <si>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Власні надходження бюджетних установ (розписати за видами надходжень)</t>
  </si>
  <si>
    <t>Плата за оренду майна бюджетних установ, що здійснюється відповідно до Закону України `Про оренду державного та комунального майна`</t>
  </si>
  <si>
    <t>Інші надходження спеціального фонду (розписати за видами надходжень)</t>
  </si>
  <si>
    <t>Кошти, що передаються із загального фонду бюджету до бюджету розвитку (спеціального фонду)</t>
  </si>
  <si>
    <t>Заробітна плата</t>
  </si>
  <si>
    <t>Нарахування на оплату праці</t>
  </si>
  <si>
    <t>Предмети, матеріали, обладнання та інвентар</t>
  </si>
  <si>
    <t>Продукти харчування</t>
  </si>
  <si>
    <t>Оплата послуг (крім комунальних)</t>
  </si>
  <si>
    <t>Оплата водопостачання та водовідведення</t>
  </si>
  <si>
    <t>Оплата електроенергії</t>
  </si>
  <si>
    <t>Оплата природного газу</t>
  </si>
  <si>
    <t>Оплата інших енергоносіїв та інших комунальних послуг</t>
  </si>
  <si>
    <t>Окремі заходи по реалізації державних (регіональних) програм, не віднесені до заходів розвитку</t>
  </si>
  <si>
    <t>Інші поточні видатки</t>
  </si>
  <si>
    <t>Придбання обладнання і предметів довгострокового користування</t>
  </si>
  <si>
    <t>Капітальний ремонт інших об`єктів</t>
  </si>
  <si>
    <t>Капітальний ремонт Петропільського ліцею</t>
  </si>
  <si>
    <t>Навчання з питань охорони праці, цивільного захисту, теплогосподарства</t>
  </si>
  <si>
    <t>Оплата водопостачання</t>
  </si>
  <si>
    <t>Оплата еклектроенергії</t>
  </si>
  <si>
    <t>Оплата експлуатаційних послуг з прибирання прилеглих територій</t>
  </si>
  <si>
    <t>Оплата експлуатаційних послуг, пов"язаних з утриманням будинків і споруд</t>
  </si>
  <si>
    <t>Оплата за послгуи Інтернет-провайдерів за користування мережою Інтернет</t>
  </si>
  <si>
    <t>Оплата за природний газ</t>
  </si>
  <si>
    <t>Оплата інших енергоносіїв</t>
  </si>
  <si>
    <t>Оплата послуг адміністрування програмного забезпечення</t>
  </si>
  <si>
    <t>Оплата послуг з благоустрою території</t>
  </si>
  <si>
    <t>Оплата послуг з вивозу рідких побутових відходів</t>
  </si>
  <si>
    <t>Оплата послуг з встановлення джерел резервного живлення</t>
  </si>
  <si>
    <t>Оплата послуг з доставки підручників</t>
  </si>
  <si>
    <t>Оплата послуг з охорони</t>
  </si>
  <si>
    <t>Оплата послуг з перезарядки картриджів, тонерів</t>
  </si>
  <si>
    <t>Оплата послуг з повірки лічильників</t>
  </si>
  <si>
    <t>Оплата послуг з поточного ремонту та технічного обслуговування комп'ютерної техніки та оргтехніки</t>
  </si>
  <si>
    <t>Оплата послуг з промивки системи опалення</t>
  </si>
  <si>
    <t>Оплата послуг з технічного обслуговування котлів</t>
  </si>
  <si>
    <t>Оплата асенізаційних послуг</t>
  </si>
  <si>
    <t>Оплата послуг із перевірки протипожежного стану димових та вентиляційних каналів</t>
  </si>
  <si>
    <t>Оплата послуг медичних закладів (медичний огляд)</t>
  </si>
  <si>
    <t>Оплата послуг підвозу води</t>
  </si>
  <si>
    <t>Оплата ТО електроустановок</t>
  </si>
  <si>
    <t>Підтримка, матеріально-технічне забезпечення та розвиток функціональності інформаційно-обчислювальної системи ДКСУ (заходи з інформатизації)</t>
  </si>
  <si>
    <t>Придбання або передплата періодичних видань</t>
  </si>
  <si>
    <t>Придбання будівельних матеріалів, інвентарю та інструментів</t>
  </si>
  <si>
    <t>Придбання ел.плити, арочного металодетектору, водяного насосу</t>
  </si>
  <si>
    <t>Придбання канцелярських преметів</t>
  </si>
  <si>
    <t>Придбання пально-мастильних матеріалів</t>
  </si>
  <si>
    <t>Придбання питної води</t>
  </si>
  <si>
    <t>Сплата екологічного податку</t>
  </si>
  <si>
    <t>Оплата поточного ремонту котла котельної Миколай-Пільської філії Петропільського ліцею</t>
  </si>
  <si>
    <t>Оплата поточного ремонту димососа котельної Широківської гімназії</t>
  </si>
  <si>
    <t>Виготовлення технічної документації на земельні ділянки під будівлями та спорудами Петропільського ліцею</t>
  </si>
  <si>
    <t>Оплата послуг з благоустрою Петропільського ліцею</t>
  </si>
  <si>
    <t>Оплата послуг з благоустрою населених пунктів (поточний ремонт спортивного майданчика Петропільського ліцею)</t>
  </si>
  <si>
    <t>Оплата поточного ремонту об"єкту благоустрою - футбольного поля для гри в міні-футбол (Лукашівська гімназія "Мрія")</t>
  </si>
  <si>
    <t>Оплата кейтерингових послуг</t>
  </si>
  <si>
    <t>Оплата послуг з технічного обслуговування системи автоматичної пожежної сигналізації</t>
  </si>
  <si>
    <t>Оплата послуг з перезарядки вогнегасників</t>
  </si>
  <si>
    <t>Оплата послуг із страхування цивільно-правової відповідальності власників наземного транспорту</t>
  </si>
  <si>
    <t>Оплата послуг з проведення обов"язкового технічного контролю транспортного засобу</t>
  </si>
  <si>
    <t>Оплата аналітичних послуг (послуги з технічного аналізу чи консультаційні послуги), включаючи проведення технічної інвентаризації з виготовленням технічних паспортів та внесення даних технічної інвентаризації до Єдиної державної електронної системи у сфері будівництва</t>
  </si>
  <si>
    <t>Оплата послуг з ремонту та технічного обслуговування автобусів</t>
  </si>
  <si>
    <t>затрат</t>
  </si>
  <si>
    <t xml:space="preserve">formula=RC[-16]+RC[-8]                          </t>
  </si>
  <si>
    <t>Кількість закладів освіти</t>
  </si>
  <si>
    <t>од.</t>
  </si>
  <si>
    <t>мережа бюджетних установ</t>
  </si>
  <si>
    <t>Кількість персоналу</t>
  </si>
  <si>
    <t>штатний розпис</t>
  </si>
  <si>
    <t>продукту</t>
  </si>
  <si>
    <t>Кількість учнів дошкільної ланки</t>
  </si>
  <si>
    <t>осіб</t>
  </si>
  <si>
    <t>звітність</t>
  </si>
  <si>
    <t>Кількість учнів шкільної ланки</t>
  </si>
  <si>
    <t>ефективності</t>
  </si>
  <si>
    <t>Діто-дні відвідування (дошкільна ланка)</t>
  </si>
  <si>
    <t>днів</t>
  </si>
  <si>
    <t>розрахунковий показник</t>
  </si>
  <si>
    <t>діто-дні відвідування (шкільна ланка)</t>
  </si>
  <si>
    <t>якості</t>
  </si>
  <si>
    <t>Кількість днів відвідування (дошкільна ланка)</t>
  </si>
  <si>
    <t>рішення сесії</t>
  </si>
  <si>
    <t>Кількість днів відвідування (шкільна ланка)</t>
  </si>
  <si>
    <t>Обов’язкові виплати, у тому числі:</t>
  </si>
  <si>
    <t>посадовий оклад</t>
  </si>
  <si>
    <t>доплати</t>
  </si>
  <si>
    <t>надбавки</t>
  </si>
  <si>
    <t>Матеріальна допомога, у тому числі:</t>
  </si>
  <si>
    <t>на оздоровлення при наданні щорічної відпустки</t>
  </si>
  <si>
    <t>Інші виплати</t>
  </si>
  <si>
    <t>у тому числі оплата праці  штатних одиниць за загальним фондом, що враховані також у спеціальному фонді</t>
  </si>
  <si>
    <t>030 - Спеціалісти</t>
  </si>
  <si>
    <t>070 - Робітники</t>
  </si>
  <si>
    <t>130 - Педагогічні працівники</t>
  </si>
  <si>
    <t>УСЬОГО штатних одиниць</t>
  </si>
  <si>
    <t>з них штатні одиниці за загальним фондом, що враховані також у спеціальному фонді</t>
  </si>
  <si>
    <t>Забезпечення надання послуг з повної загальної середньої освіти в денних закладах загальної середньої освіти</t>
  </si>
  <si>
    <t>Забезпечення надання відповідних послуг денними закладами загальної середньої освіти</t>
  </si>
  <si>
    <t>Конституція України;_x000D_
 Бюджетний кодекс України;_x000D_
 Постанова Кабінету Міністрів України від 31.05.2021 № 548 "Про схвалення Бюджетної декларації на 2022-2024 роки";_x000D_
 Наказ Міністерства фінансів України від 03.06.2021 № 365 "Про затвердження Методичних рекомендацій щодо здійснення підготовки пропозицій до прогнозу місцевого бюджету";_x000D_
 Наказ Міністерства фінансів Українивід 26.08.2014 № 836 "Про деякі питанння запровадження програмно-цільового методу складання та виконання місцевих бюджетів" (із змінами);_x000D_
 Наказ Міністерства фінансів України від 20.09.2017 № 793 "Про затвердження складових програмної класифікації видатків та кредитування місцевих бюджетів" (із змінами);_x000D_
 Наказ Міністерства освіти та науки України від10.07.2017 № 992 "Про затвердження типового переліку бюджетних програм та результативних показників їх виконання для місцевих бюджетів у галузі "Освіта" (із змінами);_x000D_
Закон України "Про місцеве самоврядування в Україні"</t>
  </si>
  <si>
    <t>Метою даної бюджетної програми є забезпечення рівного доступу кожного учня до якісної загальної середньої освіти враховуючи особистісне зростання кожної дитини з урахуванням її здібностей, індивідуальних психічних, фізичних особливостей на основі компетентісного підходу. _x000D_
_x000D_
Впродовж 2024 року проводяться  поточні ремонти приміщень закладів освіти, поточний ремонт каналізаційних мереж, благоустрій території._x000D_
_x000D_
З метою реалізації заходів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 Розрахунок видатків на 2025 рік забезпечить діяльність закладів загальної середньої освіти необхідними ресурсами та надасть можливість виконувати повноваження в повному обсязі.</t>
  </si>
  <si>
    <t>Відповідно до положень статті 48 Бюджетного кодексу України із змінами сільською радою реєструються бюджетні зобов’язання та здійснюються платежі тільки в межах бюджетних асигнувань, затверджених кошторисом на 2024 рік. Бюджетні зобов’язання реєструються в Управлінні Державної казначейської служби України у Запорізькому районі відповідно до вимог чинного бюджетного законодавства.</t>
  </si>
  <si>
    <t>(0)(1)</t>
  </si>
  <si>
    <t>Широкiвська сiльська рада Запорiзького району Запорiзької областi</t>
  </si>
  <si>
    <t>26013402</t>
  </si>
  <si>
    <t>0852300000</t>
  </si>
  <si>
    <t>(грн)</t>
  </si>
  <si>
    <t>2023 рік (звіт)</t>
  </si>
  <si>
    <t>1) кредиторська заборгованість місцевого бюджету у 2023 році:</t>
  </si>
  <si>
    <t>Дебіторська заборгованість на 01.01.2023</t>
  </si>
  <si>
    <t>2024 рік (затверджено)</t>
  </si>
  <si>
    <t>2024 рік (план)</t>
  </si>
  <si>
    <t>2024 рік</t>
  </si>
  <si>
    <t>3) дебіторська заборгованість у 2023 - 2024 роках:</t>
  </si>
  <si>
    <t>Дебіторська заборгованість на 01.01.2024</t>
  </si>
  <si>
    <t>4) аналіз управління бюджетними зобов'язаннями та пропозиції щодо упорядкування бюджетних зобов'язань у 2024 році.</t>
  </si>
  <si>
    <t>внаслідок використання коштів спеціального фонду бюджету у 2023 році, та очікувані результати у 2024 році.</t>
  </si>
  <si>
    <t>1) надходження для виконання бюджетної програми у 2023 - 2025 роках:</t>
  </si>
  <si>
    <t>2025 рік (проект)</t>
  </si>
  <si>
    <t>1) видатки за кодами Економічної класифікації видатків бюджету у 2023 - 2025 роках:</t>
  </si>
  <si>
    <t>2) надання кредитів за кодами Класифікації кредитування бюджету у 2023 - 2025 роках:</t>
  </si>
  <si>
    <t>1) витрати за напрямами використання бюджетних коштів у 2023 - 2025 роках:</t>
  </si>
  <si>
    <t>1) результативні показники бюджетної програми у 2023 - 2025 роках:</t>
  </si>
  <si>
    <t>2025 рік</t>
  </si>
  <si>
    <t>1) місцеві/регіональні програми, які виконуються в межах бюджетної програми у 2023 - 2025 роках:</t>
  </si>
  <si>
    <t>14. Бюджетні зобов’язання у 2023 - 2025 роках:</t>
  </si>
  <si>
    <t xml:space="preserve">2) кредиторська заборгованість місцевого бюджету у 2024 - 2025 роках: </t>
  </si>
  <si>
    <t>Очікувана дебіторська заборгованость  на 01.01.2025</t>
  </si>
  <si>
    <t>2026 рік (прогноз)</t>
  </si>
  <si>
    <t>2026 рік</t>
  </si>
  <si>
    <t>БЮДЖЕТНИЙ ЗАПИТ НА 2025-2027 РОКИ індивідуальний (Форма 2025-2)</t>
  </si>
  <si>
    <t>4. Мета та завдання бюджетної програми на 2025 - 2027 роки</t>
  </si>
  <si>
    <t>2) надходження для виконання бюджетної програми  у 2026 - 2027 роках:</t>
  </si>
  <si>
    <t>2027 рік (прогноз)</t>
  </si>
  <si>
    <t>3) видатки за кодами Економічної класифікації видатків бюджету у 2026 - 2027 роках:</t>
  </si>
  <si>
    <t>4) надання кредитів за кодами Класифікації кредитування бюджету у 2026 - 2027 роках:</t>
  </si>
  <si>
    <t>2) витрати за напрямами використання бюджетних коштів у 2026 - 2027 роках:</t>
  </si>
  <si>
    <t>2) результативні показники бюджетної програми у 2026 - 2027 роках:</t>
  </si>
  <si>
    <t xml:space="preserve">2027 рік </t>
  </si>
  <si>
    <t>2) місцеві/регіональні програми, які виконуються в межах бюджетної програми у 2026 - 2027 роках:</t>
  </si>
  <si>
    <t>12. Об’єкти, які виконуються в межах бюджетної програми за рахунок коштів бюджету розвитку у 2023 - 2027 роках:</t>
  </si>
  <si>
    <t>13. Аналіз результатів, досягнутих внаслідок використання коштів загального фонду бюджету у 2023 році, очікувані результати у 
2024 році, обґрунтування необхідності передбачення витрат кредитів на 2025 - 2027 роки</t>
  </si>
  <si>
    <t xml:space="preserve"> 15. Підстави та обґрунтування видатків спеціального фонду на 2025 рік та на 2026 - 2027 роки за рахунок надходжень до спеціального фонду, аналіз результатів, досягнутих </t>
  </si>
  <si>
    <t>(0)(1)(1)(1)(0)(2)(1)</t>
  </si>
  <si>
    <t>(1)(0)(2)(1)</t>
  </si>
  <si>
    <t>(0)(9)(2)(1)</t>
  </si>
  <si>
    <t>Надання загальної середньої освіти закладами загальної середньої освіти за рахунок коштів місцевого бюджету</t>
  </si>
  <si>
    <t>Широківська сільська рада Запорізького району Запорізької області</t>
  </si>
  <si>
    <t>(0)(1)(1)</t>
  </si>
  <si>
    <t>Сільський голова</t>
  </si>
  <si>
    <t>Денис КОРОТЕНКО</t>
  </si>
  <si>
    <t>Начальник відділу бухгалтерського обліку та звітності - головний бухгалтер</t>
  </si>
  <si>
    <t>Одарка СВІРІНА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</si>
</sst>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22">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4" fillId="0" borderId="0" xfId="0" applyFont="1" applyAlignment="1">
      <alignment vertical="center"/>
    </xf>
    <xf numFmtId="0" fontId="6" fillId="0" borderId="0" xfId="0" applyFont="1" applyAlignment="1">
      <alignment horizontal="center" vertical="top" wrapText="1"/>
    </xf>
    <xf numFmtId="0" fontId="9"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righ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6" fillId="0" borderId="0" xfId="0" applyFont="1" applyAlignment="1">
      <alignment horizontal="center" vertical="top"/>
    </xf>
    <xf numFmtId="0" fontId="13" fillId="0" borderId="0" xfId="0" applyFont="1"/>
    <xf numFmtId="0" fontId="10" fillId="0" borderId="0" xfId="0" applyFont="1" applyAlignment="1">
      <alignment horizontal="center" vertical="center"/>
    </xf>
    <xf numFmtId="0" fontId="5" fillId="0" borderId="0" xfId="0" applyFont="1" applyAlignment="1">
      <alignment horizontal="center" vertical="center" wrapText="1"/>
    </xf>
    <xf numFmtId="0" fontId="10"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left" vertical="center" wrapText="1"/>
    </xf>
    <xf numFmtId="0" fontId="3" fillId="0" borderId="0" xfId="0" applyFont="1" applyAlignment="1">
      <alignment horizontal="center" vertical="center" wrapText="1"/>
    </xf>
    <xf numFmtId="0" fontId="11" fillId="0" borderId="6" xfId="0" quotePrefix="1" applyFont="1" applyBorder="1" applyAlignment="1">
      <alignment horizontal="left" vertical="top" wrapText="1"/>
    </xf>
    <xf numFmtId="0" fontId="0" fillId="0" borderId="6" xfId="0" applyBorder="1" applyAlignment="1">
      <alignment horizontal="left" vertical="top" wrapText="1"/>
    </xf>
    <xf numFmtId="0" fontId="10" fillId="0" borderId="6" xfId="0" applyFont="1" applyBorder="1" applyAlignment="1">
      <alignment horizontal="center" vertical="center" wrapText="1"/>
    </xf>
    <xf numFmtId="0" fontId="10" fillId="0" borderId="6" xfId="0" quotePrefix="1" applyFont="1" applyBorder="1" applyAlignment="1">
      <alignment horizontal="center" vertical="center"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3" fillId="0" borderId="0" xfId="0" applyFont="1" applyAlignment="1">
      <alignment horizontal="left" vertical="center" wrapText="1"/>
    </xf>
    <xf numFmtId="0" fontId="2" fillId="0" borderId="0" xfId="0" quotePrefix="1" applyFont="1" applyAlignment="1">
      <alignment horizontal="left" vertical="top" wrapText="1"/>
    </xf>
    <xf numFmtId="0" fontId="0" fillId="0" borderId="0" xfId="0" applyAlignment="1">
      <alignment horizontal="left" vertical="top" wrapText="1"/>
    </xf>
    <xf numFmtId="0" fontId="7" fillId="0" borderId="0" xfId="0" applyFont="1" applyAlignment="1">
      <alignment horizontal="left"/>
    </xf>
    <xf numFmtId="0" fontId="10" fillId="0" borderId="6" xfId="0" quotePrefix="1" applyFont="1" applyBorder="1" applyAlignment="1">
      <alignment horizontal="left" vertical="top" wrapText="1"/>
    </xf>
    <xf numFmtId="0" fontId="6" fillId="0" borderId="7" xfId="0" applyFont="1" applyBorder="1" applyAlignment="1">
      <alignment horizontal="center" vertical="top" wrapText="1"/>
    </xf>
    <xf numFmtId="0" fontId="5"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2" fillId="0" borderId="0" xfId="0" applyFont="1" applyAlignment="1">
      <alignment horizontal="right"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5"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3" fontId="0" fillId="0" borderId="5" xfId="0" applyNumberFormat="1" applyBorder="1" applyAlignment="1">
      <alignment horizontal="center" vertical="center" wrapText="1"/>
    </xf>
    <xf numFmtId="3" fontId="0" fillId="0" borderId="1" xfId="0" applyNumberFormat="1" applyBorder="1" applyAlignment="1">
      <alignment horizontal="center" vertical="center" wrapText="1"/>
    </xf>
    <xf numFmtId="3" fontId="0" fillId="0" borderId="2" xfId="0" applyNumberFormat="1" applyBorder="1" applyAlignment="1">
      <alignment horizontal="center" vertical="center" wrapText="1"/>
    </xf>
    <xf numFmtId="3" fontId="0" fillId="0" borderId="3" xfId="0" applyNumberForma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6" xfId="0" applyFont="1" applyBorder="1" applyAlignment="1">
      <alignment horizontal="right" vertical="center" wrapText="1"/>
    </xf>
    <xf numFmtId="0" fontId="1" fillId="0" borderId="5" xfId="0" applyFont="1" applyBorder="1" applyAlignment="1">
      <alignment horizontal="center"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1" xfId="0" applyFont="1" applyBorder="1" applyAlignment="1">
      <alignment horizontal="center" vertical="center" wrapText="1"/>
    </xf>
    <xf numFmtId="164" fontId="4" fillId="0" borderId="5"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8" fillId="0" borderId="5" xfId="0"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3" fontId="4" fillId="0" borderId="5" xfId="0" applyNumberFormat="1" applyFont="1" applyBorder="1" applyAlignment="1">
      <alignment horizontal="center" vertical="center" wrapText="1"/>
    </xf>
    <xf numFmtId="0" fontId="0" fillId="0" borderId="5" xfId="0" applyBorder="1" applyAlignment="1">
      <alignment horizontal="center" vertical="center" wrapText="1"/>
    </xf>
    <xf numFmtId="0" fontId="4" fillId="0" borderId="5" xfId="0" applyFont="1" applyBorder="1" applyAlignment="1">
      <alignment horizontal="right" vertical="center" wrapText="1"/>
    </xf>
    <xf numFmtId="164" fontId="1"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0" fillId="0" borderId="5" xfId="0" applyBorder="1" applyAlignment="1">
      <alignment horizontal="right" vertical="center" wrapText="1"/>
    </xf>
    <xf numFmtId="0" fontId="2" fillId="0" borderId="1" xfId="0" applyFont="1" applyBorder="1" applyAlignment="1">
      <alignment horizontal="center" vertical="top" wrapText="1"/>
    </xf>
    <xf numFmtId="3" fontId="4" fillId="0" borderId="5" xfId="0" applyNumberFormat="1" applyFont="1" applyBorder="1" applyAlignment="1">
      <alignment horizontal="right" vertical="center" wrapText="1"/>
    </xf>
    <xf numFmtId="3" fontId="0" fillId="0" borderId="5" xfId="0" applyNumberFormat="1" applyBorder="1" applyAlignment="1">
      <alignment horizontal="right"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0" fontId="0" fillId="0" borderId="2" xfId="0" applyBorder="1"/>
    <xf numFmtId="0" fontId="0" fillId="0" borderId="3" xfId="0" applyBorder="1"/>
    <xf numFmtId="0" fontId="1" fillId="0" borderId="5" xfId="0" applyFont="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16" fillId="0" borderId="5" xfId="0" applyFont="1" applyBorder="1" applyAlignment="1">
      <alignment horizontal="left"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3" fillId="0" borderId="0" xfId="0" applyFont="1" applyAlignment="1">
      <alignment vertical="center" wrapText="1"/>
    </xf>
    <xf numFmtId="1" fontId="4" fillId="0" borderId="5" xfId="0" applyNumberFormat="1" applyFont="1" applyBorder="1" applyAlignment="1">
      <alignment horizontal="center" vertical="center" wrapText="1"/>
    </xf>
    <xf numFmtId="0" fontId="3" fillId="0" borderId="0" xfId="0" quotePrefix="1" applyFont="1" applyAlignment="1">
      <alignment horizontal="left" vertical="top" wrapText="1"/>
    </xf>
    <xf numFmtId="0" fontId="2" fillId="0" borderId="6" xfId="0" applyFont="1" applyBorder="1" applyAlignment="1">
      <alignment horizontal="center" vertical="center"/>
    </xf>
    <xf numFmtId="0" fontId="12" fillId="0" borderId="6" xfId="0" quotePrefix="1" applyFont="1" applyBorder="1" applyAlignment="1">
      <alignment horizontal="left" vertical="top" wrapText="1"/>
    </xf>
    <xf numFmtId="0" fontId="15" fillId="0" borderId="7" xfId="0" applyFont="1" applyBorder="1" applyAlignment="1">
      <alignment horizontal="center" vertical="center"/>
    </xf>
    <xf numFmtId="0" fontId="2" fillId="0" borderId="0" xfId="0" applyFont="1" applyAlignment="1">
      <alignment horizontal="left" vertical="center" wrapText="1"/>
    </xf>
    <xf numFmtId="0" fontId="1" fillId="0" borderId="6" xfId="0" applyFont="1" applyBorder="1" applyAlignment="1">
      <alignment horizontal="center" vertical="center"/>
    </xf>
    <xf numFmtId="0" fontId="14" fillId="0" borderId="6" xfId="0" quotePrefix="1" applyFont="1" applyBorder="1" applyAlignment="1">
      <alignment horizontal="left" vertical="top" wrapText="1"/>
    </xf>
    <xf numFmtId="0" fontId="0" fillId="0" borderId="5" xfId="0" applyBorder="1" applyAlignment="1">
      <alignment horizontal="left" vertical="center" wrapText="1"/>
    </xf>
    <xf numFmtId="0" fontId="3" fillId="0" borderId="1" xfId="0" applyFont="1" applyBorder="1" applyAlignment="1">
      <alignment horizontal="center" vertical="top" wrapText="1"/>
    </xf>
  </cellXfs>
  <cellStyles count="1">
    <cellStyle name="Обычный" xfId="0" builtinId="0"/>
  </cellStyles>
  <dxfs count="149">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384"/>
  <sheetViews>
    <sheetView tabSelected="1" topLeftCell="A353" zoomScaleNormal="100" workbookViewId="0">
      <selection activeCell="BL380" sqref="BL380"/>
    </sheetView>
  </sheetViews>
  <sheetFormatPr defaultRowHeight="12.75" x14ac:dyDescent="0.2"/>
  <cols>
    <col min="1" max="78" width="2.85546875" customWidth="1"/>
    <col min="79" max="79" width="4" hidden="1" customWidth="1"/>
  </cols>
  <sheetData>
    <row r="1" spans="1:79" ht="57.75" customHeight="1"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20" t="s">
        <v>115</v>
      </c>
      <c r="BO1" s="20"/>
      <c r="BP1" s="20"/>
      <c r="BQ1" s="20"/>
      <c r="BR1" s="20"/>
      <c r="BS1" s="20"/>
      <c r="BT1" s="20"/>
      <c r="BU1" s="20"/>
      <c r="BV1" s="20"/>
      <c r="BW1" s="20"/>
      <c r="BX1" s="20"/>
      <c r="BY1" s="20"/>
      <c r="BZ1" s="20"/>
    </row>
    <row r="2" spans="1:79" ht="14.25" customHeight="1" x14ac:dyDescent="0.2">
      <c r="A2" s="21" t="s">
        <v>304</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row>
    <row r="4" spans="1:79" ht="15" customHeight="1" x14ac:dyDescent="0.2">
      <c r="A4" s="10" t="s">
        <v>159</v>
      </c>
      <c r="B4" s="22" t="s">
        <v>277</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7"/>
      <c r="AH4" s="24" t="s">
        <v>276</v>
      </c>
      <c r="AI4" s="24"/>
      <c r="AJ4" s="24"/>
      <c r="AK4" s="24"/>
      <c r="AL4" s="24"/>
      <c r="AM4" s="24"/>
      <c r="AN4" s="24"/>
      <c r="AO4" s="24"/>
      <c r="AP4" s="24"/>
      <c r="AQ4" s="24"/>
      <c r="AR4" s="24"/>
      <c r="AS4" s="7"/>
      <c r="AT4" s="25" t="s">
        <v>278</v>
      </c>
      <c r="AU4" s="24"/>
      <c r="AV4" s="24"/>
      <c r="AW4" s="24"/>
      <c r="AX4" s="24"/>
      <c r="AY4" s="24"/>
      <c r="AZ4" s="24"/>
      <c r="BA4" s="24"/>
      <c r="BB4" s="14"/>
      <c r="BC4" s="7"/>
      <c r="BD4" s="7"/>
      <c r="BE4" s="11"/>
      <c r="BF4" s="11"/>
      <c r="BG4" s="11"/>
      <c r="BH4" s="11"/>
      <c r="BI4" s="11"/>
      <c r="BJ4" s="11"/>
      <c r="BK4" s="11"/>
      <c r="BL4" s="11"/>
    </row>
    <row r="5" spans="1:79" ht="24" customHeight="1" x14ac:dyDescent="0.2">
      <c r="A5" s="26" t="s">
        <v>0</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6"/>
      <c r="AH5" s="27" t="s">
        <v>160</v>
      </c>
      <c r="AI5" s="27"/>
      <c r="AJ5" s="27"/>
      <c r="AK5" s="27"/>
      <c r="AL5" s="27"/>
      <c r="AM5" s="27"/>
      <c r="AN5" s="27"/>
      <c r="AO5" s="27"/>
      <c r="AP5" s="27"/>
      <c r="AQ5" s="27"/>
      <c r="AR5" s="27"/>
      <c r="AS5" s="6"/>
      <c r="AT5" s="27" t="s">
        <v>157</v>
      </c>
      <c r="AU5" s="27"/>
      <c r="AV5" s="27"/>
      <c r="AW5" s="27"/>
      <c r="AX5" s="27"/>
      <c r="AY5" s="27"/>
      <c r="AZ5" s="27"/>
      <c r="BA5" s="27"/>
      <c r="BB5" s="12"/>
      <c r="BC5" s="6"/>
      <c r="BD5" s="6"/>
      <c r="BE5" s="12"/>
      <c r="BF5" s="12"/>
      <c r="BG5" s="12"/>
      <c r="BH5" s="12"/>
      <c r="BI5" s="12"/>
      <c r="BJ5" s="12"/>
      <c r="BK5" s="12"/>
      <c r="BL5" s="12"/>
    </row>
    <row r="6" spans="1:79" x14ac:dyDescent="0.2">
      <c r="BE6" s="13"/>
      <c r="BF6" s="13"/>
      <c r="BG6" s="13"/>
      <c r="BH6" s="13"/>
      <c r="BI6" s="13"/>
      <c r="BJ6" s="13"/>
      <c r="BK6" s="13"/>
      <c r="BL6" s="13"/>
    </row>
    <row r="7" spans="1:79" ht="15" customHeight="1" x14ac:dyDescent="0.2">
      <c r="A7" s="10" t="s">
        <v>161</v>
      </c>
      <c r="B7" s="22" t="s">
        <v>321</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7"/>
      <c r="AH7" s="24" t="s">
        <v>322</v>
      </c>
      <c r="AI7" s="24"/>
      <c r="AJ7" s="24"/>
      <c r="AK7" s="24"/>
      <c r="AL7" s="24"/>
      <c r="AM7" s="24"/>
      <c r="AN7" s="24"/>
      <c r="AO7" s="24"/>
      <c r="AP7" s="24"/>
      <c r="AQ7" s="24"/>
      <c r="AR7" s="24"/>
      <c r="AS7" s="24"/>
      <c r="AT7" s="24"/>
      <c r="AU7" s="24"/>
      <c r="AV7" s="24"/>
      <c r="AW7" s="24"/>
      <c r="AX7" s="24"/>
      <c r="AY7" s="24"/>
      <c r="AZ7" s="24"/>
      <c r="BA7" s="24"/>
      <c r="BB7" s="14"/>
      <c r="BC7" s="25" t="s">
        <v>278</v>
      </c>
      <c r="BD7" s="24"/>
      <c r="BE7" s="24"/>
      <c r="BF7" s="24"/>
      <c r="BG7" s="24"/>
      <c r="BH7" s="24"/>
      <c r="BI7" s="24"/>
      <c r="BJ7" s="24"/>
      <c r="BK7" s="14"/>
      <c r="BL7" s="11"/>
      <c r="BP7" s="14"/>
      <c r="BQ7" s="14"/>
      <c r="BR7" s="14"/>
      <c r="BS7" s="14"/>
      <c r="BT7" s="14"/>
      <c r="BU7" s="14"/>
      <c r="BV7" s="14"/>
      <c r="BW7" s="14"/>
    </row>
    <row r="8" spans="1:79" ht="24" customHeight="1" x14ac:dyDescent="0.2">
      <c r="A8" s="26" t="s">
        <v>155</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6"/>
      <c r="AH8" s="27" t="s">
        <v>162</v>
      </c>
      <c r="AI8" s="27"/>
      <c r="AJ8" s="27"/>
      <c r="AK8" s="27"/>
      <c r="AL8" s="27"/>
      <c r="AM8" s="27"/>
      <c r="AN8" s="27"/>
      <c r="AO8" s="27"/>
      <c r="AP8" s="27"/>
      <c r="AQ8" s="27"/>
      <c r="AR8" s="27"/>
      <c r="AS8" s="27"/>
      <c r="AT8" s="27"/>
      <c r="AU8" s="27"/>
      <c r="AV8" s="27"/>
      <c r="AW8" s="27"/>
      <c r="AX8" s="27"/>
      <c r="AY8" s="27"/>
      <c r="AZ8" s="27"/>
      <c r="BA8" s="27"/>
      <c r="BB8" s="12"/>
      <c r="BC8" s="27" t="s">
        <v>157</v>
      </c>
      <c r="BD8" s="27"/>
      <c r="BE8" s="27"/>
      <c r="BF8" s="27"/>
      <c r="BG8" s="27"/>
      <c r="BH8" s="27"/>
      <c r="BI8" s="27"/>
      <c r="BJ8" s="27"/>
      <c r="BK8" s="12"/>
      <c r="BL8" s="12"/>
      <c r="BP8" s="12"/>
      <c r="BQ8" s="12"/>
      <c r="BR8" s="12"/>
      <c r="BS8" s="12"/>
      <c r="BT8" s="12"/>
      <c r="BU8" s="12"/>
      <c r="BV8" s="12"/>
      <c r="BW8" s="12"/>
    </row>
    <row r="10" spans="1:79" ht="28.5" customHeight="1" x14ac:dyDescent="0.2">
      <c r="A10" s="10" t="s">
        <v>163</v>
      </c>
      <c r="B10" s="24" t="s">
        <v>317</v>
      </c>
      <c r="C10" s="24"/>
      <c r="D10" s="24"/>
      <c r="E10" s="24"/>
      <c r="F10" s="24"/>
      <c r="G10" s="24"/>
      <c r="H10" s="24"/>
      <c r="I10" s="24"/>
      <c r="J10" s="24"/>
      <c r="K10" s="24"/>
      <c r="L10" s="24"/>
      <c r="N10" s="24" t="s">
        <v>318</v>
      </c>
      <c r="O10" s="24"/>
      <c r="P10" s="24"/>
      <c r="Q10" s="24"/>
      <c r="R10" s="24"/>
      <c r="S10" s="24"/>
      <c r="T10" s="24"/>
      <c r="U10" s="24"/>
      <c r="V10" s="24"/>
      <c r="W10" s="24"/>
      <c r="X10" s="24"/>
      <c r="Y10" s="24"/>
      <c r="Z10" s="14"/>
      <c r="AA10" s="24" t="s">
        <v>319</v>
      </c>
      <c r="AB10" s="24"/>
      <c r="AC10" s="24"/>
      <c r="AD10" s="24"/>
      <c r="AE10" s="24"/>
      <c r="AF10" s="24"/>
      <c r="AG10" s="24"/>
      <c r="AH10" s="24"/>
      <c r="AI10" s="24"/>
      <c r="AJ10" s="14"/>
      <c r="AK10" s="32" t="s">
        <v>320</v>
      </c>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16"/>
      <c r="BL10" s="25" t="s">
        <v>279</v>
      </c>
      <c r="BM10" s="24"/>
      <c r="BN10" s="24"/>
      <c r="BO10" s="24"/>
      <c r="BP10" s="24"/>
      <c r="BQ10" s="24"/>
      <c r="BR10" s="24"/>
      <c r="BS10" s="24"/>
      <c r="BT10" s="14"/>
      <c r="BU10" s="14"/>
      <c r="BV10" s="14"/>
      <c r="BW10" s="14"/>
      <c r="BX10" s="14"/>
      <c r="BY10" s="14"/>
      <c r="BZ10" s="14"/>
      <c r="CA10" s="14"/>
    </row>
    <row r="11" spans="1:79" ht="25.5" customHeight="1" x14ac:dyDescent="0.2">
      <c r="B11" s="27" t="s">
        <v>164</v>
      </c>
      <c r="C11" s="27"/>
      <c r="D11" s="27"/>
      <c r="E11" s="27"/>
      <c r="F11" s="27"/>
      <c r="G11" s="27"/>
      <c r="H11" s="27"/>
      <c r="I11" s="27"/>
      <c r="J11" s="27"/>
      <c r="K11" s="27"/>
      <c r="L11" s="27"/>
      <c r="N11" s="27" t="s">
        <v>166</v>
      </c>
      <c r="O11" s="27"/>
      <c r="P11" s="27"/>
      <c r="Q11" s="27"/>
      <c r="R11" s="27"/>
      <c r="S11" s="27"/>
      <c r="T11" s="27"/>
      <c r="U11" s="27"/>
      <c r="V11" s="27"/>
      <c r="W11" s="27"/>
      <c r="X11" s="27"/>
      <c r="Y11" s="27"/>
      <c r="Z11" s="12"/>
      <c r="AA11" s="33" t="s">
        <v>167</v>
      </c>
      <c r="AB11" s="33"/>
      <c r="AC11" s="33"/>
      <c r="AD11" s="33"/>
      <c r="AE11" s="33"/>
      <c r="AF11" s="33"/>
      <c r="AG11" s="33"/>
      <c r="AH11" s="33"/>
      <c r="AI11" s="33"/>
      <c r="AJ11" s="12"/>
      <c r="AK11" s="34" t="s">
        <v>165</v>
      </c>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15"/>
      <c r="BL11" s="27" t="s">
        <v>158</v>
      </c>
      <c r="BM11" s="27"/>
      <c r="BN11" s="27"/>
      <c r="BO11" s="27"/>
      <c r="BP11" s="27"/>
      <c r="BQ11" s="27"/>
      <c r="BR11" s="27"/>
      <c r="BS11" s="27"/>
      <c r="BT11" s="12"/>
      <c r="BU11" s="12"/>
      <c r="BV11" s="12"/>
      <c r="BW11" s="12"/>
      <c r="BX11" s="12"/>
      <c r="BY11" s="12"/>
      <c r="BZ11" s="12"/>
      <c r="CA11" s="12"/>
    </row>
    <row r="13" spans="1:79" ht="14.25" customHeight="1" x14ac:dyDescent="0.2">
      <c r="A13" s="28" t="s">
        <v>305</v>
      </c>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row>
    <row r="14" spans="1:79" ht="14.25" customHeight="1" x14ac:dyDescent="0.2">
      <c r="A14" s="28" t="s">
        <v>148</v>
      </c>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row>
    <row r="15" spans="1:79" ht="15" customHeight="1" x14ac:dyDescent="0.2">
      <c r="A15" s="29" t="s">
        <v>271</v>
      </c>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31" t="s">
        <v>149</v>
      </c>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row>
    <row r="18" spans="1:79" ht="15" customHeight="1" x14ac:dyDescent="0.2">
      <c r="A18" s="29" t="s">
        <v>272</v>
      </c>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28" t="s">
        <v>150</v>
      </c>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row>
    <row r="21" spans="1:79" ht="120" customHeight="1" x14ac:dyDescent="0.2">
      <c r="A21" s="29" t="s">
        <v>273</v>
      </c>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28" t="s">
        <v>151</v>
      </c>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row>
    <row r="24" spans="1:79" ht="14.25" customHeight="1" x14ac:dyDescent="0.2">
      <c r="A24" s="28" t="s">
        <v>291</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row>
    <row r="25" spans="1:79" ht="15" customHeight="1" x14ac:dyDescent="0.2">
      <c r="A25" s="41" t="s">
        <v>280</v>
      </c>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row>
    <row r="26" spans="1:79" ht="23.1" customHeight="1" x14ac:dyDescent="0.2">
      <c r="A26" s="42" t="s">
        <v>2</v>
      </c>
      <c r="B26" s="43"/>
      <c r="C26" s="43"/>
      <c r="D26" s="44"/>
      <c r="E26" s="42" t="s">
        <v>19</v>
      </c>
      <c r="F26" s="43"/>
      <c r="G26" s="43"/>
      <c r="H26" s="43"/>
      <c r="I26" s="43"/>
      <c r="J26" s="43"/>
      <c r="K26" s="43"/>
      <c r="L26" s="43"/>
      <c r="M26" s="43"/>
      <c r="N26" s="43"/>
      <c r="O26" s="43"/>
      <c r="P26" s="43"/>
      <c r="Q26" s="43"/>
      <c r="R26" s="43"/>
      <c r="S26" s="43"/>
      <c r="T26" s="43"/>
      <c r="U26" s="48" t="s">
        <v>281</v>
      </c>
      <c r="V26" s="48"/>
      <c r="W26" s="48"/>
      <c r="X26" s="48"/>
      <c r="Y26" s="48"/>
      <c r="Z26" s="48"/>
      <c r="AA26" s="48"/>
      <c r="AB26" s="48"/>
      <c r="AC26" s="48"/>
      <c r="AD26" s="48"/>
      <c r="AE26" s="48"/>
      <c r="AF26" s="48"/>
      <c r="AG26" s="48"/>
      <c r="AH26" s="48"/>
      <c r="AI26" s="48"/>
      <c r="AJ26" s="48"/>
      <c r="AK26" s="48"/>
      <c r="AL26" s="48"/>
      <c r="AM26" s="48"/>
      <c r="AN26" s="48" t="s">
        <v>284</v>
      </c>
      <c r="AO26" s="48"/>
      <c r="AP26" s="48"/>
      <c r="AQ26" s="48"/>
      <c r="AR26" s="48"/>
      <c r="AS26" s="48"/>
      <c r="AT26" s="48"/>
      <c r="AU26" s="48"/>
      <c r="AV26" s="48"/>
      <c r="AW26" s="48"/>
      <c r="AX26" s="48"/>
      <c r="AY26" s="48"/>
      <c r="AZ26" s="48"/>
      <c r="BA26" s="48"/>
      <c r="BB26" s="48"/>
      <c r="BC26" s="48"/>
      <c r="BD26" s="48"/>
      <c r="BE26" s="48"/>
      <c r="BF26" s="48"/>
      <c r="BG26" s="48" t="s">
        <v>292</v>
      </c>
      <c r="BH26" s="48"/>
      <c r="BI26" s="48"/>
      <c r="BJ26" s="48"/>
      <c r="BK26" s="48"/>
      <c r="BL26" s="48"/>
      <c r="BM26" s="48"/>
      <c r="BN26" s="48"/>
      <c r="BO26" s="48"/>
      <c r="BP26" s="48"/>
      <c r="BQ26" s="48"/>
      <c r="BR26" s="48"/>
      <c r="BS26" s="48"/>
      <c r="BT26" s="48"/>
      <c r="BU26" s="48"/>
      <c r="BV26" s="48"/>
      <c r="BW26" s="48"/>
      <c r="BX26" s="48"/>
      <c r="BY26" s="48"/>
    </row>
    <row r="27" spans="1:79" ht="54.75" customHeight="1" x14ac:dyDescent="0.2">
      <c r="A27" s="45"/>
      <c r="B27" s="46"/>
      <c r="C27" s="46"/>
      <c r="D27" s="47"/>
      <c r="E27" s="45"/>
      <c r="F27" s="46"/>
      <c r="G27" s="46"/>
      <c r="H27" s="46"/>
      <c r="I27" s="46"/>
      <c r="J27" s="46"/>
      <c r="K27" s="46"/>
      <c r="L27" s="46"/>
      <c r="M27" s="46"/>
      <c r="N27" s="46"/>
      <c r="O27" s="46"/>
      <c r="P27" s="46"/>
      <c r="Q27" s="46"/>
      <c r="R27" s="46"/>
      <c r="S27" s="46"/>
      <c r="T27" s="46"/>
      <c r="U27" s="35" t="s">
        <v>4</v>
      </c>
      <c r="V27" s="36"/>
      <c r="W27" s="36"/>
      <c r="X27" s="36"/>
      <c r="Y27" s="37"/>
      <c r="Z27" s="35" t="s">
        <v>3</v>
      </c>
      <c r="AA27" s="36"/>
      <c r="AB27" s="36"/>
      <c r="AC27" s="36"/>
      <c r="AD27" s="37"/>
      <c r="AE27" s="38" t="s">
        <v>116</v>
      </c>
      <c r="AF27" s="39"/>
      <c r="AG27" s="39"/>
      <c r="AH27" s="40"/>
      <c r="AI27" s="35" t="s">
        <v>5</v>
      </c>
      <c r="AJ27" s="36"/>
      <c r="AK27" s="36"/>
      <c r="AL27" s="36"/>
      <c r="AM27" s="37"/>
      <c r="AN27" s="35" t="s">
        <v>4</v>
      </c>
      <c r="AO27" s="36"/>
      <c r="AP27" s="36"/>
      <c r="AQ27" s="36"/>
      <c r="AR27" s="37"/>
      <c r="AS27" s="35" t="s">
        <v>3</v>
      </c>
      <c r="AT27" s="36"/>
      <c r="AU27" s="36"/>
      <c r="AV27" s="36"/>
      <c r="AW27" s="37"/>
      <c r="AX27" s="38" t="s">
        <v>116</v>
      </c>
      <c r="AY27" s="39"/>
      <c r="AZ27" s="39"/>
      <c r="BA27" s="40"/>
      <c r="BB27" s="35" t="s">
        <v>96</v>
      </c>
      <c r="BC27" s="36"/>
      <c r="BD27" s="36"/>
      <c r="BE27" s="36"/>
      <c r="BF27" s="37"/>
      <c r="BG27" s="35" t="s">
        <v>4</v>
      </c>
      <c r="BH27" s="36"/>
      <c r="BI27" s="36"/>
      <c r="BJ27" s="36"/>
      <c r="BK27" s="37"/>
      <c r="BL27" s="35" t="s">
        <v>3</v>
      </c>
      <c r="BM27" s="36"/>
      <c r="BN27" s="36"/>
      <c r="BO27" s="36"/>
      <c r="BP27" s="37"/>
      <c r="BQ27" s="38" t="s">
        <v>116</v>
      </c>
      <c r="BR27" s="39"/>
      <c r="BS27" s="39"/>
      <c r="BT27" s="40"/>
      <c r="BU27" s="35" t="s">
        <v>97</v>
      </c>
      <c r="BV27" s="36"/>
      <c r="BW27" s="36"/>
      <c r="BX27" s="36"/>
      <c r="BY27" s="37"/>
    </row>
    <row r="28" spans="1:79" ht="15" customHeight="1" x14ac:dyDescent="0.2">
      <c r="A28" s="35">
        <v>1</v>
      </c>
      <c r="B28" s="36"/>
      <c r="C28" s="36"/>
      <c r="D28" s="37"/>
      <c r="E28" s="35">
        <v>2</v>
      </c>
      <c r="F28" s="36"/>
      <c r="G28" s="36"/>
      <c r="H28" s="36"/>
      <c r="I28" s="36"/>
      <c r="J28" s="36"/>
      <c r="K28" s="36"/>
      <c r="L28" s="36"/>
      <c r="M28" s="36"/>
      <c r="N28" s="36"/>
      <c r="O28" s="36"/>
      <c r="P28" s="36"/>
      <c r="Q28" s="36"/>
      <c r="R28" s="36"/>
      <c r="S28" s="36"/>
      <c r="T28" s="36"/>
      <c r="U28" s="35">
        <v>3</v>
      </c>
      <c r="V28" s="36"/>
      <c r="W28" s="36"/>
      <c r="X28" s="36"/>
      <c r="Y28" s="37"/>
      <c r="Z28" s="35">
        <v>4</v>
      </c>
      <c r="AA28" s="36"/>
      <c r="AB28" s="36"/>
      <c r="AC28" s="36"/>
      <c r="AD28" s="37"/>
      <c r="AE28" s="35">
        <v>5</v>
      </c>
      <c r="AF28" s="36"/>
      <c r="AG28" s="36"/>
      <c r="AH28" s="37"/>
      <c r="AI28" s="35">
        <v>6</v>
      </c>
      <c r="AJ28" s="36"/>
      <c r="AK28" s="36"/>
      <c r="AL28" s="36"/>
      <c r="AM28" s="37"/>
      <c r="AN28" s="35">
        <v>7</v>
      </c>
      <c r="AO28" s="36"/>
      <c r="AP28" s="36"/>
      <c r="AQ28" s="36"/>
      <c r="AR28" s="37"/>
      <c r="AS28" s="35">
        <v>8</v>
      </c>
      <c r="AT28" s="36"/>
      <c r="AU28" s="36"/>
      <c r="AV28" s="36"/>
      <c r="AW28" s="37"/>
      <c r="AX28" s="35">
        <v>9</v>
      </c>
      <c r="AY28" s="36"/>
      <c r="AZ28" s="36"/>
      <c r="BA28" s="37"/>
      <c r="BB28" s="35">
        <v>10</v>
      </c>
      <c r="BC28" s="36"/>
      <c r="BD28" s="36"/>
      <c r="BE28" s="36"/>
      <c r="BF28" s="37"/>
      <c r="BG28" s="35">
        <v>11</v>
      </c>
      <c r="BH28" s="36"/>
      <c r="BI28" s="36"/>
      <c r="BJ28" s="36"/>
      <c r="BK28" s="37"/>
      <c r="BL28" s="35">
        <v>12</v>
      </c>
      <c r="BM28" s="36"/>
      <c r="BN28" s="36"/>
      <c r="BO28" s="36"/>
      <c r="BP28" s="37"/>
      <c r="BQ28" s="35">
        <v>13</v>
      </c>
      <c r="BR28" s="36"/>
      <c r="BS28" s="36"/>
      <c r="BT28" s="37"/>
      <c r="BU28" s="35">
        <v>14</v>
      </c>
      <c r="BV28" s="36"/>
      <c r="BW28" s="36"/>
      <c r="BX28" s="36"/>
      <c r="BY28" s="37"/>
    </row>
    <row r="29" spans="1:79" ht="13.5" hidden="1" customHeight="1" x14ac:dyDescent="0.2">
      <c r="A29" s="62" t="s">
        <v>56</v>
      </c>
      <c r="B29" s="63"/>
      <c r="C29" s="63"/>
      <c r="D29" s="64"/>
      <c r="E29" s="62" t="s">
        <v>57</v>
      </c>
      <c r="F29" s="63"/>
      <c r="G29" s="63"/>
      <c r="H29" s="63"/>
      <c r="I29" s="63"/>
      <c r="J29" s="63"/>
      <c r="K29" s="63"/>
      <c r="L29" s="63"/>
      <c r="M29" s="63"/>
      <c r="N29" s="63"/>
      <c r="O29" s="63"/>
      <c r="P29" s="63"/>
      <c r="Q29" s="63"/>
      <c r="R29" s="63"/>
      <c r="S29" s="63"/>
      <c r="T29" s="63"/>
      <c r="U29" s="62" t="s">
        <v>65</v>
      </c>
      <c r="V29" s="63"/>
      <c r="W29" s="63"/>
      <c r="X29" s="63"/>
      <c r="Y29" s="64"/>
      <c r="Z29" s="62" t="s">
        <v>66</v>
      </c>
      <c r="AA29" s="63"/>
      <c r="AB29" s="63"/>
      <c r="AC29" s="63"/>
      <c r="AD29" s="64"/>
      <c r="AE29" s="62" t="s">
        <v>91</v>
      </c>
      <c r="AF29" s="63"/>
      <c r="AG29" s="63"/>
      <c r="AH29" s="64"/>
      <c r="AI29" s="49" t="s">
        <v>169</v>
      </c>
      <c r="AJ29" s="50"/>
      <c r="AK29" s="50"/>
      <c r="AL29" s="50"/>
      <c r="AM29" s="51"/>
      <c r="AN29" s="62" t="s">
        <v>67</v>
      </c>
      <c r="AO29" s="63"/>
      <c r="AP29" s="63"/>
      <c r="AQ29" s="63"/>
      <c r="AR29" s="64"/>
      <c r="AS29" s="62" t="s">
        <v>68</v>
      </c>
      <c r="AT29" s="63"/>
      <c r="AU29" s="63"/>
      <c r="AV29" s="63"/>
      <c r="AW29" s="64"/>
      <c r="AX29" s="62" t="s">
        <v>92</v>
      </c>
      <c r="AY29" s="63"/>
      <c r="AZ29" s="63"/>
      <c r="BA29" s="64"/>
      <c r="BB29" s="49" t="s">
        <v>169</v>
      </c>
      <c r="BC29" s="50"/>
      <c r="BD29" s="50"/>
      <c r="BE29" s="50"/>
      <c r="BF29" s="51"/>
      <c r="BG29" s="62" t="s">
        <v>58</v>
      </c>
      <c r="BH29" s="63"/>
      <c r="BI29" s="63"/>
      <c r="BJ29" s="63"/>
      <c r="BK29" s="64"/>
      <c r="BL29" s="62" t="s">
        <v>59</v>
      </c>
      <c r="BM29" s="63"/>
      <c r="BN29" s="63"/>
      <c r="BO29" s="63"/>
      <c r="BP29" s="64"/>
      <c r="BQ29" s="62" t="s">
        <v>93</v>
      </c>
      <c r="BR29" s="63"/>
      <c r="BS29" s="63"/>
      <c r="BT29" s="64"/>
      <c r="BU29" s="49" t="s">
        <v>169</v>
      </c>
      <c r="BV29" s="50"/>
      <c r="BW29" s="50"/>
      <c r="BX29" s="50"/>
      <c r="BY29" s="51"/>
      <c r="CA29" t="s">
        <v>21</v>
      </c>
    </row>
    <row r="30" spans="1:79" s="4" customFormat="1" ht="12.75" customHeight="1" x14ac:dyDescent="0.2">
      <c r="A30" s="52"/>
      <c r="B30" s="53"/>
      <c r="C30" s="53"/>
      <c r="D30" s="54"/>
      <c r="E30" s="55" t="s">
        <v>172</v>
      </c>
      <c r="F30" s="56"/>
      <c r="G30" s="56"/>
      <c r="H30" s="56"/>
      <c r="I30" s="56"/>
      <c r="J30" s="56"/>
      <c r="K30" s="56"/>
      <c r="L30" s="56"/>
      <c r="M30" s="56"/>
      <c r="N30" s="56"/>
      <c r="O30" s="56"/>
      <c r="P30" s="56"/>
      <c r="Q30" s="56"/>
      <c r="R30" s="56"/>
      <c r="S30" s="56"/>
      <c r="T30" s="57"/>
      <c r="U30" s="58">
        <v>16001835</v>
      </c>
      <c r="V30" s="58"/>
      <c r="W30" s="58"/>
      <c r="X30" s="58"/>
      <c r="Y30" s="58"/>
      <c r="Z30" s="58" t="s">
        <v>173</v>
      </c>
      <c r="AA30" s="58"/>
      <c r="AB30" s="58"/>
      <c r="AC30" s="58"/>
      <c r="AD30" s="58"/>
      <c r="AE30" s="59" t="s">
        <v>173</v>
      </c>
      <c r="AF30" s="60"/>
      <c r="AG30" s="60"/>
      <c r="AH30" s="61"/>
      <c r="AI30" s="59">
        <f t="shared" ref="AI30:AI35" si="0">IF(ISNUMBER(U30),U30,0)+IF(ISNUMBER(Z30),Z30,0)</f>
        <v>16001835</v>
      </c>
      <c r="AJ30" s="60"/>
      <c r="AK30" s="60"/>
      <c r="AL30" s="60"/>
      <c r="AM30" s="61"/>
      <c r="AN30" s="59">
        <v>20959368</v>
      </c>
      <c r="AO30" s="60"/>
      <c r="AP30" s="60"/>
      <c r="AQ30" s="60"/>
      <c r="AR30" s="61"/>
      <c r="AS30" s="59" t="s">
        <v>173</v>
      </c>
      <c r="AT30" s="60"/>
      <c r="AU30" s="60"/>
      <c r="AV30" s="60"/>
      <c r="AW30" s="61"/>
      <c r="AX30" s="59" t="s">
        <v>173</v>
      </c>
      <c r="AY30" s="60"/>
      <c r="AZ30" s="60"/>
      <c r="BA30" s="61"/>
      <c r="BB30" s="59">
        <f t="shared" ref="BB30:BB35" si="1">IF(ISNUMBER(AN30),AN30,0)+IF(ISNUMBER(AS30),AS30,0)</f>
        <v>20959368</v>
      </c>
      <c r="BC30" s="60"/>
      <c r="BD30" s="60"/>
      <c r="BE30" s="60"/>
      <c r="BF30" s="61"/>
      <c r="BG30" s="59">
        <v>21594065</v>
      </c>
      <c r="BH30" s="60"/>
      <c r="BI30" s="60"/>
      <c r="BJ30" s="60"/>
      <c r="BK30" s="61"/>
      <c r="BL30" s="59" t="s">
        <v>173</v>
      </c>
      <c r="BM30" s="60"/>
      <c r="BN30" s="60"/>
      <c r="BO30" s="60"/>
      <c r="BP30" s="61"/>
      <c r="BQ30" s="59" t="s">
        <v>173</v>
      </c>
      <c r="BR30" s="60"/>
      <c r="BS30" s="60"/>
      <c r="BT30" s="61"/>
      <c r="BU30" s="59">
        <f t="shared" ref="BU30:BU35" si="2">IF(ISNUMBER(BG30),BG30,0)+IF(ISNUMBER(BL30),BL30,0)</f>
        <v>21594065</v>
      </c>
      <c r="BV30" s="60"/>
      <c r="BW30" s="60"/>
      <c r="BX30" s="60"/>
      <c r="BY30" s="61"/>
      <c r="CA30" s="4" t="s">
        <v>22</v>
      </c>
    </row>
    <row r="31" spans="1:79" s="4" customFormat="1" ht="25.5" customHeight="1" x14ac:dyDescent="0.2">
      <c r="A31" s="52"/>
      <c r="B31" s="53"/>
      <c r="C31" s="53"/>
      <c r="D31" s="54"/>
      <c r="E31" s="55" t="s">
        <v>174</v>
      </c>
      <c r="F31" s="56"/>
      <c r="G31" s="56"/>
      <c r="H31" s="56"/>
      <c r="I31" s="56"/>
      <c r="J31" s="56"/>
      <c r="K31" s="56"/>
      <c r="L31" s="56"/>
      <c r="M31" s="56"/>
      <c r="N31" s="56"/>
      <c r="O31" s="56"/>
      <c r="P31" s="56"/>
      <c r="Q31" s="56"/>
      <c r="R31" s="56"/>
      <c r="S31" s="56"/>
      <c r="T31" s="57"/>
      <c r="U31" s="58" t="s">
        <v>173</v>
      </c>
      <c r="V31" s="58"/>
      <c r="W31" s="58"/>
      <c r="X31" s="58"/>
      <c r="Y31" s="58"/>
      <c r="Z31" s="58">
        <v>4993</v>
      </c>
      <c r="AA31" s="58"/>
      <c r="AB31" s="58"/>
      <c r="AC31" s="58"/>
      <c r="AD31" s="58"/>
      <c r="AE31" s="59">
        <v>0</v>
      </c>
      <c r="AF31" s="60"/>
      <c r="AG31" s="60"/>
      <c r="AH31" s="61"/>
      <c r="AI31" s="59">
        <f t="shared" si="0"/>
        <v>4993</v>
      </c>
      <c r="AJ31" s="60"/>
      <c r="AK31" s="60"/>
      <c r="AL31" s="60"/>
      <c r="AM31" s="61"/>
      <c r="AN31" s="59" t="s">
        <v>173</v>
      </c>
      <c r="AO31" s="60"/>
      <c r="AP31" s="60"/>
      <c r="AQ31" s="60"/>
      <c r="AR31" s="61"/>
      <c r="AS31" s="59">
        <v>0</v>
      </c>
      <c r="AT31" s="60"/>
      <c r="AU31" s="60"/>
      <c r="AV31" s="60"/>
      <c r="AW31" s="61"/>
      <c r="AX31" s="59">
        <v>0</v>
      </c>
      <c r="AY31" s="60"/>
      <c r="AZ31" s="60"/>
      <c r="BA31" s="61"/>
      <c r="BB31" s="59">
        <f t="shared" si="1"/>
        <v>0</v>
      </c>
      <c r="BC31" s="60"/>
      <c r="BD31" s="60"/>
      <c r="BE31" s="60"/>
      <c r="BF31" s="61"/>
      <c r="BG31" s="59" t="s">
        <v>173</v>
      </c>
      <c r="BH31" s="60"/>
      <c r="BI31" s="60"/>
      <c r="BJ31" s="60"/>
      <c r="BK31" s="61"/>
      <c r="BL31" s="59">
        <v>0</v>
      </c>
      <c r="BM31" s="60"/>
      <c r="BN31" s="60"/>
      <c r="BO31" s="60"/>
      <c r="BP31" s="61"/>
      <c r="BQ31" s="59">
        <v>0</v>
      </c>
      <c r="BR31" s="60"/>
      <c r="BS31" s="60"/>
      <c r="BT31" s="61"/>
      <c r="BU31" s="59">
        <f t="shared" si="2"/>
        <v>0</v>
      </c>
      <c r="BV31" s="60"/>
      <c r="BW31" s="60"/>
      <c r="BX31" s="60"/>
      <c r="BY31" s="61"/>
    </row>
    <row r="32" spans="1:79" s="4" customFormat="1" ht="38.25" customHeight="1" x14ac:dyDescent="0.2">
      <c r="A32" s="52">
        <v>25010300</v>
      </c>
      <c r="B32" s="53"/>
      <c r="C32" s="53"/>
      <c r="D32" s="54"/>
      <c r="E32" s="55" t="s">
        <v>175</v>
      </c>
      <c r="F32" s="56"/>
      <c r="G32" s="56"/>
      <c r="H32" s="56"/>
      <c r="I32" s="56"/>
      <c r="J32" s="56"/>
      <c r="K32" s="56"/>
      <c r="L32" s="56"/>
      <c r="M32" s="56"/>
      <c r="N32" s="56"/>
      <c r="O32" s="56"/>
      <c r="P32" s="56"/>
      <c r="Q32" s="56"/>
      <c r="R32" s="56"/>
      <c r="S32" s="56"/>
      <c r="T32" s="57"/>
      <c r="U32" s="58" t="s">
        <v>173</v>
      </c>
      <c r="V32" s="58"/>
      <c r="W32" s="58"/>
      <c r="X32" s="58"/>
      <c r="Y32" s="58"/>
      <c r="Z32" s="58">
        <v>4993</v>
      </c>
      <c r="AA32" s="58"/>
      <c r="AB32" s="58"/>
      <c r="AC32" s="58"/>
      <c r="AD32" s="58"/>
      <c r="AE32" s="59">
        <v>0</v>
      </c>
      <c r="AF32" s="60"/>
      <c r="AG32" s="60"/>
      <c r="AH32" s="61"/>
      <c r="AI32" s="59">
        <f t="shared" si="0"/>
        <v>4993</v>
      </c>
      <c r="AJ32" s="60"/>
      <c r="AK32" s="60"/>
      <c r="AL32" s="60"/>
      <c r="AM32" s="61"/>
      <c r="AN32" s="59" t="s">
        <v>173</v>
      </c>
      <c r="AO32" s="60"/>
      <c r="AP32" s="60"/>
      <c r="AQ32" s="60"/>
      <c r="AR32" s="61"/>
      <c r="AS32" s="59">
        <v>0</v>
      </c>
      <c r="AT32" s="60"/>
      <c r="AU32" s="60"/>
      <c r="AV32" s="60"/>
      <c r="AW32" s="61"/>
      <c r="AX32" s="59">
        <v>0</v>
      </c>
      <c r="AY32" s="60"/>
      <c r="AZ32" s="60"/>
      <c r="BA32" s="61"/>
      <c r="BB32" s="59">
        <f t="shared" si="1"/>
        <v>0</v>
      </c>
      <c r="BC32" s="60"/>
      <c r="BD32" s="60"/>
      <c r="BE32" s="60"/>
      <c r="BF32" s="61"/>
      <c r="BG32" s="59" t="s">
        <v>173</v>
      </c>
      <c r="BH32" s="60"/>
      <c r="BI32" s="60"/>
      <c r="BJ32" s="60"/>
      <c r="BK32" s="61"/>
      <c r="BL32" s="59">
        <v>0</v>
      </c>
      <c r="BM32" s="60"/>
      <c r="BN32" s="60"/>
      <c r="BO32" s="60"/>
      <c r="BP32" s="61"/>
      <c r="BQ32" s="59">
        <v>0</v>
      </c>
      <c r="BR32" s="60"/>
      <c r="BS32" s="60"/>
      <c r="BT32" s="61"/>
      <c r="BU32" s="59">
        <f t="shared" si="2"/>
        <v>0</v>
      </c>
      <c r="BV32" s="60"/>
      <c r="BW32" s="60"/>
      <c r="BX32" s="60"/>
      <c r="BY32" s="61"/>
    </row>
    <row r="33" spans="1:79" s="4" customFormat="1" ht="25.5" customHeight="1" x14ac:dyDescent="0.2">
      <c r="A33" s="52"/>
      <c r="B33" s="53"/>
      <c r="C33" s="53"/>
      <c r="D33" s="54"/>
      <c r="E33" s="55" t="s">
        <v>176</v>
      </c>
      <c r="F33" s="56"/>
      <c r="G33" s="56"/>
      <c r="H33" s="56"/>
      <c r="I33" s="56"/>
      <c r="J33" s="56"/>
      <c r="K33" s="56"/>
      <c r="L33" s="56"/>
      <c r="M33" s="56"/>
      <c r="N33" s="56"/>
      <c r="O33" s="56"/>
      <c r="P33" s="56"/>
      <c r="Q33" s="56"/>
      <c r="R33" s="56"/>
      <c r="S33" s="56"/>
      <c r="T33" s="57"/>
      <c r="U33" s="58" t="s">
        <v>173</v>
      </c>
      <c r="V33" s="58"/>
      <c r="W33" s="58"/>
      <c r="X33" s="58"/>
      <c r="Y33" s="58"/>
      <c r="Z33" s="58">
        <v>711732</v>
      </c>
      <c r="AA33" s="58"/>
      <c r="AB33" s="58"/>
      <c r="AC33" s="58"/>
      <c r="AD33" s="58"/>
      <c r="AE33" s="59">
        <v>711732</v>
      </c>
      <c r="AF33" s="60"/>
      <c r="AG33" s="60"/>
      <c r="AH33" s="61"/>
      <c r="AI33" s="59">
        <f t="shared" si="0"/>
        <v>711732</v>
      </c>
      <c r="AJ33" s="60"/>
      <c r="AK33" s="60"/>
      <c r="AL33" s="60"/>
      <c r="AM33" s="61"/>
      <c r="AN33" s="59" t="s">
        <v>173</v>
      </c>
      <c r="AO33" s="60"/>
      <c r="AP33" s="60"/>
      <c r="AQ33" s="60"/>
      <c r="AR33" s="61"/>
      <c r="AS33" s="59">
        <v>0</v>
      </c>
      <c r="AT33" s="60"/>
      <c r="AU33" s="60"/>
      <c r="AV33" s="60"/>
      <c r="AW33" s="61"/>
      <c r="AX33" s="59">
        <v>0</v>
      </c>
      <c r="AY33" s="60"/>
      <c r="AZ33" s="60"/>
      <c r="BA33" s="61"/>
      <c r="BB33" s="59">
        <f t="shared" si="1"/>
        <v>0</v>
      </c>
      <c r="BC33" s="60"/>
      <c r="BD33" s="60"/>
      <c r="BE33" s="60"/>
      <c r="BF33" s="61"/>
      <c r="BG33" s="59" t="s">
        <v>173</v>
      </c>
      <c r="BH33" s="60"/>
      <c r="BI33" s="60"/>
      <c r="BJ33" s="60"/>
      <c r="BK33" s="61"/>
      <c r="BL33" s="59">
        <v>0</v>
      </c>
      <c r="BM33" s="60"/>
      <c r="BN33" s="60"/>
      <c r="BO33" s="60"/>
      <c r="BP33" s="61"/>
      <c r="BQ33" s="59">
        <v>0</v>
      </c>
      <c r="BR33" s="60"/>
      <c r="BS33" s="60"/>
      <c r="BT33" s="61"/>
      <c r="BU33" s="59">
        <f t="shared" si="2"/>
        <v>0</v>
      </c>
      <c r="BV33" s="60"/>
      <c r="BW33" s="60"/>
      <c r="BX33" s="60"/>
      <c r="BY33" s="61"/>
    </row>
    <row r="34" spans="1:79" s="4" customFormat="1" ht="38.25" customHeight="1" x14ac:dyDescent="0.2">
      <c r="A34" s="52">
        <v>208400</v>
      </c>
      <c r="B34" s="53"/>
      <c r="C34" s="53"/>
      <c r="D34" s="54"/>
      <c r="E34" s="55" t="s">
        <v>177</v>
      </c>
      <c r="F34" s="56"/>
      <c r="G34" s="56"/>
      <c r="H34" s="56"/>
      <c r="I34" s="56"/>
      <c r="J34" s="56"/>
      <c r="K34" s="56"/>
      <c r="L34" s="56"/>
      <c r="M34" s="56"/>
      <c r="N34" s="56"/>
      <c r="O34" s="56"/>
      <c r="P34" s="56"/>
      <c r="Q34" s="56"/>
      <c r="R34" s="56"/>
      <c r="S34" s="56"/>
      <c r="T34" s="57"/>
      <c r="U34" s="58" t="s">
        <v>173</v>
      </c>
      <c r="V34" s="58"/>
      <c r="W34" s="58"/>
      <c r="X34" s="58"/>
      <c r="Y34" s="58"/>
      <c r="Z34" s="58">
        <v>711732</v>
      </c>
      <c r="AA34" s="58"/>
      <c r="AB34" s="58"/>
      <c r="AC34" s="58"/>
      <c r="AD34" s="58"/>
      <c r="AE34" s="59">
        <v>711732</v>
      </c>
      <c r="AF34" s="60"/>
      <c r="AG34" s="60"/>
      <c r="AH34" s="61"/>
      <c r="AI34" s="59">
        <f t="shared" si="0"/>
        <v>711732</v>
      </c>
      <c r="AJ34" s="60"/>
      <c r="AK34" s="60"/>
      <c r="AL34" s="60"/>
      <c r="AM34" s="61"/>
      <c r="AN34" s="59" t="s">
        <v>173</v>
      </c>
      <c r="AO34" s="60"/>
      <c r="AP34" s="60"/>
      <c r="AQ34" s="60"/>
      <c r="AR34" s="61"/>
      <c r="AS34" s="59">
        <v>0</v>
      </c>
      <c r="AT34" s="60"/>
      <c r="AU34" s="60"/>
      <c r="AV34" s="60"/>
      <c r="AW34" s="61"/>
      <c r="AX34" s="59">
        <v>0</v>
      </c>
      <c r="AY34" s="60"/>
      <c r="AZ34" s="60"/>
      <c r="BA34" s="61"/>
      <c r="BB34" s="59">
        <f t="shared" si="1"/>
        <v>0</v>
      </c>
      <c r="BC34" s="60"/>
      <c r="BD34" s="60"/>
      <c r="BE34" s="60"/>
      <c r="BF34" s="61"/>
      <c r="BG34" s="59" t="s">
        <v>173</v>
      </c>
      <c r="BH34" s="60"/>
      <c r="BI34" s="60"/>
      <c r="BJ34" s="60"/>
      <c r="BK34" s="61"/>
      <c r="BL34" s="59">
        <v>0</v>
      </c>
      <c r="BM34" s="60"/>
      <c r="BN34" s="60"/>
      <c r="BO34" s="60"/>
      <c r="BP34" s="61"/>
      <c r="BQ34" s="59">
        <v>0</v>
      </c>
      <c r="BR34" s="60"/>
      <c r="BS34" s="60"/>
      <c r="BT34" s="61"/>
      <c r="BU34" s="59">
        <f t="shared" si="2"/>
        <v>0</v>
      </c>
      <c r="BV34" s="60"/>
      <c r="BW34" s="60"/>
      <c r="BX34" s="60"/>
      <c r="BY34" s="61"/>
    </row>
    <row r="35" spans="1:79" s="5" customFormat="1" ht="12.75" customHeight="1" x14ac:dyDescent="0.2">
      <c r="A35" s="77"/>
      <c r="B35" s="78"/>
      <c r="C35" s="78"/>
      <c r="D35" s="79"/>
      <c r="E35" s="96" t="s">
        <v>147</v>
      </c>
      <c r="F35" s="97"/>
      <c r="G35" s="97"/>
      <c r="H35" s="97"/>
      <c r="I35" s="97"/>
      <c r="J35" s="97"/>
      <c r="K35" s="97"/>
      <c r="L35" s="97"/>
      <c r="M35" s="97"/>
      <c r="N35" s="97"/>
      <c r="O35" s="97"/>
      <c r="P35" s="97"/>
      <c r="Q35" s="97"/>
      <c r="R35" s="97"/>
      <c r="S35" s="97"/>
      <c r="T35" s="98"/>
      <c r="U35" s="87">
        <v>16001835</v>
      </c>
      <c r="V35" s="87"/>
      <c r="W35" s="87"/>
      <c r="X35" s="87"/>
      <c r="Y35" s="87"/>
      <c r="Z35" s="87">
        <v>716725</v>
      </c>
      <c r="AA35" s="87"/>
      <c r="AB35" s="87"/>
      <c r="AC35" s="87"/>
      <c r="AD35" s="87"/>
      <c r="AE35" s="74">
        <v>711732</v>
      </c>
      <c r="AF35" s="75"/>
      <c r="AG35" s="75"/>
      <c r="AH35" s="76"/>
      <c r="AI35" s="74">
        <f t="shared" si="0"/>
        <v>16718560</v>
      </c>
      <c r="AJ35" s="75"/>
      <c r="AK35" s="75"/>
      <c r="AL35" s="75"/>
      <c r="AM35" s="76"/>
      <c r="AN35" s="74">
        <v>20959368</v>
      </c>
      <c r="AO35" s="75"/>
      <c r="AP35" s="75"/>
      <c r="AQ35" s="75"/>
      <c r="AR35" s="76"/>
      <c r="AS35" s="74">
        <v>0</v>
      </c>
      <c r="AT35" s="75"/>
      <c r="AU35" s="75"/>
      <c r="AV35" s="75"/>
      <c r="AW35" s="76"/>
      <c r="AX35" s="74">
        <v>0</v>
      </c>
      <c r="AY35" s="75"/>
      <c r="AZ35" s="75"/>
      <c r="BA35" s="76"/>
      <c r="BB35" s="74">
        <f t="shared" si="1"/>
        <v>20959368</v>
      </c>
      <c r="BC35" s="75"/>
      <c r="BD35" s="75"/>
      <c r="BE35" s="75"/>
      <c r="BF35" s="76"/>
      <c r="BG35" s="74">
        <v>21594065</v>
      </c>
      <c r="BH35" s="75"/>
      <c r="BI35" s="75"/>
      <c r="BJ35" s="75"/>
      <c r="BK35" s="76"/>
      <c r="BL35" s="74">
        <v>0</v>
      </c>
      <c r="BM35" s="75"/>
      <c r="BN35" s="75"/>
      <c r="BO35" s="75"/>
      <c r="BP35" s="76"/>
      <c r="BQ35" s="74">
        <v>0</v>
      </c>
      <c r="BR35" s="75"/>
      <c r="BS35" s="75"/>
      <c r="BT35" s="76"/>
      <c r="BU35" s="74">
        <f t="shared" si="2"/>
        <v>21594065</v>
      </c>
      <c r="BV35" s="75"/>
      <c r="BW35" s="75"/>
      <c r="BX35" s="75"/>
      <c r="BY35" s="76"/>
    </row>
    <row r="37" spans="1:79" ht="14.25" customHeight="1" x14ac:dyDescent="0.2">
      <c r="A37" s="28" t="s">
        <v>306</v>
      </c>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row>
    <row r="38" spans="1:79" ht="15" customHeight="1" x14ac:dyDescent="0.2">
      <c r="A38" s="65" t="s">
        <v>280</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row>
    <row r="39" spans="1:79" ht="22.5" customHeight="1" x14ac:dyDescent="0.2">
      <c r="A39" s="42" t="s">
        <v>2</v>
      </c>
      <c r="B39" s="43"/>
      <c r="C39" s="43"/>
      <c r="D39" s="44"/>
      <c r="E39" s="42" t="s">
        <v>19</v>
      </c>
      <c r="F39" s="43"/>
      <c r="G39" s="43"/>
      <c r="H39" s="43"/>
      <c r="I39" s="43"/>
      <c r="J39" s="43"/>
      <c r="K39" s="43"/>
      <c r="L39" s="43"/>
      <c r="M39" s="43"/>
      <c r="N39" s="43"/>
      <c r="O39" s="43"/>
      <c r="P39" s="43"/>
      <c r="Q39" s="43"/>
      <c r="R39" s="43"/>
      <c r="S39" s="43"/>
      <c r="T39" s="43"/>
      <c r="U39" s="43"/>
      <c r="V39" s="43"/>
      <c r="W39" s="44"/>
      <c r="X39" s="35" t="s">
        <v>302</v>
      </c>
      <c r="Y39" s="36"/>
      <c r="Z39" s="36"/>
      <c r="AA39" s="36"/>
      <c r="AB39" s="36"/>
      <c r="AC39" s="36"/>
      <c r="AD39" s="36"/>
      <c r="AE39" s="36"/>
      <c r="AF39" s="36"/>
      <c r="AG39" s="36"/>
      <c r="AH39" s="36"/>
      <c r="AI39" s="36"/>
      <c r="AJ39" s="36"/>
      <c r="AK39" s="36"/>
      <c r="AL39" s="36"/>
      <c r="AM39" s="36"/>
      <c r="AN39" s="36"/>
      <c r="AO39" s="36"/>
      <c r="AP39" s="36"/>
      <c r="AQ39" s="37"/>
      <c r="AR39" s="48" t="s">
        <v>307</v>
      </c>
      <c r="AS39" s="48"/>
      <c r="AT39" s="48"/>
      <c r="AU39" s="48"/>
      <c r="AV39" s="48"/>
      <c r="AW39" s="48"/>
      <c r="AX39" s="48"/>
      <c r="AY39" s="48"/>
      <c r="AZ39" s="48"/>
      <c r="BA39" s="48"/>
      <c r="BB39" s="48"/>
      <c r="BC39" s="48"/>
      <c r="BD39" s="48"/>
      <c r="BE39" s="48"/>
      <c r="BF39" s="48"/>
      <c r="BG39" s="48"/>
      <c r="BH39" s="48"/>
      <c r="BI39" s="48"/>
      <c r="BJ39" s="48"/>
      <c r="BK39" s="48"/>
    </row>
    <row r="40" spans="1:79" ht="36" customHeight="1" x14ac:dyDescent="0.2">
      <c r="A40" s="45"/>
      <c r="B40" s="46"/>
      <c r="C40" s="46"/>
      <c r="D40" s="47"/>
      <c r="E40" s="45"/>
      <c r="F40" s="46"/>
      <c r="G40" s="46"/>
      <c r="H40" s="46"/>
      <c r="I40" s="46"/>
      <c r="J40" s="46"/>
      <c r="K40" s="46"/>
      <c r="L40" s="46"/>
      <c r="M40" s="46"/>
      <c r="N40" s="46"/>
      <c r="O40" s="46"/>
      <c r="P40" s="46"/>
      <c r="Q40" s="46"/>
      <c r="R40" s="46"/>
      <c r="S40" s="46"/>
      <c r="T40" s="46"/>
      <c r="U40" s="46"/>
      <c r="V40" s="46"/>
      <c r="W40" s="47"/>
      <c r="X40" s="48" t="s">
        <v>4</v>
      </c>
      <c r="Y40" s="48"/>
      <c r="Z40" s="48"/>
      <c r="AA40" s="48"/>
      <c r="AB40" s="48"/>
      <c r="AC40" s="48" t="s">
        <v>3</v>
      </c>
      <c r="AD40" s="48"/>
      <c r="AE40" s="48"/>
      <c r="AF40" s="48"/>
      <c r="AG40" s="48"/>
      <c r="AH40" s="38" t="s">
        <v>116</v>
      </c>
      <c r="AI40" s="39"/>
      <c r="AJ40" s="39"/>
      <c r="AK40" s="39"/>
      <c r="AL40" s="40"/>
      <c r="AM40" s="35" t="s">
        <v>5</v>
      </c>
      <c r="AN40" s="36"/>
      <c r="AO40" s="36"/>
      <c r="AP40" s="36"/>
      <c r="AQ40" s="37"/>
      <c r="AR40" s="35" t="s">
        <v>4</v>
      </c>
      <c r="AS40" s="36"/>
      <c r="AT40" s="36"/>
      <c r="AU40" s="36"/>
      <c r="AV40" s="37"/>
      <c r="AW40" s="35" t="s">
        <v>3</v>
      </c>
      <c r="AX40" s="36"/>
      <c r="AY40" s="36"/>
      <c r="AZ40" s="36"/>
      <c r="BA40" s="37"/>
      <c r="BB40" s="38" t="s">
        <v>116</v>
      </c>
      <c r="BC40" s="39"/>
      <c r="BD40" s="39"/>
      <c r="BE40" s="39"/>
      <c r="BF40" s="40"/>
      <c r="BG40" s="35" t="s">
        <v>96</v>
      </c>
      <c r="BH40" s="36"/>
      <c r="BI40" s="36"/>
      <c r="BJ40" s="36"/>
      <c r="BK40" s="37"/>
    </row>
    <row r="41" spans="1:79" ht="15" customHeight="1" x14ac:dyDescent="0.2">
      <c r="A41" s="35">
        <v>1</v>
      </c>
      <c r="B41" s="36"/>
      <c r="C41" s="36"/>
      <c r="D41" s="37"/>
      <c r="E41" s="35">
        <v>2</v>
      </c>
      <c r="F41" s="36"/>
      <c r="G41" s="36"/>
      <c r="H41" s="36"/>
      <c r="I41" s="36"/>
      <c r="J41" s="36"/>
      <c r="K41" s="36"/>
      <c r="L41" s="36"/>
      <c r="M41" s="36"/>
      <c r="N41" s="36"/>
      <c r="O41" s="36"/>
      <c r="P41" s="36"/>
      <c r="Q41" s="36"/>
      <c r="R41" s="36"/>
      <c r="S41" s="36"/>
      <c r="T41" s="36"/>
      <c r="U41" s="36"/>
      <c r="V41" s="36"/>
      <c r="W41" s="37"/>
      <c r="X41" s="48">
        <v>3</v>
      </c>
      <c r="Y41" s="48"/>
      <c r="Z41" s="48"/>
      <c r="AA41" s="48"/>
      <c r="AB41" s="48"/>
      <c r="AC41" s="48">
        <v>4</v>
      </c>
      <c r="AD41" s="48"/>
      <c r="AE41" s="48"/>
      <c r="AF41" s="48"/>
      <c r="AG41" s="48"/>
      <c r="AH41" s="48">
        <v>5</v>
      </c>
      <c r="AI41" s="48"/>
      <c r="AJ41" s="48"/>
      <c r="AK41" s="48"/>
      <c r="AL41" s="48"/>
      <c r="AM41" s="48">
        <v>6</v>
      </c>
      <c r="AN41" s="48"/>
      <c r="AO41" s="48"/>
      <c r="AP41" s="48"/>
      <c r="AQ41" s="48"/>
      <c r="AR41" s="35">
        <v>7</v>
      </c>
      <c r="AS41" s="36"/>
      <c r="AT41" s="36"/>
      <c r="AU41" s="36"/>
      <c r="AV41" s="37"/>
      <c r="AW41" s="35">
        <v>8</v>
      </c>
      <c r="AX41" s="36"/>
      <c r="AY41" s="36"/>
      <c r="AZ41" s="36"/>
      <c r="BA41" s="37"/>
      <c r="BB41" s="35">
        <v>9</v>
      </c>
      <c r="BC41" s="36"/>
      <c r="BD41" s="36"/>
      <c r="BE41" s="36"/>
      <c r="BF41" s="37"/>
      <c r="BG41" s="35">
        <v>10</v>
      </c>
      <c r="BH41" s="36"/>
      <c r="BI41" s="36"/>
      <c r="BJ41" s="36"/>
      <c r="BK41" s="37"/>
    </row>
    <row r="42" spans="1:79" ht="20.25" hidden="1" customHeight="1" x14ac:dyDescent="0.2">
      <c r="A42" s="62" t="s">
        <v>56</v>
      </c>
      <c r="B42" s="63"/>
      <c r="C42" s="63"/>
      <c r="D42" s="64"/>
      <c r="E42" s="62" t="s">
        <v>57</v>
      </c>
      <c r="F42" s="63"/>
      <c r="G42" s="63"/>
      <c r="H42" s="63"/>
      <c r="I42" s="63"/>
      <c r="J42" s="63"/>
      <c r="K42" s="63"/>
      <c r="L42" s="63"/>
      <c r="M42" s="63"/>
      <c r="N42" s="63"/>
      <c r="O42" s="63"/>
      <c r="P42" s="63"/>
      <c r="Q42" s="63"/>
      <c r="R42" s="63"/>
      <c r="S42" s="63"/>
      <c r="T42" s="63"/>
      <c r="U42" s="63"/>
      <c r="V42" s="63"/>
      <c r="W42" s="64"/>
      <c r="X42" s="66" t="s">
        <v>60</v>
      </c>
      <c r="Y42" s="66"/>
      <c r="Z42" s="66"/>
      <c r="AA42" s="66"/>
      <c r="AB42" s="66"/>
      <c r="AC42" s="66" t="s">
        <v>61</v>
      </c>
      <c r="AD42" s="66"/>
      <c r="AE42" s="66"/>
      <c r="AF42" s="66"/>
      <c r="AG42" s="66"/>
      <c r="AH42" s="62" t="s">
        <v>94</v>
      </c>
      <c r="AI42" s="63"/>
      <c r="AJ42" s="63"/>
      <c r="AK42" s="63"/>
      <c r="AL42" s="64"/>
      <c r="AM42" s="49" t="s">
        <v>170</v>
      </c>
      <c r="AN42" s="50"/>
      <c r="AO42" s="50"/>
      <c r="AP42" s="50"/>
      <c r="AQ42" s="51"/>
      <c r="AR42" s="62" t="s">
        <v>62</v>
      </c>
      <c r="AS42" s="63"/>
      <c r="AT42" s="63"/>
      <c r="AU42" s="63"/>
      <c r="AV42" s="64"/>
      <c r="AW42" s="62" t="s">
        <v>63</v>
      </c>
      <c r="AX42" s="63"/>
      <c r="AY42" s="63"/>
      <c r="AZ42" s="63"/>
      <c r="BA42" s="64"/>
      <c r="BB42" s="62" t="s">
        <v>95</v>
      </c>
      <c r="BC42" s="63"/>
      <c r="BD42" s="63"/>
      <c r="BE42" s="63"/>
      <c r="BF42" s="64"/>
      <c r="BG42" s="49" t="s">
        <v>170</v>
      </c>
      <c r="BH42" s="50"/>
      <c r="BI42" s="50"/>
      <c r="BJ42" s="50"/>
      <c r="BK42" s="51"/>
      <c r="CA42" t="s">
        <v>23</v>
      </c>
    </row>
    <row r="43" spans="1:79" s="4" customFormat="1" ht="12.75" customHeight="1" x14ac:dyDescent="0.2">
      <c r="A43" s="52"/>
      <c r="B43" s="53"/>
      <c r="C43" s="53"/>
      <c r="D43" s="54"/>
      <c r="E43" s="55" t="s">
        <v>172</v>
      </c>
      <c r="F43" s="56"/>
      <c r="G43" s="56"/>
      <c r="H43" s="56"/>
      <c r="I43" s="56"/>
      <c r="J43" s="56"/>
      <c r="K43" s="56"/>
      <c r="L43" s="56"/>
      <c r="M43" s="56"/>
      <c r="N43" s="56"/>
      <c r="O43" s="56"/>
      <c r="P43" s="56"/>
      <c r="Q43" s="56"/>
      <c r="R43" s="56"/>
      <c r="S43" s="56"/>
      <c r="T43" s="56"/>
      <c r="U43" s="56"/>
      <c r="V43" s="56"/>
      <c r="W43" s="57"/>
      <c r="X43" s="59">
        <v>23072095</v>
      </c>
      <c r="Y43" s="60"/>
      <c r="Z43" s="60"/>
      <c r="AA43" s="60"/>
      <c r="AB43" s="61"/>
      <c r="AC43" s="59" t="s">
        <v>173</v>
      </c>
      <c r="AD43" s="60"/>
      <c r="AE43" s="60"/>
      <c r="AF43" s="60"/>
      <c r="AG43" s="61"/>
      <c r="AH43" s="59" t="s">
        <v>173</v>
      </c>
      <c r="AI43" s="60"/>
      <c r="AJ43" s="60"/>
      <c r="AK43" s="60"/>
      <c r="AL43" s="61"/>
      <c r="AM43" s="59">
        <f t="shared" ref="AM43:AM48" si="3">IF(ISNUMBER(X43),X43,0)+IF(ISNUMBER(AC43),AC43,0)</f>
        <v>23072095</v>
      </c>
      <c r="AN43" s="60"/>
      <c r="AO43" s="60"/>
      <c r="AP43" s="60"/>
      <c r="AQ43" s="61"/>
      <c r="AR43" s="59">
        <v>24834707</v>
      </c>
      <c r="AS43" s="60"/>
      <c r="AT43" s="60"/>
      <c r="AU43" s="60"/>
      <c r="AV43" s="61"/>
      <c r="AW43" s="59" t="s">
        <v>173</v>
      </c>
      <c r="AX43" s="60"/>
      <c r="AY43" s="60"/>
      <c r="AZ43" s="60"/>
      <c r="BA43" s="61"/>
      <c r="BB43" s="59" t="s">
        <v>173</v>
      </c>
      <c r="BC43" s="60"/>
      <c r="BD43" s="60"/>
      <c r="BE43" s="60"/>
      <c r="BF43" s="61"/>
      <c r="BG43" s="58">
        <f t="shared" ref="BG43:BG48" si="4">IF(ISNUMBER(AR43),AR43,0)+IF(ISNUMBER(AW43),AW43,0)</f>
        <v>24834707</v>
      </c>
      <c r="BH43" s="58"/>
      <c r="BI43" s="58"/>
      <c r="BJ43" s="58"/>
      <c r="BK43" s="58"/>
      <c r="CA43" s="4" t="s">
        <v>24</v>
      </c>
    </row>
    <row r="44" spans="1:79" s="4" customFormat="1" ht="25.5" customHeight="1" x14ac:dyDescent="0.2">
      <c r="A44" s="52"/>
      <c r="B44" s="53"/>
      <c r="C44" s="53"/>
      <c r="D44" s="54"/>
      <c r="E44" s="55" t="s">
        <v>174</v>
      </c>
      <c r="F44" s="56"/>
      <c r="G44" s="56"/>
      <c r="H44" s="56"/>
      <c r="I44" s="56"/>
      <c r="J44" s="56"/>
      <c r="K44" s="56"/>
      <c r="L44" s="56"/>
      <c r="M44" s="56"/>
      <c r="N44" s="56"/>
      <c r="O44" s="56"/>
      <c r="P44" s="56"/>
      <c r="Q44" s="56"/>
      <c r="R44" s="56"/>
      <c r="S44" s="56"/>
      <c r="T44" s="56"/>
      <c r="U44" s="56"/>
      <c r="V44" s="56"/>
      <c r="W44" s="57"/>
      <c r="X44" s="59" t="s">
        <v>173</v>
      </c>
      <c r="Y44" s="60"/>
      <c r="Z44" s="60"/>
      <c r="AA44" s="60"/>
      <c r="AB44" s="61"/>
      <c r="AC44" s="59">
        <v>0</v>
      </c>
      <c r="AD44" s="60"/>
      <c r="AE44" s="60"/>
      <c r="AF44" s="60"/>
      <c r="AG44" s="61"/>
      <c r="AH44" s="59">
        <v>0</v>
      </c>
      <c r="AI44" s="60"/>
      <c r="AJ44" s="60"/>
      <c r="AK44" s="60"/>
      <c r="AL44" s="61"/>
      <c r="AM44" s="59">
        <f t="shared" si="3"/>
        <v>0</v>
      </c>
      <c r="AN44" s="60"/>
      <c r="AO44" s="60"/>
      <c r="AP44" s="60"/>
      <c r="AQ44" s="61"/>
      <c r="AR44" s="59" t="s">
        <v>173</v>
      </c>
      <c r="AS44" s="60"/>
      <c r="AT44" s="60"/>
      <c r="AU44" s="60"/>
      <c r="AV44" s="61"/>
      <c r="AW44" s="59">
        <v>0</v>
      </c>
      <c r="AX44" s="60"/>
      <c r="AY44" s="60"/>
      <c r="AZ44" s="60"/>
      <c r="BA44" s="61"/>
      <c r="BB44" s="59">
        <v>0</v>
      </c>
      <c r="BC44" s="60"/>
      <c r="BD44" s="60"/>
      <c r="BE44" s="60"/>
      <c r="BF44" s="61"/>
      <c r="BG44" s="58">
        <f t="shared" si="4"/>
        <v>0</v>
      </c>
      <c r="BH44" s="58"/>
      <c r="BI44" s="58"/>
      <c r="BJ44" s="58"/>
      <c r="BK44" s="58"/>
    </row>
    <row r="45" spans="1:79" s="4" customFormat="1" ht="38.25" customHeight="1" x14ac:dyDescent="0.2">
      <c r="A45" s="52">
        <v>25010300</v>
      </c>
      <c r="B45" s="53"/>
      <c r="C45" s="53"/>
      <c r="D45" s="54"/>
      <c r="E45" s="55" t="s">
        <v>175</v>
      </c>
      <c r="F45" s="56"/>
      <c r="G45" s="56"/>
      <c r="H45" s="56"/>
      <c r="I45" s="56"/>
      <c r="J45" s="56"/>
      <c r="K45" s="56"/>
      <c r="L45" s="56"/>
      <c r="M45" s="56"/>
      <c r="N45" s="56"/>
      <c r="O45" s="56"/>
      <c r="P45" s="56"/>
      <c r="Q45" s="56"/>
      <c r="R45" s="56"/>
      <c r="S45" s="56"/>
      <c r="T45" s="56"/>
      <c r="U45" s="56"/>
      <c r="V45" s="56"/>
      <c r="W45" s="57"/>
      <c r="X45" s="59" t="s">
        <v>173</v>
      </c>
      <c r="Y45" s="60"/>
      <c r="Z45" s="60"/>
      <c r="AA45" s="60"/>
      <c r="AB45" s="61"/>
      <c r="AC45" s="59">
        <v>0</v>
      </c>
      <c r="AD45" s="60"/>
      <c r="AE45" s="60"/>
      <c r="AF45" s="60"/>
      <c r="AG45" s="61"/>
      <c r="AH45" s="59">
        <v>0</v>
      </c>
      <c r="AI45" s="60"/>
      <c r="AJ45" s="60"/>
      <c r="AK45" s="60"/>
      <c r="AL45" s="61"/>
      <c r="AM45" s="59">
        <f t="shared" si="3"/>
        <v>0</v>
      </c>
      <c r="AN45" s="60"/>
      <c r="AO45" s="60"/>
      <c r="AP45" s="60"/>
      <c r="AQ45" s="61"/>
      <c r="AR45" s="59" t="s">
        <v>173</v>
      </c>
      <c r="AS45" s="60"/>
      <c r="AT45" s="60"/>
      <c r="AU45" s="60"/>
      <c r="AV45" s="61"/>
      <c r="AW45" s="59">
        <v>0</v>
      </c>
      <c r="AX45" s="60"/>
      <c r="AY45" s="60"/>
      <c r="AZ45" s="60"/>
      <c r="BA45" s="61"/>
      <c r="BB45" s="59">
        <v>0</v>
      </c>
      <c r="BC45" s="60"/>
      <c r="BD45" s="60"/>
      <c r="BE45" s="60"/>
      <c r="BF45" s="61"/>
      <c r="BG45" s="58">
        <f t="shared" si="4"/>
        <v>0</v>
      </c>
      <c r="BH45" s="58"/>
      <c r="BI45" s="58"/>
      <c r="BJ45" s="58"/>
      <c r="BK45" s="58"/>
    </row>
    <row r="46" spans="1:79" s="4" customFormat="1" ht="25.5" customHeight="1" x14ac:dyDescent="0.2">
      <c r="A46" s="52"/>
      <c r="B46" s="53"/>
      <c r="C46" s="53"/>
      <c r="D46" s="54"/>
      <c r="E46" s="55" t="s">
        <v>176</v>
      </c>
      <c r="F46" s="56"/>
      <c r="G46" s="56"/>
      <c r="H46" s="56"/>
      <c r="I46" s="56"/>
      <c r="J46" s="56"/>
      <c r="K46" s="56"/>
      <c r="L46" s="56"/>
      <c r="M46" s="56"/>
      <c r="N46" s="56"/>
      <c r="O46" s="56"/>
      <c r="P46" s="56"/>
      <c r="Q46" s="56"/>
      <c r="R46" s="56"/>
      <c r="S46" s="56"/>
      <c r="T46" s="56"/>
      <c r="U46" s="56"/>
      <c r="V46" s="56"/>
      <c r="W46" s="57"/>
      <c r="X46" s="59" t="s">
        <v>173</v>
      </c>
      <c r="Y46" s="60"/>
      <c r="Z46" s="60"/>
      <c r="AA46" s="60"/>
      <c r="AB46" s="61"/>
      <c r="AC46" s="59">
        <v>0</v>
      </c>
      <c r="AD46" s="60"/>
      <c r="AE46" s="60"/>
      <c r="AF46" s="60"/>
      <c r="AG46" s="61"/>
      <c r="AH46" s="59">
        <v>0</v>
      </c>
      <c r="AI46" s="60"/>
      <c r="AJ46" s="60"/>
      <c r="AK46" s="60"/>
      <c r="AL46" s="61"/>
      <c r="AM46" s="59">
        <f t="shared" si="3"/>
        <v>0</v>
      </c>
      <c r="AN46" s="60"/>
      <c r="AO46" s="60"/>
      <c r="AP46" s="60"/>
      <c r="AQ46" s="61"/>
      <c r="AR46" s="59" t="s">
        <v>173</v>
      </c>
      <c r="AS46" s="60"/>
      <c r="AT46" s="60"/>
      <c r="AU46" s="60"/>
      <c r="AV46" s="61"/>
      <c r="AW46" s="59">
        <v>0</v>
      </c>
      <c r="AX46" s="60"/>
      <c r="AY46" s="60"/>
      <c r="AZ46" s="60"/>
      <c r="BA46" s="61"/>
      <c r="BB46" s="59">
        <v>0</v>
      </c>
      <c r="BC46" s="60"/>
      <c r="BD46" s="60"/>
      <c r="BE46" s="60"/>
      <c r="BF46" s="61"/>
      <c r="BG46" s="58">
        <f t="shared" si="4"/>
        <v>0</v>
      </c>
      <c r="BH46" s="58"/>
      <c r="BI46" s="58"/>
      <c r="BJ46" s="58"/>
      <c r="BK46" s="58"/>
    </row>
    <row r="47" spans="1:79" s="4" customFormat="1" ht="25.5" customHeight="1" x14ac:dyDescent="0.2">
      <c r="A47" s="52">
        <v>208400</v>
      </c>
      <c r="B47" s="53"/>
      <c r="C47" s="53"/>
      <c r="D47" s="54"/>
      <c r="E47" s="55" t="s">
        <v>177</v>
      </c>
      <c r="F47" s="56"/>
      <c r="G47" s="56"/>
      <c r="H47" s="56"/>
      <c r="I47" s="56"/>
      <c r="J47" s="56"/>
      <c r="K47" s="56"/>
      <c r="L47" s="56"/>
      <c r="M47" s="56"/>
      <c r="N47" s="56"/>
      <c r="O47" s="56"/>
      <c r="P47" s="56"/>
      <c r="Q47" s="56"/>
      <c r="R47" s="56"/>
      <c r="S47" s="56"/>
      <c r="T47" s="56"/>
      <c r="U47" s="56"/>
      <c r="V47" s="56"/>
      <c r="W47" s="57"/>
      <c r="X47" s="59" t="s">
        <v>173</v>
      </c>
      <c r="Y47" s="60"/>
      <c r="Z47" s="60"/>
      <c r="AA47" s="60"/>
      <c r="AB47" s="61"/>
      <c r="AC47" s="59">
        <v>0</v>
      </c>
      <c r="AD47" s="60"/>
      <c r="AE47" s="60"/>
      <c r="AF47" s="60"/>
      <c r="AG47" s="61"/>
      <c r="AH47" s="59">
        <v>0</v>
      </c>
      <c r="AI47" s="60"/>
      <c r="AJ47" s="60"/>
      <c r="AK47" s="60"/>
      <c r="AL47" s="61"/>
      <c r="AM47" s="59">
        <f t="shared" si="3"/>
        <v>0</v>
      </c>
      <c r="AN47" s="60"/>
      <c r="AO47" s="60"/>
      <c r="AP47" s="60"/>
      <c r="AQ47" s="61"/>
      <c r="AR47" s="59" t="s">
        <v>173</v>
      </c>
      <c r="AS47" s="60"/>
      <c r="AT47" s="60"/>
      <c r="AU47" s="60"/>
      <c r="AV47" s="61"/>
      <c r="AW47" s="59">
        <v>0</v>
      </c>
      <c r="AX47" s="60"/>
      <c r="AY47" s="60"/>
      <c r="AZ47" s="60"/>
      <c r="BA47" s="61"/>
      <c r="BB47" s="59">
        <v>0</v>
      </c>
      <c r="BC47" s="60"/>
      <c r="BD47" s="60"/>
      <c r="BE47" s="60"/>
      <c r="BF47" s="61"/>
      <c r="BG47" s="58">
        <f t="shared" si="4"/>
        <v>0</v>
      </c>
      <c r="BH47" s="58"/>
      <c r="BI47" s="58"/>
      <c r="BJ47" s="58"/>
      <c r="BK47" s="58"/>
    </row>
    <row r="48" spans="1:79" s="5" customFormat="1" ht="12.75" customHeight="1" x14ac:dyDescent="0.2">
      <c r="A48" s="77"/>
      <c r="B48" s="78"/>
      <c r="C48" s="78"/>
      <c r="D48" s="79"/>
      <c r="E48" s="96" t="s">
        <v>147</v>
      </c>
      <c r="F48" s="97"/>
      <c r="G48" s="97"/>
      <c r="H48" s="97"/>
      <c r="I48" s="97"/>
      <c r="J48" s="97"/>
      <c r="K48" s="97"/>
      <c r="L48" s="97"/>
      <c r="M48" s="97"/>
      <c r="N48" s="97"/>
      <c r="O48" s="97"/>
      <c r="P48" s="97"/>
      <c r="Q48" s="97"/>
      <c r="R48" s="97"/>
      <c r="S48" s="97"/>
      <c r="T48" s="97"/>
      <c r="U48" s="97"/>
      <c r="V48" s="97"/>
      <c r="W48" s="98"/>
      <c r="X48" s="74">
        <v>23072095</v>
      </c>
      <c r="Y48" s="75"/>
      <c r="Z48" s="75"/>
      <c r="AA48" s="75"/>
      <c r="AB48" s="76"/>
      <c r="AC48" s="74">
        <v>0</v>
      </c>
      <c r="AD48" s="75"/>
      <c r="AE48" s="75"/>
      <c r="AF48" s="75"/>
      <c r="AG48" s="76"/>
      <c r="AH48" s="74">
        <v>0</v>
      </c>
      <c r="AI48" s="75"/>
      <c r="AJ48" s="75"/>
      <c r="AK48" s="75"/>
      <c r="AL48" s="76"/>
      <c r="AM48" s="74">
        <f t="shared" si="3"/>
        <v>23072095</v>
      </c>
      <c r="AN48" s="75"/>
      <c r="AO48" s="75"/>
      <c r="AP48" s="75"/>
      <c r="AQ48" s="76"/>
      <c r="AR48" s="74">
        <v>24834707</v>
      </c>
      <c r="AS48" s="75"/>
      <c r="AT48" s="75"/>
      <c r="AU48" s="75"/>
      <c r="AV48" s="76"/>
      <c r="AW48" s="74">
        <v>0</v>
      </c>
      <c r="AX48" s="75"/>
      <c r="AY48" s="75"/>
      <c r="AZ48" s="75"/>
      <c r="BA48" s="76"/>
      <c r="BB48" s="74">
        <v>0</v>
      </c>
      <c r="BC48" s="75"/>
      <c r="BD48" s="75"/>
      <c r="BE48" s="75"/>
      <c r="BF48" s="76"/>
      <c r="BG48" s="87">
        <f t="shared" si="4"/>
        <v>24834707</v>
      </c>
      <c r="BH48" s="87"/>
      <c r="BI48" s="87"/>
      <c r="BJ48" s="87"/>
      <c r="BK48" s="87"/>
    </row>
    <row r="50" spans="1:79" s="3" customFormat="1" ht="14.25" customHeight="1" x14ac:dyDescent="0.2">
      <c r="A50" s="28" t="s">
        <v>117</v>
      </c>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8"/>
    </row>
    <row r="51" spans="1:79" ht="14.25" customHeight="1" x14ac:dyDescent="0.2">
      <c r="A51" s="28" t="s">
        <v>293</v>
      </c>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row>
    <row r="52" spans="1:79" ht="15" customHeight="1" x14ac:dyDescent="0.2">
      <c r="A52" s="41" t="s">
        <v>280</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row>
    <row r="53" spans="1:79" ht="23.1" customHeight="1" x14ac:dyDescent="0.2">
      <c r="A53" s="67" t="s">
        <v>118</v>
      </c>
      <c r="B53" s="68"/>
      <c r="C53" s="68"/>
      <c r="D53" s="69"/>
      <c r="E53" s="48" t="s">
        <v>19</v>
      </c>
      <c r="F53" s="48"/>
      <c r="G53" s="48"/>
      <c r="H53" s="48"/>
      <c r="I53" s="48"/>
      <c r="J53" s="48"/>
      <c r="K53" s="48"/>
      <c r="L53" s="48"/>
      <c r="M53" s="48"/>
      <c r="N53" s="48"/>
      <c r="O53" s="48"/>
      <c r="P53" s="48"/>
      <c r="Q53" s="48"/>
      <c r="R53" s="48"/>
      <c r="S53" s="48"/>
      <c r="T53" s="48"/>
      <c r="U53" s="35" t="s">
        <v>281</v>
      </c>
      <c r="V53" s="36"/>
      <c r="W53" s="36"/>
      <c r="X53" s="36"/>
      <c r="Y53" s="36"/>
      <c r="Z53" s="36"/>
      <c r="AA53" s="36"/>
      <c r="AB53" s="36"/>
      <c r="AC53" s="36"/>
      <c r="AD53" s="36"/>
      <c r="AE53" s="36"/>
      <c r="AF53" s="36"/>
      <c r="AG53" s="36"/>
      <c r="AH53" s="36"/>
      <c r="AI53" s="36"/>
      <c r="AJ53" s="36"/>
      <c r="AK53" s="36"/>
      <c r="AL53" s="36"/>
      <c r="AM53" s="37"/>
      <c r="AN53" s="35" t="s">
        <v>284</v>
      </c>
      <c r="AO53" s="36"/>
      <c r="AP53" s="36"/>
      <c r="AQ53" s="36"/>
      <c r="AR53" s="36"/>
      <c r="AS53" s="36"/>
      <c r="AT53" s="36"/>
      <c r="AU53" s="36"/>
      <c r="AV53" s="36"/>
      <c r="AW53" s="36"/>
      <c r="AX53" s="36"/>
      <c r="AY53" s="36"/>
      <c r="AZ53" s="36"/>
      <c r="BA53" s="36"/>
      <c r="BB53" s="36"/>
      <c r="BC53" s="36"/>
      <c r="BD53" s="36"/>
      <c r="BE53" s="36"/>
      <c r="BF53" s="37"/>
      <c r="BG53" s="35" t="s">
        <v>292</v>
      </c>
      <c r="BH53" s="36"/>
      <c r="BI53" s="36"/>
      <c r="BJ53" s="36"/>
      <c r="BK53" s="36"/>
      <c r="BL53" s="36"/>
      <c r="BM53" s="36"/>
      <c r="BN53" s="36"/>
      <c r="BO53" s="36"/>
      <c r="BP53" s="36"/>
      <c r="BQ53" s="36"/>
      <c r="BR53" s="36"/>
      <c r="BS53" s="36"/>
      <c r="BT53" s="36"/>
      <c r="BU53" s="36"/>
      <c r="BV53" s="36"/>
      <c r="BW53" s="36"/>
      <c r="BX53" s="36"/>
      <c r="BY53" s="37"/>
    </row>
    <row r="54" spans="1:79" ht="48.75" customHeight="1" x14ac:dyDescent="0.2">
      <c r="A54" s="70"/>
      <c r="B54" s="71"/>
      <c r="C54" s="71"/>
      <c r="D54" s="72"/>
      <c r="E54" s="48"/>
      <c r="F54" s="48"/>
      <c r="G54" s="48"/>
      <c r="H54" s="48"/>
      <c r="I54" s="48"/>
      <c r="J54" s="48"/>
      <c r="K54" s="48"/>
      <c r="L54" s="48"/>
      <c r="M54" s="48"/>
      <c r="N54" s="48"/>
      <c r="O54" s="48"/>
      <c r="P54" s="48"/>
      <c r="Q54" s="48"/>
      <c r="R54" s="48"/>
      <c r="S54" s="48"/>
      <c r="T54" s="48"/>
      <c r="U54" s="35" t="s">
        <v>4</v>
      </c>
      <c r="V54" s="36"/>
      <c r="W54" s="36"/>
      <c r="X54" s="36"/>
      <c r="Y54" s="37"/>
      <c r="Z54" s="35" t="s">
        <v>3</v>
      </c>
      <c r="AA54" s="36"/>
      <c r="AB54" s="36"/>
      <c r="AC54" s="36"/>
      <c r="AD54" s="37"/>
      <c r="AE54" s="38" t="s">
        <v>116</v>
      </c>
      <c r="AF54" s="39"/>
      <c r="AG54" s="39"/>
      <c r="AH54" s="40"/>
      <c r="AI54" s="35" t="s">
        <v>5</v>
      </c>
      <c r="AJ54" s="36"/>
      <c r="AK54" s="36"/>
      <c r="AL54" s="36"/>
      <c r="AM54" s="37"/>
      <c r="AN54" s="35" t="s">
        <v>4</v>
      </c>
      <c r="AO54" s="36"/>
      <c r="AP54" s="36"/>
      <c r="AQ54" s="36"/>
      <c r="AR54" s="37"/>
      <c r="AS54" s="35" t="s">
        <v>3</v>
      </c>
      <c r="AT54" s="36"/>
      <c r="AU54" s="36"/>
      <c r="AV54" s="36"/>
      <c r="AW54" s="37"/>
      <c r="AX54" s="38" t="s">
        <v>116</v>
      </c>
      <c r="AY54" s="39"/>
      <c r="AZ54" s="39"/>
      <c r="BA54" s="40"/>
      <c r="BB54" s="35" t="s">
        <v>96</v>
      </c>
      <c r="BC54" s="36"/>
      <c r="BD54" s="36"/>
      <c r="BE54" s="36"/>
      <c r="BF54" s="37"/>
      <c r="BG54" s="35" t="s">
        <v>4</v>
      </c>
      <c r="BH54" s="36"/>
      <c r="BI54" s="36"/>
      <c r="BJ54" s="36"/>
      <c r="BK54" s="37"/>
      <c r="BL54" s="35" t="s">
        <v>3</v>
      </c>
      <c r="BM54" s="36"/>
      <c r="BN54" s="36"/>
      <c r="BO54" s="36"/>
      <c r="BP54" s="37"/>
      <c r="BQ54" s="38" t="s">
        <v>116</v>
      </c>
      <c r="BR54" s="39"/>
      <c r="BS54" s="39"/>
      <c r="BT54" s="40"/>
      <c r="BU54" s="35" t="s">
        <v>97</v>
      </c>
      <c r="BV54" s="36"/>
      <c r="BW54" s="36"/>
      <c r="BX54" s="36"/>
      <c r="BY54" s="37"/>
    </row>
    <row r="55" spans="1:79" ht="15" customHeight="1" x14ac:dyDescent="0.2">
      <c r="A55" s="35">
        <v>1</v>
      </c>
      <c r="B55" s="36"/>
      <c r="C55" s="36"/>
      <c r="D55" s="37"/>
      <c r="E55" s="35">
        <v>2</v>
      </c>
      <c r="F55" s="36"/>
      <c r="G55" s="36"/>
      <c r="H55" s="36"/>
      <c r="I55" s="36"/>
      <c r="J55" s="36"/>
      <c r="K55" s="36"/>
      <c r="L55" s="36"/>
      <c r="M55" s="36"/>
      <c r="N55" s="36"/>
      <c r="O55" s="36"/>
      <c r="P55" s="36"/>
      <c r="Q55" s="36"/>
      <c r="R55" s="36"/>
      <c r="S55" s="36"/>
      <c r="T55" s="37"/>
      <c r="U55" s="35">
        <v>3</v>
      </c>
      <c r="V55" s="36"/>
      <c r="W55" s="36"/>
      <c r="X55" s="36"/>
      <c r="Y55" s="37"/>
      <c r="Z55" s="35">
        <v>4</v>
      </c>
      <c r="AA55" s="36"/>
      <c r="AB55" s="36"/>
      <c r="AC55" s="36"/>
      <c r="AD55" s="37"/>
      <c r="AE55" s="35">
        <v>5</v>
      </c>
      <c r="AF55" s="36"/>
      <c r="AG55" s="36"/>
      <c r="AH55" s="37"/>
      <c r="AI55" s="35">
        <v>6</v>
      </c>
      <c r="AJ55" s="36"/>
      <c r="AK55" s="36"/>
      <c r="AL55" s="36"/>
      <c r="AM55" s="37"/>
      <c r="AN55" s="35">
        <v>7</v>
      </c>
      <c r="AO55" s="36"/>
      <c r="AP55" s="36"/>
      <c r="AQ55" s="36"/>
      <c r="AR55" s="37"/>
      <c r="AS55" s="35">
        <v>8</v>
      </c>
      <c r="AT55" s="36"/>
      <c r="AU55" s="36"/>
      <c r="AV55" s="36"/>
      <c r="AW55" s="37"/>
      <c r="AX55" s="35">
        <v>9</v>
      </c>
      <c r="AY55" s="36"/>
      <c r="AZ55" s="36"/>
      <c r="BA55" s="37"/>
      <c r="BB55" s="35">
        <v>10</v>
      </c>
      <c r="BC55" s="36"/>
      <c r="BD55" s="36"/>
      <c r="BE55" s="36"/>
      <c r="BF55" s="37"/>
      <c r="BG55" s="35">
        <v>11</v>
      </c>
      <c r="BH55" s="36"/>
      <c r="BI55" s="36"/>
      <c r="BJ55" s="36"/>
      <c r="BK55" s="37"/>
      <c r="BL55" s="35">
        <v>12</v>
      </c>
      <c r="BM55" s="36"/>
      <c r="BN55" s="36"/>
      <c r="BO55" s="36"/>
      <c r="BP55" s="37"/>
      <c r="BQ55" s="35">
        <v>13</v>
      </c>
      <c r="BR55" s="36"/>
      <c r="BS55" s="36"/>
      <c r="BT55" s="37"/>
      <c r="BU55" s="35">
        <v>14</v>
      </c>
      <c r="BV55" s="36"/>
      <c r="BW55" s="36"/>
      <c r="BX55" s="36"/>
      <c r="BY55" s="37"/>
    </row>
    <row r="56" spans="1:79" s="1" customFormat="1" ht="12.75" hidden="1" customHeight="1" x14ac:dyDescent="0.2">
      <c r="A56" s="62" t="s">
        <v>64</v>
      </c>
      <c r="B56" s="63"/>
      <c r="C56" s="63"/>
      <c r="D56" s="64"/>
      <c r="E56" s="62" t="s">
        <v>57</v>
      </c>
      <c r="F56" s="63"/>
      <c r="G56" s="63"/>
      <c r="H56" s="63"/>
      <c r="I56" s="63"/>
      <c r="J56" s="63"/>
      <c r="K56" s="63"/>
      <c r="L56" s="63"/>
      <c r="M56" s="63"/>
      <c r="N56" s="63"/>
      <c r="O56" s="63"/>
      <c r="P56" s="63"/>
      <c r="Q56" s="63"/>
      <c r="R56" s="63"/>
      <c r="S56" s="63"/>
      <c r="T56" s="64"/>
      <c r="U56" s="62" t="s">
        <v>65</v>
      </c>
      <c r="V56" s="63"/>
      <c r="W56" s="63"/>
      <c r="X56" s="63"/>
      <c r="Y56" s="64"/>
      <c r="Z56" s="62" t="s">
        <v>66</v>
      </c>
      <c r="AA56" s="63"/>
      <c r="AB56" s="63"/>
      <c r="AC56" s="63"/>
      <c r="AD56" s="64"/>
      <c r="AE56" s="62" t="s">
        <v>91</v>
      </c>
      <c r="AF56" s="63"/>
      <c r="AG56" s="63"/>
      <c r="AH56" s="64"/>
      <c r="AI56" s="49" t="s">
        <v>169</v>
      </c>
      <c r="AJ56" s="50"/>
      <c r="AK56" s="50"/>
      <c r="AL56" s="50"/>
      <c r="AM56" s="51"/>
      <c r="AN56" s="62" t="s">
        <v>67</v>
      </c>
      <c r="AO56" s="63"/>
      <c r="AP56" s="63"/>
      <c r="AQ56" s="63"/>
      <c r="AR56" s="64"/>
      <c r="AS56" s="62" t="s">
        <v>68</v>
      </c>
      <c r="AT56" s="63"/>
      <c r="AU56" s="63"/>
      <c r="AV56" s="63"/>
      <c r="AW56" s="64"/>
      <c r="AX56" s="62" t="s">
        <v>92</v>
      </c>
      <c r="AY56" s="63"/>
      <c r="AZ56" s="63"/>
      <c r="BA56" s="64"/>
      <c r="BB56" s="49" t="s">
        <v>169</v>
      </c>
      <c r="BC56" s="50"/>
      <c r="BD56" s="50"/>
      <c r="BE56" s="50"/>
      <c r="BF56" s="51"/>
      <c r="BG56" s="62" t="s">
        <v>58</v>
      </c>
      <c r="BH56" s="63"/>
      <c r="BI56" s="63"/>
      <c r="BJ56" s="63"/>
      <c r="BK56" s="64"/>
      <c r="BL56" s="62" t="s">
        <v>59</v>
      </c>
      <c r="BM56" s="63"/>
      <c r="BN56" s="63"/>
      <c r="BO56" s="63"/>
      <c r="BP56" s="64"/>
      <c r="BQ56" s="62" t="s">
        <v>93</v>
      </c>
      <c r="BR56" s="63"/>
      <c r="BS56" s="63"/>
      <c r="BT56" s="64"/>
      <c r="BU56" s="49" t="s">
        <v>169</v>
      </c>
      <c r="BV56" s="50"/>
      <c r="BW56" s="50"/>
      <c r="BX56" s="50"/>
      <c r="BY56" s="51"/>
      <c r="CA56" t="s">
        <v>25</v>
      </c>
    </row>
    <row r="57" spans="1:79" s="4" customFormat="1" ht="12.75" customHeight="1" x14ac:dyDescent="0.2">
      <c r="A57" s="52">
        <v>2111</v>
      </c>
      <c r="B57" s="53"/>
      <c r="C57" s="53"/>
      <c r="D57" s="54"/>
      <c r="E57" s="55" t="s">
        <v>178</v>
      </c>
      <c r="F57" s="56"/>
      <c r="G57" s="56"/>
      <c r="H57" s="56"/>
      <c r="I57" s="56"/>
      <c r="J57" s="56"/>
      <c r="K57" s="56"/>
      <c r="L57" s="56"/>
      <c r="M57" s="56"/>
      <c r="N57" s="56"/>
      <c r="O57" s="56"/>
      <c r="P57" s="56"/>
      <c r="Q57" s="56"/>
      <c r="R57" s="56"/>
      <c r="S57" s="56"/>
      <c r="T57" s="57"/>
      <c r="U57" s="59">
        <v>4907721</v>
      </c>
      <c r="V57" s="60"/>
      <c r="W57" s="60"/>
      <c r="X57" s="60"/>
      <c r="Y57" s="61"/>
      <c r="Z57" s="59">
        <v>0</v>
      </c>
      <c r="AA57" s="60"/>
      <c r="AB57" s="60"/>
      <c r="AC57" s="60"/>
      <c r="AD57" s="61"/>
      <c r="AE57" s="59">
        <v>0</v>
      </c>
      <c r="AF57" s="60"/>
      <c r="AG57" s="60"/>
      <c r="AH57" s="61"/>
      <c r="AI57" s="59">
        <f t="shared" ref="AI57:AI70" si="5">IF(ISNUMBER(U57),U57,0)+IF(ISNUMBER(Z57),Z57,0)</f>
        <v>4907721</v>
      </c>
      <c r="AJ57" s="60"/>
      <c r="AK57" s="60"/>
      <c r="AL57" s="60"/>
      <c r="AM57" s="61"/>
      <c r="AN57" s="59">
        <v>6090909</v>
      </c>
      <c r="AO57" s="60"/>
      <c r="AP57" s="60"/>
      <c r="AQ57" s="60"/>
      <c r="AR57" s="61"/>
      <c r="AS57" s="59">
        <v>0</v>
      </c>
      <c r="AT57" s="60"/>
      <c r="AU57" s="60"/>
      <c r="AV57" s="60"/>
      <c r="AW57" s="61"/>
      <c r="AX57" s="59">
        <v>0</v>
      </c>
      <c r="AY57" s="60"/>
      <c r="AZ57" s="60"/>
      <c r="BA57" s="61"/>
      <c r="BB57" s="59">
        <f t="shared" ref="BB57:BB70" si="6">IF(ISNUMBER(AN57),AN57,0)+IF(ISNUMBER(AS57),AS57,0)</f>
        <v>6090909</v>
      </c>
      <c r="BC57" s="60"/>
      <c r="BD57" s="60"/>
      <c r="BE57" s="60"/>
      <c r="BF57" s="61"/>
      <c r="BG57" s="59">
        <v>5403852</v>
      </c>
      <c r="BH57" s="60"/>
      <c r="BI57" s="60"/>
      <c r="BJ57" s="60"/>
      <c r="BK57" s="61"/>
      <c r="BL57" s="59">
        <v>0</v>
      </c>
      <c r="BM57" s="60"/>
      <c r="BN57" s="60"/>
      <c r="BO57" s="60"/>
      <c r="BP57" s="61"/>
      <c r="BQ57" s="59">
        <v>0</v>
      </c>
      <c r="BR57" s="60"/>
      <c r="BS57" s="60"/>
      <c r="BT57" s="61"/>
      <c r="BU57" s="59">
        <f t="shared" ref="BU57:BU70" si="7">IF(ISNUMBER(BG57),BG57,0)+IF(ISNUMBER(BL57),BL57,0)</f>
        <v>5403852</v>
      </c>
      <c r="BV57" s="60"/>
      <c r="BW57" s="60"/>
      <c r="BX57" s="60"/>
      <c r="BY57" s="61"/>
      <c r="CA57" s="4" t="s">
        <v>26</v>
      </c>
    </row>
    <row r="58" spans="1:79" s="4" customFormat="1" ht="12.75" customHeight="1" x14ac:dyDescent="0.2">
      <c r="A58" s="52">
        <v>2120</v>
      </c>
      <c r="B58" s="53"/>
      <c r="C58" s="53"/>
      <c r="D58" s="54"/>
      <c r="E58" s="55" t="s">
        <v>179</v>
      </c>
      <c r="F58" s="56"/>
      <c r="G58" s="56"/>
      <c r="H58" s="56"/>
      <c r="I58" s="56"/>
      <c r="J58" s="56"/>
      <c r="K58" s="56"/>
      <c r="L58" s="56"/>
      <c r="M58" s="56"/>
      <c r="N58" s="56"/>
      <c r="O58" s="56"/>
      <c r="P58" s="56"/>
      <c r="Q58" s="56"/>
      <c r="R58" s="56"/>
      <c r="S58" s="56"/>
      <c r="T58" s="57"/>
      <c r="U58" s="59">
        <v>1268037</v>
      </c>
      <c r="V58" s="60"/>
      <c r="W58" s="60"/>
      <c r="X58" s="60"/>
      <c r="Y58" s="61"/>
      <c r="Z58" s="59">
        <v>0</v>
      </c>
      <c r="AA58" s="60"/>
      <c r="AB58" s="60"/>
      <c r="AC58" s="60"/>
      <c r="AD58" s="61"/>
      <c r="AE58" s="59">
        <v>0</v>
      </c>
      <c r="AF58" s="60"/>
      <c r="AG58" s="60"/>
      <c r="AH58" s="61"/>
      <c r="AI58" s="59">
        <f t="shared" si="5"/>
        <v>1268037</v>
      </c>
      <c r="AJ58" s="60"/>
      <c r="AK58" s="60"/>
      <c r="AL58" s="60"/>
      <c r="AM58" s="61"/>
      <c r="AN58" s="59">
        <v>1386298</v>
      </c>
      <c r="AO58" s="60"/>
      <c r="AP58" s="60"/>
      <c r="AQ58" s="60"/>
      <c r="AR58" s="61"/>
      <c r="AS58" s="59">
        <v>0</v>
      </c>
      <c r="AT58" s="60"/>
      <c r="AU58" s="60"/>
      <c r="AV58" s="60"/>
      <c r="AW58" s="61"/>
      <c r="AX58" s="59">
        <v>0</v>
      </c>
      <c r="AY58" s="60"/>
      <c r="AZ58" s="60"/>
      <c r="BA58" s="61"/>
      <c r="BB58" s="59">
        <f t="shared" si="6"/>
        <v>1386298</v>
      </c>
      <c r="BC58" s="60"/>
      <c r="BD58" s="60"/>
      <c r="BE58" s="60"/>
      <c r="BF58" s="61"/>
      <c r="BG58" s="59">
        <v>1260603</v>
      </c>
      <c r="BH58" s="60"/>
      <c r="BI58" s="60"/>
      <c r="BJ58" s="60"/>
      <c r="BK58" s="61"/>
      <c r="BL58" s="59">
        <v>0</v>
      </c>
      <c r="BM58" s="60"/>
      <c r="BN58" s="60"/>
      <c r="BO58" s="60"/>
      <c r="BP58" s="61"/>
      <c r="BQ58" s="59">
        <v>0</v>
      </c>
      <c r="BR58" s="60"/>
      <c r="BS58" s="60"/>
      <c r="BT58" s="61"/>
      <c r="BU58" s="59">
        <f t="shared" si="7"/>
        <v>1260603</v>
      </c>
      <c r="BV58" s="60"/>
      <c r="BW58" s="60"/>
      <c r="BX58" s="60"/>
      <c r="BY58" s="61"/>
    </row>
    <row r="59" spans="1:79" s="4" customFormat="1" ht="12.75" customHeight="1" x14ac:dyDescent="0.2">
      <c r="A59" s="52">
        <v>2210</v>
      </c>
      <c r="B59" s="53"/>
      <c r="C59" s="53"/>
      <c r="D59" s="54"/>
      <c r="E59" s="55" t="s">
        <v>180</v>
      </c>
      <c r="F59" s="56"/>
      <c r="G59" s="56"/>
      <c r="H59" s="56"/>
      <c r="I59" s="56"/>
      <c r="J59" s="56"/>
      <c r="K59" s="56"/>
      <c r="L59" s="56"/>
      <c r="M59" s="56"/>
      <c r="N59" s="56"/>
      <c r="O59" s="56"/>
      <c r="P59" s="56"/>
      <c r="Q59" s="56"/>
      <c r="R59" s="56"/>
      <c r="S59" s="56"/>
      <c r="T59" s="57"/>
      <c r="U59" s="59">
        <v>417811</v>
      </c>
      <c r="V59" s="60"/>
      <c r="W59" s="60"/>
      <c r="X59" s="60"/>
      <c r="Y59" s="61"/>
      <c r="Z59" s="59">
        <v>0</v>
      </c>
      <c r="AA59" s="60"/>
      <c r="AB59" s="60"/>
      <c r="AC59" s="60"/>
      <c r="AD59" s="61"/>
      <c r="AE59" s="59">
        <v>0</v>
      </c>
      <c r="AF59" s="60"/>
      <c r="AG59" s="60"/>
      <c r="AH59" s="61"/>
      <c r="AI59" s="59">
        <f t="shared" si="5"/>
        <v>417811</v>
      </c>
      <c r="AJ59" s="60"/>
      <c r="AK59" s="60"/>
      <c r="AL59" s="60"/>
      <c r="AM59" s="61"/>
      <c r="AN59" s="59">
        <v>341001</v>
      </c>
      <c r="AO59" s="60"/>
      <c r="AP59" s="60"/>
      <c r="AQ59" s="60"/>
      <c r="AR59" s="61"/>
      <c r="AS59" s="59">
        <v>0</v>
      </c>
      <c r="AT59" s="60"/>
      <c r="AU59" s="60"/>
      <c r="AV59" s="60"/>
      <c r="AW59" s="61"/>
      <c r="AX59" s="59">
        <v>0</v>
      </c>
      <c r="AY59" s="60"/>
      <c r="AZ59" s="60"/>
      <c r="BA59" s="61"/>
      <c r="BB59" s="59">
        <f t="shared" si="6"/>
        <v>341001</v>
      </c>
      <c r="BC59" s="60"/>
      <c r="BD59" s="60"/>
      <c r="BE59" s="60"/>
      <c r="BF59" s="61"/>
      <c r="BG59" s="59">
        <v>257675</v>
      </c>
      <c r="BH59" s="60"/>
      <c r="BI59" s="60"/>
      <c r="BJ59" s="60"/>
      <c r="BK59" s="61"/>
      <c r="BL59" s="59">
        <v>0</v>
      </c>
      <c r="BM59" s="60"/>
      <c r="BN59" s="60"/>
      <c r="BO59" s="60"/>
      <c r="BP59" s="61"/>
      <c r="BQ59" s="59">
        <v>0</v>
      </c>
      <c r="BR59" s="60"/>
      <c r="BS59" s="60"/>
      <c r="BT59" s="61"/>
      <c r="BU59" s="59">
        <f t="shared" si="7"/>
        <v>257675</v>
      </c>
      <c r="BV59" s="60"/>
      <c r="BW59" s="60"/>
      <c r="BX59" s="60"/>
      <c r="BY59" s="61"/>
    </row>
    <row r="60" spans="1:79" s="4" customFormat="1" ht="12.75" customHeight="1" x14ac:dyDescent="0.2">
      <c r="A60" s="52">
        <v>2230</v>
      </c>
      <c r="B60" s="53"/>
      <c r="C60" s="53"/>
      <c r="D60" s="54"/>
      <c r="E60" s="55" t="s">
        <v>181</v>
      </c>
      <c r="F60" s="56"/>
      <c r="G60" s="56"/>
      <c r="H60" s="56"/>
      <c r="I60" s="56"/>
      <c r="J60" s="56"/>
      <c r="K60" s="56"/>
      <c r="L60" s="56"/>
      <c r="M60" s="56"/>
      <c r="N60" s="56"/>
      <c r="O60" s="56"/>
      <c r="P60" s="56"/>
      <c r="Q60" s="56"/>
      <c r="R60" s="56"/>
      <c r="S60" s="56"/>
      <c r="T60" s="57"/>
      <c r="U60" s="59">
        <v>0</v>
      </c>
      <c r="V60" s="60"/>
      <c r="W60" s="60"/>
      <c r="X60" s="60"/>
      <c r="Y60" s="61"/>
      <c r="Z60" s="59">
        <v>0</v>
      </c>
      <c r="AA60" s="60"/>
      <c r="AB60" s="60"/>
      <c r="AC60" s="60"/>
      <c r="AD60" s="61"/>
      <c r="AE60" s="59">
        <v>0</v>
      </c>
      <c r="AF60" s="60"/>
      <c r="AG60" s="60"/>
      <c r="AH60" s="61"/>
      <c r="AI60" s="59">
        <f t="shared" si="5"/>
        <v>0</v>
      </c>
      <c r="AJ60" s="60"/>
      <c r="AK60" s="60"/>
      <c r="AL60" s="60"/>
      <c r="AM60" s="61"/>
      <c r="AN60" s="59">
        <v>0</v>
      </c>
      <c r="AO60" s="60"/>
      <c r="AP60" s="60"/>
      <c r="AQ60" s="60"/>
      <c r="AR60" s="61"/>
      <c r="AS60" s="59">
        <v>0</v>
      </c>
      <c r="AT60" s="60"/>
      <c r="AU60" s="60"/>
      <c r="AV60" s="60"/>
      <c r="AW60" s="61"/>
      <c r="AX60" s="59">
        <v>0</v>
      </c>
      <c r="AY60" s="60"/>
      <c r="AZ60" s="60"/>
      <c r="BA60" s="61"/>
      <c r="BB60" s="59">
        <f t="shared" si="6"/>
        <v>0</v>
      </c>
      <c r="BC60" s="60"/>
      <c r="BD60" s="60"/>
      <c r="BE60" s="60"/>
      <c r="BF60" s="61"/>
      <c r="BG60" s="59">
        <v>643781</v>
      </c>
      <c r="BH60" s="60"/>
      <c r="BI60" s="60"/>
      <c r="BJ60" s="60"/>
      <c r="BK60" s="61"/>
      <c r="BL60" s="59">
        <v>0</v>
      </c>
      <c r="BM60" s="60"/>
      <c r="BN60" s="60"/>
      <c r="BO60" s="60"/>
      <c r="BP60" s="61"/>
      <c r="BQ60" s="59">
        <v>0</v>
      </c>
      <c r="BR60" s="60"/>
      <c r="BS60" s="60"/>
      <c r="BT60" s="61"/>
      <c r="BU60" s="59">
        <f t="shared" si="7"/>
        <v>643781</v>
      </c>
      <c r="BV60" s="60"/>
      <c r="BW60" s="60"/>
      <c r="BX60" s="60"/>
      <c r="BY60" s="61"/>
    </row>
    <row r="61" spans="1:79" s="4" customFormat="1" ht="12.75" customHeight="1" x14ac:dyDescent="0.2">
      <c r="A61" s="52">
        <v>2240</v>
      </c>
      <c r="B61" s="53"/>
      <c r="C61" s="53"/>
      <c r="D61" s="54"/>
      <c r="E61" s="55" t="s">
        <v>182</v>
      </c>
      <c r="F61" s="56"/>
      <c r="G61" s="56"/>
      <c r="H61" s="56"/>
      <c r="I61" s="56"/>
      <c r="J61" s="56"/>
      <c r="K61" s="56"/>
      <c r="L61" s="56"/>
      <c r="M61" s="56"/>
      <c r="N61" s="56"/>
      <c r="O61" s="56"/>
      <c r="P61" s="56"/>
      <c r="Q61" s="56"/>
      <c r="R61" s="56"/>
      <c r="S61" s="56"/>
      <c r="T61" s="57"/>
      <c r="U61" s="59">
        <v>5323612</v>
      </c>
      <c r="V61" s="60"/>
      <c r="W61" s="60"/>
      <c r="X61" s="60"/>
      <c r="Y61" s="61"/>
      <c r="Z61" s="59">
        <v>0</v>
      </c>
      <c r="AA61" s="60"/>
      <c r="AB61" s="60"/>
      <c r="AC61" s="60"/>
      <c r="AD61" s="61"/>
      <c r="AE61" s="59">
        <v>0</v>
      </c>
      <c r="AF61" s="60"/>
      <c r="AG61" s="60"/>
      <c r="AH61" s="61"/>
      <c r="AI61" s="59">
        <f t="shared" si="5"/>
        <v>5323612</v>
      </c>
      <c r="AJ61" s="60"/>
      <c r="AK61" s="60"/>
      <c r="AL61" s="60"/>
      <c r="AM61" s="61"/>
      <c r="AN61" s="59">
        <v>4353324</v>
      </c>
      <c r="AO61" s="60"/>
      <c r="AP61" s="60"/>
      <c r="AQ61" s="60"/>
      <c r="AR61" s="61"/>
      <c r="AS61" s="59">
        <v>0</v>
      </c>
      <c r="AT61" s="60"/>
      <c r="AU61" s="60"/>
      <c r="AV61" s="60"/>
      <c r="AW61" s="61"/>
      <c r="AX61" s="59">
        <v>0</v>
      </c>
      <c r="AY61" s="60"/>
      <c r="AZ61" s="60"/>
      <c r="BA61" s="61"/>
      <c r="BB61" s="59">
        <f t="shared" si="6"/>
        <v>4353324</v>
      </c>
      <c r="BC61" s="60"/>
      <c r="BD61" s="60"/>
      <c r="BE61" s="60"/>
      <c r="BF61" s="61"/>
      <c r="BG61" s="59">
        <v>3848487</v>
      </c>
      <c r="BH61" s="60"/>
      <c r="BI61" s="60"/>
      <c r="BJ61" s="60"/>
      <c r="BK61" s="61"/>
      <c r="BL61" s="59">
        <v>0</v>
      </c>
      <c r="BM61" s="60"/>
      <c r="BN61" s="60"/>
      <c r="BO61" s="60"/>
      <c r="BP61" s="61"/>
      <c r="BQ61" s="59">
        <v>0</v>
      </c>
      <c r="BR61" s="60"/>
      <c r="BS61" s="60"/>
      <c r="BT61" s="61"/>
      <c r="BU61" s="59">
        <f t="shared" si="7"/>
        <v>3848487</v>
      </c>
      <c r="BV61" s="60"/>
      <c r="BW61" s="60"/>
      <c r="BX61" s="60"/>
      <c r="BY61" s="61"/>
    </row>
    <row r="62" spans="1:79" s="4" customFormat="1" ht="12.75" customHeight="1" x14ac:dyDescent="0.2">
      <c r="A62" s="52">
        <v>2272</v>
      </c>
      <c r="B62" s="53"/>
      <c r="C62" s="53"/>
      <c r="D62" s="54"/>
      <c r="E62" s="55" t="s">
        <v>183</v>
      </c>
      <c r="F62" s="56"/>
      <c r="G62" s="56"/>
      <c r="H62" s="56"/>
      <c r="I62" s="56"/>
      <c r="J62" s="56"/>
      <c r="K62" s="56"/>
      <c r="L62" s="56"/>
      <c r="M62" s="56"/>
      <c r="N62" s="56"/>
      <c r="O62" s="56"/>
      <c r="P62" s="56"/>
      <c r="Q62" s="56"/>
      <c r="R62" s="56"/>
      <c r="S62" s="56"/>
      <c r="T62" s="57"/>
      <c r="U62" s="59">
        <v>24562</v>
      </c>
      <c r="V62" s="60"/>
      <c r="W62" s="60"/>
      <c r="X62" s="60"/>
      <c r="Y62" s="61"/>
      <c r="Z62" s="59">
        <v>0</v>
      </c>
      <c r="AA62" s="60"/>
      <c r="AB62" s="60"/>
      <c r="AC62" s="60"/>
      <c r="AD62" s="61"/>
      <c r="AE62" s="59">
        <v>0</v>
      </c>
      <c r="AF62" s="60"/>
      <c r="AG62" s="60"/>
      <c r="AH62" s="61"/>
      <c r="AI62" s="59">
        <f t="shared" si="5"/>
        <v>24562</v>
      </c>
      <c r="AJ62" s="60"/>
      <c r="AK62" s="60"/>
      <c r="AL62" s="60"/>
      <c r="AM62" s="61"/>
      <c r="AN62" s="59">
        <v>135131</v>
      </c>
      <c r="AO62" s="60"/>
      <c r="AP62" s="60"/>
      <c r="AQ62" s="60"/>
      <c r="AR62" s="61"/>
      <c r="AS62" s="59">
        <v>0</v>
      </c>
      <c r="AT62" s="60"/>
      <c r="AU62" s="60"/>
      <c r="AV62" s="60"/>
      <c r="AW62" s="61"/>
      <c r="AX62" s="59">
        <v>0</v>
      </c>
      <c r="AY62" s="60"/>
      <c r="AZ62" s="60"/>
      <c r="BA62" s="61"/>
      <c r="BB62" s="59">
        <f t="shared" si="6"/>
        <v>135131</v>
      </c>
      <c r="BC62" s="60"/>
      <c r="BD62" s="60"/>
      <c r="BE62" s="60"/>
      <c r="BF62" s="61"/>
      <c r="BG62" s="59">
        <v>109960</v>
      </c>
      <c r="BH62" s="60"/>
      <c r="BI62" s="60"/>
      <c r="BJ62" s="60"/>
      <c r="BK62" s="61"/>
      <c r="BL62" s="59">
        <v>0</v>
      </c>
      <c r="BM62" s="60"/>
      <c r="BN62" s="60"/>
      <c r="BO62" s="60"/>
      <c r="BP62" s="61"/>
      <c r="BQ62" s="59">
        <v>0</v>
      </c>
      <c r="BR62" s="60"/>
      <c r="BS62" s="60"/>
      <c r="BT62" s="61"/>
      <c r="BU62" s="59">
        <f t="shared" si="7"/>
        <v>109960</v>
      </c>
      <c r="BV62" s="60"/>
      <c r="BW62" s="60"/>
      <c r="BX62" s="60"/>
      <c r="BY62" s="61"/>
    </row>
    <row r="63" spans="1:79" s="4" customFormat="1" ht="12.75" customHeight="1" x14ac:dyDescent="0.2">
      <c r="A63" s="52">
        <v>2273</v>
      </c>
      <c r="B63" s="53"/>
      <c r="C63" s="53"/>
      <c r="D63" s="54"/>
      <c r="E63" s="55" t="s">
        <v>184</v>
      </c>
      <c r="F63" s="56"/>
      <c r="G63" s="56"/>
      <c r="H63" s="56"/>
      <c r="I63" s="56"/>
      <c r="J63" s="56"/>
      <c r="K63" s="56"/>
      <c r="L63" s="56"/>
      <c r="M63" s="56"/>
      <c r="N63" s="56"/>
      <c r="O63" s="56"/>
      <c r="P63" s="56"/>
      <c r="Q63" s="56"/>
      <c r="R63" s="56"/>
      <c r="S63" s="56"/>
      <c r="T63" s="57"/>
      <c r="U63" s="59">
        <v>1928405</v>
      </c>
      <c r="V63" s="60"/>
      <c r="W63" s="60"/>
      <c r="X63" s="60"/>
      <c r="Y63" s="61"/>
      <c r="Z63" s="59">
        <v>0</v>
      </c>
      <c r="AA63" s="60"/>
      <c r="AB63" s="60"/>
      <c r="AC63" s="60"/>
      <c r="AD63" s="61"/>
      <c r="AE63" s="59">
        <v>0</v>
      </c>
      <c r="AF63" s="60"/>
      <c r="AG63" s="60"/>
      <c r="AH63" s="61"/>
      <c r="AI63" s="59">
        <f t="shared" si="5"/>
        <v>1928405</v>
      </c>
      <c r="AJ63" s="60"/>
      <c r="AK63" s="60"/>
      <c r="AL63" s="60"/>
      <c r="AM63" s="61"/>
      <c r="AN63" s="59">
        <v>4889255</v>
      </c>
      <c r="AO63" s="60"/>
      <c r="AP63" s="60"/>
      <c r="AQ63" s="60"/>
      <c r="AR63" s="61"/>
      <c r="AS63" s="59">
        <v>0</v>
      </c>
      <c r="AT63" s="60"/>
      <c r="AU63" s="60"/>
      <c r="AV63" s="60"/>
      <c r="AW63" s="61"/>
      <c r="AX63" s="59">
        <v>0</v>
      </c>
      <c r="AY63" s="60"/>
      <c r="AZ63" s="60"/>
      <c r="BA63" s="61"/>
      <c r="BB63" s="59">
        <f t="shared" si="6"/>
        <v>4889255</v>
      </c>
      <c r="BC63" s="60"/>
      <c r="BD63" s="60"/>
      <c r="BE63" s="60"/>
      <c r="BF63" s="61"/>
      <c r="BG63" s="59">
        <v>7132950</v>
      </c>
      <c r="BH63" s="60"/>
      <c r="BI63" s="60"/>
      <c r="BJ63" s="60"/>
      <c r="BK63" s="61"/>
      <c r="BL63" s="59">
        <v>0</v>
      </c>
      <c r="BM63" s="60"/>
      <c r="BN63" s="60"/>
      <c r="BO63" s="60"/>
      <c r="BP63" s="61"/>
      <c r="BQ63" s="59">
        <v>0</v>
      </c>
      <c r="BR63" s="60"/>
      <c r="BS63" s="60"/>
      <c r="BT63" s="61"/>
      <c r="BU63" s="59">
        <f t="shared" si="7"/>
        <v>7132950</v>
      </c>
      <c r="BV63" s="60"/>
      <c r="BW63" s="60"/>
      <c r="BX63" s="60"/>
      <c r="BY63" s="61"/>
    </row>
    <row r="64" spans="1:79" s="4" customFormat="1" ht="12.75" customHeight="1" x14ac:dyDescent="0.2">
      <c r="A64" s="52">
        <v>2274</v>
      </c>
      <c r="B64" s="53"/>
      <c r="C64" s="53"/>
      <c r="D64" s="54"/>
      <c r="E64" s="55" t="s">
        <v>185</v>
      </c>
      <c r="F64" s="56"/>
      <c r="G64" s="56"/>
      <c r="H64" s="56"/>
      <c r="I64" s="56"/>
      <c r="J64" s="56"/>
      <c r="K64" s="56"/>
      <c r="L64" s="56"/>
      <c r="M64" s="56"/>
      <c r="N64" s="56"/>
      <c r="O64" s="56"/>
      <c r="P64" s="56"/>
      <c r="Q64" s="56"/>
      <c r="R64" s="56"/>
      <c r="S64" s="56"/>
      <c r="T64" s="57"/>
      <c r="U64" s="59">
        <v>1163160</v>
      </c>
      <c r="V64" s="60"/>
      <c r="W64" s="60"/>
      <c r="X64" s="60"/>
      <c r="Y64" s="61"/>
      <c r="Z64" s="59">
        <v>0</v>
      </c>
      <c r="AA64" s="60"/>
      <c r="AB64" s="60"/>
      <c r="AC64" s="60"/>
      <c r="AD64" s="61"/>
      <c r="AE64" s="59">
        <v>0</v>
      </c>
      <c r="AF64" s="60"/>
      <c r="AG64" s="60"/>
      <c r="AH64" s="61"/>
      <c r="AI64" s="59">
        <f t="shared" si="5"/>
        <v>1163160</v>
      </c>
      <c r="AJ64" s="60"/>
      <c r="AK64" s="60"/>
      <c r="AL64" s="60"/>
      <c r="AM64" s="61"/>
      <c r="AN64" s="59">
        <v>2460918</v>
      </c>
      <c r="AO64" s="60"/>
      <c r="AP64" s="60"/>
      <c r="AQ64" s="60"/>
      <c r="AR64" s="61"/>
      <c r="AS64" s="59">
        <v>0</v>
      </c>
      <c r="AT64" s="60"/>
      <c r="AU64" s="60"/>
      <c r="AV64" s="60"/>
      <c r="AW64" s="61"/>
      <c r="AX64" s="59">
        <v>0</v>
      </c>
      <c r="AY64" s="60"/>
      <c r="AZ64" s="60"/>
      <c r="BA64" s="61"/>
      <c r="BB64" s="59">
        <f t="shared" si="6"/>
        <v>2460918</v>
      </c>
      <c r="BC64" s="60"/>
      <c r="BD64" s="60"/>
      <c r="BE64" s="60"/>
      <c r="BF64" s="61"/>
      <c r="BG64" s="59">
        <v>2435963</v>
      </c>
      <c r="BH64" s="60"/>
      <c r="BI64" s="60"/>
      <c r="BJ64" s="60"/>
      <c r="BK64" s="61"/>
      <c r="BL64" s="59">
        <v>0</v>
      </c>
      <c r="BM64" s="60"/>
      <c r="BN64" s="60"/>
      <c r="BO64" s="60"/>
      <c r="BP64" s="61"/>
      <c r="BQ64" s="59">
        <v>0</v>
      </c>
      <c r="BR64" s="60"/>
      <c r="BS64" s="60"/>
      <c r="BT64" s="61"/>
      <c r="BU64" s="59">
        <f t="shared" si="7"/>
        <v>2435963</v>
      </c>
      <c r="BV64" s="60"/>
      <c r="BW64" s="60"/>
      <c r="BX64" s="60"/>
      <c r="BY64" s="61"/>
    </row>
    <row r="65" spans="1:79" s="4" customFormat="1" ht="25.5" customHeight="1" x14ac:dyDescent="0.2">
      <c r="A65" s="52">
        <v>2275</v>
      </c>
      <c r="B65" s="53"/>
      <c r="C65" s="53"/>
      <c r="D65" s="54"/>
      <c r="E65" s="55" t="s">
        <v>186</v>
      </c>
      <c r="F65" s="56"/>
      <c r="G65" s="56"/>
      <c r="H65" s="56"/>
      <c r="I65" s="56"/>
      <c r="J65" s="56"/>
      <c r="K65" s="56"/>
      <c r="L65" s="56"/>
      <c r="M65" s="56"/>
      <c r="N65" s="56"/>
      <c r="O65" s="56"/>
      <c r="P65" s="56"/>
      <c r="Q65" s="56"/>
      <c r="R65" s="56"/>
      <c r="S65" s="56"/>
      <c r="T65" s="57"/>
      <c r="U65" s="59">
        <v>947177</v>
      </c>
      <c r="V65" s="60"/>
      <c r="W65" s="60"/>
      <c r="X65" s="60"/>
      <c r="Y65" s="61"/>
      <c r="Z65" s="59">
        <v>0</v>
      </c>
      <c r="AA65" s="60"/>
      <c r="AB65" s="60"/>
      <c r="AC65" s="60"/>
      <c r="AD65" s="61"/>
      <c r="AE65" s="59">
        <v>0</v>
      </c>
      <c r="AF65" s="60"/>
      <c r="AG65" s="60"/>
      <c r="AH65" s="61"/>
      <c r="AI65" s="59">
        <f t="shared" si="5"/>
        <v>947177</v>
      </c>
      <c r="AJ65" s="60"/>
      <c r="AK65" s="60"/>
      <c r="AL65" s="60"/>
      <c r="AM65" s="61"/>
      <c r="AN65" s="59">
        <v>1269932</v>
      </c>
      <c r="AO65" s="60"/>
      <c r="AP65" s="60"/>
      <c r="AQ65" s="60"/>
      <c r="AR65" s="61"/>
      <c r="AS65" s="59">
        <v>0</v>
      </c>
      <c r="AT65" s="60"/>
      <c r="AU65" s="60"/>
      <c r="AV65" s="60"/>
      <c r="AW65" s="61"/>
      <c r="AX65" s="59">
        <v>0</v>
      </c>
      <c r="AY65" s="60"/>
      <c r="AZ65" s="60"/>
      <c r="BA65" s="61"/>
      <c r="BB65" s="59">
        <f t="shared" si="6"/>
        <v>1269932</v>
      </c>
      <c r="BC65" s="60"/>
      <c r="BD65" s="60"/>
      <c r="BE65" s="60"/>
      <c r="BF65" s="61"/>
      <c r="BG65" s="59">
        <v>468194</v>
      </c>
      <c r="BH65" s="60"/>
      <c r="BI65" s="60"/>
      <c r="BJ65" s="60"/>
      <c r="BK65" s="61"/>
      <c r="BL65" s="59">
        <v>0</v>
      </c>
      <c r="BM65" s="60"/>
      <c r="BN65" s="60"/>
      <c r="BO65" s="60"/>
      <c r="BP65" s="61"/>
      <c r="BQ65" s="59">
        <v>0</v>
      </c>
      <c r="BR65" s="60"/>
      <c r="BS65" s="60"/>
      <c r="BT65" s="61"/>
      <c r="BU65" s="59">
        <f t="shared" si="7"/>
        <v>468194</v>
      </c>
      <c r="BV65" s="60"/>
      <c r="BW65" s="60"/>
      <c r="BX65" s="60"/>
      <c r="BY65" s="61"/>
    </row>
    <row r="66" spans="1:79" s="4" customFormat="1" ht="38.25" customHeight="1" x14ac:dyDescent="0.2">
      <c r="A66" s="52">
        <v>2282</v>
      </c>
      <c r="B66" s="53"/>
      <c r="C66" s="53"/>
      <c r="D66" s="54"/>
      <c r="E66" s="55" t="s">
        <v>187</v>
      </c>
      <c r="F66" s="56"/>
      <c r="G66" s="56"/>
      <c r="H66" s="56"/>
      <c r="I66" s="56"/>
      <c r="J66" s="56"/>
      <c r="K66" s="56"/>
      <c r="L66" s="56"/>
      <c r="M66" s="56"/>
      <c r="N66" s="56"/>
      <c r="O66" s="56"/>
      <c r="P66" s="56"/>
      <c r="Q66" s="56"/>
      <c r="R66" s="56"/>
      <c r="S66" s="56"/>
      <c r="T66" s="57"/>
      <c r="U66" s="59">
        <v>18850</v>
      </c>
      <c r="V66" s="60"/>
      <c r="W66" s="60"/>
      <c r="X66" s="60"/>
      <c r="Y66" s="61"/>
      <c r="Z66" s="59">
        <v>0</v>
      </c>
      <c r="AA66" s="60"/>
      <c r="AB66" s="60"/>
      <c r="AC66" s="60"/>
      <c r="AD66" s="61"/>
      <c r="AE66" s="59">
        <v>0</v>
      </c>
      <c r="AF66" s="60"/>
      <c r="AG66" s="60"/>
      <c r="AH66" s="61"/>
      <c r="AI66" s="59">
        <f t="shared" si="5"/>
        <v>18850</v>
      </c>
      <c r="AJ66" s="60"/>
      <c r="AK66" s="60"/>
      <c r="AL66" s="60"/>
      <c r="AM66" s="61"/>
      <c r="AN66" s="59">
        <v>29600</v>
      </c>
      <c r="AO66" s="60"/>
      <c r="AP66" s="60"/>
      <c r="AQ66" s="60"/>
      <c r="AR66" s="61"/>
      <c r="AS66" s="59">
        <v>0</v>
      </c>
      <c r="AT66" s="60"/>
      <c r="AU66" s="60"/>
      <c r="AV66" s="60"/>
      <c r="AW66" s="61"/>
      <c r="AX66" s="59">
        <v>0</v>
      </c>
      <c r="AY66" s="60"/>
      <c r="AZ66" s="60"/>
      <c r="BA66" s="61"/>
      <c r="BB66" s="59">
        <f t="shared" si="6"/>
        <v>29600</v>
      </c>
      <c r="BC66" s="60"/>
      <c r="BD66" s="60"/>
      <c r="BE66" s="60"/>
      <c r="BF66" s="61"/>
      <c r="BG66" s="59">
        <v>30600</v>
      </c>
      <c r="BH66" s="60"/>
      <c r="BI66" s="60"/>
      <c r="BJ66" s="60"/>
      <c r="BK66" s="61"/>
      <c r="BL66" s="59">
        <v>0</v>
      </c>
      <c r="BM66" s="60"/>
      <c r="BN66" s="60"/>
      <c r="BO66" s="60"/>
      <c r="BP66" s="61"/>
      <c r="BQ66" s="59">
        <v>0</v>
      </c>
      <c r="BR66" s="60"/>
      <c r="BS66" s="60"/>
      <c r="BT66" s="61"/>
      <c r="BU66" s="59">
        <f t="shared" si="7"/>
        <v>30600</v>
      </c>
      <c r="BV66" s="60"/>
      <c r="BW66" s="60"/>
      <c r="BX66" s="60"/>
      <c r="BY66" s="61"/>
    </row>
    <row r="67" spans="1:79" s="4" customFormat="1" ht="12.75" customHeight="1" x14ac:dyDescent="0.2">
      <c r="A67" s="52">
        <v>2800</v>
      </c>
      <c r="B67" s="53"/>
      <c r="C67" s="53"/>
      <c r="D67" s="54"/>
      <c r="E67" s="55" t="s">
        <v>188</v>
      </c>
      <c r="F67" s="56"/>
      <c r="G67" s="56"/>
      <c r="H67" s="56"/>
      <c r="I67" s="56"/>
      <c r="J67" s="56"/>
      <c r="K67" s="56"/>
      <c r="L67" s="56"/>
      <c r="M67" s="56"/>
      <c r="N67" s="56"/>
      <c r="O67" s="56"/>
      <c r="P67" s="56"/>
      <c r="Q67" s="56"/>
      <c r="R67" s="56"/>
      <c r="S67" s="56"/>
      <c r="T67" s="57"/>
      <c r="U67" s="59">
        <v>2500</v>
      </c>
      <c r="V67" s="60"/>
      <c r="W67" s="60"/>
      <c r="X67" s="60"/>
      <c r="Y67" s="61"/>
      <c r="Z67" s="59">
        <v>0</v>
      </c>
      <c r="AA67" s="60"/>
      <c r="AB67" s="60"/>
      <c r="AC67" s="60"/>
      <c r="AD67" s="61"/>
      <c r="AE67" s="59">
        <v>0</v>
      </c>
      <c r="AF67" s="60"/>
      <c r="AG67" s="60"/>
      <c r="AH67" s="61"/>
      <c r="AI67" s="59">
        <f t="shared" si="5"/>
        <v>2500</v>
      </c>
      <c r="AJ67" s="60"/>
      <c r="AK67" s="60"/>
      <c r="AL67" s="60"/>
      <c r="AM67" s="61"/>
      <c r="AN67" s="59">
        <v>3000</v>
      </c>
      <c r="AO67" s="60"/>
      <c r="AP67" s="60"/>
      <c r="AQ67" s="60"/>
      <c r="AR67" s="61"/>
      <c r="AS67" s="59">
        <v>0</v>
      </c>
      <c r="AT67" s="60"/>
      <c r="AU67" s="60"/>
      <c r="AV67" s="60"/>
      <c r="AW67" s="61"/>
      <c r="AX67" s="59">
        <v>0</v>
      </c>
      <c r="AY67" s="60"/>
      <c r="AZ67" s="60"/>
      <c r="BA67" s="61"/>
      <c r="BB67" s="59">
        <f t="shared" si="6"/>
        <v>3000</v>
      </c>
      <c r="BC67" s="60"/>
      <c r="BD67" s="60"/>
      <c r="BE67" s="60"/>
      <c r="BF67" s="61"/>
      <c r="BG67" s="59">
        <v>2000</v>
      </c>
      <c r="BH67" s="60"/>
      <c r="BI67" s="60"/>
      <c r="BJ67" s="60"/>
      <c r="BK67" s="61"/>
      <c r="BL67" s="59">
        <v>0</v>
      </c>
      <c r="BM67" s="60"/>
      <c r="BN67" s="60"/>
      <c r="BO67" s="60"/>
      <c r="BP67" s="61"/>
      <c r="BQ67" s="59">
        <v>0</v>
      </c>
      <c r="BR67" s="60"/>
      <c r="BS67" s="60"/>
      <c r="BT67" s="61"/>
      <c r="BU67" s="59">
        <f t="shared" si="7"/>
        <v>2000</v>
      </c>
      <c r="BV67" s="60"/>
      <c r="BW67" s="60"/>
      <c r="BX67" s="60"/>
      <c r="BY67" s="61"/>
    </row>
    <row r="68" spans="1:79" s="4" customFormat="1" ht="25.5" customHeight="1" x14ac:dyDescent="0.2">
      <c r="A68" s="52">
        <v>3110</v>
      </c>
      <c r="B68" s="53"/>
      <c r="C68" s="53"/>
      <c r="D68" s="54"/>
      <c r="E68" s="55" t="s">
        <v>189</v>
      </c>
      <c r="F68" s="56"/>
      <c r="G68" s="56"/>
      <c r="H68" s="56"/>
      <c r="I68" s="56"/>
      <c r="J68" s="56"/>
      <c r="K68" s="56"/>
      <c r="L68" s="56"/>
      <c r="M68" s="56"/>
      <c r="N68" s="56"/>
      <c r="O68" s="56"/>
      <c r="P68" s="56"/>
      <c r="Q68" s="56"/>
      <c r="R68" s="56"/>
      <c r="S68" s="56"/>
      <c r="T68" s="57"/>
      <c r="U68" s="59">
        <v>0</v>
      </c>
      <c r="V68" s="60"/>
      <c r="W68" s="60"/>
      <c r="X68" s="60"/>
      <c r="Y68" s="61"/>
      <c r="Z68" s="59">
        <v>159825</v>
      </c>
      <c r="AA68" s="60"/>
      <c r="AB68" s="60"/>
      <c r="AC68" s="60"/>
      <c r="AD68" s="61"/>
      <c r="AE68" s="59">
        <v>154832</v>
      </c>
      <c r="AF68" s="60"/>
      <c r="AG68" s="60"/>
      <c r="AH68" s="61"/>
      <c r="AI68" s="59">
        <f t="shared" si="5"/>
        <v>159825</v>
      </c>
      <c r="AJ68" s="60"/>
      <c r="AK68" s="60"/>
      <c r="AL68" s="60"/>
      <c r="AM68" s="61"/>
      <c r="AN68" s="59">
        <v>0</v>
      </c>
      <c r="AO68" s="60"/>
      <c r="AP68" s="60"/>
      <c r="AQ68" s="60"/>
      <c r="AR68" s="61"/>
      <c r="AS68" s="59">
        <v>0</v>
      </c>
      <c r="AT68" s="60"/>
      <c r="AU68" s="60"/>
      <c r="AV68" s="60"/>
      <c r="AW68" s="61"/>
      <c r="AX68" s="59">
        <v>0</v>
      </c>
      <c r="AY68" s="60"/>
      <c r="AZ68" s="60"/>
      <c r="BA68" s="61"/>
      <c r="BB68" s="59">
        <f t="shared" si="6"/>
        <v>0</v>
      </c>
      <c r="BC68" s="60"/>
      <c r="BD68" s="60"/>
      <c r="BE68" s="60"/>
      <c r="BF68" s="61"/>
      <c r="BG68" s="59">
        <v>0</v>
      </c>
      <c r="BH68" s="60"/>
      <c r="BI68" s="60"/>
      <c r="BJ68" s="60"/>
      <c r="BK68" s="61"/>
      <c r="BL68" s="59">
        <v>0</v>
      </c>
      <c r="BM68" s="60"/>
      <c r="BN68" s="60"/>
      <c r="BO68" s="60"/>
      <c r="BP68" s="61"/>
      <c r="BQ68" s="59">
        <v>0</v>
      </c>
      <c r="BR68" s="60"/>
      <c r="BS68" s="60"/>
      <c r="BT68" s="61"/>
      <c r="BU68" s="59">
        <f t="shared" si="7"/>
        <v>0</v>
      </c>
      <c r="BV68" s="60"/>
      <c r="BW68" s="60"/>
      <c r="BX68" s="60"/>
      <c r="BY68" s="61"/>
    </row>
    <row r="69" spans="1:79" s="4" customFormat="1" ht="12.75" customHeight="1" x14ac:dyDescent="0.2">
      <c r="A69" s="52">
        <v>3132</v>
      </c>
      <c r="B69" s="53"/>
      <c r="C69" s="53"/>
      <c r="D69" s="54"/>
      <c r="E69" s="55" t="s">
        <v>190</v>
      </c>
      <c r="F69" s="56"/>
      <c r="G69" s="56"/>
      <c r="H69" s="56"/>
      <c r="I69" s="56"/>
      <c r="J69" s="56"/>
      <c r="K69" s="56"/>
      <c r="L69" s="56"/>
      <c r="M69" s="56"/>
      <c r="N69" s="56"/>
      <c r="O69" s="56"/>
      <c r="P69" s="56"/>
      <c r="Q69" s="56"/>
      <c r="R69" s="56"/>
      <c r="S69" s="56"/>
      <c r="T69" s="57"/>
      <c r="U69" s="59">
        <v>0</v>
      </c>
      <c r="V69" s="60"/>
      <c r="W69" s="60"/>
      <c r="X69" s="60"/>
      <c r="Y69" s="61"/>
      <c r="Z69" s="59">
        <v>556900</v>
      </c>
      <c r="AA69" s="60"/>
      <c r="AB69" s="60"/>
      <c r="AC69" s="60"/>
      <c r="AD69" s="61"/>
      <c r="AE69" s="59">
        <v>556900</v>
      </c>
      <c r="AF69" s="60"/>
      <c r="AG69" s="60"/>
      <c r="AH69" s="61"/>
      <c r="AI69" s="59">
        <f t="shared" si="5"/>
        <v>556900</v>
      </c>
      <c r="AJ69" s="60"/>
      <c r="AK69" s="60"/>
      <c r="AL69" s="60"/>
      <c r="AM69" s="61"/>
      <c r="AN69" s="59">
        <v>0</v>
      </c>
      <c r="AO69" s="60"/>
      <c r="AP69" s="60"/>
      <c r="AQ69" s="60"/>
      <c r="AR69" s="61"/>
      <c r="AS69" s="59">
        <v>0</v>
      </c>
      <c r="AT69" s="60"/>
      <c r="AU69" s="60"/>
      <c r="AV69" s="60"/>
      <c r="AW69" s="61"/>
      <c r="AX69" s="59">
        <v>0</v>
      </c>
      <c r="AY69" s="60"/>
      <c r="AZ69" s="60"/>
      <c r="BA69" s="61"/>
      <c r="BB69" s="59">
        <f t="shared" si="6"/>
        <v>0</v>
      </c>
      <c r="BC69" s="60"/>
      <c r="BD69" s="60"/>
      <c r="BE69" s="60"/>
      <c r="BF69" s="61"/>
      <c r="BG69" s="59">
        <v>0</v>
      </c>
      <c r="BH69" s="60"/>
      <c r="BI69" s="60"/>
      <c r="BJ69" s="60"/>
      <c r="BK69" s="61"/>
      <c r="BL69" s="59">
        <v>0</v>
      </c>
      <c r="BM69" s="60"/>
      <c r="BN69" s="60"/>
      <c r="BO69" s="60"/>
      <c r="BP69" s="61"/>
      <c r="BQ69" s="59">
        <v>0</v>
      </c>
      <c r="BR69" s="60"/>
      <c r="BS69" s="60"/>
      <c r="BT69" s="61"/>
      <c r="BU69" s="59">
        <f t="shared" si="7"/>
        <v>0</v>
      </c>
      <c r="BV69" s="60"/>
      <c r="BW69" s="60"/>
      <c r="BX69" s="60"/>
      <c r="BY69" s="61"/>
    </row>
    <row r="70" spans="1:79" s="5" customFormat="1" ht="12.75" customHeight="1" x14ac:dyDescent="0.2">
      <c r="A70" s="77"/>
      <c r="B70" s="78"/>
      <c r="C70" s="78"/>
      <c r="D70" s="79"/>
      <c r="E70" s="96" t="s">
        <v>147</v>
      </c>
      <c r="F70" s="97"/>
      <c r="G70" s="97"/>
      <c r="H70" s="97"/>
      <c r="I70" s="97"/>
      <c r="J70" s="97"/>
      <c r="K70" s="97"/>
      <c r="L70" s="97"/>
      <c r="M70" s="97"/>
      <c r="N70" s="97"/>
      <c r="O70" s="97"/>
      <c r="P70" s="97"/>
      <c r="Q70" s="97"/>
      <c r="R70" s="97"/>
      <c r="S70" s="97"/>
      <c r="T70" s="98"/>
      <c r="U70" s="74">
        <v>16001835</v>
      </c>
      <c r="V70" s="75"/>
      <c r="W70" s="75"/>
      <c r="X70" s="75"/>
      <c r="Y70" s="76"/>
      <c r="Z70" s="74">
        <v>716725</v>
      </c>
      <c r="AA70" s="75"/>
      <c r="AB70" s="75"/>
      <c r="AC70" s="75"/>
      <c r="AD70" s="76"/>
      <c r="AE70" s="74">
        <v>711732</v>
      </c>
      <c r="AF70" s="75"/>
      <c r="AG70" s="75"/>
      <c r="AH70" s="76"/>
      <c r="AI70" s="74">
        <f t="shared" si="5"/>
        <v>16718560</v>
      </c>
      <c r="AJ70" s="75"/>
      <c r="AK70" s="75"/>
      <c r="AL70" s="75"/>
      <c r="AM70" s="76"/>
      <c r="AN70" s="74">
        <v>20959368</v>
      </c>
      <c r="AO70" s="75"/>
      <c r="AP70" s="75"/>
      <c r="AQ70" s="75"/>
      <c r="AR70" s="76"/>
      <c r="AS70" s="74">
        <v>0</v>
      </c>
      <c r="AT70" s="75"/>
      <c r="AU70" s="75"/>
      <c r="AV70" s="75"/>
      <c r="AW70" s="76"/>
      <c r="AX70" s="74">
        <v>0</v>
      </c>
      <c r="AY70" s="75"/>
      <c r="AZ70" s="75"/>
      <c r="BA70" s="76"/>
      <c r="BB70" s="74">
        <f t="shared" si="6"/>
        <v>20959368</v>
      </c>
      <c r="BC70" s="75"/>
      <c r="BD70" s="75"/>
      <c r="BE70" s="75"/>
      <c r="BF70" s="76"/>
      <c r="BG70" s="74">
        <v>21594065</v>
      </c>
      <c r="BH70" s="75"/>
      <c r="BI70" s="75"/>
      <c r="BJ70" s="75"/>
      <c r="BK70" s="76"/>
      <c r="BL70" s="74">
        <v>0</v>
      </c>
      <c r="BM70" s="75"/>
      <c r="BN70" s="75"/>
      <c r="BO70" s="75"/>
      <c r="BP70" s="76"/>
      <c r="BQ70" s="74">
        <v>0</v>
      </c>
      <c r="BR70" s="75"/>
      <c r="BS70" s="75"/>
      <c r="BT70" s="76"/>
      <c r="BU70" s="74">
        <f t="shared" si="7"/>
        <v>21594065</v>
      </c>
      <c r="BV70" s="75"/>
      <c r="BW70" s="75"/>
      <c r="BX70" s="75"/>
      <c r="BY70" s="76"/>
    </row>
    <row r="72" spans="1:79" ht="14.25" customHeight="1" x14ac:dyDescent="0.2">
      <c r="A72" s="28" t="s">
        <v>294</v>
      </c>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row>
    <row r="73" spans="1:79" ht="15" customHeight="1" x14ac:dyDescent="0.2">
      <c r="A73" s="65" t="s">
        <v>280</v>
      </c>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row>
    <row r="74" spans="1:79" ht="23.1" customHeight="1" x14ac:dyDescent="0.2">
      <c r="A74" s="67" t="s">
        <v>119</v>
      </c>
      <c r="B74" s="68"/>
      <c r="C74" s="68"/>
      <c r="D74" s="68"/>
      <c r="E74" s="69"/>
      <c r="F74" s="48" t="s">
        <v>19</v>
      </c>
      <c r="G74" s="48"/>
      <c r="H74" s="48"/>
      <c r="I74" s="48"/>
      <c r="J74" s="48"/>
      <c r="K74" s="48"/>
      <c r="L74" s="48"/>
      <c r="M74" s="48"/>
      <c r="N74" s="48"/>
      <c r="O74" s="48"/>
      <c r="P74" s="48"/>
      <c r="Q74" s="48"/>
      <c r="R74" s="48"/>
      <c r="S74" s="48"/>
      <c r="T74" s="48"/>
      <c r="U74" s="35" t="s">
        <v>281</v>
      </c>
      <c r="V74" s="36"/>
      <c r="W74" s="36"/>
      <c r="X74" s="36"/>
      <c r="Y74" s="36"/>
      <c r="Z74" s="36"/>
      <c r="AA74" s="36"/>
      <c r="AB74" s="36"/>
      <c r="AC74" s="36"/>
      <c r="AD74" s="36"/>
      <c r="AE74" s="36"/>
      <c r="AF74" s="36"/>
      <c r="AG74" s="36"/>
      <c r="AH74" s="36"/>
      <c r="AI74" s="36"/>
      <c r="AJ74" s="36"/>
      <c r="AK74" s="36"/>
      <c r="AL74" s="36"/>
      <c r="AM74" s="37"/>
      <c r="AN74" s="35" t="s">
        <v>284</v>
      </c>
      <c r="AO74" s="36"/>
      <c r="AP74" s="36"/>
      <c r="AQ74" s="36"/>
      <c r="AR74" s="36"/>
      <c r="AS74" s="36"/>
      <c r="AT74" s="36"/>
      <c r="AU74" s="36"/>
      <c r="AV74" s="36"/>
      <c r="AW74" s="36"/>
      <c r="AX74" s="36"/>
      <c r="AY74" s="36"/>
      <c r="AZ74" s="36"/>
      <c r="BA74" s="36"/>
      <c r="BB74" s="36"/>
      <c r="BC74" s="36"/>
      <c r="BD74" s="36"/>
      <c r="BE74" s="36"/>
      <c r="BF74" s="37"/>
      <c r="BG74" s="35" t="s">
        <v>292</v>
      </c>
      <c r="BH74" s="36"/>
      <c r="BI74" s="36"/>
      <c r="BJ74" s="36"/>
      <c r="BK74" s="36"/>
      <c r="BL74" s="36"/>
      <c r="BM74" s="36"/>
      <c r="BN74" s="36"/>
      <c r="BO74" s="36"/>
      <c r="BP74" s="36"/>
      <c r="BQ74" s="36"/>
      <c r="BR74" s="36"/>
      <c r="BS74" s="36"/>
      <c r="BT74" s="36"/>
      <c r="BU74" s="36"/>
      <c r="BV74" s="36"/>
      <c r="BW74" s="36"/>
      <c r="BX74" s="36"/>
      <c r="BY74" s="37"/>
    </row>
    <row r="75" spans="1:79" ht="51.75" customHeight="1" x14ac:dyDescent="0.2">
      <c r="A75" s="70"/>
      <c r="B75" s="71"/>
      <c r="C75" s="71"/>
      <c r="D75" s="71"/>
      <c r="E75" s="72"/>
      <c r="F75" s="48"/>
      <c r="G75" s="48"/>
      <c r="H75" s="48"/>
      <c r="I75" s="48"/>
      <c r="J75" s="48"/>
      <c r="K75" s="48"/>
      <c r="L75" s="48"/>
      <c r="M75" s="48"/>
      <c r="N75" s="48"/>
      <c r="O75" s="48"/>
      <c r="P75" s="48"/>
      <c r="Q75" s="48"/>
      <c r="R75" s="48"/>
      <c r="S75" s="48"/>
      <c r="T75" s="48"/>
      <c r="U75" s="35" t="s">
        <v>4</v>
      </c>
      <c r="V75" s="36"/>
      <c r="W75" s="36"/>
      <c r="X75" s="36"/>
      <c r="Y75" s="37"/>
      <c r="Z75" s="35" t="s">
        <v>3</v>
      </c>
      <c r="AA75" s="36"/>
      <c r="AB75" s="36"/>
      <c r="AC75" s="36"/>
      <c r="AD75" s="37"/>
      <c r="AE75" s="38" t="s">
        <v>116</v>
      </c>
      <c r="AF75" s="39"/>
      <c r="AG75" s="39"/>
      <c r="AH75" s="40"/>
      <c r="AI75" s="35" t="s">
        <v>5</v>
      </c>
      <c r="AJ75" s="36"/>
      <c r="AK75" s="36"/>
      <c r="AL75" s="36"/>
      <c r="AM75" s="37"/>
      <c r="AN75" s="35" t="s">
        <v>4</v>
      </c>
      <c r="AO75" s="36"/>
      <c r="AP75" s="36"/>
      <c r="AQ75" s="36"/>
      <c r="AR75" s="37"/>
      <c r="AS75" s="35" t="s">
        <v>3</v>
      </c>
      <c r="AT75" s="36"/>
      <c r="AU75" s="36"/>
      <c r="AV75" s="36"/>
      <c r="AW75" s="37"/>
      <c r="AX75" s="38" t="s">
        <v>116</v>
      </c>
      <c r="AY75" s="39"/>
      <c r="AZ75" s="39"/>
      <c r="BA75" s="40"/>
      <c r="BB75" s="35" t="s">
        <v>96</v>
      </c>
      <c r="BC75" s="36"/>
      <c r="BD75" s="36"/>
      <c r="BE75" s="36"/>
      <c r="BF75" s="37"/>
      <c r="BG75" s="35" t="s">
        <v>4</v>
      </c>
      <c r="BH75" s="36"/>
      <c r="BI75" s="36"/>
      <c r="BJ75" s="36"/>
      <c r="BK75" s="37"/>
      <c r="BL75" s="35" t="s">
        <v>3</v>
      </c>
      <c r="BM75" s="36"/>
      <c r="BN75" s="36"/>
      <c r="BO75" s="36"/>
      <c r="BP75" s="37"/>
      <c r="BQ75" s="38" t="s">
        <v>116</v>
      </c>
      <c r="BR75" s="39"/>
      <c r="BS75" s="39"/>
      <c r="BT75" s="40"/>
      <c r="BU75" s="48" t="s">
        <v>97</v>
      </c>
      <c r="BV75" s="48"/>
      <c r="BW75" s="48"/>
      <c r="BX75" s="48"/>
      <c r="BY75" s="48"/>
    </row>
    <row r="76" spans="1:79" ht="15" customHeight="1" x14ac:dyDescent="0.2">
      <c r="A76" s="35">
        <v>1</v>
      </c>
      <c r="B76" s="36"/>
      <c r="C76" s="36"/>
      <c r="D76" s="36"/>
      <c r="E76" s="37"/>
      <c r="F76" s="35">
        <v>2</v>
      </c>
      <c r="G76" s="36"/>
      <c r="H76" s="36"/>
      <c r="I76" s="36"/>
      <c r="J76" s="36"/>
      <c r="K76" s="36"/>
      <c r="L76" s="36"/>
      <c r="M76" s="36"/>
      <c r="N76" s="36"/>
      <c r="O76" s="36"/>
      <c r="P76" s="36"/>
      <c r="Q76" s="36"/>
      <c r="R76" s="36"/>
      <c r="S76" s="36"/>
      <c r="T76" s="37"/>
      <c r="U76" s="35">
        <v>3</v>
      </c>
      <c r="V76" s="36"/>
      <c r="W76" s="36"/>
      <c r="X76" s="36"/>
      <c r="Y76" s="37"/>
      <c r="Z76" s="35">
        <v>4</v>
      </c>
      <c r="AA76" s="36"/>
      <c r="AB76" s="36"/>
      <c r="AC76" s="36"/>
      <c r="AD76" s="37"/>
      <c r="AE76" s="35">
        <v>5</v>
      </c>
      <c r="AF76" s="36"/>
      <c r="AG76" s="36"/>
      <c r="AH76" s="37"/>
      <c r="AI76" s="35">
        <v>6</v>
      </c>
      <c r="AJ76" s="36"/>
      <c r="AK76" s="36"/>
      <c r="AL76" s="36"/>
      <c r="AM76" s="37"/>
      <c r="AN76" s="35">
        <v>7</v>
      </c>
      <c r="AO76" s="36"/>
      <c r="AP76" s="36"/>
      <c r="AQ76" s="36"/>
      <c r="AR76" s="37"/>
      <c r="AS76" s="35">
        <v>8</v>
      </c>
      <c r="AT76" s="36"/>
      <c r="AU76" s="36"/>
      <c r="AV76" s="36"/>
      <c r="AW76" s="37"/>
      <c r="AX76" s="35">
        <v>9</v>
      </c>
      <c r="AY76" s="36"/>
      <c r="AZ76" s="36"/>
      <c r="BA76" s="37"/>
      <c r="BB76" s="35">
        <v>10</v>
      </c>
      <c r="BC76" s="36"/>
      <c r="BD76" s="36"/>
      <c r="BE76" s="36"/>
      <c r="BF76" s="37"/>
      <c r="BG76" s="35">
        <v>11</v>
      </c>
      <c r="BH76" s="36"/>
      <c r="BI76" s="36"/>
      <c r="BJ76" s="36"/>
      <c r="BK76" s="37"/>
      <c r="BL76" s="35">
        <v>12</v>
      </c>
      <c r="BM76" s="36"/>
      <c r="BN76" s="36"/>
      <c r="BO76" s="36"/>
      <c r="BP76" s="37"/>
      <c r="BQ76" s="35">
        <v>13</v>
      </c>
      <c r="BR76" s="36"/>
      <c r="BS76" s="36"/>
      <c r="BT76" s="37"/>
      <c r="BU76" s="48">
        <v>14</v>
      </c>
      <c r="BV76" s="48"/>
      <c r="BW76" s="48"/>
      <c r="BX76" s="48"/>
      <c r="BY76" s="48"/>
    </row>
    <row r="77" spans="1:79" s="1" customFormat="1" ht="13.5" hidden="1" customHeight="1" x14ac:dyDescent="0.2">
      <c r="A77" s="62" t="s">
        <v>64</v>
      </c>
      <c r="B77" s="63"/>
      <c r="C77" s="63"/>
      <c r="D77" s="63"/>
      <c r="E77" s="64"/>
      <c r="F77" s="62" t="s">
        <v>57</v>
      </c>
      <c r="G77" s="63"/>
      <c r="H77" s="63"/>
      <c r="I77" s="63"/>
      <c r="J77" s="63"/>
      <c r="K77" s="63"/>
      <c r="L77" s="63"/>
      <c r="M77" s="63"/>
      <c r="N77" s="63"/>
      <c r="O77" s="63"/>
      <c r="P77" s="63"/>
      <c r="Q77" s="63"/>
      <c r="R77" s="63"/>
      <c r="S77" s="63"/>
      <c r="T77" s="64"/>
      <c r="U77" s="62" t="s">
        <v>65</v>
      </c>
      <c r="V77" s="63"/>
      <c r="W77" s="63"/>
      <c r="X77" s="63"/>
      <c r="Y77" s="64"/>
      <c r="Z77" s="62" t="s">
        <v>66</v>
      </c>
      <c r="AA77" s="63"/>
      <c r="AB77" s="63"/>
      <c r="AC77" s="63"/>
      <c r="AD77" s="64"/>
      <c r="AE77" s="62" t="s">
        <v>91</v>
      </c>
      <c r="AF77" s="63"/>
      <c r="AG77" s="63"/>
      <c r="AH77" s="64"/>
      <c r="AI77" s="49" t="s">
        <v>169</v>
      </c>
      <c r="AJ77" s="50"/>
      <c r="AK77" s="50"/>
      <c r="AL77" s="50"/>
      <c r="AM77" s="51"/>
      <c r="AN77" s="62" t="s">
        <v>67</v>
      </c>
      <c r="AO77" s="63"/>
      <c r="AP77" s="63"/>
      <c r="AQ77" s="63"/>
      <c r="AR77" s="64"/>
      <c r="AS77" s="62" t="s">
        <v>68</v>
      </c>
      <c r="AT77" s="63"/>
      <c r="AU77" s="63"/>
      <c r="AV77" s="63"/>
      <c r="AW77" s="64"/>
      <c r="AX77" s="62" t="s">
        <v>92</v>
      </c>
      <c r="AY77" s="63"/>
      <c r="AZ77" s="63"/>
      <c r="BA77" s="64"/>
      <c r="BB77" s="49" t="s">
        <v>169</v>
      </c>
      <c r="BC77" s="50"/>
      <c r="BD77" s="50"/>
      <c r="BE77" s="50"/>
      <c r="BF77" s="51"/>
      <c r="BG77" s="62" t="s">
        <v>58</v>
      </c>
      <c r="BH77" s="63"/>
      <c r="BI77" s="63"/>
      <c r="BJ77" s="63"/>
      <c r="BK77" s="64"/>
      <c r="BL77" s="62" t="s">
        <v>59</v>
      </c>
      <c r="BM77" s="63"/>
      <c r="BN77" s="63"/>
      <c r="BO77" s="63"/>
      <c r="BP77" s="64"/>
      <c r="BQ77" s="62" t="s">
        <v>93</v>
      </c>
      <c r="BR77" s="63"/>
      <c r="BS77" s="63"/>
      <c r="BT77" s="64"/>
      <c r="BU77" s="73" t="s">
        <v>169</v>
      </c>
      <c r="BV77" s="73"/>
      <c r="BW77" s="73"/>
      <c r="BX77" s="73"/>
      <c r="BY77" s="73"/>
      <c r="CA77" t="s">
        <v>27</v>
      </c>
    </row>
    <row r="78" spans="1:79" s="5" customFormat="1" ht="12.75" customHeight="1" x14ac:dyDescent="0.2">
      <c r="A78" s="77"/>
      <c r="B78" s="78"/>
      <c r="C78" s="78"/>
      <c r="D78" s="78"/>
      <c r="E78" s="79"/>
      <c r="F78" s="77" t="s">
        <v>147</v>
      </c>
      <c r="G78" s="78"/>
      <c r="H78" s="78"/>
      <c r="I78" s="78"/>
      <c r="J78" s="78"/>
      <c r="K78" s="78"/>
      <c r="L78" s="78"/>
      <c r="M78" s="78"/>
      <c r="N78" s="78"/>
      <c r="O78" s="78"/>
      <c r="P78" s="78"/>
      <c r="Q78" s="78"/>
      <c r="R78" s="78"/>
      <c r="S78" s="78"/>
      <c r="T78" s="79"/>
      <c r="U78" s="74"/>
      <c r="V78" s="75"/>
      <c r="W78" s="75"/>
      <c r="X78" s="75"/>
      <c r="Y78" s="76"/>
      <c r="Z78" s="74"/>
      <c r="AA78" s="75"/>
      <c r="AB78" s="75"/>
      <c r="AC78" s="75"/>
      <c r="AD78" s="76"/>
      <c r="AE78" s="74"/>
      <c r="AF78" s="75"/>
      <c r="AG78" s="75"/>
      <c r="AH78" s="76"/>
      <c r="AI78" s="74">
        <f>IF(ISNUMBER(U78),U78,0)+IF(ISNUMBER(Z78),Z78,0)</f>
        <v>0</v>
      </c>
      <c r="AJ78" s="75"/>
      <c r="AK78" s="75"/>
      <c r="AL78" s="75"/>
      <c r="AM78" s="76"/>
      <c r="AN78" s="74"/>
      <c r="AO78" s="75"/>
      <c r="AP78" s="75"/>
      <c r="AQ78" s="75"/>
      <c r="AR78" s="76"/>
      <c r="AS78" s="74"/>
      <c r="AT78" s="75"/>
      <c r="AU78" s="75"/>
      <c r="AV78" s="75"/>
      <c r="AW78" s="76"/>
      <c r="AX78" s="74"/>
      <c r="AY78" s="75"/>
      <c r="AZ78" s="75"/>
      <c r="BA78" s="76"/>
      <c r="BB78" s="74">
        <f>IF(ISNUMBER(AN78),AN78,0)+IF(ISNUMBER(AS78),AS78,0)</f>
        <v>0</v>
      </c>
      <c r="BC78" s="75"/>
      <c r="BD78" s="75"/>
      <c r="BE78" s="75"/>
      <c r="BF78" s="76"/>
      <c r="BG78" s="74"/>
      <c r="BH78" s="75"/>
      <c r="BI78" s="75"/>
      <c r="BJ78" s="75"/>
      <c r="BK78" s="76"/>
      <c r="BL78" s="74"/>
      <c r="BM78" s="75"/>
      <c r="BN78" s="75"/>
      <c r="BO78" s="75"/>
      <c r="BP78" s="76"/>
      <c r="BQ78" s="74"/>
      <c r="BR78" s="75"/>
      <c r="BS78" s="75"/>
      <c r="BT78" s="76"/>
      <c r="BU78" s="74">
        <f>IF(ISNUMBER(BG78),BG78,0)+IF(ISNUMBER(BL78),BL78,0)</f>
        <v>0</v>
      </c>
      <c r="BV78" s="75"/>
      <c r="BW78" s="75"/>
      <c r="BX78" s="75"/>
      <c r="BY78" s="76"/>
      <c r="CA78" s="5" t="s">
        <v>28</v>
      </c>
    </row>
    <row r="80" spans="1:79" ht="14.25" customHeight="1" x14ac:dyDescent="0.2">
      <c r="A80" s="28" t="s">
        <v>308</v>
      </c>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row>
    <row r="81" spans="1:79" ht="15" customHeight="1" x14ac:dyDescent="0.2">
      <c r="A81" s="65" t="s">
        <v>280</v>
      </c>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row>
    <row r="82" spans="1:79" ht="23.1" customHeight="1" x14ac:dyDescent="0.2">
      <c r="A82" s="67" t="s">
        <v>118</v>
      </c>
      <c r="B82" s="68"/>
      <c r="C82" s="68"/>
      <c r="D82" s="69"/>
      <c r="E82" s="42" t="s">
        <v>19</v>
      </c>
      <c r="F82" s="43"/>
      <c r="G82" s="43"/>
      <c r="H82" s="43"/>
      <c r="I82" s="43"/>
      <c r="J82" s="43"/>
      <c r="K82" s="43"/>
      <c r="L82" s="43"/>
      <c r="M82" s="43"/>
      <c r="N82" s="43"/>
      <c r="O82" s="43"/>
      <c r="P82" s="43"/>
      <c r="Q82" s="43"/>
      <c r="R82" s="43"/>
      <c r="S82" s="43"/>
      <c r="T82" s="43"/>
      <c r="U82" s="43"/>
      <c r="V82" s="43"/>
      <c r="W82" s="44"/>
      <c r="X82" s="35" t="s">
        <v>302</v>
      </c>
      <c r="Y82" s="36"/>
      <c r="Z82" s="36"/>
      <c r="AA82" s="36"/>
      <c r="AB82" s="36"/>
      <c r="AC82" s="36"/>
      <c r="AD82" s="36"/>
      <c r="AE82" s="36"/>
      <c r="AF82" s="36"/>
      <c r="AG82" s="36"/>
      <c r="AH82" s="36"/>
      <c r="AI82" s="36"/>
      <c r="AJ82" s="36"/>
      <c r="AK82" s="36"/>
      <c r="AL82" s="36"/>
      <c r="AM82" s="36"/>
      <c r="AN82" s="36"/>
      <c r="AO82" s="36"/>
      <c r="AP82" s="36"/>
      <c r="AQ82" s="37"/>
      <c r="AR82" s="48" t="s">
        <v>307</v>
      </c>
      <c r="AS82" s="48"/>
      <c r="AT82" s="48"/>
      <c r="AU82" s="48"/>
      <c r="AV82" s="48"/>
      <c r="AW82" s="48"/>
      <c r="AX82" s="48"/>
      <c r="AY82" s="48"/>
      <c r="AZ82" s="48"/>
      <c r="BA82" s="48"/>
      <c r="BB82" s="48"/>
      <c r="BC82" s="48"/>
      <c r="BD82" s="48"/>
      <c r="BE82" s="48"/>
      <c r="BF82" s="48"/>
      <c r="BG82" s="48"/>
      <c r="BH82" s="48"/>
      <c r="BI82" s="48"/>
      <c r="BJ82" s="48"/>
      <c r="BK82" s="48"/>
    </row>
    <row r="83" spans="1:79" ht="48.75" customHeight="1" x14ac:dyDescent="0.2">
      <c r="A83" s="70"/>
      <c r="B83" s="71"/>
      <c r="C83" s="71"/>
      <c r="D83" s="72"/>
      <c r="E83" s="45"/>
      <c r="F83" s="46"/>
      <c r="G83" s="46"/>
      <c r="H83" s="46"/>
      <c r="I83" s="46"/>
      <c r="J83" s="46"/>
      <c r="K83" s="46"/>
      <c r="L83" s="46"/>
      <c r="M83" s="46"/>
      <c r="N83" s="46"/>
      <c r="O83" s="46"/>
      <c r="P83" s="46"/>
      <c r="Q83" s="46"/>
      <c r="R83" s="46"/>
      <c r="S83" s="46"/>
      <c r="T83" s="46"/>
      <c r="U83" s="46"/>
      <c r="V83" s="46"/>
      <c r="W83" s="47"/>
      <c r="X83" s="42" t="s">
        <v>4</v>
      </c>
      <c r="Y83" s="43"/>
      <c r="Z83" s="43"/>
      <c r="AA83" s="43"/>
      <c r="AB83" s="44"/>
      <c r="AC83" s="42" t="s">
        <v>3</v>
      </c>
      <c r="AD83" s="43"/>
      <c r="AE83" s="43"/>
      <c r="AF83" s="43"/>
      <c r="AG83" s="44"/>
      <c r="AH83" s="38" t="s">
        <v>116</v>
      </c>
      <c r="AI83" s="39"/>
      <c r="AJ83" s="39"/>
      <c r="AK83" s="39"/>
      <c r="AL83" s="40"/>
      <c r="AM83" s="35" t="s">
        <v>5</v>
      </c>
      <c r="AN83" s="36"/>
      <c r="AO83" s="36"/>
      <c r="AP83" s="36"/>
      <c r="AQ83" s="37"/>
      <c r="AR83" s="35" t="s">
        <v>4</v>
      </c>
      <c r="AS83" s="36"/>
      <c r="AT83" s="36"/>
      <c r="AU83" s="36"/>
      <c r="AV83" s="37"/>
      <c r="AW83" s="35" t="s">
        <v>3</v>
      </c>
      <c r="AX83" s="36"/>
      <c r="AY83" s="36"/>
      <c r="AZ83" s="36"/>
      <c r="BA83" s="37"/>
      <c r="BB83" s="38" t="s">
        <v>116</v>
      </c>
      <c r="BC83" s="39"/>
      <c r="BD83" s="39"/>
      <c r="BE83" s="39"/>
      <c r="BF83" s="40"/>
      <c r="BG83" s="35" t="s">
        <v>96</v>
      </c>
      <c r="BH83" s="36"/>
      <c r="BI83" s="36"/>
      <c r="BJ83" s="36"/>
      <c r="BK83" s="37"/>
    </row>
    <row r="84" spans="1:79" ht="12.75" customHeight="1" x14ac:dyDescent="0.2">
      <c r="A84" s="35">
        <v>1</v>
      </c>
      <c r="B84" s="36"/>
      <c r="C84" s="36"/>
      <c r="D84" s="37"/>
      <c r="E84" s="35">
        <v>2</v>
      </c>
      <c r="F84" s="36"/>
      <c r="G84" s="36"/>
      <c r="H84" s="36"/>
      <c r="I84" s="36"/>
      <c r="J84" s="36"/>
      <c r="K84" s="36"/>
      <c r="L84" s="36"/>
      <c r="M84" s="36"/>
      <c r="N84" s="36"/>
      <c r="O84" s="36"/>
      <c r="P84" s="36"/>
      <c r="Q84" s="36"/>
      <c r="R84" s="36"/>
      <c r="S84" s="36"/>
      <c r="T84" s="36"/>
      <c r="U84" s="36"/>
      <c r="V84" s="36"/>
      <c r="W84" s="37"/>
      <c r="X84" s="35">
        <v>3</v>
      </c>
      <c r="Y84" s="36"/>
      <c r="Z84" s="36"/>
      <c r="AA84" s="36"/>
      <c r="AB84" s="37"/>
      <c r="AC84" s="35">
        <v>4</v>
      </c>
      <c r="AD84" s="36"/>
      <c r="AE84" s="36"/>
      <c r="AF84" s="36"/>
      <c r="AG84" s="37"/>
      <c r="AH84" s="35">
        <v>5</v>
      </c>
      <c r="AI84" s="36"/>
      <c r="AJ84" s="36"/>
      <c r="AK84" s="36"/>
      <c r="AL84" s="37"/>
      <c r="AM84" s="35">
        <v>6</v>
      </c>
      <c r="AN84" s="36"/>
      <c r="AO84" s="36"/>
      <c r="AP84" s="36"/>
      <c r="AQ84" s="37"/>
      <c r="AR84" s="35">
        <v>7</v>
      </c>
      <c r="AS84" s="36"/>
      <c r="AT84" s="36"/>
      <c r="AU84" s="36"/>
      <c r="AV84" s="37"/>
      <c r="AW84" s="35">
        <v>8</v>
      </c>
      <c r="AX84" s="36"/>
      <c r="AY84" s="36"/>
      <c r="AZ84" s="36"/>
      <c r="BA84" s="37"/>
      <c r="BB84" s="35">
        <v>9</v>
      </c>
      <c r="BC84" s="36"/>
      <c r="BD84" s="36"/>
      <c r="BE84" s="36"/>
      <c r="BF84" s="37"/>
      <c r="BG84" s="35">
        <v>10</v>
      </c>
      <c r="BH84" s="36"/>
      <c r="BI84" s="36"/>
      <c r="BJ84" s="36"/>
      <c r="BK84" s="37"/>
    </row>
    <row r="85" spans="1:79" s="1" customFormat="1" ht="12.75" hidden="1" customHeight="1" x14ac:dyDescent="0.2">
      <c r="A85" s="62" t="s">
        <v>64</v>
      </c>
      <c r="B85" s="63"/>
      <c r="C85" s="63"/>
      <c r="D85" s="64"/>
      <c r="E85" s="62" t="s">
        <v>57</v>
      </c>
      <c r="F85" s="63"/>
      <c r="G85" s="63"/>
      <c r="H85" s="63"/>
      <c r="I85" s="63"/>
      <c r="J85" s="63"/>
      <c r="K85" s="63"/>
      <c r="L85" s="63"/>
      <c r="M85" s="63"/>
      <c r="N85" s="63"/>
      <c r="O85" s="63"/>
      <c r="P85" s="63"/>
      <c r="Q85" s="63"/>
      <c r="R85" s="63"/>
      <c r="S85" s="63"/>
      <c r="T85" s="63"/>
      <c r="U85" s="63"/>
      <c r="V85" s="63"/>
      <c r="W85" s="64"/>
      <c r="X85" s="80" t="s">
        <v>60</v>
      </c>
      <c r="Y85" s="81"/>
      <c r="Z85" s="81"/>
      <c r="AA85" s="81"/>
      <c r="AB85" s="82"/>
      <c r="AC85" s="80" t="s">
        <v>61</v>
      </c>
      <c r="AD85" s="81"/>
      <c r="AE85" s="81"/>
      <c r="AF85" s="81"/>
      <c r="AG85" s="82"/>
      <c r="AH85" s="62" t="s">
        <v>94</v>
      </c>
      <c r="AI85" s="63"/>
      <c r="AJ85" s="63"/>
      <c r="AK85" s="63"/>
      <c r="AL85" s="64"/>
      <c r="AM85" s="49" t="s">
        <v>170</v>
      </c>
      <c r="AN85" s="50"/>
      <c r="AO85" s="50"/>
      <c r="AP85" s="50"/>
      <c r="AQ85" s="51"/>
      <c r="AR85" s="62" t="s">
        <v>62</v>
      </c>
      <c r="AS85" s="63"/>
      <c r="AT85" s="63"/>
      <c r="AU85" s="63"/>
      <c r="AV85" s="64"/>
      <c r="AW85" s="62" t="s">
        <v>63</v>
      </c>
      <c r="AX85" s="63"/>
      <c r="AY85" s="63"/>
      <c r="AZ85" s="63"/>
      <c r="BA85" s="64"/>
      <c r="BB85" s="62" t="s">
        <v>95</v>
      </c>
      <c r="BC85" s="63"/>
      <c r="BD85" s="63"/>
      <c r="BE85" s="63"/>
      <c r="BF85" s="64"/>
      <c r="BG85" s="49" t="s">
        <v>170</v>
      </c>
      <c r="BH85" s="50"/>
      <c r="BI85" s="50"/>
      <c r="BJ85" s="50"/>
      <c r="BK85" s="51"/>
      <c r="CA85" t="s">
        <v>29</v>
      </c>
    </row>
    <row r="86" spans="1:79" s="4" customFormat="1" ht="12.75" customHeight="1" x14ac:dyDescent="0.2">
      <c r="A86" s="52">
        <v>2111</v>
      </c>
      <c r="B86" s="53"/>
      <c r="C86" s="53"/>
      <c r="D86" s="54"/>
      <c r="E86" s="55" t="s">
        <v>178</v>
      </c>
      <c r="F86" s="56"/>
      <c r="G86" s="56"/>
      <c r="H86" s="56"/>
      <c r="I86" s="56"/>
      <c r="J86" s="56"/>
      <c r="K86" s="56"/>
      <c r="L86" s="56"/>
      <c r="M86" s="56"/>
      <c r="N86" s="56"/>
      <c r="O86" s="56"/>
      <c r="P86" s="56"/>
      <c r="Q86" s="56"/>
      <c r="R86" s="56"/>
      <c r="S86" s="56"/>
      <c r="T86" s="56"/>
      <c r="U86" s="56"/>
      <c r="V86" s="56"/>
      <c r="W86" s="57"/>
      <c r="X86" s="59">
        <v>5403852</v>
      </c>
      <c r="Y86" s="60"/>
      <c r="Z86" s="60"/>
      <c r="AA86" s="60"/>
      <c r="AB86" s="61"/>
      <c r="AC86" s="59">
        <v>0</v>
      </c>
      <c r="AD86" s="60"/>
      <c r="AE86" s="60"/>
      <c r="AF86" s="60"/>
      <c r="AG86" s="61"/>
      <c r="AH86" s="59">
        <v>0</v>
      </c>
      <c r="AI86" s="60"/>
      <c r="AJ86" s="60"/>
      <c r="AK86" s="60"/>
      <c r="AL86" s="61"/>
      <c r="AM86" s="59">
        <f t="shared" ref="AM86:AM99" si="8">IF(ISNUMBER(X86),X86,0)+IF(ISNUMBER(AC86),AC86,0)</f>
        <v>5403852</v>
      </c>
      <c r="AN86" s="60"/>
      <c r="AO86" s="60"/>
      <c r="AP86" s="60"/>
      <c r="AQ86" s="61"/>
      <c r="AR86" s="59">
        <v>5403852</v>
      </c>
      <c r="AS86" s="60"/>
      <c r="AT86" s="60"/>
      <c r="AU86" s="60"/>
      <c r="AV86" s="61"/>
      <c r="AW86" s="59">
        <v>0</v>
      </c>
      <c r="AX86" s="60"/>
      <c r="AY86" s="60"/>
      <c r="AZ86" s="60"/>
      <c r="BA86" s="61"/>
      <c r="BB86" s="59">
        <v>0</v>
      </c>
      <c r="BC86" s="60"/>
      <c r="BD86" s="60"/>
      <c r="BE86" s="60"/>
      <c r="BF86" s="61"/>
      <c r="BG86" s="58">
        <f t="shared" ref="BG86:BG99" si="9">IF(ISNUMBER(AR86),AR86,0)+IF(ISNUMBER(AW86),AW86,0)</f>
        <v>5403852</v>
      </c>
      <c r="BH86" s="58"/>
      <c r="BI86" s="58"/>
      <c r="BJ86" s="58"/>
      <c r="BK86" s="58"/>
      <c r="CA86" s="4" t="s">
        <v>30</v>
      </c>
    </row>
    <row r="87" spans="1:79" s="4" customFormat="1" ht="12.75" customHeight="1" x14ac:dyDescent="0.2">
      <c r="A87" s="52">
        <v>2120</v>
      </c>
      <c r="B87" s="53"/>
      <c r="C87" s="53"/>
      <c r="D87" s="54"/>
      <c r="E87" s="55" t="s">
        <v>179</v>
      </c>
      <c r="F87" s="56"/>
      <c r="G87" s="56"/>
      <c r="H87" s="56"/>
      <c r="I87" s="56"/>
      <c r="J87" s="56"/>
      <c r="K87" s="56"/>
      <c r="L87" s="56"/>
      <c r="M87" s="56"/>
      <c r="N87" s="56"/>
      <c r="O87" s="56"/>
      <c r="P87" s="56"/>
      <c r="Q87" s="56"/>
      <c r="R87" s="56"/>
      <c r="S87" s="56"/>
      <c r="T87" s="56"/>
      <c r="U87" s="56"/>
      <c r="V87" s="56"/>
      <c r="W87" s="57"/>
      <c r="X87" s="59">
        <v>1260603</v>
      </c>
      <c r="Y87" s="60"/>
      <c r="Z87" s="60"/>
      <c r="AA87" s="60"/>
      <c r="AB87" s="61"/>
      <c r="AC87" s="59">
        <v>0</v>
      </c>
      <c r="AD87" s="60"/>
      <c r="AE87" s="60"/>
      <c r="AF87" s="60"/>
      <c r="AG87" s="61"/>
      <c r="AH87" s="59">
        <v>0</v>
      </c>
      <c r="AI87" s="60"/>
      <c r="AJ87" s="60"/>
      <c r="AK87" s="60"/>
      <c r="AL87" s="61"/>
      <c r="AM87" s="59">
        <f t="shared" si="8"/>
        <v>1260603</v>
      </c>
      <c r="AN87" s="60"/>
      <c r="AO87" s="60"/>
      <c r="AP87" s="60"/>
      <c r="AQ87" s="61"/>
      <c r="AR87" s="59">
        <v>1260603</v>
      </c>
      <c r="AS87" s="60"/>
      <c r="AT87" s="60"/>
      <c r="AU87" s="60"/>
      <c r="AV87" s="61"/>
      <c r="AW87" s="59">
        <v>0</v>
      </c>
      <c r="AX87" s="60"/>
      <c r="AY87" s="60"/>
      <c r="AZ87" s="60"/>
      <c r="BA87" s="61"/>
      <c r="BB87" s="59">
        <v>0</v>
      </c>
      <c r="BC87" s="60"/>
      <c r="BD87" s="60"/>
      <c r="BE87" s="60"/>
      <c r="BF87" s="61"/>
      <c r="BG87" s="58">
        <f t="shared" si="9"/>
        <v>1260603</v>
      </c>
      <c r="BH87" s="58"/>
      <c r="BI87" s="58"/>
      <c r="BJ87" s="58"/>
      <c r="BK87" s="58"/>
    </row>
    <row r="88" spans="1:79" s="4" customFormat="1" ht="12.75" customHeight="1" x14ac:dyDescent="0.2">
      <c r="A88" s="52">
        <v>2210</v>
      </c>
      <c r="B88" s="53"/>
      <c r="C88" s="53"/>
      <c r="D88" s="54"/>
      <c r="E88" s="55" t="s">
        <v>180</v>
      </c>
      <c r="F88" s="56"/>
      <c r="G88" s="56"/>
      <c r="H88" s="56"/>
      <c r="I88" s="56"/>
      <c r="J88" s="56"/>
      <c r="K88" s="56"/>
      <c r="L88" s="56"/>
      <c r="M88" s="56"/>
      <c r="N88" s="56"/>
      <c r="O88" s="56"/>
      <c r="P88" s="56"/>
      <c r="Q88" s="56"/>
      <c r="R88" s="56"/>
      <c r="S88" s="56"/>
      <c r="T88" s="56"/>
      <c r="U88" s="56"/>
      <c r="V88" s="56"/>
      <c r="W88" s="57"/>
      <c r="X88" s="59">
        <v>283185</v>
      </c>
      <c r="Y88" s="60"/>
      <c r="Z88" s="60"/>
      <c r="AA88" s="60"/>
      <c r="AB88" s="61"/>
      <c r="AC88" s="59">
        <v>0</v>
      </c>
      <c r="AD88" s="60"/>
      <c r="AE88" s="60"/>
      <c r="AF88" s="60"/>
      <c r="AG88" s="61"/>
      <c r="AH88" s="59">
        <v>0</v>
      </c>
      <c r="AI88" s="60"/>
      <c r="AJ88" s="60"/>
      <c r="AK88" s="60"/>
      <c r="AL88" s="61"/>
      <c r="AM88" s="59">
        <f t="shared" si="8"/>
        <v>283185</v>
      </c>
      <c r="AN88" s="60"/>
      <c r="AO88" s="60"/>
      <c r="AP88" s="60"/>
      <c r="AQ88" s="61"/>
      <c r="AR88" s="59">
        <v>305840</v>
      </c>
      <c r="AS88" s="60"/>
      <c r="AT88" s="60"/>
      <c r="AU88" s="60"/>
      <c r="AV88" s="61"/>
      <c r="AW88" s="59">
        <v>0</v>
      </c>
      <c r="AX88" s="60"/>
      <c r="AY88" s="60"/>
      <c r="AZ88" s="60"/>
      <c r="BA88" s="61"/>
      <c r="BB88" s="59">
        <v>0</v>
      </c>
      <c r="BC88" s="60"/>
      <c r="BD88" s="60"/>
      <c r="BE88" s="60"/>
      <c r="BF88" s="61"/>
      <c r="BG88" s="58">
        <f t="shared" si="9"/>
        <v>305840</v>
      </c>
      <c r="BH88" s="58"/>
      <c r="BI88" s="58"/>
      <c r="BJ88" s="58"/>
      <c r="BK88" s="58"/>
    </row>
    <row r="89" spans="1:79" s="4" customFormat="1" ht="12.75" customHeight="1" x14ac:dyDescent="0.2">
      <c r="A89" s="52">
        <v>2230</v>
      </c>
      <c r="B89" s="53"/>
      <c r="C89" s="53"/>
      <c r="D89" s="54"/>
      <c r="E89" s="55" t="s">
        <v>181</v>
      </c>
      <c r="F89" s="56"/>
      <c r="G89" s="56"/>
      <c r="H89" s="56"/>
      <c r="I89" s="56"/>
      <c r="J89" s="56"/>
      <c r="K89" s="56"/>
      <c r="L89" s="56"/>
      <c r="M89" s="56"/>
      <c r="N89" s="56"/>
      <c r="O89" s="56"/>
      <c r="P89" s="56"/>
      <c r="Q89" s="56"/>
      <c r="R89" s="56"/>
      <c r="S89" s="56"/>
      <c r="T89" s="56"/>
      <c r="U89" s="56"/>
      <c r="V89" s="56"/>
      <c r="W89" s="57"/>
      <c r="X89" s="59">
        <v>707515</v>
      </c>
      <c r="Y89" s="60"/>
      <c r="Z89" s="60"/>
      <c r="AA89" s="60"/>
      <c r="AB89" s="61"/>
      <c r="AC89" s="59">
        <v>0</v>
      </c>
      <c r="AD89" s="60"/>
      <c r="AE89" s="60"/>
      <c r="AF89" s="60"/>
      <c r="AG89" s="61"/>
      <c r="AH89" s="59">
        <v>0</v>
      </c>
      <c r="AI89" s="60"/>
      <c r="AJ89" s="60"/>
      <c r="AK89" s="60"/>
      <c r="AL89" s="61"/>
      <c r="AM89" s="59">
        <f t="shared" si="8"/>
        <v>707515</v>
      </c>
      <c r="AN89" s="60"/>
      <c r="AO89" s="60"/>
      <c r="AP89" s="60"/>
      <c r="AQ89" s="61"/>
      <c r="AR89" s="59">
        <v>764116</v>
      </c>
      <c r="AS89" s="60"/>
      <c r="AT89" s="60"/>
      <c r="AU89" s="60"/>
      <c r="AV89" s="61"/>
      <c r="AW89" s="59">
        <v>0</v>
      </c>
      <c r="AX89" s="60"/>
      <c r="AY89" s="60"/>
      <c r="AZ89" s="60"/>
      <c r="BA89" s="61"/>
      <c r="BB89" s="59">
        <v>0</v>
      </c>
      <c r="BC89" s="60"/>
      <c r="BD89" s="60"/>
      <c r="BE89" s="60"/>
      <c r="BF89" s="61"/>
      <c r="BG89" s="58">
        <f t="shared" si="9"/>
        <v>764116</v>
      </c>
      <c r="BH89" s="58"/>
      <c r="BI89" s="58"/>
      <c r="BJ89" s="58"/>
      <c r="BK89" s="58"/>
    </row>
    <row r="90" spans="1:79" s="4" customFormat="1" ht="12.75" customHeight="1" x14ac:dyDescent="0.2">
      <c r="A90" s="52">
        <v>2240</v>
      </c>
      <c r="B90" s="53"/>
      <c r="C90" s="53"/>
      <c r="D90" s="54"/>
      <c r="E90" s="55" t="s">
        <v>182</v>
      </c>
      <c r="F90" s="56"/>
      <c r="G90" s="56"/>
      <c r="H90" s="56"/>
      <c r="I90" s="56"/>
      <c r="J90" s="56"/>
      <c r="K90" s="56"/>
      <c r="L90" s="56"/>
      <c r="M90" s="56"/>
      <c r="N90" s="56"/>
      <c r="O90" s="56"/>
      <c r="P90" s="56"/>
      <c r="Q90" s="56"/>
      <c r="R90" s="56"/>
      <c r="S90" s="56"/>
      <c r="T90" s="56"/>
      <c r="U90" s="56"/>
      <c r="V90" s="56"/>
      <c r="W90" s="57"/>
      <c r="X90" s="59">
        <v>4229487</v>
      </c>
      <c r="Y90" s="60"/>
      <c r="Z90" s="60"/>
      <c r="AA90" s="60"/>
      <c r="AB90" s="61"/>
      <c r="AC90" s="59">
        <v>0</v>
      </c>
      <c r="AD90" s="60"/>
      <c r="AE90" s="60"/>
      <c r="AF90" s="60"/>
      <c r="AG90" s="61"/>
      <c r="AH90" s="59">
        <v>0</v>
      </c>
      <c r="AI90" s="60"/>
      <c r="AJ90" s="60"/>
      <c r="AK90" s="60"/>
      <c r="AL90" s="61"/>
      <c r="AM90" s="59">
        <f t="shared" si="8"/>
        <v>4229487</v>
      </c>
      <c r="AN90" s="60"/>
      <c r="AO90" s="60"/>
      <c r="AP90" s="60"/>
      <c r="AQ90" s="61"/>
      <c r="AR90" s="59">
        <v>4567846</v>
      </c>
      <c r="AS90" s="60"/>
      <c r="AT90" s="60"/>
      <c r="AU90" s="60"/>
      <c r="AV90" s="61"/>
      <c r="AW90" s="59">
        <v>0</v>
      </c>
      <c r="AX90" s="60"/>
      <c r="AY90" s="60"/>
      <c r="AZ90" s="60"/>
      <c r="BA90" s="61"/>
      <c r="BB90" s="59">
        <v>0</v>
      </c>
      <c r="BC90" s="60"/>
      <c r="BD90" s="60"/>
      <c r="BE90" s="60"/>
      <c r="BF90" s="61"/>
      <c r="BG90" s="58">
        <f t="shared" si="9"/>
        <v>4567846</v>
      </c>
      <c r="BH90" s="58"/>
      <c r="BI90" s="58"/>
      <c r="BJ90" s="58"/>
      <c r="BK90" s="58"/>
    </row>
    <row r="91" spans="1:79" s="4" customFormat="1" ht="12.75" customHeight="1" x14ac:dyDescent="0.2">
      <c r="A91" s="52">
        <v>2272</v>
      </c>
      <c r="B91" s="53"/>
      <c r="C91" s="53"/>
      <c r="D91" s="54"/>
      <c r="E91" s="55" t="s">
        <v>183</v>
      </c>
      <c r="F91" s="56"/>
      <c r="G91" s="56"/>
      <c r="H91" s="56"/>
      <c r="I91" s="56"/>
      <c r="J91" s="56"/>
      <c r="K91" s="56"/>
      <c r="L91" s="56"/>
      <c r="M91" s="56"/>
      <c r="N91" s="56"/>
      <c r="O91" s="56"/>
      <c r="P91" s="56"/>
      <c r="Q91" s="56"/>
      <c r="R91" s="56"/>
      <c r="S91" s="56"/>
      <c r="T91" s="56"/>
      <c r="U91" s="56"/>
      <c r="V91" s="56"/>
      <c r="W91" s="57"/>
      <c r="X91" s="59">
        <v>120846</v>
      </c>
      <c r="Y91" s="60"/>
      <c r="Z91" s="60"/>
      <c r="AA91" s="60"/>
      <c r="AB91" s="61"/>
      <c r="AC91" s="59">
        <v>0</v>
      </c>
      <c r="AD91" s="60"/>
      <c r="AE91" s="60"/>
      <c r="AF91" s="60"/>
      <c r="AG91" s="61"/>
      <c r="AH91" s="59">
        <v>0</v>
      </c>
      <c r="AI91" s="60"/>
      <c r="AJ91" s="60"/>
      <c r="AK91" s="60"/>
      <c r="AL91" s="61"/>
      <c r="AM91" s="59">
        <f t="shared" si="8"/>
        <v>120846</v>
      </c>
      <c r="AN91" s="60"/>
      <c r="AO91" s="60"/>
      <c r="AP91" s="60"/>
      <c r="AQ91" s="61"/>
      <c r="AR91" s="59">
        <v>130514</v>
      </c>
      <c r="AS91" s="60"/>
      <c r="AT91" s="60"/>
      <c r="AU91" s="60"/>
      <c r="AV91" s="61"/>
      <c r="AW91" s="59">
        <v>0</v>
      </c>
      <c r="AX91" s="60"/>
      <c r="AY91" s="60"/>
      <c r="AZ91" s="60"/>
      <c r="BA91" s="61"/>
      <c r="BB91" s="59">
        <v>0</v>
      </c>
      <c r="BC91" s="60"/>
      <c r="BD91" s="60"/>
      <c r="BE91" s="60"/>
      <c r="BF91" s="61"/>
      <c r="BG91" s="58">
        <f t="shared" si="9"/>
        <v>130514</v>
      </c>
      <c r="BH91" s="58"/>
      <c r="BI91" s="58"/>
      <c r="BJ91" s="58"/>
      <c r="BK91" s="58"/>
    </row>
    <row r="92" spans="1:79" s="4" customFormat="1" ht="12.75" customHeight="1" x14ac:dyDescent="0.2">
      <c r="A92" s="52">
        <v>2273</v>
      </c>
      <c r="B92" s="53"/>
      <c r="C92" s="53"/>
      <c r="D92" s="54"/>
      <c r="E92" s="55" t="s">
        <v>184</v>
      </c>
      <c r="F92" s="56"/>
      <c r="G92" s="56"/>
      <c r="H92" s="56"/>
      <c r="I92" s="56"/>
      <c r="J92" s="56"/>
      <c r="K92" s="56"/>
      <c r="L92" s="56"/>
      <c r="M92" s="56"/>
      <c r="N92" s="56"/>
      <c r="O92" s="56"/>
      <c r="P92" s="56"/>
      <c r="Q92" s="56"/>
      <c r="R92" s="56"/>
      <c r="S92" s="56"/>
      <c r="T92" s="56"/>
      <c r="U92" s="56"/>
      <c r="V92" s="56"/>
      <c r="W92" s="57"/>
      <c r="X92" s="59">
        <v>7839112</v>
      </c>
      <c r="Y92" s="60"/>
      <c r="Z92" s="60"/>
      <c r="AA92" s="60"/>
      <c r="AB92" s="61"/>
      <c r="AC92" s="59">
        <v>0</v>
      </c>
      <c r="AD92" s="60"/>
      <c r="AE92" s="60"/>
      <c r="AF92" s="60"/>
      <c r="AG92" s="61"/>
      <c r="AH92" s="59">
        <v>0</v>
      </c>
      <c r="AI92" s="60"/>
      <c r="AJ92" s="60"/>
      <c r="AK92" s="60"/>
      <c r="AL92" s="61"/>
      <c r="AM92" s="59">
        <f t="shared" si="8"/>
        <v>7839112</v>
      </c>
      <c r="AN92" s="60"/>
      <c r="AO92" s="60"/>
      <c r="AP92" s="60"/>
      <c r="AQ92" s="61"/>
      <c r="AR92" s="59">
        <v>8466241</v>
      </c>
      <c r="AS92" s="60"/>
      <c r="AT92" s="60"/>
      <c r="AU92" s="60"/>
      <c r="AV92" s="61"/>
      <c r="AW92" s="59">
        <v>0</v>
      </c>
      <c r="AX92" s="60"/>
      <c r="AY92" s="60"/>
      <c r="AZ92" s="60"/>
      <c r="BA92" s="61"/>
      <c r="BB92" s="59">
        <v>0</v>
      </c>
      <c r="BC92" s="60"/>
      <c r="BD92" s="60"/>
      <c r="BE92" s="60"/>
      <c r="BF92" s="61"/>
      <c r="BG92" s="58">
        <f t="shared" si="9"/>
        <v>8466241</v>
      </c>
      <c r="BH92" s="58"/>
      <c r="BI92" s="58"/>
      <c r="BJ92" s="58"/>
      <c r="BK92" s="58"/>
    </row>
    <row r="93" spans="1:79" s="4" customFormat="1" ht="12.75" customHeight="1" x14ac:dyDescent="0.2">
      <c r="A93" s="52">
        <v>2274</v>
      </c>
      <c r="B93" s="53"/>
      <c r="C93" s="53"/>
      <c r="D93" s="54"/>
      <c r="E93" s="55" t="s">
        <v>185</v>
      </c>
      <c r="F93" s="56"/>
      <c r="G93" s="56"/>
      <c r="H93" s="56"/>
      <c r="I93" s="56"/>
      <c r="J93" s="56"/>
      <c r="K93" s="56"/>
      <c r="L93" s="56"/>
      <c r="M93" s="56"/>
      <c r="N93" s="56"/>
      <c r="O93" s="56"/>
      <c r="P93" s="56"/>
      <c r="Q93" s="56"/>
      <c r="R93" s="56"/>
      <c r="S93" s="56"/>
      <c r="T93" s="56"/>
      <c r="U93" s="56"/>
      <c r="V93" s="56"/>
      <c r="W93" s="57"/>
      <c r="X93" s="59">
        <v>2677123</v>
      </c>
      <c r="Y93" s="60"/>
      <c r="Z93" s="60"/>
      <c r="AA93" s="60"/>
      <c r="AB93" s="61"/>
      <c r="AC93" s="59">
        <v>0</v>
      </c>
      <c r="AD93" s="60"/>
      <c r="AE93" s="60"/>
      <c r="AF93" s="60"/>
      <c r="AG93" s="61"/>
      <c r="AH93" s="59">
        <v>0</v>
      </c>
      <c r="AI93" s="60"/>
      <c r="AJ93" s="60"/>
      <c r="AK93" s="60"/>
      <c r="AL93" s="61"/>
      <c r="AM93" s="59">
        <f t="shared" si="8"/>
        <v>2677123</v>
      </c>
      <c r="AN93" s="60"/>
      <c r="AO93" s="60"/>
      <c r="AP93" s="60"/>
      <c r="AQ93" s="61"/>
      <c r="AR93" s="59">
        <v>2891293</v>
      </c>
      <c r="AS93" s="60"/>
      <c r="AT93" s="60"/>
      <c r="AU93" s="60"/>
      <c r="AV93" s="61"/>
      <c r="AW93" s="59">
        <v>0</v>
      </c>
      <c r="AX93" s="60"/>
      <c r="AY93" s="60"/>
      <c r="AZ93" s="60"/>
      <c r="BA93" s="61"/>
      <c r="BB93" s="59">
        <v>0</v>
      </c>
      <c r="BC93" s="60"/>
      <c r="BD93" s="60"/>
      <c r="BE93" s="60"/>
      <c r="BF93" s="61"/>
      <c r="BG93" s="58">
        <f t="shared" si="9"/>
        <v>2891293</v>
      </c>
      <c r="BH93" s="58"/>
      <c r="BI93" s="58"/>
      <c r="BJ93" s="58"/>
      <c r="BK93" s="58"/>
    </row>
    <row r="94" spans="1:79" s="4" customFormat="1" ht="12.75" customHeight="1" x14ac:dyDescent="0.2">
      <c r="A94" s="52">
        <v>2275</v>
      </c>
      <c r="B94" s="53"/>
      <c r="C94" s="53"/>
      <c r="D94" s="54"/>
      <c r="E94" s="55" t="s">
        <v>186</v>
      </c>
      <c r="F94" s="56"/>
      <c r="G94" s="56"/>
      <c r="H94" s="56"/>
      <c r="I94" s="56"/>
      <c r="J94" s="56"/>
      <c r="K94" s="56"/>
      <c r="L94" s="56"/>
      <c r="M94" s="56"/>
      <c r="N94" s="56"/>
      <c r="O94" s="56"/>
      <c r="P94" s="56"/>
      <c r="Q94" s="56"/>
      <c r="R94" s="56"/>
      <c r="S94" s="56"/>
      <c r="T94" s="56"/>
      <c r="U94" s="56"/>
      <c r="V94" s="56"/>
      <c r="W94" s="57"/>
      <c r="X94" s="59">
        <v>514545</v>
      </c>
      <c r="Y94" s="60"/>
      <c r="Z94" s="60"/>
      <c r="AA94" s="60"/>
      <c r="AB94" s="61"/>
      <c r="AC94" s="59">
        <v>0</v>
      </c>
      <c r="AD94" s="60"/>
      <c r="AE94" s="60"/>
      <c r="AF94" s="60"/>
      <c r="AG94" s="61"/>
      <c r="AH94" s="59">
        <v>0</v>
      </c>
      <c r="AI94" s="60"/>
      <c r="AJ94" s="60"/>
      <c r="AK94" s="60"/>
      <c r="AL94" s="61"/>
      <c r="AM94" s="59">
        <f t="shared" si="8"/>
        <v>514545</v>
      </c>
      <c r="AN94" s="60"/>
      <c r="AO94" s="60"/>
      <c r="AP94" s="60"/>
      <c r="AQ94" s="61"/>
      <c r="AR94" s="59">
        <v>555709</v>
      </c>
      <c r="AS94" s="60"/>
      <c r="AT94" s="60"/>
      <c r="AU94" s="60"/>
      <c r="AV94" s="61"/>
      <c r="AW94" s="59">
        <v>0</v>
      </c>
      <c r="AX94" s="60"/>
      <c r="AY94" s="60"/>
      <c r="AZ94" s="60"/>
      <c r="BA94" s="61"/>
      <c r="BB94" s="59">
        <v>0</v>
      </c>
      <c r="BC94" s="60"/>
      <c r="BD94" s="60"/>
      <c r="BE94" s="60"/>
      <c r="BF94" s="61"/>
      <c r="BG94" s="58">
        <f t="shared" si="9"/>
        <v>555709</v>
      </c>
      <c r="BH94" s="58"/>
      <c r="BI94" s="58"/>
      <c r="BJ94" s="58"/>
      <c r="BK94" s="58"/>
    </row>
    <row r="95" spans="1:79" s="4" customFormat="1" ht="25.5" customHeight="1" x14ac:dyDescent="0.2">
      <c r="A95" s="52">
        <v>2282</v>
      </c>
      <c r="B95" s="53"/>
      <c r="C95" s="53"/>
      <c r="D95" s="54"/>
      <c r="E95" s="55" t="s">
        <v>187</v>
      </c>
      <c r="F95" s="56"/>
      <c r="G95" s="56"/>
      <c r="H95" s="56"/>
      <c r="I95" s="56"/>
      <c r="J95" s="56"/>
      <c r="K95" s="56"/>
      <c r="L95" s="56"/>
      <c r="M95" s="56"/>
      <c r="N95" s="56"/>
      <c r="O95" s="56"/>
      <c r="P95" s="56"/>
      <c r="Q95" s="56"/>
      <c r="R95" s="56"/>
      <c r="S95" s="56"/>
      <c r="T95" s="56"/>
      <c r="U95" s="56"/>
      <c r="V95" s="56"/>
      <c r="W95" s="57"/>
      <c r="X95" s="59">
        <v>33629</v>
      </c>
      <c r="Y95" s="60"/>
      <c r="Z95" s="60"/>
      <c r="AA95" s="60"/>
      <c r="AB95" s="61"/>
      <c r="AC95" s="59">
        <v>0</v>
      </c>
      <c r="AD95" s="60"/>
      <c r="AE95" s="60"/>
      <c r="AF95" s="60"/>
      <c r="AG95" s="61"/>
      <c r="AH95" s="59">
        <v>0</v>
      </c>
      <c r="AI95" s="60"/>
      <c r="AJ95" s="60"/>
      <c r="AK95" s="60"/>
      <c r="AL95" s="61"/>
      <c r="AM95" s="59">
        <f t="shared" si="8"/>
        <v>33629</v>
      </c>
      <c r="AN95" s="60"/>
      <c r="AO95" s="60"/>
      <c r="AP95" s="60"/>
      <c r="AQ95" s="61"/>
      <c r="AR95" s="59">
        <v>36319</v>
      </c>
      <c r="AS95" s="60"/>
      <c r="AT95" s="60"/>
      <c r="AU95" s="60"/>
      <c r="AV95" s="61"/>
      <c r="AW95" s="59">
        <v>0</v>
      </c>
      <c r="AX95" s="60"/>
      <c r="AY95" s="60"/>
      <c r="AZ95" s="60"/>
      <c r="BA95" s="61"/>
      <c r="BB95" s="59">
        <v>0</v>
      </c>
      <c r="BC95" s="60"/>
      <c r="BD95" s="60"/>
      <c r="BE95" s="60"/>
      <c r="BF95" s="61"/>
      <c r="BG95" s="58">
        <f t="shared" si="9"/>
        <v>36319</v>
      </c>
      <c r="BH95" s="58"/>
      <c r="BI95" s="58"/>
      <c r="BJ95" s="58"/>
      <c r="BK95" s="58"/>
    </row>
    <row r="96" spans="1:79" s="4" customFormat="1" ht="12.75" customHeight="1" x14ac:dyDescent="0.2">
      <c r="A96" s="52">
        <v>2800</v>
      </c>
      <c r="B96" s="53"/>
      <c r="C96" s="53"/>
      <c r="D96" s="54"/>
      <c r="E96" s="55" t="s">
        <v>188</v>
      </c>
      <c r="F96" s="56"/>
      <c r="G96" s="56"/>
      <c r="H96" s="56"/>
      <c r="I96" s="56"/>
      <c r="J96" s="56"/>
      <c r="K96" s="56"/>
      <c r="L96" s="56"/>
      <c r="M96" s="56"/>
      <c r="N96" s="56"/>
      <c r="O96" s="56"/>
      <c r="P96" s="56"/>
      <c r="Q96" s="56"/>
      <c r="R96" s="56"/>
      <c r="S96" s="56"/>
      <c r="T96" s="56"/>
      <c r="U96" s="56"/>
      <c r="V96" s="56"/>
      <c r="W96" s="57"/>
      <c r="X96" s="59">
        <v>2198</v>
      </c>
      <c r="Y96" s="60"/>
      <c r="Z96" s="60"/>
      <c r="AA96" s="60"/>
      <c r="AB96" s="61"/>
      <c r="AC96" s="59">
        <v>0</v>
      </c>
      <c r="AD96" s="60"/>
      <c r="AE96" s="60"/>
      <c r="AF96" s="60"/>
      <c r="AG96" s="61"/>
      <c r="AH96" s="59">
        <v>0</v>
      </c>
      <c r="AI96" s="60"/>
      <c r="AJ96" s="60"/>
      <c r="AK96" s="60"/>
      <c r="AL96" s="61"/>
      <c r="AM96" s="59">
        <f t="shared" si="8"/>
        <v>2198</v>
      </c>
      <c r="AN96" s="60"/>
      <c r="AO96" s="60"/>
      <c r="AP96" s="60"/>
      <c r="AQ96" s="61"/>
      <c r="AR96" s="59">
        <v>2374</v>
      </c>
      <c r="AS96" s="60"/>
      <c r="AT96" s="60"/>
      <c r="AU96" s="60"/>
      <c r="AV96" s="61"/>
      <c r="AW96" s="59">
        <v>0</v>
      </c>
      <c r="AX96" s="60"/>
      <c r="AY96" s="60"/>
      <c r="AZ96" s="60"/>
      <c r="BA96" s="61"/>
      <c r="BB96" s="59">
        <v>0</v>
      </c>
      <c r="BC96" s="60"/>
      <c r="BD96" s="60"/>
      <c r="BE96" s="60"/>
      <c r="BF96" s="61"/>
      <c r="BG96" s="58">
        <f t="shared" si="9"/>
        <v>2374</v>
      </c>
      <c r="BH96" s="58"/>
      <c r="BI96" s="58"/>
      <c r="BJ96" s="58"/>
      <c r="BK96" s="58"/>
    </row>
    <row r="97" spans="1:79" s="4" customFormat="1" ht="25.5" customHeight="1" x14ac:dyDescent="0.2">
      <c r="A97" s="52">
        <v>3110</v>
      </c>
      <c r="B97" s="53"/>
      <c r="C97" s="53"/>
      <c r="D97" s="54"/>
      <c r="E97" s="55" t="s">
        <v>189</v>
      </c>
      <c r="F97" s="56"/>
      <c r="G97" s="56"/>
      <c r="H97" s="56"/>
      <c r="I97" s="56"/>
      <c r="J97" s="56"/>
      <c r="K97" s="56"/>
      <c r="L97" s="56"/>
      <c r="M97" s="56"/>
      <c r="N97" s="56"/>
      <c r="O97" s="56"/>
      <c r="P97" s="56"/>
      <c r="Q97" s="56"/>
      <c r="R97" s="56"/>
      <c r="S97" s="56"/>
      <c r="T97" s="56"/>
      <c r="U97" s="56"/>
      <c r="V97" s="56"/>
      <c r="W97" s="57"/>
      <c r="X97" s="59">
        <v>0</v>
      </c>
      <c r="Y97" s="60"/>
      <c r="Z97" s="60"/>
      <c r="AA97" s="60"/>
      <c r="AB97" s="61"/>
      <c r="AC97" s="59">
        <v>0</v>
      </c>
      <c r="AD97" s="60"/>
      <c r="AE97" s="60"/>
      <c r="AF97" s="60"/>
      <c r="AG97" s="61"/>
      <c r="AH97" s="59">
        <v>0</v>
      </c>
      <c r="AI97" s="60"/>
      <c r="AJ97" s="60"/>
      <c r="AK97" s="60"/>
      <c r="AL97" s="61"/>
      <c r="AM97" s="59">
        <f t="shared" si="8"/>
        <v>0</v>
      </c>
      <c r="AN97" s="60"/>
      <c r="AO97" s="60"/>
      <c r="AP97" s="60"/>
      <c r="AQ97" s="61"/>
      <c r="AR97" s="59">
        <v>0</v>
      </c>
      <c r="AS97" s="60"/>
      <c r="AT97" s="60"/>
      <c r="AU97" s="60"/>
      <c r="AV97" s="61"/>
      <c r="AW97" s="59">
        <v>0</v>
      </c>
      <c r="AX97" s="60"/>
      <c r="AY97" s="60"/>
      <c r="AZ97" s="60"/>
      <c r="BA97" s="61"/>
      <c r="BB97" s="59">
        <v>0</v>
      </c>
      <c r="BC97" s="60"/>
      <c r="BD97" s="60"/>
      <c r="BE97" s="60"/>
      <c r="BF97" s="61"/>
      <c r="BG97" s="58">
        <f t="shared" si="9"/>
        <v>0</v>
      </c>
      <c r="BH97" s="58"/>
      <c r="BI97" s="58"/>
      <c r="BJ97" s="58"/>
      <c r="BK97" s="58"/>
    </row>
    <row r="98" spans="1:79" s="4" customFormat="1" ht="12.75" customHeight="1" x14ac:dyDescent="0.2">
      <c r="A98" s="52">
        <v>3132</v>
      </c>
      <c r="B98" s="53"/>
      <c r="C98" s="53"/>
      <c r="D98" s="54"/>
      <c r="E98" s="55" t="s">
        <v>190</v>
      </c>
      <c r="F98" s="56"/>
      <c r="G98" s="56"/>
      <c r="H98" s="56"/>
      <c r="I98" s="56"/>
      <c r="J98" s="56"/>
      <c r="K98" s="56"/>
      <c r="L98" s="56"/>
      <c r="M98" s="56"/>
      <c r="N98" s="56"/>
      <c r="O98" s="56"/>
      <c r="P98" s="56"/>
      <c r="Q98" s="56"/>
      <c r="R98" s="56"/>
      <c r="S98" s="56"/>
      <c r="T98" s="56"/>
      <c r="U98" s="56"/>
      <c r="V98" s="56"/>
      <c r="W98" s="57"/>
      <c r="X98" s="59">
        <v>0</v>
      </c>
      <c r="Y98" s="60"/>
      <c r="Z98" s="60"/>
      <c r="AA98" s="60"/>
      <c r="AB98" s="61"/>
      <c r="AC98" s="59">
        <v>0</v>
      </c>
      <c r="AD98" s="60"/>
      <c r="AE98" s="60"/>
      <c r="AF98" s="60"/>
      <c r="AG98" s="61"/>
      <c r="AH98" s="59">
        <v>0</v>
      </c>
      <c r="AI98" s="60"/>
      <c r="AJ98" s="60"/>
      <c r="AK98" s="60"/>
      <c r="AL98" s="61"/>
      <c r="AM98" s="59">
        <f t="shared" si="8"/>
        <v>0</v>
      </c>
      <c r="AN98" s="60"/>
      <c r="AO98" s="60"/>
      <c r="AP98" s="60"/>
      <c r="AQ98" s="61"/>
      <c r="AR98" s="59">
        <v>0</v>
      </c>
      <c r="AS98" s="60"/>
      <c r="AT98" s="60"/>
      <c r="AU98" s="60"/>
      <c r="AV98" s="61"/>
      <c r="AW98" s="59">
        <v>0</v>
      </c>
      <c r="AX98" s="60"/>
      <c r="AY98" s="60"/>
      <c r="AZ98" s="60"/>
      <c r="BA98" s="61"/>
      <c r="BB98" s="59">
        <v>0</v>
      </c>
      <c r="BC98" s="60"/>
      <c r="BD98" s="60"/>
      <c r="BE98" s="60"/>
      <c r="BF98" s="61"/>
      <c r="BG98" s="58">
        <f t="shared" si="9"/>
        <v>0</v>
      </c>
      <c r="BH98" s="58"/>
      <c r="BI98" s="58"/>
      <c r="BJ98" s="58"/>
      <c r="BK98" s="58"/>
    </row>
    <row r="99" spans="1:79" s="5" customFormat="1" ht="12.75" customHeight="1" x14ac:dyDescent="0.2">
      <c r="A99" s="77"/>
      <c r="B99" s="78"/>
      <c r="C99" s="78"/>
      <c r="D99" s="79"/>
      <c r="E99" s="96" t="s">
        <v>147</v>
      </c>
      <c r="F99" s="97"/>
      <c r="G99" s="97"/>
      <c r="H99" s="97"/>
      <c r="I99" s="97"/>
      <c r="J99" s="97"/>
      <c r="K99" s="97"/>
      <c r="L99" s="97"/>
      <c r="M99" s="97"/>
      <c r="N99" s="97"/>
      <c r="O99" s="97"/>
      <c r="P99" s="97"/>
      <c r="Q99" s="97"/>
      <c r="R99" s="97"/>
      <c r="S99" s="97"/>
      <c r="T99" s="97"/>
      <c r="U99" s="97"/>
      <c r="V99" s="97"/>
      <c r="W99" s="98"/>
      <c r="X99" s="74">
        <v>23072095</v>
      </c>
      <c r="Y99" s="75"/>
      <c r="Z99" s="75"/>
      <c r="AA99" s="75"/>
      <c r="AB99" s="76"/>
      <c r="AC99" s="74">
        <v>0</v>
      </c>
      <c r="AD99" s="75"/>
      <c r="AE99" s="75"/>
      <c r="AF99" s="75"/>
      <c r="AG99" s="76"/>
      <c r="AH99" s="74">
        <v>0</v>
      </c>
      <c r="AI99" s="75"/>
      <c r="AJ99" s="75"/>
      <c r="AK99" s="75"/>
      <c r="AL99" s="76"/>
      <c r="AM99" s="74">
        <f t="shared" si="8"/>
        <v>23072095</v>
      </c>
      <c r="AN99" s="75"/>
      <c r="AO99" s="75"/>
      <c r="AP99" s="75"/>
      <c r="AQ99" s="76"/>
      <c r="AR99" s="74">
        <v>24384707</v>
      </c>
      <c r="AS99" s="75"/>
      <c r="AT99" s="75"/>
      <c r="AU99" s="75"/>
      <c r="AV99" s="76"/>
      <c r="AW99" s="74">
        <v>0</v>
      </c>
      <c r="AX99" s="75"/>
      <c r="AY99" s="75"/>
      <c r="AZ99" s="75"/>
      <c r="BA99" s="76"/>
      <c r="BB99" s="74">
        <v>0</v>
      </c>
      <c r="BC99" s="75"/>
      <c r="BD99" s="75"/>
      <c r="BE99" s="75"/>
      <c r="BF99" s="76"/>
      <c r="BG99" s="87">
        <f t="shared" si="9"/>
        <v>24384707</v>
      </c>
      <c r="BH99" s="87"/>
      <c r="BI99" s="87"/>
      <c r="BJ99" s="87"/>
      <c r="BK99" s="87"/>
    </row>
    <row r="101" spans="1:79" ht="14.25" customHeight="1" x14ac:dyDescent="0.2">
      <c r="A101" s="28" t="s">
        <v>309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row>
    <row r="102" spans="1:79" ht="15" customHeight="1" x14ac:dyDescent="0.2">
      <c r="A102" s="65" t="s">
        <v>280</v>
      </c>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row>
    <row r="103" spans="1:79" ht="23.1" customHeight="1" x14ac:dyDescent="0.2">
      <c r="A103" s="67" t="s">
        <v>119</v>
      </c>
      <c r="B103" s="68"/>
      <c r="C103" s="68"/>
      <c r="D103" s="68"/>
      <c r="E103" s="69"/>
      <c r="F103" s="42" t="s">
        <v>19</v>
      </c>
      <c r="G103" s="43"/>
      <c r="H103" s="43"/>
      <c r="I103" s="43"/>
      <c r="J103" s="43"/>
      <c r="K103" s="43"/>
      <c r="L103" s="43"/>
      <c r="M103" s="43"/>
      <c r="N103" s="43"/>
      <c r="O103" s="43"/>
      <c r="P103" s="43"/>
      <c r="Q103" s="43"/>
      <c r="R103" s="43"/>
      <c r="S103" s="43"/>
      <c r="T103" s="43"/>
      <c r="U103" s="43"/>
      <c r="V103" s="43"/>
      <c r="W103" s="44"/>
      <c r="X103" s="48" t="s">
        <v>302</v>
      </c>
      <c r="Y103" s="48"/>
      <c r="Z103" s="48"/>
      <c r="AA103" s="48"/>
      <c r="AB103" s="48"/>
      <c r="AC103" s="48"/>
      <c r="AD103" s="48"/>
      <c r="AE103" s="48"/>
      <c r="AF103" s="48"/>
      <c r="AG103" s="48"/>
      <c r="AH103" s="48"/>
      <c r="AI103" s="48"/>
      <c r="AJ103" s="48"/>
      <c r="AK103" s="48"/>
      <c r="AL103" s="48"/>
      <c r="AM103" s="48"/>
      <c r="AN103" s="48"/>
      <c r="AO103" s="48"/>
      <c r="AP103" s="48"/>
      <c r="AQ103" s="48"/>
      <c r="AR103" s="35" t="s">
        <v>307</v>
      </c>
      <c r="AS103" s="36"/>
      <c r="AT103" s="36"/>
      <c r="AU103" s="36"/>
      <c r="AV103" s="36"/>
      <c r="AW103" s="36"/>
      <c r="AX103" s="36"/>
      <c r="AY103" s="36"/>
      <c r="AZ103" s="36"/>
      <c r="BA103" s="36"/>
      <c r="BB103" s="36"/>
      <c r="BC103" s="36"/>
      <c r="BD103" s="36"/>
      <c r="BE103" s="36"/>
      <c r="BF103" s="36"/>
      <c r="BG103" s="36"/>
      <c r="BH103" s="36"/>
      <c r="BI103" s="36"/>
      <c r="BJ103" s="36"/>
      <c r="BK103" s="37"/>
    </row>
    <row r="104" spans="1:79" ht="53.25" customHeight="1" x14ac:dyDescent="0.2">
      <c r="A104" s="70"/>
      <c r="B104" s="71"/>
      <c r="C104" s="71"/>
      <c r="D104" s="71"/>
      <c r="E104" s="72"/>
      <c r="F104" s="45"/>
      <c r="G104" s="46"/>
      <c r="H104" s="46"/>
      <c r="I104" s="46"/>
      <c r="J104" s="46"/>
      <c r="K104" s="46"/>
      <c r="L104" s="46"/>
      <c r="M104" s="46"/>
      <c r="N104" s="46"/>
      <c r="O104" s="46"/>
      <c r="P104" s="46"/>
      <c r="Q104" s="46"/>
      <c r="R104" s="46"/>
      <c r="S104" s="46"/>
      <c r="T104" s="46"/>
      <c r="U104" s="46"/>
      <c r="V104" s="46"/>
      <c r="W104" s="47"/>
      <c r="X104" s="35" t="s">
        <v>4</v>
      </c>
      <c r="Y104" s="36"/>
      <c r="Z104" s="36"/>
      <c r="AA104" s="36"/>
      <c r="AB104" s="37"/>
      <c r="AC104" s="35" t="s">
        <v>3</v>
      </c>
      <c r="AD104" s="36"/>
      <c r="AE104" s="36"/>
      <c r="AF104" s="36"/>
      <c r="AG104" s="37"/>
      <c r="AH104" s="38" t="s">
        <v>116</v>
      </c>
      <c r="AI104" s="39"/>
      <c r="AJ104" s="39"/>
      <c r="AK104" s="39"/>
      <c r="AL104" s="40"/>
      <c r="AM104" s="35" t="s">
        <v>5</v>
      </c>
      <c r="AN104" s="36"/>
      <c r="AO104" s="36"/>
      <c r="AP104" s="36"/>
      <c r="AQ104" s="37"/>
      <c r="AR104" s="35" t="s">
        <v>4</v>
      </c>
      <c r="AS104" s="36"/>
      <c r="AT104" s="36"/>
      <c r="AU104" s="36"/>
      <c r="AV104" s="37"/>
      <c r="AW104" s="35" t="s">
        <v>3</v>
      </c>
      <c r="AX104" s="36"/>
      <c r="AY104" s="36"/>
      <c r="AZ104" s="36"/>
      <c r="BA104" s="37"/>
      <c r="BB104" s="83" t="s">
        <v>116</v>
      </c>
      <c r="BC104" s="83"/>
      <c r="BD104" s="83"/>
      <c r="BE104" s="83"/>
      <c r="BF104" s="83"/>
      <c r="BG104" s="35" t="s">
        <v>96</v>
      </c>
      <c r="BH104" s="36"/>
      <c r="BI104" s="36"/>
      <c r="BJ104" s="36"/>
      <c r="BK104" s="37"/>
    </row>
    <row r="105" spans="1:79" ht="15" customHeight="1" x14ac:dyDescent="0.2">
      <c r="A105" s="35">
        <v>1</v>
      </c>
      <c r="B105" s="36"/>
      <c r="C105" s="36"/>
      <c r="D105" s="36"/>
      <c r="E105" s="37"/>
      <c r="F105" s="35">
        <v>2</v>
      </c>
      <c r="G105" s="36"/>
      <c r="H105" s="36"/>
      <c r="I105" s="36"/>
      <c r="J105" s="36"/>
      <c r="K105" s="36"/>
      <c r="L105" s="36"/>
      <c r="M105" s="36"/>
      <c r="N105" s="36"/>
      <c r="O105" s="36"/>
      <c r="P105" s="36"/>
      <c r="Q105" s="36"/>
      <c r="R105" s="36"/>
      <c r="S105" s="36"/>
      <c r="T105" s="36"/>
      <c r="U105" s="36"/>
      <c r="V105" s="36"/>
      <c r="W105" s="37"/>
      <c r="X105" s="35">
        <v>3</v>
      </c>
      <c r="Y105" s="36"/>
      <c r="Z105" s="36"/>
      <c r="AA105" s="36"/>
      <c r="AB105" s="37"/>
      <c r="AC105" s="35">
        <v>4</v>
      </c>
      <c r="AD105" s="36"/>
      <c r="AE105" s="36"/>
      <c r="AF105" s="36"/>
      <c r="AG105" s="37"/>
      <c r="AH105" s="35">
        <v>5</v>
      </c>
      <c r="AI105" s="36"/>
      <c r="AJ105" s="36"/>
      <c r="AK105" s="36"/>
      <c r="AL105" s="37"/>
      <c r="AM105" s="35">
        <v>6</v>
      </c>
      <c r="AN105" s="36"/>
      <c r="AO105" s="36"/>
      <c r="AP105" s="36"/>
      <c r="AQ105" s="37"/>
      <c r="AR105" s="35">
        <v>7</v>
      </c>
      <c r="AS105" s="36"/>
      <c r="AT105" s="36"/>
      <c r="AU105" s="36"/>
      <c r="AV105" s="37"/>
      <c r="AW105" s="35">
        <v>8</v>
      </c>
      <c r="AX105" s="36"/>
      <c r="AY105" s="36"/>
      <c r="AZ105" s="36"/>
      <c r="BA105" s="37"/>
      <c r="BB105" s="35">
        <v>9</v>
      </c>
      <c r="BC105" s="36"/>
      <c r="BD105" s="36"/>
      <c r="BE105" s="36"/>
      <c r="BF105" s="37"/>
      <c r="BG105" s="35">
        <v>10</v>
      </c>
      <c r="BH105" s="36"/>
      <c r="BI105" s="36"/>
      <c r="BJ105" s="36"/>
      <c r="BK105" s="37"/>
    </row>
    <row r="106" spans="1:79" s="1" customFormat="1" ht="15" hidden="1" customHeight="1" x14ac:dyDescent="0.2">
      <c r="A106" s="62" t="s">
        <v>64</v>
      </c>
      <c r="B106" s="63"/>
      <c r="C106" s="63"/>
      <c r="D106" s="63"/>
      <c r="E106" s="64"/>
      <c r="F106" s="62" t="s">
        <v>57</v>
      </c>
      <c r="G106" s="63"/>
      <c r="H106" s="63"/>
      <c r="I106" s="63"/>
      <c r="J106" s="63"/>
      <c r="K106" s="63"/>
      <c r="L106" s="63"/>
      <c r="M106" s="63"/>
      <c r="N106" s="63"/>
      <c r="O106" s="63"/>
      <c r="P106" s="63"/>
      <c r="Q106" s="63"/>
      <c r="R106" s="63"/>
      <c r="S106" s="63"/>
      <c r="T106" s="63"/>
      <c r="U106" s="63"/>
      <c r="V106" s="63"/>
      <c r="W106" s="64"/>
      <c r="X106" s="62" t="s">
        <v>60</v>
      </c>
      <c r="Y106" s="63"/>
      <c r="Z106" s="63"/>
      <c r="AA106" s="63"/>
      <c r="AB106" s="64"/>
      <c r="AC106" s="62" t="s">
        <v>61</v>
      </c>
      <c r="AD106" s="63"/>
      <c r="AE106" s="63"/>
      <c r="AF106" s="63"/>
      <c r="AG106" s="64"/>
      <c r="AH106" s="62" t="s">
        <v>94</v>
      </c>
      <c r="AI106" s="63"/>
      <c r="AJ106" s="63"/>
      <c r="AK106" s="63"/>
      <c r="AL106" s="64"/>
      <c r="AM106" s="49" t="s">
        <v>170</v>
      </c>
      <c r="AN106" s="50"/>
      <c r="AO106" s="50"/>
      <c r="AP106" s="50"/>
      <c r="AQ106" s="51"/>
      <c r="AR106" s="62" t="s">
        <v>62</v>
      </c>
      <c r="AS106" s="63"/>
      <c r="AT106" s="63"/>
      <c r="AU106" s="63"/>
      <c r="AV106" s="64"/>
      <c r="AW106" s="62" t="s">
        <v>63</v>
      </c>
      <c r="AX106" s="63"/>
      <c r="AY106" s="63"/>
      <c r="AZ106" s="63"/>
      <c r="BA106" s="64"/>
      <c r="BB106" s="62" t="s">
        <v>95</v>
      </c>
      <c r="BC106" s="63"/>
      <c r="BD106" s="63"/>
      <c r="BE106" s="63"/>
      <c r="BF106" s="64"/>
      <c r="BG106" s="49" t="s">
        <v>170</v>
      </c>
      <c r="BH106" s="50"/>
      <c r="BI106" s="50"/>
      <c r="BJ106" s="50"/>
      <c r="BK106" s="51"/>
      <c r="CA106" t="s">
        <v>31</v>
      </c>
    </row>
    <row r="107" spans="1:79" s="5" customFormat="1" ht="12.75" customHeight="1" x14ac:dyDescent="0.2">
      <c r="A107" s="77"/>
      <c r="B107" s="78"/>
      <c r="C107" s="78"/>
      <c r="D107" s="78"/>
      <c r="E107" s="79"/>
      <c r="F107" s="77" t="s">
        <v>147</v>
      </c>
      <c r="G107" s="78"/>
      <c r="H107" s="78"/>
      <c r="I107" s="78"/>
      <c r="J107" s="78"/>
      <c r="K107" s="78"/>
      <c r="L107" s="78"/>
      <c r="M107" s="78"/>
      <c r="N107" s="78"/>
      <c r="O107" s="78"/>
      <c r="P107" s="78"/>
      <c r="Q107" s="78"/>
      <c r="R107" s="78"/>
      <c r="S107" s="78"/>
      <c r="T107" s="78"/>
      <c r="U107" s="78"/>
      <c r="V107" s="78"/>
      <c r="W107" s="79"/>
      <c r="X107" s="84"/>
      <c r="Y107" s="85"/>
      <c r="Z107" s="85"/>
      <c r="AA107" s="85"/>
      <c r="AB107" s="86"/>
      <c r="AC107" s="84"/>
      <c r="AD107" s="85"/>
      <c r="AE107" s="85"/>
      <c r="AF107" s="85"/>
      <c r="AG107" s="86"/>
      <c r="AH107" s="87"/>
      <c r="AI107" s="87"/>
      <c r="AJ107" s="87"/>
      <c r="AK107" s="87"/>
      <c r="AL107" s="87"/>
      <c r="AM107" s="87">
        <f>IF(ISNUMBER(X107),X107,0)+IF(ISNUMBER(AC107),AC107,0)</f>
        <v>0</v>
      </c>
      <c r="AN107" s="87"/>
      <c r="AO107" s="87"/>
      <c r="AP107" s="87"/>
      <c r="AQ107" s="87"/>
      <c r="AR107" s="87"/>
      <c r="AS107" s="87"/>
      <c r="AT107" s="87"/>
      <c r="AU107" s="87"/>
      <c r="AV107" s="87"/>
      <c r="AW107" s="87"/>
      <c r="AX107" s="87"/>
      <c r="AY107" s="87"/>
      <c r="AZ107" s="87"/>
      <c r="BA107" s="87"/>
      <c r="BB107" s="87"/>
      <c r="BC107" s="87"/>
      <c r="BD107" s="87"/>
      <c r="BE107" s="87"/>
      <c r="BF107" s="87"/>
      <c r="BG107" s="87">
        <f>IF(ISNUMBER(AR107),AR107,0)+IF(ISNUMBER(AW107),AW107,0)</f>
        <v>0</v>
      </c>
      <c r="BH107" s="87"/>
      <c r="BI107" s="87"/>
      <c r="BJ107" s="87"/>
      <c r="BK107" s="87"/>
      <c r="CA107" s="5" t="s">
        <v>32</v>
      </c>
    </row>
    <row r="109" spans="1:79" ht="14.25" customHeight="1" x14ac:dyDescent="0.2">
      <c r="A109" s="28" t="s">
        <v>120</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row>
    <row r="110" spans="1:79" ht="14.25" customHeight="1" x14ac:dyDescent="0.2">
      <c r="A110" s="28" t="s">
        <v>295</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row>
    <row r="111" spans="1:79" ht="15" customHeight="1" x14ac:dyDescent="0.2">
      <c r="A111" s="65" t="s">
        <v>280</v>
      </c>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5"/>
    </row>
    <row r="112" spans="1:79" ht="23.1" customHeight="1" x14ac:dyDescent="0.2">
      <c r="A112" s="42" t="s">
        <v>6</v>
      </c>
      <c r="B112" s="43"/>
      <c r="C112" s="43"/>
      <c r="D112" s="42" t="s">
        <v>121</v>
      </c>
      <c r="E112" s="43"/>
      <c r="F112" s="43"/>
      <c r="G112" s="43"/>
      <c r="H112" s="43"/>
      <c r="I112" s="43"/>
      <c r="J112" s="43"/>
      <c r="K112" s="43"/>
      <c r="L112" s="43"/>
      <c r="M112" s="43"/>
      <c r="N112" s="43"/>
      <c r="O112" s="43"/>
      <c r="P112" s="43"/>
      <c r="Q112" s="43"/>
      <c r="R112" s="43"/>
      <c r="S112" s="43"/>
      <c r="T112" s="44"/>
      <c r="U112" s="35" t="s">
        <v>281</v>
      </c>
      <c r="V112" s="36"/>
      <c r="W112" s="36"/>
      <c r="X112" s="36"/>
      <c r="Y112" s="36"/>
      <c r="Z112" s="36"/>
      <c r="AA112" s="36"/>
      <c r="AB112" s="36"/>
      <c r="AC112" s="36"/>
      <c r="AD112" s="36"/>
      <c r="AE112" s="36"/>
      <c r="AF112" s="36"/>
      <c r="AG112" s="36"/>
      <c r="AH112" s="36"/>
      <c r="AI112" s="36"/>
      <c r="AJ112" s="36"/>
      <c r="AK112" s="36"/>
      <c r="AL112" s="36"/>
      <c r="AM112" s="37"/>
      <c r="AN112" s="35" t="s">
        <v>284</v>
      </c>
      <c r="AO112" s="36"/>
      <c r="AP112" s="36"/>
      <c r="AQ112" s="36"/>
      <c r="AR112" s="36"/>
      <c r="AS112" s="36"/>
      <c r="AT112" s="36"/>
      <c r="AU112" s="36"/>
      <c r="AV112" s="36"/>
      <c r="AW112" s="36"/>
      <c r="AX112" s="36"/>
      <c r="AY112" s="36"/>
      <c r="AZ112" s="36"/>
      <c r="BA112" s="36"/>
      <c r="BB112" s="36"/>
      <c r="BC112" s="36"/>
      <c r="BD112" s="36"/>
      <c r="BE112" s="36"/>
      <c r="BF112" s="37"/>
      <c r="BG112" s="48" t="s">
        <v>292</v>
      </c>
      <c r="BH112" s="48"/>
      <c r="BI112" s="48"/>
      <c r="BJ112" s="48"/>
      <c r="BK112" s="48"/>
      <c r="BL112" s="48"/>
      <c r="BM112" s="48"/>
      <c r="BN112" s="48"/>
      <c r="BO112" s="48"/>
      <c r="BP112" s="48"/>
      <c r="BQ112" s="48"/>
      <c r="BR112" s="48"/>
      <c r="BS112" s="48"/>
      <c r="BT112" s="48"/>
      <c r="BU112" s="48"/>
      <c r="BV112" s="48"/>
      <c r="BW112" s="48"/>
      <c r="BX112" s="48"/>
      <c r="BY112" s="48"/>
    </row>
    <row r="113" spans="1:79" ht="52.5" customHeight="1" x14ac:dyDescent="0.2">
      <c r="A113" s="45"/>
      <c r="B113" s="46"/>
      <c r="C113" s="46"/>
      <c r="D113" s="45"/>
      <c r="E113" s="46"/>
      <c r="F113" s="46"/>
      <c r="G113" s="46"/>
      <c r="H113" s="46"/>
      <c r="I113" s="46"/>
      <c r="J113" s="46"/>
      <c r="K113" s="46"/>
      <c r="L113" s="46"/>
      <c r="M113" s="46"/>
      <c r="N113" s="46"/>
      <c r="O113" s="46"/>
      <c r="P113" s="46"/>
      <c r="Q113" s="46"/>
      <c r="R113" s="46"/>
      <c r="S113" s="46"/>
      <c r="T113" s="47"/>
      <c r="U113" s="35" t="s">
        <v>4</v>
      </c>
      <c r="V113" s="36"/>
      <c r="W113" s="36"/>
      <c r="X113" s="36"/>
      <c r="Y113" s="37"/>
      <c r="Z113" s="35" t="s">
        <v>3</v>
      </c>
      <c r="AA113" s="36"/>
      <c r="AB113" s="36"/>
      <c r="AC113" s="36"/>
      <c r="AD113" s="37"/>
      <c r="AE113" s="38" t="s">
        <v>116</v>
      </c>
      <c r="AF113" s="39"/>
      <c r="AG113" s="39"/>
      <c r="AH113" s="40"/>
      <c r="AI113" s="35" t="s">
        <v>5</v>
      </c>
      <c r="AJ113" s="36"/>
      <c r="AK113" s="36"/>
      <c r="AL113" s="36"/>
      <c r="AM113" s="37"/>
      <c r="AN113" s="35" t="s">
        <v>4</v>
      </c>
      <c r="AO113" s="36"/>
      <c r="AP113" s="36"/>
      <c r="AQ113" s="36"/>
      <c r="AR113" s="37"/>
      <c r="AS113" s="35" t="s">
        <v>3</v>
      </c>
      <c r="AT113" s="36"/>
      <c r="AU113" s="36"/>
      <c r="AV113" s="36"/>
      <c r="AW113" s="37"/>
      <c r="AX113" s="38" t="s">
        <v>116</v>
      </c>
      <c r="AY113" s="39"/>
      <c r="AZ113" s="39"/>
      <c r="BA113" s="40"/>
      <c r="BB113" s="35" t="s">
        <v>96</v>
      </c>
      <c r="BC113" s="36"/>
      <c r="BD113" s="36"/>
      <c r="BE113" s="36"/>
      <c r="BF113" s="37"/>
      <c r="BG113" s="35" t="s">
        <v>4</v>
      </c>
      <c r="BH113" s="36"/>
      <c r="BI113" s="36"/>
      <c r="BJ113" s="36"/>
      <c r="BK113" s="37"/>
      <c r="BL113" s="48" t="s">
        <v>3</v>
      </c>
      <c r="BM113" s="48"/>
      <c r="BN113" s="48"/>
      <c r="BO113" s="48"/>
      <c r="BP113" s="48"/>
      <c r="BQ113" s="83" t="s">
        <v>116</v>
      </c>
      <c r="BR113" s="83"/>
      <c r="BS113" s="83"/>
      <c r="BT113" s="83"/>
      <c r="BU113" s="35" t="s">
        <v>97</v>
      </c>
      <c r="BV113" s="36"/>
      <c r="BW113" s="36"/>
      <c r="BX113" s="36"/>
      <c r="BY113" s="37"/>
    </row>
    <row r="114" spans="1:79" ht="15" customHeight="1" x14ac:dyDescent="0.2">
      <c r="A114" s="35">
        <v>1</v>
      </c>
      <c r="B114" s="36"/>
      <c r="C114" s="36"/>
      <c r="D114" s="35">
        <v>2</v>
      </c>
      <c r="E114" s="36"/>
      <c r="F114" s="36"/>
      <c r="G114" s="36"/>
      <c r="H114" s="36"/>
      <c r="I114" s="36"/>
      <c r="J114" s="36"/>
      <c r="K114" s="36"/>
      <c r="L114" s="36"/>
      <c r="M114" s="36"/>
      <c r="N114" s="36"/>
      <c r="O114" s="36"/>
      <c r="P114" s="36"/>
      <c r="Q114" s="36"/>
      <c r="R114" s="36"/>
      <c r="S114" s="36"/>
      <c r="T114" s="37"/>
      <c r="U114" s="35">
        <v>3</v>
      </c>
      <c r="V114" s="36"/>
      <c r="W114" s="36"/>
      <c r="X114" s="36"/>
      <c r="Y114" s="37"/>
      <c r="Z114" s="35">
        <v>4</v>
      </c>
      <c r="AA114" s="36"/>
      <c r="AB114" s="36"/>
      <c r="AC114" s="36"/>
      <c r="AD114" s="37"/>
      <c r="AE114" s="35">
        <v>5</v>
      </c>
      <c r="AF114" s="36"/>
      <c r="AG114" s="36"/>
      <c r="AH114" s="37"/>
      <c r="AI114" s="35">
        <v>6</v>
      </c>
      <c r="AJ114" s="36"/>
      <c r="AK114" s="36"/>
      <c r="AL114" s="36"/>
      <c r="AM114" s="37"/>
      <c r="AN114" s="35">
        <v>7</v>
      </c>
      <c r="AO114" s="36"/>
      <c r="AP114" s="36"/>
      <c r="AQ114" s="36"/>
      <c r="AR114" s="37"/>
      <c r="AS114" s="35">
        <v>8</v>
      </c>
      <c r="AT114" s="36"/>
      <c r="AU114" s="36"/>
      <c r="AV114" s="36"/>
      <c r="AW114" s="37"/>
      <c r="AX114" s="48">
        <v>9</v>
      </c>
      <c r="AY114" s="48"/>
      <c r="AZ114" s="48"/>
      <c r="BA114" s="48"/>
      <c r="BB114" s="35">
        <v>10</v>
      </c>
      <c r="BC114" s="36"/>
      <c r="BD114" s="36"/>
      <c r="BE114" s="36"/>
      <c r="BF114" s="37"/>
      <c r="BG114" s="35">
        <v>11</v>
      </c>
      <c r="BH114" s="36"/>
      <c r="BI114" s="36"/>
      <c r="BJ114" s="36"/>
      <c r="BK114" s="37"/>
      <c r="BL114" s="48">
        <v>12</v>
      </c>
      <c r="BM114" s="48"/>
      <c r="BN114" s="48"/>
      <c r="BO114" s="48"/>
      <c r="BP114" s="48"/>
      <c r="BQ114" s="35">
        <v>13</v>
      </c>
      <c r="BR114" s="36"/>
      <c r="BS114" s="36"/>
      <c r="BT114" s="37"/>
      <c r="BU114" s="35">
        <v>14</v>
      </c>
      <c r="BV114" s="36"/>
      <c r="BW114" s="36"/>
      <c r="BX114" s="36"/>
      <c r="BY114" s="37"/>
    </row>
    <row r="115" spans="1:79" s="1" customFormat="1" ht="14.25" hidden="1" customHeight="1" x14ac:dyDescent="0.2">
      <c r="A115" s="62" t="s">
        <v>69</v>
      </c>
      <c r="B115" s="63"/>
      <c r="C115" s="63"/>
      <c r="D115" s="62" t="s">
        <v>57</v>
      </c>
      <c r="E115" s="63"/>
      <c r="F115" s="63"/>
      <c r="G115" s="63"/>
      <c r="H115" s="63"/>
      <c r="I115" s="63"/>
      <c r="J115" s="63"/>
      <c r="K115" s="63"/>
      <c r="L115" s="63"/>
      <c r="M115" s="63"/>
      <c r="N115" s="63"/>
      <c r="O115" s="63"/>
      <c r="P115" s="63"/>
      <c r="Q115" s="63"/>
      <c r="R115" s="63"/>
      <c r="S115" s="63"/>
      <c r="T115" s="64"/>
      <c r="U115" s="66" t="s">
        <v>65</v>
      </c>
      <c r="V115" s="66"/>
      <c r="W115" s="66"/>
      <c r="X115" s="66"/>
      <c r="Y115" s="66"/>
      <c r="Z115" s="66" t="s">
        <v>66</v>
      </c>
      <c r="AA115" s="66"/>
      <c r="AB115" s="66"/>
      <c r="AC115" s="66"/>
      <c r="AD115" s="66"/>
      <c r="AE115" s="66" t="s">
        <v>91</v>
      </c>
      <c r="AF115" s="66"/>
      <c r="AG115" s="66"/>
      <c r="AH115" s="66"/>
      <c r="AI115" s="73" t="s">
        <v>169</v>
      </c>
      <c r="AJ115" s="73"/>
      <c r="AK115" s="73"/>
      <c r="AL115" s="73"/>
      <c r="AM115" s="73"/>
      <c r="AN115" s="66" t="s">
        <v>67</v>
      </c>
      <c r="AO115" s="66"/>
      <c r="AP115" s="66"/>
      <c r="AQ115" s="66"/>
      <c r="AR115" s="66"/>
      <c r="AS115" s="66" t="s">
        <v>68</v>
      </c>
      <c r="AT115" s="66"/>
      <c r="AU115" s="66"/>
      <c r="AV115" s="66"/>
      <c r="AW115" s="66"/>
      <c r="AX115" s="66" t="s">
        <v>92</v>
      </c>
      <c r="AY115" s="66"/>
      <c r="AZ115" s="66"/>
      <c r="BA115" s="66"/>
      <c r="BB115" s="73" t="s">
        <v>169</v>
      </c>
      <c r="BC115" s="73"/>
      <c r="BD115" s="73"/>
      <c r="BE115" s="73"/>
      <c r="BF115" s="73"/>
      <c r="BG115" s="66" t="s">
        <v>58</v>
      </c>
      <c r="BH115" s="66"/>
      <c r="BI115" s="66"/>
      <c r="BJ115" s="66"/>
      <c r="BK115" s="66"/>
      <c r="BL115" s="66" t="s">
        <v>59</v>
      </c>
      <c r="BM115" s="66"/>
      <c r="BN115" s="66"/>
      <c r="BO115" s="66"/>
      <c r="BP115" s="66"/>
      <c r="BQ115" s="66" t="s">
        <v>93</v>
      </c>
      <c r="BR115" s="66"/>
      <c r="BS115" s="66"/>
      <c r="BT115" s="66"/>
      <c r="BU115" s="73" t="s">
        <v>169</v>
      </c>
      <c r="BV115" s="73"/>
      <c r="BW115" s="73"/>
      <c r="BX115" s="73"/>
      <c r="BY115" s="73"/>
      <c r="CA115" t="s">
        <v>33</v>
      </c>
    </row>
    <row r="116" spans="1:79" s="4" customFormat="1" ht="12.75" customHeight="1" x14ac:dyDescent="0.2">
      <c r="A116" s="52">
        <v>1</v>
      </c>
      <c r="B116" s="53"/>
      <c r="C116" s="53"/>
      <c r="D116" s="55" t="s">
        <v>178</v>
      </c>
      <c r="E116" s="56"/>
      <c r="F116" s="56"/>
      <c r="G116" s="56"/>
      <c r="H116" s="56"/>
      <c r="I116" s="56"/>
      <c r="J116" s="56"/>
      <c r="K116" s="56"/>
      <c r="L116" s="56"/>
      <c r="M116" s="56"/>
      <c r="N116" s="56"/>
      <c r="O116" s="56"/>
      <c r="P116" s="56"/>
      <c r="Q116" s="56"/>
      <c r="R116" s="56"/>
      <c r="S116" s="56"/>
      <c r="T116" s="57"/>
      <c r="U116" s="59">
        <v>4907721</v>
      </c>
      <c r="V116" s="60"/>
      <c r="W116" s="60"/>
      <c r="X116" s="60"/>
      <c r="Y116" s="61"/>
      <c r="Z116" s="59">
        <v>0</v>
      </c>
      <c r="AA116" s="60"/>
      <c r="AB116" s="60"/>
      <c r="AC116" s="60"/>
      <c r="AD116" s="61"/>
      <c r="AE116" s="59">
        <v>0</v>
      </c>
      <c r="AF116" s="60"/>
      <c r="AG116" s="60"/>
      <c r="AH116" s="61"/>
      <c r="AI116" s="59">
        <f t="shared" ref="AI116:AI147" si="10">IF(ISNUMBER(U116),U116,0)+IF(ISNUMBER(Z116),Z116,0)</f>
        <v>4907721</v>
      </c>
      <c r="AJ116" s="60"/>
      <c r="AK116" s="60"/>
      <c r="AL116" s="60"/>
      <c r="AM116" s="61"/>
      <c r="AN116" s="59">
        <v>6090909</v>
      </c>
      <c r="AO116" s="60"/>
      <c r="AP116" s="60"/>
      <c r="AQ116" s="60"/>
      <c r="AR116" s="61"/>
      <c r="AS116" s="59">
        <v>0</v>
      </c>
      <c r="AT116" s="60"/>
      <c r="AU116" s="60"/>
      <c r="AV116" s="60"/>
      <c r="AW116" s="61"/>
      <c r="AX116" s="59">
        <v>0</v>
      </c>
      <c r="AY116" s="60"/>
      <c r="AZ116" s="60"/>
      <c r="BA116" s="61"/>
      <c r="BB116" s="59">
        <f t="shared" ref="BB116:BB147" si="11">IF(ISNUMBER(AN116),AN116,0)+IF(ISNUMBER(AS116),AS116,0)</f>
        <v>6090909</v>
      </c>
      <c r="BC116" s="60"/>
      <c r="BD116" s="60"/>
      <c r="BE116" s="60"/>
      <c r="BF116" s="61"/>
      <c r="BG116" s="59">
        <v>5403852</v>
      </c>
      <c r="BH116" s="60"/>
      <c r="BI116" s="60"/>
      <c r="BJ116" s="60"/>
      <c r="BK116" s="61"/>
      <c r="BL116" s="59">
        <v>0</v>
      </c>
      <c r="BM116" s="60"/>
      <c r="BN116" s="60"/>
      <c r="BO116" s="60"/>
      <c r="BP116" s="61"/>
      <c r="BQ116" s="59">
        <v>0</v>
      </c>
      <c r="BR116" s="60"/>
      <c r="BS116" s="60"/>
      <c r="BT116" s="61"/>
      <c r="BU116" s="59">
        <f t="shared" ref="BU116:BU147" si="12">IF(ISNUMBER(BG116),BG116,0)+IF(ISNUMBER(BL116),BL116,0)</f>
        <v>5403852</v>
      </c>
      <c r="BV116" s="60"/>
      <c r="BW116" s="60"/>
      <c r="BX116" s="60"/>
      <c r="BY116" s="61"/>
      <c r="CA116" s="4" t="s">
        <v>34</v>
      </c>
    </row>
    <row r="117" spans="1:79" s="4" customFormat="1" ht="12.75" customHeight="1" x14ac:dyDescent="0.2">
      <c r="A117" s="52">
        <v>2</v>
      </c>
      <c r="B117" s="53"/>
      <c r="C117" s="53"/>
      <c r="D117" s="55" t="s">
        <v>191</v>
      </c>
      <c r="E117" s="56"/>
      <c r="F117" s="56"/>
      <c r="G117" s="56"/>
      <c r="H117" s="56"/>
      <c r="I117" s="56"/>
      <c r="J117" s="56"/>
      <c r="K117" s="56"/>
      <c r="L117" s="56"/>
      <c r="M117" s="56"/>
      <c r="N117" s="56"/>
      <c r="O117" s="56"/>
      <c r="P117" s="56"/>
      <c r="Q117" s="56"/>
      <c r="R117" s="56"/>
      <c r="S117" s="56"/>
      <c r="T117" s="57"/>
      <c r="U117" s="59">
        <v>0</v>
      </c>
      <c r="V117" s="60"/>
      <c r="W117" s="60"/>
      <c r="X117" s="60"/>
      <c r="Y117" s="61"/>
      <c r="Z117" s="59">
        <v>556900</v>
      </c>
      <c r="AA117" s="60"/>
      <c r="AB117" s="60"/>
      <c r="AC117" s="60"/>
      <c r="AD117" s="61"/>
      <c r="AE117" s="59">
        <v>556900</v>
      </c>
      <c r="AF117" s="60"/>
      <c r="AG117" s="60"/>
      <c r="AH117" s="61"/>
      <c r="AI117" s="59">
        <f t="shared" si="10"/>
        <v>556900</v>
      </c>
      <c r="AJ117" s="60"/>
      <c r="AK117" s="60"/>
      <c r="AL117" s="60"/>
      <c r="AM117" s="61"/>
      <c r="AN117" s="59">
        <v>0</v>
      </c>
      <c r="AO117" s="60"/>
      <c r="AP117" s="60"/>
      <c r="AQ117" s="60"/>
      <c r="AR117" s="61"/>
      <c r="AS117" s="59">
        <v>0</v>
      </c>
      <c r="AT117" s="60"/>
      <c r="AU117" s="60"/>
      <c r="AV117" s="60"/>
      <c r="AW117" s="61"/>
      <c r="AX117" s="59">
        <v>0</v>
      </c>
      <c r="AY117" s="60"/>
      <c r="AZ117" s="60"/>
      <c r="BA117" s="61"/>
      <c r="BB117" s="59">
        <f t="shared" si="11"/>
        <v>0</v>
      </c>
      <c r="BC117" s="60"/>
      <c r="BD117" s="60"/>
      <c r="BE117" s="60"/>
      <c r="BF117" s="61"/>
      <c r="BG117" s="59">
        <v>0</v>
      </c>
      <c r="BH117" s="60"/>
      <c r="BI117" s="60"/>
      <c r="BJ117" s="60"/>
      <c r="BK117" s="61"/>
      <c r="BL117" s="59">
        <v>0</v>
      </c>
      <c r="BM117" s="60"/>
      <c r="BN117" s="60"/>
      <c r="BO117" s="60"/>
      <c r="BP117" s="61"/>
      <c r="BQ117" s="59">
        <v>0</v>
      </c>
      <c r="BR117" s="60"/>
      <c r="BS117" s="60"/>
      <c r="BT117" s="61"/>
      <c r="BU117" s="59">
        <f t="shared" si="12"/>
        <v>0</v>
      </c>
      <c r="BV117" s="60"/>
      <c r="BW117" s="60"/>
      <c r="BX117" s="60"/>
      <c r="BY117" s="61"/>
    </row>
    <row r="118" spans="1:79" s="4" customFormat="1" ht="25.5" customHeight="1" x14ac:dyDescent="0.2">
      <c r="A118" s="52">
        <v>3</v>
      </c>
      <c r="B118" s="53"/>
      <c r="C118" s="53"/>
      <c r="D118" s="55" t="s">
        <v>192</v>
      </c>
      <c r="E118" s="56"/>
      <c r="F118" s="56"/>
      <c r="G118" s="56"/>
      <c r="H118" s="56"/>
      <c r="I118" s="56"/>
      <c r="J118" s="56"/>
      <c r="K118" s="56"/>
      <c r="L118" s="56"/>
      <c r="M118" s="56"/>
      <c r="N118" s="56"/>
      <c r="O118" s="56"/>
      <c r="P118" s="56"/>
      <c r="Q118" s="56"/>
      <c r="R118" s="56"/>
      <c r="S118" s="56"/>
      <c r="T118" s="57"/>
      <c r="U118" s="59">
        <v>18850</v>
      </c>
      <c r="V118" s="60"/>
      <c r="W118" s="60"/>
      <c r="X118" s="60"/>
      <c r="Y118" s="61"/>
      <c r="Z118" s="59">
        <v>0</v>
      </c>
      <c r="AA118" s="60"/>
      <c r="AB118" s="60"/>
      <c r="AC118" s="60"/>
      <c r="AD118" s="61"/>
      <c r="AE118" s="59">
        <v>0</v>
      </c>
      <c r="AF118" s="60"/>
      <c r="AG118" s="60"/>
      <c r="AH118" s="61"/>
      <c r="AI118" s="59">
        <f t="shared" si="10"/>
        <v>18850</v>
      </c>
      <c r="AJ118" s="60"/>
      <c r="AK118" s="60"/>
      <c r="AL118" s="60"/>
      <c r="AM118" s="61"/>
      <c r="AN118" s="59">
        <v>29600</v>
      </c>
      <c r="AO118" s="60"/>
      <c r="AP118" s="60"/>
      <c r="AQ118" s="60"/>
      <c r="AR118" s="61"/>
      <c r="AS118" s="59">
        <v>0</v>
      </c>
      <c r="AT118" s="60"/>
      <c r="AU118" s="60"/>
      <c r="AV118" s="60"/>
      <c r="AW118" s="61"/>
      <c r="AX118" s="59">
        <v>0</v>
      </c>
      <c r="AY118" s="60"/>
      <c r="AZ118" s="60"/>
      <c r="BA118" s="61"/>
      <c r="BB118" s="59">
        <f t="shared" si="11"/>
        <v>29600</v>
      </c>
      <c r="BC118" s="60"/>
      <c r="BD118" s="60"/>
      <c r="BE118" s="60"/>
      <c r="BF118" s="61"/>
      <c r="BG118" s="59">
        <v>30600</v>
      </c>
      <c r="BH118" s="60"/>
      <c r="BI118" s="60"/>
      <c r="BJ118" s="60"/>
      <c r="BK118" s="61"/>
      <c r="BL118" s="59">
        <v>0</v>
      </c>
      <c r="BM118" s="60"/>
      <c r="BN118" s="60"/>
      <c r="BO118" s="60"/>
      <c r="BP118" s="61"/>
      <c r="BQ118" s="59">
        <v>0</v>
      </c>
      <c r="BR118" s="60"/>
      <c r="BS118" s="60"/>
      <c r="BT118" s="61"/>
      <c r="BU118" s="59">
        <f t="shared" si="12"/>
        <v>30600</v>
      </c>
      <c r="BV118" s="60"/>
      <c r="BW118" s="60"/>
      <c r="BX118" s="60"/>
      <c r="BY118" s="61"/>
    </row>
    <row r="119" spans="1:79" s="4" customFormat="1" ht="12.75" customHeight="1" x14ac:dyDescent="0.2">
      <c r="A119" s="52">
        <v>4</v>
      </c>
      <c r="B119" s="53"/>
      <c r="C119" s="53"/>
      <c r="D119" s="55" t="s">
        <v>179</v>
      </c>
      <c r="E119" s="56"/>
      <c r="F119" s="56"/>
      <c r="G119" s="56"/>
      <c r="H119" s="56"/>
      <c r="I119" s="56"/>
      <c r="J119" s="56"/>
      <c r="K119" s="56"/>
      <c r="L119" s="56"/>
      <c r="M119" s="56"/>
      <c r="N119" s="56"/>
      <c r="O119" s="56"/>
      <c r="P119" s="56"/>
      <c r="Q119" s="56"/>
      <c r="R119" s="56"/>
      <c r="S119" s="56"/>
      <c r="T119" s="57"/>
      <c r="U119" s="59">
        <v>1268036</v>
      </c>
      <c r="V119" s="60"/>
      <c r="W119" s="60"/>
      <c r="X119" s="60"/>
      <c r="Y119" s="61"/>
      <c r="Z119" s="59">
        <v>0</v>
      </c>
      <c r="AA119" s="60"/>
      <c r="AB119" s="60"/>
      <c r="AC119" s="60"/>
      <c r="AD119" s="61"/>
      <c r="AE119" s="59">
        <v>0</v>
      </c>
      <c r="AF119" s="60"/>
      <c r="AG119" s="60"/>
      <c r="AH119" s="61"/>
      <c r="AI119" s="59">
        <f t="shared" si="10"/>
        <v>1268036</v>
      </c>
      <c r="AJ119" s="60"/>
      <c r="AK119" s="60"/>
      <c r="AL119" s="60"/>
      <c r="AM119" s="61"/>
      <c r="AN119" s="59">
        <v>1386298</v>
      </c>
      <c r="AO119" s="60"/>
      <c r="AP119" s="60"/>
      <c r="AQ119" s="60"/>
      <c r="AR119" s="61"/>
      <c r="AS119" s="59">
        <v>0</v>
      </c>
      <c r="AT119" s="60"/>
      <c r="AU119" s="60"/>
      <c r="AV119" s="60"/>
      <c r="AW119" s="61"/>
      <c r="AX119" s="59">
        <v>0</v>
      </c>
      <c r="AY119" s="60"/>
      <c r="AZ119" s="60"/>
      <c r="BA119" s="61"/>
      <c r="BB119" s="59">
        <f t="shared" si="11"/>
        <v>1386298</v>
      </c>
      <c r="BC119" s="60"/>
      <c r="BD119" s="60"/>
      <c r="BE119" s="60"/>
      <c r="BF119" s="61"/>
      <c r="BG119" s="59">
        <v>1260603</v>
      </c>
      <c r="BH119" s="60"/>
      <c r="BI119" s="60"/>
      <c r="BJ119" s="60"/>
      <c r="BK119" s="61"/>
      <c r="BL119" s="59">
        <v>0</v>
      </c>
      <c r="BM119" s="60"/>
      <c r="BN119" s="60"/>
      <c r="BO119" s="60"/>
      <c r="BP119" s="61"/>
      <c r="BQ119" s="59">
        <v>0</v>
      </c>
      <c r="BR119" s="60"/>
      <c r="BS119" s="60"/>
      <c r="BT119" s="61"/>
      <c r="BU119" s="59">
        <f t="shared" si="12"/>
        <v>1260603</v>
      </c>
      <c r="BV119" s="60"/>
      <c r="BW119" s="60"/>
      <c r="BX119" s="60"/>
      <c r="BY119" s="61"/>
    </row>
    <row r="120" spans="1:79" s="4" customFormat="1" ht="12.75" customHeight="1" x14ac:dyDescent="0.2">
      <c r="A120" s="52">
        <v>5</v>
      </c>
      <c r="B120" s="53"/>
      <c r="C120" s="53"/>
      <c r="D120" s="55" t="s">
        <v>193</v>
      </c>
      <c r="E120" s="56"/>
      <c r="F120" s="56"/>
      <c r="G120" s="56"/>
      <c r="H120" s="56"/>
      <c r="I120" s="56"/>
      <c r="J120" s="56"/>
      <c r="K120" s="56"/>
      <c r="L120" s="56"/>
      <c r="M120" s="56"/>
      <c r="N120" s="56"/>
      <c r="O120" s="56"/>
      <c r="P120" s="56"/>
      <c r="Q120" s="56"/>
      <c r="R120" s="56"/>
      <c r="S120" s="56"/>
      <c r="T120" s="57"/>
      <c r="U120" s="59">
        <v>24562</v>
      </c>
      <c r="V120" s="60"/>
      <c r="W120" s="60"/>
      <c r="X120" s="60"/>
      <c r="Y120" s="61"/>
      <c r="Z120" s="59">
        <v>0</v>
      </c>
      <c r="AA120" s="60"/>
      <c r="AB120" s="60"/>
      <c r="AC120" s="60"/>
      <c r="AD120" s="61"/>
      <c r="AE120" s="59">
        <v>0</v>
      </c>
      <c r="AF120" s="60"/>
      <c r="AG120" s="60"/>
      <c r="AH120" s="61"/>
      <c r="AI120" s="59">
        <f t="shared" si="10"/>
        <v>24562</v>
      </c>
      <c r="AJ120" s="60"/>
      <c r="AK120" s="60"/>
      <c r="AL120" s="60"/>
      <c r="AM120" s="61"/>
      <c r="AN120" s="59">
        <v>135131</v>
      </c>
      <c r="AO120" s="60"/>
      <c r="AP120" s="60"/>
      <c r="AQ120" s="60"/>
      <c r="AR120" s="61"/>
      <c r="AS120" s="59">
        <v>0</v>
      </c>
      <c r="AT120" s="60"/>
      <c r="AU120" s="60"/>
      <c r="AV120" s="60"/>
      <c r="AW120" s="61"/>
      <c r="AX120" s="59">
        <v>0</v>
      </c>
      <c r="AY120" s="60"/>
      <c r="AZ120" s="60"/>
      <c r="BA120" s="61"/>
      <c r="BB120" s="59">
        <f t="shared" si="11"/>
        <v>135131</v>
      </c>
      <c r="BC120" s="60"/>
      <c r="BD120" s="60"/>
      <c r="BE120" s="60"/>
      <c r="BF120" s="61"/>
      <c r="BG120" s="59">
        <v>109960</v>
      </c>
      <c r="BH120" s="60"/>
      <c r="BI120" s="60"/>
      <c r="BJ120" s="60"/>
      <c r="BK120" s="61"/>
      <c r="BL120" s="59">
        <v>0</v>
      </c>
      <c r="BM120" s="60"/>
      <c r="BN120" s="60"/>
      <c r="BO120" s="60"/>
      <c r="BP120" s="61"/>
      <c r="BQ120" s="59">
        <v>0</v>
      </c>
      <c r="BR120" s="60"/>
      <c r="BS120" s="60"/>
      <c r="BT120" s="61"/>
      <c r="BU120" s="59">
        <f t="shared" si="12"/>
        <v>109960</v>
      </c>
      <c r="BV120" s="60"/>
      <c r="BW120" s="60"/>
      <c r="BX120" s="60"/>
      <c r="BY120" s="61"/>
    </row>
    <row r="121" spans="1:79" s="4" customFormat="1" ht="12.75" customHeight="1" x14ac:dyDescent="0.2">
      <c r="A121" s="52">
        <v>6</v>
      </c>
      <c r="B121" s="53"/>
      <c r="C121" s="53"/>
      <c r="D121" s="55" t="s">
        <v>194</v>
      </c>
      <c r="E121" s="56"/>
      <c r="F121" s="56"/>
      <c r="G121" s="56"/>
      <c r="H121" s="56"/>
      <c r="I121" s="56"/>
      <c r="J121" s="56"/>
      <c r="K121" s="56"/>
      <c r="L121" s="56"/>
      <c r="M121" s="56"/>
      <c r="N121" s="56"/>
      <c r="O121" s="56"/>
      <c r="P121" s="56"/>
      <c r="Q121" s="56"/>
      <c r="R121" s="56"/>
      <c r="S121" s="56"/>
      <c r="T121" s="57"/>
      <c r="U121" s="59">
        <v>1928405</v>
      </c>
      <c r="V121" s="60"/>
      <c r="W121" s="60"/>
      <c r="X121" s="60"/>
      <c r="Y121" s="61"/>
      <c r="Z121" s="59">
        <v>0</v>
      </c>
      <c r="AA121" s="60"/>
      <c r="AB121" s="60"/>
      <c r="AC121" s="60"/>
      <c r="AD121" s="61"/>
      <c r="AE121" s="59">
        <v>0</v>
      </c>
      <c r="AF121" s="60"/>
      <c r="AG121" s="60"/>
      <c r="AH121" s="61"/>
      <c r="AI121" s="59">
        <f t="shared" si="10"/>
        <v>1928405</v>
      </c>
      <c r="AJ121" s="60"/>
      <c r="AK121" s="60"/>
      <c r="AL121" s="60"/>
      <c r="AM121" s="61"/>
      <c r="AN121" s="59">
        <v>4889255</v>
      </c>
      <c r="AO121" s="60"/>
      <c r="AP121" s="60"/>
      <c r="AQ121" s="60"/>
      <c r="AR121" s="61"/>
      <c r="AS121" s="59">
        <v>0</v>
      </c>
      <c r="AT121" s="60"/>
      <c r="AU121" s="60"/>
      <c r="AV121" s="60"/>
      <c r="AW121" s="61"/>
      <c r="AX121" s="59">
        <v>0</v>
      </c>
      <c r="AY121" s="60"/>
      <c r="AZ121" s="60"/>
      <c r="BA121" s="61"/>
      <c r="BB121" s="59">
        <f t="shared" si="11"/>
        <v>4889255</v>
      </c>
      <c r="BC121" s="60"/>
      <c r="BD121" s="60"/>
      <c r="BE121" s="60"/>
      <c r="BF121" s="61"/>
      <c r="BG121" s="59">
        <v>7132950</v>
      </c>
      <c r="BH121" s="60"/>
      <c r="BI121" s="60"/>
      <c r="BJ121" s="60"/>
      <c r="BK121" s="61"/>
      <c r="BL121" s="59">
        <v>0</v>
      </c>
      <c r="BM121" s="60"/>
      <c r="BN121" s="60"/>
      <c r="BO121" s="60"/>
      <c r="BP121" s="61"/>
      <c r="BQ121" s="59">
        <v>0</v>
      </c>
      <c r="BR121" s="60"/>
      <c r="BS121" s="60"/>
      <c r="BT121" s="61"/>
      <c r="BU121" s="59">
        <f t="shared" si="12"/>
        <v>7132950</v>
      </c>
      <c r="BV121" s="60"/>
      <c r="BW121" s="60"/>
      <c r="BX121" s="60"/>
      <c r="BY121" s="61"/>
    </row>
    <row r="122" spans="1:79" s="4" customFormat="1" ht="25.5" customHeight="1" x14ac:dyDescent="0.2">
      <c r="A122" s="52">
        <v>7</v>
      </c>
      <c r="B122" s="53"/>
      <c r="C122" s="53"/>
      <c r="D122" s="55" t="s">
        <v>195</v>
      </c>
      <c r="E122" s="56"/>
      <c r="F122" s="56"/>
      <c r="G122" s="56"/>
      <c r="H122" s="56"/>
      <c r="I122" s="56"/>
      <c r="J122" s="56"/>
      <c r="K122" s="56"/>
      <c r="L122" s="56"/>
      <c r="M122" s="56"/>
      <c r="N122" s="56"/>
      <c r="O122" s="56"/>
      <c r="P122" s="56"/>
      <c r="Q122" s="56"/>
      <c r="R122" s="56"/>
      <c r="S122" s="56"/>
      <c r="T122" s="57"/>
      <c r="U122" s="59">
        <v>704047</v>
      </c>
      <c r="V122" s="60"/>
      <c r="W122" s="60"/>
      <c r="X122" s="60"/>
      <c r="Y122" s="61"/>
      <c r="Z122" s="59">
        <v>0</v>
      </c>
      <c r="AA122" s="60"/>
      <c r="AB122" s="60"/>
      <c r="AC122" s="60"/>
      <c r="AD122" s="61"/>
      <c r="AE122" s="59">
        <v>0</v>
      </c>
      <c r="AF122" s="60"/>
      <c r="AG122" s="60"/>
      <c r="AH122" s="61"/>
      <c r="AI122" s="59">
        <f t="shared" si="10"/>
        <v>704047</v>
      </c>
      <c r="AJ122" s="60"/>
      <c r="AK122" s="60"/>
      <c r="AL122" s="60"/>
      <c r="AM122" s="61"/>
      <c r="AN122" s="59">
        <v>819274</v>
      </c>
      <c r="AO122" s="60"/>
      <c r="AP122" s="60"/>
      <c r="AQ122" s="60"/>
      <c r="AR122" s="61"/>
      <c r="AS122" s="59">
        <v>0</v>
      </c>
      <c r="AT122" s="60"/>
      <c r="AU122" s="60"/>
      <c r="AV122" s="60"/>
      <c r="AW122" s="61"/>
      <c r="AX122" s="59">
        <v>0</v>
      </c>
      <c r="AY122" s="60"/>
      <c r="AZ122" s="60"/>
      <c r="BA122" s="61"/>
      <c r="BB122" s="59">
        <f t="shared" si="11"/>
        <v>819274</v>
      </c>
      <c r="BC122" s="60"/>
      <c r="BD122" s="60"/>
      <c r="BE122" s="60"/>
      <c r="BF122" s="61"/>
      <c r="BG122" s="59">
        <v>0</v>
      </c>
      <c r="BH122" s="60"/>
      <c r="BI122" s="60"/>
      <c r="BJ122" s="60"/>
      <c r="BK122" s="61"/>
      <c r="BL122" s="59">
        <v>0</v>
      </c>
      <c r="BM122" s="60"/>
      <c r="BN122" s="60"/>
      <c r="BO122" s="60"/>
      <c r="BP122" s="61"/>
      <c r="BQ122" s="59">
        <v>0</v>
      </c>
      <c r="BR122" s="60"/>
      <c r="BS122" s="60"/>
      <c r="BT122" s="61"/>
      <c r="BU122" s="59">
        <f t="shared" si="12"/>
        <v>0</v>
      </c>
      <c r="BV122" s="60"/>
      <c r="BW122" s="60"/>
      <c r="BX122" s="60"/>
      <c r="BY122" s="61"/>
    </row>
    <row r="123" spans="1:79" s="4" customFormat="1" ht="25.5" customHeight="1" x14ac:dyDescent="0.2">
      <c r="A123" s="52">
        <v>8</v>
      </c>
      <c r="B123" s="53"/>
      <c r="C123" s="53"/>
      <c r="D123" s="55" t="s">
        <v>196</v>
      </c>
      <c r="E123" s="56"/>
      <c r="F123" s="56"/>
      <c r="G123" s="56"/>
      <c r="H123" s="56"/>
      <c r="I123" s="56"/>
      <c r="J123" s="56"/>
      <c r="K123" s="56"/>
      <c r="L123" s="56"/>
      <c r="M123" s="56"/>
      <c r="N123" s="56"/>
      <c r="O123" s="56"/>
      <c r="P123" s="56"/>
      <c r="Q123" s="56"/>
      <c r="R123" s="56"/>
      <c r="S123" s="56"/>
      <c r="T123" s="57"/>
      <c r="U123" s="59">
        <v>949320</v>
      </c>
      <c r="V123" s="60"/>
      <c r="W123" s="60"/>
      <c r="X123" s="60"/>
      <c r="Y123" s="61"/>
      <c r="Z123" s="59">
        <v>0</v>
      </c>
      <c r="AA123" s="60"/>
      <c r="AB123" s="60"/>
      <c r="AC123" s="60"/>
      <c r="AD123" s="61"/>
      <c r="AE123" s="59">
        <v>0</v>
      </c>
      <c r="AF123" s="60"/>
      <c r="AG123" s="60"/>
      <c r="AH123" s="61"/>
      <c r="AI123" s="59">
        <f t="shared" si="10"/>
        <v>949320</v>
      </c>
      <c r="AJ123" s="60"/>
      <c r="AK123" s="60"/>
      <c r="AL123" s="60"/>
      <c r="AM123" s="61"/>
      <c r="AN123" s="59">
        <v>949320</v>
      </c>
      <c r="AO123" s="60"/>
      <c r="AP123" s="60"/>
      <c r="AQ123" s="60"/>
      <c r="AR123" s="61"/>
      <c r="AS123" s="59">
        <v>0</v>
      </c>
      <c r="AT123" s="60"/>
      <c r="AU123" s="60"/>
      <c r="AV123" s="60"/>
      <c r="AW123" s="61"/>
      <c r="AX123" s="59">
        <v>0</v>
      </c>
      <c r="AY123" s="60"/>
      <c r="AZ123" s="60"/>
      <c r="BA123" s="61"/>
      <c r="BB123" s="59">
        <f t="shared" si="11"/>
        <v>949320</v>
      </c>
      <c r="BC123" s="60"/>
      <c r="BD123" s="60"/>
      <c r="BE123" s="60"/>
      <c r="BF123" s="61"/>
      <c r="BG123" s="59">
        <v>900000</v>
      </c>
      <c r="BH123" s="60"/>
      <c r="BI123" s="60"/>
      <c r="BJ123" s="60"/>
      <c r="BK123" s="61"/>
      <c r="BL123" s="59">
        <v>0</v>
      </c>
      <c r="BM123" s="60"/>
      <c r="BN123" s="60"/>
      <c r="BO123" s="60"/>
      <c r="BP123" s="61"/>
      <c r="BQ123" s="59">
        <v>0</v>
      </c>
      <c r="BR123" s="60"/>
      <c r="BS123" s="60"/>
      <c r="BT123" s="61"/>
      <c r="BU123" s="59">
        <f t="shared" si="12"/>
        <v>900000</v>
      </c>
      <c r="BV123" s="60"/>
      <c r="BW123" s="60"/>
      <c r="BX123" s="60"/>
      <c r="BY123" s="61"/>
    </row>
    <row r="124" spans="1:79" s="4" customFormat="1" ht="25.5" customHeight="1" x14ac:dyDescent="0.2">
      <c r="A124" s="52">
        <v>9</v>
      </c>
      <c r="B124" s="53"/>
      <c r="C124" s="53"/>
      <c r="D124" s="55" t="s">
        <v>197</v>
      </c>
      <c r="E124" s="56"/>
      <c r="F124" s="56"/>
      <c r="G124" s="56"/>
      <c r="H124" s="56"/>
      <c r="I124" s="56"/>
      <c r="J124" s="56"/>
      <c r="K124" s="56"/>
      <c r="L124" s="56"/>
      <c r="M124" s="56"/>
      <c r="N124" s="56"/>
      <c r="O124" s="56"/>
      <c r="P124" s="56"/>
      <c r="Q124" s="56"/>
      <c r="R124" s="56"/>
      <c r="S124" s="56"/>
      <c r="T124" s="57"/>
      <c r="U124" s="59">
        <v>0</v>
      </c>
      <c r="V124" s="60"/>
      <c r="W124" s="60"/>
      <c r="X124" s="60"/>
      <c r="Y124" s="61"/>
      <c r="Z124" s="59">
        <v>0</v>
      </c>
      <c r="AA124" s="60"/>
      <c r="AB124" s="60"/>
      <c r="AC124" s="60"/>
      <c r="AD124" s="61"/>
      <c r="AE124" s="59">
        <v>0</v>
      </c>
      <c r="AF124" s="60"/>
      <c r="AG124" s="60"/>
      <c r="AH124" s="61"/>
      <c r="AI124" s="59">
        <f t="shared" si="10"/>
        <v>0</v>
      </c>
      <c r="AJ124" s="60"/>
      <c r="AK124" s="60"/>
      <c r="AL124" s="60"/>
      <c r="AM124" s="61"/>
      <c r="AN124" s="59">
        <v>55056</v>
      </c>
      <c r="AO124" s="60"/>
      <c r="AP124" s="60"/>
      <c r="AQ124" s="60"/>
      <c r="AR124" s="61"/>
      <c r="AS124" s="59">
        <v>0</v>
      </c>
      <c r="AT124" s="60"/>
      <c r="AU124" s="60"/>
      <c r="AV124" s="60"/>
      <c r="AW124" s="61"/>
      <c r="AX124" s="59">
        <v>0</v>
      </c>
      <c r="AY124" s="60"/>
      <c r="AZ124" s="60"/>
      <c r="BA124" s="61"/>
      <c r="BB124" s="59">
        <f t="shared" si="11"/>
        <v>55056</v>
      </c>
      <c r="BC124" s="60"/>
      <c r="BD124" s="60"/>
      <c r="BE124" s="60"/>
      <c r="BF124" s="61"/>
      <c r="BG124" s="59">
        <v>53400</v>
      </c>
      <c r="BH124" s="60"/>
      <c r="BI124" s="60"/>
      <c r="BJ124" s="60"/>
      <c r="BK124" s="61"/>
      <c r="BL124" s="59">
        <v>0</v>
      </c>
      <c r="BM124" s="60"/>
      <c r="BN124" s="60"/>
      <c r="BO124" s="60"/>
      <c r="BP124" s="61"/>
      <c r="BQ124" s="59">
        <v>0</v>
      </c>
      <c r="BR124" s="60"/>
      <c r="BS124" s="60"/>
      <c r="BT124" s="61"/>
      <c r="BU124" s="59">
        <f t="shared" si="12"/>
        <v>53400</v>
      </c>
      <c r="BV124" s="60"/>
      <c r="BW124" s="60"/>
      <c r="BX124" s="60"/>
      <c r="BY124" s="61"/>
    </row>
    <row r="125" spans="1:79" s="4" customFormat="1" ht="12.75" customHeight="1" x14ac:dyDescent="0.2">
      <c r="A125" s="52">
        <v>10</v>
      </c>
      <c r="B125" s="53"/>
      <c r="C125" s="53"/>
      <c r="D125" s="55" t="s">
        <v>198</v>
      </c>
      <c r="E125" s="56"/>
      <c r="F125" s="56"/>
      <c r="G125" s="56"/>
      <c r="H125" s="56"/>
      <c r="I125" s="56"/>
      <c r="J125" s="56"/>
      <c r="K125" s="56"/>
      <c r="L125" s="56"/>
      <c r="M125" s="56"/>
      <c r="N125" s="56"/>
      <c r="O125" s="56"/>
      <c r="P125" s="56"/>
      <c r="Q125" s="56"/>
      <c r="R125" s="56"/>
      <c r="S125" s="56"/>
      <c r="T125" s="57"/>
      <c r="U125" s="59">
        <v>1163160</v>
      </c>
      <c r="V125" s="60"/>
      <c r="W125" s="60"/>
      <c r="X125" s="60"/>
      <c r="Y125" s="61"/>
      <c r="Z125" s="59">
        <v>0</v>
      </c>
      <c r="AA125" s="60"/>
      <c r="AB125" s="60"/>
      <c r="AC125" s="60"/>
      <c r="AD125" s="61"/>
      <c r="AE125" s="59">
        <v>0</v>
      </c>
      <c r="AF125" s="60"/>
      <c r="AG125" s="60"/>
      <c r="AH125" s="61"/>
      <c r="AI125" s="59">
        <f t="shared" si="10"/>
        <v>1163160</v>
      </c>
      <c r="AJ125" s="60"/>
      <c r="AK125" s="60"/>
      <c r="AL125" s="60"/>
      <c r="AM125" s="61"/>
      <c r="AN125" s="59">
        <v>2460918</v>
      </c>
      <c r="AO125" s="60"/>
      <c r="AP125" s="60"/>
      <c r="AQ125" s="60"/>
      <c r="AR125" s="61"/>
      <c r="AS125" s="59">
        <v>0</v>
      </c>
      <c r="AT125" s="60"/>
      <c r="AU125" s="60"/>
      <c r="AV125" s="60"/>
      <c r="AW125" s="61"/>
      <c r="AX125" s="59">
        <v>0</v>
      </c>
      <c r="AY125" s="60"/>
      <c r="AZ125" s="60"/>
      <c r="BA125" s="61"/>
      <c r="BB125" s="59">
        <f t="shared" si="11"/>
        <v>2460918</v>
      </c>
      <c r="BC125" s="60"/>
      <c r="BD125" s="60"/>
      <c r="BE125" s="60"/>
      <c r="BF125" s="61"/>
      <c r="BG125" s="59">
        <v>2435963</v>
      </c>
      <c r="BH125" s="60"/>
      <c r="BI125" s="60"/>
      <c r="BJ125" s="60"/>
      <c r="BK125" s="61"/>
      <c r="BL125" s="59">
        <v>0</v>
      </c>
      <c r="BM125" s="60"/>
      <c r="BN125" s="60"/>
      <c r="BO125" s="60"/>
      <c r="BP125" s="61"/>
      <c r="BQ125" s="59">
        <v>0</v>
      </c>
      <c r="BR125" s="60"/>
      <c r="BS125" s="60"/>
      <c r="BT125" s="61"/>
      <c r="BU125" s="59">
        <f t="shared" si="12"/>
        <v>2435963</v>
      </c>
      <c r="BV125" s="60"/>
      <c r="BW125" s="60"/>
      <c r="BX125" s="60"/>
      <c r="BY125" s="61"/>
    </row>
    <row r="126" spans="1:79" s="4" customFormat="1" ht="12.75" customHeight="1" x14ac:dyDescent="0.2">
      <c r="A126" s="52">
        <v>11</v>
      </c>
      <c r="B126" s="53"/>
      <c r="C126" s="53"/>
      <c r="D126" s="55" t="s">
        <v>199</v>
      </c>
      <c r="E126" s="56"/>
      <c r="F126" s="56"/>
      <c r="G126" s="56"/>
      <c r="H126" s="56"/>
      <c r="I126" s="56"/>
      <c r="J126" s="56"/>
      <c r="K126" s="56"/>
      <c r="L126" s="56"/>
      <c r="M126" s="56"/>
      <c r="N126" s="56"/>
      <c r="O126" s="56"/>
      <c r="P126" s="56"/>
      <c r="Q126" s="56"/>
      <c r="R126" s="56"/>
      <c r="S126" s="56"/>
      <c r="T126" s="57"/>
      <c r="U126" s="59">
        <v>947177</v>
      </c>
      <c r="V126" s="60"/>
      <c r="W126" s="60"/>
      <c r="X126" s="60"/>
      <c r="Y126" s="61"/>
      <c r="Z126" s="59">
        <v>0</v>
      </c>
      <c r="AA126" s="60"/>
      <c r="AB126" s="60"/>
      <c r="AC126" s="60"/>
      <c r="AD126" s="61"/>
      <c r="AE126" s="59">
        <v>0</v>
      </c>
      <c r="AF126" s="60"/>
      <c r="AG126" s="60"/>
      <c r="AH126" s="61"/>
      <c r="AI126" s="59">
        <f t="shared" si="10"/>
        <v>947177</v>
      </c>
      <c r="AJ126" s="60"/>
      <c r="AK126" s="60"/>
      <c r="AL126" s="60"/>
      <c r="AM126" s="61"/>
      <c r="AN126" s="59">
        <v>1269932</v>
      </c>
      <c r="AO126" s="60"/>
      <c r="AP126" s="60"/>
      <c r="AQ126" s="60"/>
      <c r="AR126" s="61"/>
      <c r="AS126" s="59">
        <v>0</v>
      </c>
      <c r="AT126" s="60"/>
      <c r="AU126" s="60"/>
      <c r="AV126" s="60"/>
      <c r="AW126" s="61"/>
      <c r="AX126" s="59">
        <v>0</v>
      </c>
      <c r="AY126" s="60"/>
      <c r="AZ126" s="60"/>
      <c r="BA126" s="61"/>
      <c r="BB126" s="59">
        <f t="shared" si="11"/>
        <v>1269932</v>
      </c>
      <c r="BC126" s="60"/>
      <c r="BD126" s="60"/>
      <c r="BE126" s="60"/>
      <c r="BF126" s="61"/>
      <c r="BG126" s="59">
        <v>468194</v>
      </c>
      <c r="BH126" s="60"/>
      <c r="BI126" s="60"/>
      <c r="BJ126" s="60"/>
      <c r="BK126" s="61"/>
      <c r="BL126" s="59">
        <v>0</v>
      </c>
      <c r="BM126" s="60"/>
      <c r="BN126" s="60"/>
      <c r="BO126" s="60"/>
      <c r="BP126" s="61"/>
      <c r="BQ126" s="59">
        <v>0</v>
      </c>
      <c r="BR126" s="60"/>
      <c r="BS126" s="60"/>
      <c r="BT126" s="61"/>
      <c r="BU126" s="59">
        <f t="shared" si="12"/>
        <v>468194</v>
      </c>
      <c r="BV126" s="60"/>
      <c r="BW126" s="60"/>
      <c r="BX126" s="60"/>
      <c r="BY126" s="61"/>
    </row>
    <row r="127" spans="1:79" s="4" customFormat="1" ht="25.5" customHeight="1" x14ac:dyDescent="0.2">
      <c r="A127" s="52">
        <v>12</v>
      </c>
      <c r="B127" s="53"/>
      <c r="C127" s="53"/>
      <c r="D127" s="55" t="s">
        <v>200</v>
      </c>
      <c r="E127" s="56"/>
      <c r="F127" s="56"/>
      <c r="G127" s="56"/>
      <c r="H127" s="56"/>
      <c r="I127" s="56"/>
      <c r="J127" s="56"/>
      <c r="K127" s="56"/>
      <c r="L127" s="56"/>
      <c r="M127" s="56"/>
      <c r="N127" s="56"/>
      <c r="O127" s="56"/>
      <c r="P127" s="56"/>
      <c r="Q127" s="56"/>
      <c r="R127" s="56"/>
      <c r="S127" s="56"/>
      <c r="T127" s="57"/>
      <c r="U127" s="59">
        <v>0</v>
      </c>
      <c r="V127" s="60"/>
      <c r="W127" s="60"/>
      <c r="X127" s="60"/>
      <c r="Y127" s="61"/>
      <c r="Z127" s="59">
        <v>0</v>
      </c>
      <c r="AA127" s="60"/>
      <c r="AB127" s="60"/>
      <c r="AC127" s="60"/>
      <c r="AD127" s="61"/>
      <c r="AE127" s="59">
        <v>0</v>
      </c>
      <c r="AF127" s="60"/>
      <c r="AG127" s="60"/>
      <c r="AH127" s="61"/>
      <c r="AI127" s="59">
        <f t="shared" si="10"/>
        <v>0</v>
      </c>
      <c r="AJ127" s="60"/>
      <c r="AK127" s="60"/>
      <c r="AL127" s="60"/>
      <c r="AM127" s="61"/>
      <c r="AN127" s="59">
        <v>78500</v>
      </c>
      <c r="AO127" s="60"/>
      <c r="AP127" s="60"/>
      <c r="AQ127" s="60"/>
      <c r="AR127" s="61"/>
      <c r="AS127" s="59">
        <v>0</v>
      </c>
      <c r="AT127" s="60"/>
      <c r="AU127" s="60"/>
      <c r="AV127" s="60"/>
      <c r="AW127" s="61"/>
      <c r="AX127" s="59">
        <v>0</v>
      </c>
      <c r="AY127" s="60"/>
      <c r="AZ127" s="60"/>
      <c r="BA127" s="61"/>
      <c r="BB127" s="59">
        <f t="shared" si="11"/>
        <v>78500</v>
      </c>
      <c r="BC127" s="60"/>
      <c r="BD127" s="60"/>
      <c r="BE127" s="60"/>
      <c r="BF127" s="61"/>
      <c r="BG127" s="59">
        <v>91660</v>
      </c>
      <c r="BH127" s="60"/>
      <c r="BI127" s="60"/>
      <c r="BJ127" s="60"/>
      <c r="BK127" s="61"/>
      <c r="BL127" s="59">
        <v>0</v>
      </c>
      <c r="BM127" s="60"/>
      <c r="BN127" s="60"/>
      <c r="BO127" s="60"/>
      <c r="BP127" s="61"/>
      <c r="BQ127" s="59">
        <v>0</v>
      </c>
      <c r="BR127" s="60"/>
      <c r="BS127" s="60"/>
      <c r="BT127" s="61"/>
      <c r="BU127" s="59">
        <f t="shared" si="12"/>
        <v>91660</v>
      </c>
      <c r="BV127" s="60"/>
      <c r="BW127" s="60"/>
      <c r="BX127" s="60"/>
      <c r="BY127" s="61"/>
    </row>
    <row r="128" spans="1:79" s="4" customFormat="1" ht="12.75" customHeight="1" x14ac:dyDescent="0.2">
      <c r="A128" s="52">
        <v>13</v>
      </c>
      <c r="B128" s="53"/>
      <c r="C128" s="53"/>
      <c r="D128" s="55" t="s">
        <v>201</v>
      </c>
      <c r="E128" s="56"/>
      <c r="F128" s="56"/>
      <c r="G128" s="56"/>
      <c r="H128" s="56"/>
      <c r="I128" s="56"/>
      <c r="J128" s="56"/>
      <c r="K128" s="56"/>
      <c r="L128" s="56"/>
      <c r="M128" s="56"/>
      <c r="N128" s="56"/>
      <c r="O128" s="56"/>
      <c r="P128" s="56"/>
      <c r="Q128" s="56"/>
      <c r="R128" s="56"/>
      <c r="S128" s="56"/>
      <c r="T128" s="57"/>
      <c r="U128" s="59">
        <v>336000</v>
      </c>
      <c r="V128" s="60"/>
      <c r="W128" s="60"/>
      <c r="X128" s="60"/>
      <c r="Y128" s="61"/>
      <c r="Z128" s="59">
        <v>0</v>
      </c>
      <c r="AA128" s="60"/>
      <c r="AB128" s="60"/>
      <c r="AC128" s="60"/>
      <c r="AD128" s="61"/>
      <c r="AE128" s="59">
        <v>0</v>
      </c>
      <c r="AF128" s="60"/>
      <c r="AG128" s="60"/>
      <c r="AH128" s="61"/>
      <c r="AI128" s="59">
        <f t="shared" si="10"/>
        <v>336000</v>
      </c>
      <c r="AJ128" s="60"/>
      <c r="AK128" s="60"/>
      <c r="AL128" s="60"/>
      <c r="AM128" s="61"/>
      <c r="AN128" s="59">
        <v>336000</v>
      </c>
      <c r="AO128" s="60"/>
      <c r="AP128" s="60"/>
      <c r="AQ128" s="60"/>
      <c r="AR128" s="61"/>
      <c r="AS128" s="59">
        <v>0</v>
      </c>
      <c r="AT128" s="60"/>
      <c r="AU128" s="60"/>
      <c r="AV128" s="60"/>
      <c r="AW128" s="61"/>
      <c r="AX128" s="59">
        <v>0</v>
      </c>
      <c r="AY128" s="60"/>
      <c r="AZ128" s="60"/>
      <c r="BA128" s="61"/>
      <c r="BB128" s="59">
        <f t="shared" si="11"/>
        <v>336000</v>
      </c>
      <c r="BC128" s="60"/>
      <c r="BD128" s="60"/>
      <c r="BE128" s="60"/>
      <c r="BF128" s="61"/>
      <c r="BG128" s="59">
        <v>0</v>
      </c>
      <c r="BH128" s="60"/>
      <c r="BI128" s="60"/>
      <c r="BJ128" s="60"/>
      <c r="BK128" s="61"/>
      <c r="BL128" s="59">
        <v>0</v>
      </c>
      <c r="BM128" s="60"/>
      <c r="BN128" s="60"/>
      <c r="BO128" s="60"/>
      <c r="BP128" s="61"/>
      <c r="BQ128" s="59">
        <v>0</v>
      </c>
      <c r="BR128" s="60"/>
      <c r="BS128" s="60"/>
      <c r="BT128" s="61"/>
      <c r="BU128" s="59">
        <f t="shared" si="12"/>
        <v>0</v>
      </c>
      <c r="BV128" s="60"/>
      <c r="BW128" s="60"/>
      <c r="BX128" s="60"/>
      <c r="BY128" s="61"/>
    </row>
    <row r="129" spans="1:77" s="4" customFormat="1" ht="12.75" customHeight="1" x14ac:dyDescent="0.2">
      <c r="A129" s="52">
        <v>14</v>
      </c>
      <c r="B129" s="53"/>
      <c r="C129" s="53"/>
      <c r="D129" s="55" t="s">
        <v>202</v>
      </c>
      <c r="E129" s="56"/>
      <c r="F129" s="56"/>
      <c r="G129" s="56"/>
      <c r="H129" s="56"/>
      <c r="I129" s="56"/>
      <c r="J129" s="56"/>
      <c r="K129" s="56"/>
      <c r="L129" s="56"/>
      <c r="M129" s="56"/>
      <c r="N129" s="56"/>
      <c r="O129" s="56"/>
      <c r="P129" s="56"/>
      <c r="Q129" s="56"/>
      <c r="R129" s="56"/>
      <c r="S129" s="56"/>
      <c r="T129" s="57"/>
      <c r="U129" s="59">
        <v>171233</v>
      </c>
      <c r="V129" s="60"/>
      <c r="W129" s="60"/>
      <c r="X129" s="60"/>
      <c r="Y129" s="61"/>
      <c r="Z129" s="59">
        <v>0</v>
      </c>
      <c r="AA129" s="60"/>
      <c r="AB129" s="60"/>
      <c r="AC129" s="60"/>
      <c r="AD129" s="61"/>
      <c r="AE129" s="59">
        <v>0</v>
      </c>
      <c r="AF129" s="60"/>
      <c r="AG129" s="60"/>
      <c r="AH129" s="61"/>
      <c r="AI129" s="59">
        <f t="shared" si="10"/>
        <v>171233</v>
      </c>
      <c r="AJ129" s="60"/>
      <c r="AK129" s="60"/>
      <c r="AL129" s="60"/>
      <c r="AM129" s="61"/>
      <c r="AN129" s="59">
        <v>0</v>
      </c>
      <c r="AO129" s="60"/>
      <c r="AP129" s="60"/>
      <c r="AQ129" s="60"/>
      <c r="AR129" s="61"/>
      <c r="AS129" s="59">
        <v>0</v>
      </c>
      <c r="AT129" s="60"/>
      <c r="AU129" s="60"/>
      <c r="AV129" s="60"/>
      <c r="AW129" s="61"/>
      <c r="AX129" s="59">
        <v>0</v>
      </c>
      <c r="AY129" s="60"/>
      <c r="AZ129" s="60"/>
      <c r="BA129" s="61"/>
      <c r="BB129" s="59">
        <f t="shared" si="11"/>
        <v>0</v>
      </c>
      <c r="BC129" s="60"/>
      <c r="BD129" s="60"/>
      <c r="BE129" s="60"/>
      <c r="BF129" s="61"/>
      <c r="BG129" s="59">
        <v>0</v>
      </c>
      <c r="BH129" s="60"/>
      <c r="BI129" s="60"/>
      <c r="BJ129" s="60"/>
      <c r="BK129" s="61"/>
      <c r="BL129" s="59">
        <v>0</v>
      </c>
      <c r="BM129" s="60"/>
      <c r="BN129" s="60"/>
      <c r="BO129" s="60"/>
      <c r="BP129" s="61"/>
      <c r="BQ129" s="59">
        <v>0</v>
      </c>
      <c r="BR129" s="60"/>
      <c r="BS129" s="60"/>
      <c r="BT129" s="61"/>
      <c r="BU129" s="59">
        <f t="shared" si="12"/>
        <v>0</v>
      </c>
      <c r="BV129" s="60"/>
      <c r="BW129" s="60"/>
      <c r="BX129" s="60"/>
      <c r="BY129" s="61"/>
    </row>
    <row r="130" spans="1:77" s="4" customFormat="1" ht="25.5" customHeight="1" x14ac:dyDescent="0.2">
      <c r="A130" s="52">
        <v>15</v>
      </c>
      <c r="B130" s="53"/>
      <c r="C130" s="53"/>
      <c r="D130" s="55" t="s">
        <v>203</v>
      </c>
      <c r="E130" s="56"/>
      <c r="F130" s="56"/>
      <c r="G130" s="56"/>
      <c r="H130" s="56"/>
      <c r="I130" s="56"/>
      <c r="J130" s="56"/>
      <c r="K130" s="56"/>
      <c r="L130" s="56"/>
      <c r="M130" s="56"/>
      <c r="N130" s="56"/>
      <c r="O130" s="56"/>
      <c r="P130" s="56"/>
      <c r="Q130" s="56"/>
      <c r="R130" s="56"/>
      <c r="S130" s="56"/>
      <c r="T130" s="57"/>
      <c r="U130" s="59">
        <v>33120</v>
      </c>
      <c r="V130" s="60"/>
      <c r="W130" s="60"/>
      <c r="X130" s="60"/>
      <c r="Y130" s="61"/>
      <c r="Z130" s="59">
        <v>0</v>
      </c>
      <c r="AA130" s="60"/>
      <c r="AB130" s="60"/>
      <c r="AC130" s="60"/>
      <c r="AD130" s="61"/>
      <c r="AE130" s="59">
        <v>0</v>
      </c>
      <c r="AF130" s="60"/>
      <c r="AG130" s="60"/>
      <c r="AH130" s="61"/>
      <c r="AI130" s="59">
        <f t="shared" si="10"/>
        <v>33120</v>
      </c>
      <c r="AJ130" s="60"/>
      <c r="AK130" s="60"/>
      <c r="AL130" s="60"/>
      <c r="AM130" s="61"/>
      <c r="AN130" s="59">
        <v>0</v>
      </c>
      <c r="AO130" s="60"/>
      <c r="AP130" s="60"/>
      <c r="AQ130" s="60"/>
      <c r="AR130" s="61"/>
      <c r="AS130" s="59">
        <v>0</v>
      </c>
      <c r="AT130" s="60"/>
      <c r="AU130" s="60"/>
      <c r="AV130" s="60"/>
      <c r="AW130" s="61"/>
      <c r="AX130" s="59">
        <v>0</v>
      </c>
      <c r="AY130" s="60"/>
      <c r="AZ130" s="60"/>
      <c r="BA130" s="61"/>
      <c r="BB130" s="59">
        <f t="shared" si="11"/>
        <v>0</v>
      </c>
      <c r="BC130" s="60"/>
      <c r="BD130" s="60"/>
      <c r="BE130" s="60"/>
      <c r="BF130" s="61"/>
      <c r="BG130" s="59">
        <v>0</v>
      </c>
      <c r="BH130" s="60"/>
      <c r="BI130" s="60"/>
      <c r="BJ130" s="60"/>
      <c r="BK130" s="61"/>
      <c r="BL130" s="59">
        <v>0</v>
      </c>
      <c r="BM130" s="60"/>
      <c r="BN130" s="60"/>
      <c r="BO130" s="60"/>
      <c r="BP130" s="61"/>
      <c r="BQ130" s="59">
        <v>0</v>
      </c>
      <c r="BR130" s="60"/>
      <c r="BS130" s="60"/>
      <c r="BT130" s="61"/>
      <c r="BU130" s="59">
        <f t="shared" si="12"/>
        <v>0</v>
      </c>
      <c r="BV130" s="60"/>
      <c r="BW130" s="60"/>
      <c r="BX130" s="60"/>
      <c r="BY130" s="61"/>
    </row>
    <row r="131" spans="1:77" s="4" customFormat="1" ht="12.75" customHeight="1" x14ac:dyDescent="0.2">
      <c r="A131" s="52">
        <v>16</v>
      </c>
      <c r="B131" s="53"/>
      <c r="C131" s="53"/>
      <c r="D131" s="55" t="s">
        <v>204</v>
      </c>
      <c r="E131" s="56"/>
      <c r="F131" s="56"/>
      <c r="G131" s="56"/>
      <c r="H131" s="56"/>
      <c r="I131" s="56"/>
      <c r="J131" s="56"/>
      <c r="K131" s="56"/>
      <c r="L131" s="56"/>
      <c r="M131" s="56"/>
      <c r="N131" s="56"/>
      <c r="O131" s="56"/>
      <c r="P131" s="56"/>
      <c r="Q131" s="56"/>
      <c r="R131" s="56"/>
      <c r="S131" s="56"/>
      <c r="T131" s="57"/>
      <c r="U131" s="59">
        <v>15303</v>
      </c>
      <c r="V131" s="60"/>
      <c r="W131" s="60"/>
      <c r="X131" s="60"/>
      <c r="Y131" s="61"/>
      <c r="Z131" s="59">
        <v>0</v>
      </c>
      <c r="AA131" s="60"/>
      <c r="AB131" s="60"/>
      <c r="AC131" s="60"/>
      <c r="AD131" s="61"/>
      <c r="AE131" s="59">
        <v>0</v>
      </c>
      <c r="AF131" s="60"/>
      <c r="AG131" s="60"/>
      <c r="AH131" s="61"/>
      <c r="AI131" s="59">
        <f t="shared" si="10"/>
        <v>15303</v>
      </c>
      <c r="AJ131" s="60"/>
      <c r="AK131" s="60"/>
      <c r="AL131" s="60"/>
      <c r="AM131" s="61"/>
      <c r="AN131" s="59">
        <v>20000</v>
      </c>
      <c r="AO131" s="60"/>
      <c r="AP131" s="60"/>
      <c r="AQ131" s="60"/>
      <c r="AR131" s="61"/>
      <c r="AS131" s="59">
        <v>0</v>
      </c>
      <c r="AT131" s="60"/>
      <c r="AU131" s="60"/>
      <c r="AV131" s="60"/>
      <c r="AW131" s="61"/>
      <c r="AX131" s="59">
        <v>0</v>
      </c>
      <c r="AY131" s="60"/>
      <c r="AZ131" s="60"/>
      <c r="BA131" s="61"/>
      <c r="BB131" s="59">
        <f t="shared" si="11"/>
        <v>20000</v>
      </c>
      <c r="BC131" s="60"/>
      <c r="BD131" s="60"/>
      <c r="BE131" s="60"/>
      <c r="BF131" s="61"/>
      <c r="BG131" s="59">
        <v>40000</v>
      </c>
      <c r="BH131" s="60"/>
      <c r="BI131" s="60"/>
      <c r="BJ131" s="60"/>
      <c r="BK131" s="61"/>
      <c r="BL131" s="59">
        <v>0</v>
      </c>
      <c r="BM131" s="60"/>
      <c r="BN131" s="60"/>
      <c r="BO131" s="60"/>
      <c r="BP131" s="61"/>
      <c r="BQ131" s="59">
        <v>0</v>
      </c>
      <c r="BR131" s="60"/>
      <c r="BS131" s="60"/>
      <c r="BT131" s="61"/>
      <c r="BU131" s="59">
        <f t="shared" si="12"/>
        <v>40000</v>
      </c>
      <c r="BV131" s="60"/>
      <c r="BW131" s="60"/>
      <c r="BX131" s="60"/>
      <c r="BY131" s="61"/>
    </row>
    <row r="132" spans="1:77" s="4" customFormat="1" ht="12.75" customHeight="1" x14ac:dyDescent="0.2">
      <c r="A132" s="52">
        <v>17</v>
      </c>
      <c r="B132" s="53"/>
      <c r="C132" s="53"/>
      <c r="D132" s="55" t="s">
        <v>205</v>
      </c>
      <c r="E132" s="56"/>
      <c r="F132" s="56"/>
      <c r="G132" s="56"/>
      <c r="H132" s="56"/>
      <c r="I132" s="56"/>
      <c r="J132" s="56"/>
      <c r="K132" s="56"/>
      <c r="L132" s="56"/>
      <c r="M132" s="56"/>
      <c r="N132" s="56"/>
      <c r="O132" s="56"/>
      <c r="P132" s="56"/>
      <c r="Q132" s="56"/>
      <c r="R132" s="56"/>
      <c r="S132" s="56"/>
      <c r="T132" s="57"/>
      <c r="U132" s="59">
        <v>204888</v>
      </c>
      <c r="V132" s="60"/>
      <c r="W132" s="60"/>
      <c r="X132" s="60"/>
      <c r="Y132" s="61"/>
      <c r="Z132" s="59">
        <v>0</v>
      </c>
      <c r="AA132" s="60"/>
      <c r="AB132" s="60"/>
      <c r="AC132" s="60"/>
      <c r="AD132" s="61"/>
      <c r="AE132" s="59">
        <v>0</v>
      </c>
      <c r="AF132" s="60"/>
      <c r="AG132" s="60"/>
      <c r="AH132" s="61"/>
      <c r="AI132" s="59">
        <f t="shared" si="10"/>
        <v>204888</v>
      </c>
      <c r="AJ132" s="60"/>
      <c r="AK132" s="60"/>
      <c r="AL132" s="60"/>
      <c r="AM132" s="61"/>
      <c r="AN132" s="59">
        <v>227760</v>
      </c>
      <c r="AO132" s="60"/>
      <c r="AP132" s="60"/>
      <c r="AQ132" s="60"/>
      <c r="AR132" s="61"/>
      <c r="AS132" s="59">
        <v>0</v>
      </c>
      <c r="AT132" s="60"/>
      <c r="AU132" s="60"/>
      <c r="AV132" s="60"/>
      <c r="AW132" s="61"/>
      <c r="AX132" s="59">
        <v>0</v>
      </c>
      <c r="AY132" s="60"/>
      <c r="AZ132" s="60"/>
      <c r="BA132" s="61"/>
      <c r="BB132" s="59">
        <f t="shared" si="11"/>
        <v>227760</v>
      </c>
      <c r="BC132" s="60"/>
      <c r="BD132" s="60"/>
      <c r="BE132" s="60"/>
      <c r="BF132" s="61"/>
      <c r="BG132" s="59">
        <v>260760</v>
      </c>
      <c r="BH132" s="60"/>
      <c r="BI132" s="60"/>
      <c r="BJ132" s="60"/>
      <c r="BK132" s="61"/>
      <c r="BL132" s="59">
        <v>0</v>
      </c>
      <c r="BM132" s="60"/>
      <c r="BN132" s="60"/>
      <c r="BO132" s="60"/>
      <c r="BP132" s="61"/>
      <c r="BQ132" s="59">
        <v>0</v>
      </c>
      <c r="BR132" s="60"/>
      <c r="BS132" s="60"/>
      <c r="BT132" s="61"/>
      <c r="BU132" s="59">
        <f t="shared" si="12"/>
        <v>260760</v>
      </c>
      <c r="BV132" s="60"/>
      <c r="BW132" s="60"/>
      <c r="BX132" s="60"/>
      <c r="BY132" s="61"/>
    </row>
    <row r="133" spans="1:77" s="4" customFormat="1" ht="12.75" customHeight="1" x14ac:dyDescent="0.2">
      <c r="A133" s="52">
        <v>18</v>
      </c>
      <c r="B133" s="53"/>
      <c r="C133" s="53"/>
      <c r="D133" s="55" t="s">
        <v>206</v>
      </c>
      <c r="E133" s="56"/>
      <c r="F133" s="56"/>
      <c r="G133" s="56"/>
      <c r="H133" s="56"/>
      <c r="I133" s="56"/>
      <c r="J133" s="56"/>
      <c r="K133" s="56"/>
      <c r="L133" s="56"/>
      <c r="M133" s="56"/>
      <c r="N133" s="56"/>
      <c r="O133" s="56"/>
      <c r="P133" s="56"/>
      <c r="Q133" s="56"/>
      <c r="R133" s="56"/>
      <c r="S133" s="56"/>
      <c r="T133" s="57"/>
      <c r="U133" s="59">
        <v>8918</v>
      </c>
      <c r="V133" s="60"/>
      <c r="W133" s="60"/>
      <c r="X133" s="60"/>
      <c r="Y133" s="61"/>
      <c r="Z133" s="59">
        <v>0</v>
      </c>
      <c r="AA133" s="60"/>
      <c r="AB133" s="60"/>
      <c r="AC133" s="60"/>
      <c r="AD133" s="61"/>
      <c r="AE133" s="59">
        <v>0</v>
      </c>
      <c r="AF133" s="60"/>
      <c r="AG133" s="60"/>
      <c r="AH133" s="61"/>
      <c r="AI133" s="59">
        <f t="shared" si="10"/>
        <v>8918</v>
      </c>
      <c r="AJ133" s="60"/>
      <c r="AK133" s="60"/>
      <c r="AL133" s="60"/>
      <c r="AM133" s="61"/>
      <c r="AN133" s="59">
        <v>36000</v>
      </c>
      <c r="AO133" s="60"/>
      <c r="AP133" s="60"/>
      <c r="AQ133" s="60"/>
      <c r="AR133" s="61"/>
      <c r="AS133" s="59">
        <v>0</v>
      </c>
      <c r="AT133" s="60"/>
      <c r="AU133" s="60"/>
      <c r="AV133" s="60"/>
      <c r="AW133" s="61"/>
      <c r="AX133" s="59">
        <v>0</v>
      </c>
      <c r="AY133" s="60"/>
      <c r="AZ133" s="60"/>
      <c r="BA133" s="61"/>
      <c r="BB133" s="59">
        <f t="shared" si="11"/>
        <v>36000</v>
      </c>
      <c r="BC133" s="60"/>
      <c r="BD133" s="60"/>
      <c r="BE133" s="60"/>
      <c r="BF133" s="61"/>
      <c r="BG133" s="59">
        <v>24000</v>
      </c>
      <c r="BH133" s="60"/>
      <c r="BI133" s="60"/>
      <c r="BJ133" s="60"/>
      <c r="BK133" s="61"/>
      <c r="BL133" s="59">
        <v>0</v>
      </c>
      <c r="BM133" s="60"/>
      <c r="BN133" s="60"/>
      <c r="BO133" s="60"/>
      <c r="BP133" s="61"/>
      <c r="BQ133" s="59">
        <v>0</v>
      </c>
      <c r="BR133" s="60"/>
      <c r="BS133" s="60"/>
      <c r="BT133" s="61"/>
      <c r="BU133" s="59">
        <f t="shared" si="12"/>
        <v>24000</v>
      </c>
      <c r="BV133" s="60"/>
      <c r="BW133" s="60"/>
      <c r="BX133" s="60"/>
      <c r="BY133" s="61"/>
    </row>
    <row r="134" spans="1:77" s="4" customFormat="1" ht="12.75" customHeight="1" x14ac:dyDescent="0.2">
      <c r="A134" s="52">
        <v>19</v>
      </c>
      <c r="B134" s="53"/>
      <c r="C134" s="53"/>
      <c r="D134" s="55" t="s">
        <v>207</v>
      </c>
      <c r="E134" s="56"/>
      <c r="F134" s="56"/>
      <c r="G134" s="56"/>
      <c r="H134" s="56"/>
      <c r="I134" s="56"/>
      <c r="J134" s="56"/>
      <c r="K134" s="56"/>
      <c r="L134" s="56"/>
      <c r="M134" s="56"/>
      <c r="N134" s="56"/>
      <c r="O134" s="56"/>
      <c r="P134" s="56"/>
      <c r="Q134" s="56"/>
      <c r="R134" s="56"/>
      <c r="S134" s="56"/>
      <c r="T134" s="57"/>
      <c r="U134" s="59">
        <v>59700</v>
      </c>
      <c r="V134" s="60"/>
      <c r="W134" s="60"/>
      <c r="X134" s="60"/>
      <c r="Y134" s="61"/>
      <c r="Z134" s="59">
        <v>0</v>
      </c>
      <c r="AA134" s="60"/>
      <c r="AB134" s="60"/>
      <c r="AC134" s="60"/>
      <c r="AD134" s="61"/>
      <c r="AE134" s="59">
        <v>0</v>
      </c>
      <c r="AF134" s="60"/>
      <c r="AG134" s="60"/>
      <c r="AH134" s="61"/>
      <c r="AI134" s="59">
        <f t="shared" si="10"/>
        <v>59700</v>
      </c>
      <c r="AJ134" s="60"/>
      <c r="AK134" s="60"/>
      <c r="AL134" s="60"/>
      <c r="AM134" s="61"/>
      <c r="AN134" s="59">
        <v>16800</v>
      </c>
      <c r="AO134" s="60"/>
      <c r="AP134" s="60"/>
      <c r="AQ134" s="60"/>
      <c r="AR134" s="61"/>
      <c r="AS134" s="59">
        <v>0</v>
      </c>
      <c r="AT134" s="60"/>
      <c r="AU134" s="60"/>
      <c r="AV134" s="60"/>
      <c r="AW134" s="61"/>
      <c r="AX134" s="59">
        <v>0</v>
      </c>
      <c r="AY134" s="60"/>
      <c r="AZ134" s="60"/>
      <c r="BA134" s="61"/>
      <c r="BB134" s="59">
        <f t="shared" si="11"/>
        <v>16800</v>
      </c>
      <c r="BC134" s="60"/>
      <c r="BD134" s="60"/>
      <c r="BE134" s="60"/>
      <c r="BF134" s="61"/>
      <c r="BG134" s="59">
        <v>33600</v>
      </c>
      <c r="BH134" s="60"/>
      <c r="BI134" s="60"/>
      <c r="BJ134" s="60"/>
      <c r="BK134" s="61"/>
      <c r="BL134" s="59">
        <v>0</v>
      </c>
      <c r="BM134" s="60"/>
      <c r="BN134" s="60"/>
      <c r="BO134" s="60"/>
      <c r="BP134" s="61"/>
      <c r="BQ134" s="59">
        <v>0</v>
      </c>
      <c r="BR134" s="60"/>
      <c r="BS134" s="60"/>
      <c r="BT134" s="61"/>
      <c r="BU134" s="59">
        <f t="shared" si="12"/>
        <v>33600</v>
      </c>
      <c r="BV134" s="60"/>
      <c r="BW134" s="60"/>
      <c r="BX134" s="60"/>
      <c r="BY134" s="61"/>
    </row>
    <row r="135" spans="1:77" s="4" customFormat="1" ht="25.5" customHeight="1" x14ac:dyDescent="0.2">
      <c r="A135" s="52">
        <v>20</v>
      </c>
      <c r="B135" s="53"/>
      <c r="C135" s="53"/>
      <c r="D135" s="55" t="s">
        <v>208</v>
      </c>
      <c r="E135" s="56"/>
      <c r="F135" s="56"/>
      <c r="G135" s="56"/>
      <c r="H135" s="56"/>
      <c r="I135" s="56"/>
      <c r="J135" s="56"/>
      <c r="K135" s="56"/>
      <c r="L135" s="56"/>
      <c r="M135" s="56"/>
      <c r="N135" s="56"/>
      <c r="O135" s="56"/>
      <c r="P135" s="56"/>
      <c r="Q135" s="56"/>
      <c r="R135" s="56"/>
      <c r="S135" s="56"/>
      <c r="T135" s="57"/>
      <c r="U135" s="59">
        <v>0</v>
      </c>
      <c r="V135" s="60"/>
      <c r="W135" s="60"/>
      <c r="X135" s="60"/>
      <c r="Y135" s="61"/>
      <c r="Z135" s="59">
        <v>0</v>
      </c>
      <c r="AA135" s="60"/>
      <c r="AB135" s="60"/>
      <c r="AC135" s="60"/>
      <c r="AD135" s="61"/>
      <c r="AE135" s="59">
        <v>0</v>
      </c>
      <c r="AF135" s="60"/>
      <c r="AG135" s="60"/>
      <c r="AH135" s="61"/>
      <c r="AI135" s="59">
        <f t="shared" si="10"/>
        <v>0</v>
      </c>
      <c r="AJ135" s="60"/>
      <c r="AK135" s="60"/>
      <c r="AL135" s="60"/>
      <c r="AM135" s="61"/>
      <c r="AN135" s="59">
        <v>282000</v>
      </c>
      <c r="AO135" s="60"/>
      <c r="AP135" s="60"/>
      <c r="AQ135" s="60"/>
      <c r="AR135" s="61"/>
      <c r="AS135" s="59">
        <v>0</v>
      </c>
      <c r="AT135" s="60"/>
      <c r="AU135" s="60"/>
      <c r="AV135" s="60"/>
      <c r="AW135" s="61"/>
      <c r="AX135" s="59">
        <v>0</v>
      </c>
      <c r="AY135" s="60"/>
      <c r="AZ135" s="60"/>
      <c r="BA135" s="61"/>
      <c r="BB135" s="59">
        <f t="shared" si="11"/>
        <v>282000</v>
      </c>
      <c r="BC135" s="60"/>
      <c r="BD135" s="60"/>
      <c r="BE135" s="60"/>
      <c r="BF135" s="61"/>
      <c r="BG135" s="59">
        <v>348000</v>
      </c>
      <c r="BH135" s="60"/>
      <c r="BI135" s="60"/>
      <c r="BJ135" s="60"/>
      <c r="BK135" s="61"/>
      <c r="BL135" s="59">
        <v>0</v>
      </c>
      <c r="BM135" s="60"/>
      <c r="BN135" s="60"/>
      <c r="BO135" s="60"/>
      <c r="BP135" s="61"/>
      <c r="BQ135" s="59">
        <v>0</v>
      </c>
      <c r="BR135" s="60"/>
      <c r="BS135" s="60"/>
      <c r="BT135" s="61"/>
      <c r="BU135" s="59">
        <f t="shared" si="12"/>
        <v>348000</v>
      </c>
      <c r="BV135" s="60"/>
      <c r="BW135" s="60"/>
      <c r="BX135" s="60"/>
      <c r="BY135" s="61"/>
    </row>
    <row r="136" spans="1:77" s="4" customFormat="1" ht="12.75" customHeight="1" x14ac:dyDescent="0.2">
      <c r="A136" s="52">
        <v>21</v>
      </c>
      <c r="B136" s="53"/>
      <c r="C136" s="53"/>
      <c r="D136" s="55" t="s">
        <v>209</v>
      </c>
      <c r="E136" s="56"/>
      <c r="F136" s="56"/>
      <c r="G136" s="56"/>
      <c r="H136" s="56"/>
      <c r="I136" s="56"/>
      <c r="J136" s="56"/>
      <c r="K136" s="56"/>
      <c r="L136" s="56"/>
      <c r="M136" s="56"/>
      <c r="N136" s="56"/>
      <c r="O136" s="56"/>
      <c r="P136" s="56"/>
      <c r="Q136" s="56"/>
      <c r="R136" s="56"/>
      <c r="S136" s="56"/>
      <c r="T136" s="57"/>
      <c r="U136" s="59">
        <v>34141</v>
      </c>
      <c r="V136" s="60"/>
      <c r="W136" s="60"/>
      <c r="X136" s="60"/>
      <c r="Y136" s="61"/>
      <c r="Z136" s="59">
        <v>0</v>
      </c>
      <c r="AA136" s="60"/>
      <c r="AB136" s="60"/>
      <c r="AC136" s="60"/>
      <c r="AD136" s="61"/>
      <c r="AE136" s="59">
        <v>0</v>
      </c>
      <c r="AF136" s="60"/>
      <c r="AG136" s="60"/>
      <c r="AH136" s="61"/>
      <c r="AI136" s="59">
        <f t="shared" si="10"/>
        <v>34141</v>
      </c>
      <c r="AJ136" s="60"/>
      <c r="AK136" s="60"/>
      <c r="AL136" s="60"/>
      <c r="AM136" s="61"/>
      <c r="AN136" s="59">
        <v>37557</v>
      </c>
      <c r="AO136" s="60"/>
      <c r="AP136" s="60"/>
      <c r="AQ136" s="60"/>
      <c r="AR136" s="61"/>
      <c r="AS136" s="59">
        <v>0</v>
      </c>
      <c r="AT136" s="60"/>
      <c r="AU136" s="60"/>
      <c r="AV136" s="60"/>
      <c r="AW136" s="61"/>
      <c r="AX136" s="59">
        <v>0</v>
      </c>
      <c r="AY136" s="60"/>
      <c r="AZ136" s="60"/>
      <c r="BA136" s="61"/>
      <c r="BB136" s="59">
        <f t="shared" si="11"/>
        <v>37557</v>
      </c>
      <c r="BC136" s="60"/>
      <c r="BD136" s="60"/>
      <c r="BE136" s="60"/>
      <c r="BF136" s="61"/>
      <c r="BG136" s="59">
        <v>41314</v>
      </c>
      <c r="BH136" s="60"/>
      <c r="BI136" s="60"/>
      <c r="BJ136" s="60"/>
      <c r="BK136" s="61"/>
      <c r="BL136" s="59">
        <v>0</v>
      </c>
      <c r="BM136" s="60"/>
      <c r="BN136" s="60"/>
      <c r="BO136" s="60"/>
      <c r="BP136" s="61"/>
      <c r="BQ136" s="59">
        <v>0</v>
      </c>
      <c r="BR136" s="60"/>
      <c r="BS136" s="60"/>
      <c r="BT136" s="61"/>
      <c r="BU136" s="59">
        <f t="shared" si="12"/>
        <v>41314</v>
      </c>
      <c r="BV136" s="60"/>
      <c r="BW136" s="60"/>
      <c r="BX136" s="60"/>
      <c r="BY136" s="61"/>
    </row>
    <row r="137" spans="1:77" s="4" customFormat="1" ht="12.75" customHeight="1" x14ac:dyDescent="0.2">
      <c r="A137" s="52">
        <v>22</v>
      </c>
      <c r="B137" s="53"/>
      <c r="C137" s="53"/>
      <c r="D137" s="55" t="s">
        <v>210</v>
      </c>
      <c r="E137" s="56"/>
      <c r="F137" s="56"/>
      <c r="G137" s="56"/>
      <c r="H137" s="56"/>
      <c r="I137" s="56"/>
      <c r="J137" s="56"/>
      <c r="K137" s="56"/>
      <c r="L137" s="56"/>
      <c r="M137" s="56"/>
      <c r="N137" s="56"/>
      <c r="O137" s="56"/>
      <c r="P137" s="56"/>
      <c r="Q137" s="56"/>
      <c r="R137" s="56"/>
      <c r="S137" s="56"/>
      <c r="T137" s="57"/>
      <c r="U137" s="59">
        <v>116470</v>
      </c>
      <c r="V137" s="60"/>
      <c r="W137" s="60"/>
      <c r="X137" s="60"/>
      <c r="Y137" s="61"/>
      <c r="Z137" s="59">
        <v>0</v>
      </c>
      <c r="AA137" s="60"/>
      <c r="AB137" s="60"/>
      <c r="AC137" s="60"/>
      <c r="AD137" s="61"/>
      <c r="AE137" s="59">
        <v>0</v>
      </c>
      <c r="AF137" s="60"/>
      <c r="AG137" s="60"/>
      <c r="AH137" s="61"/>
      <c r="AI137" s="59">
        <f t="shared" si="10"/>
        <v>116470</v>
      </c>
      <c r="AJ137" s="60"/>
      <c r="AK137" s="60"/>
      <c r="AL137" s="60"/>
      <c r="AM137" s="61"/>
      <c r="AN137" s="59">
        <v>133944</v>
      </c>
      <c r="AO137" s="60"/>
      <c r="AP137" s="60"/>
      <c r="AQ137" s="60"/>
      <c r="AR137" s="61"/>
      <c r="AS137" s="59">
        <v>0</v>
      </c>
      <c r="AT137" s="60"/>
      <c r="AU137" s="60"/>
      <c r="AV137" s="60"/>
      <c r="AW137" s="61"/>
      <c r="AX137" s="59">
        <v>0</v>
      </c>
      <c r="AY137" s="60"/>
      <c r="AZ137" s="60"/>
      <c r="BA137" s="61"/>
      <c r="BB137" s="59">
        <f t="shared" si="11"/>
        <v>133944</v>
      </c>
      <c r="BC137" s="60"/>
      <c r="BD137" s="60"/>
      <c r="BE137" s="60"/>
      <c r="BF137" s="61"/>
      <c r="BG137" s="59">
        <v>169452</v>
      </c>
      <c r="BH137" s="60"/>
      <c r="BI137" s="60"/>
      <c r="BJ137" s="60"/>
      <c r="BK137" s="61"/>
      <c r="BL137" s="59">
        <v>0</v>
      </c>
      <c r="BM137" s="60"/>
      <c r="BN137" s="60"/>
      <c r="BO137" s="60"/>
      <c r="BP137" s="61"/>
      <c r="BQ137" s="59">
        <v>0</v>
      </c>
      <c r="BR137" s="60"/>
      <c r="BS137" s="60"/>
      <c r="BT137" s="61"/>
      <c r="BU137" s="59">
        <f t="shared" si="12"/>
        <v>169452</v>
      </c>
      <c r="BV137" s="60"/>
      <c r="BW137" s="60"/>
      <c r="BX137" s="60"/>
      <c r="BY137" s="61"/>
    </row>
    <row r="138" spans="1:77" s="4" customFormat="1" ht="12.75" customHeight="1" x14ac:dyDescent="0.2">
      <c r="A138" s="52">
        <v>23</v>
      </c>
      <c r="B138" s="53"/>
      <c r="C138" s="53"/>
      <c r="D138" s="55" t="s">
        <v>211</v>
      </c>
      <c r="E138" s="56"/>
      <c r="F138" s="56"/>
      <c r="G138" s="56"/>
      <c r="H138" s="56"/>
      <c r="I138" s="56"/>
      <c r="J138" s="56"/>
      <c r="K138" s="56"/>
      <c r="L138" s="56"/>
      <c r="M138" s="56"/>
      <c r="N138" s="56"/>
      <c r="O138" s="56"/>
      <c r="P138" s="56"/>
      <c r="Q138" s="56"/>
      <c r="R138" s="56"/>
      <c r="S138" s="56"/>
      <c r="T138" s="57"/>
      <c r="U138" s="59">
        <v>2400</v>
      </c>
      <c r="V138" s="60"/>
      <c r="W138" s="60"/>
      <c r="X138" s="60"/>
      <c r="Y138" s="61"/>
      <c r="Z138" s="59">
        <v>0</v>
      </c>
      <c r="AA138" s="60"/>
      <c r="AB138" s="60"/>
      <c r="AC138" s="60"/>
      <c r="AD138" s="61"/>
      <c r="AE138" s="59">
        <v>0</v>
      </c>
      <c r="AF138" s="60"/>
      <c r="AG138" s="60"/>
      <c r="AH138" s="61"/>
      <c r="AI138" s="59">
        <f t="shared" si="10"/>
        <v>2400</v>
      </c>
      <c r="AJ138" s="60"/>
      <c r="AK138" s="60"/>
      <c r="AL138" s="60"/>
      <c r="AM138" s="61"/>
      <c r="AN138" s="59">
        <v>7200</v>
      </c>
      <c r="AO138" s="60"/>
      <c r="AP138" s="60"/>
      <c r="AQ138" s="60"/>
      <c r="AR138" s="61"/>
      <c r="AS138" s="59">
        <v>0</v>
      </c>
      <c r="AT138" s="60"/>
      <c r="AU138" s="60"/>
      <c r="AV138" s="60"/>
      <c r="AW138" s="61"/>
      <c r="AX138" s="59">
        <v>0</v>
      </c>
      <c r="AY138" s="60"/>
      <c r="AZ138" s="60"/>
      <c r="BA138" s="61"/>
      <c r="BB138" s="59">
        <f t="shared" si="11"/>
        <v>7200</v>
      </c>
      <c r="BC138" s="60"/>
      <c r="BD138" s="60"/>
      <c r="BE138" s="60"/>
      <c r="BF138" s="61"/>
      <c r="BG138" s="59">
        <v>0</v>
      </c>
      <c r="BH138" s="60"/>
      <c r="BI138" s="60"/>
      <c r="BJ138" s="60"/>
      <c r="BK138" s="61"/>
      <c r="BL138" s="59">
        <v>0</v>
      </c>
      <c r="BM138" s="60"/>
      <c r="BN138" s="60"/>
      <c r="BO138" s="60"/>
      <c r="BP138" s="61"/>
      <c r="BQ138" s="59">
        <v>0</v>
      </c>
      <c r="BR138" s="60"/>
      <c r="BS138" s="60"/>
      <c r="BT138" s="61"/>
      <c r="BU138" s="59">
        <f t="shared" si="12"/>
        <v>0</v>
      </c>
      <c r="BV138" s="60"/>
      <c r="BW138" s="60"/>
      <c r="BX138" s="60"/>
      <c r="BY138" s="61"/>
    </row>
    <row r="139" spans="1:77" s="4" customFormat="1" ht="25.5" customHeight="1" x14ac:dyDescent="0.2">
      <c r="A139" s="52">
        <v>24</v>
      </c>
      <c r="B139" s="53"/>
      <c r="C139" s="53"/>
      <c r="D139" s="55" t="s">
        <v>212</v>
      </c>
      <c r="E139" s="56"/>
      <c r="F139" s="56"/>
      <c r="G139" s="56"/>
      <c r="H139" s="56"/>
      <c r="I139" s="56"/>
      <c r="J139" s="56"/>
      <c r="K139" s="56"/>
      <c r="L139" s="56"/>
      <c r="M139" s="56"/>
      <c r="N139" s="56"/>
      <c r="O139" s="56"/>
      <c r="P139" s="56"/>
      <c r="Q139" s="56"/>
      <c r="R139" s="56"/>
      <c r="S139" s="56"/>
      <c r="T139" s="57"/>
      <c r="U139" s="59">
        <v>7685</v>
      </c>
      <c r="V139" s="60"/>
      <c r="W139" s="60"/>
      <c r="X139" s="60"/>
      <c r="Y139" s="61"/>
      <c r="Z139" s="59">
        <v>0</v>
      </c>
      <c r="AA139" s="60"/>
      <c r="AB139" s="60"/>
      <c r="AC139" s="60"/>
      <c r="AD139" s="61"/>
      <c r="AE139" s="59">
        <v>0</v>
      </c>
      <c r="AF139" s="60"/>
      <c r="AG139" s="60"/>
      <c r="AH139" s="61"/>
      <c r="AI139" s="59">
        <f t="shared" si="10"/>
        <v>7685</v>
      </c>
      <c r="AJ139" s="60"/>
      <c r="AK139" s="60"/>
      <c r="AL139" s="60"/>
      <c r="AM139" s="61"/>
      <c r="AN139" s="59">
        <v>7686</v>
      </c>
      <c r="AO139" s="60"/>
      <c r="AP139" s="60"/>
      <c r="AQ139" s="60"/>
      <c r="AR139" s="61"/>
      <c r="AS139" s="59">
        <v>0</v>
      </c>
      <c r="AT139" s="60"/>
      <c r="AU139" s="60"/>
      <c r="AV139" s="60"/>
      <c r="AW139" s="61"/>
      <c r="AX139" s="59">
        <v>0</v>
      </c>
      <c r="AY139" s="60"/>
      <c r="AZ139" s="60"/>
      <c r="BA139" s="61"/>
      <c r="BB139" s="59">
        <f t="shared" si="11"/>
        <v>7686</v>
      </c>
      <c r="BC139" s="60"/>
      <c r="BD139" s="60"/>
      <c r="BE139" s="60"/>
      <c r="BF139" s="61"/>
      <c r="BG139" s="59">
        <v>8454</v>
      </c>
      <c r="BH139" s="60"/>
      <c r="BI139" s="60"/>
      <c r="BJ139" s="60"/>
      <c r="BK139" s="61"/>
      <c r="BL139" s="59">
        <v>0</v>
      </c>
      <c r="BM139" s="60"/>
      <c r="BN139" s="60"/>
      <c r="BO139" s="60"/>
      <c r="BP139" s="61"/>
      <c r="BQ139" s="59">
        <v>0</v>
      </c>
      <c r="BR139" s="60"/>
      <c r="BS139" s="60"/>
      <c r="BT139" s="61"/>
      <c r="BU139" s="59">
        <f t="shared" si="12"/>
        <v>8454</v>
      </c>
      <c r="BV139" s="60"/>
      <c r="BW139" s="60"/>
      <c r="BX139" s="60"/>
      <c r="BY139" s="61"/>
    </row>
    <row r="140" spans="1:77" s="4" customFormat="1" ht="12.75" customHeight="1" x14ac:dyDescent="0.2">
      <c r="A140" s="52">
        <v>25</v>
      </c>
      <c r="B140" s="53"/>
      <c r="C140" s="53"/>
      <c r="D140" s="55" t="s">
        <v>213</v>
      </c>
      <c r="E140" s="56"/>
      <c r="F140" s="56"/>
      <c r="G140" s="56"/>
      <c r="H140" s="56"/>
      <c r="I140" s="56"/>
      <c r="J140" s="56"/>
      <c r="K140" s="56"/>
      <c r="L140" s="56"/>
      <c r="M140" s="56"/>
      <c r="N140" s="56"/>
      <c r="O140" s="56"/>
      <c r="P140" s="56"/>
      <c r="Q140" s="56"/>
      <c r="R140" s="56"/>
      <c r="S140" s="56"/>
      <c r="T140" s="57"/>
      <c r="U140" s="59">
        <v>88940</v>
      </c>
      <c r="V140" s="60"/>
      <c r="W140" s="60"/>
      <c r="X140" s="60"/>
      <c r="Y140" s="61"/>
      <c r="Z140" s="59">
        <v>0</v>
      </c>
      <c r="AA140" s="60"/>
      <c r="AB140" s="60"/>
      <c r="AC140" s="60"/>
      <c r="AD140" s="61"/>
      <c r="AE140" s="59">
        <v>0</v>
      </c>
      <c r="AF140" s="60"/>
      <c r="AG140" s="60"/>
      <c r="AH140" s="61"/>
      <c r="AI140" s="59">
        <f t="shared" si="10"/>
        <v>88940</v>
      </c>
      <c r="AJ140" s="60"/>
      <c r="AK140" s="60"/>
      <c r="AL140" s="60"/>
      <c r="AM140" s="61"/>
      <c r="AN140" s="59">
        <v>91014</v>
      </c>
      <c r="AO140" s="60"/>
      <c r="AP140" s="60"/>
      <c r="AQ140" s="60"/>
      <c r="AR140" s="61"/>
      <c r="AS140" s="59">
        <v>0</v>
      </c>
      <c r="AT140" s="60"/>
      <c r="AU140" s="60"/>
      <c r="AV140" s="60"/>
      <c r="AW140" s="61"/>
      <c r="AX140" s="59">
        <v>0</v>
      </c>
      <c r="AY140" s="60"/>
      <c r="AZ140" s="60"/>
      <c r="BA140" s="61"/>
      <c r="BB140" s="59">
        <f t="shared" si="11"/>
        <v>91014</v>
      </c>
      <c r="BC140" s="60"/>
      <c r="BD140" s="60"/>
      <c r="BE140" s="60"/>
      <c r="BF140" s="61"/>
      <c r="BG140" s="59">
        <v>142816</v>
      </c>
      <c r="BH140" s="60"/>
      <c r="BI140" s="60"/>
      <c r="BJ140" s="60"/>
      <c r="BK140" s="61"/>
      <c r="BL140" s="59">
        <v>0</v>
      </c>
      <c r="BM140" s="60"/>
      <c r="BN140" s="60"/>
      <c r="BO140" s="60"/>
      <c r="BP140" s="61"/>
      <c r="BQ140" s="59">
        <v>0</v>
      </c>
      <c r="BR140" s="60"/>
      <c r="BS140" s="60"/>
      <c r="BT140" s="61"/>
      <c r="BU140" s="59">
        <f t="shared" si="12"/>
        <v>142816</v>
      </c>
      <c r="BV140" s="60"/>
      <c r="BW140" s="60"/>
      <c r="BX140" s="60"/>
      <c r="BY140" s="61"/>
    </row>
    <row r="141" spans="1:77" s="4" customFormat="1" ht="12.75" customHeight="1" x14ac:dyDescent="0.2">
      <c r="A141" s="52">
        <v>26</v>
      </c>
      <c r="B141" s="53"/>
      <c r="C141" s="53"/>
      <c r="D141" s="55" t="s">
        <v>214</v>
      </c>
      <c r="E141" s="56"/>
      <c r="F141" s="56"/>
      <c r="G141" s="56"/>
      <c r="H141" s="56"/>
      <c r="I141" s="56"/>
      <c r="J141" s="56"/>
      <c r="K141" s="56"/>
      <c r="L141" s="56"/>
      <c r="M141" s="56"/>
      <c r="N141" s="56"/>
      <c r="O141" s="56"/>
      <c r="P141" s="56"/>
      <c r="Q141" s="56"/>
      <c r="R141" s="56"/>
      <c r="S141" s="56"/>
      <c r="T141" s="57"/>
      <c r="U141" s="59">
        <v>45345</v>
      </c>
      <c r="V141" s="60"/>
      <c r="W141" s="60"/>
      <c r="X141" s="60"/>
      <c r="Y141" s="61"/>
      <c r="Z141" s="59">
        <v>0</v>
      </c>
      <c r="AA141" s="60"/>
      <c r="AB141" s="60"/>
      <c r="AC141" s="60"/>
      <c r="AD141" s="61"/>
      <c r="AE141" s="59">
        <v>0</v>
      </c>
      <c r="AF141" s="60"/>
      <c r="AG141" s="60"/>
      <c r="AH141" s="61"/>
      <c r="AI141" s="59">
        <f t="shared" si="10"/>
        <v>45345</v>
      </c>
      <c r="AJ141" s="60"/>
      <c r="AK141" s="60"/>
      <c r="AL141" s="60"/>
      <c r="AM141" s="61"/>
      <c r="AN141" s="59">
        <v>111877</v>
      </c>
      <c r="AO141" s="60"/>
      <c r="AP141" s="60"/>
      <c r="AQ141" s="60"/>
      <c r="AR141" s="61"/>
      <c r="AS141" s="59">
        <v>0</v>
      </c>
      <c r="AT141" s="60"/>
      <c r="AU141" s="60"/>
      <c r="AV141" s="60"/>
      <c r="AW141" s="61"/>
      <c r="AX141" s="59">
        <v>0</v>
      </c>
      <c r="AY141" s="60"/>
      <c r="AZ141" s="60"/>
      <c r="BA141" s="61"/>
      <c r="BB141" s="59">
        <f t="shared" si="11"/>
        <v>111877</v>
      </c>
      <c r="BC141" s="60"/>
      <c r="BD141" s="60"/>
      <c r="BE141" s="60"/>
      <c r="BF141" s="61"/>
      <c r="BG141" s="59">
        <v>99631</v>
      </c>
      <c r="BH141" s="60"/>
      <c r="BI141" s="60"/>
      <c r="BJ141" s="60"/>
      <c r="BK141" s="61"/>
      <c r="BL141" s="59">
        <v>0</v>
      </c>
      <c r="BM141" s="60"/>
      <c r="BN141" s="60"/>
      <c r="BO141" s="60"/>
      <c r="BP141" s="61"/>
      <c r="BQ141" s="59">
        <v>0</v>
      </c>
      <c r="BR141" s="60"/>
      <c r="BS141" s="60"/>
      <c r="BT141" s="61"/>
      <c r="BU141" s="59">
        <f t="shared" si="12"/>
        <v>99631</v>
      </c>
      <c r="BV141" s="60"/>
      <c r="BW141" s="60"/>
      <c r="BX141" s="60"/>
      <c r="BY141" s="61"/>
    </row>
    <row r="142" spans="1:77" s="4" customFormat="1" ht="12.75" customHeight="1" x14ac:dyDescent="0.2">
      <c r="A142" s="52">
        <v>27</v>
      </c>
      <c r="B142" s="53"/>
      <c r="C142" s="53"/>
      <c r="D142" s="55" t="s">
        <v>215</v>
      </c>
      <c r="E142" s="56"/>
      <c r="F142" s="56"/>
      <c r="G142" s="56"/>
      <c r="H142" s="56"/>
      <c r="I142" s="56"/>
      <c r="J142" s="56"/>
      <c r="K142" s="56"/>
      <c r="L142" s="56"/>
      <c r="M142" s="56"/>
      <c r="N142" s="56"/>
      <c r="O142" s="56"/>
      <c r="P142" s="56"/>
      <c r="Q142" s="56"/>
      <c r="R142" s="56"/>
      <c r="S142" s="56"/>
      <c r="T142" s="57"/>
      <c r="U142" s="59">
        <v>860400</v>
      </c>
      <c r="V142" s="60"/>
      <c r="W142" s="60"/>
      <c r="X142" s="60"/>
      <c r="Y142" s="61"/>
      <c r="Z142" s="59">
        <v>0</v>
      </c>
      <c r="AA142" s="60"/>
      <c r="AB142" s="60"/>
      <c r="AC142" s="60"/>
      <c r="AD142" s="61"/>
      <c r="AE142" s="59">
        <v>0</v>
      </c>
      <c r="AF142" s="60"/>
      <c r="AG142" s="60"/>
      <c r="AH142" s="61"/>
      <c r="AI142" s="59">
        <f t="shared" si="10"/>
        <v>860400</v>
      </c>
      <c r="AJ142" s="60"/>
      <c r="AK142" s="60"/>
      <c r="AL142" s="60"/>
      <c r="AM142" s="61"/>
      <c r="AN142" s="59">
        <v>860400</v>
      </c>
      <c r="AO142" s="60"/>
      <c r="AP142" s="60"/>
      <c r="AQ142" s="60"/>
      <c r="AR142" s="61"/>
      <c r="AS142" s="59">
        <v>0</v>
      </c>
      <c r="AT142" s="60"/>
      <c r="AU142" s="60"/>
      <c r="AV142" s="60"/>
      <c r="AW142" s="61"/>
      <c r="AX142" s="59">
        <v>0</v>
      </c>
      <c r="AY142" s="60"/>
      <c r="AZ142" s="60"/>
      <c r="BA142" s="61"/>
      <c r="BB142" s="59">
        <f t="shared" si="11"/>
        <v>860400</v>
      </c>
      <c r="BC142" s="60"/>
      <c r="BD142" s="60"/>
      <c r="BE142" s="60"/>
      <c r="BF142" s="61"/>
      <c r="BG142" s="59">
        <v>1408800</v>
      </c>
      <c r="BH142" s="60"/>
      <c r="BI142" s="60"/>
      <c r="BJ142" s="60"/>
      <c r="BK142" s="61"/>
      <c r="BL142" s="59">
        <v>0</v>
      </c>
      <c r="BM142" s="60"/>
      <c r="BN142" s="60"/>
      <c r="BO142" s="60"/>
      <c r="BP142" s="61"/>
      <c r="BQ142" s="59">
        <v>0</v>
      </c>
      <c r="BR142" s="60"/>
      <c r="BS142" s="60"/>
      <c r="BT142" s="61"/>
      <c r="BU142" s="59">
        <f t="shared" si="12"/>
        <v>1408800</v>
      </c>
      <c r="BV142" s="60"/>
      <c r="BW142" s="60"/>
      <c r="BX142" s="60"/>
      <c r="BY142" s="61"/>
    </row>
    <row r="143" spans="1:77" s="4" customFormat="1" ht="51" customHeight="1" x14ac:dyDescent="0.2">
      <c r="A143" s="52">
        <v>28</v>
      </c>
      <c r="B143" s="53"/>
      <c r="C143" s="53"/>
      <c r="D143" s="55" t="s">
        <v>216</v>
      </c>
      <c r="E143" s="56"/>
      <c r="F143" s="56"/>
      <c r="G143" s="56"/>
      <c r="H143" s="56"/>
      <c r="I143" s="56"/>
      <c r="J143" s="56"/>
      <c r="K143" s="56"/>
      <c r="L143" s="56"/>
      <c r="M143" s="56"/>
      <c r="N143" s="56"/>
      <c r="O143" s="56"/>
      <c r="P143" s="56"/>
      <c r="Q143" s="56"/>
      <c r="R143" s="56"/>
      <c r="S143" s="56"/>
      <c r="T143" s="57"/>
      <c r="U143" s="59">
        <v>99797</v>
      </c>
      <c r="V143" s="60"/>
      <c r="W143" s="60"/>
      <c r="X143" s="60"/>
      <c r="Y143" s="61"/>
      <c r="Z143" s="59">
        <v>0</v>
      </c>
      <c r="AA143" s="60"/>
      <c r="AB143" s="60"/>
      <c r="AC143" s="60"/>
      <c r="AD143" s="61"/>
      <c r="AE143" s="59">
        <v>0</v>
      </c>
      <c r="AF143" s="60"/>
      <c r="AG143" s="60"/>
      <c r="AH143" s="61"/>
      <c r="AI143" s="59">
        <f t="shared" si="10"/>
        <v>99797</v>
      </c>
      <c r="AJ143" s="60"/>
      <c r="AK143" s="60"/>
      <c r="AL143" s="60"/>
      <c r="AM143" s="61"/>
      <c r="AN143" s="59">
        <v>115223</v>
      </c>
      <c r="AO143" s="60"/>
      <c r="AP143" s="60"/>
      <c r="AQ143" s="60"/>
      <c r="AR143" s="61"/>
      <c r="AS143" s="59">
        <v>0</v>
      </c>
      <c r="AT143" s="60"/>
      <c r="AU143" s="60"/>
      <c r="AV143" s="60"/>
      <c r="AW143" s="61"/>
      <c r="AX143" s="59">
        <v>0</v>
      </c>
      <c r="AY143" s="60"/>
      <c r="AZ143" s="60"/>
      <c r="BA143" s="61"/>
      <c r="BB143" s="59">
        <f t="shared" si="11"/>
        <v>115223</v>
      </c>
      <c r="BC143" s="60"/>
      <c r="BD143" s="60"/>
      <c r="BE143" s="60"/>
      <c r="BF143" s="61"/>
      <c r="BG143" s="59">
        <v>0</v>
      </c>
      <c r="BH143" s="60"/>
      <c r="BI143" s="60"/>
      <c r="BJ143" s="60"/>
      <c r="BK143" s="61"/>
      <c r="BL143" s="59">
        <v>0</v>
      </c>
      <c r="BM143" s="60"/>
      <c r="BN143" s="60"/>
      <c r="BO143" s="60"/>
      <c r="BP143" s="61"/>
      <c r="BQ143" s="59">
        <v>0</v>
      </c>
      <c r="BR143" s="60"/>
      <c r="BS143" s="60"/>
      <c r="BT143" s="61"/>
      <c r="BU143" s="59">
        <f t="shared" si="12"/>
        <v>0</v>
      </c>
      <c r="BV143" s="60"/>
      <c r="BW143" s="60"/>
      <c r="BX143" s="60"/>
      <c r="BY143" s="61"/>
    </row>
    <row r="144" spans="1:77" s="4" customFormat="1" ht="12.75" customHeight="1" x14ac:dyDescent="0.2">
      <c r="A144" s="52">
        <v>29</v>
      </c>
      <c r="B144" s="53"/>
      <c r="C144" s="53"/>
      <c r="D144" s="55" t="s">
        <v>217</v>
      </c>
      <c r="E144" s="56"/>
      <c r="F144" s="56"/>
      <c r="G144" s="56"/>
      <c r="H144" s="56"/>
      <c r="I144" s="56"/>
      <c r="J144" s="56"/>
      <c r="K144" s="56"/>
      <c r="L144" s="56"/>
      <c r="M144" s="56"/>
      <c r="N144" s="56"/>
      <c r="O144" s="56"/>
      <c r="P144" s="56"/>
      <c r="Q144" s="56"/>
      <c r="R144" s="56"/>
      <c r="S144" s="56"/>
      <c r="T144" s="57"/>
      <c r="U144" s="59">
        <v>4858</v>
      </c>
      <c r="V144" s="60"/>
      <c r="W144" s="60"/>
      <c r="X144" s="60"/>
      <c r="Y144" s="61"/>
      <c r="Z144" s="59">
        <v>0</v>
      </c>
      <c r="AA144" s="60"/>
      <c r="AB144" s="60"/>
      <c r="AC144" s="60"/>
      <c r="AD144" s="61"/>
      <c r="AE144" s="59">
        <v>0</v>
      </c>
      <c r="AF144" s="60"/>
      <c r="AG144" s="60"/>
      <c r="AH144" s="61"/>
      <c r="AI144" s="59">
        <f t="shared" si="10"/>
        <v>4858</v>
      </c>
      <c r="AJ144" s="60"/>
      <c r="AK144" s="60"/>
      <c r="AL144" s="60"/>
      <c r="AM144" s="61"/>
      <c r="AN144" s="59">
        <v>0</v>
      </c>
      <c r="AO144" s="60"/>
      <c r="AP144" s="60"/>
      <c r="AQ144" s="60"/>
      <c r="AR144" s="61"/>
      <c r="AS144" s="59">
        <v>0</v>
      </c>
      <c r="AT144" s="60"/>
      <c r="AU144" s="60"/>
      <c r="AV144" s="60"/>
      <c r="AW144" s="61"/>
      <c r="AX144" s="59">
        <v>0</v>
      </c>
      <c r="AY144" s="60"/>
      <c r="AZ144" s="60"/>
      <c r="BA144" s="61"/>
      <c r="BB144" s="59">
        <f t="shared" si="11"/>
        <v>0</v>
      </c>
      <c r="BC144" s="60"/>
      <c r="BD144" s="60"/>
      <c r="BE144" s="60"/>
      <c r="BF144" s="61"/>
      <c r="BG144" s="59">
        <v>0</v>
      </c>
      <c r="BH144" s="60"/>
      <c r="BI144" s="60"/>
      <c r="BJ144" s="60"/>
      <c r="BK144" s="61"/>
      <c r="BL144" s="59">
        <v>0</v>
      </c>
      <c r="BM144" s="60"/>
      <c r="BN144" s="60"/>
      <c r="BO144" s="60"/>
      <c r="BP144" s="61"/>
      <c r="BQ144" s="59">
        <v>0</v>
      </c>
      <c r="BR144" s="60"/>
      <c r="BS144" s="60"/>
      <c r="BT144" s="61"/>
      <c r="BU144" s="59">
        <f t="shared" si="12"/>
        <v>0</v>
      </c>
      <c r="BV144" s="60"/>
      <c r="BW144" s="60"/>
      <c r="BX144" s="60"/>
      <c r="BY144" s="61"/>
    </row>
    <row r="145" spans="1:77" s="4" customFormat="1" ht="25.5" customHeight="1" x14ac:dyDescent="0.2">
      <c r="A145" s="52">
        <v>30</v>
      </c>
      <c r="B145" s="53"/>
      <c r="C145" s="53"/>
      <c r="D145" s="55" t="s">
        <v>218</v>
      </c>
      <c r="E145" s="56"/>
      <c r="F145" s="56"/>
      <c r="G145" s="56"/>
      <c r="H145" s="56"/>
      <c r="I145" s="56"/>
      <c r="J145" s="56"/>
      <c r="K145" s="56"/>
      <c r="L145" s="56"/>
      <c r="M145" s="56"/>
      <c r="N145" s="56"/>
      <c r="O145" s="56"/>
      <c r="P145" s="56"/>
      <c r="Q145" s="56"/>
      <c r="R145" s="56"/>
      <c r="S145" s="56"/>
      <c r="T145" s="57"/>
      <c r="U145" s="59">
        <v>95044</v>
      </c>
      <c r="V145" s="60"/>
      <c r="W145" s="60"/>
      <c r="X145" s="60"/>
      <c r="Y145" s="61"/>
      <c r="Z145" s="59">
        <v>0</v>
      </c>
      <c r="AA145" s="60"/>
      <c r="AB145" s="60"/>
      <c r="AC145" s="60"/>
      <c r="AD145" s="61"/>
      <c r="AE145" s="59">
        <v>0</v>
      </c>
      <c r="AF145" s="60"/>
      <c r="AG145" s="60"/>
      <c r="AH145" s="61"/>
      <c r="AI145" s="59">
        <f t="shared" si="10"/>
        <v>95044</v>
      </c>
      <c r="AJ145" s="60"/>
      <c r="AK145" s="60"/>
      <c r="AL145" s="60"/>
      <c r="AM145" s="61"/>
      <c r="AN145" s="59">
        <v>96000</v>
      </c>
      <c r="AO145" s="60"/>
      <c r="AP145" s="60"/>
      <c r="AQ145" s="60"/>
      <c r="AR145" s="61"/>
      <c r="AS145" s="59">
        <v>0</v>
      </c>
      <c r="AT145" s="60"/>
      <c r="AU145" s="60"/>
      <c r="AV145" s="60"/>
      <c r="AW145" s="61"/>
      <c r="AX145" s="59">
        <v>0</v>
      </c>
      <c r="AY145" s="60"/>
      <c r="AZ145" s="60"/>
      <c r="BA145" s="61"/>
      <c r="BB145" s="59">
        <f t="shared" si="11"/>
        <v>96000</v>
      </c>
      <c r="BC145" s="60"/>
      <c r="BD145" s="60"/>
      <c r="BE145" s="60"/>
      <c r="BF145" s="61"/>
      <c r="BG145" s="59">
        <v>85000</v>
      </c>
      <c r="BH145" s="60"/>
      <c r="BI145" s="60"/>
      <c r="BJ145" s="60"/>
      <c r="BK145" s="61"/>
      <c r="BL145" s="59">
        <v>0</v>
      </c>
      <c r="BM145" s="60"/>
      <c r="BN145" s="60"/>
      <c r="BO145" s="60"/>
      <c r="BP145" s="61"/>
      <c r="BQ145" s="59">
        <v>0</v>
      </c>
      <c r="BR145" s="60"/>
      <c r="BS145" s="60"/>
      <c r="BT145" s="61"/>
      <c r="BU145" s="59">
        <f t="shared" si="12"/>
        <v>85000</v>
      </c>
      <c r="BV145" s="60"/>
      <c r="BW145" s="60"/>
      <c r="BX145" s="60"/>
      <c r="BY145" s="61"/>
    </row>
    <row r="146" spans="1:77" s="4" customFormat="1" ht="25.5" customHeight="1" x14ac:dyDescent="0.2">
      <c r="A146" s="52">
        <v>31</v>
      </c>
      <c r="B146" s="53"/>
      <c r="C146" s="53"/>
      <c r="D146" s="55" t="s">
        <v>219</v>
      </c>
      <c r="E146" s="56"/>
      <c r="F146" s="56"/>
      <c r="G146" s="56"/>
      <c r="H146" s="56"/>
      <c r="I146" s="56"/>
      <c r="J146" s="56"/>
      <c r="K146" s="56"/>
      <c r="L146" s="56"/>
      <c r="M146" s="56"/>
      <c r="N146" s="56"/>
      <c r="O146" s="56"/>
      <c r="P146" s="56"/>
      <c r="Q146" s="56"/>
      <c r="R146" s="56"/>
      <c r="S146" s="56"/>
      <c r="T146" s="57"/>
      <c r="U146" s="59">
        <v>0</v>
      </c>
      <c r="V146" s="60"/>
      <c r="W146" s="60"/>
      <c r="X146" s="60"/>
      <c r="Y146" s="61"/>
      <c r="Z146" s="59">
        <v>159825</v>
      </c>
      <c r="AA146" s="60"/>
      <c r="AB146" s="60"/>
      <c r="AC146" s="60"/>
      <c r="AD146" s="61"/>
      <c r="AE146" s="59">
        <v>154832</v>
      </c>
      <c r="AF146" s="60"/>
      <c r="AG146" s="60"/>
      <c r="AH146" s="61"/>
      <c r="AI146" s="59">
        <f t="shared" si="10"/>
        <v>159825</v>
      </c>
      <c r="AJ146" s="60"/>
      <c r="AK146" s="60"/>
      <c r="AL146" s="60"/>
      <c r="AM146" s="61"/>
      <c r="AN146" s="59">
        <v>0</v>
      </c>
      <c r="AO146" s="60"/>
      <c r="AP146" s="60"/>
      <c r="AQ146" s="60"/>
      <c r="AR146" s="61"/>
      <c r="AS146" s="59">
        <v>0</v>
      </c>
      <c r="AT146" s="60"/>
      <c r="AU146" s="60"/>
      <c r="AV146" s="60"/>
      <c r="AW146" s="61"/>
      <c r="AX146" s="59">
        <v>0</v>
      </c>
      <c r="AY146" s="60"/>
      <c r="AZ146" s="60"/>
      <c r="BA146" s="61"/>
      <c r="BB146" s="59">
        <f t="shared" si="11"/>
        <v>0</v>
      </c>
      <c r="BC146" s="60"/>
      <c r="BD146" s="60"/>
      <c r="BE146" s="60"/>
      <c r="BF146" s="61"/>
      <c r="BG146" s="59">
        <v>0</v>
      </c>
      <c r="BH146" s="60"/>
      <c r="BI146" s="60"/>
      <c r="BJ146" s="60"/>
      <c r="BK146" s="61"/>
      <c r="BL146" s="59">
        <v>0</v>
      </c>
      <c r="BM146" s="60"/>
      <c r="BN146" s="60"/>
      <c r="BO146" s="60"/>
      <c r="BP146" s="61"/>
      <c r="BQ146" s="59">
        <v>0</v>
      </c>
      <c r="BR146" s="60"/>
      <c r="BS146" s="60"/>
      <c r="BT146" s="61"/>
      <c r="BU146" s="59">
        <f t="shared" si="12"/>
        <v>0</v>
      </c>
      <c r="BV146" s="60"/>
      <c r="BW146" s="60"/>
      <c r="BX146" s="60"/>
      <c r="BY146" s="61"/>
    </row>
    <row r="147" spans="1:77" s="4" customFormat="1" ht="12.75" customHeight="1" x14ac:dyDescent="0.2">
      <c r="A147" s="52">
        <v>32</v>
      </c>
      <c r="B147" s="53"/>
      <c r="C147" s="53"/>
      <c r="D147" s="55" t="s">
        <v>220</v>
      </c>
      <c r="E147" s="56"/>
      <c r="F147" s="56"/>
      <c r="G147" s="56"/>
      <c r="H147" s="56"/>
      <c r="I147" s="56"/>
      <c r="J147" s="56"/>
      <c r="K147" s="56"/>
      <c r="L147" s="56"/>
      <c r="M147" s="56"/>
      <c r="N147" s="56"/>
      <c r="O147" s="56"/>
      <c r="P147" s="56"/>
      <c r="Q147" s="56"/>
      <c r="R147" s="56"/>
      <c r="S147" s="56"/>
      <c r="T147" s="57"/>
      <c r="U147" s="59">
        <v>128910</v>
      </c>
      <c r="V147" s="60"/>
      <c r="W147" s="60"/>
      <c r="X147" s="60"/>
      <c r="Y147" s="61"/>
      <c r="Z147" s="59">
        <v>0</v>
      </c>
      <c r="AA147" s="60"/>
      <c r="AB147" s="60"/>
      <c r="AC147" s="60"/>
      <c r="AD147" s="61"/>
      <c r="AE147" s="59">
        <v>0</v>
      </c>
      <c r="AF147" s="60"/>
      <c r="AG147" s="60"/>
      <c r="AH147" s="61"/>
      <c r="AI147" s="59">
        <f t="shared" si="10"/>
        <v>128910</v>
      </c>
      <c r="AJ147" s="60"/>
      <c r="AK147" s="60"/>
      <c r="AL147" s="60"/>
      <c r="AM147" s="61"/>
      <c r="AN147" s="59">
        <v>116160</v>
      </c>
      <c r="AO147" s="60"/>
      <c r="AP147" s="60"/>
      <c r="AQ147" s="60"/>
      <c r="AR147" s="61"/>
      <c r="AS147" s="59">
        <v>0</v>
      </c>
      <c r="AT147" s="60"/>
      <c r="AU147" s="60"/>
      <c r="AV147" s="60"/>
      <c r="AW147" s="61"/>
      <c r="AX147" s="59">
        <v>0</v>
      </c>
      <c r="AY147" s="60"/>
      <c r="AZ147" s="60"/>
      <c r="BA147" s="61"/>
      <c r="BB147" s="59">
        <f t="shared" si="11"/>
        <v>116160</v>
      </c>
      <c r="BC147" s="60"/>
      <c r="BD147" s="60"/>
      <c r="BE147" s="60"/>
      <c r="BF147" s="61"/>
      <c r="BG147" s="59">
        <v>70000</v>
      </c>
      <c r="BH147" s="60"/>
      <c r="BI147" s="60"/>
      <c r="BJ147" s="60"/>
      <c r="BK147" s="61"/>
      <c r="BL147" s="59">
        <v>0</v>
      </c>
      <c r="BM147" s="60"/>
      <c r="BN147" s="60"/>
      <c r="BO147" s="60"/>
      <c r="BP147" s="61"/>
      <c r="BQ147" s="59">
        <v>0</v>
      </c>
      <c r="BR147" s="60"/>
      <c r="BS147" s="60"/>
      <c r="BT147" s="61"/>
      <c r="BU147" s="59">
        <f t="shared" si="12"/>
        <v>70000</v>
      </c>
      <c r="BV147" s="60"/>
      <c r="BW147" s="60"/>
      <c r="BX147" s="60"/>
      <c r="BY147" s="61"/>
    </row>
    <row r="148" spans="1:77" s="4" customFormat="1" ht="12.75" customHeight="1" x14ac:dyDescent="0.2">
      <c r="A148" s="52">
        <v>33</v>
      </c>
      <c r="B148" s="53"/>
      <c r="C148" s="53"/>
      <c r="D148" s="55" t="s">
        <v>221</v>
      </c>
      <c r="E148" s="56"/>
      <c r="F148" s="56"/>
      <c r="G148" s="56"/>
      <c r="H148" s="56"/>
      <c r="I148" s="56"/>
      <c r="J148" s="56"/>
      <c r="K148" s="56"/>
      <c r="L148" s="56"/>
      <c r="M148" s="56"/>
      <c r="N148" s="56"/>
      <c r="O148" s="56"/>
      <c r="P148" s="56"/>
      <c r="Q148" s="56"/>
      <c r="R148" s="56"/>
      <c r="S148" s="56"/>
      <c r="T148" s="57"/>
      <c r="U148" s="59">
        <v>0</v>
      </c>
      <c r="V148" s="60"/>
      <c r="W148" s="60"/>
      <c r="X148" s="60"/>
      <c r="Y148" s="61"/>
      <c r="Z148" s="59">
        <v>0</v>
      </c>
      <c r="AA148" s="60"/>
      <c r="AB148" s="60"/>
      <c r="AC148" s="60"/>
      <c r="AD148" s="61"/>
      <c r="AE148" s="59">
        <v>0</v>
      </c>
      <c r="AF148" s="60"/>
      <c r="AG148" s="60"/>
      <c r="AH148" s="61"/>
      <c r="AI148" s="59">
        <f t="shared" ref="AI148:AI165" si="13">IF(ISNUMBER(U148),U148,0)+IF(ISNUMBER(Z148),Z148,0)</f>
        <v>0</v>
      </c>
      <c r="AJ148" s="60"/>
      <c r="AK148" s="60"/>
      <c r="AL148" s="60"/>
      <c r="AM148" s="61"/>
      <c r="AN148" s="59">
        <v>284184</v>
      </c>
      <c r="AO148" s="60"/>
      <c r="AP148" s="60"/>
      <c r="AQ148" s="60"/>
      <c r="AR148" s="61"/>
      <c r="AS148" s="59">
        <v>0</v>
      </c>
      <c r="AT148" s="60"/>
      <c r="AU148" s="60"/>
      <c r="AV148" s="60"/>
      <c r="AW148" s="61"/>
      <c r="AX148" s="59">
        <v>0</v>
      </c>
      <c r="AY148" s="60"/>
      <c r="AZ148" s="60"/>
      <c r="BA148" s="61"/>
      <c r="BB148" s="59">
        <f t="shared" ref="BB148:BB165" si="14">IF(ISNUMBER(AN148),AN148,0)+IF(ISNUMBER(AS148),AS148,0)</f>
        <v>284184</v>
      </c>
      <c r="BC148" s="60"/>
      <c r="BD148" s="60"/>
      <c r="BE148" s="60"/>
      <c r="BF148" s="61"/>
      <c r="BG148" s="59">
        <v>102675</v>
      </c>
      <c r="BH148" s="60"/>
      <c r="BI148" s="60"/>
      <c r="BJ148" s="60"/>
      <c r="BK148" s="61"/>
      <c r="BL148" s="59">
        <v>0</v>
      </c>
      <c r="BM148" s="60"/>
      <c r="BN148" s="60"/>
      <c r="BO148" s="60"/>
      <c r="BP148" s="61"/>
      <c r="BQ148" s="59">
        <v>0</v>
      </c>
      <c r="BR148" s="60"/>
      <c r="BS148" s="60"/>
      <c r="BT148" s="61"/>
      <c r="BU148" s="59">
        <f t="shared" ref="BU148:BU165" si="15">IF(ISNUMBER(BG148),BG148,0)+IF(ISNUMBER(BL148),BL148,0)</f>
        <v>102675</v>
      </c>
      <c r="BV148" s="60"/>
      <c r="BW148" s="60"/>
      <c r="BX148" s="60"/>
      <c r="BY148" s="61"/>
    </row>
    <row r="149" spans="1:77" s="4" customFormat="1" ht="12.75" customHeight="1" x14ac:dyDescent="0.2">
      <c r="A149" s="52">
        <v>34</v>
      </c>
      <c r="B149" s="53"/>
      <c r="C149" s="53"/>
      <c r="D149" s="55" t="s">
        <v>222</v>
      </c>
      <c r="E149" s="56"/>
      <c r="F149" s="56"/>
      <c r="G149" s="56"/>
      <c r="H149" s="56"/>
      <c r="I149" s="56"/>
      <c r="J149" s="56"/>
      <c r="K149" s="56"/>
      <c r="L149" s="56"/>
      <c r="M149" s="56"/>
      <c r="N149" s="56"/>
      <c r="O149" s="56"/>
      <c r="P149" s="56"/>
      <c r="Q149" s="56"/>
      <c r="R149" s="56"/>
      <c r="S149" s="56"/>
      <c r="T149" s="57"/>
      <c r="U149" s="59">
        <v>2326</v>
      </c>
      <c r="V149" s="60"/>
      <c r="W149" s="60"/>
      <c r="X149" s="60"/>
      <c r="Y149" s="61"/>
      <c r="Z149" s="59">
        <v>0</v>
      </c>
      <c r="AA149" s="60"/>
      <c r="AB149" s="60"/>
      <c r="AC149" s="60"/>
      <c r="AD149" s="61"/>
      <c r="AE149" s="59">
        <v>0</v>
      </c>
      <c r="AF149" s="60"/>
      <c r="AG149" s="60"/>
      <c r="AH149" s="61"/>
      <c r="AI149" s="59">
        <f t="shared" si="13"/>
        <v>2326</v>
      </c>
      <c r="AJ149" s="60"/>
      <c r="AK149" s="60"/>
      <c r="AL149" s="60"/>
      <c r="AM149" s="61"/>
      <c r="AN149" s="59">
        <v>12370</v>
      </c>
      <c r="AO149" s="60"/>
      <c r="AP149" s="60"/>
      <c r="AQ149" s="60"/>
      <c r="AR149" s="61"/>
      <c r="AS149" s="59">
        <v>0</v>
      </c>
      <c r="AT149" s="60"/>
      <c r="AU149" s="60"/>
      <c r="AV149" s="60"/>
      <c r="AW149" s="61"/>
      <c r="AX149" s="59">
        <v>0</v>
      </c>
      <c r="AY149" s="60"/>
      <c r="AZ149" s="60"/>
      <c r="BA149" s="61"/>
      <c r="BB149" s="59">
        <f t="shared" si="14"/>
        <v>12370</v>
      </c>
      <c r="BC149" s="60"/>
      <c r="BD149" s="60"/>
      <c r="BE149" s="60"/>
      <c r="BF149" s="61"/>
      <c r="BG149" s="59">
        <v>0</v>
      </c>
      <c r="BH149" s="60"/>
      <c r="BI149" s="60"/>
      <c r="BJ149" s="60"/>
      <c r="BK149" s="61"/>
      <c r="BL149" s="59">
        <v>0</v>
      </c>
      <c r="BM149" s="60"/>
      <c r="BN149" s="60"/>
      <c r="BO149" s="60"/>
      <c r="BP149" s="61"/>
      <c r="BQ149" s="59">
        <v>0</v>
      </c>
      <c r="BR149" s="60"/>
      <c r="BS149" s="60"/>
      <c r="BT149" s="61"/>
      <c r="BU149" s="59">
        <f t="shared" si="15"/>
        <v>0</v>
      </c>
      <c r="BV149" s="60"/>
      <c r="BW149" s="60"/>
      <c r="BX149" s="60"/>
      <c r="BY149" s="61"/>
    </row>
    <row r="150" spans="1:77" s="4" customFormat="1" ht="12.75" customHeight="1" x14ac:dyDescent="0.2">
      <c r="A150" s="52">
        <v>35</v>
      </c>
      <c r="B150" s="53"/>
      <c r="C150" s="53"/>
      <c r="D150" s="55" t="s">
        <v>223</v>
      </c>
      <c r="E150" s="56"/>
      <c r="F150" s="56"/>
      <c r="G150" s="56"/>
      <c r="H150" s="56"/>
      <c r="I150" s="56"/>
      <c r="J150" s="56"/>
      <c r="K150" s="56"/>
      <c r="L150" s="56"/>
      <c r="M150" s="56"/>
      <c r="N150" s="56"/>
      <c r="O150" s="56"/>
      <c r="P150" s="56"/>
      <c r="Q150" s="56"/>
      <c r="R150" s="56"/>
      <c r="S150" s="56"/>
      <c r="T150" s="57"/>
      <c r="U150" s="59">
        <v>2500</v>
      </c>
      <c r="V150" s="60"/>
      <c r="W150" s="60"/>
      <c r="X150" s="60"/>
      <c r="Y150" s="61"/>
      <c r="Z150" s="59">
        <v>0</v>
      </c>
      <c r="AA150" s="60"/>
      <c r="AB150" s="60"/>
      <c r="AC150" s="60"/>
      <c r="AD150" s="61"/>
      <c r="AE150" s="59">
        <v>0</v>
      </c>
      <c r="AF150" s="60"/>
      <c r="AG150" s="60"/>
      <c r="AH150" s="61"/>
      <c r="AI150" s="59">
        <f t="shared" si="13"/>
        <v>2500</v>
      </c>
      <c r="AJ150" s="60"/>
      <c r="AK150" s="60"/>
      <c r="AL150" s="60"/>
      <c r="AM150" s="61"/>
      <c r="AN150" s="59">
        <v>3000</v>
      </c>
      <c r="AO150" s="60"/>
      <c r="AP150" s="60"/>
      <c r="AQ150" s="60"/>
      <c r="AR150" s="61"/>
      <c r="AS150" s="59">
        <v>0</v>
      </c>
      <c r="AT150" s="60"/>
      <c r="AU150" s="60"/>
      <c r="AV150" s="60"/>
      <c r="AW150" s="61"/>
      <c r="AX150" s="59">
        <v>0</v>
      </c>
      <c r="AY150" s="60"/>
      <c r="AZ150" s="60"/>
      <c r="BA150" s="61"/>
      <c r="BB150" s="59">
        <f t="shared" si="14"/>
        <v>3000</v>
      </c>
      <c r="BC150" s="60"/>
      <c r="BD150" s="60"/>
      <c r="BE150" s="60"/>
      <c r="BF150" s="61"/>
      <c r="BG150" s="59">
        <v>2000</v>
      </c>
      <c r="BH150" s="60"/>
      <c r="BI150" s="60"/>
      <c r="BJ150" s="60"/>
      <c r="BK150" s="61"/>
      <c r="BL150" s="59">
        <v>0</v>
      </c>
      <c r="BM150" s="60"/>
      <c r="BN150" s="60"/>
      <c r="BO150" s="60"/>
      <c r="BP150" s="61"/>
      <c r="BQ150" s="59">
        <v>0</v>
      </c>
      <c r="BR150" s="60"/>
      <c r="BS150" s="60"/>
      <c r="BT150" s="61"/>
      <c r="BU150" s="59">
        <f t="shared" si="15"/>
        <v>2000</v>
      </c>
      <c r="BV150" s="60"/>
      <c r="BW150" s="60"/>
      <c r="BX150" s="60"/>
      <c r="BY150" s="61"/>
    </row>
    <row r="151" spans="1:77" s="4" customFormat="1" ht="25.5" customHeight="1" x14ac:dyDescent="0.2">
      <c r="A151" s="52">
        <v>36</v>
      </c>
      <c r="B151" s="53"/>
      <c r="C151" s="53"/>
      <c r="D151" s="55" t="s">
        <v>224</v>
      </c>
      <c r="E151" s="56"/>
      <c r="F151" s="56"/>
      <c r="G151" s="56"/>
      <c r="H151" s="56"/>
      <c r="I151" s="56"/>
      <c r="J151" s="56"/>
      <c r="K151" s="56"/>
      <c r="L151" s="56"/>
      <c r="M151" s="56"/>
      <c r="N151" s="56"/>
      <c r="O151" s="56"/>
      <c r="P151" s="56"/>
      <c r="Q151" s="56"/>
      <c r="R151" s="56"/>
      <c r="S151" s="56"/>
      <c r="T151" s="57"/>
      <c r="U151" s="59">
        <v>199000</v>
      </c>
      <c r="V151" s="60"/>
      <c r="W151" s="60"/>
      <c r="X151" s="60"/>
      <c r="Y151" s="61"/>
      <c r="Z151" s="59">
        <v>0</v>
      </c>
      <c r="AA151" s="60"/>
      <c r="AB151" s="60"/>
      <c r="AC151" s="60"/>
      <c r="AD151" s="61"/>
      <c r="AE151" s="59">
        <v>0</v>
      </c>
      <c r="AF151" s="60"/>
      <c r="AG151" s="60"/>
      <c r="AH151" s="61"/>
      <c r="AI151" s="59">
        <f t="shared" si="13"/>
        <v>199000</v>
      </c>
      <c r="AJ151" s="60"/>
      <c r="AK151" s="60"/>
      <c r="AL151" s="60"/>
      <c r="AM151" s="61"/>
      <c r="AN151" s="59">
        <v>0</v>
      </c>
      <c r="AO151" s="60"/>
      <c r="AP151" s="60"/>
      <c r="AQ151" s="60"/>
      <c r="AR151" s="61"/>
      <c r="AS151" s="59">
        <v>0</v>
      </c>
      <c r="AT151" s="60"/>
      <c r="AU151" s="60"/>
      <c r="AV151" s="60"/>
      <c r="AW151" s="61"/>
      <c r="AX151" s="59">
        <v>0</v>
      </c>
      <c r="AY151" s="60"/>
      <c r="AZ151" s="60"/>
      <c r="BA151" s="61"/>
      <c r="BB151" s="59">
        <f t="shared" si="14"/>
        <v>0</v>
      </c>
      <c r="BC151" s="60"/>
      <c r="BD151" s="60"/>
      <c r="BE151" s="60"/>
      <c r="BF151" s="61"/>
      <c r="BG151" s="59">
        <v>0</v>
      </c>
      <c r="BH151" s="60"/>
      <c r="BI151" s="60"/>
      <c r="BJ151" s="60"/>
      <c r="BK151" s="61"/>
      <c r="BL151" s="59">
        <v>0</v>
      </c>
      <c r="BM151" s="60"/>
      <c r="BN151" s="60"/>
      <c r="BO151" s="60"/>
      <c r="BP151" s="61"/>
      <c r="BQ151" s="59">
        <v>0</v>
      </c>
      <c r="BR151" s="60"/>
      <c r="BS151" s="60"/>
      <c r="BT151" s="61"/>
      <c r="BU151" s="59">
        <f t="shared" si="15"/>
        <v>0</v>
      </c>
      <c r="BV151" s="60"/>
      <c r="BW151" s="60"/>
      <c r="BX151" s="60"/>
      <c r="BY151" s="61"/>
    </row>
    <row r="152" spans="1:77" s="4" customFormat="1" ht="25.5" customHeight="1" x14ac:dyDescent="0.2">
      <c r="A152" s="52">
        <v>37</v>
      </c>
      <c r="B152" s="53"/>
      <c r="C152" s="53"/>
      <c r="D152" s="55" t="s">
        <v>225</v>
      </c>
      <c r="E152" s="56"/>
      <c r="F152" s="56"/>
      <c r="G152" s="56"/>
      <c r="H152" s="56"/>
      <c r="I152" s="56"/>
      <c r="J152" s="56"/>
      <c r="K152" s="56"/>
      <c r="L152" s="56"/>
      <c r="M152" s="56"/>
      <c r="N152" s="56"/>
      <c r="O152" s="56"/>
      <c r="P152" s="56"/>
      <c r="Q152" s="56"/>
      <c r="R152" s="56"/>
      <c r="S152" s="56"/>
      <c r="T152" s="57"/>
      <c r="U152" s="59">
        <v>33620</v>
      </c>
      <c r="V152" s="60"/>
      <c r="W152" s="60"/>
      <c r="X152" s="60"/>
      <c r="Y152" s="61"/>
      <c r="Z152" s="59">
        <v>0</v>
      </c>
      <c r="AA152" s="60"/>
      <c r="AB152" s="60"/>
      <c r="AC152" s="60"/>
      <c r="AD152" s="61"/>
      <c r="AE152" s="59">
        <v>0</v>
      </c>
      <c r="AF152" s="60"/>
      <c r="AG152" s="60"/>
      <c r="AH152" s="61"/>
      <c r="AI152" s="59">
        <f t="shared" si="13"/>
        <v>33620</v>
      </c>
      <c r="AJ152" s="60"/>
      <c r="AK152" s="60"/>
      <c r="AL152" s="60"/>
      <c r="AM152" s="61"/>
      <c r="AN152" s="59">
        <v>0</v>
      </c>
      <c r="AO152" s="60"/>
      <c r="AP152" s="60"/>
      <c r="AQ152" s="60"/>
      <c r="AR152" s="61"/>
      <c r="AS152" s="59">
        <v>0</v>
      </c>
      <c r="AT152" s="60"/>
      <c r="AU152" s="60"/>
      <c r="AV152" s="60"/>
      <c r="AW152" s="61"/>
      <c r="AX152" s="59">
        <v>0</v>
      </c>
      <c r="AY152" s="60"/>
      <c r="AZ152" s="60"/>
      <c r="BA152" s="61"/>
      <c r="BB152" s="59">
        <f t="shared" si="14"/>
        <v>0</v>
      </c>
      <c r="BC152" s="60"/>
      <c r="BD152" s="60"/>
      <c r="BE152" s="60"/>
      <c r="BF152" s="61"/>
      <c r="BG152" s="59">
        <v>0</v>
      </c>
      <c r="BH152" s="60"/>
      <c r="BI152" s="60"/>
      <c r="BJ152" s="60"/>
      <c r="BK152" s="61"/>
      <c r="BL152" s="59">
        <v>0</v>
      </c>
      <c r="BM152" s="60"/>
      <c r="BN152" s="60"/>
      <c r="BO152" s="60"/>
      <c r="BP152" s="61"/>
      <c r="BQ152" s="59">
        <v>0</v>
      </c>
      <c r="BR152" s="60"/>
      <c r="BS152" s="60"/>
      <c r="BT152" s="61"/>
      <c r="BU152" s="59">
        <f t="shared" si="15"/>
        <v>0</v>
      </c>
      <c r="BV152" s="60"/>
      <c r="BW152" s="60"/>
      <c r="BX152" s="60"/>
      <c r="BY152" s="61"/>
    </row>
    <row r="153" spans="1:77" s="4" customFormat="1" ht="38.25" customHeight="1" x14ac:dyDescent="0.2">
      <c r="A153" s="52">
        <v>38</v>
      </c>
      <c r="B153" s="53"/>
      <c r="C153" s="53"/>
      <c r="D153" s="55" t="s">
        <v>226</v>
      </c>
      <c r="E153" s="56"/>
      <c r="F153" s="56"/>
      <c r="G153" s="56"/>
      <c r="H153" s="56"/>
      <c r="I153" s="56"/>
      <c r="J153" s="56"/>
      <c r="K153" s="56"/>
      <c r="L153" s="56"/>
      <c r="M153" s="56"/>
      <c r="N153" s="56"/>
      <c r="O153" s="56"/>
      <c r="P153" s="56"/>
      <c r="Q153" s="56"/>
      <c r="R153" s="56"/>
      <c r="S153" s="56"/>
      <c r="T153" s="57"/>
      <c r="U153" s="59">
        <v>48000</v>
      </c>
      <c r="V153" s="60"/>
      <c r="W153" s="60"/>
      <c r="X153" s="60"/>
      <c r="Y153" s="61"/>
      <c r="Z153" s="59">
        <v>0</v>
      </c>
      <c r="AA153" s="60"/>
      <c r="AB153" s="60"/>
      <c r="AC153" s="60"/>
      <c r="AD153" s="61"/>
      <c r="AE153" s="59">
        <v>0</v>
      </c>
      <c r="AF153" s="60"/>
      <c r="AG153" s="60"/>
      <c r="AH153" s="61"/>
      <c r="AI153" s="59">
        <f t="shared" si="13"/>
        <v>48000</v>
      </c>
      <c r="AJ153" s="60"/>
      <c r="AK153" s="60"/>
      <c r="AL153" s="60"/>
      <c r="AM153" s="61"/>
      <c r="AN153" s="59">
        <v>0</v>
      </c>
      <c r="AO153" s="60"/>
      <c r="AP153" s="60"/>
      <c r="AQ153" s="60"/>
      <c r="AR153" s="61"/>
      <c r="AS153" s="59">
        <v>0</v>
      </c>
      <c r="AT153" s="60"/>
      <c r="AU153" s="60"/>
      <c r="AV153" s="60"/>
      <c r="AW153" s="61"/>
      <c r="AX153" s="59">
        <v>0</v>
      </c>
      <c r="AY153" s="60"/>
      <c r="AZ153" s="60"/>
      <c r="BA153" s="61"/>
      <c r="BB153" s="59">
        <f t="shared" si="14"/>
        <v>0</v>
      </c>
      <c r="BC153" s="60"/>
      <c r="BD153" s="60"/>
      <c r="BE153" s="60"/>
      <c r="BF153" s="61"/>
      <c r="BG153" s="59">
        <v>0</v>
      </c>
      <c r="BH153" s="60"/>
      <c r="BI153" s="60"/>
      <c r="BJ153" s="60"/>
      <c r="BK153" s="61"/>
      <c r="BL153" s="59">
        <v>0</v>
      </c>
      <c r="BM153" s="60"/>
      <c r="BN153" s="60"/>
      <c r="BO153" s="60"/>
      <c r="BP153" s="61"/>
      <c r="BQ153" s="59">
        <v>0</v>
      </c>
      <c r="BR153" s="60"/>
      <c r="BS153" s="60"/>
      <c r="BT153" s="61"/>
      <c r="BU153" s="59">
        <f t="shared" si="15"/>
        <v>0</v>
      </c>
      <c r="BV153" s="60"/>
      <c r="BW153" s="60"/>
      <c r="BX153" s="60"/>
      <c r="BY153" s="61"/>
    </row>
    <row r="154" spans="1:77" s="4" customFormat="1" ht="12.75" customHeight="1" x14ac:dyDescent="0.2">
      <c r="A154" s="52">
        <v>39</v>
      </c>
      <c r="B154" s="53"/>
      <c r="C154" s="53"/>
      <c r="D154" s="55" t="s">
        <v>227</v>
      </c>
      <c r="E154" s="56"/>
      <c r="F154" s="56"/>
      <c r="G154" s="56"/>
      <c r="H154" s="56"/>
      <c r="I154" s="56"/>
      <c r="J154" s="56"/>
      <c r="K154" s="56"/>
      <c r="L154" s="56"/>
      <c r="M154" s="56"/>
      <c r="N154" s="56"/>
      <c r="O154" s="56"/>
      <c r="P154" s="56"/>
      <c r="Q154" s="56"/>
      <c r="R154" s="56"/>
      <c r="S154" s="56"/>
      <c r="T154" s="57"/>
      <c r="U154" s="59">
        <v>199000</v>
      </c>
      <c r="V154" s="60"/>
      <c r="W154" s="60"/>
      <c r="X154" s="60"/>
      <c r="Y154" s="61"/>
      <c r="Z154" s="59">
        <v>0</v>
      </c>
      <c r="AA154" s="60"/>
      <c r="AB154" s="60"/>
      <c r="AC154" s="60"/>
      <c r="AD154" s="61"/>
      <c r="AE154" s="59">
        <v>0</v>
      </c>
      <c r="AF154" s="60"/>
      <c r="AG154" s="60"/>
      <c r="AH154" s="61"/>
      <c r="AI154" s="59">
        <f t="shared" si="13"/>
        <v>199000</v>
      </c>
      <c r="AJ154" s="60"/>
      <c r="AK154" s="60"/>
      <c r="AL154" s="60"/>
      <c r="AM154" s="61"/>
      <c r="AN154" s="59">
        <v>0</v>
      </c>
      <c r="AO154" s="60"/>
      <c r="AP154" s="60"/>
      <c r="AQ154" s="60"/>
      <c r="AR154" s="61"/>
      <c r="AS154" s="59">
        <v>0</v>
      </c>
      <c r="AT154" s="60"/>
      <c r="AU154" s="60"/>
      <c r="AV154" s="60"/>
      <c r="AW154" s="61"/>
      <c r="AX154" s="59">
        <v>0</v>
      </c>
      <c r="AY154" s="60"/>
      <c r="AZ154" s="60"/>
      <c r="BA154" s="61"/>
      <c r="BB154" s="59">
        <f t="shared" si="14"/>
        <v>0</v>
      </c>
      <c r="BC154" s="60"/>
      <c r="BD154" s="60"/>
      <c r="BE154" s="60"/>
      <c r="BF154" s="61"/>
      <c r="BG154" s="59">
        <v>0</v>
      </c>
      <c r="BH154" s="60"/>
      <c r="BI154" s="60"/>
      <c r="BJ154" s="60"/>
      <c r="BK154" s="61"/>
      <c r="BL154" s="59">
        <v>0</v>
      </c>
      <c r="BM154" s="60"/>
      <c r="BN154" s="60"/>
      <c r="BO154" s="60"/>
      <c r="BP154" s="61"/>
      <c r="BQ154" s="59">
        <v>0</v>
      </c>
      <c r="BR154" s="60"/>
      <c r="BS154" s="60"/>
      <c r="BT154" s="61"/>
      <c r="BU154" s="59">
        <f t="shared" si="15"/>
        <v>0</v>
      </c>
      <c r="BV154" s="60"/>
      <c r="BW154" s="60"/>
      <c r="BX154" s="60"/>
      <c r="BY154" s="61"/>
    </row>
    <row r="155" spans="1:77" s="4" customFormat="1" ht="38.25" customHeight="1" x14ac:dyDescent="0.2">
      <c r="A155" s="52">
        <v>40</v>
      </c>
      <c r="B155" s="53"/>
      <c r="C155" s="53"/>
      <c r="D155" s="55" t="s">
        <v>228</v>
      </c>
      <c r="E155" s="56"/>
      <c r="F155" s="56"/>
      <c r="G155" s="56"/>
      <c r="H155" s="56"/>
      <c r="I155" s="56"/>
      <c r="J155" s="56"/>
      <c r="K155" s="56"/>
      <c r="L155" s="56"/>
      <c r="M155" s="56"/>
      <c r="N155" s="56"/>
      <c r="O155" s="56"/>
      <c r="P155" s="56"/>
      <c r="Q155" s="56"/>
      <c r="R155" s="56"/>
      <c r="S155" s="56"/>
      <c r="T155" s="57"/>
      <c r="U155" s="59">
        <v>398000</v>
      </c>
      <c r="V155" s="60"/>
      <c r="W155" s="60"/>
      <c r="X155" s="60"/>
      <c r="Y155" s="61"/>
      <c r="Z155" s="59">
        <v>0</v>
      </c>
      <c r="AA155" s="60"/>
      <c r="AB155" s="60"/>
      <c r="AC155" s="60"/>
      <c r="AD155" s="61"/>
      <c r="AE155" s="59">
        <v>0</v>
      </c>
      <c r="AF155" s="60"/>
      <c r="AG155" s="60"/>
      <c r="AH155" s="61"/>
      <c r="AI155" s="59">
        <f t="shared" si="13"/>
        <v>398000</v>
      </c>
      <c r="AJ155" s="60"/>
      <c r="AK155" s="60"/>
      <c r="AL155" s="60"/>
      <c r="AM155" s="61"/>
      <c r="AN155" s="59">
        <v>0</v>
      </c>
      <c r="AO155" s="60"/>
      <c r="AP155" s="60"/>
      <c r="AQ155" s="60"/>
      <c r="AR155" s="61"/>
      <c r="AS155" s="59">
        <v>0</v>
      </c>
      <c r="AT155" s="60"/>
      <c r="AU155" s="60"/>
      <c r="AV155" s="60"/>
      <c r="AW155" s="61"/>
      <c r="AX155" s="59">
        <v>0</v>
      </c>
      <c r="AY155" s="60"/>
      <c r="AZ155" s="60"/>
      <c r="BA155" s="61"/>
      <c r="BB155" s="59">
        <f t="shared" si="14"/>
        <v>0</v>
      </c>
      <c r="BC155" s="60"/>
      <c r="BD155" s="60"/>
      <c r="BE155" s="60"/>
      <c r="BF155" s="61"/>
      <c r="BG155" s="59">
        <v>0</v>
      </c>
      <c r="BH155" s="60"/>
      <c r="BI155" s="60"/>
      <c r="BJ155" s="60"/>
      <c r="BK155" s="61"/>
      <c r="BL155" s="59">
        <v>0</v>
      </c>
      <c r="BM155" s="60"/>
      <c r="BN155" s="60"/>
      <c r="BO155" s="60"/>
      <c r="BP155" s="61"/>
      <c r="BQ155" s="59">
        <v>0</v>
      </c>
      <c r="BR155" s="60"/>
      <c r="BS155" s="60"/>
      <c r="BT155" s="61"/>
      <c r="BU155" s="59">
        <f t="shared" si="15"/>
        <v>0</v>
      </c>
      <c r="BV155" s="60"/>
      <c r="BW155" s="60"/>
      <c r="BX155" s="60"/>
      <c r="BY155" s="61"/>
    </row>
    <row r="156" spans="1:77" s="4" customFormat="1" ht="38.25" customHeight="1" x14ac:dyDescent="0.2">
      <c r="A156" s="52">
        <v>41</v>
      </c>
      <c r="B156" s="53"/>
      <c r="C156" s="53"/>
      <c r="D156" s="55" t="s">
        <v>229</v>
      </c>
      <c r="E156" s="56"/>
      <c r="F156" s="56"/>
      <c r="G156" s="56"/>
      <c r="H156" s="56"/>
      <c r="I156" s="56"/>
      <c r="J156" s="56"/>
      <c r="K156" s="56"/>
      <c r="L156" s="56"/>
      <c r="M156" s="56"/>
      <c r="N156" s="56"/>
      <c r="O156" s="56"/>
      <c r="P156" s="56"/>
      <c r="Q156" s="56"/>
      <c r="R156" s="56"/>
      <c r="S156" s="56"/>
      <c r="T156" s="57"/>
      <c r="U156" s="59">
        <v>199319</v>
      </c>
      <c r="V156" s="60"/>
      <c r="W156" s="60"/>
      <c r="X156" s="60"/>
      <c r="Y156" s="61"/>
      <c r="Z156" s="59">
        <v>0</v>
      </c>
      <c r="AA156" s="60"/>
      <c r="AB156" s="60"/>
      <c r="AC156" s="60"/>
      <c r="AD156" s="61"/>
      <c r="AE156" s="59">
        <v>0</v>
      </c>
      <c r="AF156" s="60"/>
      <c r="AG156" s="60"/>
      <c r="AH156" s="61"/>
      <c r="AI156" s="59">
        <f t="shared" si="13"/>
        <v>199319</v>
      </c>
      <c r="AJ156" s="60"/>
      <c r="AK156" s="60"/>
      <c r="AL156" s="60"/>
      <c r="AM156" s="61"/>
      <c r="AN156" s="59">
        <v>0</v>
      </c>
      <c r="AO156" s="60"/>
      <c r="AP156" s="60"/>
      <c r="AQ156" s="60"/>
      <c r="AR156" s="61"/>
      <c r="AS156" s="59">
        <v>0</v>
      </c>
      <c r="AT156" s="60"/>
      <c r="AU156" s="60"/>
      <c r="AV156" s="60"/>
      <c r="AW156" s="61"/>
      <c r="AX156" s="59">
        <v>0</v>
      </c>
      <c r="AY156" s="60"/>
      <c r="AZ156" s="60"/>
      <c r="BA156" s="61"/>
      <c r="BB156" s="59">
        <f t="shared" si="14"/>
        <v>0</v>
      </c>
      <c r="BC156" s="60"/>
      <c r="BD156" s="60"/>
      <c r="BE156" s="60"/>
      <c r="BF156" s="61"/>
      <c r="BG156" s="59">
        <v>0</v>
      </c>
      <c r="BH156" s="60"/>
      <c r="BI156" s="60"/>
      <c r="BJ156" s="60"/>
      <c r="BK156" s="61"/>
      <c r="BL156" s="59">
        <v>0</v>
      </c>
      <c r="BM156" s="60"/>
      <c r="BN156" s="60"/>
      <c r="BO156" s="60"/>
      <c r="BP156" s="61"/>
      <c r="BQ156" s="59">
        <v>0</v>
      </c>
      <c r="BR156" s="60"/>
      <c r="BS156" s="60"/>
      <c r="BT156" s="61"/>
      <c r="BU156" s="59">
        <f t="shared" si="15"/>
        <v>0</v>
      </c>
      <c r="BV156" s="60"/>
      <c r="BW156" s="60"/>
      <c r="BX156" s="60"/>
      <c r="BY156" s="61"/>
    </row>
    <row r="157" spans="1:77" s="4" customFormat="1" ht="12.75" customHeight="1" x14ac:dyDescent="0.2">
      <c r="A157" s="52">
        <v>42</v>
      </c>
      <c r="B157" s="53"/>
      <c r="C157" s="53"/>
      <c r="D157" s="55" t="s">
        <v>182</v>
      </c>
      <c r="E157" s="56"/>
      <c r="F157" s="56"/>
      <c r="G157" s="56"/>
      <c r="H157" s="56"/>
      <c r="I157" s="56"/>
      <c r="J157" s="56"/>
      <c r="K157" s="56"/>
      <c r="L157" s="56"/>
      <c r="M157" s="56"/>
      <c r="N157" s="56"/>
      <c r="O157" s="56"/>
      <c r="P157" s="56"/>
      <c r="Q157" s="56"/>
      <c r="R157" s="56"/>
      <c r="S157" s="56"/>
      <c r="T157" s="57"/>
      <c r="U157" s="59">
        <v>695640</v>
      </c>
      <c r="V157" s="60"/>
      <c r="W157" s="60"/>
      <c r="X157" s="60"/>
      <c r="Y157" s="61"/>
      <c r="Z157" s="59">
        <v>0</v>
      </c>
      <c r="AA157" s="60"/>
      <c r="AB157" s="60"/>
      <c r="AC157" s="60"/>
      <c r="AD157" s="61"/>
      <c r="AE157" s="59">
        <v>0</v>
      </c>
      <c r="AF157" s="60"/>
      <c r="AG157" s="60"/>
      <c r="AH157" s="61"/>
      <c r="AI157" s="59">
        <f t="shared" si="13"/>
        <v>695640</v>
      </c>
      <c r="AJ157" s="60"/>
      <c r="AK157" s="60"/>
      <c r="AL157" s="60"/>
      <c r="AM157" s="61"/>
      <c r="AN157" s="59">
        <v>0</v>
      </c>
      <c r="AO157" s="60"/>
      <c r="AP157" s="60"/>
      <c r="AQ157" s="60"/>
      <c r="AR157" s="61"/>
      <c r="AS157" s="59">
        <v>0</v>
      </c>
      <c r="AT157" s="60"/>
      <c r="AU157" s="60"/>
      <c r="AV157" s="60"/>
      <c r="AW157" s="61"/>
      <c r="AX157" s="59">
        <v>0</v>
      </c>
      <c r="AY157" s="60"/>
      <c r="AZ157" s="60"/>
      <c r="BA157" s="61"/>
      <c r="BB157" s="59">
        <f t="shared" si="14"/>
        <v>0</v>
      </c>
      <c r="BC157" s="60"/>
      <c r="BD157" s="60"/>
      <c r="BE157" s="60"/>
      <c r="BF157" s="61"/>
      <c r="BG157" s="59">
        <v>0</v>
      </c>
      <c r="BH157" s="60"/>
      <c r="BI157" s="60"/>
      <c r="BJ157" s="60"/>
      <c r="BK157" s="61"/>
      <c r="BL157" s="59">
        <v>0</v>
      </c>
      <c r="BM157" s="60"/>
      <c r="BN157" s="60"/>
      <c r="BO157" s="60"/>
      <c r="BP157" s="61"/>
      <c r="BQ157" s="59">
        <v>0</v>
      </c>
      <c r="BR157" s="60"/>
      <c r="BS157" s="60"/>
      <c r="BT157" s="61"/>
      <c r="BU157" s="59">
        <f t="shared" si="15"/>
        <v>0</v>
      </c>
      <c r="BV157" s="60"/>
      <c r="BW157" s="60"/>
      <c r="BX157" s="60"/>
      <c r="BY157" s="61"/>
    </row>
    <row r="158" spans="1:77" s="4" customFormat="1" ht="12.75" customHeight="1" x14ac:dyDescent="0.2">
      <c r="A158" s="52">
        <v>43</v>
      </c>
      <c r="B158" s="53"/>
      <c r="C158" s="53"/>
      <c r="D158" s="55" t="s">
        <v>230</v>
      </c>
      <c r="E158" s="56"/>
      <c r="F158" s="56"/>
      <c r="G158" s="56"/>
      <c r="H158" s="56"/>
      <c r="I158" s="56"/>
      <c r="J158" s="56"/>
      <c r="K158" s="56"/>
      <c r="L158" s="56"/>
      <c r="M158" s="56"/>
      <c r="N158" s="56"/>
      <c r="O158" s="56"/>
      <c r="P158" s="56"/>
      <c r="Q158" s="56"/>
      <c r="R158" s="56"/>
      <c r="S158" s="56"/>
      <c r="T158" s="57"/>
      <c r="U158" s="59">
        <v>0</v>
      </c>
      <c r="V158" s="60"/>
      <c r="W158" s="60"/>
      <c r="X158" s="60"/>
      <c r="Y158" s="61"/>
      <c r="Z158" s="59">
        <v>0</v>
      </c>
      <c r="AA158" s="60"/>
      <c r="AB158" s="60"/>
      <c r="AC158" s="60"/>
      <c r="AD158" s="61"/>
      <c r="AE158" s="59">
        <v>0</v>
      </c>
      <c r="AF158" s="60"/>
      <c r="AG158" s="60"/>
      <c r="AH158" s="61"/>
      <c r="AI158" s="59">
        <f t="shared" si="13"/>
        <v>0</v>
      </c>
      <c r="AJ158" s="60"/>
      <c r="AK158" s="60"/>
      <c r="AL158" s="60"/>
      <c r="AM158" s="61"/>
      <c r="AN158" s="59">
        <v>0</v>
      </c>
      <c r="AO158" s="60"/>
      <c r="AP158" s="60"/>
      <c r="AQ158" s="60"/>
      <c r="AR158" s="61"/>
      <c r="AS158" s="59">
        <v>0</v>
      </c>
      <c r="AT158" s="60"/>
      <c r="AU158" s="60"/>
      <c r="AV158" s="60"/>
      <c r="AW158" s="61"/>
      <c r="AX158" s="59">
        <v>0</v>
      </c>
      <c r="AY158" s="60"/>
      <c r="AZ158" s="60"/>
      <c r="BA158" s="61"/>
      <c r="BB158" s="59">
        <f t="shared" si="14"/>
        <v>0</v>
      </c>
      <c r="BC158" s="60"/>
      <c r="BD158" s="60"/>
      <c r="BE158" s="60"/>
      <c r="BF158" s="61"/>
      <c r="BG158" s="59">
        <v>643781</v>
      </c>
      <c r="BH158" s="60"/>
      <c r="BI158" s="60"/>
      <c r="BJ158" s="60"/>
      <c r="BK158" s="61"/>
      <c r="BL158" s="59">
        <v>0</v>
      </c>
      <c r="BM158" s="60"/>
      <c r="BN158" s="60"/>
      <c r="BO158" s="60"/>
      <c r="BP158" s="61"/>
      <c r="BQ158" s="59">
        <v>0</v>
      </c>
      <c r="BR158" s="60"/>
      <c r="BS158" s="60"/>
      <c r="BT158" s="61"/>
      <c r="BU158" s="59">
        <f t="shared" si="15"/>
        <v>643781</v>
      </c>
      <c r="BV158" s="60"/>
      <c r="BW158" s="60"/>
      <c r="BX158" s="60"/>
      <c r="BY158" s="61"/>
    </row>
    <row r="159" spans="1:77" s="4" customFormat="1" ht="25.5" customHeight="1" x14ac:dyDescent="0.2">
      <c r="A159" s="52">
        <v>44</v>
      </c>
      <c r="B159" s="53"/>
      <c r="C159" s="53"/>
      <c r="D159" s="55" t="s">
        <v>231</v>
      </c>
      <c r="E159" s="56"/>
      <c r="F159" s="56"/>
      <c r="G159" s="56"/>
      <c r="H159" s="56"/>
      <c r="I159" s="56"/>
      <c r="J159" s="56"/>
      <c r="K159" s="56"/>
      <c r="L159" s="56"/>
      <c r="M159" s="56"/>
      <c r="N159" s="56"/>
      <c r="O159" s="56"/>
      <c r="P159" s="56"/>
      <c r="Q159" s="56"/>
      <c r="R159" s="56"/>
      <c r="S159" s="56"/>
      <c r="T159" s="57"/>
      <c r="U159" s="59">
        <v>0</v>
      </c>
      <c r="V159" s="60"/>
      <c r="W159" s="60"/>
      <c r="X159" s="60"/>
      <c r="Y159" s="61"/>
      <c r="Z159" s="59">
        <v>0</v>
      </c>
      <c r="AA159" s="60"/>
      <c r="AB159" s="60"/>
      <c r="AC159" s="60"/>
      <c r="AD159" s="61"/>
      <c r="AE159" s="59">
        <v>0</v>
      </c>
      <c r="AF159" s="60"/>
      <c r="AG159" s="60"/>
      <c r="AH159" s="61"/>
      <c r="AI159" s="59">
        <f t="shared" si="13"/>
        <v>0</v>
      </c>
      <c r="AJ159" s="60"/>
      <c r="AK159" s="60"/>
      <c r="AL159" s="60"/>
      <c r="AM159" s="61"/>
      <c r="AN159" s="59">
        <v>0</v>
      </c>
      <c r="AO159" s="60"/>
      <c r="AP159" s="60"/>
      <c r="AQ159" s="60"/>
      <c r="AR159" s="61"/>
      <c r="AS159" s="59">
        <v>0</v>
      </c>
      <c r="AT159" s="60"/>
      <c r="AU159" s="60"/>
      <c r="AV159" s="60"/>
      <c r="AW159" s="61"/>
      <c r="AX159" s="59">
        <v>0</v>
      </c>
      <c r="AY159" s="60"/>
      <c r="AZ159" s="60"/>
      <c r="BA159" s="61"/>
      <c r="BB159" s="59">
        <f t="shared" si="14"/>
        <v>0</v>
      </c>
      <c r="BC159" s="60"/>
      <c r="BD159" s="60"/>
      <c r="BE159" s="60"/>
      <c r="BF159" s="61"/>
      <c r="BG159" s="59">
        <v>32940</v>
      </c>
      <c r="BH159" s="60"/>
      <c r="BI159" s="60"/>
      <c r="BJ159" s="60"/>
      <c r="BK159" s="61"/>
      <c r="BL159" s="59">
        <v>0</v>
      </c>
      <c r="BM159" s="60"/>
      <c r="BN159" s="60"/>
      <c r="BO159" s="60"/>
      <c r="BP159" s="61"/>
      <c r="BQ159" s="59">
        <v>0</v>
      </c>
      <c r="BR159" s="60"/>
      <c r="BS159" s="60"/>
      <c r="BT159" s="61"/>
      <c r="BU159" s="59">
        <f t="shared" si="15"/>
        <v>32940</v>
      </c>
      <c r="BV159" s="60"/>
      <c r="BW159" s="60"/>
      <c r="BX159" s="60"/>
      <c r="BY159" s="61"/>
    </row>
    <row r="160" spans="1:77" s="4" customFormat="1" ht="12.75" customHeight="1" x14ac:dyDescent="0.2">
      <c r="A160" s="52">
        <v>45</v>
      </c>
      <c r="B160" s="53"/>
      <c r="C160" s="53"/>
      <c r="D160" s="55" t="s">
        <v>232</v>
      </c>
      <c r="E160" s="56"/>
      <c r="F160" s="56"/>
      <c r="G160" s="56"/>
      <c r="H160" s="56"/>
      <c r="I160" s="56"/>
      <c r="J160" s="56"/>
      <c r="K160" s="56"/>
      <c r="L160" s="56"/>
      <c r="M160" s="56"/>
      <c r="N160" s="56"/>
      <c r="O160" s="56"/>
      <c r="P160" s="56"/>
      <c r="Q160" s="56"/>
      <c r="R160" s="56"/>
      <c r="S160" s="56"/>
      <c r="T160" s="57"/>
      <c r="U160" s="59">
        <v>0</v>
      </c>
      <c r="V160" s="60"/>
      <c r="W160" s="60"/>
      <c r="X160" s="60"/>
      <c r="Y160" s="61"/>
      <c r="Z160" s="59">
        <v>0</v>
      </c>
      <c r="AA160" s="60"/>
      <c r="AB160" s="60"/>
      <c r="AC160" s="60"/>
      <c r="AD160" s="61"/>
      <c r="AE160" s="59">
        <v>0</v>
      </c>
      <c r="AF160" s="60"/>
      <c r="AG160" s="60"/>
      <c r="AH160" s="61"/>
      <c r="AI160" s="59">
        <f t="shared" si="13"/>
        <v>0</v>
      </c>
      <c r="AJ160" s="60"/>
      <c r="AK160" s="60"/>
      <c r="AL160" s="60"/>
      <c r="AM160" s="61"/>
      <c r="AN160" s="59">
        <v>0</v>
      </c>
      <c r="AO160" s="60"/>
      <c r="AP160" s="60"/>
      <c r="AQ160" s="60"/>
      <c r="AR160" s="61"/>
      <c r="AS160" s="59">
        <v>0</v>
      </c>
      <c r="AT160" s="60"/>
      <c r="AU160" s="60"/>
      <c r="AV160" s="60"/>
      <c r="AW160" s="61"/>
      <c r="AX160" s="59">
        <v>0</v>
      </c>
      <c r="AY160" s="60"/>
      <c r="AZ160" s="60"/>
      <c r="BA160" s="61"/>
      <c r="BB160" s="59">
        <f t="shared" si="14"/>
        <v>0</v>
      </c>
      <c r="BC160" s="60"/>
      <c r="BD160" s="60"/>
      <c r="BE160" s="60"/>
      <c r="BF160" s="61"/>
      <c r="BG160" s="59">
        <v>16660</v>
      </c>
      <c r="BH160" s="60"/>
      <c r="BI160" s="60"/>
      <c r="BJ160" s="60"/>
      <c r="BK160" s="61"/>
      <c r="BL160" s="59">
        <v>0</v>
      </c>
      <c r="BM160" s="60"/>
      <c r="BN160" s="60"/>
      <c r="BO160" s="60"/>
      <c r="BP160" s="61"/>
      <c r="BQ160" s="59">
        <v>0</v>
      </c>
      <c r="BR160" s="60"/>
      <c r="BS160" s="60"/>
      <c r="BT160" s="61"/>
      <c r="BU160" s="59">
        <f t="shared" si="15"/>
        <v>16660</v>
      </c>
      <c r="BV160" s="60"/>
      <c r="BW160" s="60"/>
      <c r="BX160" s="60"/>
      <c r="BY160" s="61"/>
    </row>
    <row r="161" spans="1:79" s="4" customFormat="1" ht="25.5" customHeight="1" x14ac:dyDescent="0.2">
      <c r="A161" s="52">
        <v>46</v>
      </c>
      <c r="B161" s="53"/>
      <c r="C161" s="53"/>
      <c r="D161" s="55" t="s">
        <v>233</v>
      </c>
      <c r="E161" s="56"/>
      <c r="F161" s="56"/>
      <c r="G161" s="56"/>
      <c r="H161" s="56"/>
      <c r="I161" s="56"/>
      <c r="J161" s="56"/>
      <c r="K161" s="56"/>
      <c r="L161" s="56"/>
      <c r="M161" s="56"/>
      <c r="N161" s="56"/>
      <c r="O161" s="56"/>
      <c r="P161" s="56"/>
      <c r="Q161" s="56"/>
      <c r="R161" s="56"/>
      <c r="S161" s="56"/>
      <c r="T161" s="57"/>
      <c r="U161" s="59">
        <v>0</v>
      </c>
      <c r="V161" s="60"/>
      <c r="W161" s="60"/>
      <c r="X161" s="60"/>
      <c r="Y161" s="61"/>
      <c r="Z161" s="59">
        <v>0</v>
      </c>
      <c r="AA161" s="60"/>
      <c r="AB161" s="60"/>
      <c r="AC161" s="60"/>
      <c r="AD161" s="61"/>
      <c r="AE161" s="59">
        <v>0</v>
      </c>
      <c r="AF161" s="60"/>
      <c r="AG161" s="60"/>
      <c r="AH161" s="61"/>
      <c r="AI161" s="59">
        <f t="shared" si="13"/>
        <v>0</v>
      </c>
      <c r="AJ161" s="60"/>
      <c r="AK161" s="60"/>
      <c r="AL161" s="60"/>
      <c r="AM161" s="61"/>
      <c r="AN161" s="59">
        <v>0</v>
      </c>
      <c r="AO161" s="60"/>
      <c r="AP161" s="60"/>
      <c r="AQ161" s="60"/>
      <c r="AR161" s="61"/>
      <c r="AS161" s="59">
        <v>0</v>
      </c>
      <c r="AT161" s="60"/>
      <c r="AU161" s="60"/>
      <c r="AV161" s="60"/>
      <c r="AW161" s="61"/>
      <c r="AX161" s="59">
        <v>0</v>
      </c>
      <c r="AY161" s="60"/>
      <c r="AZ161" s="60"/>
      <c r="BA161" s="61"/>
      <c r="BB161" s="59">
        <f t="shared" si="14"/>
        <v>0</v>
      </c>
      <c r="BC161" s="60"/>
      <c r="BD161" s="60"/>
      <c r="BE161" s="60"/>
      <c r="BF161" s="61"/>
      <c r="BG161" s="59">
        <v>30000</v>
      </c>
      <c r="BH161" s="60"/>
      <c r="BI161" s="60"/>
      <c r="BJ161" s="60"/>
      <c r="BK161" s="61"/>
      <c r="BL161" s="59">
        <v>0</v>
      </c>
      <c r="BM161" s="60"/>
      <c r="BN161" s="60"/>
      <c r="BO161" s="60"/>
      <c r="BP161" s="61"/>
      <c r="BQ161" s="59">
        <v>0</v>
      </c>
      <c r="BR161" s="60"/>
      <c r="BS161" s="60"/>
      <c r="BT161" s="61"/>
      <c r="BU161" s="59">
        <f t="shared" si="15"/>
        <v>30000</v>
      </c>
      <c r="BV161" s="60"/>
      <c r="BW161" s="60"/>
      <c r="BX161" s="60"/>
      <c r="BY161" s="61"/>
    </row>
    <row r="162" spans="1:79" s="4" customFormat="1" ht="25.5" customHeight="1" x14ac:dyDescent="0.2">
      <c r="A162" s="52">
        <v>47</v>
      </c>
      <c r="B162" s="53"/>
      <c r="C162" s="53"/>
      <c r="D162" s="55" t="s">
        <v>234</v>
      </c>
      <c r="E162" s="56"/>
      <c r="F162" s="56"/>
      <c r="G162" s="56"/>
      <c r="H162" s="56"/>
      <c r="I162" s="56"/>
      <c r="J162" s="56"/>
      <c r="K162" s="56"/>
      <c r="L162" s="56"/>
      <c r="M162" s="56"/>
      <c r="N162" s="56"/>
      <c r="O162" s="56"/>
      <c r="P162" s="56"/>
      <c r="Q162" s="56"/>
      <c r="R162" s="56"/>
      <c r="S162" s="56"/>
      <c r="T162" s="57"/>
      <c r="U162" s="59">
        <v>0</v>
      </c>
      <c r="V162" s="60"/>
      <c r="W162" s="60"/>
      <c r="X162" s="60"/>
      <c r="Y162" s="61"/>
      <c r="Z162" s="59">
        <v>0</v>
      </c>
      <c r="AA162" s="60"/>
      <c r="AB162" s="60"/>
      <c r="AC162" s="60"/>
      <c r="AD162" s="61"/>
      <c r="AE162" s="59">
        <v>0</v>
      </c>
      <c r="AF162" s="60"/>
      <c r="AG162" s="60"/>
      <c r="AH162" s="61"/>
      <c r="AI162" s="59">
        <f t="shared" si="13"/>
        <v>0</v>
      </c>
      <c r="AJ162" s="60"/>
      <c r="AK162" s="60"/>
      <c r="AL162" s="60"/>
      <c r="AM162" s="61"/>
      <c r="AN162" s="59">
        <v>0</v>
      </c>
      <c r="AO162" s="60"/>
      <c r="AP162" s="60"/>
      <c r="AQ162" s="60"/>
      <c r="AR162" s="61"/>
      <c r="AS162" s="59">
        <v>0</v>
      </c>
      <c r="AT162" s="60"/>
      <c r="AU162" s="60"/>
      <c r="AV162" s="60"/>
      <c r="AW162" s="61"/>
      <c r="AX162" s="59">
        <v>0</v>
      </c>
      <c r="AY162" s="60"/>
      <c r="AZ162" s="60"/>
      <c r="BA162" s="61"/>
      <c r="BB162" s="59">
        <f t="shared" si="14"/>
        <v>0</v>
      </c>
      <c r="BC162" s="60"/>
      <c r="BD162" s="60"/>
      <c r="BE162" s="60"/>
      <c r="BF162" s="61"/>
      <c r="BG162" s="59">
        <v>20000</v>
      </c>
      <c r="BH162" s="60"/>
      <c r="BI162" s="60"/>
      <c r="BJ162" s="60"/>
      <c r="BK162" s="61"/>
      <c r="BL162" s="59">
        <v>0</v>
      </c>
      <c r="BM162" s="60"/>
      <c r="BN162" s="60"/>
      <c r="BO162" s="60"/>
      <c r="BP162" s="61"/>
      <c r="BQ162" s="59">
        <v>0</v>
      </c>
      <c r="BR162" s="60"/>
      <c r="BS162" s="60"/>
      <c r="BT162" s="61"/>
      <c r="BU162" s="59">
        <f t="shared" si="15"/>
        <v>20000</v>
      </c>
      <c r="BV162" s="60"/>
      <c r="BW162" s="60"/>
      <c r="BX162" s="60"/>
      <c r="BY162" s="61"/>
    </row>
    <row r="163" spans="1:79" s="4" customFormat="1" ht="76.5" customHeight="1" x14ac:dyDescent="0.2">
      <c r="A163" s="52">
        <v>48</v>
      </c>
      <c r="B163" s="53"/>
      <c r="C163" s="53"/>
      <c r="D163" s="55" t="s">
        <v>235</v>
      </c>
      <c r="E163" s="56"/>
      <c r="F163" s="56"/>
      <c r="G163" s="56"/>
      <c r="H163" s="56"/>
      <c r="I163" s="56"/>
      <c r="J163" s="56"/>
      <c r="K163" s="56"/>
      <c r="L163" s="56"/>
      <c r="M163" s="56"/>
      <c r="N163" s="56"/>
      <c r="O163" s="56"/>
      <c r="P163" s="56"/>
      <c r="Q163" s="56"/>
      <c r="R163" s="56"/>
      <c r="S163" s="56"/>
      <c r="T163" s="57"/>
      <c r="U163" s="59">
        <v>0</v>
      </c>
      <c r="V163" s="60"/>
      <c r="W163" s="60"/>
      <c r="X163" s="60"/>
      <c r="Y163" s="61"/>
      <c r="Z163" s="59">
        <v>0</v>
      </c>
      <c r="AA163" s="60"/>
      <c r="AB163" s="60"/>
      <c r="AC163" s="60"/>
      <c r="AD163" s="61"/>
      <c r="AE163" s="59">
        <v>0</v>
      </c>
      <c r="AF163" s="60"/>
      <c r="AG163" s="60"/>
      <c r="AH163" s="61"/>
      <c r="AI163" s="59">
        <f t="shared" si="13"/>
        <v>0</v>
      </c>
      <c r="AJ163" s="60"/>
      <c r="AK163" s="60"/>
      <c r="AL163" s="60"/>
      <c r="AM163" s="61"/>
      <c r="AN163" s="59">
        <v>0</v>
      </c>
      <c r="AO163" s="60"/>
      <c r="AP163" s="60"/>
      <c r="AQ163" s="60"/>
      <c r="AR163" s="61"/>
      <c r="AS163" s="59">
        <v>0</v>
      </c>
      <c r="AT163" s="60"/>
      <c r="AU163" s="60"/>
      <c r="AV163" s="60"/>
      <c r="AW163" s="61"/>
      <c r="AX163" s="59">
        <v>0</v>
      </c>
      <c r="AY163" s="60"/>
      <c r="AZ163" s="60"/>
      <c r="BA163" s="61"/>
      <c r="BB163" s="59">
        <f t="shared" si="14"/>
        <v>0</v>
      </c>
      <c r="BC163" s="60"/>
      <c r="BD163" s="60"/>
      <c r="BE163" s="60"/>
      <c r="BF163" s="61"/>
      <c r="BG163" s="59">
        <v>32000</v>
      </c>
      <c r="BH163" s="60"/>
      <c r="BI163" s="60"/>
      <c r="BJ163" s="60"/>
      <c r="BK163" s="61"/>
      <c r="BL163" s="59">
        <v>0</v>
      </c>
      <c r="BM163" s="60"/>
      <c r="BN163" s="60"/>
      <c r="BO163" s="60"/>
      <c r="BP163" s="61"/>
      <c r="BQ163" s="59">
        <v>0</v>
      </c>
      <c r="BR163" s="60"/>
      <c r="BS163" s="60"/>
      <c r="BT163" s="61"/>
      <c r="BU163" s="59">
        <f t="shared" si="15"/>
        <v>32000</v>
      </c>
      <c r="BV163" s="60"/>
      <c r="BW163" s="60"/>
      <c r="BX163" s="60"/>
      <c r="BY163" s="61"/>
    </row>
    <row r="164" spans="1:79" s="4" customFormat="1" ht="25.5" customHeight="1" x14ac:dyDescent="0.2">
      <c r="A164" s="52">
        <v>49</v>
      </c>
      <c r="B164" s="53"/>
      <c r="C164" s="53"/>
      <c r="D164" s="55" t="s">
        <v>236</v>
      </c>
      <c r="E164" s="56"/>
      <c r="F164" s="56"/>
      <c r="G164" s="56"/>
      <c r="H164" s="56"/>
      <c r="I164" s="56"/>
      <c r="J164" s="56"/>
      <c r="K164" s="56"/>
      <c r="L164" s="56"/>
      <c r="M164" s="56"/>
      <c r="N164" s="56"/>
      <c r="O164" s="56"/>
      <c r="P164" s="56"/>
      <c r="Q164" s="56"/>
      <c r="R164" s="56"/>
      <c r="S164" s="56"/>
      <c r="T164" s="57"/>
      <c r="U164" s="59">
        <v>0</v>
      </c>
      <c r="V164" s="60"/>
      <c r="W164" s="60"/>
      <c r="X164" s="60"/>
      <c r="Y164" s="61"/>
      <c r="Z164" s="59">
        <v>0</v>
      </c>
      <c r="AA164" s="60"/>
      <c r="AB164" s="60"/>
      <c r="AC164" s="60"/>
      <c r="AD164" s="61"/>
      <c r="AE164" s="59">
        <v>0</v>
      </c>
      <c r="AF164" s="60"/>
      <c r="AG164" s="60"/>
      <c r="AH164" s="61"/>
      <c r="AI164" s="59">
        <f t="shared" si="13"/>
        <v>0</v>
      </c>
      <c r="AJ164" s="60"/>
      <c r="AK164" s="60"/>
      <c r="AL164" s="60"/>
      <c r="AM164" s="61"/>
      <c r="AN164" s="59">
        <v>0</v>
      </c>
      <c r="AO164" s="60"/>
      <c r="AP164" s="60"/>
      <c r="AQ164" s="60"/>
      <c r="AR164" s="61"/>
      <c r="AS164" s="59">
        <v>0</v>
      </c>
      <c r="AT164" s="60"/>
      <c r="AU164" s="60"/>
      <c r="AV164" s="60"/>
      <c r="AW164" s="61"/>
      <c r="AX164" s="59">
        <v>0</v>
      </c>
      <c r="AY164" s="60"/>
      <c r="AZ164" s="60"/>
      <c r="BA164" s="61"/>
      <c r="BB164" s="59">
        <f t="shared" si="14"/>
        <v>0</v>
      </c>
      <c r="BC164" s="60"/>
      <c r="BD164" s="60"/>
      <c r="BE164" s="60"/>
      <c r="BF164" s="61"/>
      <c r="BG164" s="59">
        <v>95000</v>
      </c>
      <c r="BH164" s="60"/>
      <c r="BI164" s="60"/>
      <c r="BJ164" s="60"/>
      <c r="BK164" s="61"/>
      <c r="BL164" s="59">
        <v>0</v>
      </c>
      <c r="BM164" s="60"/>
      <c r="BN164" s="60"/>
      <c r="BO164" s="60"/>
      <c r="BP164" s="61"/>
      <c r="BQ164" s="59">
        <v>0</v>
      </c>
      <c r="BR164" s="60"/>
      <c r="BS164" s="60"/>
      <c r="BT164" s="61"/>
      <c r="BU164" s="59">
        <f t="shared" si="15"/>
        <v>95000</v>
      </c>
      <c r="BV164" s="60"/>
      <c r="BW164" s="60"/>
      <c r="BX164" s="60"/>
      <c r="BY164" s="61"/>
    </row>
    <row r="165" spans="1:79" s="5" customFormat="1" ht="12.75" customHeight="1" x14ac:dyDescent="0.2">
      <c r="A165" s="77"/>
      <c r="B165" s="78"/>
      <c r="C165" s="78"/>
      <c r="D165" s="96" t="s">
        <v>147</v>
      </c>
      <c r="E165" s="97"/>
      <c r="F165" s="97"/>
      <c r="G165" s="97"/>
      <c r="H165" s="97"/>
      <c r="I165" s="97"/>
      <c r="J165" s="97"/>
      <c r="K165" s="97"/>
      <c r="L165" s="97"/>
      <c r="M165" s="97"/>
      <c r="N165" s="97"/>
      <c r="O165" s="97"/>
      <c r="P165" s="97"/>
      <c r="Q165" s="97"/>
      <c r="R165" s="97"/>
      <c r="S165" s="97"/>
      <c r="T165" s="98"/>
      <c r="U165" s="74">
        <v>16001835</v>
      </c>
      <c r="V165" s="75"/>
      <c r="W165" s="75"/>
      <c r="X165" s="75"/>
      <c r="Y165" s="76"/>
      <c r="Z165" s="74">
        <v>716725</v>
      </c>
      <c r="AA165" s="75"/>
      <c r="AB165" s="75"/>
      <c r="AC165" s="75"/>
      <c r="AD165" s="76"/>
      <c r="AE165" s="74">
        <v>711732</v>
      </c>
      <c r="AF165" s="75"/>
      <c r="AG165" s="75"/>
      <c r="AH165" s="76"/>
      <c r="AI165" s="74">
        <f t="shared" si="13"/>
        <v>16718560</v>
      </c>
      <c r="AJ165" s="75"/>
      <c r="AK165" s="75"/>
      <c r="AL165" s="75"/>
      <c r="AM165" s="76"/>
      <c r="AN165" s="74">
        <v>20959368</v>
      </c>
      <c r="AO165" s="75"/>
      <c r="AP165" s="75"/>
      <c r="AQ165" s="75"/>
      <c r="AR165" s="76"/>
      <c r="AS165" s="74">
        <v>0</v>
      </c>
      <c r="AT165" s="75"/>
      <c r="AU165" s="75"/>
      <c r="AV165" s="75"/>
      <c r="AW165" s="76"/>
      <c r="AX165" s="74">
        <v>0</v>
      </c>
      <c r="AY165" s="75"/>
      <c r="AZ165" s="75"/>
      <c r="BA165" s="76"/>
      <c r="BB165" s="74">
        <f t="shared" si="14"/>
        <v>20959368</v>
      </c>
      <c r="BC165" s="75"/>
      <c r="BD165" s="75"/>
      <c r="BE165" s="75"/>
      <c r="BF165" s="76"/>
      <c r="BG165" s="74">
        <v>21594065</v>
      </c>
      <c r="BH165" s="75"/>
      <c r="BI165" s="75"/>
      <c r="BJ165" s="75"/>
      <c r="BK165" s="76"/>
      <c r="BL165" s="74">
        <v>0</v>
      </c>
      <c r="BM165" s="75"/>
      <c r="BN165" s="75"/>
      <c r="BO165" s="75"/>
      <c r="BP165" s="76"/>
      <c r="BQ165" s="74">
        <v>0</v>
      </c>
      <c r="BR165" s="75"/>
      <c r="BS165" s="75"/>
      <c r="BT165" s="76"/>
      <c r="BU165" s="74">
        <f t="shared" si="15"/>
        <v>21594065</v>
      </c>
      <c r="BV165" s="75"/>
      <c r="BW165" s="75"/>
      <c r="BX165" s="75"/>
      <c r="BY165" s="76"/>
    </row>
    <row r="167" spans="1:79" ht="14.25" customHeight="1" x14ac:dyDescent="0.2">
      <c r="A167" s="28" t="s">
        <v>310</v>
      </c>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row>
    <row r="168" spans="1:79" ht="15" customHeight="1" x14ac:dyDescent="0.2">
      <c r="A168" s="41" t="s">
        <v>280</v>
      </c>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row>
    <row r="169" spans="1:79" ht="23.1" customHeight="1" x14ac:dyDescent="0.2">
      <c r="A169" s="42" t="s">
        <v>6</v>
      </c>
      <c r="B169" s="43"/>
      <c r="C169" s="43"/>
      <c r="D169" s="42" t="s">
        <v>121</v>
      </c>
      <c r="E169" s="43"/>
      <c r="F169" s="43"/>
      <c r="G169" s="43"/>
      <c r="H169" s="43"/>
      <c r="I169" s="43"/>
      <c r="J169" s="43"/>
      <c r="K169" s="43"/>
      <c r="L169" s="43"/>
      <c r="M169" s="43"/>
      <c r="N169" s="43"/>
      <c r="O169" s="43"/>
      <c r="P169" s="43"/>
      <c r="Q169" s="43"/>
      <c r="R169" s="43"/>
      <c r="S169" s="43"/>
      <c r="T169" s="44"/>
      <c r="U169" s="48" t="s">
        <v>302</v>
      </c>
      <c r="V169" s="48"/>
      <c r="W169" s="48"/>
      <c r="X169" s="48"/>
      <c r="Y169" s="48"/>
      <c r="Z169" s="48"/>
      <c r="AA169" s="48"/>
      <c r="AB169" s="48"/>
      <c r="AC169" s="48"/>
      <c r="AD169" s="48"/>
      <c r="AE169" s="48"/>
      <c r="AF169" s="48"/>
      <c r="AG169" s="48"/>
      <c r="AH169" s="48"/>
      <c r="AI169" s="48"/>
      <c r="AJ169" s="48"/>
      <c r="AK169" s="48"/>
      <c r="AL169" s="48"/>
      <c r="AM169" s="48"/>
      <c r="AN169" s="48"/>
      <c r="AO169" s="48" t="s">
        <v>307</v>
      </c>
      <c r="AP169" s="48"/>
      <c r="AQ169" s="48"/>
      <c r="AR169" s="48"/>
      <c r="AS169" s="48"/>
      <c r="AT169" s="48"/>
      <c r="AU169" s="48"/>
      <c r="AV169" s="48"/>
      <c r="AW169" s="48"/>
      <c r="AX169" s="48"/>
      <c r="AY169" s="48"/>
      <c r="AZ169" s="48"/>
      <c r="BA169" s="48"/>
      <c r="BB169" s="48"/>
      <c r="BC169" s="48"/>
      <c r="BD169" s="48"/>
      <c r="BE169" s="48"/>
      <c r="BF169" s="48"/>
      <c r="BG169" s="48"/>
      <c r="BH169" s="48"/>
    </row>
    <row r="170" spans="1:79" ht="54" customHeight="1" x14ac:dyDescent="0.2">
      <c r="A170" s="45"/>
      <c r="B170" s="46"/>
      <c r="C170" s="46"/>
      <c r="D170" s="45"/>
      <c r="E170" s="46"/>
      <c r="F170" s="46"/>
      <c r="G170" s="46"/>
      <c r="H170" s="46"/>
      <c r="I170" s="46"/>
      <c r="J170" s="46"/>
      <c r="K170" s="46"/>
      <c r="L170" s="46"/>
      <c r="M170" s="46"/>
      <c r="N170" s="46"/>
      <c r="O170" s="46"/>
      <c r="P170" s="46"/>
      <c r="Q170" s="46"/>
      <c r="R170" s="46"/>
      <c r="S170" s="46"/>
      <c r="T170" s="47"/>
      <c r="U170" s="35" t="s">
        <v>4</v>
      </c>
      <c r="V170" s="36"/>
      <c r="W170" s="36"/>
      <c r="X170" s="36"/>
      <c r="Y170" s="37"/>
      <c r="Z170" s="35" t="s">
        <v>3</v>
      </c>
      <c r="AA170" s="36"/>
      <c r="AB170" s="36"/>
      <c r="AC170" s="36"/>
      <c r="AD170" s="37"/>
      <c r="AE170" s="38" t="s">
        <v>116</v>
      </c>
      <c r="AF170" s="39"/>
      <c r="AG170" s="39"/>
      <c r="AH170" s="39"/>
      <c r="AI170" s="40"/>
      <c r="AJ170" s="35" t="s">
        <v>5</v>
      </c>
      <c r="AK170" s="36"/>
      <c r="AL170" s="36"/>
      <c r="AM170" s="36"/>
      <c r="AN170" s="37"/>
      <c r="AO170" s="35" t="s">
        <v>4</v>
      </c>
      <c r="AP170" s="36"/>
      <c r="AQ170" s="36"/>
      <c r="AR170" s="36"/>
      <c r="AS170" s="37"/>
      <c r="AT170" s="35" t="s">
        <v>3</v>
      </c>
      <c r="AU170" s="36"/>
      <c r="AV170" s="36"/>
      <c r="AW170" s="36"/>
      <c r="AX170" s="37"/>
      <c r="AY170" s="38" t="s">
        <v>116</v>
      </c>
      <c r="AZ170" s="39"/>
      <c r="BA170" s="39"/>
      <c r="BB170" s="39"/>
      <c r="BC170" s="40"/>
      <c r="BD170" s="48" t="s">
        <v>96</v>
      </c>
      <c r="BE170" s="48"/>
      <c r="BF170" s="48"/>
      <c r="BG170" s="48"/>
      <c r="BH170" s="48"/>
    </row>
    <row r="171" spans="1:79" ht="15" customHeight="1" x14ac:dyDescent="0.2">
      <c r="A171" s="35" t="s">
        <v>168</v>
      </c>
      <c r="B171" s="36"/>
      <c r="C171" s="36"/>
      <c r="D171" s="35">
        <v>2</v>
      </c>
      <c r="E171" s="36"/>
      <c r="F171" s="36"/>
      <c r="G171" s="36"/>
      <c r="H171" s="36"/>
      <c r="I171" s="36"/>
      <c r="J171" s="36"/>
      <c r="K171" s="36"/>
      <c r="L171" s="36"/>
      <c r="M171" s="36"/>
      <c r="N171" s="36"/>
      <c r="O171" s="36"/>
      <c r="P171" s="36"/>
      <c r="Q171" s="36"/>
      <c r="R171" s="36"/>
      <c r="S171" s="36"/>
      <c r="T171" s="37"/>
      <c r="U171" s="35">
        <v>3</v>
      </c>
      <c r="V171" s="36"/>
      <c r="W171" s="36"/>
      <c r="X171" s="36"/>
      <c r="Y171" s="37"/>
      <c r="Z171" s="35">
        <v>4</v>
      </c>
      <c r="AA171" s="36"/>
      <c r="AB171" s="36"/>
      <c r="AC171" s="36"/>
      <c r="AD171" s="37"/>
      <c r="AE171" s="35">
        <v>5</v>
      </c>
      <c r="AF171" s="36"/>
      <c r="AG171" s="36"/>
      <c r="AH171" s="36"/>
      <c r="AI171" s="37"/>
      <c r="AJ171" s="35">
        <v>6</v>
      </c>
      <c r="AK171" s="36"/>
      <c r="AL171" s="36"/>
      <c r="AM171" s="36"/>
      <c r="AN171" s="37"/>
      <c r="AO171" s="35">
        <v>7</v>
      </c>
      <c r="AP171" s="36"/>
      <c r="AQ171" s="36"/>
      <c r="AR171" s="36"/>
      <c r="AS171" s="37"/>
      <c r="AT171" s="35">
        <v>8</v>
      </c>
      <c r="AU171" s="36"/>
      <c r="AV171" s="36"/>
      <c r="AW171" s="36"/>
      <c r="AX171" s="37"/>
      <c r="AY171" s="35">
        <v>9</v>
      </c>
      <c r="AZ171" s="36"/>
      <c r="BA171" s="36"/>
      <c r="BB171" s="36"/>
      <c r="BC171" s="37"/>
      <c r="BD171" s="35">
        <v>10</v>
      </c>
      <c r="BE171" s="36"/>
      <c r="BF171" s="36"/>
      <c r="BG171" s="36"/>
      <c r="BH171" s="37"/>
    </row>
    <row r="172" spans="1:79" s="1" customFormat="1" ht="12.75" hidden="1" customHeight="1" x14ac:dyDescent="0.2">
      <c r="A172" s="62" t="s">
        <v>69</v>
      </c>
      <c r="B172" s="63"/>
      <c r="C172" s="63"/>
      <c r="D172" s="62" t="s">
        <v>57</v>
      </c>
      <c r="E172" s="63"/>
      <c r="F172" s="63"/>
      <c r="G172" s="63"/>
      <c r="H172" s="63"/>
      <c r="I172" s="63"/>
      <c r="J172" s="63"/>
      <c r="K172" s="63"/>
      <c r="L172" s="63"/>
      <c r="M172" s="63"/>
      <c r="N172" s="63"/>
      <c r="O172" s="63"/>
      <c r="P172" s="63"/>
      <c r="Q172" s="63"/>
      <c r="R172" s="63"/>
      <c r="S172" s="63"/>
      <c r="T172" s="64"/>
      <c r="U172" s="62" t="s">
        <v>60</v>
      </c>
      <c r="V172" s="63"/>
      <c r="W172" s="63"/>
      <c r="X172" s="63"/>
      <c r="Y172" s="64"/>
      <c r="Z172" s="62" t="s">
        <v>61</v>
      </c>
      <c r="AA172" s="63"/>
      <c r="AB172" s="63"/>
      <c r="AC172" s="63"/>
      <c r="AD172" s="64"/>
      <c r="AE172" s="62" t="s">
        <v>94</v>
      </c>
      <c r="AF172" s="63"/>
      <c r="AG172" s="63"/>
      <c r="AH172" s="63"/>
      <c r="AI172" s="64"/>
      <c r="AJ172" s="49" t="s">
        <v>170</v>
      </c>
      <c r="AK172" s="50"/>
      <c r="AL172" s="50"/>
      <c r="AM172" s="50"/>
      <c r="AN172" s="51"/>
      <c r="AO172" s="62" t="s">
        <v>62</v>
      </c>
      <c r="AP172" s="63"/>
      <c r="AQ172" s="63"/>
      <c r="AR172" s="63"/>
      <c r="AS172" s="64"/>
      <c r="AT172" s="62" t="s">
        <v>63</v>
      </c>
      <c r="AU172" s="63"/>
      <c r="AV172" s="63"/>
      <c r="AW172" s="63"/>
      <c r="AX172" s="64"/>
      <c r="AY172" s="62" t="s">
        <v>95</v>
      </c>
      <c r="AZ172" s="63"/>
      <c r="BA172" s="63"/>
      <c r="BB172" s="63"/>
      <c r="BC172" s="64"/>
      <c r="BD172" s="73" t="s">
        <v>170</v>
      </c>
      <c r="BE172" s="73"/>
      <c r="BF172" s="73"/>
      <c r="BG172" s="73"/>
      <c r="BH172" s="73"/>
      <c r="CA172" s="1" t="s">
        <v>35</v>
      </c>
    </row>
    <row r="173" spans="1:79" s="4" customFormat="1" ht="12.75" customHeight="1" x14ac:dyDescent="0.2">
      <c r="A173" s="52">
        <v>1</v>
      </c>
      <c r="B173" s="53"/>
      <c r="C173" s="53"/>
      <c r="D173" s="55" t="s">
        <v>178</v>
      </c>
      <c r="E173" s="56"/>
      <c r="F173" s="56"/>
      <c r="G173" s="56"/>
      <c r="H173" s="56"/>
      <c r="I173" s="56"/>
      <c r="J173" s="56"/>
      <c r="K173" s="56"/>
      <c r="L173" s="56"/>
      <c r="M173" s="56"/>
      <c r="N173" s="56"/>
      <c r="O173" s="56"/>
      <c r="P173" s="56"/>
      <c r="Q173" s="56"/>
      <c r="R173" s="56"/>
      <c r="S173" s="56"/>
      <c r="T173" s="57"/>
      <c r="U173" s="59">
        <v>5403852</v>
      </c>
      <c r="V173" s="60"/>
      <c r="W173" s="60"/>
      <c r="X173" s="60"/>
      <c r="Y173" s="61"/>
      <c r="Z173" s="59">
        <v>0</v>
      </c>
      <c r="AA173" s="60"/>
      <c r="AB173" s="60"/>
      <c r="AC173" s="60"/>
      <c r="AD173" s="61"/>
      <c r="AE173" s="58">
        <v>0</v>
      </c>
      <c r="AF173" s="58"/>
      <c r="AG173" s="58"/>
      <c r="AH173" s="58"/>
      <c r="AI173" s="58"/>
      <c r="AJ173" s="88">
        <f t="shared" ref="AJ173:AJ204" si="16">IF(ISNUMBER(U173),U173,0)+IF(ISNUMBER(Z173),Z173,0)</f>
        <v>5403852</v>
      </c>
      <c r="AK173" s="88"/>
      <c r="AL173" s="88"/>
      <c r="AM173" s="88"/>
      <c r="AN173" s="88"/>
      <c r="AO173" s="58">
        <v>5403852</v>
      </c>
      <c r="AP173" s="58"/>
      <c r="AQ173" s="58"/>
      <c r="AR173" s="58"/>
      <c r="AS173" s="58"/>
      <c r="AT173" s="88">
        <v>0</v>
      </c>
      <c r="AU173" s="88"/>
      <c r="AV173" s="88"/>
      <c r="AW173" s="88"/>
      <c r="AX173" s="88"/>
      <c r="AY173" s="58">
        <v>0</v>
      </c>
      <c r="AZ173" s="58"/>
      <c r="BA173" s="58"/>
      <c r="BB173" s="58"/>
      <c r="BC173" s="58"/>
      <c r="BD173" s="88">
        <f t="shared" ref="BD173:BD204" si="17">IF(ISNUMBER(AO173),AO173,0)+IF(ISNUMBER(AT173),AT173,0)</f>
        <v>5403852</v>
      </c>
      <c r="BE173" s="88"/>
      <c r="BF173" s="88"/>
      <c r="BG173" s="88"/>
      <c r="BH173" s="88"/>
      <c r="CA173" s="4" t="s">
        <v>36</v>
      </c>
    </row>
    <row r="174" spans="1:79" s="4" customFormat="1" ht="12.75" customHeight="1" x14ac:dyDescent="0.2">
      <c r="A174" s="52">
        <v>2</v>
      </c>
      <c r="B174" s="53"/>
      <c r="C174" s="53"/>
      <c r="D174" s="55" t="s">
        <v>191</v>
      </c>
      <c r="E174" s="56"/>
      <c r="F174" s="56"/>
      <c r="G174" s="56"/>
      <c r="H174" s="56"/>
      <c r="I174" s="56"/>
      <c r="J174" s="56"/>
      <c r="K174" s="56"/>
      <c r="L174" s="56"/>
      <c r="M174" s="56"/>
      <c r="N174" s="56"/>
      <c r="O174" s="56"/>
      <c r="P174" s="56"/>
      <c r="Q174" s="56"/>
      <c r="R174" s="56"/>
      <c r="S174" s="56"/>
      <c r="T174" s="57"/>
      <c r="U174" s="59">
        <v>0</v>
      </c>
      <c r="V174" s="60"/>
      <c r="W174" s="60"/>
      <c r="X174" s="60"/>
      <c r="Y174" s="61"/>
      <c r="Z174" s="59">
        <v>0</v>
      </c>
      <c r="AA174" s="60"/>
      <c r="AB174" s="60"/>
      <c r="AC174" s="60"/>
      <c r="AD174" s="61"/>
      <c r="AE174" s="58">
        <v>0</v>
      </c>
      <c r="AF174" s="58"/>
      <c r="AG174" s="58"/>
      <c r="AH174" s="58"/>
      <c r="AI174" s="58"/>
      <c r="AJ174" s="88">
        <f t="shared" si="16"/>
        <v>0</v>
      </c>
      <c r="AK174" s="88"/>
      <c r="AL174" s="88"/>
      <c r="AM174" s="88"/>
      <c r="AN174" s="88"/>
      <c r="AO174" s="58">
        <v>0</v>
      </c>
      <c r="AP174" s="58"/>
      <c r="AQ174" s="58"/>
      <c r="AR174" s="58"/>
      <c r="AS174" s="58"/>
      <c r="AT174" s="88">
        <v>0</v>
      </c>
      <c r="AU174" s="88"/>
      <c r="AV174" s="88"/>
      <c r="AW174" s="88"/>
      <c r="AX174" s="88"/>
      <c r="AY174" s="58">
        <v>0</v>
      </c>
      <c r="AZ174" s="58"/>
      <c r="BA174" s="58"/>
      <c r="BB174" s="58"/>
      <c r="BC174" s="58"/>
      <c r="BD174" s="88">
        <f t="shared" si="17"/>
        <v>0</v>
      </c>
      <c r="BE174" s="88"/>
      <c r="BF174" s="88"/>
      <c r="BG174" s="88"/>
      <c r="BH174" s="88"/>
    </row>
    <row r="175" spans="1:79" s="4" customFormat="1" ht="25.5" customHeight="1" x14ac:dyDescent="0.2">
      <c r="A175" s="52">
        <v>3</v>
      </c>
      <c r="B175" s="53"/>
      <c r="C175" s="53"/>
      <c r="D175" s="55" t="s">
        <v>192</v>
      </c>
      <c r="E175" s="56"/>
      <c r="F175" s="56"/>
      <c r="G175" s="56"/>
      <c r="H175" s="56"/>
      <c r="I175" s="56"/>
      <c r="J175" s="56"/>
      <c r="K175" s="56"/>
      <c r="L175" s="56"/>
      <c r="M175" s="56"/>
      <c r="N175" s="56"/>
      <c r="O175" s="56"/>
      <c r="P175" s="56"/>
      <c r="Q175" s="56"/>
      <c r="R175" s="56"/>
      <c r="S175" s="56"/>
      <c r="T175" s="57"/>
      <c r="U175" s="59">
        <v>33629</v>
      </c>
      <c r="V175" s="60"/>
      <c r="W175" s="60"/>
      <c r="X175" s="60"/>
      <c r="Y175" s="61"/>
      <c r="Z175" s="59">
        <v>0</v>
      </c>
      <c r="AA175" s="60"/>
      <c r="AB175" s="60"/>
      <c r="AC175" s="60"/>
      <c r="AD175" s="61"/>
      <c r="AE175" s="58">
        <v>0</v>
      </c>
      <c r="AF175" s="58"/>
      <c r="AG175" s="58"/>
      <c r="AH175" s="58"/>
      <c r="AI175" s="58"/>
      <c r="AJ175" s="88">
        <f t="shared" si="16"/>
        <v>33629</v>
      </c>
      <c r="AK175" s="88"/>
      <c r="AL175" s="88"/>
      <c r="AM175" s="88"/>
      <c r="AN175" s="88"/>
      <c r="AO175" s="58">
        <v>36319</v>
      </c>
      <c r="AP175" s="58"/>
      <c r="AQ175" s="58"/>
      <c r="AR175" s="58"/>
      <c r="AS175" s="58"/>
      <c r="AT175" s="88">
        <v>0</v>
      </c>
      <c r="AU175" s="88"/>
      <c r="AV175" s="88"/>
      <c r="AW175" s="88"/>
      <c r="AX175" s="88"/>
      <c r="AY175" s="58">
        <v>0</v>
      </c>
      <c r="AZ175" s="58"/>
      <c r="BA175" s="58"/>
      <c r="BB175" s="58"/>
      <c r="BC175" s="58"/>
      <c r="BD175" s="88">
        <f t="shared" si="17"/>
        <v>36319</v>
      </c>
      <c r="BE175" s="88"/>
      <c r="BF175" s="88"/>
      <c r="BG175" s="88"/>
      <c r="BH175" s="88"/>
    </row>
    <row r="176" spans="1:79" s="4" customFormat="1" ht="12.75" customHeight="1" x14ac:dyDescent="0.2">
      <c r="A176" s="52">
        <v>4</v>
      </c>
      <c r="B176" s="53"/>
      <c r="C176" s="53"/>
      <c r="D176" s="55" t="s">
        <v>179</v>
      </c>
      <c r="E176" s="56"/>
      <c r="F176" s="56"/>
      <c r="G176" s="56"/>
      <c r="H176" s="56"/>
      <c r="I176" s="56"/>
      <c r="J176" s="56"/>
      <c r="K176" s="56"/>
      <c r="L176" s="56"/>
      <c r="M176" s="56"/>
      <c r="N176" s="56"/>
      <c r="O176" s="56"/>
      <c r="P176" s="56"/>
      <c r="Q176" s="56"/>
      <c r="R176" s="56"/>
      <c r="S176" s="56"/>
      <c r="T176" s="57"/>
      <c r="U176" s="59">
        <v>1260603</v>
      </c>
      <c r="V176" s="60"/>
      <c r="W176" s="60"/>
      <c r="X176" s="60"/>
      <c r="Y176" s="61"/>
      <c r="Z176" s="59">
        <v>0</v>
      </c>
      <c r="AA176" s="60"/>
      <c r="AB176" s="60"/>
      <c r="AC176" s="60"/>
      <c r="AD176" s="61"/>
      <c r="AE176" s="58">
        <v>0</v>
      </c>
      <c r="AF176" s="58"/>
      <c r="AG176" s="58"/>
      <c r="AH176" s="58"/>
      <c r="AI176" s="58"/>
      <c r="AJ176" s="88">
        <f t="shared" si="16"/>
        <v>1260603</v>
      </c>
      <c r="AK176" s="88"/>
      <c r="AL176" s="88"/>
      <c r="AM176" s="88"/>
      <c r="AN176" s="88"/>
      <c r="AO176" s="58">
        <v>1270000</v>
      </c>
      <c r="AP176" s="58"/>
      <c r="AQ176" s="58"/>
      <c r="AR176" s="58"/>
      <c r="AS176" s="58"/>
      <c r="AT176" s="88">
        <v>0</v>
      </c>
      <c r="AU176" s="88"/>
      <c r="AV176" s="88"/>
      <c r="AW176" s="88"/>
      <c r="AX176" s="88"/>
      <c r="AY176" s="58">
        <v>0</v>
      </c>
      <c r="AZ176" s="58"/>
      <c r="BA176" s="58"/>
      <c r="BB176" s="58"/>
      <c r="BC176" s="58"/>
      <c r="BD176" s="88">
        <f t="shared" si="17"/>
        <v>1270000</v>
      </c>
      <c r="BE176" s="88"/>
      <c r="BF176" s="88"/>
      <c r="BG176" s="88"/>
      <c r="BH176" s="88"/>
    </row>
    <row r="177" spans="1:60" s="4" customFormat="1" ht="12.75" customHeight="1" x14ac:dyDescent="0.2">
      <c r="A177" s="52">
        <v>5</v>
      </c>
      <c r="B177" s="53"/>
      <c r="C177" s="53"/>
      <c r="D177" s="55" t="s">
        <v>193</v>
      </c>
      <c r="E177" s="56"/>
      <c r="F177" s="56"/>
      <c r="G177" s="56"/>
      <c r="H177" s="56"/>
      <c r="I177" s="56"/>
      <c r="J177" s="56"/>
      <c r="K177" s="56"/>
      <c r="L177" s="56"/>
      <c r="M177" s="56"/>
      <c r="N177" s="56"/>
      <c r="O177" s="56"/>
      <c r="P177" s="56"/>
      <c r="Q177" s="56"/>
      <c r="R177" s="56"/>
      <c r="S177" s="56"/>
      <c r="T177" s="57"/>
      <c r="U177" s="59">
        <v>120846</v>
      </c>
      <c r="V177" s="60"/>
      <c r="W177" s="60"/>
      <c r="X177" s="60"/>
      <c r="Y177" s="61"/>
      <c r="Z177" s="59">
        <v>0</v>
      </c>
      <c r="AA177" s="60"/>
      <c r="AB177" s="60"/>
      <c r="AC177" s="60"/>
      <c r="AD177" s="61"/>
      <c r="AE177" s="58">
        <v>0</v>
      </c>
      <c r="AF177" s="58"/>
      <c r="AG177" s="58"/>
      <c r="AH177" s="58"/>
      <c r="AI177" s="58"/>
      <c r="AJ177" s="88">
        <f t="shared" si="16"/>
        <v>120846</v>
      </c>
      <c r="AK177" s="88"/>
      <c r="AL177" s="88"/>
      <c r="AM177" s="88"/>
      <c r="AN177" s="88"/>
      <c r="AO177" s="58">
        <v>130514</v>
      </c>
      <c r="AP177" s="58"/>
      <c r="AQ177" s="58"/>
      <c r="AR177" s="58"/>
      <c r="AS177" s="58"/>
      <c r="AT177" s="88">
        <v>0</v>
      </c>
      <c r="AU177" s="88"/>
      <c r="AV177" s="88"/>
      <c r="AW177" s="88"/>
      <c r="AX177" s="88"/>
      <c r="AY177" s="58">
        <v>0</v>
      </c>
      <c r="AZ177" s="58"/>
      <c r="BA177" s="58"/>
      <c r="BB177" s="58"/>
      <c r="BC177" s="58"/>
      <c r="BD177" s="88">
        <f t="shared" si="17"/>
        <v>130514</v>
      </c>
      <c r="BE177" s="88"/>
      <c r="BF177" s="88"/>
      <c r="BG177" s="88"/>
      <c r="BH177" s="88"/>
    </row>
    <row r="178" spans="1:60" s="4" customFormat="1" ht="12.75" customHeight="1" x14ac:dyDescent="0.2">
      <c r="A178" s="52">
        <v>6</v>
      </c>
      <c r="B178" s="53"/>
      <c r="C178" s="53"/>
      <c r="D178" s="55" t="s">
        <v>194</v>
      </c>
      <c r="E178" s="56"/>
      <c r="F178" s="56"/>
      <c r="G178" s="56"/>
      <c r="H178" s="56"/>
      <c r="I178" s="56"/>
      <c r="J178" s="56"/>
      <c r="K178" s="56"/>
      <c r="L178" s="56"/>
      <c r="M178" s="56"/>
      <c r="N178" s="56"/>
      <c r="O178" s="56"/>
      <c r="P178" s="56"/>
      <c r="Q178" s="56"/>
      <c r="R178" s="56"/>
      <c r="S178" s="56"/>
      <c r="T178" s="57"/>
      <c r="U178" s="59">
        <v>7839112</v>
      </c>
      <c r="V178" s="60"/>
      <c r="W178" s="60"/>
      <c r="X178" s="60"/>
      <c r="Y178" s="61"/>
      <c r="Z178" s="59">
        <v>0</v>
      </c>
      <c r="AA178" s="60"/>
      <c r="AB178" s="60"/>
      <c r="AC178" s="60"/>
      <c r="AD178" s="61"/>
      <c r="AE178" s="58">
        <v>0</v>
      </c>
      <c r="AF178" s="58"/>
      <c r="AG178" s="58"/>
      <c r="AH178" s="58"/>
      <c r="AI178" s="58"/>
      <c r="AJ178" s="88">
        <f t="shared" si="16"/>
        <v>7839112</v>
      </c>
      <c r="AK178" s="88"/>
      <c r="AL178" s="88"/>
      <c r="AM178" s="88"/>
      <c r="AN178" s="88"/>
      <c r="AO178" s="58">
        <v>8466241</v>
      </c>
      <c r="AP178" s="58"/>
      <c r="AQ178" s="58"/>
      <c r="AR178" s="58"/>
      <c r="AS178" s="58"/>
      <c r="AT178" s="88">
        <v>0</v>
      </c>
      <c r="AU178" s="88"/>
      <c r="AV178" s="88"/>
      <c r="AW178" s="88"/>
      <c r="AX178" s="88"/>
      <c r="AY178" s="58">
        <v>0</v>
      </c>
      <c r="AZ178" s="58"/>
      <c r="BA178" s="58"/>
      <c r="BB178" s="58"/>
      <c r="BC178" s="58"/>
      <c r="BD178" s="88">
        <f t="shared" si="17"/>
        <v>8466241</v>
      </c>
      <c r="BE178" s="88"/>
      <c r="BF178" s="88"/>
      <c r="BG178" s="88"/>
      <c r="BH178" s="88"/>
    </row>
    <row r="179" spans="1:60" s="4" customFormat="1" ht="25.5" customHeight="1" x14ac:dyDescent="0.2">
      <c r="A179" s="52">
        <v>7</v>
      </c>
      <c r="B179" s="53"/>
      <c r="C179" s="53"/>
      <c r="D179" s="55" t="s">
        <v>195</v>
      </c>
      <c r="E179" s="56"/>
      <c r="F179" s="56"/>
      <c r="G179" s="56"/>
      <c r="H179" s="56"/>
      <c r="I179" s="56"/>
      <c r="J179" s="56"/>
      <c r="K179" s="56"/>
      <c r="L179" s="56"/>
      <c r="M179" s="56"/>
      <c r="N179" s="56"/>
      <c r="O179" s="56"/>
      <c r="P179" s="56"/>
      <c r="Q179" s="56"/>
      <c r="R179" s="56"/>
      <c r="S179" s="56"/>
      <c r="T179" s="57"/>
      <c r="U179" s="59">
        <v>797027</v>
      </c>
      <c r="V179" s="60"/>
      <c r="W179" s="60"/>
      <c r="X179" s="60"/>
      <c r="Y179" s="61"/>
      <c r="Z179" s="59">
        <v>0</v>
      </c>
      <c r="AA179" s="60"/>
      <c r="AB179" s="60"/>
      <c r="AC179" s="60"/>
      <c r="AD179" s="61"/>
      <c r="AE179" s="58">
        <v>0</v>
      </c>
      <c r="AF179" s="58"/>
      <c r="AG179" s="58"/>
      <c r="AH179" s="58"/>
      <c r="AI179" s="58"/>
      <c r="AJ179" s="88">
        <f t="shared" si="16"/>
        <v>797027</v>
      </c>
      <c r="AK179" s="88"/>
      <c r="AL179" s="88"/>
      <c r="AM179" s="88"/>
      <c r="AN179" s="88"/>
      <c r="AO179" s="58">
        <v>897000</v>
      </c>
      <c r="AP179" s="58"/>
      <c r="AQ179" s="58"/>
      <c r="AR179" s="58"/>
      <c r="AS179" s="58"/>
      <c r="AT179" s="88">
        <v>0</v>
      </c>
      <c r="AU179" s="88"/>
      <c r="AV179" s="88"/>
      <c r="AW179" s="88"/>
      <c r="AX179" s="88"/>
      <c r="AY179" s="58">
        <v>0</v>
      </c>
      <c r="AZ179" s="58"/>
      <c r="BA179" s="58"/>
      <c r="BB179" s="58"/>
      <c r="BC179" s="58"/>
      <c r="BD179" s="88">
        <f t="shared" si="17"/>
        <v>897000</v>
      </c>
      <c r="BE179" s="88"/>
      <c r="BF179" s="88"/>
      <c r="BG179" s="88"/>
      <c r="BH179" s="88"/>
    </row>
    <row r="180" spans="1:60" s="4" customFormat="1" ht="25.5" customHeight="1" x14ac:dyDescent="0.2">
      <c r="A180" s="52">
        <v>8</v>
      </c>
      <c r="B180" s="53"/>
      <c r="C180" s="53"/>
      <c r="D180" s="55" t="s">
        <v>196</v>
      </c>
      <c r="E180" s="56"/>
      <c r="F180" s="56"/>
      <c r="G180" s="56"/>
      <c r="H180" s="56"/>
      <c r="I180" s="56"/>
      <c r="J180" s="56"/>
      <c r="K180" s="56"/>
      <c r="L180" s="56"/>
      <c r="M180" s="56"/>
      <c r="N180" s="56"/>
      <c r="O180" s="56"/>
      <c r="P180" s="56"/>
      <c r="Q180" s="56"/>
      <c r="R180" s="56"/>
      <c r="S180" s="56"/>
      <c r="T180" s="57"/>
      <c r="U180" s="59">
        <v>1074687</v>
      </c>
      <c r="V180" s="60"/>
      <c r="W180" s="60"/>
      <c r="X180" s="60"/>
      <c r="Y180" s="61"/>
      <c r="Z180" s="59">
        <v>0</v>
      </c>
      <c r="AA180" s="60"/>
      <c r="AB180" s="60"/>
      <c r="AC180" s="60"/>
      <c r="AD180" s="61"/>
      <c r="AE180" s="58">
        <v>0</v>
      </c>
      <c r="AF180" s="58"/>
      <c r="AG180" s="58"/>
      <c r="AH180" s="58"/>
      <c r="AI180" s="58"/>
      <c r="AJ180" s="88">
        <f t="shared" si="16"/>
        <v>1074687</v>
      </c>
      <c r="AK180" s="88"/>
      <c r="AL180" s="88"/>
      <c r="AM180" s="88"/>
      <c r="AN180" s="88"/>
      <c r="AO180" s="58">
        <v>1174000</v>
      </c>
      <c r="AP180" s="58"/>
      <c r="AQ180" s="58"/>
      <c r="AR180" s="58"/>
      <c r="AS180" s="58"/>
      <c r="AT180" s="88">
        <v>0</v>
      </c>
      <c r="AU180" s="88"/>
      <c r="AV180" s="88"/>
      <c r="AW180" s="88"/>
      <c r="AX180" s="88"/>
      <c r="AY180" s="58">
        <v>0</v>
      </c>
      <c r="AZ180" s="58"/>
      <c r="BA180" s="58"/>
      <c r="BB180" s="58"/>
      <c r="BC180" s="58"/>
      <c r="BD180" s="88">
        <f t="shared" si="17"/>
        <v>1174000</v>
      </c>
      <c r="BE180" s="88"/>
      <c r="BF180" s="88"/>
      <c r="BG180" s="88"/>
      <c r="BH180" s="88"/>
    </row>
    <row r="181" spans="1:60" s="4" customFormat="1" ht="25.5" customHeight="1" x14ac:dyDescent="0.2">
      <c r="A181" s="52">
        <v>9</v>
      </c>
      <c r="B181" s="53"/>
      <c r="C181" s="53"/>
      <c r="D181" s="55" t="s">
        <v>197</v>
      </c>
      <c r="E181" s="56"/>
      <c r="F181" s="56"/>
      <c r="G181" s="56"/>
      <c r="H181" s="56"/>
      <c r="I181" s="56"/>
      <c r="J181" s="56"/>
      <c r="K181" s="56"/>
      <c r="L181" s="56"/>
      <c r="M181" s="56"/>
      <c r="N181" s="56"/>
      <c r="O181" s="56"/>
      <c r="P181" s="56"/>
      <c r="Q181" s="56"/>
      <c r="R181" s="56"/>
      <c r="S181" s="56"/>
      <c r="T181" s="57"/>
      <c r="U181" s="59">
        <v>62327</v>
      </c>
      <c r="V181" s="60"/>
      <c r="W181" s="60"/>
      <c r="X181" s="60"/>
      <c r="Y181" s="61"/>
      <c r="Z181" s="59">
        <v>0</v>
      </c>
      <c r="AA181" s="60"/>
      <c r="AB181" s="60"/>
      <c r="AC181" s="60"/>
      <c r="AD181" s="61"/>
      <c r="AE181" s="58">
        <v>0</v>
      </c>
      <c r="AF181" s="58"/>
      <c r="AG181" s="58"/>
      <c r="AH181" s="58"/>
      <c r="AI181" s="58"/>
      <c r="AJ181" s="88">
        <f t="shared" si="16"/>
        <v>62327</v>
      </c>
      <c r="AK181" s="88"/>
      <c r="AL181" s="88"/>
      <c r="AM181" s="88"/>
      <c r="AN181" s="88"/>
      <c r="AO181" s="58">
        <v>72327</v>
      </c>
      <c r="AP181" s="58"/>
      <c r="AQ181" s="58"/>
      <c r="AR181" s="58"/>
      <c r="AS181" s="58"/>
      <c r="AT181" s="88">
        <v>0</v>
      </c>
      <c r="AU181" s="88"/>
      <c r="AV181" s="88"/>
      <c r="AW181" s="88"/>
      <c r="AX181" s="88"/>
      <c r="AY181" s="58">
        <v>0</v>
      </c>
      <c r="AZ181" s="58"/>
      <c r="BA181" s="58"/>
      <c r="BB181" s="58"/>
      <c r="BC181" s="58"/>
      <c r="BD181" s="88">
        <f t="shared" si="17"/>
        <v>72327</v>
      </c>
      <c r="BE181" s="88"/>
      <c r="BF181" s="88"/>
      <c r="BG181" s="88"/>
      <c r="BH181" s="88"/>
    </row>
    <row r="182" spans="1:60" s="4" customFormat="1" ht="12.75" customHeight="1" x14ac:dyDescent="0.2">
      <c r="A182" s="52">
        <v>10</v>
      </c>
      <c r="B182" s="53"/>
      <c r="C182" s="53"/>
      <c r="D182" s="55" t="s">
        <v>198</v>
      </c>
      <c r="E182" s="56"/>
      <c r="F182" s="56"/>
      <c r="G182" s="56"/>
      <c r="H182" s="56"/>
      <c r="I182" s="56"/>
      <c r="J182" s="56"/>
      <c r="K182" s="56"/>
      <c r="L182" s="56"/>
      <c r="M182" s="56"/>
      <c r="N182" s="56"/>
      <c r="O182" s="56"/>
      <c r="P182" s="56"/>
      <c r="Q182" s="56"/>
      <c r="R182" s="56"/>
      <c r="S182" s="56"/>
      <c r="T182" s="57"/>
      <c r="U182" s="59">
        <v>2677123</v>
      </c>
      <c r="V182" s="60"/>
      <c r="W182" s="60"/>
      <c r="X182" s="60"/>
      <c r="Y182" s="61"/>
      <c r="Z182" s="59">
        <v>0</v>
      </c>
      <c r="AA182" s="60"/>
      <c r="AB182" s="60"/>
      <c r="AC182" s="60"/>
      <c r="AD182" s="61"/>
      <c r="AE182" s="58">
        <v>0</v>
      </c>
      <c r="AF182" s="58"/>
      <c r="AG182" s="58"/>
      <c r="AH182" s="58"/>
      <c r="AI182" s="58"/>
      <c r="AJ182" s="88">
        <f t="shared" si="16"/>
        <v>2677123</v>
      </c>
      <c r="AK182" s="88"/>
      <c r="AL182" s="88"/>
      <c r="AM182" s="88"/>
      <c r="AN182" s="88"/>
      <c r="AO182" s="58">
        <v>2891293</v>
      </c>
      <c r="AP182" s="58"/>
      <c r="AQ182" s="58"/>
      <c r="AR182" s="58"/>
      <c r="AS182" s="58"/>
      <c r="AT182" s="88">
        <v>0</v>
      </c>
      <c r="AU182" s="88"/>
      <c r="AV182" s="88"/>
      <c r="AW182" s="88"/>
      <c r="AX182" s="88"/>
      <c r="AY182" s="58">
        <v>0</v>
      </c>
      <c r="AZ182" s="58"/>
      <c r="BA182" s="58"/>
      <c r="BB182" s="58"/>
      <c r="BC182" s="58"/>
      <c r="BD182" s="88">
        <f t="shared" si="17"/>
        <v>2891293</v>
      </c>
      <c r="BE182" s="88"/>
      <c r="BF182" s="88"/>
      <c r="BG182" s="88"/>
      <c r="BH182" s="88"/>
    </row>
    <row r="183" spans="1:60" s="4" customFormat="1" ht="12.75" customHeight="1" x14ac:dyDescent="0.2">
      <c r="A183" s="52">
        <v>11</v>
      </c>
      <c r="B183" s="53"/>
      <c r="C183" s="53"/>
      <c r="D183" s="55" t="s">
        <v>199</v>
      </c>
      <c r="E183" s="56"/>
      <c r="F183" s="56"/>
      <c r="G183" s="56"/>
      <c r="H183" s="56"/>
      <c r="I183" s="56"/>
      <c r="J183" s="56"/>
      <c r="K183" s="56"/>
      <c r="L183" s="56"/>
      <c r="M183" s="56"/>
      <c r="N183" s="56"/>
      <c r="O183" s="56"/>
      <c r="P183" s="56"/>
      <c r="Q183" s="56"/>
      <c r="R183" s="56"/>
      <c r="S183" s="56"/>
      <c r="T183" s="57"/>
      <c r="U183" s="59">
        <v>514545</v>
      </c>
      <c r="V183" s="60"/>
      <c r="W183" s="60"/>
      <c r="X183" s="60"/>
      <c r="Y183" s="61"/>
      <c r="Z183" s="59">
        <v>0</v>
      </c>
      <c r="AA183" s="60"/>
      <c r="AB183" s="60"/>
      <c r="AC183" s="60"/>
      <c r="AD183" s="61"/>
      <c r="AE183" s="58">
        <v>0</v>
      </c>
      <c r="AF183" s="58"/>
      <c r="AG183" s="58"/>
      <c r="AH183" s="58"/>
      <c r="AI183" s="58"/>
      <c r="AJ183" s="88">
        <f t="shared" si="16"/>
        <v>514545</v>
      </c>
      <c r="AK183" s="88"/>
      <c r="AL183" s="88"/>
      <c r="AM183" s="88"/>
      <c r="AN183" s="88"/>
      <c r="AO183" s="58">
        <v>555709</v>
      </c>
      <c r="AP183" s="58"/>
      <c r="AQ183" s="58"/>
      <c r="AR183" s="58"/>
      <c r="AS183" s="58"/>
      <c r="AT183" s="88">
        <v>0</v>
      </c>
      <c r="AU183" s="88"/>
      <c r="AV183" s="88"/>
      <c r="AW183" s="88"/>
      <c r="AX183" s="88"/>
      <c r="AY183" s="58">
        <v>0</v>
      </c>
      <c r="AZ183" s="58"/>
      <c r="BA183" s="58"/>
      <c r="BB183" s="58"/>
      <c r="BC183" s="58"/>
      <c r="BD183" s="88">
        <f t="shared" si="17"/>
        <v>555709</v>
      </c>
      <c r="BE183" s="88"/>
      <c r="BF183" s="88"/>
      <c r="BG183" s="88"/>
      <c r="BH183" s="88"/>
    </row>
    <row r="184" spans="1:60" s="4" customFormat="1" ht="25.5" customHeight="1" x14ac:dyDescent="0.2">
      <c r="A184" s="52">
        <v>12</v>
      </c>
      <c r="B184" s="53"/>
      <c r="C184" s="53"/>
      <c r="D184" s="55" t="s">
        <v>200</v>
      </c>
      <c r="E184" s="56"/>
      <c r="F184" s="56"/>
      <c r="G184" s="56"/>
      <c r="H184" s="56"/>
      <c r="I184" s="56"/>
      <c r="J184" s="56"/>
      <c r="K184" s="56"/>
      <c r="L184" s="56"/>
      <c r="M184" s="56"/>
      <c r="N184" s="56"/>
      <c r="O184" s="56"/>
      <c r="P184" s="56"/>
      <c r="Q184" s="56"/>
      <c r="R184" s="56"/>
      <c r="S184" s="56"/>
      <c r="T184" s="57"/>
      <c r="U184" s="59">
        <v>88867</v>
      </c>
      <c r="V184" s="60"/>
      <c r="W184" s="60"/>
      <c r="X184" s="60"/>
      <c r="Y184" s="61"/>
      <c r="Z184" s="59">
        <v>0</v>
      </c>
      <c r="AA184" s="60"/>
      <c r="AB184" s="60"/>
      <c r="AC184" s="60"/>
      <c r="AD184" s="61"/>
      <c r="AE184" s="58">
        <v>0</v>
      </c>
      <c r="AF184" s="58"/>
      <c r="AG184" s="58"/>
      <c r="AH184" s="58"/>
      <c r="AI184" s="58"/>
      <c r="AJ184" s="88">
        <f t="shared" si="16"/>
        <v>88867</v>
      </c>
      <c r="AK184" s="88"/>
      <c r="AL184" s="88"/>
      <c r="AM184" s="88"/>
      <c r="AN184" s="88"/>
      <c r="AO184" s="58">
        <v>98867</v>
      </c>
      <c r="AP184" s="58"/>
      <c r="AQ184" s="58"/>
      <c r="AR184" s="58"/>
      <c r="AS184" s="58"/>
      <c r="AT184" s="88">
        <v>0</v>
      </c>
      <c r="AU184" s="88"/>
      <c r="AV184" s="88"/>
      <c r="AW184" s="88"/>
      <c r="AX184" s="88"/>
      <c r="AY184" s="58">
        <v>0</v>
      </c>
      <c r="AZ184" s="58"/>
      <c r="BA184" s="58"/>
      <c r="BB184" s="58"/>
      <c r="BC184" s="58"/>
      <c r="BD184" s="88">
        <f t="shared" si="17"/>
        <v>98867</v>
      </c>
      <c r="BE184" s="88"/>
      <c r="BF184" s="88"/>
      <c r="BG184" s="88"/>
      <c r="BH184" s="88"/>
    </row>
    <row r="185" spans="1:60" s="4" customFormat="1" ht="12.75" customHeight="1" x14ac:dyDescent="0.2">
      <c r="A185" s="52">
        <v>13</v>
      </c>
      <c r="B185" s="53"/>
      <c r="C185" s="53"/>
      <c r="D185" s="55" t="s">
        <v>201</v>
      </c>
      <c r="E185" s="56"/>
      <c r="F185" s="56"/>
      <c r="G185" s="56"/>
      <c r="H185" s="56"/>
      <c r="I185" s="56"/>
      <c r="J185" s="56"/>
      <c r="K185" s="56"/>
      <c r="L185" s="56"/>
      <c r="M185" s="56"/>
      <c r="N185" s="56"/>
      <c r="O185" s="56"/>
      <c r="P185" s="56"/>
      <c r="Q185" s="56"/>
      <c r="R185" s="56"/>
      <c r="S185" s="56"/>
      <c r="T185" s="57"/>
      <c r="U185" s="59">
        <v>380372</v>
      </c>
      <c r="V185" s="60"/>
      <c r="W185" s="60"/>
      <c r="X185" s="60"/>
      <c r="Y185" s="61"/>
      <c r="Z185" s="59">
        <v>0</v>
      </c>
      <c r="AA185" s="60"/>
      <c r="AB185" s="60"/>
      <c r="AC185" s="60"/>
      <c r="AD185" s="61"/>
      <c r="AE185" s="58">
        <v>0</v>
      </c>
      <c r="AF185" s="58"/>
      <c r="AG185" s="58"/>
      <c r="AH185" s="58"/>
      <c r="AI185" s="58"/>
      <c r="AJ185" s="88">
        <f t="shared" si="16"/>
        <v>380372</v>
      </c>
      <c r="AK185" s="88"/>
      <c r="AL185" s="88"/>
      <c r="AM185" s="88"/>
      <c r="AN185" s="88"/>
      <c r="AO185" s="58">
        <v>480372</v>
      </c>
      <c r="AP185" s="58"/>
      <c r="AQ185" s="58"/>
      <c r="AR185" s="58"/>
      <c r="AS185" s="58"/>
      <c r="AT185" s="88">
        <v>0</v>
      </c>
      <c r="AU185" s="88"/>
      <c r="AV185" s="88"/>
      <c r="AW185" s="88"/>
      <c r="AX185" s="88"/>
      <c r="AY185" s="58">
        <v>0</v>
      </c>
      <c r="AZ185" s="58"/>
      <c r="BA185" s="58"/>
      <c r="BB185" s="58"/>
      <c r="BC185" s="58"/>
      <c r="BD185" s="88">
        <f t="shared" si="17"/>
        <v>480372</v>
      </c>
      <c r="BE185" s="88"/>
      <c r="BF185" s="88"/>
      <c r="BG185" s="88"/>
      <c r="BH185" s="88"/>
    </row>
    <row r="186" spans="1:60" s="4" customFormat="1" ht="12.75" customHeight="1" x14ac:dyDescent="0.2">
      <c r="A186" s="52">
        <v>14</v>
      </c>
      <c r="B186" s="53"/>
      <c r="C186" s="53"/>
      <c r="D186" s="55" t="s">
        <v>202</v>
      </c>
      <c r="E186" s="56"/>
      <c r="F186" s="56"/>
      <c r="G186" s="56"/>
      <c r="H186" s="56"/>
      <c r="I186" s="56"/>
      <c r="J186" s="56"/>
      <c r="K186" s="56"/>
      <c r="L186" s="56"/>
      <c r="M186" s="56"/>
      <c r="N186" s="56"/>
      <c r="O186" s="56"/>
      <c r="P186" s="56"/>
      <c r="Q186" s="56"/>
      <c r="R186" s="56"/>
      <c r="S186" s="56"/>
      <c r="T186" s="57"/>
      <c r="U186" s="59">
        <v>0</v>
      </c>
      <c r="V186" s="60"/>
      <c r="W186" s="60"/>
      <c r="X186" s="60"/>
      <c r="Y186" s="61"/>
      <c r="Z186" s="59">
        <v>0</v>
      </c>
      <c r="AA186" s="60"/>
      <c r="AB186" s="60"/>
      <c r="AC186" s="60"/>
      <c r="AD186" s="61"/>
      <c r="AE186" s="58">
        <v>0</v>
      </c>
      <c r="AF186" s="58"/>
      <c r="AG186" s="58"/>
      <c r="AH186" s="58"/>
      <c r="AI186" s="58"/>
      <c r="AJ186" s="88">
        <f t="shared" si="16"/>
        <v>0</v>
      </c>
      <c r="AK186" s="88"/>
      <c r="AL186" s="88"/>
      <c r="AM186" s="88"/>
      <c r="AN186" s="88"/>
      <c r="AO186" s="58">
        <v>0</v>
      </c>
      <c r="AP186" s="58"/>
      <c r="AQ186" s="58"/>
      <c r="AR186" s="58"/>
      <c r="AS186" s="58"/>
      <c r="AT186" s="88">
        <v>0</v>
      </c>
      <c r="AU186" s="88"/>
      <c r="AV186" s="88"/>
      <c r="AW186" s="88"/>
      <c r="AX186" s="88"/>
      <c r="AY186" s="58">
        <v>0</v>
      </c>
      <c r="AZ186" s="58"/>
      <c r="BA186" s="58"/>
      <c r="BB186" s="58"/>
      <c r="BC186" s="58"/>
      <c r="BD186" s="88">
        <f t="shared" si="17"/>
        <v>0</v>
      </c>
      <c r="BE186" s="88"/>
      <c r="BF186" s="88"/>
      <c r="BG186" s="88"/>
      <c r="BH186" s="88"/>
    </row>
    <row r="187" spans="1:60" s="4" customFormat="1" ht="25.5" customHeight="1" x14ac:dyDescent="0.2">
      <c r="A187" s="52">
        <v>15</v>
      </c>
      <c r="B187" s="53"/>
      <c r="C187" s="53"/>
      <c r="D187" s="55" t="s">
        <v>203</v>
      </c>
      <c r="E187" s="56"/>
      <c r="F187" s="56"/>
      <c r="G187" s="56"/>
      <c r="H187" s="56"/>
      <c r="I187" s="56"/>
      <c r="J187" s="56"/>
      <c r="K187" s="56"/>
      <c r="L187" s="56"/>
      <c r="M187" s="56"/>
      <c r="N187" s="56"/>
      <c r="O187" s="56"/>
      <c r="P187" s="56"/>
      <c r="Q187" s="56"/>
      <c r="R187" s="56"/>
      <c r="S187" s="56"/>
      <c r="T187" s="57"/>
      <c r="U187" s="59">
        <v>0</v>
      </c>
      <c r="V187" s="60"/>
      <c r="W187" s="60"/>
      <c r="X187" s="60"/>
      <c r="Y187" s="61"/>
      <c r="Z187" s="59">
        <v>0</v>
      </c>
      <c r="AA187" s="60"/>
      <c r="AB187" s="60"/>
      <c r="AC187" s="60"/>
      <c r="AD187" s="61"/>
      <c r="AE187" s="58">
        <v>0</v>
      </c>
      <c r="AF187" s="58"/>
      <c r="AG187" s="58"/>
      <c r="AH187" s="58"/>
      <c r="AI187" s="58"/>
      <c r="AJ187" s="88">
        <f t="shared" si="16"/>
        <v>0</v>
      </c>
      <c r="AK187" s="88"/>
      <c r="AL187" s="88"/>
      <c r="AM187" s="88"/>
      <c r="AN187" s="88"/>
      <c r="AO187" s="58">
        <v>0</v>
      </c>
      <c r="AP187" s="58"/>
      <c r="AQ187" s="58"/>
      <c r="AR187" s="58"/>
      <c r="AS187" s="58"/>
      <c r="AT187" s="88">
        <v>0</v>
      </c>
      <c r="AU187" s="88"/>
      <c r="AV187" s="88"/>
      <c r="AW187" s="88"/>
      <c r="AX187" s="88"/>
      <c r="AY187" s="58">
        <v>0</v>
      </c>
      <c r="AZ187" s="58"/>
      <c r="BA187" s="58"/>
      <c r="BB187" s="58"/>
      <c r="BC187" s="58"/>
      <c r="BD187" s="88">
        <f t="shared" si="17"/>
        <v>0</v>
      </c>
      <c r="BE187" s="88"/>
      <c r="BF187" s="88"/>
      <c r="BG187" s="88"/>
      <c r="BH187" s="88"/>
    </row>
    <row r="188" spans="1:60" s="4" customFormat="1" ht="12.75" customHeight="1" x14ac:dyDescent="0.2">
      <c r="A188" s="52">
        <v>16</v>
      </c>
      <c r="B188" s="53"/>
      <c r="C188" s="53"/>
      <c r="D188" s="55" t="s">
        <v>204</v>
      </c>
      <c r="E188" s="56"/>
      <c r="F188" s="56"/>
      <c r="G188" s="56"/>
      <c r="H188" s="56"/>
      <c r="I188" s="56"/>
      <c r="J188" s="56"/>
      <c r="K188" s="56"/>
      <c r="L188" s="56"/>
      <c r="M188" s="56"/>
      <c r="N188" s="56"/>
      <c r="O188" s="56"/>
      <c r="P188" s="56"/>
      <c r="Q188" s="56"/>
      <c r="R188" s="56"/>
      <c r="S188" s="56"/>
      <c r="T188" s="57"/>
      <c r="U188" s="59">
        <v>22641</v>
      </c>
      <c r="V188" s="60"/>
      <c r="W188" s="60"/>
      <c r="X188" s="60"/>
      <c r="Y188" s="61"/>
      <c r="Z188" s="59">
        <v>0</v>
      </c>
      <c r="AA188" s="60"/>
      <c r="AB188" s="60"/>
      <c r="AC188" s="60"/>
      <c r="AD188" s="61"/>
      <c r="AE188" s="58">
        <v>0</v>
      </c>
      <c r="AF188" s="58"/>
      <c r="AG188" s="58"/>
      <c r="AH188" s="58"/>
      <c r="AI188" s="58"/>
      <c r="AJ188" s="88">
        <f t="shared" si="16"/>
        <v>22641</v>
      </c>
      <c r="AK188" s="88"/>
      <c r="AL188" s="88"/>
      <c r="AM188" s="88"/>
      <c r="AN188" s="88"/>
      <c r="AO188" s="58">
        <v>32641</v>
      </c>
      <c r="AP188" s="58"/>
      <c r="AQ188" s="58"/>
      <c r="AR188" s="58"/>
      <c r="AS188" s="58"/>
      <c r="AT188" s="88">
        <v>0</v>
      </c>
      <c r="AU188" s="88"/>
      <c r="AV188" s="88"/>
      <c r="AW188" s="88"/>
      <c r="AX188" s="88"/>
      <c r="AY188" s="58">
        <v>0</v>
      </c>
      <c r="AZ188" s="58"/>
      <c r="BA188" s="58"/>
      <c r="BB188" s="58"/>
      <c r="BC188" s="58"/>
      <c r="BD188" s="88">
        <f t="shared" si="17"/>
        <v>32641</v>
      </c>
      <c r="BE188" s="88"/>
      <c r="BF188" s="88"/>
      <c r="BG188" s="88"/>
      <c r="BH188" s="88"/>
    </row>
    <row r="189" spans="1:60" s="4" customFormat="1" ht="12.75" customHeight="1" x14ac:dyDescent="0.2">
      <c r="A189" s="52">
        <v>17</v>
      </c>
      <c r="B189" s="53"/>
      <c r="C189" s="53"/>
      <c r="D189" s="55" t="s">
        <v>205</v>
      </c>
      <c r="E189" s="56"/>
      <c r="F189" s="56"/>
      <c r="G189" s="56"/>
      <c r="H189" s="56"/>
      <c r="I189" s="56"/>
      <c r="J189" s="56"/>
      <c r="K189" s="56"/>
      <c r="L189" s="56"/>
      <c r="M189" s="56"/>
      <c r="N189" s="56"/>
      <c r="O189" s="56"/>
      <c r="P189" s="56"/>
      <c r="Q189" s="56"/>
      <c r="R189" s="56"/>
      <c r="S189" s="56"/>
      <c r="T189" s="57"/>
      <c r="U189" s="59">
        <v>257838</v>
      </c>
      <c r="V189" s="60"/>
      <c r="W189" s="60"/>
      <c r="X189" s="60"/>
      <c r="Y189" s="61"/>
      <c r="Z189" s="59">
        <v>0</v>
      </c>
      <c r="AA189" s="60"/>
      <c r="AB189" s="60"/>
      <c r="AC189" s="60"/>
      <c r="AD189" s="61"/>
      <c r="AE189" s="58">
        <v>0</v>
      </c>
      <c r="AF189" s="58"/>
      <c r="AG189" s="58"/>
      <c r="AH189" s="58"/>
      <c r="AI189" s="58"/>
      <c r="AJ189" s="88">
        <f t="shared" si="16"/>
        <v>257838</v>
      </c>
      <c r="AK189" s="88"/>
      <c r="AL189" s="88"/>
      <c r="AM189" s="88"/>
      <c r="AN189" s="88"/>
      <c r="AO189" s="58">
        <v>333971</v>
      </c>
      <c r="AP189" s="58"/>
      <c r="AQ189" s="58"/>
      <c r="AR189" s="58"/>
      <c r="AS189" s="58"/>
      <c r="AT189" s="88">
        <v>0</v>
      </c>
      <c r="AU189" s="88"/>
      <c r="AV189" s="88"/>
      <c r="AW189" s="88"/>
      <c r="AX189" s="88"/>
      <c r="AY189" s="58">
        <v>0</v>
      </c>
      <c r="AZ189" s="58"/>
      <c r="BA189" s="58"/>
      <c r="BB189" s="58"/>
      <c r="BC189" s="58"/>
      <c r="BD189" s="88">
        <f t="shared" si="17"/>
        <v>333971</v>
      </c>
      <c r="BE189" s="88"/>
      <c r="BF189" s="88"/>
      <c r="BG189" s="88"/>
      <c r="BH189" s="88"/>
    </row>
    <row r="190" spans="1:60" s="4" customFormat="1" ht="12.75" customHeight="1" x14ac:dyDescent="0.2">
      <c r="A190" s="52">
        <v>18</v>
      </c>
      <c r="B190" s="53"/>
      <c r="C190" s="53"/>
      <c r="D190" s="55" t="s">
        <v>206</v>
      </c>
      <c r="E190" s="56"/>
      <c r="F190" s="56"/>
      <c r="G190" s="56"/>
      <c r="H190" s="56"/>
      <c r="I190" s="56"/>
      <c r="J190" s="56"/>
      <c r="K190" s="56"/>
      <c r="L190" s="56"/>
      <c r="M190" s="56"/>
      <c r="N190" s="56"/>
      <c r="O190" s="56"/>
      <c r="P190" s="56"/>
      <c r="Q190" s="56"/>
      <c r="R190" s="56"/>
      <c r="S190" s="56"/>
      <c r="T190" s="57"/>
      <c r="U190" s="59">
        <v>40754</v>
      </c>
      <c r="V190" s="60"/>
      <c r="W190" s="60"/>
      <c r="X190" s="60"/>
      <c r="Y190" s="61"/>
      <c r="Z190" s="59">
        <v>0</v>
      </c>
      <c r="AA190" s="60"/>
      <c r="AB190" s="60"/>
      <c r="AC190" s="60"/>
      <c r="AD190" s="61"/>
      <c r="AE190" s="58">
        <v>0</v>
      </c>
      <c r="AF190" s="58"/>
      <c r="AG190" s="58"/>
      <c r="AH190" s="58"/>
      <c r="AI190" s="58"/>
      <c r="AJ190" s="88">
        <f t="shared" si="16"/>
        <v>40754</v>
      </c>
      <c r="AK190" s="88"/>
      <c r="AL190" s="88"/>
      <c r="AM190" s="88"/>
      <c r="AN190" s="88"/>
      <c r="AO190" s="58">
        <v>40754</v>
      </c>
      <c r="AP190" s="58"/>
      <c r="AQ190" s="58"/>
      <c r="AR190" s="58"/>
      <c r="AS190" s="58"/>
      <c r="AT190" s="88">
        <v>0</v>
      </c>
      <c r="AU190" s="88"/>
      <c r="AV190" s="88"/>
      <c r="AW190" s="88"/>
      <c r="AX190" s="88"/>
      <c r="AY190" s="58">
        <v>0</v>
      </c>
      <c r="AZ190" s="58"/>
      <c r="BA190" s="58"/>
      <c r="BB190" s="58"/>
      <c r="BC190" s="58"/>
      <c r="BD190" s="88">
        <f t="shared" si="17"/>
        <v>40754</v>
      </c>
      <c r="BE190" s="88"/>
      <c r="BF190" s="88"/>
      <c r="BG190" s="88"/>
      <c r="BH190" s="88"/>
    </row>
    <row r="191" spans="1:60" s="4" customFormat="1" ht="12.75" customHeight="1" x14ac:dyDescent="0.2">
      <c r="A191" s="52">
        <v>19</v>
      </c>
      <c r="B191" s="53"/>
      <c r="C191" s="53"/>
      <c r="D191" s="55" t="s">
        <v>207</v>
      </c>
      <c r="E191" s="56"/>
      <c r="F191" s="56"/>
      <c r="G191" s="56"/>
      <c r="H191" s="56"/>
      <c r="I191" s="56"/>
      <c r="J191" s="56"/>
      <c r="K191" s="56"/>
      <c r="L191" s="56"/>
      <c r="M191" s="56"/>
      <c r="N191" s="56"/>
      <c r="O191" s="56"/>
      <c r="P191" s="56"/>
      <c r="Q191" s="56"/>
      <c r="R191" s="56"/>
      <c r="S191" s="56"/>
      <c r="T191" s="57"/>
      <c r="U191" s="59">
        <v>46201</v>
      </c>
      <c r="V191" s="60"/>
      <c r="W191" s="60"/>
      <c r="X191" s="60"/>
      <c r="Y191" s="61"/>
      <c r="Z191" s="59">
        <v>0</v>
      </c>
      <c r="AA191" s="60"/>
      <c r="AB191" s="60"/>
      <c r="AC191" s="60"/>
      <c r="AD191" s="61"/>
      <c r="AE191" s="58">
        <v>0</v>
      </c>
      <c r="AF191" s="58"/>
      <c r="AG191" s="58"/>
      <c r="AH191" s="58"/>
      <c r="AI191" s="58"/>
      <c r="AJ191" s="88">
        <f t="shared" si="16"/>
        <v>46201</v>
      </c>
      <c r="AK191" s="88"/>
      <c r="AL191" s="88"/>
      <c r="AM191" s="88"/>
      <c r="AN191" s="88"/>
      <c r="AO191" s="58">
        <v>47000</v>
      </c>
      <c r="AP191" s="58"/>
      <c r="AQ191" s="58"/>
      <c r="AR191" s="58"/>
      <c r="AS191" s="58"/>
      <c r="AT191" s="88">
        <v>0</v>
      </c>
      <c r="AU191" s="88"/>
      <c r="AV191" s="88"/>
      <c r="AW191" s="88"/>
      <c r="AX191" s="88"/>
      <c r="AY191" s="58">
        <v>0</v>
      </c>
      <c r="AZ191" s="58"/>
      <c r="BA191" s="58"/>
      <c r="BB191" s="58"/>
      <c r="BC191" s="58"/>
      <c r="BD191" s="88">
        <f t="shared" si="17"/>
        <v>47000</v>
      </c>
      <c r="BE191" s="88"/>
      <c r="BF191" s="88"/>
      <c r="BG191" s="88"/>
      <c r="BH191" s="88"/>
    </row>
    <row r="192" spans="1:60" s="4" customFormat="1" ht="25.5" customHeight="1" x14ac:dyDescent="0.2">
      <c r="A192" s="52">
        <v>20</v>
      </c>
      <c r="B192" s="53"/>
      <c r="C192" s="53"/>
      <c r="D192" s="55" t="s">
        <v>208</v>
      </c>
      <c r="E192" s="56"/>
      <c r="F192" s="56"/>
      <c r="G192" s="56"/>
      <c r="H192" s="56"/>
      <c r="I192" s="56"/>
      <c r="J192" s="56"/>
      <c r="K192" s="56"/>
      <c r="L192" s="56"/>
      <c r="M192" s="56"/>
      <c r="N192" s="56"/>
      <c r="O192" s="56"/>
      <c r="P192" s="56"/>
      <c r="Q192" s="56"/>
      <c r="R192" s="56"/>
      <c r="S192" s="56"/>
      <c r="T192" s="57"/>
      <c r="U192" s="59">
        <v>448000</v>
      </c>
      <c r="V192" s="60"/>
      <c r="W192" s="60"/>
      <c r="X192" s="60"/>
      <c r="Y192" s="61"/>
      <c r="Z192" s="59">
        <v>0</v>
      </c>
      <c r="AA192" s="60"/>
      <c r="AB192" s="60"/>
      <c r="AC192" s="60"/>
      <c r="AD192" s="61"/>
      <c r="AE192" s="58">
        <v>0</v>
      </c>
      <c r="AF192" s="58"/>
      <c r="AG192" s="58"/>
      <c r="AH192" s="58"/>
      <c r="AI192" s="58"/>
      <c r="AJ192" s="88">
        <f t="shared" si="16"/>
        <v>448000</v>
      </c>
      <c r="AK192" s="88"/>
      <c r="AL192" s="88"/>
      <c r="AM192" s="88"/>
      <c r="AN192" s="88"/>
      <c r="AO192" s="58">
        <v>450000</v>
      </c>
      <c r="AP192" s="58"/>
      <c r="AQ192" s="58"/>
      <c r="AR192" s="58"/>
      <c r="AS192" s="58"/>
      <c r="AT192" s="88">
        <v>0</v>
      </c>
      <c r="AU192" s="88"/>
      <c r="AV192" s="88"/>
      <c r="AW192" s="88"/>
      <c r="AX192" s="88"/>
      <c r="AY192" s="58">
        <v>0</v>
      </c>
      <c r="AZ192" s="58"/>
      <c r="BA192" s="58"/>
      <c r="BB192" s="58"/>
      <c r="BC192" s="58"/>
      <c r="BD192" s="88">
        <f t="shared" si="17"/>
        <v>450000</v>
      </c>
      <c r="BE192" s="88"/>
      <c r="BF192" s="88"/>
      <c r="BG192" s="88"/>
      <c r="BH192" s="88"/>
    </row>
    <row r="193" spans="1:60" s="4" customFormat="1" ht="12.75" customHeight="1" x14ac:dyDescent="0.2">
      <c r="A193" s="52">
        <v>21</v>
      </c>
      <c r="B193" s="53"/>
      <c r="C193" s="53"/>
      <c r="D193" s="55" t="s">
        <v>209</v>
      </c>
      <c r="E193" s="56"/>
      <c r="F193" s="56"/>
      <c r="G193" s="56"/>
      <c r="H193" s="56"/>
      <c r="I193" s="56"/>
      <c r="J193" s="56"/>
      <c r="K193" s="56"/>
      <c r="L193" s="56"/>
      <c r="M193" s="56"/>
      <c r="N193" s="56"/>
      <c r="O193" s="56"/>
      <c r="P193" s="56"/>
      <c r="Q193" s="56"/>
      <c r="R193" s="56"/>
      <c r="S193" s="56"/>
      <c r="T193" s="57"/>
      <c r="U193" s="59">
        <v>42517</v>
      </c>
      <c r="V193" s="60"/>
      <c r="W193" s="60"/>
      <c r="X193" s="60"/>
      <c r="Y193" s="61"/>
      <c r="Z193" s="59">
        <v>0</v>
      </c>
      <c r="AA193" s="60"/>
      <c r="AB193" s="60"/>
      <c r="AC193" s="60"/>
      <c r="AD193" s="61"/>
      <c r="AE193" s="58">
        <v>0</v>
      </c>
      <c r="AF193" s="58"/>
      <c r="AG193" s="58"/>
      <c r="AH193" s="58"/>
      <c r="AI193" s="58"/>
      <c r="AJ193" s="88">
        <f t="shared" si="16"/>
        <v>42517</v>
      </c>
      <c r="AK193" s="88"/>
      <c r="AL193" s="88"/>
      <c r="AM193" s="88"/>
      <c r="AN193" s="88"/>
      <c r="AO193" s="58">
        <v>42517</v>
      </c>
      <c r="AP193" s="58"/>
      <c r="AQ193" s="58"/>
      <c r="AR193" s="58"/>
      <c r="AS193" s="58"/>
      <c r="AT193" s="88">
        <v>0</v>
      </c>
      <c r="AU193" s="88"/>
      <c r="AV193" s="88"/>
      <c r="AW193" s="88"/>
      <c r="AX193" s="88"/>
      <c r="AY193" s="58">
        <v>0</v>
      </c>
      <c r="AZ193" s="58"/>
      <c r="BA193" s="58"/>
      <c r="BB193" s="58"/>
      <c r="BC193" s="58"/>
      <c r="BD193" s="88">
        <f t="shared" si="17"/>
        <v>42517</v>
      </c>
      <c r="BE193" s="88"/>
      <c r="BF193" s="88"/>
      <c r="BG193" s="88"/>
      <c r="BH193" s="88"/>
    </row>
    <row r="194" spans="1:60" s="4" customFormat="1" ht="12.75" customHeight="1" x14ac:dyDescent="0.2">
      <c r="A194" s="52">
        <v>22</v>
      </c>
      <c r="B194" s="53"/>
      <c r="C194" s="53"/>
      <c r="D194" s="55" t="s">
        <v>210</v>
      </c>
      <c r="E194" s="56"/>
      <c r="F194" s="56"/>
      <c r="G194" s="56"/>
      <c r="H194" s="56"/>
      <c r="I194" s="56"/>
      <c r="J194" s="56"/>
      <c r="K194" s="56"/>
      <c r="L194" s="56"/>
      <c r="M194" s="56"/>
      <c r="N194" s="56"/>
      <c r="O194" s="56"/>
      <c r="P194" s="56"/>
      <c r="Q194" s="56"/>
      <c r="R194" s="56"/>
      <c r="S194" s="56"/>
      <c r="T194" s="57"/>
      <c r="U194" s="59">
        <v>151633</v>
      </c>
      <c r="V194" s="60"/>
      <c r="W194" s="60"/>
      <c r="X194" s="60"/>
      <c r="Y194" s="61"/>
      <c r="Z194" s="59">
        <v>0</v>
      </c>
      <c r="AA194" s="60"/>
      <c r="AB194" s="60"/>
      <c r="AC194" s="60"/>
      <c r="AD194" s="61"/>
      <c r="AE194" s="58">
        <v>0</v>
      </c>
      <c r="AF194" s="58"/>
      <c r="AG194" s="58"/>
      <c r="AH194" s="58"/>
      <c r="AI194" s="58"/>
      <c r="AJ194" s="88">
        <f t="shared" si="16"/>
        <v>151633</v>
      </c>
      <c r="AK194" s="88"/>
      <c r="AL194" s="88"/>
      <c r="AM194" s="88"/>
      <c r="AN194" s="88"/>
      <c r="AO194" s="58">
        <v>151633</v>
      </c>
      <c r="AP194" s="58"/>
      <c r="AQ194" s="58"/>
      <c r="AR194" s="58"/>
      <c r="AS194" s="58"/>
      <c r="AT194" s="88">
        <v>0</v>
      </c>
      <c r="AU194" s="88"/>
      <c r="AV194" s="88"/>
      <c r="AW194" s="88"/>
      <c r="AX194" s="88"/>
      <c r="AY194" s="58">
        <v>0</v>
      </c>
      <c r="AZ194" s="58"/>
      <c r="BA194" s="58"/>
      <c r="BB194" s="58"/>
      <c r="BC194" s="58"/>
      <c r="BD194" s="88">
        <f t="shared" si="17"/>
        <v>151633</v>
      </c>
      <c r="BE194" s="88"/>
      <c r="BF194" s="88"/>
      <c r="BG194" s="88"/>
      <c r="BH194" s="88"/>
    </row>
    <row r="195" spans="1:60" s="4" customFormat="1" ht="12.75" customHeight="1" x14ac:dyDescent="0.2">
      <c r="A195" s="52">
        <v>23</v>
      </c>
      <c r="B195" s="53"/>
      <c r="C195" s="53"/>
      <c r="D195" s="55" t="s">
        <v>211</v>
      </c>
      <c r="E195" s="56"/>
      <c r="F195" s="56"/>
      <c r="G195" s="56"/>
      <c r="H195" s="56"/>
      <c r="I195" s="56"/>
      <c r="J195" s="56"/>
      <c r="K195" s="56"/>
      <c r="L195" s="56"/>
      <c r="M195" s="56"/>
      <c r="N195" s="56"/>
      <c r="O195" s="56"/>
      <c r="P195" s="56"/>
      <c r="Q195" s="56"/>
      <c r="R195" s="56"/>
      <c r="S195" s="56"/>
      <c r="T195" s="57"/>
      <c r="U195" s="59">
        <v>0</v>
      </c>
      <c r="V195" s="60"/>
      <c r="W195" s="60"/>
      <c r="X195" s="60"/>
      <c r="Y195" s="61"/>
      <c r="Z195" s="59">
        <v>0</v>
      </c>
      <c r="AA195" s="60"/>
      <c r="AB195" s="60"/>
      <c r="AC195" s="60"/>
      <c r="AD195" s="61"/>
      <c r="AE195" s="58">
        <v>0</v>
      </c>
      <c r="AF195" s="58"/>
      <c r="AG195" s="58"/>
      <c r="AH195" s="58"/>
      <c r="AI195" s="58"/>
      <c r="AJ195" s="88">
        <f t="shared" si="16"/>
        <v>0</v>
      </c>
      <c r="AK195" s="88"/>
      <c r="AL195" s="88"/>
      <c r="AM195" s="88"/>
      <c r="AN195" s="88"/>
      <c r="AO195" s="58">
        <v>0</v>
      </c>
      <c r="AP195" s="58"/>
      <c r="AQ195" s="58"/>
      <c r="AR195" s="58"/>
      <c r="AS195" s="58"/>
      <c r="AT195" s="88">
        <v>0</v>
      </c>
      <c r="AU195" s="88"/>
      <c r="AV195" s="88"/>
      <c r="AW195" s="88"/>
      <c r="AX195" s="88"/>
      <c r="AY195" s="58">
        <v>0</v>
      </c>
      <c r="AZ195" s="58"/>
      <c r="BA195" s="58"/>
      <c r="BB195" s="58"/>
      <c r="BC195" s="58"/>
      <c r="BD195" s="88">
        <f t="shared" si="17"/>
        <v>0</v>
      </c>
      <c r="BE195" s="88"/>
      <c r="BF195" s="88"/>
      <c r="BG195" s="88"/>
      <c r="BH195" s="88"/>
    </row>
    <row r="196" spans="1:60" s="4" customFormat="1" ht="25.5" customHeight="1" x14ac:dyDescent="0.2">
      <c r="A196" s="52">
        <v>24</v>
      </c>
      <c r="B196" s="53"/>
      <c r="C196" s="53"/>
      <c r="D196" s="55" t="s">
        <v>212</v>
      </c>
      <c r="E196" s="56"/>
      <c r="F196" s="56"/>
      <c r="G196" s="56"/>
      <c r="H196" s="56"/>
      <c r="I196" s="56"/>
      <c r="J196" s="56"/>
      <c r="K196" s="56"/>
      <c r="L196" s="56"/>
      <c r="M196" s="56"/>
      <c r="N196" s="56"/>
      <c r="O196" s="56"/>
      <c r="P196" s="56"/>
      <c r="Q196" s="56"/>
      <c r="R196" s="56"/>
      <c r="S196" s="56"/>
      <c r="T196" s="57"/>
      <c r="U196" s="59">
        <v>8701</v>
      </c>
      <c r="V196" s="60"/>
      <c r="W196" s="60"/>
      <c r="X196" s="60"/>
      <c r="Y196" s="61"/>
      <c r="Z196" s="59">
        <v>0</v>
      </c>
      <c r="AA196" s="60"/>
      <c r="AB196" s="60"/>
      <c r="AC196" s="60"/>
      <c r="AD196" s="61"/>
      <c r="AE196" s="58">
        <v>0</v>
      </c>
      <c r="AF196" s="58"/>
      <c r="AG196" s="58"/>
      <c r="AH196" s="58"/>
      <c r="AI196" s="58"/>
      <c r="AJ196" s="88">
        <f t="shared" si="16"/>
        <v>8701</v>
      </c>
      <c r="AK196" s="88"/>
      <c r="AL196" s="88"/>
      <c r="AM196" s="88"/>
      <c r="AN196" s="88"/>
      <c r="AO196" s="58">
        <v>8701</v>
      </c>
      <c r="AP196" s="58"/>
      <c r="AQ196" s="58"/>
      <c r="AR196" s="58"/>
      <c r="AS196" s="58"/>
      <c r="AT196" s="88">
        <v>0</v>
      </c>
      <c r="AU196" s="88"/>
      <c r="AV196" s="88"/>
      <c r="AW196" s="88"/>
      <c r="AX196" s="88"/>
      <c r="AY196" s="58">
        <v>0</v>
      </c>
      <c r="AZ196" s="58"/>
      <c r="BA196" s="58"/>
      <c r="BB196" s="58"/>
      <c r="BC196" s="58"/>
      <c r="BD196" s="88">
        <f t="shared" si="17"/>
        <v>8701</v>
      </c>
      <c r="BE196" s="88"/>
      <c r="BF196" s="88"/>
      <c r="BG196" s="88"/>
      <c r="BH196" s="88"/>
    </row>
    <row r="197" spans="1:60" s="4" customFormat="1" ht="12.75" customHeight="1" x14ac:dyDescent="0.2">
      <c r="A197" s="52">
        <v>25</v>
      </c>
      <c r="B197" s="53"/>
      <c r="C197" s="53"/>
      <c r="D197" s="55" t="s">
        <v>213</v>
      </c>
      <c r="E197" s="56"/>
      <c r="F197" s="56"/>
      <c r="G197" s="56"/>
      <c r="H197" s="56"/>
      <c r="I197" s="56"/>
      <c r="J197" s="56"/>
      <c r="K197" s="56"/>
      <c r="L197" s="56"/>
      <c r="M197" s="56"/>
      <c r="N197" s="56"/>
      <c r="O197" s="56"/>
      <c r="P197" s="56"/>
      <c r="Q197" s="56"/>
      <c r="R197" s="56"/>
      <c r="S197" s="56"/>
      <c r="T197" s="57"/>
      <c r="U197" s="59">
        <v>103033</v>
      </c>
      <c r="V197" s="60"/>
      <c r="W197" s="60"/>
      <c r="X197" s="60"/>
      <c r="Y197" s="61"/>
      <c r="Z197" s="59">
        <v>0</v>
      </c>
      <c r="AA197" s="60"/>
      <c r="AB197" s="60"/>
      <c r="AC197" s="60"/>
      <c r="AD197" s="61"/>
      <c r="AE197" s="58">
        <v>0</v>
      </c>
      <c r="AF197" s="58"/>
      <c r="AG197" s="58"/>
      <c r="AH197" s="58"/>
      <c r="AI197" s="58"/>
      <c r="AJ197" s="88">
        <f t="shared" si="16"/>
        <v>103033</v>
      </c>
      <c r="AK197" s="88"/>
      <c r="AL197" s="88"/>
      <c r="AM197" s="88"/>
      <c r="AN197" s="88"/>
      <c r="AO197" s="58">
        <v>103033</v>
      </c>
      <c r="AP197" s="58"/>
      <c r="AQ197" s="58"/>
      <c r="AR197" s="58"/>
      <c r="AS197" s="58"/>
      <c r="AT197" s="88">
        <v>0</v>
      </c>
      <c r="AU197" s="88"/>
      <c r="AV197" s="88"/>
      <c r="AW197" s="88"/>
      <c r="AX197" s="88"/>
      <c r="AY197" s="58">
        <v>0</v>
      </c>
      <c r="AZ197" s="58"/>
      <c r="BA197" s="58"/>
      <c r="BB197" s="58"/>
      <c r="BC197" s="58"/>
      <c r="BD197" s="88">
        <f t="shared" si="17"/>
        <v>103033</v>
      </c>
      <c r="BE197" s="88"/>
      <c r="BF197" s="88"/>
      <c r="BG197" s="88"/>
      <c r="BH197" s="88"/>
    </row>
    <row r="198" spans="1:60" s="4" customFormat="1" ht="12.75" customHeight="1" x14ac:dyDescent="0.2">
      <c r="A198" s="52">
        <v>26</v>
      </c>
      <c r="B198" s="53"/>
      <c r="C198" s="53"/>
      <c r="D198" s="55" t="s">
        <v>214</v>
      </c>
      <c r="E198" s="56"/>
      <c r="F198" s="56"/>
      <c r="G198" s="56"/>
      <c r="H198" s="56"/>
      <c r="I198" s="56"/>
      <c r="J198" s="56"/>
      <c r="K198" s="56"/>
      <c r="L198" s="56"/>
      <c r="M198" s="56"/>
      <c r="N198" s="56"/>
      <c r="O198" s="56"/>
      <c r="P198" s="56"/>
      <c r="Q198" s="56"/>
      <c r="R198" s="56"/>
      <c r="S198" s="56"/>
      <c r="T198" s="57"/>
      <c r="U198" s="59">
        <v>126651</v>
      </c>
      <c r="V198" s="60"/>
      <c r="W198" s="60"/>
      <c r="X198" s="60"/>
      <c r="Y198" s="61"/>
      <c r="Z198" s="59">
        <v>0</v>
      </c>
      <c r="AA198" s="60"/>
      <c r="AB198" s="60"/>
      <c r="AC198" s="60"/>
      <c r="AD198" s="61"/>
      <c r="AE198" s="58">
        <v>0</v>
      </c>
      <c r="AF198" s="58"/>
      <c r="AG198" s="58"/>
      <c r="AH198" s="58"/>
      <c r="AI198" s="58"/>
      <c r="AJ198" s="88">
        <f t="shared" si="16"/>
        <v>126651</v>
      </c>
      <c r="AK198" s="88"/>
      <c r="AL198" s="88"/>
      <c r="AM198" s="88"/>
      <c r="AN198" s="88"/>
      <c r="AO198" s="58">
        <v>126651</v>
      </c>
      <c r="AP198" s="58"/>
      <c r="AQ198" s="58"/>
      <c r="AR198" s="58"/>
      <c r="AS198" s="58"/>
      <c r="AT198" s="88">
        <v>0</v>
      </c>
      <c r="AU198" s="88"/>
      <c r="AV198" s="88"/>
      <c r="AW198" s="88"/>
      <c r="AX198" s="88"/>
      <c r="AY198" s="58">
        <v>0</v>
      </c>
      <c r="AZ198" s="58"/>
      <c r="BA198" s="58"/>
      <c r="BB198" s="58"/>
      <c r="BC198" s="58"/>
      <c r="BD198" s="88">
        <f t="shared" si="17"/>
        <v>126651</v>
      </c>
      <c r="BE198" s="88"/>
      <c r="BF198" s="88"/>
      <c r="BG198" s="88"/>
      <c r="BH198" s="88"/>
    </row>
    <row r="199" spans="1:60" s="4" customFormat="1" ht="12.75" customHeight="1" x14ac:dyDescent="0.2">
      <c r="A199" s="52">
        <v>27</v>
      </c>
      <c r="B199" s="53"/>
      <c r="C199" s="53"/>
      <c r="D199" s="55" t="s">
        <v>215</v>
      </c>
      <c r="E199" s="56"/>
      <c r="F199" s="56"/>
      <c r="G199" s="56"/>
      <c r="H199" s="56"/>
      <c r="I199" s="56"/>
      <c r="J199" s="56"/>
      <c r="K199" s="56"/>
      <c r="L199" s="56"/>
      <c r="M199" s="56"/>
      <c r="N199" s="56"/>
      <c r="O199" s="56"/>
      <c r="P199" s="56"/>
      <c r="Q199" s="56"/>
      <c r="R199" s="56"/>
      <c r="S199" s="56"/>
      <c r="T199" s="57"/>
      <c r="U199" s="59">
        <v>993043</v>
      </c>
      <c r="V199" s="60"/>
      <c r="W199" s="60"/>
      <c r="X199" s="60"/>
      <c r="Y199" s="61"/>
      <c r="Z199" s="59">
        <v>0</v>
      </c>
      <c r="AA199" s="60"/>
      <c r="AB199" s="60"/>
      <c r="AC199" s="60"/>
      <c r="AD199" s="61"/>
      <c r="AE199" s="58">
        <v>0</v>
      </c>
      <c r="AF199" s="58"/>
      <c r="AG199" s="58"/>
      <c r="AH199" s="58"/>
      <c r="AI199" s="58"/>
      <c r="AJ199" s="88">
        <f t="shared" si="16"/>
        <v>993043</v>
      </c>
      <c r="AK199" s="88"/>
      <c r="AL199" s="88"/>
      <c r="AM199" s="88"/>
      <c r="AN199" s="88"/>
      <c r="AO199" s="58">
        <v>993043</v>
      </c>
      <c r="AP199" s="58"/>
      <c r="AQ199" s="58"/>
      <c r="AR199" s="58"/>
      <c r="AS199" s="58"/>
      <c r="AT199" s="88">
        <v>0</v>
      </c>
      <c r="AU199" s="88"/>
      <c r="AV199" s="88"/>
      <c r="AW199" s="88"/>
      <c r="AX199" s="88"/>
      <c r="AY199" s="58">
        <v>0</v>
      </c>
      <c r="AZ199" s="58"/>
      <c r="BA199" s="58"/>
      <c r="BB199" s="58"/>
      <c r="BC199" s="58"/>
      <c r="BD199" s="88">
        <f t="shared" si="17"/>
        <v>993043</v>
      </c>
      <c r="BE199" s="88"/>
      <c r="BF199" s="88"/>
      <c r="BG199" s="88"/>
      <c r="BH199" s="88"/>
    </row>
    <row r="200" spans="1:60" s="4" customFormat="1" ht="51" customHeight="1" x14ac:dyDescent="0.2">
      <c r="A200" s="52">
        <v>28</v>
      </c>
      <c r="B200" s="53"/>
      <c r="C200" s="53"/>
      <c r="D200" s="55" t="s">
        <v>216</v>
      </c>
      <c r="E200" s="56"/>
      <c r="F200" s="56"/>
      <c r="G200" s="56"/>
      <c r="H200" s="56"/>
      <c r="I200" s="56"/>
      <c r="J200" s="56"/>
      <c r="K200" s="56"/>
      <c r="L200" s="56"/>
      <c r="M200" s="56"/>
      <c r="N200" s="56"/>
      <c r="O200" s="56"/>
      <c r="P200" s="56"/>
      <c r="Q200" s="56"/>
      <c r="R200" s="56"/>
      <c r="S200" s="56"/>
      <c r="T200" s="57"/>
      <c r="U200" s="59">
        <v>0</v>
      </c>
      <c r="V200" s="60"/>
      <c r="W200" s="60"/>
      <c r="X200" s="60"/>
      <c r="Y200" s="61"/>
      <c r="Z200" s="59">
        <v>0</v>
      </c>
      <c r="AA200" s="60"/>
      <c r="AB200" s="60"/>
      <c r="AC200" s="60"/>
      <c r="AD200" s="61"/>
      <c r="AE200" s="58">
        <v>0</v>
      </c>
      <c r="AF200" s="58"/>
      <c r="AG200" s="58"/>
      <c r="AH200" s="58"/>
      <c r="AI200" s="58"/>
      <c r="AJ200" s="88">
        <f t="shared" si="16"/>
        <v>0</v>
      </c>
      <c r="AK200" s="88"/>
      <c r="AL200" s="88"/>
      <c r="AM200" s="88"/>
      <c r="AN200" s="88"/>
      <c r="AO200" s="58">
        <v>0</v>
      </c>
      <c r="AP200" s="58"/>
      <c r="AQ200" s="58"/>
      <c r="AR200" s="58"/>
      <c r="AS200" s="58"/>
      <c r="AT200" s="88">
        <v>0</v>
      </c>
      <c r="AU200" s="88"/>
      <c r="AV200" s="88"/>
      <c r="AW200" s="88"/>
      <c r="AX200" s="88"/>
      <c r="AY200" s="58">
        <v>0</v>
      </c>
      <c r="AZ200" s="58"/>
      <c r="BA200" s="58"/>
      <c r="BB200" s="58"/>
      <c r="BC200" s="58"/>
      <c r="BD200" s="88">
        <f t="shared" si="17"/>
        <v>0</v>
      </c>
      <c r="BE200" s="88"/>
      <c r="BF200" s="88"/>
      <c r="BG200" s="88"/>
      <c r="BH200" s="88"/>
    </row>
    <row r="201" spans="1:60" s="4" customFormat="1" ht="12.75" customHeight="1" x14ac:dyDescent="0.2">
      <c r="A201" s="52">
        <v>29</v>
      </c>
      <c r="B201" s="53"/>
      <c r="C201" s="53"/>
      <c r="D201" s="55" t="s">
        <v>217</v>
      </c>
      <c r="E201" s="56"/>
      <c r="F201" s="56"/>
      <c r="G201" s="56"/>
      <c r="H201" s="56"/>
      <c r="I201" s="56"/>
      <c r="J201" s="56"/>
      <c r="K201" s="56"/>
      <c r="L201" s="56"/>
      <c r="M201" s="56"/>
      <c r="N201" s="56"/>
      <c r="O201" s="56"/>
      <c r="P201" s="56"/>
      <c r="Q201" s="56"/>
      <c r="R201" s="56"/>
      <c r="S201" s="56"/>
      <c r="T201" s="57"/>
      <c r="U201" s="59">
        <v>0</v>
      </c>
      <c r="V201" s="60"/>
      <c r="W201" s="60"/>
      <c r="X201" s="60"/>
      <c r="Y201" s="61"/>
      <c r="Z201" s="59">
        <v>0</v>
      </c>
      <c r="AA201" s="60"/>
      <c r="AB201" s="60"/>
      <c r="AC201" s="60"/>
      <c r="AD201" s="61"/>
      <c r="AE201" s="58">
        <v>0</v>
      </c>
      <c r="AF201" s="58"/>
      <c r="AG201" s="58"/>
      <c r="AH201" s="58"/>
      <c r="AI201" s="58"/>
      <c r="AJ201" s="88">
        <f t="shared" si="16"/>
        <v>0</v>
      </c>
      <c r="AK201" s="88"/>
      <c r="AL201" s="88"/>
      <c r="AM201" s="88"/>
      <c r="AN201" s="88"/>
      <c r="AO201" s="58">
        <v>0</v>
      </c>
      <c r="AP201" s="58"/>
      <c r="AQ201" s="58"/>
      <c r="AR201" s="58"/>
      <c r="AS201" s="58"/>
      <c r="AT201" s="88">
        <v>0</v>
      </c>
      <c r="AU201" s="88"/>
      <c r="AV201" s="88"/>
      <c r="AW201" s="88"/>
      <c r="AX201" s="88"/>
      <c r="AY201" s="58">
        <v>0</v>
      </c>
      <c r="AZ201" s="58"/>
      <c r="BA201" s="58"/>
      <c r="BB201" s="58"/>
      <c r="BC201" s="58"/>
      <c r="BD201" s="88">
        <f t="shared" si="17"/>
        <v>0</v>
      </c>
      <c r="BE201" s="88"/>
      <c r="BF201" s="88"/>
      <c r="BG201" s="88"/>
      <c r="BH201" s="88"/>
    </row>
    <row r="202" spans="1:60" s="4" customFormat="1" ht="25.5" customHeight="1" x14ac:dyDescent="0.2">
      <c r="A202" s="52">
        <v>30</v>
      </c>
      <c r="B202" s="53"/>
      <c r="C202" s="53"/>
      <c r="D202" s="55" t="s">
        <v>218</v>
      </c>
      <c r="E202" s="56"/>
      <c r="F202" s="56"/>
      <c r="G202" s="56"/>
      <c r="H202" s="56"/>
      <c r="I202" s="56"/>
      <c r="J202" s="56"/>
      <c r="K202" s="56"/>
      <c r="L202" s="56"/>
      <c r="M202" s="56"/>
      <c r="N202" s="56"/>
      <c r="O202" s="56"/>
      <c r="P202" s="56"/>
      <c r="Q202" s="56"/>
      <c r="R202" s="56"/>
      <c r="S202" s="56"/>
      <c r="T202" s="57"/>
      <c r="U202" s="59">
        <v>108678</v>
      </c>
      <c r="V202" s="60"/>
      <c r="W202" s="60"/>
      <c r="X202" s="60"/>
      <c r="Y202" s="61"/>
      <c r="Z202" s="59">
        <v>0</v>
      </c>
      <c r="AA202" s="60"/>
      <c r="AB202" s="60"/>
      <c r="AC202" s="60"/>
      <c r="AD202" s="61"/>
      <c r="AE202" s="58">
        <v>0</v>
      </c>
      <c r="AF202" s="58"/>
      <c r="AG202" s="58"/>
      <c r="AH202" s="58"/>
      <c r="AI202" s="58"/>
      <c r="AJ202" s="88">
        <f t="shared" si="16"/>
        <v>108678</v>
      </c>
      <c r="AK202" s="88"/>
      <c r="AL202" s="88"/>
      <c r="AM202" s="88"/>
      <c r="AN202" s="88"/>
      <c r="AO202" s="58">
        <v>108678</v>
      </c>
      <c r="AP202" s="58"/>
      <c r="AQ202" s="58"/>
      <c r="AR202" s="58"/>
      <c r="AS202" s="58"/>
      <c r="AT202" s="88">
        <v>0</v>
      </c>
      <c r="AU202" s="88"/>
      <c r="AV202" s="88"/>
      <c r="AW202" s="88"/>
      <c r="AX202" s="88"/>
      <c r="AY202" s="58">
        <v>0</v>
      </c>
      <c r="AZ202" s="58"/>
      <c r="BA202" s="58"/>
      <c r="BB202" s="58"/>
      <c r="BC202" s="58"/>
      <c r="BD202" s="88">
        <f t="shared" si="17"/>
        <v>108678</v>
      </c>
      <c r="BE202" s="88"/>
      <c r="BF202" s="88"/>
      <c r="BG202" s="88"/>
      <c r="BH202" s="88"/>
    </row>
    <row r="203" spans="1:60" s="4" customFormat="1" ht="25.5" customHeight="1" x14ac:dyDescent="0.2">
      <c r="A203" s="52">
        <v>31</v>
      </c>
      <c r="B203" s="53"/>
      <c r="C203" s="53"/>
      <c r="D203" s="55" t="s">
        <v>219</v>
      </c>
      <c r="E203" s="56"/>
      <c r="F203" s="56"/>
      <c r="G203" s="56"/>
      <c r="H203" s="56"/>
      <c r="I203" s="56"/>
      <c r="J203" s="56"/>
      <c r="K203" s="56"/>
      <c r="L203" s="56"/>
      <c r="M203" s="56"/>
      <c r="N203" s="56"/>
      <c r="O203" s="56"/>
      <c r="P203" s="56"/>
      <c r="Q203" s="56"/>
      <c r="R203" s="56"/>
      <c r="S203" s="56"/>
      <c r="T203" s="57"/>
      <c r="U203" s="59">
        <v>0</v>
      </c>
      <c r="V203" s="60"/>
      <c r="W203" s="60"/>
      <c r="X203" s="60"/>
      <c r="Y203" s="61"/>
      <c r="Z203" s="59">
        <v>0</v>
      </c>
      <c r="AA203" s="60"/>
      <c r="AB203" s="60"/>
      <c r="AC203" s="60"/>
      <c r="AD203" s="61"/>
      <c r="AE203" s="58">
        <v>0</v>
      </c>
      <c r="AF203" s="58"/>
      <c r="AG203" s="58"/>
      <c r="AH203" s="58"/>
      <c r="AI203" s="58"/>
      <c r="AJ203" s="88">
        <f t="shared" si="16"/>
        <v>0</v>
      </c>
      <c r="AK203" s="88"/>
      <c r="AL203" s="88"/>
      <c r="AM203" s="88"/>
      <c r="AN203" s="88"/>
      <c r="AO203" s="58">
        <v>0</v>
      </c>
      <c r="AP203" s="58"/>
      <c r="AQ203" s="58"/>
      <c r="AR203" s="58"/>
      <c r="AS203" s="58"/>
      <c r="AT203" s="88">
        <v>0</v>
      </c>
      <c r="AU203" s="88"/>
      <c r="AV203" s="88"/>
      <c r="AW203" s="88"/>
      <c r="AX203" s="88"/>
      <c r="AY203" s="58">
        <v>0</v>
      </c>
      <c r="AZ203" s="58"/>
      <c r="BA203" s="58"/>
      <c r="BB203" s="58"/>
      <c r="BC203" s="58"/>
      <c r="BD203" s="88">
        <f t="shared" si="17"/>
        <v>0</v>
      </c>
      <c r="BE203" s="88"/>
      <c r="BF203" s="88"/>
      <c r="BG203" s="88"/>
      <c r="BH203" s="88"/>
    </row>
    <row r="204" spans="1:60" s="4" customFormat="1" ht="12.75" customHeight="1" x14ac:dyDescent="0.2">
      <c r="A204" s="52">
        <v>32</v>
      </c>
      <c r="B204" s="53"/>
      <c r="C204" s="53"/>
      <c r="D204" s="55" t="s">
        <v>220</v>
      </c>
      <c r="E204" s="56"/>
      <c r="F204" s="56"/>
      <c r="G204" s="56"/>
      <c r="H204" s="56"/>
      <c r="I204" s="56"/>
      <c r="J204" s="56"/>
      <c r="K204" s="56"/>
      <c r="L204" s="56"/>
      <c r="M204" s="56"/>
      <c r="N204" s="56"/>
      <c r="O204" s="56"/>
      <c r="P204" s="56"/>
      <c r="Q204" s="56"/>
      <c r="R204" s="56"/>
      <c r="S204" s="56"/>
      <c r="T204" s="57"/>
      <c r="U204" s="59">
        <v>131500</v>
      </c>
      <c r="V204" s="60"/>
      <c r="W204" s="60"/>
      <c r="X204" s="60"/>
      <c r="Y204" s="61"/>
      <c r="Z204" s="59">
        <v>0</v>
      </c>
      <c r="AA204" s="60"/>
      <c r="AB204" s="60"/>
      <c r="AC204" s="60"/>
      <c r="AD204" s="61"/>
      <c r="AE204" s="58">
        <v>0</v>
      </c>
      <c r="AF204" s="58"/>
      <c r="AG204" s="58"/>
      <c r="AH204" s="58"/>
      <c r="AI204" s="58"/>
      <c r="AJ204" s="88">
        <f t="shared" si="16"/>
        <v>131500</v>
      </c>
      <c r="AK204" s="88"/>
      <c r="AL204" s="88"/>
      <c r="AM204" s="88"/>
      <c r="AN204" s="88"/>
      <c r="AO204" s="58">
        <v>131500</v>
      </c>
      <c r="AP204" s="58"/>
      <c r="AQ204" s="58"/>
      <c r="AR204" s="58"/>
      <c r="AS204" s="58"/>
      <c r="AT204" s="88">
        <v>0</v>
      </c>
      <c r="AU204" s="88"/>
      <c r="AV204" s="88"/>
      <c r="AW204" s="88"/>
      <c r="AX204" s="88"/>
      <c r="AY204" s="58">
        <v>0</v>
      </c>
      <c r="AZ204" s="58"/>
      <c r="BA204" s="58"/>
      <c r="BB204" s="58"/>
      <c r="BC204" s="58"/>
      <c r="BD204" s="88">
        <f t="shared" si="17"/>
        <v>131500</v>
      </c>
      <c r="BE204" s="88"/>
      <c r="BF204" s="88"/>
      <c r="BG204" s="88"/>
      <c r="BH204" s="88"/>
    </row>
    <row r="205" spans="1:60" s="4" customFormat="1" ht="12.75" customHeight="1" x14ac:dyDescent="0.2">
      <c r="A205" s="52">
        <v>33</v>
      </c>
      <c r="B205" s="53"/>
      <c r="C205" s="53"/>
      <c r="D205" s="55" t="s">
        <v>221</v>
      </c>
      <c r="E205" s="56"/>
      <c r="F205" s="56"/>
      <c r="G205" s="56"/>
      <c r="H205" s="56"/>
      <c r="I205" s="56"/>
      <c r="J205" s="56"/>
      <c r="K205" s="56"/>
      <c r="L205" s="56"/>
      <c r="M205" s="56"/>
      <c r="N205" s="56"/>
      <c r="O205" s="56"/>
      <c r="P205" s="56"/>
      <c r="Q205" s="56"/>
      <c r="R205" s="56"/>
      <c r="S205" s="56"/>
      <c r="T205" s="57"/>
      <c r="U205" s="59">
        <v>321713</v>
      </c>
      <c r="V205" s="60"/>
      <c r="W205" s="60"/>
      <c r="X205" s="60"/>
      <c r="Y205" s="61"/>
      <c r="Z205" s="59">
        <v>0</v>
      </c>
      <c r="AA205" s="60"/>
      <c r="AB205" s="60"/>
      <c r="AC205" s="60"/>
      <c r="AD205" s="61"/>
      <c r="AE205" s="58">
        <v>0</v>
      </c>
      <c r="AF205" s="58"/>
      <c r="AG205" s="58"/>
      <c r="AH205" s="58"/>
      <c r="AI205" s="58"/>
      <c r="AJ205" s="88">
        <f t="shared" ref="AJ205:AJ222" si="18">IF(ISNUMBER(U205),U205,0)+IF(ISNUMBER(Z205),Z205,0)</f>
        <v>321713</v>
      </c>
      <c r="AK205" s="88"/>
      <c r="AL205" s="88"/>
      <c r="AM205" s="88"/>
      <c r="AN205" s="88"/>
      <c r="AO205" s="58">
        <v>321713</v>
      </c>
      <c r="AP205" s="58"/>
      <c r="AQ205" s="58"/>
      <c r="AR205" s="58"/>
      <c r="AS205" s="58"/>
      <c r="AT205" s="88">
        <v>0</v>
      </c>
      <c r="AU205" s="88"/>
      <c r="AV205" s="88"/>
      <c r="AW205" s="88"/>
      <c r="AX205" s="88"/>
      <c r="AY205" s="58">
        <v>0</v>
      </c>
      <c r="AZ205" s="58"/>
      <c r="BA205" s="58"/>
      <c r="BB205" s="58"/>
      <c r="BC205" s="58"/>
      <c r="BD205" s="88">
        <f t="shared" ref="BD205:BD222" si="19">IF(ISNUMBER(AO205),AO205,0)+IF(ISNUMBER(AT205),AT205,0)</f>
        <v>321713</v>
      </c>
      <c r="BE205" s="88"/>
      <c r="BF205" s="88"/>
      <c r="BG205" s="88"/>
      <c r="BH205" s="88"/>
    </row>
    <row r="206" spans="1:60" s="4" customFormat="1" ht="12.75" customHeight="1" x14ac:dyDescent="0.2">
      <c r="A206" s="52">
        <v>34</v>
      </c>
      <c r="B206" s="53"/>
      <c r="C206" s="53"/>
      <c r="D206" s="55" t="s">
        <v>222</v>
      </c>
      <c r="E206" s="56"/>
      <c r="F206" s="56"/>
      <c r="G206" s="56"/>
      <c r="H206" s="56"/>
      <c r="I206" s="56"/>
      <c r="J206" s="56"/>
      <c r="K206" s="56"/>
      <c r="L206" s="56"/>
      <c r="M206" s="56"/>
      <c r="N206" s="56"/>
      <c r="O206" s="56"/>
      <c r="P206" s="56"/>
      <c r="Q206" s="56"/>
      <c r="R206" s="56"/>
      <c r="S206" s="56"/>
      <c r="T206" s="57"/>
      <c r="U206" s="59">
        <v>14004</v>
      </c>
      <c r="V206" s="60"/>
      <c r="W206" s="60"/>
      <c r="X206" s="60"/>
      <c r="Y206" s="61"/>
      <c r="Z206" s="59">
        <v>0</v>
      </c>
      <c r="AA206" s="60"/>
      <c r="AB206" s="60"/>
      <c r="AC206" s="60"/>
      <c r="AD206" s="61"/>
      <c r="AE206" s="58">
        <v>0</v>
      </c>
      <c r="AF206" s="58"/>
      <c r="AG206" s="58"/>
      <c r="AH206" s="58"/>
      <c r="AI206" s="58"/>
      <c r="AJ206" s="88">
        <f t="shared" si="18"/>
        <v>14004</v>
      </c>
      <c r="AK206" s="88"/>
      <c r="AL206" s="88"/>
      <c r="AM206" s="88"/>
      <c r="AN206" s="88"/>
      <c r="AO206" s="58">
        <v>14004</v>
      </c>
      <c r="AP206" s="58"/>
      <c r="AQ206" s="58"/>
      <c r="AR206" s="58"/>
      <c r="AS206" s="58"/>
      <c r="AT206" s="88">
        <v>0</v>
      </c>
      <c r="AU206" s="88"/>
      <c r="AV206" s="88"/>
      <c r="AW206" s="88"/>
      <c r="AX206" s="88"/>
      <c r="AY206" s="58">
        <v>0</v>
      </c>
      <c r="AZ206" s="58"/>
      <c r="BA206" s="58"/>
      <c r="BB206" s="58"/>
      <c r="BC206" s="58"/>
      <c r="BD206" s="88">
        <f t="shared" si="19"/>
        <v>14004</v>
      </c>
      <c r="BE206" s="88"/>
      <c r="BF206" s="88"/>
      <c r="BG206" s="88"/>
      <c r="BH206" s="88"/>
    </row>
    <row r="207" spans="1:60" s="4" customFormat="1" ht="12.75" customHeight="1" x14ac:dyDescent="0.2">
      <c r="A207" s="52">
        <v>35</v>
      </c>
      <c r="B207" s="53"/>
      <c r="C207" s="53"/>
      <c r="D207" s="55" t="s">
        <v>223</v>
      </c>
      <c r="E207" s="56"/>
      <c r="F207" s="56"/>
      <c r="G207" s="56"/>
      <c r="H207" s="56"/>
      <c r="I207" s="56"/>
      <c r="J207" s="56"/>
      <c r="K207" s="56"/>
      <c r="L207" s="56"/>
      <c r="M207" s="56"/>
      <c r="N207" s="56"/>
      <c r="O207" s="56"/>
      <c r="P207" s="56"/>
      <c r="Q207" s="56"/>
      <c r="R207" s="56"/>
      <c r="S207" s="56"/>
      <c r="T207" s="57"/>
      <c r="U207" s="59">
        <v>2198</v>
      </c>
      <c r="V207" s="60"/>
      <c r="W207" s="60"/>
      <c r="X207" s="60"/>
      <c r="Y207" s="61"/>
      <c r="Z207" s="59">
        <v>0</v>
      </c>
      <c r="AA207" s="60"/>
      <c r="AB207" s="60"/>
      <c r="AC207" s="60"/>
      <c r="AD207" s="61"/>
      <c r="AE207" s="58">
        <v>0</v>
      </c>
      <c r="AF207" s="58"/>
      <c r="AG207" s="58"/>
      <c r="AH207" s="58"/>
      <c r="AI207" s="58"/>
      <c r="AJ207" s="88">
        <f t="shared" si="18"/>
        <v>2198</v>
      </c>
      <c r="AK207" s="88"/>
      <c r="AL207" s="88"/>
      <c r="AM207" s="88"/>
      <c r="AN207" s="88"/>
      <c r="AO207" s="58">
        <v>2374</v>
      </c>
      <c r="AP207" s="58"/>
      <c r="AQ207" s="58"/>
      <c r="AR207" s="58"/>
      <c r="AS207" s="58"/>
      <c r="AT207" s="88">
        <v>0</v>
      </c>
      <c r="AU207" s="88"/>
      <c r="AV207" s="88"/>
      <c r="AW207" s="88"/>
      <c r="AX207" s="88"/>
      <c r="AY207" s="58">
        <v>0</v>
      </c>
      <c r="AZ207" s="58"/>
      <c r="BA207" s="58"/>
      <c r="BB207" s="58"/>
      <c r="BC207" s="58"/>
      <c r="BD207" s="88">
        <f t="shared" si="19"/>
        <v>2374</v>
      </c>
      <c r="BE207" s="88"/>
      <c r="BF207" s="88"/>
      <c r="BG207" s="88"/>
      <c r="BH207" s="88"/>
    </row>
    <row r="208" spans="1:60" s="4" customFormat="1" ht="25.5" customHeight="1" x14ac:dyDescent="0.2">
      <c r="A208" s="52">
        <v>36</v>
      </c>
      <c r="B208" s="53"/>
      <c r="C208" s="53"/>
      <c r="D208" s="55" t="s">
        <v>224</v>
      </c>
      <c r="E208" s="56"/>
      <c r="F208" s="56"/>
      <c r="G208" s="56"/>
      <c r="H208" s="56"/>
      <c r="I208" s="56"/>
      <c r="J208" s="56"/>
      <c r="K208" s="56"/>
      <c r="L208" s="56"/>
      <c r="M208" s="56"/>
      <c r="N208" s="56"/>
      <c r="O208" s="56"/>
      <c r="P208" s="56"/>
      <c r="Q208" s="56"/>
      <c r="R208" s="56"/>
      <c r="S208" s="56"/>
      <c r="T208" s="57"/>
      <c r="U208" s="59">
        <v>0</v>
      </c>
      <c r="V208" s="60"/>
      <c r="W208" s="60"/>
      <c r="X208" s="60"/>
      <c r="Y208" s="61"/>
      <c r="Z208" s="59">
        <v>0</v>
      </c>
      <c r="AA208" s="60"/>
      <c r="AB208" s="60"/>
      <c r="AC208" s="60"/>
      <c r="AD208" s="61"/>
      <c r="AE208" s="58">
        <v>0</v>
      </c>
      <c r="AF208" s="58"/>
      <c r="AG208" s="58"/>
      <c r="AH208" s="58"/>
      <c r="AI208" s="58"/>
      <c r="AJ208" s="88">
        <f t="shared" si="18"/>
        <v>0</v>
      </c>
      <c r="AK208" s="88"/>
      <c r="AL208" s="88"/>
      <c r="AM208" s="88"/>
      <c r="AN208" s="88"/>
      <c r="AO208" s="58">
        <v>0</v>
      </c>
      <c r="AP208" s="58"/>
      <c r="AQ208" s="58"/>
      <c r="AR208" s="58"/>
      <c r="AS208" s="58"/>
      <c r="AT208" s="88">
        <v>0</v>
      </c>
      <c r="AU208" s="88"/>
      <c r="AV208" s="88"/>
      <c r="AW208" s="88"/>
      <c r="AX208" s="88"/>
      <c r="AY208" s="58">
        <v>0</v>
      </c>
      <c r="AZ208" s="58"/>
      <c r="BA208" s="58"/>
      <c r="BB208" s="58"/>
      <c r="BC208" s="58"/>
      <c r="BD208" s="88">
        <f t="shared" si="19"/>
        <v>0</v>
      </c>
      <c r="BE208" s="88"/>
      <c r="BF208" s="88"/>
      <c r="BG208" s="88"/>
      <c r="BH208" s="88"/>
    </row>
    <row r="209" spans="1:64" s="4" customFormat="1" ht="25.5" customHeight="1" x14ac:dyDescent="0.2">
      <c r="A209" s="52">
        <v>37</v>
      </c>
      <c r="B209" s="53"/>
      <c r="C209" s="53"/>
      <c r="D209" s="55" t="s">
        <v>225</v>
      </c>
      <c r="E209" s="56"/>
      <c r="F209" s="56"/>
      <c r="G209" s="56"/>
      <c r="H209" s="56"/>
      <c r="I209" s="56"/>
      <c r="J209" s="56"/>
      <c r="K209" s="56"/>
      <c r="L209" s="56"/>
      <c r="M209" s="56"/>
      <c r="N209" s="56"/>
      <c r="O209" s="56"/>
      <c r="P209" s="56"/>
      <c r="Q209" s="56"/>
      <c r="R209" s="56"/>
      <c r="S209" s="56"/>
      <c r="T209" s="57"/>
      <c r="U209" s="59">
        <v>0</v>
      </c>
      <c r="V209" s="60"/>
      <c r="W209" s="60"/>
      <c r="X209" s="60"/>
      <c r="Y209" s="61"/>
      <c r="Z209" s="59">
        <v>0</v>
      </c>
      <c r="AA209" s="60"/>
      <c r="AB209" s="60"/>
      <c r="AC209" s="60"/>
      <c r="AD209" s="61"/>
      <c r="AE209" s="58">
        <v>0</v>
      </c>
      <c r="AF209" s="58"/>
      <c r="AG209" s="58"/>
      <c r="AH209" s="58"/>
      <c r="AI209" s="58"/>
      <c r="AJ209" s="88">
        <f t="shared" si="18"/>
        <v>0</v>
      </c>
      <c r="AK209" s="88"/>
      <c r="AL209" s="88"/>
      <c r="AM209" s="88"/>
      <c r="AN209" s="88"/>
      <c r="AO209" s="58">
        <v>0</v>
      </c>
      <c r="AP209" s="58"/>
      <c r="AQ209" s="58"/>
      <c r="AR209" s="58"/>
      <c r="AS209" s="58"/>
      <c r="AT209" s="88">
        <v>0</v>
      </c>
      <c r="AU209" s="88"/>
      <c r="AV209" s="88"/>
      <c r="AW209" s="88"/>
      <c r="AX209" s="88"/>
      <c r="AY209" s="58">
        <v>0</v>
      </c>
      <c r="AZ209" s="58"/>
      <c r="BA209" s="58"/>
      <c r="BB209" s="58"/>
      <c r="BC209" s="58"/>
      <c r="BD209" s="88">
        <f t="shared" si="19"/>
        <v>0</v>
      </c>
      <c r="BE209" s="88"/>
      <c r="BF209" s="88"/>
      <c r="BG209" s="88"/>
      <c r="BH209" s="88"/>
    </row>
    <row r="210" spans="1:64" s="4" customFormat="1" ht="38.25" customHeight="1" x14ac:dyDescent="0.2">
      <c r="A210" s="52">
        <v>38</v>
      </c>
      <c r="B210" s="53"/>
      <c r="C210" s="53"/>
      <c r="D210" s="55" t="s">
        <v>226</v>
      </c>
      <c r="E210" s="56"/>
      <c r="F210" s="56"/>
      <c r="G210" s="56"/>
      <c r="H210" s="56"/>
      <c r="I210" s="56"/>
      <c r="J210" s="56"/>
      <c r="K210" s="56"/>
      <c r="L210" s="56"/>
      <c r="M210" s="56"/>
      <c r="N210" s="56"/>
      <c r="O210" s="56"/>
      <c r="P210" s="56"/>
      <c r="Q210" s="56"/>
      <c r="R210" s="56"/>
      <c r="S210" s="56"/>
      <c r="T210" s="57"/>
      <c r="U210" s="59">
        <v>0</v>
      </c>
      <c r="V210" s="60"/>
      <c r="W210" s="60"/>
      <c r="X210" s="60"/>
      <c r="Y210" s="61"/>
      <c r="Z210" s="59">
        <v>0</v>
      </c>
      <c r="AA210" s="60"/>
      <c r="AB210" s="60"/>
      <c r="AC210" s="60"/>
      <c r="AD210" s="61"/>
      <c r="AE210" s="58">
        <v>0</v>
      </c>
      <c r="AF210" s="58"/>
      <c r="AG210" s="58"/>
      <c r="AH210" s="58"/>
      <c r="AI210" s="58"/>
      <c r="AJ210" s="88">
        <f t="shared" si="18"/>
        <v>0</v>
      </c>
      <c r="AK210" s="88"/>
      <c r="AL210" s="88"/>
      <c r="AM210" s="88"/>
      <c r="AN210" s="88"/>
      <c r="AO210" s="58">
        <v>0</v>
      </c>
      <c r="AP210" s="58"/>
      <c r="AQ210" s="58"/>
      <c r="AR210" s="58"/>
      <c r="AS210" s="58"/>
      <c r="AT210" s="88">
        <v>0</v>
      </c>
      <c r="AU210" s="88"/>
      <c r="AV210" s="88"/>
      <c r="AW210" s="88"/>
      <c r="AX210" s="88"/>
      <c r="AY210" s="58">
        <v>0</v>
      </c>
      <c r="AZ210" s="58"/>
      <c r="BA210" s="58"/>
      <c r="BB210" s="58"/>
      <c r="BC210" s="58"/>
      <c r="BD210" s="88">
        <f t="shared" si="19"/>
        <v>0</v>
      </c>
      <c r="BE210" s="88"/>
      <c r="BF210" s="88"/>
      <c r="BG210" s="88"/>
      <c r="BH210" s="88"/>
    </row>
    <row r="211" spans="1:64" s="4" customFormat="1" ht="12.75" customHeight="1" x14ac:dyDescent="0.2">
      <c r="A211" s="52">
        <v>39</v>
      </c>
      <c r="B211" s="53"/>
      <c r="C211" s="53"/>
      <c r="D211" s="55" t="s">
        <v>227</v>
      </c>
      <c r="E211" s="56"/>
      <c r="F211" s="56"/>
      <c r="G211" s="56"/>
      <c r="H211" s="56"/>
      <c r="I211" s="56"/>
      <c r="J211" s="56"/>
      <c r="K211" s="56"/>
      <c r="L211" s="56"/>
      <c r="M211" s="56"/>
      <c r="N211" s="56"/>
      <c r="O211" s="56"/>
      <c r="P211" s="56"/>
      <c r="Q211" s="56"/>
      <c r="R211" s="56"/>
      <c r="S211" s="56"/>
      <c r="T211" s="57"/>
      <c r="U211" s="59">
        <v>0</v>
      </c>
      <c r="V211" s="60"/>
      <c r="W211" s="60"/>
      <c r="X211" s="60"/>
      <c r="Y211" s="61"/>
      <c r="Z211" s="59">
        <v>0</v>
      </c>
      <c r="AA211" s="60"/>
      <c r="AB211" s="60"/>
      <c r="AC211" s="60"/>
      <c r="AD211" s="61"/>
      <c r="AE211" s="58">
        <v>0</v>
      </c>
      <c r="AF211" s="58"/>
      <c r="AG211" s="58"/>
      <c r="AH211" s="58"/>
      <c r="AI211" s="58"/>
      <c r="AJ211" s="88">
        <f t="shared" si="18"/>
        <v>0</v>
      </c>
      <c r="AK211" s="88"/>
      <c r="AL211" s="88"/>
      <c r="AM211" s="88"/>
      <c r="AN211" s="88"/>
      <c r="AO211" s="58">
        <v>0</v>
      </c>
      <c r="AP211" s="58"/>
      <c r="AQ211" s="58"/>
      <c r="AR211" s="58"/>
      <c r="AS211" s="58"/>
      <c r="AT211" s="88">
        <v>0</v>
      </c>
      <c r="AU211" s="88"/>
      <c r="AV211" s="88"/>
      <c r="AW211" s="88"/>
      <c r="AX211" s="88"/>
      <c r="AY211" s="58">
        <v>0</v>
      </c>
      <c r="AZ211" s="58"/>
      <c r="BA211" s="58"/>
      <c r="BB211" s="58"/>
      <c r="BC211" s="58"/>
      <c r="BD211" s="88">
        <f t="shared" si="19"/>
        <v>0</v>
      </c>
      <c r="BE211" s="88"/>
      <c r="BF211" s="88"/>
      <c r="BG211" s="88"/>
      <c r="BH211" s="88"/>
    </row>
    <row r="212" spans="1:64" s="4" customFormat="1" ht="38.25" customHeight="1" x14ac:dyDescent="0.2">
      <c r="A212" s="52">
        <v>40</v>
      </c>
      <c r="B212" s="53"/>
      <c r="C212" s="53"/>
      <c r="D212" s="55" t="s">
        <v>228</v>
      </c>
      <c r="E212" s="56"/>
      <c r="F212" s="56"/>
      <c r="G212" s="56"/>
      <c r="H212" s="56"/>
      <c r="I212" s="56"/>
      <c r="J212" s="56"/>
      <c r="K212" s="56"/>
      <c r="L212" s="56"/>
      <c r="M212" s="56"/>
      <c r="N212" s="56"/>
      <c r="O212" s="56"/>
      <c r="P212" s="56"/>
      <c r="Q212" s="56"/>
      <c r="R212" s="56"/>
      <c r="S212" s="56"/>
      <c r="T212" s="57"/>
      <c r="U212" s="59">
        <v>0</v>
      </c>
      <c r="V212" s="60"/>
      <c r="W212" s="60"/>
      <c r="X212" s="60"/>
      <c r="Y212" s="61"/>
      <c r="Z212" s="59">
        <v>0</v>
      </c>
      <c r="AA212" s="60"/>
      <c r="AB212" s="60"/>
      <c r="AC212" s="60"/>
      <c r="AD212" s="61"/>
      <c r="AE212" s="58">
        <v>0</v>
      </c>
      <c r="AF212" s="58"/>
      <c r="AG212" s="58"/>
      <c r="AH212" s="58"/>
      <c r="AI212" s="58"/>
      <c r="AJ212" s="88">
        <f t="shared" si="18"/>
        <v>0</v>
      </c>
      <c r="AK212" s="88"/>
      <c r="AL212" s="88"/>
      <c r="AM212" s="88"/>
      <c r="AN212" s="88"/>
      <c r="AO212" s="58">
        <v>0</v>
      </c>
      <c r="AP212" s="58"/>
      <c r="AQ212" s="58"/>
      <c r="AR212" s="58"/>
      <c r="AS212" s="58"/>
      <c r="AT212" s="88">
        <v>0</v>
      </c>
      <c r="AU212" s="88"/>
      <c r="AV212" s="88"/>
      <c r="AW212" s="88"/>
      <c r="AX212" s="88"/>
      <c r="AY212" s="58">
        <v>0</v>
      </c>
      <c r="AZ212" s="58"/>
      <c r="BA212" s="58"/>
      <c r="BB212" s="58"/>
      <c r="BC212" s="58"/>
      <c r="BD212" s="88">
        <f t="shared" si="19"/>
        <v>0</v>
      </c>
      <c r="BE212" s="88"/>
      <c r="BF212" s="88"/>
      <c r="BG212" s="88"/>
      <c r="BH212" s="88"/>
    </row>
    <row r="213" spans="1:64" s="4" customFormat="1" ht="38.25" customHeight="1" x14ac:dyDescent="0.2">
      <c r="A213" s="52">
        <v>41</v>
      </c>
      <c r="B213" s="53"/>
      <c r="C213" s="53"/>
      <c r="D213" s="55" t="s">
        <v>229</v>
      </c>
      <c r="E213" s="56"/>
      <c r="F213" s="56"/>
      <c r="G213" s="56"/>
      <c r="H213" s="56"/>
      <c r="I213" s="56"/>
      <c r="J213" s="56"/>
      <c r="K213" s="56"/>
      <c r="L213" s="56"/>
      <c r="M213" s="56"/>
      <c r="N213" s="56"/>
      <c r="O213" s="56"/>
      <c r="P213" s="56"/>
      <c r="Q213" s="56"/>
      <c r="R213" s="56"/>
      <c r="S213" s="56"/>
      <c r="T213" s="57"/>
      <c r="U213" s="59">
        <v>0</v>
      </c>
      <c r="V213" s="60"/>
      <c r="W213" s="60"/>
      <c r="X213" s="60"/>
      <c r="Y213" s="61"/>
      <c r="Z213" s="59">
        <v>0</v>
      </c>
      <c r="AA213" s="60"/>
      <c r="AB213" s="60"/>
      <c r="AC213" s="60"/>
      <c r="AD213" s="61"/>
      <c r="AE213" s="58">
        <v>0</v>
      </c>
      <c r="AF213" s="58"/>
      <c r="AG213" s="58"/>
      <c r="AH213" s="58"/>
      <c r="AI213" s="58"/>
      <c r="AJ213" s="88">
        <f t="shared" si="18"/>
        <v>0</v>
      </c>
      <c r="AK213" s="88"/>
      <c r="AL213" s="88"/>
      <c r="AM213" s="88"/>
      <c r="AN213" s="88"/>
      <c r="AO213" s="58">
        <v>0</v>
      </c>
      <c r="AP213" s="58"/>
      <c r="AQ213" s="58"/>
      <c r="AR213" s="58"/>
      <c r="AS213" s="58"/>
      <c r="AT213" s="88">
        <v>0</v>
      </c>
      <c r="AU213" s="88"/>
      <c r="AV213" s="88"/>
      <c r="AW213" s="88"/>
      <c r="AX213" s="88"/>
      <c r="AY213" s="58">
        <v>0</v>
      </c>
      <c r="AZ213" s="58"/>
      <c r="BA213" s="58"/>
      <c r="BB213" s="58"/>
      <c r="BC213" s="58"/>
      <c r="BD213" s="88">
        <f t="shared" si="19"/>
        <v>0</v>
      </c>
      <c r="BE213" s="88"/>
      <c r="BF213" s="88"/>
      <c r="BG213" s="88"/>
      <c r="BH213" s="88"/>
    </row>
    <row r="214" spans="1:64" s="4" customFormat="1" ht="12.75" customHeight="1" x14ac:dyDescent="0.2">
      <c r="A214" s="52">
        <v>42</v>
      </c>
      <c r="B214" s="53"/>
      <c r="C214" s="53"/>
      <c r="D214" s="55" t="s">
        <v>182</v>
      </c>
      <c r="E214" s="56"/>
      <c r="F214" s="56"/>
      <c r="G214" s="56"/>
      <c r="H214" s="56"/>
      <c r="I214" s="56"/>
      <c r="J214" s="56"/>
      <c r="K214" s="56"/>
      <c r="L214" s="56"/>
      <c r="M214" s="56"/>
      <c r="N214" s="56"/>
      <c r="O214" s="56"/>
      <c r="P214" s="56"/>
      <c r="Q214" s="56"/>
      <c r="R214" s="56"/>
      <c r="S214" s="56"/>
      <c r="T214" s="57"/>
      <c r="U214" s="59">
        <v>0</v>
      </c>
      <c r="V214" s="60"/>
      <c r="W214" s="60"/>
      <c r="X214" s="60"/>
      <c r="Y214" s="61"/>
      <c r="Z214" s="59">
        <v>0</v>
      </c>
      <c r="AA214" s="60"/>
      <c r="AB214" s="60"/>
      <c r="AC214" s="60"/>
      <c r="AD214" s="61"/>
      <c r="AE214" s="58">
        <v>0</v>
      </c>
      <c r="AF214" s="58"/>
      <c r="AG214" s="58"/>
      <c r="AH214" s="58"/>
      <c r="AI214" s="58"/>
      <c r="AJ214" s="88">
        <f t="shared" si="18"/>
        <v>0</v>
      </c>
      <c r="AK214" s="88"/>
      <c r="AL214" s="88"/>
      <c r="AM214" s="88"/>
      <c r="AN214" s="88"/>
      <c r="AO214" s="58">
        <v>0</v>
      </c>
      <c r="AP214" s="58"/>
      <c r="AQ214" s="58"/>
      <c r="AR214" s="58"/>
      <c r="AS214" s="58"/>
      <c r="AT214" s="88">
        <v>0</v>
      </c>
      <c r="AU214" s="88"/>
      <c r="AV214" s="88"/>
      <c r="AW214" s="88"/>
      <c r="AX214" s="88"/>
      <c r="AY214" s="58">
        <v>0</v>
      </c>
      <c r="AZ214" s="58"/>
      <c r="BA214" s="58"/>
      <c r="BB214" s="58"/>
      <c r="BC214" s="58"/>
      <c r="BD214" s="88">
        <f t="shared" si="19"/>
        <v>0</v>
      </c>
      <c r="BE214" s="88"/>
      <c r="BF214" s="88"/>
      <c r="BG214" s="88"/>
      <c r="BH214" s="88"/>
    </row>
    <row r="215" spans="1:64" s="4" customFormat="1" ht="12.75" customHeight="1" x14ac:dyDescent="0.2">
      <c r="A215" s="52">
        <v>43</v>
      </c>
      <c r="B215" s="53"/>
      <c r="C215" s="53"/>
      <c r="D215" s="55" t="s">
        <v>230</v>
      </c>
      <c r="E215" s="56"/>
      <c r="F215" s="56"/>
      <c r="G215" s="56"/>
      <c r="H215" s="56"/>
      <c r="I215" s="56"/>
      <c r="J215" s="56"/>
      <c r="K215" s="56"/>
      <c r="L215" s="56"/>
      <c r="M215" s="56"/>
      <c r="N215" s="56"/>
      <c r="O215" s="56"/>
      <c r="P215" s="56"/>
      <c r="Q215" s="56"/>
      <c r="R215" s="56"/>
      <c r="S215" s="56"/>
      <c r="T215" s="57"/>
      <c r="U215" s="59">
        <v>0</v>
      </c>
      <c r="V215" s="60"/>
      <c r="W215" s="60"/>
      <c r="X215" s="60"/>
      <c r="Y215" s="61"/>
      <c r="Z215" s="59">
        <v>0</v>
      </c>
      <c r="AA215" s="60"/>
      <c r="AB215" s="60"/>
      <c r="AC215" s="60"/>
      <c r="AD215" s="61"/>
      <c r="AE215" s="58">
        <v>0</v>
      </c>
      <c r="AF215" s="58"/>
      <c r="AG215" s="58"/>
      <c r="AH215" s="58"/>
      <c r="AI215" s="58"/>
      <c r="AJ215" s="88">
        <f t="shared" si="18"/>
        <v>0</v>
      </c>
      <c r="AK215" s="88"/>
      <c r="AL215" s="88"/>
      <c r="AM215" s="88"/>
      <c r="AN215" s="88"/>
      <c r="AO215" s="58">
        <v>0</v>
      </c>
      <c r="AP215" s="58"/>
      <c r="AQ215" s="58"/>
      <c r="AR215" s="58"/>
      <c r="AS215" s="58"/>
      <c r="AT215" s="88">
        <v>0</v>
      </c>
      <c r="AU215" s="88"/>
      <c r="AV215" s="88"/>
      <c r="AW215" s="88"/>
      <c r="AX215" s="88"/>
      <c r="AY215" s="58">
        <v>0</v>
      </c>
      <c r="AZ215" s="58"/>
      <c r="BA215" s="58"/>
      <c r="BB215" s="58"/>
      <c r="BC215" s="58"/>
      <c r="BD215" s="88">
        <f t="shared" si="19"/>
        <v>0</v>
      </c>
      <c r="BE215" s="88"/>
      <c r="BF215" s="88"/>
      <c r="BG215" s="88"/>
      <c r="BH215" s="88"/>
    </row>
    <row r="216" spans="1:64" s="4" customFormat="1" ht="25.5" customHeight="1" x14ac:dyDescent="0.2">
      <c r="A216" s="52">
        <v>44</v>
      </c>
      <c r="B216" s="53"/>
      <c r="C216" s="53"/>
      <c r="D216" s="55" t="s">
        <v>231</v>
      </c>
      <c r="E216" s="56"/>
      <c r="F216" s="56"/>
      <c r="G216" s="56"/>
      <c r="H216" s="56"/>
      <c r="I216" s="56"/>
      <c r="J216" s="56"/>
      <c r="K216" s="56"/>
      <c r="L216" s="56"/>
      <c r="M216" s="56"/>
      <c r="N216" s="56"/>
      <c r="O216" s="56"/>
      <c r="P216" s="56"/>
      <c r="Q216" s="56"/>
      <c r="R216" s="56"/>
      <c r="S216" s="56"/>
      <c r="T216" s="57"/>
      <c r="U216" s="59">
        <v>0</v>
      </c>
      <c r="V216" s="60"/>
      <c r="W216" s="60"/>
      <c r="X216" s="60"/>
      <c r="Y216" s="61"/>
      <c r="Z216" s="59">
        <v>0</v>
      </c>
      <c r="AA216" s="60"/>
      <c r="AB216" s="60"/>
      <c r="AC216" s="60"/>
      <c r="AD216" s="61"/>
      <c r="AE216" s="58">
        <v>0</v>
      </c>
      <c r="AF216" s="58"/>
      <c r="AG216" s="58"/>
      <c r="AH216" s="58"/>
      <c r="AI216" s="58"/>
      <c r="AJ216" s="88">
        <f t="shared" si="18"/>
        <v>0</v>
      </c>
      <c r="AK216" s="88"/>
      <c r="AL216" s="88"/>
      <c r="AM216" s="88"/>
      <c r="AN216" s="88"/>
      <c r="AO216" s="58">
        <v>0</v>
      </c>
      <c r="AP216" s="58"/>
      <c r="AQ216" s="58"/>
      <c r="AR216" s="58"/>
      <c r="AS216" s="58"/>
      <c r="AT216" s="88">
        <v>0</v>
      </c>
      <c r="AU216" s="88"/>
      <c r="AV216" s="88"/>
      <c r="AW216" s="88"/>
      <c r="AX216" s="88"/>
      <c r="AY216" s="58">
        <v>0</v>
      </c>
      <c r="AZ216" s="58"/>
      <c r="BA216" s="58"/>
      <c r="BB216" s="58"/>
      <c r="BC216" s="58"/>
      <c r="BD216" s="88">
        <f t="shared" si="19"/>
        <v>0</v>
      </c>
      <c r="BE216" s="88"/>
      <c r="BF216" s="88"/>
      <c r="BG216" s="88"/>
      <c r="BH216" s="88"/>
    </row>
    <row r="217" spans="1:64" s="4" customFormat="1" ht="12.75" customHeight="1" x14ac:dyDescent="0.2">
      <c r="A217" s="52">
        <v>45</v>
      </c>
      <c r="B217" s="53"/>
      <c r="C217" s="53"/>
      <c r="D217" s="55" t="s">
        <v>232</v>
      </c>
      <c r="E217" s="56"/>
      <c r="F217" s="56"/>
      <c r="G217" s="56"/>
      <c r="H217" s="56"/>
      <c r="I217" s="56"/>
      <c r="J217" s="56"/>
      <c r="K217" s="56"/>
      <c r="L217" s="56"/>
      <c r="M217" s="56"/>
      <c r="N217" s="56"/>
      <c r="O217" s="56"/>
      <c r="P217" s="56"/>
      <c r="Q217" s="56"/>
      <c r="R217" s="56"/>
      <c r="S217" s="56"/>
      <c r="T217" s="57"/>
      <c r="U217" s="59">
        <v>0</v>
      </c>
      <c r="V217" s="60"/>
      <c r="W217" s="60"/>
      <c r="X217" s="60"/>
      <c r="Y217" s="61"/>
      <c r="Z217" s="59">
        <v>0</v>
      </c>
      <c r="AA217" s="60"/>
      <c r="AB217" s="60"/>
      <c r="AC217" s="60"/>
      <c r="AD217" s="61"/>
      <c r="AE217" s="58">
        <v>0</v>
      </c>
      <c r="AF217" s="58"/>
      <c r="AG217" s="58"/>
      <c r="AH217" s="58"/>
      <c r="AI217" s="58"/>
      <c r="AJ217" s="88">
        <f t="shared" si="18"/>
        <v>0</v>
      </c>
      <c r="AK217" s="88"/>
      <c r="AL217" s="88"/>
      <c r="AM217" s="88"/>
      <c r="AN217" s="88"/>
      <c r="AO217" s="58">
        <v>0</v>
      </c>
      <c r="AP217" s="58"/>
      <c r="AQ217" s="58"/>
      <c r="AR217" s="58"/>
      <c r="AS217" s="58"/>
      <c r="AT217" s="88">
        <v>0</v>
      </c>
      <c r="AU217" s="88"/>
      <c r="AV217" s="88"/>
      <c r="AW217" s="88"/>
      <c r="AX217" s="88"/>
      <c r="AY217" s="58">
        <v>0</v>
      </c>
      <c r="AZ217" s="58"/>
      <c r="BA217" s="58"/>
      <c r="BB217" s="58"/>
      <c r="BC217" s="58"/>
      <c r="BD217" s="88">
        <f t="shared" si="19"/>
        <v>0</v>
      </c>
      <c r="BE217" s="88"/>
      <c r="BF217" s="88"/>
      <c r="BG217" s="88"/>
      <c r="BH217" s="88"/>
    </row>
    <row r="218" spans="1:64" s="4" customFormat="1" ht="25.5" customHeight="1" x14ac:dyDescent="0.2">
      <c r="A218" s="52">
        <v>46</v>
      </c>
      <c r="B218" s="53"/>
      <c r="C218" s="53"/>
      <c r="D218" s="55" t="s">
        <v>233</v>
      </c>
      <c r="E218" s="56"/>
      <c r="F218" s="56"/>
      <c r="G218" s="56"/>
      <c r="H218" s="56"/>
      <c r="I218" s="56"/>
      <c r="J218" s="56"/>
      <c r="K218" s="56"/>
      <c r="L218" s="56"/>
      <c r="M218" s="56"/>
      <c r="N218" s="56"/>
      <c r="O218" s="56"/>
      <c r="P218" s="56"/>
      <c r="Q218" s="56"/>
      <c r="R218" s="56"/>
      <c r="S218" s="56"/>
      <c r="T218" s="57"/>
      <c r="U218" s="59">
        <v>0</v>
      </c>
      <c r="V218" s="60"/>
      <c r="W218" s="60"/>
      <c r="X218" s="60"/>
      <c r="Y218" s="61"/>
      <c r="Z218" s="59">
        <v>0</v>
      </c>
      <c r="AA218" s="60"/>
      <c r="AB218" s="60"/>
      <c r="AC218" s="60"/>
      <c r="AD218" s="61"/>
      <c r="AE218" s="58">
        <v>0</v>
      </c>
      <c r="AF218" s="58"/>
      <c r="AG218" s="58"/>
      <c r="AH218" s="58"/>
      <c r="AI218" s="58"/>
      <c r="AJ218" s="88">
        <f t="shared" si="18"/>
        <v>0</v>
      </c>
      <c r="AK218" s="88"/>
      <c r="AL218" s="88"/>
      <c r="AM218" s="88"/>
      <c r="AN218" s="88"/>
      <c r="AO218" s="58">
        <v>0</v>
      </c>
      <c r="AP218" s="58"/>
      <c r="AQ218" s="58"/>
      <c r="AR218" s="58"/>
      <c r="AS218" s="58"/>
      <c r="AT218" s="88">
        <v>0</v>
      </c>
      <c r="AU218" s="88"/>
      <c r="AV218" s="88"/>
      <c r="AW218" s="88"/>
      <c r="AX218" s="88"/>
      <c r="AY218" s="58">
        <v>0</v>
      </c>
      <c r="AZ218" s="58"/>
      <c r="BA218" s="58"/>
      <c r="BB218" s="58"/>
      <c r="BC218" s="58"/>
      <c r="BD218" s="88">
        <f t="shared" si="19"/>
        <v>0</v>
      </c>
      <c r="BE218" s="88"/>
      <c r="BF218" s="88"/>
      <c r="BG218" s="88"/>
      <c r="BH218" s="88"/>
    </row>
    <row r="219" spans="1:64" s="4" customFormat="1" ht="25.5" customHeight="1" x14ac:dyDescent="0.2">
      <c r="A219" s="52">
        <v>47</v>
      </c>
      <c r="B219" s="53"/>
      <c r="C219" s="53"/>
      <c r="D219" s="55" t="s">
        <v>234</v>
      </c>
      <c r="E219" s="56"/>
      <c r="F219" s="56"/>
      <c r="G219" s="56"/>
      <c r="H219" s="56"/>
      <c r="I219" s="56"/>
      <c r="J219" s="56"/>
      <c r="K219" s="56"/>
      <c r="L219" s="56"/>
      <c r="M219" s="56"/>
      <c r="N219" s="56"/>
      <c r="O219" s="56"/>
      <c r="P219" s="56"/>
      <c r="Q219" s="56"/>
      <c r="R219" s="56"/>
      <c r="S219" s="56"/>
      <c r="T219" s="57"/>
      <c r="U219" s="59">
        <v>0</v>
      </c>
      <c r="V219" s="60"/>
      <c r="W219" s="60"/>
      <c r="X219" s="60"/>
      <c r="Y219" s="61"/>
      <c r="Z219" s="59">
        <v>0</v>
      </c>
      <c r="AA219" s="60"/>
      <c r="AB219" s="60"/>
      <c r="AC219" s="60"/>
      <c r="AD219" s="61"/>
      <c r="AE219" s="58">
        <v>0</v>
      </c>
      <c r="AF219" s="58"/>
      <c r="AG219" s="58"/>
      <c r="AH219" s="58"/>
      <c r="AI219" s="58"/>
      <c r="AJ219" s="88">
        <f t="shared" si="18"/>
        <v>0</v>
      </c>
      <c r="AK219" s="88"/>
      <c r="AL219" s="88"/>
      <c r="AM219" s="88"/>
      <c r="AN219" s="88"/>
      <c r="AO219" s="58">
        <v>0</v>
      </c>
      <c r="AP219" s="58"/>
      <c r="AQ219" s="58"/>
      <c r="AR219" s="58"/>
      <c r="AS219" s="58"/>
      <c r="AT219" s="88">
        <v>0</v>
      </c>
      <c r="AU219" s="88"/>
      <c r="AV219" s="88"/>
      <c r="AW219" s="88"/>
      <c r="AX219" s="88"/>
      <c r="AY219" s="58">
        <v>0</v>
      </c>
      <c r="AZ219" s="58"/>
      <c r="BA219" s="58"/>
      <c r="BB219" s="58"/>
      <c r="BC219" s="58"/>
      <c r="BD219" s="88">
        <f t="shared" si="19"/>
        <v>0</v>
      </c>
      <c r="BE219" s="88"/>
      <c r="BF219" s="88"/>
      <c r="BG219" s="88"/>
      <c r="BH219" s="88"/>
    </row>
    <row r="220" spans="1:64" s="4" customFormat="1" ht="76.5" customHeight="1" x14ac:dyDescent="0.2">
      <c r="A220" s="52">
        <v>48</v>
      </c>
      <c r="B220" s="53"/>
      <c r="C220" s="53"/>
      <c r="D220" s="55" t="s">
        <v>235</v>
      </c>
      <c r="E220" s="56"/>
      <c r="F220" s="56"/>
      <c r="G220" s="56"/>
      <c r="H220" s="56"/>
      <c r="I220" s="56"/>
      <c r="J220" s="56"/>
      <c r="K220" s="56"/>
      <c r="L220" s="56"/>
      <c r="M220" s="56"/>
      <c r="N220" s="56"/>
      <c r="O220" s="56"/>
      <c r="P220" s="56"/>
      <c r="Q220" s="56"/>
      <c r="R220" s="56"/>
      <c r="S220" s="56"/>
      <c r="T220" s="57"/>
      <c r="U220" s="59">
        <v>0</v>
      </c>
      <c r="V220" s="60"/>
      <c r="W220" s="60"/>
      <c r="X220" s="60"/>
      <c r="Y220" s="61"/>
      <c r="Z220" s="59">
        <v>0</v>
      </c>
      <c r="AA220" s="60"/>
      <c r="AB220" s="60"/>
      <c r="AC220" s="60"/>
      <c r="AD220" s="61"/>
      <c r="AE220" s="58">
        <v>0</v>
      </c>
      <c r="AF220" s="58"/>
      <c r="AG220" s="58"/>
      <c r="AH220" s="58"/>
      <c r="AI220" s="58"/>
      <c r="AJ220" s="88">
        <f t="shared" si="18"/>
        <v>0</v>
      </c>
      <c r="AK220" s="88"/>
      <c r="AL220" s="88"/>
      <c r="AM220" s="88"/>
      <c r="AN220" s="88"/>
      <c r="AO220" s="58">
        <v>0</v>
      </c>
      <c r="AP220" s="58"/>
      <c r="AQ220" s="58"/>
      <c r="AR220" s="58"/>
      <c r="AS220" s="58"/>
      <c r="AT220" s="88">
        <v>0</v>
      </c>
      <c r="AU220" s="88"/>
      <c r="AV220" s="88"/>
      <c r="AW220" s="88"/>
      <c r="AX220" s="88"/>
      <c r="AY220" s="58">
        <v>0</v>
      </c>
      <c r="AZ220" s="58"/>
      <c r="BA220" s="58"/>
      <c r="BB220" s="58"/>
      <c r="BC220" s="58"/>
      <c r="BD220" s="88">
        <f t="shared" si="19"/>
        <v>0</v>
      </c>
      <c r="BE220" s="88"/>
      <c r="BF220" s="88"/>
      <c r="BG220" s="88"/>
      <c r="BH220" s="88"/>
    </row>
    <row r="221" spans="1:64" s="4" customFormat="1" ht="25.5" customHeight="1" x14ac:dyDescent="0.2">
      <c r="A221" s="52">
        <v>49</v>
      </c>
      <c r="B221" s="53"/>
      <c r="C221" s="53"/>
      <c r="D221" s="55" t="s">
        <v>236</v>
      </c>
      <c r="E221" s="56"/>
      <c r="F221" s="56"/>
      <c r="G221" s="56"/>
      <c r="H221" s="56"/>
      <c r="I221" s="56"/>
      <c r="J221" s="56"/>
      <c r="K221" s="56"/>
      <c r="L221" s="56"/>
      <c r="M221" s="56"/>
      <c r="N221" s="56"/>
      <c r="O221" s="56"/>
      <c r="P221" s="56"/>
      <c r="Q221" s="56"/>
      <c r="R221" s="56"/>
      <c r="S221" s="56"/>
      <c r="T221" s="57"/>
      <c r="U221" s="59">
        <v>0</v>
      </c>
      <c r="V221" s="60"/>
      <c r="W221" s="60"/>
      <c r="X221" s="60"/>
      <c r="Y221" s="61"/>
      <c r="Z221" s="59">
        <v>0</v>
      </c>
      <c r="AA221" s="60"/>
      <c r="AB221" s="60"/>
      <c r="AC221" s="60"/>
      <c r="AD221" s="61"/>
      <c r="AE221" s="58">
        <v>0</v>
      </c>
      <c r="AF221" s="58"/>
      <c r="AG221" s="58"/>
      <c r="AH221" s="58"/>
      <c r="AI221" s="58"/>
      <c r="AJ221" s="88">
        <f t="shared" si="18"/>
        <v>0</v>
      </c>
      <c r="AK221" s="88"/>
      <c r="AL221" s="88"/>
      <c r="AM221" s="88"/>
      <c r="AN221" s="88"/>
      <c r="AO221" s="58">
        <v>0</v>
      </c>
      <c r="AP221" s="58"/>
      <c r="AQ221" s="58"/>
      <c r="AR221" s="58"/>
      <c r="AS221" s="58"/>
      <c r="AT221" s="88">
        <v>0</v>
      </c>
      <c r="AU221" s="88"/>
      <c r="AV221" s="88"/>
      <c r="AW221" s="88"/>
      <c r="AX221" s="88"/>
      <c r="AY221" s="58">
        <v>0</v>
      </c>
      <c r="AZ221" s="58"/>
      <c r="BA221" s="58"/>
      <c r="BB221" s="58"/>
      <c r="BC221" s="58"/>
      <c r="BD221" s="88">
        <f t="shared" si="19"/>
        <v>0</v>
      </c>
      <c r="BE221" s="88"/>
      <c r="BF221" s="88"/>
      <c r="BG221" s="88"/>
      <c r="BH221" s="88"/>
    </row>
    <row r="222" spans="1:64" s="5" customFormat="1" ht="12.75" customHeight="1" x14ac:dyDescent="0.2">
      <c r="A222" s="77"/>
      <c r="B222" s="78"/>
      <c r="C222" s="78"/>
      <c r="D222" s="96" t="s">
        <v>147</v>
      </c>
      <c r="E222" s="97"/>
      <c r="F222" s="97"/>
      <c r="G222" s="97"/>
      <c r="H222" s="97"/>
      <c r="I222" s="97"/>
      <c r="J222" s="97"/>
      <c r="K222" s="97"/>
      <c r="L222" s="97"/>
      <c r="M222" s="97"/>
      <c r="N222" s="97"/>
      <c r="O222" s="97"/>
      <c r="P222" s="97"/>
      <c r="Q222" s="97"/>
      <c r="R222" s="97"/>
      <c r="S222" s="97"/>
      <c r="T222" s="98"/>
      <c r="U222" s="74">
        <v>23072095</v>
      </c>
      <c r="V222" s="75"/>
      <c r="W222" s="75"/>
      <c r="X222" s="75"/>
      <c r="Y222" s="76"/>
      <c r="Z222" s="74">
        <v>0</v>
      </c>
      <c r="AA222" s="75"/>
      <c r="AB222" s="75"/>
      <c r="AC222" s="75"/>
      <c r="AD222" s="76"/>
      <c r="AE222" s="87">
        <v>0</v>
      </c>
      <c r="AF222" s="87"/>
      <c r="AG222" s="87"/>
      <c r="AH222" s="87"/>
      <c r="AI222" s="87"/>
      <c r="AJ222" s="105">
        <f t="shared" si="18"/>
        <v>23072095</v>
      </c>
      <c r="AK222" s="105"/>
      <c r="AL222" s="105"/>
      <c r="AM222" s="105"/>
      <c r="AN222" s="105"/>
      <c r="AO222" s="87">
        <v>24384707</v>
      </c>
      <c r="AP222" s="87"/>
      <c r="AQ222" s="87"/>
      <c r="AR222" s="87"/>
      <c r="AS222" s="87"/>
      <c r="AT222" s="105">
        <v>0</v>
      </c>
      <c r="AU222" s="105"/>
      <c r="AV222" s="105"/>
      <c r="AW222" s="105"/>
      <c r="AX222" s="105"/>
      <c r="AY222" s="87">
        <v>0</v>
      </c>
      <c r="AZ222" s="87"/>
      <c r="BA222" s="87"/>
      <c r="BB222" s="87"/>
      <c r="BC222" s="87"/>
      <c r="BD222" s="105">
        <f t="shared" si="19"/>
        <v>24384707</v>
      </c>
      <c r="BE222" s="105"/>
      <c r="BF222" s="105"/>
      <c r="BG222" s="105"/>
      <c r="BH222" s="105"/>
    </row>
    <row r="224" spans="1:64" ht="14.25" customHeight="1" x14ac:dyDescent="0.2">
      <c r="A224" s="28" t="s">
        <v>152</v>
      </c>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row>
    <row r="225" spans="1:79" ht="14.25" customHeight="1" x14ac:dyDescent="0.2">
      <c r="A225" s="28" t="s">
        <v>296</v>
      </c>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row>
    <row r="226" spans="1:79" ht="23.1" customHeight="1" x14ac:dyDescent="0.2">
      <c r="A226" s="42" t="s">
        <v>6</v>
      </c>
      <c r="B226" s="43"/>
      <c r="C226" s="43"/>
      <c r="D226" s="48" t="s">
        <v>9</v>
      </c>
      <c r="E226" s="48"/>
      <c r="F226" s="48"/>
      <c r="G226" s="48"/>
      <c r="H226" s="48"/>
      <c r="I226" s="48"/>
      <c r="J226" s="48"/>
      <c r="K226" s="48"/>
      <c r="L226" s="48"/>
      <c r="M226" s="48"/>
      <c r="N226" s="48"/>
      <c r="O226" s="48"/>
      <c r="P226" s="48"/>
      <c r="Q226" s="48" t="s">
        <v>8</v>
      </c>
      <c r="R226" s="48"/>
      <c r="S226" s="48"/>
      <c r="T226" s="48"/>
      <c r="U226" s="48"/>
      <c r="V226" s="48" t="s">
        <v>7</v>
      </c>
      <c r="W226" s="48"/>
      <c r="X226" s="48"/>
      <c r="Y226" s="48"/>
      <c r="Z226" s="48"/>
      <c r="AA226" s="48"/>
      <c r="AB226" s="48"/>
      <c r="AC226" s="48"/>
      <c r="AD226" s="48"/>
      <c r="AE226" s="48"/>
      <c r="AF226" s="35" t="s">
        <v>281</v>
      </c>
      <c r="AG226" s="36"/>
      <c r="AH226" s="36"/>
      <c r="AI226" s="36"/>
      <c r="AJ226" s="36"/>
      <c r="AK226" s="36"/>
      <c r="AL226" s="36"/>
      <c r="AM226" s="36"/>
      <c r="AN226" s="36"/>
      <c r="AO226" s="36"/>
      <c r="AP226" s="36"/>
      <c r="AQ226" s="36"/>
      <c r="AR226" s="36"/>
      <c r="AS226" s="36"/>
      <c r="AT226" s="37"/>
      <c r="AU226" s="35" t="s">
        <v>284</v>
      </c>
      <c r="AV226" s="36"/>
      <c r="AW226" s="36"/>
      <c r="AX226" s="36"/>
      <c r="AY226" s="36"/>
      <c r="AZ226" s="36"/>
      <c r="BA226" s="36"/>
      <c r="BB226" s="36"/>
      <c r="BC226" s="36"/>
      <c r="BD226" s="36"/>
      <c r="BE226" s="36"/>
      <c r="BF226" s="36"/>
      <c r="BG226" s="36"/>
      <c r="BH226" s="36"/>
      <c r="BI226" s="37"/>
      <c r="BJ226" s="35" t="s">
        <v>292</v>
      </c>
      <c r="BK226" s="36"/>
      <c r="BL226" s="36"/>
      <c r="BM226" s="36"/>
      <c r="BN226" s="36"/>
      <c r="BO226" s="36"/>
      <c r="BP226" s="36"/>
      <c r="BQ226" s="36"/>
      <c r="BR226" s="36"/>
      <c r="BS226" s="36"/>
      <c r="BT226" s="36"/>
      <c r="BU226" s="36"/>
      <c r="BV226" s="36"/>
      <c r="BW226" s="36"/>
      <c r="BX226" s="37"/>
    </row>
    <row r="227" spans="1:79" ht="32.25" customHeight="1" x14ac:dyDescent="0.2">
      <c r="A227" s="45"/>
      <c r="B227" s="46"/>
      <c r="C227" s="46"/>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t="s">
        <v>4</v>
      </c>
      <c r="AG227" s="48"/>
      <c r="AH227" s="48"/>
      <c r="AI227" s="48"/>
      <c r="AJ227" s="48"/>
      <c r="AK227" s="48" t="s">
        <v>3</v>
      </c>
      <c r="AL227" s="48"/>
      <c r="AM227" s="48"/>
      <c r="AN227" s="48"/>
      <c r="AO227" s="48"/>
      <c r="AP227" s="48" t="s">
        <v>123</v>
      </c>
      <c r="AQ227" s="48"/>
      <c r="AR227" s="48"/>
      <c r="AS227" s="48"/>
      <c r="AT227" s="48"/>
      <c r="AU227" s="48" t="s">
        <v>4</v>
      </c>
      <c r="AV227" s="48"/>
      <c r="AW227" s="48"/>
      <c r="AX227" s="48"/>
      <c r="AY227" s="48"/>
      <c r="AZ227" s="48" t="s">
        <v>3</v>
      </c>
      <c r="BA227" s="48"/>
      <c r="BB227" s="48"/>
      <c r="BC227" s="48"/>
      <c r="BD227" s="48"/>
      <c r="BE227" s="48" t="s">
        <v>90</v>
      </c>
      <c r="BF227" s="48"/>
      <c r="BG227" s="48"/>
      <c r="BH227" s="48"/>
      <c r="BI227" s="48"/>
      <c r="BJ227" s="48" t="s">
        <v>4</v>
      </c>
      <c r="BK227" s="48"/>
      <c r="BL227" s="48"/>
      <c r="BM227" s="48"/>
      <c r="BN227" s="48"/>
      <c r="BO227" s="48" t="s">
        <v>3</v>
      </c>
      <c r="BP227" s="48"/>
      <c r="BQ227" s="48"/>
      <c r="BR227" s="48"/>
      <c r="BS227" s="48"/>
      <c r="BT227" s="48" t="s">
        <v>97</v>
      </c>
      <c r="BU227" s="48"/>
      <c r="BV227" s="48"/>
      <c r="BW227" s="48"/>
      <c r="BX227" s="48"/>
    </row>
    <row r="228" spans="1:79" ht="15" customHeight="1" x14ac:dyDescent="0.2">
      <c r="A228" s="35">
        <v>1</v>
      </c>
      <c r="B228" s="36"/>
      <c r="C228" s="36"/>
      <c r="D228" s="48">
        <v>2</v>
      </c>
      <c r="E228" s="48"/>
      <c r="F228" s="48"/>
      <c r="G228" s="48"/>
      <c r="H228" s="48"/>
      <c r="I228" s="48"/>
      <c r="J228" s="48"/>
      <c r="K228" s="48"/>
      <c r="L228" s="48"/>
      <c r="M228" s="48"/>
      <c r="N228" s="48"/>
      <c r="O228" s="48"/>
      <c r="P228" s="48"/>
      <c r="Q228" s="48">
        <v>3</v>
      </c>
      <c r="R228" s="48"/>
      <c r="S228" s="48"/>
      <c r="T228" s="48"/>
      <c r="U228" s="48"/>
      <c r="V228" s="48">
        <v>4</v>
      </c>
      <c r="W228" s="48"/>
      <c r="X228" s="48"/>
      <c r="Y228" s="48"/>
      <c r="Z228" s="48"/>
      <c r="AA228" s="48"/>
      <c r="AB228" s="48"/>
      <c r="AC228" s="48"/>
      <c r="AD228" s="48"/>
      <c r="AE228" s="48"/>
      <c r="AF228" s="48">
        <v>5</v>
      </c>
      <c r="AG228" s="48"/>
      <c r="AH228" s="48"/>
      <c r="AI228" s="48"/>
      <c r="AJ228" s="48"/>
      <c r="AK228" s="48">
        <v>6</v>
      </c>
      <c r="AL228" s="48"/>
      <c r="AM228" s="48"/>
      <c r="AN228" s="48"/>
      <c r="AO228" s="48"/>
      <c r="AP228" s="48">
        <v>7</v>
      </c>
      <c r="AQ228" s="48"/>
      <c r="AR228" s="48"/>
      <c r="AS228" s="48"/>
      <c r="AT228" s="48"/>
      <c r="AU228" s="48">
        <v>8</v>
      </c>
      <c r="AV228" s="48"/>
      <c r="AW228" s="48"/>
      <c r="AX228" s="48"/>
      <c r="AY228" s="48"/>
      <c r="AZ228" s="48">
        <v>9</v>
      </c>
      <c r="BA228" s="48"/>
      <c r="BB228" s="48"/>
      <c r="BC228" s="48"/>
      <c r="BD228" s="48"/>
      <c r="BE228" s="48">
        <v>10</v>
      </c>
      <c r="BF228" s="48"/>
      <c r="BG228" s="48"/>
      <c r="BH228" s="48"/>
      <c r="BI228" s="48"/>
      <c r="BJ228" s="48">
        <v>11</v>
      </c>
      <c r="BK228" s="48"/>
      <c r="BL228" s="48"/>
      <c r="BM228" s="48"/>
      <c r="BN228" s="48"/>
      <c r="BO228" s="48">
        <v>12</v>
      </c>
      <c r="BP228" s="48"/>
      <c r="BQ228" s="48"/>
      <c r="BR228" s="48"/>
      <c r="BS228" s="48"/>
      <c r="BT228" s="48">
        <v>13</v>
      </c>
      <c r="BU228" s="48"/>
      <c r="BV228" s="48"/>
      <c r="BW228" s="48"/>
      <c r="BX228" s="48"/>
    </row>
    <row r="229" spans="1:79" ht="10.5" hidden="1" customHeight="1" x14ac:dyDescent="0.2">
      <c r="A229" s="62" t="s">
        <v>154</v>
      </c>
      <c r="B229" s="63"/>
      <c r="C229" s="63"/>
      <c r="D229" s="48" t="s">
        <v>57</v>
      </c>
      <c r="E229" s="48"/>
      <c r="F229" s="48"/>
      <c r="G229" s="48"/>
      <c r="H229" s="48"/>
      <c r="I229" s="48"/>
      <c r="J229" s="48"/>
      <c r="K229" s="48"/>
      <c r="L229" s="48"/>
      <c r="M229" s="48"/>
      <c r="N229" s="48"/>
      <c r="O229" s="48"/>
      <c r="P229" s="48"/>
      <c r="Q229" s="48" t="s">
        <v>70</v>
      </c>
      <c r="R229" s="48"/>
      <c r="S229" s="48"/>
      <c r="T229" s="48"/>
      <c r="U229" s="48"/>
      <c r="V229" s="48" t="s">
        <v>71</v>
      </c>
      <c r="W229" s="48"/>
      <c r="X229" s="48"/>
      <c r="Y229" s="48"/>
      <c r="Z229" s="48"/>
      <c r="AA229" s="48"/>
      <c r="AB229" s="48"/>
      <c r="AC229" s="48"/>
      <c r="AD229" s="48"/>
      <c r="AE229" s="48"/>
      <c r="AF229" s="66" t="s">
        <v>111</v>
      </c>
      <c r="AG229" s="66"/>
      <c r="AH229" s="66"/>
      <c r="AI229" s="66"/>
      <c r="AJ229" s="66"/>
      <c r="AK229" s="90" t="s">
        <v>112</v>
      </c>
      <c r="AL229" s="90"/>
      <c r="AM229" s="90"/>
      <c r="AN229" s="90"/>
      <c r="AO229" s="90"/>
      <c r="AP229" s="73" t="s">
        <v>238</v>
      </c>
      <c r="AQ229" s="73"/>
      <c r="AR229" s="73"/>
      <c r="AS229" s="73"/>
      <c r="AT229" s="73"/>
      <c r="AU229" s="66" t="s">
        <v>113</v>
      </c>
      <c r="AV229" s="66"/>
      <c r="AW229" s="66"/>
      <c r="AX229" s="66"/>
      <c r="AY229" s="66"/>
      <c r="AZ229" s="90" t="s">
        <v>114</v>
      </c>
      <c r="BA229" s="90"/>
      <c r="BB229" s="90"/>
      <c r="BC229" s="90"/>
      <c r="BD229" s="90"/>
      <c r="BE229" s="73" t="s">
        <v>238</v>
      </c>
      <c r="BF229" s="73"/>
      <c r="BG229" s="73"/>
      <c r="BH229" s="73"/>
      <c r="BI229" s="73"/>
      <c r="BJ229" s="66" t="s">
        <v>105</v>
      </c>
      <c r="BK229" s="66"/>
      <c r="BL229" s="66"/>
      <c r="BM229" s="66"/>
      <c r="BN229" s="66"/>
      <c r="BO229" s="90" t="s">
        <v>106</v>
      </c>
      <c r="BP229" s="90"/>
      <c r="BQ229" s="90"/>
      <c r="BR229" s="90"/>
      <c r="BS229" s="90"/>
      <c r="BT229" s="73" t="s">
        <v>238</v>
      </c>
      <c r="BU229" s="73"/>
      <c r="BV229" s="73"/>
      <c r="BW229" s="73"/>
      <c r="BX229" s="73"/>
      <c r="CA229" t="s">
        <v>37</v>
      </c>
    </row>
    <row r="230" spans="1:79" s="5" customFormat="1" ht="15" customHeight="1" x14ac:dyDescent="0.2">
      <c r="A230" s="77">
        <v>0</v>
      </c>
      <c r="B230" s="78"/>
      <c r="C230" s="78"/>
      <c r="D230" s="91" t="s">
        <v>237</v>
      </c>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89"/>
      <c r="AG230" s="89"/>
      <c r="AH230" s="89"/>
      <c r="AI230" s="89"/>
      <c r="AJ230" s="89"/>
      <c r="AK230" s="89"/>
      <c r="AL230" s="89"/>
      <c r="AM230" s="89"/>
      <c r="AN230" s="89"/>
      <c r="AO230" s="89"/>
      <c r="AP230" s="89"/>
      <c r="AQ230" s="89"/>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89"/>
      <c r="CA230" s="5" t="s">
        <v>38</v>
      </c>
    </row>
    <row r="231" spans="1:79" s="4" customFormat="1" ht="28.5" customHeight="1" x14ac:dyDescent="0.2">
      <c r="A231" s="52">
        <v>1</v>
      </c>
      <c r="B231" s="53"/>
      <c r="C231" s="53"/>
      <c r="D231" s="93" t="s">
        <v>239</v>
      </c>
      <c r="E231" s="56"/>
      <c r="F231" s="56"/>
      <c r="G231" s="56"/>
      <c r="H231" s="56"/>
      <c r="I231" s="56"/>
      <c r="J231" s="56"/>
      <c r="K231" s="56"/>
      <c r="L231" s="56"/>
      <c r="M231" s="56"/>
      <c r="N231" s="56"/>
      <c r="O231" s="56"/>
      <c r="P231" s="57"/>
      <c r="Q231" s="48" t="s">
        <v>240</v>
      </c>
      <c r="R231" s="48"/>
      <c r="S231" s="48"/>
      <c r="T231" s="48"/>
      <c r="U231" s="48"/>
      <c r="V231" s="93" t="s">
        <v>241</v>
      </c>
      <c r="W231" s="56"/>
      <c r="X231" s="56"/>
      <c r="Y231" s="56"/>
      <c r="Z231" s="56"/>
      <c r="AA231" s="56"/>
      <c r="AB231" s="56"/>
      <c r="AC231" s="56"/>
      <c r="AD231" s="56"/>
      <c r="AE231" s="57"/>
      <c r="AF231" s="92">
        <v>6</v>
      </c>
      <c r="AG231" s="92"/>
      <c r="AH231" s="92"/>
      <c r="AI231" s="92"/>
      <c r="AJ231" s="92"/>
      <c r="AK231" s="92">
        <v>0</v>
      </c>
      <c r="AL231" s="92"/>
      <c r="AM231" s="92"/>
      <c r="AN231" s="92"/>
      <c r="AO231" s="92"/>
      <c r="AP231" s="92">
        <v>6</v>
      </c>
      <c r="AQ231" s="92"/>
      <c r="AR231" s="92"/>
      <c r="AS231" s="92"/>
      <c r="AT231" s="92"/>
      <c r="AU231" s="92">
        <v>4</v>
      </c>
      <c r="AV231" s="92"/>
      <c r="AW231" s="92"/>
      <c r="AX231" s="92"/>
      <c r="AY231" s="92"/>
      <c r="AZ231" s="92">
        <v>0</v>
      </c>
      <c r="BA231" s="92"/>
      <c r="BB231" s="92"/>
      <c r="BC231" s="92"/>
      <c r="BD231" s="92"/>
      <c r="BE231" s="92">
        <v>4</v>
      </c>
      <c r="BF231" s="92"/>
      <c r="BG231" s="92"/>
      <c r="BH231" s="92"/>
      <c r="BI231" s="92"/>
      <c r="BJ231" s="92">
        <v>4</v>
      </c>
      <c r="BK231" s="92"/>
      <c r="BL231" s="92"/>
      <c r="BM231" s="92"/>
      <c r="BN231" s="92"/>
      <c r="BO231" s="92">
        <v>0</v>
      </c>
      <c r="BP231" s="92"/>
      <c r="BQ231" s="92"/>
      <c r="BR231" s="92"/>
      <c r="BS231" s="92"/>
      <c r="BT231" s="92">
        <v>4</v>
      </c>
      <c r="BU231" s="92"/>
      <c r="BV231" s="92"/>
      <c r="BW231" s="92"/>
      <c r="BX231" s="92"/>
    </row>
    <row r="232" spans="1:79" s="4" customFormat="1" ht="15" customHeight="1" x14ac:dyDescent="0.2">
      <c r="A232" s="52">
        <v>2</v>
      </c>
      <c r="B232" s="53"/>
      <c r="C232" s="53"/>
      <c r="D232" s="93" t="s">
        <v>242</v>
      </c>
      <c r="E232" s="56"/>
      <c r="F232" s="56"/>
      <c r="G232" s="56"/>
      <c r="H232" s="56"/>
      <c r="I232" s="56"/>
      <c r="J232" s="56"/>
      <c r="K232" s="56"/>
      <c r="L232" s="56"/>
      <c r="M232" s="56"/>
      <c r="N232" s="56"/>
      <c r="O232" s="56"/>
      <c r="P232" s="57"/>
      <c r="Q232" s="48" t="s">
        <v>240</v>
      </c>
      <c r="R232" s="48"/>
      <c r="S232" s="48"/>
      <c r="T232" s="48"/>
      <c r="U232" s="48"/>
      <c r="V232" s="93" t="s">
        <v>243</v>
      </c>
      <c r="W232" s="56"/>
      <c r="X232" s="56"/>
      <c r="Y232" s="56"/>
      <c r="Z232" s="56"/>
      <c r="AA232" s="56"/>
      <c r="AB232" s="56"/>
      <c r="AC232" s="56"/>
      <c r="AD232" s="56"/>
      <c r="AE232" s="57"/>
      <c r="AF232" s="92">
        <v>110.95</v>
      </c>
      <c r="AG232" s="92"/>
      <c r="AH232" s="92"/>
      <c r="AI232" s="92"/>
      <c r="AJ232" s="92"/>
      <c r="AK232" s="92">
        <v>0</v>
      </c>
      <c r="AL232" s="92"/>
      <c r="AM232" s="92"/>
      <c r="AN232" s="92"/>
      <c r="AO232" s="92"/>
      <c r="AP232" s="92">
        <v>110.95</v>
      </c>
      <c r="AQ232" s="92"/>
      <c r="AR232" s="92"/>
      <c r="AS232" s="92"/>
      <c r="AT232" s="92"/>
      <c r="AU232" s="92">
        <v>103.38</v>
      </c>
      <c r="AV232" s="92"/>
      <c r="AW232" s="92"/>
      <c r="AX232" s="92"/>
      <c r="AY232" s="92"/>
      <c r="AZ232" s="92">
        <v>0</v>
      </c>
      <c r="BA232" s="92"/>
      <c r="BB232" s="92"/>
      <c r="BC232" s="92"/>
      <c r="BD232" s="92"/>
      <c r="BE232" s="92">
        <v>103.38</v>
      </c>
      <c r="BF232" s="92"/>
      <c r="BG232" s="92"/>
      <c r="BH232" s="92"/>
      <c r="BI232" s="92"/>
      <c r="BJ232" s="92">
        <v>103.38</v>
      </c>
      <c r="BK232" s="92"/>
      <c r="BL232" s="92"/>
      <c r="BM232" s="92"/>
      <c r="BN232" s="92"/>
      <c r="BO232" s="92">
        <v>0</v>
      </c>
      <c r="BP232" s="92"/>
      <c r="BQ232" s="92"/>
      <c r="BR232" s="92"/>
      <c r="BS232" s="92"/>
      <c r="BT232" s="92">
        <v>103.38</v>
      </c>
      <c r="BU232" s="92"/>
      <c r="BV232" s="92"/>
      <c r="BW232" s="92"/>
      <c r="BX232" s="92"/>
    </row>
    <row r="233" spans="1:79" s="5" customFormat="1" ht="15" customHeight="1" x14ac:dyDescent="0.2">
      <c r="A233" s="77">
        <v>0</v>
      </c>
      <c r="B233" s="78"/>
      <c r="C233" s="78"/>
      <c r="D233" s="121" t="s">
        <v>244</v>
      </c>
      <c r="E233" s="97"/>
      <c r="F233" s="97"/>
      <c r="G233" s="97"/>
      <c r="H233" s="97"/>
      <c r="I233" s="97"/>
      <c r="J233" s="97"/>
      <c r="K233" s="97"/>
      <c r="L233" s="97"/>
      <c r="M233" s="97"/>
      <c r="N233" s="97"/>
      <c r="O233" s="97"/>
      <c r="P233" s="98"/>
      <c r="Q233" s="91"/>
      <c r="R233" s="91"/>
      <c r="S233" s="91"/>
      <c r="T233" s="91"/>
      <c r="U233" s="91"/>
      <c r="V233" s="121"/>
      <c r="W233" s="97"/>
      <c r="X233" s="97"/>
      <c r="Y233" s="97"/>
      <c r="Z233" s="97"/>
      <c r="AA233" s="97"/>
      <c r="AB233" s="97"/>
      <c r="AC233" s="97"/>
      <c r="AD233" s="97"/>
      <c r="AE233" s="98"/>
      <c r="AF233" s="89"/>
      <c r="AG233" s="89"/>
      <c r="AH233" s="89"/>
      <c r="AI233" s="89"/>
      <c r="AJ233" s="89"/>
      <c r="AK233" s="89"/>
      <c r="AL233" s="89"/>
      <c r="AM233" s="89"/>
      <c r="AN233" s="89"/>
      <c r="AO233" s="89"/>
      <c r="AP233" s="89"/>
      <c r="AQ233" s="89"/>
      <c r="AR233" s="89"/>
      <c r="AS233" s="89"/>
      <c r="AT233" s="89"/>
      <c r="AU233" s="89"/>
      <c r="AV233" s="89"/>
      <c r="AW233" s="89"/>
      <c r="AX233" s="89"/>
      <c r="AY233" s="89"/>
      <c r="AZ233" s="89"/>
      <c r="BA233" s="89"/>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89"/>
    </row>
    <row r="234" spans="1:79" s="4" customFormat="1" ht="15" customHeight="1" x14ac:dyDescent="0.2">
      <c r="A234" s="52">
        <v>1</v>
      </c>
      <c r="B234" s="53"/>
      <c r="C234" s="53"/>
      <c r="D234" s="93" t="s">
        <v>245</v>
      </c>
      <c r="E234" s="56"/>
      <c r="F234" s="56"/>
      <c r="G234" s="56"/>
      <c r="H234" s="56"/>
      <c r="I234" s="56"/>
      <c r="J234" s="56"/>
      <c r="K234" s="56"/>
      <c r="L234" s="56"/>
      <c r="M234" s="56"/>
      <c r="N234" s="56"/>
      <c r="O234" s="56"/>
      <c r="P234" s="57"/>
      <c r="Q234" s="48" t="s">
        <v>246</v>
      </c>
      <c r="R234" s="48"/>
      <c r="S234" s="48"/>
      <c r="T234" s="48"/>
      <c r="U234" s="48"/>
      <c r="V234" s="93" t="s">
        <v>247</v>
      </c>
      <c r="W234" s="56"/>
      <c r="X234" s="56"/>
      <c r="Y234" s="56"/>
      <c r="Z234" s="56"/>
      <c r="AA234" s="56"/>
      <c r="AB234" s="56"/>
      <c r="AC234" s="56"/>
      <c r="AD234" s="56"/>
      <c r="AE234" s="57"/>
      <c r="AF234" s="92">
        <v>269</v>
      </c>
      <c r="AG234" s="92"/>
      <c r="AH234" s="92"/>
      <c r="AI234" s="92"/>
      <c r="AJ234" s="92"/>
      <c r="AK234" s="92">
        <v>0</v>
      </c>
      <c r="AL234" s="92"/>
      <c r="AM234" s="92"/>
      <c r="AN234" s="92"/>
      <c r="AO234" s="92"/>
      <c r="AP234" s="92">
        <v>269</v>
      </c>
      <c r="AQ234" s="92"/>
      <c r="AR234" s="92"/>
      <c r="AS234" s="92"/>
      <c r="AT234" s="92"/>
      <c r="AU234" s="92">
        <v>95</v>
      </c>
      <c r="AV234" s="92"/>
      <c r="AW234" s="92"/>
      <c r="AX234" s="92"/>
      <c r="AY234" s="92"/>
      <c r="AZ234" s="92">
        <v>0</v>
      </c>
      <c r="BA234" s="92"/>
      <c r="BB234" s="92"/>
      <c r="BC234" s="92"/>
      <c r="BD234" s="92"/>
      <c r="BE234" s="92">
        <v>95</v>
      </c>
      <c r="BF234" s="92"/>
      <c r="BG234" s="92"/>
      <c r="BH234" s="92"/>
      <c r="BI234" s="92"/>
      <c r="BJ234" s="92">
        <v>95</v>
      </c>
      <c r="BK234" s="92"/>
      <c r="BL234" s="92"/>
      <c r="BM234" s="92"/>
      <c r="BN234" s="92"/>
      <c r="BO234" s="92">
        <v>0</v>
      </c>
      <c r="BP234" s="92"/>
      <c r="BQ234" s="92"/>
      <c r="BR234" s="92"/>
      <c r="BS234" s="92"/>
      <c r="BT234" s="92">
        <v>95</v>
      </c>
      <c r="BU234" s="92"/>
      <c r="BV234" s="92"/>
      <c r="BW234" s="92"/>
      <c r="BX234" s="92"/>
    </row>
    <row r="235" spans="1:79" s="4" customFormat="1" ht="15" customHeight="1" x14ac:dyDescent="0.2">
      <c r="A235" s="52">
        <v>2</v>
      </c>
      <c r="B235" s="53"/>
      <c r="C235" s="53"/>
      <c r="D235" s="93" t="s">
        <v>248</v>
      </c>
      <c r="E235" s="56"/>
      <c r="F235" s="56"/>
      <c r="G235" s="56"/>
      <c r="H235" s="56"/>
      <c r="I235" s="56"/>
      <c r="J235" s="56"/>
      <c r="K235" s="56"/>
      <c r="L235" s="56"/>
      <c r="M235" s="56"/>
      <c r="N235" s="56"/>
      <c r="O235" s="56"/>
      <c r="P235" s="57"/>
      <c r="Q235" s="48" t="s">
        <v>246</v>
      </c>
      <c r="R235" s="48"/>
      <c r="S235" s="48"/>
      <c r="T235" s="48"/>
      <c r="U235" s="48"/>
      <c r="V235" s="93" t="s">
        <v>247</v>
      </c>
      <c r="W235" s="56"/>
      <c r="X235" s="56"/>
      <c r="Y235" s="56"/>
      <c r="Z235" s="56"/>
      <c r="AA235" s="56"/>
      <c r="AB235" s="56"/>
      <c r="AC235" s="56"/>
      <c r="AD235" s="56"/>
      <c r="AE235" s="57"/>
      <c r="AF235" s="92">
        <v>1041</v>
      </c>
      <c r="AG235" s="92"/>
      <c r="AH235" s="92"/>
      <c r="AI235" s="92"/>
      <c r="AJ235" s="92"/>
      <c r="AK235" s="92">
        <v>0</v>
      </c>
      <c r="AL235" s="92"/>
      <c r="AM235" s="92"/>
      <c r="AN235" s="92"/>
      <c r="AO235" s="92"/>
      <c r="AP235" s="92">
        <v>1041</v>
      </c>
      <c r="AQ235" s="92"/>
      <c r="AR235" s="92"/>
      <c r="AS235" s="92"/>
      <c r="AT235" s="92"/>
      <c r="AU235" s="92">
        <v>1032</v>
      </c>
      <c r="AV235" s="92"/>
      <c r="AW235" s="92"/>
      <c r="AX235" s="92"/>
      <c r="AY235" s="92"/>
      <c r="AZ235" s="92">
        <v>0</v>
      </c>
      <c r="BA235" s="92"/>
      <c r="BB235" s="92"/>
      <c r="BC235" s="92"/>
      <c r="BD235" s="92"/>
      <c r="BE235" s="92">
        <v>1032</v>
      </c>
      <c r="BF235" s="92"/>
      <c r="BG235" s="92"/>
      <c r="BH235" s="92"/>
      <c r="BI235" s="92"/>
      <c r="BJ235" s="92">
        <v>1032</v>
      </c>
      <c r="BK235" s="92"/>
      <c r="BL235" s="92"/>
      <c r="BM235" s="92"/>
      <c r="BN235" s="92"/>
      <c r="BO235" s="92">
        <v>0</v>
      </c>
      <c r="BP235" s="92"/>
      <c r="BQ235" s="92"/>
      <c r="BR235" s="92"/>
      <c r="BS235" s="92"/>
      <c r="BT235" s="92">
        <v>1032</v>
      </c>
      <c r="BU235" s="92"/>
      <c r="BV235" s="92"/>
      <c r="BW235" s="92"/>
      <c r="BX235" s="92"/>
    </row>
    <row r="236" spans="1:79" s="5" customFormat="1" ht="15" customHeight="1" x14ac:dyDescent="0.2">
      <c r="A236" s="77">
        <v>0</v>
      </c>
      <c r="B236" s="78"/>
      <c r="C236" s="78"/>
      <c r="D236" s="121" t="s">
        <v>249</v>
      </c>
      <c r="E236" s="97"/>
      <c r="F236" s="97"/>
      <c r="G236" s="97"/>
      <c r="H236" s="97"/>
      <c r="I236" s="97"/>
      <c r="J236" s="97"/>
      <c r="K236" s="97"/>
      <c r="L236" s="97"/>
      <c r="M236" s="97"/>
      <c r="N236" s="97"/>
      <c r="O236" s="97"/>
      <c r="P236" s="98"/>
      <c r="Q236" s="91"/>
      <c r="R236" s="91"/>
      <c r="S236" s="91"/>
      <c r="T236" s="91"/>
      <c r="U236" s="91"/>
      <c r="V236" s="121"/>
      <c r="W236" s="97"/>
      <c r="X236" s="97"/>
      <c r="Y236" s="97"/>
      <c r="Z236" s="97"/>
      <c r="AA236" s="97"/>
      <c r="AB236" s="97"/>
      <c r="AC236" s="97"/>
      <c r="AD236" s="97"/>
      <c r="AE236" s="98"/>
      <c r="AF236" s="89"/>
      <c r="AG236" s="89"/>
      <c r="AH236" s="89"/>
      <c r="AI236" s="89"/>
      <c r="AJ236" s="89"/>
      <c r="AK236" s="89"/>
      <c r="AL236" s="89"/>
      <c r="AM236" s="89"/>
      <c r="AN236" s="89"/>
      <c r="AO236" s="89"/>
      <c r="AP236" s="89"/>
      <c r="AQ236" s="89"/>
      <c r="AR236" s="89"/>
      <c r="AS236" s="89"/>
      <c r="AT236" s="89"/>
      <c r="AU236" s="89"/>
      <c r="AV236" s="89"/>
      <c r="AW236" s="89"/>
      <c r="AX236" s="89"/>
      <c r="AY236" s="89"/>
      <c r="AZ236" s="89"/>
      <c r="BA236" s="89"/>
      <c r="BB236" s="89"/>
      <c r="BC236" s="89"/>
      <c r="BD236" s="89"/>
      <c r="BE236" s="89"/>
      <c r="BF236" s="89"/>
      <c r="BG236" s="89"/>
      <c r="BH236" s="89"/>
      <c r="BI236" s="89"/>
      <c r="BJ236" s="89"/>
      <c r="BK236" s="89"/>
      <c r="BL236" s="89"/>
      <c r="BM236" s="89"/>
      <c r="BN236" s="89"/>
      <c r="BO236" s="89"/>
      <c r="BP236" s="89"/>
      <c r="BQ236" s="89"/>
      <c r="BR236" s="89"/>
      <c r="BS236" s="89"/>
      <c r="BT236" s="89"/>
      <c r="BU236" s="89"/>
      <c r="BV236" s="89"/>
      <c r="BW236" s="89"/>
      <c r="BX236" s="89"/>
    </row>
    <row r="237" spans="1:79" s="4" customFormat="1" ht="28.5" customHeight="1" x14ac:dyDescent="0.2">
      <c r="A237" s="52">
        <v>1</v>
      </c>
      <c r="B237" s="53"/>
      <c r="C237" s="53"/>
      <c r="D237" s="93" t="s">
        <v>250</v>
      </c>
      <c r="E237" s="56"/>
      <c r="F237" s="56"/>
      <c r="G237" s="56"/>
      <c r="H237" s="56"/>
      <c r="I237" s="56"/>
      <c r="J237" s="56"/>
      <c r="K237" s="56"/>
      <c r="L237" s="56"/>
      <c r="M237" s="56"/>
      <c r="N237" s="56"/>
      <c r="O237" s="56"/>
      <c r="P237" s="57"/>
      <c r="Q237" s="48" t="s">
        <v>251</v>
      </c>
      <c r="R237" s="48"/>
      <c r="S237" s="48"/>
      <c r="T237" s="48"/>
      <c r="U237" s="48"/>
      <c r="V237" s="93" t="s">
        <v>252</v>
      </c>
      <c r="W237" s="56"/>
      <c r="X237" s="56"/>
      <c r="Y237" s="56"/>
      <c r="Z237" s="56"/>
      <c r="AA237" s="56"/>
      <c r="AB237" s="56"/>
      <c r="AC237" s="56"/>
      <c r="AD237" s="56"/>
      <c r="AE237" s="57"/>
      <c r="AF237" s="92">
        <v>45730</v>
      </c>
      <c r="AG237" s="92"/>
      <c r="AH237" s="92"/>
      <c r="AI237" s="92"/>
      <c r="AJ237" s="92"/>
      <c r="AK237" s="92">
        <v>0</v>
      </c>
      <c r="AL237" s="92"/>
      <c r="AM237" s="92"/>
      <c r="AN237" s="92"/>
      <c r="AO237" s="92"/>
      <c r="AP237" s="92">
        <v>45730</v>
      </c>
      <c r="AQ237" s="92"/>
      <c r="AR237" s="92"/>
      <c r="AS237" s="92"/>
      <c r="AT237" s="92"/>
      <c r="AU237" s="92">
        <v>16625</v>
      </c>
      <c r="AV237" s="92"/>
      <c r="AW237" s="92"/>
      <c r="AX237" s="92"/>
      <c r="AY237" s="92"/>
      <c r="AZ237" s="92">
        <v>0</v>
      </c>
      <c r="BA237" s="92"/>
      <c r="BB237" s="92"/>
      <c r="BC237" s="92"/>
      <c r="BD237" s="92"/>
      <c r="BE237" s="92">
        <v>16625</v>
      </c>
      <c r="BF237" s="92"/>
      <c r="BG237" s="92"/>
      <c r="BH237" s="92"/>
      <c r="BI237" s="92"/>
      <c r="BJ237" s="92">
        <v>16625</v>
      </c>
      <c r="BK237" s="92"/>
      <c r="BL237" s="92"/>
      <c r="BM237" s="92"/>
      <c r="BN237" s="92"/>
      <c r="BO237" s="92">
        <v>0</v>
      </c>
      <c r="BP237" s="92"/>
      <c r="BQ237" s="92"/>
      <c r="BR237" s="92"/>
      <c r="BS237" s="92"/>
      <c r="BT237" s="92">
        <v>16625</v>
      </c>
      <c r="BU237" s="92"/>
      <c r="BV237" s="92"/>
      <c r="BW237" s="92"/>
      <c r="BX237" s="92"/>
    </row>
    <row r="238" spans="1:79" s="4" customFormat="1" ht="15" customHeight="1" x14ac:dyDescent="0.2">
      <c r="A238" s="52">
        <v>2</v>
      </c>
      <c r="B238" s="53"/>
      <c r="C238" s="53"/>
      <c r="D238" s="93" t="s">
        <v>253</v>
      </c>
      <c r="E238" s="56"/>
      <c r="F238" s="56"/>
      <c r="G238" s="56"/>
      <c r="H238" s="56"/>
      <c r="I238" s="56"/>
      <c r="J238" s="56"/>
      <c r="K238" s="56"/>
      <c r="L238" s="56"/>
      <c r="M238" s="56"/>
      <c r="N238" s="56"/>
      <c r="O238" s="56"/>
      <c r="P238" s="57"/>
      <c r="Q238" s="48" t="s">
        <v>251</v>
      </c>
      <c r="R238" s="48"/>
      <c r="S238" s="48"/>
      <c r="T238" s="48"/>
      <c r="U238" s="48"/>
      <c r="V238" s="93" t="s">
        <v>252</v>
      </c>
      <c r="W238" s="56"/>
      <c r="X238" s="56"/>
      <c r="Y238" s="56"/>
      <c r="Z238" s="56"/>
      <c r="AA238" s="56"/>
      <c r="AB238" s="56"/>
      <c r="AC238" s="56"/>
      <c r="AD238" s="56"/>
      <c r="AE238" s="57"/>
      <c r="AF238" s="92">
        <v>166560</v>
      </c>
      <c r="AG238" s="92"/>
      <c r="AH238" s="92"/>
      <c r="AI238" s="92"/>
      <c r="AJ238" s="92"/>
      <c r="AK238" s="92">
        <v>0</v>
      </c>
      <c r="AL238" s="92"/>
      <c r="AM238" s="92"/>
      <c r="AN238" s="92"/>
      <c r="AO238" s="92"/>
      <c r="AP238" s="92">
        <v>166560</v>
      </c>
      <c r="AQ238" s="92"/>
      <c r="AR238" s="92"/>
      <c r="AS238" s="92"/>
      <c r="AT238" s="92"/>
      <c r="AU238" s="92">
        <v>180600</v>
      </c>
      <c r="AV238" s="92"/>
      <c r="AW238" s="92"/>
      <c r="AX238" s="92"/>
      <c r="AY238" s="92"/>
      <c r="AZ238" s="92">
        <v>0</v>
      </c>
      <c r="BA238" s="92"/>
      <c r="BB238" s="92"/>
      <c r="BC238" s="92"/>
      <c r="BD238" s="92"/>
      <c r="BE238" s="92">
        <v>180600</v>
      </c>
      <c r="BF238" s="92"/>
      <c r="BG238" s="92"/>
      <c r="BH238" s="92"/>
      <c r="BI238" s="92"/>
      <c r="BJ238" s="92">
        <v>180600</v>
      </c>
      <c r="BK238" s="92"/>
      <c r="BL238" s="92"/>
      <c r="BM238" s="92"/>
      <c r="BN238" s="92"/>
      <c r="BO238" s="92">
        <v>0</v>
      </c>
      <c r="BP238" s="92"/>
      <c r="BQ238" s="92"/>
      <c r="BR238" s="92"/>
      <c r="BS238" s="92"/>
      <c r="BT238" s="92">
        <v>180600</v>
      </c>
      <c r="BU238" s="92"/>
      <c r="BV238" s="92"/>
      <c r="BW238" s="92"/>
      <c r="BX238" s="92"/>
    </row>
    <row r="239" spans="1:79" s="5" customFormat="1" ht="15" customHeight="1" x14ac:dyDescent="0.2">
      <c r="A239" s="77">
        <v>0</v>
      </c>
      <c r="B239" s="78"/>
      <c r="C239" s="78"/>
      <c r="D239" s="121" t="s">
        <v>254</v>
      </c>
      <c r="E239" s="97"/>
      <c r="F239" s="97"/>
      <c r="G239" s="97"/>
      <c r="H239" s="97"/>
      <c r="I239" s="97"/>
      <c r="J239" s="97"/>
      <c r="K239" s="97"/>
      <c r="L239" s="97"/>
      <c r="M239" s="97"/>
      <c r="N239" s="97"/>
      <c r="O239" s="97"/>
      <c r="P239" s="98"/>
      <c r="Q239" s="91"/>
      <c r="R239" s="91"/>
      <c r="S239" s="91"/>
      <c r="T239" s="91"/>
      <c r="U239" s="91"/>
      <c r="V239" s="121"/>
      <c r="W239" s="97"/>
      <c r="X239" s="97"/>
      <c r="Y239" s="97"/>
      <c r="Z239" s="97"/>
      <c r="AA239" s="97"/>
      <c r="AB239" s="97"/>
      <c r="AC239" s="97"/>
      <c r="AD239" s="97"/>
      <c r="AE239" s="98"/>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row>
    <row r="240" spans="1:79" s="4" customFormat="1" ht="28.5" customHeight="1" x14ac:dyDescent="0.2">
      <c r="A240" s="52">
        <v>1</v>
      </c>
      <c r="B240" s="53"/>
      <c r="C240" s="53"/>
      <c r="D240" s="93" t="s">
        <v>255</v>
      </c>
      <c r="E240" s="56"/>
      <c r="F240" s="56"/>
      <c r="G240" s="56"/>
      <c r="H240" s="56"/>
      <c r="I240" s="56"/>
      <c r="J240" s="56"/>
      <c r="K240" s="56"/>
      <c r="L240" s="56"/>
      <c r="M240" s="56"/>
      <c r="N240" s="56"/>
      <c r="O240" s="56"/>
      <c r="P240" s="57"/>
      <c r="Q240" s="48" t="s">
        <v>251</v>
      </c>
      <c r="R240" s="48"/>
      <c r="S240" s="48"/>
      <c r="T240" s="48"/>
      <c r="U240" s="48"/>
      <c r="V240" s="93" t="s">
        <v>256</v>
      </c>
      <c r="W240" s="56"/>
      <c r="X240" s="56"/>
      <c r="Y240" s="56"/>
      <c r="Z240" s="56"/>
      <c r="AA240" s="56"/>
      <c r="AB240" s="56"/>
      <c r="AC240" s="56"/>
      <c r="AD240" s="56"/>
      <c r="AE240" s="57"/>
      <c r="AF240" s="92">
        <v>170</v>
      </c>
      <c r="AG240" s="92"/>
      <c r="AH240" s="92"/>
      <c r="AI240" s="92"/>
      <c r="AJ240" s="92"/>
      <c r="AK240" s="92">
        <v>0</v>
      </c>
      <c r="AL240" s="92"/>
      <c r="AM240" s="92"/>
      <c r="AN240" s="92"/>
      <c r="AO240" s="92"/>
      <c r="AP240" s="92">
        <v>170</v>
      </c>
      <c r="AQ240" s="92"/>
      <c r="AR240" s="92"/>
      <c r="AS240" s="92"/>
      <c r="AT240" s="92"/>
      <c r="AU240" s="92">
        <v>175</v>
      </c>
      <c r="AV240" s="92"/>
      <c r="AW240" s="92"/>
      <c r="AX240" s="92"/>
      <c r="AY240" s="92"/>
      <c r="AZ240" s="92">
        <v>0</v>
      </c>
      <c r="BA240" s="92"/>
      <c r="BB240" s="92"/>
      <c r="BC240" s="92"/>
      <c r="BD240" s="92"/>
      <c r="BE240" s="92">
        <v>175</v>
      </c>
      <c r="BF240" s="92"/>
      <c r="BG240" s="92"/>
      <c r="BH240" s="92"/>
      <c r="BI240" s="92"/>
      <c r="BJ240" s="92">
        <v>175</v>
      </c>
      <c r="BK240" s="92"/>
      <c r="BL240" s="92"/>
      <c r="BM240" s="92"/>
      <c r="BN240" s="92"/>
      <c r="BO240" s="92">
        <v>0</v>
      </c>
      <c r="BP240" s="92"/>
      <c r="BQ240" s="92"/>
      <c r="BR240" s="92"/>
      <c r="BS240" s="92"/>
      <c r="BT240" s="92">
        <v>175</v>
      </c>
      <c r="BU240" s="92"/>
      <c r="BV240" s="92"/>
      <c r="BW240" s="92"/>
      <c r="BX240" s="92"/>
    </row>
    <row r="241" spans="1:79" s="4" customFormat="1" ht="30" customHeight="1" x14ac:dyDescent="0.2">
      <c r="A241" s="52">
        <v>2</v>
      </c>
      <c r="B241" s="53"/>
      <c r="C241" s="53"/>
      <c r="D241" s="93" t="s">
        <v>257</v>
      </c>
      <c r="E241" s="56"/>
      <c r="F241" s="56"/>
      <c r="G241" s="56"/>
      <c r="H241" s="56"/>
      <c r="I241" s="56"/>
      <c r="J241" s="56"/>
      <c r="K241" s="56"/>
      <c r="L241" s="56"/>
      <c r="M241" s="56"/>
      <c r="N241" s="56"/>
      <c r="O241" s="56"/>
      <c r="P241" s="57"/>
      <c r="Q241" s="48" t="s">
        <v>251</v>
      </c>
      <c r="R241" s="48"/>
      <c r="S241" s="48"/>
      <c r="T241" s="48"/>
      <c r="U241" s="48"/>
      <c r="V241" s="93" t="s">
        <v>256</v>
      </c>
      <c r="W241" s="56"/>
      <c r="X241" s="56"/>
      <c r="Y241" s="56"/>
      <c r="Z241" s="56"/>
      <c r="AA241" s="56"/>
      <c r="AB241" s="56"/>
      <c r="AC241" s="56"/>
      <c r="AD241" s="56"/>
      <c r="AE241" s="57"/>
      <c r="AF241" s="92">
        <v>160</v>
      </c>
      <c r="AG241" s="92"/>
      <c r="AH241" s="92"/>
      <c r="AI241" s="92"/>
      <c r="AJ241" s="92"/>
      <c r="AK241" s="92">
        <v>0</v>
      </c>
      <c r="AL241" s="92"/>
      <c r="AM241" s="92"/>
      <c r="AN241" s="92"/>
      <c r="AO241" s="92"/>
      <c r="AP241" s="92">
        <v>160</v>
      </c>
      <c r="AQ241" s="92"/>
      <c r="AR241" s="92"/>
      <c r="AS241" s="92"/>
      <c r="AT241" s="92"/>
      <c r="AU241" s="92">
        <v>175</v>
      </c>
      <c r="AV241" s="92"/>
      <c r="AW241" s="92"/>
      <c r="AX241" s="92"/>
      <c r="AY241" s="92"/>
      <c r="AZ241" s="92">
        <v>0</v>
      </c>
      <c r="BA241" s="92"/>
      <c r="BB241" s="92"/>
      <c r="BC241" s="92"/>
      <c r="BD241" s="92"/>
      <c r="BE241" s="92">
        <v>175</v>
      </c>
      <c r="BF241" s="92"/>
      <c r="BG241" s="92"/>
      <c r="BH241" s="92"/>
      <c r="BI241" s="92"/>
      <c r="BJ241" s="92">
        <v>175</v>
      </c>
      <c r="BK241" s="92"/>
      <c r="BL241" s="92"/>
      <c r="BM241" s="92"/>
      <c r="BN241" s="92"/>
      <c r="BO241" s="92">
        <v>0</v>
      </c>
      <c r="BP241" s="92"/>
      <c r="BQ241" s="92"/>
      <c r="BR241" s="92"/>
      <c r="BS241" s="92"/>
      <c r="BT241" s="92">
        <v>175</v>
      </c>
      <c r="BU241" s="92"/>
      <c r="BV241" s="92"/>
      <c r="BW241" s="92"/>
      <c r="BX241" s="92"/>
    </row>
    <row r="243" spans="1:79" ht="14.25" customHeight="1" x14ac:dyDescent="0.2">
      <c r="A243" s="28" t="s">
        <v>311</v>
      </c>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row>
    <row r="244" spans="1:79" ht="23.1" customHeight="1" x14ac:dyDescent="0.2">
      <c r="A244" s="42" t="s">
        <v>6</v>
      </c>
      <c r="B244" s="43"/>
      <c r="C244" s="43"/>
      <c r="D244" s="48" t="s">
        <v>9</v>
      </c>
      <c r="E244" s="48"/>
      <c r="F244" s="48"/>
      <c r="G244" s="48"/>
      <c r="H244" s="48"/>
      <c r="I244" s="48"/>
      <c r="J244" s="48"/>
      <c r="K244" s="48"/>
      <c r="L244" s="48"/>
      <c r="M244" s="48"/>
      <c r="N244" s="48"/>
      <c r="O244" s="48"/>
      <c r="P244" s="48"/>
      <c r="Q244" s="48" t="s">
        <v>8</v>
      </c>
      <c r="R244" s="48"/>
      <c r="S244" s="48"/>
      <c r="T244" s="48"/>
      <c r="U244" s="48"/>
      <c r="V244" s="48" t="s">
        <v>7</v>
      </c>
      <c r="W244" s="48"/>
      <c r="X244" s="48"/>
      <c r="Y244" s="48"/>
      <c r="Z244" s="48"/>
      <c r="AA244" s="48"/>
      <c r="AB244" s="48"/>
      <c r="AC244" s="48"/>
      <c r="AD244" s="48"/>
      <c r="AE244" s="48"/>
      <c r="AF244" s="35" t="s">
        <v>302</v>
      </c>
      <c r="AG244" s="36"/>
      <c r="AH244" s="36"/>
      <c r="AI244" s="36"/>
      <c r="AJ244" s="36"/>
      <c r="AK244" s="36"/>
      <c r="AL244" s="36"/>
      <c r="AM244" s="36"/>
      <c r="AN244" s="36"/>
      <c r="AO244" s="36"/>
      <c r="AP244" s="36"/>
      <c r="AQ244" s="36"/>
      <c r="AR244" s="36"/>
      <c r="AS244" s="36"/>
      <c r="AT244" s="37"/>
      <c r="AU244" s="35" t="s">
        <v>307</v>
      </c>
      <c r="AV244" s="36"/>
      <c r="AW244" s="36"/>
      <c r="AX244" s="36"/>
      <c r="AY244" s="36"/>
      <c r="AZ244" s="36"/>
      <c r="BA244" s="36"/>
      <c r="BB244" s="36"/>
      <c r="BC244" s="36"/>
      <c r="BD244" s="36"/>
      <c r="BE244" s="36"/>
      <c r="BF244" s="36"/>
      <c r="BG244" s="36"/>
      <c r="BH244" s="36"/>
      <c r="BI244" s="37"/>
    </row>
    <row r="245" spans="1:79" ht="28.5" customHeight="1" x14ac:dyDescent="0.2">
      <c r="A245" s="45"/>
      <c r="B245" s="46"/>
      <c r="C245" s="46"/>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t="s">
        <v>4</v>
      </c>
      <c r="AG245" s="48"/>
      <c r="AH245" s="48"/>
      <c r="AI245" s="48"/>
      <c r="AJ245" s="48"/>
      <c r="AK245" s="48" t="s">
        <v>3</v>
      </c>
      <c r="AL245" s="48"/>
      <c r="AM245" s="48"/>
      <c r="AN245" s="48"/>
      <c r="AO245" s="48"/>
      <c r="AP245" s="48" t="s">
        <v>123</v>
      </c>
      <c r="AQ245" s="48"/>
      <c r="AR245" s="48"/>
      <c r="AS245" s="48"/>
      <c r="AT245" s="48"/>
      <c r="AU245" s="48" t="s">
        <v>4</v>
      </c>
      <c r="AV245" s="48"/>
      <c r="AW245" s="48"/>
      <c r="AX245" s="48"/>
      <c r="AY245" s="48"/>
      <c r="AZ245" s="48" t="s">
        <v>3</v>
      </c>
      <c r="BA245" s="48"/>
      <c r="BB245" s="48"/>
      <c r="BC245" s="48"/>
      <c r="BD245" s="48"/>
      <c r="BE245" s="48" t="s">
        <v>90</v>
      </c>
      <c r="BF245" s="48"/>
      <c r="BG245" s="48"/>
      <c r="BH245" s="48"/>
      <c r="BI245" s="48"/>
    </row>
    <row r="246" spans="1:79" ht="15" customHeight="1" x14ac:dyDescent="0.2">
      <c r="A246" s="35">
        <v>1</v>
      </c>
      <c r="B246" s="36"/>
      <c r="C246" s="36"/>
      <c r="D246" s="48">
        <v>2</v>
      </c>
      <c r="E246" s="48"/>
      <c r="F246" s="48"/>
      <c r="G246" s="48"/>
      <c r="H246" s="48"/>
      <c r="I246" s="48"/>
      <c r="J246" s="48"/>
      <c r="K246" s="48"/>
      <c r="L246" s="48"/>
      <c r="M246" s="48"/>
      <c r="N246" s="48"/>
      <c r="O246" s="48"/>
      <c r="P246" s="48"/>
      <c r="Q246" s="48">
        <v>3</v>
      </c>
      <c r="R246" s="48"/>
      <c r="S246" s="48"/>
      <c r="T246" s="48"/>
      <c r="U246" s="48"/>
      <c r="V246" s="48">
        <v>4</v>
      </c>
      <c r="W246" s="48"/>
      <c r="X246" s="48"/>
      <c r="Y246" s="48"/>
      <c r="Z246" s="48"/>
      <c r="AA246" s="48"/>
      <c r="AB246" s="48"/>
      <c r="AC246" s="48"/>
      <c r="AD246" s="48"/>
      <c r="AE246" s="48"/>
      <c r="AF246" s="48">
        <v>5</v>
      </c>
      <c r="AG246" s="48"/>
      <c r="AH246" s="48"/>
      <c r="AI246" s="48"/>
      <c r="AJ246" s="48"/>
      <c r="AK246" s="48">
        <v>6</v>
      </c>
      <c r="AL246" s="48"/>
      <c r="AM246" s="48"/>
      <c r="AN246" s="48"/>
      <c r="AO246" s="48"/>
      <c r="AP246" s="48">
        <v>7</v>
      </c>
      <c r="AQ246" s="48"/>
      <c r="AR246" s="48"/>
      <c r="AS246" s="48"/>
      <c r="AT246" s="48"/>
      <c r="AU246" s="48">
        <v>8</v>
      </c>
      <c r="AV246" s="48"/>
      <c r="AW246" s="48"/>
      <c r="AX246" s="48"/>
      <c r="AY246" s="48"/>
      <c r="AZ246" s="48">
        <v>9</v>
      </c>
      <c r="BA246" s="48"/>
      <c r="BB246" s="48"/>
      <c r="BC246" s="48"/>
      <c r="BD246" s="48"/>
      <c r="BE246" s="48">
        <v>10</v>
      </c>
      <c r="BF246" s="48"/>
      <c r="BG246" s="48"/>
      <c r="BH246" s="48"/>
      <c r="BI246" s="48"/>
    </row>
    <row r="247" spans="1:79" ht="15.75" hidden="1" customHeight="1" x14ac:dyDescent="0.2">
      <c r="A247" s="62" t="s">
        <v>154</v>
      </c>
      <c r="B247" s="63"/>
      <c r="C247" s="63"/>
      <c r="D247" s="48" t="s">
        <v>57</v>
      </c>
      <c r="E247" s="48"/>
      <c r="F247" s="48"/>
      <c r="G247" s="48"/>
      <c r="H247" s="48"/>
      <c r="I247" s="48"/>
      <c r="J247" s="48"/>
      <c r="K247" s="48"/>
      <c r="L247" s="48"/>
      <c r="M247" s="48"/>
      <c r="N247" s="48"/>
      <c r="O247" s="48"/>
      <c r="P247" s="48"/>
      <c r="Q247" s="48" t="s">
        <v>70</v>
      </c>
      <c r="R247" s="48"/>
      <c r="S247" s="48"/>
      <c r="T247" s="48"/>
      <c r="U247" s="48"/>
      <c r="V247" s="48" t="s">
        <v>71</v>
      </c>
      <c r="W247" s="48"/>
      <c r="X247" s="48"/>
      <c r="Y247" s="48"/>
      <c r="Z247" s="48"/>
      <c r="AA247" s="48"/>
      <c r="AB247" s="48"/>
      <c r="AC247" s="48"/>
      <c r="AD247" s="48"/>
      <c r="AE247" s="48"/>
      <c r="AF247" s="66" t="s">
        <v>107</v>
      </c>
      <c r="AG247" s="66"/>
      <c r="AH247" s="66"/>
      <c r="AI247" s="66"/>
      <c r="AJ247" s="66"/>
      <c r="AK247" s="90" t="s">
        <v>108</v>
      </c>
      <c r="AL247" s="90"/>
      <c r="AM247" s="90"/>
      <c r="AN247" s="90"/>
      <c r="AO247" s="90"/>
      <c r="AP247" s="73" t="s">
        <v>238</v>
      </c>
      <c r="AQ247" s="73"/>
      <c r="AR247" s="73"/>
      <c r="AS247" s="73"/>
      <c r="AT247" s="73"/>
      <c r="AU247" s="66" t="s">
        <v>109</v>
      </c>
      <c r="AV247" s="66"/>
      <c r="AW247" s="66"/>
      <c r="AX247" s="66"/>
      <c r="AY247" s="66"/>
      <c r="AZ247" s="90" t="s">
        <v>110</v>
      </c>
      <c r="BA247" s="90"/>
      <c r="BB247" s="90"/>
      <c r="BC247" s="90"/>
      <c r="BD247" s="90"/>
      <c r="BE247" s="73" t="s">
        <v>238</v>
      </c>
      <c r="BF247" s="73"/>
      <c r="BG247" s="73"/>
      <c r="BH247" s="73"/>
      <c r="BI247" s="73"/>
      <c r="CA247" t="s">
        <v>39</v>
      </c>
    </row>
    <row r="248" spans="1:79" s="5" customFormat="1" ht="14.25" x14ac:dyDescent="0.2">
      <c r="A248" s="77">
        <v>0</v>
      </c>
      <c r="B248" s="78"/>
      <c r="C248" s="78"/>
      <c r="D248" s="91" t="s">
        <v>237</v>
      </c>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89"/>
      <c r="AG248" s="89"/>
      <c r="AH248" s="89"/>
      <c r="AI248" s="89"/>
      <c r="AJ248" s="89"/>
      <c r="AK248" s="89"/>
      <c r="AL248" s="89"/>
      <c r="AM248" s="89"/>
      <c r="AN248" s="89"/>
      <c r="AO248" s="89"/>
      <c r="AP248" s="89"/>
      <c r="AQ248" s="89"/>
      <c r="AR248" s="89"/>
      <c r="AS248" s="89"/>
      <c r="AT248" s="89"/>
      <c r="AU248" s="89"/>
      <c r="AV248" s="89"/>
      <c r="AW248" s="89"/>
      <c r="AX248" s="89"/>
      <c r="AY248" s="89"/>
      <c r="AZ248" s="89"/>
      <c r="BA248" s="89"/>
      <c r="BB248" s="89"/>
      <c r="BC248" s="89"/>
      <c r="BD248" s="89"/>
      <c r="BE248" s="89"/>
      <c r="BF248" s="89"/>
      <c r="BG248" s="89"/>
      <c r="BH248" s="89"/>
      <c r="BI248" s="89"/>
      <c r="CA248" s="5" t="s">
        <v>40</v>
      </c>
    </row>
    <row r="249" spans="1:79" s="4" customFormat="1" ht="28.5" customHeight="1" x14ac:dyDescent="0.2">
      <c r="A249" s="52">
        <v>1</v>
      </c>
      <c r="B249" s="53"/>
      <c r="C249" s="53"/>
      <c r="D249" s="93" t="s">
        <v>239</v>
      </c>
      <c r="E249" s="56"/>
      <c r="F249" s="56"/>
      <c r="G249" s="56"/>
      <c r="H249" s="56"/>
      <c r="I249" s="56"/>
      <c r="J249" s="56"/>
      <c r="K249" s="56"/>
      <c r="L249" s="56"/>
      <c r="M249" s="56"/>
      <c r="N249" s="56"/>
      <c r="O249" s="56"/>
      <c r="P249" s="57"/>
      <c r="Q249" s="48" t="s">
        <v>240</v>
      </c>
      <c r="R249" s="48"/>
      <c r="S249" s="48"/>
      <c r="T249" s="48"/>
      <c r="U249" s="48"/>
      <c r="V249" s="93" t="s">
        <v>241</v>
      </c>
      <c r="W249" s="56"/>
      <c r="X249" s="56"/>
      <c r="Y249" s="56"/>
      <c r="Z249" s="56"/>
      <c r="AA249" s="56"/>
      <c r="AB249" s="56"/>
      <c r="AC249" s="56"/>
      <c r="AD249" s="56"/>
      <c r="AE249" s="57"/>
      <c r="AF249" s="92">
        <v>4</v>
      </c>
      <c r="AG249" s="92"/>
      <c r="AH249" s="92"/>
      <c r="AI249" s="92"/>
      <c r="AJ249" s="92"/>
      <c r="AK249" s="92">
        <v>0</v>
      </c>
      <c r="AL249" s="92"/>
      <c r="AM249" s="92"/>
      <c r="AN249" s="92"/>
      <c r="AO249" s="92"/>
      <c r="AP249" s="92">
        <v>4</v>
      </c>
      <c r="AQ249" s="92"/>
      <c r="AR249" s="92"/>
      <c r="AS249" s="92"/>
      <c r="AT249" s="92"/>
      <c r="AU249" s="92">
        <v>4</v>
      </c>
      <c r="AV249" s="92"/>
      <c r="AW249" s="92"/>
      <c r="AX249" s="92"/>
      <c r="AY249" s="92"/>
      <c r="AZ249" s="92">
        <v>0</v>
      </c>
      <c r="BA249" s="92"/>
      <c r="BB249" s="92"/>
      <c r="BC249" s="92"/>
      <c r="BD249" s="92"/>
      <c r="BE249" s="92">
        <v>4</v>
      </c>
      <c r="BF249" s="92"/>
      <c r="BG249" s="92"/>
      <c r="BH249" s="92"/>
      <c r="BI249" s="92"/>
    </row>
    <row r="250" spans="1:79" s="4" customFormat="1" ht="15" customHeight="1" x14ac:dyDescent="0.2">
      <c r="A250" s="52">
        <v>2</v>
      </c>
      <c r="B250" s="53"/>
      <c r="C250" s="53"/>
      <c r="D250" s="93" t="s">
        <v>242</v>
      </c>
      <c r="E250" s="56"/>
      <c r="F250" s="56"/>
      <c r="G250" s="56"/>
      <c r="H250" s="56"/>
      <c r="I250" s="56"/>
      <c r="J250" s="56"/>
      <c r="K250" s="56"/>
      <c r="L250" s="56"/>
      <c r="M250" s="56"/>
      <c r="N250" s="56"/>
      <c r="O250" s="56"/>
      <c r="P250" s="57"/>
      <c r="Q250" s="48" t="s">
        <v>240</v>
      </c>
      <c r="R250" s="48"/>
      <c r="S250" s="48"/>
      <c r="T250" s="48"/>
      <c r="U250" s="48"/>
      <c r="V250" s="93" t="s">
        <v>243</v>
      </c>
      <c r="W250" s="56"/>
      <c r="X250" s="56"/>
      <c r="Y250" s="56"/>
      <c r="Z250" s="56"/>
      <c r="AA250" s="56"/>
      <c r="AB250" s="56"/>
      <c r="AC250" s="56"/>
      <c r="AD250" s="56"/>
      <c r="AE250" s="57"/>
      <c r="AF250" s="92">
        <v>103.38</v>
      </c>
      <c r="AG250" s="92"/>
      <c r="AH250" s="92"/>
      <c r="AI250" s="92"/>
      <c r="AJ250" s="92"/>
      <c r="AK250" s="92">
        <v>0</v>
      </c>
      <c r="AL250" s="92"/>
      <c r="AM250" s="92"/>
      <c r="AN250" s="92"/>
      <c r="AO250" s="92"/>
      <c r="AP250" s="92">
        <v>103.38</v>
      </c>
      <c r="AQ250" s="92"/>
      <c r="AR250" s="92"/>
      <c r="AS250" s="92"/>
      <c r="AT250" s="92"/>
      <c r="AU250" s="92">
        <v>103.38</v>
      </c>
      <c r="AV250" s="92"/>
      <c r="AW250" s="92"/>
      <c r="AX250" s="92"/>
      <c r="AY250" s="92"/>
      <c r="AZ250" s="92">
        <v>0</v>
      </c>
      <c r="BA250" s="92"/>
      <c r="BB250" s="92"/>
      <c r="BC250" s="92"/>
      <c r="BD250" s="92"/>
      <c r="BE250" s="92">
        <v>103.38</v>
      </c>
      <c r="BF250" s="92"/>
      <c r="BG250" s="92"/>
      <c r="BH250" s="92"/>
      <c r="BI250" s="92"/>
    </row>
    <row r="251" spans="1:79" s="5" customFormat="1" ht="14.25" x14ac:dyDescent="0.2">
      <c r="A251" s="77">
        <v>0</v>
      </c>
      <c r="B251" s="78"/>
      <c r="C251" s="78"/>
      <c r="D251" s="121" t="s">
        <v>244</v>
      </c>
      <c r="E251" s="97"/>
      <c r="F251" s="97"/>
      <c r="G251" s="97"/>
      <c r="H251" s="97"/>
      <c r="I251" s="97"/>
      <c r="J251" s="97"/>
      <c r="K251" s="97"/>
      <c r="L251" s="97"/>
      <c r="M251" s="97"/>
      <c r="N251" s="97"/>
      <c r="O251" s="97"/>
      <c r="P251" s="98"/>
      <c r="Q251" s="91"/>
      <c r="R251" s="91"/>
      <c r="S251" s="91"/>
      <c r="T251" s="91"/>
      <c r="U251" s="91"/>
      <c r="V251" s="121"/>
      <c r="W251" s="97"/>
      <c r="X251" s="97"/>
      <c r="Y251" s="97"/>
      <c r="Z251" s="97"/>
      <c r="AA251" s="97"/>
      <c r="AB251" s="97"/>
      <c r="AC251" s="97"/>
      <c r="AD251" s="97"/>
      <c r="AE251" s="98"/>
      <c r="AF251" s="89"/>
      <c r="AG251" s="89"/>
      <c r="AH251" s="89"/>
      <c r="AI251" s="89"/>
      <c r="AJ251" s="89"/>
      <c r="AK251" s="89"/>
      <c r="AL251" s="89"/>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row>
    <row r="252" spans="1:79" s="4" customFormat="1" ht="14.25" customHeight="1" x14ac:dyDescent="0.2">
      <c r="A252" s="52">
        <v>1</v>
      </c>
      <c r="B252" s="53"/>
      <c r="C252" s="53"/>
      <c r="D252" s="93" t="s">
        <v>245</v>
      </c>
      <c r="E252" s="56"/>
      <c r="F252" s="56"/>
      <c r="G252" s="56"/>
      <c r="H252" s="56"/>
      <c r="I252" s="56"/>
      <c r="J252" s="56"/>
      <c r="K252" s="56"/>
      <c r="L252" s="56"/>
      <c r="M252" s="56"/>
      <c r="N252" s="56"/>
      <c r="O252" s="56"/>
      <c r="P252" s="57"/>
      <c r="Q252" s="48" t="s">
        <v>246</v>
      </c>
      <c r="R252" s="48"/>
      <c r="S252" s="48"/>
      <c r="T252" s="48"/>
      <c r="U252" s="48"/>
      <c r="V252" s="93" t="s">
        <v>247</v>
      </c>
      <c r="W252" s="56"/>
      <c r="X252" s="56"/>
      <c r="Y252" s="56"/>
      <c r="Z252" s="56"/>
      <c r="AA252" s="56"/>
      <c r="AB252" s="56"/>
      <c r="AC252" s="56"/>
      <c r="AD252" s="56"/>
      <c r="AE252" s="57"/>
      <c r="AF252" s="92">
        <v>95</v>
      </c>
      <c r="AG252" s="92"/>
      <c r="AH252" s="92"/>
      <c r="AI252" s="92"/>
      <c r="AJ252" s="92"/>
      <c r="AK252" s="92">
        <v>0</v>
      </c>
      <c r="AL252" s="92"/>
      <c r="AM252" s="92"/>
      <c r="AN252" s="92"/>
      <c r="AO252" s="92"/>
      <c r="AP252" s="92">
        <v>95</v>
      </c>
      <c r="AQ252" s="92"/>
      <c r="AR252" s="92"/>
      <c r="AS252" s="92"/>
      <c r="AT252" s="92"/>
      <c r="AU252" s="92">
        <v>95</v>
      </c>
      <c r="AV252" s="92"/>
      <c r="AW252" s="92"/>
      <c r="AX252" s="92"/>
      <c r="AY252" s="92"/>
      <c r="AZ252" s="92">
        <v>0</v>
      </c>
      <c r="BA252" s="92"/>
      <c r="BB252" s="92"/>
      <c r="BC252" s="92"/>
      <c r="BD252" s="92"/>
      <c r="BE252" s="92">
        <v>95</v>
      </c>
      <c r="BF252" s="92"/>
      <c r="BG252" s="92"/>
      <c r="BH252" s="92"/>
      <c r="BI252" s="92"/>
    </row>
    <row r="253" spans="1:79" s="4" customFormat="1" ht="15" customHeight="1" x14ac:dyDescent="0.2">
      <c r="A253" s="52">
        <v>2</v>
      </c>
      <c r="B253" s="53"/>
      <c r="C253" s="53"/>
      <c r="D253" s="93" t="s">
        <v>248</v>
      </c>
      <c r="E253" s="56"/>
      <c r="F253" s="56"/>
      <c r="G253" s="56"/>
      <c r="H253" s="56"/>
      <c r="I253" s="56"/>
      <c r="J253" s="56"/>
      <c r="K253" s="56"/>
      <c r="L253" s="56"/>
      <c r="M253" s="56"/>
      <c r="N253" s="56"/>
      <c r="O253" s="56"/>
      <c r="P253" s="57"/>
      <c r="Q253" s="48" t="s">
        <v>246</v>
      </c>
      <c r="R253" s="48"/>
      <c r="S253" s="48"/>
      <c r="T253" s="48"/>
      <c r="U253" s="48"/>
      <c r="V253" s="93" t="s">
        <v>247</v>
      </c>
      <c r="W253" s="56"/>
      <c r="X253" s="56"/>
      <c r="Y253" s="56"/>
      <c r="Z253" s="56"/>
      <c r="AA253" s="56"/>
      <c r="AB253" s="56"/>
      <c r="AC253" s="56"/>
      <c r="AD253" s="56"/>
      <c r="AE253" s="57"/>
      <c r="AF253" s="92">
        <v>1032</v>
      </c>
      <c r="AG253" s="92"/>
      <c r="AH253" s="92"/>
      <c r="AI253" s="92"/>
      <c r="AJ253" s="92"/>
      <c r="AK253" s="92">
        <v>0</v>
      </c>
      <c r="AL253" s="92"/>
      <c r="AM253" s="92"/>
      <c r="AN253" s="92"/>
      <c r="AO253" s="92"/>
      <c r="AP253" s="92">
        <v>1032</v>
      </c>
      <c r="AQ253" s="92"/>
      <c r="AR253" s="92"/>
      <c r="AS253" s="92"/>
      <c r="AT253" s="92"/>
      <c r="AU253" s="92">
        <v>1032</v>
      </c>
      <c r="AV253" s="92"/>
      <c r="AW253" s="92"/>
      <c r="AX253" s="92"/>
      <c r="AY253" s="92"/>
      <c r="AZ253" s="92">
        <v>0</v>
      </c>
      <c r="BA253" s="92"/>
      <c r="BB253" s="92"/>
      <c r="BC253" s="92"/>
      <c r="BD253" s="92"/>
      <c r="BE253" s="92">
        <v>1032</v>
      </c>
      <c r="BF253" s="92"/>
      <c r="BG253" s="92"/>
      <c r="BH253" s="92"/>
      <c r="BI253" s="92"/>
    </row>
    <row r="254" spans="1:79" s="5" customFormat="1" ht="14.25" x14ac:dyDescent="0.2">
      <c r="A254" s="77">
        <v>0</v>
      </c>
      <c r="B254" s="78"/>
      <c r="C254" s="78"/>
      <c r="D254" s="121" t="s">
        <v>249</v>
      </c>
      <c r="E254" s="97"/>
      <c r="F254" s="97"/>
      <c r="G254" s="97"/>
      <c r="H254" s="97"/>
      <c r="I254" s="97"/>
      <c r="J254" s="97"/>
      <c r="K254" s="97"/>
      <c r="L254" s="97"/>
      <c r="M254" s="97"/>
      <c r="N254" s="97"/>
      <c r="O254" s="97"/>
      <c r="P254" s="98"/>
      <c r="Q254" s="91"/>
      <c r="R254" s="91"/>
      <c r="S254" s="91"/>
      <c r="T254" s="91"/>
      <c r="U254" s="91"/>
      <c r="V254" s="121"/>
      <c r="W254" s="97"/>
      <c r="X254" s="97"/>
      <c r="Y254" s="97"/>
      <c r="Z254" s="97"/>
      <c r="AA254" s="97"/>
      <c r="AB254" s="97"/>
      <c r="AC254" s="97"/>
      <c r="AD254" s="97"/>
      <c r="AE254" s="98"/>
      <c r="AF254" s="89"/>
      <c r="AG254" s="89"/>
      <c r="AH254" s="89"/>
      <c r="AI254" s="89"/>
      <c r="AJ254" s="89"/>
      <c r="AK254" s="89"/>
      <c r="AL254" s="89"/>
      <c r="AM254" s="89"/>
      <c r="AN254" s="89"/>
      <c r="AO254" s="89"/>
      <c r="AP254" s="89"/>
      <c r="AQ254" s="89"/>
      <c r="AR254" s="89"/>
      <c r="AS254" s="89"/>
      <c r="AT254" s="89"/>
      <c r="AU254" s="89"/>
      <c r="AV254" s="89"/>
      <c r="AW254" s="89"/>
      <c r="AX254" s="89"/>
      <c r="AY254" s="89"/>
      <c r="AZ254" s="89"/>
      <c r="BA254" s="89"/>
      <c r="BB254" s="89"/>
      <c r="BC254" s="89"/>
      <c r="BD254" s="89"/>
      <c r="BE254" s="89"/>
      <c r="BF254" s="89"/>
      <c r="BG254" s="89"/>
      <c r="BH254" s="89"/>
      <c r="BI254" s="89"/>
    </row>
    <row r="255" spans="1:79" s="4" customFormat="1" ht="28.5" customHeight="1" x14ac:dyDescent="0.2">
      <c r="A255" s="52">
        <v>1</v>
      </c>
      <c r="B255" s="53"/>
      <c r="C255" s="53"/>
      <c r="D255" s="93" t="s">
        <v>250</v>
      </c>
      <c r="E255" s="56"/>
      <c r="F255" s="56"/>
      <c r="G255" s="56"/>
      <c r="H255" s="56"/>
      <c r="I255" s="56"/>
      <c r="J255" s="56"/>
      <c r="K255" s="56"/>
      <c r="L255" s="56"/>
      <c r="M255" s="56"/>
      <c r="N255" s="56"/>
      <c r="O255" s="56"/>
      <c r="P255" s="57"/>
      <c r="Q255" s="48" t="s">
        <v>251</v>
      </c>
      <c r="R255" s="48"/>
      <c r="S255" s="48"/>
      <c r="T255" s="48"/>
      <c r="U255" s="48"/>
      <c r="V255" s="93" t="s">
        <v>252</v>
      </c>
      <c r="W255" s="56"/>
      <c r="X255" s="56"/>
      <c r="Y255" s="56"/>
      <c r="Z255" s="56"/>
      <c r="AA255" s="56"/>
      <c r="AB255" s="56"/>
      <c r="AC255" s="56"/>
      <c r="AD255" s="56"/>
      <c r="AE255" s="57"/>
      <c r="AF255" s="92">
        <v>16625</v>
      </c>
      <c r="AG255" s="92"/>
      <c r="AH255" s="92"/>
      <c r="AI255" s="92"/>
      <c r="AJ255" s="92"/>
      <c r="AK255" s="92">
        <v>0</v>
      </c>
      <c r="AL255" s="92"/>
      <c r="AM255" s="92"/>
      <c r="AN255" s="92"/>
      <c r="AO255" s="92"/>
      <c r="AP255" s="92">
        <v>16625</v>
      </c>
      <c r="AQ255" s="92"/>
      <c r="AR255" s="92"/>
      <c r="AS255" s="92"/>
      <c r="AT255" s="92"/>
      <c r="AU255" s="92">
        <v>16625</v>
      </c>
      <c r="AV255" s="92"/>
      <c r="AW255" s="92"/>
      <c r="AX255" s="92"/>
      <c r="AY255" s="92"/>
      <c r="AZ255" s="92">
        <v>0</v>
      </c>
      <c r="BA255" s="92"/>
      <c r="BB255" s="92"/>
      <c r="BC255" s="92"/>
      <c r="BD255" s="92"/>
      <c r="BE255" s="92">
        <v>16625</v>
      </c>
      <c r="BF255" s="92"/>
      <c r="BG255" s="92"/>
      <c r="BH255" s="92"/>
      <c r="BI255" s="92"/>
    </row>
    <row r="256" spans="1:79" s="4" customFormat="1" ht="15" customHeight="1" x14ac:dyDescent="0.2">
      <c r="A256" s="52">
        <v>2</v>
      </c>
      <c r="B256" s="53"/>
      <c r="C256" s="53"/>
      <c r="D256" s="93" t="s">
        <v>253</v>
      </c>
      <c r="E256" s="56"/>
      <c r="F256" s="56"/>
      <c r="G256" s="56"/>
      <c r="H256" s="56"/>
      <c r="I256" s="56"/>
      <c r="J256" s="56"/>
      <c r="K256" s="56"/>
      <c r="L256" s="56"/>
      <c r="M256" s="56"/>
      <c r="N256" s="56"/>
      <c r="O256" s="56"/>
      <c r="P256" s="57"/>
      <c r="Q256" s="48" t="s">
        <v>251</v>
      </c>
      <c r="R256" s="48"/>
      <c r="S256" s="48"/>
      <c r="T256" s="48"/>
      <c r="U256" s="48"/>
      <c r="V256" s="93" t="s">
        <v>252</v>
      </c>
      <c r="W256" s="56"/>
      <c r="X256" s="56"/>
      <c r="Y256" s="56"/>
      <c r="Z256" s="56"/>
      <c r="AA256" s="56"/>
      <c r="AB256" s="56"/>
      <c r="AC256" s="56"/>
      <c r="AD256" s="56"/>
      <c r="AE256" s="57"/>
      <c r="AF256" s="92">
        <v>180600</v>
      </c>
      <c r="AG256" s="92"/>
      <c r="AH256" s="92"/>
      <c r="AI256" s="92"/>
      <c r="AJ256" s="92"/>
      <c r="AK256" s="92">
        <v>0</v>
      </c>
      <c r="AL256" s="92"/>
      <c r="AM256" s="92"/>
      <c r="AN256" s="92"/>
      <c r="AO256" s="92"/>
      <c r="AP256" s="92">
        <v>180600</v>
      </c>
      <c r="AQ256" s="92"/>
      <c r="AR256" s="92"/>
      <c r="AS256" s="92"/>
      <c r="AT256" s="92"/>
      <c r="AU256" s="92">
        <v>180600</v>
      </c>
      <c r="AV256" s="92"/>
      <c r="AW256" s="92"/>
      <c r="AX256" s="92"/>
      <c r="AY256" s="92"/>
      <c r="AZ256" s="92">
        <v>0</v>
      </c>
      <c r="BA256" s="92"/>
      <c r="BB256" s="92"/>
      <c r="BC256" s="92"/>
      <c r="BD256" s="92"/>
      <c r="BE256" s="92">
        <v>180600</v>
      </c>
      <c r="BF256" s="92"/>
      <c r="BG256" s="92"/>
      <c r="BH256" s="92"/>
      <c r="BI256" s="92"/>
    </row>
    <row r="257" spans="1:79" s="5" customFormat="1" ht="14.25" x14ac:dyDescent="0.2">
      <c r="A257" s="77">
        <v>0</v>
      </c>
      <c r="B257" s="78"/>
      <c r="C257" s="78"/>
      <c r="D257" s="121" t="s">
        <v>254</v>
      </c>
      <c r="E257" s="97"/>
      <c r="F257" s="97"/>
      <c r="G257" s="97"/>
      <c r="H257" s="97"/>
      <c r="I257" s="97"/>
      <c r="J257" s="97"/>
      <c r="K257" s="97"/>
      <c r="L257" s="97"/>
      <c r="M257" s="97"/>
      <c r="N257" s="97"/>
      <c r="O257" s="97"/>
      <c r="P257" s="98"/>
      <c r="Q257" s="91"/>
      <c r="R257" s="91"/>
      <c r="S257" s="91"/>
      <c r="T257" s="91"/>
      <c r="U257" s="91"/>
      <c r="V257" s="121"/>
      <c r="W257" s="97"/>
      <c r="X257" s="97"/>
      <c r="Y257" s="97"/>
      <c r="Z257" s="97"/>
      <c r="AA257" s="97"/>
      <c r="AB257" s="97"/>
      <c r="AC257" s="97"/>
      <c r="AD257" s="97"/>
      <c r="AE257" s="98"/>
      <c r="AF257" s="89"/>
      <c r="AG257" s="89"/>
      <c r="AH257" s="89"/>
      <c r="AI257" s="89"/>
      <c r="AJ257" s="89"/>
      <c r="AK257" s="89"/>
      <c r="AL257" s="89"/>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row>
    <row r="258" spans="1:79" s="4" customFormat="1" ht="28.5" customHeight="1" x14ac:dyDescent="0.2">
      <c r="A258" s="52">
        <v>1</v>
      </c>
      <c r="B258" s="53"/>
      <c r="C258" s="53"/>
      <c r="D258" s="93" t="s">
        <v>255</v>
      </c>
      <c r="E258" s="56"/>
      <c r="F258" s="56"/>
      <c r="G258" s="56"/>
      <c r="H258" s="56"/>
      <c r="I258" s="56"/>
      <c r="J258" s="56"/>
      <c r="K258" s="56"/>
      <c r="L258" s="56"/>
      <c r="M258" s="56"/>
      <c r="N258" s="56"/>
      <c r="O258" s="56"/>
      <c r="P258" s="57"/>
      <c r="Q258" s="48" t="s">
        <v>251</v>
      </c>
      <c r="R258" s="48"/>
      <c r="S258" s="48"/>
      <c r="T258" s="48"/>
      <c r="U258" s="48"/>
      <c r="V258" s="93" t="s">
        <v>256</v>
      </c>
      <c r="W258" s="56"/>
      <c r="X258" s="56"/>
      <c r="Y258" s="56"/>
      <c r="Z258" s="56"/>
      <c r="AA258" s="56"/>
      <c r="AB258" s="56"/>
      <c r="AC258" s="56"/>
      <c r="AD258" s="56"/>
      <c r="AE258" s="57"/>
      <c r="AF258" s="92">
        <v>175</v>
      </c>
      <c r="AG258" s="92"/>
      <c r="AH258" s="92"/>
      <c r="AI258" s="92"/>
      <c r="AJ258" s="92"/>
      <c r="AK258" s="92">
        <v>0</v>
      </c>
      <c r="AL258" s="92"/>
      <c r="AM258" s="92"/>
      <c r="AN258" s="92"/>
      <c r="AO258" s="92"/>
      <c r="AP258" s="92">
        <v>175</v>
      </c>
      <c r="AQ258" s="92"/>
      <c r="AR258" s="92"/>
      <c r="AS258" s="92"/>
      <c r="AT258" s="92"/>
      <c r="AU258" s="92">
        <v>175</v>
      </c>
      <c r="AV258" s="92"/>
      <c r="AW258" s="92"/>
      <c r="AX258" s="92"/>
      <c r="AY258" s="92"/>
      <c r="AZ258" s="92">
        <v>0</v>
      </c>
      <c r="BA258" s="92"/>
      <c r="BB258" s="92"/>
      <c r="BC258" s="92"/>
      <c r="BD258" s="92"/>
      <c r="BE258" s="92">
        <v>175</v>
      </c>
      <c r="BF258" s="92"/>
      <c r="BG258" s="92"/>
      <c r="BH258" s="92"/>
      <c r="BI258" s="92"/>
    </row>
    <row r="259" spans="1:79" s="4" customFormat="1" ht="30" customHeight="1" x14ac:dyDescent="0.2">
      <c r="A259" s="52">
        <v>2</v>
      </c>
      <c r="B259" s="53"/>
      <c r="C259" s="53"/>
      <c r="D259" s="93" t="s">
        <v>257</v>
      </c>
      <c r="E259" s="56"/>
      <c r="F259" s="56"/>
      <c r="G259" s="56"/>
      <c r="H259" s="56"/>
      <c r="I259" s="56"/>
      <c r="J259" s="56"/>
      <c r="K259" s="56"/>
      <c r="L259" s="56"/>
      <c r="M259" s="56"/>
      <c r="N259" s="56"/>
      <c r="O259" s="56"/>
      <c r="P259" s="57"/>
      <c r="Q259" s="48" t="s">
        <v>251</v>
      </c>
      <c r="R259" s="48"/>
      <c r="S259" s="48"/>
      <c r="T259" s="48"/>
      <c r="U259" s="48"/>
      <c r="V259" s="93" t="s">
        <v>256</v>
      </c>
      <c r="W259" s="56"/>
      <c r="X259" s="56"/>
      <c r="Y259" s="56"/>
      <c r="Z259" s="56"/>
      <c r="AA259" s="56"/>
      <c r="AB259" s="56"/>
      <c r="AC259" s="56"/>
      <c r="AD259" s="56"/>
      <c r="AE259" s="57"/>
      <c r="AF259" s="92">
        <v>175</v>
      </c>
      <c r="AG259" s="92"/>
      <c r="AH259" s="92"/>
      <c r="AI259" s="92"/>
      <c r="AJ259" s="92"/>
      <c r="AK259" s="92">
        <v>0</v>
      </c>
      <c r="AL259" s="92"/>
      <c r="AM259" s="92"/>
      <c r="AN259" s="92"/>
      <c r="AO259" s="92"/>
      <c r="AP259" s="92">
        <v>175</v>
      </c>
      <c r="AQ259" s="92"/>
      <c r="AR259" s="92"/>
      <c r="AS259" s="92"/>
      <c r="AT259" s="92"/>
      <c r="AU259" s="92">
        <v>175</v>
      </c>
      <c r="AV259" s="92"/>
      <c r="AW259" s="92"/>
      <c r="AX259" s="92"/>
      <c r="AY259" s="92"/>
      <c r="AZ259" s="92">
        <v>0</v>
      </c>
      <c r="BA259" s="92"/>
      <c r="BB259" s="92"/>
      <c r="BC259" s="92"/>
      <c r="BD259" s="92"/>
      <c r="BE259" s="92">
        <v>175</v>
      </c>
      <c r="BF259" s="92"/>
      <c r="BG259" s="92"/>
      <c r="BH259" s="92"/>
      <c r="BI259" s="92"/>
    </row>
    <row r="261" spans="1:79" ht="14.25" customHeight="1" x14ac:dyDescent="0.2">
      <c r="A261" s="28" t="s">
        <v>124</v>
      </c>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row>
    <row r="262" spans="1:79" ht="15" customHeight="1" x14ac:dyDescent="0.2">
      <c r="A262" s="65" t="s">
        <v>280</v>
      </c>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row>
    <row r="263" spans="1:79" ht="12.95" customHeight="1" x14ac:dyDescent="0.2">
      <c r="A263" s="42" t="s">
        <v>19</v>
      </c>
      <c r="B263" s="43"/>
      <c r="C263" s="43"/>
      <c r="D263" s="43"/>
      <c r="E263" s="43"/>
      <c r="F263" s="43"/>
      <c r="G263" s="43"/>
      <c r="H263" s="43"/>
      <c r="I263" s="43"/>
      <c r="J263" s="43"/>
      <c r="K263" s="43"/>
      <c r="L263" s="43"/>
      <c r="M263" s="43"/>
      <c r="N263" s="43"/>
      <c r="O263" s="43"/>
      <c r="P263" s="43"/>
      <c r="Q263" s="43"/>
      <c r="R263" s="43"/>
      <c r="S263" s="43"/>
      <c r="T263" s="44"/>
      <c r="U263" s="48" t="s">
        <v>281</v>
      </c>
      <c r="V263" s="48"/>
      <c r="W263" s="48"/>
      <c r="X263" s="48"/>
      <c r="Y263" s="48"/>
      <c r="Z263" s="48"/>
      <c r="AA263" s="48"/>
      <c r="AB263" s="48"/>
      <c r="AC263" s="48"/>
      <c r="AD263" s="48"/>
      <c r="AE263" s="48" t="s">
        <v>284</v>
      </c>
      <c r="AF263" s="48"/>
      <c r="AG263" s="48"/>
      <c r="AH263" s="48"/>
      <c r="AI263" s="48"/>
      <c r="AJ263" s="48"/>
      <c r="AK263" s="48"/>
      <c r="AL263" s="48"/>
      <c r="AM263" s="48"/>
      <c r="AN263" s="48"/>
      <c r="AO263" s="48" t="s">
        <v>292</v>
      </c>
      <c r="AP263" s="48"/>
      <c r="AQ263" s="48"/>
      <c r="AR263" s="48"/>
      <c r="AS263" s="48"/>
      <c r="AT263" s="48"/>
      <c r="AU263" s="48"/>
      <c r="AV263" s="48"/>
      <c r="AW263" s="48"/>
      <c r="AX263" s="48"/>
      <c r="AY263" s="48" t="s">
        <v>302</v>
      </c>
      <c r="AZ263" s="48"/>
      <c r="BA263" s="48"/>
      <c r="BB263" s="48"/>
      <c r="BC263" s="48"/>
      <c r="BD263" s="48"/>
      <c r="BE263" s="48"/>
      <c r="BF263" s="48"/>
      <c r="BG263" s="48"/>
      <c r="BH263" s="48"/>
      <c r="BI263" s="48" t="s">
        <v>307</v>
      </c>
      <c r="BJ263" s="48"/>
      <c r="BK263" s="48"/>
      <c r="BL263" s="48"/>
      <c r="BM263" s="48"/>
      <c r="BN263" s="48"/>
      <c r="BO263" s="48"/>
      <c r="BP263" s="48"/>
      <c r="BQ263" s="48"/>
      <c r="BR263" s="48"/>
    </row>
    <row r="264" spans="1:79" ht="30" customHeight="1" x14ac:dyDescent="0.2">
      <c r="A264" s="45"/>
      <c r="B264" s="46"/>
      <c r="C264" s="46"/>
      <c r="D264" s="46"/>
      <c r="E264" s="46"/>
      <c r="F264" s="46"/>
      <c r="G264" s="46"/>
      <c r="H264" s="46"/>
      <c r="I264" s="46"/>
      <c r="J264" s="46"/>
      <c r="K264" s="46"/>
      <c r="L264" s="46"/>
      <c r="M264" s="46"/>
      <c r="N264" s="46"/>
      <c r="O264" s="46"/>
      <c r="P264" s="46"/>
      <c r="Q264" s="46"/>
      <c r="R264" s="46"/>
      <c r="S264" s="46"/>
      <c r="T264" s="47"/>
      <c r="U264" s="48" t="s">
        <v>4</v>
      </c>
      <c r="V264" s="48"/>
      <c r="W264" s="48"/>
      <c r="X264" s="48"/>
      <c r="Y264" s="48"/>
      <c r="Z264" s="48" t="s">
        <v>3</v>
      </c>
      <c r="AA264" s="48"/>
      <c r="AB264" s="48"/>
      <c r="AC264" s="48"/>
      <c r="AD264" s="48"/>
      <c r="AE264" s="48" t="s">
        <v>4</v>
      </c>
      <c r="AF264" s="48"/>
      <c r="AG264" s="48"/>
      <c r="AH264" s="48"/>
      <c r="AI264" s="48"/>
      <c r="AJ264" s="48" t="s">
        <v>3</v>
      </c>
      <c r="AK264" s="48"/>
      <c r="AL264" s="48"/>
      <c r="AM264" s="48"/>
      <c r="AN264" s="48"/>
      <c r="AO264" s="48" t="s">
        <v>4</v>
      </c>
      <c r="AP264" s="48"/>
      <c r="AQ264" s="48"/>
      <c r="AR264" s="48"/>
      <c r="AS264" s="48"/>
      <c r="AT264" s="48" t="s">
        <v>3</v>
      </c>
      <c r="AU264" s="48"/>
      <c r="AV264" s="48"/>
      <c r="AW264" s="48"/>
      <c r="AX264" s="48"/>
      <c r="AY264" s="48" t="s">
        <v>4</v>
      </c>
      <c r="AZ264" s="48"/>
      <c r="BA264" s="48"/>
      <c r="BB264" s="48"/>
      <c r="BC264" s="48"/>
      <c r="BD264" s="48" t="s">
        <v>3</v>
      </c>
      <c r="BE264" s="48"/>
      <c r="BF264" s="48"/>
      <c r="BG264" s="48"/>
      <c r="BH264" s="48"/>
      <c r="BI264" s="48" t="s">
        <v>4</v>
      </c>
      <c r="BJ264" s="48"/>
      <c r="BK264" s="48"/>
      <c r="BL264" s="48"/>
      <c r="BM264" s="48"/>
      <c r="BN264" s="48" t="s">
        <v>3</v>
      </c>
      <c r="BO264" s="48"/>
      <c r="BP264" s="48"/>
      <c r="BQ264" s="48"/>
      <c r="BR264" s="48"/>
    </row>
    <row r="265" spans="1:79" ht="15" customHeight="1" x14ac:dyDescent="0.2">
      <c r="A265" s="35">
        <v>1</v>
      </c>
      <c r="B265" s="36"/>
      <c r="C265" s="36"/>
      <c r="D265" s="36"/>
      <c r="E265" s="36"/>
      <c r="F265" s="36"/>
      <c r="G265" s="36"/>
      <c r="H265" s="36"/>
      <c r="I265" s="36"/>
      <c r="J265" s="36"/>
      <c r="K265" s="36"/>
      <c r="L265" s="36"/>
      <c r="M265" s="36"/>
      <c r="N265" s="36"/>
      <c r="O265" s="36"/>
      <c r="P265" s="36"/>
      <c r="Q265" s="36"/>
      <c r="R265" s="36"/>
      <c r="S265" s="36"/>
      <c r="T265" s="37"/>
      <c r="U265" s="48">
        <v>2</v>
      </c>
      <c r="V265" s="48"/>
      <c r="W265" s="48"/>
      <c r="X265" s="48"/>
      <c r="Y265" s="48"/>
      <c r="Z265" s="48">
        <v>3</v>
      </c>
      <c r="AA265" s="48"/>
      <c r="AB265" s="48"/>
      <c r="AC265" s="48"/>
      <c r="AD265" s="48"/>
      <c r="AE265" s="48">
        <v>4</v>
      </c>
      <c r="AF265" s="48"/>
      <c r="AG265" s="48"/>
      <c r="AH265" s="48"/>
      <c r="AI265" s="48"/>
      <c r="AJ265" s="48">
        <v>5</v>
      </c>
      <c r="AK265" s="48"/>
      <c r="AL265" s="48"/>
      <c r="AM265" s="48"/>
      <c r="AN265" s="48"/>
      <c r="AO265" s="48">
        <v>6</v>
      </c>
      <c r="AP265" s="48"/>
      <c r="AQ265" s="48"/>
      <c r="AR265" s="48"/>
      <c r="AS265" s="48"/>
      <c r="AT265" s="48">
        <v>7</v>
      </c>
      <c r="AU265" s="48"/>
      <c r="AV265" s="48"/>
      <c r="AW265" s="48"/>
      <c r="AX265" s="48"/>
      <c r="AY265" s="48">
        <v>8</v>
      </c>
      <c r="AZ265" s="48"/>
      <c r="BA265" s="48"/>
      <c r="BB265" s="48"/>
      <c r="BC265" s="48"/>
      <c r="BD265" s="48">
        <v>9</v>
      </c>
      <c r="BE265" s="48"/>
      <c r="BF265" s="48"/>
      <c r="BG265" s="48"/>
      <c r="BH265" s="48"/>
      <c r="BI265" s="48">
        <v>10</v>
      </c>
      <c r="BJ265" s="48"/>
      <c r="BK265" s="48"/>
      <c r="BL265" s="48"/>
      <c r="BM265" s="48"/>
      <c r="BN265" s="48">
        <v>11</v>
      </c>
      <c r="BO265" s="48"/>
      <c r="BP265" s="48"/>
      <c r="BQ265" s="48"/>
      <c r="BR265" s="48"/>
    </row>
    <row r="266" spans="1:79" s="1" customFormat="1" ht="15.75" hidden="1" customHeight="1" x14ac:dyDescent="0.2">
      <c r="A266" s="62" t="s">
        <v>57</v>
      </c>
      <c r="B266" s="63"/>
      <c r="C266" s="63"/>
      <c r="D266" s="63"/>
      <c r="E266" s="63"/>
      <c r="F266" s="63"/>
      <c r="G266" s="63"/>
      <c r="H266" s="63"/>
      <c r="I266" s="63"/>
      <c r="J266" s="63"/>
      <c r="K266" s="63"/>
      <c r="L266" s="63"/>
      <c r="M266" s="63"/>
      <c r="N266" s="63"/>
      <c r="O266" s="63"/>
      <c r="P266" s="63"/>
      <c r="Q266" s="63"/>
      <c r="R266" s="63"/>
      <c r="S266" s="63"/>
      <c r="T266" s="64"/>
      <c r="U266" s="66" t="s">
        <v>65</v>
      </c>
      <c r="V266" s="66"/>
      <c r="W266" s="66"/>
      <c r="X266" s="66"/>
      <c r="Y266" s="66"/>
      <c r="Z266" s="90" t="s">
        <v>66</v>
      </c>
      <c r="AA266" s="90"/>
      <c r="AB266" s="90"/>
      <c r="AC266" s="90"/>
      <c r="AD266" s="90"/>
      <c r="AE266" s="66" t="s">
        <v>67</v>
      </c>
      <c r="AF266" s="66"/>
      <c r="AG266" s="66"/>
      <c r="AH266" s="66"/>
      <c r="AI266" s="66"/>
      <c r="AJ266" s="90" t="s">
        <v>68</v>
      </c>
      <c r="AK266" s="90"/>
      <c r="AL266" s="90"/>
      <c r="AM266" s="90"/>
      <c r="AN266" s="90"/>
      <c r="AO266" s="66" t="s">
        <v>58</v>
      </c>
      <c r="AP266" s="66"/>
      <c r="AQ266" s="66"/>
      <c r="AR266" s="66"/>
      <c r="AS266" s="66"/>
      <c r="AT266" s="90" t="s">
        <v>59</v>
      </c>
      <c r="AU266" s="90"/>
      <c r="AV266" s="90"/>
      <c r="AW266" s="90"/>
      <c r="AX266" s="90"/>
      <c r="AY266" s="66" t="s">
        <v>60</v>
      </c>
      <c r="AZ266" s="66"/>
      <c r="BA266" s="66"/>
      <c r="BB266" s="66"/>
      <c r="BC266" s="66"/>
      <c r="BD266" s="90" t="s">
        <v>61</v>
      </c>
      <c r="BE266" s="90"/>
      <c r="BF266" s="90"/>
      <c r="BG266" s="90"/>
      <c r="BH266" s="90"/>
      <c r="BI266" s="66" t="s">
        <v>62</v>
      </c>
      <c r="BJ266" s="66"/>
      <c r="BK266" s="66"/>
      <c r="BL266" s="66"/>
      <c r="BM266" s="66"/>
      <c r="BN266" s="90" t="s">
        <v>63</v>
      </c>
      <c r="BO266" s="90"/>
      <c r="BP266" s="90"/>
      <c r="BQ266" s="90"/>
      <c r="BR266" s="90"/>
      <c r="CA266" t="s">
        <v>41</v>
      </c>
    </row>
    <row r="267" spans="1:79" s="5" customFormat="1" ht="12.75" customHeight="1" x14ac:dyDescent="0.2">
      <c r="A267" s="96" t="s">
        <v>258</v>
      </c>
      <c r="B267" s="97"/>
      <c r="C267" s="97"/>
      <c r="D267" s="97"/>
      <c r="E267" s="97"/>
      <c r="F267" s="97"/>
      <c r="G267" s="97"/>
      <c r="H267" s="97"/>
      <c r="I267" s="97"/>
      <c r="J267" s="97"/>
      <c r="K267" s="97"/>
      <c r="L267" s="97"/>
      <c r="M267" s="97"/>
      <c r="N267" s="97"/>
      <c r="O267" s="97"/>
      <c r="P267" s="97"/>
      <c r="Q267" s="97"/>
      <c r="R267" s="97"/>
      <c r="S267" s="97"/>
      <c r="T267" s="98"/>
      <c r="U267" s="94">
        <v>3479823</v>
      </c>
      <c r="V267" s="94"/>
      <c r="W267" s="94"/>
      <c r="X267" s="94"/>
      <c r="Y267" s="94"/>
      <c r="Z267" s="94">
        <v>0</v>
      </c>
      <c r="AA267" s="94"/>
      <c r="AB267" s="94"/>
      <c r="AC267" s="94"/>
      <c r="AD267" s="94"/>
      <c r="AE267" s="94">
        <v>4772927</v>
      </c>
      <c r="AF267" s="94"/>
      <c r="AG267" s="94"/>
      <c r="AH267" s="94"/>
      <c r="AI267" s="94"/>
      <c r="AJ267" s="94">
        <v>0</v>
      </c>
      <c r="AK267" s="94"/>
      <c r="AL267" s="94"/>
      <c r="AM267" s="94"/>
      <c r="AN267" s="94"/>
      <c r="AO267" s="94">
        <v>4772926</v>
      </c>
      <c r="AP267" s="94"/>
      <c r="AQ267" s="94"/>
      <c r="AR267" s="94"/>
      <c r="AS267" s="94"/>
      <c r="AT267" s="94">
        <v>0</v>
      </c>
      <c r="AU267" s="94"/>
      <c r="AV267" s="94"/>
      <c r="AW267" s="94"/>
      <c r="AX267" s="94"/>
      <c r="AY267" s="94">
        <v>4772926</v>
      </c>
      <c r="AZ267" s="94"/>
      <c r="BA267" s="94"/>
      <c r="BB267" s="94"/>
      <c r="BC267" s="94"/>
      <c r="BD267" s="94">
        <v>0</v>
      </c>
      <c r="BE267" s="94"/>
      <c r="BF267" s="94"/>
      <c r="BG267" s="94"/>
      <c r="BH267" s="94"/>
      <c r="BI267" s="94">
        <v>4772926</v>
      </c>
      <c r="BJ267" s="94"/>
      <c r="BK267" s="94"/>
      <c r="BL267" s="94"/>
      <c r="BM267" s="94"/>
      <c r="BN267" s="94">
        <v>0</v>
      </c>
      <c r="BO267" s="94"/>
      <c r="BP267" s="94"/>
      <c r="BQ267" s="94"/>
      <c r="BR267" s="94"/>
      <c r="CA267" s="5" t="s">
        <v>42</v>
      </c>
    </row>
    <row r="268" spans="1:79" s="4" customFormat="1" ht="12.75" customHeight="1" x14ac:dyDescent="0.2">
      <c r="A268" s="55" t="s">
        <v>259</v>
      </c>
      <c r="B268" s="56"/>
      <c r="C268" s="56"/>
      <c r="D268" s="56"/>
      <c r="E268" s="56"/>
      <c r="F268" s="56"/>
      <c r="G268" s="56"/>
      <c r="H268" s="56"/>
      <c r="I268" s="56"/>
      <c r="J268" s="56"/>
      <c r="K268" s="56"/>
      <c r="L268" s="56"/>
      <c r="M268" s="56"/>
      <c r="N268" s="56"/>
      <c r="O268" s="56"/>
      <c r="P268" s="56"/>
      <c r="Q268" s="56"/>
      <c r="R268" s="56"/>
      <c r="S268" s="56"/>
      <c r="T268" s="57"/>
      <c r="U268" s="95">
        <v>1459101</v>
      </c>
      <c r="V268" s="95"/>
      <c r="W268" s="95"/>
      <c r="X268" s="95"/>
      <c r="Y268" s="95"/>
      <c r="Z268" s="95">
        <v>0</v>
      </c>
      <c r="AA268" s="95"/>
      <c r="AB268" s="95"/>
      <c r="AC268" s="95"/>
      <c r="AD268" s="95"/>
      <c r="AE268" s="95">
        <v>2414035</v>
      </c>
      <c r="AF268" s="95"/>
      <c r="AG268" s="95"/>
      <c r="AH268" s="95"/>
      <c r="AI268" s="95"/>
      <c r="AJ268" s="95">
        <v>0</v>
      </c>
      <c r="AK268" s="95"/>
      <c r="AL268" s="95"/>
      <c r="AM268" s="95"/>
      <c r="AN268" s="95"/>
      <c r="AO268" s="95">
        <v>2414035</v>
      </c>
      <c r="AP268" s="95"/>
      <c r="AQ268" s="95"/>
      <c r="AR268" s="95"/>
      <c r="AS268" s="95"/>
      <c r="AT268" s="95">
        <v>0</v>
      </c>
      <c r="AU268" s="95"/>
      <c r="AV268" s="95"/>
      <c r="AW268" s="95"/>
      <c r="AX268" s="95"/>
      <c r="AY268" s="95">
        <v>2414035</v>
      </c>
      <c r="AZ268" s="95"/>
      <c r="BA268" s="95"/>
      <c r="BB268" s="95"/>
      <c r="BC268" s="95"/>
      <c r="BD268" s="95">
        <v>0</v>
      </c>
      <c r="BE268" s="95"/>
      <c r="BF268" s="95"/>
      <c r="BG268" s="95"/>
      <c r="BH268" s="95"/>
      <c r="BI268" s="95">
        <v>2414035</v>
      </c>
      <c r="BJ268" s="95"/>
      <c r="BK268" s="95"/>
      <c r="BL268" s="95"/>
      <c r="BM268" s="95"/>
      <c r="BN268" s="95">
        <v>0</v>
      </c>
      <c r="BO268" s="95"/>
      <c r="BP268" s="95"/>
      <c r="BQ268" s="95"/>
      <c r="BR268" s="95"/>
    </row>
    <row r="269" spans="1:79" s="4" customFormat="1" ht="12.75" customHeight="1" x14ac:dyDescent="0.2">
      <c r="A269" s="55" t="s">
        <v>260</v>
      </c>
      <c r="B269" s="56"/>
      <c r="C269" s="56"/>
      <c r="D269" s="56"/>
      <c r="E269" s="56"/>
      <c r="F269" s="56"/>
      <c r="G269" s="56"/>
      <c r="H269" s="56"/>
      <c r="I269" s="56"/>
      <c r="J269" s="56"/>
      <c r="K269" s="56"/>
      <c r="L269" s="56"/>
      <c r="M269" s="56"/>
      <c r="N269" s="56"/>
      <c r="O269" s="56"/>
      <c r="P269" s="56"/>
      <c r="Q269" s="56"/>
      <c r="R269" s="56"/>
      <c r="S269" s="56"/>
      <c r="T269" s="57"/>
      <c r="U269" s="95">
        <v>2005922</v>
      </c>
      <c r="V269" s="95"/>
      <c r="W269" s="95"/>
      <c r="X269" s="95"/>
      <c r="Y269" s="95"/>
      <c r="Z269" s="95">
        <v>0</v>
      </c>
      <c r="AA269" s="95"/>
      <c r="AB269" s="95"/>
      <c r="AC269" s="95"/>
      <c r="AD269" s="95"/>
      <c r="AE269" s="95">
        <v>1762684</v>
      </c>
      <c r="AF269" s="95"/>
      <c r="AG269" s="95"/>
      <c r="AH269" s="95"/>
      <c r="AI269" s="95"/>
      <c r="AJ269" s="95">
        <v>0</v>
      </c>
      <c r="AK269" s="95"/>
      <c r="AL269" s="95"/>
      <c r="AM269" s="95"/>
      <c r="AN269" s="95"/>
      <c r="AO269" s="95">
        <v>1762683</v>
      </c>
      <c r="AP269" s="95"/>
      <c r="AQ269" s="95"/>
      <c r="AR269" s="95"/>
      <c r="AS269" s="95"/>
      <c r="AT269" s="95">
        <v>0</v>
      </c>
      <c r="AU269" s="95"/>
      <c r="AV269" s="95"/>
      <c r="AW269" s="95"/>
      <c r="AX269" s="95"/>
      <c r="AY269" s="95">
        <v>1762683</v>
      </c>
      <c r="AZ269" s="95"/>
      <c r="BA269" s="95"/>
      <c r="BB269" s="95"/>
      <c r="BC269" s="95"/>
      <c r="BD269" s="95">
        <v>0</v>
      </c>
      <c r="BE269" s="95"/>
      <c r="BF269" s="95"/>
      <c r="BG269" s="95"/>
      <c r="BH269" s="95"/>
      <c r="BI269" s="95">
        <v>1762683</v>
      </c>
      <c r="BJ269" s="95"/>
      <c r="BK269" s="95"/>
      <c r="BL269" s="95"/>
      <c r="BM269" s="95"/>
      <c r="BN269" s="95">
        <v>0</v>
      </c>
      <c r="BO269" s="95"/>
      <c r="BP269" s="95"/>
      <c r="BQ269" s="95"/>
      <c r="BR269" s="95"/>
    </row>
    <row r="270" spans="1:79" s="4" customFormat="1" ht="12.75" customHeight="1" x14ac:dyDescent="0.2">
      <c r="A270" s="55" t="s">
        <v>261</v>
      </c>
      <c r="B270" s="56"/>
      <c r="C270" s="56"/>
      <c r="D270" s="56"/>
      <c r="E270" s="56"/>
      <c r="F270" s="56"/>
      <c r="G270" s="56"/>
      <c r="H270" s="56"/>
      <c r="I270" s="56"/>
      <c r="J270" s="56"/>
      <c r="K270" s="56"/>
      <c r="L270" s="56"/>
      <c r="M270" s="56"/>
      <c r="N270" s="56"/>
      <c r="O270" s="56"/>
      <c r="P270" s="56"/>
      <c r="Q270" s="56"/>
      <c r="R270" s="56"/>
      <c r="S270" s="56"/>
      <c r="T270" s="57"/>
      <c r="U270" s="95">
        <v>14800</v>
      </c>
      <c r="V270" s="95"/>
      <c r="W270" s="95"/>
      <c r="X270" s="95"/>
      <c r="Y270" s="95"/>
      <c r="Z270" s="95">
        <v>0</v>
      </c>
      <c r="AA270" s="95"/>
      <c r="AB270" s="95"/>
      <c r="AC270" s="95"/>
      <c r="AD270" s="95"/>
      <c r="AE270" s="95">
        <v>596208</v>
      </c>
      <c r="AF270" s="95"/>
      <c r="AG270" s="95"/>
      <c r="AH270" s="95"/>
      <c r="AI270" s="95"/>
      <c r="AJ270" s="95">
        <v>0</v>
      </c>
      <c r="AK270" s="95"/>
      <c r="AL270" s="95"/>
      <c r="AM270" s="95"/>
      <c r="AN270" s="95"/>
      <c r="AO270" s="95">
        <v>596208</v>
      </c>
      <c r="AP270" s="95"/>
      <c r="AQ270" s="95"/>
      <c r="AR270" s="95"/>
      <c r="AS270" s="95"/>
      <c r="AT270" s="95">
        <v>0</v>
      </c>
      <c r="AU270" s="95"/>
      <c r="AV270" s="95"/>
      <c r="AW270" s="95"/>
      <c r="AX270" s="95"/>
      <c r="AY270" s="95">
        <v>596208</v>
      </c>
      <c r="AZ270" s="95"/>
      <c r="BA270" s="95"/>
      <c r="BB270" s="95"/>
      <c r="BC270" s="95"/>
      <c r="BD270" s="95">
        <v>0</v>
      </c>
      <c r="BE270" s="95"/>
      <c r="BF270" s="95"/>
      <c r="BG270" s="95"/>
      <c r="BH270" s="95"/>
      <c r="BI270" s="95">
        <v>596208</v>
      </c>
      <c r="BJ270" s="95"/>
      <c r="BK270" s="95"/>
      <c r="BL270" s="95"/>
      <c r="BM270" s="95"/>
      <c r="BN270" s="95">
        <v>0</v>
      </c>
      <c r="BO270" s="95"/>
      <c r="BP270" s="95"/>
      <c r="BQ270" s="95"/>
      <c r="BR270" s="95"/>
    </row>
    <row r="271" spans="1:79" s="5" customFormat="1" ht="12.75" customHeight="1" x14ac:dyDescent="0.2">
      <c r="A271" s="96" t="s">
        <v>262</v>
      </c>
      <c r="B271" s="97"/>
      <c r="C271" s="97"/>
      <c r="D271" s="97"/>
      <c r="E271" s="97"/>
      <c r="F271" s="97"/>
      <c r="G271" s="97"/>
      <c r="H271" s="97"/>
      <c r="I271" s="97"/>
      <c r="J271" s="97"/>
      <c r="K271" s="97"/>
      <c r="L271" s="97"/>
      <c r="M271" s="97"/>
      <c r="N271" s="97"/>
      <c r="O271" s="97"/>
      <c r="P271" s="97"/>
      <c r="Q271" s="97"/>
      <c r="R271" s="97"/>
      <c r="S271" s="97"/>
      <c r="T271" s="98"/>
      <c r="U271" s="94">
        <v>30867</v>
      </c>
      <c r="V271" s="94"/>
      <c r="W271" s="94"/>
      <c r="X271" s="94"/>
      <c r="Y271" s="94"/>
      <c r="Z271" s="94">
        <v>0</v>
      </c>
      <c r="AA271" s="94"/>
      <c r="AB271" s="94"/>
      <c r="AC271" s="94"/>
      <c r="AD271" s="94"/>
      <c r="AE271" s="94">
        <v>937797</v>
      </c>
      <c r="AF271" s="94"/>
      <c r="AG271" s="94"/>
      <c r="AH271" s="94"/>
      <c r="AI271" s="94"/>
      <c r="AJ271" s="94">
        <v>0</v>
      </c>
      <c r="AK271" s="94"/>
      <c r="AL271" s="94"/>
      <c r="AM271" s="94"/>
      <c r="AN271" s="94"/>
      <c r="AO271" s="94">
        <v>0</v>
      </c>
      <c r="AP271" s="94"/>
      <c r="AQ271" s="94"/>
      <c r="AR271" s="94"/>
      <c r="AS271" s="94"/>
      <c r="AT271" s="94">
        <v>0</v>
      </c>
      <c r="AU271" s="94"/>
      <c r="AV271" s="94"/>
      <c r="AW271" s="94"/>
      <c r="AX271" s="94"/>
      <c r="AY271" s="94">
        <v>0</v>
      </c>
      <c r="AZ271" s="94"/>
      <c r="BA271" s="94"/>
      <c r="BB271" s="94"/>
      <c r="BC271" s="94"/>
      <c r="BD271" s="94">
        <v>0</v>
      </c>
      <c r="BE271" s="94"/>
      <c r="BF271" s="94"/>
      <c r="BG271" s="94"/>
      <c r="BH271" s="94"/>
      <c r="BI271" s="94">
        <v>0</v>
      </c>
      <c r="BJ271" s="94"/>
      <c r="BK271" s="94"/>
      <c r="BL271" s="94"/>
      <c r="BM271" s="94"/>
      <c r="BN271" s="94">
        <v>0</v>
      </c>
      <c r="BO271" s="94"/>
      <c r="BP271" s="94"/>
      <c r="BQ271" s="94"/>
      <c r="BR271" s="94"/>
    </row>
    <row r="272" spans="1:79" s="4" customFormat="1" ht="12.75" customHeight="1" x14ac:dyDescent="0.2">
      <c r="A272" s="55" t="s">
        <v>263</v>
      </c>
      <c r="B272" s="56"/>
      <c r="C272" s="56"/>
      <c r="D272" s="56"/>
      <c r="E272" s="56"/>
      <c r="F272" s="56"/>
      <c r="G272" s="56"/>
      <c r="H272" s="56"/>
      <c r="I272" s="56"/>
      <c r="J272" s="56"/>
      <c r="K272" s="56"/>
      <c r="L272" s="56"/>
      <c r="M272" s="56"/>
      <c r="N272" s="56"/>
      <c r="O272" s="56"/>
      <c r="P272" s="56"/>
      <c r="Q272" s="56"/>
      <c r="R272" s="56"/>
      <c r="S272" s="56"/>
      <c r="T272" s="57"/>
      <c r="U272" s="95">
        <v>30867</v>
      </c>
      <c r="V272" s="95"/>
      <c r="W272" s="95"/>
      <c r="X272" s="95"/>
      <c r="Y272" s="95"/>
      <c r="Z272" s="95">
        <v>0</v>
      </c>
      <c r="AA272" s="95"/>
      <c r="AB272" s="95"/>
      <c r="AC272" s="95"/>
      <c r="AD272" s="95"/>
      <c r="AE272" s="95">
        <v>937797</v>
      </c>
      <c r="AF272" s="95"/>
      <c r="AG272" s="95"/>
      <c r="AH272" s="95"/>
      <c r="AI272" s="95"/>
      <c r="AJ272" s="95">
        <v>0</v>
      </c>
      <c r="AK272" s="95"/>
      <c r="AL272" s="95"/>
      <c r="AM272" s="95"/>
      <c r="AN272" s="95"/>
      <c r="AO272" s="95">
        <v>0</v>
      </c>
      <c r="AP272" s="95"/>
      <c r="AQ272" s="95"/>
      <c r="AR272" s="95"/>
      <c r="AS272" s="95"/>
      <c r="AT272" s="95">
        <v>0</v>
      </c>
      <c r="AU272" s="95"/>
      <c r="AV272" s="95"/>
      <c r="AW272" s="95"/>
      <c r="AX272" s="95"/>
      <c r="AY272" s="95">
        <v>0</v>
      </c>
      <c r="AZ272" s="95"/>
      <c r="BA272" s="95"/>
      <c r="BB272" s="95"/>
      <c r="BC272" s="95"/>
      <c r="BD272" s="95">
        <v>0</v>
      </c>
      <c r="BE272" s="95"/>
      <c r="BF272" s="95"/>
      <c r="BG272" s="95"/>
      <c r="BH272" s="95"/>
      <c r="BI272" s="95">
        <v>0</v>
      </c>
      <c r="BJ272" s="95"/>
      <c r="BK272" s="95"/>
      <c r="BL272" s="95"/>
      <c r="BM272" s="95"/>
      <c r="BN272" s="95">
        <v>0</v>
      </c>
      <c r="BO272" s="95"/>
      <c r="BP272" s="95"/>
      <c r="BQ272" s="95"/>
      <c r="BR272" s="95"/>
    </row>
    <row r="273" spans="1:79" s="4" customFormat="1" ht="12.75" customHeight="1" x14ac:dyDescent="0.2">
      <c r="A273" s="55" t="s">
        <v>264</v>
      </c>
      <c r="B273" s="56"/>
      <c r="C273" s="56"/>
      <c r="D273" s="56"/>
      <c r="E273" s="56"/>
      <c r="F273" s="56"/>
      <c r="G273" s="56"/>
      <c r="H273" s="56"/>
      <c r="I273" s="56"/>
      <c r="J273" s="56"/>
      <c r="K273" s="56"/>
      <c r="L273" s="56"/>
      <c r="M273" s="56"/>
      <c r="N273" s="56"/>
      <c r="O273" s="56"/>
      <c r="P273" s="56"/>
      <c r="Q273" s="56"/>
      <c r="R273" s="56"/>
      <c r="S273" s="56"/>
      <c r="T273" s="57"/>
      <c r="U273" s="95">
        <v>1397031</v>
      </c>
      <c r="V273" s="95"/>
      <c r="W273" s="95"/>
      <c r="X273" s="95"/>
      <c r="Y273" s="95"/>
      <c r="Z273" s="95">
        <v>0</v>
      </c>
      <c r="AA273" s="95"/>
      <c r="AB273" s="95"/>
      <c r="AC273" s="95"/>
      <c r="AD273" s="95"/>
      <c r="AE273" s="95">
        <v>380185</v>
      </c>
      <c r="AF273" s="95"/>
      <c r="AG273" s="95"/>
      <c r="AH273" s="95"/>
      <c r="AI273" s="95"/>
      <c r="AJ273" s="95">
        <v>0</v>
      </c>
      <c r="AK273" s="95"/>
      <c r="AL273" s="95"/>
      <c r="AM273" s="95"/>
      <c r="AN273" s="95"/>
      <c r="AO273" s="95">
        <v>630926</v>
      </c>
      <c r="AP273" s="95"/>
      <c r="AQ273" s="95"/>
      <c r="AR273" s="95"/>
      <c r="AS273" s="95"/>
      <c r="AT273" s="95">
        <v>0</v>
      </c>
      <c r="AU273" s="95"/>
      <c r="AV273" s="95"/>
      <c r="AW273" s="95"/>
      <c r="AX273" s="95"/>
      <c r="AY273" s="95">
        <v>630926</v>
      </c>
      <c r="AZ273" s="95"/>
      <c r="BA273" s="95"/>
      <c r="BB273" s="95"/>
      <c r="BC273" s="95"/>
      <c r="BD273" s="95">
        <v>0</v>
      </c>
      <c r="BE273" s="95"/>
      <c r="BF273" s="95"/>
      <c r="BG273" s="95"/>
      <c r="BH273" s="95"/>
      <c r="BI273" s="95">
        <v>630926</v>
      </c>
      <c r="BJ273" s="95"/>
      <c r="BK273" s="95"/>
      <c r="BL273" s="95"/>
      <c r="BM273" s="95"/>
      <c r="BN273" s="95">
        <v>0</v>
      </c>
      <c r="BO273" s="95"/>
      <c r="BP273" s="95"/>
      <c r="BQ273" s="95"/>
      <c r="BR273" s="95"/>
    </row>
    <row r="274" spans="1:79" s="5" customFormat="1" ht="12.75" customHeight="1" x14ac:dyDescent="0.2">
      <c r="A274" s="96" t="s">
        <v>147</v>
      </c>
      <c r="B274" s="97"/>
      <c r="C274" s="97"/>
      <c r="D274" s="97"/>
      <c r="E274" s="97"/>
      <c r="F274" s="97"/>
      <c r="G274" s="97"/>
      <c r="H274" s="97"/>
      <c r="I274" s="97"/>
      <c r="J274" s="97"/>
      <c r="K274" s="97"/>
      <c r="L274" s="97"/>
      <c r="M274" s="97"/>
      <c r="N274" s="97"/>
      <c r="O274" s="97"/>
      <c r="P274" s="97"/>
      <c r="Q274" s="97"/>
      <c r="R274" s="97"/>
      <c r="S274" s="97"/>
      <c r="T274" s="98"/>
      <c r="U274" s="94">
        <v>4907721</v>
      </c>
      <c r="V274" s="94"/>
      <c r="W274" s="94"/>
      <c r="X274" s="94"/>
      <c r="Y274" s="94"/>
      <c r="Z274" s="94">
        <v>0</v>
      </c>
      <c r="AA274" s="94"/>
      <c r="AB274" s="94"/>
      <c r="AC274" s="94"/>
      <c r="AD274" s="94"/>
      <c r="AE274" s="94">
        <v>6090909</v>
      </c>
      <c r="AF274" s="94"/>
      <c r="AG274" s="94"/>
      <c r="AH274" s="94"/>
      <c r="AI274" s="94"/>
      <c r="AJ274" s="94">
        <v>0</v>
      </c>
      <c r="AK274" s="94"/>
      <c r="AL274" s="94"/>
      <c r="AM274" s="94"/>
      <c r="AN274" s="94"/>
      <c r="AO274" s="94">
        <v>5403852</v>
      </c>
      <c r="AP274" s="94"/>
      <c r="AQ274" s="94"/>
      <c r="AR274" s="94"/>
      <c r="AS274" s="94"/>
      <c r="AT274" s="94">
        <v>0</v>
      </c>
      <c r="AU274" s="94"/>
      <c r="AV274" s="94"/>
      <c r="AW274" s="94"/>
      <c r="AX274" s="94"/>
      <c r="AY274" s="94">
        <v>5403852</v>
      </c>
      <c r="AZ274" s="94"/>
      <c r="BA274" s="94"/>
      <c r="BB274" s="94"/>
      <c r="BC274" s="94"/>
      <c r="BD274" s="94">
        <v>0</v>
      </c>
      <c r="BE274" s="94"/>
      <c r="BF274" s="94"/>
      <c r="BG274" s="94"/>
      <c r="BH274" s="94"/>
      <c r="BI274" s="94">
        <v>5403852</v>
      </c>
      <c r="BJ274" s="94"/>
      <c r="BK274" s="94"/>
      <c r="BL274" s="94"/>
      <c r="BM274" s="94"/>
      <c r="BN274" s="94">
        <v>0</v>
      </c>
      <c r="BO274" s="94"/>
      <c r="BP274" s="94"/>
      <c r="BQ274" s="94"/>
      <c r="BR274" s="94"/>
    </row>
    <row r="275" spans="1:79" s="4" customFormat="1" ht="25.5" customHeight="1" x14ac:dyDescent="0.2">
      <c r="A275" s="55" t="s">
        <v>265</v>
      </c>
      <c r="B275" s="56"/>
      <c r="C275" s="56"/>
      <c r="D275" s="56"/>
      <c r="E275" s="56"/>
      <c r="F275" s="56"/>
      <c r="G275" s="56"/>
      <c r="H275" s="56"/>
      <c r="I275" s="56"/>
      <c r="J275" s="56"/>
      <c r="K275" s="56"/>
      <c r="L275" s="56"/>
      <c r="M275" s="56"/>
      <c r="N275" s="56"/>
      <c r="O275" s="56"/>
      <c r="P275" s="56"/>
      <c r="Q275" s="56"/>
      <c r="R275" s="56"/>
      <c r="S275" s="56"/>
      <c r="T275" s="57"/>
      <c r="U275" s="95" t="s">
        <v>173</v>
      </c>
      <c r="V275" s="95"/>
      <c r="W275" s="95"/>
      <c r="X275" s="95"/>
      <c r="Y275" s="95"/>
      <c r="Z275" s="95"/>
      <c r="AA275" s="95"/>
      <c r="AB275" s="95"/>
      <c r="AC275" s="95"/>
      <c r="AD275" s="95"/>
      <c r="AE275" s="95" t="s">
        <v>173</v>
      </c>
      <c r="AF275" s="95"/>
      <c r="AG275" s="95"/>
      <c r="AH275" s="95"/>
      <c r="AI275" s="95"/>
      <c r="AJ275" s="95"/>
      <c r="AK275" s="95"/>
      <c r="AL275" s="95"/>
      <c r="AM275" s="95"/>
      <c r="AN275" s="95"/>
      <c r="AO275" s="95" t="s">
        <v>173</v>
      </c>
      <c r="AP275" s="95"/>
      <c r="AQ275" s="95"/>
      <c r="AR275" s="95"/>
      <c r="AS275" s="95"/>
      <c r="AT275" s="95"/>
      <c r="AU275" s="95"/>
      <c r="AV275" s="95"/>
      <c r="AW275" s="95"/>
      <c r="AX275" s="95"/>
      <c r="AY275" s="95" t="s">
        <v>173</v>
      </c>
      <c r="AZ275" s="95"/>
      <c r="BA275" s="95"/>
      <c r="BB275" s="95"/>
      <c r="BC275" s="95"/>
      <c r="BD275" s="95"/>
      <c r="BE275" s="95"/>
      <c r="BF275" s="95"/>
      <c r="BG275" s="95"/>
      <c r="BH275" s="95"/>
      <c r="BI275" s="95" t="s">
        <v>173</v>
      </c>
      <c r="BJ275" s="95"/>
      <c r="BK275" s="95"/>
      <c r="BL275" s="95"/>
      <c r="BM275" s="95"/>
      <c r="BN275" s="95"/>
      <c r="BO275" s="95"/>
      <c r="BP275" s="95"/>
      <c r="BQ275" s="95"/>
      <c r="BR275" s="95"/>
    </row>
    <row r="277" spans="1:79" ht="14.25" customHeight="1" x14ac:dyDescent="0.2">
      <c r="A277" s="28" t="s">
        <v>125</v>
      </c>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row>
    <row r="278" spans="1:79" ht="15" customHeight="1" x14ac:dyDescent="0.2">
      <c r="A278" s="42" t="s">
        <v>6</v>
      </c>
      <c r="B278" s="43"/>
      <c r="C278" s="43"/>
      <c r="D278" s="42" t="s">
        <v>10</v>
      </c>
      <c r="E278" s="43"/>
      <c r="F278" s="43"/>
      <c r="G278" s="43"/>
      <c r="H278" s="43"/>
      <c r="I278" s="43"/>
      <c r="J278" s="43"/>
      <c r="K278" s="43"/>
      <c r="L278" s="43"/>
      <c r="M278" s="43"/>
      <c r="N278" s="43"/>
      <c r="O278" s="43"/>
      <c r="P278" s="43"/>
      <c r="Q278" s="43"/>
      <c r="R278" s="43"/>
      <c r="S278" s="43"/>
      <c r="T278" s="43"/>
      <c r="U278" s="43"/>
      <c r="V278" s="44"/>
      <c r="W278" s="48" t="s">
        <v>281</v>
      </c>
      <c r="X278" s="48"/>
      <c r="Y278" s="48"/>
      <c r="Z278" s="48"/>
      <c r="AA278" s="48"/>
      <c r="AB278" s="48"/>
      <c r="AC278" s="48"/>
      <c r="AD278" s="48"/>
      <c r="AE278" s="48"/>
      <c r="AF278" s="48"/>
      <c r="AG278" s="48"/>
      <c r="AH278" s="48"/>
      <c r="AI278" s="48" t="s">
        <v>285</v>
      </c>
      <c r="AJ278" s="48"/>
      <c r="AK278" s="48"/>
      <c r="AL278" s="48"/>
      <c r="AM278" s="48"/>
      <c r="AN278" s="48"/>
      <c r="AO278" s="48"/>
      <c r="AP278" s="48"/>
      <c r="AQ278" s="48"/>
      <c r="AR278" s="48"/>
      <c r="AS278" s="48"/>
      <c r="AT278" s="48"/>
      <c r="AU278" s="48" t="s">
        <v>297</v>
      </c>
      <c r="AV278" s="48"/>
      <c r="AW278" s="48"/>
      <c r="AX278" s="48"/>
      <c r="AY278" s="48"/>
      <c r="AZ278" s="48"/>
      <c r="BA278" s="48" t="s">
        <v>303</v>
      </c>
      <c r="BB278" s="48"/>
      <c r="BC278" s="48"/>
      <c r="BD278" s="48"/>
      <c r="BE278" s="48"/>
      <c r="BF278" s="48"/>
      <c r="BG278" s="48" t="s">
        <v>312</v>
      </c>
      <c r="BH278" s="48"/>
      <c r="BI278" s="48"/>
      <c r="BJ278" s="48"/>
      <c r="BK278" s="48"/>
      <c r="BL278" s="48"/>
    </row>
    <row r="279" spans="1:79" ht="15" customHeight="1" x14ac:dyDescent="0.2">
      <c r="A279" s="99"/>
      <c r="B279" s="100"/>
      <c r="C279" s="100"/>
      <c r="D279" s="99"/>
      <c r="E279" s="100"/>
      <c r="F279" s="100"/>
      <c r="G279" s="100"/>
      <c r="H279" s="100"/>
      <c r="I279" s="100"/>
      <c r="J279" s="100"/>
      <c r="K279" s="100"/>
      <c r="L279" s="100"/>
      <c r="M279" s="100"/>
      <c r="N279" s="100"/>
      <c r="O279" s="100"/>
      <c r="P279" s="100"/>
      <c r="Q279" s="100"/>
      <c r="R279" s="100"/>
      <c r="S279" s="100"/>
      <c r="T279" s="100"/>
      <c r="U279" s="100"/>
      <c r="V279" s="101"/>
      <c r="W279" s="48" t="s">
        <v>4</v>
      </c>
      <c r="X279" s="48"/>
      <c r="Y279" s="48"/>
      <c r="Z279" s="48"/>
      <c r="AA279" s="48"/>
      <c r="AB279" s="48"/>
      <c r="AC279" s="48" t="s">
        <v>3</v>
      </c>
      <c r="AD279" s="48"/>
      <c r="AE279" s="48"/>
      <c r="AF279" s="48"/>
      <c r="AG279" s="48"/>
      <c r="AH279" s="48"/>
      <c r="AI279" s="48" t="s">
        <v>4</v>
      </c>
      <c r="AJ279" s="48"/>
      <c r="AK279" s="48"/>
      <c r="AL279" s="48"/>
      <c r="AM279" s="48"/>
      <c r="AN279" s="48"/>
      <c r="AO279" s="48" t="s">
        <v>3</v>
      </c>
      <c r="AP279" s="48"/>
      <c r="AQ279" s="48"/>
      <c r="AR279" s="48"/>
      <c r="AS279" s="48"/>
      <c r="AT279" s="48"/>
      <c r="AU279" s="83" t="s">
        <v>4</v>
      </c>
      <c r="AV279" s="83"/>
      <c r="AW279" s="83"/>
      <c r="AX279" s="83" t="s">
        <v>3</v>
      </c>
      <c r="AY279" s="83"/>
      <c r="AZ279" s="83"/>
      <c r="BA279" s="83" t="s">
        <v>4</v>
      </c>
      <c r="BB279" s="83"/>
      <c r="BC279" s="83"/>
      <c r="BD279" s="83" t="s">
        <v>3</v>
      </c>
      <c r="BE279" s="83"/>
      <c r="BF279" s="83"/>
      <c r="BG279" s="83" t="s">
        <v>4</v>
      </c>
      <c r="BH279" s="83"/>
      <c r="BI279" s="83"/>
      <c r="BJ279" s="83" t="s">
        <v>3</v>
      </c>
      <c r="BK279" s="83"/>
      <c r="BL279" s="83"/>
    </row>
    <row r="280" spans="1:79" ht="57" customHeight="1" x14ac:dyDescent="0.2">
      <c r="A280" s="45"/>
      <c r="B280" s="46"/>
      <c r="C280" s="46"/>
      <c r="D280" s="45"/>
      <c r="E280" s="46"/>
      <c r="F280" s="46"/>
      <c r="G280" s="46"/>
      <c r="H280" s="46"/>
      <c r="I280" s="46"/>
      <c r="J280" s="46"/>
      <c r="K280" s="46"/>
      <c r="L280" s="46"/>
      <c r="M280" s="46"/>
      <c r="N280" s="46"/>
      <c r="O280" s="46"/>
      <c r="P280" s="46"/>
      <c r="Q280" s="46"/>
      <c r="R280" s="46"/>
      <c r="S280" s="46"/>
      <c r="T280" s="46"/>
      <c r="U280" s="46"/>
      <c r="V280" s="47"/>
      <c r="W280" s="48" t="s">
        <v>12</v>
      </c>
      <c r="X280" s="48"/>
      <c r="Y280" s="48"/>
      <c r="Z280" s="48" t="s">
        <v>11</v>
      </c>
      <c r="AA280" s="48"/>
      <c r="AB280" s="48"/>
      <c r="AC280" s="48" t="s">
        <v>12</v>
      </c>
      <c r="AD280" s="48"/>
      <c r="AE280" s="48"/>
      <c r="AF280" s="48" t="s">
        <v>11</v>
      </c>
      <c r="AG280" s="48"/>
      <c r="AH280" s="48"/>
      <c r="AI280" s="48" t="s">
        <v>12</v>
      </c>
      <c r="AJ280" s="48"/>
      <c r="AK280" s="48"/>
      <c r="AL280" s="48" t="s">
        <v>11</v>
      </c>
      <c r="AM280" s="48"/>
      <c r="AN280" s="48"/>
      <c r="AO280" s="48" t="s">
        <v>12</v>
      </c>
      <c r="AP280" s="48"/>
      <c r="AQ280" s="48"/>
      <c r="AR280" s="48" t="s">
        <v>11</v>
      </c>
      <c r="AS280" s="48"/>
      <c r="AT280" s="48"/>
      <c r="AU280" s="83"/>
      <c r="AV280" s="83"/>
      <c r="AW280" s="83"/>
      <c r="AX280" s="83"/>
      <c r="AY280" s="83"/>
      <c r="AZ280" s="83"/>
      <c r="BA280" s="83"/>
      <c r="BB280" s="83"/>
      <c r="BC280" s="83"/>
      <c r="BD280" s="83"/>
      <c r="BE280" s="83"/>
      <c r="BF280" s="83"/>
      <c r="BG280" s="83"/>
      <c r="BH280" s="83"/>
      <c r="BI280" s="83"/>
      <c r="BJ280" s="83"/>
      <c r="BK280" s="83"/>
      <c r="BL280" s="83"/>
    </row>
    <row r="281" spans="1:79" ht="15" customHeight="1" x14ac:dyDescent="0.2">
      <c r="A281" s="35">
        <v>1</v>
      </c>
      <c r="B281" s="36"/>
      <c r="C281" s="36"/>
      <c r="D281" s="35">
        <v>2</v>
      </c>
      <c r="E281" s="36"/>
      <c r="F281" s="36"/>
      <c r="G281" s="36"/>
      <c r="H281" s="36"/>
      <c r="I281" s="36"/>
      <c r="J281" s="36"/>
      <c r="K281" s="36"/>
      <c r="L281" s="36"/>
      <c r="M281" s="36"/>
      <c r="N281" s="36"/>
      <c r="O281" s="36"/>
      <c r="P281" s="36"/>
      <c r="Q281" s="36"/>
      <c r="R281" s="36"/>
      <c r="S281" s="36"/>
      <c r="T281" s="36"/>
      <c r="U281" s="36"/>
      <c r="V281" s="37"/>
      <c r="W281" s="48">
        <v>3</v>
      </c>
      <c r="X281" s="48"/>
      <c r="Y281" s="48"/>
      <c r="Z281" s="48">
        <v>4</v>
      </c>
      <c r="AA281" s="48"/>
      <c r="AB281" s="48"/>
      <c r="AC281" s="48">
        <v>5</v>
      </c>
      <c r="AD281" s="48"/>
      <c r="AE281" s="48"/>
      <c r="AF281" s="48">
        <v>6</v>
      </c>
      <c r="AG281" s="48"/>
      <c r="AH281" s="48"/>
      <c r="AI281" s="48">
        <v>7</v>
      </c>
      <c r="AJ281" s="48"/>
      <c r="AK281" s="48"/>
      <c r="AL281" s="48">
        <v>8</v>
      </c>
      <c r="AM281" s="48"/>
      <c r="AN281" s="48"/>
      <c r="AO281" s="48">
        <v>9</v>
      </c>
      <c r="AP281" s="48"/>
      <c r="AQ281" s="48"/>
      <c r="AR281" s="48">
        <v>10</v>
      </c>
      <c r="AS281" s="48"/>
      <c r="AT281" s="48"/>
      <c r="AU281" s="48">
        <v>11</v>
      </c>
      <c r="AV281" s="48"/>
      <c r="AW281" s="48"/>
      <c r="AX281" s="48">
        <v>12</v>
      </c>
      <c r="AY281" s="48"/>
      <c r="AZ281" s="48"/>
      <c r="BA281" s="48">
        <v>13</v>
      </c>
      <c r="BB281" s="48"/>
      <c r="BC281" s="48"/>
      <c r="BD281" s="48">
        <v>14</v>
      </c>
      <c r="BE281" s="48"/>
      <c r="BF281" s="48"/>
      <c r="BG281" s="48">
        <v>15</v>
      </c>
      <c r="BH281" s="48"/>
      <c r="BI281" s="48"/>
      <c r="BJ281" s="48">
        <v>16</v>
      </c>
      <c r="BK281" s="48"/>
      <c r="BL281" s="48"/>
    </row>
    <row r="282" spans="1:79" s="1" customFormat="1" ht="12.75" hidden="1" customHeight="1" x14ac:dyDescent="0.2">
      <c r="A282" s="62" t="s">
        <v>69</v>
      </c>
      <c r="B282" s="63"/>
      <c r="C282" s="63"/>
      <c r="D282" s="62" t="s">
        <v>57</v>
      </c>
      <c r="E282" s="63"/>
      <c r="F282" s="63"/>
      <c r="G282" s="63"/>
      <c r="H282" s="63"/>
      <c r="I282" s="63"/>
      <c r="J282" s="63"/>
      <c r="K282" s="63"/>
      <c r="L282" s="63"/>
      <c r="M282" s="63"/>
      <c r="N282" s="63"/>
      <c r="O282" s="63"/>
      <c r="P282" s="63"/>
      <c r="Q282" s="63"/>
      <c r="R282" s="63"/>
      <c r="S282" s="63"/>
      <c r="T282" s="63"/>
      <c r="U282" s="63"/>
      <c r="V282" s="64"/>
      <c r="W282" s="66" t="s">
        <v>72</v>
      </c>
      <c r="X282" s="66"/>
      <c r="Y282" s="66"/>
      <c r="Z282" s="66" t="s">
        <v>73</v>
      </c>
      <c r="AA282" s="66"/>
      <c r="AB282" s="66"/>
      <c r="AC282" s="90" t="s">
        <v>74</v>
      </c>
      <c r="AD282" s="90"/>
      <c r="AE282" s="90"/>
      <c r="AF282" s="90" t="s">
        <v>75</v>
      </c>
      <c r="AG282" s="90"/>
      <c r="AH282" s="90"/>
      <c r="AI282" s="66" t="s">
        <v>76</v>
      </c>
      <c r="AJ282" s="66"/>
      <c r="AK282" s="66"/>
      <c r="AL282" s="66" t="s">
        <v>77</v>
      </c>
      <c r="AM282" s="66"/>
      <c r="AN282" s="66"/>
      <c r="AO282" s="90" t="s">
        <v>104</v>
      </c>
      <c r="AP282" s="90"/>
      <c r="AQ282" s="90"/>
      <c r="AR282" s="90" t="s">
        <v>78</v>
      </c>
      <c r="AS282" s="90"/>
      <c r="AT282" s="90"/>
      <c r="AU282" s="66" t="s">
        <v>105</v>
      </c>
      <c r="AV282" s="66"/>
      <c r="AW282" s="66"/>
      <c r="AX282" s="90" t="s">
        <v>106</v>
      </c>
      <c r="AY282" s="90"/>
      <c r="AZ282" s="90"/>
      <c r="BA282" s="66" t="s">
        <v>107</v>
      </c>
      <c r="BB282" s="66"/>
      <c r="BC282" s="66"/>
      <c r="BD282" s="90" t="s">
        <v>108</v>
      </c>
      <c r="BE282" s="90"/>
      <c r="BF282" s="90"/>
      <c r="BG282" s="66" t="s">
        <v>109</v>
      </c>
      <c r="BH282" s="66"/>
      <c r="BI282" s="66"/>
      <c r="BJ282" s="90" t="s">
        <v>110</v>
      </c>
      <c r="BK282" s="90"/>
      <c r="BL282" s="90"/>
      <c r="CA282" s="1" t="s">
        <v>103</v>
      </c>
    </row>
    <row r="283" spans="1:79" s="4" customFormat="1" ht="12.75" customHeight="1" x14ac:dyDescent="0.2">
      <c r="A283" s="52">
        <v>1</v>
      </c>
      <c r="B283" s="53"/>
      <c r="C283" s="53"/>
      <c r="D283" s="55" t="s">
        <v>266</v>
      </c>
      <c r="E283" s="56"/>
      <c r="F283" s="56"/>
      <c r="G283" s="56"/>
      <c r="H283" s="56"/>
      <c r="I283" s="56"/>
      <c r="J283" s="56"/>
      <c r="K283" s="56"/>
      <c r="L283" s="56"/>
      <c r="M283" s="56"/>
      <c r="N283" s="56"/>
      <c r="O283" s="56"/>
      <c r="P283" s="56"/>
      <c r="Q283" s="56"/>
      <c r="R283" s="56"/>
      <c r="S283" s="56"/>
      <c r="T283" s="56"/>
      <c r="U283" s="56"/>
      <c r="V283" s="57"/>
      <c r="W283" s="92">
        <v>11.75</v>
      </c>
      <c r="X283" s="92"/>
      <c r="Y283" s="92"/>
      <c r="Z283" s="92">
        <v>11.75</v>
      </c>
      <c r="AA283" s="92"/>
      <c r="AB283" s="92"/>
      <c r="AC283" s="92">
        <v>0</v>
      </c>
      <c r="AD283" s="92"/>
      <c r="AE283" s="92"/>
      <c r="AF283" s="92">
        <v>0</v>
      </c>
      <c r="AG283" s="92"/>
      <c r="AH283" s="92"/>
      <c r="AI283" s="92">
        <v>8.25</v>
      </c>
      <c r="AJ283" s="92"/>
      <c r="AK283" s="92"/>
      <c r="AL283" s="92">
        <v>5.05</v>
      </c>
      <c r="AM283" s="92"/>
      <c r="AN283" s="92"/>
      <c r="AO283" s="92">
        <v>0</v>
      </c>
      <c r="AP283" s="92"/>
      <c r="AQ283" s="92"/>
      <c r="AR283" s="92">
        <v>0</v>
      </c>
      <c r="AS283" s="92"/>
      <c r="AT283" s="92"/>
      <c r="AU283" s="92">
        <v>8.25</v>
      </c>
      <c r="AV283" s="92"/>
      <c r="AW283" s="92"/>
      <c r="AX283" s="92">
        <v>0</v>
      </c>
      <c r="AY283" s="92"/>
      <c r="AZ283" s="92"/>
      <c r="BA283" s="92">
        <v>8.25</v>
      </c>
      <c r="BB283" s="92"/>
      <c r="BC283" s="92"/>
      <c r="BD283" s="92">
        <v>0</v>
      </c>
      <c r="BE283" s="92"/>
      <c r="BF283" s="92"/>
      <c r="BG283" s="92">
        <v>8.25</v>
      </c>
      <c r="BH283" s="92"/>
      <c r="BI283" s="92"/>
      <c r="BJ283" s="92">
        <v>0</v>
      </c>
      <c r="BK283" s="92"/>
      <c r="BL283" s="92"/>
      <c r="CA283" s="4" t="s">
        <v>43</v>
      </c>
    </row>
    <row r="284" spans="1:79" s="4" customFormat="1" ht="12.75" customHeight="1" x14ac:dyDescent="0.2">
      <c r="A284" s="52">
        <v>2</v>
      </c>
      <c r="B284" s="53"/>
      <c r="C284" s="53"/>
      <c r="D284" s="55" t="s">
        <v>267</v>
      </c>
      <c r="E284" s="56"/>
      <c r="F284" s="56"/>
      <c r="G284" s="56"/>
      <c r="H284" s="56"/>
      <c r="I284" s="56"/>
      <c r="J284" s="56"/>
      <c r="K284" s="56"/>
      <c r="L284" s="56"/>
      <c r="M284" s="56"/>
      <c r="N284" s="56"/>
      <c r="O284" s="56"/>
      <c r="P284" s="56"/>
      <c r="Q284" s="56"/>
      <c r="R284" s="56"/>
      <c r="S284" s="56"/>
      <c r="T284" s="56"/>
      <c r="U284" s="56"/>
      <c r="V284" s="57"/>
      <c r="W284" s="92">
        <v>68</v>
      </c>
      <c r="X284" s="92"/>
      <c r="Y284" s="92"/>
      <c r="Z284" s="92">
        <v>68</v>
      </c>
      <c r="AA284" s="92"/>
      <c r="AB284" s="92"/>
      <c r="AC284" s="92">
        <v>0</v>
      </c>
      <c r="AD284" s="92"/>
      <c r="AE284" s="92"/>
      <c r="AF284" s="92">
        <v>0</v>
      </c>
      <c r="AG284" s="92"/>
      <c r="AH284" s="92"/>
      <c r="AI284" s="92">
        <v>66.849999999999994</v>
      </c>
      <c r="AJ284" s="92"/>
      <c r="AK284" s="92"/>
      <c r="AL284" s="92">
        <v>50.2</v>
      </c>
      <c r="AM284" s="92"/>
      <c r="AN284" s="92"/>
      <c r="AO284" s="92">
        <v>0</v>
      </c>
      <c r="AP284" s="92"/>
      <c r="AQ284" s="92"/>
      <c r="AR284" s="92">
        <v>0</v>
      </c>
      <c r="AS284" s="92"/>
      <c r="AT284" s="92"/>
      <c r="AU284" s="92">
        <v>66.849999999999994</v>
      </c>
      <c r="AV284" s="92"/>
      <c r="AW284" s="92"/>
      <c r="AX284" s="92">
        <v>0</v>
      </c>
      <c r="AY284" s="92"/>
      <c r="AZ284" s="92"/>
      <c r="BA284" s="92">
        <v>66.849999999999994</v>
      </c>
      <c r="BB284" s="92"/>
      <c r="BC284" s="92"/>
      <c r="BD284" s="92">
        <v>0</v>
      </c>
      <c r="BE284" s="92"/>
      <c r="BF284" s="92"/>
      <c r="BG284" s="92">
        <v>66.849999999999994</v>
      </c>
      <c r="BH284" s="92"/>
      <c r="BI284" s="92"/>
      <c r="BJ284" s="92">
        <v>0</v>
      </c>
      <c r="BK284" s="92"/>
      <c r="BL284" s="92"/>
    </row>
    <row r="285" spans="1:79" s="4" customFormat="1" ht="12.75" customHeight="1" x14ac:dyDescent="0.2">
      <c r="A285" s="52">
        <v>3</v>
      </c>
      <c r="B285" s="53"/>
      <c r="C285" s="53"/>
      <c r="D285" s="55" t="s">
        <v>268</v>
      </c>
      <c r="E285" s="56"/>
      <c r="F285" s="56"/>
      <c r="G285" s="56"/>
      <c r="H285" s="56"/>
      <c r="I285" s="56"/>
      <c r="J285" s="56"/>
      <c r="K285" s="56"/>
      <c r="L285" s="56"/>
      <c r="M285" s="56"/>
      <c r="N285" s="56"/>
      <c r="O285" s="56"/>
      <c r="P285" s="56"/>
      <c r="Q285" s="56"/>
      <c r="R285" s="56"/>
      <c r="S285" s="56"/>
      <c r="T285" s="56"/>
      <c r="U285" s="56"/>
      <c r="V285" s="57"/>
      <c r="W285" s="92">
        <v>30.11</v>
      </c>
      <c r="X285" s="92"/>
      <c r="Y285" s="92"/>
      <c r="Z285" s="92">
        <v>30.11</v>
      </c>
      <c r="AA285" s="92"/>
      <c r="AB285" s="92"/>
      <c r="AC285" s="92">
        <v>0</v>
      </c>
      <c r="AD285" s="92"/>
      <c r="AE285" s="92"/>
      <c r="AF285" s="92">
        <v>0</v>
      </c>
      <c r="AG285" s="92"/>
      <c r="AH285" s="92"/>
      <c r="AI285" s="92">
        <v>30.28</v>
      </c>
      <c r="AJ285" s="92"/>
      <c r="AK285" s="92"/>
      <c r="AL285" s="92">
        <v>7.15</v>
      </c>
      <c r="AM285" s="92"/>
      <c r="AN285" s="92"/>
      <c r="AO285" s="92">
        <v>0</v>
      </c>
      <c r="AP285" s="92"/>
      <c r="AQ285" s="92"/>
      <c r="AR285" s="92">
        <v>0</v>
      </c>
      <c r="AS285" s="92"/>
      <c r="AT285" s="92"/>
      <c r="AU285" s="92">
        <v>30.28</v>
      </c>
      <c r="AV285" s="92"/>
      <c r="AW285" s="92"/>
      <c r="AX285" s="92">
        <v>0</v>
      </c>
      <c r="AY285" s="92"/>
      <c r="AZ285" s="92"/>
      <c r="BA285" s="92">
        <v>30.28</v>
      </c>
      <c r="BB285" s="92"/>
      <c r="BC285" s="92"/>
      <c r="BD285" s="92">
        <v>0</v>
      </c>
      <c r="BE285" s="92"/>
      <c r="BF285" s="92"/>
      <c r="BG285" s="92">
        <v>30.28</v>
      </c>
      <c r="BH285" s="92"/>
      <c r="BI285" s="92"/>
      <c r="BJ285" s="92">
        <v>0</v>
      </c>
      <c r="BK285" s="92"/>
      <c r="BL285" s="92"/>
    </row>
    <row r="286" spans="1:79" s="5" customFormat="1" ht="12.75" customHeight="1" x14ac:dyDescent="0.2">
      <c r="A286" s="77">
        <v>4</v>
      </c>
      <c r="B286" s="78"/>
      <c r="C286" s="78"/>
      <c r="D286" s="96" t="s">
        <v>269</v>
      </c>
      <c r="E286" s="97"/>
      <c r="F286" s="97"/>
      <c r="G286" s="97"/>
      <c r="H286" s="97"/>
      <c r="I286" s="97"/>
      <c r="J286" s="97"/>
      <c r="K286" s="97"/>
      <c r="L286" s="97"/>
      <c r="M286" s="97"/>
      <c r="N286" s="97"/>
      <c r="O286" s="97"/>
      <c r="P286" s="97"/>
      <c r="Q286" s="97"/>
      <c r="R286" s="97"/>
      <c r="S286" s="97"/>
      <c r="T286" s="97"/>
      <c r="U286" s="97"/>
      <c r="V286" s="98"/>
      <c r="W286" s="89">
        <v>109.86</v>
      </c>
      <c r="X286" s="89"/>
      <c r="Y286" s="89"/>
      <c r="Z286" s="89">
        <v>109.86</v>
      </c>
      <c r="AA286" s="89"/>
      <c r="AB286" s="89"/>
      <c r="AC286" s="89">
        <v>0</v>
      </c>
      <c r="AD286" s="89"/>
      <c r="AE286" s="89"/>
      <c r="AF286" s="89">
        <v>0</v>
      </c>
      <c r="AG286" s="89"/>
      <c r="AH286" s="89"/>
      <c r="AI286" s="89">
        <v>105.38</v>
      </c>
      <c r="AJ286" s="89"/>
      <c r="AK286" s="89"/>
      <c r="AL286" s="89">
        <v>62.4</v>
      </c>
      <c r="AM286" s="89"/>
      <c r="AN286" s="89"/>
      <c r="AO286" s="89">
        <v>0</v>
      </c>
      <c r="AP286" s="89"/>
      <c r="AQ286" s="89"/>
      <c r="AR286" s="89">
        <v>0</v>
      </c>
      <c r="AS286" s="89"/>
      <c r="AT286" s="89"/>
      <c r="AU286" s="89">
        <v>105.38</v>
      </c>
      <c r="AV286" s="89"/>
      <c r="AW286" s="89"/>
      <c r="AX286" s="89">
        <v>0</v>
      </c>
      <c r="AY286" s="89"/>
      <c r="AZ286" s="89"/>
      <c r="BA286" s="89">
        <v>105.38</v>
      </c>
      <c r="BB286" s="89"/>
      <c r="BC286" s="89"/>
      <c r="BD286" s="89">
        <v>0</v>
      </c>
      <c r="BE286" s="89"/>
      <c r="BF286" s="89"/>
      <c r="BG286" s="89">
        <v>105.38</v>
      </c>
      <c r="BH286" s="89"/>
      <c r="BI286" s="89"/>
      <c r="BJ286" s="89">
        <v>0</v>
      </c>
      <c r="BK286" s="89"/>
      <c r="BL286" s="89"/>
    </row>
    <row r="287" spans="1:79" s="4" customFormat="1" ht="25.5" customHeight="1" x14ac:dyDescent="0.2">
      <c r="A287" s="52">
        <v>5</v>
      </c>
      <c r="B287" s="53"/>
      <c r="C287" s="53"/>
      <c r="D287" s="55" t="s">
        <v>270</v>
      </c>
      <c r="E287" s="56"/>
      <c r="F287" s="56"/>
      <c r="G287" s="56"/>
      <c r="H287" s="56"/>
      <c r="I287" s="56"/>
      <c r="J287" s="56"/>
      <c r="K287" s="56"/>
      <c r="L287" s="56"/>
      <c r="M287" s="56"/>
      <c r="N287" s="56"/>
      <c r="O287" s="56"/>
      <c r="P287" s="56"/>
      <c r="Q287" s="56"/>
      <c r="R287" s="56"/>
      <c r="S287" s="56"/>
      <c r="T287" s="56"/>
      <c r="U287" s="56"/>
      <c r="V287" s="57"/>
      <c r="W287" s="92" t="s">
        <v>173</v>
      </c>
      <c r="X287" s="92"/>
      <c r="Y287" s="92"/>
      <c r="Z287" s="92" t="s">
        <v>173</v>
      </c>
      <c r="AA287" s="92"/>
      <c r="AB287" s="92"/>
      <c r="AC287" s="92"/>
      <c r="AD287" s="92"/>
      <c r="AE287" s="92"/>
      <c r="AF287" s="92"/>
      <c r="AG287" s="92"/>
      <c r="AH287" s="92"/>
      <c r="AI287" s="92" t="s">
        <v>173</v>
      </c>
      <c r="AJ287" s="92"/>
      <c r="AK287" s="92"/>
      <c r="AL287" s="92" t="s">
        <v>173</v>
      </c>
      <c r="AM287" s="92"/>
      <c r="AN287" s="92"/>
      <c r="AO287" s="92"/>
      <c r="AP287" s="92"/>
      <c r="AQ287" s="92"/>
      <c r="AR287" s="92"/>
      <c r="AS287" s="92"/>
      <c r="AT287" s="92"/>
      <c r="AU287" s="92" t="s">
        <v>173</v>
      </c>
      <c r="AV287" s="92"/>
      <c r="AW287" s="92"/>
      <c r="AX287" s="92"/>
      <c r="AY287" s="92"/>
      <c r="AZ287" s="92"/>
      <c r="BA287" s="92" t="s">
        <v>173</v>
      </c>
      <c r="BB287" s="92"/>
      <c r="BC287" s="92"/>
      <c r="BD287" s="92"/>
      <c r="BE287" s="92"/>
      <c r="BF287" s="92"/>
      <c r="BG287" s="92" t="s">
        <v>173</v>
      </c>
      <c r="BH287" s="92"/>
      <c r="BI287" s="92"/>
      <c r="BJ287" s="92"/>
      <c r="BK287" s="92"/>
      <c r="BL287" s="92"/>
    </row>
    <row r="289" spans="1:79" ht="14.25" customHeight="1" x14ac:dyDescent="0.2">
      <c r="A289" s="28" t="s">
        <v>153</v>
      </c>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row>
    <row r="290" spans="1:79" ht="14.25" customHeight="1" x14ac:dyDescent="0.2">
      <c r="A290" s="28" t="s">
        <v>298</v>
      </c>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row>
    <row r="291" spans="1:79" ht="15" customHeight="1" x14ac:dyDescent="0.2">
      <c r="A291" s="41" t="s">
        <v>280</v>
      </c>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row>
    <row r="292" spans="1:79" ht="15" customHeight="1" x14ac:dyDescent="0.2">
      <c r="A292" s="48" t="s">
        <v>6</v>
      </c>
      <c r="B292" s="48"/>
      <c r="C292" s="48"/>
      <c r="D292" s="48"/>
      <c r="E292" s="48"/>
      <c r="F292" s="48"/>
      <c r="G292" s="48" t="s">
        <v>126</v>
      </c>
      <c r="H292" s="48"/>
      <c r="I292" s="48"/>
      <c r="J292" s="48"/>
      <c r="K292" s="48"/>
      <c r="L292" s="48"/>
      <c r="M292" s="48"/>
      <c r="N292" s="48"/>
      <c r="O292" s="48"/>
      <c r="P292" s="48"/>
      <c r="Q292" s="48"/>
      <c r="R292" s="48"/>
      <c r="S292" s="48"/>
      <c r="T292" s="48" t="s">
        <v>13</v>
      </c>
      <c r="U292" s="48"/>
      <c r="V292" s="48"/>
      <c r="W292" s="48"/>
      <c r="X292" s="48"/>
      <c r="Y292" s="48"/>
      <c r="Z292" s="48"/>
      <c r="AA292" s="35" t="s">
        <v>281</v>
      </c>
      <c r="AB292" s="102"/>
      <c r="AC292" s="102"/>
      <c r="AD292" s="102"/>
      <c r="AE292" s="102"/>
      <c r="AF292" s="102"/>
      <c r="AG292" s="102"/>
      <c r="AH292" s="102"/>
      <c r="AI292" s="102"/>
      <c r="AJ292" s="102"/>
      <c r="AK292" s="102"/>
      <c r="AL292" s="102"/>
      <c r="AM292" s="102"/>
      <c r="AN292" s="102"/>
      <c r="AO292" s="103"/>
      <c r="AP292" s="35" t="s">
        <v>284</v>
      </c>
      <c r="AQ292" s="36"/>
      <c r="AR292" s="36"/>
      <c r="AS292" s="36"/>
      <c r="AT292" s="36"/>
      <c r="AU292" s="36"/>
      <c r="AV292" s="36"/>
      <c r="AW292" s="36"/>
      <c r="AX292" s="36"/>
      <c r="AY292" s="36"/>
      <c r="AZ292" s="36"/>
      <c r="BA292" s="36"/>
      <c r="BB292" s="36"/>
      <c r="BC292" s="36"/>
      <c r="BD292" s="37"/>
      <c r="BE292" s="35" t="s">
        <v>292</v>
      </c>
      <c r="BF292" s="36"/>
      <c r="BG292" s="36"/>
      <c r="BH292" s="36"/>
      <c r="BI292" s="36"/>
      <c r="BJ292" s="36"/>
      <c r="BK292" s="36"/>
      <c r="BL292" s="36"/>
      <c r="BM292" s="36"/>
      <c r="BN292" s="36"/>
      <c r="BO292" s="36"/>
      <c r="BP292" s="36"/>
      <c r="BQ292" s="36"/>
      <c r="BR292" s="36"/>
      <c r="BS292" s="37"/>
    </row>
    <row r="293" spans="1:79" ht="32.1" customHeight="1" x14ac:dyDescent="0.2">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t="s">
        <v>4</v>
      </c>
      <c r="AB293" s="48"/>
      <c r="AC293" s="48"/>
      <c r="AD293" s="48"/>
      <c r="AE293" s="48"/>
      <c r="AF293" s="48" t="s">
        <v>3</v>
      </c>
      <c r="AG293" s="48"/>
      <c r="AH293" s="48"/>
      <c r="AI293" s="48"/>
      <c r="AJ293" s="48"/>
      <c r="AK293" s="48" t="s">
        <v>89</v>
      </c>
      <c r="AL293" s="48"/>
      <c r="AM293" s="48"/>
      <c r="AN293" s="48"/>
      <c r="AO293" s="48"/>
      <c r="AP293" s="48" t="s">
        <v>4</v>
      </c>
      <c r="AQ293" s="48"/>
      <c r="AR293" s="48"/>
      <c r="AS293" s="48"/>
      <c r="AT293" s="48"/>
      <c r="AU293" s="48" t="s">
        <v>3</v>
      </c>
      <c r="AV293" s="48"/>
      <c r="AW293" s="48"/>
      <c r="AX293" s="48"/>
      <c r="AY293" s="48"/>
      <c r="AZ293" s="48" t="s">
        <v>96</v>
      </c>
      <c r="BA293" s="48"/>
      <c r="BB293" s="48"/>
      <c r="BC293" s="48"/>
      <c r="BD293" s="48"/>
      <c r="BE293" s="48" t="s">
        <v>4</v>
      </c>
      <c r="BF293" s="48"/>
      <c r="BG293" s="48"/>
      <c r="BH293" s="48"/>
      <c r="BI293" s="48"/>
      <c r="BJ293" s="48" t="s">
        <v>3</v>
      </c>
      <c r="BK293" s="48"/>
      <c r="BL293" s="48"/>
      <c r="BM293" s="48"/>
      <c r="BN293" s="48"/>
      <c r="BO293" s="48" t="s">
        <v>127</v>
      </c>
      <c r="BP293" s="48"/>
      <c r="BQ293" s="48"/>
      <c r="BR293" s="48"/>
      <c r="BS293" s="48"/>
    </row>
    <row r="294" spans="1:79" ht="15" customHeight="1" x14ac:dyDescent="0.2">
      <c r="A294" s="48">
        <v>1</v>
      </c>
      <c r="B294" s="48"/>
      <c r="C294" s="48"/>
      <c r="D294" s="48"/>
      <c r="E294" s="48"/>
      <c r="F294" s="48"/>
      <c r="G294" s="48">
        <v>2</v>
      </c>
      <c r="H294" s="48"/>
      <c r="I294" s="48"/>
      <c r="J294" s="48"/>
      <c r="K294" s="48"/>
      <c r="L294" s="48"/>
      <c r="M294" s="48"/>
      <c r="N294" s="48"/>
      <c r="O294" s="48"/>
      <c r="P294" s="48"/>
      <c r="Q294" s="48"/>
      <c r="R294" s="48"/>
      <c r="S294" s="48"/>
      <c r="T294" s="48">
        <v>3</v>
      </c>
      <c r="U294" s="48"/>
      <c r="V294" s="48"/>
      <c r="W294" s="48"/>
      <c r="X294" s="48"/>
      <c r="Y294" s="48"/>
      <c r="Z294" s="48"/>
      <c r="AA294" s="48">
        <v>4</v>
      </c>
      <c r="AB294" s="48"/>
      <c r="AC294" s="48"/>
      <c r="AD294" s="48"/>
      <c r="AE294" s="48"/>
      <c r="AF294" s="48">
        <v>5</v>
      </c>
      <c r="AG294" s="48"/>
      <c r="AH294" s="48"/>
      <c r="AI294" s="48"/>
      <c r="AJ294" s="48"/>
      <c r="AK294" s="48">
        <v>6</v>
      </c>
      <c r="AL294" s="48"/>
      <c r="AM294" s="48"/>
      <c r="AN294" s="48"/>
      <c r="AO294" s="48"/>
      <c r="AP294" s="48">
        <v>7</v>
      </c>
      <c r="AQ294" s="48"/>
      <c r="AR294" s="48"/>
      <c r="AS294" s="48"/>
      <c r="AT294" s="48"/>
      <c r="AU294" s="48">
        <v>8</v>
      </c>
      <c r="AV294" s="48"/>
      <c r="AW294" s="48"/>
      <c r="AX294" s="48"/>
      <c r="AY294" s="48"/>
      <c r="AZ294" s="48">
        <v>9</v>
      </c>
      <c r="BA294" s="48"/>
      <c r="BB294" s="48"/>
      <c r="BC294" s="48"/>
      <c r="BD294" s="48"/>
      <c r="BE294" s="48">
        <v>10</v>
      </c>
      <c r="BF294" s="48"/>
      <c r="BG294" s="48"/>
      <c r="BH294" s="48"/>
      <c r="BI294" s="48"/>
      <c r="BJ294" s="48">
        <v>11</v>
      </c>
      <c r="BK294" s="48"/>
      <c r="BL294" s="48"/>
      <c r="BM294" s="48"/>
      <c r="BN294" s="48"/>
      <c r="BO294" s="48">
        <v>12</v>
      </c>
      <c r="BP294" s="48"/>
      <c r="BQ294" s="48"/>
      <c r="BR294" s="48"/>
      <c r="BS294" s="48"/>
    </row>
    <row r="295" spans="1:79" s="1" customFormat="1" ht="15" hidden="1" customHeight="1" x14ac:dyDescent="0.2">
      <c r="A295" s="66" t="s">
        <v>69</v>
      </c>
      <c r="B295" s="66"/>
      <c r="C295" s="66"/>
      <c r="D295" s="66"/>
      <c r="E295" s="66"/>
      <c r="F295" s="66"/>
      <c r="G295" s="104" t="s">
        <v>57</v>
      </c>
      <c r="H295" s="104"/>
      <c r="I295" s="104"/>
      <c r="J295" s="104"/>
      <c r="K295" s="104"/>
      <c r="L295" s="104"/>
      <c r="M295" s="104"/>
      <c r="N295" s="104"/>
      <c r="O295" s="104"/>
      <c r="P295" s="104"/>
      <c r="Q295" s="104"/>
      <c r="R295" s="104"/>
      <c r="S295" s="104"/>
      <c r="T295" s="104" t="s">
        <v>79</v>
      </c>
      <c r="U295" s="104"/>
      <c r="V295" s="104"/>
      <c r="W295" s="104"/>
      <c r="X295" s="104"/>
      <c r="Y295" s="104"/>
      <c r="Z295" s="104"/>
      <c r="AA295" s="90" t="s">
        <v>65</v>
      </c>
      <c r="AB295" s="90"/>
      <c r="AC295" s="90"/>
      <c r="AD295" s="90"/>
      <c r="AE295" s="90"/>
      <c r="AF295" s="90" t="s">
        <v>66</v>
      </c>
      <c r="AG295" s="90"/>
      <c r="AH295" s="90"/>
      <c r="AI295" s="90"/>
      <c r="AJ295" s="90"/>
      <c r="AK295" s="73" t="s">
        <v>122</v>
      </c>
      <c r="AL295" s="73"/>
      <c r="AM295" s="73"/>
      <c r="AN295" s="73"/>
      <c r="AO295" s="73"/>
      <c r="AP295" s="90" t="s">
        <v>67</v>
      </c>
      <c r="AQ295" s="90"/>
      <c r="AR295" s="90"/>
      <c r="AS295" s="90"/>
      <c r="AT295" s="90"/>
      <c r="AU295" s="90" t="s">
        <v>68</v>
      </c>
      <c r="AV295" s="90"/>
      <c r="AW295" s="90"/>
      <c r="AX295" s="90"/>
      <c r="AY295" s="90"/>
      <c r="AZ295" s="73" t="s">
        <v>122</v>
      </c>
      <c r="BA295" s="73"/>
      <c r="BB295" s="73"/>
      <c r="BC295" s="73"/>
      <c r="BD295" s="73"/>
      <c r="BE295" s="90" t="s">
        <v>58</v>
      </c>
      <c r="BF295" s="90"/>
      <c r="BG295" s="90"/>
      <c r="BH295" s="90"/>
      <c r="BI295" s="90"/>
      <c r="BJ295" s="90" t="s">
        <v>59</v>
      </c>
      <c r="BK295" s="90"/>
      <c r="BL295" s="90"/>
      <c r="BM295" s="90"/>
      <c r="BN295" s="90"/>
      <c r="BO295" s="73" t="s">
        <v>122</v>
      </c>
      <c r="BP295" s="73"/>
      <c r="BQ295" s="73"/>
      <c r="BR295" s="73"/>
      <c r="BS295" s="73"/>
      <c r="CA295" s="1" t="s">
        <v>44</v>
      </c>
    </row>
    <row r="296" spans="1:79" s="5" customFormat="1" ht="12.75" customHeight="1" x14ac:dyDescent="0.2">
      <c r="A296" s="105"/>
      <c r="B296" s="105"/>
      <c r="C296" s="105"/>
      <c r="D296" s="105"/>
      <c r="E296" s="105"/>
      <c r="F296" s="105"/>
      <c r="G296" s="106" t="s">
        <v>147</v>
      </c>
      <c r="H296" s="106"/>
      <c r="I296" s="106"/>
      <c r="J296" s="106"/>
      <c r="K296" s="106"/>
      <c r="L296" s="106"/>
      <c r="M296" s="106"/>
      <c r="N296" s="106"/>
      <c r="O296" s="106"/>
      <c r="P296" s="106"/>
      <c r="Q296" s="106"/>
      <c r="R296" s="106"/>
      <c r="S296" s="106"/>
      <c r="T296" s="107"/>
      <c r="U296" s="107"/>
      <c r="V296" s="107"/>
      <c r="W296" s="107"/>
      <c r="X296" s="107"/>
      <c r="Y296" s="107"/>
      <c r="Z296" s="107"/>
      <c r="AA296" s="94"/>
      <c r="AB296" s="94"/>
      <c r="AC296" s="94"/>
      <c r="AD296" s="94"/>
      <c r="AE296" s="94"/>
      <c r="AF296" s="94"/>
      <c r="AG296" s="94"/>
      <c r="AH296" s="94"/>
      <c r="AI296" s="94"/>
      <c r="AJ296" s="94"/>
      <c r="AK296" s="94">
        <f>IF(ISNUMBER(AA296),AA296,0)+IF(ISNUMBER(AF296),AF296,0)</f>
        <v>0</v>
      </c>
      <c r="AL296" s="94"/>
      <c r="AM296" s="94"/>
      <c r="AN296" s="94"/>
      <c r="AO296" s="94"/>
      <c r="AP296" s="94"/>
      <c r="AQ296" s="94"/>
      <c r="AR296" s="94"/>
      <c r="AS296" s="94"/>
      <c r="AT296" s="94"/>
      <c r="AU296" s="94"/>
      <c r="AV296" s="94"/>
      <c r="AW296" s="94"/>
      <c r="AX296" s="94"/>
      <c r="AY296" s="94"/>
      <c r="AZ296" s="94">
        <f>IF(ISNUMBER(AP296),AP296,0)+IF(ISNUMBER(AU296),AU296,0)</f>
        <v>0</v>
      </c>
      <c r="BA296" s="94"/>
      <c r="BB296" s="94"/>
      <c r="BC296" s="94"/>
      <c r="BD296" s="94"/>
      <c r="BE296" s="94"/>
      <c r="BF296" s="94"/>
      <c r="BG296" s="94"/>
      <c r="BH296" s="94"/>
      <c r="BI296" s="94"/>
      <c r="BJ296" s="94"/>
      <c r="BK296" s="94"/>
      <c r="BL296" s="94"/>
      <c r="BM296" s="94"/>
      <c r="BN296" s="94"/>
      <c r="BO296" s="94">
        <f>IF(ISNUMBER(BE296),BE296,0)+IF(ISNUMBER(BJ296),BJ296,0)</f>
        <v>0</v>
      </c>
      <c r="BP296" s="94"/>
      <c r="BQ296" s="94"/>
      <c r="BR296" s="94"/>
      <c r="BS296" s="94"/>
      <c r="CA296" s="5" t="s">
        <v>45</v>
      </c>
    </row>
    <row r="298" spans="1:79" ht="13.5" customHeight="1" x14ac:dyDescent="0.2">
      <c r="A298" s="28" t="s">
        <v>313</v>
      </c>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row>
    <row r="299" spans="1:79" ht="15" customHeight="1" x14ac:dyDescent="0.2">
      <c r="A299" s="65" t="s">
        <v>280</v>
      </c>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c r="AJ299" s="65"/>
      <c r="AK299" s="65"/>
      <c r="AL299" s="65"/>
      <c r="AM299" s="65"/>
      <c r="AN299" s="65"/>
      <c r="AO299" s="65"/>
      <c r="AP299" s="65"/>
      <c r="AQ299" s="65"/>
      <c r="AR299" s="65"/>
      <c r="AS299" s="65"/>
      <c r="AT299" s="65"/>
      <c r="AU299" s="65"/>
      <c r="AV299" s="65"/>
      <c r="AW299" s="65"/>
      <c r="AX299" s="65"/>
      <c r="AY299" s="65"/>
      <c r="AZ299" s="65"/>
      <c r="BA299" s="65"/>
      <c r="BB299" s="65"/>
      <c r="BC299" s="65"/>
      <c r="BD299" s="65"/>
    </row>
    <row r="300" spans="1:79" ht="15" customHeight="1" x14ac:dyDescent="0.2">
      <c r="A300" s="48" t="s">
        <v>6</v>
      </c>
      <c r="B300" s="48"/>
      <c r="C300" s="48"/>
      <c r="D300" s="48"/>
      <c r="E300" s="48"/>
      <c r="F300" s="48"/>
      <c r="G300" s="48" t="s">
        <v>126</v>
      </c>
      <c r="H300" s="48"/>
      <c r="I300" s="48"/>
      <c r="J300" s="48"/>
      <c r="K300" s="48"/>
      <c r="L300" s="48"/>
      <c r="M300" s="48"/>
      <c r="N300" s="48"/>
      <c r="O300" s="48"/>
      <c r="P300" s="48"/>
      <c r="Q300" s="48"/>
      <c r="R300" s="48"/>
      <c r="S300" s="48"/>
      <c r="T300" s="48" t="s">
        <v>13</v>
      </c>
      <c r="U300" s="48"/>
      <c r="V300" s="48"/>
      <c r="W300" s="48"/>
      <c r="X300" s="48"/>
      <c r="Y300" s="48"/>
      <c r="Z300" s="48"/>
      <c r="AA300" s="35" t="s">
        <v>302</v>
      </c>
      <c r="AB300" s="102"/>
      <c r="AC300" s="102"/>
      <c r="AD300" s="102"/>
      <c r="AE300" s="102"/>
      <c r="AF300" s="102"/>
      <c r="AG300" s="102"/>
      <c r="AH300" s="102"/>
      <c r="AI300" s="102"/>
      <c r="AJ300" s="102"/>
      <c r="AK300" s="102"/>
      <c r="AL300" s="102"/>
      <c r="AM300" s="102"/>
      <c r="AN300" s="102"/>
      <c r="AO300" s="103"/>
      <c r="AP300" s="35" t="s">
        <v>307</v>
      </c>
      <c r="AQ300" s="36"/>
      <c r="AR300" s="36"/>
      <c r="AS300" s="36"/>
      <c r="AT300" s="36"/>
      <c r="AU300" s="36"/>
      <c r="AV300" s="36"/>
      <c r="AW300" s="36"/>
      <c r="AX300" s="36"/>
      <c r="AY300" s="36"/>
      <c r="AZ300" s="36"/>
      <c r="BA300" s="36"/>
      <c r="BB300" s="36"/>
      <c r="BC300" s="36"/>
      <c r="BD300" s="37"/>
    </row>
    <row r="301" spans="1:79" ht="32.1" customHeight="1" x14ac:dyDescent="0.2">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t="s">
        <v>4</v>
      </c>
      <c r="AB301" s="48"/>
      <c r="AC301" s="48"/>
      <c r="AD301" s="48"/>
      <c r="AE301" s="48"/>
      <c r="AF301" s="48" t="s">
        <v>3</v>
      </c>
      <c r="AG301" s="48"/>
      <c r="AH301" s="48"/>
      <c r="AI301" s="48"/>
      <c r="AJ301" s="48"/>
      <c r="AK301" s="48" t="s">
        <v>89</v>
      </c>
      <c r="AL301" s="48"/>
      <c r="AM301" s="48"/>
      <c r="AN301" s="48"/>
      <c r="AO301" s="48"/>
      <c r="AP301" s="48" t="s">
        <v>4</v>
      </c>
      <c r="AQ301" s="48"/>
      <c r="AR301" s="48"/>
      <c r="AS301" s="48"/>
      <c r="AT301" s="48"/>
      <c r="AU301" s="48" t="s">
        <v>3</v>
      </c>
      <c r="AV301" s="48"/>
      <c r="AW301" s="48"/>
      <c r="AX301" s="48"/>
      <c r="AY301" s="48"/>
      <c r="AZ301" s="48" t="s">
        <v>96</v>
      </c>
      <c r="BA301" s="48"/>
      <c r="BB301" s="48"/>
      <c r="BC301" s="48"/>
      <c r="BD301" s="48"/>
    </row>
    <row r="302" spans="1:79" ht="15" customHeight="1" x14ac:dyDescent="0.2">
      <c r="A302" s="48">
        <v>1</v>
      </c>
      <c r="B302" s="48"/>
      <c r="C302" s="48"/>
      <c r="D302" s="48"/>
      <c r="E302" s="48"/>
      <c r="F302" s="48"/>
      <c r="G302" s="48">
        <v>2</v>
      </c>
      <c r="H302" s="48"/>
      <c r="I302" s="48"/>
      <c r="J302" s="48"/>
      <c r="K302" s="48"/>
      <c r="L302" s="48"/>
      <c r="M302" s="48"/>
      <c r="N302" s="48"/>
      <c r="O302" s="48"/>
      <c r="P302" s="48"/>
      <c r="Q302" s="48"/>
      <c r="R302" s="48"/>
      <c r="S302" s="48"/>
      <c r="T302" s="48">
        <v>3</v>
      </c>
      <c r="U302" s="48"/>
      <c r="V302" s="48"/>
      <c r="W302" s="48"/>
      <c r="X302" s="48"/>
      <c r="Y302" s="48"/>
      <c r="Z302" s="48"/>
      <c r="AA302" s="48">
        <v>4</v>
      </c>
      <c r="AB302" s="48"/>
      <c r="AC302" s="48"/>
      <c r="AD302" s="48"/>
      <c r="AE302" s="48"/>
      <c r="AF302" s="48">
        <v>5</v>
      </c>
      <c r="AG302" s="48"/>
      <c r="AH302" s="48"/>
      <c r="AI302" s="48"/>
      <c r="AJ302" s="48"/>
      <c r="AK302" s="48">
        <v>6</v>
      </c>
      <c r="AL302" s="48"/>
      <c r="AM302" s="48"/>
      <c r="AN302" s="48"/>
      <c r="AO302" s="48"/>
      <c r="AP302" s="48">
        <v>7</v>
      </c>
      <c r="AQ302" s="48"/>
      <c r="AR302" s="48"/>
      <c r="AS302" s="48"/>
      <c r="AT302" s="48"/>
      <c r="AU302" s="48">
        <v>8</v>
      </c>
      <c r="AV302" s="48"/>
      <c r="AW302" s="48"/>
      <c r="AX302" s="48"/>
      <c r="AY302" s="48"/>
      <c r="AZ302" s="48">
        <v>9</v>
      </c>
      <c r="BA302" s="48"/>
      <c r="BB302" s="48"/>
      <c r="BC302" s="48"/>
      <c r="BD302" s="48"/>
    </row>
    <row r="303" spans="1:79" s="1" customFormat="1" ht="12" hidden="1" customHeight="1" x14ac:dyDescent="0.2">
      <c r="A303" s="66" t="s">
        <v>69</v>
      </c>
      <c r="B303" s="66"/>
      <c r="C303" s="66"/>
      <c r="D303" s="66"/>
      <c r="E303" s="66"/>
      <c r="F303" s="66"/>
      <c r="G303" s="104" t="s">
        <v>57</v>
      </c>
      <c r="H303" s="104"/>
      <c r="I303" s="104"/>
      <c r="J303" s="104"/>
      <c r="K303" s="104"/>
      <c r="L303" s="104"/>
      <c r="M303" s="104"/>
      <c r="N303" s="104"/>
      <c r="O303" s="104"/>
      <c r="P303" s="104"/>
      <c r="Q303" s="104"/>
      <c r="R303" s="104"/>
      <c r="S303" s="104"/>
      <c r="T303" s="104" t="s">
        <v>79</v>
      </c>
      <c r="U303" s="104"/>
      <c r="V303" s="104"/>
      <c r="W303" s="104"/>
      <c r="X303" s="104"/>
      <c r="Y303" s="104"/>
      <c r="Z303" s="104"/>
      <c r="AA303" s="90" t="s">
        <v>60</v>
      </c>
      <c r="AB303" s="90"/>
      <c r="AC303" s="90"/>
      <c r="AD303" s="90"/>
      <c r="AE303" s="90"/>
      <c r="AF303" s="90" t="s">
        <v>61</v>
      </c>
      <c r="AG303" s="90"/>
      <c r="AH303" s="90"/>
      <c r="AI303" s="90"/>
      <c r="AJ303" s="90"/>
      <c r="AK303" s="73" t="s">
        <v>122</v>
      </c>
      <c r="AL303" s="73"/>
      <c r="AM303" s="73"/>
      <c r="AN303" s="73"/>
      <c r="AO303" s="73"/>
      <c r="AP303" s="90" t="s">
        <v>62</v>
      </c>
      <c r="AQ303" s="90"/>
      <c r="AR303" s="90"/>
      <c r="AS303" s="90"/>
      <c r="AT303" s="90"/>
      <c r="AU303" s="90" t="s">
        <v>63</v>
      </c>
      <c r="AV303" s="90"/>
      <c r="AW303" s="90"/>
      <c r="AX303" s="90"/>
      <c r="AY303" s="90"/>
      <c r="AZ303" s="73" t="s">
        <v>122</v>
      </c>
      <c r="BA303" s="73"/>
      <c r="BB303" s="73"/>
      <c r="BC303" s="73"/>
      <c r="BD303" s="73"/>
      <c r="CA303" s="1" t="s">
        <v>46</v>
      </c>
    </row>
    <row r="304" spans="1:79" s="5" customFormat="1" x14ac:dyDescent="0.2">
      <c r="A304" s="105"/>
      <c r="B304" s="105"/>
      <c r="C304" s="105"/>
      <c r="D304" s="105"/>
      <c r="E304" s="105"/>
      <c r="F304" s="105"/>
      <c r="G304" s="106" t="s">
        <v>147</v>
      </c>
      <c r="H304" s="106"/>
      <c r="I304" s="106"/>
      <c r="J304" s="106"/>
      <c r="K304" s="106"/>
      <c r="L304" s="106"/>
      <c r="M304" s="106"/>
      <c r="N304" s="106"/>
      <c r="O304" s="106"/>
      <c r="P304" s="106"/>
      <c r="Q304" s="106"/>
      <c r="R304" s="106"/>
      <c r="S304" s="106"/>
      <c r="T304" s="107"/>
      <c r="U304" s="107"/>
      <c r="V304" s="107"/>
      <c r="W304" s="107"/>
      <c r="X304" s="107"/>
      <c r="Y304" s="107"/>
      <c r="Z304" s="107"/>
      <c r="AA304" s="94"/>
      <c r="AB304" s="94"/>
      <c r="AC304" s="94"/>
      <c r="AD304" s="94"/>
      <c r="AE304" s="94"/>
      <c r="AF304" s="94"/>
      <c r="AG304" s="94"/>
      <c r="AH304" s="94"/>
      <c r="AI304" s="94"/>
      <c r="AJ304" s="94"/>
      <c r="AK304" s="94">
        <f>IF(ISNUMBER(AA304),AA304,0)+IF(ISNUMBER(AF304),AF304,0)</f>
        <v>0</v>
      </c>
      <c r="AL304" s="94"/>
      <c r="AM304" s="94"/>
      <c r="AN304" s="94"/>
      <c r="AO304" s="94"/>
      <c r="AP304" s="94"/>
      <c r="AQ304" s="94"/>
      <c r="AR304" s="94"/>
      <c r="AS304" s="94"/>
      <c r="AT304" s="94"/>
      <c r="AU304" s="94"/>
      <c r="AV304" s="94"/>
      <c r="AW304" s="94"/>
      <c r="AX304" s="94"/>
      <c r="AY304" s="94"/>
      <c r="AZ304" s="94">
        <f>IF(ISNUMBER(AP304),AP304,0)+IF(ISNUMBER(AU304),AU304,0)</f>
        <v>0</v>
      </c>
      <c r="BA304" s="94"/>
      <c r="BB304" s="94"/>
      <c r="BC304" s="94"/>
      <c r="BD304" s="94"/>
      <c r="CA304" s="5" t="s">
        <v>47</v>
      </c>
    </row>
    <row r="306" spans="1:79" ht="14.25" customHeight="1" x14ac:dyDescent="0.2">
      <c r="A306" s="28" t="s">
        <v>314</v>
      </c>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row>
    <row r="307" spans="1:79" ht="15" customHeight="1" x14ac:dyDescent="0.2">
      <c r="A307" s="65" t="s">
        <v>280</v>
      </c>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c r="BJ307" s="41"/>
      <c r="BK307" s="41"/>
      <c r="BL307" s="41"/>
      <c r="BM307" s="41"/>
    </row>
    <row r="308" spans="1:79" ht="23.1" customHeight="1" x14ac:dyDescent="0.2">
      <c r="A308" s="48" t="s">
        <v>128</v>
      </c>
      <c r="B308" s="48"/>
      <c r="C308" s="48"/>
      <c r="D308" s="48"/>
      <c r="E308" s="48"/>
      <c r="F308" s="48"/>
      <c r="G308" s="48"/>
      <c r="H308" s="48"/>
      <c r="I308" s="48"/>
      <c r="J308" s="48"/>
      <c r="K308" s="48"/>
      <c r="L308" s="48"/>
      <c r="M308" s="48"/>
      <c r="N308" s="42" t="s">
        <v>129</v>
      </c>
      <c r="O308" s="43"/>
      <c r="P308" s="43"/>
      <c r="Q308" s="43"/>
      <c r="R308" s="43"/>
      <c r="S308" s="43"/>
      <c r="T308" s="43"/>
      <c r="U308" s="44"/>
      <c r="V308" s="42" t="s">
        <v>130</v>
      </c>
      <c r="W308" s="43"/>
      <c r="X308" s="43"/>
      <c r="Y308" s="43"/>
      <c r="Z308" s="44"/>
      <c r="AA308" s="48" t="s">
        <v>281</v>
      </c>
      <c r="AB308" s="48"/>
      <c r="AC308" s="48"/>
      <c r="AD308" s="48"/>
      <c r="AE308" s="48"/>
      <c r="AF308" s="48"/>
      <c r="AG308" s="48"/>
      <c r="AH308" s="48"/>
      <c r="AI308" s="48"/>
      <c r="AJ308" s="48" t="s">
        <v>284</v>
      </c>
      <c r="AK308" s="48"/>
      <c r="AL308" s="48"/>
      <c r="AM308" s="48"/>
      <c r="AN308" s="48"/>
      <c r="AO308" s="48"/>
      <c r="AP308" s="48"/>
      <c r="AQ308" s="48"/>
      <c r="AR308" s="48"/>
      <c r="AS308" s="48" t="s">
        <v>292</v>
      </c>
      <c r="AT308" s="48"/>
      <c r="AU308" s="48"/>
      <c r="AV308" s="48"/>
      <c r="AW308" s="48"/>
      <c r="AX308" s="48"/>
      <c r="AY308" s="48"/>
      <c r="AZ308" s="48"/>
      <c r="BA308" s="48"/>
      <c r="BB308" s="48" t="s">
        <v>302</v>
      </c>
      <c r="BC308" s="48"/>
      <c r="BD308" s="48"/>
      <c r="BE308" s="48"/>
      <c r="BF308" s="48"/>
      <c r="BG308" s="48"/>
      <c r="BH308" s="48"/>
      <c r="BI308" s="48"/>
      <c r="BJ308" s="48"/>
      <c r="BK308" s="48" t="s">
        <v>307</v>
      </c>
      <c r="BL308" s="48"/>
      <c r="BM308" s="48"/>
      <c r="BN308" s="48"/>
      <c r="BO308" s="48"/>
      <c r="BP308" s="48"/>
      <c r="BQ308" s="48"/>
      <c r="BR308" s="48"/>
      <c r="BS308" s="48"/>
    </row>
    <row r="309" spans="1:79" ht="95.25" customHeight="1" x14ac:dyDescent="0.2">
      <c r="A309" s="48"/>
      <c r="B309" s="48"/>
      <c r="C309" s="48"/>
      <c r="D309" s="48"/>
      <c r="E309" s="48"/>
      <c r="F309" s="48"/>
      <c r="G309" s="48"/>
      <c r="H309" s="48"/>
      <c r="I309" s="48"/>
      <c r="J309" s="48"/>
      <c r="K309" s="48"/>
      <c r="L309" s="48"/>
      <c r="M309" s="48"/>
      <c r="N309" s="45"/>
      <c r="O309" s="46"/>
      <c r="P309" s="46"/>
      <c r="Q309" s="46"/>
      <c r="R309" s="46"/>
      <c r="S309" s="46"/>
      <c r="T309" s="46"/>
      <c r="U309" s="47"/>
      <c r="V309" s="45"/>
      <c r="W309" s="46"/>
      <c r="X309" s="46"/>
      <c r="Y309" s="46"/>
      <c r="Z309" s="47"/>
      <c r="AA309" s="83" t="s">
        <v>133</v>
      </c>
      <c r="AB309" s="83"/>
      <c r="AC309" s="83"/>
      <c r="AD309" s="83"/>
      <c r="AE309" s="83"/>
      <c r="AF309" s="83" t="s">
        <v>134</v>
      </c>
      <c r="AG309" s="83"/>
      <c r="AH309" s="83"/>
      <c r="AI309" s="83"/>
      <c r="AJ309" s="83" t="s">
        <v>133</v>
      </c>
      <c r="AK309" s="83"/>
      <c r="AL309" s="83"/>
      <c r="AM309" s="83"/>
      <c r="AN309" s="83"/>
      <c r="AO309" s="83" t="s">
        <v>134</v>
      </c>
      <c r="AP309" s="83"/>
      <c r="AQ309" s="83"/>
      <c r="AR309" s="83"/>
      <c r="AS309" s="83" t="s">
        <v>133</v>
      </c>
      <c r="AT309" s="83"/>
      <c r="AU309" s="83"/>
      <c r="AV309" s="83"/>
      <c r="AW309" s="83"/>
      <c r="AX309" s="83" t="s">
        <v>134</v>
      </c>
      <c r="AY309" s="83"/>
      <c r="AZ309" s="83"/>
      <c r="BA309" s="83"/>
      <c r="BB309" s="83" t="s">
        <v>133</v>
      </c>
      <c r="BC309" s="83"/>
      <c r="BD309" s="83"/>
      <c r="BE309" s="83"/>
      <c r="BF309" s="83"/>
      <c r="BG309" s="83" t="s">
        <v>134</v>
      </c>
      <c r="BH309" s="83"/>
      <c r="BI309" s="83"/>
      <c r="BJ309" s="83"/>
      <c r="BK309" s="83" t="s">
        <v>133</v>
      </c>
      <c r="BL309" s="83"/>
      <c r="BM309" s="83"/>
      <c r="BN309" s="83"/>
      <c r="BO309" s="83"/>
      <c r="BP309" s="83" t="s">
        <v>134</v>
      </c>
      <c r="BQ309" s="83"/>
      <c r="BR309" s="83"/>
      <c r="BS309" s="83"/>
    </row>
    <row r="310" spans="1:79" ht="15" customHeight="1" x14ac:dyDescent="0.2">
      <c r="A310" s="48">
        <v>1</v>
      </c>
      <c r="B310" s="48"/>
      <c r="C310" s="48"/>
      <c r="D310" s="48"/>
      <c r="E310" s="48"/>
      <c r="F310" s="48"/>
      <c r="G310" s="48"/>
      <c r="H310" s="48"/>
      <c r="I310" s="48"/>
      <c r="J310" s="48"/>
      <c r="K310" s="48"/>
      <c r="L310" s="48"/>
      <c r="M310" s="48"/>
      <c r="N310" s="35">
        <v>2</v>
      </c>
      <c r="O310" s="36"/>
      <c r="P310" s="36"/>
      <c r="Q310" s="36"/>
      <c r="R310" s="36"/>
      <c r="S310" s="36"/>
      <c r="T310" s="36"/>
      <c r="U310" s="37"/>
      <c r="V310" s="48">
        <v>3</v>
      </c>
      <c r="W310" s="48"/>
      <c r="X310" s="48"/>
      <c r="Y310" s="48"/>
      <c r="Z310" s="48"/>
      <c r="AA310" s="48">
        <v>4</v>
      </c>
      <c r="AB310" s="48"/>
      <c r="AC310" s="48"/>
      <c r="AD310" s="48"/>
      <c r="AE310" s="48"/>
      <c r="AF310" s="48">
        <v>5</v>
      </c>
      <c r="AG310" s="48"/>
      <c r="AH310" s="48"/>
      <c r="AI310" s="48"/>
      <c r="AJ310" s="48">
        <v>6</v>
      </c>
      <c r="AK310" s="48"/>
      <c r="AL310" s="48"/>
      <c r="AM310" s="48"/>
      <c r="AN310" s="48"/>
      <c r="AO310" s="48">
        <v>7</v>
      </c>
      <c r="AP310" s="48"/>
      <c r="AQ310" s="48"/>
      <c r="AR310" s="48"/>
      <c r="AS310" s="48">
        <v>8</v>
      </c>
      <c r="AT310" s="48"/>
      <c r="AU310" s="48"/>
      <c r="AV310" s="48"/>
      <c r="AW310" s="48"/>
      <c r="AX310" s="48">
        <v>9</v>
      </c>
      <c r="AY310" s="48"/>
      <c r="AZ310" s="48"/>
      <c r="BA310" s="48"/>
      <c r="BB310" s="48">
        <v>10</v>
      </c>
      <c r="BC310" s="48"/>
      <c r="BD310" s="48"/>
      <c r="BE310" s="48"/>
      <c r="BF310" s="48"/>
      <c r="BG310" s="48">
        <v>11</v>
      </c>
      <c r="BH310" s="48"/>
      <c r="BI310" s="48"/>
      <c r="BJ310" s="48"/>
      <c r="BK310" s="48">
        <v>12</v>
      </c>
      <c r="BL310" s="48"/>
      <c r="BM310" s="48"/>
      <c r="BN310" s="48"/>
      <c r="BO310" s="48"/>
      <c r="BP310" s="48">
        <v>13</v>
      </c>
      <c r="BQ310" s="48"/>
      <c r="BR310" s="48"/>
      <c r="BS310" s="48"/>
    </row>
    <row r="311" spans="1:79" s="1" customFormat="1" ht="12" hidden="1" customHeight="1" x14ac:dyDescent="0.2">
      <c r="A311" s="104" t="s">
        <v>146</v>
      </c>
      <c r="B311" s="104"/>
      <c r="C311" s="104"/>
      <c r="D311" s="104"/>
      <c r="E311" s="104"/>
      <c r="F311" s="104"/>
      <c r="G311" s="104"/>
      <c r="H311" s="104"/>
      <c r="I311" s="104"/>
      <c r="J311" s="104"/>
      <c r="K311" s="104"/>
      <c r="L311" s="104"/>
      <c r="M311" s="104"/>
      <c r="N311" s="66" t="s">
        <v>131</v>
      </c>
      <c r="O311" s="66"/>
      <c r="P311" s="66"/>
      <c r="Q311" s="66"/>
      <c r="R311" s="66"/>
      <c r="S311" s="66"/>
      <c r="T311" s="66"/>
      <c r="U311" s="66"/>
      <c r="V311" s="66" t="s">
        <v>132</v>
      </c>
      <c r="W311" s="66"/>
      <c r="X311" s="66"/>
      <c r="Y311" s="66"/>
      <c r="Z311" s="66"/>
      <c r="AA311" s="90" t="s">
        <v>65</v>
      </c>
      <c r="AB311" s="90"/>
      <c r="AC311" s="90"/>
      <c r="AD311" s="90"/>
      <c r="AE311" s="90"/>
      <c r="AF311" s="90" t="s">
        <v>66</v>
      </c>
      <c r="AG311" s="90"/>
      <c r="AH311" s="90"/>
      <c r="AI311" s="90"/>
      <c r="AJ311" s="90" t="s">
        <v>67</v>
      </c>
      <c r="AK311" s="90"/>
      <c r="AL311" s="90"/>
      <c r="AM311" s="90"/>
      <c r="AN311" s="90"/>
      <c r="AO311" s="90" t="s">
        <v>68</v>
      </c>
      <c r="AP311" s="90"/>
      <c r="AQ311" s="90"/>
      <c r="AR311" s="90"/>
      <c r="AS311" s="90" t="s">
        <v>58</v>
      </c>
      <c r="AT311" s="90"/>
      <c r="AU311" s="90"/>
      <c r="AV311" s="90"/>
      <c r="AW311" s="90"/>
      <c r="AX311" s="90" t="s">
        <v>59</v>
      </c>
      <c r="AY311" s="90"/>
      <c r="AZ311" s="90"/>
      <c r="BA311" s="90"/>
      <c r="BB311" s="90" t="s">
        <v>60</v>
      </c>
      <c r="BC311" s="90"/>
      <c r="BD311" s="90"/>
      <c r="BE311" s="90"/>
      <c r="BF311" s="90"/>
      <c r="BG311" s="90" t="s">
        <v>61</v>
      </c>
      <c r="BH311" s="90"/>
      <c r="BI311" s="90"/>
      <c r="BJ311" s="90"/>
      <c r="BK311" s="90" t="s">
        <v>62</v>
      </c>
      <c r="BL311" s="90"/>
      <c r="BM311" s="90"/>
      <c r="BN311" s="90"/>
      <c r="BO311" s="90"/>
      <c r="BP311" s="90" t="s">
        <v>63</v>
      </c>
      <c r="BQ311" s="90"/>
      <c r="BR311" s="90"/>
      <c r="BS311" s="90"/>
      <c r="CA311" s="1" t="s">
        <v>48</v>
      </c>
    </row>
    <row r="312" spans="1:79" s="5" customFormat="1" ht="12.75" customHeight="1" x14ac:dyDescent="0.2">
      <c r="A312" s="106" t="s">
        <v>147</v>
      </c>
      <c r="B312" s="106"/>
      <c r="C312" s="106"/>
      <c r="D312" s="106"/>
      <c r="E312" s="106"/>
      <c r="F312" s="106"/>
      <c r="G312" s="106"/>
      <c r="H312" s="106"/>
      <c r="I312" s="106"/>
      <c r="J312" s="106"/>
      <c r="K312" s="106"/>
      <c r="L312" s="106"/>
      <c r="M312" s="106"/>
      <c r="N312" s="77"/>
      <c r="O312" s="78"/>
      <c r="P312" s="78"/>
      <c r="Q312" s="78"/>
      <c r="R312" s="78"/>
      <c r="S312" s="78"/>
      <c r="T312" s="78"/>
      <c r="U312" s="79"/>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12"/>
      <c r="BL312" s="112"/>
      <c r="BM312" s="112"/>
      <c r="BN312" s="112"/>
      <c r="BO312" s="112"/>
      <c r="BP312" s="108"/>
      <c r="BQ312" s="109"/>
      <c r="BR312" s="109"/>
      <c r="BS312" s="110"/>
      <c r="CA312" s="5" t="s">
        <v>49</v>
      </c>
    </row>
    <row r="314" spans="1:79" ht="35.25" customHeight="1" x14ac:dyDescent="0.2">
      <c r="A314" s="28" t="s">
        <v>315</v>
      </c>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row>
    <row r="315" spans="1:79" ht="105" customHeight="1" x14ac:dyDescent="0.2">
      <c r="A315" s="29" t="s">
        <v>274</v>
      </c>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row>
    <row r="317" spans="1:79" ht="21.75" customHeight="1" x14ac:dyDescent="0.2">
      <c r="A317" s="111" t="s">
        <v>299</v>
      </c>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row>
    <row r="318" spans="1:79" ht="14.25" customHeight="1" x14ac:dyDescent="0.2">
      <c r="A318" s="28" t="s">
        <v>282</v>
      </c>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row>
    <row r="319" spans="1:79" ht="15" customHeight="1" x14ac:dyDescent="0.2">
      <c r="A319" s="41" t="s">
        <v>280</v>
      </c>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row>
    <row r="320" spans="1:79" ht="42.95" customHeight="1" x14ac:dyDescent="0.2">
      <c r="A320" s="83" t="s">
        <v>135</v>
      </c>
      <c r="B320" s="83"/>
      <c r="C320" s="83"/>
      <c r="D320" s="83"/>
      <c r="E320" s="83"/>
      <c r="F320" s="83"/>
      <c r="G320" s="48" t="s">
        <v>19</v>
      </c>
      <c r="H320" s="48"/>
      <c r="I320" s="48"/>
      <c r="J320" s="48"/>
      <c r="K320" s="48"/>
      <c r="L320" s="48"/>
      <c r="M320" s="48"/>
      <c r="N320" s="48"/>
      <c r="O320" s="48"/>
      <c r="P320" s="48"/>
      <c r="Q320" s="48"/>
      <c r="R320" s="48"/>
      <c r="S320" s="48"/>
      <c r="T320" s="48" t="s">
        <v>15</v>
      </c>
      <c r="U320" s="48"/>
      <c r="V320" s="48"/>
      <c r="W320" s="48"/>
      <c r="X320" s="48"/>
      <c r="Y320" s="48"/>
      <c r="Z320" s="48" t="s">
        <v>14</v>
      </c>
      <c r="AA320" s="48"/>
      <c r="AB320" s="48"/>
      <c r="AC320" s="48"/>
      <c r="AD320" s="48"/>
      <c r="AE320" s="48" t="s">
        <v>136</v>
      </c>
      <c r="AF320" s="48"/>
      <c r="AG320" s="48"/>
      <c r="AH320" s="48"/>
      <c r="AI320" s="48"/>
      <c r="AJ320" s="48"/>
      <c r="AK320" s="48" t="s">
        <v>137</v>
      </c>
      <c r="AL320" s="48"/>
      <c r="AM320" s="48"/>
      <c r="AN320" s="48"/>
      <c r="AO320" s="48"/>
      <c r="AP320" s="48"/>
      <c r="AQ320" s="48" t="s">
        <v>138</v>
      </c>
      <c r="AR320" s="48"/>
      <c r="AS320" s="48"/>
      <c r="AT320" s="48"/>
      <c r="AU320" s="48"/>
      <c r="AV320" s="48"/>
      <c r="AW320" s="48" t="s">
        <v>98</v>
      </c>
      <c r="AX320" s="48"/>
      <c r="AY320" s="48"/>
      <c r="AZ320" s="48"/>
      <c r="BA320" s="48"/>
      <c r="BB320" s="48"/>
      <c r="BC320" s="48"/>
      <c r="BD320" s="48"/>
      <c r="BE320" s="48"/>
      <c r="BF320" s="48"/>
      <c r="BG320" s="48" t="s">
        <v>139</v>
      </c>
      <c r="BH320" s="48"/>
      <c r="BI320" s="48"/>
      <c r="BJ320" s="48"/>
      <c r="BK320" s="48"/>
      <c r="BL320" s="48"/>
    </row>
    <row r="321" spans="1:79" ht="39.950000000000003" customHeight="1" x14ac:dyDescent="0.2">
      <c r="A321" s="83"/>
      <c r="B321" s="83"/>
      <c r="C321" s="83"/>
      <c r="D321" s="83"/>
      <c r="E321" s="83"/>
      <c r="F321" s="83"/>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t="s">
        <v>17</v>
      </c>
      <c r="AX321" s="48"/>
      <c r="AY321" s="48"/>
      <c r="AZ321" s="48"/>
      <c r="BA321" s="48"/>
      <c r="BB321" s="48" t="s">
        <v>16</v>
      </c>
      <c r="BC321" s="48"/>
      <c r="BD321" s="48"/>
      <c r="BE321" s="48"/>
      <c r="BF321" s="48"/>
      <c r="BG321" s="48"/>
      <c r="BH321" s="48"/>
      <c r="BI321" s="48"/>
      <c r="BJ321" s="48"/>
      <c r="BK321" s="48"/>
      <c r="BL321" s="48"/>
    </row>
    <row r="322" spans="1:79" ht="15" customHeight="1" x14ac:dyDescent="0.2">
      <c r="A322" s="48">
        <v>1</v>
      </c>
      <c r="B322" s="48"/>
      <c r="C322" s="48"/>
      <c r="D322" s="48"/>
      <c r="E322" s="48"/>
      <c r="F322" s="48"/>
      <c r="G322" s="48">
        <v>2</v>
      </c>
      <c r="H322" s="48"/>
      <c r="I322" s="48"/>
      <c r="J322" s="48"/>
      <c r="K322" s="48"/>
      <c r="L322" s="48"/>
      <c r="M322" s="48"/>
      <c r="N322" s="48"/>
      <c r="O322" s="48"/>
      <c r="P322" s="48"/>
      <c r="Q322" s="48"/>
      <c r="R322" s="48"/>
      <c r="S322" s="48"/>
      <c r="T322" s="48">
        <v>3</v>
      </c>
      <c r="U322" s="48"/>
      <c r="V322" s="48"/>
      <c r="W322" s="48"/>
      <c r="X322" s="48"/>
      <c r="Y322" s="48"/>
      <c r="Z322" s="48">
        <v>4</v>
      </c>
      <c r="AA322" s="48"/>
      <c r="AB322" s="48"/>
      <c r="AC322" s="48"/>
      <c r="AD322" s="48"/>
      <c r="AE322" s="48">
        <v>5</v>
      </c>
      <c r="AF322" s="48"/>
      <c r="AG322" s="48"/>
      <c r="AH322" s="48"/>
      <c r="AI322" s="48"/>
      <c r="AJ322" s="48"/>
      <c r="AK322" s="48">
        <v>6</v>
      </c>
      <c r="AL322" s="48"/>
      <c r="AM322" s="48"/>
      <c r="AN322" s="48"/>
      <c r="AO322" s="48"/>
      <c r="AP322" s="48"/>
      <c r="AQ322" s="48">
        <v>7</v>
      </c>
      <c r="AR322" s="48"/>
      <c r="AS322" s="48"/>
      <c r="AT322" s="48"/>
      <c r="AU322" s="48"/>
      <c r="AV322" s="48"/>
      <c r="AW322" s="48">
        <v>8</v>
      </c>
      <c r="AX322" s="48"/>
      <c r="AY322" s="48"/>
      <c r="AZ322" s="48"/>
      <c r="BA322" s="48"/>
      <c r="BB322" s="48">
        <v>9</v>
      </c>
      <c r="BC322" s="48"/>
      <c r="BD322" s="48"/>
      <c r="BE322" s="48"/>
      <c r="BF322" s="48"/>
      <c r="BG322" s="48">
        <v>10</v>
      </c>
      <c r="BH322" s="48"/>
      <c r="BI322" s="48"/>
      <c r="BJ322" s="48"/>
      <c r="BK322" s="48"/>
      <c r="BL322" s="48"/>
    </row>
    <row r="323" spans="1:79" s="1" customFormat="1" ht="12" hidden="1" customHeight="1" x14ac:dyDescent="0.2">
      <c r="A323" s="66" t="s">
        <v>64</v>
      </c>
      <c r="B323" s="66"/>
      <c r="C323" s="66"/>
      <c r="D323" s="66"/>
      <c r="E323" s="66"/>
      <c r="F323" s="66"/>
      <c r="G323" s="104" t="s">
        <v>57</v>
      </c>
      <c r="H323" s="104"/>
      <c r="I323" s="104"/>
      <c r="J323" s="104"/>
      <c r="K323" s="104"/>
      <c r="L323" s="104"/>
      <c r="M323" s="104"/>
      <c r="N323" s="104"/>
      <c r="O323" s="104"/>
      <c r="P323" s="104"/>
      <c r="Q323" s="104"/>
      <c r="R323" s="104"/>
      <c r="S323" s="104"/>
      <c r="T323" s="90" t="s">
        <v>80</v>
      </c>
      <c r="U323" s="90"/>
      <c r="V323" s="90"/>
      <c r="W323" s="90"/>
      <c r="X323" s="90"/>
      <c r="Y323" s="90"/>
      <c r="Z323" s="90" t="s">
        <v>81</v>
      </c>
      <c r="AA323" s="90"/>
      <c r="AB323" s="90"/>
      <c r="AC323" s="90"/>
      <c r="AD323" s="90"/>
      <c r="AE323" s="90" t="s">
        <v>82</v>
      </c>
      <c r="AF323" s="90"/>
      <c r="AG323" s="90"/>
      <c r="AH323" s="90"/>
      <c r="AI323" s="90"/>
      <c r="AJ323" s="90"/>
      <c r="AK323" s="90" t="s">
        <v>83</v>
      </c>
      <c r="AL323" s="90"/>
      <c r="AM323" s="90"/>
      <c r="AN323" s="90"/>
      <c r="AO323" s="90"/>
      <c r="AP323" s="90"/>
      <c r="AQ323" s="66" t="s">
        <v>99</v>
      </c>
      <c r="AR323" s="90"/>
      <c r="AS323" s="90"/>
      <c r="AT323" s="90"/>
      <c r="AU323" s="90"/>
      <c r="AV323" s="90"/>
      <c r="AW323" s="90" t="s">
        <v>84</v>
      </c>
      <c r="AX323" s="90"/>
      <c r="AY323" s="90"/>
      <c r="AZ323" s="90"/>
      <c r="BA323" s="90"/>
      <c r="BB323" s="90" t="s">
        <v>85</v>
      </c>
      <c r="BC323" s="90"/>
      <c r="BD323" s="90"/>
      <c r="BE323" s="90"/>
      <c r="BF323" s="90"/>
      <c r="BG323" s="66" t="s">
        <v>100</v>
      </c>
      <c r="BH323" s="90"/>
      <c r="BI323" s="90"/>
      <c r="BJ323" s="90"/>
      <c r="BK323" s="90"/>
      <c r="BL323" s="90"/>
      <c r="CA323" s="1" t="s">
        <v>50</v>
      </c>
    </row>
    <row r="324" spans="1:79" s="4" customFormat="1" ht="12.75" customHeight="1" x14ac:dyDescent="0.2">
      <c r="A324" s="88">
        <v>2111</v>
      </c>
      <c r="B324" s="88"/>
      <c r="C324" s="88"/>
      <c r="D324" s="88"/>
      <c r="E324" s="88"/>
      <c r="F324" s="88"/>
      <c r="G324" s="55" t="s">
        <v>178</v>
      </c>
      <c r="H324" s="56"/>
      <c r="I324" s="56"/>
      <c r="J324" s="56"/>
      <c r="K324" s="56"/>
      <c r="L324" s="56"/>
      <c r="M324" s="56"/>
      <c r="N324" s="56"/>
      <c r="O324" s="56"/>
      <c r="P324" s="56"/>
      <c r="Q324" s="56"/>
      <c r="R324" s="56"/>
      <c r="S324" s="57"/>
      <c r="T324" s="95">
        <v>4967113</v>
      </c>
      <c r="U324" s="95"/>
      <c r="V324" s="95"/>
      <c r="W324" s="95"/>
      <c r="X324" s="95"/>
      <c r="Y324" s="95"/>
      <c r="Z324" s="95">
        <v>4907721</v>
      </c>
      <c r="AA324" s="95"/>
      <c r="AB324" s="95"/>
      <c r="AC324" s="95"/>
      <c r="AD324" s="95"/>
      <c r="AE324" s="95">
        <v>0</v>
      </c>
      <c r="AF324" s="95"/>
      <c r="AG324" s="95"/>
      <c r="AH324" s="95"/>
      <c r="AI324" s="95"/>
      <c r="AJ324" s="95"/>
      <c r="AK324" s="95">
        <v>0</v>
      </c>
      <c r="AL324" s="95"/>
      <c r="AM324" s="95"/>
      <c r="AN324" s="95"/>
      <c r="AO324" s="95"/>
      <c r="AP324" s="95"/>
      <c r="AQ324" s="95">
        <f t="shared" ref="AQ324:AQ334" si="20">IF(ISNUMBER(AK324),AK324,0)-IF(ISNUMBER(AE324),AE324,0)</f>
        <v>0</v>
      </c>
      <c r="AR324" s="95"/>
      <c r="AS324" s="95"/>
      <c r="AT324" s="95"/>
      <c r="AU324" s="95"/>
      <c r="AV324" s="95"/>
      <c r="AW324" s="95">
        <v>0</v>
      </c>
      <c r="AX324" s="95"/>
      <c r="AY324" s="95"/>
      <c r="AZ324" s="95"/>
      <c r="BA324" s="95"/>
      <c r="BB324" s="95">
        <v>0</v>
      </c>
      <c r="BC324" s="95"/>
      <c r="BD324" s="95"/>
      <c r="BE324" s="95"/>
      <c r="BF324" s="95"/>
      <c r="BG324" s="95">
        <f t="shared" ref="BG324:BG334" si="21">IF(ISNUMBER(Z324),Z324,0)+IF(ISNUMBER(AK324),AK324,0)</f>
        <v>4907721</v>
      </c>
      <c r="BH324" s="95"/>
      <c r="BI324" s="95"/>
      <c r="BJ324" s="95"/>
      <c r="BK324" s="95"/>
      <c r="BL324" s="95"/>
      <c r="CA324" s="4" t="s">
        <v>51</v>
      </c>
    </row>
    <row r="325" spans="1:79" s="4" customFormat="1" ht="12.75" customHeight="1" x14ac:dyDescent="0.2">
      <c r="A325" s="88">
        <v>2120</v>
      </c>
      <c r="B325" s="88"/>
      <c r="C325" s="88"/>
      <c r="D325" s="88"/>
      <c r="E325" s="88"/>
      <c r="F325" s="88"/>
      <c r="G325" s="55" t="s">
        <v>179</v>
      </c>
      <c r="H325" s="56"/>
      <c r="I325" s="56"/>
      <c r="J325" s="56"/>
      <c r="K325" s="56"/>
      <c r="L325" s="56"/>
      <c r="M325" s="56"/>
      <c r="N325" s="56"/>
      <c r="O325" s="56"/>
      <c r="P325" s="56"/>
      <c r="Q325" s="56"/>
      <c r="R325" s="56"/>
      <c r="S325" s="57"/>
      <c r="T325" s="95">
        <v>1311545</v>
      </c>
      <c r="U325" s="95"/>
      <c r="V325" s="95"/>
      <c r="W325" s="95"/>
      <c r="X325" s="95"/>
      <c r="Y325" s="95"/>
      <c r="Z325" s="95">
        <v>1268037</v>
      </c>
      <c r="AA325" s="95"/>
      <c r="AB325" s="95"/>
      <c r="AC325" s="95"/>
      <c r="AD325" s="95"/>
      <c r="AE325" s="95">
        <v>0</v>
      </c>
      <c r="AF325" s="95"/>
      <c r="AG325" s="95"/>
      <c r="AH325" s="95"/>
      <c r="AI325" s="95"/>
      <c r="AJ325" s="95"/>
      <c r="AK325" s="95">
        <v>0</v>
      </c>
      <c r="AL325" s="95"/>
      <c r="AM325" s="95"/>
      <c r="AN325" s="95"/>
      <c r="AO325" s="95"/>
      <c r="AP325" s="95"/>
      <c r="AQ325" s="95">
        <f t="shared" si="20"/>
        <v>0</v>
      </c>
      <c r="AR325" s="95"/>
      <c r="AS325" s="95"/>
      <c r="AT325" s="95"/>
      <c r="AU325" s="95"/>
      <c r="AV325" s="95"/>
      <c r="AW325" s="95">
        <v>0</v>
      </c>
      <c r="AX325" s="95"/>
      <c r="AY325" s="95"/>
      <c r="AZ325" s="95"/>
      <c r="BA325" s="95"/>
      <c r="BB325" s="95">
        <v>0</v>
      </c>
      <c r="BC325" s="95"/>
      <c r="BD325" s="95"/>
      <c r="BE325" s="95"/>
      <c r="BF325" s="95"/>
      <c r="BG325" s="95">
        <f t="shared" si="21"/>
        <v>1268037</v>
      </c>
      <c r="BH325" s="95"/>
      <c r="BI325" s="95"/>
      <c r="BJ325" s="95"/>
      <c r="BK325" s="95"/>
      <c r="BL325" s="95"/>
    </row>
    <row r="326" spans="1:79" s="4" customFormat="1" ht="25.5" customHeight="1" x14ac:dyDescent="0.2">
      <c r="A326" s="88">
        <v>2210</v>
      </c>
      <c r="B326" s="88"/>
      <c r="C326" s="88"/>
      <c r="D326" s="88"/>
      <c r="E326" s="88"/>
      <c r="F326" s="88"/>
      <c r="G326" s="55" t="s">
        <v>180</v>
      </c>
      <c r="H326" s="56"/>
      <c r="I326" s="56"/>
      <c r="J326" s="56"/>
      <c r="K326" s="56"/>
      <c r="L326" s="56"/>
      <c r="M326" s="56"/>
      <c r="N326" s="56"/>
      <c r="O326" s="56"/>
      <c r="P326" s="56"/>
      <c r="Q326" s="56"/>
      <c r="R326" s="56"/>
      <c r="S326" s="57"/>
      <c r="T326" s="95">
        <v>440089</v>
      </c>
      <c r="U326" s="95"/>
      <c r="V326" s="95"/>
      <c r="W326" s="95"/>
      <c r="X326" s="95"/>
      <c r="Y326" s="95"/>
      <c r="Z326" s="95">
        <v>417811</v>
      </c>
      <c r="AA326" s="95"/>
      <c r="AB326" s="95"/>
      <c r="AC326" s="95"/>
      <c r="AD326" s="95"/>
      <c r="AE326" s="95">
        <v>0</v>
      </c>
      <c r="AF326" s="95"/>
      <c r="AG326" s="95"/>
      <c r="AH326" s="95"/>
      <c r="AI326" s="95"/>
      <c r="AJ326" s="95"/>
      <c r="AK326" s="95">
        <v>0</v>
      </c>
      <c r="AL326" s="95"/>
      <c r="AM326" s="95"/>
      <c r="AN326" s="95"/>
      <c r="AO326" s="95"/>
      <c r="AP326" s="95"/>
      <c r="AQ326" s="95">
        <f t="shared" si="20"/>
        <v>0</v>
      </c>
      <c r="AR326" s="95"/>
      <c r="AS326" s="95"/>
      <c r="AT326" s="95"/>
      <c r="AU326" s="95"/>
      <c r="AV326" s="95"/>
      <c r="AW326" s="95">
        <v>0</v>
      </c>
      <c r="AX326" s="95"/>
      <c r="AY326" s="95"/>
      <c r="AZ326" s="95"/>
      <c r="BA326" s="95"/>
      <c r="BB326" s="95">
        <v>0</v>
      </c>
      <c r="BC326" s="95"/>
      <c r="BD326" s="95"/>
      <c r="BE326" s="95"/>
      <c r="BF326" s="95"/>
      <c r="BG326" s="95">
        <f t="shared" si="21"/>
        <v>417811</v>
      </c>
      <c r="BH326" s="95"/>
      <c r="BI326" s="95"/>
      <c r="BJ326" s="95"/>
      <c r="BK326" s="95"/>
      <c r="BL326" s="95"/>
    </row>
    <row r="327" spans="1:79" s="4" customFormat="1" ht="12.75" customHeight="1" x14ac:dyDescent="0.2">
      <c r="A327" s="88">
        <v>2240</v>
      </c>
      <c r="B327" s="88"/>
      <c r="C327" s="88"/>
      <c r="D327" s="88"/>
      <c r="E327" s="88"/>
      <c r="F327" s="88"/>
      <c r="G327" s="55" t="s">
        <v>182</v>
      </c>
      <c r="H327" s="56"/>
      <c r="I327" s="56"/>
      <c r="J327" s="56"/>
      <c r="K327" s="56"/>
      <c r="L327" s="56"/>
      <c r="M327" s="56"/>
      <c r="N327" s="56"/>
      <c r="O327" s="56"/>
      <c r="P327" s="56"/>
      <c r="Q327" s="56"/>
      <c r="R327" s="56"/>
      <c r="S327" s="57"/>
      <c r="T327" s="95">
        <v>6176400</v>
      </c>
      <c r="U327" s="95"/>
      <c r="V327" s="95"/>
      <c r="W327" s="95"/>
      <c r="X327" s="95"/>
      <c r="Y327" s="95"/>
      <c r="Z327" s="95">
        <v>5323612</v>
      </c>
      <c r="AA327" s="95"/>
      <c r="AB327" s="95"/>
      <c r="AC327" s="95"/>
      <c r="AD327" s="95"/>
      <c r="AE327" s="95">
        <v>0</v>
      </c>
      <c r="AF327" s="95"/>
      <c r="AG327" s="95"/>
      <c r="AH327" s="95"/>
      <c r="AI327" s="95"/>
      <c r="AJ327" s="95"/>
      <c r="AK327" s="95">
        <v>0</v>
      </c>
      <c r="AL327" s="95"/>
      <c r="AM327" s="95"/>
      <c r="AN327" s="95"/>
      <c r="AO327" s="95"/>
      <c r="AP327" s="95"/>
      <c r="AQ327" s="95">
        <f t="shared" si="20"/>
        <v>0</v>
      </c>
      <c r="AR327" s="95"/>
      <c r="AS327" s="95"/>
      <c r="AT327" s="95"/>
      <c r="AU327" s="95"/>
      <c r="AV327" s="95"/>
      <c r="AW327" s="95">
        <v>0</v>
      </c>
      <c r="AX327" s="95"/>
      <c r="AY327" s="95"/>
      <c r="AZ327" s="95"/>
      <c r="BA327" s="95"/>
      <c r="BB327" s="95">
        <v>0</v>
      </c>
      <c r="BC327" s="95"/>
      <c r="BD327" s="95"/>
      <c r="BE327" s="95"/>
      <c r="BF327" s="95"/>
      <c r="BG327" s="95">
        <f t="shared" si="21"/>
        <v>5323612</v>
      </c>
      <c r="BH327" s="95"/>
      <c r="BI327" s="95"/>
      <c r="BJ327" s="95"/>
      <c r="BK327" s="95"/>
      <c r="BL327" s="95"/>
    </row>
    <row r="328" spans="1:79" s="4" customFormat="1" ht="25.5" customHeight="1" x14ac:dyDescent="0.2">
      <c r="A328" s="88">
        <v>2272</v>
      </c>
      <c r="B328" s="88"/>
      <c r="C328" s="88"/>
      <c r="D328" s="88"/>
      <c r="E328" s="88"/>
      <c r="F328" s="88"/>
      <c r="G328" s="55" t="s">
        <v>183</v>
      </c>
      <c r="H328" s="56"/>
      <c r="I328" s="56"/>
      <c r="J328" s="56"/>
      <c r="K328" s="56"/>
      <c r="L328" s="56"/>
      <c r="M328" s="56"/>
      <c r="N328" s="56"/>
      <c r="O328" s="56"/>
      <c r="P328" s="56"/>
      <c r="Q328" s="56"/>
      <c r="R328" s="56"/>
      <c r="S328" s="57"/>
      <c r="T328" s="95">
        <v>106344</v>
      </c>
      <c r="U328" s="95"/>
      <c r="V328" s="95"/>
      <c r="W328" s="95"/>
      <c r="X328" s="95"/>
      <c r="Y328" s="95"/>
      <c r="Z328" s="95">
        <v>24562</v>
      </c>
      <c r="AA328" s="95"/>
      <c r="AB328" s="95"/>
      <c r="AC328" s="95"/>
      <c r="AD328" s="95"/>
      <c r="AE328" s="95">
        <v>0</v>
      </c>
      <c r="AF328" s="95"/>
      <c r="AG328" s="95"/>
      <c r="AH328" s="95"/>
      <c r="AI328" s="95"/>
      <c r="AJ328" s="95"/>
      <c r="AK328" s="95">
        <v>0</v>
      </c>
      <c r="AL328" s="95"/>
      <c r="AM328" s="95"/>
      <c r="AN328" s="95"/>
      <c r="AO328" s="95"/>
      <c r="AP328" s="95"/>
      <c r="AQ328" s="95">
        <f t="shared" si="20"/>
        <v>0</v>
      </c>
      <c r="AR328" s="95"/>
      <c r="AS328" s="95"/>
      <c r="AT328" s="95"/>
      <c r="AU328" s="95"/>
      <c r="AV328" s="95"/>
      <c r="AW328" s="95">
        <v>0</v>
      </c>
      <c r="AX328" s="95"/>
      <c r="AY328" s="95"/>
      <c r="AZ328" s="95"/>
      <c r="BA328" s="95"/>
      <c r="BB328" s="95">
        <v>0</v>
      </c>
      <c r="BC328" s="95"/>
      <c r="BD328" s="95"/>
      <c r="BE328" s="95"/>
      <c r="BF328" s="95"/>
      <c r="BG328" s="95">
        <f t="shared" si="21"/>
        <v>24562</v>
      </c>
      <c r="BH328" s="95"/>
      <c r="BI328" s="95"/>
      <c r="BJ328" s="95"/>
      <c r="BK328" s="95"/>
      <c r="BL328" s="95"/>
    </row>
    <row r="329" spans="1:79" s="4" customFormat="1" ht="12.75" customHeight="1" x14ac:dyDescent="0.2">
      <c r="A329" s="88">
        <v>2273</v>
      </c>
      <c r="B329" s="88"/>
      <c r="C329" s="88"/>
      <c r="D329" s="88"/>
      <c r="E329" s="88"/>
      <c r="F329" s="88"/>
      <c r="G329" s="55" t="s">
        <v>184</v>
      </c>
      <c r="H329" s="56"/>
      <c r="I329" s="56"/>
      <c r="J329" s="56"/>
      <c r="K329" s="56"/>
      <c r="L329" s="56"/>
      <c r="M329" s="56"/>
      <c r="N329" s="56"/>
      <c r="O329" s="56"/>
      <c r="P329" s="56"/>
      <c r="Q329" s="56"/>
      <c r="R329" s="56"/>
      <c r="S329" s="57"/>
      <c r="T329" s="95">
        <v>3190559</v>
      </c>
      <c r="U329" s="95"/>
      <c r="V329" s="95"/>
      <c r="W329" s="95"/>
      <c r="X329" s="95"/>
      <c r="Y329" s="95"/>
      <c r="Z329" s="95">
        <v>1928405</v>
      </c>
      <c r="AA329" s="95"/>
      <c r="AB329" s="95"/>
      <c r="AC329" s="95"/>
      <c r="AD329" s="95"/>
      <c r="AE329" s="95">
        <v>0</v>
      </c>
      <c r="AF329" s="95"/>
      <c r="AG329" s="95"/>
      <c r="AH329" s="95"/>
      <c r="AI329" s="95"/>
      <c r="AJ329" s="95"/>
      <c r="AK329" s="95">
        <v>0</v>
      </c>
      <c r="AL329" s="95"/>
      <c r="AM329" s="95"/>
      <c r="AN329" s="95"/>
      <c r="AO329" s="95"/>
      <c r="AP329" s="95"/>
      <c r="AQ329" s="95">
        <f t="shared" si="20"/>
        <v>0</v>
      </c>
      <c r="AR329" s="95"/>
      <c r="AS329" s="95"/>
      <c r="AT329" s="95"/>
      <c r="AU329" s="95"/>
      <c r="AV329" s="95"/>
      <c r="AW329" s="95">
        <v>0</v>
      </c>
      <c r="AX329" s="95"/>
      <c r="AY329" s="95"/>
      <c r="AZ329" s="95"/>
      <c r="BA329" s="95"/>
      <c r="BB329" s="95">
        <v>0</v>
      </c>
      <c r="BC329" s="95"/>
      <c r="BD329" s="95"/>
      <c r="BE329" s="95"/>
      <c r="BF329" s="95"/>
      <c r="BG329" s="95">
        <f t="shared" si="21"/>
        <v>1928405</v>
      </c>
      <c r="BH329" s="95"/>
      <c r="BI329" s="95"/>
      <c r="BJ329" s="95"/>
      <c r="BK329" s="95"/>
      <c r="BL329" s="95"/>
    </row>
    <row r="330" spans="1:79" s="4" customFormat="1" ht="12.75" customHeight="1" x14ac:dyDescent="0.2">
      <c r="A330" s="88">
        <v>2274</v>
      </c>
      <c r="B330" s="88"/>
      <c r="C330" s="88"/>
      <c r="D330" s="88"/>
      <c r="E330" s="88"/>
      <c r="F330" s="88"/>
      <c r="G330" s="55" t="s">
        <v>185</v>
      </c>
      <c r="H330" s="56"/>
      <c r="I330" s="56"/>
      <c r="J330" s="56"/>
      <c r="K330" s="56"/>
      <c r="L330" s="56"/>
      <c r="M330" s="56"/>
      <c r="N330" s="56"/>
      <c r="O330" s="56"/>
      <c r="P330" s="56"/>
      <c r="Q330" s="56"/>
      <c r="R330" s="56"/>
      <c r="S330" s="57"/>
      <c r="T330" s="95">
        <v>2031847</v>
      </c>
      <c r="U330" s="95"/>
      <c r="V330" s="95"/>
      <c r="W330" s="95"/>
      <c r="X330" s="95"/>
      <c r="Y330" s="95"/>
      <c r="Z330" s="95">
        <v>1163160</v>
      </c>
      <c r="AA330" s="95"/>
      <c r="AB330" s="95"/>
      <c r="AC330" s="95"/>
      <c r="AD330" s="95"/>
      <c r="AE330" s="95">
        <v>0</v>
      </c>
      <c r="AF330" s="95"/>
      <c r="AG330" s="95"/>
      <c r="AH330" s="95"/>
      <c r="AI330" s="95"/>
      <c r="AJ330" s="95"/>
      <c r="AK330" s="95">
        <v>0</v>
      </c>
      <c r="AL330" s="95"/>
      <c r="AM330" s="95"/>
      <c r="AN330" s="95"/>
      <c r="AO330" s="95"/>
      <c r="AP330" s="95"/>
      <c r="AQ330" s="95">
        <f t="shared" si="20"/>
        <v>0</v>
      </c>
      <c r="AR330" s="95"/>
      <c r="AS330" s="95"/>
      <c r="AT330" s="95"/>
      <c r="AU330" s="95"/>
      <c r="AV330" s="95"/>
      <c r="AW330" s="95">
        <v>0</v>
      </c>
      <c r="AX330" s="95"/>
      <c r="AY330" s="95"/>
      <c r="AZ330" s="95"/>
      <c r="BA330" s="95"/>
      <c r="BB330" s="95">
        <v>0</v>
      </c>
      <c r="BC330" s="95"/>
      <c r="BD330" s="95"/>
      <c r="BE330" s="95"/>
      <c r="BF330" s="95"/>
      <c r="BG330" s="95">
        <f t="shared" si="21"/>
        <v>1163160</v>
      </c>
      <c r="BH330" s="95"/>
      <c r="BI330" s="95"/>
      <c r="BJ330" s="95"/>
      <c r="BK330" s="95"/>
      <c r="BL330" s="95"/>
    </row>
    <row r="331" spans="1:79" s="4" customFormat="1" ht="25.5" customHeight="1" x14ac:dyDescent="0.2">
      <c r="A331" s="88">
        <v>2275</v>
      </c>
      <c r="B331" s="88"/>
      <c r="C331" s="88"/>
      <c r="D331" s="88"/>
      <c r="E331" s="88"/>
      <c r="F331" s="88"/>
      <c r="G331" s="55" t="s">
        <v>186</v>
      </c>
      <c r="H331" s="56"/>
      <c r="I331" s="56"/>
      <c r="J331" s="56"/>
      <c r="K331" s="56"/>
      <c r="L331" s="56"/>
      <c r="M331" s="56"/>
      <c r="N331" s="56"/>
      <c r="O331" s="56"/>
      <c r="P331" s="56"/>
      <c r="Q331" s="56"/>
      <c r="R331" s="56"/>
      <c r="S331" s="57"/>
      <c r="T331" s="95">
        <v>1659285</v>
      </c>
      <c r="U331" s="95"/>
      <c r="V331" s="95"/>
      <c r="W331" s="95"/>
      <c r="X331" s="95"/>
      <c r="Y331" s="95"/>
      <c r="Z331" s="95">
        <v>947177</v>
      </c>
      <c r="AA331" s="95"/>
      <c r="AB331" s="95"/>
      <c r="AC331" s="95"/>
      <c r="AD331" s="95"/>
      <c r="AE331" s="95">
        <v>0</v>
      </c>
      <c r="AF331" s="95"/>
      <c r="AG331" s="95"/>
      <c r="AH331" s="95"/>
      <c r="AI331" s="95"/>
      <c r="AJ331" s="95"/>
      <c r="AK331" s="95">
        <v>0</v>
      </c>
      <c r="AL331" s="95"/>
      <c r="AM331" s="95"/>
      <c r="AN331" s="95"/>
      <c r="AO331" s="95"/>
      <c r="AP331" s="95"/>
      <c r="AQ331" s="95">
        <f t="shared" si="20"/>
        <v>0</v>
      </c>
      <c r="AR331" s="95"/>
      <c r="AS331" s="95"/>
      <c r="AT331" s="95"/>
      <c r="AU331" s="95"/>
      <c r="AV331" s="95"/>
      <c r="AW331" s="95">
        <v>0</v>
      </c>
      <c r="AX331" s="95"/>
      <c r="AY331" s="95"/>
      <c r="AZ331" s="95"/>
      <c r="BA331" s="95"/>
      <c r="BB331" s="95">
        <v>0</v>
      </c>
      <c r="BC331" s="95"/>
      <c r="BD331" s="95"/>
      <c r="BE331" s="95"/>
      <c r="BF331" s="95"/>
      <c r="BG331" s="95">
        <f t="shared" si="21"/>
        <v>947177</v>
      </c>
      <c r="BH331" s="95"/>
      <c r="BI331" s="95"/>
      <c r="BJ331" s="95"/>
      <c r="BK331" s="95"/>
      <c r="BL331" s="95"/>
    </row>
    <row r="332" spans="1:79" s="4" customFormat="1" ht="38.25" customHeight="1" x14ac:dyDescent="0.2">
      <c r="A332" s="88">
        <v>2282</v>
      </c>
      <c r="B332" s="88"/>
      <c r="C332" s="88"/>
      <c r="D332" s="88"/>
      <c r="E332" s="88"/>
      <c r="F332" s="88"/>
      <c r="G332" s="55" t="s">
        <v>187</v>
      </c>
      <c r="H332" s="56"/>
      <c r="I332" s="56"/>
      <c r="J332" s="56"/>
      <c r="K332" s="56"/>
      <c r="L332" s="56"/>
      <c r="M332" s="56"/>
      <c r="N332" s="56"/>
      <c r="O332" s="56"/>
      <c r="P332" s="56"/>
      <c r="Q332" s="56"/>
      <c r="R332" s="56"/>
      <c r="S332" s="57"/>
      <c r="T332" s="95">
        <v>22411</v>
      </c>
      <c r="U332" s="95"/>
      <c r="V332" s="95"/>
      <c r="W332" s="95"/>
      <c r="X332" s="95"/>
      <c r="Y332" s="95"/>
      <c r="Z332" s="95">
        <v>18850</v>
      </c>
      <c r="AA332" s="95"/>
      <c r="AB332" s="95"/>
      <c r="AC332" s="95"/>
      <c r="AD332" s="95"/>
      <c r="AE332" s="95">
        <v>0</v>
      </c>
      <c r="AF332" s="95"/>
      <c r="AG332" s="95"/>
      <c r="AH332" s="95"/>
      <c r="AI332" s="95"/>
      <c r="AJ332" s="95"/>
      <c r="AK332" s="95">
        <v>0</v>
      </c>
      <c r="AL332" s="95"/>
      <c r="AM332" s="95"/>
      <c r="AN332" s="95"/>
      <c r="AO332" s="95"/>
      <c r="AP332" s="95"/>
      <c r="AQ332" s="95">
        <f t="shared" si="20"/>
        <v>0</v>
      </c>
      <c r="AR332" s="95"/>
      <c r="AS332" s="95"/>
      <c r="AT332" s="95"/>
      <c r="AU332" s="95"/>
      <c r="AV332" s="95"/>
      <c r="AW332" s="95">
        <v>0</v>
      </c>
      <c r="AX332" s="95"/>
      <c r="AY332" s="95"/>
      <c r="AZ332" s="95"/>
      <c r="BA332" s="95"/>
      <c r="BB332" s="95">
        <v>0</v>
      </c>
      <c r="BC332" s="95"/>
      <c r="BD332" s="95"/>
      <c r="BE332" s="95"/>
      <c r="BF332" s="95"/>
      <c r="BG332" s="95">
        <f t="shared" si="21"/>
        <v>18850</v>
      </c>
      <c r="BH332" s="95"/>
      <c r="BI332" s="95"/>
      <c r="BJ332" s="95"/>
      <c r="BK332" s="95"/>
      <c r="BL332" s="95"/>
    </row>
    <row r="333" spans="1:79" s="4" customFormat="1" ht="12.75" customHeight="1" x14ac:dyDescent="0.2">
      <c r="A333" s="88">
        <v>2800</v>
      </c>
      <c r="B333" s="88"/>
      <c r="C333" s="88"/>
      <c r="D333" s="88"/>
      <c r="E333" s="88"/>
      <c r="F333" s="88"/>
      <c r="G333" s="55" t="s">
        <v>188</v>
      </c>
      <c r="H333" s="56"/>
      <c r="I333" s="56"/>
      <c r="J333" s="56"/>
      <c r="K333" s="56"/>
      <c r="L333" s="56"/>
      <c r="M333" s="56"/>
      <c r="N333" s="56"/>
      <c r="O333" s="56"/>
      <c r="P333" s="56"/>
      <c r="Q333" s="56"/>
      <c r="R333" s="56"/>
      <c r="S333" s="57"/>
      <c r="T333" s="95">
        <v>3300</v>
      </c>
      <c r="U333" s="95"/>
      <c r="V333" s="95"/>
      <c r="W333" s="95"/>
      <c r="X333" s="95"/>
      <c r="Y333" s="95"/>
      <c r="Z333" s="95">
        <v>2500</v>
      </c>
      <c r="AA333" s="95"/>
      <c r="AB333" s="95"/>
      <c r="AC333" s="95"/>
      <c r="AD333" s="95"/>
      <c r="AE333" s="95">
        <v>0</v>
      </c>
      <c r="AF333" s="95"/>
      <c r="AG333" s="95"/>
      <c r="AH333" s="95"/>
      <c r="AI333" s="95"/>
      <c r="AJ333" s="95"/>
      <c r="AK333" s="95">
        <v>0</v>
      </c>
      <c r="AL333" s="95"/>
      <c r="AM333" s="95"/>
      <c r="AN333" s="95"/>
      <c r="AO333" s="95"/>
      <c r="AP333" s="95"/>
      <c r="AQ333" s="95">
        <f t="shared" si="20"/>
        <v>0</v>
      </c>
      <c r="AR333" s="95"/>
      <c r="AS333" s="95"/>
      <c r="AT333" s="95"/>
      <c r="AU333" s="95"/>
      <c r="AV333" s="95"/>
      <c r="AW333" s="95">
        <v>0</v>
      </c>
      <c r="AX333" s="95"/>
      <c r="AY333" s="95"/>
      <c r="AZ333" s="95"/>
      <c r="BA333" s="95"/>
      <c r="BB333" s="95">
        <v>0</v>
      </c>
      <c r="BC333" s="95"/>
      <c r="BD333" s="95"/>
      <c r="BE333" s="95"/>
      <c r="BF333" s="95"/>
      <c r="BG333" s="95">
        <f t="shared" si="21"/>
        <v>2500</v>
      </c>
      <c r="BH333" s="95"/>
      <c r="BI333" s="95"/>
      <c r="BJ333" s="95"/>
      <c r="BK333" s="95"/>
      <c r="BL333" s="95"/>
    </row>
    <row r="334" spans="1:79" s="5" customFormat="1" ht="12.75" customHeight="1" x14ac:dyDescent="0.2">
      <c r="A334" s="105"/>
      <c r="B334" s="105"/>
      <c r="C334" s="105"/>
      <c r="D334" s="105"/>
      <c r="E334" s="105"/>
      <c r="F334" s="105"/>
      <c r="G334" s="96" t="s">
        <v>147</v>
      </c>
      <c r="H334" s="97"/>
      <c r="I334" s="97"/>
      <c r="J334" s="97"/>
      <c r="K334" s="97"/>
      <c r="L334" s="97"/>
      <c r="M334" s="97"/>
      <c r="N334" s="97"/>
      <c r="O334" s="97"/>
      <c r="P334" s="97"/>
      <c r="Q334" s="97"/>
      <c r="R334" s="97"/>
      <c r="S334" s="98"/>
      <c r="T334" s="94">
        <v>19908893</v>
      </c>
      <c r="U334" s="94"/>
      <c r="V334" s="94"/>
      <c r="W334" s="94"/>
      <c r="X334" s="94"/>
      <c r="Y334" s="94"/>
      <c r="Z334" s="94">
        <v>16001835</v>
      </c>
      <c r="AA334" s="94"/>
      <c r="AB334" s="94"/>
      <c r="AC334" s="94"/>
      <c r="AD334" s="94"/>
      <c r="AE334" s="94">
        <v>0</v>
      </c>
      <c r="AF334" s="94"/>
      <c r="AG334" s="94"/>
      <c r="AH334" s="94"/>
      <c r="AI334" s="94"/>
      <c r="AJ334" s="94"/>
      <c r="AK334" s="94">
        <v>0</v>
      </c>
      <c r="AL334" s="94"/>
      <c r="AM334" s="94"/>
      <c r="AN334" s="94"/>
      <c r="AO334" s="94"/>
      <c r="AP334" s="94"/>
      <c r="AQ334" s="94">
        <f t="shared" si="20"/>
        <v>0</v>
      </c>
      <c r="AR334" s="94"/>
      <c r="AS334" s="94"/>
      <c r="AT334" s="94"/>
      <c r="AU334" s="94"/>
      <c r="AV334" s="94"/>
      <c r="AW334" s="94">
        <v>0</v>
      </c>
      <c r="AX334" s="94"/>
      <c r="AY334" s="94"/>
      <c r="AZ334" s="94"/>
      <c r="BA334" s="94"/>
      <c r="BB334" s="94">
        <v>0</v>
      </c>
      <c r="BC334" s="94"/>
      <c r="BD334" s="94"/>
      <c r="BE334" s="94"/>
      <c r="BF334" s="94"/>
      <c r="BG334" s="94">
        <f t="shared" si="21"/>
        <v>16001835</v>
      </c>
      <c r="BH334" s="94"/>
      <c r="BI334" s="94"/>
      <c r="BJ334" s="94"/>
      <c r="BK334" s="94"/>
      <c r="BL334" s="94"/>
    </row>
    <row r="336" spans="1:79" ht="14.25" customHeight="1" x14ac:dyDescent="0.2">
      <c r="A336" s="28" t="s">
        <v>300</v>
      </c>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row>
    <row r="337" spans="1:79" ht="15" customHeight="1" x14ac:dyDescent="0.2">
      <c r="A337" s="41" t="s">
        <v>280</v>
      </c>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row>
    <row r="338" spans="1:79" ht="18" customHeight="1" x14ac:dyDescent="0.2">
      <c r="A338" s="48" t="s">
        <v>135</v>
      </c>
      <c r="B338" s="48"/>
      <c r="C338" s="48"/>
      <c r="D338" s="48"/>
      <c r="E338" s="48"/>
      <c r="F338" s="48"/>
      <c r="G338" s="48" t="s">
        <v>19</v>
      </c>
      <c r="H338" s="48"/>
      <c r="I338" s="48"/>
      <c r="J338" s="48"/>
      <c r="K338" s="48"/>
      <c r="L338" s="48"/>
      <c r="M338" s="48"/>
      <c r="N338" s="48"/>
      <c r="O338" s="48"/>
      <c r="P338" s="48"/>
      <c r="Q338" s="48" t="s">
        <v>286</v>
      </c>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t="s">
        <v>297</v>
      </c>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row>
    <row r="339" spans="1:79" ht="42.95" customHeight="1" x14ac:dyDescent="0.2">
      <c r="A339" s="48"/>
      <c r="B339" s="48"/>
      <c r="C339" s="48"/>
      <c r="D339" s="48"/>
      <c r="E339" s="48"/>
      <c r="F339" s="48"/>
      <c r="G339" s="48"/>
      <c r="H339" s="48"/>
      <c r="I339" s="48"/>
      <c r="J339" s="48"/>
      <c r="K339" s="48"/>
      <c r="L339" s="48"/>
      <c r="M339" s="48"/>
      <c r="N339" s="48"/>
      <c r="O339" s="48"/>
      <c r="P339" s="48"/>
      <c r="Q339" s="48" t="s">
        <v>140</v>
      </c>
      <c r="R339" s="48"/>
      <c r="S339" s="48"/>
      <c r="T339" s="48"/>
      <c r="U339" s="48"/>
      <c r="V339" s="83" t="s">
        <v>141</v>
      </c>
      <c r="W339" s="83"/>
      <c r="X339" s="83"/>
      <c r="Y339" s="83"/>
      <c r="Z339" s="48" t="s">
        <v>142</v>
      </c>
      <c r="AA339" s="48"/>
      <c r="AB339" s="48"/>
      <c r="AC339" s="48"/>
      <c r="AD339" s="48"/>
      <c r="AE339" s="48"/>
      <c r="AF339" s="48"/>
      <c r="AG339" s="48"/>
      <c r="AH339" s="48"/>
      <c r="AI339" s="48"/>
      <c r="AJ339" s="48" t="s">
        <v>143</v>
      </c>
      <c r="AK339" s="48"/>
      <c r="AL339" s="48"/>
      <c r="AM339" s="48"/>
      <c r="AN339" s="48"/>
      <c r="AO339" s="48" t="s">
        <v>20</v>
      </c>
      <c r="AP339" s="48"/>
      <c r="AQ339" s="48"/>
      <c r="AR339" s="48"/>
      <c r="AS339" s="48"/>
      <c r="AT339" s="83" t="s">
        <v>144</v>
      </c>
      <c r="AU339" s="83"/>
      <c r="AV339" s="83"/>
      <c r="AW339" s="83"/>
      <c r="AX339" s="48" t="s">
        <v>142</v>
      </c>
      <c r="AY339" s="48"/>
      <c r="AZ339" s="48"/>
      <c r="BA339" s="48"/>
      <c r="BB339" s="48"/>
      <c r="BC339" s="48"/>
      <c r="BD339" s="48"/>
      <c r="BE339" s="48"/>
      <c r="BF339" s="48"/>
      <c r="BG339" s="48"/>
      <c r="BH339" s="48" t="s">
        <v>145</v>
      </c>
      <c r="BI339" s="48"/>
      <c r="BJ339" s="48"/>
      <c r="BK339" s="48"/>
      <c r="BL339" s="48"/>
    </row>
    <row r="340" spans="1:79" ht="63" customHeight="1" x14ac:dyDescent="0.2">
      <c r="A340" s="48"/>
      <c r="B340" s="48"/>
      <c r="C340" s="48"/>
      <c r="D340" s="48"/>
      <c r="E340" s="48"/>
      <c r="F340" s="48"/>
      <c r="G340" s="48"/>
      <c r="H340" s="48"/>
      <c r="I340" s="48"/>
      <c r="J340" s="48"/>
      <c r="K340" s="48"/>
      <c r="L340" s="48"/>
      <c r="M340" s="48"/>
      <c r="N340" s="48"/>
      <c r="O340" s="48"/>
      <c r="P340" s="48"/>
      <c r="Q340" s="48"/>
      <c r="R340" s="48"/>
      <c r="S340" s="48"/>
      <c r="T340" s="48"/>
      <c r="U340" s="48"/>
      <c r="V340" s="83"/>
      <c r="W340" s="83"/>
      <c r="X340" s="83"/>
      <c r="Y340" s="83"/>
      <c r="Z340" s="48" t="s">
        <v>17</v>
      </c>
      <c r="AA340" s="48"/>
      <c r="AB340" s="48"/>
      <c r="AC340" s="48"/>
      <c r="AD340" s="48"/>
      <c r="AE340" s="48" t="s">
        <v>16</v>
      </c>
      <c r="AF340" s="48"/>
      <c r="AG340" s="48"/>
      <c r="AH340" s="48"/>
      <c r="AI340" s="48"/>
      <c r="AJ340" s="48"/>
      <c r="AK340" s="48"/>
      <c r="AL340" s="48"/>
      <c r="AM340" s="48"/>
      <c r="AN340" s="48"/>
      <c r="AO340" s="48"/>
      <c r="AP340" s="48"/>
      <c r="AQ340" s="48"/>
      <c r="AR340" s="48"/>
      <c r="AS340" s="48"/>
      <c r="AT340" s="83"/>
      <c r="AU340" s="83"/>
      <c r="AV340" s="83"/>
      <c r="AW340" s="83"/>
      <c r="AX340" s="48" t="s">
        <v>17</v>
      </c>
      <c r="AY340" s="48"/>
      <c r="AZ340" s="48"/>
      <c r="BA340" s="48"/>
      <c r="BB340" s="48"/>
      <c r="BC340" s="48" t="s">
        <v>16</v>
      </c>
      <c r="BD340" s="48"/>
      <c r="BE340" s="48"/>
      <c r="BF340" s="48"/>
      <c r="BG340" s="48"/>
      <c r="BH340" s="48"/>
      <c r="BI340" s="48"/>
      <c r="BJ340" s="48"/>
      <c r="BK340" s="48"/>
      <c r="BL340" s="48"/>
    </row>
    <row r="341" spans="1:79" ht="15" customHeight="1" x14ac:dyDescent="0.2">
      <c r="A341" s="48">
        <v>1</v>
      </c>
      <c r="B341" s="48"/>
      <c r="C341" s="48"/>
      <c r="D341" s="48"/>
      <c r="E341" s="48"/>
      <c r="F341" s="48"/>
      <c r="G341" s="48">
        <v>2</v>
      </c>
      <c r="H341" s="48"/>
      <c r="I341" s="48"/>
      <c r="J341" s="48"/>
      <c r="K341" s="48"/>
      <c r="L341" s="48"/>
      <c r="M341" s="48"/>
      <c r="N341" s="48"/>
      <c r="O341" s="48"/>
      <c r="P341" s="48"/>
      <c r="Q341" s="48">
        <v>3</v>
      </c>
      <c r="R341" s="48"/>
      <c r="S341" s="48"/>
      <c r="T341" s="48"/>
      <c r="U341" s="48"/>
      <c r="V341" s="48">
        <v>4</v>
      </c>
      <c r="W341" s="48"/>
      <c r="X341" s="48"/>
      <c r="Y341" s="48"/>
      <c r="Z341" s="48">
        <v>5</v>
      </c>
      <c r="AA341" s="48"/>
      <c r="AB341" s="48"/>
      <c r="AC341" s="48"/>
      <c r="AD341" s="48"/>
      <c r="AE341" s="48">
        <v>6</v>
      </c>
      <c r="AF341" s="48"/>
      <c r="AG341" s="48"/>
      <c r="AH341" s="48"/>
      <c r="AI341" s="48"/>
      <c r="AJ341" s="48">
        <v>7</v>
      </c>
      <c r="AK341" s="48"/>
      <c r="AL341" s="48"/>
      <c r="AM341" s="48"/>
      <c r="AN341" s="48"/>
      <c r="AO341" s="48">
        <v>8</v>
      </c>
      <c r="AP341" s="48"/>
      <c r="AQ341" s="48"/>
      <c r="AR341" s="48"/>
      <c r="AS341" s="48"/>
      <c r="AT341" s="48">
        <v>9</v>
      </c>
      <c r="AU341" s="48"/>
      <c r="AV341" s="48"/>
      <c r="AW341" s="48"/>
      <c r="AX341" s="48">
        <v>10</v>
      </c>
      <c r="AY341" s="48"/>
      <c r="AZ341" s="48"/>
      <c r="BA341" s="48"/>
      <c r="BB341" s="48"/>
      <c r="BC341" s="48">
        <v>11</v>
      </c>
      <c r="BD341" s="48"/>
      <c r="BE341" s="48"/>
      <c r="BF341" s="48"/>
      <c r="BG341" s="48"/>
      <c r="BH341" s="48">
        <v>12</v>
      </c>
      <c r="BI341" s="48"/>
      <c r="BJ341" s="48"/>
      <c r="BK341" s="48"/>
      <c r="BL341" s="48"/>
    </row>
    <row r="342" spans="1:79" s="1" customFormat="1" ht="12" hidden="1" customHeight="1" x14ac:dyDescent="0.2">
      <c r="A342" s="66" t="s">
        <v>64</v>
      </c>
      <c r="B342" s="66"/>
      <c r="C342" s="66"/>
      <c r="D342" s="66"/>
      <c r="E342" s="66"/>
      <c r="F342" s="66"/>
      <c r="G342" s="104" t="s">
        <v>57</v>
      </c>
      <c r="H342" s="104"/>
      <c r="I342" s="104"/>
      <c r="J342" s="104"/>
      <c r="K342" s="104"/>
      <c r="L342" s="104"/>
      <c r="M342" s="104"/>
      <c r="N342" s="104"/>
      <c r="O342" s="104"/>
      <c r="P342" s="104"/>
      <c r="Q342" s="90" t="s">
        <v>80</v>
      </c>
      <c r="R342" s="90"/>
      <c r="S342" s="90"/>
      <c r="T342" s="90"/>
      <c r="U342" s="90"/>
      <c r="V342" s="90" t="s">
        <v>81</v>
      </c>
      <c r="W342" s="90"/>
      <c r="X342" s="90"/>
      <c r="Y342" s="90"/>
      <c r="Z342" s="90" t="s">
        <v>82</v>
      </c>
      <c r="AA342" s="90"/>
      <c r="AB342" s="90"/>
      <c r="AC342" s="90"/>
      <c r="AD342" s="90"/>
      <c r="AE342" s="90" t="s">
        <v>83</v>
      </c>
      <c r="AF342" s="90"/>
      <c r="AG342" s="90"/>
      <c r="AH342" s="90"/>
      <c r="AI342" s="90"/>
      <c r="AJ342" s="66" t="s">
        <v>101</v>
      </c>
      <c r="AK342" s="90"/>
      <c r="AL342" s="90"/>
      <c r="AM342" s="90"/>
      <c r="AN342" s="90"/>
      <c r="AO342" s="90" t="s">
        <v>84</v>
      </c>
      <c r="AP342" s="90"/>
      <c r="AQ342" s="90"/>
      <c r="AR342" s="90"/>
      <c r="AS342" s="90"/>
      <c r="AT342" s="66" t="s">
        <v>102</v>
      </c>
      <c r="AU342" s="90"/>
      <c r="AV342" s="90"/>
      <c r="AW342" s="90"/>
      <c r="AX342" s="90" t="s">
        <v>85</v>
      </c>
      <c r="AY342" s="90"/>
      <c r="AZ342" s="90"/>
      <c r="BA342" s="90"/>
      <c r="BB342" s="90"/>
      <c r="BC342" s="90" t="s">
        <v>86</v>
      </c>
      <c r="BD342" s="90"/>
      <c r="BE342" s="90"/>
      <c r="BF342" s="90"/>
      <c r="BG342" s="90"/>
      <c r="BH342" s="66" t="s">
        <v>101</v>
      </c>
      <c r="BI342" s="90"/>
      <c r="BJ342" s="90"/>
      <c r="BK342" s="90"/>
      <c r="BL342" s="90"/>
      <c r="CA342" s="1" t="s">
        <v>52</v>
      </c>
    </row>
    <row r="343" spans="1:79" s="4" customFormat="1" ht="12.75" customHeight="1" x14ac:dyDescent="0.2">
      <c r="A343" s="88">
        <v>2111</v>
      </c>
      <c r="B343" s="88"/>
      <c r="C343" s="88"/>
      <c r="D343" s="88"/>
      <c r="E343" s="88"/>
      <c r="F343" s="88"/>
      <c r="G343" s="55" t="s">
        <v>178</v>
      </c>
      <c r="H343" s="56"/>
      <c r="I343" s="56"/>
      <c r="J343" s="56"/>
      <c r="K343" s="56"/>
      <c r="L343" s="56"/>
      <c r="M343" s="56"/>
      <c r="N343" s="56"/>
      <c r="O343" s="56"/>
      <c r="P343" s="57"/>
      <c r="Q343" s="95">
        <v>6090909</v>
      </c>
      <c r="R343" s="95"/>
      <c r="S343" s="95"/>
      <c r="T343" s="95"/>
      <c r="U343" s="95"/>
      <c r="V343" s="95">
        <v>0</v>
      </c>
      <c r="W343" s="95"/>
      <c r="X343" s="95"/>
      <c r="Y343" s="95"/>
      <c r="Z343" s="95">
        <v>0</v>
      </c>
      <c r="AA343" s="95"/>
      <c r="AB343" s="95"/>
      <c r="AC343" s="95"/>
      <c r="AD343" s="95"/>
      <c r="AE343" s="95">
        <v>0</v>
      </c>
      <c r="AF343" s="95"/>
      <c r="AG343" s="95"/>
      <c r="AH343" s="95"/>
      <c r="AI343" s="95"/>
      <c r="AJ343" s="95">
        <f t="shared" ref="AJ343:AJ354" si="22">IF(ISNUMBER(Q343),Q343,0)-IF(ISNUMBER(Z343),Z343,0)</f>
        <v>6090909</v>
      </c>
      <c r="AK343" s="95"/>
      <c r="AL343" s="95"/>
      <c r="AM343" s="95"/>
      <c r="AN343" s="95"/>
      <c r="AO343" s="95">
        <v>5403852</v>
      </c>
      <c r="AP343" s="95"/>
      <c r="AQ343" s="95"/>
      <c r="AR343" s="95"/>
      <c r="AS343" s="95"/>
      <c r="AT343" s="95">
        <f t="shared" ref="AT343:AT354" si="23">IF(ISNUMBER(V343),V343,0)-IF(ISNUMBER(Z343),Z343,0)-IF(ISNUMBER(AE343),AE343,0)</f>
        <v>0</v>
      </c>
      <c r="AU343" s="95"/>
      <c r="AV343" s="95"/>
      <c r="AW343" s="95"/>
      <c r="AX343" s="95">
        <v>0</v>
      </c>
      <c r="AY343" s="95"/>
      <c r="AZ343" s="95"/>
      <c r="BA343" s="95"/>
      <c r="BB343" s="95"/>
      <c r="BC343" s="95">
        <v>0</v>
      </c>
      <c r="BD343" s="95"/>
      <c r="BE343" s="95"/>
      <c r="BF343" s="95"/>
      <c r="BG343" s="95"/>
      <c r="BH343" s="95">
        <f t="shared" ref="BH343:BH354" si="24">IF(ISNUMBER(AO343),AO343,0)-IF(ISNUMBER(AX343),AX343,0)</f>
        <v>5403852</v>
      </c>
      <c r="BI343" s="95"/>
      <c r="BJ343" s="95"/>
      <c r="BK343" s="95"/>
      <c r="BL343" s="95"/>
      <c r="CA343" s="4" t="s">
        <v>53</v>
      </c>
    </row>
    <row r="344" spans="1:79" s="4" customFormat="1" ht="12.75" customHeight="1" x14ac:dyDescent="0.2">
      <c r="A344" s="88">
        <v>2120</v>
      </c>
      <c r="B344" s="88"/>
      <c r="C344" s="88"/>
      <c r="D344" s="88"/>
      <c r="E344" s="88"/>
      <c r="F344" s="88"/>
      <c r="G344" s="55" t="s">
        <v>179</v>
      </c>
      <c r="H344" s="56"/>
      <c r="I344" s="56"/>
      <c r="J344" s="56"/>
      <c r="K344" s="56"/>
      <c r="L344" s="56"/>
      <c r="M344" s="56"/>
      <c r="N344" s="56"/>
      <c r="O344" s="56"/>
      <c r="P344" s="57"/>
      <c r="Q344" s="95">
        <v>1386298</v>
      </c>
      <c r="R344" s="95"/>
      <c r="S344" s="95"/>
      <c r="T344" s="95"/>
      <c r="U344" s="95"/>
      <c r="V344" s="95">
        <v>0</v>
      </c>
      <c r="W344" s="95"/>
      <c r="X344" s="95"/>
      <c r="Y344" s="95"/>
      <c r="Z344" s="95">
        <v>0</v>
      </c>
      <c r="AA344" s="95"/>
      <c r="AB344" s="95"/>
      <c r="AC344" s="95"/>
      <c r="AD344" s="95"/>
      <c r="AE344" s="95">
        <v>0</v>
      </c>
      <c r="AF344" s="95"/>
      <c r="AG344" s="95"/>
      <c r="AH344" s="95"/>
      <c r="AI344" s="95"/>
      <c r="AJ344" s="95">
        <f t="shared" si="22"/>
        <v>1386298</v>
      </c>
      <c r="AK344" s="95"/>
      <c r="AL344" s="95"/>
      <c r="AM344" s="95"/>
      <c r="AN344" s="95"/>
      <c r="AO344" s="95">
        <v>1260603</v>
      </c>
      <c r="AP344" s="95"/>
      <c r="AQ344" s="95"/>
      <c r="AR344" s="95"/>
      <c r="AS344" s="95"/>
      <c r="AT344" s="95">
        <f t="shared" si="23"/>
        <v>0</v>
      </c>
      <c r="AU344" s="95"/>
      <c r="AV344" s="95"/>
      <c r="AW344" s="95"/>
      <c r="AX344" s="95">
        <v>0</v>
      </c>
      <c r="AY344" s="95"/>
      <c r="AZ344" s="95"/>
      <c r="BA344" s="95"/>
      <c r="BB344" s="95"/>
      <c r="BC344" s="95">
        <v>0</v>
      </c>
      <c r="BD344" s="95"/>
      <c r="BE344" s="95"/>
      <c r="BF344" s="95"/>
      <c r="BG344" s="95"/>
      <c r="BH344" s="95">
        <f t="shared" si="24"/>
        <v>1260603</v>
      </c>
      <c r="BI344" s="95"/>
      <c r="BJ344" s="95"/>
      <c r="BK344" s="95"/>
      <c r="BL344" s="95"/>
    </row>
    <row r="345" spans="1:79" s="4" customFormat="1" ht="25.5" customHeight="1" x14ac:dyDescent="0.2">
      <c r="A345" s="88">
        <v>2210</v>
      </c>
      <c r="B345" s="88"/>
      <c r="C345" s="88"/>
      <c r="D345" s="88"/>
      <c r="E345" s="88"/>
      <c r="F345" s="88"/>
      <c r="G345" s="55" t="s">
        <v>180</v>
      </c>
      <c r="H345" s="56"/>
      <c r="I345" s="56"/>
      <c r="J345" s="56"/>
      <c r="K345" s="56"/>
      <c r="L345" s="56"/>
      <c r="M345" s="56"/>
      <c r="N345" s="56"/>
      <c r="O345" s="56"/>
      <c r="P345" s="57"/>
      <c r="Q345" s="95">
        <v>341001</v>
      </c>
      <c r="R345" s="95"/>
      <c r="S345" s="95"/>
      <c r="T345" s="95"/>
      <c r="U345" s="95"/>
      <c r="V345" s="95">
        <v>0</v>
      </c>
      <c r="W345" s="95"/>
      <c r="X345" s="95"/>
      <c r="Y345" s="95"/>
      <c r="Z345" s="95">
        <v>0</v>
      </c>
      <c r="AA345" s="95"/>
      <c r="AB345" s="95"/>
      <c r="AC345" s="95"/>
      <c r="AD345" s="95"/>
      <c r="AE345" s="95">
        <v>0</v>
      </c>
      <c r="AF345" s="95"/>
      <c r="AG345" s="95"/>
      <c r="AH345" s="95"/>
      <c r="AI345" s="95"/>
      <c r="AJ345" s="95">
        <f t="shared" si="22"/>
        <v>341001</v>
      </c>
      <c r="AK345" s="95"/>
      <c r="AL345" s="95"/>
      <c r="AM345" s="95"/>
      <c r="AN345" s="95"/>
      <c r="AO345" s="95">
        <v>257675</v>
      </c>
      <c r="AP345" s="95"/>
      <c r="AQ345" s="95"/>
      <c r="AR345" s="95"/>
      <c r="AS345" s="95"/>
      <c r="AT345" s="95">
        <f t="shared" si="23"/>
        <v>0</v>
      </c>
      <c r="AU345" s="95"/>
      <c r="AV345" s="95"/>
      <c r="AW345" s="95"/>
      <c r="AX345" s="95">
        <v>0</v>
      </c>
      <c r="AY345" s="95"/>
      <c r="AZ345" s="95"/>
      <c r="BA345" s="95"/>
      <c r="BB345" s="95"/>
      <c r="BC345" s="95">
        <v>0</v>
      </c>
      <c r="BD345" s="95"/>
      <c r="BE345" s="95"/>
      <c r="BF345" s="95"/>
      <c r="BG345" s="95"/>
      <c r="BH345" s="95">
        <f t="shared" si="24"/>
        <v>257675</v>
      </c>
      <c r="BI345" s="95"/>
      <c r="BJ345" s="95"/>
      <c r="BK345" s="95"/>
      <c r="BL345" s="95"/>
    </row>
    <row r="346" spans="1:79" s="4" customFormat="1" ht="12.75" customHeight="1" x14ac:dyDescent="0.2">
      <c r="A346" s="88">
        <v>2230</v>
      </c>
      <c r="B346" s="88"/>
      <c r="C346" s="88"/>
      <c r="D346" s="88"/>
      <c r="E346" s="88"/>
      <c r="F346" s="88"/>
      <c r="G346" s="55" t="s">
        <v>181</v>
      </c>
      <c r="H346" s="56"/>
      <c r="I346" s="56"/>
      <c r="J346" s="56"/>
      <c r="K346" s="56"/>
      <c r="L346" s="56"/>
      <c r="M346" s="56"/>
      <c r="N346" s="56"/>
      <c r="O346" s="56"/>
      <c r="P346" s="57"/>
      <c r="Q346" s="95">
        <v>0</v>
      </c>
      <c r="R346" s="95"/>
      <c r="S346" s="95"/>
      <c r="T346" s="95"/>
      <c r="U346" s="95"/>
      <c r="V346" s="95">
        <v>0</v>
      </c>
      <c r="W346" s="95"/>
      <c r="X346" s="95"/>
      <c r="Y346" s="95"/>
      <c r="Z346" s="95">
        <v>0</v>
      </c>
      <c r="AA346" s="95"/>
      <c r="AB346" s="95"/>
      <c r="AC346" s="95"/>
      <c r="AD346" s="95"/>
      <c r="AE346" s="95">
        <v>0</v>
      </c>
      <c r="AF346" s="95"/>
      <c r="AG346" s="95"/>
      <c r="AH346" s="95"/>
      <c r="AI346" s="95"/>
      <c r="AJ346" s="95">
        <f t="shared" si="22"/>
        <v>0</v>
      </c>
      <c r="AK346" s="95"/>
      <c r="AL346" s="95"/>
      <c r="AM346" s="95"/>
      <c r="AN346" s="95"/>
      <c r="AO346" s="95">
        <v>643781</v>
      </c>
      <c r="AP346" s="95"/>
      <c r="AQ346" s="95"/>
      <c r="AR346" s="95"/>
      <c r="AS346" s="95"/>
      <c r="AT346" s="95">
        <f t="shared" si="23"/>
        <v>0</v>
      </c>
      <c r="AU346" s="95"/>
      <c r="AV346" s="95"/>
      <c r="AW346" s="95"/>
      <c r="AX346" s="95">
        <v>0</v>
      </c>
      <c r="AY346" s="95"/>
      <c r="AZ346" s="95"/>
      <c r="BA346" s="95"/>
      <c r="BB346" s="95"/>
      <c r="BC346" s="95">
        <v>0</v>
      </c>
      <c r="BD346" s="95"/>
      <c r="BE346" s="95"/>
      <c r="BF346" s="95"/>
      <c r="BG346" s="95"/>
      <c r="BH346" s="95">
        <f t="shared" si="24"/>
        <v>643781</v>
      </c>
      <c r="BI346" s="95"/>
      <c r="BJ346" s="95"/>
      <c r="BK346" s="95"/>
      <c r="BL346" s="95"/>
    </row>
    <row r="347" spans="1:79" s="4" customFormat="1" ht="25.5" customHeight="1" x14ac:dyDescent="0.2">
      <c r="A347" s="88">
        <v>2240</v>
      </c>
      <c r="B347" s="88"/>
      <c r="C347" s="88"/>
      <c r="D347" s="88"/>
      <c r="E347" s="88"/>
      <c r="F347" s="88"/>
      <c r="G347" s="55" t="s">
        <v>182</v>
      </c>
      <c r="H347" s="56"/>
      <c r="I347" s="56"/>
      <c r="J347" s="56"/>
      <c r="K347" s="56"/>
      <c r="L347" s="56"/>
      <c r="M347" s="56"/>
      <c r="N347" s="56"/>
      <c r="O347" s="56"/>
      <c r="P347" s="57"/>
      <c r="Q347" s="95">
        <v>4353324</v>
      </c>
      <c r="R347" s="95"/>
      <c r="S347" s="95"/>
      <c r="T347" s="95"/>
      <c r="U347" s="95"/>
      <c r="V347" s="95">
        <v>0</v>
      </c>
      <c r="W347" s="95"/>
      <c r="X347" s="95"/>
      <c r="Y347" s="95"/>
      <c r="Z347" s="95">
        <v>0</v>
      </c>
      <c r="AA347" s="95"/>
      <c r="AB347" s="95"/>
      <c r="AC347" s="95"/>
      <c r="AD347" s="95"/>
      <c r="AE347" s="95">
        <v>0</v>
      </c>
      <c r="AF347" s="95"/>
      <c r="AG347" s="95"/>
      <c r="AH347" s="95"/>
      <c r="AI347" s="95"/>
      <c r="AJ347" s="95">
        <f t="shared" si="22"/>
        <v>4353324</v>
      </c>
      <c r="AK347" s="95"/>
      <c r="AL347" s="95"/>
      <c r="AM347" s="95"/>
      <c r="AN347" s="95"/>
      <c r="AO347" s="95">
        <v>3848487</v>
      </c>
      <c r="AP347" s="95"/>
      <c r="AQ347" s="95"/>
      <c r="AR347" s="95"/>
      <c r="AS347" s="95"/>
      <c r="AT347" s="95">
        <f t="shared" si="23"/>
        <v>0</v>
      </c>
      <c r="AU347" s="95"/>
      <c r="AV347" s="95"/>
      <c r="AW347" s="95"/>
      <c r="AX347" s="95">
        <v>0</v>
      </c>
      <c r="AY347" s="95"/>
      <c r="AZ347" s="95"/>
      <c r="BA347" s="95"/>
      <c r="BB347" s="95"/>
      <c r="BC347" s="95">
        <v>0</v>
      </c>
      <c r="BD347" s="95"/>
      <c r="BE347" s="95"/>
      <c r="BF347" s="95"/>
      <c r="BG347" s="95"/>
      <c r="BH347" s="95">
        <f t="shared" si="24"/>
        <v>3848487</v>
      </c>
      <c r="BI347" s="95"/>
      <c r="BJ347" s="95"/>
      <c r="BK347" s="95"/>
      <c r="BL347" s="95"/>
    </row>
    <row r="348" spans="1:79" s="4" customFormat="1" ht="25.5" customHeight="1" x14ac:dyDescent="0.2">
      <c r="A348" s="88">
        <v>2272</v>
      </c>
      <c r="B348" s="88"/>
      <c r="C348" s="88"/>
      <c r="D348" s="88"/>
      <c r="E348" s="88"/>
      <c r="F348" s="88"/>
      <c r="G348" s="55" t="s">
        <v>183</v>
      </c>
      <c r="H348" s="56"/>
      <c r="I348" s="56"/>
      <c r="J348" s="56"/>
      <c r="K348" s="56"/>
      <c r="L348" s="56"/>
      <c r="M348" s="56"/>
      <c r="N348" s="56"/>
      <c r="O348" s="56"/>
      <c r="P348" s="57"/>
      <c r="Q348" s="95">
        <v>135131</v>
      </c>
      <c r="R348" s="95"/>
      <c r="S348" s="95"/>
      <c r="T348" s="95"/>
      <c r="U348" s="95"/>
      <c r="V348" s="95">
        <v>0</v>
      </c>
      <c r="W348" s="95"/>
      <c r="X348" s="95"/>
      <c r="Y348" s="95"/>
      <c r="Z348" s="95">
        <v>0</v>
      </c>
      <c r="AA348" s="95"/>
      <c r="AB348" s="95"/>
      <c r="AC348" s="95"/>
      <c r="AD348" s="95"/>
      <c r="AE348" s="95">
        <v>0</v>
      </c>
      <c r="AF348" s="95"/>
      <c r="AG348" s="95"/>
      <c r="AH348" s="95"/>
      <c r="AI348" s="95"/>
      <c r="AJ348" s="95">
        <f t="shared" si="22"/>
        <v>135131</v>
      </c>
      <c r="AK348" s="95"/>
      <c r="AL348" s="95"/>
      <c r="AM348" s="95"/>
      <c r="AN348" s="95"/>
      <c r="AO348" s="95">
        <v>109960</v>
      </c>
      <c r="AP348" s="95"/>
      <c r="AQ348" s="95"/>
      <c r="AR348" s="95"/>
      <c r="AS348" s="95"/>
      <c r="AT348" s="95">
        <f t="shared" si="23"/>
        <v>0</v>
      </c>
      <c r="AU348" s="95"/>
      <c r="AV348" s="95"/>
      <c r="AW348" s="95"/>
      <c r="AX348" s="95">
        <v>0</v>
      </c>
      <c r="AY348" s="95"/>
      <c r="AZ348" s="95"/>
      <c r="BA348" s="95"/>
      <c r="BB348" s="95"/>
      <c r="BC348" s="95">
        <v>0</v>
      </c>
      <c r="BD348" s="95"/>
      <c r="BE348" s="95"/>
      <c r="BF348" s="95"/>
      <c r="BG348" s="95"/>
      <c r="BH348" s="95">
        <f t="shared" si="24"/>
        <v>109960</v>
      </c>
      <c r="BI348" s="95"/>
      <c r="BJ348" s="95"/>
      <c r="BK348" s="95"/>
      <c r="BL348" s="95"/>
    </row>
    <row r="349" spans="1:79" s="4" customFormat="1" ht="12.75" customHeight="1" x14ac:dyDescent="0.2">
      <c r="A349" s="88">
        <v>2273</v>
      </c>
      <c r="B349" s="88"/>
      <c r="C349" s="88"/>
      <c r="D349" s="88"/>
      <c r="E349" s="88"/>
      <c r="F349" s="88"/>
      <c r="G349" s="55" t="s">
        <v>184</v>
      </c>
      <c r="H349" s="56"/>
      <c r="I349" s="56"/>
      <c r="J349" s="56"/>
      <c r="K349" s="56"/>
      <c r="L349" s="56"/>
      <c r="M349" s="56"/>
      <c r="N349" s="56"/>
      <c r="O349" s="56"/>
      <c r="P349" s="57"/>
      <c r="Q349" s="95">
        <v>4889255</v>
      </c>
      <c r="R349" s="95"/>
      <c r="S349" s="95"/>
      <c r="T349" s="95"/>
      <c r="U349" s="95"/>
      <c r="V349" s="95">
        <v>0</v>
      </c>
      <c r="W349" s="95"/>
      <c r="X349" s="95"/>
      <c r="Y349" s="95"/>
      <c r="Z349" s="95">
        <v>0</v>
      </c>
      <c r="AA349" s="95"/>
      <c r="AB349" s="95"/>
      <c r="AC349" s="95"/>
      <c r="AD349" s="95"/>
      <c r="AE349" s="95">
        <v>0</v>
      </c>
      <c r="AF349" s="95"/>
      <c r="AG349" s="95"/>
      <c r="AH349" s="95"/>
      <c r="AI349" s="95"/>
      <c r="AJ349" s="95">
        <f t="shared" si="22"/>
        <v>4889255</v>
      </c>
      <c r="AK349" s="95"/>
      <c r="AL349" s="95"/>
      <c r="AM349" s="95"/>
      <c r="AN349" s="95"/>
      <c r="AO349" s="95">
        <v>7132950</v>
      </c>
      <c r="AP349" s="95"/>
      <c r="AQ349" s="95"/>
      <c r="AR349" s="95"/>
      <c r="AS349" s="95"/>
      <c r="AT349" s="95">
        <f t="shared" si="23"/>
        <v>0</v>
      </c>
      <c r="AU349" s="95"/>
      <c r="AV349" s="95"/>
      <c r="AW349" s="95"/>
      <c r="AX349" s="95">
        <v>0</v>
      </c>
      <c r="AY349" s="95"/>
      <c r="AZ349" s="95"/>
      <c r="BA349" s="95"/>
      <c r="BB349" s="95"/>
      <c r="BC349" s="95">
        <v>0</v>
      </c>
      <c r="BD349" s="95"/>
      <c r="BE349" s="95"/>
      <c r="BF349" s="95"/>
      <c r="BG349" s="95"/>
      <c r="BH349" s="95">
        <f t="shared" si="24"/>
        <v>7132950</v>
      </c>
      <c r="BI349" s="95"/>
      <c r="BJ349" s="95"/>
      <c r="BK349" s="95"/>
      <c r="BL349" s="95"/>
    </row>
    <row r="350" spans="1:79" s="4" customFormat="1" ht="12.75" customHeight="1" x14ac:dyDescent="0.2">
      <c r="A350" s="88">
        <v>2274</v>
      </c>
      <c r="B350" s="88"/>
      <c r="C350" s="88"/>
      <c r="D350" s="88"/>
      <c r="E350" s="88"/>
      <c r="F350" s="88"/>
      <c r="G350" s="55" t="s">
        <v>185</v>
      </c>
      <c r="H350" s="56"/>
      <c r="I350" s="56"/>
      <c r="J350" s="56"/>
      <c r="K350" s="56"/>
      <c r="L350" s="56"/>
      <c r="M350" s="56"/>
      <c r="N350" s="56"/>
      <c r="O350" s="56"/>
      <c r="P350" s="57"/>
      <c r="Q350" s="95">
        <v>2460918</v>
      </c>
      <c r="R350" s="95"/>
      <c r="S350" s="95"/>
      <c r="T350" s="95"/>
      <c r="U350" s="95"/>
      <c r="V350" s="95">
        <v>0</v>
      </c>
      <c r="W350" s="95"/>
      <c r="X350" s="95"/>
      <c r="Y350" s="95"/>
      <c r="Z350" s="95">
        <v>0</v>
      </c>
      <c r="AA350" s="95"/>
      <c r="AB350" s="95"/>
      <c r="AC350" s="95"/>
      <c r="AD350" s="95"/>
      <c r="AE350" s="95">
        <v>0</v>
      </c>
      <c r="AF350" s="95"/>
      <c r="AG350" s="95"/>
      <c r="AH350" s="95"/>
      <c r="AI350" s="95"/>
      <c r="AJ350" s="95">
        <f t="shared" si="22"/>
        <v>2460918</v>
      </c>
      <c r="AK350" s="95"/>
      <c r="AL350" s="95"/>
      <c r="AM350" s="95"/>
      <c r="AN350" s="95"/>
      <c r="AO350" s="95">
        <v>2435963</v>
      </c>
      <c r="AP350" s="95"/>
      <c r="AQ350" s="95"/>
      <c r="AR350" s="95"/>
      <c r="AS350" s="95"/>
      <c r="AT350" s="95">
        <f t="shared" si="23"/>
        <v>0</v>
      </c>
      <c r="AU350" s="95"/>
      <c r="AV350" s="95"/>
      <c r="AW350" s="95"/>
      <c r="AX350" s="95">
        <v>0</v>
      </c>
      <c r="AY350" s="95"/>
      <c r="AZ350" s="95"/>
      <c r="BA350" s="95"/>
      <c r="BB350" s="95"/>
      <c r="BC350" s="95">
        <v>0</v>
      </c>
      <c r="BD350" s="95"/>
      <c r="BE350" s="95"/>
      <c r="BF350" s="95"/>
      <c r="BG350" s="95"/>
      <c r="BH350" s="95">
        <f t="shared" si="24"/>
        <v>2435963</v>
      </c>
      <c r="BI350" s="95"/>
      <c r="BJ350" s="95"/>
      <c r="BK350" s="95"/>
      <c r="BL350" s="95"/>
    </row>
    <row r="351" spans="1:79" s="4" customFormat="1" ht="25.5" customHeight="1" x14ac:dyDescent="0.2">
      <c r="A351" s="88">
        <v>2275</v>
      </c>
      <c r="B351" s="88"/>
      <c r="C351" s="88"/>
      <c r="D351" s="88"/>
      <c r="E351" s="88"/>
      <c r="F351" s="88"/>
      <c r="G351" s="55" t="s">
        <v>186</v>
      </c>
      <c r="H351" s="56"/>
      <c r="I351" s="56"/>
      <c r="J351" s="56"/>
      <c r="K351" s="56"/>
      <c r="L351" s="56"/>
      <c r="M351" s="56"/>
      <c r="N351" s="56"/>
      <c r="O351" s="56"/>
      <c r="P351" s="57"/>
      <c r="Q351" s="95">
        <v>1269932</v>
      </c>
      <c r="R351" s="95"/>
      <c r="S351" s="95"/>
      <c r="T351" s="95"/>
      <c r="U351" s="95"/>
      <c r="V351" s="95">
        <v>0</v>
      </c>
      <c r="W351" s="95"/>
      <c r="X351" s="95"/>
      <c r="Y351" s="95"/>
      <c r="Z351" s="95">
        <v>0</v>
      </c>
      <c r="AA351" s="95"/>
      <c r="AB351" s="95"/>
      <c r="AC351" s="95"/>
      <c r="AD351" s="95"/>
      <c r="AE351" s="95">
        <v>0</v>
      </c>
      <c r="AF351" s="95"/>
      <c r="AG351" s="95"/>
      <c r="AH351" s="95"/>
      <c r="AI351" s="95"/>
      <c r="AJ351" s="95">
        <f t="shared" si="22"/>
        <v>1269932</v>
      </c>
      <c r="AK351" s="95"/>
      <c r="AL351" s="95"/>
      <c r="AM351" s="95"/>
      <c r="AN351" s="95"/>
      <c r="AO351" s="95">
        <v>468194</v>
      </c>
      <c r="AP351" s="95"/>
      <c r="AQ351" s="95"/>
      <c r="AR351" s="95"/>
      <c r="AS351" s="95"/>
      <c r="AT351" s="95">
        <f t="shared" si="23"/>
        <v>0</v>
      </c>
      <c r="AU351" s="95"/>
      <c r="AV351" s="95"/>
      <c r="AW351" s="95"/>
      <c r="AX351" s="95">
        <v>0</v>
      </c>
      <c r="AY351" s="95"/>
      <c r="AZ351" s="95"/>
      <c r="BA351" s="95"/>
      <c r="BB351" s="95"/>
      <c r="BC351" s="95">
        <v>0</v>
      </c>
      <c r="BD351" s="95"/>
      <c r="BE351" s="95"/>
      <c r="BF351" s="95"/>
      <c r="BG351" s="95"/>
      <c r="BH351" s="95">
        <f t="shared" si="24"/>
        <v>468194</v>
      </c>
      <c r="BI351" s="95"/>
      <c r="BJ351" s="95"/>
      <c r="BK351" s="95"/>
      <c r="BL351" s="95"/>
    </row>
    <row r="352" spans="1:79" s="4" customFormat="1" ht="51" customHeight="1" x14ac:dyDescent="0.2">
      <c r="A352" s="88">
        <v>2282</v>
      </c>
      <c r="B352" s="88"/>
      <c r="C352" s="88"/>
      <c r="D352" s="88"/>
      <c r="E352" s="88"/>
      <c r="F352" s="88"/>
      <c r="G352" s="55" t="s">
        <v>187</v>
      </c>
      <c r="H352" s="56"/>
      <c r="I352" s="56"/>
      <c r="J352" s="56"/>
      <c r="K352" s="56"/>
      <c r="L352" s="56"/>
      <c r="M352" s="56"/>
      <c r="N352" s="56"/>
      <c r="O352" s="56"/>
      <c r="P352" s="57"/>
      <c r="Q352" s="95">
        <v>29600</v>
      </c>
      <c r="R352" s="95"/>
      <c r="S352" s="95"/>
      <c r="T352" s="95"/>
      <c r="U352" s="95"/>
      <c r="V352" s="95">
        <v>0</v>
      </c>
      <c r="W352" s="95"/>
      <c r="X352" s="95"/>
      <c r="Y352" s="95"/>
      <c r="Z352" s="95">
        <v>0</v>
      </c>
      <c r="AA352" s="95"/>
      <c r="AB352" s="95"/>
      <c r="AC352" s="95"/>
      <c r="AD352" s="95"/>
      <c r="AE352" s="95">
        <v>0</v>
      </c>
      <c r="AF352" s="95"/>
      <c r="AG352" s="95"/>
      <c r="AH352" s="95"/>
      <c r="AI352" s="95"/>
      <c r="AJ352" s="95">
        <f t="shared" si="22"/>
        <v>29600</v>
      </c>
      <c r="AK352" s="95"/>
      <c r="AL352" s="95"/>
      <c r="AM352" s="95"/>
      <c r="AN352" s="95"/>
      <c r="AO352" s="95">
        <v>30600</v>
      </c>
      <c r="AP352" s="95"/>
      <c r="AQ352" s="95"/>
      <c r="AR352" s="95"/>
      <c r="AS352" s="95"/>
      <c r="AT352" s="95">
        <f t="shared" si="23"/>
        <v>0</v>
      </c>
      <c r="AU352" s="95"/>
      <c r="AV352" s="95"/>
      <c r="AW352" s="95"/>
      <c r="AX352" s="95">
        <v>0</v>
      </c>
      <c r="AY352" s="95"/>
      <c r="AZ352" s="95"/>
      <c r="BA352" s="95"/>
      <c r="BB352" s="95"/>
      <c r="BC352" s="95">
        <v>0</v>
      </c>
      <c r="BD352" s="95"/>
      <c r="BE352" s="95"/>
      <c r="BF352" s="95"/>
      <c r="BG352" s="95"/>
      <c r="BH352" s="95">
        <f t="shared" si="24"/>
        <v>30600</v>
      </c>
      <c r="BI352" s="95"/>
      <c r="BJ352" s="95"/>
      <c r="BK352" s="95"/>
      <c r="BL352" s="95"/>
    </row>
    <row r="353" spans="1:79" s="4" customFormat="1" ht="12.75" customHeight="1" x14ac:dyDescent="0.2">
      <c r="A353" s="88">
        <v>2800</v>
      </c>
      <c r="B353" s="88"/>
      <c r="C353" s="88"/>
      <c r="D353" s="88"/>
      <c r="E353" s="88"/>
      <c r="F353" s="88"/>
      <c r="G353" s="55" t="s">
        <v>188</v>
      </c>
      <c r="H353" s="56"/>
      <c r="I353" s="56"/>
      <c r="J353" s="56"/>
      <c r="K353" s="56"/>
      <c r="L353" s="56"/>
      <c r="M353" s="56"/>
      <c r="N353" s="56"/>
      <c r="O353" s="56"/>
      <c r="P353" s="57"/>
      <c r="Q353" s="95">
        <v>3000</v>
      </c>
      <c r="R353" s="95"/>
      <c r="S353" s="95"/>
      <c r="T353" s="95"/>
      <c r="U353" s="95"/>
      <c r="V353" s="95">
        <v>0</v>
      </c>
      <c r="W353" s="95"/>
      <c r="X353" s="95"/>
      <c r="Y353" s="95"/>
      <c r="Z353" s="95">
        <v>0</v>
      </c>
      <c r="AA353" s="95"/>
      <c r="AB353" s="95"/>
      <c r="AC353" s="95"/>
      <c r="AD353" s="95"/>
      <c r="AE353" s="95">
        <v>0</v>
      </c>
      <c r="AF353" s="95"/>
      <c r="AG353" s="95"/>
      <c r="AH353" s="95"/>
      <c r="AI353" s="95"/>
      <c r="AJ353" s="95">
        <f t="shared" si="22"/>
        <v>3000</v>
      </c>
      <c r="AK353" s="95"/>
      <c r="AL353" s="95"/>
      <c r="AM353" s="95"/>
      <c r="AN353" s="95"/>
      <c r="AO353" s="95">
        <v>2000</v>
      </c>
      <c r="AP353" s="95"/>
      <c r="AQ353" s="95"/>
      <c r="AR353" s="95"/>
      <c r="AS353" s="95"/>
      <c r="AT353" s="95">
        <f t="shared" si="23"/>
        <v>0</v>
      </c>
      <c r="AU353" s="95"/>
      <c r="AV353" s="95"/>
      <c r="AW353" s="95"/>
      <c r="AX353" s="95">
        <v>0</v>
      </c>
      <c r="AY353" s="95"/>
      <c r="AZ353" s="95"/>
      <c r="BA353" s="95"/>
      <c r="BB353" s="95"/>
      <c r="BC353" s="95">
        <v>0</v>
      </c>
      <c r="BD353" s="95"/>
      <c r="BE353" s="95"/>
      <c r="BF353" s="95"/>
      <c r="BG353" s="95"/>
      <c r="BH353" s="95">
        <f t="shared" si="24"/>
        <v>2000</v>
      </c>
      <c r="BI353" s="95"/>
      <c r="BJ353" s="95"/>
      <c r="BK353" s="95"/>
      <c r="BL353" s="95"/>
    </row>
    <row r="354" spans="1:79" s="5" customFormat="1" ht="12.75" customHeight="1" x14ac:dyDescent="0.2">
      <c r="A354" s="105"/>
      <c r="B354" s="105"/>
      <c r="C354" s="105"/>
      <c r="D354" s="105"/>
      <c r="E354" s="105"/>
      <c r="F354" s="105"/>
      <c r="G354" s="96" t="s">
        <v>147</v>
      </c>
      <c r="H354" s="97"/>
      <c r="I354" s="97"/>
      <c r="J354" s="97"/>
      <c r="K354" s="97"/>
      <c r="L354" s="97"/>
      <c r="M354" s="97"/>
      <c r="N354" s="97"/>
      <c r="O354" s="97"/>
      <c r="P354" s="98"/>
      <c r="Q354" s="94">
        <v>20959368</v>
      </c>
      <c r="R354" s="94"/>
      <c r="S354" s="94"/>
      <c r="T354" s="94"/>
      <c r="U354" s="94"/>
      <c r="V354" s="94">
        <v>0</v>
      </c>
      <c r="W354" s="94"/>
      <c r="X354" s="94"/>
      <c r="Y354" s="94"/>
      <c r="Z354" s="94">
        <v>0</v>
      </c>
      <c r="AA354" s="94"/>
      <c r="AB354" s="94"/>
      <c r="AC354" s="94"/>
      <c r="AD354" s="94"/>
      <c r="AE354" s="94">
        <v>0</v>
      </c>
      <c r="AF354" s="94"/>
      <c r="AG354" s="94"/>
      <c r="AH354" s="94"/>
      <c r="AI354" s="94"/>
      <c r="AJ354" s="94">
        <f t="shared" si="22"/>
        <v>20959368</v>
      </c>
      <c r="AK354" s="94"/>
      <c r="AL354" s="94"/>
      <c r="AM354" s="94"/>
      <c r="AN354" s="94"/>
      <c r="AO354" s="94">
        <v>21594065</v>
      </c>
      <c r="AP354" s="94"/>
      <c r="AQ354" s="94"/>
      <c r="AR354" s="94"/>
      <c r="AS354" s="94"/>
      <c r="AT354" s="94">
        <f t="shared" si="23"/>
        <v>0</v>
      </c>
      <c r="AU354" s="94"/>
      <c r="AV354" s="94"/>
      <c r="AW354" s="94"/>
      <c r="AX354" s="94">
        <v>0</v>
      </c>
      <c r="AY354" s="94"/>
      <c r="AZ354" s="94"/>
      <c r="BA354" s="94"/>
      <c r="BB354" s="94"/>
      <c r="BC354" s="94">
        <v>0</v>
      </c>
      <c r="BD354" s="94"/>
      <c r="BE354" s="94"/>
      <c r="BF354" s="94"/>
      <c r="BG354" s="94"/>
      <c r="BH354" s="94">
        <f t="shared" si="24"/>
        <v>21594065</v>
      </c>
      <c r="BI354" s="94"/>
      <c r="BJ354" s="94"/>
      <c r="BK354" s="94"/>
      <c r="BL354" s="94"/>
    </row>
    <row r="356" spans="1:79" ht="14.25" customHeight="1" x14ac:dyDescent="0.2">
      <c r="A356" s="28" t="s">
        <v>287</v>
      </c>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row>
    <row r="357" spans="1:79" ht="15" customHeight="1" x14ac:dyDescent="0.2">
      <c r="A357" s="41" t="s">
        <v>280</v>
      </c>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c r="BJ357" s="41"/>
      <c r="BK357" s="41"/>
      <c r="BL357" s="41"/>
    </row>
    <row r="358" spans="1:79" ht="42.95" customHeight="1" x14ac:dyDescent="0.2">
      <c r="A358" s="83" t="s">
        <v>135</v>
      </c>
      <c r="B358" s="83"/>
      <c r="C358" s="83"/>
      <c r="D358" s="83"/>
      <c r="E358" s="83"/>
      <c r="F358" s="83"/>
      <c r="G358" s="48" t="s">
        <v>19</v>
      </c>
      <c r="H358" s="48"/>
      <c r="I358" s="48"/>
      <c r="J358" s="48"/>
      <c r="K358" s="48"/>
      <c r="L358" s="48"/>
      <c r="M358" s="48"/>
      <c r="N358" s="48"/>
      <c r="O358" s="48"/>
      <c r="P358" s="48"/>
      <c r="Q358" s="48"/>
      <c r="R358" s="48"/>
      <c r="S358" s="48"/>
      <c r="T358" s="48" t="s">
        <v>15</v>
      </c>
      <c r="U358" s="48"/>
      <c r="V358" s="48"/>
      <c r="W358" s="48"/>
      <c r="X358" s="48"/>
      <c r="Y358" s="48"/>
      <c r="Z358" s="48" t="s">
        <v>14</v>
      </c>
      <c r="AA358" s="48"/>
      <c r="AB358" s="48"/>
      <c r="AC358" s="48"/>
      <c r="AD358" s="48"/>
      <c r="AE358" s="48" t="s">
        <v>283</v>
      </c>
      <c r="AF358" s="48"/>
      <c r="AG358" s="48"/>
      <c r="AH358" s="48"/>
      <c r="AI358" s="48"/>
      <c r="AJ358" s="48"/>
      <c r="AK358" s="48" t="s">
        <v>288</v>
      </c>
      <c r="AL358" s="48"/>
      <c r="AM358" s="48"/>
      <c r="AN358" s="48"/>
      <c r="AO358" s="48"/>
      <c r="AP358" s="48"/>
      <c r="AQ358" s="48" t="s">
        <v>301</v>
      </c>
      <c r="AR358" s="48"/>
      <c r="AS358" s="48"/>
      <c r="AT358" s="48"/>
      <c r="AU358" s="48"/>
      <c r="AV358" s="48"/>
      <c r="AW358" s="48" t="s">
        <v>18</v>
      </c>
      <c r="AX358" s="48"/>
      <c r="AY358" s="48"/>
      <c r="AZ358" s="48"/>
      <c r="BA358" s="48"/>
      <c r="BB358" s="48"/>
      <c r="BC358" s="48"/>
      <c r="BD358" s="48"/>
      <c r="BE358" s="48" t="s">
        <v>156</v>
      </c>
      <c r="BF358" s="48"/>
      <c r="BG358" s="48"/>
      <c r="BH358" s="48"/>
      <c r="BI358" s="48"/>
      <c r="BJ358" s="48"/>
      <c r="BK358" s="48"/>
      <c r="BL358" s="48"/>
    </row>
    <row r="359" spans="1:79" ht="21.75" customHeight="1" x14ac:dyDescent="0.2">
      <c r="A359" s="83"/>
      <c r="B359" s="83"/>
      <c r="C359" s="83"/>
      <c r="D359" s="83"/>
      <c r="E359" s="83"/>
      <c r="F359" s="83"/>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row>
    <row r="360" spans="1:79" ht="15" customHeight="1" x14ac:dyDescent="0.2">
      <c r="A360" s="48">
        <v>1</v>
      </c>
      <c r="B360" s="48"/>
      <c r="C360" s="48"/>
      <c r="D360" s="48"/>
      <c r="E360" s="48"/>
      <c r="F360" s="48"/>
      <c r="G360" s="48">
        <v>2</v>
      </c>
      <c r="H360" s="48"/>
      <c r="I360" s="48"/>
      <c r="J360" s="48"/>
      <c r="K360" s="48"/>
      <c r="L360" s="48"/>
      <c r="M360" s="48"/>
      <c r="N360" s="48"/>
      <c r="O360" s="48"/>
      <c r="P360" s="48"/>
      <c r="Q360" s="48"/>
      <c r="R360" s="48"/>
      <c r="S360" s="48"/>
      <c r="T360" s="48">
        <v>3</v>
      </c>
      <c r="U360" s="48"/>
      <c r="V360" s="48"/>
      <c r="W360" s="48"/>
      <c r="X360" s="48"/>
      <c r="Y360" s="48"/>
      <c r="Z360" s="48">
        <v>4</v>
      </c>
      <c r="AA360" s="48"/>
      <c r="AB360" s="48"/>
      <c r="AC360" s="48"/>
      <c r="AD360" s="48"/>
      <c r="AE360" s="48">
        <v>5</v>
      </c>
      <c r="AF360" s="48"/>
      <c r="AG360" s="48"/>
      <c r="AH360" s="48"/>
      <c r="AI360" s="48"/>
      <c r="AJ360" s="48"/>
      <c r="AK360" s="48">
        <v>6</v>
      </c>
      <c r="AL360" s="48"/>
      <c r="AM360" s="48"/>
      <c r="AN360" s="48"/>
      <c r="AO360" s="48"/>
      <c r="AP360" s="48"/>
      <c r="AQ360" s="48">
        <v>7</v>
      </c>
      <c r="AR360" s="48"/>
      <c r="AS360" s="48"/>
      <c r="AT360" s="48"/>
      <c r="AU360" s="48"/>
      <c r="AV360" s="48"/>
      <c r="AW360" s="66">
        <v>8</v>
      </c>
      <c r="AX360" s="66"/>
      <c r="AY360" s="66"/>
      <c r="AZ360" s="66"/>
      <c r="BA360" s="66"/>
      <c r="BB360" s="66"/>
      <c r="BC360" s="66"/>
      <c r="BD360" s="66"/>
      <c r="BE360" s="66">
        <v>9</v>
      </c>
      <c r="BF360" s="66"/>
      <c r="BG360" s="66"/>
      <c r="BH360" s="66"/>
      <c r="BI360" s="66"/>
      <c r="BJ360" s="66"/>
      <c r="BK360" s="66"/>
      <c r="BL360" s="66"/>
    </row>
    <row r="361" spans="1:79" s="1" customFormat="1" ht="18.75" hidden="1" customHeight="1" x14ac:dyDescent="0.2">
      <c r="A361" s="66" t="s">
        <v>64</v>
      </c>
      <c r="B361" s="66"/>
      <c r="C361" s="66"/>
      <c r="D361" s="66"/>
      <c r="E361" s="66"/>
      <c r="F361" s="66"/>
      <c r="G361" s="104" t="s">
        <v>57</v>
      </c>
      <c r="H361" s="104"/>
      <c r="I361" s="104"/>
      <c r="J361" s="104"/>
      <c r="K361" s="104"/>
      <c r="L361" s="104"/>
      <c r="M361" s="104"/>
      <c r="N361" s="104"/>
      <c r="O361" s="104"/>
      <c r="P361" s="104"/>
      <c r="Q361" s="104"/>
      <c r="R361" s="104"/>
      <c r="S361" s="104"/>
      <c r="T361" s="90" t="s">
        <v>80</v>
      </c>
      <c r="U361" s="90"/>
      <c r="V361" s="90"/>
      <c r="W361" s="90"/>
      <c r="X361" s="90"/>
      <c r="Y361" s="90"/>
      <c r="Z361" s="90" t="s">
        <v>81</v>
      </c>
      <c r="AA361" s="90"/>
      <c r="AB361" s="90"/>
      <c r="AC361" s="90"/>
      <c r="AD361" s="90"/>
      <c r="AE361" s="90" t="s">
        <v>82</v>
      </c>
      <c r="AF361" s="90"/>
      <c r="AG361" s="90"/>
      <c r="AH361" s="90"/>
      <c r="AI361" s="90"/>
      <c r="AJ361" s="90"/>
      <c r="AK361" s="90" t="s">
        <v>83</v>
      </c>
      <c r="AL361" s="90"/>
      <c r="AM361" s="90"/>
      <c r="AN361" s="90"/>
      <c r="AO361" s="90"/>
      <c r="AP361" s="90"/>
      <c r="AQ361" s="90" t="s">
        <v>84</v>
      </c>
      <c r="AR361" s="90"/>
      <c r="AS361" s="90"/>
      <c r="AT361" s="90"/>
      <c r="AU361" s="90"/>
      <c r="AV361" s="90"/>
      <c r="AW361" s="104" t="s">
        <v>87</v>
      </c>
      <c r="AX361" s="104"/>
      <c r="AY361" s="104"/>
      <c r="AZ361" s="104"/>
      <c r="BA361" s="104"/>
      <c r="BB361" s="104"/>
      <c r="BC361" s="104"/>
      <c r="BD361" s="104"/>
      <c r="BE361" s="104" t="s">
        <v>88</v>
      </c>
      <c r="BF361" s="104"/>
      <c r="BG361" s="104"/>
      <c r="BH361" s="104"/>
      <c r="BI361" s="104"/>
      <c r="BJ361" s="104"/>
      <c r="BK361" s="104"/>
      <c r="BL361" s="104"/>
      <c r="CA361" s="1" t="s">
        <v>54</v>
      </c>
    </row>
    <row r="362" spans="1:79" s="4" customFormat="1" ht="12.75" customHeight="1" x14ac:dyDescent="0.2">
      <c r="A362" s="88">
        <v>2111</v>
      </c>
      <c r="B362" s="88"/>
      <c r="C362" s="88"/>
      <c r="D362" s="88"/>
      <c r="E362" s="88"/>
      <c r="F362" s="88"/>
      <c r="G362" s="55" t="s">
        <v>178</v>
      </c>
      <c r="H362" s="56"/>
      <c r="I362" s="56"/>
      <c r="J362" s="56"/>
      <c r="K362" s="56"/>
      <c r="L362" s="56"/>
      <c r="M362" s="56"/>
      <c r="N362" s="56"/>
      <c r="O362" s="56"/>
      <c r="P362" s="56"/>
      <c r="Q362" s="56"/>
      <c r="R362" s="56"/>
      <c r="S362" s="57"/>
      <c r="T362" s="95">
        <v>4967113</v>
      </c>
      <c r="U362" s="95"/>
      <c r="V362" s="95"/>
      <c r="W362" s="95"/>
      <c r="X362" s="95"/>
      <c r="Y362" s="95"/>
      <c r="Z362" s="95">
        <v>4907721</v>
      </c>
      <c r="AA362" s="95"/>
      <c r="AB362" s="95"/>
      <c r="AC362" s="95"/>
      <c r="AD362" s="95"/>
      <c r="AE362" s="95">
        <v>0</v>
      </c>
      <c r="AF362" s="95"/>
      <c r="AG362" s="95"/>
      <c r="AH362" s="95"/>
      <c r="AI362" s="95"/>
      <c r="AJ362" s="95"/>
      <c r="AK362" s="95">
        <v>0</v>
      </c>
      <c r="AL362" s="95"/>
      <c r="AM362" s="95"/>
      <c r="AN362" s="95"/>
      <c r="AO362" s="95"/>
      <c r="AP362" s="95"/>
      <c r="AQ362" s="95">
        <v>0</v>
      </c>
      <c r="AR362" s="95"/>
      <c r="AS362" s="95"/>
      <c r="AT362" s="95"/>
      <c r="AU362" s="95"/>
      <c r="AV362" s="95"/>
      <c r="AW362" s="120"/>
      <c r="AX362" s="120"/>
      <c r="AY362" s="120"/>
      <c r="AZ362" s="120"/>
      <c r="BA362" s="120"/>
      <c r="BB362" s="120"/>
      <c r="BC362" s="120"/>
      <c r="BD362" s="120"/>
      <c r="BE362" s="120"/>
      <c r="BF362" s="120"/>
      <c r="BG362" s="120"/>
      <c r="BH362" s="120"/>
      <c r="BI362" s="120"/>
      <c r="BJ362" s="120"/>
      <c r="BK362" s="120"/>
      <c r="BL362" s="120"/>
      <c r="CA362" s="4" t="s">
        <v>55</v>
      </c>
    </row>
    <row r="363" spans="1:79" s="4" customFormat="1" ht="12.75" customHeight="1" x14ac:dyDescent="0.2">
      <c r="A363" s="88">
        <v>2120</v>
      </c>
      <c r="B363" s="88"/>
      <c r="C363" s="88"/>
      <c r="D363" s="88"/>
      <c r="E363" s="88"/>
      <c r="F363" s="88"/>
      <c r="G363" s="55" t="s">
        <v>179</v>
      </c>
      <c r="H363" s="56"/>
      <c r="I363" s="56"/>
      <c r="J363" s="56"/>
      <c r="K363" s="56"/>
      <c r="L363" s="56"/>
      <c r="M363" s="56"/>
      <c r="N363" s="56"/>
      <c r="O363" s="56"/>
      <c r="P363" s="56"/>
      <c r="Q363" s="56"/>
      <c r="R363" s="56"/>
      <c r="S363" s="57"/>
      <c r="T363" s="95">
        <v>1311545</v>
      </c>
      <c r="U363" s="95"/>
      <c r="V363" s="95"/>
      <c r="W363" s="95"/>
      <c r="X363" s="95"/>
      <c r="Y363" s="95"/>
      <c r="Z363" s="95">
        <v>1268037</v>
      </c>
      <c r="AA363" s="95"/>
      <c r="AB363" s="95"/>
      <c r="AC363" s="95"/>
      <c r="AD363" s="95"/>
      <c r="AE363" s="95">
        <v>0</v>
      </c>
      <c r="AF363" s="95"/>
      <c r="AG363" s="95"/>
      <c r="AH363" s="95"/>
      <c r="AI363" s="95"/>
      <c r="AJ363" s="95"/>
      <c r="AK363" s="95">
        <v>0</v>
      </c>
      <c r="AL363" s="95"/>
      <c r="AM363" s="95"/>
      <c r="AN363" s="95"/>
      <c r="AO363" s="95"/>
      <c r="AP363" s="95"/>
      <c r="AQ363" s="95">
        <v>0</v>
      </c>
      <c r="AR363" s="95"/>
      <c r="AS363" s="95"/>
      <c r="AT363" s="95"/>
      <c r="AU363" s="95"/>
      <c r="AV363" s="95"/>
      <c r="AW363" s="120"/>
      <c r="AX363" s="120"/>
      <c r="AY363" s="120"/>
      <c r="AZ363" s="120"/>
      <c r="BA363" s="120"/>
      <c r="BB363" s="120"/>
      <c r="BC363" s="120"/>
      <c r="BD363" s="120"/>
      <c r="BE363" s="120"/>
      <c r="BF363" s="120"/>
      <c r="BG363" s="120"/>
      <c r="BH363" s="120"/>
      <c r="BI363" s="120"/>
      <c r="BJ363" s="120"/>
      <c r="BK363" s="120"/>
      <c r="BL363" s="120"/>
    </row>
    <row r="364" spans="1:79" s="4" customFormat="1" ht="25.5" customHeight="1" x14ac:dyDescent="0.2">
      <c r="A364" s="88">
        <v>2210</v>
      </c>
      <c r="B364" s="88"/>
      <c r="C364" s="88"/>
      <c r="D364" s="88"/>
      <c r="E364" s="88"/>
      <c r="F364" s="88"/>
      <c r="G364" s="55" t="s">
        <v>180</v>
      </c>
      <c r="H364" s="56"/>
      <c r="I364" s="56"/>
      <c r="J364" s="56"/>
      <c r="K364" s="56"/>
      <c r="L364" s="56"/>
      <c r="M364" s="56"/>
      <c r="N364" s="56"/>
      <c r="O364" s="56"/>
      <c r="P364" s="56"/>
      <c r="Q364" s="56"/>
      <c r="R364" s="56"/>
      <c r="S364" s="57"/>
      <c r="T364" s="95">
        <v>440089</v>
      </c>
      <c r="U364" s="95"/>
      <c r="V364" s="95"/>
      <c r="W364" s="95"/>
      <c r="X364" s="95"/>
      <c r="Y364" s="95"/>
      <c r="Z364" s="95">
        <v>417811</v>
      </c>
      <c r="AA364" s="95"/>
      <c r="AB364" s="95"/>
      <c r="AC364" s="95"/>
      <c r="AD364" s="95"/>
      <c r="AE364" s="95">
        <v>0</v>
      </c>
      <c r="AF364" s="95"/>
      <c r="AG364" s="95"/>
      <c r="AH364" s="95"/>
      <c r="AI364" s="95"/>
      <c r="AJ364" s="95"/>
      <c r="AK364" s="95">
        <v>0</v>
      </c>
      <c r="AL364" s="95"/>
      <c r="AM364" s="95"/>
      <c r="AN364" s="95"/>
      <c r="AO364" s="95"/>
      <c r="AP364" s="95"/>
      <c r="AQ364" s="95">
        <v>0</v>
      </c>
      <c r="AR364" s="95"/>
      <c r="AS364" s="95"/>
      <c r="AT364" s="95"/>
      <c r="AU364" s="95"/>
      <c r="AV364" s="95"/>
      <c r="AW364" s="120"/>
      <c r="AX364" s="120"/>
      <c r="AY364" s="120"/>
      <c r="AZ364" s="120"/>
      <c r="BA364" s="120"/>
      <c r="BB364" s="120"/>
      <c r="BC364" s="120"/>
      <c r="BD364" s="120"/>
      <c r="BE364" s="120"/>
      <c r="BF364" s="120"/>
      <c r="BG364" s="120"/>
      <c r="BH364" s="120"/>
      <c r="BI364" s="120"/>
      <c r="BJ364" s="120"/>
      <c r="BK364" s="120"/>
      <c r="BL364" s="120"/>
    </row>
    <row r="365" spans="1:79" s="4" customFormat="1" ht="12.75" customHeight="1" x14ac:dyDescent="0.2">
      <c r="A365" s="88">
        <v>2240</v>
      </c>
      <c r="B365" s="88"/>
      <c r="C365" s="88"/>
      <c r="D365" s="88"/>
      <c r="E365" s="88"/>
      <c r="F365" s="88"/>
      <c r="G365" s="55" t="s">
        <v>182</v>
      </c>
      <c r="H365" s="56"/>
      <c r="I365" s="56"/>
      <c r="J365" s="56"/>
      <c r="K365" s="56"/>
      <c r="L365" s="56"/>
      <c r="M365" s="56"/>
      <c r="N365" s="56"/>
      <c r="O365" s="56"/>
      <c r="P365" s="56"/>
      <c r="Q365" s="56"/>
      <c r="R365" s="56"/>
      <c r="S365" s="57"/>
      <c r="T365" s="95">
        <v>6176400</v>
      </c>
      <c r="U365" s="95"/>
      <c r="V365" s="95"/>
      <c r="W365" s="95"/>
      <c r="X365" s="95"/>
      <c r="Y365" s="95"/>
      <c r="Z365" s="95">
        <v>5323612</v>
      </c>
      <c r="AA365" s="95"/>
      <c r="AB365" s="95"/>
      <c r="AC365" s="95"/>
      <c r="AD365" s="95"/>
      <c r="AE365" s="95">
        <v>0</v>
      </c>
      <c r="AF365" s="95"/>
      <c r="AG365" s="95"/>
      <c r="AH365" s="95"/>
      <c r="AI365" s="95"/>
      <c r="AJ365" s="95"/>
      <c r="AK365" s="95">
        <v>0</v>
      </c>
      <c r="AL365" s="95"/>
      <c r="AM365" s="95"/>
      <c r="AN365" s="95"/>
      <c r="AO365" s="95"/>
      <c r="AP365" s="95"/>
      <c r="AQ365" s="95">
        <v>0</v>
      </c>
      <c r="AR365" s="95"/>
      <c r="AS365" s="95"/>
      <c r="AT365" s="95"/>
      <c r="AU365" s="95"/>
      <c r="AV365" s="95"/>
      <c r="AW365" s="120"/>
      <c r="AX365" s="120"/>
      <c r="AY365" s="120"/>
      <c r="AZ365" s="120"/>
      <c r="BA365" s="120"/>
      <c r="BB365" s="120"/>
      <c r="BC365" s="120"/>
      <c r="BD365" s="120"/>
      <c r="BE365" s="120"/>
      <c r="BF365" s="120"/>
      <c r="BG365" s="120"/>
      <c r="BH365" s="120"/>
      <c r="BI365" s="120"/>
      <c r="BJ365" s="120"/>
      <c r="BK365" s="120"/>
      <c r="BL365" s="120"/>
    </row>
    <row r="366" spans="1:79" s="4" customFormat="1" ht="25.5" customHeight="1" x14ac:dyDescent="0.2">
      <c r="A366" s="88">
        <v>2272</v>
      </c>
      <c r="B366" s="88"/>
      <c r="C366" s="88"/>
      <c r="D366" s="88"/>
      <c r="E366" s="88"/>
      <c r="F366" s="88"/>
      <c r="G366" s="55" t="s">
        <v>183</v>
      </c>
      <c r="H366" s="56"/>
      <c r="I366" s="56"/>
      <c r="J366" s="56"/>
      <c r="K366" s="56"/>
      <c r="L366" s="56"/>
      <c r="M366" s="56"/>
      <c r="N366" s="56"/>
      <c r="O366" s="56"/>
      <c r="P366" s="56"/>
      <c r="Q366" s="56"/>
      <c r="R366" s="56"/>
      <c r="S366" s="57"/>
      <c r="T366" s="95">
        <v>106344</v>
      </c>
      <c r="U366" s="95"/>
      <c r="V366" s="95"/>
      <c r="W366" s="95"/>
      <c r="X366" s="95"/>
      <c r="Y366" s="95"/>
      <c r="Z366" s="95">
        <v>24562</v>
      </c>
      <c r="AA366" s="95"/>
      <c r="AB366" s="95"/>
      <c r="AC366" s="95"/>
      <c r="AD366" s="95"/>
      <c r="AE366" s="95">
        <v>0</v>
      </c>
      <c r="AF366" s="95"/>
      <c r="AG366" s="95"/>
      <c r="AH366" s="95"/>
      <c r="AI366" s="95"/>
      <c r="AJ366" s="95"/>
      <c r="AK366" s="95">
        <v>0</v>
      </c>
      <c r="AL366" s="95"/>
      <c r="AM366" s="95"/>
      <c r="AN366" s="95"/>
      <c r="AO366" s="95"/>
      <c r="AP366" s="95"/>
      <c r="AQ366" s="95">
        <v>0</v>
      </c>
      <c r="AR366" s="95"/>
      <c r="AS366" s="95"/>
      <c r="AT366" s="95"/>
      <c r="AU366" s="95"/>
      <c r="AV366" s="95"/>
      <c r="AW366" s="120"/>
      <c r="AX366" s="120"/>
      <c r="AY366" s="120"/>
      <c r="AZ366" s="120"/>
      <c r="BA366" s="120"/>
      <c r="BB366" s="120"/>
      <c r="BC366" s="120"/>
      <c r="BD366" s="120"/>
      <c r="BE366" s="120"/>
      <c r="BF366" s="120"/>
      <c r="BG366" s="120"/>
      <c r="BH366" s="120"/>
      <c r="BI366" s="120"/>
      <c r="BJ366" s="120"/>
      <c r="BK366" s="120"/>
      <c r="BL366" s="120"/>
    </row>
    <row r="367" spans="1:79" s="4" customFormat="1" ht="12.75" customHeight="1" x14ac:dyDescent="0.2">
      <c r="A367" s="88">
        <v>2273</v>
      </c>
      <c r="B367" s="88"/>
      <c r="C367" s="88"/>
      <c r="D367" s="88"/>
      <c r="E367" s="88"/>
      <c r="F367" s="88"/>
      <c r="G367" s="55" t="s">
        <v>184</v>
      </c>
      <c r="H367" s="56"/>
      <c r="I367" s="56"/>
      <c r="J367" s="56"/>
      <c r="K367" s="56"/>
      <c r="L367" s="56"/>
      <c r="M367" s="56"/>
      <c r="N367" s="56"/>
      <c r="O367" s="56"/>
      <c r="P367" s="56"/>
      <c r="Q367" s="56"/>
      <c r="R367" s="56"/>
      <c r="S367" s="57"/>
      <c r="T367" s="95">
        <v>3190559</v>
      </c>
      <c r="U367" s="95"/>
      <c r="V367" s="95"/>
      <c r="W367" s="95"/>
      <c r="X367" s="95"/>
      <c r="Y367" s="95"/>
      <c r="Z367" s="95">
        <v>1928405</v>
      </c>
      <c r="AA367" s="95"/>
      <c r="AB367" s="95"/>
      <c r="AC367" s="95"/>
      <c r="AD367" s="95"/>
      <c r="AE367" s="95">
        <v>0</v>
      </c>
      <c r="AF367" s="95"/>
      <c r="AG367" s="95"/>
      <c r="AH367" s="95"/>
      <c r="AI367" s="95"/>
      <c r="AJ367" s="95"/>
      <c r="AK367" s="95">
        <v>0</v>
      </c>
      <c r="AL367" s="95"/>
      <c r="AM367" s="95"/>
      <c r="AN367" s="95"/>
      <c r="AO367" s="95"/>
      <c r="AP367" s="95"/>
      <c r="AQ367" s="95">
        <v>0</v>
      </c>
      <c r="AR367" s="95"/>
      <c r="AS367" s="95"/>
      <c r="AT367" s="95"/>
      <c r="AU367" s="95"/>
      <c r="AV367" s="95"/>
      <c r="AW367" s="120"/>
      <c r="AX367" s="120"/>
      <c r="AY367" s="120"/>
      <c r="AZ367" s="120"/>
      <c r="BA367" s="120"/>
      <c r="BB367" s="120"/>
      <c r="BC367" s="120"/>
      <c r="BD367" s="120"/>
      <c r="BE367" s="120"/>
      <c r="BF367" s="120"/>
      <c r="BG367" s="120"/>
      <c r="BH367" s="120"/>
      <c r="BI367" s="120"/>
      <c r="BJ367" s="120"/>
      <c r="BK367" s="120"/>
      <c r="BL367" s="120"/>
    </row>
    <row r="368" spans="1:79" s="4" customFormat="1" ht="12.75" customHeight="1" x14ac:dyDescent="0.2">
      <c r="A368" s="88">
        <v>2274</v>
      </c>
      <c r="B368" s="88"/>
      <c r="C368" s="88"/>
      <c r="D368" s="88"/>
      <c r="E368" s="88"/>
      <c r="F368" s="88"/>
      <c r="G368" s="55" t="s">
        <v>185</v>
      </c>
      <c r="H368" s="56"/>
      <c r="I368" s="56"/>
      <c r="J368" s="56"/>
      <c r="K368" s="56"/>
      <c r="L368" s="56"/>
      <c r="M368" s="56"/>
      <c r="N368" s="56"/>
      <c r="O368" s="56"/>
      <c r="P368" s="56"/>
      <c r="Q368" s="56"/>
      <c r="R368" s="56"/>
      <c r="S368" s="57"/>
      <c r="T368" s="95">
        <v>2031847</v>
      </c>
      <c r="U368" s="95"/>
      <c r="V368" s="95"/>
      <c r="W368" s="95"/>
      <c r="X368" s="95"/>
      <c r="Y368" s="95"/>
      <c r="Z368" s="95">
        <v>1163160</v>
      </c>
      <c r="AA368" s="95"/>
      <c r="AB368" s="95"/>
      <c r="AC368" s="95"/>
      <c r="AD368" s="95"/>
      <c r="AE368" s="95">
        <v>0</v>
      </c>
      <c r="AF368" s="95"/>
      <c r="AG368" s="95"/>
      <c r="AH368" s="95"/>
      <c r="AI368" s="95"/>
      <c r="AJ368" s="95"/>
      <c r="AK368" s="95">
        <v>0</v>
      </c>
      <c r="AL368" s="95"/>
      <c r="AM368" s="95"/>
      <c r="AN368" s="95"/>
      <c r="AO368" s="95"/>
      <c r="AP368" s="95"/>
      <c r="AQ368" s="95">
        <v>0</v>
      </c>
      <c r="AR368" s="95"/>
      <c r="AS368" s="95"/>
      <c r="AT368" s="95"/>
      <c r="AU368" s="95"/>
      <c r="AV368" s="95"/>
      <c r="AW368" s="120"/>
      <c r="AX368" s="120"/>
      <c r="AY368" s="120"/>
      <c r="AZ368" s="120"/>
      <c r="BA368" s="120"/>
      <c r="BB368" s="120"/>
      <c r="BC368" s="120"/>
      <c r="BD368" s="120"/>
      <c r="BE368" s="120"/>
      <c r="BF368" s="120"/>
      <c r="BG368" s="120"/>
      <c r="BH368" s="120"/>
      <c r="BI368" s="120"/>
      <c r="BJ368" s="120"/>
      <c r="BK368" s="120"/>
      <c r="BL368" s="120"/>
    </row>
    <row r="369" spans="1:64" s="4" customFormat="1" ht="25.5" customHeight="1" x14ac:dyDescent="0.2">
      <c r="A369" s="88">
        <v>2275</v>
      </c>
      <c r="B369" s="88"/>
      <c r="C369" s="88"/>
      <c r="D369" s="88"/>
      <c r="E369" s="88"/>
      <c r="F369" s="88"/>
      <c r="G369" s="55" t="s">
        <v>186</v>
      </c>
      <c r="H369" s="56"/>
      <c r="I369" s="56"/>
      <c r="J369" s="56"/>
      <c r="K369" s="56"/>
      <c r="L369" s="56"/>
      <c r="M369" s="56"/>
      <c r="N369" s="56"/>
      <c r="O369" s="56"/>
      <c r="P369" s="56"/>
      <c r="Q369" s="56"/>
      <c r="R369" s="56"/>
      <c r="S369" s="57"/>
      <c r="T369" s="95">
        <v>1659285</v>
      </c>
      <c r="U369" s="95"/>
      <c r="V369" s="95"/>
      <c r="W369" s="95"/>
      <c r="X369" s="95"/>
      <c r="Y369" s="95"/>
      <c r="Z369" s="95">
        <v>947177</v>
      </c>
      <c r="AA369" s="95"/>
      <c r="AB369" s="95"/>
      <c r="AC369" s="95"/>
      <c r="AD369" s="95"/>
      <c r="AE369" s="95">
        <v>0</v>
      </c>
      <c r="AF369" s="95"/>
      <c r="AG369" s="95"/>
      <c r="AH369" s="95"/>
      <c r="AI369" s="95"/>
      <c r="AJ369" s="95"/>
      <c r="AK369" s="95">
        <v>0</v>
      </c>
      <c r="AL369" s="95"/>
      <c r="AM369" s="95"/>
      <c r="AN369" s="95"/>
      <c r="AO369" s="95"/>
      <c r="AP369" s="95"/>
      <c r="AQ369" s="95">
        <v>0</v>
      </c>
      <c r="AR369" s="95"/>
      <c r="AS369" s="95"/>
      <c r="AT369" s="95"/>
      <c r="AU369" s="95"/>
      <c r="AV369" s="95"/>
      <c r="AW369" s="120"/>
      <c r="AX369" s="120"/>
      <c r="AY369" s="120"/>
      <c r="AZ369" s="120"/>
      <c r="BA369" s="120"/>
      <c r="BB369" s="120"/>
      <c r="BC369" s="120"/>
      <c r="BD369" s="120"/>
      <c r="BE369" s="120"/>
      <c r="BF369" s="120"/>
      <c r="BG369" s="120"/>
      <c r="BH369" s="120"/>
      <c r="BI369" s="120"/>
      <c r="BJ369" s="120"/>
      <c r="BK369" s="120"/>
      <c r="BL369" s="120"/>
    </row>
    <row r="370" spans="1:64" s="4" customFormat="1" ht="38.25" customHeight="1" x14ac:dyDescent="0.2">
      <c r="A370" s="88">
        <v>2282</v>
      </c>
      <c r="B370" s="88"/>
      <c r="C370" s="88"/>
      <c r="D370" s="88"/>
      <c r="E370" s="88"/>
      <c r="F370" s="88"/>
      <c r="G370" s="55" t="s">
        <v>187</v>
      </c>
      <c r="H370" s="56"/>
      <c r="I370" s="56"/>
      <c r="J370" s="56"/>
      <c r="K370" s="56"/>
      <c r="L370" s="56"/>
      <c r="M370" s="56"/>
      <c r="N370" s="56"/>
      <c r="O370" s="56"/>
      <c r="P370" s="56"/>
      <c r="Q370" s="56"/>
      <c r="R370" s="56"/>
      <c r="S370" s="57"/>
      <c r="T370" s="95">
        <v>22411</v>
      </c>
      <c r="U370" s="95"/>
      <c r="V370" s="95"/>
      <c r="W370" s="95"/>
      <c r="X370" s="95"/>
      <c r="Y370" s="95"/>
      <c r="Z370" s="95">
        <v>18850</v>
      </c>
      <c r="AA370" s="95"/>
      <c r="AB370" s="95"/>
      <c r="AC370" s="95"/>
      <c r="AD370" s="95"/>
      <c r="AE370" s="95">
        <v>0</v>
      </c>
      <c r="AF370" s="95"/>
      <c r="AG370" s="95"/>
      <c r="AH370" s="95"/>
      <c r="AI370" s="95"/>
      <c r="AJ370" s="95"/>
      <c r="AK370" s="95">
        <v>0</v>
      </c>
      <c r="AL370" s="95"/>
      <c r="AM370" s="95"/>
      <c r="AN370" s="95"/>
      <c r="AO370" s="95"/>
      <c r="AP370" s="95"/>
      <c r="AQ370" s="95">
        <v>0</v>
      </c>
      <c r="AR370" s="95"/>
      <c r="AS370" s="95"/>
      <c r="AT370" s="95"/>
      <c r="AU370" s="95"/>
      <c r="AV370" s="95"/>
      <c r="AW370" s="120"/>
      <c r="AX370" s="120"/>
      <c r="AY370" s="120"/>
      <c r="AZ370" s="120"/>
      <c r="BA370" s="120"/>
      <c r="BB370" s="120"/>
      <c r="BC370" s="120"/>
      <c r="BD370" s="120"/>
      <c r="BE370" s="120"/>
      <c r="BF370" s="120"/>
      <c r="BG370" s="120"/>
      <c r="BH370" s="120"/>
      <c r="BI370" s="120"/>
      <c r="BJ370" s="120"/>
      <c r="BK370" s="120"/>
      <c r="BL370" s="120"/>
    </row>
    <row r="371" spans="1:64" s="4" customFormat="1" ht="12.75" customHeight="1" x14ac:dyDescent="0.2">
      <c r="A371" s="88">
        <v>2800</v>
      </c>
      <c r="B371" s="88"/>
      <c r="C371" s="88"/>
      <c r="D371" s="88"/>
      <c r="E371" s="88"/>
      <c r="F371" s="88"/>
      <c r="G371" s="55" t="s">
        <v>188</v>
      </c>
      <c r="H371" s="56"/>
      <c r="I371" s="56"/>
      <c r="J371" s="56"/>
      <c r="K371" s="56"/>
      <c r="L371" s="56"/>
      <c r="M371" s="56"/>
      <c r="N371" s="56"/>
      <c r="O371" s="56"/>
      <c r="P371" s="56"/>
      <c r="Q371" s="56"/>
      <c r="R371" s="56"/>
      <c r="S371" s="57"/>
      <c r="T371" s="95">
        <v>3300</v>
      </c>
      <c r="U371" s="95"/>
      <c r="V371" s="95"/>
      <c r="W371" s="95"/>
      <c r="X371" s="95"/>
      <c r="Y371" s="95"/>
      <c r="Z371" s="95">
        <v>2500</v>
      </c>
      <c r="AA371" s="95"/>
      <c r="AB371" s="95"/>
      <c r="AC371" s="95"/>
      <c r="AD371" s="95"/>
      <c r="AE371" s="95">
        <v>0</v>
      </c>
      <c r="AF371" s="95"/>
      <c r="AG371" s="95"/>
      <c r="AH371" s="95"/>
      <c r="AI371" s="95"/>
      <c r="AJ371" s="95"/>
      <c r="AK371" s="95">
        <v>0</v>
      </c>
      <c r="AL371" s="95"/>
      <c r="AM371" s="95"/>
      <c r="AN371" s="95"/>
      <c r="AO371" s="95"/>
      <c r="AP371" s="95"/>
      <c r="AQ371" s="95">
        <v>0</v>
      </c>
      <c r="AR371" s="95"/>
      <c r="AS371" s="95"/>
      <c r="AT371" s="95"/>
      <c r="AU371" s="95"/>
      <c r="AV371" s="95"/>
      <c r="AW371" s="120"/>
      <c r="AX371" s="120"/>
      <c r="AY371" s="120"/>
      <c r="AZ371" s="120"/>
      <c r="BA371" s="120"/>
      <c r="BB371" s="120"/>
      <c r="BC371" s="120"/>
      <c r="BD371" s="120"/>
      <c r="BE371" s="120"/>
      <c r="BF371" s="120"/>
      <c r="BG371" s="120"/>
      <c r="BH371" s="120"/>
      <c r="BI371" s="120"/>
      <c r="BJ371" s="120"/>
      <c r="BK371" s="120"/>
      <c r="BL371" s="120"/>
    </row>
    <row r="372" spans="1:64" s="5" customFormat="1" ht="12.75" customHeight="1" x14ac:dyDescent="0.2">
      <c r="A372" s="105"/>
      <c r="B372" s="105"/>
      <c r="C372" s="105"/>
      <c r="D372" s="105"/>
      <c r="E372" s="105"/>
      <c r="F372" s="105"/>
      <c r="G372" s="96" t="s">
        <v>147</v>
      </c>
      <c r="H372" s="97"/>
      <c r="I372" s="97"/>
      <c r="J372" s="97"/>
      <c r="K372" s="97"/>
      <c r="L372" s="97"/>
      <c r="M372" s="97"/>
      <c r="N372" s="97"/>
      <c r="O372" s="97"/>
      <c r="P372" s="97"/>
      <c r="Q372" s="97"/>
      <c r="R372" s="97"/>
      <c r="S372" s="98"/>
      <c r="T372" s="94">
        <v>19908893</v>
      </c>
      <c r="U372" s="94"/>
      <c r="V372" s="94"/>
      <c r="W372" s="94"/>
      <c r="X372" s="94"/>
      <c r="Y372" s="94"/>
      <c r="Z372" s="94">
        <v>16001835</v>
      </c>
      <c r="AA372" s="94"/>
      <c r="AB372" s="94"/>
      <c r="AC372" s="94"/>
      <c r="AD372" s="94"/>
      <c r="AE372" s="94">
        <v>0</v>
      </c>
      <c r="AF372" s="94"/>
      <c r="AG372" s="94"/>
      <c r="AH372" s="94"/>
      <c r="AI372" s="94"/>
      <c r="AJ372" s="94"/>
      <c r="AK372" s="94">
        <v>0</v>
      </c>
      <c r="AL372" s="94"/>
      <c r="AM372" s="94"/>
      <c r="AN372" s="94"/>
      <c r="AO372" s="94"/>
      <c r="AP372" s="94"/>
      <c r="AQ372" s="94">
        <v>0</v>
      </c>
      <c r="AR372" s="94"/>
      <c r="AS372" s="94"/>
      <c r="AT372" s="94"/>
      <c r="AU372" s="94"/>
      <c r="AV372" s="94"/>
      <c r="AW372" s="106"/>
      <c r="AX372" s="106"/>
      <c r="AY372" s="106"/>
      <c r="AZ372" s="106"/>
      <c r="BA372" s="106"/>
      <c r="BB372" s="106"/>
      <c r="BC372" s="106"/>
      <c r="BD372" s="106"/>
      <c r="BE372" s="106"/>
      <c r="BF372" s="106"/>
      <c r="BG372" s="106"/>
      <c r="BH372" s="106"/>
      <c r="BI372" s="106"/>
      <c r="BJ372" s="106"/>
      <c r="BK372" s="106"/>
      <c r="BL372" s="106"/>
    </row>
    <row r="374" spans="1:64" ht="14.25" customHeight="1" x14ac:dyDescent="0.2">
      <c r="A374" s="28" t="s">
        <v>289</v>
      </c>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row>
    <row r="375" spans="1:64" ht="45" customHeight="1" x14ac:dyDescent="0.2">
      <c r="A375" s="29" t="s">
        <v>275</v>
      </c>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row>
    <row r="377" spans="1:64" ht="14.25" x14ac:dyDescent="0.2">
      <c r="A377" s="28" t="s">
        <v>316</v>
      </c>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row>
    <row r="378" spans="1:64" ht="14.25" x14ac:dyDescent="0.2">
      <c r="A378" s="28" t="s">
        <v>290</v>
      </c>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row>
    <row r="379" spans="1:64" ht="15" customHeight="1" x14ac:dyDescent="0.2">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c r="AB379" s="117"/>
      <c r="AC379" s="117"/>
      <c r="AD379" s="117"/>
      <c r="AE379" s="117"/>
      <c r="AF379" s="117"/>
      <c r="AG379" s="117"/>
      <c r="AH379" s="117"/>
      <c r="AI379" s="117"/>
      <c r="AJ379" s="117"/>
      <c r="AK379" s="117"/>
      <c r="AL379" s="117"/>
      <c r="AM379" s="117"/>
      <c r="AN379" s="117"/>
      <c r="AO379" s="117"/>
      <c r="AP379" s="117"/>
      <c r="AQ379" s="117"/>
      <c r="AR379" s="117"/>
      <c r="AS379" s="117"/>
      <c r="AT379" s="117"/>
      <c r="AU379" s="117"/>
      <c r="AV379" s="117"/>
      <c r="AW379" s="117"/>
      <c r="AX379" s="117"/>
      <c r="AY379" s="117"/>
      <c r="AZ379" s="117"/>
      <c r="BA379" s="117"/>
      <c r="BB379" s="117"/>
      <c r="BC379" s="117"/>
      <c r="BD379" s="117"/>
      <c r="BE379" s="117"/>
      <c r="BF379" s="117"/>
      <c r="BG379" s="117"/>
      <c r="BH379" s="117"/>
      <c r="BI379" s="117"/>
      <c r="BJ379" s="117"/>
      <c r="BK379" s="117"/>
      <c r="BL379" s="117"/>
    </row>
    <row r="380" spans="1:64" ht="18.95" customHeight="1" x14ac:dyDescent="0.2">
      <c r="A380" s="113" t="s">
        <v>323</v>
      </c>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17"/>
      <c r="AC380" s="17"/>
      <c r="AD380" s="17"/>
      <c r="AE380" s="17"/>
      <c r="AF380" s="17"/>
      <c r="AG380" s="17"/>
      <c r="AH380" s="118"/>
      <c r="AI380" s="118"/>
      <c r="AJ380" s="118"/>
      <c r="AK380" s="118"/>
      <c r="AL380" s="118"/>
      <c r="AM380" s="118"/>
      <c r="AN380" s="118"/>
      <c r="AO380" s="118"/>
      <c r="AP380" s="118"/>
      <c r="AQ380" s="17"/>
      <c r="AR380" s="17"/>
      <c r="AS380" s="17"/>
      <c r="AT380" s="17"/>
      <c r="AU380" s="119" t="s">
        <v>324</v>
      </c>
      <c r="AV380" s="23"/>
      <c r="AW380" s="23"/>
      <c r="AX380" s="23"/>
      <c r="AY380" s="23"/>
      <c r="AZ380" s="23"/>
      <c r="BA380" s="23"/>
      <c r="BB380" s="23"/>
      <c r="BC380" s="23"/>
      <c r="BD380" s="23"/>
      <c r="BE380" s="23"/>
      <c r="BF380" s="23"/>
    </row>
    <row r="381" spans="1:64" ht="12.75" customHeight="1" x14ac:dyDescent="0.2">
      <c r="AB381" s="18"/>
      <c r="AC381" s="18"/>
      <c r="AD381" s="18"/>
      <c r="AE381" s="18"/>
      <c r="AF381" s="18"/>
      <c r="AG381" s="18"/>
      <c r="AH381" s="116" t="s">
        <v>1</v>
      </c>
      <c r="AI381" s="116"/>
      <c r="AJ381" s="116"/>
      <c r="AK381" s="116"/>
      <c r="AL381" s="116"/>
      <c r="AM381" s="116"/>
      <c r="AN381" s="116"/>
      <c r="AO381" s="116"/>
      <c r="AP381" s="116"/>
      <c r="AQ381" s="18"/>
      <c r="AR381" s="18"/>
      <c r="AS381" s="18"/>
      <c r="AT381" s="18"/>
      <c r="AU381" s="116" t="s">
        <v>171</v>
      </c>
      <c r="AV381" s="116"/>
      <c r="AW381" s="116"/>
      <c r="AX381" s="116"/>
      <c r="AY381" s="116"/>
      <c r="AZ381" s="116"/>
      <c r="BA381" s="116"/>
      <c r="BB381" s="116"/>
      <c r="BC381" s="116"/>
      <c r="BD381" s="116"/>
      <c r="BE381" s="116"/>
      <c r="BF381" s="116"/>
    </row>
    <row r="382" spans="1:64" ht="15" x14ac:dyDescent="0.2">
      <c r="AB382" s="18"/>
      <c r="AC382" s="18"/>
      <c r="AD382" s="18"/>
      <c r="AE382" s="18"/>
      <c r="AF382" s="18"/>
      <c r="AG382" s="18"/>
      <c r="AH382" s="19"/>
      <c r="AI382" s="19"/>
      <c r="AJ382" s="19"/>
      <c r="AK382" s="19"/>
      <c r="AL382" s="19"/>
      <c r="AM382" s="19"/>
      <c r="AN382" s="19"/>
      <c r="AO382" s="19"/>
      <c r="AP382" s="19"/>
      <c r="AQ382" s="18"/>
      <c r="AR382" s="18"/>
      <c r="AS382" s="18"/>
      <c r="AT382" s="18"/>
      <c r="AU382" s="19"/>
      <c r="AV382" s="19"/>
      <c r="AW382" s="19"/>
      <c r="AX382" s="19"/>
      <c r="AY382" s="19"/>
      <c r="AZ382" s="19"/>
      <c r="BA382" s="19"/>
      <c r="BB382" s="19"/>
      <c r="BC382" s="19"/>
      <c r="BD382" s="19"/>
      <c r="BE382" s="19"/>
      <c r="BF382" s="19"/>
    </row>
    <row r="383" spans="1:64" ht="18" customHeight="1" x14ac:dyDescent="0.2">
      <c r="A383" s="113" t="s">
        <v>325</v>
      </c>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18"/>
      <c r="AC383" s="18"/>
      <c r="AD383" s="18"/>
      <c r="AE383" s="18"/>
      <c r="AF383" s="18"/>
      <c r="AG383" s="18"/>
      <c r="AH383" s="114"/>
      <c r="AI383" s="114"/>
      <c r="AJ383" s="114"/>
      <c r="AK383" s="114"/>
      <c r="AL383" s="114"/>
      <c r="AM383" s="114"/>
      <c r="AN383" s="114"/>
      <c r="AO383" s="114"/>
      <c r="AP383" s="114"/>
      <c r="AQ383" s="18"/>
      <c r="AR383" s="18"/>
      <c r="AS383" s="18"/>
      <c r="AT383" s="18"/>
      <c r="AU383" s="115" t="s">
        <v>326</v>
      </c>
      <c r="AV383" s="23"/>
      <c r="AW383" s="23"/>
      <c r="AX383" s="23"/>
      <c r="AY383" s="23"/>
      <c r="AZ383" s="23"/>
      <c r="BA383" s="23"/>
      <c r="BB383" s="23"/>
      <c r="BC383" s="23"/>
      <c r="BD383" s="23"/>
      <c r="BE383" s="23"/>
      <c r="BF383" s="23"/>
    </row>
    <row r="384" spans="1:64" ht="12" customHeight="1" x14ac:dyDescent="0.2">
      <c r="AB384" s="18"/>
      <c r="AC384" s="18"/>
      <c r="AD384" s="18"/>
      <c r="AE384" s="18"/>
      <c r="AF384" s="18"/>
      <c r="AG384" s="18"/>
      <c r="AH384" s="116" t="s">
        <v>1</v>
      </c>
      <c r="AI384" s="116"/>
      <c r="AJ384" s="116"/>
      <c r="AK384" s="116"/>
      <c r="AL384" s="116"/>
      <c r="AM384" s="116"/>
      <c r="AN384" s="116"/>
      <c r="AO384" s="116"/>
      <c r="AP384" s="116"/>
      <c r="AQ384" s="18"/>
      <c r="AR384" s="18"/>
      <c r="AS384" s="18"/>
      <c r="AT384" s="18"/>
      <c r="AU384" s="116" t="s">
        <v>171</v>
      </c>
      <c r="AV384" s="116"/>
      <c r="AW384" s="116"/>
      <c r="AX384" s="116"/>
      <c r="AY384" s="116"/>
      <c r="AZ384" s="116"/>
      <c r="BA384" s="116"/>
      <c r="BB384" s="116"/>
      <c r="BC384" s="116"/>
      <c r="BD384" s="116"/>
      <c r="BE384" s="116"/>
      <c r="BF384" s="116"/>
    </row>
  </sheetData>
  <mergeCells count="3320">
    <mergeCell ref="BE371:BL371"/>
    <mergeCell ref="A372:F372"/>
    <mergeCell ref="G372:S372"/>
    <mergeCell ref="T372:Y372"/>
    <mergeCell ref="Z372:AD372"/>
    <mergeCell ref="AE372:AJ372"/>
    <mergeCell ref="AK372:AP372"/>
    <mergeCell ref="AQ372:AV372"/>
    <mergeCell ref="AW372:BD372"/>
    <mergeCell ref="BE372:BL372"/>
    <mergeCell ref="AW370:BD370"/>
    <mergeCell ref="BE370:BL370"/>
    <mergeCell ref="A371:F371"/>
    <mergeCell ref="G371:S371"/>
    <mergeCell ref="T371:Y371"/>
    <mergeCell ref="Z371:AD371"/>
    <mergeCell ref="AE371:AJ371"/>
    <mergeCell ref="AK371:AP371"/>
    <mergeCell ref="AQ371:AV371"/>
    <mergeCell ref="AW371:BD371"/>
    <mergeCell ref="AQ369:AV369"/>
    <mergeCell ref="AW369:BD369"/>
    <mergeCell ref="BE369:BL369"/>
    <mergeCell ref="A370:F370"/>
    <mergeCell ref="G370:S370"/>
    <mergeCell ref="T370:Y370"/>
    <mergeCell ref="Z370:AD370"/>
    <mergeCell ref="AE370:AJ370"/>
    <mergeCell ref="AK370:AP370"/>
    <mergeCell ref="AQ370:AV370"/>
    <mergeCell ref="A369:F369"/>
    <mergeCell ref="G369:S369"/>
    <mergeCell ref="T369:Y369"/>
    <mergeCell ref="Z369:AD369"/>
    <mergeCell ref="AE369:AJ369"/>
    <mergeCell ref="AK369:AP369"/>
    <mergeCell ref="BE367:BL367"/>
    <mergeCell ref="A368:F368"/>
    <mergeCell ref="G368:S368"/>
    <mergeCell ref="T368:Y368"/>
    <mergeCell ref="Z368:AD368"/>
    <mergeCell ref="AE368:AJ368"/>
    <mergeCell ref="AK368:AP368"/>
    <mergeCell ref="AQ368:AV368"/>
    <mergeCell ref="AW368:BD368"/>
    <mergeCell ref="BE368:BL368"/>
    <mergeCell ref="AW366:BD366"/>
    <mergeCell ref="BE366:BL366"/>
    <mergeCell ref="A367:F367"/>
    <mergeCell ref="G367:S367"/>
    <mergeCell ref="T367:Y367"/>
    <mergeCell ref="Z367:AD367"/>
    <mergeCell ref="AE367:AJ367"/>
    <mergeCell ref="AK367:AP367"/>
    <mergeCell ref="AQ367:AV367"/>
    <mergeCell ref="AW367:BD367"/>
    <mergeCell ref="AQ365:AV365"/>
    <mergeCell ref="AW365:BD365"/>
    <mergeCell ref="BE365:BL365"/>
    <mergeCell ref="A366:F366"/>
    <mergeCell ref="G366:S366"/>
    <mergeCell ref="T366:Y366"/>
    <mergeCell ref="Z366:AD366"/>
    <mergeCell ref="AE366:AJ366"/>
    <mergeCell ref="AK366:AP366"/>
    <mergeCell ref="AQ366:AV366"/>
    <mergeCell ref="AK364:AP364"/>
    <mergeCell ref="AQ364:AV364"/>
    <mergeCell ref="AW364:BD364"/>
    <mergeCell ref="BE364:BL364"/>
    <mergeCell ref="A365:F365"/>
    <mergeCell ref="G365:S365"/>
    <mergeCell ref="T365:Y365"/>
    <mergeCell ref="Z365:AD365"/>
    <mergeCell ref="AE365:AJ365"/>
    <mergeCell ref="AK365:AP365"/>
    <mergeCell ref="AE363:AJ363"/>
    <mergeCell ref="AK363:AP363"/>
    <mergeCell ref="AQ363:AV363"/>
    <mergeCell ref="AW363:BD363"/>
    <mergeCell ref="BE363:BL363"/>
    <mergeCell ref="A364:F364"/>
    <mergeCell ref="G364:S364"/>
    <mergeCell ref="T364:Y364"/>
    <mergeCell ref="Z364:AD364"/>
    <mergeCell ref="AE364:AJ364"/>
    <mergeCell ref="A363:F363"/>
    <mergeCell ref="G363:S363"/>
    <mergeCell ref="T363:Y363"/>
    <mergeCell ref="Z363:AD363"/>
    <mergeCell ref="AJ354:AN354"/>
    <mergeCell ref="AO354:AS354"/>
    <mergeCell ref="AT354:AW354"/>
    <mergeCell ref="AX354:BB354"/>
    <mergeCell ref="BC354:BG354"/>
    <mergeCell ref="BH354:BL354"/>
    <mergeCell ref="A354:F354"/>
    <mergeCell ref="G354:P354"/>
    <mergeCell ref="Q354:U354"/>
    <mergeCell ref="V354:Y354"/>
    <mergeCell ref="Z354:AD354"/>
    <mergeCell ref="AE354:AI354"/>
    <mergeCell ref="AJ353:AN353"/>
    <mergeCell ref="AO353:AS353"/>
    <mergeCell ref="AT353:AW353"/>
    <mergeCell ref="AX353:BB353"/>
    <mergeCell ref="BC353:BG353"/>
    <mergeCell ref="BH353:BL353"/>
    <mergeCell ref="A353:F353"/>
    <mergeCell ref="G353:P353"/>
    <mergeCell ref="Q353:U353"/>
    <mergeCell ref="V353:Y353"/>
    <mergeCell ref="Z353:AD353"/>
    <mergeCell ref="AE353:AI353"/>
    <mergeCell ref="AJ352:AN352"/>
    <mergeCell ref="AO352:AS352"/>
    <mergeCell ref="AT352:AW352"/>
    <mergeCell ref="AX352:BB352"/>
    <mergeCell ref="BC352:BG352"/>
    <mergeCell ref="BH352:BL352"/>
    <mergeCell ref="A352:F352"/>
    <mergeCell ref="G352:P352"/>
    <mergeCell ref="Q352:U352"/>
    <mergeCell ref="V352:Y352"/>
    <mergeCell ref="Z352:AD352"/>
    <mergeCell ref="AE352:AI352"/>
    <mergeCell ref="AJ351:AN351"/>
    <mergeCell ref="AO351:AS351"/>
    <mergeCell ref="AT351:AW351"/>
    <mergeCell ref="AX351:BB351"/>
    <mergeCell ref="BC351:BG351"/>
    <mergeCell ref="BH351:BL351"/>
    <mergeCell ref="A351:F351"/>
    <mergeCell ref="G351:P351"/>
    <mergeCell ref="Q351:U351"/>
    <mergeCell ref="V351:Y351"/>
    <mergeCell ref="Z351:AD351"/>
    <mergeCell ref="AE351:AI351"/>
    <mergeCell ref="AJ350:AN350"/>
    <mergeCell ref="AO350:AS350"/>
    <mergeCell ref="AT350:AW350"/>
    <mergeCell ref="AX350:BB350"/>
    <mergeCell ref="BC350:BG350"/>
    <mergeCell ref="BH350:BL350"/>
    <mergeCell ref="A350:F350"/>
    <mergeCell ref="G350:P350"/>
    <mergeCell ref="Q350:U350"/>
    <mergeCell ref="V350:Y350"/>
    <mergeCell ref="Z350:AD350"/>
    <mergeCell ref="AE350:AI350"/>
    <mergeCell ref="AJ349:AN349"/>
    <mergeCell ref="AO349:AS349"/>
    <mergeCell ref="AT349:AW349"/>
    <mergeCell ref="AX349:BB349"/>
    <mergeCell ref="BC349:BG349"/>
    <mergeCell ref="BH349:BL349"/>
    <mergeCell ref="A349:F349"/>
    <mergeCell ref="G349:P349"/>
    <mergeCell ref="Q349:U349"/>
    <mergeCell ref="V349:Y349"/>
    <mergeCell ref="Z349:AD349"/>
    <mergeCell ref="AE349:AI349"/>
    <mergeCell ref="AJ348:AN348"/>
    <mergeCell ref="AO348:AS348"/>
    <mergeCell ref="AT348:AW348"/>
    <mergeCell ref="AX348:BB348"/>
    <mergeCell ref="BC348:BG348"/>
    <mergeCell ref="BH348:BL348"/>
    <mergeCell ref="A348:F348"/>
    <mergeCell ref="G348:P348"/>
    <mergeCell ref="Q348:U348"/>
    <mergeCell ref="V348:Y348"/>
    <mergeCell ref="Z348:AD348"/>
    <mergeCell ref="AE348:AI348"/>
    <mergeCell ref="AJ347:AN347"/>
    <mergeCell ref="AO347:AS347"/>
    <mergeCell ref="AT347:AW347"/>
    <mergeCell ref="AX347:BB347"/>
    <mergeCell ref="BC347:BG347"/>
    <mergeCell ref="BH347:BL347"/>
    <mergeCell ref="A347:F347"/>
    <mergeCell ref="G347:P347"/>
    <mergeCell ref="Q347:U347"/>
    <mergeCell ref="V347:Y347"/>
    <mergeCell ref="Z347:AD347"/>
    <mergeCell ref="AE347:AI347"/>
    <mergeCell ref="A344:F344"/>
    <mergeCell ref="G344:P344"/>
    <mergeCell ref="Q344:U344"/>
    <mergeCell ref="V344:Y344"/>
    <mergeCell ref="Z344:AD344"/>
    <mergeCell ref="AE344:AI344"/>
    <mergeCell ref="AJ344:AN344"/>
    <mergeCell ref="AO344:AS344"/>
    <mergeCell ref="AJ346:AN346"/>
    <mergeCell ref="AO346:AS346"/>
    <mergeCell ref="AT346:AW346"/>
    <mergeCell ref="AX346:BB346"/>
    <mergeCell ref="BC346:BG346"/>
    <mergeCell ref="BH346:BL346"/>
    <mergeCell ref="A346:F346"/>
    <mergeCell ref="G346:P346"/>
    <mergeCell ref="Q346:U346"/>
    <mergeCell ref="V346:Y346"/>
    <mergeCell ref="Z346:AD346"/>
    <mergeCell ref="AE346:AI346"/>
    <mergeCell ref="AJ345:AN345"/>
    <mergeCell ref="AO345:AS345"/>
    <mergeCell ref="AT345:AW345"/>
    <mergeCell ref="AX345:BB345"/>
    <mergeCell ref="BC345:BG345"/>
    <mergeCell ref="BH345:BL345"/>
    <mergeCell ref="BB334:BF334"/>
    <mergeCell ref="BG334:BL334"/>
    <mergeCell ref="BB333:BF333"/>
    <mergeCell ref="BG333:BL333"/>
    <mergeCell ref="A334:F334"/>
    <mergeCell ref="G334:S334"/>
    <mergeCell ref="T334:Y334"/>
    <mergeCell ref="Z334:AD334"/>
    <mergeCell ref="AE334:AJ334"/>
    <mergeCell ref="AK334:AP334"/>
    <mergeCell ref="AQ334:AV334"/>
    <mergeCell ref="AW334:BA334"/>
    <mergeCell ref="BB332:BF332"/>
    <mergeCell ref="BG332:BL332"/>
    <mergeCell ref="A333:F333"/>
    <mergeCell ref="G333:S333"/>
    <mergeCell ref="T333:Y333"/>
    <mergeCell ref="Z333:AD333"/>
    <mergeCell ref="AE333:AJ333"/>
    <mergeCell ref="AK333:AP333"/>
    <mergeCell ref="AQ333:AV333"/>
    <mergeCell ref="AW333:BA333"/>
    <mergeCell ref="BB331:BF331"/>
    <mergeCell ref="BG331:BL331"/>
    <mergeCell ref="A332:F332"/>
    <mergeCell ref="G332:S332"/>
    <mergeCell ref="T332:Y332"/>
    <mergeCell ref="Z332:AD332"/>
    <mergeCell ref="AE332:AJ332"/>
    <mergeCell ref="AK332:AP332"/>
    <mergeCell ref="AQ332:AV332"/>
    <mergeCell ref="AW332:BA332"/>
    <mergeCell ref="BB330:BF330"/>
    <mergeCell ref="BG330:BL330"/>
    <mergeCell ref="A331:F331"/>
    <mergeCell ref="G331:S331"/>
    <mergeCell ref="T331:Y331"/>
    <mergeCell ref="Z331:AD331"/>
    <mergeCell ref="AE331:AJ331"/>
    <mergeCell ref="AK331:AP331"/>
    <mergeCell ref="AQ331:AV331"/>
    <mergeCell ref="AW331:BA331"/>
    <mergeCell ref="BB329:BF329"/>
    <mergeCell ref="BG329:BL329"/>
    <mergeCell ref="A330:F330"/>
    <mergeCell ref="G330:S330"/>
    <mergeCell ref="T330:Y330"/>
    <mergeCell ref="Z330:AD330"/>
    <mergeCell ref="AE330:AJ330"/>
    <mergeCell ref="AK330:AP330"/>
    <mergeCell ref="AQ330:AV330"/>
    <mergeCell ref="AW330:BA330"/>
    <mergeCell ref="BB328:BF328"/>
    <mergeCell ref="BG328:BL328"/>
    <mergeCell ref="A329:F329"/>
    <mergeCell ref="G329:S329"/>
    <mergeCell ref="T329:Y329"/>
    <mergeCell ref="Z329:AD329"/>
    <mergeCell ref="AE329:AJ329"/>
    <mergeCell ref="AK329:AP329"/>
    <mergeCell ref="AQ329:AV329"/>
    <mergeCell ref="AW329:BA329"/>
    <mergeCell ref="BB327:BF327"/>
    <mergeCell ref="BG327:BL327"/>
    <mergeCell ref="A328:F328"/>
    <mergeCell ref="G328:S328"/>
    <mergeCell ref="T328:Y328"/>
    <mergeCell ref="Z328:AD328"/>
    <mergeCell ref="AE328:AJ328"/>
    <mergeCell ref="AK328:AP328"/>
    <mergeCell ref="AQ328:AV328"/>
    <mergeCell ref="AW328:BA328"/>
    <mergeCell ref="BB326:BF326"/>
    <mergeCell ref="BG326:BL326"/>
    <mergeCell ref="A327:F327"/>
    <mergeCell ref="G327:S327"/>
    <mergeCell ref="T327:Y327"/>
    <mergeCell ref="Z327:AD327"/>
    <mergeCell ref="AE327:AJ327"/>
    <mergeCell ref="AK327:AP327"/>
    <mergeCell ref="AQ327:AV327"/>
    <mergeCell ref="AW327:BA327"/>
    <mergeCell ref="T326:Y326"/>
    <mergeCell ref="Z326:AD326"/>
    <mergeCell ref="AE326:AJ326"/>
    <mergeCell ref="AK326:AP326"/>
    <mergeCell ref="AQ326:AV326"/>
    <mergeCell ref="AW326:BA326"/>
    <mergeCell ref="T325:Y325"/>
    <mergeCell ref="Z325:AD325"/>
    <mergeCell ref="AE325:AJ325"/>
    <mergeCell ref="AK325:AP325"/>
    <mergeCell ref="AQ325:AV325"/>
    <mergeCell ref="AW325:BA325"/>
    <mergeCell ref="BA287:BC287"/>
    <mergeCell ref="BD287:BF287"/>
    <mergeCell ref="BG287:BI287"/>
    <mergeCell ref="BJ287:BL287"/>
    <mergeCell ref="AI287:AK287"/>
    <mergeCell ref="AL287:AN287"/>
    <mergeCell ref="AO287:AQ287"/>
    <mergeCell ref="AR287:AT287"/>
    <mergeCell ref="AU287:AW287"/>
    <mergeCell ref="AX287:AZ287"/>
    <mergeCell ref="AK324:AP324"/>
    <mergeCell ref="AQ324:AV324"/>
    <mergeCell ref="AW324:BA324"/>
    <mergeCell ref="BB324:BF324"/>
    <mergeCell ref="BG324:BL324"/>
    <mergeCell ref="AQ320:AV321"/>
    <mergeCell ref="AW320:BF320"/>
    <mergeCell ref="BG320:BL321"/>
    <mergeCell ref="AW321:BA321"/>
    <mergeCell ref="BB321:BF321"/>
    <mergeCell ref="T320:Y321"/>
    <mergeCell ref="Z320:AD321"/>
    <mergeCell ref="BA286:BC286"/>
    <mergeCell ref="BD286:BF286"/>
    <mergeCell ref="BG286:BI286"/>
    <mergeCell ref="BJ286:BL286"/>
    <mergeCell ref="A287:C287"/>
    <mergeCell ref="D287:V287"/>
    <mergeCell ref="W287:Y287"/>
    <mergeCell ref="Z287:AB287"/>
    <mergeCell ref="AC287:AE287"/>
    <mergeCell ref="AF287:AH287"/>
    <mergeCell ref="AI286:AK286"/>
    <mergeCell ref="AL286:AN286"/>
    <mergeCell ref="AO286:AQ286"/>
    <mergeCell ref="AR286:AT286"/>
    <mergeCell ref="AU286:AW286"/>
    <mergeCell ref="AX286:AZ286"/>
    <mergeCell ref="BA285:BC285"/>
    <mergeCell ref="BD285:BF285"/>
    <mergeCell ref="BG285:BI285"/>
    <mergeCell ref="BJ285:BL285"/>
    <mergeCell ref="A286:C286"/>
    <mergeCell ref="D286:V286"/>
    <mergeCell ref="W286:Y286"/>
    <mergeCell ref="Z286:AB286"/>
    <mergeCell ref="AC286:AE286"/>
    <mergeCell ref="AF286:AH286"/>
    <mergeCell ref="AI285:AK285"/>
    <mergeCell ref="AL285:AN285"/>
    <mergeCell ref="AO285:AQ285"/>
    <mergeCell ref="AR285:AT285"/>
    <mergeCell ref="AU285:AW285"/>
    <mergeCell ref="AX285:AZ285"/>
    <mergeCell ref="A285:C285"/>
    <mergeCell ref="D285:V285"/>
    <mergeCell ref="W285:Y285"/>
    <mergeCell ref="Z285:AB285"/>
    <mergeCell ref="AC285:AE285"/>
    <mergeCell ref="AF285:AH285"/>
    <mergeCell ref="AU284:AW284"/>
    <mergeCell ref="AX284:AZ284"/>
    <mergeCell ref="BA284:BC284"/>
    <mergeCell ref="BD284:BF284"/>
    <mergeCell ref="BG284:BI284"/>
    <mergeCell ref="BJ284:BL284"/>
    <mergeCell ref="AC284:AE284"/>
    <mergeCell ref="AF284:AH284"/>
    <mergeCell ref="AI284:AK284"/>
    <mergeCell ref="AL284:AN284"/>
    <mergeCell ref="AO284:AQ284"/>
    <mergeCell ref="AR284:AT284"/>
    <mergeCell ref="AT275:AX275"/>
    <mergeCell ref="AY275:BC275"/>
    <mergeCell ref="BD275:BH275"/>
    <mergeCell ref="BI275:BM275"/>
    <mergeCell ref="BN275:BR275"/>
    <mergeCell ref="A275:T275"/>
    <mergeCell ref="U275:Y275"/>
    <mergeCell ref="Z275:AD275"/>
    <mergeCell ref="AE275:AI275"/>
    <mergeCell ref="AJ275:AN275"/>
    <mergeCell ref="AO275:AS275"/>
    <mergeCell ref="AO274:AS274"/>
    <mergeCell ref="AT274:AX274"/>
    <mergeCell ref="AY274:BC274"/>
    <mergeCell ref="BD274:BH274"/>
    <mergeCell ref="BI274:BM274"/>
    <mergeCell ref="BN274:BR274"/>
    <mergeCell ref="AT273:AX273"/>
    <mergeCell ref="AY273:BC273"/>
    <mergeCell ref="BD273:BH273"/>
    <mergeCell ref="BI273:BM273"/>
    <mergeCell ref="BN273:BR273"/>
    <mergeCell ref="A274:T274"/>
    <mergeCell ref="U274:Y274"/>
    <mergeCell ref="Z274:AD274"/>
    <mergeCell ref="AE274:AI274"/>
    <mergeCell ref="AJ274:AN274"/>
    <mergeCell ref="A273:T273"/>
    <mergeCell ref="U273:Y273"/>
    <mergeCell ref="Z273:AD273"/>
    <mergeCell ref="AE273:AI273"/>
    <mergeCell ref="AJ273:AN273"/>
    <mergeCell ref="AO273:AS273"/>
    <mergeCell ref="AO272:AS272"/>
    <mergeCell ref="AT272:AX272"/>
    <mergeCell ref="AY272:BC272"/>
    <mergeCell ref="BD272:BH272"/>
    <mergeCell ref="BI272:BM272"/>
    <mergeCell ref="BN272:BR272"/>
    <mergeCell ref="BI271:BM271"/>
    <mergeCell ref="BN271:BR271"/>
    <mergeCell ref="A272:T272"/>
    <mergeCell ref="U272:Y272"/>
    <mergeCell ref="Z272:AD272"/>
    <mergeCell ref="AE272:AI272"/>
    <mergeCell ref="AJ272:AN272"/>
    <mergeCell ref="AY270:BC270"/>
    <mergeCell ref="BD270:BH270"/>
    <mergeCell ref="BI270:BM270"/>
    <mergeCell ref="BN270:BR270"/>
    <mergeCell ref="A271:T271"/>
    <mergeCell ref="U271:Y271"/>
    <mergeCell ref="Z271:AD271"/>
    <mergeCell ref="AE271:AI271"/>
    <mergeCell ref="AJ271:AN271"/>
    <mergeCell ref="AO271:AS271"/>
    <mergeCell ref="Z269:AD269"/>
    <mergeCell ref="AE269:AI269"/>
    <mergeCell ref="AJ269:AN269"/>
    <mergeCell ref="AO269:AS269"/>
    <mergeCell ref="AT269:AX269"/>
    <mergeCell ref="AY269:BC269"/>
    <mergeCell ref="A268:T268"/>
    <mergeCell ref="U268:Y268"/>
    <mergeCell ref="Z268:AD268"/>
    <mergeCell ref="AE268:AI268"/>
    <mergeCell ref="AJ268:AN268"/>
    <mergeCell ref="AO268:AS268"/>
    <mergeCell ref="AT268:AX268"/>
    <mergeCell ref="AY268:BC268"/>
    <mergeCell ref="BD268:BH268"/>
    <mergeCell ref="AT271:AX271"/>
    <mergeCell ref="AY271:BC271"/>
    <mergeCell ref="BD271:BH271"/>
    <mergeCell ref="BE259:BI259"/>
    <mergeCell ref="BE258:BI258"/>
    <mergeCell ref="A259:C259"/>
    <mergeCell ref="D259:P259"/>
    <mergeCell ref="Q259:U259"/>
    <mergeCell ref="V259:AE259"/>
    <mergeCell ref="AF259:AJ259"/>
    <mergeCell ref="AK259:AO259"/>
    <mergeCell ref="AP259:AT259"/>
    <mergeCell ref="AU259:AY259"/>
    <mergeCell ref="AZ259:BD259"/>
    <mergeCell ref="BE257:BI257"/>
    <mergeCell ref="A258:C258"/>
    <mergeCell ref="D258:P258"/>
    <mergeCell ref="Q258:U258"/>
    <mergeCell ref="V258:AE258"/>
    <mergeCell ref="AF258:AJ258"/>
    <mergeCell ref="AK258:AO258"/>
    <mergeCell ref="AP258:AT258"/>
    <mergeCell ref="AU258:AY258"/>
    <mergeCell ref="AZ258:BD258"/>
    <mergeCell ref="BE256:BI256"/>
    <mergeCell ref="A257:C257"/>
    <mergeCell ref="D257:P257"/>
    <mergeCell ref="Q257:U257"/>
    <mergeCell ref="V257:AE257"/>
    <mergeCell ref="AF257:AJ257"/>
    <mergeCell ref="AK257:AO257"/>
    <mergeCell ref="AP257:AT257"/>
    <mergeCell ref="AU257:AY257"/>
    <mergeCell ref="AZ257:BD257"/>
    <mergeCell ref="BE255:BI255"/>
    <mergeCell ref="A256:C256"/>
    <mergeCell ref="D256:P256"/>
    <mergeCell ref="Q256:U256"/>
    <mergeCell ref="V256:AE256"/>
    <mergeCell ref="AF256:AJ256"/>
    <mergeCell ref="AK256:AO256"/>
    <mergeCell ref="AP256:AT256"/>
    <mergeCell ref="AU256:AY256"/>
    <mergeCell ref="AZ256:BD256"/>
    <mergeCell ref="AZ252:BD252"/>
    <mergeCell ref="BE254:BI254"/>
    <mergeCell ref="A255:C255"/>
    <mergeCell ref="D255:P255"/>
    <mergeCell ref="Q255:U255"/>
    <mergeCell ref="V255:AE255"/>
    <mergeCell ref="AF255:AJ255"/>
    <mergeCell ref="AK255:AO255"/>
    <mergeCell ref="AP255:AT255"/>
    <mergeCell ref="AU255:AY255"/>
    <mergeCell ref="AZ255:BD255"/>
    <mergeCell ref="BE253:BI253"/>
    <mergeCell ref="A254:C254"/>
    <mergeCell ref="D254:P254"/>
    <mergeCell ref="Q254:U254"/>
    <mergeCell ref="V254:AE254"/>
    <mergeCell ref="AF254:AJ254"/>
    <mergeCell ref="AK254:AO254"/>
    <mergeCell ref="AP254:AT254"/>
    <mergeCell ref="AU254:AY254"/>
    <mergeCell ref="AZ254:BD254"/>
    <mergeCell ref="AK250:AO250"/>
    <mergeCell ref="AP250:AT250"/>
    <mergeCell ref="AU250:AY250"/>
    <mergeCell ref="AZ250:BD250"/>
    <mergeCell ref="A249:C249"/>
    <mergeCell ref="D249:P249"/>
    <mergeCell ref="Q249:U249"/>
    <mergeCell ref="V249:AE249"/>
    <mergeCell ref="AF249:AJ249"/>
    <mergeCell ref="AK249:AO249"/>
    <mergeCell ref="AP249:AT249"/>
    <mergeCell ref="AU249:AY249"/>
    <mergeCell ref="AZ249:BD249"/>
    <mergeCell ref="BE252:BI252"/>
    <mergeCell ref="A253:C253"/>
    <mergeCell ref="D253:P253"/>
    <mergeCell ref="Q253:U253"/>
    <mergeCell ref="V253:AE253"/>
    <mergeCell ref="AF253:AJ253"/>
    <mergeCell ref="AK253:AO253"/>
    <mergeCell ref="AP253:AT253"/>
    <mergeCell ref="AU253:AY253"/>
    <mergeCell ref="AZ253:BD253"/>
    <mergeCell ref="BE251:BI251"/>
    <mergeCell ref="A252:C252"/>
    <mergeCell ref="D252:P252"/>
    <mergeCell ref="Q252:U252"/>
    <mergeCell ref="V252:AE252"/>
    <mergeCell ref="AF252:AJ252"/>
    <mergeCell ref="AK252:AO252"/>
    <mergeCell ref="AP252:AT252"/>
    <mergeCell ref="AU252:AY252"/>
    <mergeCell ref="BE241:BI241"/>
    <mergeCell ref="BJ241:BN241"/>
    <mergeCell ref="BO241:BS241"/>
    <mergeCell ref="BT241:BX241"/>
    <mergeCell ref="BT240:BX240"/>
    <mergeCell ref="A241:C241"/>
    <mergeCell ref="D241:P241"/>
    <mergeCell ref="Q241:U241"/>
    <mergeCell ref="V241:AE241"/>
    <mergeCell ref="AF241:AJ241"/>
    <mergeCell ref="AK241:AO241"/>
    <mergeCell ref="AP241:AT241"/>
    <mergeCell ref="AU241:AY241"/>
    <mergeCell ref="AZ241:BD241"/>
    <mergeCell ref="AP240:AT240"/>
    <mergeCell ref="AU240:AY240"/>
    <mergeCell ref="AZ240:BD240"/>
    <mergeCell ref="BE240:BI240"/>
    <mergeCell ref="BJ240:BN240"/>
    <mergeCell ref="BO240:BS240"/>
    <mergeCell ref="BE239:BI239"/>
    <mergeCell ref="BJ239:BN239"/>
    <mergeCell ref="BO239:BS239"/>
    <mergeCell ref="BT239:BX239"/>
    <mergeCell ref="A240:C240"/>
    <mergeCell ref="D240:P240"/>
    <mergeCell ref="Q240:U240"/>
    <mergeCell ref="V240:AE240"/>
    <mergeCell ref="AF240:AJ240"/>
    <mergeCell ref="AK240:AO240"/>
    <mergeCell ref="BT238:BX238"/>
    <mergeCell ref="A239:C239"/>
    <mergeCell ref="D239:P239"/>
    <mergeCell ref="Q239:U239"/>
    <mergeCell ref="V239:AE239"/>
    <mergeCell ref="AF239:AJ239"/>
    <mergeCell ref="AK239:AO239"/>
    <mergeCell ref="AP239:AT239"/>
    <mergeCell ref="AU239:AY239"/>
    <mergeCell ref="AZ239:BD239"/>
    <mergeCell ref="AP238:AT238"/>
    <mergeCell ref="AU238:AY238"/>
    <mergeCell ref="AZ238:BD238"/>
    <mergeCell ref="BE238:BI238"/>
    <mergeCell ref="BJ238:BN238"/>
    <mergeCell ref="BO238:BS238"/>
    <mergeCell ref="BE237:BI237"/>
    <mergeCell ref="BJ237:BN237"/>
    <mergeCell ref="BO237:BS237"/>
    <mergeCell ref="BT237:BX237"/>
    <mergeCell ref="A238:C238"/>
    <mergeCell ref="D238:P238"/>
    <mergeCell ref="Q238:U238"/>
    <mergeCell ref="V238:AE238"/>
    <mergeCell ref="AF238:AJ238"/>
    <mergeCell ref="AK238:AO238"/>
    <mergeCell ref="BT236:BX236"/>
    <mergeCell ref="A237:C237"/>
    <mergeCell ref="D237:P237"/>
    <mergeCell ref="Q237:U237"/>
    <mergeCell ref="V237:AE237"/>
    <mergeCell ref="AF237:AJ237"/>
    <mergeCell ref="AK237:AO237"/>
    <mergeCell ref="AP237:AT237"/>
    <mergeCell ref="AU237:AY237"/>
    <mergeCell ref="AZ237:BD237"/>
    <mergeCell ref="AP236:AT236"/>
    <mergeCell ref="AU236:AY236"/>
    <mergeCell ref="AZ236:BD236"/>
    <mergeCell ref="BE236:BI236"/>
    <mergeCell ref="BJ236:BN236"/>
    <mergeCell ref="BO236:BS236"/>
    <mergeCell ref="BE235:BI235"/>
    <mergeCell ref="BJ235:BN235"/>
    <mergeCell ref="BO235:BS235"/>
    <mergeCell ref="BT235:BX235"/>
    <mergeCell ref="A236:C236"/>
    <mergeCell ref="D236:P236"/>
    <mergeCell ref="Q236:U236"/>
    <mergeCell ref="V236:AE236"/>
    <mergeCell ref="AF236:AJ236"/>
    <mergeCell ref="AK236:AO236"/>
    <mergeCell ref="BT234:BX234"/>
    <mergeCell ref="A235:C235"/>
    <mergeCell ref="D235:P235"/>
    <mergeCell ref="Q235:U235"/>
    <mergeCell ref="V235:AE235"/>
    <mergeCell ref="AF235:AJ235"/>
    <mergeCell ref="AK235:AO235"/>
    <mergeCell ref="AP235:AT235"/>
    <mergeCell ref="AU235:AY235"/>
    <mergeCell ref="AZ235:BD235"/>
    <mergeCell ref="AP234:AT234"/>
    <mergeCell ref="AU234:AY234"/>
    <mergeCell ref="AZ234:BD234"/>
    <mergeCell ref="BE234:BI234"/>
    <mergeCell ref="BJ234:BN234"/>
    <mergeCell ref="BO234:BS234"/>
    <mergeCell ref="BE233:BI233"/>
    <mergeCell ref="BJ233:BN233"/>
    <mergeCell ref="BO233:BS233"/>
    <mergeCell ref="BT233:BX233"/>
    <mergeCell ref="A234:C234"/>
    <mergeCell ref="D234:P234"/>
    <mergeCell ref="Q234:U234"/>
    <mergeCell ref="V234:AE234"/>
    <mergeCell ref="AF234:AJ234"/>
    <mergeCell ref="AK234:AO234"/>
    <mergeCell ref="BT232:BX232"/>
    <mergeCell ref="A233:C233"/>
    <mergeCell ref="D233:P233"/>
    <mergeCell ref="Q233:U233"/>
    <mergeCell ref="V233:AE233"/>
    <mergeCell ref="AF233:AJ233"/>
    <mergeCell ref="AK233:AO233"/>
    <mergeCell ref="AP233:AT233"/>
    <mergeCell ref="AU233:AY233"/>
    <mergeCell ref="AZ233:BD233"/>
    <mergeCell ref="AP232:AT232"/>
    <mergeCell ref="AU232:AY232"/>
    <mergeCell ref="AZ232:BD232"/>
    <mergeCell ref="BE232:BI232"/>
    <mergeCell ref="BJ232:BN232"/>
    <mergeCell ref="BO232:BS232"/>
    <mergeCell ref="A232:C232"/>
    <mergeCell ref="D232:P232"/>
    <mergeCell ref="Q232:U232"/>
    <mergeCell ref="V232:AE232"/>
    <mergeCell ref="AF232:AJ232"/>
    <mergeCell ref="AK232:AO232"/>
    <mergeCell ref="AU231:AY231"/>
    <mergeCell ref="AZ231:BD231"/>
    <mergeCell ref="BE231:BI231"/>
    <mergeCell ref="BJ231:BN231"/>
    <mergeCell ref="BO231:BS231"/>
    <mergeCell ref="BT231:BX231"/>
    <mergeCell ref="A231:C231"/>
    <mergeCell ref="D231:P231"/>
    <mergeCell ref="Q231:U231"/>
    <mergeCell ref="V231:AE231"/>
    <mergeCell ref="AF231:AJ231"/>
    <mergeCell ref="AK231:AO231"/>
    <mergeCell ref="AP231:AT231"/>
    <mergeCell ref="AT222:AX222"/>
    <mergeCell ref="AY222:BC222"/>
    <mergeCell ref="BD222:BH222"/>
    <mergeCell ref="AT221:AX221"/>
    <mergeCell ref="AY221:BC221"/>
    <mergeCell ref="BD221:BH221"/>
    <mergeCell ref="A222:C222"/>
    <mergeCell ref="D222:T222"/>
    <mergeCell ref="U222:Y222"/>
    <mergeCell ref="Z222:AD222"/>
    <mergeCell ref="AE222:AI222"/>
    <mergeCell ref="AJ222:AN222"/>
    <mergeCell ref="AO222:AS222"/>
    <mergeCell ref="BT230:BX230"/>
    <mergeCell ref="BT229:BX229"/>
    <mergeCell ref="BT228:BX228"/>
    <mergeCell ref="AZ229:BD229"/>
    <mergeCell ref="AP228:AT228"/>
    <mergeCell ref="AU228:AY228"/>
    <mergeCell ref="AT220:AX220"/>
    <mergeCell ref="AY220:BC220"/>
    <mergeCell ref="BD220:BH220"/>
    <mergeCell ref="A221:C221"/>
    <mergeCell ref="D221:T221"/>
    <mergeCell ref="U221:Y221"/>
    <mergeCell ref="Z221:AD221"/>
    <mergeCell ref="AE221:AI221"/>
    <mergeCell ref="AJ221:AN221"/>
    <mergeCell ref="AO221:AS221"/>
    <mergeCell ref="AT219:AX219"/>
    <mergeCell ref="AY219:BC219"/>
    <mergeCell ref="BD219:BH219"/>
    <mergeCell ref="A220:C220"/>
    <mergeCell ref="D220:T220"/>
    <mergeCell ref="U220:Y220"/>
    <mergeCell ref="Z220:AD220"/>
    <mergeCell ref="AE220:AI220"/>
    <mergeCell ref="AJ220:AN220"/>
    <mergeCell ref="AO220:AS220"/>
    <mergeCell ref="AT218:AX218"/>
    <mergeCell ref="AY218:BC218"/>
    <mergeCell ref="BD218:BH218"/>
    <mergeCell ref="A219:C219"/>
    <mergeCell ref="D219:T219"/>
    <mergeCell ref="U219:Y219"/>
    <mergeCell ref="Z219:AD219"/>
    <mergeCell ref="AE219:AI219"/>
    <mergeCell ref="AJ219:AN219"/>
    <mergeCell ref="AO219:AS219"/>
    <mergeCell ref="AT217:AX217"/>
    <mergeCell ref="AY217:BC217"/>
    <mergeCell ref="BD217:BH217"/>
    <mergeCell ref="A218:C218"/>
    <mergeCell ref="D218:T218"/>
    <mergeCell ref="U218:Y218"/>
    <mergeCell ref="Z218:AD218"/>
    <mergeCell ref="AE218:AI218"/>
    <mergeCell ref="AJ218:AN218"/>
    <mergeCell ref="AO218:AS218"/>
    <mergeCell ref="AT216:AX216"/>
    <mergeCell ref="AY216:BC216"/>
    <mergeCell ref="BD216:BH216"/>
    <mergeCell ref="A217:C217"/>
    <mergeCell ref="D217:T217"/>
    <mergeCell ref="U217:Y217"/>
    <mergeCell ref="Z217:AD217"/>
    <mergeCell ref="AE217:AI217"/>
    <mergeCell ref="AJ217:AN217"/>
    <mergeCell ref="AO217:AS217"/>
    <mergeCell ref="AT215:AX215"/>
    <mergeCell ref="AY215:BC215"/>
    <mergeCell ref="BD215:BH215"/>
    <mergeCell ref="A216:C216"/>
    <mergeCell ref="D216:T216"/>
    <mergeCell ref="U216:Y216"/>
    <mergeCell ref="Z216:AD216"/>
    <mergeCell ref="AE216:AI216"/>
    <mergeCell ref="AJ216:AN216"/>
    <mergeCell ref="AO216:AS216"/>
    <mergeCell ref="AT214:AX214"/>
    <mergeCell ref="AY214:BC214"/>
    <mergeCell ref="BD214:BH214"/>
    <mergeCell ref="A215:C215"/>
    <mergeCell ref="D215:T215"/>
    <mergeCell ref="U215:Y215"/>
    <mergeCell ref="Z215:AD215"/>
    <mergeCell ref="AE215:AI215"/>
    <mergeCell ref="AJ215:AN215"/>
    <mergeCell ref="AO215:AS215"/>
    <mergeCell ref="AT213:AX213"/>
    <mergeCell ref="AY213:BC213"/>
    <mergeCell ref="BD213:BH213"/>
    <mergeCell ref="A214:C214"/>
    <mergeCell ref="D214:T214"/>
    <mergeCell ref="U214:Y214"/>
    <mergeCell ref="Z214:AD214"/>
    <mergeCell ref="AE214:AI214"/>
    <mergeCell ref="AJ214:AN214"/>
    <mergeCell ref="AO214:AS214"/>
    <mergeCell ref="AT212:AX212"/>
    <mergeCell ref="AY212:BC212"/>
    <mergeCell ref="BD212:BH212"/>
    <mergeCell ref="A213:C213"/>
    <mergeCell ref="D213:T213"/>
    <mergeCell ref="U213:Y213"/>
    <mergeCell ref="Z213:AD213"/>
    <mergeCell ref="AE213:AI213"/>
    <mergeCell ref="AJ213:AN213"/>
    <mergeCell ref="AO213:AS213"/>
    <mergeCell ref="AT211:AX211"/>
    <mergeCell ref="AY211:BC211"/>
    <mergeCell ref="BD211:BH211"/>
    <mergeCell ref="A212:C212"/>
    <mergeCell ref="D212:T212"/>
    <mergeCell ref="U212:Y212"/>
    <mergeCell ref="Z212:AD212"/>
    <mergeCell ref="AE212:AI212"/>
    <mergeCell ref="AJ212:AN212"/>
    <mergeCell ref="AO212:AS212"/>
    <mergeCell ref="AT210:AX210"/>
    <mergeCell ref="AY210:BC210"/>
    <mergeCell ref="BD210:BH210"/>
    <mergeCell ref="A211:C211"/>
    <mergeCell ref="D211:T211"/>
    <mergeCell ref="U211:Y211"/>
    <mergeCell ref="Z211:AD211"/>
    <mergeCell ref="AE211:AI211"/>
    <mergeCell ref="AJ211:AN211"/>
    <mergeCell ref="AO211:AS211"/>
    <mergeCell ref="AT209:AX209"/>
    <mergeCell ref="AY209:BC209"/>
    <mergeCell ref="BD209:BH209"/>
    <mergeCell ref="A210:C210"/>
    <mergeCell ref="D210:T210"/>
    <mergeCell ref="U210:Y210"/>
    <mergeCell ref="Z210:AD210"/>
    <mergeCell ref="AE210:AI210"/>
    <mergeCell ref="AJ210:AN210"/>
    <mergeCell ref="AO210:AS210"/>
    <mergeCell ref="AT208:AX208"/>
    <mergeCell ref="AY208:BC208"/>
    <mergeCell ref="BD208:BH208"/>
    <mergeCell ref="A209:C209"/>
    <mergeCell ref="D209:T209"/>
    <mergeCell ref="U209:Y209"/>
    <mergeCell ref="Z209:AD209"/>
    <mergeCell ref="AE209:AI209"/>
    <mergeCell ref="AJ209:AN209"/>
    <mergeCell ref="AO209:AS209"/>
    <mergeCell ref="AT207:AX207"/>
    <mergeCell ref="AY207:BC207"/>
    <mergeCell ref="BD207:BH207"/>
    <mergeCell ref="A208:C208"/>
    <mergeCell ref="D208:T208"/>
    <mergeCell ref="U208:Y208"/>
    <mergeCell ref="Z208:AD208"/>
    <mergeCell ref="AE208:AI208"/>
    <mergeCell ref="AJ208:AN208"/>
    <mergeCell ref="AO208:AS208"/>
    <mergeCell ref="AT206:AX206"/>
    <mergeCell ref="AY206:BC206"/>
    <mergeCell ref="BD206:BH206"/>
    <mergeCell ref="A207:C207"/>
    <mergeCell ref="D207:T207"/>
    <mergeCell ref="U207:Y207"/>
    <mergeCell ref="Z207:AD207"/>
    <mergeCell ref="AE207:AI207"/>
    <mergeCell ref="AJ207:AN207"/>
    <mergeCell ref="AO207:AS207"/>
    <mergeCell ref="AT205:AX205"/>
    <mergeCell ref="AY205:BC205"/>
    <mergeCell ref="BD205:BH205"/>
    <mergeCell ref="A206:C206"/>
    <mergeCell ref="D206:T206"/>
    <mergeCell ref="U206:Y206"/>
    <mergeCell ref="Z206:AD206"/>
    <mergeCell ref="AE206:AI206"/>
    <mergeCell ref="AJ206:AN206"/>
    <mergeCell ref="AO206:AS206"/>
    <mergeCell ref="AT204:AX204"/>
    <mergeCell ref="AY204:BC204"/>
    <mergeCell ref="BD204:BH204"/>
    <mergeCell ref="A205:C205"/>
    <mergeCell ref="D205:T205"/>
    <mergeCell ref="U205:Y205"/>
    <mergeCell ref="Z205:AD205"/>
    <mergeCell ref="AE205:AI205"/>
    <mergeCell ref="AJ205:AN205"/>
    <mergeCell ref="AO205:AS205"/>
    <mergeCell ref="AT203:AX203"/>
    <mergeCell ref="AY203:BC203"/>
    <mergeCell ref="BD203:BH203"/>
    <mergeCell ref="A204:C204"/>
    <mergeCell ref="D204:T204"/>
    <mergeCell ref="U204:Y204"/>
    <mergeCell ref="Z204:AD204"/>
    <mergeCell ref="AE204:AI204"/>
    <mergeCell ref="AJ204:AN204"/>
    <mergeCell ref="AO204:AS204"/>
    <mergeCell ref="AT202:AX202"/>
    <mergeCell ref="AY202:BC202"/>
    <mergeCell ref="BD202:BH202"/>
    <mergeCell ref="A203:C203"/>
    <mergeCell ref="D203:T203"/>
    <mergeCell ref="U203:Y203"/>
    <mergeCell ref="Z203:AD203"/>
    <mergeCell ref="AE203:AI203"/>
    <mergeCell ref="AJ203:AN203"/>
    <mergeCell ref="AO203:AS203"/>
    <mergeCell ref="AT201:AX201"/>
    <mergeCell ref="AY201:BC201"/>
    <mergeCell ref="BD201:BH201"/>
    <mergeCell ref="A202:C202"/>
    <mergeCell ref="D202:T202"/>
    <mergeCell ref="U202:Y202"/>
    <mergeCell ref="Z202:AD202"/>
    <mergeCell ref="AE202:AI202"/>
    <mergeCell ref="AJ202:AN202"/>
    <mergeCell ref="AO202:AS202"/>
    <mergeCell ref="AT200:AX200"/>
    <mergeCell ref="AY200:BC200"/>
    <mergeCell ref="BD200:BH200"/>
    <mergeCell ref="A201:C201"/>
    <mergeCell ref="D201:T201"/>
    <mergeCell ref="U201:Y201"/>
    <mergeCell ref="Z201:AD201"/>
    <mergeCell ref="AE201:AI201"/>
    <mergeCell ref="AJ201:AN201"/>
    <mergeCell ref="AO201:AS201"/>
    <mergeCell ref="AT199:AX199"/>
    <mergeCell ref="AY199:BC199"/>
    <mergeCell ref="BD199:BH199"/>
    <mergeCell ref="A200:C200"/>
    <mergeCell ref="D200:T200"/>
    <mergeCell ref="U200:Y200"/>
    <mergeCell ref="Z200:AD200"/>
    <mergeCell ref="AE200:AI200"/>
    <mergeCell ref="AJ200:AN200"/>
    <mergeCell ref="AO200:AS200"/>
    <mergeCell ref="AT198:AX198"/>
    <mergeCell ref="AY198:BC198"/>
    <mergeCell ref="BD198:BH198"/>
    <mergeCell ref="A199:C199"/>
    <mergeCell ref="D199:T199"/>
    <mergeCell ref="U199:Y199"/>
    <mergeCell ref="Z199:AD199"/>
    <mergeCell ref="AE199:AI199"/>
    <mergeCell ref="AJ199:AN199"/>
    <mergeCell ref="AO199:AS199"/>
    <mergeCell ref="AT197:AX197"/>
    <mergeCell ref="AY197:BC197"/>
    <mergeCell ref="BD197:BH197"/>
    <mergeCell ref="A198:C198"/>
    <mergeCell ref="D198:T198"/>
    <mergeCell ref="U198:Y198"/>
    <mergeCell ref="Z198:AD198"/>
    <mergeCell ref="AE198:AI198"/>
    <mergeCell ref="AJ198:AN198"/>
    <mergeCell ref="AO198:AS198"/>
    <mergeCell ref="AT196:AX196"/>
    <mergeCell ref="AY196:BC196"/>
    <mergeCell ref="BD196:BH196"/>
    <mergeCell ref="A197:C197"/>
    <mergeCell ref="D197:T197"/>
    <mergeCell ref="U197:Y197"/>
    <mergeCell ref="Z197:AD197"/>
    <mergeCell ref="AE197:AI197"/>
    <mergeCell ref="AJ197:AN197"/>
    <mergeCell ref="AO197:AS197"/>
    <mergeCell ref="AT195:AX195"/>
    <mergeCell ref="AY195:BC195"/>
    <mergeCell ref="BD195:BH195"/>
    <mergeCell ref="A196:C196"/>
    <mergeCell ref="D196:T196"/>
    <mergeCell ref="U196:Y196"/>
    <mergeCell ref="Z196:AD196"/>
    <mergeCell ref="AE196:AI196"/>
    <mergeCell ref="AJ196:AN196"/>
    <mergeCell ref="AO196:AS196"/>
    <mergeCell ref="AT194:AX194"/>
    <mergeCell ref="AY194:BC194"/>
    <mergeCell ref="BD194:BH194"/>
    <mergeCell ref="A195:C195"/>
    <mergeCell ref="D195:T195"/>
    <mergeCell ref="U195:Y195"/>
    <mergeCell ref="Z195:AD195"/>
    <mergeCell ref="AE195:AI195"/>
    <mergeCell ref="AJ195:AN195"/>
    <mergeCell ref="AO195:AS195"/>
    <mergeCell ref="AT193:AX193"/>
    <mergeCell ref="AY193:BC193"/>
    <mergeCell ref="BD193:BH193"/>
    <mergeCell ref="A194:C194"/>
    <mergeCell ref="D194:T194"/>
    <mergeCell ref="U194:Y194"/>
    <mergeCell ref="Z194:AD194"/>
    <mergeCell ref="AE194:AI194"/>
    <mergeCell ref="AJ194:AN194"/>
    <mergeCell ref="AO194:AS194"/>
    <mergeCell ref="AT192:AX192"/>
    <mergeCell ref="AY192:BC192"/>
    <mergeCell ref="BD192:BH192"/>
    <mergeCell ref="A193:C193"/>
    <mergeCell ref="D193:T193"/>
    <mergeCell ref="U193:Y193"/>
    <mergeCell ref="Z193:AD193"/>
    <mergeCell ref="AE193:AI193"/>
    <mergeCell ref="AJ193:AN193"/>
    <mergeCell ref="AO193:AS193"/>
    <mergeCell ref="AT191:AX191"/>
    <mergeCell ref="AY191:BC191"/>
    <mergeCell ref="BD191:BH191"/>
    <mergeCell ref="A192:C192"/>
    <mergeCell ref="D192:T192"/>
    <mergeCell ref="U192:Y192"/>
    <mergeCell ref="Z192:AD192"/>
    <mergeCell ref="AE192:AI192"/>
    <mergeCell ref="AJ192:AN192"/>
    <mergeCell ref="AO192:AS192"/>
    <mergeCell ref="AT190:AX190"/>
    <mergeCell ref="AY190:BC190"/>
    <mergeCell ref="BD190:BH190"/>
    <mergeCell ref="A191:C191"/>
    <mergeCell ref="D191:T191"/>
    <mergeCell ref="U191:Y191"/>
    <mergeCell ref="Z191:AD191"/>
    <mergeCell ref="AE191:AI191"/>
    <mergeCell ref="AJ191:AN191"/>
    <mergeCell ref="AO191:AS191"/>
    <mergeCell ref="AT189:AX189"/>
    <mergeCell ref="AY189:BC189"/>
    <mergeCell ref="BD189:BH189"/>
    <mergeCell ref="A190:C190"/>
    <mergeCell ref="D190:T190"/>
    <mergeCell ref="U190:Y190"/>
    <mergeCell ref="Z190:AD190"/>
    <mergeCell ref="AE190:AI190"/>
    <mergeCell ref="AJ190:AN190"/>
    <mergeCell ref="AO190:AS190"/>
    <mergeCell ref="AT188:AX188"/>
    <mergeCell ref="AY188:BC188"/>
    <mergeCell ref="BD188:BH188"/>
    <mergeCell ref="A189:C189"/>
    <mergeCell ref="D189:T189"/>
    <mergeCell ref="U189:Y189"/>
    <mergeCell ref="Z189:AD189"/>
    <mergeCell ref="AE189:AI189"/>
    <mergeCell ref="AJ189:AN189"/>
    <mergeCell ref="AO189:AS189"/>
    <mergeCell ref="AT187:AX187"/>
    <mergeCell ref="AY187:BC187"/>
    <mergeCell ref="BD187:BH187"/>
    <mergeCell ref="A188:C188"/>
    <mergeCell ref="D188:T188"/>
    <mergeCell ref="U188:Y188"/>
    <mergeCell ref="Z188:AD188"/>
    <mergeCell ref="AE188:AI188"/>
    <mergeCell ref="AJ188:AN188"/>
    <mergeCell ref="AO188:AS188"/>
    <mergeCell ref="AT186:AX186"/>
    <mergeCell ref="AY186:BC186"/>
    <mergeCell ref="BD186:BH186"/>
    <mergeCell ref="A187:C187"/>
    <mergeCell ref="D187:T187"/>
    <mergeCell ref="U187:Y187"/>
    <mergeCell ref="Z187:AD187"/>
    <mergeCell ref="AE187:AI187"/>
    <mergeCell ref="AJ187:AN187"/>
    <mergeCell ref="AO187:AS187"/>
    <mergeCell ref="AT185:AX185"/>
    <mergeCell ref="AY185:BC185"/>
    <mergeCell ref="BD185:BH185"/>
    <mergeCell ref="A186:C186"/>
    <mergeCell ref="D186:T186"/>
    <mergeCell ref="U186:Y186"/>
    <mergeCell ref="Z186:AD186"/>
    <mergeCell ref="AE186:AI186"/>
    <mergeCell ref="AJ186:AN186"/>
    <mergeCell ref="AO186:AS186"/>
    <mergeCell ref="AT184:AX184"/>
    <mergeCell ref="AY184:BC184"/>
    <mergeCell ref="BD184:BH184"/>
    <mergeCell ref="A185:C185"/>
    <mergeCell ref="D185:T185"/>
    <mergeCell ref="U185:Y185"/>
    <mergeCell ref="Z185:AD185"/>
    <mergeCell ref="AE185:AI185"/>
    <mergeCell ref="AJ185:AN185"/>
    <mergeCell ref="AO185:AS185"/>
    <mergeCell ref="AT183:AX183"/>
    <mergeCell ref="AY183:BC183"/>
    <mergeCell ref="BD183:BH183"/>
    <mergeCell ref="A184:C184"/>
    <mergeCell ref="D184:T184"/>
    <mergeCell ref="U184:Y184"/>
    <mergeCell ref="Z184:AD184"/>
    <mergeCell ref="AE184:AI184"/>
    <mergeCell ref="AJ184:AN184"/>
    <mergeCell ref="AO184:AS184"/>
    <mergeCell ref="AT182:AX182"/>
    <mergeCell ref="AY182:BC182"/>
    <mergeCell ref="BD182:BH182"/>
    <mergeCell ref="A183:C183"/>
    <mergeCell ref="D183:T183"/>
    <mergeCell ref="U183:Y183"/>
    <mergeCell ref="Z183:AD183"/>
    <mergeCell ref="AE183:AI183"/>
    <mergeCell ref="AJ183:AN183"/>
    <mergeCell ref="AO183:AS183"/>
    <mergeCell ref="AT181:AX181"/>
    <mergeCell ref="AY181:BC181"/>
    <mergeCell ref="BD181:BH181"/>
    <mergeCell ref="A182:C182"/>
    <mergeCell ref="D182:T182"/>
    <mergeCell ref="U182:Y182"/>
    <mergeCell ref="Z182:AD182"/>
    <mergeCell ref="AE182:AI182"/>
    <mergeCell ref="AJ182:AN182"/>
    <mergeCell ref="AO182:AS182"/>
    <mergeCell ref="AT180:AX180"/>
    <mergeCell ref="AY180:BC180"/>
    <mergeCell ref="BD180:BH180"/>
    <mergeCell ref="A181:C181"/>
    <mergeCell ref="D181:T181"/>
    <mergeCell ref="U181:Y181"/>
    <mergeCell ref="Z181:AD181"/>
    <mergeCell ref="AE181:AI181"/>
    <mergeCell ref="AJ181:AN181"/>
    <mergeCell ref="AO181:AS181"/>
    <mergeCell ref="AT179:AX179"/>
    <mergeCell ref="AY179:BC179"/>
    <mergeCell ref="BD179:BH179"/>
    <mergeCell ref="A180:C180"/>
    <mergeCell ref="D180:T180"/>
    <mergeCell ref="U180:Y180"/>
    <mergeCell ref="Z180:AD180"/>
    <mergeCell ref="AE180:AI180"/>
    <mergeCell ref="AJ180:AN180"/>
    <mergeCell ref="AO180:AS180"/>
    <mergeCell ref="AT178:AX178"/>
    <mergeCell ref="AY178:BC178"/>
    <mergeCell ref="BD178:BH178"/>
    <mergeCell ref="A179:C179"/>
    <mergeCell ref="D179:T179"/>
    <mergeCell ref="U179:Y179"/>
    <mergeCell ref="Z179:AD179"/>
    <mergeCell ref="AE179:AI179"/>
    <mergeCell ref="AJ179:AN179"/>
    <mergeCell ref="AO179:AS179"/>
    <mergeCell ref="AT177:AX177"/>
    <mergeCell ref="AY177:BC177"/>
    <mergeCell ref="BD177:BH177"/>
    <mergeCell ref="A178:C178"/>
    <mergeCell ref="D178:T178"/>
    <mergeCell ref="U178:Y178"/>
    <mergeCell ref="Z178:AD178"/>
    <mergeCell ref="AE178:AI178"/>
    <mergeCell ref="AJ178:AN178"/>
    <mergeCell ref="AO178:AS178"/>
    <mergeCell ref="AT176:AX176"/>
    <mergeCell ref="AY176:BC176"/>
    <mergeCell ref="BD176:BH176"/>
    <mergeCell ref="A177:C177"/>
    <mergeCell ref="D177:T177"/>
    <mergeCell ref="U177:Y177"/>
    <mergeCell ref="Z177:AD177"/>
    <mergeCell ref="AE177:AI177"/>
    <mergeCell ref="AJ177:AN177"/>
    <mergeCell ref="AO177:AS177"/>
    <mergeCell ref="AT175:AX175"/>
    <mergeCell ref="AY175:BC175"/>
    <mergeCell ref="BD175:BH175"/>
    <mergeCell ref="A176:C176"/>
    <mergeCell ref="D176:T176"/>
    <mergeCell ref="U176:Y176"/>
    <mergeCell ref="Z176:AD176"/>
    <mergeCell ref="AE176:AI176"/>
    <mergeCell ref="AJ176:AN176"/>
    <mergeCell ref="AO176:AS176"/>
    <mergeCell ref="D175:T175"/>
    <mergeCell ref="U175:Y175"/>
    <mergeCell ref="Z175:AD175"/>
    <mergeCell ref="AE175:AI175"/>
    <mergeCell ref="AJ175:AN175"/>
    <mergeCell ref="AO175:AS175"/>
    <mergeCell ref="A174:C174"/>
    <mergeCell ref="D174:T174"/>
    <mergeCell ref="U174:Y174"/>
    <mergeCell ref="Z174:AD174"/>
    <mergeCell ref="AE174:AI174"/>
    <mergeCell ref="AJ174:AN174"/>
    <mergeCell ref="AO174:AS174"/>
    <mergeCell ref="BB165:BF165"/>
    <mergeCell ref="BG165:BK165"/>
    <mergeCell ref="BL165:BP165"/>
    <mergeCell ref="BQ165:BT165"/>
    <mergeCell ref="BU165:BY165"/>
    <mergeCell ref="BU164:BY164"/>
    <mergeCell ref="A165:C165"/>
    <mergeCell ref="D165:T165"/>
    <mergeCell ref="U165:Y165"/>
    <mergeCell ref="Z165:AD165"/>
    <mergeCell ref="AE165:AH165"/>
    <mergeCell ref="AI165:AM165"/>
    <mergeCell ref="AN165:AR165"/>
    <mergeCell ref="AS165:AW165"/>
    <mergeCell ref="AX165:BA165"/>
    <mergeCell ref="AS164:AW164"/>
    <mergeCell ref="AX164:BA164"/>
    <mergeCell ref="BB164:BF164"/>
    <mergeCell ref="BG164:BK164"/>
    <mergeCell ref="BL164:BP164"/>
    <mergeCell ref="BQ164:BT164"/>
    <mergeCell ref="AO173:AS173"/>
    <mergeCell ref="AT173:AX173"/>
    <mergeCell ref="AY173:BC173"/>
    <mergeCell ref="BD173:BH173"/>
    <mergeCell ref="BL163:BP163"/>
    <mergeCell ref="BQ163:BT163"/>
    <mergeCell ref="BU163:BY163"/>
    <mergeCell ref="A164:C164"/>
    <mergeCell ref="D164:T164"/>
    <mergeCell ref="U164:Y164"/>
    <mergeCell ref="Z164:AD164"/>
    <mergeCell ref="AE164:AH164"/>
    <mergeCell ref="AI164:AM164"/>
    <mergeCell ref="AN164:AR164"/>
    <mergeCell ref="AI163:AM163"/>
    <mergeCell ref="AN163:AR163"/>
    <mergeCell ref="AS163:AW163"/>
    <mergeCell ref="AX163:BA163"/>
    <mergeCell ref="BB163:BF163"/>
    <mergeCell ref="BG163:BK163"/>
    <mergeCell ref="BB162:BF162"/>
    <mergeCell ref="BG162:BK162"/>
    <mergeCell ref="BL162:BP162"/>
    <mergeCell ref="BQ162:BT162"/>
    <mergeCell ref="BU162:BY162"/>
    <mergeCell ref="A163:C163"/>
    <mergeCell ref="D163:T163"/>
    <mergeCell ref="U163:Y163"/>
    <mergeCell ref="Z163:AD163"/>
    <mergeCell ref="AE163:AH163"/>
    <mergeCell ref="BU161:BY161"/>
    <mergeCell ref="A162:C162"/>
    <mergeCell ref="D162:T162"/>
    <mergeCell ref="U162:Y162"/>
    <mergeCell ref="Z162:AD162"/>
    <mergeCell ref="AE162:AH162"/>
    <mergeCell ref="AI162:AM162"/>
    <mergeCell ref="AN162:AR162"/>
    <mergeCell ref="AS162:AW162"/>
    <mergeCell ref="AX162:BA162"/>
    <mergeCell ref="AS161:AW161"/>
    <mergeCell ref="AX161:BA161"/>
    <mergeCell ref="BB161:BF161"/>
    <mergeCell ref="BG161:BK161"/>
    <mergeCell ref="BL161:BP161"/>
    <mergeCell ref="BQ161:BT161"/>
    <mergeCell ref="BL160:BP160"/>
    <mergeCell ref="BQ160:BT160"/>
    <mergeCell ref="BU160:BY160"/>
    <mergeCell ref="A161:C161"/>
    <mergeCell ref="D161:T161"/>
    <mergeCell ref="U161:Y161"/>
    <mergeCell ref="Z161:AD161"/>
    <mergeCell ref="AE161:AH161"/>
    <mergeCell ref="AI161:AM161"/>
    <mergeCell ref="AN161:AR161"/>
    <mergeCell ref="AI160:AM160"/>
    <mergeCell ref="AN160:AR160"/>
    <mergeCell ref="AS160:AW160"/>
    <mergeCell ref="AX160:BA160"/>
    <mergeCell ref="BB160:BF160"/>
    <mergeCell ref="BG160:BK160"/>
    <mergeCell ref="BB159:BF159"/>
    <mergeCell ref="BG159:BK159"/>
    <mergeCell ref="BL159:BP159"/>
    <mergeCell ref="BQ159:BT159"/>
    <mergeCell ref="BU159:BY159"/>
    <mergeCell ref="A160:C160"/>
    <mergeCell ref="D160:T160"/>
    <mergeCell ref="U160:Y160"/>
    <mergeCell ref="Z160:AD160"/>
    <mergeCell ref="AE160:AH160"/>
    <mergeCell ref="BU158:BY158"/>
    <mergeCell ref="A159:C159"/>
    <mergeCell ref="D159:T159"/>
    <mergeCell ref="U159:Y159"/>
    <mergeCell ref="Z159:AD159"/>
    <mergeCell ref="AE159:AH159"/>
    <mergeCell ref="AI159:AM159"/>
    <mergeCell ref="AN159:AR159"/>
    <mergeCell ref="AS159:AW159"/>
    <mergeCell ref="AX159:BA159"/>
    <mergeCell ref="AS158:AW158"/>
    <mergeCell ref="AX158:BA158"/>
    <mergeCell ref="BB158:BF158"/>
    <mergeCell ref="BG158:BK158"/>
    <mergeCell ref="BL158:BP158"/>
    <mergeCell ref="BQ158:BT158"/>
    <mergeCell ref="BL157:BP157"/>
    <mergeCell ref="BQ157:BT157"/>
    <mergeCell ref="BU157:BY157"/>
    <mergeCell ref="A158:C158"/>
    <mergeCell ref="D158:T158"/>
    <mergeCell ref="U158:Y158"/>
    <mergeCell ref="Z158:AD158"/>
    <mergeCell ref="AE158:AH158"/>
    <mergeCell ref="AI158:AM158"/>
    <mergeCell ref="AN158:AR158"/>
    <mergeCell ref="AI157:AM157"/>
    <mergeCell ref="AN157:AR157"/>
    <mergeCell ref="AS157:AW157"/>
    <mergeCell ref="AX157:BA157"/>
    <mergeCell ref="BB157:BF157"/>
    <mergeCell ref="BG157:BK157"/>
    <mergeCell ref="BB156:BF156"/>
    <mergeCell ref="BG156:BK156"/>
    <mergeCell ref="BL156:BP156"/>
    <mergeCell ref="BQ156:BT156"/>
    <mergeCell ref="BU156:BY156"/>
    <mergeCell ref="A157:C157"/>
    <mergeCell ref="D157:T157"/>
    <mergeCell ref="U157:Y157"/>
    <mergeCell ref="Z157:AD157"/>
    <mergeCell ref="AE157:AH157"/>
    <mergeCell ref="BU155:BY155"/>
    <mergeCell ref="A156:C156"/>
    <mergeCell ref="D156:T156"/>
    <mergeCell ref="U156:Y156"/>
    <mergeCell ref="Z156:AD156"/>
    <mergeCell ref="AE156:AH156"/>
    <mergeCell ref="AI156:AM156"/>
    <mergeCell ref="AN156:AR156"/>
    <mergeCell ref="AS156:AW156"/>
    <mergeCell ref="AX156:BA156"/>
    <mergeCell ref="AS155:AW155"/>
    <mergeCell ref="AX155:BA155"/>
    <mergeCell ref="BB155:BF155"/>
    <mergeCell ref="BG155:BK155"/>
    <mergeCell ref="BL155:BP155"/>
    <mergeCell ref="BQ155:BT155"/>
    <mergeCell ref="BL154:BP154"/>
    <mergeCell ref="BQ154:BT154"/>
    <mergeCell ref="BU154:BY154"/>
    <mergeCell ref="A155:C155"/>
    <mergeCell ref="D155:T155"/>
    <mergeCell ref="U155:Y155"/>
    <mergeCell ref="Z155:AD155"/>
    <mergeCell ref="AE155:AH155"/>
    <mergeCell ref="AI155:AM155"/>
    <mergeCell ref="AN155:AR155"/>
    <mergeCell ref="AI154:AM154"/>
    <mergeCell ref="AN154:AR154"/>
    <mergeCell ref="AS154:AW154"/>
    <mergeCell ref="AX154:BA154"/>
    <mergeCell ref="BB154:BF154"/>
    <mergeCell ref="BG154:BK154"/>
    <mergeCell ref="BB153:BF153"/>
    <mergeCell ref="BG153:BK153"/>
    <mergeCell ref="BL153:BP153"/>
    <mergeCell ref="BQ153:BT153"/>
    <mergeCell ref="BU153:BY153"/>
    <mergeCell ref="A154:C154"/>
    <mergeCell ref="D154:T154"/>
    <mergeCell ref="U154:Y154"/>
    <mergeCell ref="Z154:AD154"/>
    <mergeCell ref="AE154:AH154"/>
    <mergeCell ref="BU152:BY152"/>
    <mergeCell ref="A153:C153"/>
    <mergeCell ref="D153:T153"/>
    <mergeCell ref="U153:Y153"/>
    <mergeCell ref="Z153:AD153"/>
    <mergeCell ref="AE153:AH153"/>
    <mergeCell ref="AI153:AM153"/>
    <mergeCell ref="AN153:AR153"/>
    <mergeCell ref="AS153:AW153"/>
    <mergeCell ref="AX153:BA153"/>
    <mergeCell ref="AS152:AW152"/>
    <mergeCell ref="AX152:BA152"/>
    <mergeCell ref="BB152:BF152"/>
    <mergeCell ref="BG152:BK152"/>
    <mergeCell ref="BL152:BP152"/>
    <mergeCell ref="BQ152:BT152"/>
    <mergeCell ref="BL151:BP151"/>
    <mergeCell ref="BQ151:BT151"/>
    <mergeCell ref="BU151:BY151"/>
    <mergeCell ref="A152:C152"/>
    <mergeCell ref="D152:T152"/>
    <mergeCell ref="U152:Y152"/>
    <mergeCell ref="Z152:AD152"/>
    <mergeCell ref="AE152:AH152"/>
    <mergeCell ref="AI152:AM152"/>
    <mergeCell ref="AN152:AR152"/>
    <mergeCell ref="AI151:AM151"/>
    <mergeCell ref="AN151:AR151"/>
    <mergeCell ref="AS151:AW151"/>
    <mergeCell ref="AX151:BA151"/>
    <mergeCell ref="BB151:BF151"/>
    <mergeCell ref="BG151:BK151"/>
    <mergeCell ref="BB150:BF150"/>
    <mergeCell ref="BG150:BK150"/>
    <mergeCell ref="BL150:BP150"/>
    <mergeCell ref="BQ150:BT150"/>
    <mergeCell ref="BU150:BY150"/>
    <mergeCell ref="A151:C151"/>
    <mergeCell ref="D151:T151"/>
    <mergeCell ref="U151:Y151"/>
    <mergeCell ref="Z151:AD151"/>
    <mergeCell ref="AE151:AH151"/>
    <mergeCell ref="BU149:BY149"/>
    <mergeCell ref="A150:C150"/>
    <mergeCell ref="D150:T150"/>
    <mergeCell ref="U150:Y150"/>
    <mergeCell ref="Z150:AD150"/>
    <mergeCell ref="AE150:AH150"/>
    <mergeCell ref="AI150:AM150"/>
    <mergeCell ref="AN150:AR150"/>
    <mergeCell ref="AS150:AW150"/>
    <mergeCell ref="AX150:BA150"/>
    <mergeCell ref="AS149:AW149"/>
    <mergeCell ref="AX149:BA149"/>
    <mergeCell ref="BB149:BF149"/>
    <mergeCell ref="BG149:BK149"/>
    <mergeCell ref="BL149:BP149"/>
    <mergeCell ref="BQ149:BT149"/>
    <mergeCell ref="BL148:BP148"/>
    <mergeCell ref="BQ148:BT148"/>
    <mergeCell ref="BU148:BY148"/>
    <mergeCell ref="A149:C149"/>
    <mergeCell ref="D149:T149"/>
    <mergeCell ref="U149:Y149"/>
    <mergeCell ref="Z149:AD149"/>
    <mergeCell ref="AE149:AH149"/>
    <mergeCell ref="AI149:AM149"/>
    <mergeCell ref="AN149:AR149"/>
    <mergeCell ref="AI148:AM148"/>
    <mergeCell ref="AN148:AR148"/>
    <mergeCell ref="AS148:AW148"/>
    <mergeCell ref="AX148:BA148"/>
    <mergeCell ref="BB148:BF148"/>
    <mergeCell ref="BG148:BK148"/>
    <mergeCell ref="BB147:BF147"/>
    <mergeCell ref="BG147:BK147"/>
    <mergeCell ref="BL147:BP147"/>
    <mergeCell ref="BQ147:BT147"/>
    <mergeCell ref="BU147:BY147"/>
    <mergeCell ref="A148:C148"/>
    <mergeCell ref="D148:T148"/>
    <mergeCell ref="U148:Y148"/>
    <mergeCell ref="Z148:AD148"/>
    <mergeCell ref="AE148:AH148"/>
    <mergeCell ref="BU146:BY146"/>
    <mergeCell ref="A147:C147"/>
    <mergeCell ref="D147:T147"/>
    <mergeCell ref="U147:Y147"/>
    <mergeCell ref="Z147:AD147"/>
    <mergeCell ref="AE147:AH147"/>
    <mergeCell ref="AI147:AM147"/>
    <mergeCell ref="AN147:AR147"/>
    <mergeCell ref="AS147:AW147"/>
    <mergeCell ref="AX147:BA147"/>
    <mergeCell ref="AS146:AW146"/>
    <mergeCell ref="AX146:BA146"/>
    <mergeCell ref="BB146:BF146"/>
    <mergeCell ref="BG146:BK146"/>
    <mergeCell ref="BL146:BP146"/>
    <mergeCell ref="BQ146:BT146"/>
    <mergeCell ref="BL145:BP145"/>
    <mergeCell ref="BQ145:BT145"/>
    <mergeCell ref="BU145:BY145"/>
    <mergeCell ref="A146:C146"/>
    <mergeCell ref="D146:T146"/>
    <mergeCell ref="U146:Y146"/>
    <mergeCell ref="Z146:AD146"/>
    <mergeCell ref="AE146:AH146"/>
    <mergeCell ref="AI146:AM146"/>
    <mergeCell ref="AN146:AR146"/>
    <mergeCell ref="AI145:AM145"/>
    <mergeCell ref="AN145:AR145"/>
    <mergeCell ref="AS145:AW145"/>
    <mergeCell ref="AX145:BA145"/>
    <mergeCell ref="BB145:BF145"/>
    <mergeCell ref="BG145:BK145"/>
    <mergeCell ref="BB144:BF144"/>
    <mergeCell ref="BG144:BK144"/>
    <mergeCell ref="BL144:BP144"/>
    <mergeCell ref="BQ144:BT144"/>
    <mergeCell ref="BU144:BY144"/>
    <mergeCell ref="A145:C145"/>
    <mergeCell ref="D145:T145"/>
    <mergeCell ref="U145:Y145"/>
    <mergeCell ref="Z145:AD145"/>
    <mergeCell ref="AE145:AH145"/>
    <mergeCell ref="BU143:BY143"/>
    <mergeCell ref="A144:C144"/>
    <mergeCell ref="D144:T144"/>
    <mergeCell ref="U144:Y144"/>
    <mergeCell ref="Z144:AD144"/>
    <mergeCell ref="AE144:AH144"/>
    <mergeCell ref="AI144:AM144"/>
    <mergeCell ref="AN144:AR144"/>
    <mergeCell ref="AS144:AW144"/>
    <mergeCell ref="AX144:BA144"/>
    <mergeCell ref="AS143:AW143"/>
    <mergeCell ref="AX143:BA143"/>
    <mergeCell ref="BB143:BF143"/>
    <mergeCell ref="BG143:BK143"/>
    <mergeCell ref="BL143:BP143"/>
    <mergeCell ref="BQ143:BT143"/>
    <mergeCell ref="BL142:BP142"/>
    <mergeCell ref="BQ142:BT142"/>
    <mergeCell ref="BU142:BY142"/>
    <mergeCell ref="A143:C143"/>
    <mergeCell ref="D143:T143"/>
    <mergeCell ref="U143:Y143"/>
    <mergeCell ref="Z143:AD143"/>
    <mergeCell ref="AE143:AH143"/>
    <mergeCell ref="AI143:AM143"/>
    <mergeCell ref="AN143:AR143"/>
    <mergeCell ref="AI142:AM142"/>
    <mergeCell ref="AN142:AR142"/>
    <mergeCell ref="AS142:AW142"/>
    <mergeCell ref="AX142:BA142"/>
    <mergeCell ref="BB142:BF142"/>
    <mergeCell ref="BG142:BK142"/>
    <mergeCell ref="BB141:BF141"/>
    <mergeCell ref="BG141:BK141"/>
    <mergeCell ref="BL141:BP141"/>
    <mergeCell ref="BQ141:BT141"/>
    <mergeCell ref="BU141:BY141"/>
    <mergeCell ref="A142:C142"/>
    <mergeCell ref="D142:T142"/>
    <mergeCell ref="U142:Y142"/>
    <mergeCell ref="Z142:AD142"/>
    <mergeCell ref="AE142:AH142"/>
    <mergeCell ref="BU140:BY140"/>
    <mergeCell ref="A141:C141"/>
    <mergeCell ref="D141:T141"/>
    <mergeCell ref="U141:Y141"/>
    <mergeCell ref="Z141:AD141"/>
    <mergeCell ref="AE141:AH141"/>
    <mergeCell ref="AI141:AM141"/>
    <mergeCell ref="AN141:AR141"/>
    <mergeCell ref="AS141:AW141"/>
    <mergeCell ref="AX141:BA141"/>
    <mergeCell ref="AS140:AW140"/>
    <mergeCell ref="AX140:BA140"/>
    <mergeCell ref="BB140:BF140"/>
    <mergeCell ref="BG140:BK140"/>
    <mergeCell ref="BL140:BP140"/>
    <mergeCell ref="BQ140:BT140"/>
    <mergeCell ref="BL139:BP139"/>
    <mergeCell ref="BQ139:BT139"/>
    <mergeCell ref="BU139:BY139"/>
    <mergeCell ref="A140:C140"/>
    <mergeCell ref="D140:T140"/>
    <mergeCell ref="U140:Y140"/>
    <mergeCell ref="Z140:AD140"/>
    <mergeCell ref="AE140:AH140"/>
    <mergeCell ref="AI140:AM140"/>
    <mergeCell ref="AN140:AR140"/>
    <mergeCell ref="AI139:AM139"/>
    <mergeCell ref="AN139:AR139"/>
    <mergeCell ref="AS139:AW139"/>
    <mergeCell ref="AX139:BA139"/>
    <mergeCell ref="BB139:BF139"/>
    <mergeCell ref="BG139:BK139"/>
    <mergeCell ref="BB138:BF138"/>
    <mergeCell ref="BG138:BK138"/>
    <mergeCell ref="BL138:BP138"/>
    <mergeCell ref="BQ138:BT138"/>
    <mergeCell ref="BU138:BY138"/>
    <mergeCell ref="A139:C139"/>
    <mergeCell ref="D139:T139"/>
    <mergeCell ref="U139:Y139"/>
    <mergeCell ref="Z139:AD139"/>
    <mergeCell ref="AE139:AH139"/>
    <mergeCell ref="BU137:BY137"/>
    <mergeCell ref="A138:C138"/>
    <mergeCell ref="D138:T138"/>
    <mergeCell ref="U138:Y138"/>
    <mergeCell ref="Z138:AD138"/>
    <mergeCell ref="AE138:AH138"/>
    <mergeCell ref="AI138:AM138"/>
    <mergeCell ref="AN138:AR138"/>
    <mergeCell ref="AS138:AW138"/>
    <mergeCell ref="AX138:BA138"/>
    <mergeCell ref="AS137:AW137"/>
    <mergeCell ref="AX137:BA137"/>
    <mergeCell ref="BB137:BF137"/>
    <mergeCell ref="BG137:BK137"/>
    <mergeCell ref="BL137:BP137"/>
    <mergeCell ref="BQ137:BT137"/>
    <mergeCell ref="BL136:BP136"/>
    <mergeCell ref="BQ136:BT136"/>
    <mergeCell ref="BU136:BY136"/>
    <mergeCell ref="A137:C137"/>
    <mergeCell ref="D137:T137"/>
    <mergeCell ref="U137:Y137"/>
    <mergeCell ref="Z137:AD137"/>
    <mergeCell ref="AE137:AH137"/>
    <mergeCell ref="AI137:AM137"/>
    <mergeCell ref="AN137:AR137"/>
    <mergeCell ref="AI136:AM136"/>
    <mergeCell ref="AN136:AR136"/>
    <mergeCell ref="AS136:AW136"/>
    <mergeCell ref="AX136:BA136"/>
    <mergeCell ref="BB136:BF136"/>
    <mergeCell ref="BG136:BK136"/>
    <mergeCell ref="BB135:BF135"/>
    <mergeCell ref="BG135:BK135"/>
    <mergeCell ref="BL135:BP135"/>
    <mergeCell ref="BQ135:BT135"/>
    <mergeCell ref="BU135:BY135"/>
    <mergeCell ref="A136:C136"/>
    <mergeCell ref="D136:T136"/>
    <mergeCell ref="U136:Y136"/>
    <mergeCell ref="Z136:AD136"/>
    <mergeCell ref="AE136:AH136"/>
    <mergeCell ref="BU134:BY134"/>
    <mergeCell ref="A135:C135"/>
    <mergeCell ref="D135:T135"/>
    <mergeCell ref="U135:Y135"/>
    <mergeCell ref="Z135:AD135"/>
    <mergeCell ref="AE135:AH135"/>
    <mergeCell ref="AI135:AM135"/>
    <mergeCell ref="AN135:AR135"/>
    <mergeCell ref="AS135:AW135"/>
    <mergeCell ref="AX135:BA135"/>
    <mergeCell ref="AS134:AW134"/>
    <mergeCell ref="AX134:BA134"/>
    <mergeCell ref="BB134:BF134"/>
    <mergeCell ref="BG134:BK134"/>
    <mergeCell ref="BL134:BP134"/>
    <mergeCell ref="BQ134:BT134"/>
    <mergeCell ref="BL133:BP133"/>
    <mergeCell ref="BQ133:BT133"/>
    <mergeCell ref="BU133:BY133"/>
    <mergeCell ref="A134:C134"/>
    <mergeCell ref="D134:T134"/>
    <mergeCell ref="U134:Y134"/>
    <mergeCell ref="Z134:AD134"/>
    <mergeCell ref="AE134:AH134"/>
    <mergeCell ref="AI134:AM134"/>
    <mergeCell ref="AN134:AR134"/>
    <mergeCell ref="AI133:AM133"/>
    <mergeCell ref="AN133:AR133"/>
    <mergeCell ref="AS133:AW133"/>
    <mergeCell ref="AX133:BA133"/>
    <mergeCell ref="BB133:BF133"/>
    <mergeCell ref="BG133:BK133"/>
    <mergeCell ref="BB132:BF132"/>
    <mergeCell ref="BG132:BK132"/>
    <mergeCell ref="BL132:BP132"/>
    <mergeCell ref="BQ132:BT132"/>
    <mergeCell ref="BU132:BY132"/>
    <mergeCell ref="A133:C133"/>
    <mergeCell ref="D133:T133"/>
    <mergeCell ref="U133:Y133"/>
    <mergeCell ref="Z133:AD133"/>
    <mergeCell ref="AE133:AH133"/>
    <mergeCell ref="BU131:BY131"/>
    <mergeCell ref="A132:C132"/>
    <mergeCell ref="D132:T132"/>
    <mergeCell ref="U132:Y132"/>
    <mergeCell ref="Z132:AD132"/>
    <mergeCell ref="AE132:AH132"/>
    <mergeCell ref="AI132:AM132"/>
    <mergeCell ref="AN132:AR132"/>
    <mergeCell ref="AS132:AW132"/>
    <mergeCell ref="AX132:BA132"/>
    <mergeCell ref="AS131:AW131"/>
    <mergeCell ref="AX131:BA131"/>
    <mergeCell ref="BB131:BF131"/>
    <mergeCell ref="BG131:BK131"/>
    <mergeCell ref="BL131:BP131"/>
    <mergeCell ref="BQ131:BT131"/>
    <mergeCell ref="BL130:BP130"/>
    <mergeCell ref="BQ130:BT130"/>
    <mergeCell ref="BU130:BY130"/>
    <mergeCell ref="A131:C131"/>
    <mergeCell ref="D131:T131"/>
    <mergeCell ref="U131:Y131"/>
    <mergeCell ref="Z131:AD131"/>
    <mergeCell ref="AE131:AH131"/>
    <mergeCell ref="AI131:AM131"/>
    <mergeCell ref="AN131:AR131"/>
    <mergeCell ref="AI130:AM130"/>
    <mergeCell ref="AN130:AR130"/>
    <mergeCell ref="AS130:AW130"/>
    <mergeCell ref="AX130:BA130"/>
    <mergeCell ref="BB130:BF130"/>
    <mergeCell ref="BG130:BK130"/>
    <mergeCell ref="BB129:BF129"/>
    <mergeCell ref="BG129:BK129"/>
    <mergeCell ref="BL129:BP129"/>
    <mergeCell ref="BQ129:BT129"/>
    <mergeCell ref="BU129:BY129"/>
    <mergeCell ref="A130:C130"/>
    <mergeCell ref="D130:T130"/>
    <mergeCell ref="U130:Y130"/>
    <mergeCell ref="Z130:AD130"/>
    <mergeCell ref="AE130:AH130"/>
    <mergeCell ref="BU128:BY128"/>
    <mergeCell ref="A129:C129"/>
    <mergeCell ref="D129:T129"/>
    <mergeCell ref="U129:Y129"/>
    <mergeCell ref="Z129:AD129"/>
    <mergeCell ref="AE129:AH129"/>
    <mergeCell ref="AI129:AM129"/>
    <mergeCell ref="AN129:AR129"/>
    <mergeCell ref="AS129:AW129"/>
    <mergeCell ref="AX129:BA129"/>
    <mergeCell ref="AS128:AW128"/>
    <mergeCell ref="AX128:BA128"/>
    <mergeCell ref="BB128:BF128"/>
    <mergeCell ref="BG128:BK128"/>
    <mergeCell ref="BL128:BP128"/>
    <mergeCell ref="BQ128:BT128"/>
    <mergeCell ref="BL127:BP127"/>
    <mergeCell ref="BQ127:BT127"/>
    <mergeCell ref="BU127:BY127"/>
    <mergeCell ref="A128:C128"/>
    <mergeCell ref="D128:T128"/>
    <mergeCell ref="U128:Y128"/>
    <mergeCell ref="Z128:AD128"/>
    <mergeCell ref="AE128:AH128"/>
    <mergeCell ref="AI128:AM128"/>
    <mergeCell ref="AN128:AR128"/>
    <mergeCell ref="AI127:AM127"/>
    <mergeCell ref="AN127:AR127"/>
    <mergeCell ref="AS127:AW127"/>
    <mergeCell ref="AX127:BA127"/>
    <mergeCell ref="BB127:BF127"/>
    <mergeCell ref="BG127:BK127"/>
    <mergeCell ref="BB126:BF126"/>
    <mergeCell ref="BG126:BK126"/>
    <mergeCell ref="BL126:BP126"/>
    <mergeCell ref="BQ126:BT126"/>
    <mergeCell ref="BU126:BY126"/>
    <mergeCell ref="A127:C127"/>
    <mergeCell ref="D127:T127"/>
    <mergeCell ref="U127:Y127"/>
    <mergeCell ref="Z127:AD127"/>
    <mergeCell ref="AE127:AH127"/>
    <mergeCell ref="BU125:BY125"/>
    <mergeCell ref="A126:C126"/>
    <mergeCell ref="D126:T126"/>
    <mergeCell ref="U126:Y126"/>
    <mergeCell ref="Z126:AD126"/>
    <mergeCell ref="AE126:AH126"/>
    <mergeCell ref="AI126:AM126"/>
    <mergeCell ref="AN126:AR126"/>
    <mergeCell ref="AS126:AW126"/>
    <mergeCell ref="AX126:BA126"/>
    <mergeCell ref="AS125:AW125"/>
    <mergeCell ref="AX125:BA125"/>
    <mergeCell ref="BB125:BF125"/>
    <mergeCell ref="BG125:BK125"/>
    <mergeCell ref="BL125:BP125"/>
    <mergeCell ref="BQ125:BT125"/>
    <mergeCell ref="BL124:BP124"/>
    <mergeCell ref="BQ124:BT124"/>
    <mergeCell ref="BU124:BY124"/>
    <mergeCell ref="A125:C125"/>
    <mergeCell ref="D125:T125"/>
    <mergeCell ref="U125:Y125"/>
    <mergeCell ref="Z125:AD125"/>
    <mergeCell ref="AE125:AH125"/>
    <mergeCell ref="AI125:AM125"/>
    <mergeCell ref="AN125:AR125"/>
    <mergeCell ref="AI124:AM124"/>
    <mergeCell ref="AN124:AR124"/>
    <mergeCell ref="AS124:AW124"/>
    <mergeCell ref="AX124:BA124"/>
    <mergeCell ref="BB124:BF124"/>
    <mergeCell ref="BG124:BK124"/>
    <mergeCell ref="BB123:BF123"/>
    <mergeCell ref="BG123:BK123"/>
    <mergeCell ref="BL123:BP123"/>
    <mergeCell ref="BQ123:BT123"/>
    <mergeCell ref="BU123:BY123"/>
    <mergeCell ref="A124:C124"/>
    <mergeCell ref="D124:T124"/>
    <mergeCell ref="U124:Y124"/>
    <mergeCell ref="Z124:AD124"/>
    <mergeCell ref="AE124:AH124"/>
    <mergeCell ref="BU122:BY122"/>
    <mergeCell ref="A123:C123"/>
    <mergeCell ref="D123:T123"/>
    <mergeCell ref="U123:Y123"/>
    <mergeCell ref="Z123:AD123"/>
    <mergeCell ref="AE123:AH123"/>
    <mergeCell ref="AI123:AM123"/>
    <mergeCell ref="AN123:AR123"/>
    <mergeCell ref="AS123:AW123"/>
    <mergeCell ref="AX123:BA123"/>
    <mergeCell ref="AS122:AW122"/>
    <mergeCell ref="AX122:BA122"/>
    <mergeCell ref="BB122:BF122"/>
    <mergeCell ref="BG122:BK122"/>
    <mergeCell ref="BL122:BP122"/>
    <mergeCell ref="BQ122:BT122"/>
    <mergeCell ref="A122:C122"/>
    <mergeCell ref="D122:T122"/>
    <mergeCell ref="U122:Y122"/>
    <mergeCell ref="Z122:AD122"/>
    <mergeCell ref="AE122:AH122"/>
    <mergeCell ref="AI122:AM122"/>
    <mergeCell ref="AN122:AR122"/>
    <mergeCell ref="AI121:AM121"/>
    <mergeCell ref="AN121:AR121"/>
    <mergeCell ref="AS121:AW121"/>
    <mergeCell ref="AX121:BA121"/>
    <mergeCell ref="BB121:BF121"/>
    <mergeCell ref="BG121:BK121"/>
    <mergeCell ref="BB120:BF120"/>
    <mergeCell ref="BG120:BK120"/>
    <mergeCell ref="BL120:BP120"/>
    <mergeCell ref="BQ120:BT120"/>
    <mergeCell ref="A121:C121"/>
    <mergeCell ref="D121:T121"/>
    <mergeCell ref="U121:Y121"/>
    <mergeCell ref="Z121:AD121"/>
    <mergeCell ref="AE121:AH121"/>
    <mergeCell ref="BQ118:BT118"/>
    <mergeCell ref="BU118:BY118"/>
    <mergeCell ref="A119:C119"/>
    <mergeCell ref="D119:T119"/>
    <mergeCell ref="U119:Y119"/>
    <mergeCell ref="Z119:AD119"/>
    <mergeCell ref="AE119:AH119"/>
    <mergeCell ref="AI119:AM119"/>
    <mergeCell ref="AN119:AR119"/>
    <mergeCell ref="AI118:AM118"/>
    <mergeCell ref="AN118:AR118"/>
    <mergeCell ref="AS118:AW118"/>
    <mergeCell ref="AX118:BA118"/>
    <mergeCell ref="BB118:BF118"/>
    <mergeCell ref="BG118:BK118"/>
    <mergeCell ref="BL121:BP121"/>
    <mergeCell ref="BQ121:BT121"/>
    <mergeCell ref="BU121:BY121"/>
    <mergeCell ref="BU120:BY120"/>
    <mergeCell ref="BU117:BY117"/>
    <mergeCell ref="A118:C118"/>
    <mergeCell ref="D118:T118"/>
    <mergeCell ref="U118:Y118"/>
    <mergeCell ref="Z118:AD118"/>
    <mergeCell ref="AE118:AH118"/>
    <mergeCell ref="A117:C117"/>
    <mergeCell ref="D117:T117"/>
    <mergeCell ref="U117:Y117"/>
    <mergeCell ref="Z117:AD117"/>
    <mergeCell ref="AE117:AH117"/>
    <mergeCell ref="AI117:AM117"/>
    <mergeCell ref="AN117:AR117"/>
    <mergeCell ref="AS117:AW117"/>
    <mergeCell ref="AX117:BA117"/>
    <mergeCell ref="BU119:BY119"/>
    <mergeCell ref="A120:C120"/>
    <mergeCell ref="D120:T120"/>
    <mergeCell ref="U120:Y120"/>
    <mergeCell ref="Z120:AD120"/>
    <mergeCell ref="AE120:AH120"/>
    <mergeCell ref="AI120:AM120"/>
    <mergeCell ref="AN120:AR120"/>
    <mergeCell ref="AS120:AW120"/>
    <mergeCell ref="AX120:BA120"/>
    <mergeCell ref="AS119:AW119"/>
    <mergeCell ref="AX119:BA119"/>
    <mergeCell ref="BB119:BF119"/>
    <mergeCell ref="BG119:BK119"/>
    <mergeCell ref="BL119:BP119"/>
    <mergeCell ref="BQ119:BT119"/>
    <mergeCell ref="BL118:BP118"/>
    <mergeCell ref="BG99:BK99"/>
    <mergeCell ref="BG98:BK98"/>
    <mergeCell ref="A99:D99"/>
    <mergeCell ref="E99:W99"/>
    <mergeCell ref="X99:AB99"/>
    <mergeCell ref="AC99:AG99"/>
    <mergeCell ref="AH99:AL99"/>
    <mergeCell ref="AM99:AQ99"/>
    <mergeCell ref="AR99:AV99"/>
    <mergeCell ref="AW99:BA99"/>
    <mergeCell ref="BB99:BF99"/>
    <mergeCell ref="BG97:BK97"/>
    <mergeCell ref="A98:D98"/>
    <mergeCell ref="E98:W98"/>
    <mergeCell ref="X98:AB98"/>
    <mergeCell ref="AC98:AG98"/>
    <mergeCell ref="AH98:AL98"/>
    <mergeCell ref="AM98:AQ98"/>
    <mergeCell ref="AR98:AV98"/>
    <mergeCell ref="AW98:BA98"/>
    <mergeCell ref="BB98:BF98"/>
    <mergeCell ref="BG96:BK96"/>
    <mergeCell ref="A97:D97"/>
    <mergeCell ref="E97:W97"/>
    <mergeCell ref="X97:AB97"/>
    <mergeCell ref="AC97:AG97"/>
    <mergeCell ref="AH97:AL97"/>
    <mergeCell ref="AM97:AQ97"/>
    <mergeCell ref="AR97:AV97"/>
    <mergeCell ref="AW97:BA97"/>
    <mergeCell ref="BB97:BF97"/>
    <mergeCell ref="BG95:BK95"/>
    <mergeCell ref="A96:D96"/>
    <mergeCell ref="E96:W96"/>
    <mergeCell ref="X96:AB96"/>
    <mergeCell ref="AC96:AG96"/>
    <mergeCell ref="AH96:AL96"/>
    <mergeCell ref="AM96:AQ96"/>
    <mergeCell ref="AR96:AV96"/>
    <mergeCell ref="AW96:BA96"/>
    <mergeCell ref="BB96:BF96"/>
    <mergeCell ref="BG94:BK94"/>
    <mergeCell ref="A95:D95"/>
    <mergeCell ref="E95:W95"/>
    <mergeCell ref="X95:AB95"/>
    <mergeCell ref="AC95:AG95"/>
    <mergeCell ref="AH95:AL95"/>
    <mergeCell ref="AM95:AQ95"/>
    <mergeCell ref="AR95:AV95"/>
    <mergeCell ref="AW95:BA95"/>
    <mergeCell ref="BB95:BF95"/>
    <mergeCell ref="BG93:BK93"/>
    <mergeCell ref="A94:D94"/>
    <mergeCell ref="E94:W94"/>
    <mergeCell ref="X94:AB94"/>
    <mergeCell ref="AC94:AG94"/>
    <mergeCell ref="AH94:AL94"/>
    <mergeCell ref="AM94:AQ94"/>
    <mergeCell ref="AR94:AV94"/>
    <mergeCell ref="AW94:BA94"/>
    <mergeCell ref="BB94:BF94"/>
    <mergeCell ref="BB90:BF90"/>
    <mergeCell ref="BG92:BK92"/>
    <mergeCell ref="A93:D93"/>
    <mergeCell ref="E93:W93"/>
    <mergeCell ref="X93:AB93"/>
    <mergeCell ref="AC93:AG93"/>
    <mergeCell ref="AH93:AL93"/>
    <mergeCell ref="AM93:AQ93"/>
    <mergeCell ref="AR93:AV93"/>
    <mergeCell ref="AW93:BA93"/>
    <mergeCell ref="BB93:BF93"/>
    <mergeCell ref="BG91:BK91"/>
    <mergeCell ref="A92:D92"/>
    <mergeCell ref="E92:W92"/>
    <mergeCell ref="X92:AB92"/>
    <mergeCell ref="AC92:AG92"/>
    <mergeCell ref="AH92:AL92"/>
    <mergeCell ref="AM92:AQ92"/>
    <mergeCell ref="AR92:AV92"/>
    <mergeCell ref="AW92:BA92"/>
    <mergeCell ref="BB92:BF92"/>
    <mergeCell ref="AM88:AQ88"/>
    <mergeCell ref="AR88:AV88"/>
    <mergeCell ref="AW88:BA88"/>
    <mergeCell ref="BB88:BF88"/>
    <mergeCell ref="A87:D87"/>
    <mergeCell ref="E87:W87"/>
    <mergeCell ref="X87:AB87"/>
    <mergeCell ref="AC87:AG87"/>
    <mergeCell ref="AH87:AL87"/>
    <mergeCell ref="AM87:AQ87"/>
    <mergeCell ref="AR87:AV87"/>
    <mergeCell ref="AW87:BA87"/>
    <mergeCell ref="BB87:BF87"/>
    <mergeCell ref="BG90:BK90"/>
    <mergeCell ref="A91:D91"/>
    <mergeCell ref="E91:W91"/>
    <mergeCell ref="X91:AB91"/>
    <mergeCell ref="AC91:AG91"/>
    <mergeCell ref="AH91:AL91"/>
    <mergeCell ref="AM91:AQ91"/>
    <mergeCell ref="AR91:AV91"/>
    <mergeCell ref="AW91:BA91"/>
    <mergeCell ref="BB91:BF91"/>
    <mergeCell ref="BG89:BK89"/>
    <mergeCell ref="A90:D90"/>
    <mergeCell ref="E90:W90"/>
    <mergeCell ref="X90:AB90"/>
    <mergeCell ref="AC90:AG90"/>
    <mergeCell ref="AH90:AL90"/>
    <mergeCell ref="AM90:AQ90"/>
    <mergeCell ref="AR90:AV90"/>
    <mergeCell ref="AW90:BA90"/>
    <mergeCell ref="BB70:BF70"/>
    <mergeCell ref="BG70:BK70"/>
    <mergeCell ref="BL70:BP70"/>
    <mergeCell ref="BQ70:BT70"/>
    <mergeCell ref="BU70:BY70"/>
    <mergeCell ref="BU69:BY69"/>
    <mergeCell ref="A70:D70"/>
    <mergeCell ref="E70:T70"/>
    <mergeCell ref="U70:Y70"/>
    <mergeCell ref="Z70:AD70"/>
    <mergeCell ref="AE70:AH70"/>
    <mergeCell ref="AI70:AM70"/>
    <mergeCell ref="AN70:AR70"/>
    <mergeCell ref="AS70:AW70"/>
    <mergeCell ref="AX70:BA70"/>
    <mergeCell ref="AS69:AW69"/>
    <mergeCell ref="AX69:BA69"/>
    <mergeCell ref="BB69:BF69"/>
    <mergeCell ref="BG69:BK69"/>
    <mergeCell ref="BL69:BP69"/>
    <mergeCell ref="BQ69:BT69"/>
    <mergeCell ref="BL68:BP68"/>
    <mergeCell ref="BQ68:BT68"/>
    <mergeCell ref="BU68:BY68"/>
    <mergeCell ref="A69:D69"/>
    <mergeCell ref="E69:T69"/>
    <mergeCell ref="U69:Y69"/>
    <mergeCell ref="Z69:AD69"/>
    <mergeCell ref="AE69:AH69"/>
    <mergeCell ref="AI69:AM69"/>
    <mergeCell ref="AN69:AR69"/>
    <mergeCell ref="AI68:AM68"/>
    <mergeCell ref="AN68:AR68"/>
    <mergeCell ref="AS68:AW68"/>
    <mergeCell ref="AX68:BA68"/>
    <mergeCell ref="BB68:BF68"/>
    <mergeCell ref="BG68:BK68"/>
    <mergeCell ref="BB67:BF67"/>
    <mergeCell ref="BG67:BK67"/>
    <mergeCell ref="BL67:BP67"/>
    <mergeCell ref="BQ67:BT67"/>
    <mergeCell ref="BU67:BY67"/>
    <mergeCell ref="A68:D68"/>
    <mergeCell ref="E68:T68"/>
    <mergeCell ref="U68:Y68"/>
    <mergeCell ref="Z68:AD68"/>
    <mergeCell ref="AE68:AH68"/>
    <mergeCell ref="BU66:BY66"/>
    <mergeCell ref="A67:D67"/>
    <mergeCell ref="E67:T67"/>
    <mergeCell ref="U67:Y67"/>
    <mergeCell ref="Z67:AD67"/>
    <mergeCell ref="AE67:AH67"/>
    <mergeCell ref="AI67:AM67"/>
    <mergeCell ref="AN67:AR67"/>
    <mergeCell ref="AS67:AW67"/>
    <mergeCell ref="AX67:BA67"/>
    <mergeCell ref="AS66:AW66"/>
    <mergeCell ref="AX66:BA66"/>
    <mergeCell ref="BB66:BF66"/>
    <mergeCell ref="BG66:BK66"/>
    <mergeCell ref="BL66:BP66"/>
    <mergeCell ref="BQ66:BT66"/>
    <mergeCell ref="BL65:BP65"/>
    <mergeCell ref="BQ65:BT65"/>
    <mergeCell ref="BU65:BY65"/>
    <mergeCell ref="A66:D66"/>
    <mergeCell ref="E66:T66"/>
    <mergeCell ref="U66:Y66"/>
    <mergeCell ref="Z66:AD66"/>
    <mergeCell ref="AE66:AH66"/>
    <mergeCell ref="AI66:AM66"/>
    <mergeCell ref="AN66:AR66"/>
    <mergeCell ref="AI65:AM65"/>
    <mergeCell ref="AN65:AR65"/>
    <mergeCell ref="AS65:AW65"/>
    <mergeCell ref="AX65:BA65"/>
    <mergeCell ref="BB65:BF65"/>
    <mergeCell ref="BG65:BK65"/>
    <mergeCell ref="BB64:BF64"/>
    <mergeCell ref="BG64:BK64"/>
    <mergeCell ref="BL64:BP64"/>
    <mergeCell ref="BQ64:BT64"/>
    <mergeCell ref="BU64:BY64"/>
    <mergeCell ref="A65:D65"/>
    <mergeCell ref="E65:T65"/>
    <mergeCell ref="U65:Y65"/>
    <mergeCell ref="Z65:AD65"/>
    <mergeCell ref="AE65:AH65"/>
    <mergeCell ref="BU63:BY63"/>
    <mergeCell ref="A64:D64"/>
    <mergeCell ref="E64:T64"/>
    <mergeCell ref="U64:Y64"/>
    <mergeCell ref="Z64:AD64"/>
    <mergeCell ref="AE64:AH64"/>
    <mergeCell ref="AI64:AM64"/>
    <mergeCell ref="AN64:AR64"/>
    <mergeCell ref="AS64:AW64"/>
    <mergeCell ref="AX64:BA64"/>
    <mergeCell ref="AS63:AW63"/>
    <mergeCell ref="AX63:BA63"/>
    <mergeCell ref="BB63:BF63"/>
    <mergeCell ref="BG63:BK63"/>
    <mergeCell ref="BL63:BP63"/>
    <mergeCell ref="BQ63:BT63"/>
    <mergeCell ref="BL62:BP62"/>
    <mergeCell ref="BQ62:BT62"/>
    <mergeCell ref="BU62:BY62"/>
    <mergeCell ref="A63:D63"/>
    <mergeCell ref="E63:T63"/>
    <mergeCell ref="U63:Y63"/>
    <mergeCell ref="Z63:AD63"/>
    <mergeCell ref="AE63:AH63"/>
    <mergeCell ref="AI63:AM63"/>
    <mergeCell ref="AN63:AR63"/>
    <mergeCell ref="AI62:AM62"/>
    <mergeCell ref="AN62:AR62"/>
    <mergeCell ref="AS62:AW62"/>
    <mergeCell ref="AX62:BA62"/>
    <mergeCell ref="BB62:BF62"/>
    <mergeCell ref="BG62:BK62"/>
    <mergeCell ref="BB61:BF61"/>
    <mergeCell ref="BG61:BK61"/>
    <mergeCell ref="BL61:BP61"/>
    <mergeCell ref="BQ61:BT61"/>
    <mergeCell ref="BU61:BY61"/>
    <mergeCell ref="A62:D62"/>
    <mergeCell ref="E62:T62"/>
    <mergeCell ref="U62:Y62"/>
    <mergeCell ref="Z62:AD62"/>
    <mergeCell ref="AE62:AH62"/>
    <mergeCell ref="BU60:BY60"/>
    <mergeCell ref="A61:D61"/>
    <mergeCell ref="E61:T61"/>
    <mergeCell ref="U61:Y61"/>
    <mergeCell ref="Z61:AD61"/>
    <mergeCell ref="AE61:AH61"/>
    <mergeCell ref="AI61:AM61"/>
    <mergeCell ref="AN61:AR61"/>
    <mergeCell ref="AS61:AW61"/>
    <mergeCell ref="AX61:BA61"/>
    <mergeCell ref="AS60:AW60"/>
    <mergeCell ref="AX60:BA60"/>
    <mergeCell ref="BB60:BF60"/>
    <mergeCell ref="BG60:BK60"/>
    <mergeCell ref="BL60:BP60"/>
    <mergeCell ref="BQ60:BT60"/>
    <mergeCell ref="BL59:BP59"/>
    <mergeCell ref="BQ59:BT59"/>
    <mergeCell ref="BU59:BY59"/>
    <mergeCell ref="A60:D60"/>
    <mergeCell ref="E60:T60"/>
    <mergeCell ref="U60:Y60"/>
    <mergeCell ref="Z60:AD60"/>
    <mergeCell ref="AE60:AH60"/>
    <mergeCell ref="AI60:AM60"/>
    <mergeCell ref="AN60:AR60"/>
    <mergeCell ref="AI59:AM59"/>
    <mergeCell ref="AN59:AR59"/>
    <mergeCell ref="AS59:AW59"/>
    <mergeCell ref="AX59:BA59"/>
    <mergeCell ref="BB59:BF59"/>
    <mergeCell ref="BG59:BK59"/>
    <mergeCell ref="AW47:BA47"/>
    <mergeCell ref="BB47:BF47"/>
    <mergeCell ref="BB58:BF58"/>
    <mergeCell ref="BG58:BK58"/>
    <mergeCell ref="BL58:BP58"/>
    <mergeCell ref="BQ58:BT58"/>
    <mergeCell ref="BU58:BY58"/>
    <mergeCell ref="A59:D59"/>
    <mergeCell ref="E59:T59"/>
    <mergeCell ref="U59:Y59"/>
    <mergeCell ref="Z59:AD59"/>
    <mergeCell ref="AE59:AH59"/>
    <mergeCell ref="A58:D58"/>
    <mergeCell ref="E58:T58"/>
    <mergeCell ref="U58:Y58"/>
    <mergeCell ref="Z58:AD58"/>
    <mergeCell ref="AE58:AH58"/>
    <mergeCell ref="AI58:AM58"/>
    <mergeCell ref="AN58:AR58"/>
    <mergeCell ref="AS58:AW58"/>
    <mergeCell ref="AX58:BA58"/>
    <mergeCell ref="AM45:AQ45"/>
    <mergeCell ref="AR45:AV45"/>
    <mergeCell ref="AW45:BA45"/>
    <mergeCell ref="BB45:BF45"/>
    <mergeCell ref="A44:D44"/>
    <mergeCell ref="E44:W44"/>
    <mergeCell ref="X44:AB44"/>
    <mergeCell ref="AC44:AG44"/>
    <mergeCell ref="AH44:AL44"/>
    <mergeCell ref="AM44:AQ44"/>
    <mergeCell ref="AR44:AV44"/>
    <mergeCell ref="AW44:BA44"/>
    <mergeCell ref="BB44:BF44"/>
    <mergeCell ref="BG48:BK48"/>
    <mergeCell ref="BG47:BK47"/>
    <mergeCell ref="A48:D48"/>
    <mergeCell ref="E48:W48"/>
    <mergeCell ref="X48:AB48"/>
    <mergeCell ref="AC48:AG48"/>
    <mergeCell ref="AH48:AL48"/>
    <mergeCell ref="AM48:AQ48"/>
    <mergeCell ref="AR48:AV48"/>
    <mergeCell ref="AW48:BA48"/>
    <mergeCell ref="BB48:BF48"/>
    <mergeCell ref="BG46:BK46"/>
    <mergeCell ref="A47:D47"/>
    <mergeCell ref="E47:W47"/>
    <mergeCell ref="X47:AB47"/>
    <mergeCell ref="AC47:AG47"/>
    <mergeCell ref="AH47:AL47"/>
    <mergeCell ref="AM47:AQ47"/>
    <mergeCell ref="AR47:AV47"/>
    <mergeCell ref="BL35:BP35"/>
    <mergeCell ref="BQ35:BT35"/>
    <mergeCell ref="BU35:BY35"/>
    <mergeCell ref="AI35:AM35"/>
    <mergeCell ref="AN35:AR35"/>
    <mergeCell ref="AS35:AW35"/>
    <mergeCell ref="AX35:BA35"/>
    <mergeCell ref="BB35:BF35"/>
    <mergeCell ref="BG35:BK35"/>
    <mergeCell ref="BB34:BF34"/>
    <mergeCell ref="BG34:BK34"/>
    <mergeCell ref="BL34:BP34"/>
    <mergeCell ref="BQ34:BT34"/>
    <mergeCell ref="BU34:BY34"/>
    <mergeCell ref="A35:D35"/>
    <mergeCell ref="E35:T35"/>
    <mergeCell ref="U35:Y35"/>
    <mergeCell ref="Z35:AD35"/>
    <mergeCell ref="AE35:AH35"/>
    <mergeCell ref="BB33:BF33"/>
    <mergeCell ref="BG33:BK33"/>
    <mergeCell ref="BL33:BP33"/>
    <mergeCell ref="BQ33:BT33"/>
    <mergeCell ref="BL32:BP32"/>
    <mergeCell ref="BQ32:BT32"/>
    <mergeCell ref="BU32:BY32"/>
    <mergeCell ref="A33:D33"/>
    <mergeCell ref="E33:T33"/>
    <mergeCell ref="U33:Y33"/>
    <mergeCell ref="Z33:AD33"/>
    <mergeCell ref="AE33:AH33"/>
    <mergeCell ref="AI33:AM33"/>
    <mergeCell ref="AN33:AR33"/>
    <mergeCell ref="AI32:AM32"/>
    <mergeCell ref="AN32:AR32"/>
    <mergeCell ref="AS32:AW32"/>
    <mergeCell ref="AX32:BA32"/>
    <mergeCell ref="BB32:BF32"/>
    <mergeCell ref="BG32:BK32"/>
    <mergeCell ref="A383:AA383"/>
    <mergeCell ref="AH383:AP383"/>
    <mergeCell ref="AU383:BF383"/>
    <mergeCell ref="AH384:AP384"/>
    <mergeCell ref="AU384:BF384"/>
    <mergeCell ref="A31:D31"/>
    <mergeCell ref="E31:T31"/>
    <mergeCell ref="U31:Y31"/>
    <mergeCell ref="Z31:AD31"/>
    <mergeCell ref="AE31:AH31"/>
    <mergeCell ref="A379:BL379"/>
    <mergeCell ref="A380:AA380"/>
    <mergeCell ref="AH380:AP380"/>
    <mergeCell ref="AU380:BF380"/>
    <mergeCell ref="AH381:AP381"/>
    <mergeCell ref="AU381:BF381"/>
    <mergeCell ref="AW362:BD362"/>
    <mergeCell ref="BE362:BL362"/>
    <mergeCell ref="A374:BL374"/>
    <mergeCell ref="A375:BL375"/>
    <mergeCell ref="A377:BL377"/>
    <mergeCell ref="A378:BL378"/>
    <mergeCell ref="A34:D34"/>
    <mergeCell ref="E34:T34"/>
    <mergeCell ref="U34:Y34"/>
    <mergeCell ref="Z34:AD34"/>
    <mergeCell ref="AE34:AH34"/>
    <mergeCell ref="AI34:AM34"/>
    <mergeCell ref="AN34:AR34"/>
    <mergeCell ref="AS34:AW34"/>
    <mergeCell ref="AX34:BA34"/>
    <mergeCell ref="AS33:AW33"/>
    <mergeCell ref="AQ361:AV361"/>
    <mergeCell ref="AW361:BD361"/>
    <mergeCell ref="BE361:BL361"/>
    <mergeCell ref="A362:F362"/>
    <mergeCell ref="G362:S362"/>
    <mergeCell ref="T362:Y362"/>
    <mergeCell ref="Z362:AD362"/>
    <mergeCell ref="AE362:AJ362"/>
    <mergeCell ref="AK362:AP362"/>
    <mergeCell ref="AQ362:AV362"/>
    <mergeCell ref="A361:F361"/>
    <mergeCell ref="G361:S361"/>
    <mergeCell ref="T361:Y361"/>
    <mergeCell ref="Z361:AD361"/>
    <mergeCell ref="AE361:AJ361"/>
    <mergeCell ref="AK361:AP361"/>
    <mergeCell ref="BE358:BL359"/>
    <mergeCell ref="A360:F360"/>
    <mergeCell ref="G360:S360"/>
    <mergeCell ref="T360:Y360"/>
    <mergeCell ref="Z360:AD360"/>
    <mergeCell ref="AE360:AJ360"/>
    <mergeCell ref="AK360:AP360"/>
    <mergeCell ref="AQ360:AV360"/>
    <mergeCell ref="AW360:BD360"/>
    <mergeCell ref="BE360:BL360"/>
    <mergeCell ref="A356:BL356"/>
    <mergeCell ref="A357:BL357"/>
    <mergeCell ref="A358:F359"/>
    <mergeCell ref="G358:S359"/>
    <mergeCell ref="T358:Y359"/>
    <mergeCell ref="Z358:AD359"/>
    <mergeCell ref="AE358:AJ359"/>
    <mergeCell ref="AK358:AP359"/>
    <mergeCell ref="AQ358:AV359"/>
    <mergeCell ref="AW358:BD359"/>
    <mergeCell ref="AJ343:AN343"/>
    <mergeCell ref="AO343:AS343"/>
    <mergeCell ref="AT343:AW343"/>
    <mergeCell ref="AX343:BB343"/>
    <mergeCell ref="BC343:BG343"/>
    <mergeCell ref="BH343:BL343"/>
    <mergeCell ref="A343:F343"/>
    <mergeCell ref="G343:P343"/>
    <mergeCell ref="Q343:U343"/>
    <mergeCell ref="V343:Y343"/>
    <mergeCell ref="Z343:AD343"/>
    <mergeCell ref="AE343:AI343"/>
    <mergeCell ref="AT344:AW344"/>
    <mergeCell ref="AX344:BB344"/>
    <mergeCell ref="BC344:BG344"/>
    <mergeCell ref="BH344:BL344"/>
    <mergeCell ref="A345:F345"/>
    <mergeCell ref="G345:P345"/>
    <mergeCell ref="Q345:U345"/>
    <mergeCell ref="V345:Y345"/>
    <mergeCell ref="Z345:AD345"/>
    <mergeCell ref="AE345:AI345"/>
    <mergeCell ref="AJ342:AN342"/>
    <mergeCell ref="AO342:AS342"/>
    <mergeCell ref="AT342:AW342"/>
    <mergeCell ref="AX342:BB342"/>
    <mergeCell ref="BC342:BG342"/>
    <mergeCell ref="BH342:BL342"/>
    <mergeCell ref="A342:F342"/>
    <mergeCell ref="G342:P342"/>
    <mergeCell ref="Q342:U342"/>
    <mergeCell ref="V342:Y342"/>
    <mergeCell ref="Z342:AD342"/>
    <mergeCell ref="AE342:AI342"/>
    <mergeCell ref="AJ341:AN341"/>
    <mergeCell ref="AO341:AS341"/>
    <mergeCell ref="AT341:AW341"/>
    <mergeCell ref="AX341:BB341"/>
    <mergeCell ref="BC341:BG341"/>
    <mergeCell ref="BH341:BL341"/>
    <mergeCell ref="A341:F341"/>
    <mergeCell ref="G341:P341"/>
    <mergeCell ref="Q341:U341"/>
    <mergeCell ref="V341:Y341"/>
    <mergeCell ref="Z341:AD341"/>
    <mergeCell ref="AE341:AI341"/>
    <mergeCell ref="AT339:AW340"/>
    <mergeCell ref="AX339:BG339"/>
    <mergeCell ref="BH339:BL340"/>
    <mergeCell ref="Z340:AD340"/>
    <mergeCell ref="AE340:AI340"/>
    <mergeCell ref="AX340:BB340"/>
    <mergeCell ref="BC340:BG340"/>
    <mergeCell ref="A337:BL337"/>
    <mergeCell ref="A338:F340"/>
    <mergeCell ref="G338:P340"/>
    <mergeCell ref="Q338:AN338"/>
    <mergeCell ref="AO338:BL338"/>
    <mergeCell ref="Q339:U340"/>
    <mergeCell ref="V339:Y340"/>
    <mergeCell ref="Z339:AI339"/>
    <mergeCell ref="AJ339:AN340"/>
    <mergeCell ref="AO339:AS340"/>
    <mergeCell ref="A336:BL336"/>
    <mergeCell ref="BB325:BF325"/>
    <mergeCell ref="BG325:BL325"/>
    <mergeCell ref="A326:F326"/>
    <mergeCell ref="G326:S326"/>
    <mergeCell ref="AK323:AP323"/>
    <mergeCell ref="AQ323:AV323"/>
    <mergeCell ref="AW323:BA323"/>
    <mergeCell ref="BB323:BF323"/>
    <mergeCell ref="BG323:BL323"/>
    <mergeCell ref="A324:F324"/>
    <mergeCell ref="G324:S324"/>
    <mergeCell ref="T324:Y324"/>
    <mergeCell ref="Z324:AD324"/>
    <mergeCell ref="AE324:AJ324"/>
    <mergeCell ref="AK322:AP322"/>
    <mergeCell ref="AQ322:AV322"/>
    <mergeCell ref="AW322:BA322"/>
    <mergeCell ref="BB322:BF322"/>
    <mergeCell ref="BG322:BL322"/>
    <mergeCell ref="A323:F323"/>
    <mergeCell ref="G323:S323"/>
    <mergeCell ref="T323:Y323"/>
    <mergeCell ref="Z323:AD323"/>
    <mergeCell ref="AE323:AJ323"/>
    <mergeCell ref="A322:F322"/>
    <mergeCell ref="G322:S322"/>
    <mergeCell ref="T322:Y322"/>
    <mergeCell ref="Z322:AD322"/>
    <mergeCell ref="AE322:AJ322"/>
    <mergeCell ref="A325:F325"/>
    <mergeCell ref="G325:S325"/>
    <mergeCell ref="AE320:AJ321"/>
    <mergeCell ref="AK320:AP321"/>
    <mergeCell ref="BP312:BS312"/>
    <mergeCell ref="A314:BL314"/>
    <mergeCell ref="A315:BL315"/>
    <mergeCell ref="A317:BL317"/>
    <mergeCell ref="A318:BL318"/>
    <mergeCell ref="A319:BL319"/>
    <mergeCell ref="AO312:AR312"/>
    <mergeCell ref="AS312:AW312"/>
    <mergeCell ref="AX312:BA312"/>
    <mergeCell ref="BB312:BF312"/>
    <mergeCell ref="BG312:BJ312"/>
    <mergeCell ref="BK312:BO312"/>
    <mergeCell ref="BB311:BF311"/>
    <mergeCell ref="BG311:BJ311"/>
    <mergeCell ref="BK311:BO311"/>
    <mergeCell ref="BP311:BS311"/>
    <mergeCell ref="A312:M312"/>
    <mergeCell ref="N312:U312"/>
    <mergeCell ref="V312:Z312"/>
    <mergeCell ref="AA312:AE312"/>
    <mergeCell ref="AF312:AI312"/>
    <mergeCell ref="AJ312:AN312"/>
    <mergeCell ref="A320:F321"/>
    <mergeCell ref="G320:S321"/>
    <mergeCell ref="BP310:BS310"/>
    <mergeCell ref="A311:M311"/>
    <mergeCell ref="N311:U311"/>
    <mergeCell ref="V311:Z311"/>
    <mergeCell ref="AA311:AE311"/>
    <mergeCell ref="AF311:AI311"/>
    <mergeCell ref="AJ311:AN311"/>
    <mergeCell ref="AO311:AR311"/>
    <mergeCell ref="AS311:AW311"/>
    <mergeCell ref="AX311:BA311"/>
    <mergeCell ref="AO310:AR310"/>
    <mergeCell ref="AS310:AW310"/>
    <mergeCell ref="AX310:BA310"/>
    <mergeCell ref="BB310:BF310"/>
    <mergeCell ref="BG310:BJ310"/>
    <mergeCell ref="BK310:BO310"/>
    <mergeCell ref="BB309:BF309"/>
    <mergeCell ref="BG309:BJ309"/>
    <mergeCell ref="BK309:BO309"/>
    <mergeCell ref="BP309:BS309"/>
    <mergeCell ref="A310:M310"/>
    <mergeCell ref="N310:U310"/>
    <mergeCell ref="V310:Z310"/>
    <mergeCell ref="AA310:AE310"/>
    <mergeCell ref="AF310:AI310"/>
    <mergeCell ref="AJ310:AN310"/>
    <mergeCell ref="AA309:AE309"/>
    <mergeCell ref="AF309:AI309"/>
    <mergeCell ref="AJ309:AN309"/>
    <mergeCell ref="AO309:AR309"/>
    <mergeCell ref="AS309:AW309"/>
    <mergeCell ref="AX309:BA309"/>
    <mergeCell ref="A306:BL306"/>
    <mergeCell ref="A307:BM307"/>
    <mergeCell ref="A308:M309"/>
    <mergeCell ref="N308:U309"/>
    <mergeCell ref="V308:Z309"/>
    <mergeCell ref="AA308:AI308"/>
    <mergeCell ref="AJ308:AR308"/>
    <mergeCell ref="AS308:BA308"/>
    <mergeCell ref="BB308:BJ308"/>
    <mergeCell ref="BK308:BS308"/>
    <mergeCell ref="AZ303:BD303"/>
    <mergeCell ref="A304:F304"/>
    <mergeCell ref="G304:S304"/>
    <mergeCell ref="T304:Z304"/>
    <mergeCell ref="AA304:AE304"/>
    <mergeCell ref="AF304:AJ304"/>
    <mergeCell ref="AK304:AO304"/>
    <mergeCell ref="AP304:AT304"/>
    <mergeCell ref="AU304:AY304"/>
    <mergeCell ref="AZ304:BD304"/>
    <mergeCell ref="AU302:AY302"/>
    <mergeCell ref="AZ302:BD302"/>
    <mergeCell ref="A303:F303"/>
    <mergeCell ref="G303:S303"/>
    <mergeCell ref="T303:Z303"/>
    <mergeCell ref="AA303:AE303"/>
    <mergeCell ref="AF303:AJ303"/>
    <mergeCell ref="AK303:AO303"/>
    <mergeCell ref="AP303:AT303"/>
    <mergeCell ref="AU303:AY303"/>
    <mergeCell ref="AP301:AT301"/>
    <mergeCell ref="AU301:AY301"/>
    <mergeCell ref="AZ301:BD301"/>
    <mergeCell ref="A302:F302"/>
    <mergeCell ref="G302:S302"/>
    <mergeCell ref="T302:Z302"/>
    <mergeCell ref="AA302:AE302"/>
    <mergeCell ref="AF302:AJ302"/>
    <mergeCell ref="AK302:AO302"/>
    <mergeCell ref="AP302:AT302"/>
    <mergeCell ref="A298:BL298"/>
    <mergeCell ref="A299:BD299"/>
    <mergeCell ref="A300:F301"/>
    <mergeCell ref="G300:S301"/>
    <mergeCell ref="T300:Z301"/>
    <mergeCell ref="AA300:AO300"/>
    <mergeCell ref="AP300:BD300"/>
    <mergeCell ref="AA301:AE301"/>
    <mergeCell ref="AF301:AJ301"/>
    <mergeCell ref="AK301:AO301"/>
    <mergeCell ref="AP296:AT296"/>
    <mergeCell ref="AU296:AY296"/>
    <mergeCell ref="AZ296:BD296"/>
    <mergeCell ref="BE296:BI296"/>
    <mergeCell ref="BJ296:BN296"/>
    <mergeCell ref="BO296:BS296"/>
    <mergeCell ref="A296:F296"/>
    <mergeCell ref="G296:S296"/>
    <mergeCell ref="T296:Z296"/>
    <mergeCell ref="AA296:AE296"/>
    <mergeCell ref="AF296:AJ296"/>
    <mergeCell ref="AK296:AO296"/>
    <mergeCell ref="AP295:AT295"/>
    <mergeCell ref="AU295:AY295"/>
    <mergeCell ref="AZ295:BD295"/>
    <mergeCell ref="BE295:BI295"/>
    <mergeCell ref="BJ295:BN295"/>
    <mergeCell ref="BO295:BS295"/>
    <mergeCell ref="A295:F295"/>
    <mergeCell ref="G295:S295"/>
    <mergeCell ref="T295:Z295"/>
    <mergeCell ref="AA295:AE295"/>
    <mergeCell ref="AF295:AJ295"/>
    <mergeCell ref="AK295:AO295"/>
    <mergeCell ref="AP294:AT294"/>
    <mergeCell ref="AU294:AY294"/>
    <mergeCell ref="AZ294:BD294"/>
    <mergeCell ref="BE294:BI294"/>
    <mergeCell ref="BJ294:BN294"/>
    <mergeCell ref="BO294:BS294"/>
    <mergeCell ref="A294:F294"/>
    <mergeCell ref="G294:S294"/>
    <mergeCell ref="T294:Z294"/>
    <mergeCell ref="AA294:AE294"/>
    <mergeCell ref="AF294:AJ294"/>
    <mergeCell ref="AK294:AO294"/>
    <mergeCell ref="AP293:AT293"/>
    <mergeCell ref="AU293:AY293"/>
    <mergeCell ref="AZ293:BD293"/>
    <mergeCell ref="BE293:BI293"/>
    <mergeCell ref="BJ293:BN293"/>
    <mergeCell ref="BO293:BS293"/>
    <mergeCell ref="A291:BS291"/>
    <mergeCell ref="A292:F293"/>
    <mergeCell ref="G292:S293"/>
    <mergeCell ref="T292:Z293"/>
    <mergeCell ref="AA292:AO292"/>
    <mergeCell ref="AP292:BD292"/>
    <mergeCell ref="BE292:BS292"/>
    <mergeCell ref="AA293:AE293"/>
    <mergeCell ref="AF293:AJ293"/>
    <mergeCell ref="AK293:AO293"/>
    <mergeCell ref="BA283:BC283"/>
    <mergeCell ref="BD283:BF283"/>
    <mergeCell ref="BG283:BI283"/>
    <mergeCell ref="BJ283:BL283"/>
    <mergeCell ref="A289:BL289"/>
    <mergeCell ref="A290:BS290"/>
    <mergeCell ref="A284:C284"/>
    <mergeCell ref="D284:V284"/>
    <mergeCell ref="W284:Y284"/>
    <mergeCell ref="Z284:AB284"/>
    <mergeCell ref="AI283:AK283"/>
    <mergeCell ref="AL283:AN283"/>
    <mergeCell ref="AO283:AQ283"/>
    <mergeCell ref="AR283:AT283"/>
    <mergeCell ref="AU283:AW283"/>
    <mergeCell ref="AX283:AZ283"/>
    <mergeCell ref="BA282:BC282"/>
    <mergeCell ref="BD282:BF282"/>
    <mergeCell ref="BG282:BI282"/>
    <mergeCell ref="BJ282:BL282"/>
    <mergeCell ref="A283:C283"/>
    <mergeCell ref="D283:V283"/>
    <mergeCell ref="W283:Y283"/>
    <mergeCell ref="Z283:AB283"/>
    <mergeCell ref="AC283:AE283"/>
    <mergeCell ref="AF283:AH283"/>
    <mergeCell ref="AI282:AK282"/>
    <mergeCell ref="AL282:AN282"/>
    <mergeCell ref="AO282:AQ282"/>
    <mergeCell ref="AR282:AT282"/>
    <mergeCell ref="AU282:AW282"/>
    <mergeCell ref="AX282:AZ282"/>
    <mergeCell ref="BA281:BC281"/>
    <mergeCell ref="BD281:BF281"/>
    <mergeCell ref="BG281:BI281"/>
    <mergeCell ref="BJ281:BL281"/>
    <mergeCell ref="A282:C282"/>
    <mergeCell ref="D282:V282"/>
    <mergeCell ref="W282:Y282"/>
    <mergeCell ref="Z282:AB282"/>
    <mergeCell ref="AC282:AE282"/>
    <mergeCell ref="AF282:AH282"/>
    <mergeCell ref="AI281:AK281"/>
    <mergeCell ref="AL281:AN281"/>
    <mergeCell ref="AO281:AQ281"/>
    <mergeCell ref="AR281:AT281"/>
    <mergeCell ref="AU281:AW281"/>
    <mergeCell ref="AX281:AZ281"/>
    <mergeCell ref="A281:C281"/>
    <mergeCell ref="D281:V281"/>
    <mergeCell ref="W281:Y281"/>
    <mergeCell ref="Z281:AB281"/>
    <mergeCell ref="AC281:AE281"/>
    <mergeCell ref="AF281:AH281"/>
    <mergeCell ref="BJ279:BL280"/>
    <mergeCell ref="W280:Y280"/>
    <mergeCell ref="Z280:AB280"/>
    <mergeCell ref="AC280:AE280"/>
    <mergeCell ref="AF280:AH280"/>
    <mergeCell ref="AI280:AK280"/>
    <mergeCell ref="AL280:AN280"/>
    <mergeCell ref="AO280:AQ280"/>
    <mergeCell ref="AR280:AT280"/>
    <mergeCell ref="BG278:BL278"/>
    <mergeCell ref="W279:AB279"/>
    <mergeCell ref="AC279:AH279"/>
    <mergeCell ref="AI279:AN279"/>
    <mergeCell ref="AO279:AT279"/>
    <mergeCell ref="AU279:AW280"/>
    <mergeCell ref="AX279:AZ280"/>
    <mergeCell ref="BA279:BC280"/>
    <mergeCell ref="BD279:BF280"/>
    <mergeCell ref="BG279:BI280"/>
    <mergeCell ref="A278:C280"/>
    <mergeCell ref="D278:V280"/>
    <mergeCell ref="W278:AH278"/>
    <mergeCell ref="AI278:AT278"/>
    <mergeCell ref="AU278:AZ278"/>
    <mergeCell ref="BA278:BF278"/>
    <mergeCell ref="AT267:AX267"/>
    <mergeCell ref="AY267:BC267"/>
    <mergeCell ref="BD267:BH267"/>
    <mergeCell ref="BI267:BM267"/>
    <mergeCell ref="BN267:BR267"/>
    <mergeCell ref="A277:BL277"/>
    <mergeCell ref="BI268:BM268"/>
    <mergeCell ref="BN268:BR268"/>
    <mergeCell ref="A269:T269"/>
    <mergeCell ref="U269:Y269"/>
    <mergeCell ref="A267:T267"/>
    <mergeCell ref="U267:Y267"/>
    <mergeCell ref="Z267:AD267"/>
    <mergeCell ref="AE267:AI267"/>
    <mergeCell ref="AJ267:AN267"/>
    <mergeCell ref="AO267:AS267"/>
    <mergeCell ref="AO266:AS266"/>
    <mergeCell ref="AT266:AX266"/>
    <mergeCell ref="AY266:BC266"/>
    <mergeCell ref="BD266:BH266"/>
    <mergeCell ref="BI266:BM266"/>
    <mergeCell ref="BN266:BR266"/>
    <mergeCell ref="BD269:BH269"/>
    <mergeCell ref="BI269:BM269"/>
    <mergeCell ref="BN269:BR269"/>
    <mergeCell ref="A270:T270"/>
    <mergeCell ref="U270:Y270"/>
    <mergeCell ref="Z270:AD270"/>
    <mergeCell ref="AE270:AI270"/>
    <mergeCell ref="AJ270:AN270"/>
    <mergeCell ref="AO270:AS270"/>
    <mergeCell ref="AT270:AX270"/>
    <mergeCell ref="AT265:AX265"/>
    <mergeCell ref="AY265:BC265"/>
    <mergeCell ref="BD265:BH265"/>
    <mergeCell ref="BI265:BM265"/>
    <mergeCell ref="BN265:BR265"/>
    <mergeCell ref="A266:T266"/>
    <mergeCell ref="U266:Y266"/>
    <mergeCell ref="Z266:AD266"/>
    <mergeCell ref="AE266:AI266"/>
    <mergeCell ref="AJ266:AN266"/>
    <mergeCell ref="A265:T265"/>
    <mergeCell ref="U265:Y265"/>
    <mergeCell ref="Z265:AD265"/>
    <mergeCell ref="AE265:AI265"/>
    <mergeCell ref="AJ265:AN265"/>
    <mergeCell ref="AO265:AS265"/>
    <mergeCell ref="AO264:AS264"/>
    <mergeCell ref="AT264:AX264"/>
    <mergeCell ref="AY264:BC264"/>
    <mergeCell ref="BD264:BH264"/>
    <mergeCell ref="BI264:BM264"/>
    <mergeCell ref="BN264:BR264"/>
    <mergeCell ref="A263:T264"/>
    <mergeCell ref="U263:AD263"/>
    <mergeCell ref="AE263:AN263"/>
    <mergeCell ref="AO263:AX263"/>
    <mergeCell ref="AY263:BH263"/>
    <mergeCell ref="BI263:BR263"/>
    <mergeCell ref="U264:Y264"/>
    <mergeCell ref="Z264:AD264"/>
    <mergeCell ref="AE264:AI264"/>
    <mergeCell ref="AJ264:AN264"/>
    <mergeCell ref="AP248:AT248"/>
    <mergeCell ref="AU248:AY248"/>
    <mergeCell ref="AZ248:BD248"/>
    <mergeCell ref="BE248:BI248"/>
    <mergeCell ref="A261:BL261"/>
    <mergeCell ref="A262:BR262"/>
    <mergeCell ref="BE249:BI249"/>
    <mergeCell ref="A250:C250"/>
    <mergeCell ref="D250:P250"/>
    <mergeCell ref="Q250:U250"/>
    <mergeCell ref="AP247:AT247"/>
    <mergeCell ref="AU247:AY247"/>
    <mergeCell ref="AZ247:BD247"/>
    <mergeCell ref="BE247:BI247"/>
    <mergeCell ref="A248:C248"/>
    <mergeCell ref="D248:P248"/>
    <mergeCell ref="Q248:U248"/>
    <mergeCell ref="V248:AE248"/>
    <mergeCell ref="AF248:AJ248"/>
    <mergeCell ref="AK248:AO248"/>
    <mergeCell ref="BE250:BI250"/>
    <mergeCell ref="A251:C251"/>
    <mergeCell ref="D251:P251"/>
    <mergeCell ref="Q251:U251"/>
    <mergeCell ref="V251:AE251"/>
    <mergeCell ref="AF251:AJ251"/>
    <mergeCell ref="AK251:AO251"/>
    <mergeCell ref="AP251:AT251"/>
    <mergeCell ref="AU251:AY251"/>
    <mergeCell ref="AZ251:BD251"/>
    <mergeCell ref="V250:AE250"/>
    <mergeCell ref="AF250:AJ250"/>
    <mergeCell ref="AP246:AT246"/>
    <mergeCell ref="AU246:AY246"/>
    <mergeCell ref="AZ246:BD246"/>
    <mergeCell ref="BE246:BI246"/>
    <mergeCell ref="A247:C247"/>
    <mergeCell ref="D247:P247"/>
    <mergeCell ref="Q247:U247"/>
    <mergeCell ref="V247:AE247"/>
    <mergeCell ref="AF247:AJ247"/>
    <mergeCell ref="AK247:AO247"/>
    <mergeCell ref="AP245:AT245"/>
    <mergeCell ref="AU245:AY245"/>
    <mergeCell ref="AZ245:BD245"/>
    <mergeCell ref="BE245:BI245"/>
    <mergeCell ref="A246:C246"/>
    <mergeCell ref="D246:P246"/>
    <mergeCell ref="Q246:U246"/>
    <mergeCell ref="V246:AE246"/>
    <mergeCell ref="AF246:AJ246"/>
    <mergeCell ref="AK246:AO246"/>
    <mergeCell ref="A243:BL243"/>
    <mergeCell ref="A244:C245"/>
    <mergeCell ref="D244:P245"/>
    <mergeCell ref="Q244:U245"/>
    <mergeCell ref="V244:AE245"/>
    <mergeCell ref="AF244:AT244"/>
    <mergeCell ref="AU244:BI244"/>
    <mergeCell ref="AF245:AJ245"/>
    <mergeCell ref="AK245:AO245"/>
    <mergeCell ref="AP230:AT230"/>
    <mergeCell ref="AU230:AY230"/>
    <mergeCell ref="AZ230:BD230"/>
    <mergeCell ref="BE230:BI230"/>
    <mergeCell ref="BJ230:BN230"/>
    <mergeCell ref="BO230:BS230"/>
    <mergeCell ref="BE229:BI229"/>
    <mergeCell ref="BJ229:BN229"/>
    <mergeCell ref="BO229:BS229"/>
    <mergeCell ref="A230:C230"/>
    <mergeCell ref="D230:P230"/>
    <mergeCell ref="Q230:U230"/>
    <mergeCell ref="V230:AE230"/>
    <mergeCell ref="AF230:AJ230"/>
    <mergeCell ref="AK230:AO230"/>
    <mergeCell ref="A229:C229"/>
    <mergeCell ref="D229:P229"/>
    <mergeCell ref="Q229:U229"/>
    <mergeCell ref="V229:AE229"/>
    <mergeCell ref="AF229:AJ229"/>
    <mergeCell ref="AK229:AO229"/>
    <mergeCell ref="AP229:AT229"/>
    <mergeCell ref="AU229:AY229"/>
    <mergeCell ref="AZ228:BD228"/>
    <mergeCell ref="BE228:BI228"/>
    <mergeCell ref="BJ228:BN228"/>
    <mergeCell ref="BO228:BS228"/>
    <mergeCell ref="A228:C228"/>
    <mergeCell ref="D228:P228"/>
    <mergeCell ref="Q228:U228"/>
    <mergeCell ref="V228:AE228"/>
    <mergeCell ref="AF228:AJ228"/>
    <mergeCell ref="AK228:AO228"/>
    <mergeCell ref="BJ226:BX226"/>
    <mergeCell ref="AF227:AJ227"/>
    <mergeCell ref="AK227:AO227"/>
    <mergeCell ref="AP227:AT227"/>
    <mergeCell ref="AU227:AY227"/>
    <mergeCell ref="AZ227:BD227"/>
    <mergeCell ref="BE227:BI227"/>
    <mergeCell ref="BJ227:BN227"/>
    <mergeCell ref="BO227:BS227"/>
    <mergeCell ref="BT227:BX227"/>
    <mergeCell ref="A226:C227"/>
    <mergeCell ref="D226:P227"/>
    <mergeCell ref="Q226:U227"/>
    <mergeCell ref="V226:AE227"/>
    <mergeCell ref="AF226:AT226"/>
    <mergeCell ref="AU226:BI226"/>
    <mergeCell ref="A224:BL224"/>
    <mergeCell ref="A225:BL225"/>
    <mergeCell ref="AT174:AX174"/>
    <mergeCell ref="AY174:BC174"/>
    <mergeCell ref="BD174:BH174"/>
    <mergeCell ref="A175:C175"/>
    <mergeCell ref="AO172:AS172"/>
    <mergeCell ref="AT172:AX172"/>
    <mergeCell ref="AY172:BC172"/>
    <mergeCell ref="BD172:BH172"/>
    <mergeCell ref="A173:C173"/>
    <mergeCell ref="D173:T173"/>
    <mergeCell ref="U173:Y173"/>
    <mergeCell ref="Z173:AD173"/>
    <mergeCell ref="AE173:AI173"/>
    <mergeCell ref="AJ173:AN173"/>
    <mergeCell ref="AO171:AS171"/>
    <mergeCell ref="AT171:AX171"/>
    <mergeCell ref="AY171:BC171"/>
    <mergeCell ref="BD171:BH171"/>
    <mergeCell ref="A172:C172"/>
    <mergeCell ref="D172:T172"/>
    <mergeCell ref="U172:Y172"/>
    <mergeCell ref="Z172:AD172"/>
    <mergeCell ref="AE172:AI172"/>
    <mergeCell ref="AJ172:AN172"/>
    <mergeCell ref="A171:C171"/>
    <mergeCell ref="D171:T171"/>
    <mergeCell ref="U171:Y171"/>
    <mergeCell ref="Z171:AD171"/>
    <mergeCell ref="AE171:AI171"/>
    <mergeCell ref="AJ171:AN171"/>
    <mergeCell ref="AE170:AI170"/>
    <mergeCell ref="AJ170:AN170"/>
    <mergeCell ref="AO170:AS170"/>
    <mergeCell ref="AT170:AX170"/>
    <mergeCell ref="AY170:BC170"/>
    <mergeCell ref="BD170:BH170"/>
    <mergeCell ref="BQ116:BT116"/>
    <mergeCell ref="BU116:BY116"/>
    <mergeCell ref="A167:BL167"/>
    <mergeCell ref="A168:BH168"/>
    <mergeCell ref="A169:C170"/>
    <mergeCell ref="D169:T170"/>
    <mergeCell ref="U169:AN169"/>
    <mergeCell ref="AO169:BH169"/>
    <mergeCell ref="U170:Y170"/>
    <mergeCell ref="Z170:AD170"/>
    <mergeCell ref="AN116:AR116"/>
    <mergeCell ref="AS116:AW116"/>
    <mergeCell ref="AX116:BA116"/>
    <mergeCell ref="BB116:BF116"/>
    <mergeCell ref="BG116:BK116"/>
    <mergeCell ref="BL116:BP116"/>
    <mergeCell ref="A116:C116"/>
    <mergeCell ref="D116:T116"/>
    <mergeCell ref="U116:Y116"/>
    <mergeCell ref="Z116:AD116"/>
    <mergeCell ref="AE116:AH116"/>
    <mergeCell ref="AI116:AM116"/>
    <mergeCell ref="BB117:BF117"/>
    <mergeCell ref="BG117:BK117"/>
    <mergeCell ref="BL117:BP117"/>
    <mergeCell ref="BQ117:BT117"/>
    <mergeCell ref="AX115:BA115"/>
    <mergeCell ref="BB115:BF115"/>
    <mergeCell ref="BG115:BK115"/>
    <mergeCell ref="BL115:BP115"/>
    <mergeCell ref="BQ115:BT115"/>
    <mergeCell ref="BU115:BY115"/>
    <mergeCell ref="BQ114:BT114"/>
    <mergeCell ref="BU114:BY114"/>
    <mergeCell ref="A115:C115"/>
    <mergeCell ref="D115:T115"/>
    <mergeCell ref="U115:Y115"/>
    <mergeCell ref="Z115:AD115"/>
    <mergeCell ref="AE115:AH115"/>
    <mergeCell ref="AI115:AM115"/>
    <mergeCell ref="AN115:AR115"/>
    <mergeCell ref="AS115:AW115"/>
    <mergeCell ref="AN114:AR114"/>
    <mergeCell ref="AS114:AW114"/>
    <mergeCell ref="AX114:BA114"/>
    <mergeCell ref="BB114:BF114"/>
    <mergeCell ref="BG114:BK114"/>
    <mergeCell ref="BL114:BP114"/>
    <mergeCell ref="A114:C114"/>
    <mergeCell ref="D114:T114"/>
    <mergeCell ref="U114:Y114"/>
    <mergeCell ref="Z114:AD114"/>
    <mergeCell ref="AE114:AH114"/>
    <mergeCell ref="AI114:AM114"/>
    <mergeCell ref="AX113:BA113"/>
    <mergeCell ref="BB113:BF113"/>
    <mergeCell ref="BG113:BK113"/>
    <mergeCell ref="BL113:BP113"/>
    <mergeCell ref="BQ113:BT113"/>
    <mergeCell ref="BU113:BY113"/>
    <mergeCell ref="U113:Y113"/>
    <mergeCell ref="Z113:AD113"/>
    <mergeCell ref="AE113:AH113"/>
    <mergeCell ref="AI113:AM113"/>
    <mergeCell ref="AN113:AR113"/>
    <mergeCell ref="AS113:AW113"/>
    <mergeCell ref="BB107:BF107"/>
    <mergeCell ref="BG107:BK107"/>
    <mergeCell ref="A109:BL109"/>
    <mergeCell ref="A110:BL110"/>
    <mergeCell ref="A111:BY111"/>
    <mergeCell ref="A112:C113"/>
    <mergeCell ref="D112:T113"/>
    <mergeCell ref="U112:AM112"/>
    <mergeCell ref="AN112:BF112"/>
    <mergeCell ref="BG112:BY112"/>
    <mergeCell ref="BB106:BF106"/>
    <mergeCell ref="BG106:BK106"/>
    <mergeCell ref="A107:E107"/>
    <mergeCell ref="F107:W107"/>
    <mergeCell ref="X107:AB107"/>
    <mergeCell ref="AC107:AG107"/>
    <mergeCell ref="AH107:AL107"/>
    <mergeCell ref="AM107:AQ107"/>
    <mergeCell ref="AR107:AV107"/>
    <mergeCell ref="AW107:BA107"/>
    <mergeCell ref="BB105:BF105"/>
    <mergeCell ref="BG105:BK105"/>
    <mergeCell ref="A106:E106"/>
    <mergeCell ref="F106:W106"/>
    <mergeCell ref="X106:AB106"/>
    <mergeCell ref="AC106:AG106"/>
    <mergeCell ref="AH106:AL106"/>
    <mergeCell ref="AM106:AQ106"/>
    <mergeCell ref="AR106:AV106"/>
    <mergeCell ref="AW106:BA106"/>
    <mergeCell ref="BB104:BF104"/>
    <mergeCell ref="BG104:BK104"/>
    <mergeCell ref="A105:E105"/>
    <mergeCell ref="F105:W105"/>
    <mergeCell ref="X105:AB105"/>
    <mergeCell ref="AC105:AG105"/>
    <mergeCell ref="AH105:AL105"/>
    <mergeCell ref="AM105:AQ105"/>
    <mergeCell ref="AR105:AV105"/>
    <mergeCell ref="AW105:BA105"/>
    <mergeCell ref="A103:E104"/>
    <mergeCell ref="F103:W104"/>
    <mergeCell ref="X103:AQ103"/>
    <mergeCell ref="AR103:BK103"/>
    <mergeCell ref="X104:AB104"/>
    <mergeCell ref="AC104:AG104"/>
    <mergeCell ref="AH104:AL104"/>
    <mergeCell ref="AM104:AQ104"/>
    <mergeCell ref="AR104:AV104"/>
    <mergeCell ref="AW104:BA104"/>
    <mergeCell ref="AR86:AV86"/>
    <mergeCell ref="AW86:BA86"/>
    <mergeCell ref="BB86:BF86"/>
    <mergeCell ref="BG86:BK86"/>
    <mergeCell ref="A101:BL101"/>
    <mergeCell ref="A102:BK102"/>
    <mergeCell ref="BG87:BK87"/>
    <mergeCell ref="A88:D88"/>
    <mergeCell ref="E88:W88"/>
    <mergeCell ref="X88:AB88"/>
    <mergeCell ref="AR85:AV85"/>
    <mergeCell ref="AW85:BA85"/>
    <mergeCell ref="BB85:BF85"/>
    <mergeCell ref="BG85:BK85"/>
    <mergeCell ref="A86:D86"/>
    <mergeCell ref="E86:W86"/>
    <mergeCell ref="X86:AB86"/>
    <mergeCell ref="AC86:AG86"/>
    <mergeCell ref="AH86:AL86"/>
    <mergeCell ref="AM86:AQ86"/>
    <mergeCell ref="BG88:BK88"/>
    <mergeCell ref="A89:D89"/>
    <mergeCell ref="E89:W89"/>
    <mergeCell ref="X89:AB89"/>
    <mergeCell ref="AC89:AG89"/>
    <mergeCell ref="AH89:AL89"/>
    <mergeCell ref="AM89:AQ89"/>
    <mergeCell ref="AR89:AV89"/>
    <mergeCell ref="AW89:BA89"/>
    <mergeCell ref="BB89:BF89"/>
    <mergeCell ref="AC88:AG88"/>
    <mergeCell ref="AH88:AL88"/>
    <mergeCell ref="AR84:AV84"/>
    <mergeCell ref="AW84:BA84"/>
    <mergeCell ref="BB84:BF84"/>
    <mergeCell ref="BG84:BK84"/>
    <mergeCell ref="A85:D85"/>
    <mergeCell ref="E85:W85"/>
    <mergeCell ref="X85:AB85"/>
    <mergeCell ref="AC85:AG85"/>
    <mergeCell ref="AH85:AL85"/>
    <mergeCell ref="AM85:AQ85"/>
    <mergeCell ref="A84:D84"/>
    <mergeCell ref="E84:W84"/>
    <mergeCell ref="X84:AB84"/>
    <mergeCell ref="AC84:AG84"/>
    <mergeCell ref="AH84:AL84"/>
    <mergeCell ref="AM84:AQ84"/>
    <mergeCell ref="AH83:AL83"/>
    <mergeCell ref="AM83:AQ83"/>
    <mergeCell ref="AR83:AV83"/>
    <mergeCell ref="AW83:BA83"/>
    <mergeCell ref="BB83:BF83"/>
    <mergeCell ref="BG83:BK83"/>
    <mergeCell ref="BQ78:BT78"/>
    <mergeCell ref="BU78:BY78"/>
    <mergeCell ref="A80:BL80"/>
    <mergeCell ref="A81:BK81"/>
    <mergeCell ref="A82:D83"/>
    <mergeCell ref="E82:W83"/>
    <mergeCell ref="X82:AQ82"/>
    <mergeCell ref="AR82:BK82"/>
    <mergeCell ref="X83:AB83"/>
    <mergeCell ref="AC83:AG83"/>
    <mergeCell ref="AN78:AR78"/>
    <mergeCell ref="AS78:AW78"/>
    <mergeCell ref="AX78:BA78"/>
    <mergeCell ref="BB78:BF78"/>
    <mergeCell ref="BG78:BK78"/>
    <mergeCell ref="BL78:BP78"/>
    <mergeCell ref="A78:E78"/>
    <mergeCell ref="F78:T78"/>
    <mergeCell ref="U78:Y78"/>
    <mergeCell ref="Z78:AD78"/>
    <mergeCell ref="AE78:AH78"/>
    <mergeCell ref="AI78:AM78"/>
    <mergeCell ref="AX77:BA77"/>
    <mergeCell ref="BB77:BF77"/>
    <mergeCell ref="BG77:BK77"/>
    <mergeCell ref="BL77:BP77"/>
    <mergeCell ref="BQ77:BT77"/>
    <mergeCell ref="BU77:BY77"/>
    <mergeCell ref="BQ76:BT76"/>
    <mergeCell ref="BU76:BY76"/>
    <mergeCell ref="A77:E77"/>
    <mergeCell ref="F77:T77"/>
    <mergeCell ref="U77:Y77"/>
    <mergeCell ref="Z77:AD77"/>
    <mergeCell ref="AE77:AH77"/>
    <mergeCell ref="AI77:AM77"/>
    <mergeCell ref="AN77:AR77"/>
    <mergeCell ref="AS77:AW77"/>
    <mergeCell ref="AN76:AR76"/>
    <mergeCell ref="AS76:AW76"/>
    <mergeCell ref="AX76:BA76"/>
    <mergeCell ref="BB76:BF76"/>
    <mergeCell ref="BG76:BK76"/>
    <mergeCell ref="BL76:BP76"/>
    <mergeCell ref="BG75:BK75"/>
    <mergeCell ref="BL75:BP75"/>
    <mergeCell ref="BQ75:BT75"/>
    <mergeCell ref="BU75:BY75"/>
    <mergeCell ref="A76:E76"/>
    <mergeCell ref="F76:T76"/>
    <mergeCell ref="U76:Y76"/>
    <mergeCell ref="Z76:AD76"/>
    <mergeCell ref="AE76:AH76"/>
    <mergeCell ref="AI76:AM76"/>
    <mergeCell ref="AE75:AH75"/>
    <mergeCell ref="AI75:AM75"/>
    <mergeCell ref="AN75:AR75"/>
    <mergeCell ref="AS75:AW75"/>
    <mergeCell ref="AX75:BA75"/>
    <mergeCell ref="BB75:BF75"/>
    <mergeCell ref="BU57:BY57"/>
    <mergeCell ref="A72:BL72"/>
    <mergeCell ref="A73:BY73"/>
    <mergeCell ref="A74:E75"/>
    <mergeCell ref="F74:T75"/>
    <mergeCell ref="U74:AM74"/>
    <mergeCell ref="AN74:BF74"/>
    <mergeCell ref="BG74:BY74"/>
    <mergeCell ref="U75:Y75"/>
    <mergeCell ref="Z75:AD75"/>
    <mergeCell ref="AS57:AW57"/>
    <mergeCell ref="AX57:BA57"/>
    <mergeCell ref="BB57:BF57"/>
    <mergeCell ref="BG57:BK57"/>
    <mergeCell ref="BL57:BP57"/>
    <mergeCell ref="BQ57:BT57"/>
    <mergeCell ref="BL56:BP56"/>
    <mergeCell ref="BQ56:BT56"/>
    <mergeCell ref="BU56:BY56"/>
    <mergeCell ref="A57:D57"/>
    <mergeCell ref="E57:T57"/>
    <mergeCell ref="U57:Y57"/>
    <mergeCell ref="Z57:AD57"/>
    <mergeCell ref="AE57:AH57"/>
    <mergeCell ref="AI57:AM57"/>
    <mergeCell ref="AN57:AR57"/>
    <mergeCell ref="AI56:AM56"/>
    <mergeCell ref="AN56:AR56"/>
    <mergeCell ref="AS56:AW56"/>
    <mergeCell ref="AX56:BA56"/>
    <mergeCell ref="BB56:BF56"/>
    <mergeCell ref="BG56:BK56"/>
    <mergeCell ref="BB55:BF55"/>
    <mergeCell ref="BG55:BK55"/>
    <mergeCell ref="BL55:BP55"/>
    <mergeCell ref="BQ55:BT55"/>
    <mergeCell ref="BU55:BY55"/>
    <mergeCell ref="A56:D56"/>
    <mergeCell ref="E56:T56"/>
    <mergeCell ref="U56:Y56"/>
    <mergeCell ref="Z56:AD56"/>
    <mergeCell ref="AE56:AH56"/>
    <mergeCell ref="BU54:BY54"/>
    <mergeCell ref="A55:D55"/>
    <mergeCell ref="E55:T55"/>
    <mergeCell ref="U55:Y55"/>
    <mergeCell ref="Z55:AD55"/>
    <mergeCell ref="AE55:AH55"/>
    <mergeCell ref="AI55:AM55"/>
    <mergeCell ref="AN55:AR55"/>
    <mergeCell ref="AS55:AW55"/>
    <mergeCell ref="AX55:BA55"/>
    <mergeCell ref="AS54:AW54"/>
    <mergeCell ref="AX54:BA54"/>
    <mergeCell ref="BB54:BF54"/>
    <mergeCell ref="BG54:BK54"/>
    <mergeCell ref="BL54:BP54"/>
    <mergeCell ref="BQ54:BT54"/>
    <mergeCell ref="A53:D54"/>
    <mergeCell ref="E53:T54"/>
    <mergeCell ref="U53:AM53"/>
    <mergeCell ref="AN53:BF53"/>
    <mergeCell ref="BG53:BY53"/>
    <mergeCell ref="U54:Y54"/>
    <mergeCell ref="Z54:AD54"/>
    <mergeCell ref="AE54:AH54"/>
    <mergeCell ref="AI54:AM54"/>
    <mergeCell ref="AN54:AR54"/>
    <mergeCell ref="AW43:BA43"/>
    <mergeCell ref="BB43:BF43"/>
    <mergeCell ref="BG43:BK43"/>
    <mergeCell ref="A50:BY50"/>
    <mergeCell ref="A51:BY51"/>
    <mergeCell ref="A52:BY52"/>
    <mergeCell ref="BG44:BK44"/>
    <mergeCell ref="A45:D45"/>
    <mergeCell ref="E45:W45"/>
    <mergeCell ref="X45:AB45"/>
    <mergeCell ref="AW42:BA42"/>
    <mergeCell ref="BB42:BF42"/>
    <mergeCell ref="BG42:BK42"/>
    <mergeCell ref="A43:D43"/>
    <mergeCell ref="E43:W43"/>
    <mergeCell ref="X43:AB43"/>
    <mergeCell ref="AC43:AG43"/>
    <mergeCell ref="AH43:AL43"/>
    <mergeCell ref="AM43:AQ43"/>
    <mergeCell ref="AR43:AV43"/>
    <mergeCell ref="BG45:BK45"/>
    <mergeCell ref="A46:D46"/>
    <mergeCell ref="E46:W46"/>
    <mergeCell ref="X46:AB46"/>
    <mergeCell ref="AC46:AG46"/>
    <mergeCell ref="AH46:AL46"/>
    <mergeCell ref="AM46:AQ46"/>
    <mergeCell ref="AR46:AV46"/>
    <mergeCell ref="AW46:BA46"/>
    <mergeCell ref="BB46:BF46"/>
    <mergeCell ref="AC45:AG45"/>
    <mergeCell ref="AH45:AL45"/>
    <mergeCell ref="AW41:BA41"/>
    <mergeCell ref="BB41:BF41"/>
    <mergeCell ref="BG41:BK41"/>
    <mergeCell ref="A42:D42"/>
    <mergeCell ref="E42:W42"/>
    <mergeCell ref="X42:AB42"/>
    <mergeCell ref="AC42:AG42"/>
    <mergeCell ref="AH42:AL42"/>
    <mergeCell ref="AM42:AQ42"/>
    <mergeCell ref="AR42:AV42"/>
    <mergeCell ref="AW40:BA40"/>
    <mergeCell ref="BB40:BF40"/>
    <mergeCell ref="BG40:BK40"/>
    <mergeCell ref="A41:D41"/>
    <mergeCell ref="E41:W41"/>
    <mergeCell ref="X41:AB41"/>
    <mergeCell ref="AC41:AG41"/>
    <mergeCell ref="AH41:AL41"/>
    <mergeCell ref="AM41:AQ41"/>
    <mergeCell ref="AR41:AV41"/>
    <mergeCell ref="A38:BK38"/>
    <mergeCell ref="A39:D40"/>
    <mergeCell ref="E39:W40"/>
    <mergeCell ref="X39:AQ39"/>
    <mergeCell ref="AR39:BK39"/>
    <mergeCell ref="X40:AB40"/>
    <mergeCell ref="AC40:AG40"/>
    <mergeCell ref="AH40:AL40"/>
    <mergeCell ref="AM40:AQ40"/>
    <mergeCell ref="AR40:AV40"/>
    <mergeCell ref="BB30:BF30"/>
    <mergeCell ref="BG30:BK30"/>
    <mergeCell ref="BL30:BP30"/>
    <mergeCell ref="BQ30:BT30"/>
    <mergeCell ref="BU30:BY30"/>
    <mergeCell ref="A37:BL37"/>
    <mergeCell ref="AI31:AM31"/>
    <mergeCell ref="AN31:AR31"/>
    <mergeCell ref="AS31:AW31"/>
    <mergeCell ref="AX31:BA31"/>
    <mergeCell ref="BB31:BF31"/>
    <mergeCell ref="BG31:BK31"/>
    <mergeCell ref="BL31:BP31"/>
    <mergeCell ref="BQ31:BT31"/>
    <mergeCell ref="BU31:BY31"/>
    <mergeCell ref="A32:D32"/>
    <mergeCell ref="E32:T32"/>
    <mergeCell ref="U32:Y32"/>
    <mergeCell ref="Z32:AD32"/>
    <mergeCell ref="AE32:AH32"/>
    <mergeCell ref="BU33:BY33"/>
    <mergeCell ref="AX33:BA33"/>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BN1:BZ1"/>
    <mergeCell ref="A2:BZ2"/>
    <mergeCell ref="B4:AF4"/>
    <mergeCell ref="AH4:AR4"/>
    <mergeCell ref="AT4:BA4"/>
    <mergeCell ref="A5:AF5"/>
    <mergeCell ref="AH5:AR5"/>
    <mergeCell ref="AT5:BA5"/>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s>
  <conditionalFormatting sqref="A116 A283 A173">
    <cfRule type="cellIs" dxfId="148" priority="154" stopIfTrue="1" operator="equal">
      <formula>A115</formula>
    </cfRule>
  </conditionalFormatting>
  <conditionalFormatting sqref="A230:C230 A248:C248">
    <cfRule type="cellIs" dxfId="147" priority="155" stopIfTrue="1" operator="equal">
      <formula>A229</formula>
    </cfRule>
    <cfRule type="cellIs" dxfId="146" priority="156" stopIfTrue="1" operator="equal">
      <formula>0</formula>
    </cfRule>
  </conditionalFormatting>
  <conditionalFormatting sqref="A117">
    <cfRule type="cellIs" dxfId="145" priority="153" stopIfTrue="1" operator="equal">
      <formula>A116</formula>
    </cfRule>
  </conditionalFormatting>
  <conditionalFormatting sqref="A118">
    <cfRule type="cellIs" dxfId="144" priority="152" stopIfTrue="1" operator="equal">
      <formula>A117</formula>
    </cfRule>
  </conditionalFormatting>
  <conditionalFormatting sqref="A119">
    <cfRule type="cellIs" dxfId="143" priority="151" stopIfTrue="1" operator="equal">
      <formula>A118</formula>
    </cfRule>
  </conditionalFormatting>
  <conditionalFormatting sqref="A120">
    <cfRule type="cellIs" dxfId="142" priority="150" stopIfTrue="1" operator="equal">
      <formula>A119</formula>
    </cfRule>
  </conditionalFormatting>
  <conditionalFormatting sqref="A121">
    <cfRule type="cellIs" dxfId="141" priority="149" stopIfTrue="1" operator="equal">
      <formula>A120</formula>
    </cfRule>
  </conditionalFormatting>
  <conditionalFormatting sqref="A122">
    <cfRule type="cellIs" dxfId="140" priority="148" stopIfTrue="1" operator="equal">
      <formula>A121</formula>
    </cfRule>
  </conditionalFormatting>
  <conditionalFormatting sqref="A123">
    <cfRule type="cellIs" dxfId="139" priority="147" stopIfTrue="1" operator="equal">
      <formula>A122</formula>
    </cfRule>
  </conditionalFormatting>
  <conditionalFormatting sqref="A124">
    <cfRule type="cellIs" dxfId="138" priority="146" stopIfTrue="1" operator="equal">
      <formula>A123</formula>
    </cfRule>
  </conditionalFormatting>
  <conditionalFormatting sqref="A125">
    <cfRule type="cellIs" dxfId="137" priority="145" stopIfTrue="1" operator="equal">
      <formula>A124</formula>
    </cfRule>
  </conditionalFormatting>
  <conditionalFormatting sqref="A126">
    <cfRule type="cellIs" dxfId="136" priority="144" stopIfTrue="1" operator="equal">
      <formula>A125</formula>
    </cfRule>
  </conditionalFormatting>
  <conditionalFormatting sqref="A127">
    <cfRule type="cellIs" dxfId="135" priority="143" stopIfTrue="1" operator="equal">
      <formula>A126</formula>
    </cfRule>
  </conditionalFormatting>
  <conditionalFormatting sqref="A128">
    <cfRule type="cellIs" dxfId="134" priority="142" stopIfTrue="1" operator="equal">
      <formula>A127</formula>
    </cfRule>
  </conditionalFormatting>
  <conditionalFormatting sqref="A129">
    <cfRule type="cellIs" dxfId="133" priority="141" stopIfTrue="1" operator="equal">
      <formula>A128</formula>
    </cfRule>
  </conditionalFormatting>
  <conditionalFormatting sqref="A130">
    <cfRule type="cellIs" dxfId="132" priority="140" stopIfTrue="1" operator="equal">
      <formula>A129</formula>
    </cfRule>
  </conditionalFormatting>
  <conditionalFormatting sqref="A131">
    <cfRule type="cellIs" dxfId="131" priority="139" stopIfTrue="1" operator="equal">
      <formula>A130</formula>
    </cfRule>
  </conditionalFormatting>
  <conditionalFormatting sqref="A132">
    <cfRule type="cellIs" dxfId="130" priority="138" stopIfTrue="1" operator="equal">
      <formula>A131</formula>
    </cfRule>
  </conditionalFormatting>
  <conditionalFormatting sqref="A133">
    <cfRule type="cellIs" dxfId="129" priority="137" stopIfTrue="1" operator="equal">
      <formula>A132</formula>
    </cfRule>
  </conditionalFormatting>
  <conditionalFormatting sqref="A134">
    <cfRule type="cellIs" dxfId="128" priority="136" stopIfTrue="1" operator="equal">
      <formula>A133</formula>
    </cfRule>
  </conditionalFormatting>
  <conditionalFormatting sqref="A135">
    <cfRule type="cellIs" dxfId="127" priority="135" stopIfTrue="1" operator="equal">
      <formula>A134</formula>
    </cfRule>
  </conditionalFormatting>
  <conditionalFormatting sqref="A136">
    <cfRule type="cellIs" dxfId="126" priority="134" stopIfTrue="1" operator="equal">
      <formula>A135</formula>
    </cfRule>
  </conditionalFormatting>
  <conditionalFormatting sqref="A137">
    <cfRule type="cellIs" dxfId="125" priority="133" stopIfTrue="1" operator="equal">
      <formula>A136</formula>
    </cfRule>
  </conditionalFormatting>
  <conditionalFormatting sqref="A138">
    <cfRule type="cellIs" dxfId="124" priority="132" stopIfTrue="1" operator="equal">
      <formula>A137</formula>
    </cfRule>
  </conditionalFormatting>
  <conditionalFormatting sqref="A139">
    <cfRule type="cellIs" dxfId="123" priority="131" stopIfTrue="1" operator="equal">
      <formula>A138</formula>
    </cfRule>
  </conditionalFormatting>
  <conditionalFormatting sqref="A140">
    <cfRule type="cellIs" dxfId="122" priority="130" stopIfTrue="1" operator="equal">
      <formula>A139</formula>
    </cfRule>
  </conditionalFormatting>
  <conditionalFormatting sqref="A141">
    <cfRule type="cellIs" dxfId="121" priority="129" stopIfTrue="1" operator="equal">
      <formula>A140</formula>
    </cfRule>
  </conditionalFormatting>
  <conditionalFormatting sqref="A142">
    <cfRule type="cellIs" dxfId="120" priority="128" stopIfTrue="1" operator="equal">
      <formula>A141</formula>
    </cfRule>
  </conditionalFormatting>
  <conditionalFormatting sqref="A143">
    <cfRule type="cellIs" dxfId="119" priority="127" stopIfTrue="1" operator="equal">
      <formula>A142</formula>
    </cfRule>
  </conditionalFormatting>
  <conditionalFormatting sqref="A144">
    <cfRule type="cellIs" dxfId="118" priority="126" stopIfTrue="1" operator="equal">
      <formula>A143</formula>
    </cfRule>
  </conditionalFormatting>
  <conditionalFormatting sqref="A145">
    <cfRule type="cellIs" dxfId="117" priority="125" stopIfTrue="1" operator="equal">
      <formula>A144</formula>
    </cfRule>
  </conditionalFormatting>
  <conditionalFormatting sqref="A146">
    <cfRule type="cellIs" dxfId="116" priority="124" stopIfTrue="1" operator="equal">
      <formula>A145</formula>
    </cfRule>
  </conditionalFormatting>
  <conditionalFormatting sqref="A147">
    <cfRule type="cellIs" dxfId="115" priority="123" stopIfTrue="1" operator="equal">
      <formula>A146</formula>
    </cfRule>
  </conditionalFormatting>
  <conditionalFormatting sqref="A148">
    <cfRule type="cellIs" dxfId="114" priority="122" stopIfTrue="1" operator="equal">
      <formula>A147</formula>
    </cfRule>
  </conditionalFormatting>
  <conditionalFormatting sqref="A149">
    <cfRule type="cellIs" dxfId="113" priority="121" stopIfTrue="1" operator="equal">
      <formula>A148</formula>
    </cfRule>
  </conditionalFormatting>
  <conditionalFormatting sqref="A150">
    <cfRule type="cellIs" dxfId="112" priority="120" stopIfTrue="1" operator="equal">
      <formula>A149</formula>
    </cfRule>
  </conditionalFormatting>
  <conditionalFormatting sqref="A151">
    <cfRule type="cellIs" dxfId="111" priority="119" stopIfTrue="1" operator="equal">
      <formula>A150</formula>
    </cfRule>
  </conditionalFormatting>
  <conditionalFormatting sqref="A152">
    <cfRule type="cellIs" dxfId="110" priority="118" stopIfTrue="1" operator="equal">
      <formula>A151</formula>
    </cfRule>
  </conditionalFormatting>
  <conditionalFormatting sqref="A153">
    <cfRule type="cellIs" dxfId="109" priority="117" stopIfTrue="1" operator="equal">
      <formula>A152</formula>
    </cfRule>
  </conditionalFormatting>
  <conditionalFormatting sqref="A154">
    <cfRule type="cellIs" dxfId="108" priority="116" stopIfTrue="1" operator="equal">
      <formula>A153</formula>
    </cfRule>
  </conditionalFormatting>
  <conditionalFormatting sqref="A155">
    <cfRule type="cellIs" dxfId="107" priority="115" stopIfTrue="1" operator="equal">
      <formula>A154</formula>
    </cfRule>
  </conditionalFormatting>
  <conditionalFormatting sqref="A156">
    <cfRule type="cellIs" dxfId="106" priority="114" stopIfTrue="1" operator="equal">
      <formula>A155</formula>
    </cfRule>
  </conditionalFormatting>
  <conditionalFormatting sqref="A157">
    <cfRule type="cellIs" dxfId="105" priority="113" stopIfTrue="1" operator="equal">
      <formula>A156</formula>
    </cfRule>
  </conditionalFormatting>
  <conditionalFormatting sqref="A158">
    <cfRule type="cellIs" dxfId="104" priority="112" stopIfTrue="1" operator="equal">
      <formula>A157</formula>
    </cfRule>
  </conditionalFormatting>
  <conditionalFormatting sqref="A159">
    <cfRule type="cellIs" dxfId="103" priority="111" stopIfTrue="1" operator="equal">
      <formula>A158</formula>
    </cfRule>
  </conditionalFormatting>
  <conditionalFormatting sqref="A160">
    <cfRule type="cellIs" dxfId="102" priority="110" stopIfTrue="1" operator="equal">
      <formula>A159</formula>
    </cfRule>
  </conditionalFormatting>
  <conditionalFormatting sqref="A161">
    <cfRule type="cellIs" dxfId="101" priority="109" stopIfTrue="1" operator="equal">
      <formula>A160</formula>
    </cfRule>
  </conditionalFormatting>
  <conditionalFormatting sqref="A162">
    <cfRule type="cellIs" dxfId="100" priority="108" stopIfTrue="1" operator="equal">
      <formula>A161</formula>
    </cfRule>
  </conditionalFormatting>
  <conditionalFormatting sqref="A163">
    <cfRule type="cellIs" dxfId="99" priority="107" stopIfTrue="1" operator="equal">
      <formula>A162</formula>
    </cfRule>
  </conditionalFormatting>
  <conditionalFormatting sqref="A164">
    <cfRule type="cellIs" dxfId="98" priority="106" stopIfTrue="1" operator="equal">
      <formula>A163</formula>
    </cfRule>
  </conditionalFormatting>
  <conditionalFormatting sqref="A165">
    <cfRule type="cellIs" dxfId="97" priority="105" stopIfTrue="1" operator="equal">
      <formula>A164</formula>
    </cfRule>
  </conditionalFormatting>
  <conditionalFormatting sqref="A174">
    <cfRule type="cellIs" dxfId="96" priority="103" stopIfTrue="1" operator="equal">
      <formula>A173</formula>
    </cfRule>
  </conditionalFormatting>
  <conditionalFormatting sqref="A175">
    <cfRule type="cellIs" dxfId="95" priority="102" stopIfTrue="1" operator="equal">
      <formula>A174</formula>
    </cfRule>
  </conditionalFormatting>
  <conditionalFormatting sqref="A176">
    <cfRule type="cellIs" dxfId="94" priority="101" stopIfTrue="1" operator="equal">
      <formula>A175</formula>
    </cfRule>
  </conditionalFormatting>
  <conditionalFormatting sqref="A177">
    <cfRule type="cellIs" dxfId="93" priority="100" stopIfTrue="1" operator="equal">
      <formula>A176</formula>
    </cfRule>
  </conditionalFormatting>
  <conditionalFormatting sqref="A178">
    <cfRule type="cellIs" dxfId="92" priority="99" stopIfTrue="1" operator="equal">
      <formula>A177</formula>
    </cfRule>
  </conditionalFormatting>
  <conditionalFormatting sqref="A179">
    <cfRule type="cellIs" dxfId="91" priority="98" stopIfTrue="1" operator="equal">
      <formula>A178</formula>
    </cfRule>
  </conditionalFormatting>
  <conditionalFormatting sqref="A180">
    <cfRule type="cellIs" dxfId="90" priority="97" stopIfTrue="1" operator="equal">
      <formula>A179</formula>
    </cfRule>
  </conditionalFormatting>
  <conditionalFormatting sqref="A181">
    <cfRule type="cellIs" dxfId="89" priority="96" stopIfTrue="1" operator="equal">
      <formula>A180</formula>
    </cfRule>
  </conditionalFormatting>
  <conditionalFormatting sqref="A182">
    <cfRule type="cellIs" dxfId="88" priority="95" stopIfTrue="1" operator="equal">
      <formula>A181</formula>
    </cfRule>
  </conditionalFormatting>
  <conditionalFormatting sqref="A183">
    <cfRule type="cellIs" dxfId="87" priority="94" stopIfTrue="1" operator="equal">
      <formula>A182</formula>
    </cfRule>
  </conditionalFormatting>
  <conditionalFormatting sqref="A184">
    <cfRule type="cellIs" dxfId="86" priority="93" stopIfTrue="1" operator="equal">
      <formula>A183</formula>
    </cfRule>
  </conditionalFormatting>
  <conditionalFormatting sqref="A185">
    <cfRule type="cellIs" dxfId="85" priority="92" stopIfTrue="1" operator="equal">
      <formula>A184</formula>
    </cfRule>
  </conditionalFormatting>
  <conditionalFormatting sqref="A186">
    <cfRule type="cellIs" dxfId="84" priority="91" stopIfTrue="1" operator="equal">
      <formula>A185</formula>
    </cfRule>
  </conditionalFormatting>
  <conditionalFormatting sqref="A187">
    <cfRule type="cellIs" dxfId="83" priority="90" stopIfTrue="1" operator="equal">
      <formula>A186</formula>
    </cfRule>
  </conditionalFormatting>
  <conditionalFormatting sqref="A188">
    <cfRule type="cellIs" dxfId="82" priority="89" stopIfTrue="1" operator="equal">
      <formula>A187</formula>
    </cfRule>
  </conditionalFormatting>
  <conditionalFormatting sqref="A189">
    <cfRule type="cellIs" dxfId="81" priority="88" stopIfTrue="1" operator="equal">
      <formula>A188</formula>
    </cfRule>
  </conditionalFormatting>
  <conditionalFormatting sqref="A190">
    <cfRule type="cellIs" dxfId="80" priority="87" stopIfTrue="1" operator="equal">
      <formula>A189</formula>
    </cfRule>
  </conditionalFormatting>
  <conditionalFormatting sqref="A191">
    <cfRule type="cellIs" dxfId="79" priority="86" stopIfTrue="1" operator="equal">
      <formula>A190</formula>
    </cfRule>
  </conditionalFormatting>
  <conditionalFormatting sqref="A192">
    <cfRule type="cellIs" dxfId="78" priority="85" stopIfTrue="1" operator="equal">
      <formula>A191</formula>
    </cfRule>
  </conditionalFormatting>
  <conditionalFormatting sqref="A193">
    <cfRule type="cellIs" dxfId="77" priority="84" stopIfTrue="1" operator="equal">
      <formula>A192</formula>
    </cfRule>
  </conditionalFormatting>
  <conditionalFormatting sqref="A194">
    <cfRule type="cellIs" dxfId="76" priority="83" stopIfTrue="1" operator="equal">
      <formula>A193</formula>
    </cfRule>
  </conditionalFormatting>
  <conditionalFormatting sqref="A195">
    <cfRule type="cellIs" dxfId="75" priority="82" stopIfTrue="1" operator="equal">
      <formula>A194</formula>
    </cfRule>
  </conditionalFormatting>
  <conditionalFormatting sqref="A196">
    <cfRule type="cellIs" dxfId="74" priority="81" stopIfTrue="1" operator="equal">
      <formula>A195</formula>
    </cfRule>
  </conditionalFormatting>
  <conditionalFormatting sqref="A197">
    <cfRule type="cellIs" dxfId="73" priority="80" stopIfTrue="1" operator="equal">
      <formula>A196</formula>
    </cfRule>
  </conditionalFormatting>
  <conditionalFormatting sqref="A198">
    <cfRule type="cellIs" dxfId="72" priority="79" stopIfTrue="1" operator="equal">
      <formula>A197</formula>
    </cfRule>
  </conditionalFormatting>
  <conditionalFormatting sqref="A199">
    <cfRule type="cellIs" dxfId="71" priority="78" stopIfTrue="1" operator="equal">
      <formula>A198</formula>
    </cfRule>
  </conditionalFormatting>
  <conditionalFormatting sqref="A200">
    <cfRule type="cellIs" dxfId="70" priority="77" stopIfTrue="1" operator="equal">
      <formula>A199</formula>
    </cfRule>
  </conditionalFormatting>
  <conditionalFormatting sqref="A201">
    <cfRule type="cellIs" dxfId="69" priority="76" stopIfTrue="1" operator="equal">
      <formula>A200</formula>
    </cfRule>
  </conditionalFormatting>
  <conditionalFormatting sqref="A202">
    <cfRule type="cellIs" dxfId="68" priority="75" stopIfTrue="1" operator="equal">
      <formula>A201</formula>
    </cfRule>
  </conditionalFormatting>
  <conditionalFormatting sqref="A203">
    <cfRule type="cellIs" dxfId="67" priority="74" stopIfTrue="1" operator="equal">
      <formula>A202</formula>
    </cfRule>
  </conditionalFormatting>
  <conditionalFormatting sqref="A204">
    <cfRule type="cellIs" dxfId="66" priority="73" stopIfTrue="1" operator="equal">
      <formula>A203</formula>
    </cfRule>
  </conditionalFormatting>
  <conditionalFormatting sqref="A205">
    <cfRule type="cellIs" dxfId="65" priority="72" stopIfTrue="1" operator="equal">
      <formula>A204</formula>
    </cfRule>
  </conditionalFormatting>
  <conditionalFormatting sqref="A206">
    <cfRule type="cellIs" dxfId="64" priority="71" stopIfTrue="1" operator="equal">
      <formula>A205</formula>
    </cfRule>
  </conditionalFormatting>
  <conditionalFormatting sqref="A207">
    <cfRule type="cellIs" dxfId="63" priority="70" stopIfTrue="1" operator="equal">
      <formula>A206</formula>
    </cfRule>
  </conditionalFormatting>
  <conditionalFormatting sqref="A208">
    <cfRule type="cellIs" dxfId="62" priority="69" stopIfTrue="1" operator="equal">
      <formula>A207</formula>
    </cfRule>
  </conditionalFormatting>
  <conditionalFormatting sqref="A209">
    <cfRule type="cellIs" dxfId="61" priority="68" stopIfTrue="1" operator="equal">
      <formula>A208</formula>
    </cfRule>
  </conditionalFormatting>
  <conditionalFormatting sqref="A210">
    <cfRule type="cellIs" dxfId="60" priority="67" stopIfTrue="1" operator="equal">
      <formula>A209</formula>
    </cfRule>
  </conditionalFormatting>
  <conditionalFormatting sqref="A211">
    <cfRule type="cellIs" dxfId="59" priority="66" stopIfTrue="1" operator="equal">
      <formula>A210</formula>
    </cfRule>
  </conditionalFormatting>
  <conditionalFormatting sqref="A212">
    <cfRule type="cellIs" dxfId="58" priority="65" stopIfTrue="1" operator="equal">
      <formula>A211</formula>
    </cfRule>
  </conditionalFormatting>
  <conditionalFormatting sqref="A213">
    <cfRule type="cellIs" dxfId="57" priority="64" stopIfTrue="1" operator="equal">
      <formula>A212</formula>
    </cfRule>
  </conditionalFormatting>
  <conditionalFormatting sqref="A214">
    <cfRule type="cellIs" dxfId="56" priority="63" stopIfTrue="1" operator="equal">
      <formula>A213</formula>
    </cfRule>
  </conditionalFormatting>
  <conditionalFormatting sqref="A215">
    <cfRule type="cellIs" dxfId="55" priority="62" stopIfTrue="1" operator="equal">
      <formula>A214</formula>
    </cfRule>
  </conditionalFormatting>
  <conditionalFormatting sqref="A216">
    <cfRule type="cellIs" dxfId="54" priority="61" stopIfTrue="1" operator="equal">
      <formula>A215</formula>
    </cfRule>
  </conditionalFormatting>
  <conditionalFormatting sqref="A217">
    <cfRule type="cellIs" dxfId="53" priority="60" stopIfTrue="1" operator="equal">
      <formula>A216</formula>
    </cfRule>
  </conditionalFormatting>
  <conditionalFormatting sqref="A218">
    <cfRule type="cellIs" dxfId="52" priority="59" stopIfTrue="1" operator="equal">
      <formula>A217</formula>
    </cfRule>
  </conditionalFormatting>
  <conditionalFormatting sqref="A219">
    <cfRule type="cellIs" dxfId="51" priority="58" stopIfTrue="1" operator="equal">
      <formula>A218</formula>
    </cfRule>
  </conditionalFormatting>
  <conditionalFormatting sqref="A220">
    <cfRule type="cellIs" dxfId="50" priority="57" stopIfTrue="1" operator="equal">
      <formula>A219</formula>
    </cfRule>
  </conditionalFormatting>
  <conditionalFormatting sqref="A221">
    <cfRule type="cellIs" dxfId="49" priority="56" stopIfTrue="1" operator="equal">
      <formula>A220</formula>
    </cfRule>
  </conditionalFormatting>
  <conditionalFormatting sqref="A222">
    <cfRule type="cellIs" dxfId="48" priority="55" stopIfTrue="1" operator="equal">
      <formula>A221</formula>
    </cfRule>
  </conditionalFormatting>
  <conditionalFormatting sqref="A284">
    <cfRule type="cellIs" dxfId="47" priority="5" stopIfTrue="1" operator="equal">
      <formula>A283</formula>
    </cfRule>
  </conditionalFormatting>
  <conditionalFormatting sqref="A231:C231">
    <cfRule type="cellIs" dxfId="46" priority="52" stopIfTrue="1" operator="equal">
      <formula>A230</formula>
    </cfRule>
    <cfRule type="cellIs" dxfId="45" priority="53" stopIfTrue="1" operator="equal">
      <formula>0</formula>
    </cfRule>
  </conditionalFormatting>
  <conditionalFormatting sqref="A232:C232">
    <cfRule type="cellIs" dxfId="44" priority="50" stopIfTrue="1" operator="equal">
      <formula>A231</formula>
    </cfRule>
    <cfRule type="cellIs" dxfId="43" priority="51" stopIfTrue="1" operator="equal">
      <formula>0</formula>
    </cfRule>
  </conditionalFormatting>
  <conditionalFormatting sqref="A233:C233">
    <cfRule type="cellIs" dxfId="42" priority="48" stopIfTrue="1" operator="equal">
      <formula>A232</formula>
    </cfRule>
    <cfRule type="cellIs" dxfId="41" priority="49" stopIfTrue="1" operator="equal">
      <formula>0</formula>
    </cfRule>
  </conditionalFormatting>
  <conditionalFormatting sqref="A234:C234">
    <cfRule type="cellIs" dxfId="40" priority="46" stopIfTrue="1" operator="equal">
      <formula>A233</formula>
    </cfRule>
    <cfRule type="cellIs" dxfId="39" priority="47" stopIfTrue="1" operator="equal">
      <formula>0</formula>
    </cfRule>
  </conditionalFormatting>
  <conditionalFormatting sqref="A235:C235">
    <cfRule type="cellIs" dxfId="38" priority="44" stopIfTrue="1" operator="equal">
      <formula>A234</formula>
    </cfRule>
    <cfRule type="cellIs" dxfId="37" priority="45" stopIfTrue="1" operator="equal">
      <formula>0</formula>
    </cfRule>
  </conditionalFormatting>
  <conditionalFormatting sqref="A236:C236">
    <cfRule type="cellIs" dxfId="36" priority="42" stopIfTrue="1" operator="equal">
      <formula>A235</formula>
    </cfRule>
    <cfRule type="cellIs" dxfId="35" priority="43" stopIfTrue="1" operator="equal">
      <formula>0</formula>
    </cfRule>
  </conditionalFormatting>
  <conditionalFormatting sqref="A237:C237">
    <cfRule type="cellIs" dxfId="34" priority="40" stopIfTrue="1" operator="equal">
      <formula>A236</formula>
    </cfRule>
    <cfRule type="cellIs" dxfId="33" priority="41" stopIfTrue="1" operator="equal">
      <formula>0</formula>
    </cfRule>
  </conditionalFormatting>
  <conditionalFormatting sqref="A238:C238">
    <cfRule type="cellIs" dxfId="32" priority="38" stopIfTrue="1" operator="equal">
      <formula>A237</formula>
    </cfRule>
    <cfRule type="cellIs" dxfId="31" priority="39" stopIfTrue="1" operator="equal">
      <formula>0</formula>
    </cfRule>
  </conditionalFormatting>
  <conditionalFormatting sqref="A239:C239">
    <cfRule type="cellIs" dxfId="30" priority="36" stopIfTrue="1" operator="equal">
      <formula>A238</formula>
    </cfRule>
    <cfRule type="cellIs" dxfId="29" priority="37" stopIfTrue="1" operator="equal">
      <formula>0</formula>
    </cfRule>
  </conditionalFormatting>
  <conditionalFormatting sqref="A240:C240">
    <cfRule type="cellIs" dxfId="28" priority="34" stopIfTrue="1" operator="equal">
      <formula>A239</formula>
    </cfRule>
    <cfRule type="cellIs" dxfId="27" priority="35" stopIfTrue="1" operator="equal">
      <formula>0</formula>
    </cfRule>
  </conditionalFormatting>
  <conditionalFormatting sqref="A241:C241">
    <cfRule type="cellIs" dxfId="26" priority="32" stopIfTrue="1" operator="equal">
      <formula>A240</formula>
    </cfRule>
    <cfRule type="cellIs" dxfId="25" priority="33" stopIfTrue="1" operator="equal">
      <formula>0</formula>
    </cfRule>
  </conditionalFormatting>
  <conditionalFormatting sqref="A249:C249">
    <cfRule type="cellIs" dxfId="24" priority="28" stopIfTrue="1" operator="equal">
      <formula>A248</formula>
    </cfRule>
    <cfRule type="cellIs" dxfId="23" priority="29" stopIfTrue="1" operator="equal">
      <formula>0</formula>
    </cfRule>
  </conditionalFormatting>
  <conditionalFormatting sqref="A250:C250">
    <cfRule type="cellIs" dxfId="22" priority="26" stopIfTrue="1" operator="equal">
      <formula>A249</formula>
    </cfRule>
    <cfRule type="cellIs" dxfId="21" priority="27" stopIfTrue="1" operator="equal">
      <formula>0</formula>
    </cfRule>
  </conditionalFormatting>
  <conditionalFormatting sqref="A251:C251">
    <cfRule type="cellIs" dxfId="20" priority="24" stopIfTrue="1" operator="equal">
      <formula>A250</formula>
    </cfRule>
    <cfRule type="cellIs" dxfId="19" priority="25" stopIfTrue="1" operator="equal">
      <formula>0</formula>
    </cfRule>
  </conditionalFormatting>
  <conditionalFormatting sqref="A252:C252">
    <cfRule type="cellIs" dxfId="18" priority="22" stopIfTrue="1" operator="equal">
      <formula>A251</formula>
    </cfRule>
    <cfRule type="cellIs" dxfId="17" priority="23" stopIfTrue="1" operator="equal">
      <formula>0</formula>
    </cfRule>
  </conditionalFormatting>
  <conditionalFormatting sqref="A253:C253">
    <cfRule type="cellIs" dxfId="16" priority="20" stopIfTrue="1" operator="equal">
      <formula>A252</formula>
    </cfRule>
    <cfRule type="cellIs" dxfId="15" priority="21" stopIfTrue="1" operator="equal">
      <formula>0</formula>
    </cfRule>
  </conditionalFormatting>
  <conditionalFormatting sqref="A254:C254">
    <cfRule type="cellIs" dxfId="14" priority="18" stopIfTrue="1" operator="equal">
      <formula>A253</formula>
    </cfRule>
    <cfRule type="cellIs" dxfId="13" priority="19" stopIfTrue="1" operator="equal">
      <formula>0</formula>
    </cfRule>
  </conditionalFormatting>
  <conditionalFormatting sqref="A255:C255">
    <cfRule type="cellIs" dxfId="12" priority="16" stopIfTrue="1" operator="equal">
      <formula>A254</formula>
    </cfRule>
    <cfRule type="cellIs" dxfId="11" priority="17" stopIfTrue="1" operator="equal">
      <formula>0</formula>
    </cfRule>
  </conditionalFormatting>
  <conditionalFormatting sqref="A256:C256">
    <cfRule type="cellIs" dxfId="10" priority="14" stopIfTrue="1" operator="equal">
      <formula>A255</formula>
    </cfRule>
    <cfRule type="cellIs" dxfId="9" priority="15" stopIfTrue="1" operator="equal">
      <formula>0</formula>
    </cfRule>
  </conditionalFormatting>
  <conditionalFormatting sqref="A257:C257">
    <cfRule type="cellIs" dxfId="8" priority="12" stopIfTrue="1" operator="equal">
      <formula>A256</formula>
    </cfRule>
    <cfRule type="cellIs" dxfId="7" priority="13" stopIfTrue="1" operator="equal">
      <formula>0</formula>
    </cfRule>
  </conditionalFormatting>
  <conditionalFormatting sqref="A258:C258">
    <cfRule type="cellIs" dxfId="6" priority="10" stopIfTrue="1" operator="equal">
      <formula>A257</formula>
    </cfRule>
    <cfRule type="cellIs" dxfId="5" priority="11" stopIfTrue="1" operator="equal">
      <formula>0</formula>
    </cfRule>
  </conditionalFormatting>
  <conditionalFormatting sqref="A259:C259">
    <cfRule type="cellIs" dxfId="4" priority="8" stopIfTrue="1" operator="equal">
      <formula>A258</formula>
    </cfRule>
    <cfRule type="cellIs" dxfId="3" priority="9" stopIfTrue="1" operator="equal">
      <formula>0</formula>
    </cfRule>
  </conditionalFormatting>
  <conditionalFormatting sqref="A285">
    <cfRule type="cellIs" dxfId="2" priority="4" stopIfTrue="1" operator="equal">
      <formula>A284</formula>
    </cfRule>
  </conditionalFormatting>
  <conditionalFormatting sqref="A286">
    <cfRule type="cellIs" dxfId="1" priority="3" stopIfTrue="1" operator="equal">
      <formula>A285</formula>
    </cfRule>
  </conditionalFormatting>
  <conditionalFormatting sqref="A287">
    <cfRule type="cellIs" dxfId="0" priority="2" stopIfTrue="1" operator="equal">
      <formula>A286</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Додаток2 КПК0111021</vt:lpstr>
      <vt:lpstr>'Додаток2 КПК0111021'!Область_печати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2025-01-14T12:31:56Z</cp:lastPrinted>
  <dcterms:created xsi:type="dcterms:W3CDTF">2016-07-02T12:27:50Z</dcterms:created>
  <dcterms:modified xsi:type="dcterms:W3CDTF">2025-01-14T12:32:47Z</dcterms:modified>
</cp:coreProperties>
</file>