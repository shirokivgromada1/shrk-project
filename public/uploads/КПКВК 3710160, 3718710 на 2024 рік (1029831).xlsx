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Бюджетні запити\"/>
    </mc:Choice>
  </mc:AlternateContent>
  <xr:revisionPtr revIDLastSave="0" documentId="8_{794A46BF-88A2-441D-A5F1-85415D2D3B86}" xr6:coauthVersionLast="46" xr6:coauthVersionMax="46" xr10:uidLastSave="{00000000-0000-0000-0000-000000000000}"/>
  <bookViews>
    <workbookView xWindow="-120" yWindow="-120" windowWidth="29040" windowHeight="15840" tabRatio="522" activeTab="2"/>
  </bookViews>
  <sheets>
    <sheet name="Додаток1" sheetId="1" r:id="rId1"/>
    <sheet name="Додаток2 КПК3710160" sheetId="6" r:id="rId2"/>
    <sheet name="Додаток2 КПК3718710" sheetId="7" r:id="rId3"/>
    <sheet name="Додаток3 КПК3710160" sheetId="8" r:id="rId4"/>
    <sheet name="Додаток3 КПК3718710" sheetId="9" r:id="rId5"/>
  </sheets>
  <definedNames>
    <definedName name="_xlnm.Print_Area" localSheetId="0">Додаток1!$A$1:$BL$44</definedName>
    <definedName name="_xlnm.Print_Area" localSheetId="1">'Додаток2 КПК3710160'!$A$1:$BY$254</definedName>
    <definedName name="_xlnm.Print_Area" localSheetId="2">'Додаток2 КПК3718710'!$A$1:$BY$218</definedName>
    <definedName name="_xlnm.Print_Area" localSheetId="3">'Додаток3 КПК3710160'!$A$1:$BS$63</definedName>
    <definedName name="_xlnm.Print_Area" localSheetId="4">'Додаток3 КПК3718710'!$A$1:$BS$63</definedName>
  </definedNames>
  <calcPr calcId="191029"/>
</workbook>
</file>

<file path=xl/calcChain.xml><?xml version="1.0" encoding="utf-8"?>
<calcChain xmlns="http://schemas.openxmlformats.org/spreadsheetml/2006/main">
  <c r="BH195" i="7" l="1"/>
  <c r="AT195" i="7"/>
  <c r="AJ195" i="7"/>
  <c r="BG186" i="7"/>
  <c r="AQ186" i="7"/>
  <c r="AZ163" i="7"/>
  <c r="AK163" i="7"/>
  <c r="BO155" i="7"/>
  <c r="AZ155" i="7"/>
  <c r="AK155" i="7"/>
  <c r="BD96" i="7"/>
  <c r="AJ96" i="7"/>
  <c r="BD95" i="7"/>
  <c r="AJ95" i="7"/>
  <c r="BU87" i="7"/>
  <c r="BB87" i="7"/>
  <c r="AI87" i="7"/>
  <c r="BU86" i="7"/>
  <c r="BB86" i="7"/>
  <c r="AI86" i="7"/>
  <c r="BG76" i="7"/>
  <c r="AM76" i="7"/>
  <c r="BG68" i="7"/>
  <c r="AM68" i="7"/>
  <c r="BG67" i="7"/>
  <c r="AM67" i="7"/>
  <c r="BU59" i="7"/>
  <c r="BB59" i="7"/>
  <c r="AI59" i="7"/>
  <c r="BU51" i="7"/>
  <c r="BB51" i="7"/>
  <c r="AI51" i="7"/>
  <c r="BU50" i="7"/>
  <c r="BB50" i="7"/>
  <c r="AI50" i="7"/>
  <c r="BG40" i="7"/>
  <c r="AM40" i="7"/>
  <c r="BG39" i="7"/>
  <c r="AM39" i="7"/>
  <c r="BU31" i="7"/>
  <c r="BB31" i="7"/>
  <c r="AI31" i="7"/>
  <c r="BU30" i="7"/>
  <c r="BB30" i="7"/>
  <c r="AI30" i="7"/>
  <c r="BH231" i="6"/>
  <c r="AT231" i="6"/>
  <c r="AJ231" i="6"/>
  <c r="BG222" i="6"/>
  <c r="AQ222" i="6"/>
  <c r="AZ199" i="6"/>
  <c r="AK199" i="6"/>
  <c r="BO191" i="6"/>
  <c r="AZ191" i="6"/>
  <c r="AK191" i="6"/>
  <c r="BD116" i="6"/>
  <c r="AJ116" i="6"/>
  <c r="BD115" i="6"/>
  <c r="AJ115" i="6"/>
  <c r="BD114" i="6"/>
  <c r="AJ114" i="6"/>
  <c r="BD113" i="6"/>
  <c r="AJ113" i="6"/>
  <c r="BD112" i="6"/>
  <c r="AJ112" i="6"/>
  <c r="BD111" i="6"/>
  <c r="AJ111" i="6"/>
  <c r="BD110" i="6"/>
  <c r="AJ110" i="6"/>
  <c r="BU102" i="6"/>
  <c r="BB102" i="6"/>
  <c r="AI102" i="6"/>
  <c r="BU101" i="6"/>
  <c r="BB101" i="6"/>
  <c r="AI101" i="6"/>
  <c r="BU100" i="6"/>
  <c r="BB100" i="6"/>
  <c r="AI100" i="6"/>
  <c r="BU99" i="6"/>
  <c r="BB99" i="6"/>
  <c r="AI99" i="6"/>
  <c r="BU98" i="6"/>
  <c r="BB98" i="6"/>
  <c r="AI98" i="6"/>
  <c r="BU97" i="6"/>
  <c r="BB97" i="6"/>
  <c r="AI97" i="6"/>
  <c r="BU96" i="6"/>
  <c r="BB96" i="6"/>
  <c r="AI96" i="6"/>
  <c r="BG86" i="6"/>
  <c r="AM86" i="6"/>
  <c r="BG78" i="6"/>
  <c r="AM78" i="6"/>
  <c r="BG77" i="6"/>
  <c r="AM77" i="6"/>
  <c r="BG76" i="6"/>
  <c r="AM76" i="6"/>
  <c r="BG75" i="6"/>
  <c r="AM75" i="6"/>
  <c r="BG74" i="6"/>
  <c r="AM74" i="6"/>
  <c r="BG73" i="6"/>
  <c r="AM73" i="6"/>
  <c r="BG72" i="6"/>
  <c r="AM72" i="6"/>
  <c r="BU64" i="6"/>
  <c r="BB64" i="6"/>
  <c r="AI64" i="6"/>
  <c r="BU56" i="6"/>
  <c r="BB56" i="6"/>
  <c r="AI56" i="6"/>
  <c r="BU55" i="6"/>
  <c r="BB55" i="6"/>
  <c r="AI55" i="6"/>
  <c r="BU54" i="6"/>
  <c r="BB54" i="6"/>
  <c r="AI54" i="6"/>
  <c r="BU53" i="6"/>
  <c r="BB53" i="6"/>
  <c r="AI53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<sst xmlns="http://schemas.openxmlformats.org/spreadsheetml/2006/main" count="1771" uniqueCount="360">
  <si>
    <t xml:space="preserve">                (найменування головного розпорядника коштів місцевого бюджету)                        </t>
  </si>
  <si>
    <t/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</si>
  <si>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</si>
  <si>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</si>
  <si>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</si>
  <si>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</si>
  <si>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</si>
  <si>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</si>
  <si>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</si>
  <si>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</si>
  <si>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</si>
  <si>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</si>
  <si>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</si>
  <si>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</si>
  <si>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</si>
  <si>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</si>
  <si>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</si>
  <si>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</si>
  <si>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</si>
  <si>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</si>
  <si>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</si>
  <si>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</si>
  <si>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індикативні прогнозні показники</t>
  </si>
  <si>
    <t>kpk</t>
  </si>
  <si>
    <t>kpk_name</t>
  </si>
  <si>
    <t>p1.3</t>
  </si>
  <si>
    <t>s1.3</t>
  </si>
  <si>
    <t>p1.4</t>
  </si>
  <si>
    <t>s1.4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</si>
  <si>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</si>
  <si>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</si>
  <si>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</si>
  <si>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</si>
  <si>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</si>
  <si>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</si>
  <si>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</si>
  <si>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</si>
  <si>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</si>
  <si>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</si>
  <si>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</si>
  <si>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</si>
  <si>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</si>
  <si>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</si>
  <si>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</si>
  <si>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</si>
  <si>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</si>
  <si>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</si>
  <si>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</si>
  <si>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</si>
  <si>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</si>
  <si>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</si>
  <si>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</si>
  <si>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</si>
  <si>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</si>
  <si>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</si>
  <si>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</si>
  <si>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</si>
  <si>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</si>
  <si>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</si>
  <si>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</si>
  <si>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</si>
  <si>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</si>
  <si>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</si>
  <si>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</si>
  <si>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p3.2.1</t>
  </si>
  <si>
    <t>s3.2.1</t>
  </si>
  <si>
    <t>p3.2.1.1</t>
  </si>
  <si>
    <t>s3.2.1.1</t>
  </si>
  <si>
    <t>p3.2.2</t>
  </si>
  <si>
    <t>s3.2.2</t>
  </si>
  <si>
    <t>p3.2.2.1</t>
  </si>
  <si>
    <t>s3.2.2.1</t>
  </si>
  <si>
    <t>y1</t>
  </si>
  <si>
    <t>y2</t>
  </si>
  <si>
    <t>y3</t>
  </si>
  <si>
    <t>y4</t>
  </si>
  <si>
    <t>y5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</si>
  <si>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</si>
  <si>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</si>
  <si>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</si>
  <si>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</si>
  <si>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</si>
  <si>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</si>
  <si>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</si>
  <si>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</si>
  <si>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</si>
  <si>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</si>
  <si>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</si>
  <si>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</si>
  <si>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</si>
  <si>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</si>
  <si>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</si>
  <si>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</si>
  <si>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</si>
  <si>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</si>
  <si>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</si>
  <si>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</si>
  <si>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</si>
  <si>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</si>
  <si>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</si>
  <si>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</si>
  <si>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</si>
  <si>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</si>
  <si>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</si>
  <si>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</si>
  <si>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</si>
  <si>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</si>
  <si>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</si>
  <si>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</si>
  <si>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</si>
  <si>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>obgrunt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</si>
  <si>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</si>
  <si>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</si>
  <si>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</si>
  <si>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</si>
  <si>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</si>
  <si>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</si>
  <si>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</si>
  <si>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</si>
  <si>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</si>
  <si>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</si>
  <si>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необхідно додатково (+)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</si>
  <si>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</si>
  <si>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</si>
  <si>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</si>
  <si>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</si>
  <si>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</si>
  <si>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</si>
  <si>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all_kod</t>
  </si>
  <si>
    <t>p3.2.1.1.1</t>
  </si>
  <si>
    <t>s3.2.1.1.1</t>
  </si>
  <si>
    <t>p3.2.2.1.1</t>
  </si>
  <si>
    <t>s3.2.2.1.1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</si>
  <si>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</si>
  <si>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</si>
  <si>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</si>
  <si>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</si>
  <si>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</si>
  <si>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</si>
  <si>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</si>
  <si>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</si>
  <si>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</si>
  <si>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</si>
  <si>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>ЗАТВЕРДЖЕНО
Наказ Міністерства фінансів України
від 17 липня 2015 року № 648
(у редакції наказу Міністерства фінансів України від 17 липня 2018 року № 617)</t>
  </si>
  <si>
    <t>Код Функціональної класифікації видатків та кредитування бюджету</t>
  </si>
  <si>
    <t>kfk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</si>
  <si>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</si>
  <si>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</si>
  <si>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</si>
  <si>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</si>
  <si>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</si>
  <si>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</si>
  <si>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</si>
  <si>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</si>
  <si>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</si>
  <si>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</si>
  <si>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</si>
  <si>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</si>
  <si>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</si>
  <si>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</si>
  <si>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</si>
  <si>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</si>
  <si>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</si>
  <si>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</si>
  <si>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</si>
  <si>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</si>
  <si>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</si>
  <si>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</si>
  <si>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</si>
  <si>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</si>
  <si>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</si>
  <si>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</si>
  <si>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</si>
  <si>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</si>
  <si>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</si>
  <si>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</si>
  <si>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</si>
  <si>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</si>
  <si>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4. Додаткові витрати місцевого бюджету: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</si>
  <si>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</si>
  <si>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</si>
  <si>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</si>
  <si>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</si>
  <si>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</si>
  <si>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</si>
  <si>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</si>
  <si>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Зміна результативних показників, які характеризують виконання бюджетної програми, у разі передбачення додаткових коштів</t>
  </si>
  <si>
    <t>zp</t>
  </si>
  <si>
    <t xml:space="preserve">                            (найменування відповідального виконавця )               </t>
  </si>
  <si>
    <t>Зміна результативних показників бюджетної програми у разі передбачення додаткових коштів:</t>
  </si>
  <si>
    <t>Вжиті заходи щодо погашення заборгованості</t>
  </si>
  <si>
    <t>2. Мета діяльності головного розпорядника коштів місцевого бюджету.</t>
  </si>
  <si>
    <t>3. Цілі державної політики у відповідній сфері діяльності, формування та/або реалізацію якої забезпечує головний розпорядник коштів місцевого бюджету, і показники їх досягнення</t>
  </si>
  <si>
    <t>Код Типової програмної класифікації видатків та кредитування місцевого бюджету</t>
  </si>
  <si>
    <t>Найменування відповідального виконавця, найменування бюджетної програми згідно з Типовою програмною класифікацією видатків та кредитування місцевого бюджету</t>
  </si>
  <si>
    <t>Номер цілі державної політики</t>
  </si>
  <si>
    <t>id_cil</t>
  </si>
  <si>
    <t>(код за ЄДРПОУ)</t>
  </si>
  <si>
    <t>(код бюджету)</t>
  </si>
  <si>
    <t>1.</t>
  </si>
  <si>
    <t>p1.2</t>
  </si>
  <si>
    <t>s1.2</t>
  </si>
  <si>
    <t>ktkvmb</t>
  </si>
  <si>
    <t>Найменування показника результату</t>
  </si>
  <si>
    <t>name_cil_rez</t>
  </si>
  <si>
    <t xml:space="preserve"> (ініціали та прізвище)</t>
  </si>
  <si>
    <t>(код Типової відомчої класифікації видатків та кредитування місцевого бюджету)</t>
  </si>
  <si>
    <t>Код Програмної класифікації видатків та кредитування місцевого бюджету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</si>
  <si>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</si>
  <si>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</si>
  <si>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</si>
  <si>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</si>
  <si>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</si>
  <si>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</si>
  <si>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</si>
  <si>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>ЗАТВЕРДЖЕНО
Наказ Міністерства фінансів України
від 07 серпня 2019 року № 336</t>
  </si>
  <si>
    <t xml:space="preserve">  </t>
  </si>
  <si>
    <t>formula=IF(ISNUMBER(RC[-14]),RC[-14],0)+IF(ISNUMBER(RC[-9]),RC[-9],0)</t>
  </si>
  <si>
    <t>formula=IF(ISNUMBER(RC[-15]),RC[-15],0)+IF(ISNUMBER(RC[-10]),RC[-10],0)</t>
  </si>
  <si>
    <t>Ціль державної політики № 18 - Оптимізація та раціоналізація формування доходів і використання фінансових ресурсів, узгодження загальнодержавних і місцевих інтересів у сфері міжбюджетних відносин</t>
  </si>
  <si>
    <t>A15:BL15</t>
  </si>
  <si>
    <t>витрати на утримання однієї штатної одиниці</t>
  </si>
  <si>
    <t>од.</t>
  </si>
  <si>
    <t>кількість опрацьованих листів, звернень, заяв, скарг на одного працівника</t>
  </si>
  <si>
    <t>кількість прийнятих актів органу місцевого самоврядування за поданням фінансового відділу</t>
  </si>
  <si>
    <t>3710000</t>
  </si>
  <si>
    <t>Орган з питань фінансів</t>
  </si>
  <si>
    <t>Фінансовий відділ Широківської сільської ради Запорізького району Запорізької області</t>
  </si>
  <si>
    <t>3710160</t>
  </si>
  <si>
    <t>Керівництво і управління у відповідній сфері у містах (місті Києві), селищах, селах, територіальних громадах</t>
  </si>
  <si>
    <t>0111</t>
  </si>
  <si>
    <t>3718710</t>
  </si>
  <si>
    <t>Резервний фонд місцевого бюджету</t>
  </si>
  <si>
    <t>0133</t>
  </si>
  <si>
    <t xml:space="preserve"> </t>
  </si>
  <si>
    <t>Реалізація бюджетної політики держави та органу місцевого самоврядування (в межах власних і делегованих повноважень) у сфері обліку та звітності, планування та аналізу бюджету територіальної громади, доходів, контролю за платежами до бюджету територіальної громади, фінансування галузей соціально-культурної сфери та бюджетних програм</t>
  </si>
  <si>
    <t>(3)(7)</t>
  </si>
  <si>
    <t>Керівник установи</t>
  </si>
  <si>
    <t>Керівник фінансової служби</t>
  </si>
  <si>
    <t>Нічіпорчук Л. А.</t>
  </si>
  <si>
    <t>Савченко Т. В.</t>
  </si>
  <si>
    <t>44072598</t>
  </si>
  <si>
    <t>0852300000</t>
  </si>
  <si>
    <t>(грн)</t>
  </si>
  <si>
    <t>2022 рік (звіт)</t>
  </si>
  <si>
    <t>2023 рік (затверджено)</t>
  </si>
  <si>
    <t>2024 рік (проект)</t>
  </si>
  <si>
    <t>2025 рік (прогноз)</t>
  </si>
  <si>
    <t>БЮДЖЕТНИЙ ЗАПИТ НА 2024-2026  РОКИ загальний (Форма 2024-1)</t>
  </si>
  <si>
    <t>2026 рік (прогноз)</t>
  </si>
  <si>
    <t>4. Розподіл граничних показників видатків бюджету та надання кредитів з бюджету загального фонду місцевого бюджету на 2022 - 2026 роки за бюджетними програмами:</t>
  </si>
  <si>
    <t>5. Розподіл граничних показників видатків бюджету та надання кредитів з бюджету спеціального фонду місцевого бюджету на 2022 - 2026 роки за бюджетними програмами:</t>
  </si>
  <si>
    <t>Надходження із загального фонду бюджету</t>
  </si>
  <si>
    <t>X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</si>
  <si>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</si>
  <si>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</si>
  <si>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</si>
  <si>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</si>
  <si>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</si>
  <si>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Окремі заходи по реалізації державних (регіональних) програм, не віднесені до заходів розвитку</t>
  </si>
  <si>
    <t>Оплата навчання посадових осіб з видачею посвідчення</t>
  </si>
  <si>
    <t>Оплата службових відряджень</t>
  </si>
  <si>
    <t>Придбання канцелярського та письмового приладдя, паперу</t>
  </si>
  <si>
    <t>Супроводження та обслуговування програмного забезпечення</t>
  </si>
  <si>
    <t>Затрат</t>
  </si>
  <si>
    <t xml:space="preserve">formula=RC[-16]+RC[-8]                          </t>
  </si>
  <si>
    <t>кількість штатних одиниць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</si>
  <si>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</si>
  <si>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</si>
  <si>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</si>
  <si>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</si>
  <si>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протоколи засідань виконавчого комітету, сесій сільської ради</t>
  </si>
  <si>
    <t>Ефективності</t>
  </si>
  <si>
    <t>грн.</t>
  </si>
  <si>
    <t>розрахунковий показник</t>
  </si>
  <si>
    <t>кількість прийнятих актів органу місцевого самоврядування за поданням фінансового відділу на одного працівника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</si>
  <si>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</si>
  <si>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</si>
  <si>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</si>
  <si>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</si>
  <si>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</si>
  <si>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</si>
  <si>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</si>
  <si>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</si>
  <si>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</si>
  <si>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</si>
  <si>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</si>
  <si>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</si>
  <si>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</si>
  <si>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010 - Керівники</t>
  </si>
  <si>
    <t>030 - Спеціалісти</t>
  </si>
  <si>
    <t>УСЬОГО штатних одиниць</t>
  </si>
  <si>
    <t>з них штатні одиниці за загальним фондом, що враховані також у спеціальному фонді</t>
  </si>
  <si>
    <t>Здійснення фінансовим відділом наданих законодавством повноважень у бюджетній і фінансовій сферах</t>
  </si>
  <si>
    <t>Конституція України _x000D_
Бюджетний кодекс України (із змінами)_x000D_
Закон України ""Про місцеве самоврядування в Україні"" (із змінами)_x000D_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(із змінами)_x000D_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""Про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змінами)."</t>
  </si>
  <si>
    <t>Станом на 01.01.2023 кредиторська заборгованість відсутня._x000D_
_x000D_
Відповідно до положень статті 48 Бюджетного кодексу України із змінами фінансовим відділом Широківської сільської ради Запорізького району Запорізької області  реєструються бюджетні зобов’язання та здійснюються платежі тільки в межах бюджетних асигнувань, затверджених кошторисом на 2023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</si>
  <si>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Видатків, здійснені у 2022 році забезпечили діяльність фінансового відділу Широківської сільської ради Запорізького району Запорізької області  необхідними  ресурсами та надали можливість виконувати повноваження в повному обсязі. _x000D_
_x000D_
Розрахунок видатків, затвреджених на 2023 рік забезпечує діяльність фінансового відділу Широківської сільської ради Запорізького району Запорізької області  необхідними  ресурсами та надає можливість виконувати повноваження в повному обсязі. _x000D_
_x000D_
З метою реалізації завдань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діяльності. _x000D_
_x000D_
На 2024 рік результативні показники обраховано відповідно до фактичних даних попереднього та поточного бюджетних періодів, очікуваного виконання в наступному році, враховуючи зміни до нормативних положень законодавства._x000D_
_x000D_
Програма залишається актуальною для подальшої її реалізації.</t>
  </si>
  <si>
    <t>1) кредиторська заборгованість місцевого бюджету у 2022 році:</t>
  </si>
  <si>
    <t>Дебіторська заборгованість на 01.01.2022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</si>
  <si>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</si>
  <si>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</si>
  <si>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</si>
  <si>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</si>
  <si>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</si>
  <si>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</si>
  <si>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</si>
  <si>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</si>
  <si>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</si>
  <si>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</si>
  <si>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</si>
  <si>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</si>
  <si>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</si>
  <si>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</si>
  <si>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</si>
  <si>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</si>
  <si>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</si>
  <si>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</si>
  <si>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</si>
  <si>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</si>
  <si>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</si>
  <si>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</si>
  <si>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</si>
  <si>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</si>
  <si>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</si>
  <si>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</si>
  <si>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</si>
  <si>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</si>
  <si>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</si>
  <si>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(3)(7)(1)(0)(1)(6)(0)</t>
  </si>
  <si>
    <t>(0)(1)(6)(0)</t>
  </si>
  <si>
    <t>(0)(1)(1)(1)</t>
  </si>
  <si>
    <t>(3)(7)(1)</t>
  </si>
  <si>
    <t>Нерозподілені видатки</t>
  </si>
  <si>
    <t>Видатки, що не мають постійного характеру і не могли бути передбачені під час складання проекту місцевого бюжету</t>
  </si>
  <si>
    <t>Обсяг видатків резервного фонду</t>
  </si>
  <si>
    <t>Кошторис</t>
  </si>
  <si>
    <t>Кількість періодів, на які передбачено видатки</t>
  </si>
  <si>
    <t>Розрахунковий показник</t>
  </si>
  <si>
    <t>Середня сума видатків на один період</t>
  </si>
  <si>
    <t>Відсоток проведених видатків</t>
  </si>
  <si>
    <t>Проведення фінансування непередбачених видатків, що не мають постійного характеру і не могли бути передбачені під час складання проекту місцевого бюджету</t>
  </si>
  <si>
    <t>Створення резервного фонду місцевого бюджету для здійснення видатків, що не мають постійного характеру та не могли бути передбачені під час складання проекту місцевого бюджету</t>
  </si>
  <si>
    <t>Конституція України;_x000D_
Бюджетний кодекс України;_x000D_
Закон України "Про місцеве самоврядування в Україні";_x000D_
Наказ Міністерства фінансів України від26.08.2014 №836 "Про деякі питання запровадження програмно-цільового методу складання та виконання місцевих бюджетів" (зі змінами);_x000D_
Наказ Міністерства фінансів України ""Про затвердження складових програмної класифікації видатків та кредитування місцевих бюджетів""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</t>
  </si>
  <si>
    <t>Резервний фонд формується для здійснення непередбачених видатків, що не мають постійного характеру і не могли бути передбачені під час складання проекту бюджету.Порядок використання коштів резервного фонду регламентується постановою Кабінету Міністрів України від 29.03.2002 №415 (із змінами). _x000D_
_x000D_
У 2022 році видатки за рахунок коштів резервного фонду місцевого бюджету не проводились._x000D_
_x000D_
На 2023і рік резервний фонд запланований у обсязі 100 000 грн.</t>
  </si>
  <si>
    <t>(3)(7)(1)(8)(7)(1)(0)</t>
  </si>
  <si>
    <t>(8)(7)(1)(0)</t>
  </si>
  <si>
    <t>(0)(1)(3)(3)</t>
  </si>
  <si>
    <t>1) додаткові витрати на 2024 рік за бюджетними програмами:</t>
  </si>
  <si>
    <t>Обґрунтування необхідності додаткових коштів на 2024 рік</t>
  </si>
  <si>
    <t>2024 рік (проект) в межах доведених граничних обсягів</t>
  </si>
  <si>
    <t>2024 рік (проект) зміни у разі передбачення додаткових коштів</t>
  </si>
  <si>
    <t>Наслідки у разі, якщо додаткові кошти не будуть передбачені у 2024 році, та альтернативні заходи, яких необхідно вжити для забезпечення виконання бюджетної програми</t>
  </si>
  <si>
    <t>2025 рік (прогноз) в межах доведених індикативних прогнозних показників</t>
  </si>
  <si>
    <t>2025 рік (прогноз) зміни у разі передбачення додаткових коштів</t>
  </si>
  <si>
    <t>БЮДЖЕТНИЙ ЗАПИТ НА 2024 – 2026 РОКИ додатковий (Форма 2024-3)</t>
  </si>
  <si>
    <t>2) додаткові витрати на 2025 - 2026  роки за бюджетними програмами:</t>
  </si>
  <si>
    <t>Обґрунтування необхідності додаткових коштів  на 2025 - 2026 роки</t>
  </si>
  <si>
    <t>2026 рік (прогноз) в межах доведених індикативних прогнозних показників</t>
  </si>
  <si>
    <t>2026 рік (прогноз) зміни у разі передбачення додаткових коштів</t>
  </si>
  <si>
    <t>Наслідки у разі, якщо додаткові кошти не будуть передбачені у 2025-2026 роках, та альтернативні заходи, яких необхідно вжити для забезпечення виконання бюджетної програми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</si>
</sst>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0.00"/>
  </numFmts>
  <fonts count="22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 CYR"/>
      <charset val="204"/>
    </font>
    <font>
      <b/>
      <sz val="10"/>
      <name val="Arial Cyr"/>
      <charset val="204"/>
    </font>
    <font>
      <i/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sz val="10"/>
      <color indexed="9"/>
      <name val="Arial Cyr"/>
      <charset val="204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176" fontId="5" fillId="0" borderId="1" xfId="0" applyNumberFormat="1" applyFont="1" applyBorder="1" applyAlignment="1">
      <alignment vertical="center" wrapText="1"/>
    </xf>
    <xf numFmtId="176" fontId="5" fillId="0" borderId="2" xfId="0" applyNumberFormat="1" applyFont="1" applyBorder="1" applyAlignment="1">
      <alignment vertical="center" wrapText="1"/>
    </xf>
    <xf numFmtId="176" fontId="5" fillId="0" borderId="3" xfId="0" applyNumberFormat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176" fontId="1" fillId="0" borderId="0" xfId="0" applyNumberFormat="1" applyFont="1" applyBorder="1" applyAlignment="1">
      <alignment vertical="center" wrapText="1"/>
    </xf>
    <xf numFmtId="0" fontId="1" fillId="0" borderId="0" xfId="0" applyFont="1" applyBorder="1"/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0" xfId="0" applyFill="1" applyAlignment="1"/>
    <xf numFmtId="0" fontId="9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17" fillId="0" borderId="0" xfId="0" applyFont="1" applyBorder="1" applyAlignment="1"/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76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176" fontId="5" fillId="0" borderId="6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3" fontId="1" fillId="0" borderId="6" xfId="0" applyNumberFormat="1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/>
    </xf>
    <xf numFmtId="0" fontId="1" fillId="0" borderId="6" xfId="0" applyNumberFormat="1" applyFont="1" applyBorder="1" applyAlignment="1">
      <alignment horizontal="right" vertic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center" vertical="top" wrapText="1"/>
    </xf>
    <xf numFmtId="3" fontId="0" fillId="0" borderId="2" xfId="0" applyNumberFormat="1" applyFont="1" applyBorder="1" applyAlignment="1">
      <alignment horizontal="center" vertical="top" wrapText="1"/>
    </xf>
    <xf numFmtId="3" fontId="0" fillId="0" borderId="3" xfId="0" applyNumberFormat="1" applyFont="1" applyBorder="1" applyAlignment="1">
      <alignment horizontal="center" vertical="top" wrapText="1"/>
    </xf>
    <xf numFmtId="0" fontId="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quotePrefix="1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quotePrefix="1" applyFont="1" applyBorder="1" applyAlignment="1">
      <alignment horizontal="center" vertical="top" wrapText="1"/>
    </xf>
    <xf numFmtId="3" fontId="5" fillId="0" borderId="6" xfId="0" applyNumberFormat="1" applyFont="1" applyBorder="1" applyAlignment="1">
      <alignment horizontal="center" vertical="top" wrapText="1"/>
    </xf>
    <xf numFmtId="0" fontId="0" fillId="0" borderId="1" xfId="0" quotePrefix="1" applyFont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6" xfId="0" quotePrefix="1" applyFont="1" applyBorder="1" applyAlignment="1">
      <alignment horizontal="center" vertical="top" wrapText="1"/>
    </xf>
    <xf numFmtId="3" fontId="0" fillId="0" borderId="6" xfId="0" applyNumberFormat="1" applyFont="1" applyBorder="1" applyAlignment="1">
      <alignment horizontal="center" vertical="top" wrapText="1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5" fillId="0" borderId="5" xfId="0" quotePrefix="1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16" fillId="0" borderId="5" xfId="0" quotePrefix="1" applyFont="1" applyBorder="1" applyAlignment="1">
      <alignment horizontal="left" vertical="top" wrapText="1"/>
    </xf>
    <xf numFmtId="0" fontId="14" fillId="0" borderId="5" xfId="0" quotePrefix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3" fontId="0" fillId="0" borderId="6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 wrapText="1"/>
    </xf>
    <xf numFmtId="0" fontId="0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6" xfId="0" applyNumberFormat="1" applyFon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0" fillId="0" borderId="6" xfId="0" applyNumberFormat="1" applyFont="1" applyBorder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/>
    </xf>
  </cellXfs>
  <cellStyles count="1">
    <cellStyle name="Обычный" xfId="0" builtinId="0"/>
  </cellStyles>
  <dxfs count="9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B45"/>
  <sheetViews>
    <sheetView zoomScaleNormal="100" workbookViewId="0"/>
  </sheetViews>
  <sheetFormatPr defaultRowHeight="12.75" x14ac:dyDescent="0.2"/>
  <cols>
    <col min="1" max="64" width="2.85546875" customWidth="1"/>
    <col min="79" max="79" width="4.140625" hidden="1" customWidth="1"/>
  </cols>
  <sheetData>
    <row r="1" spans="1:80" ht="34.5" customHeight="1" x14ac:dyDescent="0.2">
      <c r="BA1" s="63" t="s">
        <v>215</v>
      </c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</row>
    <row r="2" spans="1:80" x14ac:dyDescent="0.2">
      <c r="BA2" s="38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</row>
    <row r="3" spans="1:80" ht="14.25" customHeight="1" x14ac:dyDescent="0.2">
      <c r="A3" s="66" t="s">
        <v>248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</row>
    <row r="5" spans="1:80" ht="28.5" customHeight="1" x14ac:dyDescent="0.2">
      <c r="A5" s="27" t="s">
        <v>199</v>
      </c>
      <c r="B5" s="151" t="s">
        <v>227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24"/>
      <c r="AH5" s="46" t="s">
        <v>236</v>
      </c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24"/>
      <c r="AT5" s="24"/>
      <c r="AU5" s="156" t="s">
        <v>241</v>
      </c>
      <c r="AV5" s="46"/>
      <c r="AW5" s="46"/>
      <c r="AX5" s="46"/>
      <c r="AY5" s="46"/>
      <c r="AZ5" s="46"/>
      <c r="BA5" s="46"/>
      <c r="BB5" s="46"/>
      <c r="BC5" s="24"/>
      <c r="BD5" s="24"/>
      <c r="BE5" s="156" t="s">
        <v>242</v>
      </c>
      <c r="BF5" s="46"/>
      <c r="BG5" s="46"/>
      <c r="BH5" s="46"/>
      <c r="BI5" s="46"/>
      <c r="BJ5" s="46"/>
      <c r="BK5" s="46"/>
      <c r="BL5" s="46"/>
    </row>
    <row r="6" spans="1:80" s="23" customFormat="1" ht="24.75" customHeight="1" x14ac:dyDescent="0.2">
      <c r="A6" s="68" t="s">
        <v>0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22"/>
      <c r="AH6" s="47" t="s">
        <v>206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22"/>
      <c r="AT6" s="22"/>
      <c r="AU6" s="47" t="s">
        <v>197</v>
      </c>
      <c r="AV6" s="47"/>
      <c r="AW6" s="47"/>
      <c r="AX6" s="47"/>
      <c r="AY6" s="47"/>
      <c r="AZ6" s="47"/>
      <c r="BA6" s="47"/>
      <c r="BB6" s="47"/>
      <c r="BC6" s="22"/>
      <c r="BD6" s="22"/>
      <c r="BE6" s="47" t="s">
        <v>198</v>
      </c>
      <c r="BF6" s="47"/>
      <c r="BG6" s="47"/>
      <c r="BH6" s="47"/>
      <c r="BI6" s="47"/>
      <c r="BJ6" s="47"/>
      <c r="BK6" s="47"/>
      <c r="BL6" s="47"/>
    </row>
    <row r="7" spans="1:80" ht="15" customHeight="1" x14ac:dyDescent="0.2"/>
    <row r="8" spans="1:80" ht="14.25" customHeight="1" x14ac:dyDescent="0.2">
      <c r="A8" s="65" t="s">
        <v>191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80" ht="30" customHeight="1" x14ac:dyDescent="0.2">
      <c r="A9" s="149" t="s">
        <v>235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</row>
    <row r="10" spans="1:80" x14ac:dyDescent="0.2">
      <c r="A10" s="61" t="s">
        <v>192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</row>
    <row r="11" spans="1:80" ht="15" customHeight="1" x14ac:dyDescent="0.2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</row>
    <row r="12" spans="1:80" ht="37.5" customHeight="1" x14ac:dyDescent="0.2">
      <c r="A12" s="48" t="s">
        <v>203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50"/>
      <c r="X12" s="48" t="s">
        <v>9</v>
      </c>
      <c r="Y12" s="49"/>
      <c r="Z12" s="49"/>
      <c r="AA12" s="49"/>
      <c r="AB12" s="49"/>
      <c r="AC12" s="49"/>
      <c r="AD12" s="49"/>
      <c r="AE12" s="49"/>
      <c r="AF12" s="49"/>
      <c r="AG12" s="49"/>
      <c r="AH12" s="50"/>
      <c r="AI12" s="58" t="s">
        <v>244</v>
      </c>
      <c r="AJ12" s="58"/>
      <c r="AK12" s="58"/>
      <c r="AL12" s="58"/>
      <c r="AM12" s="58"/>
      <c r="AN12" s="58"/>
      <c r="AO12" s="58" t="s">
        <v>245</v>
      </c>
      <c r="AP12" s="58"/>
      <c r="AQ12" s="58"/>
      <c r="AR12" s="58"/>
      <c r="AS12" s="58"/>
      <c r="AT12" s="58"/>
      <c r="AU12" s="58" t="s">
        <v>246</v>
      </c>
      <c r="AV12" s="58"/>
      <c r="AW12" s="58"/>
      <c r="AX12" s="58"/>
      <c r="AY12" s="58"/>
      <c r="AZ12" s="58"/>
      <c r="BA12" s="58" t="s">
        <v>247</v>
      </c>
      <c r="BB12" s="58"/>
      <c r="BC12" s="58"/>
      <c r="BD12" s="58"/>
      <c r="BE12" s="58"/>
      <c r="BF12" s="58"/>
      <c r="BG12" s="58" t="s">
        <v>249</v>
      </c>
      <c r="BH12" s="58"/>
      <c r="BI12" s="58"/>
      <c r="BJ12" s="58"/>
      <c r="BK12" s="58"/>
      <c r="BL12" s="58"/>
    </row>
    <row r="13" spans="1:80" ht="15" customHeight="1" x14ac:dyDescent="0.2">
      <c r="A13" s="51">
        <v>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3"/>
      <c r="X13" s="51">
        <v>2</v>
      </c>
      <c r="Y13" s="52"/>
      <c r="Z13" s="52"/>
      <c r="AA13" s="52"/>
      <c r="AB13" s="52"/>
      <c r="AC13" s="52"/>
      <c r="AD13" s="52"/>
      <c r="AE13" s="52"/>
      <c r="AF13" s="52"/>
      <c r="AG13" s="52"/>
      <c r="AH13" s="53"/>
      <c r="AI13" s="57">
        <v>3</v>
      </c>
      <c r="AJ13" s="57"/>
      <c r="AK13" s="57"/>
      <c r="AL13" s="57"/>
      <c r="AM13" s="57"/>
      <c r="AN13" s="57"/>
      <c r="AO13" s="57">
        <v>4</v>
      </c>
      <c r="AP13" s="57"/>
      <c r="AQ13" s="57"/>
      <c r="AR13" s="57"/>
      <c r="AS13" s="57"/>
      <c r="AT13" s="57"/>
      <c r="AU13" s="57">
        <v>5</v>
      </c>
      <c r="AV13" s="57"/>
      <c r="AW13" s="57"/>
      <c r="AX13" s="57"/>
      <c r="AY13" s="57"/>
      <c r="AZ13" s="57"/>
      <c r="BA13" s="57">
        <v>6</v>
      </c>
      <c r="BB13" s="57"/>
      <c r="BC13" s="57"/>
      <c r="BD13" s="57"/>
      <c r="BE13" s="57"/>
      <c r="BF13" s="57"/>
      <c r="BG13" s="57">
        <v>7</v>
      </c>
      <c r="BH13" s="57"/>
      <c r="BI13" s="57"/>
      <c r="BJ13" s="57"/>
      <c r="BK13" s="57"/>
      <c r="BL13" s="57"/>
    </row>
    <row r="14" spans="1:80" hidden="1" x14ac:dyDescent="0.2">
      <c r="A14" s="54" t="s">
        <v>204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6"/>
      <c r="X14" s="54" t="s">
        <v>91</v>
      </c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9" t="s">
        <v>72</v>
      </c>
      <c r="AJ14" s="59"/>
      <c r="AK14" s="59"/>
      <c r="AL14" s="59"/>
      <c r="AM14" s="59"/>
      <c r="AN14" s="59"/>
      <c r="AO14" s="59" t="s">
        <v>73</v>
      </c>
      <c r="AP14" s="59"/>
      <c r="AQ14" s="59"/>
      <c r="AR14" s="59"/>
      <c r="AS14" s="59"/>
      <c r="AT14" s="59"/>
      <c r="AU14" s="59" t="s">
        <v>74</v>
      </c>
      <c r="AV14" s="59"/>
      <c r="AW14" s="59"/>
      <c r="AX14" s="59"/>
      <c r="AY14" s="59"/>
      <c r="AZ14" s="59"/>
      <c r="BA14" s="59" t="s">
        <v>75</v>
      </c>
      <c r="BB14" s="59"/>
      <c r="BC14" s="59"/>
      <c r="BD14" s="59"/>
      <c r="BE14" s="59"/>
      <c r="BF14" s="59"/>
      <c r="BG14" s="59" t="s">
        <v>76</v>
      </c>
      <c r="BH14" s="59"/>
      <c r="BI14" s="59"/>
      <c r="BJ14" s="59"/>
      <c r="BK14" s="59"/>
      <c r="BL14" s="59"/>
      <c r="CA14" t="s">
        <v>200</v>
      </c>
    </row>
    <row r="15" spans="1:80" s="8" customFormat="1" ht="25.5" customHeight="1" x14ac:dyDescent="0.2">
      <c r="A15" s="138" t="s">
        <v>219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40"/>
      <c r="CA15" s="8" t="s">
        <v>201</v>
      </c>
      <c r="CB15" s="130" t="s">
        <v>220</v>
      </c>
    </row>
    <row r="16" spans="1:80" s="137" customFormat="1" ht="12.75" customHeight="1" x14ac:dyDescent="0.2">
      <c r="A16" s="131" t="s">
        <v>221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3"/>
      <c r="X16" s="131" t="s">
        <v>222</v>
      </c>
      <c r="Y16" s="132"/>
      <c r="Z16" s="132"/>
      <c r="AA16" s="132"/>
      <c r="AB16" s="132"/>
      <c r="AC16" s="132"/>
      <c r="AD16" s="132"/>
      <c r="AE16" s="132"/>
      <c r="AF16" s="132"/>
      <c r="AG16" s="132"/>
      <c r="AH16" s="133"/>
      <c r="AI16" s="134">
        <v>289192</v>
      </c>
      <c r="AJ16" s="135"/>
      <c r="AK16" s="135"/>
      <c r="AL16" s="135"/>
      <c r="AM16" s="135"/>
      <c r="AN16" s="136"/>
      <c r="AO16" s="134">
        <v>387049</v>
      </c>
      <c r="AP16" s="135"/>
      <c r="AQ16" s="135"/>
      <c r="AR16" s="135"/>
      <c r="AS16" s="135"/>
      <c r="AT16" s="136"/>
      <c r="AU16" s="134">
        <v>425571</v>
      </c>
      <c r="AV16" s="135"/>
      <c r="AW16" s="135"/>
      <c r="AX16" s="135"/>
      <c r="AY16" s="135"/>
      <c r="AZ16" s="136"/>
      <c r="BA16" s="134">
        <v>425964</v>
      </c>
      <c r="BB16" s="135"/>
      <c r="BC16" s="135"/>
      <c r="BD16" s="135"/>
      <c r="BE16" s="135"/>
      <c r="BF16" s="136"/>
      <c r="BG16" s="134">
        <v>426578</v>
      </c>
      <c r="BH16" s="135"/>
      <c r="BI16" s="135"/>
      <c r="BJ16" s="135"/>
      <c r="BK16" s="135"/>
      <c r="BL16" s="136"/>
    </row>
    <row r="17" spans="1:79" s="137" customFormat="1" ht="25.5" customHeight="1" x14ac:dyDescent="0.2">
      <c r="A17" s="131" t="s">
        <v>223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3"/>
      <c r="X17" s="131" t="s">
        <v>222</v>
      </c>
      <c r="Y17" s="132"/>
      <c r="Z17" s="132"/>
      <c r="AA17" s="132"/>
      <c r="AB17" s="132"/>
      <c r="AC17" s="132"/>
      <c r="AD17" s="132"/>
      <c r="AE17" s="132"/>
      <c r="AF17" s="132"/>
      <c r="AG17" s="132"/>
      <c r="AH17" s="133"/>
      <c r="AI17" s="134">
        <v>75</v>
      </c>
      <c r="AJ17" s="135"/>
      <c r="AK17" s="135"/>
      <c r="AL17" s="135"/>
      <c r="AM17" s="135"/>
      <c r="AN17" s="136"/>
      <c r="AO17" s="134">
        <v>75</v>
      </c>
      <c r="AP17" s="135"/>
      <c r="AQ17" s="135"/>
      <c r="AR17" s="135"/>
      <c r="AS17" s="135"/>
      <c r="AT17" s="136"/>
      <c r="AU17" s="134">
        <v>75</v>
      </c>
      <c r="AV17" s="135"/>
      <c r="AW17" s="135"/>
      <c r="AX17" s="135"/>
      <c r="AY17" s="135"/>
      <c r="AZ17" s="136"/>
      <c r="BA17" s="134">
        <v>75</v>
      </c>
      <c r="BB17" s="135"/>
      <c r="BC17" s="135"/>
      <c r="BD17" s="135"/>
      <c r="BE17" s="135"/>
      <c r="BF17" s="136"/>
      <c r="BG17" s="134">
        <v>75</v>
      </c>
      <c r="BH17" s="135"/>
      <c r="BI17" s="135"/>
      <c r="BJ17" s="135"/>
      <c r="BK17" s="135"/>
      <c r="BL17" s="136"/>
    </row>
    <row r="18" spans="1:79" s="137" customFormat="1" ht="25.5" customHeight="1" x14ac:dyDescent="0.2">
      <c r="A18" s="131" t="s">
        <v>224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3"/>
      <c r="X18" s="131" t="s">
        <v>222</v>
      </c>
      <c r="Y18" s="132"/>
      <c r="Z18" s="132"/>
      <c r="AA18" s="132"/>
      <c r="AB18" s="132"/>
      <c r="AC18" s="132"/>
      <c r="AD18" s="132"/>
      <c r="AE18" s="132"/>
      <c r="AF18" s="132"/>
      <c r="AG18" s="132"/>
      <c r="AH18" s="133"/>
      <c r="AI18" s="134">
        <v>7</v>
      </c>
      <c r="AJ18" s="135"/>
      <c r="AK18" s="135"/>
      <c r="AL18" s="135"/>
      <c r="AM18" s="135"/>
      <c r="AN18" s="136"/>
      <c r="AO18" s="134">
        <v>8</v>
      </c>
      <c r="AP18" s="135"/>
      <c r="AQ18" s="135"/>
      <c r="AR18" s="135"/>
      <c r="AS18" s="135"/>
      <c r="AT18" s="136"/>
      <c r="AU18" s="134">
        <v>10</v>
      </c>
      <c r="AV18" s="135"/>
      <c r="AW18" s="135"/>
      <c r="AX18" s="135"/>
      <c r="AY18" s="135"/>
      <c r="AZ18" s="136"/>
      <c r="BA18" s="134">
        <v>10</v>
      </c>
      <c r="BB18" s="135"/>
      <c r="BC18" s="135"/>
      <c r="BD18" s="135"/>
      <c r="BE18" s="135"/>
      <c r="BF18" s="136"/>
      <c r="BG18" s="134">
        <v>10</v>
      </c>
      <c r="BH18" s="135"/>
      <c r="BI18" s="135"/>
      <c r="BJ18" s="135"/>
      <c r="BK18" s="135"/>
      <c r="BL18" s="136"/>
    </row>
    <row r="20" spans="1:79" x14ac:dyDescent="0.2">
      <c r="A20" s="61" t="s">
        <v>250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</row>
    <row r="21" spans="1:79" x14ac:dyDescent="0.2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</row>
    <row r="22" spans="1:79" ht="15" customHeight="1" x14ac:dyDescent="0.2">
      <c r="A22" s="62" t="s">
        <v>243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</row>
    <row r="23" spans="1:79" ht="84.75" customHeight="1" x14ac:dyDescent="0.2">
      <c r="A23" s="58" t="s">
        <v>207</v>
      </c>
      <c r="B23" s="58"/>
      <c r="C23" s="58"/>
      <c r="D23" s="58"/>
      <c r="E23" s="58"/>
      <c r="F23" s="58" t="s">
        <v>193</v>
      </c>
      <c r="G23" s="58"/>
      <c r="H23" s="58"/>
      <c r="I23" s="58"/>
      <c r="J23" s="58" t="s">
        <v>144</v>
      </c>
      <c r="K23" s="58"/>
      <c r="L23" s="58"/>
      <c r="M23" s="58"/>
      <c r="N23" s="58" t="s">
        <v>194</v>
      </c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 t="s">
        <v>244</v>
      </c>
      <c r="AE23" s="58"/>
      <c r="AF23" s="58"/>
      <c r="AG23" s="58"/>
      <c r="AH23" s="58"/>
      <c r="AI23" s="58"/>
      <c r="AJ23" s="58" t="s">
        <v>245</v>
      </c>
      <c r="AK23" s="58"/>
      <c r="AL23" s="58"/>
      <c r="AM23" s="58"/>
      <c r="AN23" s="58"/>
      <c r="AO23" s="58"/>
      <c r="AP23" s="58" t="s">
        <v>246</v>
      </c>
      <c r="AQ23" s="58"/>
      <c r="AR23" s="58"/>
      <c r="AS23" s="58"/>
      <c r="AT23" s="58"/>
      <c r="AU23" s="58"/>
      <c r="AV23" s="58" t="s">
        <v>247</v>
      </c>
      <c r="AW23" s="58"/>
      <c r="AX23" s="58"/>
      <c r="AY23" s="58"/>
      <c r="AZ23" s="58"/>
      <c r="BA23" s="58"/>
      <c r="BB23" s="58" t="s">
        <v>249</v>
      </c>
      <c r="BC23" s="58"/>
      <c r="BD23" s="58"/>
      <c r="BE23" s="58"/>
      <c r="BF23" s="58"/>
      <c r="BG23" s="58"/>
      <c r="BH23" s="58" t="s">
        <v>195</v>
      </c>
      <c r="BI23" s="58"/>
      <c r="BJ23" s="58"/>
      <c r="BK23" s="58"/>
      <c r="BL23" s="58"/>
    </row>
    <row r="24" spans="1:79" ht="15" customHeight="1" x14ac:dyDescent="0.2">
      <c r="A24" s="57">
        <v>1</v>
      </c>
      <c r="B24" s="57"/>
      <c r="C24" s="57"/>
      <c r="D24" s="57"/>
      <c r="E24" s="57"/>
      <c r="F24" s="57">
        <v>2</v>
      </c>
      <c r="G24" s="57"/>
      <c r="H24" s="57"/>
      <c r="I24" s="57"/>
      <c r="J24" s="57">
        <v>3</v>
      </c>
      <c r="K24" s="57"/>
      <c r="L24" s="57"/>
      <c r="M24" s="57"/>
      <c r="N24" s="57">
        <v>4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>
        <v>5</v>
      </c>
      <c r="AE24" s="57"/>
      <c r="AF24" s="57"/>
      <c r="AG24" s="57"/>
      <c r="AH24" s="57"/>
      <c r="AI24" s="57"/>
      <c r="AJ24" s="57">
        <v>6</v>
      </c>
      <c r="AK24" s="57"/>
      <c r="AL24" s="57"/>
      <c r="AM24" s="57"/>
      <c r="AN24" s="57"/>
      <c r="AO24" s="57"/>
      <c r="AP24" s="57">
        <v>7</v>
      </c>
      <c r="AQ24" s="57"/>
      <c r="AR24" s="57"/>
      <c r="AS24" s="57"/>
      <c r="AT24" s="57"/>
      <c r="AU24" s="57"/>
      <c r="AV24" s="57">
        <v>8</v>
      </c>
      <c r="AW24" s="57"/>
      <c r="AX24" s="57"/>
      <c r="AY24" s="57"/>
      <c r="AZ24" s="57"/>
      <c r="BA24" s="57"/>
      <c r="BB24" s="57">
        <v>9</v>
      </c>
      <c r="BC24" s="57"/>
      <c r="BD24" s="57"/>
      <c r="BE24" s="57"/>
      <c r="BF24" s="57"/>
      <c r="BG24" s="57"/>
      <c r="BH24" s="57">
        <v>10</v>
      </c>
      <c r="BI24" s="57"/>
      <c r="BJ24" s="57"/>
      <c r="BK24" s="57"/>
      <c r="BL24" s="57"/>
    </row>
    <row r="25" spans="1:79" ht="9.75" hidden="1" customHeight="1" x14ac:dyDescent="0.2">
      <c r="A25" s="60" t="s">
        <v>23</v>
      </c>
      <c r="B25" s="60"/>
      <c r="C25" s="60"/>
      <c r="D25" s="60"/>
      <c r="E25" s="60"/>
      <c r="F25" s="60" t="s">
        <v>202</v>
      </c>
      <c r="G25" s="60"/>
      <c r="H25" s="60"/>
      <c r="I25" s="60"/>
      <c r="J25" s="60" t="s">
        <v>145</v>
      </c>
      <c r="K25" s="60"/>
      <c r="L25" s="60"/>
      <c r="M25" s="60"/>
      <c r="N25" s="60" t="s">
        <v>24</v>
      </c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59" t="s">
        <v>72</v>
      </c>
      <c r="AE25" s="59"/>
      <c r="AF25" s="59"/>
      <c r="AG25" s="59"/>
      <c r="AH25" s="59"/>
      <c r="AI25" s="59"/>
      <c r="AJ25" s="59" t="s">
        <v>73</v>
      </c>
      <c r="AK25" s="59"/>
      <c r="AL25" s="59"/>
      <c r="AM25" s="59"/>
      <c r="AN25" s="59"/>
      <c r="AO25" s="59"/>
      <c r="AP25" s="59" t="s">
        <v>74</v>
      </c>
      <c r="AQ25" s="59"/>
      <c r="AR25" s="59"/>
      <c r="AS25" s="59"/>
      <c r="AT25" s="59"/>
      <c r="AU25" s="59"/>
      <c r="AV25" s="59" t="s">
        <v>75</v>
      </c>
      <c r="AW25" s="59"/>
      <c r="AX25" s="59"/>
      <c r="AY25" s="59"/>
      <c r="AZ25" s="59"/>
      <c r="BA25" s="59"/>
      <c r="BB25" s="59" t="s">
        <v>76</v>
      </c>
      <c r="BC25" s="59"/>
      <c r="BD25" s="59"/>
      <c r="BE25" s="59"/>
      <c r="BF25" s="59"/>
      <c r="BG25" s="59"/>
      <c r="BH25" s="60" t="s">
        <v>196</v>
      </c>
      <c r="BI25" s="60"/>
      <c r="BJ25" s="60"/>
      <c r="BK25" s="60"/>
      <c r="BL25" s="60"/>
      <c r="CA25" t="s">
        <v>25</v>
      </c>
    </row>
    <row r="26" spans="1:79" s="9" customFormat="1" ht="12.75" customHeight="1" x14ac:dyDescent="0.2">
      <c r="A26" s="141" t="s">
        <v>225</v>
      </c>
      <c r="B26" s="139"/>
      <c r="C26" s="139"/>
      <c r="D26" s="139"/>
      <c r="E26" s="140"/>
      <c r="F26" s="142"/>
      <c r="G26" s="142"/>
      <c r="H26" s="142"/>
      <c r="I26" s="142"/>
      <c r="J26" s="143" t="s">
        <v>1</v>
      </c>
      <c r="K26" s="142"/>
      <c r="L26" s="142"/>
      <c r="M26" s="142"/>
      <c r="N26" s="138" t="s">
        <v>226</v>
      </c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40"/>
      <c r="AD26" s="144">
        <v>1156766</v>
      </c>
      <c r="AE26" s="144"/>
      <c r="AF26" s="144"/>
      <c r="AG26" s="144"/>
      <c r="AH26" s="144"/>
      <c r="AI26" s="144"/>
      <c r="AJ26" s="144">
        <v>1562597</v>
      </c>
      <c r="AK26" s="144"/>
      <c r="AL26" s="144"/>
      <c r="AM26" s="144"/>
      <c r="AN26" s="144"/>
      <c r="AO26" s="144"/>
      <c r="AP26" s="144">
        <v>1701082</v>
      </c>
      <c r="AQ26" s="144"/>
      <c r="AR26" s="144"/>
      <c r="AS26" s="144"/>
      <c r="AT26" s="144"/>
      <c r="AU26" s="144"/>
      <c r="AV26" s="144">
        <v>1703854</v>
      </c>
      <c r="AW26" s="144"/>
      <c r="AX26" s="144"/>
      <c r="AY26" s="144"/>
      <c r="AZ26" s="144"/>
      <c r="BA26" s="144"/>
      <c r="BB26" s="144">
        <v>1706312</v>
      </c>
      <c r="BC26" s="144"/>
      <c r="BD26" s="144"/>
      <c r="BE26" s="144"/>
      <c r="BF26" s="144"/>
      <c r="BG26" s="144"/>
      <c r="BH26" s="142"/>
      <c r="BI26" s="142"/>
      <c r="BJ26" s="142"/>
      <c r="BK26" s="142"/>
      <c r="BL26" s="142"/>
      <c r="CA26" s="9" t="s">
        <v>26</v>
      </c>
    </row>
    <row r="27" spans="1:79" s="9" customFormat="1" ht="38.25" customHeight="1" x14ac:dyDescent="0.2">
      <c r="A27" s="141" t="s">
        <v>225</v>
      </c>
      <c r="B27" s="139"/>
      <c r="C27" s="139"/>
      <c r="D27" s="139"/>
      <c r="E27" s="140"/>
      <c r="F27" s="142"/>
      <c r="G27" s="142"/>
      <c r="H27" s="142"/>
      <c r="I27" s="142"/>
      <c r="J27" s="143" t="s">
        <v>1</v>
      </c>
      <c r="K27" s="142"/>
      <c r="L27" s="142"/>
      <c r="M27" s="142"/>
      <c r="N27" s="138" t="s">
        <v>227</v>
      </c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40"/>
      <c r="AD27" s="144">
        <v>0</v>
      </c>
      <c r="AE27" s="144"/>
      <c r="AF27" s="144"/>
      <c r="AG27" s="144"/>
      <c r="AH27" s="144"/>
      <c r="AI27" s="144"/>
      <c r="AJ27" s="144">
        <v>100000</v>
      </c>
      <c r="AK27" s="144"/>
      <c r="AL27" s="144"/>
      <c r="AM27" s="144"/>
      <c r="AN27" s="144"/>
      <c r="AO27" s="144"/>
      <c r="AP27" s="144">
        <v>100000</v>
      </c>
      <c r="AQ27" s="144"/>
      <c r="AR27" s="144"/>
      <c r="AS27" s="144"/>
      <c r="AT27" s="144"/>
      <c r="AU27" s="144"/>
      <c r="AV27" s="144">
        <v>100000</v>
      </c>
      <c r="AW27" s="144"/>
      <c r="AX27" s="144"/>
      <c r="AY27" s="144"/>
      <c r="AZ27" s="144"/>
      <c r="BA27" s="144"/>
      <c r="BB27" s="144">
        <v>0</v>
      </c>
      <c r="BC27" s="144"/>
      <c r="BD27" s="144"/>
      <c r="BE27" s="144"/>
      <c r="BF27" s="144"/>
      <c r="BG27" s="144"/>
      <c r="BH27" s="142"/>
      <c r="BI27" s="142"/>
      <c r="BJ27" s="142"/>
      <c r="BK27" s="142"/>
      <c r="BL27" s="142"/>
    </row>
    <row r="28" spans="1:79" s="137" customFormat="1" ht="38.25" customHeight="1" x14ac:dyDescent="0.2">
      <c r="A28" s="145" t="s">
        <v>228</v>
      </c>
      <c r="B28" s="132"/>
      <c r="C28" s="132"/>
      <c r="D28" s="132"/>
      <c r="E28" s="133"/>
      <c r="F28" s="146">
        <v>160</v>
      </c>
      <c r="G28" s="146"/>
      <c r="H28" s="146"/>
      <c r="I28" s="146"/>
      <c r="J28" s="147" t="s">
        <v>230</v>
      </c>
      <c r="K28" s="146"/>
      <c r="L28" s="146"/>
      <c r="M28" s="146"/>
      <c r="N28" s="131" t="s">
        <v>229</v>
      </c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3"/>
      <c r="AD28" s="148">
        <v>1156766</v>
      </c>
      <c r="AE28" s="148"/>
      <c r="AF28" s="148"/>
      <c r="AG28" s="148"/>
      <c r="AH28" s="148"/>
      <c r="AI28" s="148"/>
      <c r="AJ28" s="148">
        <v>1562597</v>
      </c>
      <c r="AK28" s="148"/>
      <c r="AL28" s="148"/>
      <c r="AM28" s="148"/>
      <c r="AN28" s="148"/>
      <c r="AO28" s="148"/>
      <c r="AP28" s="148">
        <v>1701082</v>
      </c>
      <c r="AQ28" s="148"/>
      <c r="AR28" s="148"/>
      <c r="AS28" s="148"/>
      <c r="AT28" s="148"/>
      <c r="AU28" s="148"/>
      <c r="AV28" s="148">
        <v>1703854</v>
      </c>
      <c r="AW28" s="148"/>
      <c r="AX28" s="148"/>
      <c r="AY28" s="148"/>
      <c r="AZ28" s="148"/>
      <c r="BA28" s="148"/>
      <c r="BB28" s="148">
        <v>1706312</v>
      </c>
      <c r="BC28" s="148"/>
      <c r="BD28" s="148"/>
      <c r="BE28" s="148"/>
      <c r="BF28" s="148"/>
      <c r="BG28" s="148"/>
      <c r="BH28" s="146">
        <v>18</v>
      </c>
      <c r="BI28" s="146"/>
      <c r="BJ28" s="146"/>
      <c r="BK28" s="146"/>
      <c r="BL28" s="146"/>
    </row>
    <row r="29" spans="1:79" s="137" customFormat="1" ht="12.75" customHeight="1" x14ac:dyDescent="0.2">
      <c r="A29" s="145" t="s">
        <v>231</v>
      </c>
      <c r="B29" s="132"/>
      <c r="C29" s="132"/>
      <c r="D29" s="132"/>
      <c r="E29" s="133"/>
      <c r="F29" s="146">
        <v>8710</v>
      </c>
      <c r="G29" s="146"/>
      <c r="H29" s="146"/>
      <c r="I29" s="146"/>
      <c r="J29" s="147" t="s">
        <v>233</v>
      </c>
      <c r="K29" s="146"/>
      <c r="L29" s="146"/>
      <c r="M29" s="146"/>
      <c r="N29" s="131" t="s">
        <v>232</v>
      </c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3"/>
      <c r="AD29" s="148">
        <v>0</v>
      </c>
      <c r="AE29" s="148"/>
      <c r="AF29" s="148"/>
      <c r="AG29" s="148"/>
      <c r="AH29" s="148"/>
      <c r="AI29" s="148"/>
      <c r="AJ29" s="148">
        <v>100000</v>
      </c>
      <c r="AK29" s="148"/>
      <c r="AL29" s="148"/>
      <c r="AM29" s="148"/>
      <c r="AN29" s="148"/>
      <c r="AO29" s="148"/>
      <c r="AP29" s="148">
        <v>100000</v>
      </c>
      <c r="AQ29" s="148"/>
      <c r="AR29" s="148"/>
      <c r="AS29" s="148"/>
      <c r="AT29" s="148"/>
      <c r="AU29" s="148"/>
      <c r="AV29" s="148">
        <v>100000</v>
      </c>
      <c r="AW29" s="148"/>
      <c r="AX29" s="148"/>
      <c r="AY29" s="148"/>
      <c r="AZ29" s="148"/>
      <c r="BA29" s="148"/>
      <c r="BB29" s="148">
        <v>0</v>
      </c>
      <c r="BC29" s="148"/>
      <c r="BD29" s="148"/>
      <c r="BE29" s="148"/>
      <c r="BF29" s="148"/>
      <c r="BG29" s="148"/>
      <c r="BH29" s="146">
        <v>18</v>
      </c>
      <c r="BI29" s="146"/>
      <c r="BJ29" s="146"/>
      <c r="BK29" s="146"/>
      <c r="BL29" s="146"/>
    </row>
    <row r="30" spans="1:79" s="9" customFormat="1" x14ac:dyDescent="0.2">
      <c r="A30" s="141" t="s">
        <v>234</v>
      </c>
      <c r="B30" s="139"/>
      <c r="C30" s="139"/>
      <c r="D30" s="139"/>
      <c r="E30" s="140"/>
      <c r="F30" s="142"/>
      <c r="G30" s="142"/>
      <c r="H30" s="142"/>
      <c r="I30" s="142"/>
      <c r="J30" s="143" t="s">
        <v>1</v>
      </c>
      <c r="K30" s="142"/>
      <c r="L30" s="142"/>
      <c r="M30" s="142"/>
      <c r="N30" s="138" t="s">
        <v>179</v>
      </c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40"/>
      <c r="AD30" s="144">
        <v>1156766</v>
      </c>
      <c r="AE30" s="144"/>
      <c r="AF30" s="144"/>
      <c r="AG30" s="144"/>
      <c r="AH30" s="144"/>
      <c r="AI30" s="144"/>
      <c r="AJ30" s="144">
        <v>1662597</v>
      </c>
      <c r="AK30" s="144"/>
      <c r="AL30" s="144"/>
      <c r="AM30" s="144"/>
      <c r="AN30" s="144"/>
      <c r="AO30" s="144"/>
      <c r="AP30" s="144">
        <v>1801082</v>
      </c>
      <c r="AQ30" s="144"/>
      <c r="AR30" s="144"/>
      <c r="AS30" s="144"/>
      <c r="AT30" s="144"/>
      <c r="AU30" s="144"/>
      <c r="AV30" s="144">
        <v>1803854</v>
      </c>
      <c r="AW30" s="144"/>
      <c r="AX30" s="144"/>
      <c r="AY30" s="144"/>
      <c r="AZ30" s="144"/>
      <c r="BA30" s="144"/>
      <c r="BB30" s="144">
        <v>1706312</v>
      </c>
      <c r="BC30" s="144"/>
      <c r="BD30" s="144"/>
      <c r="BE30" s="144"/>
      <c r="BF30" s="144"/>
      <c r="BG30" s="144"/>
      <c r="BH30" s="142"/>
      <c r="BI30" s="142"/>
      <c r="BJ30" s="142"/>
      <c r="BK30" s="142"/>
      <c r="BL30" s="142"/>
    </row>
    <row r="32" spans="1:79" ht="28.5" customHeight="1" x14ac:dyDescent="0.2">
      <c r="A32" s="61" t="s">
        <v>251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</row>
    <row r="33" spans="1:79" ht="15" customHeight="1" x14ac:dyDescent="0.2">
      <c r="A33" s="62" t="s">
        <v>243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</row>
    <row r="34" spans="1:79" ht="84.75" customHeight="1" x14ac:dyDescent="0.2">
      <c r="A34" s="58" t="s">
        <v>207</v>
      </c>
      <c r="B34" s="58"/>
      <c r="C34" s="58"/>
      <c r="D34" s="58"/>
      <c r="E34" s="58"/>
      <c r="F34" s="58" t="s">
        <v>193</v>
      </c>
      <c r="G34" s="58"/>
      <c r="H34" s="58"/>
      <c r="I34" s="58"/>
      <c r="J34" s="58" t="s">
        <v>144</v>
      </c>
      <c r="K34" s="58"/>
      <c r="L34" s="58"/>
      <c r="M34" s="58"/>
      <c r="N34" s="58" t="s">
        <v>194</v>
      </c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 t="s">
        <v>244</v>
      </c>
      <c r="AE34" s="58"/>
      <c r="AF34" s="58"/>
      <c r="AG34" s="58"/>
      <c r="AH34" s="58"/>
      <c r="AI34" s="58"/>
      <c r="AJ34" s="58" t="s">
        <v>245</v>
      </c>
      <c r="AK34" s="58"/>
      <c r="AL34" s="58"/>
      <c r="AM34" s="58"/>
      <c r="AN34" s="58"/>
      <c r="AO34" s="58"/>
      <c r="AP34" s="58" t="s">
        <v>246</v>
      </c>
      <c r="AQ34" s="58"/>
      <c r="AR34" s="58"/>
      <c r="AS34" s="58"/>
      <c r="AT34" s="58"/>
      <c r="AU34" s="58"/>
      <c r="AV34" s="58" t="s">
        <v>247</v>
      </c>
      <c r="AW34" s="58"/>
      <c r="AX34" s="58"/>
      <c r="AY34" s="58"/>
      <c r="AZ34" s="58"/>
      <c r="BA34" s="58"/>
      <c r="BB34" s="58" t="s">
        <v>249</v>
      </c>
      <c r="BC34" s="58"/>
      <c r="BD34" s="58"/>
      <c r="BE34" s="58"/>
      <c r="BF34" s="58"/>
      <c r="BG34" s="58"/>
      <c r="BH34" s="58" t="s">
        <v>195</v>
      </c>
      <c r="BI34" s="58"/>
      <c r="BJ34" s="58"/>
      <c r="BK34" s="58"/>
      <c r="BL34" s="58"/>
    </row>
    <row r="35" spans="1:79" ht="15" customHeight="1" x14ac:dyDescent="0.2">
      <c r="A35" s="57">
        <v>1</v>
      </c>
      <c r="B35" s="57"/>
      <c r="C35" s="57"/>
      <c r="D35" s="57"/>
      <c r="E35" s="57"/>
      <c r="F35" s="57">
        <v>2</v>
      </c>
      <c r="G35" s="57"/>
      <c r="H35" s="57"/>
      <c r="I35" s="57"/>
      <c r="J35" s="57">
        <v>3</v>
      </c>
      <c r="K35" s="57"/>
      <c r="L35" s="57"/>
      <c r="M35" s="57"/>
      <c r="N35" s="57">
        <v>4</v>
      </c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>
        <v>5</v>
      </c>
      <c r="AE35" s="57"/>
      <c r="AF35" s="57"/>
      <c r="AG35" s="57"/>
      <c r="AH35" s="57"/>
      <c r="AI35" s="57"/>
      <c r="AJ35" s="57">
        <v>6</v>
      </c>
      <c r="AK35" s="57"/>
      <c r="AL35" s="57"/>
      <c r="AM35" s="57"/>
      <c r="AN35" s="57"/>
      <c r="AO35" s="57"/>
      <c r="AP35" s="57">
        <v>7</v>
      </c>
      <c r="AQ35" s="57"/>
      <c r="AR35" s="57"/>
      <c r="AS35" s="57"/>
      <c r="AT35" s="57"/>
      <c r="AU35" s="57"/>
      <c r="AV35" s="57">
        <v>8</v>
      </c>
      <c r="AW35" s="57"/>
      <c r="AX35" s="57"/>
      <c r="AY35" s="57"/>
      <c r="AZ35" s="57"/>
      <c r="BA35" s="57"/>
      <c r="BB35" s="57">
        <v>9</v>
      </c>
      <c r="BC35" s="57"/>
      <c r="BD35" s="57"/>
      <c r="BE35" s="57"/>
      <c r="BF35" s="57"/>
      <c r="BG35" s="57"/>
      <c r="BH35" s="57">
        <v>10</v>
      </c>
      <c r="BI35" s="57"/>
      <c r="BJ35" s="57"/>
      <c r="BK35" s="57"/>
      <c r="BL35" s="57"/>
    </row>
    <row r="36" spans="1:79" ht="9.75" hidden="1" customHeight="1" x14ac:dyDescent="0.2">
      <c r="A36" s="60" t="s">
        <v>23</v>
      </c>
      <c r="B36" s="60"/>
      <c r="C36" s="60"/>
      <c r="D36" s="60"/>
      <c r="E36" s="60"/>
      <c r="F36" s="60" t="s">
        <v>202</v>
      </c>
      <c r="G36" s="60"/>
      <c r="H36" s="60"/>
      <c r="I36" s="60"/>
      <c r="J36" s="60" t="s">
        <v>145</v>
      </c>
      <c r="K36" s="60"/>
      <c r="L36" s="60"/>
      <c r="M36" s="60"/>
      <c r="N36" s="60" t="s">
        <v>24</v>
      </c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59" t="s">
        <v>72</v>
      </c>
      <c r="AE36" s="59"/>
      <c r="AF36" s="59"/>
      <c r="AG36" s="59"/>
      <c r="AH36" s="59"/>
      <c r="AI36" s="59"/>
      <c r="AJ36" s="59" t="s">
        <v>73</v>
      </c>
      <c r="AK36" s="59"/>
      <c r="AL36" s="59"/>
      <c r="AM36" s="59"/>
      <c r="AN36" s="59"/>
      <c r="AO36" s="59"/>
      <c r="AP36" s="59" t="s">
        <v>74</v>
      </c>
      <c r="AQ36" s="59"/>
      <c r="AR36" s="59"/>
      <c r="AS36" s="59"/>
      <c r="AT36" s="59"/>
      <c r="AU36" s="59"/>
      <c r="AV36" s="59" t="s">
        <v>75</v>
      </c>
      <c r="AW36" s="59"/>
      <c r="AX36" s="59"/>
      <c r="AY36" s="59"/>
      <c r="AZ36" s="59"/>
      <c r="BA36" s="59"/>
      <c r="BB36" s="59" t="s">
        <v>76</v>
      </c>
      <c r="BC36" s="59"/>
      <c r="BD36" s="59"/>
      <c r="BE36" s="59"/>
      <c r="BF36" s="59"/>
      <c r="BG36" s="59"/>
      <c r="BH36" s="60" t="s">
        <v>196</v>
      </c>
      <c r="BI36" s="60"/>
      <c r="BJ36" s="60"/>
      <c r="BK36" s="60"/>
      <c r="BL36" s="60"/>
      <c r="CA36" t="s">
        <v>27</v>
      </c>
    </row>
    <row r="37" spans="1:79" s="9" customFormat="1" x14ac:dyDescent="0.2">
      <c r="A37" s="141" t="s">
        <v>234</v>
      </c>
      <c r="B37" s="139"/>
      <c r="C37" s="139"/>
      <c r="D37" s="139"/>
      <c r="E37" s="140"/>
      <c r="F37" s="142"/>
      <c r="G37" s="142"/>
      <c r="H37" s="142"/>
      <c r="I37" s="142"/>
      <c r="J37" s="143" t="s">
        <v>1</v>
      </c>
      <c r="K37" s="142"/>
      <c r="L37" s="142"/>
      <c r="M37" s="142"/>
      <c r="N37" s="142" t="s">
        <v>179</v>
      </c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2"/>
      <c r="BI37" s="142"/>
      <c r="BJ37" s="142"/>
      <c r="BK37" s="142"/>
      <c r="BL37" s="142"/>
      <c r="CA37" s="9" t="s">
        <v>28</v>
      </c>
    </row>
    <row r="40" spans="1:79" ht="18.95" customHeight="1" x14ac:dyDescent="0.2">
      <c r="A40" s="153" t="s">
        <v>237</v>
      </c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40"/>
      <c r="AC40" s="40"/>
      <c r="AD40" s="40"/>
      <c r="AE40" s="40"/>
      <c r="AF40" s="40"/>
      <c r="AG40" s="40"/>
      <c r="AH40" s="43"/>
      <c r="AI40" s="43"/>
      <c r="AJ40" s="43"/>
      <c r="AK40" s="43"/>
      <c r="AL40" s="43"/>
      <c r="AM40" s="43"/>
      <c r="AN40" s="43"/>
      <c r="AO40" s="43"/>
      <c r="AP40" s="43"/>
      <c r="AQ40" s="40"/>
      <c r="AR40" s="40"/>
      <c r="AS40" s="40"/>
      <c r="AT40" s="40"/>
      <c r="AU40" s="154" t="s">
        <v>239</v>
      </c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</row>
    <row r="41" spans="1:79" ht="12.75" customHeight="1" x14ac:dyDescent="0.2">
      <c r="AB41" s="41"/>
      <c r="AC41" s="41"/>
      <c r="AD41" s="41"/>
      <c r="AE41" s="41"/>
      <c r="AF41" s="41"/>
      <c r="AG41" s="41"/>
      <c r="AH41" s="45" t="s">
        <v>2</v>
      </c>
      <c r="AI41" s="45"/>
      <c r="AJ41" s="45"/>
      <c r="AK41" s="45"/>
      <c r="AL41" s="45"/>
      <c r="AM41" s="45"/>
      <c r="AN41" s="45"/>
      <c r="AO41" s="45"/>
      <c r="AP41" s="45"/>
      <c r="AQ41" s="41"/>
      <c r="AR41" s="41"/>
      <c r="AS41" s="41"/>
      <c r="AT41" s="41"/>
      <c r="AU41" s="45" t="s">
        <v>205</v>
      </c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</row>
    <row r="42" spans="1:79" ht="15" x14ac:dyDescent="0.2">
      <c r="AB42" s="41"/>
      <c r="AC42" s="41"/>
      <c r="AD42" s="41"/>
      <c r="AE42" s="41"/>
      <c r="AF42" s="41"/>
      <c r="AG42" s="41"/>
      <c r="AH42" s="42"/>
      <c r="AI42" s="42"/>
      <c r="AJ42" s="42"/>
      <c r="AK42" s="42"/>
      <c r="AL42" s="42"/>
      <c r="AM42" s="42"/>
      <c r="AN42" s="42"/>
      <c r="AO42" s="42"/>
      <c r="AP42" s="42"/>
      <c r="AQ42" s="41"/>
      <c r="AR42" s="41"/>
      <c r="AS42" s="41"/>
      <c r="AT42" s="41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</row>
    <row r="43" spans="1:79" ht="18" customHeight="1" x14ac:dyDescent="0.2">
      <c r="A43" s="153" t="s">
        <v>238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41"/>
      <c r="AC43" s="41"/>
      <c r="AD43" s="41"/>
      <c r="AE43" s="41"/>
      <c r="AF43" s="41"/>
      <c r="AG43" s="41"/>
      <c r="AH43" s="44"/>
      <c r="AI43" s="44"/>
      <c r="AJ43" s="44"/>
      <c r="AK43" s="44"/>
      <c r="AL43" s="44"/>
      <c r="AM43" s="44"/>
      <c r="AN43" s="44"/>
      <c r="AO43" s="44"/>
      <c r="AP43" s="44"/>
      <c r="AQ43" s="41"/>
      <c r="AR43" s="41"/>
      <c r="AS43" s="41"/>
      <c r="AT43" s="41"/>
      <c r="AU43" s="155" t="s">
        <v>240</v>
      </c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</row>
    <row r="44" spans="1:79" ht="12" customHeight="1" x14ac:dyDescent="0.2">
      <c r="AB44" s="41"/>
      <c r="AC44" s="41"/>
      <c r="AD44" s="41"/>
      <c r="AE44" s="41"/>
      <c r="AF44" s="41"/>
      <c r="AG44" s="41"/>
      <c r="AH44" s="45" t="s">
        <v>2</v>
      </c>
      <c r="AI44" s="45"/>
      <c r="AJ44" s="45"/>
      <c r="AK44" s="45"/>
      <c r="AL44" s="45"/>
      <c r="AM44" s="45"/>
      <c r="AN44" s="45"/>
      <c r="AO44" s="45"/>
      <c r="AP44" s="45"/>
      <c r="AQ44" s="41"/>
      <c r="AR44" s="41"/>
      <c r="AS44" s="41"/>
      <c r="AT44" s="41"/>
      <c r="AU44" s="45" t="s">
        <v>205</v>
      </c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</row>
    <row r="45" spans="1:79" x14ac:dyDescent="0.2">
      <c r="A45" s="5"/>
    </row>
  </sheetData>
  <mergeCells count="190">
    <mergeCell ref="BB30:BG30"/>
    <mergeCell ref="BH30:BL30"/>
    <mergeCell ref="BB29:BG29"/>
    <mergeCell ref="BH29:BL29"/>
    <mergeCell ref="A30:E30"/>
    <mergeCell ref="F30:I30"/>
    <mergeCell ref="J30:M30"/>
    <mergeCell ref="N30:AC30"/>
    <mergeCell ref="AD30:AI30"/>
    <mergeCell ref="AJ30:AO30"/>
    <mergeCell ref="AP30:AU30"/>
    <mergeCell ref="AV30:BA30"/>
    <mergeCell ref="BB28:BG28"/>
    <mergeCell ref="BH28:BL28"/>
    <mergeCell ref="A29:E29"/>
    <mergeCell ref="F29:I29"/>
    <mergeCell ref="J29:M29"/>
    <mergeCell ref="N29:AC29"/>
    <mergeCell ref="AD29:AI29"/>
    <mergeCell ref="AJ29:AO29"/>
    <mergeCell ref="AP29:AU29"/>
    <mergeCell ref="AV29:BA29"/>
    <mergeCell ref="BB27:BG27"/>
    <mergeCell ref="BH27:BL27"/>
    <mergeCell ref="A28:E28"/>
    <mergeCell ref="F28:I28"/>
    <mergeCell ref="J28:M28"/>
    <mergeCell ref="N28:AC28"/>
    <mergeCell ref="AD28:AI28"/>
    <mergeCell ref="AJ28:AO28"/>
    <mergeCell ref="AP28:AU28"/>
    <mergeCell ref="AV28:BA28"/>
    <mergeCell ref="A15:BL15"/>
    <mergeCell ref="A27:E27"/>
    <mergeCell ref="F27:I27"/>
    <mergeCell ref="J27:M27"/>
    <mergeCell ref="N27:AC27"/>
    <mergeCell ref="AD27:AI27"/>
    <mergeCell ref="AJ27:AO27"/>
    <mergeCell ref="AP27:AU27"/>
    <mergeCell ref="AV27:BA27"/>
    <mergeCell ref="A18:W18"/>
    <mergeCell ref="X18:AH18"/>
    <mergeCell ref="AI18:AN18"/>
    <mergeCell ref="AO18:AT18"/>
    <mergeCell ref="AU18:AZ18"/>
    <mergeCell ref="BA18:BF18"/>
    <mergeCell ref="A17:W17"/>
    <mergeCell ref="X17:AH17"/>
    <mergeCell ref="AI17:AN17"/>
    <mergeCell ref="AO17:AT17"/>
    <mergeCell ref="AU17:AZ17"/>
    <mergeCell ref="BA17:BF17"/>
    <mergeCell ref="A16:W16"/>
    <mergeCell ref="X16:AH16"/>
    <mergeCell ref="AI16:AN16"/>
    <mergeCell ref="AO16:AT16"/>
    <mergeCell ref="AU16:AZ16"/>
    <mergeCell ref="BA16:BF16"/>
    <mergeCell ref="A6:AF6"/>
    <mergeCell ref="J25:M25"/>
    <mergeCell ref="A23:E23"/>
    <mergeCell ref="A24:E24"/>
    <mergeCell ref="N25:AC25"/>
    <mergeCell ref="F23:I23"/>
    <mergeCell ref="J23:M23"/>
    <mergeCell ref="N23:AC23"/>
    <mergeCell ref="A25:E25"/>
    <mergeCell ref="F24:I24"/>
    <mergeCell ref="AU44:BF44"/>
    <mergeCell ref="AU41:BF41"/>
    <mergeCell ref="A36:E36"/>
    <mergeCell ref="A37:E37"/>
    <mergeCell ref="F37:I37"/>
    <mergeCell ref="AU43:BF43"/>
    <mergeCell ref="A40:AA40"/>
    <mergeCell ref="AU40:BF40"/>
    <mergeCell ref="A43:AA43"/>
    <mergeCell ref="AD36:AI36"/>
    <mergeCell ref="BA1:BL1"/>
    <mergeCell ref="A22:BL22"/>
    <mergeCell ref="A8:BL8"/>
    <mergeCell ref="A3:BL3"/>
    <mergeCell ref="A9:BL9"/>
    <mergeCell ref="BE6:BL6"/>
    <mergeCell ref="B5:AF5"/>
    <mergeCell ref="A10:BL11"/>
    <mergeCell ref="AU12:AZ12"/>
    <mergeCell ref="BA12:BF12"/>
    <mergeCell ref="A35:E35"/>
    <mergeCell ref="N35:AC35"/>
    <mergeCell ref="F36:I36"/>
    <mergeCell ref="J35:M35"/>
    <mergeCell ref="J36:M36"/>
    <mergeCell ref="F35:I35"/>
    <mergeCell ref="BE5:BL5"/>
    <mergeCell ref="A32:BL32"/>
    <mergeCell ref="A33:BL33"/>
    <mergeCell ref="BH34:BL34"/>
    <mergeCell ref="BB34:BG34"/>
    <mergeCell ref="N34:AC34"/>
    <mergeCell ref="AP34:AU34"/>
    <mergeCell ref="AV34:BA34"/>
    <mergeCell ref="J34:M34"/>
    <mergeCell ref="F34:I34"/>
    <mergeCell ref="J37:M37"/>
    <mergeCell ref="AI12:AN12"/>
    <mergeCell ref="AO12:AT12"/>
    <mergeCell ref="A20:BL21"/>
    <mergeCell ref="BH24:BL24"/>
    <mergeCell ref="AD34:AI34"/>
    <mergeCell ref="AJ34:AO34"/>
    <mergeCell ref="A34:E34"/>
    <mergeCell ref="A26:E26"/>
    <mergeCell ref="F25:I25"/>
    <mergeCell ref="BG12:BL12"/>
    <mergeCell ref="AI13:AN13"/>
    <mergeCell ref="AO13:AT13"/>
    <mergeCell ref="AU13:AZ13"/>
    <mergeCell ref="BA13:BF13"/>
    <mergeCell ref="BG13:BL13"/>
    <mergeCell ref="AI14:AN14"/>
    <mergeCell ref="AO14:AT14"/>
    <mergeCell ref="AU14:AZ14"/>
    <mergeCell ref="BA14:BF14"/>
    <mergeCell ref="BH35:BL35"/>
    <mergeCell ref="BH36:BL36"/>
    <mergeCell ref="BG14:BL14"/>
    <mergeCell ref="BB23:BG23"/>
    <mergeCell ref="BB26:BG26"/>
    <mergeCell ref="BH23:BL23"/>
    <mergeCell ref="BG16:BL16"/>
    <mergeCell ref="BG17:BL17"/>
    <mergeCell ref="BG18:BL18"/>
    <mergeCell ref="BH37:BL37"/>
    <mergeCell ref="N36:AC36"/>
    <mergeCell ref="N37:AC37"/>
    <mergeCell ref="AD37:AI37"/>
    <mergeCell ref="AJ37:AO37"/>
    <mergeCell ref="BB37:BG37"/>
    <mergeCell ref="AJ36:AO36"/>
    <mergeCell ref="AP36:AU36"/>
    <mergeCell ref="AV36:BA36"/>
    <mergeCell ref="AP37:AU37"/>
    <mergeCell ref="AP23:AU23"/>
    <mergeCell ref="AV23:BA23"/>
    <mergeCell ref="AD25:AI25"/>
    <mergeCell ref="AJ25:AO25"/>
    <mergeCell ref="AD23:AI23"/>
    <mergeCell ref="AP25:AU25"/>
    <mergeCell ref="AV25:BA25"/>
    <mergeCell ref="AP24:AU24"/>
    <mergeCell ref="AP35:AU35"/>
    <mergeCell ref="AV35:BA35"/>
    <mergeCell ref="BB35:BG35"/>
    <mergeCell ref="BB36:BG36"/>
    <mergeCell ref="AD35:AI35"/>
    <mergeCell ref="AJ35:AO35"/>
    <mergeCell ref="BH26:BL26"/>
    <mergeCell ref="BB25:BG25"/>
    <mergeCell ref="BH25:BL25"/>
    <mergeCell ref="AJ26:AO26"/>
    <mergeCell ref="AP26:AU26"/>
    <mergeCell ref="AV26:BA26"/>
    <mergeCell ref="F26:I26"/>
    <mergeCell ref="J26:M26"/>
    <mergeCell ref="N26:AC26"/>
    <mergeCell ref="AD26:AI26"/>
    <mergeCell ref="AV24:BA24"/>
    <mergeCell ref="BB24:BG24"/>
    <mergeCell ref="J24:M24"/>
    <mergeCell ref="N24:AC24"/>
    <mergeCell ref="AD24:AI24"/>
    <mergeCell ref="AJ24:AO24"/>
    <mergeCell ref="A12:W12"/>
    <mergeCell ref="A13:W13"/>
    <mergeCell ref="A14:W14"/>
    <mergeCell ref="X12:AH12"/>
    <mergeCell ref="X13:AH13"/>
    <mergeCell ref="X14:AH14"/>
    <mergeCell ref="AH40:AP40"/>
    <mergeCell ref="AH43:AP43"/>
    <mergeCell ref="AH44:AP44"/>
    <mergeCell ref="AH41:AP41"/>
    <mergeCell ref="AU5:BB5"/>
    <mergeCell ref="AU6:BB6"/>
    <mergeCell ref="AH5:AR5"/>
    <mergeCell ref="AH6:AR6"/>
    <mergeCell ref="AJ23:AO23"/>
    <mergeCell ref="AV37:BA37"/>
  </mergeCells>
  <phoneticPr fontId="7" type="noConversion"/>
  <pageMargins left="0.31496062992125984" right="0.31496062992125984" top="0.39370078740157483" bottom="0.39370078740157483" header="0" footer="0"/>
  <pageSetup paperSize="9" scale="79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55"/>
  <sheetViews>
    <sheetView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85" t="s">
        <v>146</v>
      </c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</row>
    <row r="2" spans="1:79" ht="14.25" customHeight="1" x14ac:dyDescent="0.2">
      <c r="A2" s="66" t="s">
        <v>316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</row>
    <row r="4" spans="1:79" ht="28.5" customHeight="1" x14ac:dyDescent="0.2">
      <c r="A4" s="27" t="s">
        <v>199</v>
      </c>
      <c r="B4" s="151" t="s">
        <v>227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46" t="s">
        <v>236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24"/>
      <c r="AT4" s="156" t="s">
        <v>241</v>
      </c>
      <c r="AU4" s="46"/>
      <c r="AV4" s="46"/>
      <c r="AW4" s="46"/>
      <c r="AX4" s="46"/>
      <c r="AY4" s="46"/>
      <c r="AZ4" s="46"/>
      <c r="BA4" s="46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22"/>
      <c r="AH5" s="47" t="s">
        <v>206</v>
      </c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22"/>
      <c r="AT5" s="47" t="s">
        <v>197</v>
      </c>
      <c r="AU5" s="47"/>
      <c r="AV5" s="47"/>
      <c r="AW5" s="47"/>
      <c r="AX5" s="47"/>
      <c r="AY5" s="47"/>
      <c r="AZ5" s="47"/>
      <c r="BA5" s="47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15" customHeight="1" x14ac:dyDescent="0.2">
      <c r="A7" s="27" t="s">
        <v>208</v>
      </c>
      <c r="B7" s="151" t="s">
        <v>226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46" t="s">
        <v>331</v>
      </c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31"/>
      <c r="BC7" s="156" t="s">
        <v>241</v>
      </c>
      <c r="BD7" s="46"/>
      <c r="BE7" s="46"/>
      <c r="BF7" s="46"/>
      <c r="BG7" s="46"/>
      <c r="BH7" s="46"/>
      <c r="BI7" s="46"/>
      <c r="BJ7" s="46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68" t="s">
        <v>188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22"/>
      <c r="AH8" s="47" t="s">
        <v>209</v>
      </c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29"/>
      <c r="BC8" s="47" t="s">
        <v>197</v>
      </c>
      <c r="BD8" s="47"/>
      <c r="BE8" s="47"/>
      <c r="BF8" s="47"/>
      <c r="BG8" s="47"/>
      <c r="BH8" s="47"/>
      <c r="BI8" s="47"/>
      <c r="BJ8" s="47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28.5" customHeight="1" x14ac:dyDescent="0.2">
      <c r="A10" s="27" t="s">
        <v>210</v>
      </c>
      <c r="B10" s="46" t="s">
        <v>328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N10" s="46" t="s">
        <v>329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31"/>
      <c r="AA10" s="46" t="s">
        <v>330</v>
      </c>
      <c r="AB10" s="46"/>
      <c r="AC10" s="46"/>
      <c r="AD10" s="46"/>
      <c r="AE10" s="46"/>
      <c r="AF10" s="46"/>
      <c r="AG10" s="46"/>
      <c r="AH10" s="46"/>
      <c r="AI10" s="46"/>
      <c r="AJ10" s="31"/>
      <c r="AK10" s="185" t="s">
        <v>229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242</v>
      </c>
      <c r="BM10" s="46"/>
      <c r="BN10" s="46"/>
      <c r="BO10" s="46"/>
      <c r="BP10" s="46"/>
      <c r="BQ10" s="46"/>
      <c r="BR10" s="46"/>
      <c r="BS10" s="46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47" t="s">
        <v>211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N11" s="47" t="s">
        <v>213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29"/>
      <c r="AA11" s="109" t="s">
        <v>214</v>
      </c>
      <c r="AB11" s="109"/>
      <c r="AC11" s="109"/>
      <c r="AD11" s="109"/>
      <c r="AE11" s="109"/>
      <c r="AF11" s="109"/>
      <c r="AG11" s="109"/>
      <c r="AH11" s="109"/>
      <c r="AI11" s="109"/>
      <c r="AJ11" s="29"/>
      <c r="AK11" s="110" t="s">
        <v>212</v>
      </c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35"/>
      <c r="BL11" s="47" t="s">
        <v>198</v>
      </c>
      <c r="BM11" s="47"/>
      <c r="BN11" s="47"/>
      <c r="BO11" s="47"/>
      <c r="BP11" s="47"/>
      <c r="BQ11" s="47"/>
      <c r="BR11" s="47"/>
      <c r="BS11" s="47"/>
      <c r="BT11" s="29"/>
      <c r="BU11" s="29"/>
      <c r="BV11" s="29"/>
      <c r="BW11" s="29"/>
      <c r="BX11" s="29"/>
      <c r="BY11" s="29"/>
      <c r="BZ11" s="29"/>
      <c r="CA11" s="29"/>
    </row>
    <row r="13" spans="1:79" ht="14.25" customHeight="1" x14ac:dyDescent="0.2">
      <c r="A13" s="67" t="s">
        <v>317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</row>
    <row r="14" spans="1:79" ht="14.25" customHeight="1" x14ac:dyDescent="0.2">
      <c r="A14" s="67" t="s">
        <v>180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</row>
    <row r="15" spans="1:79" ht="30" customHeight="1" x14ac:dyDescent="0.2">
      <c r="A15" s="149" t="s">
        <v>235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</row>
    <row r="16" spans="1:79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9" ht="15" customHeight="1" x14ac:dyDescent="0.25">
      <c r="A17" s="82" t="s">
        <v>181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15" customHeight="1" x14ac:dyDescent="0.2">
      <c r="A18" s="149" t="s">
        <v>293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</row>
    <row r="19" spans="1:79" ht="1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9" ht="14.25" customHeight="1" x14ac:dyDescent="0.2">
      <c r="A20" s="67" t="s">
        <v>182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</row>
    <row r="21" spans="1:79" ht="90" customHeight="1" x14ac:dyDescent="0.2">
      <c r="A21" s="149" t="s">
        <v>294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</row>
    <row r="22" spans="1:79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9" ht="14.25" customHeight="1" x14ac:dyDescent="0.2">
      <c r="A23" s="67" t="s">
        <v>183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</row>
    <row r="24" spans="1:79" ht="14.25" customHeight="1" x14ac:dyDescent="0.2">
      <c r="A24" s="83" t="s">
        <v>305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</row>
    <row r="25" spans="1:79" ht="15" customHeight="1" x14ac:dyDescent="0.2">
      <c r="A25" s="62" t="s">
        <v>243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</row>
    <row r="26" spans="1:79" ht="23.1" customHeight="1" x14ac:dyDescent="0.2">
      <c r="A26" s="86" t="s">
        <v>3</v>
      </c>
      <c r="B26" s="87"/>
      <c r="C26" s="87"/>
      <c r="D26" s="88"/>
      <c r="E26" s="86" t="s">
        <v>20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57" t="s">
        <v>244</v>
      </c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 t="s">
        <v>245</v>
      </c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 t="s">
        <v>246</v>
      </c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</row>
    <row r="27" spans="1:79" ht="54.75" customHeight="1" x14ac:dyDescent="0.2">
      <c r="A27" s="89"/>
      <c r="B27" s="90"/>
      <c r="C27" s="90"/>
      <c r="D27" s="91"/>
      <c r="E27" s="89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51" t="s">
        <v>5</v>
      </c>
      <c r="V27" s="52"/>
      <c r="W27" s="52"/>
      <c r="X27" s="52"/>
      <c r="Y27" s="53"/>
      <c r="Z27" s="51" t="s">
        <v>4</v>
      </c>
      <c r="AA27" s="52"/>
      <c r="AB27" s="52"/>
      <c r="AC27" s="52"/>
      <c r="AD27" s="53"/>
      <c r="AE27" s="71" t="s">
        <v>147</v>
      </c>
      <c r="AF27" s="72"/>
      <c r="AG27" s="72"/>
      <c r="AH27" s="73"/>
      <c r="AI27" s="51" t="s">
        <v>6</v>
      </c>
      <c r="AJ27" s="52"/>
      <c r="AK27" s="52"/>
      <c r="AL27" s="52"/>
      <c r="AM27" s="53"/>
      <c r="AN27" s="51" t="s">
        <v>5</v>
      </c>
      <c r="AO27" s="52"/>
      <c r="AP27" s="52"/>
      <c r="AQ27" s="52"/>
      <c r="AR27" s="53"/>
      <c r="AS27" s="51" t="s">
        <v>4</v>
      </c>
      <c r="AT27" s="52"/>
      <c r="AU27" s="52"/>
      <c r="AV27" s="52"/>
      <c r="AW27" s="53"/>
      <c r="AX27" s="71" t="s">
        <v>147</v>
      </c>
      <c r="AY27" s="72"/>
      <c r="AZ27" s="72"/>
      <c r="BA27" s="73"/>
      <c r="BB27" s="51" t="s">
        <v>118</v>
      </c>
      <c r="BC27" s="52"/>
      <c r="BD27" s="52"/>
      <c r="BE27" s="52"/>
      <c r="BF27" s="53"/>
      <c r="BG27" s="51" t="s">
        <v>5</v>
      </c>
      <c r="BH27" s="52"/>
      <c r="BI27" s="52"/>
      <c r="BJ27" s="52"/>
      <c r="BK27" s="53"/>
      <c r="BL27" s="51" t="s">
        <v>4</v>
      </c>
      <c r="BM27" s="52"/>
      <c r="BN27" s="52"/>
      <c r="BO27" s="52"/>
      <c r="BP27" s="53"/>
      <c r="BQ27" s="71" t="s">
        <v>147</v>
      </c>
      <c r="BR27" s="72"/>
      <c r="BS27" s="72"/>
      <c r="BT27" s="73"/>
      <c r="BU27" s="51" t="s">
        <v>119</v>
      </c>
      <c r="BV27" s="52"/>
      <c r="BW27" s="52"/>
      <c r="BX27" s="52"/>
      <c r="BY27" s="53"/>
    </row>
    <row r="28" spans="1:79" ht="15" customHeight="1" x14ac:dyDescent="0.2">
      <c r="A28" s="51">
        <v>1</v>
      </c>
      <c r="B28" s="52"/>
      <c r="C28" s="52"/>
      <c r="D28" s="53"/>
      <c r="E28" s="51">
        <v>2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1">
        <v>3</v>
      </c>
      <c r="V28" s="52"/>
      <c r="W28" s="52"/>
      <c r="X28" s="52"/>
      <c r="Y28" s="53"/>
      <c r="Z28" s="51">
        <v>4</v>
      </c>
      <c r="AA28" s="52"/>
      <c r="AB28" s="52"/>
      <c r="AC28" s="52"/>
      <c r="AD28" s="53"/>
      <c r="AE28" s="51">
        <v>5</v>
      </c>
      <c r="AF28" s="52"/>
      <c r="AG28" s="52"/>
      <c r="AH28" s="53"/>
      <c r="AI28" s="51">
        <v>6</v>
      </c>
      <c r="AJ28" s="52"/>
      <c r="AK28" s="52"/>
      <c r="AL28" s="52"/>
      <c r="AM28" s="53"/>
      <c r="AN28" s="51">
        <v>7</v>
      </c>
      <c r="AO28" s="52"/>
      <c r="AP28" s="52"/>
      <c r="AQ28" s="52"/>
      <c r="AR28" s="53"/>
      <c r="AS28" s="51">
        <v>8</v>
      </c>
      <c r="AT28" s="52"/>
      <c r="AU28" s="52"/>
      <c r="AV28" s="52"/>
      <c r="AW28" s="53"/>
      <c r="AX28" s="51">
        <v>9</v>
      </c>
      <c r="AY28" s="52"/>
      <c r="AZ28" s="52"/>
      <c r="BA28" s="53"/>
      <c r="BB28" s="51">
        <v>10</v>
      </c>
      <c r="BC28" s="52"/>
      <c r="BD28" s="52"/>
      <c r="BE28" s="52"/>
      <c r="BF28" s="53"/>
      <c r="BG28" s="51">
        <v>11</v>
      </c>
      <c r="BH28" s="52"/>
      <c r="BI28" s="52"/>
      <c r="BJ28" s="52"/>
      <c r="BK28" s="53"/>
      <c r="BL28" s="51">
        <v>12</v>
      </c>
      <c r="BM28" s="52"/>
      <c r="BN28" s="52"/>
      <c r="BO28" s="52"/>
      <c r="BP28" s="53"/>
      <c r="BQ28" s="51">
        <v>13</v>
      </c>
      <c r="BR28" s="52"/>
      <c r="BS28" s="52"/>
      <c r="BT28" s="53"/>
      <c r="BU28" s="51">
        <v>14</v>
      </c>
      <c r="BV28" s="52"/>
      <c r="BW28" s="52"/>
      <c r="BX28" s="52"/>
      <c r="BY28" s="53"/>
    </row>
    <row r="29" spans="1:79" ht="13.5" hidden="1" customHeight="1" x14ac:dyDescent="0.2">
      <c r="A29" s="54" t="s">
        <v>77</v>
      </c>
      <c r="B29" s="55"/>
      <c r="C29" s="55"/>
      <c r="D29" s="56"/>
      <c r="E29" s="54" t="s">
        <v>78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79" t="s">
        <v>86</v>
      </c>
      <c r="V29" s="80"/>
      <c r="W29" s="80"/>
      <c r="X29" s="80"/>
      <c r="Y29" s="81"/>
      <c r="Z29" s="79" t="s">
        <v>87</v>
      </c>
      <c r="AA29" s="80"/>
      <c r="AB29" s="80"/>
      <c r="AC29" s="80"/>
      <c r="AD29" s="81"/>
      <c r="AE29" s="54" t="s">
        <v>113</v>
      </c>
      <c r="AF29" s="55"/>
      <c r="AG29" s="55"/>
      <c r="AH29" s="56"/>
      <c r="AI29" s="75" t="s">
        <v>217</v>
      </c>
      <c r="AJ29" s="76"/>
      <c r="AK29" s="76"/>
      <c r="AL29" s="76"/>
      <c r="AM29" s="77"/>
      <c r="AN29" s="54" t="s">
        <v>88</v>
      </c>
      <c r="AO29" s="55"/>
      <c r="AP29" s="55"/>
      <c r="AQ29" s="55"/>
      <c r="AR29" s="56"/>
      <c r="AS29" s="54" t="s">
        <v>89</v>
      </c>
      <c r="AT29" s="55"/>
      <c r="AU29" s="55"/>
      <c r="AV29" s="55"/>
      <c r="AW29" s="56"/>
      <c r="AX29" s="54" t="s">
        <v>114</v>
      </c>
      <c r="AY29" s="55"/>
      <c r="AZ29" s="55"/>
      <c r="BA29" s="56"/>
      <c r="BB29" s="75" t="s">
        <v>217</v>
      </c>
      <c r="BC29" s="76"/>
      <c r="BD29" s="76"/>
      <c r="BE29" s="76"/>
      <c r="BF29" s="77"/>
      <c r="BG29" s="54" t="s">
        <v>79</v>
      </c>
      <c r="BH29" s="55"/>
      <c r="BI29" s="55"/>
      <c r="BJ29" s="55"/>
      <c r="BK29" s="56"/>
      <c r="BL29" s="54" t="s">
        <v>80</v>
      </c>
      <c r="BM29" s="55"/>
      <c r="BN29" s="55"/>
      <c r="BO29" s="55"/>
      <c r="BP29" s="56"/>
      <c r="BQ29" s="54" t="s">
        <v>115</v>
      </c>
      <c r="BR29" s="55"/>
      <c r="BS29" s="55"/>
      <c r="BT29" s="56"/>
      <c r="BU29" s="75" t="s">
        <v>217</v>
      </c>
      <c r="BV29" s="76"/>
      <c r="BW29" s="76"/>
      <c r="BX29" s="76"/>
      <c r="BY29" s="77"/>
      <c r="CA29" t="s">
        <v>29</v>
      </c>
    </row>
    <row r="30" spans="1:79" s="137" customFormat="1" ht="12.75" customHeight="1" x14ac:dyDescent="0.2">
      <c r="A30" s="157"/>
      <c r="B30" s="158"/>
      <c r="C30" s="158"/>
      <c r="D30" s="159"/>
      <c r="E30" s="131" t="s">
        <v>252</v>
      </c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3"/>
      <c r="U30" s="160">
        <v>1156766</v>
      </c>
      <c r="V30" s="160"/>
      <c r="W30" s="160"/>
      <c r="X30" s="160"/>
      <c r="Y30" s="160"/>
      <c r="Z30" s="160" t="s">
        <v>253</v>
      </c>
      <c r="AA30" s="160"/>
      <c r="AB30" s="160"/>
      <c r="AC30" s="160"/>
      <c r="AD30" s="160"/>
      <c r="AE30" s="161" t="s">
        <v>253</v>
      </c>
      <c r="AF30" s="162"/>
      <c r="AG30" s="162"/>
      <c r="AH30" s="163"/>
      <c r="AI30" s="161">
        <f>IF(ISNUMBER(U30),U30,0)+IF(ISNUMBER(Z30),Z30,0)</f>
        <v>1156766</v>
      </c>
      <c r="AJ30" s="162"/>
      <c r="AK30" s="162"/>
      <c r="AL30" s="162"/>
      <c r="AM30" s="163"/>
      <c r="AN30" s="161">
        <v>1562597</v>
      </c>
      <c r="AO30" s="162"/>
      <c r="AP30" s="162"/>
      <c r="AQ30" s="162"/>
      <c r="AR30" s="163"/>
      <c r="AS30" s="161" t="s">
        <v>253</v>
      </c>
      <c r="AT30" s="162"/>
      <c r="AU30" s="162"/>
      <c r="AV30" s="162"/>
      <c r="AW30" s="163"/>
      <c r="AX30" s="161" t="s">
        <v>253</v>
      </c>
      <c r="AY30" s="162"/>
      <c r="AZ30" s="162"/>
      <c r="BA30" s="163"/>
      <c r="BB30" s="161">
        <f>IF(ISNUMBER(AN30),AN30,0)+IF(ISNUMBER(AS30),AS30,0)</f>
        <v>1562597</v>
      </c>
      <c r="BC30" s="162"/>
      <c r="BD30" s="162"/>
      <c r="BE30" s="162"/>
      <c r="BF30" s="163"/>
      <c r="BG30" s="161">
        <v>1701082</v>
      </c>
      <c r="BH30" s="162"/>
      <c r="BI30" s="162"/>
      <c r="BJ30" s="162"/>
      <c r="BK30" s="163"/>
      <c r="BL30" s="161" t="s">
        <v>253</v>
      </c>
      <c r="BM30" s="162"/>
      <c r="BN30" s="162"/>
      <c r="BO30" s="162"/>
      <c r="BP30" s="163"/>
      <c r="BQ30" s="161" t="s">
        <v>253</v>
      </c>
      <c r="BR30" s="162"/>
      <c r="BS30" s="162"/>
      <c r="BT30" s="163"/>
      <c r="BU30" s="161">
        <f>IF(ISNUMBER(BG30),BG30,0)+IF(ISNUMBER(BL30),BL30,0)</f>
        <v>1701082</v>
      </c>
      <c r="BV30" s="162"/>
      <c r="BW30" s="162"/>
      <c r="BX30" s="162"/>
      <c r="BY30" s="163"/>
      <c r="CA30" s="137" t="s">
        <v>30</v>
      </c>
    </row>
    <row r="31" spans="1:79" s="9" customFormat="1" ht="12.75" customHeight="1" x14ac:dyDescent="0.2">
      <c r="A31" s="119"/>
      <c r="B31" s="117"/>
      <c r="C31" s="117"/>
      <c r="D31" s="118"/>
      <c r="E31" s="138" t="s">
        <v>179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40"/>
      <c r="U31" s="164">
        <v>1156766</v>
      </c>
      <c r="V31" s="164"/>
      <c r="W31" s="164"/>
      <c r="X31" s="164"/>
      <c r="Y31" s="164"/>
      <c r="Z31" s="164">
        <v>0</v>
      </c>
      <c r="AA31" s="164"/>
      <c r="AB31" s="164"/>
      <c r="AC31" s="164"/>
      <c r="AD31" s="164"/>
      <c r="AE31" s="165">
        <v>0</v>
      </c>
      <c r="AF31" s="166"/>
      <c r="AG31" s="166"/>
      <c r="AH31" s="167"/>
      <c r="AI31" s="165">
        <f>IF(ISNUMBER(U31),U31,0)+IF(ISNUMBER(Z31),Z31,0)</f>
        <v>1156766</v>
      </c>
      <c r="AJ31" s="166"/>
      <c r="AK31" s="166"/>
      <c r="AL31" s="166"/>
      <c r="AM31" s="167"/>
      <c r="AN31" s="165">
        <v>1562597</v>
      </c>
      <c r="AO31" s="166"/>
      <c r="AP31" s="166"/>
      <c r="AQ31" s="166"/>
      <c r="AR31" s="167"/>
      <c r="AS31" s="165">
        <v>0</v>
      </c>
      <c r="AT31" s="166"/>
      <c r="AU31" s="166"/>
      <c r="AV31" s="166"/>
      <c r="AW31" s="167"/>
      <c r="AX31" s="165">
        <v>0</v>
      </c>
      <c r="AY31" s="166"/>
      <c r="AZ31" s="166"/>
      <c r="BA31" s="167"/>
      <c r="BB31" s="165">
        <f>IF(ISNUMBER(AN31),AN31,0)+IF(ISNUMBER(AS31),AS31,0)</f>
        <v>1562597</v>
      </c>
      <c r="BC31" s="166"/>
      <c r="BD31" s="166"/>
      <c r="BE31" s="166"/>
      <c r="BF31" s="167"/>
      <c r="BG31" s="165">
        <v>1701082</v>
      </c>
      <c r="BH31" s="166"/>
      <c r="BI31" s="166"/>
      <c r="BJ31" s="166"/>
      <c r="BK31" s="167"/>
      <c r="BL31" s="165">
        <v>0</v>
      </c>
      <c r="BM31" s="166"/>
      <c r="BN31" s="166"/>
      <c r="BO31" s="166"/>
      <c r="BP31" s="167"/>
      <c r="BQ31" s="165">
        <v>0</v>
      </c>
      <c r="BR31" s="166"/>
      <c r="BS31" s="166"/>
      <c r="BT31" s="167"/>
      <c r="BU31" s="165">
        <f>IF(ISNUMBER(BG31),BG31,0)+IF(ISNUMBER(BL31),BL31,0)</f>
        <v>1701082</v>
      </c>
      <c r="BV31" s="166"/>
      <c r="BW31" s="166"/>
      <c r="BX31" s="166"/>
      <c r="BY31" s="167"/>
    </row>
    <row r="33" spans="1:79" ht="14.25" customHeight="1" x14ac:dyDescent="0.2">
      <c r="A33" s="83" t="s">
        <v>318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79" ht="15" customHeight="1" x14ac:dyDescent="0.2">
      <c r="A34" s="78" t="s">
        <v>243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</row>
    <row r="35" spans="1:79" ht="22.5" customHeight="1" x14ac:dyDescent="0.2">
      <c r="A35" s="86" t="s">
        <v>3</v>
      </c>
      <c r="B35" s="87"/>
      <c r="C35" s="87"/>
      <c r="D35" s="88"/>
      <c r="E35" s="86" t="s">
        <v>20</v>
      </c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8"/>
      <c r="X35" s="51" t="s">
        <v>247</v>
      </c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3"/>
      <c r="AR35" s="57" t="s">
        <v>249</v>
      </c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</row>
    <row r="36" spans="1:79" ht="36" customHeight="1" x14ac:dyDescent="0.2">
      <c r="A36" s="89"/>
      <c r="B36" s="90"/>
      <c r="C36" s="90"/>
      <c r="D36" s="91"/>
      <c r="E36" s="89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1"/>
      <c r="X36" s="57" t="s">
        <v>5</v>
      </c>
      <c r="Y36" s="57"/>
      <c r="Z36" s="57"/>
      <c r="AA36" s="57"/>
      <c r="AB36" s="57"/>
      <c r="AC36" s="57" t="s">
        <v>4</v>
      </c>
      <c r="AD36" s="57"/>
      <c r="AE36" s="57"/>
      <c r="AF36" s="57"/>
      <c r="AG36" s="57"/>
      <c r="AH36" s="71" t="s">
        <v>147</v>
      </c>
      <c r="AI36" s="72"/>
      <c r="AJ36" s="72"/>
      <c r="AK36" s="72"/>
      <c r="AL36" s="73"/>
      <c r="AM36" s="51" t="s">
        <v>6</v>
      </c>
      <c r="AN36" s="52"/>
      <c r="AO36" s="52"/>
      <c r="AP36" s="52"/>
      <c r="AQ36" s="53"/>
      <c r="AR36" s="51" t="s">
        <v>5</v>
      </c>
      <c r="AS36" s="52"/>
      <c r="AT36" s="52"/>
      <c r="AU36" s="52"/>
      <c r="AV36" s="53"/>
      <c r="AW36" s="51" t="s">
        <v>4</v>
      </c>
      <c r="AX36" s="52"/>
      <c r="AY36" s="52"/>
      <c r="AZ36" s="52"/>
      <c r="BA36" s="53"/>
      <c r="BB36" s="71" t="s">
        <v>147</v>
      </c>
      <c r="BC36" s="72"/>
      <c r="BD36" s="72"/>
      <c r="BE36" s="72"/>
      <c r="BF36" s="73"/>
      <c r="BG36" s="51" t="s">
        <v>118</v>
      </c>
      <c r="BH36" s="52"/>
      <c r="BI36" s="52"/>
      <c r="BJ36" s="52"/>
      <c r="BK36" s="53"/>
    </row>
    <row r="37" spans="1:79" ht="15" customHeight="1" x14ac:dyDescent="0.2">
      <c r="A37" s="51">
        <v>1</v>
      </c>
      <c r="B37" s="52"/>
      <c r="C37" s="52"/>
      <c r="D37" s="53"/>
      <c r="E37" s="51">
        <v>2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3"/>
      <c r="X37" s="57">
        <v>3</v>
      </c>
      <c r="Y37" s="57"/>
      <c r="Z37" s="57"/>
      <c r="AA37" s="57"/>
      <c r="AB37" s="57"/>
      <c r="AC37" s="57">
        <v>4</v>
      </c>
      <c r="AD37" s="57"/>
      <c r="AE37" s="57"/>
      <c r="AF37" s="57"/>
      <c r="AG37" s="57"/>
      <c r="AH37" s="57">
        <v>5</v>
      </c>
      <c r="AI37" s="57"/>
      <c r="AJ37" s="57"/>
      <c r="AK37" s="57"/>
      <c r="AL37" s="57"/>
      <c r="AM37" s="57">
        <v>6</v>
      </c>
      <c r="AN37" s="57"/>
      <c r="AO37" s="57"/>
      <c r="AP37" s="57"/>
      <c r="AQ37" s="57"/>
      <c r="AR37" s="51">
        <v>7</v>
      </c>
      <c r="AS37" s="52"/>
      <c r="AT37" s="52"/>
      <c r="AU37" s="52"/>
      <c r="AV37" s="53"/>
      <c r="AW37" s="51">
        <v>8</v>
      </c>
      <c r="AX37" s="52"/>
      <c r="AY37" s="52"/>
      <c r="AZ37" s="52"/>
      <c r="BA37" s="53"/>
      <c r="BB37" s="51">
        <v>9</v>
      </c>
      <c r="BC37" s="52"/>
      <c r="BD37" s="52"/>
      <c r="BE37" s="52"/>
      <c r="BF37" s="53"/>
      <c r="BG37" s="51">
        <v>10</v>
      </c>
      <c r="BH37" s="52"/>
      <c r="BI37" s="52"/>
      <c r="BJ37" s="52"/>
      <c r="BK37" s="53"/>
    </row>
    <row r="38" spans="1:79" ht="20.25" hidden="1" customHeight="1" x14ac:dyDescent="0.2">
      <c r="A38" s="54" t="s">
        <v>77</v>
      </c>
      <c r="B38" s="55"/>
      <c r="C38" s="55"/>
      <c r="D38" s="56"/>
      <c r="E38" s="54" t="s">
        <v>78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60" t="s">
        <v>81</v>
      </c>
      <c r="Y38" s="60"/>
      <c r="Z38" s="60"/>
      <c r="AA38" s="60"/>
      <c r="AB38" s="60"/>
      <c r="AC38" s="60" t="s">
        <v>82</v>
      </c>
      <c r="AD38" s="60"/>
      <c r="AE38" s="60"/>
      <c r="AF38" s="60"/>
      <c r="AG38" s="60"/>
      <c r="AH38" s="54" t="s">
        <v>116</v>
      </c>
      <c r="AI38" s="55"/>
      <c r="AJ38" s="55"/>
      <c r="AK38" s="55"/>
      <c r="AL38" s="56"/>
      <c r="AM38" s="75" t="s">
        <v>218</v>
      </c>
      <c r="AN38" s="76"/>
      <c r="AO38" s="76"/>
      <c r="AP38" s="76"/>
      <c r="AQ38" s="77"/>
      <c r="AR38" s="54" t="s">
        <v>83</v>
      </c>
      <c r="AS38" s="55"/>
      <c r="AT38" s="55"/>
      <c r="AU38" s="55"/>
      <c r="AV38" s="56"/>
      <c r="AW38" s="54" t="s">
        <v>84</v>
      </c>
      <c r="AX38" s="55"/>
      <c r="AY38" s="55"/>
      <c r="AZ38" s="55"/>
      <c r="BA38" s="56"/>
      <c r="BB38" s="54" t="s">
        <v>117</v>
      </c>
      <c r="BC38" s="55"/>
      <c r="BD38" s="55"/>
      <c r="BE38" s="55"/>
      <c r="BF38" s="56"/>
      <c r="BG38" s="75" t="s">
        <v>218</v>
      </c>
      <c r="BH38" s="76"/>
      <c r="BI38" s="76"/>
      <c r="BJ38" s="76"/>
      <c r="BK38" s="77"/>
      <c r="CA38" t="s">
        <v>31</v>
      </c>
    </row>
    <row r="39" spans="1:79" s="137" customFormat="1" ht="12.75" customHeight="1" x14ac:dyDescent="0.2">
      <c r="A39" s="157"/>
      <c r="B39" s="158"/>
      <c r="C39" s="158"/>
      <c r="D39" s="159"/>
      <c r="E39" s="131" t="s">
        <v>252</v>
      </c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3"/>
      <c r="X39" s="161">
        <v>1703854</v>
      </c>
      <c r="Y39" s="162"/>
      <c r="Z39" s="162"/>
      <c r="AA39" s="162"/>
      <c r="AB39" s="163"/>
      <c r="AC39" s="161" t="s">
        <v>253</v>
      </c>
      <c r="AD39" s="162"/>
      <c r="AE39" s="162"/>
      <c r="AF39" s="162"/>
      <c r="AG39" s="163"/>
      <c r="AH39" s="161" t="s">
        <v>253</v>
      </c>
      <c r="AI39" s="162"/>
      <c r="AJ39" s="162"/>
      <c r="AK39" s="162"/>
      <c r="AL39" s="163"/>
      <c r="AM39" s="161">
        <f>IF(ISNUMBER(X39),X39,0)+IF(ISNUMBER(AC39),AC39,0)</f>
        <v>1703854</v>
      </c>
      <c r="AN39" s="162"/>
      <c r="AO39" s="162"/>
      <c r="AP39" s="162"/>
      <c r="AQ39" s="163"/>
      <c r="AR39" s="161">
        <v>1706312</v>
      </c>
      <c r="AS39" s="162"/>
      <c r="AT39" s="162"/>
      <c r="AU39" s="162"/>
      <c r="AV39" s="163"/>
      <c r="AW39" s="161" t="s">
        <v>253</v>
      </c>
      <c r="AX39" s="162"/>
      <c r="AY39" s="162"/>
      <c r="AZ39" s="162"/>
      <c r="BA39" s="163"/>
      <c r="BB39" s="161" t="s">
        <v>253</v>
      </c>
      <c r="BC39" s="162"/>
      <c r="BD39" s="162"/>
      <c r="BE39" s="162"/>
      <c r="BF39" s="163"/>
      <c r="BG39" s="160">
        <f>IF(ISNUMBER(AR39),AR39,0)+IF(ISNUMBER(AW39),AW39,0)</f>
        <v>1706312</v>
      </c>
      <c r="BH39" s="160"/>
      <c r="BI39" s="160"/>
      <c r="BJ39" s="160"/>
      <c r="BK39" s="160"/>
      <c r="CA39" s="137" t="s">
        <v>32</v>
      </c>
    </row>
    <row r="40" spans="1:79" s="9" customFormat="1" ht="12.75" customHeight="1" x14ac:dyDescent="0.2">
      <c r="A40" s="119"/>
      <c r="B40" s="117"/>
      <c r="C40" s="117"/>
      <c r="D40" s="118"/>
      <c r="E40" s="138" t="s">
        <v>179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40"/>
      <c r="X40" s="165">
        <v>1703854</v>
      </c>
      <c r="Y40" s="166"/>
      <c r="Z40" s="166"/>
      <c r="AA40" s="166"/>
      <c r="AB40" s="167"/>
      <c r="AC40" s="165">
        <v>0</v>
      </c>
      <c r="AD40" s="166"/>
      <c r="AE40" s="166"/>
      <c r="AF40" s="166"/>
      <c r="AG40" s="167"/>
      <c r="AH40" s="165">
        <v>0</v>
      </c>
      <c r="AI40" s="166"/>
      <c r="AJ40" s="166"/>
      <c r="AK40" s="166"/>
      <c r="AL40" s="167"/>
      <c r="AM40" s="165">
        <f>IF(ISNUMBER(X40),X40,0)+IF(ISNUMBER(AC40),AC40,0)</f>
        <v>1703854</v>
      </c>
      <c r="AN40" s="166"/>
      <c r="AO40" s="166"/>
      <c r="AP40" s="166"/>
      <c r="AQ40" s="167"/>
      <c r="AR40" s="165">
        <v>1706312</v>
      </c>
      <c r="AS40" s="166"/>
      <c r="AT40" s="166"/>
      <c r="AU40" s="166"/>
      <c r="AV40" s="167"/>
      <c r="AW40" s="165">
        <v>0</v>
      </c>
      <c r="AX40" s="166"/>
      <c r="AY40" s="166"/>
      <c r="AZ40" s="166"/>
      <c r="BA40" s="167"/>
      <c r="BB40" s="165">
        <v>0</v>
      </c>
      <c r="BC40" s="166"/>
      <c r="BD40" s="166"/>
      <c r="BE40" s="166"/>
      <c r="BF40" s="167"/>
      <c r="BG40" s="164">
        <f>IF(ISNUMBER(AR40),AR40,0)+IF(ISNUMBER(AW40),AW40,0)</f>
        <v>1706312</v>
      </c>
      <c r="BH40" s="164"/>
      <c r="BI40" s="164"/>
      <c r="BJ40" s="164"/>
      <c r="BK40" s="164"/>
    </row>
    <row r="41" spans="1:79" s="7" customFormat="1" ht="12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</row>
    <row r="43" spans="1:79" s="6" customFormat="1" ht="14.25" customHeight="1" x14ac:dyDescent="0.2">
      <c r="A43" s="67" t="s">
        <v>148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25"/>
    </row>
    <row r="44" spans="1:79" ht="14.25" customHeight="1" x14ac:dyDescent="0.2">
      <c r="A44" s="67" t="s">
        <v>306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</row>
    <row r="45" spans="1:79" ht="15" customHeight="1" x14ac:dyDescent="0.2">
      <c r="A45" s="62" t="s">
        <v>243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</row>
    <row r="46" spans="1:79" ht="23.1" customHeight="1" x14ac:dyDescent="0.2">
      <c r="A46" s="93" t="s">
        <v>149</v>
      </c>
      <c r="B46" s="94"/>
      <c r="C46" s="94"/>
      <c r="D46" s="95"/>
      <c r="E46" s="57" t="s">
        <v>20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1" t="s">
        <v>244</v>
      </c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 t="s">
        <v>245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3"/>
      <c r="BG46" s="51" t="s">
        <v>246</v>
      </c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3"/>
    </row>
    <row r="47" spans="1:79" ht="48.75" customHeight="1" x14ac:dyDescent="0.2">
      <c r="A47" s="96"/>
      <c r="B47" s="97"/>
      <c r="C47" s="97"/>
      <c r="D47" s="98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1" t="s">
        <v>5</v>
      </c>
      <c r="V47" s="52"/>
      <c r="W47" s="52"/>
      <c r="X47" s="52"/>
      <c r="Y47" s="53"/>
      <c r="Z47" s="51" t="s">
        <v>4</v>
      </c>
      <c r="AA47" s="52"/>
      <c r="AB47" s="52"/>
      <c r="AC47" s="52"/>
      <c r="AD47" s="53"/>
      <c r="AE47" s="71" t="s">
        <v>147</v>
      </c>
      <c r="AF47" s="72"/>
      <c r="AG47" s="72"/>
      <c r="AH47" s="73"/>
      <c r="AI47" s="51" t="s">
        <v>6</v>
      </c>
      <c r="AJ47" s="52"/>
      <c r="AK47" s="52"/>
      <c r="AL47" s="52"/>
      <c r="AM47" s="53"/>
      <c r="AN47" s="51" t="s">
        <v>5</v>
      </c>
      <c r="AO47" s="52"/>
      <c r="AP47" s="52"/>
      <c r="AQ47" s="52"/>
      <c r="AR47" s="53"/>
      <c r="AS47" s="51" t="s">
        <v>4</v>
      </c>
      <c r="AT47" s="52"/>
      <c r="AU47" s="52"/>
      <c r="AV47" s="52"/>
      <c r="AW47" s="53"/>
      <c r="AX47" s="71" t="s">
        <v>147</v>
      </c>
      <c r="AY47" s="72"/>
      <c r="AZ47" s="72"/>
      <c r="BA47" s="73"/>
      <c r="BB47" s="51" t="s">
        <v>118</v>
      </c>
      <c r="BC47" s="52"/>
      <c r="BD47" s="52"/>
      <c r="BE47" s="52"/>
      <c r="BF47" s="53"/>
      <c r="BG47" s="51" t="s">
        <v>5</v>
      </c>
      <c r="BH47" s="52"/>
      <c r="BI47" s="52"/>
      <c r="BJ47" s="52"/>
      <c r="BK47" s="53"/>
      <c r="BL47" s="51" t="s">
        <v>4</v>
      </c>
      <c r="BM47" s="52"/>
      <c r="BN47" s="52"/>
      <c r="BO47" s="52"/>
      <c r="BP47" s="53"/>
      <c r="BQ47" s="71" t="s">
        <v>147</v>
      </c>
      <c r="BR47" s="72"/>
      <c r="BS47" s="72"/>
      <c r="BT47" s="73"/>
      <c r="BU47" s="51" t="s">
        <v>119</v>
      </c>
      <c r="BV47" s="52"/>
      <c r="BW47" s="52"/>
      <c r="BX47" s="52"/>
      <c r="BY47" s="53"/>
    </row>
    <row r="48" spans="1:79" ht="15" customHeight="1" x14ac:dyDescent="0.2">
      <c r="A48" s="51">
        <v>1</v>
      </c>
      <c r="B48" s="52"/>
      <c r="C48" s="52"/>
      <c r="D48" s="53"/>
      <c r="E48" s="51">
        <v>2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51">
        <v>3</v>
      </c>
      <c r="V48" s="52"/>
      <c r="W48" s="52"/>
      <c r="X48" s="52"/>
      <c r="Y48" s="53"/>
      <c r="Z48" s="51">
        <v>4</v>
      </c>
      <c r="AA48" s="52"/>
      <c r="AB48" s="52"/>
      <c r="AC48" s="52"/>
      <c r="AD48" s="53"/>
      <c r="AE48" s="51">
        <v>5</v>
      </c>
      <c r="AF48" s="52"/>
      <c r="AG48" s="52"/>
      <c r="AH48" s="53"/>
      <c r="AI48" s="51">
        <v>6</v>
      </c>
      <c r="AJ48" s="52"/>
      <c r="AK48" s="52"/>
      <c r="AL48" s="52"/>
      <c r="AM48" s="53"/>
      <c r="AN48" s="51">
        <v>7</v>
      </c>
      <c r="AO48" s="52"/>
      <c r="AP48" s="52"/>
      <c r="AQ48" s="52"/>
      <c r="AR48" s="53"/>
      <c r="AS48" s="51">
        <v>8</v>
      </c>
      <c r="AT48" s="52"/>
      <c r="AU48" s="52"/>
      <c r="AV48" s="52"/>
      <c r="AW48" s="53"/>
      <c r="AX48" s="51">
        <v>9</v>
      </c>
      <c r="AY48" s="52"/>
      <c r="AZ48" s="52"/>
      <c r="BA48" s="53"/>
      <c r="BB48" s="51">
        <v>10</v>
      </c>
      <c r="BC48" s="52"/>
      <c r="BD48" s="52"/>
      <c r="BE48" s="52"/>
      <c r="BF48" s="53"/>
      <c r="BG48" s="51">
        <v>11</v>
      </c>
      <c r="BH48" s="52"/>
      <c r="BI48" s="52"/>
      <c r="BJ48" s="52"/>
      <c r="BK48" s="53"/>
      <c r="BL48" s="51">
        <v>12</v>
      </c>
      <c r="BM48" s="52"/>
      <c r="BN48" s="52"/>
      <c r="BO48" s="52"/>
      <c r="BP48" s="53"/>
      <c r="BQ48" s="51">
        <v>13</v>
      </c>
      <c r="BR48" s="52"/>
      <c r="BS48" s="52"/>
      <c r="BT48" s="53"/>
      <c r="BU48" s="51">
        <v>14</v>
      </c>
      <c r="BV48" s="52"/>
      <c r="BW48" s="52"/>
      <c r="BX48" s="52"/>
      <c r="BY48" s="53"/>
    </row>
    <row r="49" spans="1:79" s="2" customFormat="1" ht="12.75" hidden="1" customHeight="1" x14ac:dyDescent="0.2">
      <c r="A49" s="54" t="s">
        <v>85</v>
      </c>
      <c r="B49" s="55"/>
      <c r="C49" s="55"/>
      <c r="D49" s="56"/>
      <c r="E49" s="54" t="s">
        <v>78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6"/>
      <c r="U49" s="54" t="s">
        <v>86</v>
      </c>
      <c r="V49" s="55"/>
      <c r="W49" s="55"/>
      <c r="X49" s="55"/>
      <c r="Y49" s="56"/>
      <c r="Z49" s="54" t="s">
        <v>87</v>
      </c>
      <c r="AA49" s="55"/>
      <c r="AB49" s="55"/>
      <c r="AC49" s="55"/>
      <c r="AD49" s="56"/>
      <c r="AE49" s="54" t="s">
        <v>113</v>
      </c>
      <c r="AF49" s="55"/>
      <c r="AG49" s="55"/>
      <c r="AH49" s="56"/>
      <c r="AI49" s="75" t="s">
        <v>217</v>
      </c>
      <c r="AJ49" s="76"/>
      <c r="AK49" s="76"/>
      <c r="AL49" s="76"/>
      <c r="AM49" s="77"/>
      <c r="AN49" s="54" t="s">
        <v>88</v>
      </c>
      <c r="AO49" s="55"/>
      <c r="AP49" s="55"/>
      <c r="AQ49" s="55"/>
      <c r="AR49" s="56"/>
      <c r="AS49" s="54" t="s">
        <v>89</v>
      </c>
      <c r="AT49" s="55"/>
      <c r="AU49" s="55"/>
      <c r="AV49" s="55"/>
      <c r="AW49" s="56"/>
      <c r="AX49" s="54" t="s">
        <v>114</v>
      </c>
      <c r="AY49" s="55"/>
      <c r="AZ49" s="55"/>
      <c r="BA49" s="56"/>
      <c r="BB49" s="75" t="s">
        <v>217</v>
      </c>
      <c r="BC49" s="76"/>
      <c r="BD49" s="76"/>
      <c r="BE49" s="76"/>
      <c r="BF49" s="77"/>
      <c r="BG49" s="54" t="s">
        <v>79</v>
      </c>
      <c r="BH49" s="55"/>
      <c r="BI49" s="55"/>
      <c r="BJ49" s="55"/>
      <c r="BK49" s="56"/>
      <c r="BL49" s="54" t="s">
        <v>80</v>
      </c>
      <c r="BM49" s="55"/>
      <c r="BN49" s="55"/>
      <c r="BO49" s="55"/>
      <c r="BP49" s="56"/>
      <c r="BQ49" s="54" t="s">
        <v>115</v>
      </c>
      <c r="BR49" s="55"/>
      <c r="BS49" s="55"/>
      <c r="BT49" s="56"/>
      <c r="BU49" s="75" t="s">
        <v>217</v>
      </c>
      <c r="BV49" s="76"/>
      <c r="BW49" s="76"/>
      <c r="BX49" s="76"/>
      <c r="BY49" s="77"/>
      <c r="CA49" t="s">
        <v>33</v>
      </c>
    </row>
    <row r="50" spans="1:79" s="137" customFormat="1" ht="12.75" customHeight="1" x14ac:dyDescent="0.2">
      <c r="A50" s="157">
        <v>2111</v>
      </c>
      <c r="B50" s="158"/>
      <c r="C50" s="158"/>
      <c r="D50" s="159"/>
      <c r="E50" s="131" t="s">
        <v>254</v>
      </c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3"/>
      <c r="U50" s="161">
        <v>941611</v>
      </c>
      <c r="V50" s="162"/>
      <c r="W50" s="162"/>
      <c r="X50" s="162"/>
      <c r="Y50" s="163"/>
      <c r="Z50" s="161">
        <v>0</v>
      </c>
      <c r="AA50" s="162"/>
      <c r="AB50" s="162"/>
      <c r="AC50" s="162"/>
      <c r="AD50" s="163"/>
      <c r="AE50" s="161">
        <v>0</v>
      </c>
      <c r="AF50" s="162"/>
      <c r="AG50" s="162"/>
      <c r="AH50" s="163"/>
      <c r="AI50" s="161">
        <f>IF(ISNUMBER(U50),U50,0)+IF(ISNUMBER(Z50),Z50,0)</f>
        <v>941611</v>
      </c>
      <c r="AJ50" s="162"/>
      <c r="AK50" s="162"/>
      <c r="AL50" s="162"/>
      <c r="AM50" s="163"/>
      <c r="AN50" s="161">
        <v>1269013</v>
      </c>
      <c r="AO50" s="162"/>
      <c r="AP50" s="162"/>
      <c r="AQ50" s="162"/>
      <c r="AR50" s="163"/>
      <c r="AS50" s="161">
        <v>0</v>
      </c>
      <c r="AT50" s="162"/>
      <c r="AU50" s="162"/>
      <c r="AV50" s="162"/>
      <c r="AW50" s="163"/>
      <c r="AX50" s="161">
        <v>0</v>
      </c>
      <c r="AY50" s="162"/>
      <c r="AZ50" s="162"/>
      <c r="BA50" s="163"/>
      <c r="BB50" s="161">
        <f>IF(ISNUMBER(AN50),AN50,0)+IF(ISNUMBER(AS50),AS50,0)</f>
        <v>1269013</v>
      </c>
      <c r="BC50" s="162"/>
      <c r="BD50" s="162"/>
      <c r="BE50" s="162"/>
      <c r="BF50" s="163"/>
      <c r="BG50" s="161">
        <v>1361870</v>
      </c>
      <c r="BH50" s="162"/>
      <c r="BI50" s="162"/>
      <c r="BJ50" s="162"/>
      <c r="BK50" s="163"/>
      <c r="BL50" s="161">
        <v>0</v>
      </c>
      <c r="BM50" s="162"/>
      <c r="BN50" s="162"/>
      <c r="BO50" s="162"/>
      <c r="BP50" s="163"/>
      <c r="BQ50" s="161">
        <v>0</v>
      </c>
      <c r="BR50" s="162"/>
      <c r="BS50" s="162"/>
      <c r="BT50" s="163"/>
      <c r="BU50" s="161">
        <f>IF(ISNUMBER(BG50),BG50,0)+IF(ISNUMBER(BL50),BL50,0)</f>
        <v>1361870</v>
      </c>
      <c r="BV50" s="162"/>
      <c r="BW50" s="162"/>
      <c r="BX50" s="162"/>
      <c r="BY50" s="163"/>
      <c r="CA50" s="137" t="s">
        <v>34</v>
      </c>
    </row>
    <row r="51" spans="1:79" s="137" customFormat="1" ht="12.75" customHeight="1" x14ac:dyDescent="0.2">
      <c r="A51" s="157">
        <v>2120</v>
      </c>
      <c r="B51" s="158"/>
      <c r="C51" s="158"/>
      <c r="D51" s="159"/>
      <c r="E51" s="131" t="s">
        <v>255</v>
      </c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3"/>
      <c r="U51" s="161">
        <v>207155</v>
      </c>
      <c r="V51" s="162"/>
      <c r="W51" s="162"/>
      <c r="X51" s="162"/>
      <c r="Y51" s="163"/>
      <c r="Z51" s="161">
        <v>0</v>
      </c>
      <c r="AA51" s="162"/>
      <c r="AB51" s="162"/>
      <c r="AC51" s="162"/>
      <c r="AD51" s="163"/>
      <c r="AE51" s="161">
        <v>0</v>
      </c>
      <c r="AF51" s="162"/>
      <c r="AG51" s="162"/>
      <c r="AH51" s="163"/>
      <c r="AI51" s="161">
        <f>IF(ISNUMBER(U51),U51,0)+IF(ISNUMBER(Z51),Z51,0)</f>
        <v>207155</v>
      </c>
      <c r="AJ51" s="162"/>
      <c r="AK51" s="162"/>
      <c r="AL51" s="162"/>
      <c r="AM51" s="163"/>
      <c r="AN51" s="161">
        <v>279184</v>
      </c>
      <c r="AO51" s="162"/>
      <c r="AP51" s="162"/>
      <c r="AQ51" s="162"/>
      <c r="AR51" s="163"/>
      <c r="AS51" s="161">
        <v>0</v>
      </c>
      <c r="AT51" s="162"/>
      <c r="AU51" s="162"/>
      <c r="AV51" s="162"/>
      <c r="AW51" s="163"/>
      <c r="AX51" s="161">
        <v>0</v>
      </c>
      <c r="AY51" s="162"/>
      <c r="AZ51" s="162"/>
      <c r="BA51" s="163"/>
      <c r="BB51" s="161">
        <f>IF(ISNUMBER(AN51),AN51,0)+IF(ISNUMBER(AS51),AS51,0)</f>
        <v>279184</v>
      </c>
      <c r="BC51" s="162"/>
      <c r="BD51" s="162"/>
      <c r="BE51" s="162"/>
      <c r="BF51" s="163"/>
      <c r="BG51" s="161">
        <v>299612</v>
      </c>
      <c r="BH51" s="162"/>
      <c r="BI51" s="162"/>
      <c r="BJ51" s="162"/>
      <c r="BK51" s="163"/>
      <c r="BL51" s="161">
        <v>0</v>
      </c>
      <c r="BM51" s="162"/>
      <c r="BN51" s="162"/>
      <c r="BO51" s="162"/>
      <c r="BP51" s="163"/>
      <c r="BQ51" s="161">
        <v>0</v>
      </c>
      <c r="BR51" s="162"/>
      <c r="BS51" s="162"/>
      <c r="BT51" s="163"/>
      <c r="BU51" s="161">
        <f>IF(ISNUMBER(BG51),BG51,0)+IF(ISNUMBER(BL51),BL51,0)</f>
        <v>299612</v>
      </c>
      <c r="BV51" s="162"/>
      <c r="BW51" s="162"/>
      <c r="BX51" s="162"/>
      <c r="BY51" s="163"/>
    </row>
    <row r="52" spans="1:79" s="137" customFormat="1" ht="12.75" customHeight="1" x14ac:dyDescent="0.2">
      <c r="A52" s="157">
        <v>2210</v>
      </c>
      <c r="B52" s="158"/>
      <c r="C52" s="158"/>
      <c r="D52" s="159"/>
      <c r="E52" s="131" t="s">
        <v>256</v>
      </c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3"/>
      <c r="U52" s="161">
        <v>0</v>
      </c>
      <c r="V52" s="162"/>
      <c r="W52" s="162"/>
      <c r="X52" s="162"/>
      <c r="Y52" s="163"/>
      <c r="Z52" s="161">
        <v>0</v>
      </c>
      <c r="AA52" s="162"/>
      <c r="AB52" s="162"/>
      <c r="AC52" s="162"/>
      <c r="AD52" s="163"/>
      <c r="AE52" s="161">
        <v>0</v>
      </c>
      <c r="AF52" s="162"/>
      <c r="AG52" s="162"/>
      <c r="AH52" s="163"/>
      <c r="AI52" s="161">
        <f>IF(ISNUMBER(U52),U52,0)+IF(ISNUMBER(Z52),Z52,0)</f>
        <v>0</v>
      </c>
      <c r="AJ52" s="162"/>
      <c r="AK52" s="162"/>
      <c r="AL52" s="162"/>
      <c r="AM52" s="163"/>
      <c r="AN52" s="161">
        <v>0</v>
      </c>
      <c r="AO52" s="162"/>
      <c r="AP52" s="162"/>
      <c r="AQ52" s="162"/>
      <c r="AR52" s="163"/>
      <c r="AS52" s="161">
        <v>0</v>
      </c>
      <c r="AT52" s="162"/>
      <c r="AU52" s="162"/>
      <c r="AV52" s="162"/>
      <c r="AW52" s="163"/>
      <c r="AX52" s="161">
        <v>0</v>
      </c>
      <c r="AY52" s="162"/>
      <c r="AZ52" s="162"/>
      <c r="BA52" s="163"/>
      <c r="BB52" s="161">
        <f>IF(ISNUMBER(AN52),AN52,0)+IF(ISNUMBER(AS52),AS52,0)</f>
        <v>0</v>
      </c>
      <c r="BC52" s="162"/>
      <c r="BD52" s="162"/>
      <c r="BE52" s="162"/>
      <c r="BF52" s="163"/>
      <c r="BG52" s="161">
        <v>18600</v>
      </c>
      <c r="BH52" s="162"/>
      <c r="BI52" s="162"/>
      <c r="BJ52" s="162"/>
      <c r="BK52" s="163"/>
      <c r="BL52" s="161">
        <v>0</v>
      </c>
      <c r="BM52" s="162"/>
      <c r="BN52" s="162"/>
      <c r="BO52" s="162"/>
      <c r="BP52" s="163"/>
      <c r="BQ52" s="161">
        <v>0</v>
      </c>
      <c r="BR52" s="162"/>
      <c r="BS52" s="162"/>
      <c r="BT52" s="163"/>
      <c r="BU52" s="161">
        <f>IF(ISNUMBER(BG52),BG52,0)+IF(ISNUMBER(BL52),BL52,0)</f>
        <v>18600</v>
      </c>
      <c r="BV52" s="162"/>
      <c r="BW52" s="162"/>
      <c r="BX52" s="162"/>
      <c r="BY52" s="163"/>
    </row>
    <row r="53" spans="1:79" s="137" customFormat="1" ht="12.75" customHeight="1" x14ac:dyDescent="0.2">
      <c r="A53" s="157">
        <v>2240</v>
      </c>
      <c r="B53" s="158"/>
      <c r="C53" s="158"/>
      <c r="D53" s="159"/>
      <c r="E53" s="131" t="s">
        <v>257</v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3"/>
      <c r="U53" s="161">
        <v>8000</v>
      </c>
      <c r="V53" s="162"/>
      <c r="W53" s="162"/>
      <c r="X53" s="162"/>
      <c r="Y53" s="163"/>
      <c r="Z53" s="161">
        <v>0</v>
      </c>
      <c r="AA53" s="162"/>
      <c r="AB53" s="162"/>
      <c r="AC53" s="162"/>
      <c r="AD53" s="163"/>
      <c r="AE53" s="161">
        <v>0</v>
      </c>
      <c r="AF53" s="162"/>
      <c r="AG53" s="162"/>
      <c r="AH53" s="163"/>
      <c r="AI53" s="161">
        <f>IF(ISNUMBER(U53),U53,0)+IF(ISNUMBER(Z53),Z53,0)</f>
        <v>8000</v>
      </c>
      <c r="AJ53" s="162"/>
      <c r="AK53" s="162"/>
      <c r="AL53" s="162"/>
      <c r="AM53" s="163"/>
      <c r="AN53" s="161">
        <v>8400</v>
      </c>
      <c r="AO53" s="162"/>
      <c r="AP53" s="162"/>
      <c r="AQ53" s="162"/>
      <c r="AR53" s="163"/>
      <c r="AS53" s="161">
        <v>0</v>
      </c>
      <c r="AT53" s="162"/>
      <c r="AU53" s="162"/>
      <c r="AV53" s="162"/>
      <c r="AW53" s="163"/>
      <c r="AX53" s="161">
        <v>0</v>
      </c>
      <c r="AY53" s="162"/>
      <c r="AZ53" s="162"/>
      <c r="BA53" s="163"/>
      <c r="BB53" s="161">
        <f>IF(ISNUMBER(AN53),AN53,0)+IF(ISNUMBER(AS53),AS53,0)</f>
        <v>8400</v>
      </c>
      <c r="BC53" s="162"/>
      <c r="BD53" s="162"/>
      <c r="BE53" s="162"/>
      <c r="BF53" s="163"/>
      <c r="BG53" s="161">
        <v>11000</v>
      </c>
      <c r="BH53" s="162"/>
      <c r="BI53" s="162"/>
      <c r="BJ53" s="162"/>
      <c r="BK53" s="163"/>
      <c r="BL53" s="161">
        <v>0</v>
      </c>
      <c r="BM53" s="162"/>
      <c r="BN53" s="162"/>
      <c r="BO53" s="162"/>
      <c r="BP53" s="163"/>
      <c r="BQ53" s="161">
        <v>0</v>
      </c>
      <c r="BR53" s="162"/>
      <c r="BS53" s="162"/>
      <c r="BT53" s="163"/>
      <c r="BU53" s="161">
        <f>IF(ISNUMBER(BG53),BG53,0)+IF(ISNUMBER(BL53),BL53,0)</f>
        <v>11000</v>
      </c>
      <c r="BV53" s="162"/>
      <c r="BW53" s="162"/>
      <c r="BX53" s="162"/>
      <c r="BY53" s="163"/>
    </row>
    <row r="54" spans="1:79" s="137" customFormat="1" ht="12.75" customHeight="1" x14ac:dyDescent="0.2">
      <c r="A54" s="157">
        <v>2250</v>
      </c>
      <c r="B54" s="158"/>
      <c r="C54" s="158"/>
      <c r="D54" s="159"/>
      <c r="E54" s="131" t="s">
        <v>258</v>
      </c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3"/>
      <c r="U54" s="161">
        <v>0</v>
      </c>
      <c r="V54" s="162"/>
      <c r="W54" s="162"/>
      <c r="X54" s="162"/>
      <c r="Y54" s="163"/>
      <c r="Z54" s="161">
        <v>0</v>
      </c>
      <c r="AA54" s="162"/>
      <c r="AB54" s="162"/>
      <c r="AC54" s="162"/>
      <c r="AD54" s="163"/>
      <c r="AE54" s="161">
        <v>0</v>
      </c>
      <c r="AF54" s="162"/>
      <c r="AG54" s="162"/>
      <c r="AH54" s="163"/>
      <c r="AI54" s="161">
        <f>IF(ISNUMBER(U54),U54,0)+IF(ISNUMBER(Z54),Z54,0)</f>
        <v>0</v>
      </c>
      <c r="AJ54" s="162"/>
      <c r="AK54" s="162"/>
      <c r="AL54" s="162"/>
      <c r="AM54" s="163"/>
      <c r="AN54" s="161">
        <v>5000</v>
      </c>
      <c r="AO54" s="162"/>
      <c r="AP54" s="162"/>
      <c r="AQ54" s="162"/>
      <c r="AR54" s="163"/>
      <c r="AS54" s="161">
        <v>0</v>
      </c>
      <c r="AT54" s="162"/>
      <c r="AU54" s="162"/>
      <c r="AV54" s="162"/>
      <c r="AW54" s="163"/>
      <c r="AX54" s="161">
        <v>0</v>
      </c>
      <c r="AY54" s="162"/>
      <c r="AZ54" s="162"/>
      <c r="BA54" s="163"/>
      <c r="BB54" s="161">
        <f>IF(ISNUMBER(AN54),AN54,0)+IF(ISNUMBER(AS54),AS54,0)</f>
        <v>5000</v>
      </c>
      <c r="BC54" s="162"/>
      <c r="BD54" s="162"/>
      <c r="BE54" s="162"/>
      <c r="BF54" s="163"/>
      <c r="BG54" s="161">
        <v>10000</v>
      </c>
      <c r="BH54" s="162"/>
      <c r="BI54" s="162"/>
      <c r="BJ54" s="162"/>
      <c r="BK54" s="163"/>
      <c r="BL54" s="161">
        <v>0</v>
      </c>
      <c r="BM54" s="162"/>
      <c r="BN54" s="162"/>
      <c r="BO54" s="162"/>
      <c r="BP54" s="163"/>
      <c r="BQ54" s="161">
        <v>0</v>
      </c>
      <c r="BR54" s="162"/>
      <c r="BS54" s="162"/>
      <c r="BT54" s="163"/>
      <c r="BU54" s="161">
        <f>IF(ISNUMBER(BG54),BG54,0)+IF(ISNUMBER(BL54),BL54,0)</f>
        <v>10000</v>
      </c>
      <c r="BV54" s="162"/>
      <c r="BW54" s="162"/>
      <c r="BX54" s="162"/>
      <c r="BY54" s="163"/>
    </row>
    <row r="55" spans="1:79" s="137" customFormat="1" ht="38.25" customHeight="1" x14ac:dyDescent="0.2">
      <c r="A55" s="157">
        <v>2282</v>
      </c>
      <c r="B55" s="158"/>
      <c r="C55" s="158"/>
      <c r="D55" s="159"/>
      <c r="E55" s="131" t="s">
        <v>259</v>
      </c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3"/>
      <c r="U55" s="161">
        <v>0</v>
      </c>
      <c r="V55" s="162"/>
      <c r="W55" s="162"/>
      <c r="X55" s="162"/>
      <c r="Y55" s="163"/>
      <c r="Z55" s="161">
        <v>0</v>
      </c>
      <c r="AA55" s="162"/>
      <c r="AB55" s="162"/>
      <c r="AC55" s="162"/>
      <c r="AD55" s="163"/>
      <c r="AE55" s="161">
        <v>0</v>
      </c>
      <c r="AF55" s="162"/>
      <c r="AG55" s="162"/>
      <c r="AH55" s="163"/>
      <c r="AI55" s="161">
        <f>IF(ISNUMBER(U55),U55,0)+IF(ISNUMBER(Z55),Z55,0)</f>
        <v>0</v>
      </c>
      <c r="AJ55" s="162"/>
      <c r="AK55" s="162"/>
      <c r="AL55" s="162"/>
      <c r="AM55" s="163"/>
      <c r="AN55" s="161">
        <v>1000</v>
      </c>
      <c r="AO55" s="162"/>
      <c r="AP55" s="162"/>
      <c r="AQ55" s="162"/>
      <c r="AR55" s="163"/>
      <c r="AS55" s="161">
        <v>0</v>
      </c>
      <c r="AT55" s="162"/>
      <c r="AU55" s="162"/>
      <c r="AV55" s="162"/>
      <c r="AW55" s="163"/>
      <c r="AX55" s="161">
        <v>0</v>
      </c>
      <c r="AY55" s="162"/>
      <c r="AZ55" s="162"/>
      <c r="BA55" s="163"/>
      <c r="BB55" s="161">
        <f>IF(ISNUMBER(AN55),AN55,0)+IF(ISNUMBER(AS55),AS55,0)</f>
        <v>1000</v>
      </c>
      <c r="BC55" s="162"/>
      <c r="BD55" s="162"/>
      <c r="BE55" s="162"/>
      <c r="BF55" s="163"/>
      <c r="BG55" s="161">
        <v>0</v>
      </c>
      <c r="BH55" s="162"/>
      <c r="BI55" s="162"/>
      <c r="BJ55" s="162"/>
      <c r="BK55" s="163"/>
      <c r="BL55" s="161">
        <v>0</v>
      </c>
      <c r="BM55" s="162"/>
      <c r="BN55" s="162"/>
      <c r="BO55" s="162"/>
      <c r="BP55" s="163"/>
      <c r="BQ55" s="161">
        <v>0</v>
      </c>
      <c r="BR55" s="162"/>
      <c r="BS55" s="162"/>
      <c r="BT55" s="163"/>
      <c r="BU55" s="161">
        <f>IF(ISNUMBER(BG55),BG55,0)+IF(ISNUMBER(BL55),BL55,0)</f>
        <v>0</v>
      </c>
      <c r="BV55" s="162"/>
      <c r="BW55" s="162"/>
      <c r="BX55" s="162"/>
      <c r="BY55" s="163"/>
    </row>
    <row r="56" spans="1:79" s="9" customFormat="1" ht="12.75" customHeight="1" x14ac:dyDescent="0.2">
      <c r="A56" s="119"/>
      <c r="B56" s="117"/>
      <c r="C56" s="117"/>
      <c r="D56" s="118"/>
      <c r="E56" s="138" t="s">
        <v>179</v>
      </c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40"/>
      <c r="U56" s="165">
        <v>1156766</v>
      </c>
      <c r="V56" s="166"/>
      <c r="W56" s="166"/>
      <c r="X56" s="166"/>
      <c r="Y56" s="167"/>
      <c r="Z56" s="165">
        <v>0</v>
      </c>
      <c r="AA56" s="166"/>
      <c r="AB56" s="166"/>
      <c r="AC56" s="166"/>
      <c r="AD56" s="167"/>
      <c r="AE56" s="165">
        <v>0</v>
      </c>
      <c r="AF56" s="166"/>
      <c r="AG56" s="166"/>
      <c r="AH56" s="167"/>
      <c r="AI56" s="165">
        <f>IF(ISNUMBER(U56),U56,0)+IF(ISNUMBER(Z56),Z56,0)</f>
        <v>1156766</v>
      </c>
      <c r="AJ56" s="166"/>
      <c r="AK56" s="166"/>
      <c r="AL56" s="166"/>
      <c r="AM56" s="167"/>
      <c r="AN56" s="165">
        <v>1562597</v>
      </c>
      <c r="AO56" s="166"/>
      <c r="AP56" s="166"/>
      <c r="AQ56" s="166"/>
      <c r="AR56" s="167"/>
      <c r="AS56" s="165">
        <v>0</v>
      </c>
      <c r="AT56" s="166"/>
      <c r="AU56" s="166"/>
      <c r="AV56" s="166"/>
      <c r="AW56" s="167"/>
      <c r="AX56" s="165">
        <v>0</v>
      </c>
      <c r="AY56" s="166"/>
      <c r="AZ56" s="166"/>
      <c r="BA56" s="167"/>
      <c r="BB56" s="165">
        <f>IF(ISNUMBER(AN56),AN56,0)+IF(ISNUMBER(AS56),AS56,0)</f>
        <v>1562597</v>
      </c>
      <c r="BC56" s="166"/>
      <c r="BD56" s="166"/>
      <c r="BE56" s="166"/>
      <c r="BF56" s="167"/>
      <c r="BG56" s="165">
        <v>1701082</v>
      </c>
      <c r="BH56" s="166"/>
      <c r="BI56" s="166"/>
      <c r="BJ56" s="166"/>
      <c r="BK56" s="167"/>
      <c r="BL56" s="165">
        <v>0</v>
      </c>
      <c r="BM56" s="166"/>
      <c r="BN56" s="166"/>
      <c r="BO56" s="166"/>
      <c r="BP56" s="167"/>
      <c r="BQ56" s="165">
        <v>0</v>
      </c>
      <c r="BR56" s="166"/>
      <c r="BS56" s="166"/>
      <c r="BT56" s="167"/>
      <c r="BU56" s="165">
        <f>IF(ISNUMBER(BG56),BG56,0)+IF(ISNUMBER(BL56),BL56,0)</f>
        <v>1701082</v>
      </c>
      <c r="BV56" s="166"/>
      <c r="BW56" s="166"/>
      <c r="BX56" s="166"/>
      <c r="BY56" s="167"/>
    </row>
    <row r="58" spans="1:79" ht="14.25" customHeight="1" x14ac:dyDescent="0.2">
      <c r="A58" s="67" t="s">
        <v>307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1:79" ht="15" customHeight="1" x14ac:dyDescent="0.2">
      <c r="A59" s="78" t="s">
        <v>243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</row>
    <row r="60" spans="1:79" ht="23.1" customHeight="1" x14ac:dyDescent="0.2">
      <c r="A60" s="93" t="s">
        <v>150</v>
      </c>
      <c r="B60" s="94"/>
      <c r="C60" s="94"/>
      <c r="D60" s="94"/>
      <c r="E60" s="95"/>
      <c r="F60" s="57" t="s">
        <v>20</v>
      </c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1" t="s">
        <v>244</v>
      </c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3"/>
      <c r="AN60" s="51" t="s">
        <v>245</v>
      </c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3"/>
      <c r="BG60" s="51" t="s">
        <v>246</v>
      </c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3"/>
    </row>
    <row r="61" spans="1:79" ht="51.75" customHeight="1" x14ac:dyDescent="0.2">
      <c r="A61" s="96"/>
      <c r="B61" s="97"/>
      <c r="C61" s="97"/>
      <c r="D61" s="97"/>
      <c r="E61" s="98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1" t="s">
        <v>5</v>
      </c>
      <c r="V61" s="52"/>
      <c r="W61" s="52"/>
      <c r="X61" s="52"/>
      <c r="Y61" s="53"/>
      <c r="Z61" s="51" t="s">
        <v>4</v>
      </c>
      <c r="AA61" s="52"/>
      <c r="AB61" s="52"/>
      <c r="AC61" s="52"/>
      <c r="AD61" s="53"/>
      <c r="AE61" s="71" t="s">
        <v>147</v>
      </c>
      <c r="AF61" s="72"/>
      <c r="AG61" s="72"/>
      <c r="AH61" s="73"/>
      <c r="AI61" s="51" t="s">
        <v>6</v>
      </c>
      <c r="AJ61" s="52"/>
      <c r="AK61" s="52"/>
      <c r="AL61" s="52"/>
      <c r="AM61" s="53"/>
      <c r="AN61" s="51" t="s">
        <v>5</v>
      </c>
      <c r="AO61" s="52"/>
      <c r="AP61" s="52"/>
      <c r="AQ61" s="52"/>
      <c r="AR61" s="53"/>
      <c r="AS61" s="51" t="s">
        <v>4</v>
      </c>
      <c r="AT61" s="52"/>
      <c r="AU61" s="52"/>
      <c r="AV61" s="52"/>
      <c r="AW61" s="53"/>
      <c r="AX61" s="71" t="s">
        <v>147</v>
      </c>
      <c r="AY61" s="72"/>
      <c r="AZ61" s="72"/>
      <c r="BA61" s="73"/>
      <c r="BB61" s="51" t="s">
        <v>118</v>
      </c>
      <c r="BC61" s="52"/>
      <c r="BD61" s="52"/>
      <c r="BE61" s="52"/>
      <c r="BF61" s="53"/>
      <c r="BG61" s="51" t="s">
        <v>5</v>
      </c>
      <c r="BH61" s="52"/>
      <c r="BI61" s="52"/>
      <c r="BJ61" s="52"/>
      <c r="BK61" s="53"/>
      <c r="BL61" s="51" t="s">
        <v>4</v>
      </c>
      <c r="BM61" s="52"/>
      <c r="BN61" s="52"/>
      <c r="BO61" s="52"/>
      <c r="BP61" s="53"/>
      <c r="BQ61" s="71" t="s">
        <v>147</v>
      </c>
      <c r="BR61" s="72"/>
      <c r="BS61" s="72"/>
      <c r="BT61" s="73"/>
      <c r="BU61" s="57" t="s">
        <v>119</v>
      </c>
      <c r="BV61" s="57"/>
      <c r="BW61" s="57"/>
      <c r="BX61" s="57"/>
      <c r="BY61" s="57"/>
    </row>
    <row r="62" spans="1:79" ht="15" customHeight="1" x14ac:dyDescent="0.2">
      <c r="A62" s="51">
        <v>1</v>
      </c>
      <c r="B62" s="52"/>
      <c r="C62" s="52"/>
      <c r="D62" s="52"/>
      <c r="E62" s="53"/>
      <c r="F62" s="51">
        <v>2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3"/>
      <c r="U62" s="51">
        <v>3</v>
      </c>
      <c r="V62" s="52"/>
      <c r="W62" s="52"/>
      <c r="X62" s="52"/>
      <c r="Y62" s="53"/>
      <c r="Z62" s="51">
        <v>4</v>
      </c>
      <c r="AA62" s="52"/>
      <c r="AB62" s="52"/>
      <c r="AC62" s="52"/>
      <c r="AD62" s="53"/>
      <c r="AE62" s="51">
        <v>5</v>
      </c>
      <c r="AF62" s="52"/>
      <c r="AG62" s="52"/>
      <c r="AH62" s="53"/>
      <c r="AI62" s="51">
        <v>6</v>
      </c>
      <c r="AJ62" s="52"/>
      <c r="AK62" s="52"/>
      <c r="AL62" s="52"/>
      <c r="AM62" s="53"/>
      <c r="AN62" s="51">
        <v>7</v>
      </c>
      <c r="AO62" s="52"/>
      <c r="AP62" s="52"/>
      <c r="AQ62" s="52"/>
      <c r="AR62" s="53"/>
      <c r="AS62" s="51">
        <v>8</v>
      </c>
      <c r="AT62" s="52"/>
      <c r="AU62" s="52"/>
      <c r="AV62" s="52"/>
      <c r="AW62" s="53"/>
      <c r="AX62" s="51">
        <v>9</v>
      </c>
      <c r="AY62" s="52"/>
      <c r="AZ62" s="52"/>
      <c r="BA62" s="53"/>
      <c r="BB62" s="51">
        <v>10</v>
      </c>
      <c r="BC62" s="52"/>
      <c r="BD62" s="52"/>
      <c r="BE62" s="52"/>
      <c r="BF62" s="53"/>
      <c r="BG62" s="51">
        <v>11</v>
      </c>
      <c r="BH62" s="52"/>
      <c r="BI62" s="52"/>
      <c r="BJ62" s="52"/>
      <c r="BK62" s="53"/>
      <c r="BL62" s="51">
        <v>12</v>
      </c>
      <c r="BM62" s="52"/>
      <c r="BN62" s="52"/>
      <c r="BO62" s="52"/>
      <c r="BP62" s="53"/>
      <c r="BQ62" s="51">
        <v>13</v>
      </c>
      <c r="BR62" s="52"/>
      <c r="BS62" s="52"/>
      <c r="BT62" s="53"/>
      <c r="BU62" s="57">
        <v>14</v>
      </c>
      <c r="BV62" s="57"/>
      <c r="BW62" s="57"/>
      <c r="BX62" s="57"/>
      <c r="BY62" s="57"/>
    </row>
    <row r="63" spans="1:79" s="2" customFormat="1" ht="13.5" hidden="1" customHeight="1" x14ac:dyDescent="0.2">
      <c r="A63" s="54" t="s">
        <v>85</v>
      </c>
      <c r="B63" s="55"/>
      <c r="C63" s="55"/>
      <c r="D63" s="55"/>
      <c r="E63" s="56"/>
      <c r="F63" s="54" t="s">
        <v>78</v>
      </c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6"/>
      <c r="U63" s="54" t="s">
        <v>86</v>
      </c>
      <c r="V63" s="55"/>
      <c r="W63" s="55"/>
      <c r="X63" s="55"/>
      <c r="Y63" s="56"/>
      <c r="Z63" s="54" t="s">
        <v>87</v>
      </c>
      <c r="AA63" s="55"/>
      <c r="AB63" s="55"/>
      <c r="AC63" s="55"/>
      <c r="AD63" s="56"/>
      <c r="AE63" s="54" t="s">
        <v>113</v>
      </c>
      <c r="AF63" s="55"/>
      <c r="AG63" s="55"/>
      <c r="AH63" s="56"/>
      <c r="AI63" s="75" t="s">
        <v>217</v>
      </c>
      <c r="AJ63" s="76"/>
      <c r="AK63" s="76"/>
      <c r="AL63" s="76"/>
      <c r="AM63" s="77"/>
      <c r="AN63" s="54" t="s">
        <v>88</v>
      </c>
      <c r="AO63" s="55"/>
      <c r="AP63" s="55"/>
      <c r="AQ63" s="55"/>
      <c r="AR63" s="56"/>
      <c r="AS63" s="54" t="s">
        <v>89</v>
      </c>
      <c r="AT63" s="55"/>
      <c r="AU63" s="55"/>
      <c r="AV63" s="55"/>
      <c r="AW63" s="56"/>
      <c r="AX63" s="54" t="s">
        <v>114</v>
      </c>
      <c r="AY63" s="55"/>
      <c r="AZ63" s="55"/>
      <c r="BA63" s="56"/>
      <c r="BB63" s="75" t="s">
        <v>217</v>
      </c>
      <c r="BC63" s="76"/>
      <c r="BD63" s="76"/>
      <c r="BE63" s="76"/>
      <c r="BF63" s="77"/>
      <c r="BG63" s="54" t="s">
        <v>79</v>
      </c>
      <c r="BH63" s="55"/>
      <c r="BI63" s="55"/>
      <c r="BJ63" s="55"/>
      <c r="BK63" s="56"/>
      <c r="BL63" s="54" t="s">
        <v>80</v>
      </c>
      <c r="BM63" s="55"/>
      <c r="BN63" s="55"/>
      <c r="BO63" s="55"/>
      <c r="BP63" s="56"/>
      <c r="BQ63" s="54" t="s">
        <v>115</v>
      </c>
      <c r="BR63" s="55"/>
      <c r="BS63" s="55"/>
      <c r="BT63" s="56"/>
      <c r="BU63" s="69" t="s">
        <v>217</v>
      </c>
      <c r="BV63" s="69"/>
      <c r="BW63" s="69"/>
      <c r="BX63" s="69"/>
      <c r="BY63" s="69"/>
      <c r="CA63" t="s">
        <v>35</v>
      </c>
    </row>
    <row r="64" spans="1:79" s="9" customFormat="1" ht="12.75" customHeight="1" x14ac:dyDescent="0.2">
      <c r="A64" s="119"/>
      <c r="B64" s="117"/>
      <c r="C64" s="117"/>
      <c r="D64" s="117"/>
      <c r="E64" s="118"/>
      <c r="F64" s="119" t="s">
        <v>179</v>
      </c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8"/>
      <c r="U64" s="165"/>
      <c r="V64" s="166"/>
      <c r="W64" s="166"/>
      <c r="X64" s="166"/>
      <c r="Y64" s="167"/>
      <c r="Z64" s="165"/>
      <c r="AA64" s="166"/>
      <c r="AB64" s="166"/>
      <c r="AC64" s="166"/>
      <c r="AD64" s="167"/>
      <c r="AE64" s="165"/>
      <c r="AF64" s="166"/>
      <c r="AG64" s="166"/>
      <c r="AH64" s="167"/>
      <c r="AI64" s="165">
        <f>IF(ISNUMBER(U64),U64,0)+IF(ISNUMBER(Z64),Z64,0)</f>
        <v>0</v>
      </c>
      <c r="AJ64" s="166"/>
      <c r="AK64" s="166"/>
      <c r="AL64" s="166"/>
      <c r="AM64" s="167"/>
      <c r="AN64" s="165"/>
      <c r="AO64" s="166"/>
      <c r="AP64" s="166"/>
      <c r="AQ64" s="166"/>
      <c r="AR64" s="167"/>
      <c r="AS64" s="165"/>
      <c r="AT64" s="166"/>
      <c r="AU64" s="166"/>
      <c r="AV64" s="166"/>
      <c r="AW64" s="167"/>
      <c r="AX64" s="165"/>
      <c r="AY64" s="166"/>
      <c r="AZ64" s="166"/>
      <c r="BA64" s="167"/>
      <c r="BB64" s="165">
        <f>IF(ISNUMBER(AN64),AN64,0)+IF(ISNUMBER(AS64),AS64,0)</f>
        <v>0</v>
      </c>
      <c r="BC64" s="166"/>
      <c r="BD64" s="166"/>
      <c r="BE64" s="166"/>
      <c r="BF64" s="167"/>
      <c r="BG64" s="165"/>
      <c r="BH64" s="166"/>
      <c r="BI64" s="166"/>
      <c r="BJ64" s="166"/>
      <c r="BK64" s="167"/>
      <c r="BL64" s="165"/>
      <c r="BM64" s="166"/>
      <c r="BN64" s="166"/>
      <c r="BO64" s="166"/>
      <c r="BP64" s="167"/>
      <c r="BQ64" s="165"/>
      <c r="BR64" s="166"/>
      <c r="BS64" s="166"/>
      <c r="BT64" s="167"/>
      <c r="BU64" s="165">
        <f>IF(ISNUMBER(BG64),BG64,0)+IF(ISNUMBER(BL64),BL64,0)</f>
        <v>0</v>
      </c>
      <c r="BV64" s="166"/>
      <c r="BW64" s="166"/>
      <c r="BX64" s="166"/>
      <c r="BY64" s="167"/>
      <c r="CA64" s="9" t="s">
        <v>36</v>
      </c>
    </row>
    <row r="66" spans="1:79" ht="14.25" customHeight="1" x14ac:dyDescent="0.2">
      <c r="A66" s="67" t="s">
        <v>319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1:79" ht="15" customHeight="1" x14ac:dyDescent="0.2">
      <c r="A67" s="78" t="s">
        <v>243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</row>
    <row r="68" spans="1:79" ht="23.1" customHeight="1" x14ac:dyDescent="0.2">
      <c r="A68" s="93" t="s">
        <v>149</v>
      </c>
      <c r="B68" s="94"/>
      <c r="C68" s="94"/>
      <c r="D68" s="95"/>
      <c r="E68" s="86" t="s">
        <v>20</v>
      </c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8"/>
      <c r="X68" s="51" t="s">
        <v>247</v>
      </c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3"/>
      <c r="AR68" s="57" t="s">
        <v>249</v>
      </c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</row>
    <row r="69" spans="1:79" ht="48.75" customHeight="1" x14ac:dyDescent="0.2">
      <c r="A69" s="96"/>
      <c r="B69" s="97"/>
      <c r="C69" s="97"/>
      <c r="D69" s="98"/>
      <c r="E69" s="89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1"/>
      <c r="X69" s="86" t="s">
        <v>5</v>
      </c>
      <c r="Y69" s="87"/>
      <c r="Z69" s="87"/>
      <c r="AA69" s="87"/>
      <c r="AB69" s="88"/>
      <c r="AC69" s="86" t="s">
        <v>4</v>
      </c>
      <c r="AD69" s="87"/>
      <c r="AE69" s="87"/>
      <c r="AF69" s="87"/>
      <c r="AG69" s="88"/>
      <c r="AH69" s="71" t="s">
        <v>147</v>
      </c>
      <c r="AI69" s="72"/>
      <c r="AJ69" s="72"/>
      <c r="AK69" s="72"/>
      <c r="AL69" s="73"/>
      <c r="AM69" s="51" t="s">
        <v>6</v>
      </c>
      <c r="AN69" s="52"/>
      <c r="AO69" s="52"/>
      <c r="AP69" s="52"/>
      <c r="AQ69" s="53"/>
      <c r="AR69" s="51" t="s">
        <v>5</v>
      </c>
      <c r="AS69" s="52"/>
      <c r="AT69" s="52"/>
      <c r="AU69" s="52"/>
      <c r="AV69" s="53"/>
      <c r="AW69" s="51" t="s">
        <v>4</v>
      </c>
      <c r="AX69" s="52"/>
      <c r="AY69" s="52"/>
      <c r="AZ69" s="52"/>
      <c r="BA69" s="53"/>
      <c r="BB69" s="71" t="s">
        <v>147</v>
      </c>
      <c r="BC69" s="72"/>
      <c r="BD69" s="72"/>
      <c r="BE69" s="72"/>
      <c r="BF69" s="73"/>
      <c r="BG69" s="51" t="s">
        <v>118</v>
      </c>
      <c r="BH69" s="52"/>
      <c r="BI69" s="52"/>
      <c r="BJ69" s="52"/>
      <c r="BK69" s="53"/>
    </row>
    <row r="70" spans="1:79" ht="12.75" customHeight="1" x14ac:dyDescent="0.2">
      <c r="A70" s="51">
        <v>1</v>
      </c>
      <c r="B70" s="52"/>
      <c r="C70" s="52"/>
      <c r="D70" s="53"/>
      <c r="E70" s="51">
        <v>2</v>
      </c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3"/>
      <c r="X70" s="51">
        <v>3</v>
      </c>
      <c r="Y70" s="52"/>
      <c r="Z70" s="52"/>
      <c r="AA70" s="52"/>
      <c r="AB70" s="53"/>
      <c r="AC70" s="51">
        <v>4</v>
      </c>
      <c r="AD70" s="52"/>
      <c r="AE70" s="52"/>
      <c r="AF70" s="52"/>
      <c r="AG70" s="53"/>
      <c r="AH70" s="51">
        <v>5</v>
      </c>
      <c r="AI70" s="52"/>
      <c r="AJ70" s="52"/>
      <c r="AK70" s="52"/>
      <c r="AL70" s="53"/>
      <c r="AM70" s="51">
        <v>6</v>
      </c>
      <c r="AN70" s="52"/>
      <c r="AO70" s="52"/>
      <c r="AP70" s="52"/>
      <c r="AQ70" s="53"/>
      <c r="AR70" s="51">
        <v>7</v>
      </c>
      <c r="AS70" s="52"/>
      <c r="AT70" s="52"/>
      <c r="AU70" s="52"/>
      <c r="AV70" s="53"/>
      <c r="AW70" s="51">
        <v>8</v>
      </c>
      <c r="AX70" s="52"/>
      <c r="AY70" s="52"/>
      <c r="AZ70" s="52"/>
      <c r="BA70" s="53"/>
      <c r="BB70" s="51">
        <v>9</v>
      </c>
      <c r="BC70" s="52"/>
      <c r="BD70" s="52"/>
      <c r="BE70" s="52"/>
      <c r="BF70" s="53"/>
      <c r="BG70" s="51">
        <v>10</v>
      </c>
      <c r="BH70" s="52"/>
      <c r="BI70" s="52"/>
      <c r="BJ70" s="52"/>
      <c r="BK70" s="53"/>
    </row>
    <row r="71" spans="1:79" s="2" customFormat="1" ht="12.75" hidden="1" customHeight="1" x14ac:dyDescent="0.2">
      <c r="A71" s="54" t="s">
        <v>85</v>
      </c>
      <c r="B71" s="55"/>
      <c r="C71" s="55"/>
      <c r="D71" s="56"/>
      <c r="E71" s="54" t="s">
        <v>78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6"/>
      <c r="X71" s="106" t="s">
        <v>81</v>
      </c>
      <c r="Y71" s="107"/>
      <c r="Z71" s="107"/>
      <c r="AA71" s="107"/>
      <c r="AB71" s="108"/>
      <c r="AC71" s="106" t="s">
        <v>82</v>
      </c>
      <c r="AD71" s="107"/>
      <c r="AE71" s="107"/>
      <c r="AF71" s="107"/>
      <c r="AG71" s="108"/>
      <c r="AH71" s="54" t="s">
        <v>116</v>
      </c>
      <c r="AI71" s="55"/>
      <c r="AJ71" s="55"/>
      <c r="AK71" s="55"/>
      <c r="AL71" s="56"/>
      <c r="AM71" s="75" t="s">
        <v>218</v>
      </c>
      <c r="AN71" s="76"/>
      <c r="AO71" s="76"/>
      <c r="AP71" s="76"/>
      <c r="AQ71" s="77"/>
      <c r="AR71" s="54" t="s">
        <v>83</v>
      </c>
      <c r="AS71" s="55"/>
      <c r="AT71" s="55"/>
      <c r="AU71" s="55"/>
      <c r="AV71" s="56"/>
      <c r="AW71" s="54" t="s">
        <v>84</v>
      </c>
      <c r="AX71" s="55"/>
      <c r="AY71" s="55"/>
      <c r="AZ71" s="55"/>
      <c r="BA71" s="56"/>
      <c r="BB71" s="54" t="s">
        <v>117</v>
      </c>
      <c r="BC71" s="55"/>
      <c r="BD71" s="55"/>
      <c r="BE71" s="55"/>
      <c r="BF71" s="56"/>
      <c r="BG71" s="75" t="s">
        <v>218</v>
      </c>
      <c r="BH71" s="76"/>
      <c r="BI71" s="76"/>
      <c r="BJ71" s="76"/>
      <c r="BK71" s="77"/>
      <c r="CA71" t="s">
        <v>37</v>
      </c>
    </row>
    <row r="72" spans="1:79" s="137" customFormat="1" ht="12.75" customHeight="1" x14ac:dyDescent="0.2">
      <c r="A72" s="157">
        <v>2111</v>
      </c>
      <c r="B72" s="158"/>
      <c r="C72" s="158"/>
      <c r="D72" s="159"/>
      <c r="E72" s="131" t="s">
        <v>254</v>
      </c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3"/>
      <c r="X72" s="161">
        <v>1361870</v>
      </c>
      <c r="Y72" s="162"/>
      <c r="Z72" s="162"/>
      <c r="AA72" s="162"/>
      <c r="AB72" s="163"/>
      <c r="AC72" s="161">
        <v>0</v>
      </c>
      <c r="AD72" s="162"/>
      <c r="AE72" s="162"/>
      <c r="AF72" s="162"/>
      <c r="AG72" s="163"/>
      <c r="AH72" s="161">
        <v>0</v>
      </c>
      <c r="AI72" s="162"/>
      <c r="AJ72" s="162"/>
      <c r="AK72" s="162"/>
      <c r="AL72" s="163"/>
      <c r="AM72" s="161">
        <f>IF(ISNUMBER(X72),X72,0)+IF(ISNUMBER(AC72),AC72,0)</f>
        <v>1361870</v>
      </c>
      <c r="AN72" s="162"/>
      <c r="AO72" s="162"/>
      <c r="AP72" s="162"/>
      <c r="AQ72" s="163"/>
      <c r="AR72" s="161">
        <v>1361870</v>
      </c>
      <c r="AS72" s="162"/>
      <c r="AT72" s="162"/>
      <c r="AU72" s="162"/>
      <c r="AV72" s="163"/>
      <c r="AW72" s="161">
        <v>0</v>
      </c>
      <c r="AX72" s="162"/>
      <c r="AY72" s="162"/>
      <c r="AZ72" s="162"/>
      <c r="BA72" s="163"/>
      <c r="BB72" s="161">
        <v>0</v>
      </c>
      <c r="BC72" s="162"/>
      <c r="BD72" s="162"/>
      <c r="BE72" s="162"/>
      <c r="BF72" s="163"/>
      <c r="BG72" s="160">
        <f>IF(ISNUMBER(AR72),AR72,0)+IF(ISNUMBER(AW72),AW72,0)</f>
        <v>1361870</v>
      </c>
      <c r="BH72" s="160"/>
      <c r="BI72" s="160"/>
      <c r="BJ72" s="160"/>
      <c r="BK72" s="160"/>
      <c r="CA72" s="137" t="s">
        <v>38</v>
      </c>
    </row>
    <row r="73" spans="1:79" s="137" customFormat="1" ht="12.75" customHeight="1" x14ac:dyDescent="0.2">
      <c r="A73" s="157">
        <v>2120</v>
      </c>
      <c r="B73" s="158"/>
      <c r="C73" s="158"/>
      <c r="D73" s="159"/>
      <c r="E73" s="131" t="s">
        <v>255</v>
      </c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3"/>
      <c r="X73" s="161">
        <v>299612</v>
      </c>
      <c r="Y73" s="162"/>
      <c r="Z73" s="162"/>
      <c r="AA73" s="162"/>
      <c r="AB73" s="163"/>
      <c r="AC73" s="161">
        <v>0</v>
      </c>
      <c r="AD73" s="162"/>
      <c r="AE73" s="162"/>
      <c r="AF73" s="162"/>
      <c r="AG73" s="163"/>
      <c r="AH73" s="161">
        <v>0</v>
      </c>
      <c r="AI73" s="162"/>
      <c r="AJ73" s="162"/>
      <c r="AK73" s="162"/>
      <c r="AL73" s="163"/>
      <c r="AM73" s="161">
        <f>IF(ISNUMBER(X73),X73,0)+IF(ISNUMBER(AC73),AC73,0)</f>
        <v>299612</v>
      </c>
      <c r="AN73" s="162"/>
      <c r="AO73" s="162"/>
      <c r="AP73" s="162"/>
      <c r="AQ73" s="163"/>
      <c r="AR73" s="161">
        <v>299612</v>
      </c>
      <c r="AS73" s="162"/>
      <c r="AT73" s="162"/>
      <c r="AU73" s="162"/>
      <c r="AV73" s="163"/>
      <c r="AW73" s="161">
        <v>0</v>
      </c>
      <c r="AX73" s="162"/>
      <c r="AY73" s="162"/>
      <c r="AZ73" s="162"/>
      <c r="BA73" s="163"/>
      <c r="BB73" s="161">
        <v>0</v>
      </c>
      <c r="BC73" s="162"/>
      <c r="BD73" s="162"/>
      <c r="BE73" s="162"/>
      <c r="BF73" s="163"/>
      <c r="BG73" s="160">
        <f>IF(ISNUMBER(AR73),AR73,0)+IF(ISNUMBER(AW73),AW73,0)</f>
        <v>299612</v>
      </c>
      <c r="BH73" s="160"/>
      <c r="BI73" s="160"/>
      <c r="BJ73" s="160"/>
      <c r="BK73" s="160"/>
    </row>
    <row r="74" spans="1:79" s="137" customFormat="1" ht="12.75" customHeight="1" x14ac:dyDescent="0.2">
      <c r="A74" s="157">
        <v>2210</v>
      </c>
      <c r="B74" s="158"/>
      <c r="C74" s="158"/>
      <c r="D74" s="159"/>
      <c r="E74" s="131" t="s">
        <v>256</v>
      </c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3"/>
      <c r="X74" s="161">
        <v>19902</v>
      </c>
      <c r="Y74" s="162"/>
      <c r="Z74" s="162"/>
      <c r="AA74" s="162"/>
      <c r="AB74" s="163"/>
      <c r="AC74" s="161">
        <v>0</v>
      </c>
      <c r="AD74" s="162"/>
      <c r="AE74" s="162"/>
      <c r="AF74" s="162"/>
      <c r="AG74" s="163"/>
      <c r="AH74" s="161">
        <v>0</v>
      </c>
      <c r="AI74" s="162"/>
      <c r="AJ74" s="162"/>
      <c r="AK74" s="162"/>
      <c r="AL74" s="163"/>
      <c r="AM74" s="161">
        <f>IF(ISNUMBER(X74),X74,0)+IF(ISNUMBER(AC74),AC74,0)</f>
        <v>19902</v>
      </c>
      <c r="AN74" s="162"/>
      <c r="AO74" s="162"/>
      <c r="AP74" s="162"/>
      <c r="AQ74" s="163"/>
      <c r="AR74" s="161">
        <v>21056</v>
      </c>
      <c r="AS74" s="162"/>
      <c r="AT74" s="162"/>
      <c r="AU74" s="162"/>
      <c r="AV74" s="163"/>
      <c r="AW74" s="161">
        <v>0</v>
      </c>
      <c r="AX74" s="162"/>
      <c r="AY74" s="162"/>
      <c r="AZ74" s="162"/>
      <c r="BA74" s="163"/>
      <c r="BB74" s="161">
        <v>0</v>
      </c>
      <c r="BC74" s="162"/>
      <c r="BD74" s="162"/>
      <c r="BE74" s="162"/>
      <c r="BF74" s="163"/>
      <c r="BG74" s="160">
        <f>IF(ISNUMBER(AR74),AR74,0)+IF(ISNUMBER(AW74),AW74,0)</f>
        <v>21056</v>
      </c>
      <c r="BH74" s="160"/>
      <c r="BI74" s="160"/>
      <c r="BJ74" s="160"/>
      <c r="BK74" s="160"/>
    </row>
    <row r="75" spans="1:79" s="137" customFormat="1" ht="12.75" customHeight="1" x14ac:dyDescent="0.2">
      <c r="A75" s="157">
        <v>2240</v>
      </c>
      <c r="B75" s="158"/>
      <c r="C75" s="158"/>
      <c r="D75" s="159"/>
      <c r="E75" s="131" t="s">
        <v>257</v>
      </c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3"/>
      <c r="X75" s="161">
        <v>11770</v>
      </c>
      <c r="Y75" s="162"/>
      <c r="Z75" s="162"/>
      <c r="AA75" s="162"/>
      <c r="AB75" s="163"/>
      <c r="AC75" s="161">
        <v>0</v>
      </c>
      <c r="AD75" s="162"/>
      <c r="AE75" s="162"/>
      <c r="AF75" s="162"/>
      <c r="AG75" s="163"/>
      <c r="AH75" s="161">
        <v>0</v>
      </c>
      <c r="AI75" s="162"/>
      <c r="AJ75" s="162"/>
      <c r="AK75" s="162"/>
      <c r="AL75" s="163"/>
      <c r="AM75" s="161">
        <f>IF(ISNUMBER(X75),X75,0)+IF(ISNUMBER(AC75),AC75,0)</f>
        <v>11770</v>
      </c>
      <c r="AN75" s="162"/>
      <c r="AO75" s="162"/>
      <c r="AP75" s="162"/>
      <c r="AQ75" s="163"/>
      <c r="AR75" s="161">
        <v>12453</v>
      </c>
      <c r="AS75" s="162"/>
      <c r="AT75" s="162"/>
      <c r="AU75" s="162"/>
      <c r="AV75" s="163"/>
      <c r="AW75" s="161">
        <v>0</v>
      </c>
      <c r="AX75" s="162"/>
      <c r="AY75" s="162"/>
      <c r="AZ75" s="162"/>
      <c r="BA75" s="163"/>
      <c r="BB75" s="161">
        <v>0</v>
      </c>
      <c r="BC75" s="162"/>
      <c r="BD75" s="162"/>
      <c r="BE75" s="162"/>
      <c r="BF75" s="163"/>
      <c r="BG75" s="160">
        <f>IF(ISNUMBER(AR75),AR75,0)+IF(ISNUMBER(AW75),AW75,0)</f>
        <v>12453</v>
      </c>
      <c r="BH75" s="160"/>
      <c r="BI75" s="160"/>
      <c r="BJ75" s="160"/>
      <c r="BK75" s="160"/>
    </row>
    <row r="76" spans="1:79" s="137" customFormat="1" ht="12.75" customHeight="1" x14ac:dyDescent="0.2">
      <c r="A76" s="157">
        <v>2250</v>
      </c>
      <c r="B76" s="158"/>
      <c r="C76" s="158"/>
      <c r="D76" s="159"/>
      <c r="E76" s="131" t="s">
        <v>258</v>
      </c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3"/>
      <c r="X76" s="161">
        <v>10700</v>
      </c>
      <c r="Y76" s="162"/>
      <c r="Z76" s="162"/>
      <c r="AA76" s="162"/>
      <c r="AB76" s="163"/>
      <c r="AC76" s="161">
        <v>0</v>
      </c>
      <c r="AD76" s="162"/>
      <c r="AE76" s="162"/>
      <c r="AF76" s="162"/>
      <c r="AG76" s="163"/>
      <c r="AH76" s="161">
        <v>0</v>
      </c>
      <c r="AI76" s="162"/>
      <c r="AJ76" s="162"/>
      <c r="AK76" s="162"/>
      <c r="AL76" s="163"/>
      <c r="AM76" s="161">
        <f>IF(ISNUMBER(X76),X76,0)+IF(ISNUMBER(AC76),AC76,0)</f>
        <v>10700</v>
      </c>
      <c r="AN76" s="162"/>
      <c r="AO76" s="162"/>
      <c r="AP76" s="162"/>
      <c r="AQ76" s="163"/>
      <c r="AR76" s="161">
        <v>11321</v>
      </c>
      <c r="AS76" s="162"/>
      <c r="AT76" s="162"/>
      <c r="AU76" s="162"/>
      <c r="AV76" s="163"/>
      <c r="AW76" s="161">
        <v>0</v>
      </c>
      <c r="AX76" s="162"/>
      <c r="AY76" s="162"/>
      <c r="AZ76" s="162"/>
      <c r="BA76" s="163"/>
      <c r="BB76" s="161">
        <v>0</v>
      </c>
      <c r="BC76" s="162"/>
      <c r="BD76" s="162"/>
      <c r="BE76" s="162"/>
      <c r="BF76" s="163"/>
      <c r="BG76" s="160">
        <f>IF(ISNUMBER(AR76),AR76,0)+IF(ISNUMBER(AW76),AW76,0)</f>
        <v>11321</v>
      </c>
      <c r="BH76" s="160"/>
      <c r="BI76" s="160"/>
      <c r="BJ76" s="160"/>
      <c r="BK76" s="160"/>
    </row>
    <row r="77" spans="1:79" s="137" customFormat="1" ht="25.5" customHeight="1" x14ac:dyDescent="0.2">
      <c r="A77" s="157">
        <v>2282</v>
      </c>
      <c r="B77" s="158"/>
      <c r="C77" s="158"/>
      <c r="D77" s="159"/>
      <c r="E77" s="131" t="s">
        <v>259</v>
      </c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3"/>
      <c r="X77" s="161">
        <v>0</v>
      </c>
      <c r="Y77" s="162"/>
      <c r="Z77" s="162"/>
      <c r="AA77" s="162"/>
      <c r="AB77" s="163"/>
      <c r="AC77" s="161">
        <v>0</v>
      </c>
      <c r="AD77" s="162"/>
      <c r="AE77" s="162"/>
      <c r="AF77" s="162"/>
      <c r="AG77" s="163"/>
      <c r="AH77" s="161">
        <v>0</v>
      </c>
      <c r="AI77" s="162"/>
      <c r="AJ77" s="162"/>
      <c r="AK77" s="162"/>
      <c r="AL77" s="163"/>
      <c r="AM77" s="161">
        <f>IF(ISNUMBER(X77),X77,0)+IF(ISNUMBER(AC77),AC77,0)</f>
        <v>0</v>
      </c>
      <c r="AN77" s="162"/>
      <c r="AO77" s="162"/>
      <c r="AP77" s="162"/>
      <c r="AQ77" s="163"/>
      <c r="AR77" s="161">
        <v>0</v>
      </c>
      <c r="AS77" s="162"/>
      <c r="AT77" s="162"/>
      <c r="AU77" s="162"/>
      <c r="AV77" s="163"/>
      <c r="AW77" s="161">
        <v>0</v>
      </c>
      <c r="AX77" s="162"/>
      <c r="AY77" s="162"/>
      <c r="AZ77" s="162"/>
      <c r="BA77" s="163"/>
      <c r="BB77" s="161">
        <v>0</v>
      </c>
      <c r="BC77" s="162"/>
      <c r="BD77" s="162"/>
      <c r="BE77" s="162"/>
      <c r="BF77" s="163"/>
      <c r="BG77" s="160">
        <f>IF(ISNUMBER(AR77),AR77,0)+IF(ISNUMBER(AW77),AW77,0)</f>
        <v>0</v>
      </c>
      <c r="BH77" s="160"/>
      <c r="BI77" s="160"/>
      <c r="BJ77" s="160"/>
      <c r="BK77" s="160"/>
    </row>
    <row r="78" spans="1:79" s="9" customFormat="1" ht="12.75" customHeight="1" x14ac:dyDescent="0.2">
      <c r="A78" s="119"/>
      <c r="B78" s="117"/>
      <c r="C78" s="117"/>
      <c r="D78" s="118"/>
      <c r="E78" s="138" t="s">
        <v>179</v>
      </c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40"/>
      <c r="X78" s="165">
        <v>1703854</v>
      </c>
      <c r="Y78" s="166"/>
      <c r="Z78" s="166"/>
      <c r="AA78" s="166"/>
      <c r="AB78" s="167"/>
      <c r="AC78" s="165">
        <v>0</v>
      </c>
      <c r="AD78" s="166"/>
      <c r="AE78" s="166"/>
      <c r="AF78" s="166"/>
      <c r="AG78" s="167"/>
      <c r="AH78" s="165">
        <v>0</v>
      </c>
      <c r="AI78" s="166"/>
      <c r="AJ78" s="166"/>
      <c r="AK78" s="166"/>
      <c r="AL78" s="167"/>
      <c r="AM78" s="165">
        <f>IF(ISNUMBER(X78),X78,0)+IF(ISNUMBER(AC78),AC78,0)</f>
        <v>1703854</v>
      </c>
      <c r="AN78" s="166"/>
      <c r="AO78" s="166"/>
      <c r="AP78" s="166"/>
      <c r="AQ78" s="167"/>
      <c r="AR78" s="165">
        <v>1706312</v>
      </c>
      <c r="AS78" s="166"/>
      <c r="AT78" s="166"/>
      <c r="AU78" s="166"/>
      <c r="AV78" s="167"/>
      <c r="AW78" s="165">
        <v>0</v>
      </c>
      <c r="AX78" s="166"/>
      <c r="AY78" s="166"/>
      <c r="AZ78" s="166"/>
      <c r="BA78" s="167"/>
      <c r="BB78" s="165">
        <v>0</v>
      </c>
      <c r="BC78" s="166"/>
      <c r="BD78" s="166"/>
      <c r="BE78" s="166"/>
      <c r="BF78" s="167"/>
      <c r="BG78" s="164">
        <f>IF(ISNUMBER(AR78),AR78,0)+IF(ISNUMBER(AW78),AW78,0)</f>
        <v>1706312</v>
      </c>
      <c r="BH78" s="164"/>
      <c r="BI78" s="164"/>
      <c r="BJ78" s="164"/>
      <c r="BK78" s="164"/>
    </row>
    <row r="80" spans="1:79" ht="14.25" customHeight="1" x14ac:dyDescent="0.2">
      <c r="A80" s="67" t="s">
        <v>320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1:79" ht="15" customHeight="1" x14ac:dyDescent="0.2">
      <c r="A81" s="78" t="s">
        <v>243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</row>
    <row r="82" spans="1:79" ht="23.1" customHeight="1" x14ac:dyDescent="0.2">
      <c r="A82" s="93" t="s">
        <v>150</v>
      </c>
      <c r="B82" s="94"/>
      <c r="C82" s="94"/>
      <c r="D82" s="94"/>
      <c r="E82" s="95"/>
      <c r="F82" s="86" t="s">
        <v>20</v>
      </c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8"/>
      <c r="X82" s="57" t="s">
        <v>247</v>
      </c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1" t="s">
        <v>249</v>
      </c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3"/>
    </row>
    <row r="83" spans="1:79" ht="53.25" customHeight="1" x14ac:dyDescent="0.2">
      <c r="A83" s="96"/>
      <c r="B83" s="97"/>
      <c r="C83" s="97"/>
      <c r="D83" s="97"/>
      <c r="E83" s="98"/>
      <c r="F83" s="89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1"/>
      <c r="X83" s="51" t="s">
        <v>5</v>
      </c>
      <c r="Y83" s="52"/>
      <c r="Z83" s="52"/>
      <c r="AA83" s="52"/>
      <c r="AB83" s="53"/>
      <c r="AC83" s="51" t="s">
        <v>4</v>
      </c>
      <c r="AD83" s="52"/>
      <c r="AE83" s="52"/>
      <c r="AF83" s="52"/>
      <c r="AG83" s="53"/>
      <c r="AH83" s="71" t="s">
        <v>147</v>
      </c>
      <c r="AI83" s="72"/>
      <c r="AJ83" s="72"/>
      <c r="AK83" s="72"/>
      <c r="AL83" s="73"/>
      <c r="AM83" s="51" t="s">
        <v>6</v>
      </c>
      <c r="AN83" s="52"/>
      <c r="AO83" s="52"/>
      <c r="AP83" s="52"/>
      <c r="AQ83" s="53"/>
      <c r="AR83" s="51" t="s">
        <v>5</v>
      </c>
      <c r="AS83" s="52"/>
      <c r="AT83" s="52"/>
      <c r="AU83" s="52"/>
      <c r="AV83" s="53"/>
      <c r="AW83" s="51" t="s">
        <v>4</v>
      </c>
      <c r="AX83" s="52"/>
      <c r="AY83" s="52"/>
      <c r="AZ83" s="52"/>
      <c r="BA83" s="53"/>
      <c r="BB83" s="74" t="s">
        <v>147</v>
      </c>
      <c r="BC83" s="74"/>
      <c r="BD83" s="74"/>
      <c r="BE83" s="74"/>
      <c r="BF83" s="74"/>
      <c r="BG83" s="51" t="s">
        <v>118</v>
      </c>
      <c r="BH83" s="52"/>
      <c r="BI83" s="52"/>
      <c r="BJ83" s="52"/>
      <c r="BK83" s="53"/>
    </row>
    <row r="84" spans="1:79" ht="15" customHeight="1" x14ac:dyDescent="0.2">
      <c r="A84" s="51">
        <v>1</v>
      </c>
      <c r="B84" s="52"/>
      <c r="C84" s="52"/>
      <c r="D84" s="52"/>
      <c r="E84" s="53"/>
      <c r="F84" s="51">
        <v>2</v>
      </c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3"/>
      <c r="X84" s="51">
        <v>3</v>
      </c>
      <c r="Y84" s="52"/>
      <c r="Z84" s="52"/>
      <c r="AA84" s="52"/>
      <c r="AB84" s="53"/>
      <c r="AC84" s="51">
        <v>4</v>
      </c>
      <c r="AD84" s="52"/>
      <c r="AE84" s="52"/>
      <c r="AF84" s="52"/>
      <c r="AG84" s="53"/>
      <c r="AH84" s="51">
        <v>5</v>
      </c>
      <c r="AI84" s="52"/>
      <c r="AJ84" s="52"/>
      <c r="AK84" s="52"/>
      <c r="AL84" s="53"/>
      <c r="AM84" s="51">
        <v>6</v>
      </c>
      <c r="AN84" s="52"/>
      <c r="AO84" s="52"/>
      <c r="AP84" s="52"/>
      <c r="AQ84" s="53"/>
      <c r="AR84" s="51">
        <v>7</v>
      </c>
      <c r="AS84" s="52"/>
      <c r="AT84" s="52"/>
      <c r="AU84" s="52"/>
      <c r="AV84" s="53"/>
      <c r="AW84" s="51">
        <v>8</v>
      </c>
      <c r="AX84" s="52"/>
      <c r="AY84" s="52"/>
      <c r="AZ84" s="52"/>
      <c r="BA84" s="53"/>
      <c r="BB84" s="51">
        <v>9</v>
      </c>
      <c r="BC84" s="52"/>
      <c r="BD84" s="52"/>
      <c r="BE84" s="52"/>
      <c r="BF84" s="53"/>
      <c r="BG84" s="51">
        <v>10</v>
      </c>
      <c r="BH84" s="52"/>
      <c r="BI84" s="52"/>
      <c r="BJ84" s="52"/>
      <c r="BK84" s="53"/>
    </row>
    <row r="85" spans="1:79" s="2" customFormat="1" ht="15" hidden="1" customHeight="1" x14ac:dyDescent="0.2">
      <c r="A85" s="54" t="s">
        <v>85</v>
      </c>
      <c r="B85" s="55"/>
      <c r="C85" s="55"/>
      <c r="D85" s="55"/>
      <c r="E85" s="56"/>
      <c r="F85" s="54" t="s">
        <v>78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6"/>
      <c r="X85" s="54" t="s">
        <v>81</v>
      </c>
      <c r="Y85" s="55"/>
      <c r="Z85" s="55"/>
      <c r="AA85" s="55"/>
      <c r="AB85" s="56"/>
      <c r="AC85" s="54" t="s">
        <v>82</v>
      </c>
      <c r="AD85" s="55"/>
      <c r="AE85" s="55"/>
      <c r="AF85" s="55"/>
      <c r="AG85" s="56"/>
      <c r="AH85" s="54" t="s">
        <v>116</v>
      </c>
      <c r="AI85" s="55"/>
      <c r="AJ85" s="55"/>
      <c r="AK85" s="55"/>
      <c r="AL85" s="56"/>
      <c r="AM85" s="75" t="s">
        <v>218</v>
      </c>
      <c r="AN85" s="76"/>
      <c r="AO85" s="76"/>
      <c r="AP85" s="76"/>
      <c r="AQ85" s="77"/>
      <c r="AR85" s="54" t="s">
        <v>83</v>
      </c>
      <c r="AS85" s="55"/>
      <c r="AT85" s="55"/>
      <c r="AU85" s="55"/>
      <c r="AV85" s="56"/>
      <c r="AW85" s="54" t="s">
        <v>84</v>
      </c>
      <c r="AX85" s="55"/>
      <c r="AY85" s="55"/>
      <c r="AZ85" s="55"/>
      <c r="BA85" s="56"/>
      <c r="BB85" s="54" t="s">
        <v>117</v>
      </c>
      <c r="BC85" s="55"/>
      <c r="BD85" s="55"/>
      <c r="BE85" s="55"/>
      <c r="BF85" s="56"/>
      <c r="BG85" s="75" t="s">
        <v>218</v>
      </c>
      <c r="BH85" s="76"/>
      <c r="BI85" s="76"/>
      <c r="BJ85" s="76"/>
      <c r="BK85" s="77"/>
      <c r="CA85" t="s">
        <v>39</v>
      </c>
    </row>
    <row r="86" spans="1:79" s="9" customFormat="1" ht="12.75" customHeight="1" x14ac:dyDescent="0.2">
      <c r="A86" s="119"/>
      <c r="B86" s="117"/>
      <c r="C86" s="117"/>
      <c r="D86" s="117"/>
      <c r="E86" s="118"/>
      <c r="F86" s="119" t="s">
        <v>179</v>
      </c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8"/>
      <c r="X86" s="168"/>
      <c r="Y86" s="169"/>
      <c r="Z86" s="169"/>
      <c r="AA86" s="169"/>
      <c r="AB86" s="170"/>
      <c r="AC86" s="168"/>
      <c r="AD86" s="169"/>
      <c r="AE86" s="169"/>
      <c r="AF86" s="169"/>
      <c r="AG86" s="170"/>
      <c r="AH86" s="164"/>
      <c r="AI86" s="164"/>
      <c r="AJ86" s="164"/>
      <c r="AK86" s="164"/>
      <c r="AL86" s="164"/>
      <c r="AM86" s="164">
        <f>IF(ISNUMBER(X86),X86,0)+IF(ISNUMBER(AC86),AC86,0)</f>
        <v>0</v>
      </c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>
        <f>IF(ISNUMBER(AR86),AR86,0)+IF(ISNUMBER(AW86),AW86,0)</f>
        <v>0</v>
      </c>
      <c r="BH86" s="164"/>
      <c r="BI86" s="164"/>
      <c r="BJ86" s="164"/>
      <c r="BK86" s="164"/>
      <c r="CA86" s="9" t="s">
        <v>40</v>
      </c>
    </row>
    <row r="89" spans="1:79" ht="14.25" customHeight="1" x14ac:dyDescent="0.2">
      <c r="A89" s="67" t="s">
        <v>151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1:79" ht="14.25" customHeight="1" x14ac:dyDescent="0.2">
      <c r="A90" s="67" t="s">
        <v>308</v>
      </c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1:79" ht="15" customHeight="1" x14ac:dyDescent="0.2">
      <c r="A91" s="78" t="s">
        <v>243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</row>
    <row r="92" spans="1:79" ht="23.1" customHeight="1" x14ac:dyDescent="0.2">
      <c r="A92" s="86" t="s">
        <v>7</v>
      </c>
      <c r="B92" s="87"/>
      <c r="C92" s="87"/>
      <c r="D92" s="86" t="s">
        <v>152</v>
      </c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8"/>
      <c r="U92" s="51" t="s">
        <v>244</v>
      </c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3"/>
      <c r="AN92" s="51" t="s">
        <v>245</v>
      </c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3"/>
      <c r="BG92" s="57" t="s">
        <v>246</v>
      </c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</row>
    <row r="93" spans="1:79" ht="52.5" customHeight="1" x14ac:dyDescent="0.2">
      <c r="A93" s="89"/>
      <c r="B93" s="90"/>
      <c r="C93" s="90"/>
      <c r="D93" s="89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1"/>
      <c r="U93" s="51" t="s">
        <v>5</v>
      </c>
      <c r="V93" s="52"/>
      <c r="W93" s="52"/>
      <c r="X93" s="52"/>
      <c r="Y93" s="53"/>
      <c r="Z93" s="51" t="s">
        <v>4</v>
      </c>
      <c r="AA93" s="52"/>
      <c r="AB93" s="52"/>
      <c r="AC93" s="52"/>
      <c r="AD93" s="53"/>
      <c r="AE93" s="71" t="s">
        <v>147</v>
      </c>
      <c r="AF93" s="72"/>
      <c r="AG93" s="72"/>
      <c r="AH93" s="73"/>
      <c r="AI93" s="51" t="s">
        <v>6</v>
      </c>
      <c r="AJ93" s="52"/>
      <c r="AK93" s="52"/>
      <c r="AL93" s="52"/>
      <c r="AM93" s="53"/>
      <c r="AN93" s="51" t="s">
        <v>5</v>
      </c>
      <c r="AO93" s="52"/>
      <c r="AP93" s="52"/>
      <c r="AQ93" s="52"/>
      <c r="AR93" s="53"/>
      <c r="AS93" s="51" t="s">
        <v>4</v>
      </c>
      <c r="AT93" s="52"/>
      <c r="AU93" s="52"/>
      <c r="AV93" s="52"/>
      <c r="AW93" s="53"/>
      <c r="AX93" s="71" t="s">
        <v>147</v>
      </c>
      <c r="AY93" s="72"/>
      <c r="AZ93" s="72"/>
      <c r="BA93" s="73"/>
      <c r="BB93" s="51" t="s">
        <v>118</v>
      </c>
      <c r="BC93" s="52"/>
      <c r="BD93" s="52"/>
      <c r="BE93" s="52"/>
      <c r="BF93" s="53"/>
      <c r="BG93" s="51" t="s">
        <v>5</v>
      </c>
      <c r="BH93" s="52"/>
      <c r="BI93" s="52"/>
      <c r="BJ93" s="52"/>
      <c r="BK93" s="53"/>
      <c r="BL93" s="57" t="s">
        <v>4</v>
      </c>
      <c r="BM93" s="57"/>
      <c r="BN93" s="57"/>
      <c r="BO93" s="57"/>
      <c r="BP93" s="57"/>
      <c r="BQ93" s="74" t="s">
        <v>147</v>
      </c>
      <c r="BR93" s="74"/>
      <c r="BS93" s="74"/>
      <c r="BT93" s="74"/>
      <c r="BU93" s="51" t="s">
        <v>119</v>
      </c>
      <c r="BV93" s="52"/>
      <c r="BW93" s="52"/>
      <c r="BX93" s="52"/>
      <c r="BY93" s="53"/>
    </row>
    <row r="94" spans="1:79" ht="15" customHeight="1" x14ac:dyDescent="0.2">
      <c r="A94" s="51">
        <v>1</v>
      </c>
      <c r="B94" s="52"/>
      <c r="C94" s="52"/>
      <c r="D94" s="51">
        <v>2</v>
      </c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3"/>
      <c r="U94" s="51">
        <v>3</v>
      </c>
      <c r="V94" s="52"/>
      <c r="W94" s="52"/>
      <c r="X94" s="52"/>
      <c r="Y94" s="53"/>
      <c r="Z94" s="51">
        <v>4</v>
      </c>
      <c r="AA94" s="52"/>
      <c r="AB94" s="52"/>
      <c r="AC94" s="52"/>
      <c r="AD94" s="53"/>
      <c r="AE94" s="51">
        <v>5</v>
      </c>
      <c r="AF94" s="52"/>
      <c r="AG94" s="52"/>
      <c r="AH94" s="53"/>
      <c r="AI94" s="51">
        <v>6</v>
      </c>
      <c r="AJ94" s="52"/>
      <c r="AK94" s="52"/>
      <c r="AL94" s="52"/>
      <c r="AM94" s="53"/>
      <c r="AN94" s="51">
        <v>7</v>
      </c>
      <c r="AO94" s="52"/>
      <c r="AP94" s="52"/>
      <c r="AQ94" s="52"/>
      <c r="AR94" s="53"/>
      <c r="AS94" s="51">
        <v>8</v>
      </c>
      <c r="AT94" s="52"/>
      <c r="AU94" s="52"/>
      <c r="AV94" s="52"/>
      <c r="AW94" s="53"/>
      <c r="AX94" s="57">
        <v>9</v>
      </c>
      <c r="AY94" s="57"/>
      <c r="AZ94" s="57"/>
      <c r="BA94" s="57"/>
      <c r="BB94" s="51">
        <v>10</v>
      </c>
      <c r="BC94" s="52"/>
      <c r="BD94" s="52"/>
      <c r="BE94" s="52"/>
      <c r="BF94" s="53"/>
      <c r="BG94" s="51">
        <v>11</v>
      </c>
      <c r="BH94" s="52"/>
      <c r="BI94" s="52"/>
      <c r="BJ94" s="52"/>
      <c r="BK94" s="53"/>
      <c r="BL94" s="57">
        <v>12</v>
      </c>
      <c r="BM94" s="57"/>
      <c r="BN94" s="57"/>
      <c r="BO94" s="57"/>
      <c r="BP94" s="57"/>
      <c r="BQ94" s="51">
        <v>13</v>
      </c>
      <c r="BR94" s="52"/>
      <c r="BS94" s="52"/>
      <c r="BT94" s="53"/>
      <c r="BU94" s="51">
        <v>14</v>
      </c>
      <c r="BV94" s="52"/>
      <c r="BW94" s="52"/>
      <c r="BX94" s="52"/>
      <c r="BY94" s="53"/>
    </row>
    <row r="95" spans="1:79" s="2" customFormat="1" ht="14.25" hidden="1" customHeight="1" x14ac:dyDescent="0.2">
      <c r="A95" s="54" t="s">
        <v>90</v>
      </c>
      <c r="B95" s="55"/>
      <c r="C95" s="55"/>
      <c r="D95" s="54" t="s">
        <v>78</v>
      </c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6"/>
      <c r="U95" s="60" t="s">
        <v>86</v>
      </c>
      <c r="V95" s="60"/>
      <c r="W95" s="60"/>
      <c r="X95" s="60"/>
      <c r="Y95" s="60"/>
      <c r="Z95" s="60" t="s">
        <v>87</v>
      </c>
      <c r="AA95" s="60"/>
      <c r="AB95" s="60"/>
      <c r="AC95" s="60"/>
      <c r="AD95" s="60"/>
      <c r="AE95" s="60" t="s">
        <v>113</v>
      </c>
      <c r="AF95" s="60"/>
      <c r="AG95" s="60"/>
      <c r="AH95" s="60"/>
      <c r="AI95" s="69" t="s">
        <v>217</v>
      </c>
      <c r="AJ95" s="69"/>
      <c r="AK95" s="69"/>
      <c r="AL95" s="69"/>
      <c r="AM95" s="69"/>
      <c r="AN95" s="60" t="s">
        <v>88</v>
      </c>
      <c r="AO95" s="60"/>
      <c r="AP95" s="60"/>
      <c r="AQ95" s="60"/>
      <c r="AR95" s="60"/>
      <c r="AS95" s="60" t="s">
        <v>89</v>
      </c>
      <c r="AT95" s="60"/>
      <c r="AU95" s="60"/>
      <c r="AV95" s="60"/>
      <c r="AW95" s="60"/>
      <c r="AX95" s="60" t="s">
        <v>114</v>
      </c>
      <c r="AY95" s="60"/>
      <c r="AZ95" s="60"/>
      <c r="BA95" s="60"/>
      <c r="BB95" s="69" t="s">
        <v>217</v>
      </c>
      <c r="BC95" s="69"/>
      <c r="BD95" s="69"/>
      <c r="BE95" s="69"/>
      <c r="BF95" s="69"/>
      <c r="BG95" s="60" t="s">
        <v>79</v>
      </c>
      <c r="BH95" s="60"/>
      <c r="BI95" s="60"/>
      <c r="BJ95" s="60"/>
      <c r="BK95" s="60"/>
      <c r="BL95" s="60" t="s">
        <v>80</v>
      </c>
      <c r="BM95" s="60"/>
      <c r="BN95" s="60"/>
      <c r="BO95" s="60"/>
      <c r="BP95" s="60"/>
      <c r="BQ95" s="60" t="s">
        <v>115</v>
      </c>
      <c r="BR95" s="60"/>
      <c r="BS95" s="60"/>
      <c r="BT95" s="60"/>
      <c r="BU95" s="69" t="s">
        <v>217</v>
      </c>
      <c r="BV95" s="69"/>
      <c r="BW95" s="69"/>
      <c r="BX95" s="69"/>
      <c r="BY95" s="69"/>
      <c r="CA95" t="s">
        <v>41</v>
      </c>
    </row>
    <row r="96" spans="1:79" s="137" customFormat="1" ht="12.75" customHeight="1" x14ac:dyDescent="0.2">
      <c r="A96" s="157">
        <v>1</v>
      </c>
      <c r="B96" s="158"/>
      <c r="C96" s="158"/>
      <c r="D96" s="131" t="s">
        <v>254</v>
      </c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3"/>
      <c r="U96" s="161">
        <v>941611</v>
      </c>
      <c r="V96" s="162"/>
      <c r="W96" s="162"/>
      <c r="X96" s="162"/>
      <c r="Y96" s="163"/>
      <c r="Z96" s="161">
        <v>0</v>
      </c>
      <c r="AA96" s="162"/>
      <c r="AB96" s="162"/>
      <c r="AC96" s="162"/>
      <c r="AD96" s="163"/>
      <c r="AE96" s="161">
        <v>0</v>
      </c>
      <c r="AF96" s="162"/>
      <c r="AG96" s="162"/>
      <c r="AH96" s="163"/>
      <c r="AI96" s="161">
        <f>IF(ISNUMBER(U96),U96,0)+IF(ISNUMBER(Z96),Z96,0)</f>
        <v>941611</v>
      </c>
      <c r="AJ96" s="162"/>
      <c r="AK96" s="162"/>
      <c r="AL96" s="162"/>
      <c r="AM96" s="163"/>
      <c r="AN96" s="161">
        <v>1269013</v>
      </c>
      <c r="AO96" s="162"/>
      <c r="AP96" s="162"/>
      <c r="AQ96" s="162"/>
      <c r="AR96" s="163"/>
      <c r="AS96" s="161">
        <v>0</v>
      </c>
      <c r="AT96" s="162"/>
      <c r="AU96" s="162"/>
      <c r="AV96" s="162"/>
      <c r="AW96" s="163"/>
      <c r="AX96" s="161">
        <v>0</v>
      </c>
      <c r="AY96" s="162"/>
      <c r="AZ96" s="162"/>
      <c r="BA96" s="163"/>
      <c r="BB96" s="161">
        <f>IF(ISNUMBER(AN96),AN96,0)+IF(ISNUMBER(AS96),AS96,0)</f>
        <v>1269013</v>
      </c>
      <c r="BC96" s="162"/>
      <c r="BD96" s="162"/>
      <c r="BE96" s="162"/>
      <c r="BF96" s="163"/>
      <c r="BG96" s="161">
        <v>1361870</v>
      </c>
      <c r="BH96" s="162"/>
      <c r="BI96" s="162"/>
      <c r="BJ96" s="162"/>
      <c r="BK96" s="163"/>
      <c r="BL96" s="161">
        <v>0</v>
      </c>
      <c r="BM96" s="162"/>
      <c r="BN96" s="162"/>
      <c r="BO96" s="162"/>
      <c r="BP96" s="163"/>
      <c r="BQ96" s="161">
        <v>0</v>
      </c>
      <c r="BR96" s="162"/>
      <c r="BS96" s="162"/>
      <c r="BT96" s="163"/>
      <c r="BU96" s="161">
        <f>IF(ISNUMBER(BG96),BG96,0)+IF(ISNUMBER(BL96),BL96,0)</f>
        <v>1361870</v>
      </c>
      <c r="BV96" s="162"/>
      <c r="BW96" s="162"/>
      <c r="BX96" s="162"/>
      <c r="BY96" s="163"/>
      <c r="CA96" s="137" t="s">
        <v>42</v>
      </c>
    </row>
    <row r="97" spans="1:79" s="137" customFormat="1" ht="12.75" customHeight="1" x14ac:dyDescent="0.2">
      <c r="A97" s="157">
        <v>2</v>
      </c>
      <c r="B97" s="158"/>
      <c r="C97" s="158"/>
      <c r="D97" s="131" t="s">
        <v>255</v>
      </c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3"/>
      <c r="U97" s="161">
        <v>207155</v>
      </c>
      <c r="V97" s="162"/>
      <c r="W97" s="162"/>
      <c r="X97" s="162"/>
      <c r="Y97" s="163"/>
      <c r="Z97" s="161">
        <v>0</v>
      </c>
      <c r="AA97" s="162"/>
      <c r="AB97" s="162"/>
      <c r="AC97" s="162"/>
      <c r="AD97" s="163"/>
      <c r="AE97" s="161">
        <v>0</v>
      </c>
      <c r="AF97" s="162"/>
      <c r="AG97" s="162"/>
      <c r="AH97" s="163"/>
      <c r="AI97" s="161">
        <f>IF(ISNUMBER(U97),U97,0)+IF(ISNUMBER(Z97),Z97,0)</f>
        <v>207155</v>
      </c>
      <c r="AJ97" s="162"/>
      <c r="AK97" s="162"/>
      <c r="AL97" s="162"/>
      <c r="AM97" s="163"/>
      <c r="AN97" s="161">
        <v>279184</v>
      </c>
      <c r="AO97" s="162"/>
      <c r="AP97" s="162"/>
      <c r="AQ97" s="162"/>
      <c r="AR97" s="163"/>
      <c r="AS97" s="161">
        <v>0</v>
      </c>
      <c r="AT97" s="162"/>
      <c r="AU97" s="162"/>
      <c r="AV97" s="162"/>
      <c r="AW97" s="163"/>
      <c r="AX97" s="161">
        <v>0</v>
      </c>
      <c r="AY97" s="162"/>
      <c r="AZ97" s="162"/>
      <c r="BA97" s="163"/>
      <c r="BB97" s="161">
        <f>IF(ISNUMBER(AN97),AN97,0)+IF(ISNUMBER(AS97),AS97,0)</f>
        <v>279184</v>
      </c>
      <c r="BC97" s="162"/>
      <c r="BD97" s="162"/>
      <c r="BE97" s="162"/>
      <c r="BF97" s="163"/>
      <c r="BG97" s="161">
        <v>299612</v>
      </c>
      <c r="BH97" s="162"/>
      <c r="BI97" s="162"/>
      <c r="BJ97" s="162"/>
      <c r="BK97" s="163"/>
      <c r="BL97" s="161">
        <v>0</v>
      </c>
      <c r="BM97" s="162"/>
      <c r="BN97" s="162"/>
      <c r="BO97" s="162"/>
      <c r="BP97" s="163"/>
      <c r="BQ97" s="161">
        <v>0</v>
      </c>
      <c r="BR97" s="162"/>
      <c r="BS97" s="162"/>
      <c r="BT97" s="163"/>
      <c r="BU97" s="161">
        <f>IF(ISNUMBER(BG97),BG97,0)+IF(ISNUMBER(BL97),BL97,0)</f>
        <v>299612</v>
      </c>
      <c r="BV97" s="162"/>
      <c r="BW97" s="162"/>
      <c r="BX97" s="162"/>
      <c r="BY97" s="163"/>
    </row>
    <row r="98" spans="1:79" s="137" customFormat="1" ht="25.5" customHeight="1" x14ac:dyDescent="0.2">
      <c r="A98" s="157">
        <v>3</v>
      </c>
      <c r="B98" s="158"/>
      <c r="C98" s="158"/>
      <c r="D98" s="131" t="s">
        <v>260</v>
      </c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3"/>
      <c r="U98" s="161">
        <v>0</v>
      </c>
      <c r="V98" s="162"/>
      <c r="W98" s="162"/>
      <c r="X98" s="162"/>
      <c r="Y98" s="163"/>
      <c r="Z98" s="161">
        <v>0</v>
      </c>
      <c r="AA98" s="162"/>
      <c r="AB98" s="162"/>
      <c r="AC98" s="162"/>
      <c r="AD98" s="163"/>
      <c r="AE98" s="161">
        <v>0</v>
      </c>
      <c r="AF98" s="162"/>
      <c r="AG98" s="162"/>
      <c r="AH98" s="163"/>
      <c r="AI98" s="161">
        <f>IF(ISNUMBER(U98),U98,0)+IF(ISNUMBER(Z98),Z98,0)</f>
        <v>0</v>
      </c>
      <c r="AJ98" s="162"/>
      <c r="AK98" s="162"/>
      <c r="AL98" s="162"/>
      <c r="AM98" s="163"/>
      <c r="AN98" s="161">
        <v>1000</v>
      </c>
      <c r="AO98" s="162"/>
      <c r="AP98" s="162"/>
      <c r="AQ98" s="162"/>
      <c r="AR98" s="163"/>
      <c r="AS98" s="161">
        <v>0</v>
      </c>
      <c r="AT98" s="162"/>
      <c r="AU98" s="162"/>
      <c r="AV98" s="162"/>
      <c r="AW98" s="163"/>
      <c r="AX98" s="161">
        <v>0</v>
      </c>
      <c r="AY98" s="162"/>
      <c r="AZ98" s="162"/>
      <c r="BA98" s="163"/>
      <c r="BB98" s="161">
        <f>IF(ISNUMBER(AN98),AN98,0)+IF(ISNUMBER(AS98),AS98,0)</f>
        <v>1000</v>
      </c>
      <c r="BC98" s="162"/>
      <c r="BD98" s="162"/>
      <c r="BE98" s="162"/>
      <c r="BF98" s="163"/>
      <c r="BG98" s="161">
        <v>0</v>
      </c>
      <c r="BH98" s="162"/>
      <c r="BI98" s="162"/>
      <c r="BJ98" s="162"/>
      <c r="BK98" s="163"/>
      <c r="BL98" s="161">
        <v>0</v>
      </c>
      <c r="BM98" s="162"/>
      <c r="BN98" s="162"/>
      <c r="BO98" s="162"/>
      <c r="BP98" s="163"/>
      <c r="BQ98" s="161">
        <v>0</v>
      </c>
      <c r="BR98" s="162"/>
      <c r="BS98" s="162"/>
      <c r="BT98" s="163"/>
      <c r="BU98" s="161">
        <f>IF(ISNUMBER(BG98),BG98,0)+IF(ISNUMBER(BL98),BL98,0)</f>
        <v>0</v>
      </c>
      <c r="BV98" s="162"/>
      <c r="BW98" s="162"/>
      <c r="BX98" s="162"/>
      <c r="BY98" s="163"/>
    </row>
    <row r="99" spans="1:79" s="137" customFormat="1" ht="12.75" customHeight="1" x14ac:dyDescent="0.2">
      <c r="A99" s="157">
        <v>4</v>
      </c>
      <c r="B99" s="158"/>
      <c r="C99" s="158"/>
      <c r="D99" s="131" t="s">
        <v>261</v>
      </c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3"/>
      <c r="U99" s="161">
        <v>0</v>
      </c>
      <c r="V99" s="162"/>
      <c r="W99" s="162"/>
      <c r="X99" s="162"/>
      <c r="Y99" s="163"/>
      <c r="Z99" s="161">
        <v>0</v>
      </c>
      <c r="AA99" s="162"/>
      <c r="AB99" s="162"/>
      <c r="AC99" s="162"/>
      <c r="AD99" s="163"/>
      <c r="AE99" s="161">
        <v>0</v>
      </c>
      <c r="AF99" s="162"/>
      <c r="AG99" s="162"/>
      <c r="AH99" s="163"/>
      <c r="AI99" s="161">
        <f>IF(ISNUMBER(U99),U99,0)+IF(ISNUMBER(Z99),Z99,0)</f>
        <v>0</v>
      </c>
      <c r="AJ99" s="162"/>
      <c r="AK99" s="162"/>
      <c r="AL99" s="162"/>
      <c r="AM99" s="163"/>
      <c r="AN99" s="161">
        <v>5000</v>
      </c>
      <c r="AO99" s="162"/>
      <c r="AP99" s="162"/>
      <c r="AQ99" s="162"/>
      <c r="AR99" s="163"/>
      <c r="AS99" s="161">
        <v>0</v>
      </c>
      <c r="AT99" s="162"/>
      <c r="AU99" s="162"/>
      <c r="AV99" s="162"/>
      <c r="AW99" s="163"/>
      <c r="AX99" s="161">
        <v>0</v>
      </c>
      <c r="AY99" s="162"/>
      <c r="AZ99" s="162"/>
      <c r="BA99" s="163"/>
      <c r="BB99" s="161">
        <f>IF(ISNUMBER(AN99),AN99,0)+IF(ISNUMBER(AS99),AS99,0)</f>
        <v>5000</v>
      </c>
      <c r="BC99" s="162"/>
      <c r="BD99" s="162"/>
      <c r="BE99" s="162"/>
      <c r="BF99" s="163"/>
      <c r="BG99" s="161">
        <v>10000</v>
      </c>
      <c r="BH99" s="162"/>
      <c r="BI99" s="162"/>
      <c r="BJ99" s="162"/>
      <c r="BK99" s="163"/>
      <c r="BL99" s="161">
        <v>0</v>
      </c>
      <c r="BM99" s="162"/>
      <c r="BN99" s="162"/>
      <c r="BO99" s="162"/>
      <c r="BP99" s="163"/>
      <c r="BQ99" s="161">
        <v>0</v>
      </c>
      <c r="BR99" s="162"/>
      <c r="BS99" s="162"/>
      <c r="BT99" s="163"/>
      <c r="BU99" s="161">
        <f>IF(ISNUMBER(BG99),BG99,0)+IF(ISNUMBER(BL99),BL99,0)</f>
        <v>10000</v>
      </c>
      <c r="BV99" s="162"/>
      <c r="BW99" s="162"/>
      <c r="BX99" s="162"/>
      <c r="BY99" s="163"/>
    </row>
    <row r="100" spans="1:79" s="137" customFormat="1" ht="25.5" customHeight="1" x14ac:dyDescent="0.2">
      <c r="A100" s="157">
        <v>5</v>
      </c>
      <c r="B100" s="158"/>
      <c r="C100" s="158"/>
      <c r="D100" s="131" t="s">
        <v>262</v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3"/>
      <c r="U100" s="161">
        <v>0</v>
      </c>
      <c r="V100" s="162"/>
      <c r="W100" s="162"/>
      <c r="X100" s="162"/>
      <c r="Y100" s="163"/>
      <c r="Z100" s="161">
        <v>0</v>
      </c>
      <c r="AA100" s="162"/>
      <c r="AB100" s="162"/>
      <c r="AC100" s="162"/>
      <c r="AD100" s="163"/>
      <c r="AE100" s="161">
        <v>0</v>
      </c>
      <c r="AF100" s="162"/>
      <c r="AG100" s="162"/>
      <c r="AH100" s="163"/>
      <c r="AI100" s="161">
        <f>IF(ISNUMBER(U100),U100,0)+IF(ISNUMBER(Z100),Z100,0)</f>
        <v>0</v>
      </c>
      <c r="AJ100" s="162"/>
      <c r="AK100" s="162"/>
      <c r="AL100" s="162"/>
      <c r="AM100" s="163"/>
      <c r="AN100" s="161">
        <v>0</v>
      </c>
      <c r="AO100" s="162"/>
      <c r="AP100" s="162"/>
      <c r="AQ100" s="162"/>
      <c r="AR100" s="163"/>
      <c r="AS100" s="161">
        <v>0</v>
      </c>
      <c r="AT100" s="162"/>
      <c r="AU100" s="162"/>
      <c r="AV100" s="162"/>
      <c r="AW100" s="163"/>
      <c r="AX100" s="161">
        <v>0</v>
      </c>
      <c r="AY100" s="162"/>
      <c r="AZ100" s="162"/>
      <c r="BA100" s="163"/>
      <c r="BB100" s="161">
        <f>IF(ISNUMBER(AN100),AN100,0)+IF(ISNUMBER(AS100),AS100,0)</f>
        <v>0</v>
      </c>
      <c r="BC100" s="162"/>
      <c r="BD100" s="162"/>
      <c r="BE100" s="162"/>
      <c r="BF100" s="163"/>
      <c r="BG100" s="161">
        <v>18600</v>
      </c>
      <c r="BH100" s="162"/>
      <c r="BI100" s="162"/>
      <c r="BJ100" s="162"/>
      <c r="BK100" s="163"/>
      <c r="BL100" s="161">
        <v>0</v>
      </c>
      <c r="BM100" s="162"/>
      <c r="BN100" s="162"/>
      <c r="BO100" s="162"/>
      <c r="BP100" s="163"/>
      <c r="BQ100" s="161">
        <v>0</v>
      </c>
      <c r="BR100" s="162"/>
      <c r="BS100" s="162"/>
      <c r="BT100" s="163"/>
      <c r="BU100" s="161">
        <f>IF(ISNUMBER(BG100),BG100,0)+IF(ISNUMBER(BL100),BL100,0)</f>
        <v>18600</v>
      </c>
      <c r="BV100" s="162"/>
      <c r="BW100" s="162"/>
      <c r="BX100" s="162"/>
      <c r="BY100" s="163"/>
    </row>
    <row r="101" spans="1:79" s="137" customFormat="1" ht="25.5" customHeight="1" x14ac:dyDescent="0.2">
      <c r="A101" s="157">
        <v>6</v>
      </c>
      <c r="B101" s="158"/>
      <c r="C101" s="158"/>
      <c r="D101" s="131" t="s">
        <v>263</v>
      </c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3"/>
      <c r="U101" s="161">
        <v>8000</v>
      </c>
      <c r="V101" s="162"/>
      <c r="W101" s="162"/>
      <c r="X101" s="162"/>
      <c r="Y101" s="163"/>
      <c r="Z101" s="161">
        <v>0</v>
      </c>
      <c r="AA101" s="162"/>
      <c r="AB101" s="162"/>
      <c r="AC101" s="162"/>
      <c r="AD101" s="163"/>
      <c r="AE101" s="161">
        <v>0</v>
      </c>
      <c r="AF101" s="162"/>
      <c r="AG101" s="162"/>
      <c r="AH101" s="163"/>
      <c r="AI101" s="161">
        <f>IF(ISNUMBER(U101),U101,0)+IF(ISNUMBER(Z101),Z101,0)</f>
        <v>8000</v>
      </c>
      <c r="AJ101" s="162"/>
      <c r="AK101" s="162"/>
      <c r="AL101" s="162"/>
      <c r="AM101" s="163"/>
      <c r="AN101" s="161">
        <v>8400</v>
      </c>
      <c r="AO101" s="162"/>
      <c r="AP101" s="162"/>
      <c r="AQ101" s="162"/>
      <c r="AR101" s="163"/>
      <c r="AS101" s="161">
        <v>0</v>
      </c>
      <c r="AT101" s="162"/>
      <c r="AU101" s="162"/>
      <c r="AV101" s="162"/>
      <c r="AW101" s="163"/>
      <c r="AX101" s="161">
        <v>0</v>
      </c>
      <c r="AY101" s="162"/>
      <c r="AZ101" s="162"/>
      <c r="BA101" s="163"/>
      <c r="BB101" s="161">
        <f>IF(ISNUMBER(AN101),AN101,0)+IF(ISNUMBER(AS101),AS101,0)</f>
        <v>8400</v>
      </c>
      <c r="BC101" s="162"/>
      <c r="BD101" s="162"/>
      <c r="BE101" s="162"/>
      <c r="BF101" s="163"/>
      <c r="BG101" s="161">
        <v>11000</v>
      </c>
      <c r="BH101" s="162"/>
      <c r="BI101" s="162"/>
      <c r="BJ101" s="162"/>
      <c r="BK101" s="163"/>
      <c r="BL101" s="161">
        <v>0</v>
      </c>
      <c r="BM101" s="162"/>
      <c r="BN101" s="162"/>
      <c r="BO101" s="162"/>
      <c r="BP101" s="163"/>
      <c r="BQ101" s="161">
        <v>0</v>
      </c>
      <c r="BR101" s="162"/>
      <c r="BS101" s="162"/>
      <c r="BT101" s="163"/>
      <c r="BU101" s="161">
        <f>IF(ISNUMBER(BG101),BG101,0)+IF(ISNUMBER(BL101),BL101,0)</f>
        <v>11000</v>
      </c>
      <c r="BV101" s="162"/>
      <c r="BW101" s="162"/>
      <c r="BX101" s="162"/>
      <c r="BY101" s="163"/>
    </row>
    <row r="102" spans="1:79" s="9" customFormat="1" ht="12.75" customHeight="1" x14ac:dyDescent="0.2">
      <c r="A102" s="119"/>
      <c r="B102" s="117"/>
      <c r="C102" s="117"/>
      <c r="D102" s="138" t="s">
        <v>179</v>
      </c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40"/>
      <c r="U102" s="165">
        <v>1156766</v>
      </c>
      <c r="V102" s="166"/>
      <c r="W102" s="166"/>
      <c r="X102" s="166"/>
      <c r="Y102" s="167"/>
      <c r="Z102" s="165">
        <v>0</v>
      </c>
      <c r="AA102" s="166"/>
      <c r="AB102" s="166"/>
      <c r="AC102" s="166"/>
      <c r="AD102" s="167"/>
      <c r="AE102" s="165">
        <v>0</v>
      </c>
      <c r="AF102" s="166"/>
      <c r="AG102" s="166"/>
      <c r="AH102" s="167"/>
      <c r="AI102" s="165">
        <f>IF(ISNUMBER(U102),U102,0)+IF(ISNUMBER(Z102),Z102,0)</f>
        <v>1156766</v>
      </c>
      <c r="AJ102" s="166"/>
      <c r="AK102" s="166"/>
      <c r="AL102" s="166"/>
      <c r="AM102" s="167"/>
      <c r="AN102" s="165">
        <v>1562597</v>
      </c>
      <c r="AO102" s="166"/>
      <c r="AP102" s="166"/>
      <c r="AQ102" s="166"/>
      <c r="AR102" s="167"/>
      <c r="AS102" s="165">
        <v>0</v>
      </c>
      <c r="AT102" s="166"/>
      <c r="AU102" s="166"/>
      <c r="AV102" s="166"/>
      <c r="AW102" s="167"/>
      <c r="AX102" s="165">
        <v>0</v>
      </c>
      <c r="AY102" s="166"/>
      <c r="AZ102" s="166"/>
      <c r="BA102" s="167"/>
      <c r="BB102" s="165">
        <f>IF(ISNUMBER(AN102),AN102,0)+IF(ISNUMBER(AS102),AS102,0)</f>
        <v>1562597</v>
      </c>
      <c r="BC102" s="166"/>
      <c r="BD102" s="166"/>
      <c r="BE102" s="166"/>
      <c r="BF102" s="167"/>
      <c r="BG102" s="165">
        <v>1701082</v>
      </c>
      <c r="BH102" s="166"/>
      <c r="BI102" s="166"/>
      <c r="BJ102" s="166"/>
      <c r="BK102" s="167"/>
      <c r="BL102" s="165">
        <v>0</v>
      </c>
      <c r="BM102" s="166"/>
      <c r="BN102" s="166"/>
      <c r="BO102" s="166"/>
      <c r="BP102" s="167"/>
      <c r="BQ102" s="165">
        <v>0</v>
      </c>
      <c r="BR102" s="166"/>
      <c r="BS102" s="166"/>
      <c r="BT102" s="167"/>
      <c r="BU102" s="165">
        <f>IF(ISNUMBER(BG102),BG102,0)+IF(ISNUMBER(BL102),BL102,0)</f>
        <v>1701082</v>
      </c>
      <c r="BV102" s="166"/>
      <c r="BW102" s="166"/>
      <c r="BX102" s="166"/>
      <c r="BY102" s="167"/>
    </row>
    <row r="104" spans="1:79" ht="14.25" customHeight="1" x14ac:dyDescent="0.2">
      <c r="A104" s="67" t="s">
        <v>321</v>
      </c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1:79" ht="15" customHeight="1" x14ac:dyDescent="0.2">
      <c r="A105" s="70" t="s">
        <v>243</v>
      </c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</row>
    <row r="106" spans="1:79" ht="23.1" customHeight="1" x14ac:dyDescent="0.2">
      <c r="A106" s="86" t="s">
        <v>7</v>
      </c>
      <c r="B106" s="87"/>
      <c r="C106" s="87"/>
      <c r="D106" s="86" t="s">
        <v>152</v>
      </c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8"/>
      <c r="U106" s="57" t="s">
        <v>247</v>
      </c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 t="s">
        <v>249</v>
      </c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</row>
    <row r="107" spans="1:79" ht="54" customHeight="1" x14ac:dyDescent="0.2">
      <c r="A107" s="89"/>
      <c r="B107" s="90"/>
      <c r="C107" s="90"/>
      <c r="D107" s="89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1"/>
      <c r="U107" s="51" t="s">
        <v>5</v>
      </c>
      <c r="V107" s="52"/>
      <c r="W107" s="52"/>
      <c r="X107" s="52"/>
      <c r="Y107" s="53"/>
      <c r="Z107" s="51" t="s">
        <v>4</v>
      </c>
      <c r="AA107" s="52"/>
      <c r="AB107" s="52"/>
      <c r="AC107" s="52"/>
      <c r="AD107" s="53"/>
      <c r="AE107" s="71" t="s">
        <v>147</v>
      </c>
      <c r="AF107" s="72"/>
      <c r="AG107" s="72"/>
      <c r="AH107" s="72"/>
      <c r="AI107" s="73"/>
      <c r="AJ107" s="51" t="s">
        <v>6</v>
      </c>
      <c r="AK107" s="52"/>
      <c r="AL107" s="52"/>
      <c r="AM107" s="52"/>
      <c r="AN107" s="53"/>
      <c r="AO107" s="51" t="s">
        <v>5</v>
      </c>
      <c r="AP107" s="52"/>
      <c r="AQ107" s="52"/>
      <c r="AR107" s="52"/>
      <c r="AS107" s="53"/>
      <c r="AT107" s="51" t="s">
        <v>4</v>
      </c>
      <c r="AU107" s="52"/>
      <c r="AV107" s="52"/>
      <c r="AW107" s="52"/>
      <c r="AX107" s="53"/>
      <c r="AY107" s="71" t="s">
        <v>147</v>
      </c>
      <c r="AZ107" s="72"/>
      <c r="BA107" s="72"/>
      <c r="BB107" s="72"/>
      <c r="BC107" s="73"/>
      <c r="BD107" s="57" t="s">
        <v>118</v>
      </c>
      <c r="BE107" s="57"/>
      <c r="BF107" s="57"/>
      <c r="BG107" s="57"/>
      <c r="BH107" s="57"/>
    </row>
    <row r="108" spans="1:79" ht="15" customHeight="1" x14ac:dyDescent="0.2">
      <c r="A108" s="51" t="s">
        <v>216</v>
      </c>
      <c r="B108" s="52"/>
      <c r="C108" s="52"/>
      <c r="D108" s="51">
        <v>2</v>
      </c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3"/>
      <c r="U108" s="51">
        <v>3</v>
      </c>
      <c r="V108" s="52"/>
      <c r="W108" s="52"/>
      <c r="X108" s="52"/>
      <c r="Y108" s="53"/>
      <c r="Z108" s="51">
        <v>4</v>
      </c>
      <c r="AA108" s="52"/>
      <c r="AB108" s="52"/>
      <c r="AC108" s="52"/>
      <c r="AD108" s="53"/>
      <c r="AE108" s="51">
        <v>5</v>
      </c>
      <c r="AF108" s="52"/>
      <c r="AG108" s="52"/>
      <c r="AH108" s="52"/>
      <c r="AI108" s="53"/>
      <c r="AJ108" s="51">
        <v>6</v>
      </c>
      <c r="AK108" s="52"/>
      <c r="AL108" s="52"/>
      <c r="AM108" s="52"/>
      <c r="AN108" s="53"/>
      <c r="AO108" s="51">
        <v>7</v>
      </c>
      <c r="AP108" s="52"/>
      <c r="AQ108" s="52"/>
      <c r="AR108" s="52"/>
      <c r="AS108" s="53"/>
      <c r="AT108" s="51">
        <v>8</v>
      </c>
      <c r="AU108" s="52"/>
      <c r="AV108" s="52"/>
      <c r="AW108" s="52"/>
      <c r="AX108" s="53"/>
      <c r="AY108" s="51">
        <v>9</v>
      </c>
      <c r="AZ108" s="52"/>
      <c r="BA108" s="52"/>
      <c r="BB108" s="52"/>
      <c r="BC108" s="53"/>
      <c r="BD108" s="51">
        <v>10</v>
      </c>
      <c r="BE108" s="52"/>
      <c r="BF108" s="52"/>
      <c r="BG108" s="52"/>
      <c r="BH108" s="53"/>
    </row>
    <row r="109" spans="1:79" s="2" customFormat="1" ht="12.75" hidden="1" customHeight="1" x14ac:dyDescent="0.2">
      <c r="A109" s="54" t="s">
        <v>90</v>
      </c>
      <c r="B109" s="55"/>
      <c r="C109" s="55"/>
      <c r="D109" s="54" t="s">
        <v>78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6"/>
      <c r="U109" s="54" t="s">
        <v>81</v>
      </c>
      <c r="V109" s="55"/>
      <c r="W109" s="55"/>
      <c r="X109" s="55"/>
      <c r="Y109" s="56"/>
      <c r="Z109" s="54" t="s">
        <v>82</v>
      </c>
      <c r="AA109" s="55"/>
      <c r="AB109" s="55"/>
      <c r="AC109" s="55"/>
      <c r="AD109" s="56"/>
      <c r="AE109" s="54" t="s">
        <v>116</v>
      </c>
      <c r="AF109" s="55"/>
      <c r="AG109" s="55"/>
      <c r="AH109" s="55"/>
      <c r="AI109" s="56"/>
      <c r="AJ109" s="75" t="s">
        <v>218</v>
      </c>
      <c r="AK109" s="76"/>
      <c r="AL109" s="76"/>
      <c r="AM109" s="76"/>
      <c r="AN109" s="77"/>
      <c r="AO109" s="54" t="s">
        <v>83</v>
      </c>
      <c r="AP109" s="55"/>
      <c r="AQ109" s="55"/>
      <c r="AR109" s="55"/>
      <c r="AS109" s="56"/>
      <c r="AT109" s="54" t="s">
        <v>84</v>
      </c>
      <c r="AU109" s="55"/>
      <c r="AV109" s="55"/>
      <c r="AW109" s="55"/>
      <c r="AX109" s="56"/>
      <c r="AY109" s="54" t="s">
        <v>117</v>
      </c>
      <c r="AZ109" s="55"/>
      <c r="BA109" s="55"/>
      <c r="BB109" s="55"/>
      <c r="BC109" s="56"/>
      <c r="BD109" s="69" t="s">
        <v>218</v>
      </c>
      <c r="BE109" s="69"/>
      <c r="BF109" s="69"/>
      <c r="BG109" s="69"/>
      <c r="BH109" s="69"/>
      <c r="CA109" s="2" t="s">
        <v>43</v>
      </c>
    </row>
    <row r="110" spans="1:79" s="137" customFormat="1" ht="12.75" customHeight="1" x14ac:dyDescent="0.2">
      <c r="A110" s="157">
        <v>1</v>
      </c>
      <c r="B110" s="158"/>
      <c r="C110" s="158"/>
      <c r="D110" s="131" t="s">
        <v>254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3"/>
      <c r="U110" s="161">
        <v>1361870</v>
      </c>
      <c r="V110" s="162"/>
      <c r="W110" s="162"/>
      <c r="X110" s="162"/>
      <c r="Y110" s="163"/>
      <c r="Z110" s="161">
        <v>0</v>
      </c>
      <c r="AA110" s="162"/>
      <c r="AB110" s="162"/>
      <c r="AC110" s="162"/>
      <c r="AD110" s="163"/>
      <c r="AE110" s="160">
        <v>0</v>
      </c>
      <c r="AF110" s="160"/>
      <c r="AG110" s="160"/>
      <c r="AH110" s="160"/>
      <c r="AI110" s="160"/>
      <c r="AJ110" s="171">
        <f>IF(ISNUMBER(U110),U110,0)+IF(ISNUMBER(Z110),Z110,0)</f>
        <v>1361870</v>
      </c>
      <c r="AK110" s="171"/>
      <c r="AL110" s="171"/>
      <c r="AM110" s="171"/>
      <c r="AN110" s="171"/>
      <c r="AO110" s="160">
        <v>1361870</v>
      </c>
      <c r="AP110" s="160"/>
      <c r="AQ110" s="160"/>
      <c r="AR110" s="160"/>
      <c r="AS110" s="160"/>
      <c r="AT110" s="171">
        <v>0</v>
      </c>
      <c r="AU110" s="171"/>
      <c r="AV110" s="171"/>
      <c r="AW110" s="171"/>
      <c r="AX110" s="171"/>
      <c r="AY110" s="160">
        <v>0</v>
      </c>
      <c r="AZ110" s="160"/>
      <c r="BA110" s="160"/>
      <c r="BB110" s="160"/>
      <c r="BC110" s="160"/>
      <c r="BD110" s="171">
        <f>IF(ISNUMBER(AO110),AO110,0)+IF(ISNUMBER(AT110),AT110,0)</f>
        <v>1361870</v>
      </c>
      <c r="BE110" s="171"/>
      <c r="BF110" s="171"/>
      <c r="BG110" s="171"/>
      <c r="BH110" s="171"/>
      <c r="CA110" s="137" t="s">
        <v>44</v>
      </c>
    </row>
    <row r="111" spans="1:79" s="137" customFormat="1" ht="12.75" customHeight="1" x14ac:dyDescent="0.2">
      <c r="A111" s="157">
        <v>2</v>
      </c>
      <c r="B111" s="158"/>
      <c r="C111" s="158"/>
      <c r="D111" s="131" t="s">
        <v>255</v>
      </c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3"/>
      <c r="U111" s="161">
        <v>299612</v>
      </c>
      <c r="V111" s="162"/>
      <c r="W111" s="162"/>
      <c r="X111" s="162"/>
      <c r="Y111" s="163"/>
      <c r="Z111" s="161">
        <v>0</v>
      </c>
      <c r="AA111" s="162"/>
      <c r="AB111" s="162"/>
      <c r="AC111" s="162"/>
      <c r="AD111" s="163"/>
      <c r="AE111" s="160">
        <v>0</v>
      </c>
      <c r="AF111" s="160"/>
      <c r="AG111" s="160"/>
      <c r="AH111" s="160"/>
      <c r="AI111" s="160"/>
      <c r="AJ111" s="171">
        <f>IF(ISNUMBER(U111),U111,0)+IF(ISNUMBER(Z111),Z111,0)</f>
        <v>299612</v>
      </c>
      <c r="AK111" s="171"/>
      <c r="AL111" s="171"/>
      <c r="AM111" s="171"/>
      <c r="AN111" s="171"/>
      <c r="AO111" s="160">
        <v>299612</v>
      </c>
      <c r="AP111" s="160"/>
      <c r="AQ111" s="160"/>
      <c r="AR111" s="160"/>
      <c r="AS111" s="160"/>
      <c r="AT111" s="171">
        <v>0</v>
      </c>
      <c r="AU111" s="171"/>
      <c r="AV111" s="171"/>
      <c r="AW111" s="171"/>
      <c r="AX111" s="171"/>
      <c r="AY111" s="160">
        <v>0</v>
      </c>
      <c r="AZ111" s="160"/>
      <c r="BA111" s="160"/>
      <c r="BB111" s="160"/>
      <c r="BC111" s="160"/>
      <c r="BD111" s="171">
        <f>IF(ISNUMBER(AO111),AO111,0)+IF(ISNUMBER(AT111),AT111,0)</f>
        <v>299612</v>
      </c>
      <c r="BE111" s="171"/>
      <c r="BF111" s="171"/>
      <c r="BG111" s="171"/>
      <c r="BH111" s="171"/>
    </row>
    <row r="112" spans="1:79" s="137" customFormat="1" ht="25.5" customHeight="1" x14ac:dyDescent="0.2">
      <c r="A112" s="157">
        <v>3</v>
      </c>
      <c r="B112" s="158"/>
      <c r="C112" s="158"/>
      <c r="D112" s="131" t="s">
        <v>260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3"/>
      <c r="U112" s="161">
        <v>0</v>
      </c>
      <c r="V112" s="162"/>
      <c r="W112" s="162"/>
      <c r="X112" s="162"/>
      <c r="Y112" s="163"/>
      <c r="Z112" s="161">
        <v>0</v>
      </c>
      <c r="AA112" s="162"/>
      <c r="AB112" s="162"/>
      <c r="AC112" s="162"/>
      <c r="AD112" s="163"/>
      <c r="AE112" s="160">
        <v>0</v>
      </c>
      <c r="AF112" s="160"/>
      <c r="AG112" s="160"/>
      <c r="AH112" s="160"/>
      <c r="AI112" s="160"/>
      <c r="AJ112" s="171">
        <f>IF(ISNUMBER(U112),U112,0)+IF(ISNUMBER(Z112),Z112,0)</f>
        <v>0</v>
      </c>
      <c r="AK112" s="171"/>
      <c r="AL112" s="171"/>
      <c r="AM112" s="171"/>
      <c r="AN112" s="171"/>
      <c r="AO112" s="160">
        <v>0</v>
      </c>
      <c r="AP112" s="160"/>
      <c r="AQ112" s="160"/>
      <c r="AR112" s="160"/>
      <c r="AS112" s="160"/>
      <c r="AT112" s="171">
        <v>0</v>
      </c>
      <c r="AU112" s="171"/>
      <c r="AV112" s="171"/>
      <c r="AW112" s="171"/>
      <c r="AX112" s="171"/>
      <c r="AY112" s="160">
        <v>0</v>
      </c>
      <c r="AZ112" s="160"/>
      <c r="BA112" s="160"/>
      <c r="BB112" s="160"/>
      <c r="BC112" s="160"/>
      <c r="BD112" s="171">
        <f>IF(ISNUMBER(AO112),AO112,0)+IF(ISNUMBER(AT112),AT112,0)</f>
        <v>0</v>
      </c>
      <c r="BE112" s="171"/>
      <c r="BF112" s="171"/>
      <c r="BG112" s="171"/>
      <c r="BH112" s="171"/>
    </row>
    <row r="113" spans="1:79" s="137" customFormat="1" ht="12.75" customHeight="1" x14ac:dyDescent="0.2">
      <c r="A113" s="157">
        <v>4</v>
      </c>
      <c r="B113" s="158"/>
      <c r="C113" s="158"/>
      <c r="D113" s="131" t="s">
        <v>261</v>
      </c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3"/>
      <c r="U113" s="161">
        <v>10700</v>
      </c>
      <c r="V113" s="162"/>
      <c r="W113" s="162"/>
      <c r="X113" s="162"/>
      <c r="Y113" s="163"/>
      <c r="Z113" s="161">
        <v>0</v>
      </c>
      <c r="AA113" s="162"/>
      <c r="AB113" s="162"/>
      <c r="AC113" s="162"/>
      <c r="AD113" s="163"/>
      <c r="AE113" s="160">
        <v>0</v>
      </c>
      <c r="AF113" s="160"/>
      <c r="AG113" s="160"/>
      <c r="AH113" s="160"/>
      <c r="AI113" s="160"/>
      <c r="AJ113" s="171">
        <f>IF(ISNUMBER(U113),U113,0)+IF(ISNUMBER(Z113),Z113,0)</f>
        <v>10700</v>
      </c>
      <c r="AK113" s="171"/>
      <c r="AL113" s="171"/>
      <c r="AM113" s="171"/>
      <c r="AN113" s="171"/>
      <c r="AO113" s="160">
        <v>11321</v>
      </c>
      <c r="AP113" s="160"/>
      <c r="AQ113" s="160"/>
      <c r="AR113" s="160"/>
      <c r="AS113" s="160"/>
      <c r="AT113" s="171">
        <v>0</v>
      </c>
      <c r="AU113" s="171"/>
      <c r="AV113" s="171"/>
      <c r="AW113" s="171"/>
      <c r="AX113" s="171"/>
      <c r="AY113" s="160">
        <v>0</v>
      </c>
      <c r="AZ113" s="160"/>
      <c r="BA113" s="160"/>
      <c r="BB113" s="160"/>
      <c r="BC113" s="160"/>
      <c r="BD113" s="171">
        <f>IF(ISNUMBER(AO113),AO113,0)+IF(ISNUMBER(AT113),AT113,0)</f>
        <v>11321</v>
      </c>
      <c r="BE113" s="171"/>
      <c r="BF113" s="171"/>
      <c r="BG113" s="171"/>
      <c r="BH113" s="171"/>
    </row>
    <row r="114" spans="1:79" s="137" customFormat="1" ht="25.5" customHeight="1" x14ac:dyDescent="0.2">
      <c r="A114" s="157">
        <v>5</v>
      </c>
      <c r="B114" s="158"/>
      <c r="C114" s="158"/>
      <c r="D114" s="131" t="s">
        <v>262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3"/>
      <c r="U114" s="161">
        <v>19902</v>
      </c>
      <c r="V114" s="162"/>
      <c r="W114" s="162"/>
      <c r="X114" s="162"/>
      <c r="Y114" s="163"/>
      <c r="Z114" s="161">
        <v>0</v>
      </c>
      <c r="AA114" s="162"/>
      <c r="AB114" s="162"/>
      <c r="AC114" s="162"/>
      <c r="AD114" s="163"/>
      <c r="AE114" s="160">
        <v>0</v>
      </c>
      <c r="AF114" s="160"/>
      <c r="AG114" s="160"/>
      <c r="AH114" s="160"/>
      <c r="AI114" s="160"/>
      <c r="AJ114" s="171">
        <f>IF(ISNUMBER(U114),U114,0)+IF(ISNUMBER(Z114),Z114,0)</f>
        <v>19902</v>
      </c>
      <c r="AK114" s="171"/>
      <c r="AL114" s="171"/>
      <c r="AM114" s="171"/>
      <c r="AN114" s="171"/>
      <c r="AO114" s="160">
        <v>21056</v>
      </c>
      <c r="AP114" s="160"/>
      <c r="AQ114" s="160"/>
      <c r="AR114" s="160"/>
      <c r="AS114" s="160"/>
      <c r="AT114" s="171">
        <v>0</v>
      </c>
      <c r="AU114" s="171"/>
      <c r="AV114" s="171"/>
      <c r="AW114" s="171"/>
      <c r="AX114" s="171"/>
      <c r="AY114" s="160">
        <v>0</v>
      </c>
      <c r="AZ114" s="160"/>
      <c r="BA114" s="160"/>
      <c r="BB114" s="160"/>
      <c r="BC114" s="160"/>
      <c r="BD114" s="171">
        <f>IF(ISNUMBER(AO114),AO114,0)+IF(ISNUMBER(AT114),AT114,0)</f>
        <v>21056</v>
      </c>
      <c r="BE114" s="171"/>
      <c r="BF114" s="171"/>
      <c r="BG114" s="171"/>
      <c r="BH114" s="171"/>
    </row>
    <row r="115" spans="1:79" s="137" customFormat="1" ht="25.5" customHeight="1" x14ac:dyDescent="0.2">
      <c r="A115" s="157">
        <v>6</v>
      </c>
      <c r="B115" s="158"/>
      <c r="C115" s="158"/>
      <c r="D115" s="131" t="s">
        <v>263</v>
      </c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3"/>
      <c r="U115" s="161">
        <v>11770</v>
      </c>
      <c r="V115" s="162"/>
      <c r="W115" s="162"/>
      <c r="X115" s="162"/>
      <c r="Y115" s="163"/>
      <c r="Z115" s="161">
        <v>0</v>
      </c>
      <c r="AA115" s="162"/>
      <c r="AB115" s="162"/>
      <c r="AC115" s="162"/>
      <c r="AD115" s="163"/>
      <c r="AE115" s="160">
        <v>0</v>
      </c>
      <c r="AF115" s="160"/>
      <c r="AG115" s="160"/>
      <c r="AH115" s="160"/>
      <c r="AI115" s="160"/>
      <c r="AJ115" s="171">
        <f>IF(ISNUMBER(U115),U115,0)+IF(ISNUMBER(Z115),Z115,0)</f>
        <v>11770</v>
      </c>
      <c r="AK115" s="171"/>
      <c r="AL115" s="171"/>
      <c r="AM115" s="171"/>
      <c r="AN115" s="171"/>
      <c r="AO115" s="160">
        <v>12453</v>
      </c>
      <c r="AP115" s="160"/>
      <c r="AQ115" s="160"/>
      <c r="AR115" s="160"/>
      <c r="AS115" s="160"/>
      <c r="AT115" s="171">
        <v>0</v>
      </c>
      <c r="AU115" s="171"/>
      <c r="AV115" s="171"/>
      <c r="AW115" s="171"/>
      <c r="AX115" s="171"/>
      <c r="AY115" s="160">
        <v>0</v>
      </c>
      <c r="AZ115" s="160"/>
      <c r="BA115" s="160"/>
      <c r="BB115" s="160"/>
      <c r="BC115" s="160"/>
      <c r="BD115" s="171">
        <f>IF(ISNUMBER(AO115),AO115,0)+IF(ISNUMBER(AT115),AT115,0)</f>
        <v>12453</v>
      </c>
      <c r="BE115" s="171"/>
      <c r="BF115" s="171"/>
      <c r="BG115" s="171"/>
      <c r="BH115" s="171"/>
    </row>
    <row r="116" spans="1:79" s="9" customFormat="1" ht="12.75" customHeight="1" x14ac:dyDescent="0.2">
      <c r="A116" s="119"/>
      <c r="B116" s="117"/>
      <c r="C116" s="117"/>
      <c r="D116" s="138" t="s">
        <v>179</v>
      </c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40"/>
      <c r="U116" s="165">
        <v>1703854</v>
      </c>
      <c r="V116" s="166"/>
      <c r="W116" s="166"/>
      <c r="X116" s="166"/>
      <c r="Y116" s="167"/>
      <c r="Z116" s="165">
        <v>0</v>
      </c>
      <c r="AA116" s="166"/>
      <c r="AB116" s="166"/>
      <c r="AC116" s="166"/>
      <c r="AD116" s="167"/>
      <c r="AE116" s="164">
        <v>0</v>
      </c>
      <c r="AF116" s="164"/>
      <c r="AG116" s="164"/>
      <c r="AH116" s="164"/>
      <c r="AI116" s="164"/>
      <c r="AJ116" s="120">
        <f>IF(ISNUMBER(U116),U116,0)+IF(ISNUMBER(Z116),Z116,0)</f>
        <v>1703854</v>
      </c>
      <c r="AK116" s="120"/>
      <c r="AL116" s="120"/>
      <c r="AM116" s="120"/>
      <c r="AN116" s="120"/>
      <c r="AO116" s="164">
        <v>1706312</v>
      </c>
      <c r="AP116" s="164"/>
      <c r="AQ116" s="164"/>
      <c r="AR116" s="164"/>
      <c r="AS116" s="164"/>
      <c r="AT116" s="120">
        <v>0</v>
      </c>
      <c r="AU116" s="120"/>
      <c r="AV116" s="120"/>
      <c r="AW116" s="120"/>
      <c r="AX116" s="120"/>
      <c r="AY116" s="164">
        <v>0</v>
      </c>
      <c r="AZ116" s="164"/>
      <c r="BA116" s="164"/>
      <c r="BB116" s="164"/>
      <c r="BC116" s="164"/>
      <c r="BD116" s="120">
        <f>IF(ISNUMBER(AO116),AO116,0)+IF(ISNUMBER(AT116),AT116,0)</f>
        <v>1706312</v>
      </c>
      <c r="BE116" s="120"/>
      <c r="BF116" s="120"/>
      <c r="BG116" s="120"/>
      <c r="BH116" s="120"/>
    </row>
    <row r="117" spans="1:79" s="8" customFormat="1" ht="12.75" customHeight="1" x14ac:dyDescent="0.2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</row>
    <row r="119" spans="1:79" ht="14.25" customHeight="1" x14ac:dyDescent="0.2">
      <c r="A119" s="67" t="s">
        <v>184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1:79" ht="14.25" customHeight="1" x14ac:dyDescent="0.2">
      <c r="A120" s="67" t="s">
        <v>309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1:79" ht="23.1" customHeight="1" x14ac:dyDescent="0.2">
      <c r="A121" s="86" t="s">
        <v>7</v>
      </c>
      <c r="B121" s="87"/>
      <c r="C121" s="87"/>
      <c r="D121" s="57" t="s">
        <v>10</v>
      </c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 t="s">
        <v>9</v>
      </c>
      <c r="R121" s="57"/>
      <c r="S121" s="57"/>
      <c r="T121" s="57"/>
      <c r="U121" s="57"/>
      <c r="V121" s="57" t="s">
        <v>8</v>
      </c>
      <c r="W121" s="57"/>
      <c r="X121" s="57"/>
      <c r="Y121" s="57"/>
      <c r="Z121" s="57"/>
      <c r="AA121" s="57"/>
      <c r="AB121" s="57"/>
      <c r="AC121" s="57"/>
      <c r="AD121" s="57"/>
      <c r="AE121" s="57"/>
      <c r="AF121" s="51" t="s">
        <v>244</v>
      </c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3"/>
      <c r="AU121" s="51" t="s">
        <v>245</v>
      </c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3"/>
      <c r="BJ121" s="51" t="s">
        <v>246</v>
      </c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3"/>
    </row>
    <row r="122" spans="1:79" ht="32.25" customHeight="1" x14ac:dyDescent="0.2">
      <c r="A122" s="89"/>
      <c r="B122" s="90"/>
      <c r="C122" s="90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 t="s">
        <v>5</v>
      </c>
      <c r="AG122" s="57"/>
      <c r="AH122" s="57"/>
      <c r="AI122" s="57"/>
      <c r="AJ122" s="57"/>
      <c r="AK122" s="57" t="s">
        <v>4</v>
      </c>
      <c r="AL122" s="57"/>
      <c r="AM122" s="57"/>
      <c r="AN122" s="57"/>
      <c r="AO122" s="57"/>
      <c r="AP122" s="57" t="s">
        <v>154</v>
      </c>
      <c r="AQ122" s="57"/>
      <c r="AR122" s="57"/>
      <c r="AS122" s="57"/>
      <c r="AT122" s="57"/>
      <c r="AU122" s="57" t="s">
        <v>5</v>
      </c>
      <c r="AV122" s="57"/>
      <c r="AW122" s="57"/>
      <c r="AX122" s="57"/>
      <c r="AY122" s="57"/>
      <c r="AZ122" s="57" t="s">
        <v>4</v>
      </c>
      <c r="BA122" s="57"/>
      <c r="BB122" s="57"/>
      <c r="BC122" s="57"/>
      <c r="BD122" s="57"/>
      <c r="BE122" s="57" t="s">
        <v>112</v>
      </c>
      <c r="BF122" s="57"/>
      <c r="BG122" s="57"/>
      <c r="BH122" s="57"/>
      <c r="BI122" s="57"/>
      <c r="BJ122" s="57" t="s">
        <v>5</v>
      </c>
      <c r="BK122" s="57"/>
      <c r="BL122" s="57"/>
      <c r="BM122" s="57"/>
      <c r="BN122" s="57"/>
      <c r="BO122" s="57" t="s">
        <v>4</v>
      </c>
      <c r="BP122" s="57"/>
      <c r="BQ122" s="57"/>
      <c r="BR122" s="57"/>
      <c r="BS122" s="57"/>
      <c r="BT122" s="57" t="s">
        <v>119</v>
      </c>
      <c r="BU122" s="57"/>
      <c r="BV122" s="57"/>
      <c r="BW122" s="57"/>
      <c r="BX122" s="57"/>
    </row>
    <row r="123" spans="1:79" ht="15" customHeight="1" x14ac:dyDescent="0.2">
      <c r="A123" s="51">
        <v>1</v>
      </c>
      <c r="B123" s="52"/>
      <c r="C123" s="52"/>
      <c r="D123" s="57">
        <v>2</v>
      </c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>
        <v>3</v>
      </c>
      <c r="R123" s="57"/>
      <c r="S123" s="57"/>
      <c r="T123" s="57"/>
      <c r="U123" s="57"/>
      <c r="V123" s="57">
        <v>4</v>
      </c>
      <c r="W123" s="57"/>
      <c r="X123" s="57"/>
      <c r="Y123" s="57"/>
      <c r="Z123" s="57"/>
      <c r="AA123" s="57"/>
      <c r="AB123" s="57"/>
      <c r="AC123" s="57"/>
      <c r="AD123" s="57"/>
      <c r="AE123" s="57"/>
      <c r="AF123" s="57">
        <v>5</v>
      </c>
      <c r="AG123" s="57"/>
      <c r="AH123" s="57"/>
      <c r="AI123" s="57"/>
      <c r="AJ123" s="57"/>
      <c r="AK123" s="57">
        <v>6</v>
      </c>
      <c r="AL123" s="57"/>
      <c r="AM123" s="57"/>
      <c r="AN123" s="57"/>
      <c r="AO123" s="57"/>
      <c r="AP123" s="57">
        <v>7</v>
      </c>
      <c r="AQ123" s="57"/>
      <c r="AR123" s="57"/>
      <c r="AS123" s="57"/>
      <c r="AT123" s="57"/>
      <c r="AU123" s="57">
        <v>8</v>
      </c>
      <c r="AV123" s="57"/>
      <c r="AW123" s="57"/>
      <c r="AX123" s="57"/>
      <c r="AY123" s="57"/>
      <c r="AZ123" s="57">
        <v>9</v>
      </c>
      <c r="BA123" s="57"/>
      <c r="BB123" s="57"/>
      <c r="BC123" s="57"/>
      <c r="BD123" s="57"/>
      <c r="BE123" s="57">
        <v>10</v>
      </c>
      <c r="BF123" s="57"/>
      <c r="BG123" s="57"/>
      <c r="BH123" s="57"/>
      <c r="BI123" s="57"/>
      <c r="BJ123" s="57">
        <v>11</v>
      </c>
      <c r="BK123" s="57"/>
      <c r="BL123" s="57"/>
      <c r="BM123" s="57"/>
      <c r="BN123" s="57"/>
      <c r="BO123" s="57">
        <v>12</v>
      </c>
      <c r="BP123" s="57"/>
      <c r="BQ123" s="57"/>
      <c r="BR123" s="57"/>
      <c r="BS123" s="57"/>
      <c r="BT123" s="57">
        <v>13</v>
      </c>
      <c r="BU123" s="57"/>
      <c r="BV123" s="57"/>
      <c r="BW123" s="57"/>
      <c r="BX123" s="57"/>
    </row>
    <row r="124" spans="1:79" ht="10.5" hidden="1" customHeight="1" x14ac:dyDescent="0.2">
      <c r="A124" s="54" t="s">
        <v>187</v>
      </c>
      <c r="B124" s="55"/>
      <c r="C124" s="55"/>
      <c r="D124" s="57" t="s">
        <v>78</v>
      </c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 t="s">
        <v>91</v>
      </c>
      <c r="R124" s="57"/>
      <c r="S124" s="57"/>
      <c r="T124" s="57"/>
      <c r="U124" s="57"/>
      <c r="V124" s="57" t="s">
        <v>92</v>
      </c>
      <c r="W124" s="57"/>
      <c r="X124" s="57"/>
      <c r="Y124" s="57"/>
      <c r="Z124" s="57"/>
      <c r="AA124" s="57"/>
      <c r="AB124" s="57"/>
      <c r="AC124" s="57"/>
      <c r="AD124" s="57"/>
      <c r="AE124" s="57"/>
      <c r="AF124" s="60" t="s">
        <v>139</v>
      </c>
      <c r="AG124" s="60"/>
      <c r="AH124" s="60"/>
      <c r="AI124" s="60"/>
      <c r="AJ124" s="60"/>
      <c r="AK124" s="59" t="s">
        <v>140</v>
      </c>
      <c r="AL124" s="59"/>
      <c r="AM124" s="59"/>
      <c r="AN124" s="59"/>
      <c r="AO124" s="59"/>
      <c r="AP124" s="69" t="s">
        <v>265</v>
      </c>
      <c r="AQ124" s="69"/>
      <c r="AR124" s="69"/>
      <c r="AS124" s="69"/>
      <c r="AT124" s="69"/>
      <c r="AU124" s="60" t="s">
        <v>141</v>
      </c>
      <c r="AV124" s="60"/>
      <c r="AW124" s="60"/>
      <c r="AX124" s="60"/>
      <c r="AY124" s="60"/>
      <c r="AZ124" s="59" t="s">
        <v>142</v>
      </c>
      <c r="BA124" s="59"/>
      <c r="BB124" s="59"/>
      <c r="BC124" s="59"/>
      <c r="BD124" s="59"/>
      <c r="BE124" s="69" t="s">
        <v>265</v>
      </c>
      <c r="BF124" s="69"/>
      <c r="BG124" s="69"/>
      <c r="BH124" s="69"/>
      <c r="BI124" s="69"/>
      <c r="BJ124" s="60" t="s">
        <v>133</v>
      </c>
      <c r="BK124" s="60"/>
      <c r="BL124" s="60"/>
      <c r="BM124" s="60"/>
      <c r="BN124" s="60"/>
      <c r="BO124" s="59" t="s">
        <v>134</v>
      </c>
      <c r="BP124" s="59"/>
      <c r="BQ124" s="59"/>
      <c r="BR124" s="59"/>
      <c r="BS124" s="59"/>
      <c r="BT124" s="69" t="s">
        <v>265</v>
      </c>
      <c r="BU124" s="69"/>
      <c r="BV124" s="69"/>
      <c r="BW124" s="69"/>
      <c r="BX124" s="69"/>
      <c r="CA124" t="s">
        <v>45</v>
      </c>
    </row>
    <row r="125" spans="1:79" s="9" customFormat="1" ht="15" customHeight="1" x14ac:dyDescent="0.2">
      <c r="A125" s="119">
        <v>0</v>
      </c>
      <c r="B125" s="117"/>
      <c r="C125" s="117"/>
      <c r="D125" s="172" t="s">
        <v>264</v>
      </c>
      <c r="E125" s="172"/>
      <c r="F125" s="172"/>
      <c r="G125" s="172"/>
      <c r="H125" s="172"/>
      <c r="I125" s="172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3"/>
      <c r="BW125" s="173"/>
      <c r="BX125" s="173"/>
      <c r="CA125" s="9" t="s">
        <v>46</v>
      </c>
    </row>
    <row r="126" spans="1:79" s="137" customFormat="1" ht="15" customHeight="1" x14ac:dyDescent="0.2">
      <c r="A126" s="157">
        <v>1</v>
      </c>
      <c r="B126" s="158"/>
      <c r="C126" s="158"/>
      <c r="D126" s="175" t="s">
        <v>266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3"/>
      <c r="Q126" s="57" t="s">
        <v>222</v>
      </c>
      <c r="R126" s="57"/>
      <c r="S126" s="57"/>
      <c r="T126" s="57"/>
      <c r="U126" s="57"/>
      <c r="V126" s="57" t="s">
        <v>267</v>
      </c>
      <c r="W126" s="57"/>
      <c r="X126" s="57"/>
      <c r="Y126" s="57"/>
      <c r="Z126" s="57"/>
      <c r="AA126" s="57"/>
      <c r="AB126" s="57"/>
      <c r="AC126" s="57"/>
      <c r="AD126" s="57"/>
      <c r="AE126" s="57"/>
      <c r="AF126" s="176">
        <v>4</v>
      </c>
      <c r="AG126" s="176"/>
      <c r="AH126" s="176"/>
      <c r="AI126" s="176"/>
      <c r="AJ126" s="176"/>
      <c r="AK126" s="176">
        <v>0</v>
      </c>
      <c r="AL126" s="176"/>
      <c r="AM126" s="176"/>
      <c r="AN126" s="176"/>
      <c r="AO126" s="176"/>
      <c r="AP126" s="176">
        <v>4</v>
      </c>
      <c r="AQ126" s="176"/>
      <c r="AR126" s="176"/>
      <c r="AS126" s="176"/>
      <c r="AT126" s="176"/>
      <c r="AU126" s="176">
        <v>4</v>
      </c>
      <c r="AV126" s="176"/>
      <c r="AW126" s="176"/>
      <c r="AX126" s="176"/>
      <c r="AY126" s="176"/>
      <c r="AZ126" s="176">
        <v>0</v>
      </c>
      <c r="BA126" s="176"/>
      <c r="BB126" s="176"/>
      <c r="BC126" s="176"/>
      <c r="BD126" s="176"/>
      <c r="BE126" s="176">
        <v>4</v>
      </c>
      <c r="BF126" s="176"/>
      <c r="BG126" s="176"/>
      <c r="BH126" s="176"/>
      <c r="BI126" s="176"/>
      <c r="BJ126" s="176">
        <v>4</v>
      </c>
      <c r="BK126" s="176"/>
      <c r="BL126" s="176"/>
      <c r="BM126" s="176"/>
      <c r="BN126" s="176"/>
      <c r="BO126" s="176">
        <v>0</v>
      </c>
      <c r="BP126" s="176"/>
      <c r="BQ126" s="176"/>
      <c r="BR126" s="176"/>
      <c r="BS126" s="176"/>
      <c r="BT126" s="176">
        <v>4</v>
      </c>
      <c r="BU126" s="176"/>
      <c r="BV126" s="176"/>
      <c r="BW126" s="176"/>
      <c r="BX126" s="176"/>
    </row>
    <row r="127" spans="1:79" s="9" customFormat="1" ht="15" customHeight="1" x14ac:dyDescent="0.2">
      <c r="A127" s="119">
        <v>0</v>
      </c>
      <c r="B127" s="117"/>
      <c r="C127" s="117"/>
      <c r="D127" s="174" t="s">
        <v>268</v>
      </c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40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173"/>
      <c r="BX127" s="173"/>
    </row>
    <row r="128" spans="1:79" s="137" customFormat="1" ht="28.5" customHeight="1" x14ac:dyDescent="0.2">
      <c r="A128" s="157">
        <v>1</v>
      </c>
      <c r="B128" s="158"/>
      <c r="C128" s="158"/>
      <c r="D128" s="175" t="s">
        <v>269</v>
      </c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3"/>
      <c r="Q128" s="57" t="s">
        <v>222</v>
      </c>
      <c r="R128" s="57"/>
      <c r="S128" s="57"/>
      <c r="T128" s="57"/>
      <c r="U128" s="57"/>
      <c r="V128" s="175" t="s">
        <v>270</v>
      </c>
      <c r="W128" s="132"/>
      <c r="X128" s="132"/>
      <c r="Y128" s="132"/>
      <c r="Z128" s="132"/>
      <c r="AA128" s="132"/>
      <c r="AB128" s="132"/>
      <c r="AC128" s="132"/>
      <c r="AD128" s="132"/>
      <c r="AE128" s="133"/>
      <c r="AF128" s="176">
        <v>300</v>
      </c>
      <c r="AG128" s="176"/>
      <c r="AH128" s="176"/>
      <c r="AI128" s="176"/>
      <c r="AJ128" s="176"/>
      <c r="AK128" s="176">
        <v>0</v>
      </c>
      <c r="AL128" s="176"/>
      <c r="AM128" s="176"/>
      <c r="AN128" s="176"/>
      <c r="AO128" s="176"/>
      <c r="AP128" s="176">
        <v>300</v>
      </c>
      <c r="AQ128" s="176"/>
      <c r="AR128" s="176"/>
      <c r="AS128" s="176"/>
      <c r="AT128" s="176"/>
      <c r="AU128" s="176">
        <v>300</v>
      </c>
      <c r="AV128" s="176"/>
      <c r="AW128" s="176"/>
      <c r="AX128" s="176"/>
      <c r="AY128" s="176"/>
      <c r="AZ128" s="176">
        <v>0</v>
      </c>
      <c r="BA128" s="176"/>
      <c r="BB128" s="176"/>
      <c r="BC128" s="176"/>
      <c r="BD128" s="176"/>
      <c r="BE128" s="176">
        <v>300</v>
      </c>
      <c r="BF128" s="176"/>
      <c r="BG128" s="176"/>
      <c r="BH128" s="176"/>
      <c r="BI128" s="176"/>
      <c r="BJ128" s="176">
        <v>300</v>
      </c>
      <c r="BK128" s="176"/>
      <c r="BL128" s="176"/>
      <c r="BM128" s="176"/>
      <c r="BN128" s="176"/>
      <c r="BO128" s="176">
        <v>0</v>
      </c>
      <c r="BP128" s="176"/>
      <c r="BQ128" s="176"/>
      <c r="BR128" s="176"/>
      <c r="BS128" s="176"/>
      <c r="BT128" s="176">
        <v>300</v>
      </c>
      <c r="BU128" s="176"/>
      <c r="BV128" s="176"/>
      <c r="BW128" s="176"/>
      <c r="BX128" s="176"/>
    </row>
    <row r="129" spans="1:79" s="137" customFormat="1" ht="45" customHeight="1" x14ac:dyDescent="0.2">
      <c r="A129" s="157">
        <v>2</v>
      </c>
      <c r="B129" s="158"/>
      <c r="C129" s="158"/>
      <c r="D129" s="175" t="s">
        <v>224</v>
      </c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3"/>
      <c r="Q129" s="57" t="s">
        <v>222</v>
      </c>
      <c r="R129" s="57"/>
      <c r="S129" s="57"/>
      <c r="T129" s="57"/>
      <c r="U129" s="57"/>
      <c r="V129" s="175" t="s">
        <v>271</v>
      </c>
      <c r="W129" s="132"/>
      <c r="X129" s="132"/>
      <c r="Y129" s="132"/>
      <c r="Z129" s="132"/>
      <c r="AA129" s="132"/>
      <c r="AB129" s="132"/>
      <c r="AC129" s="132"/>
      <c r="AD129" s="132"/>
      <c r="AE129" s="133"/>
      <c r="AF129" s="176">
        <v>30</v>
      </c>
      <c r="AG129" s="176"/>
      <c r="AH129" s="176"/>
      <c r="AI129" s="176"/>
      <c r="AJ129" s="176"/>
      <c r="AK129" s="176">
        <v>0</v>
      </c>
      <c r="AL129" s="176"/>
      <c r="AM129" s="176"/>
      <c r="AN129" s="176"/>
      <c r="AO129" s="176"/>
      <c r="AP129" s="176">
        <v>30</v>
      </c>
      <c r="AQ129" s="176"/>
      <c r="AR129" s="176"/>
      <c r="AS129" s="176"/>
      <c r="AT129" s="176"/>
      <c r="AU129" s="176">
        <v>30</v>
      </c>
      <c r="AV129" s="176"/>
      <c r="AW129" s="176"/>
      <c r="AX129" s="176"/>
      <c r="AY129" s="176"/>
      <c r="AZ129" s="176">
        <v>0</v>
      </c>
      <c r="BA129" s="176"/>
      <c r="BB129" s="176"/>
      <c r="BC129" s="176"/>
      <c r="BD129" s="176"/>
      <c r="BE129" s="176">
        <v>30</v>
      </c>
      <c r="BF129" s="176"/>
      <c r="BG129" s="176"/>
      <c r="BH129" s="176"/>
      <c r="BI129" s="176"/>
      <c r="BJ129" s="176">
        <v>40</v>
      </c>
      <c r="BK129" s="176"/>
      <c r="BL129" s="176"/>
      <c r="BM129" s="176"/>
      <c r="BN129" s="176"/>
      <c r="BO129" s="176">
        <v>0</v>
      </c>
      <c r="BP129" s="176"/>
      <c r="BQ129" s="176"/>
      <c r="BR129" s="176"/>
      <c r="BS129" s="176"/>
      <c r="BT129" s="176">
        <v>40</v>
      </c>
      <c r="BU129" s="176"/>
      <c r="BV129" s="176"/>
      <c r="BW129" s="176"/>
      <c r="BX129" s="176"/>
    </row>
    <row r="130" spans="1:79" s="9" customFormat="1" ht="15" customHeight="1" x14ac:dyDescent="0.2">
      <c r="A130" s="119">
        <v>0</v>
      </c>
      <c r="B130" s="117"/>
      <c r="C130" s="117"/>
      <c r="D130" s="174" t="s">
        <v>272</v>
      </c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40"/>
      <c r="Q130" s="172"/>
      <c r="R130" s="172"/>
      <c r="S130" s="172"/>
      <c r="T130" s="172"/>
      <c r="U130" s="172"/>
      <c r="V130" s="174"/>
      <c r="W130" s="139"/>
      <c r="X130" s="139"/>
      <c r="Y130" s="139"/>
      <c r="Z130" s="139"/>
      <c r="AA130" s="139"/>
      <c r="AB130" s="139"/>
      <c r="AC130" s="139"/>
      <c r="AD130" s="139"/>
      <c r="AE130" s="140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3"/>
      <c r="BW130" s="173"/>
      <c r="BX130" s="173"/>
    </row>
    <row r="131" spans="1:79" s="137" customFormat="1" ht="28.5" customHeight="1" x14ac:dyDescent="0.2">
      <c r="A131" s="157">
        <v>1</v>
      </c>
      <c r="B131" s="158"/>
      <c r="C131" s="158"/>
      <c r="D131" s="175" t="s">
        <v>221</v>
      </c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3"/>
      <c r="Q131" s="57" t="s">
        <v>273</v>
      </c>
      <c r="R131" s="57"/>
      <c r="S131" s="57"/>
      <c r="T131" s="57"/>
      <c r="U131" s="57"/>
      <c r="V131" s="175" t="s">
        <v>274</v>
      </c>
      <c r="W131" s="132"/>
      <c r="X131" s="132"/>
      <c r="Y131" s="132"/>
      <c r="Z131" s="132"/>
      <c r="AA131" s="132"/>
      <c r="AB131" s="132"/>
      <c r="AC131" s="132"/>
      <c r="AD131" s="132"/>
      <c r="AE131" s="133"/>
      <c r="AF131" s="176">
        <v>289192</v>
      </c>
      <c r="AG131" s="176"/>
      <c r="AH131" s="176"/>
      <c r="AI131" s="176"/>
      <c r="AJ131" s="176"/>
      <c r="AK131" s="176">
        <v>0</v>
      </c>
      <c r="AL131" s="176"/>
      <c r="AM131" s="176"/>
      <c r="AN131" s="176"/>
      <c r="AO131" s="176"/>
      <c r="AP131" s="176">
        <v>289192</v>
      </c>
      <c r="AQ131" s="176"/>
      <c r="AR131" s="176"/>
      <c r="AS131" s="176"/>
      <c r="AT131" s="176"/>
      <c r="AU131" s="176">
        <v>387049</v>
      </c>
      <c r="AV131" s="176"/>
      <c r="AW131" s="176"/>
      <c r="AX131" s="176"/>
      <c r="AY131" s="176"/>
      <c r="AZ131" s="176">
        <v>0</v>
      </c>
      <c r="BA131" s="176"/>
      <c r="BB131" s="176"/>
      <c r="BC131" s="176"/>
      <c r="BD131" s="176"/>
      <c r="BE131" s="176">
        <v>387049</v>
      </c>
      <c r="BF131" s="176"/>
      <c r="BG131" s="176"/>
      <c r="BH131" s="176"/>
      <c r="BI131" s="176"/>
      <c r="BJ131" s="176">
        <v>425571</v>
      </c>
      <c r="BK131" s="176"/>
      <c r="BL131" s="176"/>
      <c r="BM131" s="176"/>
      <c r="BN131" s="176"/>
      <c r="BO131" s="176">
        <v>0</v>
      </c>
      <c r="BP131" s="176"/>
      <c r="BQ131" s="176"/>
      <c r="BR131" s="176"/>
      <c r="BS131" s="176"/>
      <c r="BT131" s="176">
        <v>425571</v>
      </c>
      <c r="BU131" s="176"/>
      <c r="BV131" s="176"/>
      <c r="BW131" s="176"/>
      <c r="BX131" s="176"/>
    </row>
    <row r="132" spans="1:79" s="137" customFormat="1" ht="45" customHeight="1" x14ac:dyDescent="0.2">
      <c r="A132" s="157">
        <v>2</v>
      </c>
      <c r="B132" s="158"/>
      <c r="C132" s="158"/>
      <c r="D132" s="175" t="s">
        <v>223</v>
      </c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3"/>
      <c r="Q132" s="57" t="s">
        <v>222</v>
      </c>
      <c r="R132" s="57"/>
      <c r="S132" s="57"/>
      <c r="T132" s="57"/>
      <c r="U132" s="57"/>
      <c r="V132" s="175" t="s">
        <v>274</v>
      </c>
      <c r="W132" s="132"/>
      <c r="X132" s="132"/>
      <c r="Y132" s="132"/>
      <c r="Z132" s="132"/>
      <c r="AA132" s="132"/>
      <c r="AB132" s="132"/>
      <c r="AC132" s="132"/>
      <c r="AD132" s="132"/>
      <c r="AE132" s="133"/>
      <c r="AF132" s="176">
        <v>75</v>
      </c>
      <c r="AG132" s="176"/>
      <c r="AH132" s="176"/>
      <c r="AI132" s="176"/>
      <c r="AJ132" s="176"/>
      <c r="AK132" s="176">
        <v>0</v>
      </c>
      <c r="AL132" s="176"/>
      <c r="AM132" s="176"/>
      <c r="AN132" s="176"/>
      <c r="AO132" s="176"/>
      <c r="AP132" s="176">
        <v>75</v>
      </c>
      <c r="AQ132" s="176"/>
      <c r="AR132" s="176"/>
      <c r="AS132" s="176"/>
      <c r="AT132" s="176"/>
      <c r="AU132" s="176">
        <v>75</v>
      </c>
      <c r="AV132" s="176"/>
      <c r="AW132" s="176"/>
      <c r="AX132" s="176"/>
      <c r="AY132" s="176"/>
      <c r="AZ132" s="176">
        <v>0</v>
      </c>
      <c r="BA132" s="176"/>
      <c r="BB132" s="176"/>
      <c r="BC132" s="176"/>
      <c r="BD132" s="176"/>
      <c r="BE132" s="176">
        <v>75</v>
      </c>
      <c r="BF132" s="176"/>
      <c r="BG132" s="176"/>
      <c r="BH132" s="176"/>
      <c r="BI132" s="176"/>
      <c r="BJ132" s="176">
        <v>75</v>
      </c>
      <c r="BK132" s="176"/>
      <c r="BL132" s="176"/>
      <c r="BM132" s="176"/>
      <c r="BN132" s="176"/>
      <c r="BO132" s="176">
        <v>0</v>
      </c>
      <c r="BP132" s="176"/>
      <c r="BQ132" s="176"/>
      <c r="BR132" s="176"/>
      <c r="BS132" s="176"/>
      <c r="BT132" s="176">
        <v>75</v>
      </c>
      <c r="BU132" s="176"/>
      <c r="BV132" s="176"/>
      <c r="BW132" s="176"/>
      <c r="BX132" s="176"/>
    </row>
    <row r="133" spans="1:79" s="137" customFormat="1" ht="60" customHeight="1" x14ac:dyDescent="0.2">
      <c r="A133" s="157">
        <v>3</v>
      </c>
      <c r="B133" s="158"/>
      <c r="C133" s="158"/>
      <c r="D133" s="175" t="s">
        <v>275</v>
      </c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3"/>
      <c r="Q133" s="57" t="s">
        <v>222</v>
      </c>
      <c r="R133" s="57"/>
      <c r="S133" s="57"/>
      <c r="T133" s="57"/>
      <c r="U133" s="57"/>
      <c r="V133" s="175" t="s">
        <v>274</v>
      </c>
      <c r="W133" s="132"/>
      <c r="X133" s="132"/>
      <c r="Y133" s="132"/>
      <c r="Z133" s="132"/>
      <c r="AA133" s="132"/>
      <c r="AB133" s="132"/>
      <c r="AC133" s="132"/>
      <c r="AD133" s="132"/>
      <c r="AE133" s="133"/>
      <c r="AF133" s="176">
        <v>7</v>
      </c>
      <c r="AG133" s="176"/>
      <c r="AH133" s="176"/>
      <c r="AI133" s="176"/>
      <c r="AJ133" s="176"/>
      <c r="AK133" s="176">
        <v>0</v>
      </c>
      <c r="AL133" s="176"/>
      <c r="AM133" s="176"/>
      <c r="AN133" s="176"/>
      <c r="AO133" s="176"/>
      <c r="AP133" s="176">
        <v>7</v>
      </c>
      <c r="AQ133" s="176"/>
      <c r="AR133" s="176"/>
      <c r="AS133" s="176"/>
      <c r="AT133" s="176"/>
      <c r="AU133" s="176">
        <v>8</v>
      </c>
      <c r="AV133" s="176"/>
      <c r="AW133" s="176"/>
      <c r="AX133" s="176"/>
      <c r="AY133" s="176"/>
      <c r="AZ133" s="176">
        <v>0</v>
      </c>
      <c r="BA133" s="176"/>
      <c r="BB133" s="176"/>
      <c r="BC133" s="176"/>
      <c r="BD133" s="176"/>
      <c r="BE133" s="176">
        <v>8</v>
      </c>
      <c r="BF133" s="176"/>
      <c r="BG133" s="176"/>
      <c r="BH133" s="176"/>
      <c r="BI133" s="176"/>
      <c r="BJ133" s="176">
        <v>10</v>
      </c>
      <c r="BK133" s="176"/>
      <c r="BL133" s="176"/>
      <c r="BM133" s="176"/>
      <c r="BN133" s="176"/>
      <c r="BO133" s="176">
        <v>0</v>
      </c>
      <c r="BP133" s="176"/>
      <c r="BQ133" s="176"/>
      <c r="BR133" s="176"/>
      <c r="BS133" s="176"/>
      <c r="BT133" s="176">
        <v>10</v>
      </c>
      <c r="BU133" s="176"/>
      <c r="BV133" s="176"/>
      <c r="BW133" s="176"/>
      <c r="BX133" s="176"/>
    </row>
    <row r="134" spans="1:79" s="9" customFormat="1" ht="15" customHeight="1" x14ac:dyDescent="0.2">
      <c r="A134" s="119">
        <v>0</v>
      </c>
      <c r="B134" s="117"/>
      <c r="C134" s="117"/>
      <c r="D134" s="174" t="s">
        <v>276</v>
      </c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40"/>
      <c r="Q134" s="172"/>
      <c r="R134" s="172"/>
      <c r="S134" s="172"/>
      <c r="T134" s="172"/>
      <c r="U134" s="172"/>
      <c r="V134" s="174"/>
      <c r="W134" s="139"/>
      <c r="X134" s="139"/>
      <c r="Y134" s="139"/>
      <c r="Z134" s="139"/>
      <c r="AA134" s="139"/>
      <c r="AB134" s="139"/>
      <c r="AC134" s="139"/>
      <c r="AD134" s="139"/>
      <c r="AE134" s="140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173"/>
      <c r="BB134" s="173"/>
      <c r="BC134" s="173"/>
      <c r="BD134" s="173"/>
      <c r="BE134" s="173"/>
      <c r="BF134" s="173"/>
      <c r="BG134" s="173"/>
      <c r="BH134" s="173"/>
      <c r="BI134" s="173"/>
      <c r="BJ134" s="173"/>
      <c r="BK134" s="173"/>
      <c r="BL134" s="173"/>
      <c r="BM134" s="173"/>
      <c r="BN134" s="173"/>
      <c r="BO134" s="173"/>
      <c r="BP134" s="173"/>
      <c r="BQ134" s="173"/>
      <c r="BR134" s="173"/>
      <c r="BS134" s="173"/>
      <c r="BT134" s="173"/>
      <c r="BU134" s="173"/>
      <c r="BV134" s="173"/>
      <c r="BW134" s="173"/>
      <c r="BX134" s="173"/>
    </row>
    <row r="135" spans="1:79" s="137" customFormat="1" ht="28.5" customHeight="1" x14ac:dyDescent="0.2">
      <c r="A135" s="157">
        <v>1</v>
      </c>
      <c r="B135" s="158"/>
      <c r="C135" s="158"/>
      <c r="D135" s="175" t="s">
        <v>277</v>
      </c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3"/>
      <c r="Q135" s="57" t="s">
        <v>278</v>
      </c>
      <c r="R135" s="57"/>
      <c r="S135" s="57"/>
      <c r="T135" s="57"/>
      <c r="U135" s="57"/>
      <c r="V135" s="175" t="s">
        <v>279</v>
      </c>
      <c r="W135" s="132"/>
      <c r="X135" s="132"/>
      <c r="Y135" s="132"/>
      <c r="Z135" s="132"/>
      <c r="AA135" s="132"/>
      <c r="AB135" s="132"/>
      <c r="AC135" s="132"/>
      <c r="AD135" s="132"/>
      <c r="AE135" s="133"/>
      <c r="AF135" s="176">
        <v>100</v>
      </c>
      <c r="AG135" s="176"/>
      <c r="AH135" s="176"/>
      <c r="AI135" s="176"/>
      <c r="AJ135" s="176"/>
      <c r="AK135" s="176">
        <v>0</v>
      </c>
      <c r="AL135" s="176"/>
      <c r="AM135" s="176"/>
      <c r="AN135" s="176"/>
      <c r="AO135" s="176"/>
      <c r="AP135" s="176">
        <v>100</v>
      </c>
      <c r="AQ135" s="176"/>
      <c r="AR135" s="176"/>
      <c r="AS135" s="176"/>
      <c r="AT135" s="176"/>
      <c r="AU135" s="176">
        <v>100</v>
      </c>
      <c r="AV135" s="176"/>
      <c r="AW135" s="176"/>
      <c r="AX135" s="176"/>
      <c r="AY135" s="176"/>
      <c r="AZ135" s="176">
        <v>0</v>
      </c>
      <c r="BA135" s="176"/>
      <c r="BB135" s="176"/>
      <c r="BC135" s="176"/>
      <c r="BD135" s="176"/>
      <c r="BE135" s="176">
        <v>100</v>
      </c>
      <c r="BF135" s="176"/>
      <c r="BG135" s="176"/>
      <c r="BH135" s="176"/>
      <c r="BI135" s="176"/>
      <c r="BJ135" s="176">
        <v>100</v>
      </c>
      <c r="BK135" s="176"/>
      <c r="BL135" s="176"/>
      <c r="BM135" s="176"/>
      <c r="BN135" s="176"/>
      <c r="BO135" s="176">
        <v>0</v>
      </c>
      <c r="BP135" s="176"/>
      <c r="BQ135" s="176"/>
      <c r="BR135" s="176"/>
      <c r="BS135" s="176"/>
      <c r="BT135" s="176">
        <v>100</v>
      </c>
      <c r="BU135" s="176"/>
      <c r="BV135" s="176"/>
      <c r="BW135" s="176"/>
      <c r="BX135" s="176"/>
    </row>
    <row r="137" spans="1:79" ht="14.25" customHeight="1" x14ac:dyDescent="0.2">
      <c r="A137" s="67" t="s">
        <v>322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1:79" ht="23.1" customHeight="1" x14ac:dyDescent="0.2">
      <c r="A138" s="86" t="s">
        <v>7</v>
      </c>
      <c r="B138" s="87"/>
      <c r="C138" s="87"/>
      <c r="D138" s="57" t="s">
        <v>10</v>
      </c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 t="s">
        <v>9</v>
      </c>
      <c r="R138" s="57"/>
      <c r="S138" s="57"/>
      <c r="T138" s="57"/>
      <c r="U138" s="57"/>
      <c r="V138" s="57" t="s">
        <v>8</v>
      </c>
      <c r="W138" s="57"/>
      <c r="X138" s="57"/>
      <c r="Y138" s="57"/>
      <c r="Z138" s="57"/>
      <c r="AA138" s="57"/>
      <c r="AB138" s="57"/>
      <c r="AC138" s="57"/>
      <c r="AD138" s="57"/>
      <c r="AE138" s="57"/>
      <c r="AF138" s="51" t="s">
        <v>247</v>
      </c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3"/>
      <c r="AU138" s="51" t="s">
        <v>249</v>
      </c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3"/>
    </row>
    <row r="139" spans="1:79" ht="28.5" customHeight="1" x14ac:dyDescent="0.2">
      <c r="A139" s="89"/>
      <c r="B139" s="90"/>
      <c r="C139" s="90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 t="s">
        <v>5</v>
      </c>
      <c r="AG139" s="57"/>
      <c r="AH139" s="57"/>
      <c r="AI139" s="57"/>
      <c r="AJ139" s="57"/>
      <c r="AK139" s="57" t="s">
        <v>4</v>
      </c>
      <c r="AL139" s="57"/>
      <c r="AM139" s="57"/>
      <c r="AN139" s="57"/>
      <c r="AO139" s="57"/>
      <c r="AP139" s="57" t="s">
        <v>154</v>
      </c>
      <c r="AQ139" s="57"/>
      <c r="AR139" s="57"/>
      <c r="AS139" s="57"/>
      <c r="AT139" s="57"/>
      <c r="AU139" s="57" t="s">
        <v>5</v>
      </c>
      <c r="AV139" s="57"/>
      <c r="AW139" s="57"/>
      <c r="AX139" s="57"/>
      <c r="AY139" s="57"/>
      <c r="AZ139" s="57" t="s">
        <v>4</v>
      </c>
      <c r="BA139" s="57"/>
      <c r="BB139" s="57"/>
      <c r="BC139" s="57"/>
      <c r="BD139" s="57"/>
      <c r="BE139" s="57" t="s">
        <v>112</v>
      </c>
      <c r="BF139" s="57"/>
      <c r="BG139" s="57"/>
      <c r="BH139" s="57"/>
      <c r="BI139" s="57"/>
    </row>
    <row r="140" spans="1:79" ht="15" customHeight="1" x14ac:dyDescent="0.2">
      <c r="A140" s="51">
        <v>1</v>
      </c>
      <c r="B140" s="52"/>
      <c r="C140" s="52"/>
      <c r="D140" s="57">
        <v>2</v>
      </c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>
        <v>3</v>
      </c>
      <c r="R140" s="57"/>
      <c r="S140" s="57"/>
      <c r="T140" s="57"/>
      <c r="U140" s="57"/>
      <c r="V140" s="57">
        <v>4</v>
      </c>
      <c r="W140" s="57"/>
      <c r="X140" s="57"/>
      <c r="Y140" s="57"/>
      <c r="Z140" s="57"/>
      <c r="AA140" s="57"/>
      <c r="AB140" s="57"/>
      <c r="AC140" s="57"/>
      <c r="AD140" s="57"/>
      <c r="AE140" s="57"/>
      <c r="AF140" s="57">
        <v>5</v>
      </c>
      <c r="AG140" s="57"/>
      <c r="AH140" s="57"/>
      <c r="AI140" s="57"/>
      <c r="AJ140" s="57"/>
      <c r="AK140" s="57">
        <v>6</v>
      </c>
      <c r="AL140" s="57"/>
      <c r="AM140" s="57"/>
      <c r="AN140" s="57"/>
      <c r="AO140" s="57"/>
      <c r="AP140" s="57">
        <v>7</v>
      </c>
      <c r="AQ140" s="57"/>
      <c r="AR140" s="57"/>
      <c r="AS140" s="57"/>
      <c r="AT140" s="57"/>
      <c r="AU140" s="57">
        <v>8</v>
      </c>
      <c r="AV140" s="57"/>
      <c r="AW140" s="57"/>
      <c r="AX140" s="57"/>
      <c r="AY140" s="57"/>
      <c r="AZ140" s="57">
        <v>9</v>
      </c>
      <c r="BA140" s="57"/>
      <c r="BB140" s="57"/>
      <c r="BC140" s="57"/>
      <c r="BD140" s="57"/>
      <c r="BE140" s="57">
        <v>10</v>
      </c>
      <c r="BF140" s="57"/>
      <c r="BG140" s="57"/>
      <c r="BH140" s="57"/>
      <c r="BI140" s="57"/>
    </row>
    <row r="141" spans="1:79" ht="15.75" hidden="1" customHeight="1" x14ac:dyDescent="0.2">
      <c r="A141" s="54" t="s">
        <v>187</v>
      </c>
      <c r="B141" s="55"/>
      <c r="C141" s="55"/>
      <c r="D141" s="57" t="s">
        <v>78</v>
      </c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 t="s">
        <v>91</v>
      </c>
      <c r="R141" s="57"/>
      <c r="S141" s="57"/>
      <c r="T141" s="57"/>
      <c r="U141" s="57"/>
      <c r="V141" s="57" t="s">
        <v>92</v>
      </c>
      <c r="W141" s="57"/>
      <c r="X141" s="57"/>
      <c r="Y141" s="57"/>
      <c r="Z141" s="57"/>
      <c r="AA141" s="57"/>
      <c r="AB141" s="57"/>
      <c r="AC141" s="57"/>
      <c r="AD141" s="57"/>
      <c r="AE141" s="57"/>
      <c r="AF141" s="60" t="s">
        <v>135</v>
      </c>
      <c r="AG141" s="60"/>
      <c r="AH141" s="60"/>
      <c r="AI141" s="60"/>
      <c r="AJ141" s="60"/>
      <c r="AK141" s="59" t="s">
        <v>136</v>
      </c>
      <c r="AL141" s="59"/>
      <c r="AM141" s="59"/>
      <c r="AN141" s="59"/>
      <c r="AO141" s="59"/>
      <c r="AP141" s="69" t="s">
        <v>265</v>
      </c>
      <c r="AQ141" s="69"/>
      <c r="AR141" s="69"/>
      <c r="AS141" s="69"/>
      <c r="AT141" s="69"/>
      <c r="AU141" s="60" t="s">
        <v>137</v>
      </c>
      <c r="AV141" s="60"/>
      <c r="AW141" s="60"/>
      <c r="AX141" s="60"/>
      <c r="AY141" s="60"/>
      <c r="AZ141" s="59" t="s">
        <v>138</v>
      </c>
      <c r="BA141" s="59"/>
      <c r="BB141" s="59"/>
      <c r="BC141" s="59"/>
      <c r="BD141" s="59"/>
      <c r="BE141" s="69" t="s">
        <v>265</v>
      </c>
      <c r="BF141" s="69"/>
      <c r="BG141" s="69"/>
      <c r="BH141" s="69"/>
      <c r="BI141" s="69"/>
      <c r="CA141" t="s">
        <v>47</v>
      </c>
    </row>
    <row r="142" spans="1:79" s="9" customFormat="1" ht="14.25" x14ac:dyDescent="0.2">
      <c r="A142" s="119">
        <v>0</v>
      </c>
      <c r="B142" s="117"/>
      <c r="C142" s="117"/>
      <c r="D142" s="172" t="s">
        <v>264</v>
      </c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  <c r="AA142" s="172"/>
      <c r="AB142" s="172"/>
      <c r="AC142" s="172"/>
      <c r="AD142" s="172"/>
      <c r="AE142" s="172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  <c r="AY142" s="173"/>
      <c r="AZ142" s="173"/>
      <c r="BA142" s="173"/>
      <c r="BB142" s="173"/>
      <c r="BC142" s="173"/>
      <c r="BD142" s="173"/>
      <c r="BE142" s="173"/>
      <c r="BF142" s="173"/>
      <c r="BG142" s="173"/>
      <c r="BH142" s="173"/>
      <c r="BI142" s="173"/>
      <c r="CA142" s="9" t="s">
        <v>48</v>
      </c>
    </row>
    <row r="143" spans="1:79" s="137" customFormat="1" ht="14.25" customHeight="1" x14ac:dyDescent="0.2">
      <c r="A143" s="157">
        <v>1</v>
      </c>
      <c r="B143" s="158"/>
      <c r="C143" s="158"/>
      <c r="D143" s="175" t="s">
        <v>266</v>
      </c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3"/>
      <c r="Q143" s="57" t="s">
        <v>222</v>
      </c>
      <c r="R143" s="57"/>
      <c r="S143" s="57"/>
      <c r="T143" s="57"/>
      <c r="U143" s="57"/>
      <c r="V143" s="57" t="s">
        <v>267</v>
      </c>
      <c r="W143" s="57"/>
      <c r="X143" s="57"/>
      <c r="Y143" s="57"/>
      <c r="Z143" s="57"/>
      <c r="AA143" s="57"/>
      <c r="AB143" s="57"/>
      <c r="AC143" s="57"/>
      <c r="AD143" s="57"/>
      <c r="AE143" s="57"/>
      <c r="AF143" s="176">
        <v>4</v>
      </c>
      <c r="AG143" s="176"/>
      <c r="AH143" s="176"/>
      <c r="AI143" s="176"/>
      <c r="AJ143" s="176"/>
      <c r="AK143" s="176">
        <v>0</v>
      </c>
      <c r="AL143" s="176"/>
      <c r="AM143" s="176"/>
      <c r="AN143" s="176"/>
      <c r="AO143" s="176"/>
      <c r="AP143" s="176">
        <v>4</v>
      </c>
      <c r="AQ143" s="176"/>
      <c r="AR143" s="176"/>
      <c r="AS143" s="176"/>
      <c r="AT143" s="176"/>
      <c r="AU143" s="176">
        <v>4</v>
      </c>
      <c r="AV143" s="176"/>
      <c r="AW143" s="176"/>
      <c r="AX143" s="176"/>
      <c r="AY143" s="176"/>
      <c r="AZ143" s="176">
        <v>0</v>
      </c>
      <c r="BA143" s="176"/>
      <c r="BB143" s="176"/>
      <c r="BC143" s="176"/>
      <c r="BD143" s="176"/>
      <c r="BE143" s="176">
        <v>4</v>
      </c>
      <c r="BF143" s="176"/>
      <c r="BG143" s="176"/>
      <c r="BH143" s="176"/>
      <c r="BI143" s="176"/>
    </row>
    <row r="144" spans="1:79" s="9" customFormat="1" ht="14.25" x14ac:dyDescent="0.2">
      <c r="A144" s="119">
        <v>0</v>
      </c>
      <c r="B144" s="117"/>
      <c r="C144" s="117"/>
      <c r="D144" s="174" t="s">
        <v>268</v>
      </c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40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  <c r="AA144" s="172"/>
      <c r="AB144" s="172"/>
      <c r="AC144" s="172"/>
      <c r="AD144" s="172"/>
      <c r="AE144" s="172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</row>
    <row r="145" spans="1:79" s="137" customFormat="1" ht="28.5" customHeight="1" x14ac:dyDescent="0.2">
      <c r="A145" s="157">
        <v>1</v>
      </c>
      <c r="B145" s="158"/>
      <c r="C145" s="158"/>
      <c r="D145" s="175" t="s">
        <v>269</v>
      </c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3"/>
      <c r="Q145" s="57" t="s">
        <v>222</v>
      </c>
      <c r="R145" s="57"/>
      <c r="S145" s="57"/>
      <c r="T145" s="57"/>
      <c r="U145" s="57"/>
      <c r="V145" s="175" t="s">
        <v>270</v>
      </c>
      <c r="W145" s="132"/>
      <c r="X145" s="132"/>
      <c r="Y145" s="132"/>
      <c r="Z145" s="132"/>
      <c r="AA145" s="132"/>
      <c r="AB145" s="132"/>
      <c r="AC145" s="132"/>
      <c r="AD145" s="132"/>
      <c r="AE145" s="133"/>
      <c r="AF145" s="176">
        <v>300</v>
      </c>
      <c r="AG145" s="176"/>
      <c r="AH145" s="176"/>
      <c r="AI145" s="176"/>
      <c r="AJ145" s="176"/>
      <c r="AK145" s="176">
        <v>0</v>
      </c>
      <c r="AL145" s="176"/>
      <c r="AM145" s="176"/>
      <c r="AN145" s="176"/>
      <c r="AO145" s="176"/>
      <c r="AP145" s="176">
        <v>300</v>
      </c>
      <c r="AQ145" s="176"/>
      <c r="AR145" s="176"/>
      <c r="AS145" s="176"/>
      <c r="AT145" s="176"/>
      <c r="AU145" s="176">
        <v>300</v>
      </c>
      <c r="AV145" s="176"/>
      <c r="AW145" s="176"/>
      <c r="AX145" s="176"/>
      <c r="AY145" s="176"/>
      <c r="AZ145" s="176">
        <v>0</v>
      </c>
      <c r="BA145" s="176"/>
      <c r="BB145" s="176"/>
      <c r="BC145" s="176"/>
      <c r="BD145" s="176"/>
      <c r="BE145" s="176">
        <v>300</v>
      </c>
      <c r="BF145" s="176"/>
      <c r="BG145" s="176"/>
      <c r="BH145" s="176"/>
      <c r="BI145" s="176"/>
    </row>
    <row r="146" spans="1:79" s="137" customFormat="1" ht="45" customHeight="1" x14ac:dyDescent="0.2">
      <c r="A146" s="157">
        <v>2</v>
      </c>
      <c r="B146" s="158"/>
      <c r="C146" s="158"/>
      <c r="D146" s="175" t="s">
        <v>224</v>
      </c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3"/>
      <c r="Q146" s="57" t="s">
        <v>222</v>
      </c>
      <c r="R146" s="57"/>
      <c r="S146" s="57"/>
      <c r="T146" s="57"/>
      <c r="U146" s="57"/>
      <c r="V146" s="175" t="s">
        <v>271</v>
      </c>
      <c r="W146" s="132"/>
      <c r="X146" s="132"/>
      <c r="Y146" s="132"/>
      <c r="Z146" s="132"/>
      <c r="AA146" s="132"/>
      <c r="AB146" s="132"/>
      <c r="AC146" s="132"/>
      <c r="AD146" s="132"/>
      <c r="AE146" s="133"/>
      <c r="AF146" s="176">
        <v>40</v>
      </c>
      <c r="AG146" s="176"/>
      <c r="AH146" s="176"/>
      <c r="AI146" s="176"/>
      <c r="AJ146" s="176"/>
      <c r="AK146" s="176">
        <v>0</v>
      </c>
      <c r="AL146" s="176"/>
      <c r="AM146" s="176"/>
      <c r="AN146" s="176"/>
      <c r="AO146" s="176"/>
      <c r="AP146" s="176">
        <v>40</v>
      </c>
      <c r="AQ146" s="176"/>
      <c r="AR146" s="176"/>
      <c r="AS146" s="176"/>
      <c r="AT146" s="176"/>
      <c r="AU146" s="176">
        <v>40</v>
      </c>
      <c r="AV146" s="176"/>
      <c r="AW146" s="176"/>
      <c r="AX146" s="176"/>
      <c r="AY146" s="176"/>
      <c r="AZ146" s="176">
        <v>0</v>
      </c>
      <c r="BA146" s="176"/>
      <c r="BB146" s="176"/>
      <c r="BC146" s="176"/>
      <c r="BD146" s="176"/>
      <c r="BE146" s="176">
        <v>40</v>
      </c>
      <c r="BF146" s="176"/>
      <c r="BG146" s="176"/>
      <c r="BH146" s="176"/>
      <c r="BI146" s="176"/>
    </row>
    <row r="147" spans="1:79" s="9" customFormat="1" ht="14.25" x14ac:dyDescent="0.2">
      <c r="A147" s="119">
        <v>0</v>
      </c>
      <c r="B147" s="117"/>
      <c r="C147" s="117"/>
      <c r="D147" s="174" t="s">
        <v>272</v>
      </c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40"/>
      <c r="Q147" s="172"/>
      <c r="R147" s="172"/>
      <c r="S147" s="172"/>
      <c r="T147" s="172"/>
      <c r="U147" s="172"/>
      <c r="V147" s="174"/>
      <c r="W147" s="139"/>
      <c r="X147" s="139"/>
      <c r="Y147" s="139"/>
      <c r="Z147" s="139"/>
      <c r="AA147" s="139"/>
      <c r="AB147" s="139"/>
      <c r="AC147" s="139"/>
      <c r="AD147" s="139"/>
      <c r="AE147" s="140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173"/>
      <c r="BB147" s="173"/>
      <c r="BC147" s="173"/>
      <c r="BD147" s="173"/>
      <c r="BE147" s="173"/>
      <c r="BF147" s="173"/>
      <c r="BG147" s="173"/>
      <c r="BH147" s="173"/>
      <c r="BI147" s="173"/>
    </row>
    <row r="148" spans="1:79" s="137" customFormat="1" ht="28.5" customHeight="1" x14ac:dyDescent="0.2">
      <c r="A148" s="157">
        <v>1</v>
      </c>
      <c r="B148" s="158"/>
      <c r="C148" s="158"/>
      <c r="D148" s="175" t="s">
        <v>221</v>
      </c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3"/>
      <c r="Q148" s="57" t="s">
        <v>273</v>
      </c>
      <c r="R148" s="57"/>
      <c r="S148" s="57"/>
      <c r="T148" s="57"/>
      <c r="U148" s="57"/>
      <c r="V148" s="175" t="s">
        <v>274</v>
      </c>
      <c r="W148" s="132"/>
      <c r="X148" s="132"/>
      <c r="Y148" s="132"/>
      <c r="Z148" s="132"/>
      <c r="AA148" s="132"/>
      <c r="AB148" s="132"/>
      <c r="AC148" s="132"/>
      <c r="AD148" s="132"/>
      <c r="AE148" s="133"/>
      <c r="AF148" s="176">
        <v>425964</v>
      </c>
      <c r="AG148" s="176"/>
      <c r="AH148" s="176"/>
      <c r="AI148" s="176"/>
      <c r="AJ148" s="176"/>
      <c r="AK148" s="176">
        <v>0</v>
      </c>
      <c r="AL148" s="176"/>
      <c r="AM148" s="176"/>
      <c r="AN148" s="176"/>
      <c r="AO148" s="176"/>
      <c r="AP148" s="176">
        <v>425964</v>
      </c>
      <c r="AQ148" s="176"/>
      <c r="AR148" s="176"/>
      <c r="AS148" s="176"/>
      <c r="AT148" s="176"/>
      <c r="AU148" s="176">
        <v>426578</v>
      </c>
      <c r="AV148" s="176"/>
      <c r="AW148" s="176"/>
      <c r="AX148" s="176"/>
      <c r="AY148" s="176"/>
      <c r="AZ148" s="176">
        <v>0</v>
      </c>
      <c r="BA148" s="176"/>
      <c r="BB148" s="176"/>
      <c r="BC148" s="176"/>
      <c r="BD148" s="176"/>
      <c r="BE148" s="176">
        <v>426578</v>
      </c>
      <c r="BF148" s="176"/>
      <c r="BG148" s="176"/>
      <c r="BH148" s="176"/>
      <c r="BI148" s="176"/>
    </row>
    <row r="149" spans="1:79" s="137" customFormat="1" ht="45" customHeight="1" x14ac:dyDescent="0.2">
      <c r="A149" s="157">
        <v>2</v>
      </c>
      <c r="B149" s="158"/>
      <c r="C149" s="158"/>
      <c r="D149" s="175" t="s">
        <v>223</v>
      </c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3"/>
      <c r="Q149" s="57" t="s">
        <v>222</v>
      </c>
      <c r="R149" s="57"/>
      <c r="S149" s="57"/>
      <c r="T149" s="57"/>
      <c r="U149" s="57"/>
      <c r="V149" s="175" t="s">
        <v>274</v>
      </c>
      <c r="W149" s="132"/>
      <c r="X149" s="132"/>
      <c r="Y149" s="132"/>
      <c r="Z149" s="132"/>
      <c r="AA149" s="132"/>
      <c r="AB149" s="132"/>
      <c r="AC149" s="132"/>
      <c r="AD149" s="132"/>
      <c r="AE149" s="133"/>
      <c r="AF149" s="176">
        <v>75</v>
      </c>
      <c r="AG149" s="176"/>
      <c r="AH149" s="176"/>
      <c r="AI149" s="176"/>
      <c r="AJ149" s="176"/>
      <c r="AK149" s="176">
        <v>0</v>
      </c>
      <c r="AL149" s="176"/>
      <c r="AM149" s="176"/>
      <c r="AN149" s="176"/>
      <c r="AO149" s="176"/>
      <c r="AP149" s="176">
        <v>75</v>
      </c>
      <c r="AQ149" s="176"/>
      <c r="AR149" s="176"/>
      <c r="AS149" s="176"/>
      <c r="AT149" s="176"/>
      <c r="AU149" s="176">
        <v>75</v>
      </c>
      <c r="AV149" s="176"/>
      <c r="AW149" s="176"/>
      <c r="AX149" s="176"/>
      <c r="AY149" s="176"/>
      <c r="AZ149" s="176">
        <v>0</v>
      </c>
      <c r="BA149" s="176"/>
      <c r="BB149" s="176"/>
      <c r="BC149" s="176"/>
      <c r="BD149" s="176"/>
      <c r="BE149" s="176">
        <v>75</v>
      </c>
      <c r="BF149" s="176"/>
      <c r="BG149" s="176"/>
      <c r="BH149" s="176"/>
      <c r="BI149" s="176"/>
    </row>
    <row r="150" spans="1:79" s="137" customFormat="1" ht="60" customHeight="1" x14ac:dyDescent="0.2">
      <c r="A150" s="157">
        <v>3</v>
      </c>
      <c r="B150" s="158"/>
      <c r="C150" s="158"/>
      <c r="D150" s="175" t="s">
        <v>275</v>
      </c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3"/>
      <c r="Q150" s="57" t="s">
        <v>222</v>
      </c>
      <c r="R150" s="57"/>
      <c r="S150" s="57"/>
      <c r="T150" s="57"/>
      <c r="U150" s="57"/>
      <c r="V150" s="175" t="s">
        <v>274</v>
      </c>
      <c r="W150" s="132"/>
      <c r="X150" s="132"/>
      <c r="Y150" s="132"/>
      <c r="Z150" s="132"/>
      <c r="AA150" s="132"/>
      <c r="AB150" s="132"/>
      <c r="AC150" s="132"/>
      <c r="AD150" s="132"/>
      <c r="AE150" s="133"/>
      <c r="AF150" s="176">
        <v>10</v>
      </c>
      <c r="AG150" s="176"/>
      <c r="AH150" s="176"/>
      <c r="AI150" s="176"/>
      <c r="AJ150" s="176"/>
      <c r="AK150" s="176">
        <v>0</v>
      </c>
      <c r="AL150" s="176"/>
      <c r="AM150" s="176"/>
      <c r="AN150" s="176"/>
      <c r="AO150" s="176"/>
      <c r="AP150" s="176">
        <v>10</v>
      </c>
      <c r="AQ150" s="176"/>
      <c r="AR150" s="176"/>
      <c r="AS150" s="176"/>
      <c r="AT150" s="176"/>
      <c r="AU150" s="176">
        <v>10</v>
      </c>
      <c r="AV150" s="176"/>
      <c r="AW150" s="176"/>
      <c r="AX150" s="176"/>
      <c r="AY150" s="176"/>
      <c r="AZ150" s="176">
        <v>0</v>
      </c>
      <c r="BA150" s="176"/>
      <c r="BB150" s="176"/>
      <c r="BC150" s="176"/>
      <c r="BD150" s="176"/>
      <c r="BE150" s="176">
        <v>10</v>
      </c>
      <c r="BF150" s="176"/>
      <c r="BG150" s="176"/>
      <c r="BH150" s="176"/>
      <c r="BI150" s="176"/>
    </row>
    <row r="151" spans="1:79" s="9" customFormat="1" ht="14.25" x14ac:dyDescent="0.2">
      <c r="A151" s="119">
        <v>0</v>
      </c>
      <c r="B151" s="117"/>
      <c r="C151" s="117"/>
      <c r="D151" s="174" t="s">
        <v>276</v>
      </c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40"/>
      <c r="Q151" s="172"/>
      <c r="R151" s="172"/>
      <c r="S151" s="172"/>
      <c r="T151" s="172"/>
      <c r="U151" s="172"/>
      <c r="V151" s="174"/>
      <c r="W151" s="139"/>
      <c r="X151" s="139"/>
      <c r="Y151" s="139"/>
      <c r="Z151" s="139"/>
      <c r="AA151" s="139"/>
      <c r="AB151" s="139"/>
      <c r="AC151" s="139"/>
      <c r="AD151" s="139"/>
      <c r="AE151" s="140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173"/>
      <c r="BB151" s="173"/>
      <c r="BC151" s="173"/>
      <c r="BD151" s="173"/>
      <c r="BE151" s="173"/>
      <c r="BF151" s="173"/>
      <c r="BG151" s="173"/>
      <c r="BH151" s="173"/>
      <c r="BI151" s="173"/>
    </row>
    <row r="152" spans="1:79" s="137" customFormat="1" ht="28.5" customHeight="1" x14ac:dyDescent="0.2">
      <c r="A152" s="157">
        <v>1</v>
      </c>
      <c r="B152" s="158"/>
      <c r="C152" s="158"/>
      <c r="D152" s="175" t="s">
        <v>277</v>
      </c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3"/>
      <c r="Q152" s="57" t="s">
        <v>278</v>
      </c>
      <c r="R152" s="57"/>
      <c r="S152" s="57"/>
      <c r="T152" s="57"/>
      <c r="U152" s="57"/>
      <c r="V152" s="175" t="s">
        <v>279</v>
      </c>
      <c r="W152" s="132"/>
      <c r="X152" s="132"/>
      <c r="Y152" s="132"/>
      <c r="Z152" s="132"/>
      <c r="AA152" s="132"/>
      <c r="AB152" s="132"/>
      <c r="AC152" s="132"/>
      <c r="AD152" s="132"/>
      <c r="AE152" s="133"/>
      <c r="AF152" s="176">
        <v>100</v>
      </c>
      <c r="AG152" s="176"/>
      <c r="AH152" s="176"/>
      <c r="AI152" s="176"/>
      <c r="AJ152" s="176"/>
      <c r="AK152" s="176">
        <v>0</v>
      </c>
      <c r="AL152" s="176"/>
      <c r="AM152" s="176"/>
      <c r="AN152" s="176"/>
      <c r="AO152" s="176"/>
      <c r="AP152" s="176">
        <v>100</v>
      </c>
      <c r="AQ152" s="176"/>
      <c r="AR152" s="176"/>
      <c r="AS152" s="176"/>
      <c r="AT152" s="176"/>
      <c r="AU152" s="176">
        <v>100</v>
      </c>
      <c r="AV152" s="176"/>
      <c r="AW152" s="176"/>
      <c r="AX152" s="176"/>
      <c r="AY152" s="176"/>
      <c r="AZ152" s="176">
        <v>0</v>
      </c>
      <c r="BA152" s="176"/>
      <c r="BB152" s="176"/>
      <c r="BC152" s="176"/>
      <c r="BD152" s="176"/>
      <c r="BE152" s="176">
        <v>100</v>
      </c>
      <c r="BF152" s="176"/>
      <c r="BG152" s="176"/>
      <c r="BH152" s="176"/>
      <c r="BI152" s="176"/>
    </row>
    <row r="154" spans="1:79" ht="14.25" customHeight="1" x14ac:dyDescent="0.2">
      <c r="A154" s="67" t="s">
        <v>155</v>
      </c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1:79" ht="15" customHeight="1" x14ac:dyDescent="0.2">
      <c r="A155" s="78" t="s">
        <v>243</v>
      </c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</row>
    <row r="156" spans="1:79" ht="12.95" customHeight="1" x14ac:dyDescent="0.2">
      <c r="A156" s="86" t="s">
        <v>20</v>
      </c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8"/>
      <c r="U156" s="57" t="s">
        <v>244</v>
      </c>
      <c r="V156" s="57"/>
      <c r="W156" s="57"/>
      <c r="X156" s="57"/>
      <c r="Y156" s="57"/>
      <c r="Z156" s="57"/>
      <c r="AA156" s="57"/>
      <c r="AB156" s="57"/>
      <c r="AC156" s="57"/>
      <c r="AD156" s="57"/>
      <c r="AE156" s="57" t="s">
        <v>245</v>
      </c>
      <c r="AF156" s="57"/>
      <c r="AG156" s="57"/>
      <c r="AH156" s="57"/>
      <c r="AI156" s="57"/>
      <c r="AJ156" s="57"/>
      <c r="AK156" s="57"/>
      <c r="AL156" s="57"/>
      <c r="AM156" s="57"/>
      <c r="AN156" s="57"/>
      <c r="AO156" s="57" t="s">
        <v>246</v>
      </c>
      <c r="AP156" s="57"/>
      <c r="AQ156" s="57"/>
      <c r="AR156" s="57"/>
      <c r="AS156" s="57"/>
      <c r="AT156" s="57"/>
      <c r="AU156" s="57"/>
      <c r="AV156" s="57"/>
      <c r="AW156" s="57"/>
      <c r="AX156" s="57"/>
      <c r="AY156" s="57" t="s">
        <v>247</v>
      </c>
      <c r="AZ156" s="57"/>
      <c r="BA156" s="57"/>
      <c r="BB156" s="57"/>
      <c r="BC156" s="57"/>
      <c r="BD156" s="57"/>
      <c r="BE156" s="57"/>
      <c r="BF156" s="57"/>
      <c r="BG156" s="57"/>
      <c r="BH156" s="57"/>
      <c r="BI156" s="57" t="s">
        <v>249</v>
      </c>
      <c r="BJ156" s="57"/>
      <c r="BK156" s="57"/>
      <c r="BL156" s="57"/>
      <c r="BM156" s="57"/>
      <c r="BN156" s="57"/>
      <c r="BO156" s="57"/>
      <c r="BP156" s="57"/>
      <c r="BQ156" s="57"/>
      <c r="BR156" s="57"/>
    </row>
    <row r="157" spans="1:79" ht="30" customHeight="1" x14ac:dyDescent="0.2">
      <c r="A157" s="89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1"/>
      <c r="U157" s="57" t="s">
        <v>5</v>
      </c>
      <c r="V157" s="57"/>
      <c r="W157" s="57"/>
      <c r="X157" s="57"/>
      <c r="Y157" s="57"/>
      <c r="Z157" s="57" t="s">
        <v>4</v>
      </c>
      <c r="AA157" s="57"/>
      <c r="AB157" s="57"/>
      <c r="AC157" s="57"/>
      <c r="AD157" s="57"/>
      <c r="AE157" s="57" t="s">
        <v>5</v>
      </c>
      <c r="AF157" s="57"/>
      <c r="AG157" s="57"/>
      <c r="AH157" s="57"/>
      <c r="AI157" s="57"/>
      <c r="AJ157" s="57" t="s">
        <v>4</v>
      </c>
      <c r="AK157" s="57"/>
      <c r="AL157" s="57"/>
      <c r="AM157" s="57"/>
      <c r="AN157" s="57"/>
      <c r="AO157" s="57" t="s">
        <v>5</v>
      </c>
      <c r="AP157" s="57"/>
      <c r="AQ157" s="57"/>
      <c r="AR157" s="57"/>
      <c r="AS157" s="57"/>
      <c r="AT157" s="57" t="s">
        <v>4</v>
      </c>
      <c r="AU157" s="57"/>
      <c r="AV157" s="57"/>
      <c r="AW157" s="57"/>
      <c r="AX157" s="57"/>
      <c r="AY157" s="57" t="s">
        <v>5</v>
      </c>
      <c r="AZ157" s="57"/>
      <c r="BA157" s="57"/>
      <c r="BB157" s="57"/>
      <c r="BC157" s="57"/>
      <c r="BD157" s="57" t="s">
        <v>4</v>
      </c>
      <c r="BE157" s="57"/>
      <c r="BF157" s="57"/>
      <c r="BG157" s="57"/>
      <c r="BH157" s="57"/>
      <c r="BI157" s="57" t="s">
        <v>5</v>
      </c>
      <c r="BJ157" s="57"/>
      <c r="BK157" s="57"/>
      <c r="BL157" s="57"/>
      <c r="BM157" s="57"/>
      <c r="BN157" s="57" t="s">
        <v>4</v>
      </c>
      <c r="BO157" s="57"/>
      <c r="BP157" s="57"/>
      <c r="BQ157" s="57"/>
      <c r="BR157" s="57"/>
    </row>
    <row r="158" spans="1:79" ht="15" customHeight="1" x14ac:dyDescent="0.2">
      <c r="A158" s="51">
        <v>1</v>
      </c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3"/>
      <c r="U158" s="57">
        <v>2</v>
      </c>
      <c r="V158" s="57"/>
      <c r="W158" s="57"/>
      <c r="X158" s="57"/>
      <c r="Y158" s="57"/>
      <c r="Z158" s="57">
        <v>3</v>
      </c>
      <c r="AA158" s="57"/>
      <c r="AB158" s="57"/>
      <c r="AC158" s="57"/>
      <c r="AD158" s="57"/>
      <c r="AE158" s="57">
        <v>4</v>
      </c>
      <c r="AF158" s="57"/>
      <c r="AG158" s="57"/>
      <c r="AH158" s="57"/>
      <c r="AI158" s="57"/>
      <c r="AJ158" s="57">
        <v>5</v>
      </c>
      <c r="AK158" s="57"/>
      <c r="AL158" s="57"/>
      <c r="AM158" s="57"/>
      <c r="AN158" s="57"/>
      <c r="AO158" s="57">
        <v>6</v>
      </c>
      <c r="AP158" s="57"/>
      <c r="AQ158" s="57"/>
      <c r="AR158" s="57"/>
      <c r="AS158" s="57"/>
      <c r="AT158" s="57">
        <v>7</v>
      </c>
      <c r="AU158" s="57"/>
      <c r="AV158" s="57"/>
      <c r="AW158" s="57"/>
      <c r="AX158" s="57"/>
      <c r="AY158" s="57">
        <v>8</v>
      </c>
      <c r="AZ158" s="57"/>
      <c r="BA158" s="57"/>
      <c r="BB158" s="57"/>
      <c r="BC158" s="57"/>
      <c r="BD158" s="57">
        <v>9</v>
      </c>
      <c r="BE158" s="57"/>
      <c r="BF158" s="57"/>
      <c r="BG158" s="57"/>
      <c r="BH158" s="57"/>
      <c r="BI158" s="57">
        <v>10</v>
      </c>
      <c r="BJ158" s="57"/>
      <c r="BK158" s="57"/>
      <c r="BL158" s="57"/>
      <c r="BM158" s="57"/>
      <c r="BN158" s="57">
        <v>11</v>
      </c>
      <c r="BO158" s="57"/>
      <c r="BP158" s="57"/>
      <c r="BQ158" s="57"/>
      <c r="BR158" s="57"/>
    </row>
    <row r="159" spans="1:79" s="2" customFormat="1" ht="15.75" hidden="1" customHeight="1" x14ac:dyDescent="0.2">
      <c r="A159" s="54" t="s">
        <v>78</v>
      </c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6"/>
      <c r="U159" s="60" t="s">
        <v>86</v>
      </c>
      <c r="V159" s="60"/>
      <c r="W159" s="60"/>
      <c r="X159" s="60"/>
      <c r="Y159" s="60"/>
      <c r="Z159" s="59" t="s">
        <v>87</v>
      </c>
      <c r="AA159" s="59"/>
      <c r="AB159" s="59"/>
      <c r="AC159" s="59"/>
      <c r="AD159" s="59"/>
      <c r="AE159" s="60" t="s">
        <v>88</v>
      </c>
      <c r="AF159" s="60"/>
      <c r="AG159" s="60"/>
      <c r="AH159" s="60"/>
      <c r="AI159" s="60"/>
      <c r="AJ159" s="59" t="s">
        <v>89</v>
      </c>
      <c r="AK159" s="59"/>
      <c r="AL159" s="59"/>
      <c r="AM159" s="59"/>
      <c r="AN159" s="59"/>
      <c r="AO159" s="60" t="s">
        <v>79</v>
      </c>
      <c r="AP159" s="60"/>
      <c r="AQ159" s="60"/>
      <c r="AR159" s="60"/>
      <c r="AS159" s="60"/>
      <c r="AT159" s="59" t="s">
        <v>80</v>
      </c>
      <c r="AU159" s="59"/>
      <c r="AV159" s="59"/>
      <c r="AW159" s="59"/>
      <c r="AX159" s="59"/>
      <c r="AY159" s="60" t="s">
        <v>81</v>
      </c>
      <c r="AZ159" s="60"/>
      <c r="BA159" s="60"/>
      <c r="BB159" s="60"/>
      <c r="BC159" s="60"/>
      <c r="BD159" s="59" t="s">
        <v>82</v>
      </c>
      <c r="BE159" s="59"/>
      <c r="BF159" s="59"/>
      <c r="BG159" s="59"/>
      <c r="BH159" s="59"/>
      <c r="BI159" s="60" t="s">
        <v>83</v>
      </c>
      <c r="BJ159" s="60"/>
      <c r="BK159" s="60"/>
      <c r="BL159" s="60"/>
      <c r="BM159" s="60"/>
      <c r="BN159" s="59" t="s">
        <v>84</v>
      </c>
      <c r="BO159" s="59"/>
      <c r="BP159" s="59"/>
      <c r="BQ159" s="59"/>
      <c r="BR159" s="59"/>
      <c r="CA159" t="s">
        <v>49</v>
      </c>
    </row>
    <row r="160" spans="1:79" s="9" customFormat="1" ht="12.75" customHeight="1" x14ac:dyDescent="0.2">
      <c r="A160" s="138" t="s">
        <v>280</v>
      </c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40"/>
      <c r="U160" s="177">
        <v>304330</v>
      </c>
      <c r="V160" s="177"/>
      <c r="W160" s="177"/>
      <c r="X160" s="177"/>
      <c r="Y160" s="177"/>
      <c r="Z160" s="177">
        <v>0</v>
      </c>
      <c r="AA160" s="177"/>
      <c r="AB160" s="177"/>
      <c r="AC160" s="177"/>
      <c r="AD160" s="177"/>
      <c r="AE160" s="177">
        <v>363810</v>
      </c>
      <c r="AF160" s="177"/>
      <c r="AG160" s="177"/>
      <c r="AH160" s="177"/>
      <c r="AI160" s="177"/>
      <c r="AJ160" s="177">
        <v>0</v>
      </c>
      <c r="AK160" s="177"/>
      <c r="AL160" s="177"/>
      <c r="AM160" s="177"/>
      <c r="AN160" s="177"/>
      <c r="AO160" s="177">
        <v>528060</v>
      </c>
      <c r="AP160" s="177"/>
      <c r="AQ160" s="177"/>
      <c r="AR160" s="177"/>
      <c r="AS160" s="177"/>
      <c r="AT160" s="177">
        <v>0</v>
      </c>
      <c r="AU160" s="177"/>
      <c r="AV160" s="177"/>
      <c r="AW160" s="177"/>
      <c r="AX160" s="177"/>
      <c r="AY160" s="177">
        <v>528060</v>
      </c>
      <c r="AZ160" s="177"/>
      <c r="BA160" s="177"/>
      <c r="BB160" s="177"/>
      <c r="BC160" s="177"/>
      <c r="BD160" s="177">
        <v>0</v>
      </c>
      <c r="BE160" s="177"/>
      <c r="BF160" s="177"/>
      <c r="BG160" s="177"/>
      <c r="BH160" s="177"/>
      <c r="BI160" s="177">
        <v>528060</v>
      </c>
      <c r="BJ160" s="177"/>
      <c r="BK160" s="177"/>
      <c r="BL160" s="177"/>
      <c r="BM160" s="177"/>
      <c r="BN160" s="177">
        <v>0</v>
      </c>
      <c r="BO160" s="177"/>
      <c r="BP160" s="177"/>
      <c r="BQ160" s="177"/>
      <c r="BR160" s="177"/>
      <c r="CA160" s="9" t="s">
        <v>50</v>
      </c>
    </row>
    <row r="161" spans="1:70" s="137" customFormat="1" ht="12.75" customHeight="1" x14ac:dyDescent="0.2">
      <c r="A161" s="131" t="s">
        <v>281</v>
      </c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3"/>
      <c r="U161" s="178">
        <v>223169</v>
      </c>
      <c r="V161" s="178"/>
      <c r="W161" s="178"/>
      <c r="X161" s="178"/>
      <c r="Y161" s="178"/>
      <c r="Z161" s="178">
        <v>0</v>
      </c>
      <c r="AA161" s="178"/>
      <c r="AB161" s="178"/>
      <c r="AC161" s="178"/>
      <c r="AD161" s="178"/>
      <c r="AE161" s="178">
        <v>271200</v>
      </c>
      <c r="AF161" s="178"/>
      <c r="AG161" s="178"/>
      <c r="AH161" s="178"/>
      <c r="AI161" s="178"/>
      <c r="AJ161" s="178">
        <v>0</v>
      </c>
      <c r="AK161" s="178"/>
      <c r="AL161" s="178"/>
      <c r="AM161" s="178"/>
      <c r="AN161" s="178"/>
      <c r="AO161" s="178">
        <v>271200</v>
      </c>
      <c r="AP161" s="178"/>
      <c r="AQ161" s="178"/>
      <c r="AR161" s="178"/>
      <c r="AS161" s="178"/>
      <c r="AT161" s="178">
        <v>0</v>
      </c>
      <c r="AU161" s="178"/>
      <c r="AV161" s="178"/>
      <c r="AW161" s="178"/>
      <c r="AX161" s="178"/>
      <c r="AY161" s="178">
        <v>271200</v>
      </c>
      <c r="AZ161" s="178"/>
      <c r="BA161" s="178"/>
      <c r="BB161" s="178"/>
      <c r="BC161" s="178"/>
      <c r="BD161" s="178">
        <v>0</v>
      </c>
      <c r="BE161" s="178"/>
      <c r="BF161" s="178"/>
      <c r="BG161" s="178"/>
      <c r="BH161" s="178"/>
      <c r="BI161" s="178">
        <v>271200</v>
      </c>
      <c r="BJ161" s="178"/>
      <c r="BK161" s="178"/>
      <c r="BL161" s="178"/>
      <c r="BM161" s="178"/>
      <c r="BN161" s="178">
        <v>0</v>
      </c>
      <c r="BO161" s="178"/>
      <c r="BP161" s="178"/>
      <c r="BQ161" s="178"/>
      <c r="BR161" s="178"/>
    </row>
    <row r="162" spans="1:70" s="137" customFormat="1" ht="12.75" customHeight="1" x14ac:dyDescent="0.2">
      <c r="A162" s="131" t="s">
        <v>282</v>
      </c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3"/>
      <c r="U162" s="178">
        <v>81161</v>
      </c>
      <c r="V162" s="178"/>
      <c r="W162" s="178"/>
      <c r="X162" s="178"/>
      <c r="Y162" s="178"/>
      <c r="Z162" s="178">
        <v>0</v>
      </c>
      <c r="AA162" s="178"/>
      <c r="AB162" s="178"/>
      <c r="AC162" s="178"/>
      <c r="AD162" s="178"/>
      <c r="AE162" s="178">
        <v>92610</v>
      </c>
      <c r="AF162" s="178"/>
      <c r="AG162" s="178"/>
      <c r="AH162" s="178"/>
      <c r="AI162" s="178"/>
      <c r="AJ162" s="178">
        <v>0</v>
      </c>
      <c r="AK162" s="178"/>
      <c r="AL162" s="178"/>
      <c r="AM162" s="178"/>
      <c r="AN162" s="178"/>
      <c r="AO162" s="178">
        <v>256860</v>
      </c>
      <c r="AP162" s="178"/>
      <c r="AQ162" s="178"/>
      <c r="AR162" s="178"/>
      <c r="AS162" s="178"/>
      <c r="AT162" s="178">
        <v>0</v>
      </c>
      <c r="AU162" s="178"/>
      <c r="AV162" s="178"/>
      <c r="AW162" s="178"/>
      <c r="AX162" s="178"/>
      <c r="AY162" s="178">
        <v>256860</v>
      </c>
      <c r="AZ162" s="178"/>
      <c r="BA162" s="178"/>
      <c r="BB162" s="178"/>
      <c r="BC162" s="178"/>
      <c r="BD162" s="178">
        <v>0</v>
      </c>
      <c r="BE162" s="178"/>
      <c r="BF162" s="178"/>
      <c r="BG162" s="178"/>
      <c r="BH162" s="178"/>
      <c r="BI162" s="178">
        <v>256860</v>
      </c>
      <c r="BJ162" s="178"/>
      <c r="BK162" s="178"/>
      <c r="BL162" s="178"/>
      <c r="BM162" s="178"/>
      <c r="BN162" s="178">
        <v>0</v>
      </c>
      <c r="BO162" s="178"/>
      <c r="BP162" s="178"/>
      <c r="BQ162" s="178"/>
      <c r="BR162" s="178"/>
    </row>
    <row r="163" spans="1:70" s="137" customFormat="1" ht="12.75" customHeight="1" x14ac:dyDescent="0.2">
      <c r="A163" s="131" t="s">
        <v>283</v>
      </c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3"/>
      <c r="U163" s="178">
        <v>343192</v>
      </c>
      <c r="V163" s="178"/>
      <c r="W163" s="178"/>
      <c r="X163" s="178"/>
      <c r="Y163" s="178"/>
      <c r="Z163" s="178">
        <v>0</v>
      </c>
      <c r="AA163" s="178"/>
      <c r="AB163" s="178"/>
      <c r="AC163" s="178"/>
      <c r="AD163" s="178"/>
      <c r="AE163" s="178">
        <v>602704</v>
      </c>
      <c r="AF163" s="178"/>
      <c r="AG163" s="178"/>
      <c r="AH163" s="178"/>
      <c r="AI163" s="178"/>
      <c r="AJ163" s="178">
        <v>0</v>
      </c>
      <c r="AK163" s="178"/>
      <c r="AL163" s="178"/>
      <c r="AM163" s="178"/>
      <c r="AN163" s="178"/>
      <c r="AO163" s="178">
        <v>655400</v>
      </c>
      <c r="AP163" s="178"/>
      <c r="AQ163" s="178"/>
      <c r="AR163" s="178"/>
      <c r="AS163" s="178"/>
      <c r="AT163" s="178">
        <v>0</v>
      </c>
      <c r="AU163" s="178"/>
      <c r="AV163" s="178"/>
      <c r="AW163" s="178"/>
      <c r="AX163" s="178"/>
      <c r="AY163" s="178">
        <v>655400</v>
      </c>
      <c r="AZ163" s="178"/>
      <c r="BA163" s="178"/>
      <c r="BB163" s="178"/>
      <c r="BC163" s="178"/>
      <c r="BD163" s="178">
        <v>0</v>
      </c>
      <c r="BE163" s="178"/>
      <c r="BF163" s="178"/>
      <c r="BG163" s="178"/>
      <c r="BH163" s="178"/>
      <c r="BI163" s="178">
        <v>655400</v>
      </c>
      <c r="BJ163" s="178"/>
      <c r="BK163" s="178"/>
      <c r="BL163" s="178"/>
      <c r="BM163" s="178"/>
      <c r="BN163" s="178">
        <v>0</v>
      </c>
      <c r="BO163" s="178"/>
      <c r="BP163" s="178"/>
      <c r="BQ163" s="178"/>
      <c r="BR163" s="178"/>
    </row>
    <row r="164" spans="1:70" s="9" customFormat="1" ht="12.75" customHeight="1" x14ac:dyDescent="0.2">
      <c r="A164" s="138" t="s">
        <v>284</v>
      </c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40"/>
      <c r="U164" s="177">
        <v>130443</v>
      </c>
      <c r="V164" s="177"/>
      <c r="W164" s="177"/>
      <c r="X164" s="177"/>
      <c r="Y164" s="177"/>
      <c r="Z164" s="177">
        <v>0</v>
      </c>
      <c r="AA164" s="177"/>
      <c r="AB164" s="177"/>
      <c r="AC164" s="177"/>
      <c r="AD164" s="177"/>
      <c r="AE164" s="177">
        <v>131187</v>
      </c>
      <c r="AF164" s="177"/>
      <c r="AG164" s="177"/>
      <c r="AH164" s="177"/>
      <c r="AI164" s="177"/>
      <c r="AJ164" s="177">
        <v>0</v>
      </c>
      <c r="AK164" s="177"/>
      <c r="AL164" s="177"/>
      <c r="AM164" s="177"/>
      <c r="AN164" s="177"/>
      <c r="AO164" s="177">
        <v>178410</v>
      </c>
      <c r="AP164" s="177"/>
      <c r="AQ164" s="177"/>
      <c r="AR164" s="177"/>
      <c r="AS164" s="177"/>
      <c r="AT164" s="177">
        <v>0</v>
      </c>
      <c r="AU164" s="177"/>
      <c r="AV164" s="177"/>
      <c r="AW164" s="177"/>
      <c r="AX164" s="177"/>
      <c r="AY164" s="177">
        <v>178410</v>
      </c>
      <c r="AZ164" s="177"/>
      <c r="BA164" s="177"/>
      <c r="BB164" s="177"/>
      <c r="BC164" s="177"/>
      <c r="BD164" s="177">
        <v>0</v>
      </c>
      <c r="BE164" s="177"/>
      <c r="BF164" s="177"/>
      <c r="BG164" s="177"/>
      <c r="BH164" s="177"/>
      <c r="BI164" s="177">
        <v>178410</v>
      </c>
      <c r="BJ164" s="177"/>
      <c r="BK164" s="177"/>
      <c r="BL164" s="177"/>
      <c r="BM164" s="177"/>
      <c r="BN164" s="177">
        <v>0</v>
      </c>
      <c r="BO164" s="177"/>
      <c r="BP164" s="177"/>
      <c r="BQ164" s="177"/>
      <c r="BR164" s="177"/>
    </row>
    <row r="165" spans="1:70" s="137" customFormat="1" ht="12.75" customHeight="1" x14ac:dyDescent="0.2">
      <c r="A165" s="131" t="s">
        <v>285</v>
      </c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3"/>
      <c r="U165" s="178">
        <v>65221</v>
      </c>
      <c r="V165" s="178"/>
      <c r="W165" s="178"/>
      <c r="X165" s="178"/>
      <c r="Y165" s="178"/>
      <c r="Z165" s="178">
        <v>0</v>
      </c>
      <c r="AA165" s="178"/>
      <c r="AB165" s="178"/>
      <c r="AC165" s="178"/>
      <c r="AD165" s="178"/>
      <c r="AE165" s="178">
        <v>65593</v>
      </c>
      <c r="AF165" s="178"/>
      <c r="AG165" s="178"/>
      <c r="AH165" s="178"/>
      <c r="AI165" s="178"/>
      <c r="AJ165" s="178">
        <v>0</v>
      </c>
      <c r="AK165" s="178"/>
      <c r="AL165" s="178"/>
      <c r="AM165" s="178"/>
      <c r="AN165" s="178"/>
      <c r="AO165" s="178">
        <v>89205</v>
      </c>
      <c r="AP165" s="178"/>
      <c r="AQ165" s="178"/>
      <c r="AR165" s="178"/>
      <c r="AS165" s="178"/>
      <c r="AT165" s="178">
        <v>0</v>
      </c>
      <c r="AU165" s="178"/>
      <c r="AV165" s="178"/>
      <c r="AW165" s="178"/>
      <c r="AX165" s="178"/>
      <c r="AY165" s="178">
        <v>89205</v>
      </c>
      <c r="AZ165" s="178"/>
      <c r="BA165" s="178"/>
      <c r="BB165" s="178"/>
      <c r="BC165" s="178"/>
      <c r="BD165" s="178">
        <v>0</v>
      </c>
      <c r="BE165" s="178"/>
      <c r="BF165" s="178"/>
      <c r="BG165" s="178"/>
      <c r="BH165" s="178"/>
      <c r="BI165" s="178">
        <v>89205</v>
      </c>
      <c r="BJ165" s="178"/>
      <c r="BK165" s="178"/>
      <c r="BL165" s="178"/>
      <c r="BM165" s="178"/>
      <c r="BN165" s="178">
        <v>0</v>
      </c>
      <c r="BO165" s="178"/>
      <c r="BP165" s="178"/>
      <c r="BQ165" s="178"/>
      <c r="BR165" s="178"/>
    </row>
    <row r="166" spans="1:70" s="137" customFormat="1" ht="12.75" customHeight="1" x14ac:dyDescent="0.2">
      <c r="A166" s="131" t="s">
        <v>286</v>
      </c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3"/>
      <c r="U166" s="178">
        <v>65222</v>
      </c>
      <c r="V166" s="178"/>
      <c r="W166" s="178"/>
      <c r="X166" s="178"/>
      <c r="Y166" s="178"/>
      <c r="Z166" s="178">
        <v>0</v>
      </c>
      <c r="AA166" s="178"/>
      <c r="AB166" s="178"/>
      <c r="AC166" s="178"/>
      <c r="AD166" s="178"/>
      <c r="AE166" s="178">
        <v>65594</v>
      </c>
      <c r="AF166" s="178"/>
      <c r="AG166" s="178"/>
      <c r="AH166" s="178"/>
      <c r="AI166" s="178"/>
      <c r="AJ166" s="178">
        <v>0</v>
      </c>
      <c r="AK166" s="178"/>
      <c r="AL166" s="178"/>
      <c r="AM166" s="178"/>
      <c r="AN166" s="178"/>
      <c r="AO166" s="178">
        <v>89205</v>
      </c>
      <c r="AP166" s="178"/>
      <c r="AQ166" s="178"/>
      <c r="AR166" s="178"/>
      <c r="AS166" s="178"/>
      <c r="AT166" s="178">
        <v>0</v>
      </c>
      <c r="AU166" s="178"/>
      <c r="AV166" s="178"/>
      <c r="AW166" s="178"/>
      <c r="AX166" s="178"/>
      <c r="AY166" s="178">
        <v>89205</v>
      </c>
      <c r="AZ166" s="178"/>
      <c r="BA166" s="178"/>
      <c r="BB166" s="178"/>
      <c r="BC166" s="178"/>
      <c r="BD166" s="178">
        <v>0</v>
      </c>
      <c r="BE166" s="178"/>
      <c r="BF166" s="178"/>
      <c r="BG166" s="178"/>
      <c r="BH166" s="178"/>
      <c r="BI166" s="178">
        <v>89205</v>
      </c>
      <c r="BJ166" s="178"/>
      <c r="BK166" s="178"/>
      <c r="BL166" s="178"/>
      <c r="BM166" s="178"/>
      <c r="BN166" s="178">
        <v>0</v>
      </c>
      <c r="BO166" s="178"/>
      <c r="BP166" s="178"/>
      <c r="BQ166" s="178"/>
      <c r="BR166" s="178"/>
    </row>
    <row r="167" spans="1:70" s="137" customFormat="1" ht="12.75" customHeight="1" x14ac:dyDescent="0.2">
      <c r="A167" s="131" t="s">
        <v>287</v>
      </c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3"/>
      <c r="U167" s="178">
        <v>163646</v>
      </c>
      <c r="V167" s="178"/>
      <c r="W167" s="178"/>
      <c r="X167" s="178"/>
      <c r="Y167" s="178"/>
      <c r="Z167" s="178">
        <v>0</v>
      </c>
      <c r="AA167" s="178"/>
      <c r="AB167" s="178"/>
      <c r="AC167" s="178"/>
      <c r="AD167" s="178"/>
      <c r="AE167" s="178">
        <v>171312</v>
      </c>
      <c r="AF167" s="178"/>
      <c r="AG167" s="178"/>
      <c r="AH167" s="178"/>
      <c r="AI167" s="178"/>
      <c r="AJ167" s="178">
        <v>0</v>
      </c>
      <c r="AK167" s="178"/>
      <c r="AL167" s="178"/>
      <c r="AM167" s="178"/>
      <c r="AN167" s="178"/>
      <c r="AO167" s="178">
        <v>0</v>
      </c>
      <c r="AP167" s="178"/>
      <c r="AQ167" s="178"/>
      <c r="AR167" s="178"/>
      <c r="AS167" s="178"/>
      <c r="AT167" s="178">
        <v>0</v>
      </c>
      <c r="AU167" s="178"/>
      <c r="AV167" s="178"/>
      <c r="AW167" s="178"/>
      <c r="AX167" s="178"/>
      <c r="AY167" s="178">
        <v>0</v>
      </c>
      <c r="AZ167" s="178"/>
      <c r="BA167" s="178"/>
      <c r="BB167" s="178"/>
      <c r="BC167" s="178"/>
      <c r="BD167" s="178">
        <v>0</v>
      </c>
      <c r="BE167" s="178"/>
      <c r="BF167" s="178"/>
      <c r="BG167" s="178"/>
      <c r="BH167" s="178"/>
      <c r="BI167" s="178">
        <v>0</v>
      </c>
      <c r="BJ167" s="178"/>
      <c r="BK167" s="178"/>
      <c r="BL167" s="178"/>
      <c r="BM167" s="178"/>
      <c r="BN167" s="178">
        <v>0</v>
      </c>
      <c r="BO167" s="178"/>
      <c r="BP167" s="178"/>
      <c r="BQ167" s="178"/>
      <c r="BR167" s="178"/>
    </row>
    <row r="168" spans="1:70" s="9" customFormat="1" ht="12.75" customHeight="1" x14ac:dyDescent="0.2">
      <c r="A168" s="138" t="s">
        <v>179</v>
      </c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40"/>
      <c r="U168" s="177">
        <v>941611</v>
      </c>
      <c r="V168" s="177"/>
      <c r="W168" s="177"/>
      <c r="X168" s="177"/>
      <c r="Y168" s="177"/>
      <c r="Z168" s="177">
        <v>0</v>
      </c>
      <c r="AA168" s="177"/>
      <c r="AB168" s="177"/>
      <c r="AC168" s="177"/>
      <c r="AD168" s="177"/>
      <c r="AE168" s="177">
        <v>1269013</v>
      </c>
      <c r="AF168" s="177"/>
      <c r="AG168" s="177"/>
      <c r="AH168" s="177"/>
      <c r="AI168" s="177"/>
      <c r="AJ168" s="177">
        <v>0</v>
      </c>
      <c r="AK168" s="177"/>
      <c r="AL168" s="177"/>
      <c r="AM168" s="177"/>
      <c r="AN168" s="177"/>
      <c r="AO168" s="177">
        <v>1361870</v>
      </c>
      <c r="AP168" s="177"/>
      <c r="AQ168" s="177"/>
      <c r="AR168" s="177"/>
      <c r="AS168" s="177"/>
      <c r="AT168" s="177">
        <v>0</v>
      </c>
      <c r="AU168" s="177"/>
      <c r="AV168" s="177"/>
      <c r="AW168" s="177"/>
      <c r="AX168" s="177"/>
      <c r="AY168" s="177">
        <v>1361870</v>
      </c>
      <c r="AZ168" s="177"/>
      <c r="BA168" s="177"/>
      <c r="BB168" s="177"/>
      <c r="BC168" s="177"/>
      <c r="BD168" s="177">
        <v>0</v>
      </c>
      <c r="BE168" s="177"/>
      <c r="BF168" s="177"/>
      <c r="BG168" s="177"/>
      <c r="BH168" s="177"/>
      <c r="BI168" s="177">
        <v>1361870</v>
      </c>
      <c r="BJ168" s="177"/>
      <c r="BK168" s="177"/>
      <c r="BL168" s="177"/>
      <c r="BM168" s="177"/>
      <c r="BN168" s="177">
        <v>0</v>
      </c>
      <c r="BO168" s="177"/>
      <c r="BP168" s="177"/>
      <c r="BQ168" s="177"/>
      <c r="BR168" s="177"/>
    </row>
    <row r="169" spans="1:70" s="137" customFormat="1" ht="38.25" customHeight="1" x14ac:dyDescent="0.2">
      <c r="A169" s="131" t="s">
        <v>288</v>
      </c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3"/>
      <c r="U169" s="178" t="s">
        <v>253</v>
      </c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 t="s">
        <v>253</v>
      </c>
      <c r="AF169" s="178"/>
      <c r="AG169" s="178"/>
      <c r="AH169" s="178"/>
      <c r="AI169" s="178"/>
      <c r="AJ169" s="178"/>
      <c r="AK169" s="178"/>
      <c r="AL169" s="178"/>
      <c r="AM169" s="178"/>
      <c r="AN169" s="178"/>
      <c r="AO169" s="178" t="s">
        <v>253</v>
      </c>
      <c r="AP169" s="178"/>
      <c r="AQ169" s="178"/>
      <c r="AR169" s="178"/>
      <c r="AS169" s="178"/>
      <c r="AT169" s="178"/>
      <c r="AU169" s="178"/>
      <c r="AV169" s="178"/>
      <c r="AW169" s="178"/>
      <c r="AX169" s="178"/>
      <c r="AY169" s="178" t="s">
        <v>253</v>
      </c>
      <c r="AZ169" s="178"/>
      <c r="BA169" s="178"/>
      <c r="BB169" s="178"/>
      <c r="BC169" s="178"/>
      <c r="BD169" s="178"/>
      <c r="BE169" s="178"/>
      <c r="BF169" s="178"/>
      <c r="BG169" s="178"/>
      <c r="BH169" s="178"/>
      <c r="BI169" s="178" t="s">
        <v>253</v>
      </c>
      <c r="BJ169" s="178"/>
      <c r="BK169" s="178"/>
      <c r="BL169" s="178"/>
      <c r="BM169" s="178"/>
      <c r="BN169" s="178"/>
      <c r="BO169" s="178"/>
      <c r="BP169" s="178"/>
      <c r="BQ169" s="178"/>
      <c r="BR169" s="178"/>
    </row>
    <row r="172" spans="1:70" ht="14.25" customHeight="1" x14ac:dyDescent="0.2">
      <c r="A172" s="67" t="s">
        <v>156</v>
      </c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</row>
    <row r="173" spans="1:70" ht="15" customHeight="1" x14ac:dyDescent="0.2">
      <c r="A173" s="86" t="s">
        <v>7</v>
      </c>
      <c r="B173" s="87"/>
      <c r="C173" s="87"/>
      <c r="D173" s="86" t="s">
        <v>11</v>
      </c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8"/>
      <c r="W173" s="57" t="s">
        <v>244</v>
      </c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 t="s">
        <v>299</v>
      </c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 t="s">
        <v>310</v>
      </c>
      <c r="AV173" s="57"/>
      <c r="AW173" s="57"/>
      <c r="AX173" s="57"/>
      <c r="AY173" s="57"/>
      <c r="AZ173" s="57"/>
      <c r="BA173" s="57" t="s">
        <v>315</v>
      </c>
      <c r="BB173" s="57"/>
      <c r="BC173" s="57"/>
      <c r="BD173" s="57"/>
      <c r="BE173" s="57"/>
      <c r="BF173" s="57"/>
      <c r="BG173" s="57" t="s">
        <v>323</v>
      </c>
      <c r="BH173" s="57"/>
      <c r="BI173" s="57"/>
      <c r="BJ173" s="57"/>
      <c r="BK173" s="57"/>
      <c r="BL173" s="57"/>
    </row>
    <row r="174" spans="1:70" ht="15" customHeight="1" x14ac:dyDescent="0.2">
      <c r="A174" s="103"/>
      <c r="B174" s="104"/>
      <c r="C174" s="104"/>
      <c r="D174" s="103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5"/>
      <c r="W174" s="57" t="s">
        <v>5</v>
      </c>
      <c r="X174" s="57"/>
      <c r="Y174" s="57"/>
      <c r="Z174" s="57"/>
      <c r="AA174" s="57"/>
      <c r="AB174" s="57"/>
      <c r="AC174" s="57" t="s">
        <v>4</v>
      </c>
      <c r="AD174" s="57"/>
      <c r="AE174" s="57"/>
      <c r="AF174" s="57"/>
      <c r="AG174" s="57"/>
      <c r="AH174" s="57"/>
      <c r="AI174" s="57" t="s">
        <v>5</v>
      </c>
      <c r="AJ174" s="57"/>
      <c r="AK174" s="57"/>
      <c r="AL174" s="57"/>
      <c r="AM174" s="57"/>
      <c r="AN174" s="57"/>
      <c r="AO174" s="57" t="s">
        <v>4</v>
      </c>
      <c r="AP174" s="57"/>
      <c r="AQ174" s="57"/>
      <c r="AR174" s="57"/>
      <c r="AS174" s="57"/>
      <c r="AT174" s="57"/>
      <c r="AU174" s="74" t="s">
        <v>5</v>
      </c>
      <c r="AV174" s="74"/>
      <c r="AW174" s="74"/>
      <c r="AX174" s="74" t="s">
        <v>4</v>
      </c>
      <c r="AY174" s="74"/>
      <c r="AZ174" s="74"/>
      <c r="BA174" s="74" t="s">
        <v>5</v>
      </c>
      <c r="BB174" s="74"/>
      <c r="BC174" s="74"/>
      <c r="BD174" s="74" t="s">
        <v>4</v>
      </c>
      <c r="BE174" s="74"/>
      <c r="BF174" s="74"/>
      <c r="BG174" s="74" t="s">
        <v>5</v>
      </c>
      <c r="BH174" s="74"/>
      <c r="BI174" s="74"/>
      <c r="BJ174" s="74" t="s">
        <v>4</v>
      </c>
      <c r="BK174" s="74"/>
      <c r="BL174" s="74"/>
    </row>
    <row r="175" spans="1:70" ht="57" customHeight="1" x14ac:dyDescent="0.2">
      <c r="A175" s="89"/>
      <c r="B175" s="90"/>
      <c r="C175" s="90"/>
      <c r="D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1"/>
      <c r="W175" s="57" t="s">
        <v>13</v>
      </c>
      <c r="X175" s="57"/>
      <c r="Y175" s="57"/>
      <c r="Z175" s="57" t="s">
        <v>12</v>
      </c>
      <c r="AA175" s="57"/>
      <c r="AB175" s="57"/>
      <c r="AC175" s="57" t="s">
        <v>13</v>
      </c>
      <c r="AD175" s="57"/>
      <c r="AE175" s="57"/>
      <c r="AF175" s="57" t="s">
        <v>12</v>
      </c>
      <c r="AG175" s="57"/>
      <c r="AH175" s="57"/>
      <c r="AI175" s="57" t="s">
        <v>13</v>
      </c>
      <c r="AJ175" s="57"/>
      <c r="AK175" s="57"/>
      <c r="AL175" s="57" t="s">
        <v>12</v>
      </c>
      <c r="AM175" s="57"/>
      <c r="AN175" s="57"/>
      <c r="AO175" s="57" t="s">
        <v>13</v>
      </c>
      <c r="AP175" s="57"/>
      <c r="AQ175" s="57"/>
      <c r="AR175" s="57" t="s">
        <v>12</v>
      </c>
      <c r="AS175" s="57"/>
      <c r="AT175" s="57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</row>
    <row r="176" spans="1:70" ht="15" customHeight="1" x14ac:dyDescent="0.2">
      <c r="A176" s="51">
        <v>1</v>
      </c>
      <c r="B176" s="52"/>
      <c r="C176" s="52"/>
      <c r="D176" s="51">
        <v>2</v>
      </c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3"/>
      <c r="W176" s="57">
        <v>3</v>
      </c>
      <c r="X176" s="57"/>
      <c r="Y176" s="57"/>
      <c r="Z176" s="57">
        <v>4</v>
      </c>
      <c r="AA176" s="57"/>
      <c r="AB176" s="57"/>
      <c r="AC176" s="57">
        <v>5</v>
      </c>
      <c r="AD176" s="57"/>
      <c r="AE176" s="57"/>
      <c r="AF176" s="57">
        <v>6</v>
      </c>
      <c r="AG176" s="57"/>
      <c r="AH176" s="57"/>
      <c r="AI176" s="57">
        <v>7</v>
      </c>
      <c r="AJ176" s="57"/>
      <c r="AK176" s="57"/>
      <c r="AL176" s="57">
        <v>8</v>
      </c>
      <c r="AM176" s="57"/>
      <c r="AN176" s="57"/>
      <c r="AO176" s="57">
        <v>9</v>
      </c>
      <c r="AP176" s="57"/>
      <c r="AQ176" s="57"/>
      <c r="AR176" s="57">
        <v>10</v>
      </c>
      <c r="AS176" s="57"/>
      <c r="AT176" s="57"/>
      <c r="AU176" s="57">
        <v>11</v>
      </c>
      <c r="AV176" s="57"/>
      <c r="AW176" s="57"/>
      <c r="AX176" s="57">
        <v>12</v>
      </c>
      <c r="AY176" s="57"/>
      <c r="AZ176" s="57"/>
      <c r="BA176" s="57">
        <v>13</v>
      </c>
      <c r="BB176" s="57"/>
      <c r="BC176" s="57"/>
      <c r="BD176" s="57">
        <v>14</v>
      </c>
      <c r="BE176" s="57"/>
      <c r="BF176" s="57"/>
      <c r="BG176" s="57">
        <v>15</v>
      </c>
      <c r="BH176" s="57"/>
      <c r="BI176" s="57"/>
      <c r="BJ176" s="57">
        <v>16</v>
      </c>
      <c r="BK176" s="57"/>
      <c r="BL176" s="57"/>
    </row>
    <row r="177" spans="1:79" s="2" customFormat="1" ht="12.75" hidden="1" customHeight="1" x14ac:dyDescent="0.2">
      <c r="A177" s="54" t="s">
        <v>90</v>
      </c>
      <c r="B177" s="55"/>
      <c r="C177" s="55"/>
      <c r="D177" s="54" t="s">
        <v>78</v>
      </c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6"/>
      <c r="W177" s="60" t="s">
        <v>93</v>
      </c>
      <c r="X177" s="60"/>
      <c r="Y177" s="60"/>
      <c r="Z177" s="60" t="s">
        <v>94</v>
      </c>
      <c r="AA177" s="60"/>
      <c r="AB177" s="60"/>
      <c r="AC177" s="59" t="s">
        <v>95</v>
      </c>
      <c r="AD177" s="59"/>
      <c r="AE177" s="59"/>
      <c r="AF177" s="59" t="s">
        <v>96</v>
      </c>
      <c r="AG177" s="59"/>
      <c r="AH177" s="59"/>
      <c r="AI177" s="60" t="s">
        <v>97</v>
      </c>
      <c r="AJ177" s="60"/>
      <c r="AK177" s="60"/>
      <c r="AL177" s="60" t="s">
        <v>98</v>
      </c>
      <c r="AM177" s="60"/>
      <c r="AN177" s="60"/>
      <c r="AO177" s="59" t="s">
        <v>127</v>
      </c>
      <c r="AP177" s="59"/>
      <c r="AQ177" s="59"/>
      <c r="AR177" s="59" t="s">
        <v>99</v>
      </c>
      <c r="AS177" s="59"/>
      <c r="AT177" s="59"/>
      <c r="AU177" s="60" t="s">
        <v>133</v>
      </c>
      <c r="AV177" s="60"/>
      <c r="AW177" s="60"/>
      <c r="AX177" s="59" t="s">
        <v>134</v>
      </c>
      <c r="AY177" s="59"/>
      <c r="AZ177" s="59"/>
      <c r="BA177" s="60" t="s">
        <v>135</v>
      </c>
      <c r="BB177" s="60"/>
      <c r="BC177" s="60"/>
      <c r="BD177" s="59" t="s">
        <v>136</v>
      </c>
      <c r="BE177" s="59"/>
      <c r="BF177" s="59"/>
      <c r="BG177" s="60" t="s">
        <v>137</v>
      </c>
      <c r="BH177" s="60"/>
      <c r="BI177" s="60"/>
      <c r="BJ177" s="59" t="s">
        <v>138</v>
      </c>
      <c r="BK177" s="59"/>
      <c r="BL177" s="59"/>
      <c r="CA177" s="2" t="s">
        <v>126</v>
      </c>
    </row>
    <row r="178" spans="1:79" s="137" customFormat="1" ht="12.75" customHeight="1" x14ac:dyDescent="0.2">
      <c r="A178" s="157">
        <v>1</v>
      </c>
      <c r="B178" s="158"/>
      <c r="C178" s="158"/>
      <c r="D178" s="131" t="s">
        <v>289</v>
      </c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3"/>
      <c r="W178" s="176">
        <v>1</v>
      </c>
      <c r="X178" s="176"/>
      <c r="Y178" s="176"/>
      <c r="Z178" s="176">
        <v>1</v>
      </c>
      <c r="AA178" s="176"/>
      <c r="AB178" s="176"/>
      <c r="AC178" s="176">
        <v>0</v>
      </c>
      <c r="AD178" s="176"/>
      <c r="AE178" s="176"/>
      <c r="AF178" s="176">
        <v>0</v>
      </c>
      <c r="AG178" s="176"/>
      <c r="AH178" s="176"/>
      <c r="AI178" s="176">
        <v>1</v>
      </c>
      <c r="AJ178" s="176"/>
      <c r="AK178" s="176"/>
      <c r="AL178" s="176">
        <v>1</v>
      </c>
      <c r="AM178" s="176"/>
      <c r="AN178" s="176"/>
      <c r="AO178" s="176">
        <v>0</v>
      </c>
      <c r="AP178" s="176"/>
      <c r="AQ178" s="176"/>
      <c r="AR178" s="176">
        <v>0</v>
      </c>
      <c r="AS178" s="176"/>
      <c r="AT178" s="176"/>
      <c r="AU178" s="176">
        <v>1</v>
      </c>
      <c r="AV178" s="176"/>
      <c r="AW178" s="176"/>
      <c r="AX178" s="176">
        <v>0</v>
      </c>
      <c r="AY178" s="176"/>
      <c r="AZ178" s="176"/>
      <c r="BA178" s="176">
        <v>1</v>
      </c>
      <c r="BB178" s="176"/>
      <c r="BC178" s="176"/>
      <c r="BD178" s="176">
        <v>0</v>
      </c>
      <c r="BE178" s="176"/>
      <c r="BF178" s="176"/>
      <c r="BG178" s="176">
        <v>1</v>
      </c>
      <c r="BH178" s="176"/>
      <c r="BI178" s="176"/>
      <c r="BJ178" s="176">
        <v>0</v>
      </c>
      <c r="BK178" s="176"/>
      <c r="BL178" s="176"/>
      <c r="CA178" s="137" t="s">
        <v>51</v>
      </c>
    </row>
    <row r="179" spans="1:79" s="137" customFormat="1" ht="12.75" customHeight="1" x14ac:dyDescent="0.2">
      <c r="A179" s="157">
        <v>2</v>
      </c>
      <c r="B179" s="158"/>
      <c r="C179" s="158"/>
      <c r="D179" s="131" t="s">
        <v>290</v>
      </c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3"/>
      <c r="W179" s="176">
        <v>3</v>
      </c>
      <c r="X179" s="176"/>
      <c r="Y179" s="176"/>
      <c r="Z179" s="176">
        <v>2</v>
      </c>
      <c r="AA179" s="176"/>
      <c r="AB179" s="176"/>
      <c r="AC179" s="176">
        <v>0</v>
      </c>
      <c r="AD179" s="176"/>
      <c r="AE179" s="176"/>
      <c r="AF179" s="176">
        <v>0</v>
      </c>
      <c r="AG179" s="176"/>
      <c r="AH179" s="176"/>
      <c r="AI179" s="176">
        <v>3</v>
      </c>
      <c r="AJ179" s="176"/>
      <c r="AK179" s="176"/>
      <c r="AL179" s="176">
        <v>2</v>
      </c>
      <c r="AM179" s="176"/>
      <c r="AN179" s="176"/>
      <c r="AO179" s="176">
        <v>0</v>
      </c>
      <c r="AP179" s="176"/>
      <c r="AQ179" s="176"/>
      <c r="AR179" s="176">
        <v>0</v>
      </c>
      <c r="AS179" s="176"/>
      <c r="AT179" s="176"/>
      <c r="AU179" s="176">
        <v>3</v>
      </c>
      <c r="AV179" s="176"/>
      <c r="AW179" s="176"/>
      <c r="AX179" s="176">
        <v>0</v>
      </c>
      <c r="AY179" s="176"/>
      <c r="AZ179" s="176"/>
      <c r="BA179" s="176">
        <v>3</v>
      </c>
      <c r="BB179" s="176"/>
      <c r="BC179" s="176"/>
      <c r="BD179" s="176">
        <v>0</v>
      </c>
      <c r="BE179" s="176"/>
      <c r="BF179" s="176"/>
      <c r="BG179" s="176">
        <v>3</v>
      </c>
      <c r="BH179" s="176"/>
      <c r="BI179" s="176"/>
      <c r="BJ179" s="176">
        <v>0</v>
      </c>
      <c r="BK179" s="176"/>
      <c r="BL179" s="176"/>
    </row>
    <row r="180" spans="1:79" s="9" customFormat="1" ht="12.75" customHeight="1" x14ac:dyDescent="0.2">
      <c r="A180" s="119">
        <v>3</v>
      </c>
      <c r="B180" s="117"/>
      <c r="C180" s="117"/>
      <c r="D180" s="138" t="s">
        <v>291</v>
      </c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40"/>
      <c r="W180" s="173">
        <v>4</v>
      </c>
      <c r="X180" s="173"/>
      <c r="Y180" s="173"/>
      <c r="Z180" s="173">
        <v>3</v>
      </c>
      <c r="AA180" s="173"/>
      <c r="AB180" s="173"/>
      <c r="AC180" s="173">
        <v>0</v>
      </c>
      <c r="AD180" s="173"/>
      <c r="AE180" s="173"/>
      <c r="AF180" s="173">
        <v>0</v>
      </c>
      <c r="AG180" s="173"/>
      <c r="AH180" s="173"/>
      <c r="AI180" s="173">
        <v>4</v>
      </c>
      <c r="AJ180" s="173"/>
      <c r="AK180" s="173"/>
      <c r="AL180" s="173">
        <v>3</v>
      </c>
      <c r="AM180" s="173"/>
      <c r="AN180" s="173"/>
      <c r="AO180" s="173">
        <v>0</v>
      </c>
      <c r="AP180" s="173"/>
      <c r="AQ180" s="173"/>
      <c r="AR180" s="173">
        <v>0</v>
      </c>
      <c r="AS180" s="173"/>
      <c r="AT180" s="173"/>
      <c r="AU180" s="173">
        <v>4</v>
      </c>
      <c r="AV180" s="173"/>
      <c r="AW180" s="173"/>
      <c r="AX180" s="173">
        <v>0</v>
      </c>
      <c r="AY180" s="173"/>
      <c r="AZ180" s="173"/>
      <c r="BA180" s="173">
        <v>4</v>
      </c>
      <c r="BB180" s="173"/>
      <c r="BC180" s="173"/>
      <c r="BD180" s="173">
        <v>0</v>
      </c>
      <c r="BE180" s="173"/>
      <c r="BF180" s="173"/>
      <c r="BG180" s="173">
        <v>4</v>
      </c>
      <c r="BH180" s="173"/>
      <c r="BI180" s="173"/>
      <c r="BJ180" s="173">
        <v>0</v>
      </c>
      <c r="BK180" s="173"/>
      <c r="BL180" s="173"/>
    </row>
    <row r="181" spans="1:79" s="137" customFormat="1" ht="25.5" customHeight="1" x14ac:dyDescent="0.2">
      <c r="A181" s="157">
        <v>4</v>
      </c>
      <c r="B181" s="158"/>
      <c r="C181" s="158"/>
      <c r="D181" s="131" t="s">
        <v>292</v>
      </c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3"/>
      <c r="W181" s="176" t="s">
        <v>253</v>
      </c>
      <c r="X181" s="176"/>
      <c r="Y181" s="176"/>
      <c r="Z181" s="176" t="s">
        <v>253</v>
      </c>
      <c r="AA181" s="176"/>
      <c r="AB181" s="176"/>
      <c r="AC181" s="176"/>
      <c r="AD181" s="176"/>
      <c r="AE181" s="176"/>
      <c r="AF181" s="176"/>
      <c r="AG181" s="176"/>
      <c r="AH181" s="176"/>
      <c r="AI181" s="176" t="s">
        <v>253</v>
      </c>
      <c r="AJ181" s="176"/>
      <c r="AK181" s="176"/>
      <c r="AL181" s="176" t="s">
        <v>253</v>
      </c>
      <c r="AM181" s="176"/>
      <c r="AN181" s="176"/>
      <c r="AO181" s="176"/>
      <c r="AP181" s="176"/>
      <c r="AQ181" s="176"/>
      <c r="AR181" s="176"/>
      <c r="AS181" s="176"/>
      <c r="AT181" s="176"/>
      <c r="AU181" s="176" t="s">
        <v>253</v>
      </c>
      <c r="AV181" s="176"/>
      <c r="AW181" s="176"/>
      <c r="AX181" s="176"/>
      <c r="AY181" s="176"/>
      <c r="AZ181" s="176"/>
      <c r="BA181" s="176" t="s">
        <v>253</v>
      </c>
      <c r="BB181" s="176"/>
      <c r="BC181" s="176"/>
      <c r="BD181" s="176"/>
      <c r="BE181" s="176"/>
      <c r="BF181" s="176"/>
      <c r="BG181" s="176" t="s">
        <v>253</v>
      </c>
      <c r="BH181" s="176"/>
      <c r="BI181" s="176"/>
      <c r="BJ181" s="176"/>
      <c r="BK181" s="176"/>
      <c r="BL181" s="176"/>
    </row>
    <row r="184" spans="1:79" ht="14.25" customHeight="1" x14ac:dyDescent="0.2">
      <c r="A184" s="67" t="s">
        <v>185</v>
      </c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</row>
    <row r="185" spans="1:79" ht="14.25" customHeight="1" x14ac:dyDescent="0.2">
      <c r="A185" s="67" t="s">
        <v>311</v>
      </c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</row>
    <row r="186" spans="1:79" ht="15" customHeight="1" x14ac:dyDescent="0.2">
      <c r="A186" s="62" t="s">
        <v>243</v>
      </c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</row>
    <row r="187" spans="1:79" ht="15" customHeight="1" x14ac:dyDescent="0.2">
      <c r="A187" s="57" t="s">
        <v>7</v>
      </c>
      <c r="B187" s="57"/>
      <c r="C187" s="57"/>
      <c r="D187" s="57"/>
      <c r="E187" s="57"/>
      <c r="F187" s="57"/>
      <c r="G187" s="57" t="s">
        <v>157</v>
      </c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 t="s">
        <v>14</v>
      </c>
      <c r="U187" s="57"/>
      <c r="V187" s="57"/>
      <c r="W187" s="57"/>
      <c r="X187" s="57"/>
      <c r="Y187" s="57"/>
      <c r="Z187" s="57"/>
      <c r="AA187" s="51" t="s">
        <v>244</v>
      </c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101"/>
      <c r="AL187" s="101"/>
      <c r="AM187" s="101"/>
      <c r="AN187" s="101"/>
      <c r="AO187" s="102"/>
      <c r="AP187" s="51" t="s">
        <v>245</v>
      </c>
      <c r="AQ187" s="52"/>
      <c r="AR187" s="52"/>
      <c r="AS187" s="52"/>
      <c r="AT187" s="52"/>
      <c r="AU187" s="52"/>
      <c r="AV187" s="52"/>
      <c r="AW187" s="52"/>
      <c r="AX187" s="52"/>
      <c r="AY187" s="52"/>
      <c r="AZ187" s="52"/>
      <c r="BA187" s="52"/>
      <c r="BB187" s="52"/>
      <c r="BC187" s="52"/>
      <c r="BD187" s="53"/>
      <c r="BE187" s="51" t="s">
        <v>246</v>
      </c>
      <c r="BF187" s="52"/>
      <c r="BG187" s="52"/>
      <c r="BH187" s="52"/>
      <c r="BI187" s="52"/>
      <c r="BJ187" s="52"/>
      <c r="BK187" s="52"/>
      <c r="BL187" s="52"/>
      <c r="BM187" s="52"/>
      <c r="BN187" s="52"/>
      <c r="BO187" s="52"/>
      <c r="BP187" s="52"/>
      <c r="BQ187" s="52"/>
      <c r="BR187" s="52"/>
      <c r="BS187" s="53"/>
    </row>
    <row r="188" spans="1:79" ht="32.1" customHeight="1" x14ac:dyDescent="0.2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 t="s">
        <v>5</v>
      </c>
      <c r="AB188" s="57"/>
      <c r="AC188" s="57"/>
      <c r="AD188" s="57"/>
      <c r="AE188" s="57"/>
      <c r="AF188" s="57" t="s">
        <v>4</v>
      </c>
      <c r="AG188" s="57"/>
      <c r="AH188" s="57"/>
      <c r="AI188" s="57"/>
      <c r="AJ188" s="57"/>
      <c r="AK188" s="57" t="s">
        <v>111</v>
      </c>
      <c r="AL188" s="57"/>
      <c r="AM188" s="57"/>
      <c r="AN188" s="57"/>
      <c r="AO188" s="57"/>
      <c r="AP188" s="57" t="s">
        <v>5</v>
      </c>
      <c r="AQ188" s="57"/>
      <c r="AR188" s="57"/>
      <c r="AS188" s="57"/>
      <c r="AT188" s="57"/>
      <c r="AU188" s="57" t="s">
        <v>4</v>
      </c>
      <c r="AV188" s="57"/>
      <c r="AW188" s="57"/>
      <c r="AX188" s="57"/>
      <c r="AY188" s="57"/>
      <c r="AZ188" s="57" t="s">
        <v>118</v>
      </c>
      <c r="BA188" s="57"/>
      <c r="BB188" s="57"/>
      <c r="BC188" s="57"/>
      <c r="BD188" s="57"/>
      <c r="BE188" s="57" t="s">
        <v>5</v>
      </c>
      <c r="BF188" s="57"/>
      <c r="BG188" s="57"/>
      <c r="BH188" s="57"/>
      <c r="BI188" s="57"/>
      <c r="BJ188" s="57" t="s">
        <v>4</v>
      </c>
      <c r="BK188" s="57"/>
      <c r="BL188" s="57"/>
      <c r="BM188" s="57"/>
      <c r="BN188" s="57"/>
      <c r="BO188" s="57" t="s">
        <v>158</v>
      </c>
      <c r="BP188" s="57"/>
      <c r="BQ188" s="57"/>
      <c r="BR188" s="57"/>
      <c r="BS188" s="57"/>
    </row>
    <row r="189" spans="1:79" ht="15" customHeight="1" x14ac:dyDescent="0.2">
      <c r="A189" s="57">
        <v>1</v>
      </c>
      <c r="B189" s="57"/>
      <c r="C189" s="57"/>
      <c r="D189" s="57"/>
      <c r="E189" s="57"/>
      <c r="F189" s="57"/>
      <c r="G189" s="57">
        <v>2</v>
      </c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>
        <v>3</v>
      </c>
      <c r="U189" s="57"/>
      <c r="V189" s="57"/>
      <c r="W189" s="57"/>
      <c r="X189" s="57"/>
      <c r="Y189" s="57"/>
      <c r="Z189" s="57"/>
      <c r="AA189" s="57">
        <v>4</v>
      </c>
      <c r="AB189" s="57"/>
      <c r="AC189" s="57"/>
      <c r="AD189" s="57"/>
      <c r="AE189" s="57"/>
      <c r="AF189" s="57">
        <v>5</v>
      </c>
      <c r="AG189" s="57"/>
      <c r="AH189" s="57"/>
      <c r="AI189" s="57"/>
      <c r="AJ189" s="57"/>
      <c r="AK189" s="57">
        <v>6</v>
      </c>
      <c r="AL189" s="57"/>
      <c r="AM189" s="57"/>
      <c r="AN189" s="57"/>
      <c r="AO189" s="57"/>
      <c r="AP189" s="57">
        <v>7</v>
      </c>
      <c r="AQ189" s="57"/>
      <c r="AR189" s="57"/>
      <c r="AS189" s="57"/>
      <c r="AT189" s="57"/>
      <c r="AU189" s="57">
        <v>8</v>
      </c>
      <c r="AV189" s="57"/>
      <c r="AW189" s="57"/>
      <c r="AX189" s="57"/>
      <c r="AY189" s="57"/>
      <c r="AZ189" s="57">
        <v>9</v>
      </c>
      <c r="BA189" s="57"/>
      <c r="BB189" s="57"/>
      <c r="BC189" s="57"/>
      <c r="BD189" s="57"/>
      <c r="BE189" s="57">
        <v>10</v>
      </c>
      <c r="BF189" s="57"/>
      <c r="BG189" s="57"/>
      <c r="BH189" s="57"/>
      <c r="BI189" s="57"/>
      <c r="BJ189" s="57">
        <v>11</v>
      </c>
      <c r="BK189" s="57"/>
      <c r="BL189" s="57"/>
      <c r="BM189" s="57"/>
      <c r="BN189" s="57"/>
      <c r="BO189" s="57">
        <v>12</v>
      </c>
      <c r="BP189" s="57"/>
      <c r="BQ189" s="57"/>
      <c r="BR189" s="57"/>
      <c r="BS189" s="57"/>
    </row>
    <row r="190" spans="1:79" s="2" customFormat="1" ht="15" hidden="1" customHeight="1" x14ac:dyDescent="0.2">
      <c r="A190" s="60" t="s">
        <v>90</v>
      </c>
      <c r="B190" s="60"/>
      <c r="C190" s="60"/>
      <c r="D190" s="60"/>
      <c r="E190" s="60"/>
      <c r="F190" s="60"/>
      <c r="G190" s="99" t="s">
        <v>78</v>
      </c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 t="s">
        <v>100</v>
      </c>
      <c r="U190" s="99"/>
      <c r="V190" s="99"/>
      <c r="W190" s="99"/>
      <c r="X190" s="99"/>
      <c r="Y190" s="99"/>
      <c r="Z190" s="99"/>
      <c r="AA190" s="59" t="s">
        <v>86</v>
      </c>
      <c r="AB190" s="59"/>
      <c r="AC190" s="59"/>
      <c r="AD190" s="59"/>
      <c r="AE190" s="59"/>
      <c r="AF190" s="59" t="s">
        <v>87</v>
      </c>
      <c r="AG190" s="59"/>
      <c r="AH190" s="59"/>
      <c r="AI190" s="59"/>
      <c r="AJ190" s="59"/>
      <c r="AK190" s="69" t="s">
        <v>153</v>
      </c>
      <c r="AL190" s="69"/>
      <c r="AM190" s="69"/>
      <c r="AN190" s="69"/>
      <c r="AO190" s="69"/>
      <c r="AP190" s="59" t="s">
        <v>88</v>
      </c>
      <c r="AQ190" s="59"/>
      <c r="AR190" s="59"/>
      <c r="AS190" s="59"/>
      <c r="AT190" s="59"/>
      <c r="AU190" s="59" t="s">
        <v>89</v>
      </c>
      <c r="AV190" s="59"/>
      <c r="AW190" s="59"/>
      <c r="AX190" s="59"/>
      <c r="AY190" s="59"/>
      <c r="AZ190" s="69" t="s">
        <v>153</v>
      </c>
      <c r="BA190" s="69"/>
      <c r="BB190" s="69"/>
      <c r="BC190" s="69"/>
      <c r="BD190" s="69"/>
      <c r="BE190" s="59" t="s">
        <v>79</v>
      </c>
      <c r="BF190" s="59"/>
      <c r="BG190" s="59"/>
      <c r="BH190" s="59"/>
      <c r="BI190" s="59"/>
      <c r="BJ190" s="59" t="s">
        <v>80</v>
      </c>
      <c r="BK190" s="59"/>
      <c r="BL190" s="59"/>
      <c r="BM190" s="59"/>
      <c r="BN190" s="59"/>
      <c r="BO190" s="69" t="s">
        <v>153</v>
      </c>
      <c r="BP190" s="69"/>
      <c r="BQ190" s="69"/>
      <c r="BR190" s="69"/>
      <c r="BS190" s="69"/>
      <c r="CA190" s="2" t="s">
        <v>52</v>
      </c>
    </row>
    <row r="191" spans="1:79" s="9" customFormat="1" ht="12.75" customHeight="1" x14ac:dyDescent="0.2">
      <c r="A191" s="120"/>
      <c r="B191" s="120"/>
      <c r="C191" s="120"/>
      <c r="D191" s="120"/>
      <c r="E191" s="120"/>
      <c r="F191" s="120"/>
      <c r="G191" s="179" t="s">
        <v>179</v>
      </c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80"/>
      <c r="U191" s="180"/>
      <c r="V191" s="180"/>
      <c r="W191" s="180"/>
      <c r="X191" s="180"/>
      <c r="Y191" s="180"/>
      <c r="Z191" s="180"/>
      <c r="AA191" s="177"/>
      <c r="AB191" s="177"/>
      <c r="AC191" s="177"/>
      <c r="AD191" s="177"/>
      <c r="AE191" s="177"/>
      <c r="AF191" s="177"/>
      <c r="AG191" s="177"/>
      <c r="AH191" s="177"/>
      <c r="AI191" s="177"/>
      <c r="AJ191" s="177"/>
      <c r="AK191" s="177">
        <f>IF(ISNUMBER(AA191),AA191,0)+IF(ISNUMBER(AF191),AF191,0)</f>
        <v>0</v>
      </c>
      <c r="AL191" s="177"/>
      <c r="AM191" s="177"/>
      <c r="AN191" s="177"/>
      <c r="AO191" s="177"/>
      <c r="AP191" s="177"/>
      <c r="AQ191" s="177"/>
      <c r="AR191" s="177"/>
      <c r="AS191" s="177"/>
      <c r="AT191" s="177"/>
      <c r="AU191" s="177"/>
      <c r="AV191" s="177"/>
      <c r="AW191" s="177"/>
      <c r="AX191" s="177"/>
      <c r="AY191" s="177"/>
      <c r="AZ191" s="177">
        <f>IF(ISNUMBER(AP191),AP191,0)+IF(ISNUMBER(AU191),AU191,0)</f>
        <v>0</v>
      </c>
      <c r="BA191" s="177"/>
      <c r="BB191" s="177"/>
      <c r="BC191" s="177"/>
      <c r="BD191" s="177"/>
      <c r="BE191" s="177"/>
      <c r="BF191" s="177"/>
      <c r="BG191" s="177"/>
      <c r="BH191" s="177"/>
      <c r="BI191" s="177"/>
      <c r="BJ191" s="177"/>
      <c r="BK191" s="177"/>
      <c r="BL191" s="177"/>
      <c r="BM191" s="177"/>
      <c r="BN191" s="177"/>
      <c r="BO191" s="177">
        <f>IF(ISNUMBER(BE191),BE191,0)+IF(ISNUMBER(BJ191),BJ191,0)</f>
        <v>0</v>
      </c>
      <c r="BP191" s="177"/>
      <c r="BQ191" s="177"/>
      <c r="BR191" s="177"/>
      <c r="BS191" s="177"/>
      <c r="CA191" s="9" t="s">
        <v>53</v>
      </c>
    </row>
    <row r="193" spans="1:79" ht="13.5" customHeight="1" x14ac:dyDescent="0.2">
      <c r="A193" s="67" t="s">
        <v>324</v>
      </c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</row>
    <row r="194" spans="1:79" ht="15" customHeight="1" x14ac:dyDescent="0.2">
      <c r="A194" s="78" t="s">
        <v>243</v>
      </c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</row>
    <row r="195" spans="1:79" ht="15" customHeight="1" x14ac:dyDescent="0.2">
      <c r="A195" s="57" t="s">
        <v>7</v>
      </c>
      <c r="B195" s="57"/>
      <c r="C195" s="57"/>
      <c r="D195" s="57"/>
      <c r="E195" s="57"/>
      <c r="F195" s="57"/>
      <c r="G195" s="57" t="s">
        <v>157</v>
      </c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 t="s">
        <v>14</v>
      </c>
      <c r="U195" s="57"/>
      <c r="V195" s="57"/>
      <c r="W195" s="57"/>
      <c r="X195" s="57"/>
      <c r="Y195" s="57"/>
      <c r="Z195" s="57"/>
      <c r="AA195" s="51" t="s">
        <v>247</v>
      </c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101"/>
      <c r="AL195" s="101"/>
      <c r="AM195" s="101"/>
      <c r="AN195" s="101"/>
      <c r="AO195" s="102"/>
      <c r="AP195" s="51" t="s">
        <v>249</v>
      </c>
      <c r="AQ195" s="52"/>
      <c r="AR195" s="52"/>
      <c r="AS195" s="52"/>
      <c r="AT195" s="52"/>
      <c r="AU195" s="52"/>
      <c r="AV195" s="52"/>
      <c r="AW195" s="52"/>
      <c r="AX195" s="52"/>
      <c r="AY195" s="52"/>
      <c r="AZ195" s="52"/>
      <c r="BA195" s="52"/>
      <c r="BB195" s="52"/>
      <c r="BC195" s="52"/>
      <c r="BD195" s="53"/>
    </row>
    <row r="196" spans="1:79" ht="32.1" customHeight="1" x14ac:dyDescent="0.2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 t="s">
        <v>5</v>
      </c>
      <c r="AB196" s="57"/>
      <c r="AC196" s="57"/>
      <c r="AD196" s="57"/>
      <c r="AE196" s="57"/>
      <c r="AF196" s="57" t="s">
        <v>4</v>
      </c>
      <c r="AG196" s="57"/>
      <c r="AH196" s="57"/>
      <c r="AI196" s="57"/>
      <c r="AJ196" s="57"/>
      <c r="AK196" s="57" t="s">
        <v>111</v>
      </c>
      <c r="AL196" s="57"/>
      <c r="AM196" s="57"/>
      <c r="AN196" s="57"/>
      <c r="AO196" s="57"/>
      <c r="AP196" s="57" t="s">
        <v>5</v>
      </c>
      <c r="AQ196" s="57"/>
      <c r="AR196" s="57"/>
      <c r="AS196" s="57"/>
      <c r="AT196" s="57"/>
      <c r="AU196" s="57" t="s">
        <v>4</v>
      </c>
      <c r="AV196" s="57"/>
      <c r="AW196" s="57"/>
      <c r="AX196" s="57"/>
      <c r="AY196" s="57"/>
      <c r="AZ196" s="57" t="s">
        <v>118</v>
      </c>
      <c r="BA196" s="57"/>
      <c r="BB196" s="57"/>
      <c r="BC196" s="57"/>
      <c r="BD196" s="57"/>
    </row>
    <row r="197" spans="1:79" ht="15" customHeight="1" x14ac:dyDescent="0.2">
      <c r="A197" s="57">
        <v>1</v>
      </c>
      <c r="B197" s="57"/>
      <c r="C197" s="57"/>
      <c r="D197" s="57"/>
      <c r="E197" s="57"/>
      <c r="F197" s="57"/>
      <c r="G197" s="57">
        <v>2</v>
      </c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>
        <v>3</v>
      </c>
      <c r="U197" s="57"/>
      <c r="V197" s="57"/>
      <c r="W197" s="57"/>
      <c r="X197" s="57"/>
      <c r="Y197" s="57"/>
      <c r="Z197" s="57"/>
      <c r="AA197" s="57">
        <v>4</v>
      </c>
      <c r="AB197" s="57"/>
      <c r="AC197" s="57"/>
      <c r="AD197" s="57"/>
      <c r="AE197" s="57"/>
      <c r="AF197" s="57">
        <v>5</v>
      </c>
      <c r="AG197" s="57"/>
      <c r="AH197" s="57"/>
      <c r="AI197" s="57"/>
      <c r="AJ197" s="57"/>
      <c r="AK197" s="57">
        <v>6</v>
      </c>
      <c r="AL197" s="57"/>
      <c r="AM197" s="57"/>
      <c r="AN197" s="57"/>
      <c r="AO197" s="57"/>
      <c r="AP197" s="57">
        <v>7</v>
      </c>
      <c r="AQ197" s="57"/>
      <c r="AR197" s="57"/>
      <c r="AS197" s="57"/>
      <c r="AT197" s="57"/>
      <c r="AU197" s="57">
        <v>8</v>
      </c>
      <c r="AV197" s="57"/>
      <c r="AW197" s="57"/>
      <c r="AX197" s="57"/>
      <c r="AY197" s="57"/>
      <c r="AZ197" s="57">
        <v>9</v>
      </c>
      <c r="BA197" s="57"/>
      <c r="BB197" s="57"/>
      <c r="BC197" s="57"/>
      <c r="BD197" s="57"/>
    </row>
    <row r="198" spans="1:79" s="2" customFormat="1" ht="12" hidden="1" customHeight="1" x14ac:dyDescent="0.2">
      <c r="A198" s="60" t="s">
        <v>90</v>
      </c>
      <c r="B198" s="60"/>
      <c r="C198" s="60"/>
      <c r="D198" s="60"/>
      <c r="E198" s="60"/>
      <c r="F198" s="60"/>
      <c r="G198" s="99" t="s">
        <v>78</v>
      </c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 t="s">
        <v>100</v>
      </c>
      <c r="U198" s="99"/>
      <c r="V198" s="99"/>
      <c r="W198" s="99"/>
      <c r="X198" s="99"/>
      <c r="Y198" s="99"/>
      <c r="Z198" s="99"/>
      <c r="AA198" s="59" t="s">
        <v>81</v>
      </c>
      <c r="AB198" s="59"/>
      <c r="AC198" s="59"/>
      <c r="AD198" s="59"/>
      <c r="AE198" s="59"/>
      <c r="AF198" s="59" t="s">
        <v>82</v>
      </c>
      <c r="AG198" s="59"/>
      <c r="AH198" s="59"/>
      <c r="AI198" s="59"/>
      <c r="AJ198" s="59"/>
      <c r="AK198" s="69" t="s">
        <v>153</v>
      </c>
      <c r="AL198" s="69"/>
      <c r="AM198" s="69"/>
      <c r="AN198" s="69"/>
      <c r="AO198" s="69"/>
      <c r="AP198" s="59" t="s">
        <v>83</v>
      </c>
      <c r="AQ198" s="59"/>
      <c r="AR198" s="59"/>
      <c r="AS198" s="59"/>
      <c r="AT198" s="59"/>
      <c r="AU198" s="59" t="s">
        <v>84</v>
      </c>
      <c r="AV198" s="59"/>
      <c r="AW198" s="59"/>
      <c r="AX198" s="59"/>
      <c r="AY198" s="59"/>
      <c r="AZ198" s="69" t="s">
        <v>153</v>
      </c>
      <c r="BA198" s="69"/>
      <c r="BB198" s="69"/>
      <c r="BC198" s="69"/>
      <c r="BD198" s="69"/>
      <c r="CA198" s="2" t="s">
        <v>54</v>
      </c>
    </row>
    <row r="199" spans="1:79" s="9" customFormat="1" x14ac:dyDescent="0.2">
      <c r="A199" s="120"/>
      <c r="B199" s="120"/>
      <c r="C199" s="120"/>
      <c r="D199" s="120"/>
      <c r="E199" s="120"/>
      <c r="F199" s="120"/>
      <c r="G199" s="179" t="s">
        <v>179</v>
      </c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80"/>
      <c r="U199" s="180"/>
      <c r="V199" s="180"/>
      <c r="W199" s="180"/>
      <c r="X199" s="180"/>
      <c r="Y199" s="180"/>
      <c r="Z199" s="180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177"/>
      <c r="AK199" s="177">
        <f>IF(ISNUMBER(AA199),AA199,0)+IF(ISNUMBER(AF199),AF199,0)</f>
        <v>0</v>
      </c>
      <c r="AL199" s="177"/>
      <c r="AM199" s="177"/>
      <c r="AN199" s="177"/>
      <c r="AO199" s="177"/>
      <c r="AP199" s="177"/>
      <c r="AQ199" s="177"/>
      <c r="AR199" s="177"/>
      <c r="AS199" s="177"/>
      <c r="AT199" s="177"/>
      <c r="AU199" s="177"/>
      <c r="AV199" s="177"/>
      <c r="AW199" s="177"/>
      <c r="AX199" s="177"/>
      <c r="AY199" s="177"/>
      <c r="AZ199" s="177">
        <f>IF(ISNUMBER(AP199),AP199,0)+IF(ISNUMBER(AU199),AU199,0)</f>
        <v>0</v>
      </c>
      <c r="BA199" s="177"/>
      <c r="BB199" s="177"/>
      <c r="BC199" s="177"/>
      <c r="BD199" s="177"/>
      <c r="CA199" s="9" t="s">
        <v>55</v>
      </c>
    </row>
    <row r="202" spans="1:79" ht="14.25" customHeight="1" x14ac:dyDescent="0.2">
      <c r="A202" s="67" t="s">
        <v>325</v>
      </c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</row>
    <row r="203" spans="1:79" ht="15" customHeight="1" x14ac:dyDescent="0.2">
      <c r="A203" s="78" t="s">
        <v>243</v>
      </c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</row>
    <row r="204" spans="1:79" ht="23.1" customHeight="1" x14ac:dyDescent="0.2">
      <c r="A204" s="57" t="s">
        <v>159</v>
      </c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86" t="s">
        <v>160</v>
      </c>
      <c r="O204" s="87"/>
      <c r="P204" s="87"/>
      <c r="Q204" s="87"/>
      <c r="R204" s="87"/>
      <c r="S204" s="87"/>
      <c r="T204" s="87"/>
      <c r="U204" s="88"/>
      <c r="V204" s="86" t="s">
        <v>161</v>
      </c>
      <c r="W204" s="87"/>
      <c r="X204" s="87"/>
      <c r="Y204" s="87"/>
      <c r="Z204" s="88"/>
      <c r="AA204" s="57" t="s">
        <v>244</v>
      </c>
      <c r="AB204" s="57"/>
      <c r="AC204" s="57"/>
      <c r="AD204" s="57"/>
      <c r="AE204" s="57"/>
      <c r="AF204" s="57"/>
      <c r="AG204" s="57"/>
      <c r="AH204" s="57"/>
      <c r="AI204" s="57"/>
      <c r="AJ204" s="57" t="s">
        <v>245</v>
      </c>
      <c r="AK204" s="57"/>
      <c r="AL204" s="57"/>
      <c r="AM204" s="57"/>
      <c r="AN204" s="57"/>
      <c r="AO204" s="57"/>
      <c r="AP204" s="57"/>
      <c r="AQ204" s="57"/>
      <c r="AR204" s="57"/>
      <c r="AS204" s="57" t="s">
        <v>246</v>
      </c>
      <c r="AT204" s="57"/>
      <c r="AU204" s="57"/>
      <c r="AV204" s="57"/>
      <c r="AW204" s="57"/>
      <c r="AX204" s="57"/>
      <c r="AY204" s="57"/>
      <c r="AZ204" s="57"/>
      <c r="BA204" s="57"/>
      <c r="BB204" s="57" t="s">
        <v>247</v>
      </c>
      <c r="BC204" s="57"/>
      <c r="BD204" s="57"/>
      <c r="BE204" s="57"/>
      <c r="BF204" s="57"/>
      <c r="BG204" s="57"/>
      <c r="BH204" s="57"/>
      <c r="BI204" s="57"/>
      <c r="BJ204" s="57"/>
      <c r="BK204" s="57" t="s">
        <v>249</v>
      </c>
      <c r="BL204" s="57"/>
      <c r="BM204" s="57"/>
      <c r="BN204" s="57"/>
      <c r="BO204" s="57"/>
      <c r="BP204" s="57"/>
      <c r="BQ204" s="57"/>
      <c r="BR204" s="57"/>
      <c r="BS204" s="57"/>
    </row>
    <row r="205" spans="1:79" ht="95.25" customHeight="1" x14ac:dyDescent="0.2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89"/>
      <c r="O205" s="90"/>
      <c r="P205" s="90"/>
      <c r="Q205" s="90"/>
      <c r="R205" s="90"/>
      <c r="S205" s="90"/>
      <c r="T205" s="90"/>
      <c r="U205" s="91"/>
      <c r="V205" s="89"/>
      <c r="W205" s="90"/>
      <c r="X205" s="90"/>
      <c r="Y205" s="90"/>
      <c r="Z205" s="91"/>
      <c r="AA205" s="74" t="s">
        <v>164</v>
      </c>
      <c r="AB205" s="74"/>
      <c r="AC205" s="74"/>
      <c r="AD205" s="74"/>
      <c r="AE205" s="74"/>
      <c r="AF205" s="74" t="s">
        <v>165</v>
      </c>
      <c r="AG205" s="74"/>
      <c r="AH205" s="74"/>
      <c r="AI205" s="74"/>
      <c r="AJ205" s="74" t="s">
        <v>164</v>
      </c>
      <c r="AK205" s="74"/>
      <c r="AL205" s="74"/>
      <c r="AM205" s="74"/>
      <c r="AN205" s="74"/>
      <c r="AO205" s="74" t="s">
        <v>165</v>
      </c>
      <c r="AP205" s="74"/>
      <c r="AQ205" s="74"/>
      <c r="AR205" s="74"/>
      <c r="AS205" s="74" t="s">
        <v>164</v>
      </c>
      <c r="AT205" s="74"/>
      <c r="AU205" s="74"/>
      <c r="AV205" s="74"/>
      <c r="AW205" s="74"/>
      <c r="AX205" s="74" t="s">
        <v>165</v>
      </c>
      <c r="AY205" s="74"/>
      <c r="AZ205" s="74"/>
      <c r="BA205" s="74"/>
      <c r="BB205" s="74" t="s">
        <v>164</v>
      </c>
      <c r="BC205" s="74"/>
      <c r="BD205" s="74"/>
      <c r="BE205" s="74"/>
      <c r="BF205" s="74"/>
      <c r="BG205" s="74" t="s">
        <v>165</v>
      </c>
      <c r="BH205" s="74"/>
      <c r="BI205" s="74"/>
      <c r="BJ205" s="74"/>
      <c r="BK205" s="74" t="s">
        <v>164</v>
      </c>
      <c r="BL205" s="74"/>
      <c r="BM205" s="74"/>
      <c r="BN205" s="74"/>
      <c r="BO205" s="74"/>
      <c r="BP205" s="74" t="s">
        <v>165</v>
      </c>
      <c r="BQ205" s="74"/>
      <c r="BR205" s="74"/>
      <c r="BS205" s="74"/>
    </row>
    <row r="206" spans="1:79" ht="15" customHeight="1" x14ac:dyDescent="0.2">
      <c r="A206" s="57">
        <v>1</v>
      </c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1">
        <v>2</v>
      </c>
      <c r="O206" s="52"/>
      <c r="P206" s="52"/>
      <c r="Q206" s="52"/>
      <c r="R206" s="52"/>
      <c r="S206" s="52"/>
      <c r="T206" s="52"/>
      <c r="U206" s="53"/>
      <c r="V206" s="57">
        <v>3</v>
      </c>
      <c r="W206" s="57"/>
      <c r="X206" s="57"/>
      <c r="Y206" s="57"/>
      <c r="Z206" s="57"/>
      <c r="AA206" s="57">
        <v>4</v>
      </c>
      <c r="AB206" s="57"/>
      <c r="AC206" s="57"/>
      <c r="AD206" s="57"/>
      <c r="AE206" s="57"/>
      <c r="AF206" s="57">
        <v>5</v>
      </c>
      <c r="AG206" s="57"/>
      <c r="AH206" s="57"/>
      <c r="AI206" s="57"/>
      <c r="AJ206" s="57">
        <v>6</v>
      </c>
      <c r="AK206" s="57"/>
      <c r="AL206" s="57"/>
      <c r="AM206" s="57"/>
      <c r="AN206" s="57"/>
      <c r="AO206" s="57">
        <v>7</v>
      </c>
      <c r="AP206" s="57"/>
      <c r="AQ206" s="57"/>
      <c r="AR206" s="57"/>
      <c r="AS206" s="57">
        <v>8</v>
      </c>
      <c r="AT206" s="57"/>
      <c r="AU206" s="57"/>
      <c r="AV206" s="57"/>
      <c r="AW206" s="57"/>
      <c r="AX206" s="57">
        <v>9</v>
      </c>
      <c r="AY206" s="57"/>
      <c r="AZ206" s="57"/>
      <c r="BA206" s="57"/>
      <c r="BB206" s="57">
        <v>10</v>
      </c>
      <c r="BC206" s="57"/>
      <c r="BD206" s="57"/>
      <c r="BE206" s="57"/>
      <c r="BF206" s="57"/>
      <c r="BG206" s="57">
        <v>11</v>
      </c>
      <c r="BH206" s="57"/>
      <c r="BI206" s="57"/>
      <c r="BJ206" s="57"/>
      <c r="BK206" s="57">
        <v>12</v>
      </c>
      <c r="BL206" s="57"/>
      <c r="BM206" s="57"/>
      <c r="BN206" s="57"/>
      <c r="BO206" s="57"/>
      <c r="BP206" s="57">
        <v>13</v>
      </c>
      <c r="BQ206" s="57"/>
      <c r="BR206" s="57"/>
      <c r="BS206" s="57"/>
    </row>
    <row r="207" spans="1:79" s="2" customFormat="1" ht="12" hidden="1" customHeight="1" x14ac:dyDescent="0.2">
      <c r="A207" s="99" t="s">
        <v>177</v>
      </c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60" t="s">
        <v>162</v>
      </c>
      <c r="O207" s="60"/>
      <c r="P207" s="60"/>
      <c r="Q207" s="60"/>
      <c r="R207" s="60"/>
      <c r="S207" s="60"/>
      <c r="T207" s="60"/>
      <c r="U207" s="60"/>
      <c r="V207" s="60" t="s">
        <v>163</v>
      </c>
      <c r="W207" s="60"/>
      <c r="X207" s="60"/>
      <c r="Y207" s="60"/>
      <c r="Z207" s="60"/>
      <c r="AA207" s="59" t="s">
        <v>86</v>
      </c>
      <c r="AB207" s="59"/>
      <c r="AC207" s="59"/>
      <c r="AD207" s="59"/>
      <c r="AE207" s="59"/>
      <c r="AF207" s="59" t="s">
        <v>87</v>
      </c>
      <c r="AG207" s="59"/>
      <c r="AH207" s="59"/>
      <c r="AI207" s="59"/>
      <c r="AJ207" s="59" t="s">
        <v>88</v>
      </c>
      <c r="AK207" s="59"/>
      <c r="AL207" s="59"/>
      <c r="AM207" s="59"/>
      <c r="AN207" s="59"/>
      <c r="AO207" s="59" t="s">
        <v>89</v>
      </c>
      <c r="AP207" s="59"/>
      <c r="AQ207" s="59"/>
      <c r="AR207" s="59"/>
      <c r="AS207" s="59" t="s">
        <v>79</v>
      </c>
      <c r="AT207" s="59"/>
      <c r="AU207" s="59"/>
      <c r="AV207" s="59"/>
      <c r="AW207" s="59"/>
      <c r="AX207" s="59" t="s">
        <v>80</v>
      </c>
      <c r="AY207" s="59"/>
      <c r="AZ207" s="59"/>
      <c r="BA207" s="59"/>
      <c r="BB207" s="59" t="s">
        <v>81</v>
      </c>
      <c r="BC207" s="59"/>
      <c r="BD207" s="59"/>
      <c r="BE207" s="59"/>
      <c r="BF207" s="59"/>
      <c r="BG207" s="59" t="s">
        <v>82</v>
      </c>
      <c r="BH207" s="59"/>
      <c r="BI207" s="59"/>
      <c r="BJ207" s="59"/>
      <c r="BK207" s="59" t="s">
        <v>83</v>
      </c>
      <c r="BL207" s="59"/>
      <c r="BM207" s="59"/>
      <c r="BN207" s="59"/>
      <c r="BO207" s="59"/>
      <c r="BP207" s="59" t="s">
        <v>84</v>
      </c>
      <c r="BQ207" s="59"/>
      <c r="BR207" s="59"/>
      <c r="BS207" s="59"/>
      <c r="CA207" s="2" t="s">
        <v>56</v>
      </c>
    </row>
    <row r="208" spans="1:79" s="9" customFormat="1" ht="12.75" customHeight="1" x14ac:dyDescent="0.2">
      <c r="A208" s="179" t="s">
        <v>179</v>
      </c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19"/>
      <c r="O208" s="117"/>
      <c r="P208" s="117"/>
      <c r="Q208" s="117"/>
      <c r="R208" s="117"/>
      <c r="S208" s="117"/>
      <c r="T208" s="117"/>
      <c r="U208" s="118"/>
      <c r="V208" s="181"/>
      <c r="W208" s="181"/>
      <c r="X208" s="181"/>
      <c r="Y208" s="181"/>
      <c r="Z208" s="181"/>
      <c r="AA208" s="181"/>
      <c r="AB208" s="181"/>
      <c r="AC208" s="181"/>
      <c r="AD208" s="181"/>
      <c r="AE208" s="181"/>
      <c r="AF208" s="181"/>
      <c r="AG208" s="181"/>
      <c r="AH208" s="181"/>
      <c r="AI208" s="181"/>
      <c r="AJ208" s="181"/>
      <c r="AK208" s="181"/>
      <c r="AL208" s="181"/>
      <c r="AM208" s="181"/>
      <c r="AN208" s="181"/>
      <c r="AO208" s="181"/>
      <c r="AP208" s="181"/>
      <c r="AQ208" s="181"/>
      <c r="AR208" s="181"/>
      <c r="AS208" s="181"/>
      <c r="AT208" s="181"/>
      <c r="AU208" s="181"/>
      <c r="AV208" s="181"/>
      <c r="AW208" s="181"/>
      <c r="AX208" s="181"/>
      <c r="AY208" s="181"/>
      <c r="AZ208" s="181"/>
      <c r="BA208" s="181"/>
      <c r="BB208" s="181"/>
      <c r="BC208" s="181"/>
      <c r="BD208" s="181"/>
      <c r="BE208" s="181"/>
      <c r="BF208" s="181"/>
      <c r="BG208" s="181"/>
      <c r="BH208" s="181"/>
      <c r="BI208" s="181"/>
      <c r="BJ208" s="181"/>
      <c r="BK208" s="181"/>
      <c r="BL208" s="181"/>
      <c r="BM208" s="181"/>
      <c r="BN208" s="181"/>
      <c r="BO208" s="181"/>
      <c r="BP208" s="182"/>
      <c r="BQ208" s="183"/>
      <c r="BR208" s="183"/>
      <c r="BS208" s="184"/>
      <c r="CA208" s="9" t="s">
        <v>57</v>
      </c>
    </row>
    <row r="211" spans="1:79" ht="35.25" customHeight="1" x14ac:dyDescent="0.2">
      <c r="A211" s="67" t="s">
        <v>326</v>
      </c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</row>
    <row r="212" spans="1:79" ht="195" customHeight="1" x14ac:dyDescent="0.2">
      <c r="A212" s="149" t="s">
        <v>296</v>
      </c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0"/>
      <c r="AK212" s="150"/>
      <c r="AL212" s="150"/>
      <c r="AM212" s="150"/>
      <c r="AN212" s="150"/>
      <c r="AO212" s="150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</row>
    <row r="213" spans="1:79" ht="1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5" spans="1:79" ht="28.5" customHeight="1" x14ac:dyDescent="0.2">
      <c r="A215" s="61" t="s">
        <v>312</v>
      </c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</row>
    <row r="216" spans="1:79" ht="14.25" customHeight="1" x14ac:dyDescent="0.2">
      <c r="A216" s="67" t="s">
        <v>297</v>
      </c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</row>
    <row r="217" spans="1:79" ht="15" customHeight="1" x14ac:dyDescent="0.2">
      <c r="A217" s="62" t="s">
        <v>243</v>
      </c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  <c r="AY217" s="62"/>
      <c r="AZ217" s="62"/>
      <c r="BA217" s="62"/>
      <c r="BB217" s="62"/>
      <c r="BC217" s="62"/>
      <c r="BD217" s="62"/>
      <c r="BE217" s="62"/>
      <c r="BF217" s="62"/>
      <c r="BG217" s="62"/>
      <c r="BH217" s="62"/>
      <c r="BI217" s="62"/>
      <c r="BJ217" s="62"/>
      <c r="BK217" s="62"/>
      <c r="BL217" s="62"/>
    </row>
    <row r="218" spans="1:79" ht="42.95" customHeight="1" x14ac:dyDescent="0.2">
      <c r="A218" s="74" t="s">
        <v>166</v>
      </c>
      <c r="B218" s="74"/>
      <c r="C218" s="74"/>
      <c r="D218" s="74"/>
      <c r="E218" s="74"/>
      <c r="F218" s="74"/>
      <c r="G218" s="57" t="s">
        <v>20</v>
      </c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 t="s">
        <v>16</v>
      </c>
      <c r="U218" s="57"/>
      <c r="V218" s="57"/>
      <c r="W218" s="57"/>
      <c r="X218" s="57"/>
      <c r="Y218" s="57"/>
      <c r="Z218" s="57" t="s">
        <v>15</v>
      </c>
      <c r="AA218" s="57"/>
      <c r="AB218" s="57"/>
      <c r="AC218" s="57"/>
      <c r="AD218" s="57"/>
      <c r="AE218" s="57" t="s">
        <v>167</v>
      </c>
      <c r="AF218" s="57"/>
      <c r="AG218" s="57"/>
      <c r="AH218" s="57"/>
      <c r="AI218" s="57"/>
      <c r="AJ218" s="57"/>
      <c r="AK218" s="57" t="s">
        <v>168</v>
      </c>
      <c r="AL218" s="57"/>
      <c r="AM218" s="57"/>
      <c r="AN218" s="57"/>
      <c r="AO218" s="57"/>
      <c r="AP218" s="57"/>
      <c r="AQ218" s="57" t="s">
        <v>169</v>
      </c>
      <c r="AR218" s="57"/>
      <c r="AS218" s="57"/>
      <c r="AT218" s="57"/>
      <c r="AU218" s="57"/>
      <c r="AV218" s="57"/>
      <c r="AW218" s="57" t="s">
        <v>120</v>
      </c>
      <c r="AX218" s="57"/>
      <c r="AY218" s="57"/>
      <c r="AZ218" s="57"/>
      <c r="BA218" s="57"/>
      <c r="BB218" s="57"/>
      <c r="BC218" s="57"/>
      <c r="BD218" s="57"/>
      <c r="BE218" s="57"/>
      <c r="BF218" s="57"/>
      <c r="BG218" s="57" t="s">
        <v>170</v>
      </c>
      <c r="BH218" s="57"/>
      <c r="BI218" s="57"/>
      <c r="BJ218" s="57"/>
      <c r="BK218" s="57"/>
      <c r="BL218" s="57"/>
    </row>
    <row r="219" spans="1:79" ht="39.950000000000003" customHeight="1" x14ac:dyDescent="0.2">
      <c r="A219" s="74"/>
      <c r="B219" s="74"/>
      <c r="C219" s="74"/>
      <c r="D219" s="74"/>
      <c r="E219" s="74"/>
      <c r="F219" s="74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  <c r="AS219" s="57"/>
      <c r="AT219" s="57"/>
      <c r="AU219" s="57"/>
      <c r="AV219" s="57"/>
      <c r="AW219" s="57" t="s">
        <v>18</v>
      </c>
      <c r="AX219" s="57"/>
      <c r="AY219" s="57"/>
      <c r="AZ219" s="57"/>
      <c r="BA219" s="57"/>
      <c r="BB219" s="57" t="s">
        <v>17</v>
      </c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</row>
    <row r="220" spans="1:79" ht="15" customHeight="1" x14ac:dyDescent="0.2">
      <c r="A220" s="57">
        <v>1</v>
      </c>
      <c r="B220" s="57"/>
      <c r="C220" s="57"/>
      <c r="D220" s="57"/>
      <c r="E220" s="57"/>
      <c r="F220" s="57"/>
      <c r="G220" s="57">
        <v>2</v>
      </c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>
        <v>3</v>
      </c>
      <c r="U220" s="57"/>
      <c r="V220" s="57"/>
      <c r="W220" s="57"/>
      <c r="X220" s="57"/>
      <c r="Y220" s="57"/>
      <c r="Z220" s="57">
        <v>4</v>
      </c>
      <c r="AA220" s="57"/>
      <c r="AB220" s="57"/>
      <c r="AC220" s="57"/>
      <c r="AD220" s="57"/>
      <c r="AE220" s="57">
        <v>5</v>
      </c>
      <c r="AF220" s="57"/>
      <c r="AG220" s="57"/>
      <c r="AH220" s="57"/>
      <c r="AI220" s="57"/>
      <c r="AJ220" s="57"/>
      <c r="AK220" s="57">
        <v>6</v>
      </c>
      <c r="AL220" s="57"/>
      <c r="AM220" s="57"/>
      <c r="AN220" s="57"/>
      <c r="AO220" s="57"/>
      <c r="AP220" s="57"/>
      <c r="AQ220" s="57">
        <v>7</v>
      </c>
      <c r="AR220" s="57"/>
      <c r="AS220" s="57"/>
      <c r="AT220" s="57"/>
      <c r="AU220" s="57"/>
      <c r="AV220" s="57"/>
      <c r="AW220" s="57">
        <v>8</v>
      </c>
      <c r="AX220" s="57"/>
      <c r="AY220" s="57"/>
      <c r="AZ220" s="57"/>
      <c r="BA220" s="57"/>
      <c r="BB220" s="57">
        <v>9</v>
      </c>
      <c r="BC220" s="57"/>
      <c r="BD220" s="57"/>
      <c r="BE220" s="57"/>
      <c r="BF220" s="57"/>
      <c r="BG220" s="57">
        <v>10</v>
      </c>
      <c r="BH220" s="57"/>
      <c r="BI220" s="57"/>
      <c r="BJ220" s="57"/>
      <c r="BK220" s="57"/>
      <c r="BL220" s="57"/>
    </row>
    <row r="221" spans="1:79" s="2" customFormat="1" ht="12" hidden="1" customHeight="1" x14ac:dyDescent="0.2">
      <c r="A221" s="60" t="s">
        <v>85</v>
      </c>
      <c r="B221" s="60"/>
      <c r="C221" s="60"/>
      <c r="D221" s="60"/>
      <c r="E221" s="60"/>
      <c r="F221" s="60"/>
      <c r="G221" s="99" t="s">
        <v>78</v>
      </c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59" t="s">
        <v>101</v>
      </c>
      <c r="U221" s="59"/>
      <c r="V221" s="59"/>
      <c r="W221" s="59"/>
      <c r="X221" s="59"/>
      <c r="Y221" s="59"/>
      <c r="Z221" s="59" t="s">
        <v>102</v>
      </c>
      <c r="AA221" s="59"/>
      <c r="AB221" s="59"/>
      <c r="AC221" s="59"/>
      <c r="AD221" s="59"/>
      <c r="AE221" s="59" t="s">
        <v>103</v>
      </c>
      <c r="AF221" s="59"/>
      <c r="AG221" s="59"/>
      <c r="AH221" s="59"/>
      <c r="AI221" s="59"/>
      <c r="AJ221" s="59"/>
      <c r="AK221" s="59" t="s">
        <v>104</v>
      </c>
      <c r="AL221" s="59"/>
      <c r="AM221" s="59"/>
      <c r="AN221" s="59"/>
      <c r="AO221" s="59"/>
      <c r="AP221" s="59"/>
      <c r="AQ221" s="100" t="s">
        <v>122</v>
      </c>
      <c r="AR221" s="59"/>
      <c r="AS221" s="59"/>
      <c r="AT221" s="59"/>
      <c r="AU221" s="59"/>
      <c r="AV221" s="59"/>
      <c r="AW221" s="59" t="s">
        <v>105</v>
      </c>
      <c r="AX221" s="59"/>
      <c r="AY221" s="59"/>
      <c r="AZ221" s="59"/>
      <c r="BA221" s="59"/>
      <c r="BB221" s="59" t="s">
        <v>106</v>
      </c>
      <c r="BC221" s="59"/>
      <c r="BD221" s="59"/>
      <c r="BE221" s="59"/>
      <c r="BF221" s="59"/>
      <c r="BG221" s="100" t="s">
        <v>123</v>
      </c>
      <c r="BH221" s="59"/>
      <c r="BI221" s="59"/>
      <c r="BJ221" s="59"/>
      <c r="BK221" s="59"/>
      <c r="BL221" s="59"/>
      <c r="CA221" s="2" t="s">
        <v>58</v>
      </c>
    </row>
    <row r="222" spans="1:79" s="9" customFormat="1" ht="12.75" customHeight="1" x14ac:dyDescent="0.2">
      <c r="A222" s="120"/>
      <c r="B222" s="120"/>
      <c r="C222" s="120"/>
      <c r="D222" s="120"/>
      <c r="E222" s="120"/>
      <c r="F222" s="120"/>
      <c r="G222" s="179" t="s">
        <v>179</v>
      </c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  <c r="AJ222" s="177"/>
      <c r="AK222" s="177"/>
      <c r="AL222" s="177"/>
      <c r="AM222" s="177"/>
      <c r="AN222" s="177"/>
      <c r="AO222" s="177"/>
      <c r="AP222" s="177"/>
      <c r="AQ222" s="177">
        <f>IF(ISNUMBER(AK222),AK222,0)-IF(ISNUMBER(AE222),AE222,0)</f>
        <v>0</v>
      </c>
      <c r="AR222" s="177"/>
      <c r="AS222" s="177"/>
      <c r="AT222" s="177"/>
      <c r="AU222" s="177"/>
      <c r="AV222" s="177"/>
      <c r="AW222" s="177"/>
      <c r="AX222" s="177"/>
      <c r="AY222" s="177"/>
      <c r="AZ222" s="177"/>
      <c r="BA222" s="177"/>
      <c r="BB222" s="177"/>
      <c r="BC222" s="177"/>
      <c r="BD222" s="177"/>
      <c r="BE222" s="177"/>
      <c r="BF222" s="177"/>
      <c r="BG222" s="177">
        <f>IF(ISNUMBER(Z222),Z222,0)+IF(ISNUMBER(AK222),AK222,0)</f>
        <v>0</v>
      </c>
      <c r="BH222" s="177"/>
      <c r="BI222" s="177"/>
      <c r="BJ222" s="177"/>
      <c r="BK222" s="177"/>
      <c r="BL222" s="177"/>
      <c r="CA222" s="9" t="s">
        <v>59</v>
      </c>
    </row>
    <row r="224" spans="1:79" ht="14.25" customHeight="1" x14ac:dyDescent="0.2">
      <c r="A224" s="67" t="s">
        <v>313</v>
      </c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</row>
    <row r="225" spans="1:79" ht="15" customHeight="1" x14ac:dyDescent="0.2">
      <c r="A225" s="62" t="s">
        <v>243</v>
      </c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  <c r="BA225" s="62"/>
      <c r="BB225" s="62"/>
      <c r="BC225" s="62"/>
      <c r="BD225" s="62"/>
      <c r="BE225" s="62"/>
      <c r="BF225" s="62"/>
      <c r="BG225" s="62"/>
      <c r="BH225" s="62"/>
      <c r="BI225" s="62"/>
      <c r="BJ225" s="62"/>
      <c r="BK225" s="62"/>
      <c r="BL225" s="62"/>
    </row>
    <row r="226" spans="1:79" ht="18" customHeight="1" x14ac:dyDescent="0.2">
      <c r="A226" s="57" t="s">
        <v>166</v>
      </c>
      <c r="B226" s="57"/>
      <c r="C226" s="57"/>
      <c r="D226" s="57"/>
      <c r="E226" s="57"/>
      <c r="F226" s="57"/>
      <c r="G226" s="57" t="s">
        <v>20</v>
      </c>
      <c r="H226" s="57"/>
      <c r="I226" s="57"/>
      <c r="J226" s="57"/>
      <c r="K226" s="57"/>
      <c r="L226" s="57"/>
      <c r="M226" s="57"/>
      <c r="N226" s="57"/>
      <c r="O226" s="57"/>
      <c r="P226" s="57"/>
      <c r="Q226" s="57" t="s">
        <v>300</v>
      </c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 t="s">
        <v>310</v>
      </c>
      <c r="AP226" s="57"/>
      <c r="AQ226" s="57"/>
      <c r="AR226" s="57"/>
      <c r="AS226" s="57"/>
      <c r="AT226" s="57"/>
      <c r="AU226" s="57"/>
      <c r="AV226" s="57"/>
      <c r="AW226" s="57"/>
      <c r="AX226" s="57"/>
      <c r="AY226" s="57"/>
      <c r="AZ226" s="57"/>
      <c r="BA226" s="57"/>
      <c r="BB226" s="57"/>
      <c r="BC226" s="57"/>
      <c r="BD226" s="57"/>
      <c r="BE226" s="57"/>
      <c r="BF226" s="57"/>
      <c r="BG226" s="57"/>
      <c r="BH226" s="57"/>
      <c r="BI226" s="57"/>
      <c r="BJ226" s="57"/>
      <c r="BK226" s="57"/>
      <c r="BL226" s="57"/>
    </row>
    <row r="227" spans="1:79" ht="42.95" customHeight="1" x14ac:dyDescent="0.2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 t="s">
        <v>171</v>
      </c>
      <c r="R227" s="57"/>
      <c r="S227" s="57"/>
      <c r="T227" s="57"/>
      <c r="U227" s="57"/>
      <c r="V227" s="74" t="s">
        <v>172</v>
      </c>
      <c r="W227" s="74"/>
      <c r="X227" s="74"/>
      <c r="Y227" s="74"/>
      <c r="Z227" s="57" t="s">
        <v>173</v>
      </c>
      <c r="AA227" s="57"/>
      <c r="AB227" s="57"/>
      <c r="AC227" s="57"/>
      <c r="AD227" s="57"/>
      <c r="AE227" s="57"/>
      <c r="AF227" s="57"/>
      <c r="AG227" s="57"/>
      <c r="AH227" s="57"/>
      <c r="AI227" s="57"/>
      <c r="AJ227" s="57" t="s">
        <v>174</v>
      </c>
      <c r="AK227" s="57"/>
      <c r="AL227" s="57"/>
      <c r="AM227" s="57"/>
      <c r="AN227" s="57"/>
      <c r="AO227" s="57" t="s">
        <v>21</v>
      </c>
      <c r="AP227" s="57"/>
      <c r="AQ227" s="57"/>
      <c r="AR227" s="57"/>
      <c r="AS227" s="57"/>
      <c r="AT227" s="74" t="s">
        <v>175</v>
      </c>
      <c r="AU227" s="74"/>
      <c r="AV227" s="74"/>
      <c r="AW227" s="74"/>
      <c r="AX227" s="57" t="s">
        <v>173</v>
      </c>
      <c r="AY227" s="57"/>
      <c r="AZ227" s="57"/>
      <c r="BA227" s="57"/>
      <c r="BB227" s="57"/>
      <c r="BC227" s="57"/>
      <c r="BD227" s="57"/>
      <c r="BE227" s="57"/>
      <c r="BF227" s="57"/>
      <c r="BG227" s="57"/>
      <c r="BH227" s="57" t="s">
        <v>176</v>
      </c>
      <c r="BI227" s="57"/>
      <c r="BJ227" s="57"/>
      <c r="BK227" s="57"/>
      <c r="BL227" s="57"/>
    </row>
    <row r="228" spans="1:79" ht="63" customHeight="1" x14ac:dyDescent="0.2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74"/>
      <c r="W228" s="74"/>
      <c r="X228" s="74"/>
      <c r="Y228" s="74"/>
      <c r="Z228" s="57" t="s">
        <v>18</v>
      </c>
      <c r="AA228" s="57"/>
      <c r="AB228" s="57"/>
      <c r="AC228" s="57"/>
      <c r="AD228" s="57"/>
      <c r="AE228" s="57" t="s">
        <v>17</v>
      </c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  <c r="AS228" s="57"/>
      <c r="AT228" s="74"/>
      <c r="AU228" s="74"/>
      <c r="AV228" s="74"/>
      <c r="AW228" s="74"/>
      <c r="AX228" s="57" t="s">
        <v>18</v>
      </c>
      <c r="AY228" s="57"/>
      <c r="AZ228" s="57"/>
      <c r="BA228" s="57"/>
      <c r="BB228" s="57"/>
      <c r="BC228" s="57" t="s">
        <v>17</v>
      </c>
      <c r="BD228" s="57"/>
      <c r="BE228" s="57"/>
      <c r="BF228" s="57"/>
      <c r="BG228" s="57"/>
      <c r="BH228" s="57"/>
      <c r="BI228" s="57"/>
      <c r="BJ228" s="57"/>
      <c r="BK228" s="57"/>
      <c r="BL228" s="57"/>
    </row>
    <row r="229" spans="1:79" ht="15" customHeight="1" x14ac:dyDescent="0.2">
      <c r="A229" s="57">
        <v>1</v>
      </c>
      <c r="B229" s="57"/>
      <c r="C229" s="57"/>
      <c r="D229" s="57"/>
      <c r="E229" s="57"/>
      <c r="F229" s="57"/>
      <c r="G229" s="57">
        <v>2</v>
      </c>
      <c r="H229" s="57"/>
      <c r="I229" s="57"/>
      <c r="J229" s="57"/>
      <c r="K229" s="57"/>
      <c r="L229" s="57"/>
      <c r="M229" s="57"/>
      <c r="N229" s="57"/>
      <c r="O229" s="57"/>
      <c r="P229" s="57"/>
      <c r="Q229" s="57">
        <v>3</v>
      </c>
      <c r="R229" s="57"/>
      <c r="S229" s="57"/>
      <c r="T229" s="57"/>
      <c r="U229" s="57"/>
      <c r="V229" s="57">
        <v>4</v>
      </c>
      <c r="W229" s="57"/>
      <c r="X229" s="57"/>
      <c r="Y229" s="57"/>
      <c r="Z229" s="57">
        <v>5</v>
      </c>
      <c r="AA229" s="57"/>
      <c r="AB229" s="57"/>
      <c r="AC229" s="57"/>
      <c r="AD229" s="57"/>
      <c r="AE229" s="57">
        <v>6</v>
      </c>
      <c r="AF229" s="57"/>
      <c r="AG229" s="57"/>
      <c r="AH229" s="57"/>
      <c r="AI229" s="57"/>
      <c r="AJ229" s="57">
        <v>7</v>
      </c>
      <c r="AK229" s="57"/>
      <c r="AL229" s="57"/>
      <c r="AM229" s="57"/>
      <c r="AN229" s="57"/>
      <c r="AO229" s="57">
        <v>8</v>
      </c>
      <c r="AP229" s="57"/>
      <c r="AQ229" s="57"/>
      <c r="AR229" s="57"/>
      <c r="AS229" s="57"/>
      <c r="AT229" s="57">
        <v>9</v>
      </c>
      <c r="AU229" s="57"/>
      <c r="AV229" s="57"/>
      <c r="AW229" s="57"/>
      <c r="AX229" s="57">
        <v>10</v>
      </c>
      <c r="AY229" s="57"/>
      <c r="AZ229" s="57"/>
      <c r="BA229" s="57"/>
      <c r="BB229" s="57"/>
      <c r="BC229" s="57">
        <v>11</v>
      </c>
      <c r="BD229" s="57"/>
      <c r="BE229" s="57"/>
      <c r="BF229" s="57"/>
      <c r="BG229" s="57"/>
      <c r="BH229" s="57">
        <v>12</v>
      </c>
      <c r="BI229" s="57"/>
      <c r="BJ229" s="57"/>
      <c r="BK229" s="57"/>
      <c r="BL229" s="57"/>
    </row>
    <row r="230" spans="1:79" s="2" customFormat="1" ht="12" hidden="1" customHeight="1" x14ac:dyDescent="0.2">
      <c r="A230" s="60" t="s">
        <v>85</v>
      </c>
      <c r="B230" s="60"/>
      <c r="C230" s="60"/>
      <c r="D230" s="60"/>
      <c r="E230" s="60"/>
      <c r="F230" s="60"/>
      <c r="G230" s="99" t="s">
        <v>78</v>
      </c>
      <c r="H230" s="99"/>
      <c r="I230" s="99"/>
      <c r="J230" s="99"/>
      <c r="K230" s="99"/>
      <c r="L230" s="99"/>
      <c r="M230" s="99"/>
      <c r="N230" s="99"/>
      <c r="O230" s="99"/>
      <c r="P230" s="99"/>
      <c r="Q230" s="59" t="s">
        <v>101</v>
      </c>
      <c r="R230" s="59"/>
      <c r="S230" s="59"/>
      <c r="T230" s="59"/>
      <c r="U230" s="59"/>
      <c r="V230" s="59" t="s">
        <v>102</v>
      </c>
      <c r="W230" s="59"/>
      <c r="X230" s="59"/>
      <c r="Y230" s="59"/>
      <c r="Z230" s="59" t="s">
        <v>103</v>
      </c>
      <c r="AA230" s="59"/>
      <c r="AB230" s="59"/>
      <c r="AC230" s="59"/>
      <c r="AD230" s="59"/>
      <c r="AE230" s="59" t="s">
        <v>104</v>
      </c>
      <c r="AF230" s="59"/>
      <c r="AG230" s="59"/>
      <c r="AH230" s="59"/>
      <c r="AI230" s="59"/>
      <c r="AJ230" s="100" t="s">
        <v>124</v>
      </c>
      <c r="AK230" s="59"/>
      <c r="AL230" s="59"/>
      <c r="AM230" s="59"/>
      <c r="AN230" s="59"/>
      <c r="AO230" s="59" t="s">
        <v>105</v>
      </c>
      <c r="AP230" s="59"/>
      <c r="AQ230" s="59"/>
      <c r="AR230" s="59"/>
      <c r="AS230" s="59"/>
      <c r="AT230" s="100" t="s">
        <v>125</v>
      </c>
      <c r="AU230" s="59"/>
      <c r="AV230" s="59"/>
      <c r="AW230" s="59"/>
      <c r="AX230" s="59" t="s">
        <v>106</v>
      </c>
      <c r="AY230" s="59"/>
      <c r="AZ230" s="59"/>
      <c r="BA230" s="59"/>
      <c r="BB230" s="59"/>
      <c r="BC230" s="59" t="s">
        <v>107</v>
      </c>
      <c r="BD230" s="59"/>
      <c r="BE230" s="59"/>
      <c r="BF230" s="59"/>
      <c r="BG230" s="59"/>
      <c r="BH230" s="100" t="s">
        <v>124</v>
      </c>
      <c r="BI230" s="59"/>
      <c r="BJ230" s="59"/>
      <c r="BK230" s="59"/>
      <c r="BL230" s="59"/>
      <c r="CA230" s="2" t="s">
        <v>60</v>
      </c>
    </row>
    <row r="231" spans="1:79" s="9" customFormat="1" ht="12.75" customHeight="1" x14ac:dyDescent="0.2">
      <c r="A231" s="120"/>
      <c r="B231" s="120"/>
      <c r="C231" s="120"/>
      <c r="D231" s="120"/>
      <c r="E231" s="120"/>
      <c r="F231" s="120"/>
      <c r="G231" s="179" t="s">
        <v>179</v>
      </c>
      <c r="H231" s="179"/>
      <c r="I231" s="179"/>
      <c r="J231" s="179"/>
      <c r="K231" s="179"/>
      <c r="L231" s="179"/>
      <c r="M231" s="179"/>
      <c r="N231" s="179"/>
      <c r="O231" s="179"/>
      <c r="P231" s="179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  <c r="AJ231" s="177">
        <f>IF(ISNUMBER(Q231),Q231,0)-IF(ISNUMBER(Z231),Z231,0)</f>
        <v>0</v>
      </c>
      <c r="AK231" s="177"/>
      <c r="AL231" s="177"/>
      <c r="AM231" s="177"/>
      <c r="AN231" s="177"/>
      <c r="AO231" s="177"/>
      <c r="AP231" s="177"/>
      <c r="AQ231" s="177"/>
      <c r="AR231" s="177"/>
      <c r="AS231" s="177"/>
      <c r="AT231" s="177">
        <f>IF(ISNUMBER(V231),V231,0)-IF(ISNUMBER(Z231),Z231,0)-IF(ISNUMBER(AE231),AE231,0)</f>
        <v>0</v>
      </c>
      <c r="AU231" s="177"/>
      <c r="AV231" s="177"/>
      <c r="AW231" s="177"/>
      <c r="AX231" s="177"/>
      <c r="AY231" s="177"/>
      <c r="AZ231" s="177"/>
      <c r="BA231" s="177"/>
      <c r="BB231" s="177"/>
      <c r="BC231" s="177"/>
      <c r="BD231" s="177"/>
      <c r="BE231" s="177"/>
      <c r="BF231" s="177"/>
      <c r="BG231" s="177"/>
      <c r="BH231" s="177">
        <f>IF(ISNUMBER(AO231),AO231,0)-IF(ISNUMBER(AX231),AX231,0)</f>
        <v>0</v>
      </c>
      <c r="BI231" s="177"/>
      <c r="BJ231" s="177"/>
      <c r="BK231" s="177"/>
      <c r="BL231" s="177"/>
      <c r="CA231" s="9" t="s">
        <v>61</v>
      </c>
    </row>
    <row r="233" spans="1:79" ht="14.25" customHeight="1" x14ac:dyDescent="0.2">
      <c r="A233" s="67" t="s">
        <v>301</v>
      </c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</row>
    <row r="234" spans="1:79" ht="15" customHeight="1" x14ac:dyDescent="0.2">
      <c r="A234" s="62" t="s">
        <v>243</v>
      </c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2"/>
      <c r="BJ234" s="62"/>
      <c r="BK234" s="62"/>
      <c r="BL234" s="62"/>
    </row>
    <row r="235" spans="1:79" ht="42.95" customHeight="1" x14ac:dyDescent="0.2">
      <c r="A235" s="74" t="s">
        <v>166</v>
      </c>
      <c r="B235" s="74"/>
      <c r="C235" s="74"/>
      <c r="D235" s="74"/>
      <c r="E235" s="74"/>
      <c r="F235" s="74"/>
      <c r="G235" s="57" t="s">
        <v>20</v>
      </c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 t="s">
        <v>16</v>
      </c>
      <c r="U235" s="57"/>
      <c r="V235" s="57"/>
      <c r="W235" s="57"/>
      <c r="X235" s="57"/>
      <c r="Y235" s="57"/>
      <c r="Z235" s="57" t="s">
        <v>15</v>
      </c>
      <c r="AA235" s="57"/>
      <c r="AB235" s="57"/>
      <c r="AC235" s="57"/>
      <c r="AD235" s="57"/>
      <c r="AE235" s="57" t="s">
        <v>298</v>
      </c>
      <c r="AF235" s="57"/>
      <c r="AG235" s="57"/>
      <c r="AH235" s="57"/>
      <c r="AI235" s="57"/>
      <c r="AJ235" s="57"/>
      <c r="AK235" s="57" t="s">
        <v>302</v>
      </c>
      <c r="AL235" s="57"/>
      <c r="AM235" s="57"/>
      <c r="AN235" s="57"/>
      <c r="AO235" s="57"/>
      <c r="AP235" s="57"/>
      <c r="AQ235" s="57" t="s">
        <v>314</v>
      </c>
      <c r="AR235" s="57"/>
      <c r="AS235" s="57"/>
      <c r="AT235" s="57"/>
      <c r="AU235" s="57"/>
      <c r="AV235" s="57"/>
      <c r="AW235" s="57" t="s">
        <v>19</v>
      </c>
      <c r="AX235" s="57"/>
      <c r="AY235" s="57"/>
      <c r="AZ235" s="57"/>
      <c r="BA235" s="57"/>
      <c r="BB235" s="57"/>
      <c r="BC235" s="57"/>
      <c r="BD235" s="57"/>
      <c r="BE235" s="57" t="s">
        <v>190</v>
      </c>
      <c r="BF235" s="57"/>
      <c r="BG235" s="57"/>
      <c r="BH235" s="57"/>
      <c r="BI235" s="57"/>
      <c r="BJ235" s="57"/>
      <c r="BK235" s="57"/>
      <c r="BL235" s="57"/>
    </row>
    <row r="236" spans="1:79" ht="21.75" customHeight="1" x14ac:dyDescent="0.2">
      <c r="A236" s="74"/>
      <c r="B236" s="74"/>
      <c r="C236" s="74"/>
      <c r="D236" s="74"/>
      <c r="E236" s="74"/>
      <c r="F236" s="74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  <c r="AS236" s="57"/>
      <c r="AT236" s="57"/>
      <c r="AU236" s="57"/>
      <c r="AV236" s="57"/>
      <c r="AW236" s="57"/>
      <c r="AX236" s="57"/>
      <c r="AY236" s="57"/>
      <c r="AZ236" s="57"/>
      <c r="BA236" s="57"/>
      <c r="BB236" s="57"/>
      <c r="BC236" s="57"/>
      <c r="BD236" s="57"/>
      <c r="BE236" s="57"/>
      <c r="BF236" s="57"/>
      <c r="BG236" s="57"/>
      <c r="BH236" s="57"/>
      <c r="BI236" s="57"/>
      <c r="BJ236" s="57"/>
      <c r="BK236" s="57"/>
      <c r="BL236" s="57"/>
    </row>
    <row r="237" spans="1:79" ht="15" customHeight="1" x14ac:dyDescent="0.2">
      <c r="A237" s="57">
        <v>1</v>
      </c>
      <c r="B237" s="57"/>
      <c r="C237" s="57"/>
      <c r="D237" s="57"/>
      <c r="E237" s="57"/>
      <c r="F237" s="57"/>
      <c r="G237" s="57">
        <v>2</v>
      </c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>
        <v>3</v>
      </c>
      <c r="U237" s="57"/>
      <c r="V237" s="57"/>
      <c r="W237" s="57"/>
      <c r="X237" s="57"/>
      <c r="Y237" s="57"/>
      <c r="Z237" s="57">
        <v>4</v>
      </c>
      <c r="AA237" s="57"/>
      <c r="AB237" s="57"/>
      <c r="AC237" s="57"/>
      <c r="AD237" s="57"/>
      <c r="AE237" s="57">
        <v>5</v>
      </c>
      <c r="AF237" s="57"/>
      <c r="AG237" s="57"/>
      <c r="AH237" s="57"/>
      <c r="AI237" s="57"/>
      <c r="AJ237" s="57"/>
      <c r="AK237" s="57">
        <v>6</v>
      </c>
      <c r="AL237" s="57"/>
      <c r="AM237" s="57"/>
      <c r="AN237" s="57"/>
      <c r="AO237" s="57"/>
      <c r="AP237" s="57"/>
      <c r="AQ237" s="57">
        <v>7</v>
      </c>
      <c r="AR237" s="57"/>
      <c r="AS237" s="57"/>
      <c r="AT237" s="57"/>
      <c r="AU237" s="57"/>
      <c r="AV237" s="57"/>
      <c r="AW237" s="60">
        <v>8</v>
      </c>
      <c r="AX237" s="60"/>
      <c r="AY237" s="60"/>
      <c r="AZ237" s="60"/>
      <c r="BA237" s="60"/>
      <c r="BB237" s="60"/>
      <c r="BC237" s="60"/>
      <c r="BD237" s="60"/>
      <c r="BE237" s="60">
        <v>9</v>
      </c>
      <c r="BF237" s="60"/>
      <c r="BG237" s="60"/>
      <c r="BH237" s="60"/>
      <c r="BI237" s="60"/>
      <c r="BJ237" s="60"/>
      <c r="BK237" s="60"/>
      <c r="BL237" s="60"/>
    </row>
    <row r="238" spans="1:79" s="2" customFormat="1" ht="18.75" hidden="1" customHeight="1" x14ac:dyDescent="0.2">
      <c r="A238" s="60" t="s">
        <v>85</v>
      </c>
      <c r="B238" s="60"/>
      <c r="C238" s="60"/>
      <c r="D238" s="60"/>
      <c r="E238" s="60"/>
      <c r="F238" s="60"/>
      <c r="G238" s="99" t="s">
        <v>78</v>
      </c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59" t="s">
        <v>101</v>
      </c>
      <c r="U238" s="59"/>
      <c r="V238" s="59"/>
      <c r="W238" s="59"/>
      <c r="X238" s="59"/>
      <c r="Y238" s="59"/>
      <c r="Z238" s="59" t="s">
        <v>102</v>
      </c>
      <c r="AA238" s="59"/>
      <c r="AB238" s="59"/>
      <c r="AC238" s="59"/>
      <c r="AD238" s="59"/>
      <c r="AE238" s="59" t="s">
        <v>103</v>
      </c>
      <c r="AF238" s="59"/>
      <c r="AG238" s="59"/>
      <c r="AH238" s="59"/>
      <c r="AI238" s="59"/>
      <c r="AJ238" s="59"/>
      <c r="AK238" s="59" t="s">
        <v>104</v>
      </c>
      <c r="AL238" s="59"/>
      <c r="AM238" s="59"/>
      <c r="AN238" s="59"/>
      <c r="AO238" s="59"/>
      <c r="AP238" s="59"/>
      <c r="AQ238" s="59" t="s">
        <v>105</v>
      </c>
      <c r="AR238" s="59"/>
      <c r="AS238" s="59"/>
      <c r="AT238" s="59"/>
      <c r="AU238" s="59"/>
      <c r="AV238" s="59"/>
      <c r="AW238" s="99" t="s">
        <v>108</v>
      </c>
      <c r="AX238" s="99"/>
      <c r="AY238" s="99"/>
      <c r="AZ238" s="99"/>
      <c r="BA238" s="99"/>
      <c r="BB238" s="99"/>
      <c r="BC238" s="99"/>
      <c r="BD238" s="99"/>
      <c r="BE238" s="99" t="s">
        <v>109</v>
      </c>
      <c r="BF238" s="99"/>
      <c r="BG238" s="99"/>
      <c r="BH238" s="99"/>
      <c r="BI238" s="99"/>
      <c r="BJ238" s="99"/>
      <c r="BK238" s="99"/>
      <c r="BL238" s="99"/>
      <c r="CA238" s="2" t="s">
        <v>62</v>
      </c>
    </row>
    <row r="239" spans="1:79" s="9" customFormat="1" ht="12.75" customHeight="1" x14ac:dyDescent="0.2">
      <c r="A239" s="120"/>
      <c r="B239" s="120"/>
      <c r="C239" s="120"/>
      <c r="D239" s="120"/>
      <c r="E239" s="120"/>
      <c r="F239" s="120"/>
      <c r="G239" s="179" t="s">
        <v>179</v>
      </c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  <c r="AJ239" s="177"/>
      <c r="AK239" s="177"/>
      <c r="AL239" s="177"/>
      <c r="AM239" s="177"/>
      <c r="AN239" s="177"/>
      <c r="AO239" s="177"/>
      <c r="AP239" s="177"/>
      <c r="AQ239" s="177"/>
      <c r="AR239" s="177"/>
      <c r="AS239" s="177"/>
      <c r="AT239" s="177"/>
      <c r="AU239" s="177"/>
      <c r="AV239" s="177"/>
      <c r="AW239" s="179"/>
      <c r="AX239" s="179"/>
      <c r="AY239" s="179"/>
      <c r="AZ239" s="179"/>
      <c r="BA239" s="179"/>
      <c r="BB239" s="179"/>
      <c r="BC239" s="179"/>
      <c r="BD239" s="179"/>
      <c r="BE239" s="179"/>
      <c r="BF239" s="179"/>
      <c r="BG239" s="179"/>
      <c r="BH239" s="179"/>
      <c r="BI239" s="179"/>
      <c r="BJ239" s="179"/>
      <c r="BK239" s="179"/>
      <c r="BL239" s="179"/>
      <c r="CA239" s="9" t="s">
        <v>63</v>
      </c>
    </row>
    <row r="241" spans="1:64" ht="14.25" customHeight="1" x14ac:dyDescent="0.2">
      <c r="A241" s="67" t="s">
        <v>303</v>
      </c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</row>
    <row r="242" spans="1:64" ht="75" customHeight="1" x14ac:dyDescent="0.2">
      <c r="A242" s="149" t="s">
        <v>295</v>
      </c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</row>
    <row r="243" spans="1:64" ht="1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5" spans="1:64" ht="14.25" x14ac:dyDescent="0.2">
      <c r="A245" s="67" t="s">
        <v>327</v>
      </c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</row>
    <row r="246" spans="1:64" ht="14.25" x14ac:dyDescent="0.2">
      <c r="A246" s="67" t="s">
        <v>304</v>
      </c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</row>
    <row r="247" spans="1:64" ht="15" customHeight="1" x14ac:dyDescent="0.2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</row>
    <row r="248" spans="1:64" ht="1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51" spans="1:64" ht="18.95" customHeight="1" x14ac:dyDescent="0.2">
      <c r="A251" s="153" t="s">
        <v>237</v>
      </c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40"/>
      <c r="AC251" s="40"/>
      <c r="AD251" s="40"/>
      <c r="AE251" s="40"/>
      <c r="AF251" s="40"/>
      <c r="AG251" s="40"/>
      <c r="AH251" s="43"/>
      <c r="AI251" s="43"/>
      <c r="AJ251" s="43"/>
      <c r="AK251" s="43"/>
      <c r="AL251" s="43"/>
      <c r="AM251" s="43"/>
      <c r="AN251" s="43"/>
      <c r="AO251" s="43"/>
      <c r="AP251" s="43"/>
      <c r="AQ251" s="40"/>
      <c r="AR251" s="40"/>
      <c r="AS251" s="40"/>
      <c r="AT251" s="40"/>
      <c r="AU251" s="154" t="s">
        <v>239</v>
      </c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</row>
    <row r="252" spans="1:64" ht="12.75" customHeight="1" x14ac:dyDescent="0.2">
      <c r="AB252" s="41"/>
      <c r="AC252" s="41"/>
      <c r="AD252" s="41"/>
      <c r="AE252" s="41"/>
      <c r="AF252" s="41"/>
      <c r="AG252" s="41"/>
      <c r="AH252" s="45" t="s">
        <v>2</v>
      </c>
      <c r="AI252" s="45"/>
      <c r="AJ252" s="45"/>
      <c r="AK252" s="45"/>
      <c r="AL252" s="45"/>
      <c r="AM252" s="45"/>
      <c r="AN252" s="45"/>
      <c r="AO252" s="45"/>
      <c r="AP252" s="45"/>
      <c r="AQ252" s="41"/>
      <c r="AR252" s="41"/>
      <c r="AS252" s="41"/>
      <c r="AT252" s="41"/>
      <c r="AU252" s="45" t="s">
        <v>205</v>
      </c>
      <c r="AV252" s="45"/>
      <c r="AW252" s="45"/>
      <c r="AX252" s="45"/>
      <c r="AY252" s="45"/>
      <c r="AZ252" s="45"/>
      <c r="BA252" s="45"/>
      <c r="BB252" s="45"/>
      <c r="BC252" s="45"/>
      <c r="BD252" s="45"/>
      <c r="BE252" s="45"/>
      <c r="BF252" s="45"/>
    </row>
    <row r="253" spans="1:64" ht="15" x14ac:dyDescent="0.2">
      <c r="AB253" s="41"/>
      <c r="AC253" s="41"/>
      <c r="AD253" s="41"/>
      <c r="AE253" s="41"/>
      <c r="AF253" s="41"/>
      <c r="AG253" s="41"/>
      <c r="AH253" s="42"/>
      <c r="AI253" s="42"/>
      <c r="AJ253" s="42"/>
      <c r="AK253" s="42"/>
      <c r="AL253" s="42"/>
      <c r="AM253" s="42"/>
      <c r="AN253" s="42"/>
      <c r="AO253" s="42"/>
      <c r="AP253" s="42"/>
      <c r="AQ253" s="41"/>
      <c r="AR253" s="41"/>
      <c r="AS253" s="41"/>
      <c r="AT253" s="41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</row>
    <row r="254" spans="1:64" ht="18" customHeight="1" x14ac:dyDescent="0.2">
      <c r="A254" s="153" t="s">
        <v>238</v>
      </c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41"/>
      <c r="AC254" s="41"/>
      <c r="AD254" s="41"/>
      <c r="AE254" s="41"/>
      <c r="AF254" s="41"/>
      <c r="AG254" s="41"/>
      <c r="AH254" s="44"/>
      <c r="AI254" s="44"/>
      <c r="AJ254" s="44"/>
      <c r="AK254" s="44"/>
      <c r="AL254" s="44"/>
      <c r="AM254" s="44"/>
      <c r="AN254" s="44"/>
      <c r="AO254" s="44"/>
      <c r="AP254" s="44"/>
      <c r="AQ254" s="41"/>
      <c r="AR254" s="41"/>
      <c r="AS254" s="41"/>
      <c r="AT254" s="41"/>
      <c r="AU254" s="155" t="s">
        <v>240</v>
      </c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</row>
    <row r="255" spans="1:64" ht="12" customHeight="1" x14ac:dyDescent="0.2">
      <c r="AB255" s="41"/>
      <c r="AC255" s="41"/>
      <c r="AD255" s="41"/>
      <c r="AE255" s="41"/>
      <c r="AF255" s="41"/>
      <c r="AG255" s="41"/>
      <c r="AH255" s="45" t="s">
        <v>2</v>
      </c>
      <c r="AI255" s="45"/>
      <c r="AJ255" s="45"/>
      <c r="AK255" s="45"/>
      <c r="AL255" s="45"/>
      <c r="AM255" s="45"/>
      <c r="AN255" s="45"/>
      <c r="AO255" s="45"/>
      <c r="AP255" s="45"/>
      <c r="AQ255" s="41"/>
      <c r="AR255" s="41"/>
      <c r="AS255" s="41"/>
      <c r="AT255" s="41"/>
      <c r="AU255" s="45" t="s">
        <v>205</v>
      </c>
      <c r="AV255" s="45"/>
      <c r="AW255" s="45"/>
      <c r="AX255" s="45"/>
      <c r="AY255" s="45"/>
      <c r="AZ255" s="45"/>
      <c r="BA255" s="45"/>
      <c r="BB255" s="45"/>
      <c r="BC255" s="45"/>
      <c r="BD255" s="45"/>
      <c r="BE255" s="45"/>
      <c r="BF255" s="45"/>
    </row>
  </sheetData>
  <mergeCells count="1674">
    <mergeCell ref="BA181:BC181"/>
    <mergeCell ref="BD181:BF181"/>
    <mergeCell ref="BG181:BI181"/>
    <mergeCell ref="BJ181:BL181"/>
    <mergeCell ref="AI181:AK181"/>
    <mergeCell ref="AL181:AN181"/>
    <mergeCell ref="AO181:AQ181"/>
    <mergeCell ref="AR181:AT181"/>
    <mergeCell ref="AU181:AW181"/>
    <mergeCell ref="AX181:AZ181"/>
    <mergeCell ref="BA180:BC180"/>
    <mergeCell ref="BD180:BF180"/>
    <mergeCell ref="BG180:BI180"/>
    <mergeCell ref="BJ180:BL180"/>
    <mergeCell ref="A181:C181"/>
    <mergeCell ref="D181:V181"/>
    <mergeCell ref="W181:Y181"/>
    <mergeCell ref="Z181:AB181"/>
    <mergeCell ref="AC181:AE181"/>
    <mergeCell ref="AF181:AH181"/>
    <mergeCell ref="AI180:AK180"/>
    <mergeCell ref="AL180:AN180"/>
    <mergeCell ref="AO180:AQ180"/>
    <mergeCell ref="AR180:AT180"/>
    <mergeCell ref="AU180:AW180"/>
    <mergeCell ref="AX180:AZ180"/>
    <mergeCell ref="A180:C180"/>
    <mergeCell ref="D180:V180"/>
    <mergeCell ref="W180:Y180"/>
    <mergeCell ref="Z180:AB180"/>
    <mergeCell ref="AC180:AE180"/>
    <mergeCell ref="AF180:AH180"/>
    <mergeCell ref="AU179:AW179"/>
    <mergeCell ref="AX179:AZ179"/>
    <mergeCell ref="BA179:BC179"/>
    <mergeCell ref="BD179:BF179"/>
    <mergeCell ref="BG179:BI179"/>
    <mergeCell ref="BJ179:BL179"/>
    <mergeCell ref="AC179:AE179"/>
    <mergeCell ref="AF179:AH179"/>
    <mergeCell ref="AI179:AK179"/>
    <mergeCell ref="AL179:AN179"/>
    <mergeCell ref="AO179:AQ179"/>
    <mergeCell ref="AR179:AT179"/>
    <mergeCell ref="AT169:AX169"/>
    <mergeCell ref="AY169:BC169"/>
    <mergeCell ref="BD169:BH169"/>
    <mergeCell ref="BI169:BM169"/>
    <mergeCell ref="BN169:BR169"/>
    <mergeCell ref="A169:T169"/>
    <mergeCell ref="U169:Y169"/>
    <mergeCell ref="Z169:AD169"/>
    <mergeCell ref="AE169:AI169"/>
    <mergeCell ref="AJ169:AN169"/>
    <mergeCell ref="AO169:AS169"/>
    <mergeCell ref="AO168:AS168"/>
    <mergeCell ref="AT168:AX168"/>
    <mergeCell ref="AY168:BC168"/>
    <mergeCell ref="BD168:BH168"/>
    <mergeCell ref="BI168:BM168"/>
    <mergeCell ref="BN168:BR168"/>
    <mergeCell ref="AT167:AX167"/>
    <mergeCell ref="AY167:BC167"/>
    <mergeCell ref="BD167:BH167"/>
    <mergeCell ref="BI167:BM167"/>
    <mergeCell ref="BN167:BR167"/>
    <mergeCell ref="A168:T168"/>
    <mergeCell ref="U168:Y168"/>
    <mergeCell ref="Z168:AD168"/>
    <mergeCell ref="AE168:AI168"/>
    <mergeCell ref="AJ168:AN168"/>
    <mergeCell ref="A167:T167"/>
    <mergeCell ref="U167:Y167"/>
    <mergeCell ref="Z167:AD167"/>
    <mergeCell ref="AE167:AI167"/>
    <mergeCell ref="AJ167:AN167"/>
    <mergeCell ref="AO167:AS167"/>
    <mergeCell ref="AO166:AS166"/>
    <mergeCell ref="AT166:AX166"/>
    <mergeCell ref="AY166:BC166"/>
    <mergeCell ref="BD166:BH166"/>
    <mergeCell ref="BI166:BM166"/>
    <mergeCell ref="BN166:BR166"/>
    <mergeCell ref="AT165:AX165"/>
    <mergeCell ref="AY165:BC165"/>
    <mergeCell ref="BD165:BH165"/>
    <mergeCell ref="BI165:BM165"/>
    <mergeCell ref="BN165:BR165"/>
    <mergeCell ref="A166:T166"/>
    <mergeCell ref="U166:Y166"/>
    <mergeCell ref="Z166:AD166"/>
    <mergeCell ref="AE166:AI166"/>
    <mergeCell ref="AJ166:AN166"/>
    <mergeCell ref="AY164:BC164"/>
    <mergeCell ref="BD164:BH164"/>
    <mergeCell ref="BI164:BM164"/>
    <mergeCell ref="BN164:BR164"/>
    <mergeCell ref="A165:T165"/>
    <mergeCell ref="U165:Y165"/>
    <mergeCell ref="Z165:AD165"/>
    <mergeCell ref="AE165:AI165"/>
    <mergeCell ref="AJ165:AN165"/>
    <mergeCell ref="AO165:AS165"/>
    <mergeCell ref="BD163:BH163"/>
    <mergeCell ref="BI163:BM163"/>
    <mergeCell ref="BN163:BR163"/>
    <mergeCell ref="A164:T164"/>
    <mergeCell ref="U164:Y164"/>
    <mergeCell ref="Z164:AD164"/>
    <mergeCell ref="AE164:AI164"/>
    <mergeCell ref="AJ164:AN164"/>
    <mergeCell ref="AO164:AS164"/>
    <mergeCell ref="AT164:AX164"/>
    <mergeCell ref="BI162:BM162"/>
    <mergeCell ref="BN162:BR162"/>
    <mergeCell ref="A163:T163"/>
    <mergeCell ref="U163:Y163"/>
    <mergeCell ref="Z163:AD163"/>
    <mergeCell ref="AE163:AI163"/>
    <mergeCell ref="AJ163:AN163"/>
    <mergeCell ref="AO163:AS163"/>
    <mergeCell ref="AT163:AX163"/>
    <mergeCell ref="AY163:BC163"/>
    <mergeCell ref="BN161:BR161"/>
    <mergeCell ref="A162:T162"/>
    <mergeCell ref="U162:Y162"/>
    <mergeCell ref="Z162:AD162"/>
    <mergeCell ref="AE162:AI162"/>
    <mergeCell ref="AJ162:AN162"/>
    <mergeCell ref="AO162:AS162"/>
    <mergeCell ref="AT162:AX162"/>
    <mergeCell ref="AY162:BC162"/>
    <mergeCell ref="BD162:BH162"/>
    <mergeCell ref="A161:T161"/>
    <mergeCell ref="U161:Y161"/>
    <mergeCell ref="Z161:AD161"/>
    <mergeCell ref="AE161:AI161"/>
    <mergeCell ref="AJ161:AN161"/>
    <mergeCell ref="AO161:AS161"/>
    <mergeCell ref="AP152:AT152"/>
    <mergeCell ref="AU152:AY152"/>
    <mergeCell ref="AZ152:BD152"/>
    <mergeCell ref="BE152:BI152"/>
    <mergeCell ref="AP151:AT151"/>
    <mergeCell ref="AU151:AY151"/>
    <mergeCell ref="AZ151:BD151"/>
    <mergeCell ref="BE151:BI151"/>
    <mergeCell ref="A152:C152"/>
    <mergeCell ref="D152:P152"/>
    <mergeCell ref="Q152:U152"/>
    <mergeCell ref="V152:AE152"/>
    <mergeCell ref="AF152:AJ152"/>
    <mergeCell ref="AK152:AO152"/>
    <mergeCell ref="AP150:AT150"/>
    <mergeCell ref="AU150:AY150"/>
    <mergeCell ref="AZ150:BD150"/>
    <mergeCell ref="BE150:BI150"/>
    <mergeCell ref="A151:C151"/>
    <mergeCell ref="D151:P151"/>
    <mergeCell ref="Q151:U151"/>
    <mergeCell ref="V151:AE151"/>
    <mergeCell ref="AF151:AJ151"/>
    <mergeCell ref="AK151:AO151"/>
    <mergeCell ref="AP149:AT149"/>
    <mergeCell ref="AU149:AY149"/>
    <mergeCell ref="AZ149:BD149"/>
    <mergeCell ref="BE149:BI149"/>
    <mergeCell ref="A150:C150"/>
    <mergeCell ref="D150:P150"/>
    <mergeCell ref="Q150:U150"/>
    <mergeCell ref="V150:AE150"/>
    <mergeCell ref="AF150:AJ150"/>
    <mergeCell ref="AK150:AO150"/>
    <mergeCell ref="AP148:AT148"/>
    <mergeCell ref="AU148:AY148"/>
    <mergeCell ref="AZ148:BD148"/>
    <mergeCell ref="BE148:BI148"/>
    <mergeCell ref="A149:C149"/>
    <mergeCell ref="D149:P149"/>
    <mergeCell ref="Q149:U149"/>
    <mergeCell ref="V149:AE149"/>
    <mergeCell ref="AF149:AJ149"/>
    <mergeCell ref="AK149:AO149"/>
    <mergeCell ref="AP147:AT147"/>
    <mergeCell ref="AU147:AY147"/>
    <mergeCell ref="AZ147:BD147"/>
    <mergeCell ref="BE147:BI147"/>
    <mergeCell ref="A148:C148"/>
    <mergeCell ref="D148:P148"/>
    <mergeCell ref="Q148:U148"/>
    <mergeCell ref="V148:AE148"/>
    <mergeCell ref="AF148:AJ148"/>
    <mergeCell ref="AK148:AO148"/>
    <mergeCell ref="AP146:AT146"/>
    <mergeCell ref="AU146:AY146"/>
    <mergeCell ref="AZ146:BD146"/>
    <mergeCell ref="BE146:BI146"/>
    <mergeCell ref="A147:C147"/>
    <mergeCell ref="D147:P147"/>
    <mergeCell ref="Q147:U147"/>
    <mergeCell ref="V147:AE147"/>
    <mergeCell ref="AF147:AJ147"/>
    <mergeCell ref="AK147:AO147"/>
    <mergeCell ref="AP145:AT145"/>
    <mergeCell ref="AU145:AY145"/>
    <mergeCell ref="AZ145:BD145"/>
    <mergeCell ref="BE145:BI145"/>
    <mergeCell ref="A146:C146"/>
    <mergeCell ref="D146:P146"/>
    <mergeCell ref="Q146:U146"/>
    <mergeCell ref="V146:AE146"/>
    <mergeCell ref="AF146:AJ146"/>
    <mergeCell ref="AK146:AO146"/>
    <mergeCell ref="AP144:AT144"/>
    <mergeCell ref="AU144:AY144"/>
    <mergeCell ref="AZ144:BD144"/>
    <mergeCell ref="BE144:BI144"/>
    <mergeCell ref="A145:C145"/>
    <mergeCell ref="D145:P145"/>
    <mergeCell ref="Q145:U145"/>
    <mergeCell ref="V145:AE145"/>
    <mergeCell ref="AF145:AJ145"/>
    <mergeCell ref="AK145:AO145"/>
    <mergeCell ref="A144:C144"/>
    <mergeCell ref="D144:P144"/>
    <mergeCell ref="Q144:U144"/>
    <mergeCell ref="V144:AE144"/>
    <mergeCell ref="AF144:AJ144"/>
    <mergeCell ref="AK144:AO144"/>
    <mergeCell ref="A143:C143"/>
    <mergeCell ref="D143:P143"/>
    <mergeCell ref="Q143:U143"/>
    <mergeCell ref="V143:AE143"/>
    <mergeCell ref="AF143:AJ143"/>
    <mergeCell ref="AK143:AO143"/>
    <mergeCell ref="BT135:BX135"/>
    <mergeCell ref="AP135:AT135"/>
    <mergeCell ref="AU135:AY135"/>
    <mergeCell ref="AZ135:BD135"/>
    <mergeCell ref="BE135:BI135"/>
    <mergeCell ref="BJ135:BN135"/>
    <mergeCell ref="BO135:BS135"/>
    <mergeCell ref="BE134:BI134"/>
    <mergeCell ref="BJ134:BN134"/>
    <mergeCell ref="BO134:BS134"/>
    <mergeCell ref="BT134:BX134"/>
    <mergeCell ref="A135:C135"/>
    <mergeCell ref="D135:P135"/>
    <mergeCell ref="Q135:U135"/>
    <mergeCell ref="V135:AE135"/>
    <mergeCell ref="AF135:AJ135"/>
    <mergeCell ref="AK135:AO135"/>
    <mergeCell ref="BT133:BX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AP133:AT133"/>
    <mergeCell ref="AU133:AY133"/>
    <mergeCell ref="AZ133:BD133"/>
    <mergeCell ref="BE133:BI133"/>
    <mergeCell ref="BJ133:BN133"/>
    <mergeCell ref="BO133:BS133"/>
    <mergeCell ref="BE132:BI132"/>
    <mergeCell ref="BJ132:BN132"/>
    <mergeCell ref="BO132:BS132"/>
    <mergeCell ref="BT132:BX132"/>
    <mergeCell ref="A133:C133"/>
    <mergeCell ref="D133:P133"/>
    <mergeCell ref="Q133:U133"/>
    <mergeCell ref="V133:AE133"/>
    <mergeCell ref="AF133:AJ133"/>
    <mergeCell ref="AK133:AO133"/>
    <mergeCell ref="BT131:BX131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AP131:AT131"/>
    <mergeCell ref="AU131:AY131"/>
    <mergeCell ref="AZ131:BD131"/>
    <mergeCell ref="BE131:BI131"/>
    <mergeCell ref="BJ131:BN131"/>
    <mergeCell ref="BO131:BS131"/>
    <mergeCell ref="BE130:BI130"/>
    <mergeCell ref="BJ130:BN130"/>
    <mergeCell ref="BO130:BS130"/>
    <mergeCell ref="BT130:BX130"/>
    <mergeCell ref="A131:C131"/>
    <mergeCell ref="D131:P131"/>
    <mergeCell ref="Q131:U131"/>
    <mergeCell ref="V131:AE131"/>
    <mergeCell ref="AF131:AJ131"/>
    <mergeCell ref="AK131:AO131"/>
    <mergeCell ref="BT129:BX129"/>
    <mergeCell ref="A130:C130"/>
    <mergeCell ref="D130:P130"/>
    <mergeCell ref="Q130:U130"/>
    <mergeCell ref="V130:AE130"/>
    <mergeCell ref="AF130:AJ130"/>
    <mergeCell ref="AK130:AO130"/>
    <mergeCell ref="AP130:AT130"/>
    <mergeCell ref="AU130:AY130"/>
    <mergeCell ref="AZ130:BD130"/>
    <mergeCell ref="AP129:AT129"/>
    <mergeCell ref="AU129:AY129"/>
    <mergeCell ref="AZ129:BD129"/>
    <mergeCell ref="BE129:BI129"/>
    <mergeCell ref="BJ129:BN129"/>
    <mergeCell ref="BO129:BS129"/>
    <mergeCell ref="BE128:BI128"/>
    <mergeCell ref="BJ128:BN128"/>
    <mergeCell ref="BO128:BS128"/>
    <mergeCell ref="BT128:BX128"/>
    <mergeCell ref="A129:C129"/>
    <mergeCell ref="D129:P129"/>
    <mergeCell ref="Q129:U129"/>
    <mergeCell ref="V129:AE129"/>
    <mergeCell ref="AF129:AJ129"/>
    <mergeCell ref="AK129:AO129"/>
    <mergeCell ref="BT127:BX127"/>
    <mergeCell ref="A128:C128"/>
    <mergeCell ref="D128:P128"/>
    <mergeCell ref="Q128:U128"/>
    <mergeCell ref="V128:AE128"/>
    <mergeCell ref="AF128:AJ128"/>
    <mergeCell ref="AK128:AO128"/>
    <mergeCell ref="AP128:AT128"/>
    <mergeCell ref="AU128:AY128"/>
    <mergeCell ref="AZ128:BD128"/>
    <mergeCell ref="AP127:AT127"/>
    <mergeCell ref="AU127:AY127"/>
    <mergeCell ref="AZ127:BD127"/>
    <mergeCell ref="BE127:BI127"/>
    <mergeCell ref="BJ127:BN127"/>
    <mergeCell ref="BO127:BS127"/>
    <mergeCell ref="BE126:BI126"/>
    <mergeCell ref="BJ126:BN126"/>
    <mergeCell ref="BO126:BS126"/>
    <mergeCell ref="BT126:BX126"/>
    <mergeCell ref="A127:C127"/>
    <mergeCell ref="D127:P127"/>
    <mergeCell ref="Q127:U127"/>
    <mergeCell ref="V127:AE127"/>
    <mergeCell ref="AF127:AJ127"/>
    <mergeCell ref="AK127:AO127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D116:BH116"/>
    <mergeCell ref="BD115:BH115"/>
    <mergeCell ref="A116:C116"/>
    <mergeCell ref="D116:T116"/>
    <mergeCell ref="U116:Y116"/>
    <mergeCell ref="Z116:AD116"/>
    <mergeCell ref="AE116:AI116"/>
    <mergeCell ref="AJ116:AN116"/>
    <mergeCell ref="AO116:AS116"/>
    <mergeCell ref="AT116:AX116"/>
    <mergeCell ref="AY116:BC116"/>
    <mergeCell ref="BD114:BH114"/>
    <mergeCell ref="A115:C115"/>
    <mergeCell ref="D115:T115"/>
    <mergeCell ref="U115:Y115"/>
    <mergeCell ref="Z115:AD115"/>
    <mergeCell ref="AE115:AI115"/>
    <mergeCell ref="AJ115:AN115"/>
    <mergeCell ref="AO115:AS115"/>
    <mergeCell ref="AT115:AX115"/>
    <mergeCell ref="AY115:BC115"/>
    <mergeCell ref="BD113:BH113"/>
    <mergeCell ref="A114:C114"/>
    <mergeCell ref="D114:T114"/>
    <mergeCell ref="U114:Y114"/>
    <mergeCell ref="Z114:AD114"/>
    <mergeCell ref="AE114:AI114"/>
    <mergeCell ref="AJ114:AN114"/>
    <mergeCell ref="AO114:AS114"/>
    <mergeCell ref="AT114:AX114"/>
    <mergeCell ref="AY114:BC114"/>
    <mergeCell ref="BD112:BH112"/>
    <mergeCell ref="A113:C113"/>
    <mergeCell ref="D113:T113"/>
    <mergeCell ref="U113:Y113"/>
    <mergeCell ref="Z113:AD113"/>
    <mergeCell ref="AE113:AI113"/>
    <mergeCell ref="AJ113:AN113"/>
    <mergeCell ref="AO113:AS113"/>
    <mergeCell ref="AT113:AX113"/>
    <mergeCell ref="AY113:BC113"/>
    <mergeCell ref="BD111:BH111"/>
    <mergeCell ref="A112:C112"/>
    <mergeCell ref="D112:T112"/>
    <mergeCell ref="U112:Y112"/>
    <mergeCell ref="Z112:AD112"/>
    <mergeCell ref="AE112:AI112"/>
    <mergeCell ref="AJ112:AN112"/>
    <mergeCell ref="AO112:AS112"/>
    <mergeCell ref="AT112:AX112"/>
    <mergeCell ref="AY112:BC112"/>
    <mergeCell ref="A111:C111"/>
    <mergeCell ref="D111:T111"/>
    <mergeCell ref="U111:Y111"/>
    <mergeCell ref="Z111:AD111"/>
    <mergeCell ref="AE111:AI111"/>
    <mergeCell ref="BU102:BY102"/>
    <mergeCell ref="AS102:AW102"/>
    <mergeCell ref="AX102:BA102"/>
    <mergeCell ref="BB102:BF102"/>
    <mergeCell ref="BG102:BK102"/>
    <mergeCell ref="BL102:BP102"/>
    <mergeCell ref="BQ102:BT102"/>
    <mergeCell ref="BL101:BP101"/>
    <mergeCell ref="BQ101:BT101"/>
    <mergeCell ref="BU101:BY101"/>
    <mergeCell ref="A102:C102"/>
    <mergeCell ref="D102:T102"/>
    <mergeCell ref="U102:Y102"/>
    <mergeCell ref="Z102:AD102"/>
    <mergeCell ref="AE102:AH102"/>
    <mergeCell ref="AI102:AM102"/>
    <mergeCell ref="AN102:AR102"/>
    <mergeCell ref="AI101:AM101"/>
    <mergeCell ref="AN101:AR101"/>
    <mergeCell ref="AS101:AW101"/>
    <mergeCell ref="AX101:BA101"/>
    <mergeCell ref="BB101:BF101"/>
    <mergeCell ref="BG101:BK101"/>
    <mergeCell ref="BB100:BF100"/>
    <mergeCell ref="BG100:BK100"/>
    <mergeCell ref="BL100:BP100"/>
    <mergeCell ref="BQ100:BT100"/>
    <mergeCell ref="BU100:BY100"/>
    <mergeCell ref="A101:C101"/>
    <mergeCell ref="D101:T101"/>
    <mergeCell ref="U101:Y101"/>
    <mergeCell ref="Z101:AD101"/>
    <mergeCell ref="AE101:AH101"/>
    <mergeCell ref="BU99:BY99"/>
    <mergeCell ref="A100:C100"/>
    <mergeCell ref="D100:T100"/>
    <mergeCell ref="U100:Y100"/>
    <mergeCell ref="Z100:AD100"/>
    <mergeCell ref="AE100:AH100"/>
    <mergeCell ref="AI100:AM100"/>
    <mergeCell ref="AN100:AR100"/>
    <mergeCell ref="AS100:AW100"/>
    <mergeCell ref="AX100:BA100"/>
    <mergeCell ref="AS99:AW99"/>
    <mergeCell ref="AX99:BA99"/>
    <mergeCell ref="BB99:BF99"/>
    <mergeCell ref="BG99:BK99"/>
    <mergeCell ref="BL99:BP99"/>
    <mergeCell ref="BQ99:BT99"/>
    <mergeCell ref="BL98:BP98"/>
    <mergeCell ref="BQ98:BT98"/>
    <mergeCell ref="BU98:BY98"/>
    <mergeCell ref="A99:C99"/>
    <mergeCell ref="D99:T99"/>
    <mergeCell ref="U99:Y99"/>
    <mergeCell ref="Z99:AD99"/>
    <mergeCell ref="AE99:AH99"/>
    <mergeCell ref="AI99:AM99"/>
    <mergeCell ref="AN99:AR99"/>
    <mergeCell ref="AI98:AM98"/>
    <mergeCell ref="AN98:AR98"/>
    <mergeCell ref="AS98:AW98"/>
    <mergeCell ref="AX98:BA98"/>
    <mergeCell ref="BB98:BF98"/>
    <mergeCell ref="BG98:BK98"/>
    <mergeCell ref="BB97:BF97"/>
    <mergeCell ref="BG97:BK97"/>
    <mergeCell ref="BL97:BP97"/>
    <mergeCell ref="BQ97:BT97"/>
    <mergeCell ref="BU97:BY97"/>
    <mergeCell ref="A98:C98"/>
    <mergeCell ref="D98:T98"/>
    <mergeCell ref="U98:Y98"/>
    <mergeCell ref="Z98:AD98"/>
    <mergeCell ref="AE98:AH98"/>
    <mergeCell ref="A97:C97"/>
    <mergeCell ref="D97:T97"/>
    <mergeCell ref="U97:Y97"/>
    <mergeCell ref="Z97:AD97"/>
    <mergeCell ref="AE97:AH97"/>
    <mergeCell ref="AI97:AM97"/>
    <mergeCell ref="AN97:AR97"/>
    <mergeCell ref="AS97:AW97"/>
    <mergeCell ref="AX97:BA97"/>
    <mergeCell ref="BG78:BK78"/>
    <mergeCell ref="BG77:BK77"/>
    <mergeCell ref="A78:D78"/>
    <mergeCell ref="E78:W78"/>
    <mergeCell ref="X78:AB78"/>
    <mergeCell ref="AC78:AG78"/>
    <mergeCell ref="AH78:AL78"/>
    <mergeCell ref="AM78:AQ78"/>
    <mergeCell ref="AR78:AV78"/>
    <mergeCell ref="AW78:BA78"/>
    <mergeCell ref="BB78:BF78"/>
    <mergeCell ref="BG76:BK76"/>
    <mergeCell ref="A77:D77"/>
    <mergeCell ref="E77:W77"/>
    <mergeCell ref="X77:AB77"/>
    <mergeCell ref="AC77:AG77"/>
    <mergeCell ref="AH77:AL77"/>
    <mergeCell ref="AM77:AQ77"/>
    <mergeCell ref="AR77:AV77"/>
    <mergeCell ref="AW77:BA77"/>
    <mergeCell ref="BB77:BF77"/>
    <mergeCell ref="BG75:BK75"/>
    <mergeCell ref="A76:D76"/>
    <mergeCell ref="E76:W76"/>
    <mergeCell ref="X76:AB76"/>
    <mergeCell ref="AC76:AG76"/>
    <mergeCell ref="AH76:AL76"/>
    <mergeCell ref="AM76:AQ76"/>
    <mergeCell ref="AR76:AV76"/>
    <mergeCell ref="AW76:BA76"/>
    <mergeCell ref="BB76:BF76"/>
    <mergeCell ref="BG74:BK74"/>
    <mergeCell ref="A75:D75"/>
    <mergeCell ref="E75:W75"/>
    <mergeCell ref="X75:AB75"/>
    <mergeCell ref="AC75:AG75"/>
    <mergeCell ref="AH75:AL75"/>
    <mergeCell ref="AM75:AQ75"/>
    <mergeCell ref="AR75:AV75"/>
    <mergeCell ref="AW75:BA75"/>
    <mergeCell ref="BB75:BF75"/>
    <mergeCell ref="BG73:BK73"/>
    <mergeCell ref="A74:D74"/>
    <mergeCell ref="E74:W74"/>
    <mergeCell ref="X74:AB74"/>
    <mergeCell ref="AC74:AG74"/>
    <mergeCell ref="AH74:AL74"/>
    <mergeCell ref="AM74:AQ74"/>
    <mergeCell ref="AR74:AV74"/>
    <mergeCell ref="AW74:BA74"/>
    <mergeCell ref="BB74:BF74"/>
    <mergeCell ref="A73:D73"/>
    <mergeCell ref="E73:W73"/>
    <mergeCell ref="X73:AB73"/>
    <mergeCell ref="AC73:AG73"/>
    <mergeCell ref="AH73:AL73"/>
    <mergeCell ref="BL56:BP56"/>
    <mergeCell ref="BQ56:BT56"/>
    <mergeCell ref="BU56:BY56"/>
    <mergeCell ref="AI56:AM56"/>
    <mergeCell ref="AN56:AR56"/>
    <mergeCell ref="AS56:AW56"/>
    <mergeCell ref="AX56:BA56"/>
    <mergeCell ref="BB56:BF56"/>
    <mergeCell ref="BG56:BK56"/>
    <mergeCell ref="BB55:BF55"/>
    <mergeCell ref="BG55:BK55"/>
    <mergeCell ref="BL55:BP55"/>
    <mergeCell ref="BQ55:BT55"/>
    <mergeCell ref="BU55:BY55"/>
    <mergeCell ref="A56:D56"/>
    <mergeCell ref="E56:T56"/>
    <mergeCell ref="U56:Y56"/>
    <mergeCell ref="Z56:AD56"/>
    <mergeCell ref="AE56:AH56"/>
    <mergeCell ref="BU54:BY54"/>
    <mergeCell ref="A55:D55"/>
    <mergeCell ref="E55:T55"/>
    <mergeCell ref="U55:Y55"/>
    <mergeCell ref="Z55:AD55"/>
    <mergeCell ref="AE55:AH55"/>
    <mergeCell ref="AI55:AM55"/>
    <mergeCell ref="AN55:AR55"/>
    <mergeCell ref="AS55:AW55"/>
    <mergeCell ref="AX55:BA55"/>
    <mergeCell ref="AS54:AW54"/>
    <mergeCell ref="AX54:BA54"/>
    <mergeCell ref="BB54:BF54"/>
    <mergeCell ref="BG54:BK54"/>
    <mergeCell ref="BL54:BP54"/>
    <mergeCell ref="BQ54:BT54"/>
    <mergeCell ref="BL53:BP53"/>
    <mergeCell ref="BQ53:BT53"/>
    <mergeCell ref="BU53:BY53"/>
    <mergeCell ref="A54:D54"/>
    <mergeCell ref="E54:T54"/>
    <mergeCell ref="U54:Y54"/>
    <mergeCell ref="Z54:AD54"/>
    <mergeCell ref="AE54:AH54"/>
    <mergeCell ref="AI54:AM54"/>
    <mergeCell ref="AN54:AR54"/>
    <mergeCell ref="AI53:AM53"/>
    <mergeCell ref="AN53:AR53"/>
    <mergeCell ref="AS53:AW53"/>
    <mergeCell ref="AX53:BA53"/>
    <mergeCell ref="BB53:BF53"/>
    <mergeCell ref="BG53:BK53"/>
    <mergeCell ref="BB52:BF52"/>
    <mergeCell ref="BG52:BK52"/>
    <mergeCell ref="BL52:BP52"/>
    <mergeCell ref="BQ52:BT52"/>
    <mergeCell ref="BU52:BY52"/>
    <mergeCell ref="A53:D53"/>
    <mergeCell ref="E53:T53"/>
    <mergeCell ref="U53:Y53"/>
    <mergeCell ref="Z53:AD53"/>
    <mergeCell ref="AE53:AH53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54:AA254"/>
    <mergeCell ref="AH254:AP254"/>
    <mergeCell ref="AU254:BF254"/>
    <mergeCell ref="AH255:AP255"/>
    <mergeCell ref="AU255:BF255"/>
    <mergeCell ref="A31:D31"/>
    <mergeCell ref="E31:T31"/>
    <mergeCell ref="U31:Y31"/>
    <mergeCell ref="Z31:AD31"/>
    <mergeCell ref="AE31:AH31"/>
    <mergeCell ref="A247:BL247"/>
    <mergeCell ref="A251:AA251"/>
    <mergeCell ref="AH251:AP251"/>
    <mergeCell ref="AU251:BF251"/>
    <mergeCell ref="AH252:AP252"/>
    <mergeCell ref="AU252:BF252"/>
    <mergeCell ref="AW239:BD239"/>
    <mergeCell ref="BE239:BL239"/>
    <mergeCell ref="A241:BL241"/>
    <mergeCell ref="A242:BL242"/>
    <mergeCell ref="A245:BL245"/>
    <mergeCell ref="A246:BL246"/>
    <mergeCell ref="AQ238:AV238"/>
    <mergeCell ref="AW238:BD238"/>
    <mergeCell ref="BE238:BL238"/>
    <mergeCell ref="A239:F239"/>
    <mergeCell ref="G239:S239"/>
    <mergeCell ref="T239:Y239"/>
    <mergeCell ref="Z239:AD239"/>
    <mergeCell ref="AE239:AJ239"/>
    <mergeCell ref="AK239:AP239"/>
    <mergeCell ref="AQ239:AV239"/>
    <mergeCell ref="A238:F238"/>
    <mergeCell ref="G238:S238"/>
    <mergeCell ref="T238:Y238"/>
    <mergeCell ref="Z238:AD238"/>
    <mergeCell ref="AE238:AJ238"/>
    <mergeCell ref="AK238:AP238"/>
    <mergeCell ref="BE235:BL236"/>
    <mergeCell ref="A237:F237"/>
    <mergeCell ref="G237:S237"/>
    <mergeCell ref="T237:Y237"/>
    <mergeCell ref="Z237:AD237"/>
    <mergeCell ref="AE237:AJ237"/>
    <mergeCell ref="AK237:AP237"/>
    <mergeCell ref="AQ237:AV237"/>
    <mergeCell ref="AW237:BD237"/>
    <mergeCell ref="BE237:BL237"/>
    <mergeCell ref="A233:BL233"/>
    <mergeCell ref="A234:BL234"/>
    <mergeCell ref="A235:F236"/>
    <mergeCell ref="G235:S236"/>
    <mergeCell ref="T235:Y236"/>
    <mergeCell ref="Z235:AD236"/>
    <mergeCell ref="AE235:AJ236"/>
    <mergeCell ref="AK235:AP236"/>
    <mergeCell ref="AQ235:AV236"/>
    <mergeCell ref="AW235:BD236"/>
    <mergeCell ref="AJ231:AN231"/>
    <mergeCell ref="AO231:AS231"/>
    <mergeCell ref="AT231:AW231"/>
    <mergeCell ref="AX231:BB231"/>
    <mergeCell ref="BC231:BG231"/>
    <mergeCell ref="BH231:BL231"/>
    <mergeCell ref="A231:F231"/>
    <mergeCell ref="G231:P231"/>
    <mergeCell ref="Q231:U231"/>
    <mergeCell ref="V231:Y231"/>
    <mergeCell ref="Z231:AD231"/>
    <mergeCell ref="AE231:AI231"/>
    <mergeCell ref="AJ230:AN230"/>
    <mergeCell ref="AO230:AS230"/>
    <mergeCell ref="AT230:AW230"/>
    <mergeCell ref="AX230:BB230"/>
    <mergeCell ref="BC230:BG230"/>
    <mergeCell ref="BH230:BL230"/>
    <mergeCell ref="A230:F230"/>
    <mergeCell ref="G230:P230"/>
    <mergeCell ref="Q230:U230"/>
    <mergeCell ref="V230:Y230"/>
    <mergeCell ref="Z230:AD230"/>
    <mergeCell ref="AE230:AI230"/>
    <mergeCell ref="AJ229:AN229"/>
    <mergeCell ref="AO229:AS229"/>
    <mergeCell ref="AT229:AW229"/>
    <mergeCell ref="AX229:BB229"/>
    <mergeCell ref="BC229:BG229"/>
    <mergeCell ref="BH229:BL229"/>
    <mergeCell ref="A229:F229"/>
    <mergeCell ref="G229:P229"/>
    <mergeCell ref="Q229:U229"/>
    <mergeCell ref="V229:Y229"/>
    <mergeCell ref="Z229:AD229"/>
    <mergeCell ref="AE229:AI229"/>
    <mergeCell ref="AT227:AW228"/>
    <mergeCell ref="AX227:BG227"/>
    <mergeCell ref="BH227:BL228"/>
    <mergeCell ref="Z228:AD228"/>
    <mergeCell ref="AE228:AI228"/>
    <mergeCell ref="AX228:BB228"/>
    <mergeCell ref="BC228:BG228"/>
    <mergeCell ref="A225:BL225"/>
    <mergeCell ref="A226:F228"/>
    <mergeCell ref="G226:P228"/>
    <mergeCell ref="Q226:AN226"/>
    <mergeCell ref="AO226:BL226"/>
    <mergeCell ref="Q227:U228"/>
    <mergeCell ref="V227:Y228"/>
    <mergeCell ref="Z227:AI227"/>
    <mergeCell ref="AJ227:AN228"/>
    <mergeCell ref="AO227:AS228"/>
    <mergeCell ref="AK222:AP222"/>
    <mergeCell ref="AQ222:AV222"/>
    <mergeCell ref="AW222:BA222"/>
    <mergeCell ref="BB222:BF222"/>
    <mergeCell ref="BG222:BL222"/>
    <mergeCell ref="A224:BL224"/>
    <mergeCell ref="AK221:AP221"/>
    <mergeCell ref="AQ221:AV221"/>
    <mergeCell ref="AW221:BA221"/>
    <mergeCell ref="BB221:BF221"/>
    <mergeCell ref="BG221:BL221"/>
    <mergeCell ref="A222:F222"/>
    <mergeCell ref="G222:S222"/>
    <mergeCell ref="T222:Y222"/>
    <mergeCell ref="Z222:AD222"/>
    <mergeCell ref="AE222:AJ222"/>
    <mergeCell ref="AK220:AP220"/>
    <mergeCell ref="AQ220:AV220"/>
    <mergeCell ref="AW220:BA220"/>
    <mergeCell ref="BB220:BF220"/>
    <mergeCell ref="BG220:BL220"/>
    <mergeCell ref="A221:F221"/>
    <mergeCell ref="G221:S221"/>
    <mergeCell ref="T221:Y221"/>
    <mergeCell ref="Z221:AD221"/>
    <mergeCell ref="AE221:AJ221"/>
    <mergeCell ref="AQ218:AV219"/>
    <mergeCell ref="AW218:BF218"/>
    <mergeCell ref="BG218:BL219"/>
    <mergeCell ref="AW219:BA219"/>
    <mergeCell ref="BB219:BF219"/>
    <mergeCell ref="A220:F220"/>
    <mergeCell ref="G220:S220"/>
    <mergeCell ref="T220:Y220"/>
    <mergeCell ref="Z220:AD220"/>
    <mergeCell ref="AE220:AJ220"/>
    <mergeCell ref="A218:F219"/>
    <mergeCell ref="G218:S219"/>
    <mergeCell ref="T218:Y219"/>
    <mergeCell ref="Z218:AD219"/>
    <mergeCell ref="AE218:AJ219"/>
    <mergeCell ref="AK218:AP219"/>
    <mergeCell ref="BP208:BS208"/>
    <mergeCell ref="A211:BL211"/>
    <mergeCell ref="A212:BL212"/>
    <mergeCell ref="A215:BL215"/>
    <mergeCell ref="A216:BL216"/>
    <mergeCell ref="A217:BL217"/>
    <mergeCell ref="AO208:AR208"/>
    <mergeCell ref="AS208:AW208"/>
    <mergeCell ref="AX208:BA208"/>
    <mergeCell ref="BB208:BF208"/>
    <mergeCell ref="BG208:BJ208"/>
    <mergeCell ref="BK208:BO208"/>
    <mergeCell ref="BB207:BF207"/>
    <mergeCell ref="BG207:BJ207"/>
    <mergeCell ref="BK207:BO207"/>
    <mergeCell ref="BP207:BS207"/>
    <mergeCell ref="A208:M208"/>
    <mergeCell ref="N208:U208"/>
    <mergeCell ref="V208:Z208"/>
    <mergeCell ref="AA208:AE208"/>
    <mergeCell ref="AF208:AI208"/>
    <mergeCell ref="AJ208:AN208"/>
    <mergeCell ref="BP206:BS206"/>
    <mergeCell ref="A207:M207"/>
    <mergeCell ref="N207:U207"/>
    <mergeCell ref="V207:Z207"/>
    <mergeCell ref="AA207:AE207"/>
    <mergeCell ref="AF207:AI207"/>
    <mergeCell ref="AJ207:AN207"/>
    <mergeCell ref="AO207:AR207"/>
    <mergeCell ref="AS207:AW207"/>
    <mergeCell ref="AX207:BA207"/>
    <mergeCell ref="AO206:AR206"/>
    <mergeCell ref="AS206:AW206"/>
    <mergeCell ref="AX206:BA206"/>
    <mergeCell ref="BB206:BF206"/>
    <mergeCell ref="BG206:BJ206"/>
    <mergeCell ref="BK206:BO206"/>
    <mergeCell ref="BB205:BF205"/>
    <mergeCell ref="BG205:BJ205"/>
    <mergeCell ref="BK205:BO205"/>
    <mergeCell ref="BP205:BS205"/>
    <mergeCell ref="A206:M206"/>
    <mergeCell ref="N206:U206"/>
    <mergeCell ref="V206:Z206"/>
    <mergeCell ref="AA206:AE206"/>
    <mergeCell ref="AF206:AI206"/>
    <mergeCell ref="AJ206:AN206"/>
    <mergeCell ref="AA205:AE205"/>
    <mergeCell ref="AF205:AI205"/>
    <mergeCell ref="AJ205:AN205"/>
    <mergeCell ref="AO205:AR205"/>
    <mergeCell ref="AS205:AW205"/>
    <mergeCell ref="AX205:BA205"/>
    <mergeCell ref="A202:BL202"/>
    <mergeCell ref="A203:BM203"/>
    <mergeCell ref="A204:M205"/>
    <mergeCell ref="N204:U205"/>
    <mergeCell ref="V204:Z205"/>
    <mergeCell ref="AA204:AI204"/>
    <mergeCell ref="AJ204:AR204"/>
    <mergeCell ref="AS204:BA204"/>
    <mergeCell ref="BB204:BJ204"/>
    <mergeCell ref="BK204:BS204"/>
    <mergeCell ref="AZ198:BD198"/>
    <mergeCell ref="A199:F199"/>
    <mergeCell ref="G199:S199"/>
    <mergeCell ref="T199:Z199"/>
    <mergeCell ref="AA199:AE199"/>
    <mergeCell ref="AF199:AJ199"/>
    <mergeCell ref="AK199:AO199"/>
    <mergeCell ref="AP199:AT199"/>
    <mergeCell ref="AU199:AY199"/>
    <mergeCell ref="AZ199:BD199"/>
    <mergeCell ref="AU197:AY197"/>
    <mergeCell ref="AZ197:BD197"/>
    <mergeCell ref="A198:F198"/>
    <mergeCell ref="G198:S198"/>
    <mergeCell ref="T198:Z198"/>
    <mergeCell ref="AA198:AE198"/>
    <mergeCell ref="AF198:AJ198"/>
    <mergeCell ref="AK198:AO198"/>
    <mergeCell ref="AP198:AT198"/>
    <mergeCell ref="AU198:AY198"/>
    <mergeCell ref="AP196:AT196"/>
    <mergeCell ref="AU196:AY196"/>
    <mergeCell ref="AZ196:BD196"/>
    <mergeCell ref="A197:F197"/>
    <mergeCell ref="G197:S197"/>
    <mergeCell ref="T197:Z197"/>
    <mergeCell ref="AA197:AE197"/>
    <mergeCell ref="AF197:AJ197"/>
    <mergeCell ref="AK197:AO197"/>
    <mergeCell ref="AP197:AT197"/>
    <mergeCell ref="A193:BL193"/>
    <mergeCell ref="A194:BD194"/>
    <mergeCell ref="A195:F196"/>
    <mergeCell ref="G195:S196"/>
    <mergeCell ref="T195:Z196"/>
    <mergeCell ref="AA195:AO195"/>
    <mergeCell ref="AP195:BD195"/>
    <mergeCell ref="AA196:AE196"/>
    <mergeCell ref="AF196:AJ196"/>
    <mergeCell ref="AK196:AO196"/>
    <mergeCell ref="AP191:AT191"/>
    <mergeCell ref="AU191:AY191"/>
    <mergeCell ref="AZ191:BD191"/>
    <mergeCell ref="BE191:BI191"/>
    <mergeCell ref="BJ191:BN191"/>
    <mergeCell ref="BO191:BS191"/>
    <mergeCell ref="A191:F191"/>
    <mergeCell ref="G191:S191"/>
    <mergeCell ref="T191:Z191"/>
    <mergeCell ref="AA191:AE191"/>
    <mergeCell ref="AF191:AJ191"/>
    <mergeCell ref="AK191:AO191"/>
    <mergeCell ref="AP190:AT190"/>
    <mergeCell ref="AU190:AY190"/>
    <mergeCell ref="AZ190:BD190"/>
    <mergeCell ref="BE190:BI190"/>
    <mergeCell ref="BJ190:BN190"/>
    <mergeCell ref="BO190:BS190"/>
    <mergeCell ref="A190:F190"/>
    <mergeCell ref="G190:S190"/>
    <mergeCell ref="T190:Z190"/>
    <mergeCell ref="AA190:AE190"/>
    <mergeCell ref="AF190:AJ190"/>
    <mergeCell ref="AK190:AO190"/>
    <mergeCell ref="AP189:AT189"/>
    <mergeCell ref="AU189:AY189"/>
    <mergeCell ref="AZ189:BD189"/>
    <mergeCell ref="BE189:BI189"/>
    <mergeCell ref="BJ189:BN189"/>
    <mergeCell ref="BO189:BS189"/>
    <mergeCell ref="A189:F189"/>
    <mergeCell ref="G189:S189"/>
    <mergeCell ref="T189:Z189"/>
    <mergeCell ref="AA189:AE189"/>
    <mergeCell ref="AF189:AJ189"/>
    <mergeCell ref="AK189:AO189"/>
    <mergeCell ref="AP188:AT188"/>
    <mergeCell ref="AU188:AY188"/>
    <mergeCell ref="AZ188:BD188"/>
    <mergeCell ref="BE188:BI188"/>
    <mergeCell ref="BJ188:BN188"/>
    <mergeCell ref="BO188:BS188"/>
    <mergeCell ref="A186:BS186"/>
    <mergeCell ref="A187:F188"/>
    <mergeCell ref="G187:S188"/>
    <mergeCell ref="T187:Z188"/>
    <mergeCell ref="AA187:AO187"/>
    <mergeCell ref="AP187:BD187"/>
    <mergeCell ref="BE187:BS187"/>
    <mergeCell ref="AA188:AE188"/>
    <mergeCell ref="AF188:AJ188"/>
    <mergeCell ref="AK188:AO188"/>
    <mergeCell ref="BA178:BC178"/>
    <mergeCell ref="BD178:BF178"/>
    <mergeCell ref="BG178:BI178"/>
    <mergeCell ref="BJ178:BL178"/>
    <mergeCell ref="A184:BL184"/>
    <mergeCell ref="A185:BS185"/>
    <mergeCell ref="A179:C179"/>
    <mergeCell ref="D179:V179"/>
    <mergeCell ref="W179:Y179"/>
    <mergeCell ref="Z179:AB179"/>
    <mergeCell ref="AI178:AK178"/>
    <mergeCell ref="AL178:AN178"/>
    <mergeCell ref="AO178:AQ178"/>
    <mergeCell ref="AR178:AT178"/>
    <mergeCell ref="AU178:AW178"/>
    <mergeCell ref="AX178:AZ178"/>
    <mergeCell ref="BA177:BC177"/>
    <mergeCell ref="BD177:BF177"/>
    <mergeCell ref="BG177:BI177"/>
    <mergeCell ref="BJ177:BL177"/>
    <mergeCell ref="A178:C178"/>
    <mergeCell ref="D178:V178"/>
    <mergeCell ref="W178:Y178"/>
    <mergeCell ref="Z178:AB178"/>
    <mergeCell ref="AC178:AE178"/>
    <mergeCell ref="AF178:AH178"/>
    <mergeCell ref="AI177:AK177"/>
    <mergeCell ref="AL177:AN177"/>
    <mergeCell ref="AO177:AQ177"/>
    <mergeCell ref="AR177:AT177"/>
    <mergeCell ref="AU177:AW177"/>
    <mergeCell ref="AX177:AZ177"/>
    <mergeCell ref="BA176:BC176"/>
    <mergeCell ref="BD176:BF176"/>
    <mergeCell ref="BG176:BI176"/>
    <mergeCell ref="BJ176:BL176"/>
    <mergeCell ref="A177:C177"/>
    <mergeCell ref="D177:V177"/>
    <mergeCell ref="W177:Y177"/>
    <mergeCell ref="Z177:AB177"/>
    <mergeCell ref="AC177:AE177"/>
    <mergeCell ref="AF177:AH177"/>
    <mergeCell ref="AI176:AK176"/>
    <mergeCell ref="AL176:AN176"/>
    <mergeCell ref="AO176:AQ176"/>
    <mergeCell ref="AR176:AT176"/>
    <mergeCell ref="AU176:AW176"/>
    <mergeCell ref="AX176:AZ176"/>
    <mergeCell ref="A176:C176"/>
    <mergeCell ref="D176:V176"/>
    <mergeCell ref="W176:Y176"/>
    <mergeCell ref="Z176:AB176"/>
    <mergeCell ref="AC176:AE176"/>
    <mergeCell ref="AF176:AH176"/>
    <mergeCell ref="BJ174:BL175"/>
    <mergeCell ref="W175:Y175"/>
    <mergeCell ref="Z175:AB175"/>
    <mergeCell ref="AC175:AE175"/>
    <mergeCell ref="AF175:AH175"/>
    <mergeCell ref="AI175:AK175"/>
    <mergeCell ref="AL175:AN175"/>
    <mergeCell ref="AO175:AQ175"/>
    <mergeCell ref="AR175:AT175"/>
    <mergeCell ref="BG173:BL173"/>
    <mergeCell ref="W174:AB174"/>
    <mergeCell ref="AC174:AH174"/>
    <mergeCell ref="AI174:AN174"/>
    <mergeCell ref="AO174:AT174"/>
    <mergeCell ref="AU174:AW175"/>
    <mergeCell ref="AX174:AZ175"/>
    <mergeCell ref="BA174:BC175"/>
    <mergeCell ref="BD174:BF175"/>
    <mergeCell ref="BG174:BI175"/>
    <mergeCell ref="A173:C175"/>
    <mergeCell ref="D173:V175"/>
    <mergeCell ref="W173:AH173"/>
    <mergeCell ref="AI173:AT173"/>
    <mergeCell ref="AU173:AZ173"/>
    <mergeCell ref="BA173:BF173"/>
    <mergeCell ref="AT160:AX160"/>
    <mergeCell ref="AY160:BC160"/>
    <mergeCell ref="BD160:BH160"/>
    <mergeCell ref="BI160:BM160"/>
    <mergeCell ref="BN160:BR160"/>
    <mergeCell ref="A172:BL172"/>
    <mergeCell ref="AT161:AX161"/>
    <mergeCell ref="AY161:BC161"/>
    <mergeCell ref="BD161:BH161"/>
    <mergeCell ref="BI161:BM161"/>
    <mergeCell ref="A160:T160"/>
    <mergeCell ref="U160:Y160"/>
    <mergeCell ref="Z160:AD160"/>
    <mergeCell ref="AE160:AI160"/>
    <mergeCell ref="AJ160:AN160"/>
    <mergeCell ref="AO160:AS160"/>
    <mergeCell ref="AO159:AS159"/>
    <mergeCell ref="AT159:AX159"/>
    <mergeCell ref="AY159:BC159"/>
    <mergeCell ref="BD159:BH159"/>
    <mergeCell ref="BI159:BM159"/>
    <mergeCell ref="BN159:BR159"/>
    <mergeCell ref="AT158:AX158"/>
    <mergeCell ref="AY158:BC158"/>
    <mergeCell ref="BD158:BH158"/>
    <mergeCell ref="BI158:BM158"/>
    <mergeCell ref="BN158:BR158"/>
    <mergeCell ref="A159:T159"/>
    <mergeCell ref="U159:Y159"/>
    <mergeCell ref="Z159:AD159"/>
    <mergeCell ref="AE159:AI159"/>
    <mergeCell ref="AJ159:AN159"/>
    <mergeCell ref="A158:T158"/>
    <mergeCell ref="U158:Y158"/>
    <mergeCell ref="Z158:AD158"/>
    <mergeCell ref="AE158:AI158"/>
    <mergeCell ref="AJ158:AN158"/>
    <mergeCell ref="AO158:AS158"/>
    <mergeCell ref="AO157:AS157"/>
    <mergeCell ref="AT157:AX157"/>
    <mergeCell ref="AY157:BC157"/>
    <mergeCell ref="BD157:BH157"/>
    <mergeCell ref="BI157:BM157"/>
    <mergeCell ref="BN157:BR157"/>
    <mergeCell ref="A156:T157"/>
    <mergeCell ref="U156:AD156"/>
    <mergeCell ref="AE156:AN156"/>
    <mergeCell ref="AO156:AX156"/>
    <mergeCell ref="AY156:BH156"/>
    <mergeCell ref="BI156:BR156"/>
    <mergeCell ref="U157:Y157"/>
    <mergeCell ref="Z157:AD157"/>
    <mergeCell ref="AE157:AI157"/>
    <mergeCell ref="AJ157:AN157"/>
    <mergeCell ref="AP142:AT142"/>
    <mergeCell ref="AU142:AY142"/>
    <mergeCell ref="AZ142:BD142"/>
    <mergeCell ref="BE142:BI142"/>
    <mergeCell ref="A154:BL154"/>
    <mergeCell ref="A155:BR155"/>
    <mergeCell ref="AP143:AT143"/>
    <mergeCell ref="AU143:AY143"/>
    <mergeCell ref="AZ143:BD143"/>
    <mergeCell ref="BE143:BI143"/>
    <mergeCell ref="AP141:AT141"/>
    <mergeCell ref="AU141:AY141"/>
    <mergeCell ref="AZ141:BD141"/>
    <mergeCell ref="BE141:BI141"/>
    <mergeCell ref="A142:C142"/>
    <mergeCell ref="D142:P142"/>
    <mergeCell ref="Q142:U142"/>
    <mergeCell ref="V142:AE142"/>
    <mergeCell ref="AF142:AJ142"/>
    <mergeCell ref="AK142:AO142"/>
    <mergeCell ref="AP140:AT140"/>
    <mergeCell ref="AU140:AY140"/>
    <mergeCell ref="AZ140:BD140"/>
    <mergeCell ref="BE140:BI140"/>
    <mergeCell ref="A141:C141"/>
    <mergeCell ref="D141:P141"/>
    <mergeCell ref="Q141:U141"/>
    <mergeCell ref="V141:AE141"/>
    <mergeCell ref="AF141:AJ141"/>
    <mergeCell ref="AK141:AO141"/>
    <mergeCell ref="AP139:AT139"/>
    <mergeCell ref="AU139:AY139"/>
    <mergeCell ref="AZ139:BD139"/>
    <mergeCell ref="BE139:BI139"/>
    <mergeCell ref="A140:C140"/>
    <mergeCell ref="D140:P140"/>
    <mergeCell ref="Q140:U140"/>
    <mergeCell ref="V140:AE140"/>
    <mergeCell ref="AF140:AJ140"/>
    <mergeCell ref="AK140:AO140"/>
    <mergeCell ref="BT125:BX125"/>
    <mergeCell ref="A137:BL137"/>
    <mergeCell ref="A138:C139"/>
    <mergeCell ref="D138:P139"/>
    <mergeCell ref="Q138:U139"/>
    <mergeCell ref="V138:AE139"/>
    <mergeCell ref="AF138:AT138"/>
    <mergeCell ref="AU138:BI138"/>
    <mergeCell ref="AF139:AJ139"/>
    <mergeCell ref="AK139:AO139"/>
    <mergeCell ref="AP125:AT125"/>
    <mergeCell ref="AU125:AY125"/>
    <mergeCell ref="AZ125:BD125"/>
    <mergeCell ref="BE125:BI125"/>
    <mergeCell ref="BJ125:BN125"/>
    <mergeCell ref="BO125:BS125"/>
    <mergeCell ref="BE124:BI124"/>
    <mergeCell ref="BJ124:BN124"/>
    <mergeCell ref="BO124:BS124"/>
    <mergeCell ref="BT124:BX124"/>
    <mergeCell ref="A125:C125"/>
    <mergeCell ref="D125:P125"/>
    <mergeCell ref="Q125:U125"/>
    <mergeCell ref="V125:AE125"/>
    <mergeCell ref="AF125:AJ125"/>
    <mergeCell ref="AK125:AO125"/>
    <mergeCell ref="BT123:BX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P123:AT123"/>
    <mergeCell ref="AU123:AY123"/>
    <mergeCell ref="AZ123:BD123"/>
    <mergeCell ref="BE123:BI123"/>
    <mergeCell ref="BJ123:BN123"/>
    <mergeCell ref="BO123:BS123"/>
    <mergeCell ref="A123:C123"/>
    <mergeCell ref="D123:P123"/>
    <mergeCell ref="Q123:U123"/>
    <mergeCell ref="V123:AE123"/>
    <mergeCell ref="AF123:AJ123"/>
    <mergeCell ref="AK123:AO123"/>
    <mergeCell ref="BJ121:BX121"/>
    <mergeCell ref="AF122:AJ122"/>
    <mergeCell ref="AK122:AO122"/>
    <mergeCell ref="AP122:AT122"/>
    <mergeCell ref="AU122:AY122"/>
    <mergeCell ref="AZ122:BD122"/>
    <mergeCell ref="BE122:BI122"/>
    <mergeCell ref="BJ122:BN122"/>
    <mergeCell ref="BO122:BS122"/>
    <mergeCell ref="BT122:BX122"/>
    <mergeCell ref="A121:C122"/>
    <mergeCell ref="D121:P122"/>
    <mergeCell ref="Q121:U122"/>
    <mergeCell ref="V121:AE122"/>
    <mergeCell ref="AF121:AT121"/>
    <mergeCell ref="AU121:BI121"/>
    <mergeCell ref="AO110:AS110"/>
    <mergeCell ref="AT110:AX110"/>
    <mergeCell ref="AY110:BC110"/>
    <mergeCell ref="BD110:BH110"/>
    <mergeCell ref="A119:BL119"/>
    <mergeCell ref="A120:BL120"/>
    <mergeCell ref="AJ111:AN111"/>
    <mergeCell ref="AO111:AS111"/>
    <mergeCell ref="AT111:AX111"/>
    <mergeCell ref="AY111:BC111"/>
    <mergeCell ref="AO109:AS109"/>
    <mergeCell ref="AT109:AX109"/>
    <mergeCell ref="AY109:BC109"/>
    <mergeCell ref="BD109:BH109"/>
    <mergeCell ref="A110:C110"/>
    <mergeCell ref="D110:T110"/>
    <mergeCell ref="U110:Y110"/>
    <mergeCell ref="Z110:AD110"/>
    <mergeCell ref="AE110:AI110"/>
    <mergeCell ref="AJ110:AN110"/>
    <mergeCell ref="AO108:AS108"/>
    <mergeCell ref="AT108:AX108"/>
    <mergeCell ref="AY108:BC108"/>
    <mergeCell ref="BD108:BH108"/>
    <mergeCell ref="A109:C109"/>
    <mergeCell ref="D109:T109"/>
    <mergeCell ref="U109:Y109"/>
    <mergeCell ref="Z109:AD109"/>
    <mergeCell ref="AE109:AI109"/>
    <mergeCell ref="AJ109:AN109"/>
    <mergeCell ref="A108:C108"/>
    <mergeCell ref="D108:T108"/>
    <mergeCell ref="U108:Y108"/>
    <mergeCell ref="Z108:AD108"/>
    <mergeCell ref="AE108:AI108"/>
    <mergeCell ref="AJ108:AN108"/>
    <mergeCell ref="AE107:AI107"/>
    <mergeCell ref="AJ107:AN107"/>
    <mergeCell ref="AO107:AS107"/>
    <mergeCell ref="AT107:AX107"/>
    <mergeCell ref="AY107:BC107"/>
    <mergeCell ref="BD107:BH107"/>
    <mergeCell ref="BQ96:BT96"/>
    <mergeCell ref="BU96:BY96"/>
    <mergeCell ref="A104:BL104"/>
    <mergeCell ref="A105:BH105"/>
    <mergeCell ref="A106:C107"/>
    <mergeCell ref="D106:T107"/>
    <mergeCell ref="U106:AN106"/>
    <mergeCell ref="AO106:BH106"/>
    <mergeCell ref="U107:Y107"/>
    <mergeCell ref="Z107:AD107"/>
    <mergeCell ref="AN96:AR96"/>
    <mergeCell ref="AS96:AW96"/>
    <mergeCell ref="AX96:BA96"/>
    <mergeCell ref="BB96:BF96"/>
    <mergeCell ref="BG96:BK96"/>
    <mergeCell ref="BL96:BP96"/>
    <mergeCell ref="A96:C96"/>
    <mergeCell ref="D96:T96"/>
    <mergeCell ref="U96:Y96"/>
    <mergeCell ref="Z96:AD96"/>
    <mergeCell ref="AE96:AH96"/>
    <mergeCell ref="AI96:AM96"/>
    <mergeCell ref="AX95:BA95"/>
    <mergeCell ref="BB95:BF95"/>
    <mergeCell ref="BG95:BK95"/>
    <mergeCell ref="BL95:BP95"/>
    <mergeCell ref="BQ95:BT95"/>
    <mergeCell ref="BU95:BY95"/>
    <mergeCell ref="BQ94:BT94"/>
    <mergeCell ref="BU94:BY94"/>
    <mergeCell ref="A95:C95"/>
    <mergeCell ref="D95:T95"/>
    <mergeCell ref="U95:Y95"/>
    <mergeCell ref="Z95:AD95"/>
    <mergeCell ref="AE95:AH95"/>
    <mergeCell ref="AI95:AM95"/>
    <mergeCell ref="AN95:AR95"/>
    <mergeCell ref="AS95:AW95"/>
    <mergeCell ref="AN94:AR94"/>
    <mergeCell ref="AS94:AW94"/>
    <mergeCell ref="AX94:BA94"/>
    <mergeCell ref="BB94:BF94"/>
    <mergeCell ref="BG94:BK94"/>
    <mergeCell ref="BL94:BP94"/>
    <mergeCell ref="A94:C94"/>
    <mergeCell ref="D94:T94"/>
    <mergeCell ref="U94:Y94"/>
    <mergeCell ref="Z94:AD94"/>
    <mergeCell ref="AE94:AH94"/>
    <mergeCell ref="AI94:AM94"/>
    <mergeCell ref="AX93:BA93"/>
    <mergeCell ref="BB93:BF93"/>
    <mergeCell ref="BG93:BK93"/>
    <mergeCell ref="BL93:BP93"/>
    <mergeCell ref="BQ93:BT93"/>
    <mergeCell ref="BU93:BY93"/>
    <mergeCell ref="U93:Y93"/>
    <mergeCell ref="Z93:AD93"/>
    <mergeCell ref="AE93:AH93"/>
    <mergeCell ref="AI93:AM93"/>
    <mergeCell ref="AN93:AR93"/>
    <mergeCell ref="AS93:AW93"/>
    <mergeCell ref="BB86:BF86"/>
    <mergeCell ref="BG86:BK86"/>
    <mergeCell ref="A89:BL89"/>
    <mergeCell ref="A90:BL90"/>
    <mergeCell ref="A91:BY91"/>
    <mergeCell ref="A92:C93"/>
    <mergeCell ref="D92:T93"/>
    <mergeCell ref="U92:AM92"/>
    <mergeCell ref="AN92:BF92"/>
    <mergeCell ref="BG92:BY92"/>
    <mergeCell ref="BB85:BF85"/>
    <mergeCell ref="BG85:BK85"/>
    <mergeCell ref="A86:E86"/>
    <mergeCell ref="F86:W86"/>
    <mergeCell ref="X86:AB86"/>
    <mergeCell ref="AC86:AG86"/>
    <mergeCell ref="AH86:AL86"/>
    <mergeCell ref="AM86:AQ86"/>
    <mergeCell ref="AR86:AV86"/>
    <mergeCell ref="AW86:BA86"/>
    <mergeCell ref="BB84:BF84"/>
    <mergeCell ref="BG84:BK84"/>
    <mergeCell ref="A85:E85"/>
    <mergeCell ref="F85:W85"/>
    <mergeCell ref="X85:AB85"/>
    <mergeCell ref="AC85:AG85"/>
    <mergeCell ref="AH85:AL85"/>
    <mergeCell ref="AM85:AQ85"/>
    <mergeCell ref="AR85:AV85"/>
    <mergeCell ref="AW85:BA85"/>
    <mergeCell ref="BB83:BF83"/>
    <mergeCell ref="BG83:BK83"/>
    <mergeCell ref="A84:E84"/>
    <mergeCell ref="F84:W84"/>
    <mergeCell ref="X84:AB84"/>
    <mergeCell ref="AC84:AG84"/>
    <mergeCell ref="AH84:AL84"/>
    <mergeCell ref="AM84:AQ84"/>
    <mergeCell ref="AR84:AV84"/>
    <mergeCell ref="AW84:BA84"/>
    <mergeCell ref="A82:E83"/>
    <mergeCell ref="F82:W83"/>
    <mergeCell ref="X82:AQ82"/>
    <mergeCell ref="AR82:BK82"/>
    <mergeCell ref="X83:AB83"/>
    <mergeCell ref="AC83:AG83"/>
    <mergeCell ref="AH83:AL83"/>
    <mergeCell ref="AM83:AQ83"/>
    <mergeCell ref="AR83:AV83"/>
    <mergeCell ref="AW83:BA83"/>
    <mergeCell ref="AR72:AV72"/>
    <mergeCell ref="AW72:BA72"/>
    <mergeCell ref="BB72:BF72"/>
    <mergeCell ref="BG72:BK72"/>
    <mergeCell ref="A80:BL80"/>
    <mergeCell ref="A81:BK81"/>
    <mergeCell ref="AM73:AQ73"/>
    <mergeCell ref="AR73:AV73"/>
    <mergeCell ref="AW73:BA73"/>
    <mergeCell ref="BB73:BF73"/>
    <mergeCell ref="AR71:AV71"/>
    <mergeCell ref="AW71:BA71"/>
    <mergeCell ref="BB71:BF71"/>
    <mergeCell ref="BG71:BK71"/>
    <mergeCell ref="A72:D72"/>
    <mergeCell ref="E72:W72"/>
    <mergeCell ref="X72:AB72"/>
    <mergeCell ref="AC72:AG72"/>
    <mergeCell ref="AH72:AL72"/>
    <mergeCell ref="AM72:AQ72"/>
    <mergeCell ref="AR70:AV70"/>
    <mergeCell ref="AW70:BA70"/>
    <mergeCell ref="BB70:BF70"/>
    <mergeCell ref="BG70:BK70"/>
    <mergeCell ref="A71:D71"/>
    <mergeCell ref="E71:W71"/>
    <mergeCell ref="X71:AB71"/>
    <mergeCell ref="AC71:AG71"/>
    <mergeCell ref="AH71:AL71"/>
    <mergeCell ref="AM71:AQ71"/>
    <mergeCell ref="A70:D70"/>
    <mergeCell ref="E70:W70"/>
    <mergeCell ref="X70:AB70"/>
    <mergeCell ref="AC70:AG70"/>
    <mergeCell ref="AH70:AL70"/>
    <mergeCell ref="AM70:AQ70"/>
    <mergeCell ref="AH69:AL69"/>
    <mergeCell ref="AM69:AQ69"/>
    <mergeCell ref="AR69:AV69"/>
    <mergeCell ref="AW69:BA69"/>
    <mergeCell ref="BB69:BF69"/>
    <mergeCell ref="BG69:BK69"/>
    <mergeCell ref="BQ64:BT64"/>
    <mergeCell ref="BU64:BY64"/>
    <mergeCell ref="A66:BL66"/>
    <mergeCell ref="A67:BK67"/>
    <mergeCell ref="A68:D69"/>
    <mergeCell ref="E68:W69"/>
    <mergeCell ref="X68:AQ68"/>
    <mergeCell ref="AR68:BK68"/>
    <mergeCell ref="X69:AB69"/>
    <mergeCell ref="AC69:AG69"/>
    <mergeCell ref="AN64:AR64"/>
    <mergeCell ref="AS64:AW64"/>
    <mergeCell ref="AX64:BA64"/>
    <mergeCell ref="BB64:BF64"/>
    <mergeCell ref="BG64:BK64"/>
    <mergeCell ref="BL64:BP64"/>
    <mergeCell ref="A64:E64"/>
    <mergeCell ref="F64:T64"/>
    <mergeCell ref="U64:Y64"/>
    <mergeCell ref="Z64:AD64"/>
    <mergeCell ref="AE64:AH64"/>
    <mergeCell ref="AI64:AM64"/>
    <mergeCell ref="AX63:BA63"/>
    <mergeCell ref="BB63:BF63"/>
    <mergeCell ref="BG63:BK63"/>
    <mergeCell ref="BL63:BP63"/>
    <mergeCell ref="BQ63:BT63"/>
    <mergeCell ref="BU63:BY63"/>
    <mergeCell ref="BQ62:BT62"/>
    <mergeCell ref="BU62:BY62"/>
    <mergeCell ref="A63:E63"/>
    <mergeCell ref="F63:T63"/>
    <mergeCell ref="U63:Y63"/>
    <mergeCell ref="Z63:AD63"/>
    <mergeCell ref="AE63:AH63"/>
    <mergeCell ref="AI63:AM63"/>
    <mergeCell ref="AN63:AR63"/>
    <mergeCell ref="AS63:AW63"/>
    <mergeCell ref="AN62:AR62"/>
    <mergeCell ref="AS62:AW62"/>
    <mergeCell ref="AX62:BA62"/>
    <mergeCell ref="BB62:BF62"/>
    <mergeCell ref="BG62:BK62"/>
    <mergeCell ref="BL62:BP62"/>
    <mergeCell ref="BG61:BK61"/>
    <mergeCell ref="BL61:BP61"/>
    <mergeCell ref="BQ61:BT61"/>
    <mergeCell ref="BU61:BY61"/>
    <mergeCell ref="A62:E62"/>
    <mergeCell ref="F62:T62"/>
    <mergeCell ref="U62:Y62"/>
    <mergeCell ref="Z62:AD62"/>
    <mergeCell ref="AE62:AH62"/>
    <mergeCell ref="AI62:AM62"/>
    <mergeCell ref="AE61:AH61"/>
    <mergeCell ref="AI61:AM61"/>
    <mergeCell ref="AN61:AR61"/>
    <mergeCell ref="AS61:AW61"/>
    <mergeCell ref="AX61:BA61"/>
    <mergeCell ref="BB61:BF61"/>
    <mergeCell ref="BU50:BY50"/>
    <mergeCell ref="A58:BL58"/>
    <mergeCell ref="A59:BY59"/>
    <mergeCell ref="A60:E61"/>
    <mergeCell ref="F60:T61"/>
    <mergeCell ref="U60:AM60"/>
    <mergeCell ref="AN60:BF60"/>
    <mergeCell ref="BG60:BY60"/>
    <mergeCell ref="U61:Y61"/>
    <mergeCell ref="Z61:AD61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96 A178 A110">
    <cfRule type="cellIs" dxfId="95" priority="63" stopIfTrue="1" operator="equal">
      <formula>A95</formula>
    </cfRule>
  </conditionalFormatting>
  <conditionalFormatting sqref="A125:C125 A142:C142">
    <cfRule type="cellIs" dxfId="94" priority="64" stopIfTrue="1" operator="equal">
      <formula>A124</formula>
    </cfRule>
    <cfRule type="cellIs" dxfId="93" priority="65" stopIfTrue="1" operator="equal">
      <formula>0</formula>
    </cfRule>
  </conditionalFormatting>
  <conditionalFormatting sqref="A97">
    <cfRule type="cellIs" dxfId="92" priority="62" stopIfTrue="1" operator="equal">
      <formula>A96</formula>
    </cfRule>
  </conditionalFormatting>
  <conditionalFormatting sqref="A98">
    <cfRule type="cellIs" dxfId="91" priority="61" stopIfTrue="1" operator="equal">
      <formula>A97</formula>
    </cfRule>
  </conditionalFormatting>
  <conditionalFormatting sqref="A99">
    <cfRule type="cellIs" dxfId="90" priority="60" stopIfTrue="1" operator="equal">
      <formula>A98</formula>
    </cfRule>
  </conditionalFormatting>
  <conditionalFormatting sqref="A100">
    <cfRule type="cellIs" dxfId="89" priority="59" stopIfTrue="1" operator="equal">
      <formula>A99</formula>
    </cfRule>
  </conditionalFormatting>
  <conditionalFormatting sqref="A101">
    <cfRule type="cellIs" dxfId="88" priority="58" stopIfTrue="1" operator="equal">
      <formula>A100</formula>
    </cfRule>
  </conditionalFormatting>
  <conditionalFormatting sqref="A102">
    <cfRule type="cellIs" dxfId="87" priority="57" stopIfTrue="1" operator="equal">
      <formula>A101</formula>
    </cfRule>
  </conditionalFormatting>
  <conditionalFormatting sqref="A117">
    <cfRule type="cellIs" dxfId="86" priority="67" stopIfTrue="1" operator="equal">
      <formula>A110</formula>
    </cfRule>
  </conditionalFormatting>
  <conditionalFormatting sqref="A111">
    <cfRule type="cellIs" dxfId="85" priority="55" stopIfTrue="1" operator="equal">
      <formula>A110</formula>
    </cfRule>
  </conditionalFormatting>
  <conditionalFormatting sqref="A112">
    <cfRule type="cellIs" dxfId="84" priority="54" stopIfTrue="1" operator="equal">
      <formula>A111</formula>
    </cfRule>
  </conditionalFormatting>
  <conditionalFormatting sqref="A113">
    <cfRule type="cellIs" dxfId="83" priority="53" stopIfTrue="1" operator="equal">
      <formula>A112</formula>
    </cfRule>
  </conditionalFormatting>
  <conditionalFormatting sqref="A114">
    <cfRule type="cellIs" dxfId="82" priority="52" stopIfTrue="1" operator="equal">
      <formula>A113</formula>
    </cfRule>
  </conditionalFormatting>
  <conditionalFormatting sqref="A115">
    <cfRule type="cellIs" dxfId="81" priority="51" stopIfTrue="1" operator="equal">
      <formula>A114</formula>
    </cfRule>
  </conditionalFormatting>
  <conditionalFormatting sqref="A116">
    <cfRule type="cellIs" dxfId="80" priority="50" stopIfTrue="1" operator="equal">
      <formula>A115</formula>
    </cfRule>
  </conditionalFormatting>
  <conditionalFormatting sqref="A179">
    <cfRule type="cellIs" dxfId="79" priority="4" stopIfTrue="1" operator="equal">
      <formula>A178</formula>
    </cfRule>
  </conditionalFormatting>
  <conditionalFormatting sqref="A126:C126">
    <cfRule type="cellIs" dxfId="78" priority="47" stopIfTrue="1" operator="equal">
      <formula>A125</formula>
    </cfRule>
    <cfRule type="cellIs" dxfId="77" priority="48" stopIfTrue="1" operator="equal">
      <formula>0</formula>
    </cfRule>
  </conditionalFormatting>
  <conditionalFormatting sqref="A127:C127">
    <cfRule type="cellIs" dxfId="76" priority="45" stopIfTrue="1" operator="equal">
      <formula>A126</formula>
    </cfRule>
    <cfRule type="cellIs" dxfId="75" priority="46" stopIfTrue="1" operator="equal">
      <formula>0</formula>
    </cfRule>
  </conditionalFormatting>
  <conditionalFormatting sqref="A128:C128">
    <cfRule type="cellIs" dxfId="74" priority="43" stopIfTrue="1" operator="equal">
      <formula>A127</formula>
    </cfRule>
    <cfRule type="cellIs" dxfId="73" priority="44" stopIfTrue="1" operator="equal">
      <formula>0</formula>
    </cfRule>
  </conditionalFormatting>
  <conditionalFormatting sqref="A129:C129">
    <cfRule type="cellIs" dxfId="72" priority="41" stopIfTrue="1" operator="equal">
      <formula>A128</formula>
    </cfRule>
    <cfRule type="cellIs" dxfId="71" priority="42" stopIfTrue="1" operator="equal">
      <formula>0</formula>
    </cfRule>
  </conditionalFormatting>
  <conditionalFormatting sqref="A130:C130">
    <cfRule type="cellIs" dxfId="70" priority="39" stopIfTrue="1" operator="equal">
      <formula>A129</formula>
    </cfRule>
    <cfRule type="cellIs" dxfId="69" priority="40" stopIfTrue="1" operator="equal">
      <formula>0</formula>
    </cfRule>
  </conditionalFormatting>
  <conditionalFormatting sqref="A131:C131">
    <cfRule type="cellIs" dxfId="68" priority="37" stopIfTrue="1" operator="equal">
      <formula>A130</formula>
    </cfRule>
    <cfRule type="cellIs" dxfId="67" priority="38" stopIfTrue="1" operator="equal">
      <formula>0</formula>
    </cfRule>
  </conditionalFormatting>
  <conditionalFormatting sqref="A132:C132">
    <cfRule type="cellIs" dxfId="66" priority="35" stopIfTrue="1" operator="equal">
      <formula>A131</formula>
    </cfRule>
    <cfRule type="cellIs" dxfId="65" priority="36" stopIfTrue="1" operator="equal">
      <formula>0</formula>
    </cfRule>
  </conditionalFormatting>
  <conditionalFormatting sqref="A133:C133">
    <cfRule type="cellIs" dxfId="64" priority="33" stopIfTrue="1" operator="equal">
      <formula>A132</formula>
    </cfRule>
    <cfRule type="cellIs" dxfId="63" priority="34" stopIfTrue="1" operator="equal">
      <formula>0</formula>
    </cfRule>
  </conditionalFormatting>
  <conditionalFormatting sqref="A134:C134">
    <cfRule type="cellIs" dxfId="62" priority="31" stopIfTrue="1" operator="equal">
      <formula>A133</formula>
    </cfRule>
    <cfRule type="cellIs" dxfId="61" priority="32" stopIfTrue="1" operator="equal">
      <formula>0</formula>
    </cfRule>
  </conditionalFormatting>
  <conditionalFormatting sqref="A135:C135">
    <cfRule type="cellIs" dxfId="60" priority="29" stopIfTrue="1" operator="equal">
      <formula>A134</formula>
    </cfRule>
    <cfRule type="cellIs" dxfId="59" priority="30" stopIfTrue="1" operator="equal">
      <formula>0</formula>
    </cfRule>
  </conditionalFormatting>
  <conditionalFormatting sqref="A143:C143">
    <cfRule type="cellIs" dxfId="58" priority="25" stopIfTrue="1" operator="equal">
      <formula>A142</formula>
    </cfRule>
    <cfRule type="cellIs" dxfId="57" priority="26" stopIfTrue="1" operator="equal">
      <formula>0</formula>
    </cfRule>
  </conditionalFormatting>
  <conditionalFormatting sqref="A144:C144">
    <cfRule type="cellIs" dxfId="56" priority="23" stopIfTrue="1" operator="equal">
      <formula>A143</formula>
    </cfRule>
    <cfRule type="cellIs" dxfId="55" priority="24" stopIfTrue="1" operator="equal">
      <formula>0</formula>
    </cfRule>
  </conditionalFormatting>
  <conditionalFormatting sqref="A145:C145">
    <cfRule type="cellIs" dxfId="54" priority="21" stopIfTrue="1" operator="equal">
      <formula>A144</formula>
    </cfRule>
    <cfRule type="cellIs" dxfId="53" priority="22" stopIfTrue="1" operator="equal">
      <formula>0</formula>
    </cfRule>
  </conditionalFormatting>
  <conditionalFormatting sqref="A146:C146">
    <cfRule type="cellIs" dxfId="52" priority="19" stopIfTrue="1" operator="equal">
      <formula>A145</formula>
    </cfRule>
    <cfRule type="cellIs" dxfId="51" priority="20" stopIfTrue="1" operator="equal">
      <formula>0</formula>
    </cfRule>
  </conditionalFormatting>
  <conditionalFormatting sqref="A147:C147">
    <cfRule type="cellIs" dxfId="50" priority="17" stopIfTrue="1" operator="equal">
      <formula>A146</formula>
    </cfRule>
    <cfRule type="cellIs" dxfId="49" priority="18" stopIfTrue="1" operator="equal">
      <formula>0</formula>
    </cfRule>
  </conditionalFormatting>
  <conditionalFormatting sqref="A148:C148">
    <cfRule type="cellIs" dxfId="48" priority="15" stopIfTrue="1" operator="equal">
      <formula>A147</formula>
    </cfRule>
    <cfRule type="cellIs" dxfId="47" priority="16" stopIfTrue="1" operator="equal">
      <formula>0</formula>
    </cfRule>
  </conditionalFormatting>
  <conditionalFormatting sqref="A149:C149">
    <cfRule type="cellIs" dxfId="46" priority="13" stopIfTrue="1" operator="equal">
      <formula>A148</formula>
    </cfRule>
    <cfRule type="cellIs" dxfId="45" priority="14" stopIfTrue="1" operator="equal">
      <formula>0</formula>
    </cfRule>
  </conditionalFormatting>
  <conditionalFormatting sqref="A150:C150">
    <cfRule type="cellIs" dxfId="44" priority="11" stopIfTrue="1" operator="equal">
      <formula>A149</formula>
    </cfRule>
    <cfRule type="cellIs" dxfId="43" priority="12" stopIfTrue="1" operator="equal">
      <formula>0</formula>
    </cfRule>
  </conditionalFormatting>
  <conditionalFormatting sqref="A151:C151">
    <cfRule type="cellIs" dxfId="42" priority="9" stopIfTrue="1" operator="equal">
      <formula>A150</formula>
    </cfRule>
    <cfRule type="cellIs" dxfId="41" priority="10" stopIfTrue="1" operator="equal">
      <formula>0</formula>
    </cfRule>
  </conditionalFormatting>
  <conditionalFormatting sqref="A152:C152">
    <cfRule type="cellIs" dxfId="40" priority="7" stopIfTrue="1" operator="equal">
      <formula>A151</formula>
    </cfRule>
    <cfRule type="cellIs" dxfId="39" priority="8" stopIfTrue="1" operator="equal">
      <formula>0</formula>
    </cfRule>
  </conditionalFormatting>
  <conditionalFormatting sqref="A180">
    <cfRule type="cellIs" dxfId="38" priority="3" stopIfTrue="1" operator="equal">
      <formula>A179</formula>
    </cfRule>
  </conditionalFormatting>
  <conditionalFormatting sqref="A181">
    <cfRule type="cellIs" dxfId="37" priority="2" stopIfTrue="1" operator="equal">
      <formula>A180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19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85" t="s">
        <v>146</v>
      </c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</row>
    <row r="2" spans="1:79" ht="14.25" customHeight="1" x14ac:dyDescent="0.2">
      <c r="A2" s="66" t="s">
        <v>316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</row>
    <row r="4" spans="1:79" ht="28.5" customHeight="1" x14ac:dyDescent="0.2">
      <c r="A4" s="27" t="s">
        <v>199</v>
      </c>
      <c r="B4" s="151" t="s">
        <v>227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46" t="s">
        <v>236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24"/>
      <c r="AT4" s="156" t="s">
        <v>241</v>
      </c>
      <c r="AU4" s="46"/>
      <c r="AV4" s="46"/>
      <c r="AW4" s="46"/>
      <c r="AX4" s="46"/>
      <c r="AY4" s="46"/>
      <c r="AZ4" s="46"/>
      <c r="BA4" s="46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22"/>
      <c r="AH5" s="47" t="s">
        <v>206</v>
      </c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22"/>
      <c r="AT5" s="47" t="s">
        <v>197</v>
      </c>
      <c r="AU5" s="47"/>
      <c r="AV5" s="47"/>
      <c r="AW5" s="47"/>
      <c r="AX5" s="47"/>
      <c r="AY5" s="47"/>
      <c r="AZ5" s="47"/>
      <c r="BA5" s="47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28.5" customHeight="1" x14ac:dyDescent="0.2">
      <c r="A7" s="27" t="s">
        <v>208</v>
      </c>
      <c r="B7" s="151" t="s">
        <v>227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46" t="s">
        <v>331</v>
      </c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31"/>
      <c r="BC7" s="156" t="s">
        <v>241</v>
      </c>
      <c r="BD7" s="46"/>
      <c r="BE7" s="46"/>
      <c r="BF7" s="46"/>
      <c r="BG7" s="46"/>
      <c r="BH7" s="46"/>
      <c r="BI7" s="46"/>
      <c r="BJ7" s="46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68" t="s">
        <v>188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22"/>
      <c r="AH8" s="47" t="s">
        <v>209</v>
      </c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29"/>
      <c r="BC8" s="47" t="s">
        <v>197</v>
      </c>
      <c r="BD8" s="47"/>
      <c r="BE8" s="47"/>
      <c r="BF8" s="47"/>
      <c r="BG8" s="47"/>
      <c r="BH8" s="47"/>
      <c r="BI8" s="47"/>
      <c r="BJ8" s="47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14.25" customHeight="1" x14ac:dyDescent="0.2">
      <c r="A10" s="27" t="s">
        <v>210</v>
      </c>
      <c r="B10" s="46" t="s">
        <v>344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N10" s="46" t="s">
        <v>345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31"/>
      <c r="AA10" s="46" t="s">
        <v>346</v>
      </c>
      <c r="AB10" s="46"/>
      <c r="AC10" s="46"/>
      <c r="AD10" s="46"/>
      <c r="AE10" s="46"/>
      <c r="AF10" s="46"/>
      <c r="AG10" s="46"/>
      <c r="AH10" s="46"/>
      <c r="AI10" s="46"/>
      <c r="AJ10" s="31"/>
      <c r="AK10" s="185" t="s">
        <v>232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242</v>
      </c>
      <c r="BM10" s="46"/>
      <c r="BN10" s="46"/>
      <c r="BO10" s="46"/>
      <c r="BP10" s="46"/>
      <c r="BQ10" s="46"/>
      <c r="BR10" s="46"/>
      <c r="BS10" s="46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47" t="s">
        <v>211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N11" s="47" t="s">
        <v>213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29"/>
      <c r="AA11" s="109" t="s">
        <v>214</v>
      </c>
      <c r="AB11" s="109"/>
      <c r="AC11" s="109"/>
      <c r="AD11" s="109"/>
      <c r="AE11" s="109"/>
      <c r="AF11" s="109"/>
      <c r="AG11" s="109"/>
      <c r="AH11" s="109"/>
      <c r="AI11" s="109"/>
      <c r="AJ11" s="29"/>
      <c r="AK11" s="110" t="s">
        <v>212</v>
      </c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35"/>
      <c r="BL11" s="47" t="s">
        <v>198</v>
      </c>
      <c r="BM11" s="47"/>
      <c r="BN11" s="47"/>
      <c r="BO11" s="47"/>
      <c r="BP11" s="47"/>
      <c r="BQ11" s="47"/>
      <c r="BR11" s="47"/>
      <c r="BS11" s="47"/>
      <c r="BT11" s="29"/>
      <c r="BU11" s="29"/>
      <c r="BV11" s="29"/>
      <c r="BW11" s="29"/>
      <c r="BX11" s="29"/>
      <c r="BY11" s="29"/>
      <c r="BZ11" s="29"/>
      <c r="CA11" s="29"/>
    </row>
    <row r="13" spans="1:79" ht="14.25" customHeight="1" x14ac:dyDescent="0.2">
      <c r="A13" s="67" t="s">
        <v>317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</row>
    <row r="14" spans="1:79" ht="14.25" customHeight="1" x14ac:dyDescent="0.2">
      <c r="A14" s="67" t="s">
        <v>180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  <c r="BV14" s="67"/>
      <c r="BW14" s="67"/>
      <c r="BX14" s="67"/>
      <c r="BY14" s="67"/>
    </row>
    <row r="15" spans="1:79" ht="15" customHeight="1" x14ac:dyDescent="0.2">
      <c r="A15" s="149" t="s">
        <v>340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</row>
    <row r="16" spans="1:79" ht="1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9" ht="15" customHeight="1" x14ac:dyDescent="0.25">
      <c r="A17" s="82" t="s">
        <v>181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15" customHeight="1" x14ac:dyDescent="0.2">
      <c r="A18" s="149" t="s">
        <v>341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</row>
    <row r="19" spans="1:79" ht="1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:79" ht="14.25" customHeight="1" x14ac:dyDescent="0.2">
      <c r="A20" s="67" t="s">
        <v>182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</row>
    <row r="21" spans="1:79" ht="105" customHeight="1" x14ac:dyDescent="0.2">
      <c r="A21" s="149" t="s">
        <v>342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</row>
    <row r="22" spans="1:79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9" ht="14.25" customHeight="1" x14ac:dyDescent="0.2">
      <c r="A23" s="67" t="s">
        <v>183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</row>
    <row r="24" spans="1:79" ht="14.25" customHeight="1" x14ac:dyDescent="0.2">
      <c r="A24" s="83" t="s">
        <v>305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</row>
    <row r="25" spans="1:79" ht="15" customHeight="1" x14ac:dyDescent="0.2">
      <c r="A25" s="62" t="s">
        <v>243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</row>
    <row r="26" spans="1:79" ht="23.1" customHeight="1" x14ac:dyDescent="0.2">
      <c r="A26" s="86" t="s">
        <v>3</v>
      </c>
      <c r="B26" s="87"/>
      <c r="C26" s="87"/>
      <c r="D26" s="88"/>
      <c r="E26" s="86" t="s">
        <v>20</v>
      </c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57" t="s">
        <v>244</v>
      </c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 t="s">
        <v>245</v>
      </c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 t="s">
        <v>246</v>
      </c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</row>
    <row r="27" spans="1:79" ht="54.75" customHeight="1" x14ac:dyDescent="0.2">
      <c r="A27" s="89"/>
      <c r="B27" s="90"/>
      <c r="C27" s="90"/>
      <c r="D27" s="91"/>
      <c r="E27" s="89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51" t="s">
        <v>5</v>
      </c>
      <c r="V27" s="52"/>
      <c r="W27" s="52"/>
      <c r="X27" s="52"/>
      <c r="Y27" s="53"/>
      <c r="Z27" s="51" t="s">
        <v>4</v>
      </c>
      <c r="AA27" s="52"/>
      <c r="AB27" s="52"/>
      <c r="AC27" s="52"/>
      <c r="AD27" s="53"/>
      <c r="AE27" s="71" t="s">
        <v>147</v>
      </c>
      <c r="AF27" s="72"/>
      <c r="AG27" s="72"/>
      <c r="AH27" s="73"/>
      <c r="AI27" s="51" t="s">
        <v>6</v>
      </c>
      <c r="AJ27" s="52"/>
      <c r="AK27" s="52"/>
      <c r="AL27" s="52"/>
      <c r="AM27" s="53"/>
      <c r="AN27" s="51" t="s">
        <v>5</v>
      </c>
      <c r="AO27" s="52"/>
      <c r="AP27" s="52"/>
      <c r="AQ27" s="52"/>
      <c r="AR27" s="53"/>
      <c r="AS27" s="51" t="s">
        <v>4</v>
      </c>
      <c r="AT27" s="52"/>
      <c r="AU27" s="52"/>
      <c r="AV27" s="52"/>
      <c r="AW27" s="53"/>
      <c r="AX27" s="71" t="s">
        <v>147</v>
      </c>
      <c r="AY27" s="72"/>
      <c r="AZ27" s="72"/>
      <c r="BA27" s="73"/>
      <c r="BB27" s="51" t="s">
        <v>118</v>
      </c>
      <c r="BC27" s="52"/>
      <c r="BD27" s="52"/>
      <c r="BE27" s="52"/>
      <c r="BF27" s="53"/>
      <c r="BG27" s="51" t="s">
        <v>5</v>
      </c>
      <c r="BH27" s="52"/>
      <c r="BI27" s="52"/>
      <c r="BJ27" s="52"/>
      <c r="BK27" s="53"/>
      <c r="BL27" s="51" t="s">
        <v>4</v>
      </c>
      <c r="BM27" s="52"/>
      <c r="BN27" s="52"/>
      <c r="BO27" s="52"/>
      <c r="BP27" s="53"/>
      <c r="BQ27" s="71" t="s">
        <v>147</v>
      </c>
      <c r="BR27" s="72"/>
      <c r="BS27" s="72"/>
      <c r="BT27" s="73"/>
      <c r="BU27" s="51" t="s">
        <v>119</v>
      </c>
      <c r="BV27" s="52"/>
      <c r="BW27" s="52"/>
      <c r="BX27" s="52"/>
      <c r="BY27" s="53"/>
    </row>
    <row r="28" spans="1:79" ht="15" customHeight="1" x14ac:dyDescent="0.2">
      <c r="A28" s="51">
        <v>1</v>
      </c>
      <c r="B28" s="52"/>
      <c r="C28" s="52"/>
      <c r="D28" s="53"/>
      <c r="E28" s="51">
        <v>2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1">
        <v>3</v>
      </c>
      <c r="V28" s="52"/>
      <c r="W28" s="52"/>
      <c r="X28" s="52"/>
      <c r="Y28" s="53"/>
      <c r="Z28" s="51">
        <v>4</v>
      </c>
      <c r="AA28" s="52"/>
      <c r="AB28" s="52"/>
      <c r="AC28" s="52"/>
      <c r="AD28" s="53"/>
      <c r="AE28" s="51">
        <v>5</v>
      </c>
      <c r="AF28" s="52"/>
      <c r="AG28" s="52"/>
      <c r="AH28" s="53"/>
      <c r="AI28" s="51">
        <v>6</v>
      </c>
      <c r="AJ28" s="52"/>
      <c r="AK28" s="52"/>
      <c r="AL28" s="52"/>
      <c r="AM28" s="53"/>
      <c r="AN28" s="51">
        <v>7</v>
      </c>
      <c r="AO28" s="52"/>
      <c r="AP28" s="52"/>
      <c r="AQ28" s="52"/>
      <c r="AR28" s="53"/>
      <c r="AS28" s="51">
        <v>8</v>
      </c>
      <c r="AT28" s="52"/>
      <c r="AU28" s="52"/>
      <c r="AV28" s="52"/>
      <c r="AW28" s="53"/>
      <c r="AX28" s="51">
        <v>9</v>
      </c>
      <c r="AY28" s="52"/>
      <c r="AZ28" s="52"/>
      <c r="BA28" s="53"/>
      <c r="BB28" s="51">
        <v>10</v>
      </c>
      <c r="BC28" s="52"/>
      <c r="BD28" s="52"/>
      <c r="BE28" s="52"/>
      <c r="BF28" s="53"/>
      <c r="BG28" s="51">
        <v>11</v>
      </c>
      <c r="BH28" s="52"/>
      <c r="BI28" s="52"/>
      <c r="BJ28" s="52"/>
      <c r="BK28" s="53"/>
      <c r="BL28" s="51">
        <v>12</v>
      </c>
      <c r="BM28" s="52"/>
      <c r="BN28" s="52"/>
      <c r="BO28" s="52"/>
      <c r="BP28" s="53"/>
      <c r="BQ28" s="51">
        <v>13</v>
      </c>
      <c r="BR28" s="52"/>
      <c r="BS28" s="52"/>
      <c r="BT28" s="53"/>
      <c r="BU28" s="51">
        <v>14</v>
      </c>
      <c r="BV28" s="52"/>
      <c r="BW28" s="52"/>
      <c r="BX28" s="52"/>
      <c r="BY28" s="53"/>
    </row>
    <row r="29" spans="1:79" ht="13.5" hidden="1" customHeight="1" x14ac:dyDescent="0.2">
      <c r="A29" s="54" t="s">
        <v>77</v>
      </c>
      <c r="B29" s="55"/>
      <c r="C29" s="55"/>
      <c r="D29" s="56"/>
      <c r="E29" s="54" t="s">
        <v>78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79" t="s">
        <v>86</v>
      </c>
      <c r="V29" s="80"/>
      <c r="W29" s="80"/>
      <c r="X29" s="80"/>
      <c r="Y29" s="81"/>
      <c r="Z29" s="79" t="s">
        <v>87</v>
      </c>
      <c r="AA29" s="80"/>
      <c r="AB29" s="80"/>
      <c r="AC29" s="80"/>
      <c r="AD29" s="81"/>
      <c r="AE29" s="54" t="s">
        <v>113</v>
      </c>
      <c r="AF29" s="55"/>
      <c r="AG29" s="55"/>
      <c r="AH29" s="56"/>
      <c r="AI29" s="75" t="s">
        <v>217</v>
      </c>
      <c r="AJ29" s="76"/>
      <c r="AK29" s="76"/>
      <c r="AL29" s="76"/>
      <c r="AM29" s="77"/>
      <c r="AN29" s="54" t="s">
        <v>88</v>
      </c>
      <c r="AO29" s="55"/>
      <c r="AP29" s="55"/>
      <c r="AQ29" s="55"/>
      <c r="AR29" s="56"/>
      <c r="AS29" s="54" t="s">
        <v>89</v>
      </c>
      <c r="AT29" s="55"/>
      <c r="AU29" s="55"/>
      <c r="AV29" s="55"/>
      <c r="AW29" s="56"/>
      <c r="AX29" s="54" t="s">
        <v>114</v>
      </c>
      <c r="AY29" s="55"/>
      <c r="AZ29" s="55"/>
      <c r="BA29" s="56"/>
      <c r="BB29" s="75" t="s">
        <v>217</v>
      </c>
      <c r="BC29" s="76"/>
      <c r="BD29" s="76"/>
      <c r="BE29" s="76"/>
      <c r="BF29" s="77"/>
      <c r="BG29" s="54" t="s">
        <v>79</v>
      </c>
      <c r="BH29" s="55"/>
      <c r="BI29" s="55"/>
      <c r="BJ29" s="55"/>
      <c r="BK29" s="56"/>
      <c r="BL29" s="54" t="s">
        <v>80</v>
      </c>
      <c r="BM29" s="55"/>
      <c r="BN29" s="55"/>
      <c r="BO29" s="55"/>
      <c r="BP29" s="56"/>
      <c r="BQ29" s="54" t="s">
        <v>115</v>
      </c>
      <c r="BR29" s="55"/>
      <c r="BS29" s="55"/>
      <c r="BT29" s="56"/>
      <c r="BU29" s="75" t="s">
        <v>217</v>
      </c>
      <c r="BV29" s="76"/>
      <c r="BW29" s="76"/>
      <c r="BX29" s="76"/>
      <c r="BY29" s="77"/>
      <c r="CA29" t="s">
        <v>29</v>
      </c>
    </row>
    <row r="30" spans="1:79" s="137" customFormat="1" ht="12.75" customHeight="1" x14ac:dyDescent="0.2">
      <c r="A30" s="157"/>
      <c r="B30" s="158"/>
      <c r="C30" s="158"/>
      <c r="D30" s="159"/>
      <c r="E30" s="131" t="s">
        <v>252</v>
      </c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3"/>
      <c r="U30" s="160">
        <v>0</v>
      </c>
      <c r="V30" s="160"/>
      <c r="W30" s="160"/>
      <c r="X30" s="160"/>
      <c r="Y30" s="160"/>
      <c r="Z30" s="160" t="s">
        <v>253</v>
      </c>
      <c r="AA30" s="160"/>
      <c r="AB30" s="160"/>
      <c r="AC30" s="160"/>
      <c r="AD30" s="160"/>
      <c r="AE30" s="161" t="s">
        <v>253</v>
      </c>
      <c r="AF30" s="162"/>
      <c r="AG30" s="162"/>
      <c r="AH30" s="163"/>
      <c r="AI30" s="161">
        <f>IF(ISNUMBER(U30),U30,0)+IF(ISNUMBER(Z30),Z30,0)</f>
        <v>0</v>
      </c>
      <c r="AJ30" s="162"/>
      <c r="AK30" s="162"/>
      <c r="AL30" s="162"/>
      <c r="AM30" s="163"/>
      <c r="AN30" s="161">
        <v>100000</v>
      </c>
      <c r="AO30" s="162"/>
      <c r="AP30" s="162"/>
      <c r="AQ30" s="162"/>
      <c r="AR30" s="163"/>
      <c r="AS30" s="161" t="s">
        <v>253</v>
      </c>
      <c r="AT30" s="162"/>
      <c r="AU30" s="162"/>
      <c r="AV30" s="162"/>
      <c r="AW30" s="163"/>
      <c r="AX30" s="161" t="s">
        <v>253</v>
      </c>
      <c r="AY30" s="162"/>
      <c r="AZ30" s="162"/>
      <c r="BA30" s="163"/>
      <c r="BB30" s="161">
        <f>IF(ISNUMBER(AN30),AN30,0)+IF(ISNUMBER(AS30),AS30,0)</f>
        <v>100000</v>
      </c>
      <c r="BC30" s="162"/>
      <c r="BD30" s="162"/>
      <c r="BE30" s="162"/>
      <c r="BF30" s="163"/>
      <c r="BG30" s="161">
        <v>100000</v>
      </c>
      <c r="BH30" s="162"/>
      <c r="BI30" s="162"/>
      <c r="BJ30" s="162"/>
      <c r="BK30" s="163"/>
      <c r="BL30" s="161" t="s">
        <v>253</v>
      </c>
      <c r="BM30" s="162"/>
      <c r="BN30" s="162"/>
      <c r="BO30" s="162"/>
      <c r="BP30" s="163"/>
      <c r="BQ30" s="161" t="s">
        <v>253</v>
      </c>
      <c r="BR30" s="162"/>
      <c r="BS30" s="162"/>
      <c r="BT30" s="163"/>
      <c r="BU30" s="161">
        <f>IF(ISNUMBER(BG30),BG30,0)+IF(ISNUMBER(BL30),BL30,0)</f>
        <v>100000</v>
      </c>
      <c r="BV30" s="162"/>
      <c r="BW30" s="162"/>
      <c r="BX30" s="162"/>
      <c r="BY30" s="163"/>
      <c r="CA30" s="137" t="s">
        <v>30</v>
      </c>
    </row>
    <row r="31" spans="1:79" s="9" customFormat="1" ht="12.75" customHeight="1" x14ac:dyDescent="0.2">
      <c r="A31" s="119"/>
      <c r="B31" s="117"/>
      <c r="C31" s="117"/>
      <c r="D31" s="118"/>
      <c r="E31" s="138" t="s">
        <v>179</v>
      </c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40"/>
      <c r="U31" s="164">
        <v>0</v>
      </c>
      <c r="V31" s="164"/>
      <c r="W31" s="164"/>
      <c r="X31" s="164"/>
      <c r="Y31" s="164"/>
      <c r="Z31" s="164">
        <v>0</v>
      </c>
      <c r="AA31" s="164"/>
      <c r="AB31" s="164"/>
      <c r="AC31" s="164"/>
      <c r="AD31" s="164"/>
      <c r="AE31" s="165">
        <v>0</v>
      </c>
      <c r="AF31" s="166"/>
      <c r="AG31" s="166"/>
      <c r="AH31" s="167"/>
      <c r="AI31" s="165">
        <f>IF(ISNUMBER(U31),U31,0)+IF(ISNUMBER(Z31),Z31,0)</f>
        <v>0</v>
      </c>
      <c r="AJ31" s="166"/>
      <c r="AK31" s="166"/>
      <c r="AL31" s="166"/>
      <c r="AM31" s="167"/>
      <c r="AN31" s="165">
        <v>100000</v>
      </c>
      <c r="AO31" s="166"/>
      <c r="AP31" s="166"/>
      <c r="AQ31" s="166"/>
      <c r="AR31" s="167"/>
      <c r="AS31" s="165">
        <v>0</v>
      </c>
      <c r="AT31" s="166"/>
      <c r="AU31" s="166"/>
      <c r="AV31" s="166"/>
      <c r="AW31" s="167"/>
      <c r="AX31" s="165">
        <v>0</v>
      </c>
      <c r="AY31" s="166"/>
      <c r="AZ31" s="166"/>
      <c r="BA31" s="167"/>
      <c r="BB31" s="165">
        <f>IF(ISNUMBER(AN31),AN31,0)+IF(ISNUMBER(AS31),AS31,0)</f>
        <v>100000</v>
      </c>
      <c r="BC31" s="166"/>
      <c r="BD31" s="166"/>
      <c r="BE31" s="166"/>
      <c r="BF31" s="167"/>
      <c r="BG31" s="165">
        <v>100000</v>
      </c>
      <c r="BH31" s="166"/>
      <c r="BI31" s="166"/>
      <c r="BJ31" s="166"/>
      <c r="BK31" s="167"/>
      <c r="BL31" s="165">
        <v>0</v>
      </c>
      <c r="BM31" s="166"/>
      <c r="BN31" s="166"/>
      <c r="BO31" s="166"/>
      <c r="BP31" s="167"/>
      <c r="BQ31" s="165">
        <v>0</v>
      </c>
      <c r="BR31" s="166"/>
      <c r="BS31" s="166"/>
      <c r="BT31" s="167"/>
      <c r="BU31" s="165">
        <f>IF(ISNUMBER(BG31),BG31,0)+IF(ISNUMBER(BL31),BL31,0)</f>
        <v>100000</v>
      </c>
      <c r="BV31" s="166"/>
      <c r="BW31" s="166"/>
      <c r="BX31" s="166"/>
      <c r="BY31" s="167"/>
    </row>
    <row r="33" spans="1:79" ht="14.25" customHeight="1" x14ac:dyDescent="0.2">
      <c r="A33" s="83" t="s">
        <v>318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79" ht="15" customHeight="1" x14ac:dyDescent="0.2">
      <c r="A34" s="78" t="s">
        <v>243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</row>
    <row r="35" spans="1:79" ht="22.5" customHeight="1" x14ac:dyDescent="0.2">
      <c r="A35" s="86" t="s">
        <v>3</v>
      </c>
      <c r="B35" s="87"/>
      <c r="C35" s="87"/>
      <c r="D35" s="88"/>
      <c r="E35" s="86" t="s">
        <v>20</v>
      </c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8"/>
      <c r="X35" s="51" t="s">
        <v>247</v>
      </c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3"/>
      <c r="AR35" s="57" t="s">
        <v>249</v>
      </c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</row>
    <row r="36" spans="1:79" ht="36" customHeight="1" x14ac:dyDescent="0.2">
      <c r="A36" s="89"/>
      <c r="B36" s="90"/>
      <c r="C36" s="90"/>
      <c r="D36" s="91"/>
      <c r="E36" s="89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1"/>
      <c r="X36" s="57" t="s">
        <v>5</v>
      </c>
      <c r="Y36" s="57"/>
      <c r="Z36" s="57"/>
      <c r="AA36" s="57"/>
      <c r="AB36" s="57"/>
      <c r="AC36" s="57" t="s">
        <v>4</v>
      </c>
      <c r="AD36" s="57"/>
      <c r="AE36" s="57"/>
      <c r="AF36" s="57"/>
      <c r="AG36" s="57"/>
      <c r="AH36" s="71" t="s">
        <v>147</v>
      </c>
      <c r="AI36" s="72"/>
      <c r="AJ36" s="72"/>
      <c r="AK36" s="72"/>
      <c r="AL36" s="73"/>
      <c r="AM36" s="51" t="s">
        <v>6</v>
      </c>
      <c r="AN36" s="52"/>
      <c r="AO36" s="52"/>
      <c r="AP36" s="52"/>
      <c r="AQ36" s="53"/>
      <c r="AR36" s="51" t="s">
        <v>5</v>
      </c>
      <c r="AS36" s="52"/>
      <c r="AT36" s="52"/>
      <c r="AU36" s="52"/>
      <c r="AV36" s="53"/>
      <c r="AW36" s="51" t="s">
        <v>4</v>
      </c>
      <c r="AX36" s="52"/>
      <c r="AY36" s="52"/>
      <c r="AZ36" s="52"/>
      <c r="BA36" s="53"/>
      <c r="BB36" s="71" t="s">
        <v>147</v>
      </c>
      <c r="BC36" s="72"/>
      <c r="BD36" s="72"/>
      <c r="BE36" s="72"/>
      <c r="BF36" s="73"/>
      <c r="BG36" s="51" t="s">
        <v>118</v>
      </c>
      <c r="BH36" s="52"/>
      <c r="BI36" s="52"/>
      <c r="BJ36" s="52"/>
      <c r="BK36" s="53"/>
    </row>
    <row r="37" spans="1:79" ht="15" customHeight="1" x14ac:dyDescent="0.2">
      <c r="A37" s="51">
        <v>1</v>
      </c>
      <c r="B37" s="52"/>
      <c r="C37" s="52"/>
      <c r="D37" s="53"/>
      <c r="E37" s="51">
        <v>2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3"/>
      <c r="X37" s="57">
        <v>3</v>
      </c>
      <c r="Y37" s="57"/>
      <c r="Z37" s="57"/>
      <c r="AA37" s="57"/>
      <c r="AB37" s="57"/>
      <c r="AC37" s="57">
        <v>4</v>
      </c>
      <c r="AD37" s="57"/>
      <c r="AE37" s="57"/>
      <c r="AF37" s="57"/>
      <c r="AG37" s="57"/>
      <c r="AH37" s="57">
        <v>5</v>
      </c>
      <c r="AI37" s="57"/>
      <c r="AJ37" s="57"/>
      <c r="AK37" s="57"/>
      <c r="AL37" s="57"/>
      <c r="AM37" s="57">
        <v>6</v>
      </c>
      <c r="AN37" s="57"/>
      <c r="AO37" s="57"/>
      <c r="AP37" s="57"/>
      <c r="AQ37" s="57"/>
      <c r="AR37" s="51">
        <v>7</v>
      </c>
      <c r="AS37" s="52"/>
      <c r="AT37" s="52"/>
      <c r="AU37" s="52"/>
      <c r="AV37" s="53"/>
      <c r="AW37" s="51">
        <v>8</v>
      </c>
      <c r="AX37" s="52"/>
      <c r="AY37" s="52"/>
      <c r="AZ37" s="52"/>
      <c r="BA37" s="53"/>
      <c r="BB37" s="51">
        <v>9</v>
      </c>
      <c r="BC37" s="52"/>
      <c r="BD37" s="52"/>
      <c r="BE37" s="52"/>
      <c r="BF37" s="53"/>
      <c r="BG37" s="51">
        <v>10</v>
      </c>
      <c r="BH37" s="52"/>
      <c r="BI37" s="52"/>
      <c r="BJ37" s="52"/>
      <c r="BK37" s="53"/>
    </row>
    <row r="38" spans="1:79" ht="20.25" hidden="1" customHeight="1" x14ac:dyDescent="0.2">
      <c r="A38" s="54" t="s">
        <v>77</v>
      </c>
      <c r="B38" s="55"/>
      <c r="C38" s="55"/>
      <c r="D38" s="56"/>
      <c r="E38" s="54" t="s">
        <v>78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60" t="s">
        <v>81</v>
      </c>
      <c r="Y38" s="60"/>
      <c r="Z38" s="60"/>
      <c r="AA38" s="60"/>
      <c r="AB38" s="60"/>
      <c r="AC38" s="60" t="s">
        <v>82</v>
      </c>
      <c r="AD38" s="60"/>
      <c r="AE38" s="60"/>
      <c r="AF38" s="60"/>
      <c r="AG38" s="60"/>
      <c r="AH38" s="54" t="s">
        <v>116</v>
      </c>
      <c r="AI38" s="55"/>
      <c r="AJ38" s="55"/>
      <c r="AK38" s="55"/>
      <c r="AL38" s="56"/>
      <c r="AM38" s="75" t="s">
        <v>218</v>
      </c>
      <c r="AN38" s="76"/>
      <c r="AO38" s="76"/>
      <c r="AP38" s="76"/>
      <c r="AQ38" s="77"/>
      <c r="AR38" s="54" t="s">
        <v>83</v>
      </c>
      <c r="AS38" s="55"/>
      <c r="AT38" s="55"/>
      <c r="AU38" s="55"/>
      <c r="AV38" s="56"/>
      <c r="AW38" s="54" t="s">
        <v>84</v>
      </c>
      <c r="AX38" s="55"/>
      <c r="AY38" s="55"/>
      <c r="AZ38" s="55"/>
      <c r="BA38" s="56"/>
      <c r="BB38" s="54" t="s">
        <v>117</v>
      </c>
      <c r="BC38" s="55"/>
      <c r="BD38" s="55"/>
      <c r="BE38" s="55"/>
      <c r="BF38" s="56"/>
      <c r="BG38" s="75" t="s">
        <v>218</v>
      </c>
      <c r="BH38" s="76"/>
      <c r="BI38" s="76"/>
      <c r="BJ38" s="76"/>
      <c r="BK38" s="77"/>
      <c r="CA38" t="s">
        <v>31</v>
      </c>
    </row>
    <row r="39" spans="1:79" s="137" customFormat="1" ht="12.75" customHeight="1" x14ac:dyDescent="0.2">
      <c r="A39" s="157"/>
      <c r="B39" s="158"/>
      <c r="C39" s="158"/>
      <c r="D39" s="159"/>
      <c r="E39" s="131" t="s">
        <v>252</v>
      </c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3"/>
      <c r="X39" s="161">
        <v>100000</v>
      </c>
      <c r="Y39" s="162"/>
      <c r="Z39" s="162"/>
      <c r="AA39" s="162"/>
      <c r="AB39" s="163"/>
      <c r="AC39" s="161" t="s">
        <v>253</v>
      </c>
      <c r="AD39" s="162"/>
      <c r="AE39" s="162"/>
      <c r="AF39" s="162"/>
      <c r="AG39" s="163"/>
      <c r="AH39" s="161" t="s">
        <v>253</v>
      </c>
      <c r="AI39" s="162"/>
      <c r="AJ39" s="162"/>
      <c r="AK39" s="162"/>
      <c r="AL39" s="163"/>
      <c r="AM39" s="161">
        <f>IF(ISNUMBER(X39),X39,0)+IF(ISNUMBER(AC39),AC39,0)</f>
        <v>100000</v>
      </c>
      <c r="AN39" s="162"/>
      <c r="AO39" s="162"/>
      <c r="AP39" s="162"/>
      <c r="AQ39" s="163"/>
      <c r="AR39" s="161">
        <v>100000</v>
      </c>
      <c r="AS39" s="162"/>
      <c r="AT39" s="162"/>
      <c r="AU39" s="162"/>
      <c r="AV39" s="163"/>
      <c r="AW39" s="161" t="s">
        <v>253</v>
      </c>
      <c r="AX39" s="162"/>
      <c r="AY39" s="162"/>
      <c r="AZ39" s="162"/>
      <c r="BA39" s="163"/>
      <c r="BB39" s="161" t="s">
        <v>253</v>
      </c>
      <c r="BC39" s="162"/>
      <c r="BD39" s="162"/>
      <c r="BE39" s="162"/>
      <c r="BF39" s="163"/>
      <c r="BG39" s="160">
        <f>IF(ISNUMBER(AR39),AR39,0)+IF(ISNUMBER(AW39),AW39,0)</f>
        <v>100000</v>
      </c>
      <c r="BH39" s="160"/>
      <c r="BI39" s="160"/>
      <c r="BJ39" s="160"/>
      <c r="BK39" s="160"/>
      <c r="CA39" s="137" t="s">
        <v>32</v>
      </c>
    </row>
    <row r="40" spans="1:79" s="9" customFormat="1" ht="12.75" customHeight="1" x14ac:dyDescent="0.2">
      <c r="A40" s="119"/>
      <c r="B40" s="117"/>
      <c r="C40" s="117"/>
      <c r="D40" s="118"/>
      <c r="E40" s="138" t="s">
        <v>179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40"/>
      <c r="X40" s="165">
        <v>100000</v>
      </c>
      <c r="Y40" s="166"/>
      <c r="Z40" s="166"/>
      <c r="AA40" s="166"/>
      <c r="AB40" s="167"/>
      <c r="AC40" s="165">
        <v>0</v>
      </c>
      <c r="AD40" s="166"/>
      <c r="AE40" s="166"/>
      <c r="AF40" s="166"/>
      <c r="AG40" s="167"/>
      <c r="AH40" s="165">
        <v>0</v>
      </c>
      <c r="AI40" s="166"/>
      <c r="AJ40" s="166"/>
      <c r="AK40" s="166"/>
      <c r="AL40" s="167"/>
      <c r="AM40" s="165">
        <f>IF(ISNUMBER(X40),X40,0)+IF(ISNUMBER(AC40),AC40,0)</f>
        <v>100000</v>
      </c>
      <c r="AN40" s="166"/>
      <c r="AO40" s="166"/>
      <c r="AP40" s="166"/>
      <c r="AQ40" s="167"/>
      <c r="AR40" s="165">
        <v>100000</v>
      </c>
      <c r="AS40" s="166"/>
      <c r="AT40" s="166"/>
      <c r="AU40" s="166"/>
      <c r="AV40" s="167"/>
      <c r="AW40" s="165">
        <v>0</v>
      </c>
      <c r="AX40" s="166"/>
      <c r="AY40" s="166"/>
      <c r="AZ40" s="166"/>
      <c r="BA40" s="167"/>
      <c r="BB40" s="165">
        <v>0</v>
      </c>
      <c r="BC40" s="166"/>
      <c r="BD40" s="166"/>
      <c r="BE40" s="166"/>
      <c r="BF40" s="167"/>
      <c r="BG40" s="164">
        <f>IF(ISNUMBER(AR40),AR40,0)+IF(ISNUMBER(AW40),AW40,0)</f>
        <v>100000</v>
      </c>
      <c r="BH40" s="164"/>
      <c r="BI40" s="164"/>
      <c r="BJ40" s="164"/>
      <c r="BK40" s="164"/>
    </row>
    <row r="41" spans="1:79" s="7" customFormat="1" ht="12.75" customHeight="1" x14ac:dyDescent="0.2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</row>
    <row r="43" spans="1:79" s="6" customFormat="1" ht="14.25" customHeight="1" x14ac:dyDescent="0.2">
      <c r="A43" s="67" t="s">
        <v>148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25"/>
    </row>
    <row r="44" spans="1:79" ht="14.25" customHeight="1" x14ac:dyDescent="0.2">
      <c r="A44" s="67" t="s">
        <v>306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</row>
    <row r="45" spans="1:79" ht="15" customHeight="1" x14ac:dyDescent="0.2">
      <c r="A45" s="62" t="s">
        <v>243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</row>
    <row r="46" spans="1:79" ht="23.1" customHeight="1" x14ac:dyDescent="0.2">
      <c r="A46" s="93" t="s">
        <v>149</v>
      </c>
      <c r="B46" s="94"/>
      <c r="C46" s="94"/>
      <c r="D46" s="95"/>
      <c r="E46" s="57" t="s">
        <v>20</v>
      </c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1" t="s">
        <v>244</v>
      </c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3"/>
      <c r="AN46" s="51" t="s">
        <v>245</v>
      </c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3"/>
      <c r="BG46" s="51" t="s">
        <v>246</v>
      </c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3"/>
    </row>
    <row r="47" spans="1:79" ht="48.75" customHeight="1" x14ac:dyDescent="0.2">
      <c r="A47" s="96"/>
      <c r="B47" s="97"/>
      <c r="C47" s="97"/>
      <c r="D47" s="98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1" t="s">
        <v>5</v>
      </c>
      <c r="V47" s="52"/>
      <c r="W47" s="52"/>
      <c r="X47" s="52"/>
      <c r="Y47" s="53"/>
      <c r="Z47" s="51" t="s">
        <v>4</v>
      </c>
      <c r="AA47" s="52"/>
      <c r="AB47" s="52"/>
      <c r="AC47" s="52"/>
      <c r="AD47" s="53"/>
      <c r="AE47" s="71" t="s">
        <v>147</v>
      </c>
      <c r="AF47" s="72"/>
      <c r="AG47" s="72"/>
      <c r="AH47" s="73"/>
      <c r="AI47" s="51" t="s">
        <v>6</v>
      </c>
      <c r="AJ47" s="52"/>
      <c r="AK47" s="52"/>
      <c r="AL47" s="52"/>
      <c r="AM47" s="53"/>
      <c r="AN47" s="51" t="s">
        <v>5</v>
      </c>
      <c r="AO47" s="52"/>
      <c r="AP47" s="52"/>
      <c r="AQ47" s="52"/>
      <c r="AR47" s="53"/>
      <c r="AS47" s="51" t="s">
        <v>4</v>
      </c>
      <c r="AT47" s="52"/>
      <c r="AU47" s="52"/>
      <c r="AV47" s="52"/>
      <c r="AW47" s="53"/>
      <c r="AX47" s="71" t="s">
        <v>147</v>
      </c>
      <c r="AY47" s="72"/>
      <c r="AZ47" s="72"/>
      <c r="BA47" s="73"/>
      <c r="BB47" s="51" t="s">
        <v>118</v>
      </c>
      <c r="BC47" s="52"/>
      <c r="BD47" s="52"/>
      <c r="BE47" s="52"/>
      <c r="BF47" s="53"/>
      <c r="BG47" s="51" t="s">
        <v>5</v>
      </c>
      <c r="BH47" s="52"/>
      <c r="BI47" s="52"/>
      <c r="BJ47" s="52"/>
      <c r="BK47" s="53"/>
      <c r="BL47" s="51" t="s">
        <v>4</v>
      </c>
      <c r="BM47" s="52"/>
      <c r="BN47" s="52"/>
      <c r="BO47" s="52"/>
      <c r="BP47" s="53"/>
      <c r="BQ47" s="71" t="s">
        <v>147</v>
      </c>
      <c r="BR47" s="72"/>
      <c r="BS47" s="72"/>
      <c r="BT47" s="73"/>
      <c r="BU47" s="51" t="s">
        <v>119</v>
      </c>
      <c r="BV47" s="52"/>
      <c r="BW47" s="52"/>
      <c r="BX47" s="52"/>
      <c r="BY47" s="53"/>
    </row>
    <row r="48" spans="1:79" ht="15" customHeight="1" x14ac:dyDescent="0.2">
      <c r="A48" s="51">
        <v>1</v>
      </c>
      <c r="B48" s="52"/>
      <c r="C48" s="52"/>
      <c r="D48" s="53"/>
      <c r="E48" s="51">
        <v>2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3"/>
      <c r="U48" s="51">
        <v>3</v>
      </c>
      <c r="V48" s="52"/>
      <c r="W48" s="52"/>
      <c r="X48" s="52"/>
      <c r="Y48" s="53"/>
      <c r="Z48" s="51">
        <v>4</v>
      </c>
      <c r="AA48" s="52"/>
      <c r="AB48" s="52"/>
      <c r="AC48" s="52"/>
      <c r="AD48" s="53"/>
      <c r="AE48" s="51">
        <v>5</v>
      </c>
      <c r="AF48" s="52"/>
      <c r="AG48" s="52"/>
      <c r="AH48" s="53"/>
      <c r="AI48" s="51">
        <v>6</v>
      </c>
      <c r="AJ48" s="52"/>
      <c r="AK48" s="52"/>
      <c r="AL48" s="52"/>
      <c r="AM48" s="53"/>
      <c r="AN48" s="51">
        <v>7</v>
      </c>
      <c r="AO48" s="52"/>
      <c r="AP48" s="52"/>
      <c r="AQ48" s="52"/>
      <c r="AR48" s="53"/>
      <c r="AS48" s="51">
        <v>8</v>
      </c>
      <c r="AT48" s="52"/>
      <c r="AU48" s="52"/>
      <c r="AV48" s="52"/>
      <c r="AW48" s="53"/>
      <c r="AX48" s="51">
        <v>9</v>
      </c>
      <c r="AY48" s="52"/>
      <c r="AZ48" s="52"/>
      <c r="BA48" s="53"/>
      <c r="BB48" s="51">
        <v>10</v>
      </c>
      <c r="BC48" s="52"/>
      <c r="BD48" s="52"/>
      <c r="BE48" s="52"/>
      <c r="BF48" s="53"/>
      <c r="BG48" s="51">
        <v>11</v>
      </c>
      <c r="BH48" s="52"/>
      <c r="BI48" s="52"/>
      <c r="BJ48" s="52"/>
      <c r="BK48" s="53"/>
      <c r="BL48" s="51">
        <v>12</v>
      </c>
      <c r="BM48" s="52"/>
      <c r="BN48" s="52"/>
      <c r="BO48" s="52"/>
      <c r="BP48" s="53"/>
      <c r="BQ48" s="51">
        <v>13</v>
      </c>
      <c r="BR48" s="52"/>
      <c r="BS48" s="52"/>
      <c r="BT48" s="53"/>
      <c r="BU48" s="51">
        <v>14</v>
      </c>
      <c r="BV48" s="52"/>
      <c r="BW48" s="52"/>
      <c r="BX48" s="52"/>
      <c r="BY48" s="53"/>
    </row>
    <row r="49" spans="1:79" s="2" customFormat="1" ht="12.75" hidden="1" customHeight="1" x14ac:dyDescent="0.2">
      <c r="A49" s="54" t="s">
        <v>85</v>
      </c>
      <c r="B49" s="55"/>
      <c r="C49" s="55"/>
      <c r="D49" s="56"/>
      <c r="E49" s="54" t="s">
        <v>78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6"/>
      <c r="U49" s="54" t="s">
        <v>86</v>
      </c>
      <c r="V49" s="55"/>
      <c r="W49" s="55"/>
      <c r="X49" s="55"/>
      <c r="Y49" s="56"/>
      <c r="Z49" s="54" t="s">
        <v>87</v>
      </c>
      <c r="AA49" s="55"/>
      <c r="AB49" s="55"/>
      <c r="AC49" s="55"/>
      <c r="AD49" s="56"/>
      <c r="AE49" s="54" t="s">
        <v>113</v>
      </c>
      <c r="AF49" s="55"/>
      <c r="AG49" s="55"/>
      <c r="AH49" s="56"/>
      <c r="AI49" s="75" t="s">
        <v>217</v>
      </c>
      <c r="AJ49" s="76"/>
      <c r="AK49" s="76"/>
      <c r="AL49" s="76"/>
      <c r="AM49" s="77"/>
      <c r="AN49" s="54" t="s">
        <v>88</v>
      </c>
      <c r="AO49" s="55"/>
      <c r="AP49" s="55"/>
      <c r="AQ49" s="55"/>
      <c r="AR49" s="56"/>
      <c r="AS49" s="54" t="s">
        <v>89</v>
      </c>
      <c r="AT49" s="55"/>
      <c r="AU49" s="55"/>
      <c r="AV49" s="55"/>
      <c r="AW49" s="56"/>
      <c r="AX49" s="54" t="s">
        <v>114</v>
      </c>
      <c r="AY49" s="55"/>
      <c r="AZ49" s="55"/>
      <c r="BA49" s="56"/>
      <c r="BB49" s="75" t="s">
        <v>217</v>
      </c>
      <c r="BC49" s="76"/>
      <c r="BD49" s="76"/>
      <c r="BE49" s="76"/>
      <c r="BF49" s="77"/>
      <c r="BG49" s="54" t="s">
        <v>79</v>
      </c>
      <c r="BH49" s="55"/>
      <c r="BI49" s="55"/>
      <c r="BJ49" s="55"/>
      <c r="BK49" s="56"/>
      <c r="BL49" s="54" t="s">
        <v>80</v>
      </c>
      <c r="BM49" s="55"/>
      <c r="BN49" s="55"/>
      <c r="BO49" s="55"/>
      <c r="BP49" s="56"/>
      <c r="BQ49" s="54" t="s">
        <v>115</v>
      </c>
      <c r="BR49" s="55"/>
      <c r="BS49" s="55"/>
      <c r="BT49" s="56"/>
      <c r="BU49" s="75" t="s">
        <v>217</v>
      </c>
      <c r="BV49" s="76"/>
      <c r="BW49" s="76"/>
      <c r="BX49" s="76"/>
      <c r="BY49" s="77"/>
      <c r="CA49" t="s">
        <v>33</v>
      </c>
    </row>
    <row r="50" spans="1:79" s="137" customFormat="1" ht="12.75" customHeight="1" x14ac:dyDescent="0.2">
      <c r="A50" s="157">
        <v>9000</v>
      </c>
      <c r="B50" s="158"/>
      <c r="C50" s="158"/>
      <c r="D50" s="159"/>
      <c r="E50" s="131" t="s">
        <v>332</v>
      </c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3"/>
      <c r="U50" s="161">
        <v>0</v>
      </c>
      <c r="V50" s="162"/>
      <c r="W50" s="162"/>
      <c r="X50" s="162"/>
      <c r="Y50" s="163"/>
      <c r="Z50" s="161">
        <v>0</v>
      </c>
      <c r="AA50" s="162"/>
      <c r="AB50" s="162"/>
      <c r="AC50" s="162"/>
      <c r="AD50" s="163"/>
      <c r="AE50" s="161">
        <v>0</v>
      </c>
      <c r="AF50" s="162"/>
      <c r="AG50" s="162"/>
      <c r="AH50" s="163"/>
      <c r="AI50" s="161">
        <f>IF(ISNUMBER(U50),U50,0)+IF(ISNUMBER(Z50),Z50,0)</f>
        <v>0</v>
      </c>
      <c r="AJ50" s="162"/>
      <c r="AK50" s="162"/>
      <c r="AL50" s="162"/>
      <c r="AM50" s="163"/>
      <c r="AN50" s="161">
        <v>100000</v>
      </c>
      <c r="AO50" s="162"/>
      <c r="AP50" s="162"/>
      <c r="AQ50" s="162"/>
      <c r="AR50" s="163"/>
      <c r="AS50" s="161">
        <v>0</v>
      </c>
      <c r="AT50" s="162"/>
      <c r="AU50" s="162"/>
      <c r="AV50" s="162"/>
      <c r="AW50" s="163"/>
      <c r="AX50" s="161">
        <v>0</v>
      </c>
      <c r="AY50" s="162"/>
      <c r="AZ50" s="162"/>
      <c r="BA50" s="163"/>
      <c r="BB50" s="161">
        <f>IF(ISNUMBER(AN50),AN50,0)+IF(ISNUMBER(AS50),AS50,0)</f>
        <v>100000</v>
      </c>
      <c r="BC50" s="162"/>
      <c r="BD50" s="162"/>
      <c r="BE50" s="162"/>
      <c r="BF50" s="163"/>
      <c r="BG50" s="161">
        <v>100000</v>
      </c>
      <c r="BH50" s="162"/>
      <c r="BI50" s="162"/>
      <c r="BJ50" s="162"/>
      <c r="BK50" s="163"/>
      <c r="BL50" s="161">
        <v>0</v>
      </c>
      <c r="BM50" s="162"/>
      <c r="BN50" s="162"/>
      <c r="BO50" s="162"/>
      <c r="BP50" s="163"/>
      <c r="BQ50" s="161">
        <v>0</v>
      </c>
      <c r="BR50" s="162"/>
      <c r="BS50" s="162"/>
      <c r="BT50" s="163"/>
      <c r="BU50" s="161">
        <f>IF(ISNUMBER(BG50),BG50,0)+IF(ISNUMBER(BL50),BL50,0)</f>
        <v>100000</v>
      </c>
      <c r="BV50" s="162"/>
      <c r="BW50" s="162"/>
      <c r="BX50" s="162"/>
      <c r="BY50" s="163"/>
      <c r="CA50" s="137" t="s">
        <v>34</v>
      </c>
    </row>
    <row r="51" spans="1:79" s="9" customFormat="1" ht="12.75" customHeight="1" x14ac:dyDescent="0.2">
      <c r="A51" s="119"/>
      <c r="B51" s="117"/>
      <c r="C51" s="117"/>
      <c r="D51" s="118"/>
      <c r="E51" s="138" t="s">
        <v>179</v>
      </c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40"/>
      <c r="U51" s="165">
        <v>0</v>
      </c>
      <c r="V51" s="166"/>
      <c r="W51" s="166"/>
      <c r="X51" s="166"/>
      <c r="Y51" s="167"/>
      <c r="Z51" s="165">
        <v>0</v>
      </c>
      <c r="AA51" s="166"/>
      <c r="AB51" s="166"/>
      <c r="AC51" s="166"/>
      <c r="AD51" s="167"/>
      <c r="AE51" s="165">
        <v>0</v>
      </c>
      <c r="AF51" s="166"/>
      <c r="AG51" s="166"/>
      <c r="AH51" s="167"/>
      <c r="AI51" s="165">
        <f>IF(ISNUMBER(U51),U51,0)+IF(ISNUMBER(Z51),Z51,0)</f>
        <v>0</v>
      </c>
      <c r="AJ51" s="166"/>
      <c r="AK51" s="166"/>
      <c r="AL51" s="166"/>
      <c r="AM51" s="167"/>
      <c r="AN51" s="165">
        <v>100000</v>
      </c>
      <c r="AO51" s="166"/>
      <c r="AP51" s="166"/>
      <c r="AQ51" s="166"/>
      <c r="AR51" s="167"/>
      <c r="AS51" s="165">
        <v>0</v>
      </c>
      <c r="AT51" s="166"/>
      <c r="AU51" s="166"/>
      <c r="AV51" s="166"/>
      <c r="AW51" s="167"/>
      <c r="AX51" s="165">
        <v>0</v>
      </c>
      <c r="AY51" s="166"/>
      <c r="AZ51" s="166"/>
      <c r="BA51" s="167"/>
      <c r="BB51" s="165">
        <f>IF(ISNUMBER(AN51),AN51,0)+IF(ISNUMBER(AS51),AS51,0)</f>
        <v>100000</v>
      </c>
      <c r="BC51" s="166"/>
      <c r="BD51" s="166"/>
      <c r="BE51" s="166"/>
      <c r="BF51" s="167"/>
      <c r="BG51" s="165">
        <v>100000</v>
      </c>
      <c r="BH51" s="166"/>
      <c r="BI51" s="166"/>
      <c r="BJ51" s="166"/>
      <c r="BK51" s="167"/>
      <c r="BL51" s="165">
        <v>0</v>
      </c>
      <c r="BM51" s="166"/>
      <c r="BN51" s="166"/>
      <c r="BO51" s="166"/>
      <c r="BP51" s="167"/>
      <c r="BQ51" s="165">
        <v>0</v>
      </c>
      <c r="BR51" s="166"/>
      <c r="BS51" s="166"/>
      <c r="BT51" s="167"/>
      <c r="BU51" s="165">
        <f>IF(ISNUMBER(BG51),BG51,0)+IF(ISNUMBER(BL51),BL51,0)</f>
        <v>100000</v>
      </c>
      <c r="BV51" s="166"/>
      <c r="BW51" s="166"/>
      <c r="BX51" s="166"/>
      <c r="BY51" s="167"/>
    </row>
    <row r="53" spans="1:79" ht="14.25" customHeight="1" x14ac:dyDescent="0.2">
      <c r="A53" s="67" t="s">
        <v>307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1:79" ht="15" customHeight="1" x14ac:dyDescent="0.2">
      <c r="A54" s="78" t="s">
        <v>243</v>
      </c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</row>
    <row r="55" spans="1:79" ht="23.1" customHeight="1" x14ac:dyDescent="0.2">
      <c r="A55" s="93" t="s">
        <v>150</v>
      </c>
      <c r="B55" s="94"/>
      <c r="C55" s="94"/>
      <c r="D55" s="94"/>
      <c r="E55" s="95"/>
      <c r="F55" s="57" t="s">
        <v>20</v>
      </c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1" t="s">
        <v>244</v>
      </c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3"/>
      <c r="AN55" s="51" t="s">
        <v>245</v>
      </c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3"/>
      <c r="BG55" s="51" t="s">
        <v>246</v>
      </c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3"/>
    </row>
    <row r="56" spans="1:79" ht="51.75" customHeight="1" x14ac:dyDescent="0.2">
      <c r="A56" s="96"/>
      <c r="B56" s="97"/>
      <c r="C56" s="97"/>
      <c r="D56" s="97"/>
      <c r="E56" s="98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1" t="s">
        <v>5</v>
      </c>
      <c r="V56" s="52"/>
      <c r="W56" s="52"/>
      <c r="X56" s="52"/>
      <c r="Y56" s="53"/>
      <c r="Z56" s="51" t="s">
        <v>4</v>
      </c>
      <c r="AA56" s="52"/>
      <c r="AB56" s="52"/>
      <c r="AC56" s="52"/>
      <c r="AD56" s="53"/>
      <c r="AE56" s="71" t="s">
        <v>147</v>
      </c>
      <c r="AF56" s="72"/>
      <c r="AG56" s="72"/>
      <c r="AH56" s="73"/>
      <c r="AI56" s="51" t="s">
        <v>6</v>
      </c>
      <c r="AJ56" s="52"/>
      <c r="AK56" s="52"/>
      <c r="AL56" s="52"/>
      <c r="AM56" s="53"/>
      <c r="AN56" s="51" t="s">
        <v>5</v>
      </c>
      <c r="AO56" s="52"/>
      <c r="AP56" s="52"/>
      <c r="AQ56" s="52"/>
      <c r="AR56" s="53"/>
      <c r="AS56" s="51" t="s">
        <v>4</v>
      </c>
      <c r="AT56" s="52"/>
      <c r="AU56" s="52"/>
      <c r="AV56" s="52"/>
      <c r="AW56" s="53"/>
      <c r="AX56" s="71" t="s">
        <v>147</v>
      </c>
      <c r="AY56" s="72"/>
      <c r="AZ56" s="72"/>
      <c r="BA56" s="73"/>
      <c r="BB56" s="51" t="s">
        <v>118</v>
      </c>
      <c r="BC56" s="52"/>
      <c r="BD56" s="52"/>
      <c r="BE56" s="52"/>
      <c r="BF56" s="53"/>
      <c r="BG56" s="51" t="s">
        <v>5</v>
      </c>
      <c r="BH56" s="52"/>
      <c r="BI56" s="52"/>
      <c r="BJ56" s="52"/>
      <c r="BK56" s="53"/>
      <c r="BL56" s="51" t="s">
        <v>4</v>
      </c>
      <c r="BM56" s="52"/>
      <c r="BN56" s="52"/>
      <c r="BO56" s="52"/>
      <c r="BP56" s="53"/>
      <c r="BQ56" s="71" t="s">
        <v>147</v>
      </c>
      <c r="BR56" s="72"/>
      <c r="BS56" s="72"/>
      <c r="BT56" s="73"/>
      <c r="BU56" s="57" t="s">
        <v>119</v>
      </c>
      <c r="BV56" s="57"/>
      <c r="BW56" s="57"/>
      <c r="BX56" s="57"/>
      <c r="BY56" s="57"/>
    </row>
    <row r="57" spans="1:79" ht="15" customHeight="1" x14ac:dyDescent="0.2">
      <c r="A57" s="51">
        <v>1</v>
      </c>
      <c r="B57" s="52"/>
      <c r="C57" s="52"/>
      <c r="D57" s="52"/>
      <c r="E57" s="53"/>
      <c r="F57" s="51">
        <v>2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3"/>
      <c r="U57" s="51">
        <v>3</v>
      </c>
      <c r="V57" s="52"/>
      <c r="W57" s="52"/>
      <c r="X57" s="52"/>
      <c r="Y57" s="53"/>
      <c r="Z57" s="51">
        <v>4</v>
      </c>
      <c r="AA57" s="52"/>
      <c r="AB57" s="52"/>
      <c r="AC57" s="52"/>
      <c r="AD57" s="53"/>
      <c r="AE57" s="51">
        <v>5</v>
      </c>
      <c r="AF57" s="52"/>
      <c r="AG57" s="52"/>
      <c r="AH57" s="53"/>
      <c r="AI57" s="51">
        <v>6</v>
      </c>
      <c r="AJ57" s="52"/>
      <c r="AK57" s="52"/>
      <c r="AL57" s="52"/>
      <c r="AM57" s="53"/>
      <c r="AN57" s="51">
        <v>7</v>
      </c>
      <c r="AO57" s="52"/>
      <c r="AP57" s="52"/>
      <c r="AQ57" s="52"/>
      <c r="AR57" s="53"/>
      <c r="AS57" s="51">
        <v>8</v>
      </c>
      <c r="AT57" s="52"/>
      <c r="AU57" s="52"/>
      <c r="AV57" s="52"/>
      <c r="AW57" s="53"/>
      <c r="AX57" s="51">
        <v>9</v>
      </c>
      <c r="AY57" s="52"/>
      <c r="AZ57" s="52"/>
      <c r="BA57" s="53"/>
      <c r="BB57" s="51">
        <v>10</v>
      </c>
      <c r="BC57" s="52"/>
      <c r="BD57" s="52"/>
      <c r="BE57" s="52"/>
      <c r="BF57" s="53"/>
      <c r="BG57" s="51">
        <v>11</v>
      </c>
      <c r="BH57" s="52"/>
      <c r="BI57" s="52"/>
      <c r="BJ57" s="52"/>
      <c r="BK57" s="53"/>
      <c r="BL57" s="51">
        <v>12</v>
      </c>
      <c r="BM57" s="52"/>
      <c r="BN57" s="52"/>
      <c r="BO57" s="52"/>
      <c r="BP57" s="53"/>
      <c r="BQ57" s="51">
        <v>13</v>
      </c>
      <c r="BR57" s="52"/>
      <c r="BS57" s="52"/>
      <c r="BT57" s="53"/>
      <c r="BU57" s="57">
        <v>14</v>
      </c>
      <c r="BV57" s="57"/>
      <c r="BW57" s="57"/>
      <c r="BX57" s="57"/>
      <c r="BY57" s="57"/>
    </row>
    <row r="58" spans="1:79" s="2" customFormat="1" ht="13.5" hidden="1" customHeight="1" x14ac:dyDescent="0.2">
      <c r="A58" s="54" t="s">
        <v>85</v>
      </c>
      <c r="B58" s="55"/>
      <c r="C58" s="55"/>
      <c r="D58" s="55"/>
      <c r="E58" s="56"/>
      <c r="F58" s="54" t="s">
        <v>78</v>
      </c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6"/>
      <c r="U58" s="54" t="s">
        <v>86</v>
      </c>
      <c r="V58" s="55"/>
      <c r="W58" s="55"/>
      <c r="X58" s="55"/>
      <c r="Y58" s="56"/>
      <c r="Z58" s="54" t="s">
        <v>87</v>
      </c>
      <c r="AA58" s="55"/>
      <c r="AB58" s="55"/>
      <c r="AC58" s="55"/>
      <c r="AD58" s="56"/>
      <c r="AE58" s="54" t="s">
        <v>113</v>
      </c>
      <c r="AF58" s="55"/>
      <c r="AG58" s="55"/>
      <c r="AH58" s="56"/>
      <c r="AI58" s="75" t="s">
        <v>217</v>
      </c>
      <c r="AJ58" s="76"/>
      <c r="AK58" s="76"/>
      <c r="AL58" s="76"/>
      <c r="AM58" s="77"/>
      <c r="AN58" s="54" t="s">
        <v>88</v>
      </c>
      <c r="AO58" s="55"/>
      <c r="AP58" s="55"/>
      <c r="AQ58" s="55"/>
      <c r="AR58" s="56"/>
      <c r="AS58" s="54" t="s">
        <v>89</v>
      </c>
      <c r="AT58" s="55"/>
      <c r="AU58" s="55"/>
      <c r="AV58" s="55"/>
      <c r="AW58" s="56"/>
      <c r="AX58" s="54" t="s">
        <v>114</v>
      </c>
      <c r="AY58" s="55"/>
      <c r="AZ58" s="55"/>
      <c r="BA58" s="56"/>
      <c r="BB58" s="75" t="s">
        <v>217</v>
      </c>
      <c r="BC58" s="76"/>
      <c r="BD58" s="76"/>
      <c r="BE58" s="76"/>
      <c r="BF58" s="77"/>
      <c r="BG58" s="54" t="s">
        <v>79</v>
      </c>
      <c r="BH58" s="55"/>
      <c r="BI58" s="55"/>
      <c r="BJ58" s="55"/>
      <c r="BK58" s="56"/>
      <c r="BL58" s="54" t="s">
        <v>80</v>
      </c>
      <c r="BM58" s="55"/>
      <c r="BN58" s="55"/>
      <c r="BO58" s="55"/>
      <c r="BP58" s="56"/>
      <c r="BQ58" s="54" t="s">
        <v>115</v>
      </c>
      <c r="BR58" s="55"/>
      <c r="BS58" s="55"/>
      <c r="BT58" s="56"/>
      <c r="BU58" s="69" t="s">
        <v>217</v>
      </c>
      <c r="BV58" s="69"/>
      <c r="BW58" s="69"/>
      <c r="BX58" s="69"/>
      <c r="BY58" s="69"/>
      <c r="CA58" t="s">
        <v>35</v>
      </c>
    </row>
    <row r="59" spans="1:79" s="9" customFormat="1" ht="12.75" customHeight="1" x14ac:dyDescent="0.2">
      <c r="A59" s="119"/>
      <c r="B59" s="117"/>
      <c r="C59" s="117"/>
      <c r="D59" s="117"/>
      <c r="E59" s="118"/>
      <c r="F59" s="119" t="s">
        <v>179</v>
      </c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8"/>
      <c r="U59" s="165"/>
      <c r="V59" s="166"/>
      <c r="W59" s="166"/>
      <c r="X59" s="166"/>
      <c r="Y59" s="167"/>
      <c r="Z59" s="165"/>
      <c r="AA59" s="166"/>
      <c r="AB59" s="166"/>
      <c r="AC59" s="166"/>
      <c r="AD59" s="167"/>
      <c r="AE59" s="165"/>
      <c r="AF59" s="166"/>
      <c r="AG59" s="166"/>
      <c r="AH59" s="167"/>
      <c r="AI59" s="165">
        <f>IF(ISNUMBER(U59),U59,0)+IF(ISNUMBER(Z59),Z59,0)</f>
        <v>0</v>
      </c>
      <c r="AJ59" s="166"/>
      <c r="AK59" s="166"/>
      <c r="AL59" s="166"/>
      <c r="AM59" s="167"/>
      <c r="AN59" s="165"/>
      <c r="AO59" s="166"/>
      <c r="AP59" s="166"/>
      <c r="AQ59" s="166"/>
      <c r="AR59" s="167"/>
      <c r="AS59" s="165"/>
      <c r="AT59" s="166"/>
      <c r="AU59" s="166"/>
      <c r="AV59" s="166"/>
      <c r="AW59" s="167"/>
      <c r="AX59" s="165"/>
      <c r="AY59" s="166"/>
      <c r="AZ59" s="166"/>
      <c r="BA59" s="167"/>
      <c r="BB59" s="165">
        <f>IF(ISNUMBER(AN59),AN59,0)+IF(ISNUMBER(AS59),AS59,0)</f>
        <v>0</v>
      </c>
      <c r="BC59" s="166"/>
      <c r="BD59" s="166"/>
      <c r="BE59" s="166"/>
      <c r="BF59" s="167"/>
      <c r="BG59" s="165"/>
      <c r="BH59" s="166"/>
      <c r="BI59" s="166"/>
      <c r="BJ59" s="166"/>
      <c r="BK59" s="167"/>
      <c r="BL59" s="165"/>
      <c r="BM59" s="166"/>
      <c r="BN59" s="166"/>
      <c r="BO59" s="166"/>
      <c r="BP59" s="167"/>
      <c r="BQ59" s="165"/>
      <c r="BR59" s="166"/>
      <c r="BS59" s="166"/>
      <c r="BT59" s="167"/>
      <c r="BU59" s="165">
        <f>IF(ISNUMBER(BG59),BG59,0)+IF(ISNUMBER(BL59),BL59,0)</f>
        <v>0</v>
      </c>
      <c r="BV59" s="166"/>
      <c r="BW59" s="166"/>
      <c r="BX59" s="166"/>
      <c r="BY59" s="167"/>
      <c r="CA59" s="9" t="s">
        <v>36</v>
      </c>
    </row>
    <row r="61" spans="1:79" ht="14.25" customHeight="1" x14ac:dyDescent="0.2">
      <c r="A61" s="67" t="s">
        <v>319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1:79" ht="15" customHeight="1" x14ac:dyDescent="0.2">
      <c r="A62" s="78" t="s">
        <v>243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</row>
    <row r="63" spans="1:79" ht="23.1" customHeight="1" x14ac:dyDescent="0.2">
      <c r="A63" s="93" t="s">
        <v>149</v>
      </c>
      <c r="B63" s="94"/>
      <c r="C63" s="94"/>
      <c r="D63" s="95"/>
      <c r="E63" s="86" t="s">
        <v>20</v>
      </c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8"/>
      <c r="X63" s="51" t="s">
        <v>247</v>
      </c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3"/>
      <c r="AR63" s="57" t="s">
        <v>249</v>
      </c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</row>
    <row r="64" spans="1:79" ht="48.75" customHeight="1" x14ac:dyDescent="0.2">
      <c r="A64" s="96"/>
      <c r="B64" s="97"/>
      <c r="C64" s="97"/>
      <c r="D64" s="98"/>
      <c r="E64" s="89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1"/>
      <c r="X64" s="86" t="s">
        <v>5</v>
      </c>
      <c r="Y64" s="87"/>
      <c r="Z64" s="87"/>
      <c r="AA64" s="87"/>
      <c r="AB64" s="88"/>
      <c r="AC64" s="86" t="s">
        <v>4</v>
      </c>
      <c r="AD64" s="87"/>
      <c r="AE64" s="87"/>
      <c r="AF64" s="87"/>
      <c r="AG64" s="88"/>
      <c r="AH64" s="71" t="s">
        <v>147</v>
      </c>
      <c r="AI64" s="72"/>
      <c r="AJ64" s="72"/>
      <c r="AK64" s="72"/>
      <c r="AL64" s="73"/>
      <c r="AM64" s="51" t="s">
        <v>6</v>
      </c>
      <c r="AN64" s="52"/>
      <c r="AO64" s="52"/>
      <c r="AP64" s="52"/>
      <c r="AQ64" s="53"/>
      <c r="AR64" s="51" t="s">
        <v>5</v>
      </c>
      <c r="AS64" s="52"/>
      <c r="AT64" s="52"/>
      <c r="AU64" s="52"/>
      <c r="AV64" s="53"/>
      <c r="AW64" s="51" t="s">
        <v>4</v>
      </c>
      <c r="AX64" s="52"/>
      <c r="AY64" s="52"/>
      <c r="AZ64" s="52"/>
      <c r="BA64" s="53"/>
      <c r="BB64" s="71" t="s">
        <v>147</v>
      </c>
      <c r="BC64" s="72"/>
      <c r="BD64" s="72"/>
      <c r="BE64" s="72"/>
      <c r="BF64" s="73"/>
      <c r="BG64" s="51" t="s">
        <v>118</v>
      </c>
      <c r="BH64" s="52"/>
      <c r="BI64" s="52"/>
      <c r="BJ64" s="52"/>
      <c r="BK64" s="53"/>
    </row>
    <row r="65" spans="1:79" ht="12.75" customHeight="1" x14ac:dyDescent="0.2">
      <c r="A65" s="51">
        <v>1</v>
      </c>
      <c r="B65" s="52"/>
      <c r="C65" s="52"/>
      <c r="D65" s="53"/>
      <c r="E65" s="51">
        <v>2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3"/>
      <c r="X65" s="51">
        <v>3</v>
      </c>
      <c r="Y65" s="52"/>
      <c r="Z65" s="52"/>
      <c r="AA65" s="52"/>
      <c r="AB65" s="53"/>
      <c r="AC65" s="51">
        <v>4</v>
      </c>
      <c r="AD65" s="52"/>
      <c r="AE65" s="52"/>
      <c r="AF65" s="52"/>
      <c r="AG65" s="53"/>
      <c r="AH65" s="51">
        <v>5</v>
      </c>
      <c r="AI65" s="52"/>
      <c r="AJ65" s="52"/>
      <c r="AK65" s="52"/>
      <c r="AL65" s="53"/>
      <c r="AM65" s="51">
        <v>6</v>
      </c>
      <c r="AN65" s="52"/>
      <c r="AO65" s="52"/>
      <c r="AP65" s="52"/>
      <c r="AQ65" s="53"/>
      <c r="AR65" s="51">
        <v>7</v>
      </c>
      <c r="AS65" s="52"/>
      <c r="AT65" s="52"/>
      <c r="AU65" s="52"/>
      <c r="AV65" s="53"/>
      <c r="AW65" s="51">
        <v>8</v>
      </c>
      <c r="AX65" s="52"/>
      <c r="AY65" s="52"/>
      <c r="AZ65" s="52"/>
      <c r="BA65" s="53"/>
      <c r="BB65" s="51">
        <v>9</v>
      </c>
      <c r="BC65" s="52"/>
      <c r="BD65" s="52"/>
      <c r="BE65" s="52"/>
      <c r="BF65" s="53"/>
      <c r="BG65" s="51">
        <v>10</v>
      </c>
      <c r="BH65" s="52"/>
      <c r="BI65" s="52"/>
      <c r="BJ65" s="52"/>
      <c r="BK65" s="53"/>
    </row>
    <row r="66" spans="1:79" s="2" customFormat="1" ht="12.75" hidden="1" customHeight="1" x14ac:dyDescent="0.2">
      <c r="A66" s="54" t="s">
        <v>85</v>
      </c>
      <c r="B66" s="55"/>
      <c r="C66" s="55"/>
      <c r="D66" s="56"/>
      <c r="E66" s="54" t="s">
        <v>78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6"/>
      <c r="X66" s="106" t="s">
        <v>81</v>
      </c>
      <c r="Y66" s="107"/>
      <c r="Z66" s="107"/>
      <c r="AA66" s="107"/>
      <c r="AB66" s="108"/>
      <c r="AC66" s="106" t="s">
        <v>82</v>
      </c>
      <c r="AD66" s="107"/>
      <c r="AE66" s="107"/>
      <c r="AF66" s="107"/>
      <c r="AG66" s="108"/>
      <c r="AH66" s="54" t="s">
        <v>116</v>
      </c>
      <c r="AI66" s="55"/>
      <c r="AJ66" s="55"/>
      <c r="AK66" s="55"/>
      <c r="AL66" s="56"/>
      <c r="AM66" s="75" t="s">
        <v>218</v>
      </c>
      <c r="AN66" s="76"/>
      <c r="AO66" s="76"/>
      <c r="AP66" s="76"/>
      <c r="AQ66" s="77"/>
      <c r="AR66" s="54" t="s">
        <v>83</v>
      </c>
      <c r="AS66" s="55"/>
      <c r="AT66" s="55"/>
      <c r="AU66" s="55"/>
      <c r="AV66" s="56"/>
      <c r="AW66" s="54" t="s">
        <v>84</v>
      </c>
      <c r="AX66" s="55"/>
      <c r="AY66" s="55"/>
      <c r="AZ66" s="55"/>
      <c r="BA66" s="56"/>
      <c r="BB66" s="54" t="s">
        <v>117</v>
      </c>
      <c r="BC66" s="55"/>
      <c r="BD66" s="55"/>
      <c r="BE66" s="55"/>
      <c r="BF66" s="56"/>
      <c r="BG66" s="75" t="s">
        <v>218</v>
      </c>
      <c r="BH66" s="76"/>
      <c r="BI66" s="76"/>
      <c r="BJ66" s="76"/>
      <c r="BK66" s="77"/>
      <c r="CA66" t="s">
        <v>37</v>
      </c>
    </row>
    <row r="67" spans="1:79" s="137" customFormat="1" ht="12.75" customHeight="1" x14ac:dyDescent="0.2">
      <c r="A67" s="157">
        <v>9000</v>
      </c>
      <c r="B67" s="158"/>
      <c r="C67" s="158"/>
      <c r="D67" s="159"/>
      <c r="E67" s="131" t="s">
        <v>332</v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3"/>
      <c r="X67" s="161">
        <v>100000</v>
      </c>
      <c r="Y67" s="162"/>
      <c r="Z67" s="162"/>
      <c r="AA67" s="162"/>
      <c r="AB67" s="163"/>
      <c r="AC67" s="161">
        <v>0</v>
      </c>
      <c r="AD67" s="162"/>
      <c r="AE67" s="162"/>
      <c r="AF67" s="162"/>
      <c r="AG67" s="163"/>
      <c r="AH67" s="161">
        <v>0</v>
      </c>
      <c r="AI67" s="162"/>
      <c r="AJ67" s="162"/>
      <c r="AK67" s="162"/>
      <c r="AL67" s="163"/>
      <c r="AM67" s="161">
        <f>IF(ISNUMBER(X67),X67,0)+IF(ISNUMBER(AC67),AC67,0)</f>
        <v>100000</v>
      </c>
      <c r="AN67" s="162"/>
      <c r="AO67" s="162"/>
      <c r="AP67" s="162"/>
      <c r="AQ67" s="163"/>
      <c r="AR67" s="161">
        <v>0</v>
      </c>
      <c r="AS67" s="162"/>
      <c r="AT67" s="162"/>
      <c r="AU67" s="162"/>
      <c r="AV67" s="163"/>
      <c r="AW67" s="161">
        <v>0</v>
      </c>
      <c r="AX67" s="162"/>
      <c r="AY67" s="162"/>
      <c r="AZ67" s="162"/>
      <c r="BA67" s="163"/>
      <c r="BB67" s="161">
        <v>0</v>
      </c>
      <c r="BC67" s="162"/>
      <c r="BD67" s="162"/>
      <c r="BE67" s="162"/>
      <c r="BF67" s="163"/>
      <c r="BG67" s="160">
        <f>IF(ISNUMBER(AR67),AR67,0)+IF(ISNUMBER(AW67),AW67,0)</f>
        <v>0</v>
      </c>
      <c r="BH67" s="160"/>
      <c r="BI67" s="160"/>
      <c r="BJ67" s="160"/>
      <c r="BK67" s="160"/>
      <c r="CA67" s="137" t="s">
        <v>38</v>
      </c>
    </row>
    <row r="68" spans="1:79" s="9" customFormat="1" ht="12.75" customHeight="1" x14ac:dyDescent="0.2">
      <c r="A68" s="119"/>
      <c r="B68" s="117"/>
      <c r="C68" s="117"/>
      <c r="D68" s="118"/>
      <c r="E68" s="138" t="s">
        <v>179</v>
      </c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40"/>
      <c r="X68" s="165">
        <v>100000</v>
      </c>
      <c r="Y68" s="166"/>
      <c r="Z68" s="166"/>
      <c r="AA68" s="166"/>
      <c r="AB68" s="167"/>
      <c r="AC68" s="165">
        <v>0</v>
      </c>
      <c r="AD68" s="166"/>
      <c r="AE68" s="166"/>
      <c r="AF68" s="166"/>
      <c r="AG68" s="167"/>
      <c r="AH68" s="165">
        <v>0</v>
      </c>
      <c r="AI68" s="166"/>
      <c r="AJ68" s="166"/>
      <c r="AK68" s="166"/>
      <c r="AL68" s="167"/>
      <c r="AM68" s="165">
        <f>IF(ISNUMBER(X68),X68,0)+IF(ISNUMBER(AC68),AC68,0)</f>
        <v>100000</v>
      </c>
      <c r="AN68" s="166"/>
      <c r="AO68" s="166"/>
      <c r="AP68" s="166"/>
      <c r="AQ68" s="167"/>
      <c r="AR68" s="165">
        <v>0</v>
      </c>
      <c r="AS68" s="166"/>
      <c r="AT68" s="166"/>
      <c r="AU68" s="166"/>
      <c r="AV68" s="167"/>
      <c r="AW68" s="165">
        <v>0</v>
      </c>
      <c r="AX68" s="166"/>
      <c r="AY68" s="166"/>
      <c r="AZ68" s="166"/>
      <c r="BA68" s="167"/>
      <c r="BB68" s="165">
        <v>0</v>
      </c>
      <c r="BC68" s="166"/>
      <c r="BD68" s="166"/>
      <c r="BE68" s="166"/>
      <c r="BF68" s="167"/>
      <c r="BG68" s="164">
        <f>IF(ISNUMBER(AR68),AR68,0)+IF(ISNUMBER(AW68),AW68,0)</f>
        <v>0</v>
      </c>
      <c r="BH68" s="164"/>
      <c r="BI68" s="164"/>
      <c r="BJ68" s="164"/>
      <c r="BK68" s="164"/>
    </row>
    <row r="70" spans="1:79" ht="14.25" customHeight="1" x14ac:dyDescent="0.2">
      <c r="A70" s="67" t="s">
        <v>320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1:79" ht="15" customHeight="1" x14ac:dyDescent="0.2">
      <c r="A71" s="78" t="s">
        <v>243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</row>
    <row r="72" spans="1:79" ht="23.1" customHeight="1" x14ac:dyDescent="0.2">
      <c r="A72" s="93" t="s">
        <v>150</v>
      </c>
      <c r="B72" s="94"/>
      <c r="C72" s="94"/>
      <c r="D72" s="94"/>
      <c r="E72" s="95"/>
      <c r="F72" s="86" t="s">
        <v>20</v>
      </c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8"/>
      <c r="X72" s="57" t="s">
        <v>247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1" t="s">
        <v>249</v>
      </c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3"/>
    </row>
    <row r="73" spans="1:79" ht="53.25" customHeight="1" x14ac:dyDescent="0.2">
      <c r="A73" s="96"/>
      <c r="B73" s="97"/>
      <c r="C73" s="97"/>
      <c r="D73" s="97"/>
      <c r="E73" s="98"/>
      <c r="F73" s="89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1"/>
      <c r="X73" s="51" t="s">
        <v>5</v>
      </c>
      <c r="Y73" s="52"/>
      <c r="Z73" s="52"/>
      <c r="AA73" s="52"/>
      <c r="AB73" s="53"/>
      <c r="AC73" s="51" t="s">
        <v>4</v>
      </c>
      <c r="AD73" s="52"/>
      <c r="AE73" s="52"/>
      <c r="AF73" s="52"/>
      <c r="AG73" s="53"/>
      <c r="AH73" s="71" t="s">
        <v>147</v>
      </c>
      <c r="AI73" s="72"/>
      <c r="AJ73" s="72"/>
      <c r="AK73" s="72"/>
      <c r="AL73" s="73"/>
      <c r="AM73" s="51" t="s">
        <v>6</v>
      </c>
      <c r="AN73" s="52"/>
      <c r="AO73" s="52"/>
      <c r="AP73" s="52"/>
      <c r="AQ73" s="53"/>
      <c r="AR73" s="51" t="s">
        <v>5</v>
      </c>
      <c r="AS73" s="52"/>
      <c r="AT73" s="52"/>
      <c r="AU73" s="52"/>
      <c r="AV73" s="53"/>
      <c r="AW73" s="51" t="s">
        <v>4</v>
      </c>
      <c r="AX73" s="52"/>
      <c r="AY73" s="52"/>
      <c r="AZ73" s="52"/>
      <c r="BA73" s="53"/>
      <c r="BB73" s="74" t="s">
        <v>147</v>
      </c>
      <c r="BC73" s="74"/>
      <c r="BD73" s="74"/>
      <c r="BE73" s="74"/>
      <c r="BF73" s="74"/>
      <c r="BG73" s="51" t="s">
        <v>118</v>
      </c>
      <c r="BH73" s="52"/>
      <c r="BI73" s="52"/>
      <c r="BJ73" s="52"/>
      <c r="BK73" s="53"/>
    </row>
    <row r="74" spans="1:79" ht="15" customHeight="1" x14ac:dyDescent="0.2">
      <c r="A74" s="51">
        <v>1</v>
      </c>
      <c r="B74" s="52"/>
      <c r="C74" s="52"/>
      <c r="D74" s="52"/>
      <c r="E74" s="53"/>
      <c r="F74" s="51">
        <v>2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51">
        <v>3</v>
      </c>
      <c r="Y74" s="52"/>
      <c r="Z74" s="52"/>
      <c r="AA74" s="52"/>
      <c r="AB74" s="53"/>
      <c r="AC74" s="51">
        <v>4</v>
      </c>
      <c r="AD74" s="52"/>
      <c r="AE74" s="52"/>
      <c r="AF74" s="52"/>
      <c r="AG74" s="53"/>
      <c r="AH74" s="51">
        <v>5</v>
      </c>
      <c r="AI74" s="52"/>
      <c r="AJ74" s="52"/>
      <c r="AK74" s="52"/>
      <c r="AL74" s="53"/>
      <c r="AM74" s="51">
        <v>6</v>
      </c>
      <c r="AN74" s="52"/>
      <c r="AO74" s="52"/>
      <c r="AP74" s="52"/>
      <c r="AQ74" s="53"/>
      <c r="AR74" s="51">
        <v>7</v>
      </c>
      <c r="AS74" s="52"/>
      <c r="AT74" s="52"/>
      <c r="AU74" s="52"/>
      <c r="AV74" s="53"/>
      <c r="AW74" s="51">
        <v>8</v>
      </c>
      <c r="AX74" s="52"/>
      <c r="AY74" s="52"/>
      <c r="AZ74" s="52"/>
      <c r="BA74" s="53"/>
      <c r="BB74" s="51">
        <v>9</v>
      </c>
      <c r="BC74" s="52"/>
      <c r="BD74" s="52"/>
      <c r="BE74" s="52"/>
      <c r="BF74" s="53"/>
      <c r="BG74" s="51">
        <v>10</v>
      </c>
      <c r="BH74" s="52"/>
      <c r="BI74" s="52"/>
      <c r="BJ74" s="52"/>
      <c r="BK74" s="53"/>
    </row>
    <row r="75" spans="1:79" s="2" customFormat="1" ht="15" hidden="1" customHeight="1" x14ac:dyDescent="0.2">
      <c r="A75" s="54" t="s">
        <v>85</v>
      </c>
      <c r="B75" s="55"/>
      <c r="C75" s="55"/>
      <c r="D75" s="55"/>
      <c r="E75" s="56"/>
      <c r="F75" s="54" t="s">
        <v>78</v>
      </c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54" t="s">
        <v>81</v>
      </c>
      <c r="Y75" s="55"/>
      <c r="Z75" s="55"/>
      <c r="AA75" s="55"/>
      <c r="AB75" s="56"/>
      <c r="AC75" s="54" t="s">
        <v>82</v>
      </c>
      <c r="AD75" s="55"/>
      <c r="AE75" s="55"/>
      <c r="AF75" s="55"/>
      <c r="AG75" s="56"/>
      <c r="AH75" s="54" t="s">
        <v>116</v>
      </c>
      <c r="AI75" s="55"/>
      <c r="AJ75" s="55"/>
      <c r="AK75" s="55"/>
      <c r="AL75" s="56"/>
      <c r="AM75" s="75" t="s">
        <v>218</v>
      </c>
      <c r="AN75" s="76"/>
      <c r="AO75" s="76"/>
      <c r="AP75" s="76"/>
      <c r="AQ75" s="77"/>
      <c r="AR75" s="54" t="s">
        <v>83</v>
      </c>
      <c r="AS75" s="55"/>
      <c r="AT75" s="55"/>
      <c r="AU75" s="55"/>
      <c r="AV75" s="56"/>
      <c r="AW75" s="54" t="s">
        <v>84</v>
      </c>
      <c r="AX75" s="55"/>
      <c r="AY75" s="55"/>
      <c r="AZ75" s="55"/>
      <c r="BA75" s="56"/>
      <c r="BB75" s="54" t="s">
        <v>117</v>
      </c>
      <c r="BC75" s="55"/>
      <c r="BD75" s="55"/>
      <c r="BE75" s="55"/>
      <c r="BF75" s="56"/>
      <c r="BG75" s="75" t="s">
        <v>218</v>
      </c>
      <c r="BH75" s="76"/>
      <c r="BI75" s="76"/>
      <c r="BJ75" s="76"/>
      <c r="BK75" s="77"/>
      <c r="CA75" t="s">
        <v>39</v>
      </c>
    </row>
    <row r="76" spans="1:79" s="9" customFormat="1" ht="12.75" customHeight="1" x14ac:dyDescent="0.2">
      <c r="A76" s="119"/>
      <c r="B76" s="117"/>
      <c r="C76" s="117"/>
      <c r="D76" s="117"/>
      <c r="E76" s="118"/>
      <c r="F76" s="119" t="s">
        <v>179</v>
      </c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8"/>
      <c r="X76" s="168"/>
      <c r="Y76" s="169"/>
      <c r="Z76" s="169"/>
      <c r="AA76" s="169"/>
      <c r="AB76" s="170"/>
      <c r="AC76" s="168"/>
      <c r="AD76" s="169"/>
      <c r="AE76" s="169"/>
      <c r="AF76" s="169"/>
      <c r="AG76" s="170"/>
      <c r="AH76" s="164"/>
      <c r="AI76" s="164"/>
      <c r="AJ76" s="164"/>
      <c r="AK76" s="164"/>
      <c r="AL76" s="164"/>
      <c r="AM76" s="164">
        <f>IF(ISNUMBER(X76),X76,0)+IF(ISNUMBER(AC76),AC76,0)</f>
        <v>0</v>
      </c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>
        <f>IF(ISNUMBER(AR76),AR76,0)+IF(ISNUMBER(AW76),AW76,0)</f>
        <v>0</v>
      </c>
      <c r="BH76" s="164"/>
      <c r="BI76" s="164"/>
      <c r="BJ76" s="164"/>
      <c r="BK76" s="164"/>
      <c r="CA76" s="9" t="s">
        <v>40</v>
      </c>
    </row>
    <row r="79" spans="1:79" ht="14.25" customHeight="1" x14ac:dyDescent="0.2">
      <c r="A79" s="67" t="s">
        <v>151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1:79" ht="14.25" customHeight="1" x14ac:dyDescent="0.2">
      <c r="A80" s="67" t="s">
        <v>308</v>
      </c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1:79" ht="15" customHeight="1" x14ac:dyDescent="0.2">
      <c r="A81" s="78" t="s">
        <v>243</v>
      </c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</row>
    <row r="82" spans="1:79" ht="23.1" customHeight="1" x14ac:dyDescent="0.2">
      <c r="A82" s="86" t="s">
        <v>7</v>
      </c>
      <c r="B82" s="87"/>
      <c r="C82" s="87"/>
      <c r="D82" s="86" t="s">
        <v>152</v>
      </c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8"/>
      <c r="U82" s="51" t="s">
        <v>244</v>
      </c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3"/>
      <c r="AN82" s="51" t="s">
        <v>245</v>
      </c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3"/>
      <c r="BG82" s="57" t="s">
        <v>246</v>
      </c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</row>
    <row r="83" spans="1:79" ht="52.5" customHeight="1" x14ac:dyDescent="0.2">
      <c r="A83" s="89"/>
      <c r="B83" s="90"/>
      <c r="C83" s="90"/>
      <c r="D83" s="89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1"/>
      <c r="U83" s="51" t="s">
        <v>5</v>
      </c>
      <c r="V83" s="52"/>
      <c r="W83" s="52"/>
      <c r="X83" s="52"/>
      <c r="Y83" s="53"/>
      <c r="Z83" s="51" t="s">
        <v>4</v>
      </c>
      <c r="AA83" s="52"/>
      <c r="AB83" s="52"/>
      <c r="AC83" s="52"/>
      <c r="AD83" s="53"/>
      <c r="AE83" s="71" t="s">
        <v>147</v>
      </c>
      <c r="AF83" s="72"/>
      <c r="AG83" s="72"/>
      <c r="AH83" s="73"/>
      <c r="AI83" s="51" t="s">
        <v>6</v>
      </c>
      <c r="AJ83" s="52"/>
      <c r="AK83" s="52"/>
      <c r="AL83" s="52"/>
      <c r="AM83" s="53"/>
      <c r="AN83" s="51" t="s">
        <v>5</v>
      </c>
      <c r="AO83" s="52"/>
      <c r="AP83" s="52"/>
      <c r="AQ83" s="52"/>
      <c r="AR83" s="53"/>
      <c r="AS83" s="51" t="s">
        <v>4</v>
      </c>
      <c r="AT83" s="52"/>
      <c r="AU83" s="52"/>
      <c r="AV83" s="52"/>
      <c r="AW83" s="53"/>
      <c r="AX83" s="71" t="s">
        <v>147</v>
      </c>
      <c r="AY83" s="72"/>
      <c r="AZ83" s="72"/>
      <c r="BA83" s="73"/>
      <c r="BB83" s="51" t="s">
        <v>118</v>
      </c>
      <c r="BC83" s="52"/>
      <c r="BD83" s="52"/>
      <c r="BE83" s="52"/>
      <c r="BF83" s="53"/>
      <c r="BG83" s="51" t="s">
        <v>5</v>
      </c>
      <c r="BH83" s="52"/>
      <c r="BI83" s="52"/>
      <c r="BJ83" s="52"/>
      <c r="BK83" s="53"/>
      <c r="BL83" s="57" t="s">
        <v>4</v>
      </c>
      <c r="BM83" s="57"/>
      <c r="BN83" s="57"/>
      <c r="BO83" s="57"/>
      <c r="BP83" s="57"/>
      <c r="BQ83" s="74" t="s">
        <v>147</v>
      </c>
      <c r="BR83" s="74"/>
      <c r="BS83" s="74"/>
      <c r="BT83" s="74"/>
      <c r="BU83" s="51" t="s">
        <v>119</v>
      </c>
      <c r="BV83" s="52"/>
      <c r="BW83" s="52"/>
      <c r="BX83" s="52"/>
      <c r="BY83" s="53"/>
    </row>
    <row r="84" spans="1:79" ht="15" customHeight="1" x14ac:dyDescent="0.2">
      <c r="A84" s="51">
        <v>1</v>
      </c>
      <c r="B84" s="52"/>
      <c r="C84" s="52"/>
      <c r="D84" s="51">
        <v>2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51">
        <v>3</v>
      </c>
      <c r="V84" s="52"/>
      <c r="W84" s="52"/>
      <c r="X84" s="52"/>
      <c r="Y84" s="53"/>
      <c r="Z84" s="51">
        <v>4</v>
      </c>
      <c r="AA84" s="52"/>
      <c r="AB84" s="52"/>
      <c r="AC84" s="52"/>
      <c r="AD84" s="53"/>
      <c r="AE84" s="51">
        <v>5</v>
      </c>
      <c r="AF84" s="52"/>
      <c r="AG84" s="52"/>
      <c r="AH84" s="53"/>
      <c r="AI84" s="51">
        <v>6</v>
      </c>
      <c r="AJ84" s="52"/>
      <c r="AK84" s="52"/>
      <c r="AL84" s="52"/>
      <c r="AM84" s="53"/>
      <c r="AN84" s="51">
        <v>7</v>
      </c>
      <c r="AO84" s="52"/>
      <c r="AP84" s="52"/>
      <c r="AQ84" s="52"/>
      <c r="AR84" s="53"/>
      <c r="AS84" s="51">
        <v>8</v>
      </c>
      <c r="AT84" s="52"/>
      <c r="AU84" s="52"/>
      <c r="AV84" s="52"/>
      <c r="AW84" s="53"/>
      <c r="AX84" s="57">
        <v>9</v>
      </c>
      <c r="AY84" s="57"/>
      <c r="AZ84" s="57"/>
      <c r="BA84" s="57"/>
      <c r="BB84" s="51">
        <v>10</v>
      </c>
      <c r="BC84" s="52"/>
      <c r="BD84" s="52"/>
      <c r="BE84" s="52"/>
      <c r="BF84" s="53"/>
      <c r="BG84" s="51">
        <v>11</v>
      </c>
      <c r="BH84" s="52"/>
      <c r="BI84" s="52"/>
      <c r="BJ84" s="52"/>
      <c r="BK84" s="53"/>
      <c r="BL84" s="57">
        <v>12</v>
      </c>
      <c r="BM84" s="57"/>
      <c r="BN84" s="57"/>
      <c r="BO84" s="57"/>
      <c r="BP84" s="57"/>
      <c r="BQ84" s="51">
        <v>13</v>
      </c>
      <c r="BR84" s="52"/>
      <c r="BS84" s="52"/>
      <c r="BT84" s="53"/>
      <c r="BU84" s="51">
        <v>14</v>
      </c>
      <c r="BV84" s="52"/>
      <c r="BW84" s="52"/>
      <c r="BX84" s="52"/>
      <c r="BY84" s="53"/>
    </row>
    <row r="85" spans="1:79" s="2" customFormat="1" ht="14.25" hidden="1" customHeight="1" x14ac:dyDescent="0.2">
      <c r="A85" s="54" t="s">
        <v>90</v>
      </c>
      <c r="B85" s="55"/>
      <c r="C85" s="55"/>
      <c r="D85" s="54" t="s">
        <v>78</v>
      </c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60" t="s">
        <v>86</v>
      </c>
      <c r="V85" s="60"/>
      <c r="W85" s="60"/>
      <c r="X85" s="60"/>
      <c r="Y85" s="60"/>
      <c r="Z85" s="60" t="s">
        <v>87</v>
      </c>
      <c r="AA85" s="60"/>
      <c r="AB85" s="60"/>
      <c r="AC85" s="60"/>
      <c r="AD85" s="60"/>
      <c r="AE85" s="60" t="s">
        <v>113</v>
      </c>
      <c r="AF85" s="60"/>
      <c r="AG85" s="60"/>
      <c r="AH85" s="60"/>
      <c r="AI85" s="69" t="s">
        <v>217</v>
      </c>
      <c r="AJ85" s="69"/>
      <c r="AK85" s="69"/>
      <c r="AL85" s="69"/>
      <c r="AM85" s="69"/>
      <c r="AN85" s="60" t="s">
        <v>88</v>
      </c>
      <c r="AO85" s="60"/>
      <c r="AP85" s="60"/>
      <c r="AQ85" s="60"/>
      <c r="AR85" s="60"/>
      <c r="AS85" s="60" t="s">
        <v>89</v>
      </c>
      <c r="AT85" s="60"/>
      <c r="AU85" s="60"/>
      <c r="AV85" s="60"/>
      <c r="AW85" s="60"/>
      <c r="AX85" s="60" t="s">
        <v>114</v>
      </c>
      <c r="AY85" s="60"/>
      <c r="AZ85" s="60"/>
      <c r="BA85" s="60"/>
      <c r="BB85" s="69" t="s">
        <v>217</v>
      </c>
      <c r="BC85" s="69"/>
      <c r="BD85" s="69"/>
      <c r="BE85" s="69"/>
      <c r="BF85" s="69"/>
      <c r="BG85" s="60" t="s">
        <v>79</v>
      </c>
      <c r="BH85" s="60"/>
      <c r="BI85" s="60"/>
      <c r="BJ85" s="60"/>
      <c r="BK85" s="60"/>
      <c r="BL85" s="60" t="s">
        <v>80</v>
      </c>
      <c r="BM85" s="60"/>
      <c r="BN85" s="60"/>
      <c r="BO85" s="60"/>
      <c r="BP85" s="60"/>
      <c r="BQ85" s="60" t="s">
        <v>115</v>
      </c>
      <c r="BR85" s="60"/>
      <c r="BS85" s="60"/>
      <c r="BT85" s="60"/>
      <c r="BU85" s="69" t="s">
        <v>217</v>
      </c>
      <c r="BV85" s="69"/>
      <c r="BW85" s="69"/>
      <c r="BX85" s="69"/>
      <c r="BY85" s="69"/>
      <c r="CA85" t="s">
        <v>41</v>
      </c>
    </row>
    <row r="86" spans="1:79" s="137" customFormat="1" ht="38.25" customHeight="1" x14ac:dyDescent="0.2">
      <c r="A86" s="157">
        <v>1</v>
      </c>
      <c r="B86" s="158"/>
      <c r="C86" s="158"/>
      <c r="D86" s="131" t="s">
        <v>333</v>
      </c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3"/>
      <c r="U86" s="161">
        <v>0</v>
      </c>
      <c r="V86" s="162"/>
      <c r="W86" s="162"/>
      <c r="X86" s="162"/>
      <c r="Y86" s="163"/>
      <c r="Z86" s="161">
        <v>0</v>
      </c>
      <c r="AA86" s="162"/>
      <c r="AB86" s="162"/>
      <c r="AC86" s="162"/>
      <c r="AD86" s="163"/>
      <c r="AE86" s="161">
        <v>0</v>
      </c>
      <c r="AF86" s="162"/>
      <c r="AG86" s="162"/>
      <c r="AH86" s="163"/>
      <c r="AI86" s="161">
        <f>IF(ISNUMBER(U86),U86,0)+IF(ISNUMBER(Z86),Z86,0)</f>
        <v>0</v>
      </c>
      <c r="AJ86" s="162"/>
      <c r="AK86" s="162"/>
      <c r="AL86" s="162"/>
      <c r="AM86" s="163"/>
      <c r="AN86" s="161">
        <v>100000</v>
      </c>
      <c r="AO86" s="162"/>
      <c r="AP86" s="162"/>
      <c r="AQ86" s="162"/>
      <c r="AR86" s="163"/>
      <c r="AS86" s="161">
        <v>0</v>
      </c>
      <c r="AT86" s="162"/>
      <c r="AU86" s="162"/>
      <c r="AV86" s="162"/>
      <c r="AW86" s="163"/>
      <c r="AX86" s="161">
        <v>0</v>
      </c>
      <c r="AY86" s="162"/>
      <c r="AZ86" s="162"/>
      <c r="BA86" s="163"/>
      <c r="BB86" s="161">
        <f>IF(ISNUMBER(AN86),AN86,0)+IF(ISNUMBER(AS86),AS86,0)</f>
        <v>100000</v>
      </c>
      <c r="BC86" s="162"/>
      <c r="BD86" s="162"/>
      <c r="BE86" s="162"/>
      <c r="BF86" s="163"/>
      <c r="BG86" s="161">
        <v>100000</v>
      </c>
      <c r="BH86" s="162"/>
      <c r="BI86" s="162"/>
      <c r="BJ86" s="162"/>
      <c r="BK86" s="163"/>
      <c r="BL86" s="161">
        <v>0</v>
      </c>
      <c r="BM86" s="162"/>
      <c r="BN86" s="162"/>
      <c r="BO86" s="162"/>
      <c r="BP86" s="163"/>
      <c r="BQ86" s="161">
        <v>0</v>
      </c>
      <c r="BR86" s="162"/>
      <c r="BS86" s="162"/>
      <c r="BT86" s="163"/>
      <c r="BU86" s="161">
        <f>IF(ISNUMBER(BG86),BG86,0)+IF(ISNUMBER(BL86),BL86,0)</f>
        <v>100000</v>
      </c>
      <c r="BV86" s="162"/>
      <c r="BW86" s="162"/>
      <c r="BX86" s="162"/>
      <c r="BY86" s="163"/>
      <c r="CA86" s="137" t="s">
        <v>42</v>
      </c>
    </row>
    <row r="87" spans="1:79" s="9" customFormat="1" ht="12.75" customHeight="1" x14ac:dyDescent="0.2">
      <c r="A87" s="119"/>
      <c r="B87" s="117"/>
      <c r="C87" s="117"/>
      <c r="D87" s="138" t="s">
        <v>179</v>
      </c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40"/>
      <c r="U87" s="165">
        <v>0</v>
      </c>
      <c r="V87" s="166"/>
      <c r="W87" s="166"/>
      <c r="X87" s="166"/>
      <c r="Y87" s="167"/>
      <c r="Z87" s="165">
        <v>0</v>
      </c>
      <c r="AA87" s="166"/>
      <c r="AB87" s="166"/>
      <c r="AC87" s="166"/>
      <c r="AD87" s="167"/>
      <c r="AE87" s="165">
        <v>0</v>
      </c>
      <c r="AF87" s="166"/>
      <c r="AG87" s="166"/>
      <c r="AH87" s="167"/>
      <c r="AI87" s="165">
        <f>IF(ISNUMBER(U87),U87,0)+IF(ISNUMBER(Z87),Z87,0)</f>
        <v>0</v>
      </c>
      <c r="AJ87" s="166"/>
      <c r="AK87" s="166"/>
      <c r="AL87" s="166"/>
      <c r="AM87" s="167"/>
      <c r="AN87" s="165">
        <v>100000</v>
      </c>
      <c r="AO87" s="166"/>
      <c r="AP87" s="166"/>
      <c r="AQ87" s="166"/>
      <c r="AR87" s="167"/>
      <c r="AS87" s="165">
        <v>0</v>
      </c>
      <c r="AT87" s="166"/>
      <c r="AU87" s="166"/>
      <c r="AV87" s="166"/>
      <c r="AW87" s="167"/>
      <c r="AX87" s="165">
        <v>0</v>
      </c>
      <c r="AY87" s="166"/>
      <c r="AZ87" s="166"/>
      <c r="BA87" s="167"/>
      <c r="BB87" s="165">
        <f>IF(ISNUMBER(AN87),AN87,0)+IF(ISNUMBER(AS87),AS87,0)</f>
        <v>100000</v>
      </c>
      <c r="BC87" s="166"/>
      <c r="BD87" s="166"/>
      <c r="BE87" s="166"/>
      <c r="BF87" s="167"/>
      <c r="BG87" s="165">
        <v>100000</v>
      </c>
      <c r="BH87" s="166"/>
      <c r="BI87" s="166"/>
      <c r="BJ87" s="166"/>
      <c r="BK87" s="167"/>
      <c r="BL87" s="165">
        <v>0</v>
      </c>
      <c r="BM87" s="166"/>
      <c r="BN87" s="166"/>
      <c r="BO87" s="166"/>
      <c r="BP87" s="167"/>
      <c r="BQ87" s="165">
        <v>0</v>
      </c>
      <c r="BR87" s="166"/>
      <c r="BS87" s="166"/>
      <c r="BT87" s="167"/>
      <c r="BU87" s="165">
        <f>IF(ISNUMBER(BG87),BG87,0)+IF(ISNUMBER(BL87),BL87,0)</f>
        <v>100000</v>
      </c>
      <c r="BV87" s="166"/>
      <c r="BW87" s="166"/>
      <c r="BX87" s="166"/>
      <c r="BY87" s="167"/>
    </row>
    <row r="89" spans="1:79" ht="14.25" customHeight="1" x14ac:dyDescent="0.2">
      <c r="A89" s="67" t="s">
        <v>321</v>
      </c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1:79" ht="15" customHeight="1" x14ac:dyDescent="0.2">
      <c r="A90" s="70" t="s">
        <v>243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</row>
    <row r="91" spans="1:79" ht="23.1" customHeight="1" x14ac:dyDescent="0.2">
      <c r="A91" s="86" t="s">
        <v>7</v>
      </c>
      <c r="B91" s="87"/>
      <c r="C91" s="87"/>
      <c r="D91" s="86" t="s">
        <v>152</v>
      </c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8"/>
      <c r="U91" s="57" t="s">
        <v>247</v>
      </c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 t="s">
        <v>249</v>
      </c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</row>
    <row r="92" spans="1:79" ht="54" customHeight="1" x14ac:dyDescent="0.2">
      <c r="A92" s="89"/>
      <c r="B92" s="90"/>
      <c r="C92" s="90"/>
      <c r="D92" s="89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1"/>
      <c r="U92" s="51" t="s">
        <v>5</v>
      </c>
      <c r="V92" s="52"/>
      <c r="W92" s="52"/>
      <c r="X92" s="52"/>
      <c r="Y92" s="53"/>
      <c r="Z92" s="51" t="s">
        <v>4</v>
      </c>
      <c r="AA92" s="52"/>
      <c r="AB92" s="52"/>
      <c r="AC92" s="52"/>
      <c r="AD92" s="53"/>
      <c r="AE92" s="71" t="s">
        <v>147</v>
      </c>
      <c r="AF92" s="72"/>
      <c r="AG92" s="72"/>
      <c r="AH92" s="72"/>
      <c r="AI92" s="73"/>
      <c r="AJ92" s="51" t="s">
        <v>6</v>
      </c>
      <c r="AK92" s="52"/>
      <c r="AL92" s="52"/>
      <c r="AM92" s="52"/>
      <c r="AN92" s="53"/>
      <c r="AO92" s="51" t="s">
        <v>5</v>
      </c>
      <c r="AP92" s="52"/>
      <c r="AQ92" s="52"/>
      <c r="AR92" s="52"/>
      <c r="AS92" s="53"/>
      <c r="AT92" s="51" t="s">
        <v>4</v>
      </c>
      <c r="AU92" s="52"/>
      <c r="AV92" s="52"/>
      <c r="AW92" s="52"/>
      <c r="AX92" s="53"/>
      <c r="AY92" s="71" t="s">
        <v>147</v>
      </c>
      <c r="AZ92" s="72"/>
      <c r="BA92" s="72"/>
      <c r="BB92" s="72"/>
      <c r="BC92" s="73"/>
      <c r="BD92" s="57" t="s">
        <v>118</v>
      </c>
      <c r="BE92" s="57"/>
      <c r="BF92" s="57"/>
      <c r="BG92" s="57"/>
      <c r="BH92" s="57"/>
    </row>
    <row r="93" spans="1:79" ht="15" customHeight="1" x14ac:dyDescent="0.2">
      <c r="A93" s="51" t="s">
        <v>216</v>
      </c>
      <c r="B93" s="52"/>
      <c r="C93" s="52"/>
      <c r="D93" s="51">
        <v>2</v>
      </c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3"/>
      <c r="U93" s="51">
        <v>3</v>
      </c>
      <c r="V93" s="52"/>
      <c r="W93" s="52"/>
      <c r="X93" s="52"/>
      <c r="Y93" s="53"/>
      <c r="Z93" s="51">
        <v>4</v>
      </c>
      <c r="AA93" s="52"/>
      <c r="AB93" s="52"/>
      <c r="AC93" s="52"/>
      <c r="AD93" s="53"/>
      <c r="AE93" s="51">
        <v>5</v>
      </c>
      <c r="AF93" s="52"/>
      <c r="AG93" s="52"/>
      <c r="AH93" s="52"/>
      <c r="AI93" s="53"/>
      <c r="AJ93" s="51">
        <v>6</v>
      </c>
      <c r="AK93" s="52"/>
      <c r="AL93" s="52"/>
      <c r="AM93" s="52"/>
      <c r="AN93" s="53"/>
      <c r="AO93" s="51">
        <v>7</v>
      </c>
      <c r="AP93" s="52"/>
      <c r="AQ93" s="52"/>
      <c r="AR93" s="52"/>
      <c r="AS93" s="53"/>
      <c r="AT93" s="51">
        <v>8</v>
      </c>
      <c r="AU93" s="52"/>
      <c r="AV93" s="52"/>
      <c r="AW93" s="52"/>
      <c r="AX93" s="53"/>
      <c r="AY93" s="51">
        <v>9</v>
      </c>
      <c r="AZ93" s="52"/>
      <c r="BA93" s="52"/>
      <c r="BB93" s="52"/>
      <c r="BC93" s="53"/>
      <c r="BD93" s="51">
        <v>10</v>
      </c>
      <c r="BE93" s="52"/>
      <c r="BF93" s="52"/>
      <c r="BG93" s="52"/>
      <c r="BH93" s="53"/>
    </row>
    <row r="94" spans="1:79" s="2" customFormat="1" ht="12.75" hidden="1" customHeight="1" x14ac:dyDescent="0.2">
      <c r="A94" s="54" t="s">
        <v>90</v>
      </c>
      <c r="B94" s="55"/>
      <c r="C94" s="55"/>
      <c r="D94" s="54" t="s">
        <v>78</v>
      </c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6"/>
      <c r="U94" s="54" t="s">
        <v>81</v>
      </c>
      <c r="V94" s="55"/>
      <c r="W94" s="55"/>
      <c r="X94" s="55"/>
      <c r="Y94" s="56"/>
      <c r="Z94" s="54" t="s">
        <v>82</v>
      </c>
      <c r="AA94" s="55"/>
      <c r="AB94" s="55"/>
      <c r="AC94" s="55"/>
      <c r="AD94" s="56"/>
      <c r="AE94" s="54" t="s">
        <v>116</v>
      </c>
      <c r="AF94" s="55"/>
      <c r="AG94" s="55"/>
      <c r="AH94" s="55"/>
      <c r="AI94" s="56"/>
      <c r="AJ94" s="75" t="s">
        <v>218</v>
      </c>
      <c r="AK94" s="76"/>
      <c r="AL94" s="76"/>
      <c r="AM94" s="76"/>
      <c r="AN94" s="77"/>
      <c r="AO94" s="54" t="s">
        <v>83</v>
      </c>
      <c r="AP94" s="55"/>
      <c r="AQ94" s="55"/>
      <c r="AR94" s="55"/>
      <c r="AS94" s="56"/>
      <c r="AT94" s="54" t="s">
        <v>84</v>
      </c>
      <c r="AU94" s="55"/>
      <c r="AV94" s="55"/>
      <c r="AW94" s="55"/>
      <c r="AX94" s="56"/>
      <c r="AY94" s="54" t="s">
        <v>117</v>
      </c>
      <c r="AZ94" s="55"/>
      <c r="BA94" s="55"/>
      <c r="BB94" s="55"/>
      <c r="BC94" s="56"/>
      <c r="BD94" s="69" t="s">
        <v>218</v>
      </c>
      <c r="BE94" s="69"/>
      <c r="BF94" s="69"/>
      <c r="BG94" s="69"/>
      <c r="BH94" s="69"/>
      <c r="CA94" s="2" t="s">
        <v>43</v>
      </c>
    </row>
    <row r="95" spans="1:79" s="137" customFormat="1" ht="38.25" customHeight="1" x14ac:dyDescent="0.2">
      <c r="A95" s="157">
        <v>1</v>
      </c>
      <c r="B95" s="158"/>
      <c r="C95" s="158"/>
      <c r="D95" s="131" t="s">
        <v>333</v>
      </c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3"/>
      <c r="U95" s="161">
        <v>100000</v>
      </c>
      <c r="V95" s="162"/>
      <c r="W95" s="162"/>
      <c r="X95" s="162"/>
      <c r="Y95" s="163"/>
      <c r="Z95" s="161">
        <v>0</v>
      </c>
      <c r="AA95" s="162"/>
      <c r="AB95" s="162"/>
      <c r="AC95" s="162"/>
      <c r="AD95" s="163"/>
      <c r="AE95" s="160">
        <v>0</v>
      </c>
      <c r="AF95" s="160"/>
      <c r="AG95" s="160"/>
      <c r="AH95" s="160"/>
      <c r="AI95" s="160"/>
      <c r="AJ95" s="171">
        <f>IF(ISNUMBER(U95),U95,0)+IF(ISNUMBER(Z95),Z95,0)</f>
        <v>100000</v>
      </c>
      <c r="AK95" s="171"/>
      <c r="AL95" s="171"/>
      <c r="AM95" s="171"/>
      <c r="AN95" s="171"/>
      <c r="AO95" s="160">
        <v>100000</v>
      </c>
      <c r="AP95" s="160"/>
      <c r="AQ95" s="160"/>
      <c r="AR95" s="160"/>
      <c r="AS95" s="160"/>
      <c r="AT95" s="171">
        <v>0</v>
      </c>
      <c r="AU95" s="171"/>
      <c r="AV95" s="171"/>
      <c r="AW95" s="171"/>
      <c r="AX95" s="171"/>
      <c r="AY95" s="160">
        <v>0</v>
      </c>
      <c r="AZ95" s="160"/>
      <c r="BA95" s="160"/>
      <c r="BB95" s="160"/>
      <c r="BC95" s="160"/>
      <c r="BD95" s="171">
        <f>IF(ISNUMBER(AO95),AO95,0)+IF(ISNUMBER(AT95),AT95,0)</f>
        <v>100000</v>
      </c>
      <c r="BE95" s="171"/>
      <c r="BF95" s="171"/>
      <c r="BG95" s="171"/>
      <c r="BH95" s="171"/>
      <c r="CA95" s="137" t="s">
        <v>44</v>
      </c>
    </row>
    <row r="96" spans="1:79" s="9" customFormat="1" ht="12.75" customHeight="1" x14ac:dyDescent="0.2">
      <c r="A96" s="119"/>
      <c r="B96" s="117"/>
      <c r="C96" s="117"/>
      <c r="D96" s="138" t="s">
        <v>179</v>
      </c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40"/>
      <c r="U96" s="165">
        <v>100000</v>
      </c>
      <c r="V96" s="166"/>
      <c r="W96" s="166"/>
      <c r="X96" s="166"/>
      <c r="Y96" s="167"/>
      <c r="Z96" s="165">
        <v>0</v>
      </c>
      <c r="AA96" s="166"/>
      <c r="AB96" s="166"/>
      <c r="AC96" s="166"/>
      <c r="AD96" s="167"/>
      <c r="AE96" s="164">
        <v>0</v>
      </c>
      <c r="AF96" s="164"/>
      <c r="AG96" s="164"/>
      <c r="AH96" s="164"/>
      <c r="AI96" s="164"/>
      <c r="AJ96" s="120">
        <f>IF(ISNUMBER(U96),U96,0)+IF(ISNUMBER(Z96),Z96,0)</f>
        <v>100000</v>
      </c>
      <c r="AK96" s="120"/>
      <c r="AL96" s="120"/>
      <c r="AM96" s="120"/>
      <c r="AN96" s="120"/>
      <c r="AO96" s="164">
        <v>100000</v>
      </c>
      <c r="AP96" s="164"/>
      <c r="AQ96" s="164"/>
      <c r="AR96" s="164"/>
      <c r="AS96" s="164"/>
      <c r="AT96" s="120">
        <v>0</v>
      </c>
      <c r="AU96" s="120"/>
      <c r="AV96" s="120"/>
      <c r="AW96" s="120"/>
      <c r="AX96" s="120"/>
      <c r="AY96" s="164">
        <v>0</v>
      </c>
      <c r="AZ96" s="164"/>
      <c r="BA96" s="164"/>
      <c r="BB96" s="164"/>
      <c r="BC96" s="164"/>
      <c r="BD96" s="120">
        <f>IF(ISNUMBER(AO96),AO96,0)+IF(ISNUMBER(AT96),AT96,0)</f>
        <v>100000</v>
      </c>
      <c r="BE96" s="120"/>
      <c r="BF96" s="120"/>
      <c r="BG96" s="120"/>
      <c r="BH96" s="120"/>
    </row>
    <row r="97" spans="1:79" s="8" customFormat="1" ht="12.75" customHeight="1" x14ac:dyDescent="0.2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</row>
    <row r="99" spans="1:79" ht="14.25" customHeight="1" x14ac:dyDescent="0.2">
      <c r="A99" s="67" t="s">
        <v>184</v>
      </c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1:79" ht="14.25" customHeight="1" x14ac:dyDescent="0.2">
      <c r="A100" s="67" t="s">
        <v>309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1:79" ht="23.1" customHeight="1" x14ac:dyDescent="0.2">
      <c r="A101" s="86" t="s">
        <v>7</v>
      </c>
      <c r="B101" s="87"/>
      <c r="C101" s="87"/>
      <c r="D101" s="57" t="s">
        <v>10</v>
      </c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 t="s">
        <v>9</v>
      </c>
      <c r="R101" s="57"/>
      <c r="S101" s="57"/>
      <c r="T101" s="57"/>
      <c r="U101" s="57"/>
      <c r="V101" s="57" t="s">
        <v>8</v>
      </c>
      <c r="W101" s="57"/>
      <c r="X101" s="57"/>
      <c r="Y101" s="57"/>
      <c r="Z101" s="57"/>
      <c r="AA101" s="57"/>
      <c r="AB101" s="57"/>
      <c r="AC101" s="57"/>
      <c r="AD101" s="57"/>
      <c r="AE101" s="57"/>
      <c r="AF101" s="51" t="s">
        <v>244</v>
      </c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3"/>
      <c r="AU101" s="51" t="s">
        <v>245</v>
      </c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3"/>
      <c r="BJ101" s="51" t="s">
        <v>246</v>
      </c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3"/>
    </row>
    <row r="102" spans="1:79" ht="32.25" customHeight="1" x14ac:dyDescent="0.2">
      <c r="A102" s="89"/>
      <c r="B102" s="90"/>
      <c r="C102" s="90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 t="s">
        <v>5</v>
      </c>
      <c r="AG102" s="57"/>
      <c r="AH102" s="57"/>
      <c r="AI102" s="57"/>
      <c r="AJ102" s="57"/>
      <c r="AK102" s="57" t="s">
        <v>4</v>
      </c>
      <c r="AL102" s="57"/>
      <c r="AM102" s="57"/>
      <c r="AN102" s="57"/>
      <c r="AO102" s="57"/>
      <c r="AP102" s="57" t="s">
        <v>154</v>
      </c>
      <c r="AQ102" s="57"/>
      <c r="AR102" s="57"/>
      <c r="AS102" s="57"/>
      <c r="AT102" s="57"/>
      <c r="AU102" s="57" t="s">
        <v>5</v>
      </c>
      <c r="AV102" s="57"/>
      <c r="AW102" s="57"/>
      <c r="AX102" s="57"/>
      <c r="AY102" s="57"/>
      <c r="AZ102" s="57" t="s">
        <v>4</v>
      </c>
      <c r="BA102" s="57"/>
      <c r="BB102" s="57"/>
      <c r="BC102" s="57"/>
      <c r="BD102" s="57"/>
      <c r="BE102" s="57" t="s">
        <v>112</v>
      </c>
      <c r="BF102" s="57"/>
      <c r="BG102" s="57"/>
      <c r="BH102" s="57"/>
      <c r="BI102" s="57"/>
      <c r="BJ102" s="57" t="s">
        <v>5</v>
      </c>
      <c r="BK102" s="57"/>
      <c r="BL102" s="57"/>
      <c r="BM102" s="57"/>
      <c r="BN102" s="57"/>
      <c r="BO102" s="57" t="s">
        <v>4</v>
      </c>
      <c r="BP102" s="57"/>
      <c r="BQ102" s="57"/>
      <c r="BR102" s="57"/>
      <c r="BS102" s="57"/>
      <c r="BT102" s="57" t="s">
        <v>119</v>
      </c>
      <c r="BU102" s="57"/>
      <c r="BV102" s="57"/>
      <c r="BW102" s="57"/>
      <c r="BX102" s="57"/>
    </row>
    <row r="103" spans="1:79" ht="15" customHeight="1" x14ac:dyDescent="0.2">
      <c r="A103" s="51">
        <v>1</v>
      </c>
      <c r="B103" s="52"/>
      <c r="C103" s="52"/>
      <c r="D103" s="57">
        <v>2</v>
      </c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>
        <v>3</v>
      </c>
      <c r="R103" s="57"/>
      <c r="S103" s="57"/>
      <c r="T103" s="57"/>
      <c r="U103" s="57"/>
      <c r="V103" s="57">
        <v>4</v>
      </c>
      <c r="W103" s="57"/>
      <c r="X103" s="57"/>
      <c r="Y103" s="57"/>
      <c r="Z103" s="57"/>
      <c r="AA103" s="57"/>
      <c r="AB103" s="57"/>
      <c r="AC103" s="57"/>
      <c r="AD103" s="57"/>
      <c r="AE103" s="57"/>
      <c r="AF103" s="57">
        <v>5</v>
      </c>
      <c r="AG103" s="57"/>
      <c r="AH103" s="57"/>
      <c r="AI103" s="57"/>
      <c r="AJ103" s="57"/>
      <c r="AK103" s="57">
        <v>6</v>
      </c>
      <c r="AL103" s="57"/>
      <c r="AM103" s="57"/>
      <c r="AN103" s="57"/>
      <c r="AO103" s="57"/>
      <c r="AP103" s="57">
        <v>7</v>
      </c>
      <c r="AQ103" s="57"/>
      <c r="AR103" s="57"/>
      <c r="AS103" s="57"/>
      <c r="AT103" s="57"/>
      <c r="AU103" s="57">
        <v>8</v>
      </c>
      <c r="AV103" s="57"/>
      <c r="AW103" s="57"/>
      <c r="AX103" s="57"/>
      <c r="AY103" s="57"/>
      <c r="AZ103" s="57">
        <v>9</v>
      </c>
      <c r="BA103" s="57"/>
      <c r="BB103" s="57"/>
      <c r="BC103" s="57"/>
      <c r="BD103" s="57"/>
      <c r="BE103" s="57">
        <v>10</v>
      </c>
      <c r="BF103" s="57"/>
      <c r="BG103" s="57"/>
      <c r="BH103" s="57"/>
      <c r="BI103" s="57"/>
      <c r="BJ103" s="57">
        <v>11</v>
      </c>
      <c r="BK103" s="57"/>
      <c r="BL103" s="57"/>
      <c r="BM103" s="57"/>
      <c r="BN103" s="57"/>
      <c r="BO103" s="57">
        <v>12</v>
      </c>
      <c r="BP103" s="57"/>
      <c r="BQ103" s="57"/>
      <c r="BR103" s="57"/>
      <c r="BS103" s="57"/>
      <c r="BT103" s="57">
        <v>13</v>
      </c>
      <c r="BU103" s="57"/>
      <c r="BV103" s="57"/>
      <c r="BW103" s="57"/>
      <c r="BX103" s="57"/>
    </row>
    <row r="104" spans="1:79" ht="10.5" hidden="1" customHeight="1" x14ac:dyDescent="0.2">
      <c r="A104" s="54" t="s">
        <v>187</v>
      </c>
      <c r="B104" s="55"/>
      <c r="C104" s="55"/>
      <c r="D104" s="57" t="s">
        <v>78</v>
      </c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 t="s">
        <v>91</v>
      </c>
      <c r="R104" s="57"/>
      <c r="S104" s="57"/>
      <c r="T104" s="57"/>
      <c r="U104" s="57"/>
      <c r="V104" s="57" t="s">
        <v>92</v>
      </c>
      <c r="W104" s="57"/>
      <c r="X104" s="57"/>
      <c r="Y104" s="57"/>
      <c r="Z104" s="57"/>
      <c r="AA104" s="57"/>
      <c r="AB104" s="57"/>
      <c r="AC104" s="57"/>
      <c r="AD104" s="57"/>
      <c r="AE104" s="57"/>
      <c r="AF104" s="60" t="s">
        <v>139</v>
      </c>
      <c r="AG104" s="60"/>
      <c r="AH104" s="60"/>
      <c r="AI104" s="60"/>
      <c r="AJ104" s="60"/>
      <c r="AK104" s="59" t="s">
        <v>140</v>
      </c>
      <c r="AL104" s="59"/>
      <c r="AM104" s="59"/>
      <c r="AN104" s="59"/>
      <c r="AO104" s="59"/>
      <c r="AP104" s="69" t="s">
        <v>265</v>
      </c>
      <c r="AQ104" s="69"/>
      <c r="AR104" s="69"/>
      <c r="AS104" s="69"/>
      <c r="AT104" s="69"/>
      <c r="AU104" s="60" t="s">
        <v>141</v>
      </c>
      <c r="AV104" s="60"/>
      <c r="AW104" s="60"/>
      <c r="AX104" s="60"/>
      <c r="AY104" s="60"/>
      <c r="AZ104" s="59" t="s">
        <v>142</v>
      </c>
      <c r="BA104" s="59"/>
      <c r="BB104" s="59"/>
      <c r="BC104" s="59"/>
      <c r="BD104" s="59"/>
      <c r="BE104" s="69" t="s">
        <v>265</v>
      </c>
      <c r="BF104" s="69"/>
      <c r="BG104" s="69"/>
      <c r="BH104" s="69"/>
      <c r="BI104" s="69"/>
      <c r="BJ104" s="60" t="s">
        <v>133</v>
      </c>
      <c r="BK104" s="60"/>
      <c r="BL104" s="60"/>
      <c r="BM104" s="60"/>
      <c r="BN104" s="60"/>
      <c r="BO104" s="59" t="s">
        <v>134</v>
      </c>
      <c r="BP104" s="59"/>
      <c r="BQ104" s="59"/>
      <c r="BR104" s="59"/>
      <c r="BS104" s="59"/>
      <c r="BT104" s="69" t="s">
        <v>265</v>
      </c>
      <c r="BU104" s="69"/>
      <c r="BV104" s="69"/>
      <c r="BW104" s="69"/>
      <c r="BX104" s="69"/>
      <c r="CA104" t="s">
        <v>45</v>
      </c>
    </row>
    <row r="105" spans="1:79" s="9" customFormat="1" ht="15" customHeight="1" x14ac:dyDescent="0.2">
      <c r="A105" s="119">
        <v>0</v>
      </c>
      <c r="B105" s="117"/>
      <c r="C105" s="117"/>
      <c r="D105" s="172" t="s">
        <v>264</v>
      </c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3"/>
      <c r="AT105" s="173"/>
      <c r="AU105" s="173"/>
      <c r="AV105" s="173"/>
      <c r="AW105" s="173"/>
      <c r="AX105" s="173"/>
      <c r="AY105" s="173"/>
      <c r="AZ105" s="173"/>
      <c r="BA105" s="173"/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173"/>
      <c r="BP105" s="173"/>
      <c r="BQ105" s="173"/>
      <c r="BR105" s="173"/>
      <c r="BS105" s="173"/>
      <c r="BT105" s="173"/>
      <c r="BU105" s="173"/>
      <c r="BV105" s="173"/>
      <c r="BW105" s="173"/>
      <c r="BX105" s="173"/>
      <c r="CA105" s="9" t="s">
        <v>46</v>
      </c>
    </row>
    <row r="106" spans="1:79" s="137" customFormat="1" ht="15" customHeight="1" x14ac:dyDescent="0.2">
      <c r="A106" s="157">
        <v>1</v>
      </c>
      <c r="B106" s="158"/>
      <c r="C106" s="158"/>
      <c r="D106" s="175" t="s">
        <v>334</v>
      </c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3"/>
      <c r="Q106" s="57" t="s">
        <v>273</v>
      </c>
      <c r="R106" s="57"/>
      <c r="S106" s="57"/>
      <c r="T106" s="57"/>
      <c r="U106" s="57"/>
      <c r="V106" s="57" t="s">
        <v>335</v>
      </c>
      <c r="W106" s="57"/>
      <c r="X106" s="57"/>
      <c r="Y106" s="57"/>
      <c r="Z106" s="57"/>
      <c r="AA106" s="57"/>
      <c r="AB106" s="57"/>
      <c r="AC106" s="57"/>
      <c r="AD106" s="57"/>
      <c r="AE106" s="57"/>
      <c r="AF106" s="176">
        <v>0</v>
      </c>
      <c r="AG106" s="176"/>
      <c r="AH106" s="176"/>
      <c r="AI106" s="176"/>
      <c r="AJ106" s="176"/>
      <c r="AK106" s="176">
        <v>0</v>
      </c>
      <c r="AL106" s="176"/>
      <c r="AM106" s="176"/>
      <c r="AN106" s="176"/>
      <c r="AO106" s="176"/>
      <c r="AP106" s="176">
        <v>0</v>
      </c>
      <c r="AQ106" s="176"/>
      <c r="AR106" s="176"/>
      <c r="AS106" s="176"/>
      <c r="AT106" s="176"/>
      <c r="AU106" s="176">
        <v>100000</v>
      </c>
      <c r="AV106" s="176"/>
      <c r="AW106" s="176"/>
      <c r="AX106" s="176"/>
      <c r="AY106" s="176"/>
      <c r="AZ106" s="176">
        <v>0</v>
      </c>
      <c r="BA106" s="176"/>
      <c r="BB106" s="176"/>
      <c r="BC106" s="176"/>
      <c r="BD106" s="176"/>
      <c r="BE106" s="176">
        <v>100000</v>
      </c>
      <c r="BF106" s="176"/>
      <c r="BG106" s="176"/>
      <c r="BH106" s="176"/>
      <c r="BI106" s="176"/>
      <c r="BJ106" s="176">
        <v>100000</v>
      </c>
      <c r="BK106" s="176"/>
      <c r="BL106" s="176"/>
      <c r="BM106" s="176"/>
      <c r="BN106" s="176"/>
      <c r="BO106" s="176">
        <v>0</v>
      </c>
      <c r="BP106" s="176"/>
      <c r="BQ106" s="176"/>
      <c r="BR106" s="176"/>
      <c r="BS106" s="176"/>
      <c r="BT106" s="176">
        <v>100000</v>
      </c>
      <c r="BU106" s="176"/>
      <c r="BV106" s="176"/>
      <c r="BW106" s="176"/>
      <c r="BX106" s="176"/>
    </row>
    <row r="107" spans="1:79" s="9" customFormat="1" ht="15" customHeight="1" x14ac:dyDescent="0.2">
      <c r="A107" s="119">
        <v>0</v>
      </c>
      <c r="B107" s="117"/>
      <c r="C107" s="117"/>
      <c r="D107" s="174" t="s">
        <v>268</v>
      </c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40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173"/>
      <c r="BP107" s="173"/>
      <c r="BQ107" s="173"/>
      <c r="BR107" s="173"/>
      <c r="BS107" s="173"/>
      <c r="BT107" s="173"/>
      <c r="BU107" s="173"/>
      <c r="BV107" s="173"/>
      <c r="BW107" s="173"/>
      <c r="BX107" s="173"/>
    </row>
    <row r="108" spans="1:79" s="137" customFormat="1" ht="28.5" customHeight="1" x14ac:dyDescent="0.2">
      <c r="A108" s="157">
        <v>1</v>
      </c>
      <c r="B108" s="158"/>
      <c r="C108" s="158"/>
      <c r="D108" s="175" t="s">
        <v>336</v>
      </c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3"/>
      <c r="Q108" s="57" t="s">
        <v>222</v>
      </c>
      <c r="R108" s="57"/>
      <c r="S108" s="57"/>
      <c r="T108" s="57"/>
      <c r="U108" s="57"/>
      <c r="V108" s="175" t="s">
        <v>337</v>
      </c>
      <c r="W108" s="132"/>
      <c r="X108" s="132"/>
      <c r="Y108" s="132"/>
      <c r="Z108" s="132"/>
      <c r="AA108" s="132"/>
      <c r="AB108" s="132"/>
      <c r="AC108" s="132"/>
      <c r="AD108" s="132"/>
      <c r="AE108" s="133"/>
      <c r="AF108" s="176">
        <v>0</v>
      </c>
      <c r="AG108" s="176"/>
      <c r="AH108" s="176"/>
      <c r="AI108" s="176"/>
      <c r="AJ108" s="176"/>
      <c r="AK108" s="176">
        <v>0</v>
      </c>
      <c r="AL108" s="176"/>
      <c r="AM108" s="176"/>
      <c r="AN108" s="176"/>
      <c r="AO108" s="176"/>
      <c r="AP108" s="176">
        <v>0</v>
      </c>
      <c r="AQ108" s="176"/>
      <c r="AR108" s="176"/>
      <c r="AS108" s="176"/>
      <c r="AT108" s="176"/>
      <c r="AU108" s="176">
        <v>4</v>
      </c>
      <c r="AV108" s="176"/>
      <c r="AW108" s="176"/>
      <c r="AX108" s="176"/>
      <c r="AY108" s="176"/>
      <c r="AZ108" s="176">
        <v>0</v>
      </c>
      <c r="BA108" s="176"/>
      <c r="BB108" s="176"/>
      <c r="BC108" s="176"/>
      <c r="BD108" s="176"/>
      <c r="BE108" s="176">
        <v>4</v>
      </c>
      <c r="BF108" s="176"/>
      <c r="BG108" s="176"/>
      <c r="BH108" s="176"/>
      <c r="BI108" s="176"/>
      <c r="BJ108" s="176">
        <v>4</v>
      </c>
      <c r="BK108" s="176"/>
      <c r="BL108" s="176"/>
      <c r="BM108" s="176"/>
      <c r="BN108" s="176"/>
      <c r="BO108" s="176">
        <v>0</v>
      </c>
      <c r="BP108" s="176"/>
      <c r="BQ108" s="176"/>
      <c r="BR108" s="176"/>
      <c r="BS108" s="176"/>
      <c r="BT108" s="176">
        <v>4</v>
      </c>
      <c r="BU108" s="176"/>
      <c r="BV108" s="176"/>
      <c r="BW108" s="176"/>
      <c r="BX108" s="176"/>
    </row>
    <row r="109" spans="1:79" s="9" customFormat="1" ht="15" customHeight="1" x14ac:dyDescent="0.2">
      <c r="A109" s="119">
        <v>0</v>
      </c>
      <c r="B109" s="117"/>
      <c r="C109" s="117"/>
      <c r="D109" s="174" t="s">
        <v>272</v>
      </c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40"/>
      <c r="Q109" s="172"/>
      <c r="R109" s="172"/>
      <c r="S109" s="172"/>
      <c r="T109" s="172"/>
      <c r="U109" s="172"/>
      <c r="V109" s="174"/>
      <c r="W109" s="139"/>
      <c r="X109" s="139"/>
      <c r="Y109" s="139"/>
      <c r="Z109" s="139"/>
      <c r="AA109" s="139"/>
      <c r="AB109" s="139"/>
      <c r="AC109" s="139"/>
      <c r="AD109" s="139"/>
      <c r="AE109" s="140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73"/>
      <c r="BA109" s="173"/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173"/>
      <c r="BP109" s="173"/>
      <c r="BQ109" s="173"/>
      <c r="BR109" s="173"/>
      <c r="BS109" s="173"/>
      <c r="BT109" s="173"/>
      <c r="BU109" s="173"/>
      <c r="BV109" s="173"/>
      <c r="BW109" s="173"/>
      <c r="BX109" s="173"/>
    </row>
    <row r="110" spans="1:79" s="137" customFormat="1" ht="28.5" customHeight="1" x14ac:dyDescent="0.2">
      <c r="A110" s="157">
        <v>1</v>
      </c>
      <c r="B110" s="158"/>
      <c r="C110" s="158"/>
      <c r="D110" s="175" t="s">
        <v>338</v>
      </c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3"/>
      <c r="Q110" s="57" t="s">
        <v>273</v>
      </c>
      <c r="R110" s="57"/>
      <c r="S110" s="57"/>
      <c r="T110" s="57"/>
      <c r="U110" s="57"/>
      <c r="V110" s="175" t="s">
        <v>337</v>
      </c>
      <c r="W110" s="132"/>
      <c r="X110" s="132"/>
      <c r="Y110" s="132"/>
      <c r="Z110" s="132"/>
      <c r="AA110" s="132"/>
      <c r="AB110" s="132"/>
      <c r="AC110" s="132"/>
      <c r="AD110" s="132"/>
      <c r="AE110" s="133"/>
      <c r="AF110" s="176">
        <v>0</v>
      </c>
      <c r="AG110" s="176"/>
      <c r="AH110" s="176"/>
      <c r="AI110" s="176"/>
      <c r="AJ110" s="176"/>
      <c r="AK110" s="176">
        <v>0</v>
      </c>
      <c r="AL110" s="176"/>
      <c r="AM110" s="176"/>
      <c r="AN110" s="176"/>
      <c r="AO110" s="176"/>
      <c r="AP110" s="176">
        <v>0</v>
      </c>
      <c r="AQ110" s="176"/>
      <c r="AR110" s="176"/>
      <c r="AS110" s="176"/>
      <c r="AT110" s="176"/>
      <c r="AU110" s="176">
        <v>25000</v>
      </c>
      <c r="AV110" s="176"/>
      <c r="AW110" s="176"/>
      <c r="AX110" s="176"/>
      <c r="AY110" s="176"/>
      <c r="AZ110" s="176">
        <v>0</v>
      </c>
      <c r="BA110" s="176"/>
      <c r="BB110" s="176"/>
      <c r="BC110" s="176"/>
      <c r="BD110" s="176"/>
      <c r="BE110" s="176">
        <v>25000</v>
      </c>
      <c r="BF110" s="176"/>
      <c r="BG110" s="176"/>
      <c r="BH110" s="176"/>
      <c r="BI110" s="176"/>
      <c r="BJ110" s="176">
        <v>25000</v>
      </c>
      <c r="BK110" s="176"/>
      <c r="BL110" s="176"/>
      <c r="BM110" s="176"/>
      <c r="BN110" s="176"/>
      <c r="BO110" s="176">
        <v>0</v>
      </c>
      <c r="BP110" s="176"/>
      <c r="BQ110" s="176"/>
      <c r="BR110" s="176"/>
      <c r="BS110" s="176"/>
      <c r="BT110" s="176">
        <v>25000</v>
      </c>
      <c r="BU110" s="176"/>
      <c r="BV110" s="176"/>
      <c r="BW110" s="176"/>
      <c r="BX110" s="176"/>
    </row>
    <row r="111" spans="1:79" s="9" customFormat="1" ht="15" customHeight="1" x14ac:dyDescent="0.2">
      <c r="A111" s="119">
        <v>0</v>
      </c>
      <c r="B111" s="117"/>
      <c r="C111" s="117"/>
      <c r="D111" s="174" t="s">
        <v>276</v>
      </c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40"/>
      <c r="Q111" s="172"/>
      <c r="R111" s="172"/>
      <c r="S111" s="172"/>
      <c r="T111" s="172"/>
      <c r="U111" s="172"/>
      <c r="V111" s="174"/>
      <c r="W111" s="139"/>
      <c r="X111" s="139"/>
      <c r="Y111" s="139"/>
      <c r="Z111" s="139"/>
      <c r="AA111" s="139"/>
      <c r="AB111" s="139"/>
      <c r="AC111" s="139"/>
      <c r="AD111" s="139"/>
      <c r="AE111" s="140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73"/>
      <c r="BA111" s="173"/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3"/>
      <c r="BW111" s="173"/>
      <c r="BX111" s="173"/>
    </row>
    <row r="112" spans="1:79" s="137" customFormat="1" ht="15" customHeight="1" x14ac:dyDescent="0.2">
      <c r="A112" s="157">
        <v>1</v>
      </c>
      <c r="B112" s="158"/>
      <c r="C112" s="158"/>
      <c r="D112" s="175" t="s">
        <v>339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3"/>
      <c r="Q112" s="57" t="s">
        <v>278</v>
      </c>
      <c r="R112" s="57"/>
      <c r="S112" s="57"/>
      <c r="T112" s="57"/>
      <c r="U112" s="57"/>
      <c r="V112" s="175" t="s">
        <v>279</v>
      </c>
      <c r="W112" s="132"/>
      <c r="X112" s="132"/>
      <c r="Y112" s="132"/>
      <c r="Z112" s="132"/>
      <c r="AA112" s="132"/>
      <c r="AB112" s="132"/>
      <c r="AC112" s="132"/>
      <c r="AD112" s="132"/>
      <c r="AE112" s="133"/>
      <c r="AF112" s="176">
        <v>0</v>
      </c>
      <c r="AG112" s="176"/>
      <c r="AH112" s="176"/>
      <c r="AI112" s="176"/>
      <c r="AJ112" s="176"/>
      <c r="AK112" s="176">
        <v>0</v>
      </c>
      <c r="AL112" s="176"/>
      <c r="AM112" s="176"/>
      <c r="AN112" s="176"/>
      <c r="AO112" s="176"/>
      <c r="AP112" s="176">
        <v>0</v>
      </c>
      <c r="AQ112" s="176"/>
      <c r="AR112" s="176"/>
      <c r="AS112" s="176"/>
      <c r="AT112" s="176"/>
      <c r="AU112" s="176">
        <v>100</v>
      </c>
      <c r="AV112" s="176"/>
      <c r="AW112" s="176"/>
      <c r="AX112" s="176"/>
      <c r="AY112" s="176"/>
      <c r="AZ112" s="176">
        <v>0</v>
      </c>
      <c r="BA112" s="176"/>
      <c r="BB112" s="176"/>
      <c r="BC112" s="176"/>
      <c r="BD112" s="176"/>
      <c r="BE112" s="176">
        <v>100</v>
      </c>
      <c r="BF112" s="176"/>
      <c r="BG112" s="176"/>
      <c r="BH112" s="176"/>
      <c r="BI112" s="176"/>
      <c r="BJ112" s="176">
        <v>100</v>
      </c>
      <c r="BK112" s="176"/>
      <c r="BL112" s="176"/>
      <c r="BM112" s="176"/>
      <c r="BN112" s="176"/>
      <c r="BO112" s="176">
        <v>0</v>
      </c>
      <c r="BP112" s="176"/>
      <c r="BQ112" s="176"/>
      <c r="BR112" s="176"/>
      <c r="BS112" s="176"/>
      <c r="BT112" s="176">
        <v>100</v>
      </c>
      <c r="BU112" s="176"/>
      <c r="BV112" s="176"/>
      <c r="BW112" s="176"/>
      <c r="BX112" s="176"/>
    </row>
    <row r="114" spans="1:79" ht="14.25" customHeight="1" x14ac:dyDescent="0.2">
      <c r="A114" s="67" t="s">
        <v>322</v>
      </c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1:79" ht="23.1" customHeight="1" x14ac:dyDescent="0.2">
      <c r="A115" s="86" t="s">
        <v>7</v>
      </c>
      <c r="B115" s="87"/>
      <c r="C115" s="87"/>
      <c r="D115" s="57" t="s">
        <v>10</v>
      </c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 t="s">
        <v>9</v>
      </c>
      <c r="R115" s="57"/>
      <c r="S115" s="57"/>
      <c r="T115" s="57"/>
      <c r="U115" s="57"/>
      <c r="V115" s="57" t="s">
        <v>8</v>
      </c>
      <c r="W115" s="57"/>
      <c r="X115" s="57"/>
      <c r="Y115" s="57"/>
      <c r="Z115" s="57"/>
      <c r="AA115" s="57"/>
      <c r="AB115" s="57"/>
      <c r="AC115" s="57"/>
      <c r="AD115" s="57"/>
      <c r="AE115" s="57"/>
      <c r="AF115" s="51" t="s">
        <v>247</v>
      </c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3"/>
      <c r="AU115" s="51" t="s">
        <v>249</v>
      </c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3"/>
    </row>
    <row r="116" spans="1:79" ht="28.5" customHeight="1" x14ac:dyDescent="0.2">
      <c r="A116" s="89"/>
      <c r="B116" s="90"/>
      <c r="C116" s="90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 t="s">
        <v>5</v>
      </c>
      <c r="AG116" s="57"/>
      <c r="AH116" s="57"/>
      <c r="AI116" s="57"/>
      <c r="AJ116" s="57"/>
      <c r="AK116" s="57" t="s">
        <v>4</v>
      </c>
      <c r="AL116" s="57"/>
      <c r="AM116" s="57"/>
      <c r="AN116" s="57"/>
      <c r="AO116" s="57"/>
      <c r="AP116" s="57" t="s">
        <v>154</v>
      </c>
      <c r="AQ116" s="57"/>
      <c r="AR116" s="57"/>
      <c r="AS116" s="57"/>
      <c r="AT116" s="57"/>
      <c r="AU116" s="57" t="s">
        <v>5</v>
      </c>
      <c r="AV116" s="57"/>
      <c r="AW116" s="57"/>
      <c r="AX116" s="57"/>
      <c r="AY116" s="57"/>
      <c r="AZ116" s="57" t="s">
        <v>4</v>
      </c>
      <c r="BA116" s="57"/>
      <c r="BB116" s="57"/>
      <c r="BC116" s="57"/>
      <c r="BD116" s="57"/>
      <c r="BE116" s="57" t="s">
        <v>112</v>
      </c>
      <c r="BF116" s="57"/>
      <c r="BG116" s="57"/>
      <c r="BH116" s="57"/>
      <c r="BI116" s="57"/>
    </row>
    <row r="117" spans="1:79" ht="15" customHeight="1" x14ac:dyDescent="0.2">
      <c r="A117" s="51">
        <v>1</v>
      </c>
      <c r="B117" s="52"/>
      <c r="C117" s="52"/>
      <c r="D117" s="57">
        <v>2</v>
      </c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>
        <v>3</v>
      </c>
      <c r="R117" s="57"/>
      <c r="S117" s="57"/>
      <c r="T117" s="57"/>
      <c r="U117" s="57"/>
      <c r="V117" s="57">
        <v>4</v>
      </c>
      <c r="W117" s="57"/>
      <c r="X117" s="57"/>
      <c r="Y117" s="57"/>
      <c r="Z117" s="57"/>
      <c r="AA117" s="57"/>
      <c r="AB117" s="57"/>
      <c r="AC117" s="57"/>
      <c r="AD117" s="57"/>
      <c r="AE117" s="57"/>
      <c r="AF117" s="57">
        <v>5</v>
      </c>
      <c r="AG117" s="57"/>
      <c r="AH117" s="57"/>
      <c r="AI117" s="57"/>
      <c r="AJ117" s="57"/>
      <c r="AK117" s="57">
        <v>6</v>
      </c>
      <c r="AL117" s="57"/>
      <c r="AM117" s="57"/>
      <c r="AN117" s="57"/>
      <c r="AO117" s="57"/>
      <c r="AP117" s="57">
        <v>7</v>
      </c>
      <c r="AQ117" s="57"/>
      <c r="AR117" s="57"/>
      <c r="AS117" s="57"/>
      <c r="AT117" s="57"/>
      <c r="AU117" s="57">
        <v>8</v>
      </c>
      <c r="AV117" s="57"/>
      <c r="AW117" s="57"/>
      <c r="AX117" s="57"/>
      <c r="AY117" s="57"/>
      <c r="AZ117" s="57">
        <v>9</v>
      </c>
      <c r="BA117" s="57"/>
      <c r="BB117" s="57"/>
      <c r="BC117" s="57"/>
      <c r="BD117" s="57"/>
      <c r="BE117" s="57">
        <v>10</v>
      </c>
      <c r="BF117" s="57"/>
      <c r="BG117" s="57"/>
      <c r="BH117" s="57"/>
      <c r="BI117" s="57"/>
    </row>
    <row r="118" spans="1:79" ht="15.75" hidden="1" customHeight="1" x14ac:dyDescent="0.2">
      <c r="A118" s="54" t="s">
        <v>187</v>
      </c>
      <c r="B118" s="55"/>
      <c r="C118" s="55"/>
      <c r="D118" s="57" t="s">
        <v>78</v>
      </c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 t="s">
        <v>91</v>
      </c>
      <c r="R118" s="57"/>
      <c r="S118" s="57"/>
      <c r="T118" s="57"/>
      <c r="U118" s="57"/>
      <c r="V118" s="57" t="s">
        <v>92</v>
      </c>
      <c r="W118" s="57"/>
      <c r="X118" s="57"/>
      <c r="Y118" s="57"/>
      <c r="Z118" s="57"/>
      <c r="AA118" s="57"/>
      <c r="AB118" s="57"/>
      <c r="AC118" s="57"/>
      <c r="AD118" s="57"/>
      <c r="AE118" s="57"/>
      <c r="AF118" s="60" t="s">
        <v>135</v>
      </c>
      <c r="AG118" s="60"/>
      <c r="AH118" s="60"/>
      <c r="AI118" s="60"/>
      <c r="AJ118" s="60"/>
      <c r="AK118" s="59" t="s">
        <v>136</v>
      </c>
      <c r="AL118" s="59"/>
      <c r="AM118" s="59"/>
      <c r="AN118" s="59"/>
      <c r="AO118" s="59"/>
      <c r="AP118" s="69" t="s">
        <v>265</v>
      </c>
      <c r="AQ118" s="69"/>
      <c r="AR118" s="69"/>
      <c r="AS118" s="69"/>
      <c r="AT118" s="69"/>
      <c r="AU118" s="60" t="s">
        <v>137</v>
      </c>
      <c r="AV118" s="60"/>
      <c r="AW118" s="60"/>
      <c r="AX118" s="60"/>
      <c r="AY118" s="60"/>
      <c r="AZ118" s="59" t="s">
        <v>138</v>
      </c>
      <c r="BA118" s="59"/>
      <c r="BB118" s="59"/>
      <c r="BC118" s="59"/>
      <c r="BD118" s="59"/>
      <c r="BE118" s="69" t="s">
        <v>265</v>
      </c>
      <c r="BF118" s="69"/>
      <c r="BG118" s="69"/>
      <c r="BH118" s="69"/>
      <c r="BI118" s="69"/>
      <c r="CA118" t="s">
        <v>47</v>
      </c>
    </row>
    <row r="119" spans="1:79" s="9" customFormat="1" ht="14.25" x14ac:dyDescent="0.2">
      <c r="A119" s="119">
        <v>0</v>
      </c>
      <c r="B119" s="117"/>
      <c r="C119" s="117"/>
      <c r="D119" s="172" t="s">
        <v>264</v>
      </c>
      <c r="E119" s="172"/>
      <c r="F119" s="172"/>
      <c r="G119" s="172"/>
      <c r="H119" s="172"/>
      <c r="I119" s="172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CA119" s="9" t="s">
        <v>48</v>
      </c>
    </row>
    <row r="120" spans="1:79" s="137" customFormat="1" ht="14.25" customHeight="1" x14ac:dyDescent="0.2">
      <c r="A120" s="157">
        <v>1</v>
      </c>
      <c r="B120" s="158"/>
      <c r="C120" s="158"/>
      <c r="D120" s="175" t="s">
        <v>334</v>
      </c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3"/>
      <c r="Q120" s="57" t="s">
        <v>273</v>
      </c>
      <c r="R120" s="57"/>
      <c r="S120" s="57"/>
      <c r="T120" s="57"/>
      <c r="U120" s="57"/>
      <c r="V120" s="57" t="s">
        <v>335</v>
      </c>
      <c r="W120" s="57"/>
      <c r="X120" s="57"/>
      <c r="Y120" s="57"/>
      <c r="Z120" s="57"/>
      <c r="AA120" s="57"/>
      <c r="AB120" s="57"/>
      <c r="AC120" s="57"/>
      <c r="AD120" s="57"/>
      <c r="AE120" s="57"/>
      <c r="AF120" s="176">
        <v>100000</v>
      </c>
      <c r="AG120" s="176"/>
      <c r="AH120" s="176"/>
      <c r="AI120" s="176"/>
      <c r="AJ120" s="176"/>
      <c r="AK120" s="176">
        <v>0</v>
      </c>
      <c r="AL120" s="176"/>
      <c r="AM120" s="176"/>
      <c r="AN120" s="176"/>
      <c r="AO120" s="176"/>
      <c r="AP120" s="176">
        <v>100000</v>
      </c>
      <c r="AQ120" s="176"/>
      <c r="AR120" s="176"/>
      <c r="AS120" s="176"/>
      <c r="AT120" s="176"/>
      <c r="AU120" s="176">
        <v>100000</v>
      </c>
      <c r="AV120" s="176"/>
      <c r="AW120" s="176"/>
      <c r="AX120" s="176"/>
      <c r="AY120" s="176"/>
      <c r="AZ120" s="176">
        <v>0</v>
      </c>
      <c r="BA120" s="176"/>
      <c r="BB120" s="176"/>
      <c r="BC120" s="176"/>
      <c r="BD120" s="176"/>
      <c r="BE120" s="176">
        <v>100000</v>
      </c>
      <c r="BF120" s="176"/>
      <c r="BG120" s="176"/>
      <c r="BH120" s="176"/>
      <c r="BI120" s="176"/>
    </row>
    <row r="121" spans="1:79" s="9" customFormat="1" ht="14.25" x14ac:dyDescent="0.2">
      <c r="A121" s="119">
        <v>0</v>
      </c>
      <c r="B121" s="117"/>
      <c r="C121" s="117"/>
      <c r="D121" s="174" t="s">
        <v>268</v>
      </c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40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</row>
    <row r="122" spans="1:79" s="137" customFormat="1" ht="28.5" customHeight="1" x14ac:dyDescent="0.2">
      <c r="A122" s="157">
        <v>1</v>
      </c>
      <c r="B122" s="158"/>
      <c r="C122" s="158"/>
      <c r="D122" s="175" t="s">
        <v>336</v>
      </c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3"/>
      <c r="Q122" s="57" t="s">
        <v>222</v>
      </c>
      <c r="R122" s="57"/>
      <c r="S122" s="57"/>
      <c r="T122" s="57"/>
      <c r="U122" s="57"/>
      <c r="V122" s="175" t="s">
        <v>337</v>
      </c>
      <c r="W122" s="132"/>
      <c r="X122" s="132"/>
      <c r="Y122" s="132"/>
      <c r="Z122" s="132"/>
      <c r="AA122" s="132"/>
      <c r="AB122" s="132"/>
      <c r="AC122" s="132"/>
      <c r="AD122" s="132"/>
      <c r="AE122" s="133"/>
      <c r="AF122" s="176">
        <v>4</v>
      </c>
      <c r="AG122" s="176"/>
      <c r="AH122" s="176"/>
      <c r="AI122" s="176"/>
      <c r="AJ122" s="176"/>
      <c r="AK122" s="176">
        <v>0</v>
      </c>
      <c r="AL122" s="176"/>
      <c r="AM122" s="176"/>
      <c r="AN122" s="176"/>
      <c r="AO122" s="176"/>
      <c r="AP122" s="176">
        <v>4</v>
      </c>
      <c r="AQ122" s="176"/>
      <c r="AR122" s="176"/>
      <c r="AS122" s="176"/>
      <c r="AT122" s="176"/>
      <c r="AU122" s="176">
        <v>4</v>
      </c>
      <c r="AV122" s="176"/>
      <c r="AW122" s="176"/>
      <c r="AX122" s="176"/>
      <c r="AY122" s="176"/>
      <c r="AZ122" s="176">
        <v>0</v>
      </c>
      <c r="BA122" s="176"/>
      <c r="BB122" s="176"/>
      <c r="BC122" s="176"/>
      <c r="BD122" s="176"/>
      <c r="BE122" s="176">
        <v>4</v>
      </c>
      <c r="BF122" s="176"/>
      <c r="BG122" s="176"/>
      <c r="BH122" s="176"/>
      <c r="BI122" s="176"/>
    </row>
    <row r="123" spans="1:79" s="9" customFormat="1" ht="14.25" x14ac:dyDescent="0.2">
      <c r="A123" s="119">
        <v>0</v>
      </c>
      <c r="B123" s="117"/>
      <c r="C123" s="117"/>
      <c r="D123" s="174" t="s">
        <v>272</v>
      </c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40"/>
      <c r="Q123" s="172"/>
      <c r="R123" s="172"/>
      <c r="S123" s="172"/>
      <c r="T123" s="172"/>
      <c r="U123" s="172"/>
      <c r="V123" s="174"/>
      <c r="W123" s="139"/>
      <c r="X123" s="139"/>
      <c r="Y123" s="139"/>
      <c r="Z123" s="139"/>
      <c r="AA123" s="139"/>
      <c r="AB123" s="139"/>
      <c r="AC123" s="139"/>
      <c r="AD123" s="139"/>
      <c r="AE123" s="140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</row>
    <row r="124" spans="1:79" s="137" customFormat="1" ht="28.5" customHeight="1" x14ac:dyDescent="0.2">
      <c r="A124" s="157">
        <v>1</v>
      </c>
      <c r="B124" s="158"/>
      <c r="C124" s="158"/>
      <c r="D124" s="175" t="s">
        <v>338</v>
      </c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3"/>
      <c r="Q124" s="57" t="s">
        <v>273</v>
      </c>
      <c r="R124" s="57"/>
      <c r="S124" s="57"/>
      <c r="T124" s="57"/>
      <c r="U124" s="57"/>
      <c r="V124" s="175" t="s">
        <v>337</v>
      </c>
      <c r="W124" s="132"/>
      <c r="X124" s="132"/>
      <c r="Y124" s="132"/>
      <c r="Z124" s="132"/>
      <c r="AA124" s="132"/>
      <c r="AB124" s="132"/>
      <c r="AC124" s="132"/>
      <c r="AD124" s="132"/>
      <c r="AE124" s="133"/>
      <c r="AF124" s="176">
        <v>25000</v>
      </c>
      <c r="AG124" s="176"/>
      <c r="AH124" s="176"/>
      <c r="AI124" s="176"/>
      <c r="AJ124" s="176"/>
      <c r="AK124" s="176">
        <v>0</v>
      </c>
      <c r="AL124" s="176"/>
      <c r="AM124" s="176"/>
      <c r="AN124" s="176"/>
      <c r="AO124" s="176"/>
      <c r="AP124" s="176">
        <v>25000</v>
      </c>
      <c r="AQ124" s="176"/>
      <c r="AR124" s="176"/>
      <c r="AS124" s="176"/>
      <c r="AT124" s="176"/>
      <c r="AU124" s="176">
        <v>25000</v>
      </c>
      <c r="AV124" s="176"/>
      <c r="AW124" s="176"/>
      <c r="AX124" s="176"/>
      <c r="AY124" s="176"/>
      <c r="AZ124" s="176">
        <v>0</v>
      </c>
      <c r="BA124" s="176"/>
      <c r="BB124" s="176"/>
      <c r="BC124" s="176"/>
      <c r="BD124" s="176"/>
      <c r="BE124" s="176">
        <v>25000</v>
      </c>
      <c r="BF124" s="176"/>
      <c r="BG124" s="176"/>
      <c r="BH124" s="176"/>
      <c r="BI124" s="176"/>
    </row>
    <row r="125" spans="1:79" s="9" customFormat="1" ht="14.25" x14ac:dyDescent="0.2">
      <c r="A125" s="119">
        <v>0</v>
      </c>
      <c r="B125" s="117"/>
      <c r="C125" s="117"/>
      <c r="D125" s="174" t="s">
        <v>276</v>
      </c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40"/>
      <c r="Q125" s="172"/>
      <c r="R125" s="172"/>
      <c r="S125" s="172"/>
      <c r="T125" s="172"/>
      <c r="U125" s="172"/>
      <c r="V125" s="174"/>
      <c r="W125" s="139"/>
      <c r="X125" s="139"/>
      <c r="Y125" s="139"/>
      <c r="Z125" s="139"/>
      <c r="AA125" s="139"/>
      <c r="AB125" s="139"/>
      <c r="AC125" s="139"/>
      <c r="AD125" s="139"/>
      <c r="AE125" s="140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</row>
    <row r="126" spans="1:79" s="137" customFormat="1" ht="14.25" customHeight="1" x14ac:dyDescent="0.2">
      <c r="A126" s="157">
        <v>1</v>
      </c>
      <c r="B126" s="158"/>
      <c r="C126" s="158"/>
      <c r="D126" s="175" t="s">
        <v>339</v>
      </c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3"/>
      <c r="Q126" s="57" t="s">
        <v>278</v>
      </c>
      <c r="R126" s="57"/>
      <c r="S126" s="57"/>
      <c r="T126" s="57"/>
      <c r="U126" s="57"/>
      <c r="V126" s="175" t="s">
        <v>279</v>
      </c>
      <c r="W126" s="132"/>
      <c r="X126" s="132"/>
      <c r="Y126" s="132"/>
      <c r="Z126" s="132"/>
      <c r="AA126" s="132"/>
      <c r="AB126" s="132"/>
      <c r="AC126" s="132"/>
      <c r="AD126" s="132"/>
      <c r="AE126" s="133"/>
      <c r="AF126" s="176">
        <v>100</v>
      </c>
      <c r="AG126" s="176"/>
      <c r="AH126" s="176"/>
      <c r="AI126" s="176"/>
      <c r="AJ126" s="176"/>
      <c r="AK126" s="176">
        <v>0</v>
      </c>
      <c r="AL126" s="176"/>
      <c r="AM126" s="176"/>
      <c r="AN126" s="176"/>
      <c r="AO126" s="176"/>
      <c r="AP126" s="176">
        <v>100</v>
      </c>
      <c r="AQ126" s="176"/>
      <c r="AR126" s="176"/>
      <c r="AS126" s="176"/>
      <c r="AT126" s="176"/>
      <c r="AU126" s="176">
        <v>100</v>
      </c>
      <c r="AV126" s="176"/>
      <c r="AW126" s="176"/>
      <c r="AX126" s="176"/>
      <c r="AY126" s="176"/>
      <c r="AZ126" s="176">
        <v>0</v>
      </c>
      <c r="BA126" s="176"/>
      <c r="BB126" s="176"/>
      <c r="BC126" s="176"/>
      <c r="BD126" s="176"/>
      <c r="BE126" s="176">
        <v>100</v>
      </c>
      <c r="BF126" s="176"/>
      <c r="BG126" s="176"/>
      <c r="BH126" s="176"/>
      <c r="BI126" s="176"/>
    </row>
    <row r="128" spans="1:79" ht="14.25" customHeight="1" x14ac:dyDescent="0.2">
      <c r="A128" s="67" t="s">
        <v>155</v>
      </c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1:79" ht="15" customHeight="1" x14ac:dyDescent="0.2">
      <c r="A129" s="78" t="s">
        <v>243</v>
      </c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</row>
    <row r="130" spans="1:79" ht="12.95" customHeight="1" x14ac:dyDescent="0.2">
      <c r="A130" s="86" t="s">
        <v>20</v>
      </c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8"/>
      <c r="U130" s="57" t="s">
        <v>244</v>
      </c>
      <c r="V130" s="57"/>
      <c r="W130" s="57"/>
      <c r="X130" s="57"/>
      <c r="Y130" s="57"/>
      <c r="Z130" s="57"/>
      <c r="AA130" s="57"/>
      <c r="AB130" s="57"/>
      <c r="AC130" s="57"/>
      <c r="AD130" s="57"/>
      <c r="AE130" s="57" t="s">
        <v>245</v>
      </c>
      <c r="AF130" s="57"/>
      <c r="AG130" s="57"/>
      <c r="AH130" s="57"/>
      <c r="AI130" s="57"/>
      <c r="AJ130" s="57"/>
      <c r="AK130" s="57"/>
      <c r="AL130" s="57"/>
      <c r="AM130" s="57"/>
      <c r="AN130" s="57"/>
      <c r="AO130" s="57" t="s">
        <v>246</v>
      </c>
      <c r="AP130" s="57"/>
      <c r="AQ130" s="57"/>
      <c r="AR130" s="57"/>
      <c r="AS130" s="57"/>
      <c r="AT130" s="57"/>
      <c r="AU130" s="57"/>
      <c r="AV130" s="57"/>
      <c r="AW130" s="57"/>
      <c r="AX130" s="57"/>
      <c r="AY130" s="57" t="s">
        <v>247</v>
      </c>
      <c r="AZ130" s="57"/>
      <c r="BA130" s="57"/>
      <c r="BB130" s="57"/>
      <c r="BC130" s="57"/>
      <c r="BD130" s="57"/>
      <c r="BE130" s="57"/>
      <c r="BF130" s="57"/>
      <c r="BG130" s="57"/>
      <c r="BH130" s="57"/>
      <c r="BI130" s="57" t="s">
        <v>249</v>
      </c>
      <c r="BJ130" s="57"/>
      <c r="BK130" s="57"/>
      <c r="BL130" s="57"/>
      <c r="BM130" s="57"/>
      <c r="BN130" s="57"/>
      <c r="BO130" s="57"/>
      <c r="BP130" s="57"/>
      <c r="BQ130" s="57"/>
      <c r="BR130" s="57"/>
    </row>
    <row r="131" spans="1:79" ht="30" customHeight="1" x14ac:dyDescent="0.2">
      <c r="A131" s="89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1"/>
      <c r="U131" s="57" t="s">
        <v>5</v>
      </c>
      <c r="V131" s="57"/>
      <c r="W131" s="57"/>
      <c r="X131" s="57"/>
      <c r="Y131" s="57"/>
      <c r="Z131" s="57" t="s">
        <v>4</v>
      </c>
      <c r="AA131" s="57"/>
      <c r="AB131" s="57"/>
      <c r="AC131" s="57"/>
      <c r="AD131" s="57"/>
      <c r="AE131" s="57" t="s">
        <v>5</v>
      </c>
      <c r="AF131" s="57"/>
      <c r="AG131" s="57"/>
      <c r="AH131" s="57"/>
      <c r="AI131" s="57"/>
      <c r="AJ131" s="57" t="s">
        <v>4</v>
      </c>
      <c r="AK131" s="57"/>
      <c r="AL131" s="57"/>
      <c r="AM131" s="57"/>
      <c r="AN131" s="57"/>
      <c r="AO131" s="57" t="s">
        <v>5</v>
      </c>
      <c r="AP131" s="57"/>
      <c r="AQ131" s="57"/>
      <c r="AR131" s="57"/>
      <c r="AS131" s="57"/>
      <c r="AT131" s="57" t="s">
        <v>4</v>
      </c>
      <c r="AU131" s="57"/>
      <c r="AV131" s="57"/>
      <c r="AW131" s="57"/>
      <c r="AX131" s="57"/>
      <c r="AY131" s="57" t="s">
        <v>5</v>
      </c>
      <c r="AZ131" s="57"/>
      <c r="BA131" s="57"/>
      <c r="BB131" s="57"/>
      <c r="BC131" s="57"/>
      <c r="BD131" s="57" t="s">
        <v>4</v>
      </c>
      <c r="BE131" s="57"/>
      <c r="BF131" s="57"/>
      <c r="BG131" s="57"/>
      <c r="BH131" s="57"/>
      <c r="BI131" s="57" t="s">
        <v>5</v>
      </c>
      <c r="BJ131" s="57"/>
      <c r="BK131" s="57"/>
      <c r="BL131" s="57"/>
      <c r="BM131" s="57"/>
      <c r="BN131" s="57" t="s">
        <v>4</v>
      </c>
      <c r="BO131" s="57"/>
      <c r="BP131" s="57"/>
      <c r="BQ131" s="57"/>
      <c r="BR131" s="57"/>
    </row>
    <row r="132" spans="1:79" ht="15" customHeight="1" x14ac:dyDescent="0.2">
      <c r="A132" s="51">
        <v>1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3"/>
      <c r="U132" s="57">
        <v>2</v>
      </c>
      <c r="V132" s="57"/>
      <c r="W132" s="57"/>
      <c r="X132" s="57"/>
      <c r="Y132" s="57"/>
      <c r="Z132" s="57">
        <v>3</v>
      </c>
      <c r="AA132" s="57"/>
      <c r="AB132" s="57"/>
      <c r="AC132" s="57"/>
      <c r="AD132" s="57"/>
      <c r="AE132" s="57">
        <v>4</v>
      </c>
      <c r="AF132" s="57"/>
      <c r="AG132" s="57"/>
      <c r="AH132" s="57"/>
      <c r="AI132" s="57"/>
      <c r="AJ132" s="57">
        <v>5</v>
      </c>
      <c r="AK132" s="57"/>
      <c r="AL132" s="57"/>
      <c r="AM132" s="57"/>
      <c r="AN132" s="57"/>
      <c r="AO132" s="57">
        <v>6</v>
      </c>
      <c r="AP132" s="57"/>
      <c r="AQ132" s="57"/>
      <c r="AR132" s="57"/>
      <c r="AS132" s="57"/>
      <c r="AT132" s="57">
        <v>7</v>
      </c>
      <c r="AU132" s="57"/>
      <c r="AV132" s="57"/>
      <c r="AW132" s="57"/>
      <c r="AX132" s="57"/>
      <c r="AY132" s="57">
        <v>8</v>
      </c>
      <c r="AZ132" s="57"/>
      <c r="BA132" s="57"/>
      <c r="BB132" s="57"/>
      <c r="BC132" s="57"/>
      <c r="BD132" s="57">
        <v>9</v>
      </c>
      <c r="BE132" s="57"/>
      <c r="BF132" s="57"/>
      <c r="BG132" s="57"/>
      <c r="BH132" s="57"/>
      <c r="BI132" s="57">
        <v>10</v>
      </c>
      <c r="BJ132" s="57"/>
      <c r="BK132" s="57"/>
      <c r="BL132" s="57"/>
      <c r="BM132" s="57"/>
      <c r="BN132" s="57">
        <v>11</v>
      </c>
      <c r="BO132" s="57"/>
      <c r="BP132" s="57"/>
      <c r="BQ132" s="57"/>
      <c r="BR132" s="57"/>
    </row>
    <row r="133" spans="1:79" s="2" customFormat="1" ht="15.75" hidden="1" customHeight="1" x14ac:dyDescent="0.2">
      <c r="A133" s="54" t="s">
        <v>78</v>
      </c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6"/>
      <c r="U133" s="60" t="s">
        <v>86</v>
      </c>
      <c r="V133" s="60"/>
      <c r="W133" s="60"/>
      <c r="X133" s="60"/>
      <c r="Y133" s="60"/>
      <c r="Z133" s="59" t="s">
        <v>87</v>
      </c>
      <c r="AA133" s="59"/>
      <c r="AB133" s="59"/>
      <c r="AC133" s="59"/>
      <c r="AD133" s="59"/>
      <c r="AE133" s="60" t="s">
        <v>88</v>
      </c>
      <c r="AF133" s="60"/>
      <c r="AG133" s="60"/>
      <c r="AH133" s="60"/>
      <c r="AI133" s="60"/>
      <c r="AJ133" s="59" t="s">
        <v>89</v>
      </c>
      <c r="AK133" s="59"/>
      <c r="AL133" s="59"/>
      <c r="AM133" s="59"/>
      <c r="AN133" s="59"/>
      <c r="AO133" s="60" t="s">
        <v>79</v>
      </c>
      <c r="AP133" s="60"/>
      <c r="AQ133" s="60"/>
      <c r="AR133" s="60"/>
      <c r="AS133" s="60"/>
      <c r="AT133" s="59" t="s">
        <v>80</v>
      </c>
      <c r="AU133" s="59"/>
      <c r="AV133" s="59"/>
      <c r="AW133" s="59"/>
      <c r="AX133" s="59"/>
      <c r="AY133" s="60" t="s">
        <v>81</v>
      </c>
      <c r="AZ133" s="60"/>
      <c r="BA133" s="60"/>
      <c r="BB133" s="60"/>
      <c r="BC133" s="60"/>
      <c r="BD133" s="59" t="s">
        <v>82</v>
      </c>
      <c r="BE133" s="59"/>
      <c r="BF133" s="59"/>
      <c r="BG133" s="59"/>
      <c r="BH133" s="59"/>
      <c r="BI133" s="60" t="s">
        <v>83</v>
      </c>
      <c r="BJ133" s="60"/>
      <c r="BK133" s="60"/>
      <c r="BL133" s="60"/>
      <c r="BM133" s="60"/>
      <c r="BN133" s="59" t="s">
        <v>84</v>
      </c>
      <c r="BO133" s="59"/>
      <c r="BP133" s="59"/>
      <c r="BQ133" s="59"/>
      <c r="BR133" s="59"/>
      <c r="CA133" t="s">
        <v>49</v>
      </c>
    </row>
    <row r="134" spans="1:79" s="9" customFormat="1" ht="12.75" customHeight="1" x14ac:dyDescent="0.2">
      <c r="A134" s="119" t="s">
        <v>179</v>
      </c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8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177"/>
      <c r="AK134" s="177"/>
      <c r="AL134" s="177"/>
      <c r="AM134" s="177"/>
      <c r="AN134" s="177"/>
      <c r="AO134" s="177"/>
      <c r="AP134" s="177"/>
      <c r="AQ134" s="177"/>
      <c r="AR134" s="177"/>
      <c r="AS134" s="177"/>
      <c r="AT134" s="177"/>
      <c r="AU134" s="177"/>
      <c r="AV134" s="177"/>
      <c r="AW134" s="177"/>
      <c r="AX134" s="177"/>
      <c r="AY134" s="177"/>
      <c r="AZ134" s="177"/>
      <c r="BA134" s="177"/>
      <c r="BB134" s="177"/>
      <c r="BC134" s="177"/>
      <c r="BD134" s="177"/>
      <c r="BE134" s="177"/>
      <c r="BF134" s="177"/>
      <c r="BG134" s="177"/>
      <c r="BH134" s="177"/>
      <c r="BI134" s="177"/>
      <c r="BJ134" s="177"/>
      <c r="BK134" s="177"/>
      <c r="BL134" s="177"/>
      <c r="BM134" s="177"/>
      <c r="BN134" s="177"/>
      <c r="BO134" s="177"/>
      <c r="BP134" s="177"/>
      <c r="BQ134" s="177"/>
      <c r="BR134" s="177"/>
      <c r="CA134" s="9" t="s">
        <v>50</v>
      </c>
    </row>
    <row r="135" spans="1:79" s="137" customFormat="1" ht="38.25" customHeight="1" x14ac:dyDescent="0.2">
      <c r="A135" s="131" t="s">
        <v>288</v>
      </c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3"/>
      <c r="U135" s="178" t="s">
        <v>253</v>
      </c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 t="s">
        <v>253</v>
      </c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 t="s">
        <v>253</v>
      </c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 t="s">
        <v>253</v>
      </c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 t="s">
        <v>253</v>
      </c>
      <c r="BJ135" s="178"/>
      <c r="BK135" s="178"/>
      <c r="BL135" s="178"/>
      <c r="BM135" s="178"/>
      <c r="BN135" s="178"/>
      <c r="BO135" s="178"/>
      <c r="BP135" s="178"/>
      <c r="BQ135" s="178"/>
      <c r="BR135" s="178"/>
    </row>
    <row r="138" spans="1:79" ht="14.25" customHeight="1" x14ac:dyDescent="0.2">
      <c r="A138" s="67" t="s">
        <v>156</v>
      </c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1:79" ht="15" customHeight="1" x14ac:dyDescent="0.2">
      <c r="A139" s="86" t="s">
        <v>7</v>
      </c>
      <c r="B139" s="87"/>
      <c r="C139" s="87"/>
      <c r="D139" s="86" t="s">
        <v>11</v>
      </c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8"/>
      <c r="W139" s="57" t="s">
        <v>244</v>
      </c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 t="s">
        <v>299</v>
      </c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 t="s">
        <v>310</v>
      </c>
      <c r="AV139" s="57"/>
      <c r="AW139" s="57"/>
      <c r="AX139" s="57"/>
      <c r="AY139" s="57"/>
      <c r="AZ139" s="57"/>
      <c r="BA139" s="57" t="s">
        <v>315</v>
      </c>
      <c r="BB139" s="57"/>
      <c r="BC139" s="57"/>
      <c r="BD139" s="57"/>
      <c r="BE139" s="57"/>
      <c r="BF139" s="57"/>
      <c r="BG139" s="57" t="s">
        <v>323</v>
      </c>
      <c r="BH139" s="57"/>
      <c r="BI139" s="57"/>
      <c r="BJ139" s="57"/>
      <c r="BK139" s="57"/>
      <c r="BL139" s="57"/>
    </row>
    <row r="140" spans="1:79" ht="15" customHeight="1" x14ac:dyDescent="0.2">
      <c r="A140" s="103"/>
      <c r="B140" s="104"/>
      <c r="C140" s="104"/>
      <c r="D140" s="103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5"/>
      <c r="W140" s="57" t="s">
        <v>5</v>
      </c>
      <c r="X140" s="57"/>
      <c r="Y140" s="57"/>
      <c r="Z140" s="57"/>
      <c r="AA140" s="57"/>
      <c r="AB140" s="57"/>
      <c r="AC140" s="57" t="s">
        <v>4</v>
      </c>
      <c r="AD140" s="57"/>
      <c r="AE140" s="57"/>
      <c r="AF140" s="57"/>
      <c r="AG140" s="57"/>
      <c r="AH140" s="57"/>
      <c r="AI140" s="57" t="s">
        <v>5</v>
      </c>
      <c r="AJ140" s="57"/>
      <c r="AK140" s="57"/>
      <c r="AL140" s="57"/>
      <c r="AM140" s="57"/>
      <c r="AN140" s="57"/>
      <c r="AO140" s="57" t="s">
        <v>4</v>
      </c>
      <c r="AP140" s="57"/>
      <c r="AQ140" s="57"/>
      <c r="AR140" s="57"/>
      <c r="AS140" s="57"/>
      <c r="AT140" s="57"/>
      <c r="AU140" s="74" t="s">
        <v>5</v>
      </c>
      <c r="AV140" s="74"/>
      <c r="AW140" s="74"/>
      <c r="AX140" s="74" t="s">
        <v>4</v>
      </c>
      <c r="AY140" s="74"/>
      <c r="AZ140" s="74"/>
      <c r="BA140" s="74" t="s">
        <v>5</v>
      </c>
      <c r="BB140" s="74"/>
      <c r="BC140" s="74"/>
      <c r="BD140" s="74" t="s">
        <v>4</v>
      </c>
      <c r="BE140" s="74"/>
      <c r="BF140" s="74"/>
      <c r="BG140" s="74" t="s">
        <v>5</v>
      </c>
      <c r="BH140" s="74"/>
      <c r="BI140" s="74"/>
      <c r="BJ140" s="74" t="s">
        <v>4</v>
      </c>
      <c r="BK140" s="74"/>
      <c r="BL140" s="74"/>
    </row>
    <row r="141" spans="1:79" ht="57" customHeight="1" x14ac:dyDescent="0.2">
      <c r="A141" s="89"/>
      <c r="B141" s="90"/>
      <c r="C141" s="90"/>
      <c r="D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1"/>
      <c r="W141" s="57" t="s">
        <v>13</v>
      </c>
      <c r="X141" s="57"/>
      <c r="Y141" s="57"/>
      <c r="Z141" s="57" t="s">
        <v>12</v>
      </c>
      <c r="AA141" s="57"/>
      <c r="AB141" s="57"/>
      <c r="AC141" s="57" t="s">
        <v>13</v>
      </c>
      <c r="AD141" s="57"/>
      <c r="AE141" s="57"/>
      <c r="AF141" s="57" t="s">
        <v>12</v>
      </c>
      <c r="AG141" s="57"/>
      <c r="AH141" s="57"/>
      <c r="AI141" s="57" t="s">
        <v>13</v>
      </c>
      <c r="AJ141" s="57"/>
      <c r="AK141" s="57"/>
      <c r="AL141" s="57" t="s">
        <v>12</v>
      </c>
      <c r="AM141" s="57"/>
      <c r="AN141" s="57"/>
      <c r="AO141" s="57" t="s">
        <v>13</v>
      </c>
      <c r="AP141" s="57"/>
      <c r="AQ141" s="57"/>
      <c r="AR141" s="57" t="s">
        <v>12</v>
      </c>
      <c r="AS141" s="57"/>
      <c r="AT141" s="57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</row>
    <row r="142" spans="1:79" ht="15" customHeight="1" x14ac:dyDescent="0.2">
      <c r="A142" s="51">
        <v>1</v>
      </c>
      <c r="B142" s="52"/>
      <c r="C142" s="52"/>
      <c r="D142" s="51">
        <v>2</v>
      </c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3"/>
      <c r="W142" s="57">
        <v>3</v>
      </c>
      <c r="X142" s="57"/>
      <c r="Y142" s="57"/>
      <c r="Z142" s="57">
        <v>4</v>
      </c>
      <c r="AA142" s="57"/>
      <c r="AB142" s="57"/>
      <c r="AC142" s="57">
        <v>5</v>
      </c>
      <c r="AD142" s="57"/>
      <c r="AE142" s="57"/>
      <c r="AF142" s="57">
        <v>6</v>
      </c>
      <c r="AG142" s="57"/>
      <c r="AH142" s="57"/>
      <c r="AI142" s="57">
        <v>7</v>
      </c>
      <c r="AJ142" s="57"/>
      <c r="AK142" s="57"/>
      <c r="AL142" s="57">
        <v>8</v>
      </c>
      <c r="AM142" s="57"/>
      <c r="AN142" s="57"/>
      <c r="AO142" s="57">
        <v>9</v>
      </c>
      <c r="AP142" s="57"/>
      <c r="AQ142" s="57"/>
      <c r="AR142" s="57">
        <v>10</v>
      </c>
      <c r="AS142" s="57"/>
      <c r="AT142" s="57"/>
      <c r="AU142" s="57">
        <v>11</v>
      </c>
      <c r="AV142" s="57"/>
      <c r="AW142" s="57"/>
      <c r="AX142" s="57">
        <v>12</v>
      </c>
      <c r="AY142" s="57"/>
      <c r="AZ142" s="57"/>
      <c r="BA142" s="57">
        <v>13</v>
      </c>
      <c r="BB142" s="57"/>
      <c r="BC142" s="57"/>
      <c r="BD142" s="57">
        <v>14</v>
      </c>
      <c r="BE142" s="57"/>
      <c r="BF142" s="57"/>
      <c r="BG142" s="57">
        <v>15</v>
      </c>
      <c r="BH142" s="57"/>
      <c r="BI142" s="57"/>
      <c r="BJ142" s="57">
        <v>16</v>
      </c>
      <c r="BK142" s="57"/>
      <c r="BL142" s="57"/>
    </row>
    <row r="143" spans="1:79" s="2" customFormat="1" ht="12.75" hidden="1" customHeight="1" x14ac:dyDescent="0.2">
      <c r="A143" s="54" t="s">
        <v>90</v>
      </c>
      <c r="B143" s="55"/>
      <c r="C143" s="55"/>
      <c r="D143" s="54" t="s">
        <v>78</v>
      </c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6"/>
      <c r="W143" s="60" t="s">
        <v>93</v>
      </c>
      <c r="X143" s="60"/>
      <c r="Y143" s="60"/>
      <c r="Z143" s="60" t="s">
        <v>94</v>
      </c>
      <c r="AA143" s="60"/>
      <c r="AB143" s="60"/>
      <c r="AC143" s="59" t="s">
        <v>95</v>
      </c>
      <c r="AD143" s="59"/>
      <c r="AE143" s="59"/>
      <c r="AF143" s="59" t="s">
        <v>96</v>
      </c>
      <c r="AG143" s="59"/>
      <c r="AH143" s="59"/>
      <c r="AI143" s="60" t="s">
        <v>97</v>
      </c>
      <c r="AJ143" s="60"/>
      <c r="AK143" s="60"/>
      <c r="AL143" s="60" t="s">
        <v>98</v>
      </c>
      <c r="AM143" s="60"/>
      <c r="AN143" s="60"/>
      <c r="AO143" s="59" t="s">
        <v>127</v>
      </c>
      <c r="AP143" s="59"/>
      <c r="AQ143" s="59"/>
      <c r="AR143" s="59" t="s">
        <v>99</v>
      </c>
      <c r="AS143" s="59"/>
      <c r="AT143" s="59"/>
      <c r="AU143" s="60" t="s">
        <v>133</v>
      </c>
      <c r="AV143" s="60"/>
      <c r="AW143" s="60"/>
      <c r="AX143" s="59" t="s">
        <v>134</v>
      </c>
      <c r="AY143" s="59"/>
      <c r="AZ143" s="59"/>
      <c r="BA143" s="60" t="s">
        <v>135</v>
      </c>
      <c r="BB143" s="60"/>
      <c r="BC143" s="60"/>
      <c r="BD143" s="59" t="s">
        <v>136</v>
      </c>
      <c r="BE143" s="59"/>
      <c r="BF143" s="59"/>
      <c r="BG143" s="60" t="s">
        <v>137</v>
      </c>
      <c r="BH143" s="60"/>
      <c r="BI143" s="60"/>
      <c r="BJ143" s="59" t="s">
        <v>138</v>
      </c>
      <c r="BK143" s="59"/>
      <c r="BL143" s="59"/>
      <c r="CA143" s="2" t="s">
        <v>126</v>
      </c>
    </row>
    <row r="144" spans="1:79" s="9" customFormat="1" ht="12.75" customHeight="1" x14ac:dyDescent="0.2">
      <c r="A144" s="119">
        <v>1</v>
      </c>
      <c r="B144" s="117"/>
      <c r="C144" s="117"/>
      <c r="D144" s="138" t="s">
        <v>291</v>
      </c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40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CA144" s="9" t="s">
        <v>51</v>
      </c>
    </row>
    <row r="145" spans="1:79" s="137" customFormat="1" ht="25.5" customHeight="1" x14ac:dyDescent="0.2">
      <c r="A145" s="157">
        <v>2</v>
      </c>
      <c r="B145" s="158"/>
      <c r="C145" s="158"/>
      <c r="D145" s="131" t="s">
        <v>292</v>
      </c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3"/>
      <c r="W145" s="176" t="s">
        <v>253</v>
      </c>
      <c r="X145" s="176"/>
      <c r="Y145" s="176"/>
      <c r="Z145" s="176" t="s">
        <v>253</v>
      </c>
      <c r="AA145" s="176"/>
      <c r="AB145" s="176"/>
      <c r="AC145" s="176"/>
      <c r="AD145" s="176"/>
      <c r="AE145" s="176"/>
      <c r="AF145" s="176"/>
      <c r="AG145" s="176"/>
      <c r="AH145" s="176"/>
      <c r="AI145" s="176" t="s">
        <v>253</v>
      </c>
      <c r="AJ145" s="176"/>
      <c r="AK145" s="176"/>
      <c r="AL145" s="176" t="s">
        <v>253</v>
      </c>
      <c r="AM145" s="176"/>
      <c r="AN145" s="176"/>
      <c r="AO145" s="176"/>
      <c r="AP145" s="176"/>
      <c r="AQ145" s="176"/>
      <c r="AR145" s="176"/>
      <c r="AS145" s="176"/>
      <c r="AT145" s="176"/>
      <c r="AU145" s="176" t="s">
        <v>253</v>
      </c>
      <c r="AV145" s="176"/>
      <c r="AW145" s="176"/>
      <c r="AX145" s="176"/>
      <c r="AY145" s="176"/>
      <c r="AZ145" s="176"/>
      <c r="BA145" s="176" t="s">
        <v>253</v>
      </c>
      <c r="BB145" s="176"/>
      <c r="BC145" s="176"/>
      <c r="BD145" s="176"/>
      <c r="BE145" s="176"/>
      <c r="BF145" s="176"/>
      <c r="BG145" s="176" t="s">
        <v>253</v>
      </c>
      <c r="BH145" s="176"/>
      <c r="BI145" s="176"/>
      <c r="BJ145" s="176"/>
      <c r="BK145" s="176"/>
      <c r="BL145" s="176"/>
    </row>
    <row r="148" spans="1:79" ht="14.25" customHeight="1" x14ac:dyDescent="0.2">
      <c r="A148" s="67" t="s">
        <v>185</v>
      </c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1:79" ht="14.25" customHeight="1" x14ac:dyDescent="0.2">
      <c r="A149" s="67" t="s">
        <v>311</v>
      </c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</row>
    <row r="150" spans="1:79" ht="15" customHeight="1" x14ac:dyDescent="0.2">
      <c r="A150" s="62" t="s">
        <v>243</v>
      </c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</row>
    <row r="151" spans="1:79" ht="15" customHeight="1" x14ac:dyDescent="0.2">
      <c r="A151" s="57" t="s">
        <v>7</v>
      </c>
      <c r="B151" s="57"/>
      <c r="C151" s="57"/>
      <c r="D151" s="57"/>
      <c r="E151" s="57"/>
      <c r="F151" s="57"/>
      <c r="G151" s="57" t="s">
        <v>157</v>
      </c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 t="s">
        <v>14</v>
      </c>
      <c r="U151" s="57"/>
      <c r="V151" s="57"/>
      <c r="W151" s="57"/>
      <c r="X151" s="57"/>
      <c r="Y151" s="57"/>
      <c r="Z151" s="57"/>
      <c r="AA151" s="51" t="s">
        <v>244</v>
      </c>
      <c r="AB151" s="101"/>
      <c r="AC151" s="101"/>
      <c r="AD151" s="101"/>
      <c r="AE151" s="101"/>
      <c r="AF151" s="101"/>
      <c r="AG151" s="101"/>
      <c r="AH151" s="101"/>
      <c r="AI151" s="101"/>
      <c r="AJ151" s="101"/>
      <c r="AK151" s="101"/>
      <c r="AL151" s="101"/>
      <c r="AM151" s="101"/>
      <c r="AN151" s="101"/>
      <c r="AO151" s="102"/>
      <c r="AP151" s="51" t="s">
        <v>245</v>
      </c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3"/>
      <c r="BE151" s="51" t="s">
        <v>246</v>
      </c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3"/>
    </row>
    <row r="152" spans="1:79" ht="32.1" customHeight="1" x14ac:dyDescent="0.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 t="s">
        <v>5</v>
      </c>
      <c r="AB152" s="57"/>
      <c r="AC152" s="57"/>
      <c r="AD152" s="57"/>
      <c r="AE152" s="57"/>
      <c r="AF152" s="57" t="s">
        <v>4</v>
      </c>
      <c r="AG152" s="57"/>
      <c r="AH152" s="57"/>
      <c r="AI152" s="57"/>
      <c r="AJ152" s="57"/>
      <c r="AK152" s="57" t="s">
        <v>111</v>
      </c>
      <c r="AL152" s="57"/>
      <c r="AM152" s="57"/>
      <c r="AN152" s="57"/>
      <c r="AO152" s="57"/>
      <c r="AP152" s="57" t="s">
        <v>5</v>
      </c>
      <c r="AQ152" s="57"/>
      <c r="AR152" s="57"/>
      <c r="AS152" s="57"/>
      <c r="AT152" s="57"/>
      <c r="AU152" s="57" t="s">
        <v>4</v>
      </c>
      <c r="AV152" s="57"/>
      <c r="AW152" s="57"/>
      <c r="AX152" s="57"/>
      <c r="AY152" s="57"/>
      <c r="AZ152" s="57" t="s">
        <v>118</v>
      </c>
      <c r="BA152" s="57"/>
      <c r="BB152" s="57"/>
      <c r="BC152" s="57"/>
      <c r="BD152" s="57"/>
      <c r="BE152" s="57" t="s">
        <v>5</v>
      </c>
      <c r="BF152" s="57"/>
      <c r="BG152" s="57"/>
      <c r="BH152" s="57"/>
      <c r="BI152" s="57"/>
      <c r="BJ152" s="57" t="s">
        <v>4</v>
      </c>
      <c r="BK152" s="57"/>
      <c r="BL152" s="57"/>
      <c r="BM152" s="57"/>
      <c r="BN152" s="57"/>
      <c r="BO152" s="57" t="s">
        <v>158</v>
      </c>
      <c r="BP152" s="57"/>
      <c r="BQ152" s="57"/>
      <c r="BR152" s="57"/>
      <c r="BS152" s="57"/>
    </row>
    <row r="153" spans="1:79" ht="15" customHeight="1" x14ac:dyDescent="0.2">
      <c r="A153" s="57">
        <v>1</v>
      </c>
      <c r="B153" s="57"/>
      <c r="C153" s="57"/>
      <c r="D153" s="57"/>
      <c r="E153" s="57"/>
      <c r="F153" s="57"/>
      <c r="G153" s="57">
        <v>2</v>
      </c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>
        <v>3</v>
      </c>
      <c r="U153" s="57"/>
      <c r="V153" s="57"/>
      <c r="W153" s="57"/>
      <c r="X153" s="57"/>
      <c r="Y153" s="57"/>
      <c r="Z153" s="57"/>
      <c r="AA153" s="57">
        <v>4</v>
      </c>
      <c r="AB153" s="57"/>
      <c r="AC153" s="57"/>
      <c r="AD153" s="57"/>
      <c r="AE153" s="57"/>
      <c r="AF153" s="57">
        <v>5</v>
      </c>
      <c r="AG153" s="57"/>
      <c r="AH153" s="57"/>
      <c r="AI153" s="57"/>
      <c r="AJ153" s="57"/>
      <c r="AK153" s="57">
        <v>6</v>
      </c>
      <c r="AL153" s="57"/>
      <c r="AM153" s="57"/>
      <c r="AN153" s="57"/>
      <c r="AO153" s="57"/>
      <c r="AP153" s="57">
        <v>7</v>
      </c>
      <c r="AQ153" s="57"/>
      <c r="AR153" s="57"/>
      <c r="AS153" s="57"/>
      <c r="AT153" s="57"/>
      <c r="AU153" s="57">
        <v>8</v>
      </c>
      <c r="AV153" s="57"/>
      <c r="AW153" s="57"/>
      <c r="AX153" s="57"/>
      <c r="AY153" s="57"/>
      <c r="AZ153" s="57">
        <v>9</v>
      </c>
      <c r="BA153" s="57"/>
      <c r="BB153" s="57"/>
      <c r="BC153" s="57"/>
      <c r="BD153" s="57"/>
      <c r="BE153" s="57">
        <v>10</v>
      </c>
      <c r="BF153" s="57"/>
      <c r="BG153" s="57"/>
      <c r="BH153" s="57"/>
      <c r="BI153" s="57"/>
      <c r="BJ153" s="57">
        <v>11</v>
      </c>
      <c r="BK153" s="57"/>
      <c r="BL153" s="57"/>
      <c r="BM153" s="57"/>
      <c r="BN153" s="57"/>
      <c r="BO153" s="57">
        <v>12</v>
      </c>
      <c r="BP153" s="57"/>
      <c r="BQ153" s="57"/>
      <c r="BR153" s="57"/>
      <c r="BS153" s="57"/>
    </row>
    <row r="154" spans="1:79" s="2" customFormat="1" ht="15" hidden="1" customHeight="1" x14ac:dyDescent="0.2">
      <c r="A154" s="60" t="s">
        <v>90</v>
      </c>
      <c r="B154" s="60"/>
      <c r="C154" s="60"/>
      <c r="D154" s="60"/>
      <c r="E154" s="60"/>
      <c r="F154" s="60"/>
      <c r="G154" s="99" t="s">
        <v>78</v>
      </c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 t="s">
        <v>100</v>
      </c>
      <c r="U154" s="99"/>
      <c r="V154" s="99"/>
      <c r="W154" s="99"/>
      <c r="X154" s="99"/>
      <c r="Y154" s="99"/>
      <c r="Z154" s="99"/>
      <c r="AA154" s="59" t="s">
        <v>86</v>
      </c>
      <c r="AB154" s="59"/>
      <c r="AC154" s="59"/>
      <c r="AD154" s="59"/>
      <c r="AE154" s="59"/>
      <c r="AF154" s="59" t="s">
        <v>87</v>
      </c>
      <c r="AG154" s="59"/>
      <c r="AH154" s="59"/>
      <c r="AI154" s="59"/>
      <c r="AJ154" s="59"/>
      <c r="AK154" s="69" t="s">
        <v>153</v>
      </c>
      <c r="AL154" s="69"/>
      <c r="AM154" s="69"/>
      <c r="AN154" s="69"/>
      <c r="AO154" s="69"/>
      <c r="AP154" s="59" t="s">
        <v>88</v>
      </c>
      <c r="AQ154" s="59"/>
      <c r="AR154" s="59"/>
      <c r="AS154" s="59"/>
      <c r="AT154" s="59"/>
      <c r="AU154" s="59" t="s">
        <v>89</v>
      </c>
      <c r="AV154" s="59"/>
      <c r="AW154" s="59"/>
      <c r="AX154" s="59"/>
      <c r="AY154" s="59"/>
      <c r="AZ154" s="69" t="s">
        <v>153</v>
      </c>
      <c r="BA154" s="69"/>
      <c r="BB154" s="69"/>
      <c r="BC154" s="69"/>
      <c r="BD154" s="69"/>
      <c r="BE154" s="59" t="s">
        <v>79</v>
      </c>
      <c r="BF154" s="59"/>
      <c r="BG154" s="59"/>
      <c r="BH154" s="59"/>
      <c r="BI154" s="59"/>
      <c r="BJ154" s="59" t="s">
        <v>80</v>
      </c>
      <c r="BK154" s="59"/>
      <c r="BL154" s="59"/>
      <c r="BM154" s="59"/>
      <c r="BN154" s="59"/>
      <c r="BO154" s="69" t="s">
        <v>153</v>
      </c>
      <c r="BP154" s="69"/>
      <c r="BQ154" s="69"/>
      <c r="BR154" s="69"/>
      <c r="BS154" s="69"/>
      <c r="CA154" s="2" t="s">
        <v>52</v>
      </c>
    </row>
    <row r="155" spans="1:79" s="9" customFormat="1" ht="12.75" customHeight="1" x14ac:dyDescent="0.2">
      <c r="A155" s="120"/>
      <c r="B155" s="120"/>
      <c r="C155" s="120"/>
      <c r="D155" s="120"/>
      <c r="E155" s="120"/>
      <c r="F155" s="120"/>
      <c r="G155" s="179" t="s">
        <v>179</v>
      </c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80"/>
      <c r="U155" s="180"/>
      <c r="V155" s="180"/>
      <c r="W155" s="180"/>
      <c r="X155" s="180"/>
      <c r="Y155" s="180"/>
      <c r="Z155" s="180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>
        <f>IF(ISNUMBER(AA155),AA155,0)+IF(ISNUMBER(AF155),AF155,0)</f>
        <v>0</v>
      </c>
      <c r="AL155" s="177"/>
      <c r="AM155" s="177"/>
      <c r="AN155" s="177"/>
      <c r="AO155" s="177"/>
      <c r="AP155" s="177"/>
      <c r="AQ155" s="177"/>
      <c r="AR155" s="177"/>
      <c r="AS155" s="177"/>
      <c r="AT155" s="177"/>
      <c r="AU155" s="177"/>
      <c r="AV155" s="177"/>
      <c r="AW155" s="177"/>
      <c r="AX155" s="177"/>
      <c r="AY155" s="177"/>
      <c r="AZ155" s="177">
        <f>IF(ISNUMBER(AP155),AP155,0)+IF(ISNUMBER(AU155),AU155,0)</f>
        <v>0</v>
      </c>
      <c r="BA155" s="177"/>
      <c r="BB155" s="177"/>
      <c r="BC155" s="177"/>
      <c r="BD155" s="177"/>
      <c r="BE155" s="177"/>
      <c r="BF155" s="177"/>
      <c r="BG155" s="177"/>
      <c r="BH155" s="177"/>
      <c r="BI155" s="177"/>
      <c r="BJ155" s="177"/>
      <c r="BK155" s="177"/>
      <c r="BL155" s="177"/>
      <c r="BM155" s="177"/>
      <c r="BN155" s="177"/>
      <c r="BO155" s="177">
        <f>IF(ISNUMBER(BE155),BE155,0)+IF(ISNUMBER(BJ155),BJ155,0)</f>
        <v>0</v>
      </c>
      <c r="BP155" s="177"/>
      <c r="BQ155" s="177"/>
      <c r="BR155" s="177"/>
      <c r="BS155" s="177"/>
      <c r="CA155" s="9" t="s">
        <v>53</v>
      </c>
    </row>
    <row r="157" spans="1:79" ht="13.5" customHeight="1" x14ac:dyDescent="0.2">
      <c r="A157" s="67" t="s">
        <v>324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</row>
    <row r="158" spans="1:79" ht="15" customHeight="1" x14ac:dyDescent="0.2">
      <c r="A158" s="78" t="s">
        <v>243</v>
      </c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</row>
    <row r="159" spans="1:79" ht="15" customHeight="1" x14ac:dyDescent="0.2">
      <c r="A159" s="57" t="s">
        <v>7</v>
      </c>
      <c r="B159" s="57"/>
      <c r="C159" s="57"/>
      <c r="D159" s="57"/>
      <c r="E159" s="57"/>
      <c r="F159" s="57"/>
      <c r="G159" s="57" t="s">
        <v>157</v>
      </c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 t="s">
        <v>14</v>
      </c>
      <c r="U159" s="57"/>
      <c r="V159" s="57"/>
      <c r="W159" s="57"/>
      <c r="X159" s="57"/>
      <c r="Y159" s="57"/>
      <c r="Z159" s="57"/>
      <c r="AA159" s="51" t="s">
        <v>247</v>
      </c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  <c r="AM159" s="101"/>
      <c r="AN159" s="101"/>
      <c r="AO159" s="102"/>
      <c r="AP159" s="51" t="s">
        <v>249</v>
      </c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3"/>
    </row>
    <row r="160" spans="1:79" ht="32.1" customHeight="1" x14ac:dyDescent="0.2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 t="s">
        <v>5</v>
      </c>
      <c r="AB160" s="57"/>
      <c r="AC160" s="57"/>
      <c r="AD160" s="57"/>
      <c r="AE160" s="57"/>
      <c r="AF160" s="57" t="s">
        <v>4</v>
      </c>
      <c r="AG160" s="57"/>
      <c r="AH160" s="57"/>
      <c r="AI160" s="57"/>
      <c r="AJ160" s="57"/>
      <c r="AK160" s="57" t="s">
        <v>111</v>
      </c>
      <c r="AL160" s="57"/>
      <c r="AM160" s="57"/>
      <c r="AN160" s="57"/>
      <c r="AO160" s="57"/>
      <c r="AP160" s="57" t="s">
        <v>5</v>
      </c>
      <c r="AQ160" s="57"/>
      <c r="AR160" s="57"/>
      <c r="AS160" s="57"/>
      <c r="AT160" s="57"/>
      <c r="AU160" s="57" t="s">
        <v>4</v>
      </c>
      <c r="AV160" s="57"/>
      <c r="AW160" s="57"/>
      <c r="AX160" s="57"/>
      <c r="AY160" s="57"/>
      <c r="AZ160" s="57" t="s">
        <v>118</v>
      </c>
      <c r="BA160" s="57"/>
      <c r="BB160" s="57"/>
      <c r="BC160" s="57"/>
      <c r="BD160" s="57"/>
    </row>
    <row r="161" spans="1:79" ht="15" customHeight="1" x14ac:dyDescent="0.2">
      <c r="A161" s="57">
        <v>1</v>
      </c>
      <c r="B161" s="57"/>
      <c r="C161" s="57"/>
      <c r="D161" s="57"/>
      <c r="E161" s="57"/>
      <c r="F161" s="57"/>
      <c r="G161" s="57">
        <v>2</v>
      </c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>
        <v>3</v>
      </c>
      <c r="U161" s="57"/>
      <c r="V161" s="57"/>
      <c r="W161" s="57"/>
      <c r="X161" s="57"/>
      <c r="Y161" s="57"/>
      <c r="Z161" s="57"/>
      <c r="AA161" s="57">
        <v>4</v>
      </c>
      <c r="AB161" s="57"/>
      <c r="AC161" s="57"/>
      <c r="AD161" s="57"/>
      <c r="AE161" s="57"/>
      <c r="AF161" s="57">
        <v>5</v>
      </c>
      <c r="AG161" s="57"/>
      <c r="AH161" s="57"/>
      <c r="AI161" s="57"/>
      <c r="AJ161" s="57"/>
      <c r="AK161" s="57">
        <v>6</v>
      </c>
      <c r="AL161" s="57"/>
      <c r="AM161" s="57"/>
      <c r="AN161" s="57"/>
      <c r="AO161" s="57"/>
      <c r="AP161" s="57">
        <v>7</v>
      </c>
      <c r="AQ161" s="57"/>
      <c r="AR161" s="57"/>
      <c r="AS161" s="57"/>
      <c r="AT161" s="57"/>
      <c r="AU161" s="57">
        <v>8</v>
      </c>
      <c r="AV161" s="57"/>
      <c r="AW161" s="57"/>
      <c r="AX161" s="57"/>
      <c r="AY161" s="57"/>
      <c r="AZ161" s="57">
        <v>9</v>
      </c>
      <c r="BA161" s="57"/>
      <c r="BB161" s="57"/>
      <c r="BC161" s="57"/>
      <c r="BD161" s="57"/>
    </row>
    <row r="162" spans="1:79" s="2" customFormat="1" ht="12" hidden="1" customHeight="1" x14ac:dyDescent="0.2">
      <c r="A162" s="60" t="s">
        <v>90</v>
      </c>
      <c r="B162" s="60"/>
      <c r="C162" s="60"/>
      <c r="D162" s="60"/>
      <c r="E162" s="60"/>
      <c r="F162" s="60"/>
      <c r="G162" s="99" t="s">
        <v>78</v>
      </c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 t="s">
        <v>100</v>
      </c>
      <c r="U162" s="99"/>
      <c r="V162" s="99"/>
      <c r="W162" s="99"/>
      <c r="X162" s="99"/>
      <c r="Y162" s="99"/>
      <c r="Z162" s="99"/>
      <c r="AA162" s="59" t="s">
        <v>81</v>
      </c>
      <c r="AB162" s="59"/>
      <c r="AC162" s="59"/>
      <c r="AD162" s="59"/>
      <c r="AE162" s="59"/>
      <c r="AF162" s="59" t="s">
        <v>82</v>
      </c>
      <c r="AG162" s="59"/>
      <c r="AH162" s="59"/>
      <c r="AI162" s="59"/>
      <c r="AJ162" s="59"/>
      <c r="AK162" s="69" t="s">
        <v>153</v>
      </c>
      <c r="AL162" s="69"/>
      <c r="AM162" s="69"/>
      <c r="AN162" s="69"/>
      <c r="AO162" s="69"/>
      <c r="AP162" s="59" t="s">
        <v>83</v>
      </c>
      <c r="AQ162" s="59"/>
      <c r="AR162" s="59"/>
      <c r="AS162" s="59"/>
      <c r="AT162" s="59"/>
      <c r="AU162" s="59" t="s">
        <v>84</v>
      </c>
      <c r="AV162" s="59"/>
      <c r="AW162" s="59"/>
      <c r="AX162" s="59"/>
      <c r="AY162" s="59"/>
      <c r="AZ162" s="69" t="s">
        <v>153</v>
      </c>
      <c r="BA162" s="69"/>
      <c r="BB162" s="69"/>
      <c r="BC162" s="69"/>
      <c r="BD162" s="69"/>
      <c r="CA162" s="2" t="s">
        <v>54</v>
      </c>
    </row>
    <row r="163" spans="1:79" s="9" customFormat="1" x14ac:dyDescent="0.2">
      <c r="A163" s="120"/>
      <c r="B163" s="120"/>
      <c r="C163" s="120"/>
      <c r="D163" s="120"/>
      <c r="E163" s="120"/>
      <c r="F163" s="120"/>
      <c r="G163" s="179" t="s">
        <v>179</v>
      </c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80"/>
      <c r="U163" s="180"/>
      <c r="V163" s="180"/>
      <c r="W163" s="180"/>
      <c r="X163" s="180"/>
      <c r="Y163" s="180"/>
      <c r="Z163" s="180"/>
      <c r="AA163" s="177"/>
      <c r="AB163" s="177"/>
      <c r="AC163" s="177"/>
      <c r="AD163" s="177"/>
      <c r="AE163" s="177"/>
      <c r="AF163" s="177"/>
      <c r="AG163" s="177"/>
      <c r="AH163" s="177"/>
      <c r="AI163" s="177"/>
      <c r="AJ163" s="177"/>
      <c r="AK163" s="177">
        <f>IF(ISNUMBER(AA163),AA163,0)+IF(ISNUMBER(AF163),AF163,0)</f>
        <v>0</v>
      </c>
      <c r="AL163" s="177"/>
      <c r="AM163" s="177"/>
      <c r="AN163" s="177"/>
      <c r="AO163" s="177"/>
      <c r="AP163" s="177"/>
      <c r="AQ163" s="177"/>
      <c r="AR163" s="177"/>
      <c r="AS163" s="177"/>
      <c r="AT163" s="177"/>
      <c r="AU163" s="177"/>
      <c r="AV163" s="177"/>
      <c r="AW163" s="177"/>
      <c r="AX163" s="177"/>
      <c r="AY163" s="177"/>
      <c r="AZ163" s="177">
        <f>IF(ISNUMBER(AP163),AP163,0)+IF(ISNUMBER(AU163),AU163,0)</f>
        <v>0</v>
      </c>
      <c r="BA163" s="177"/>
      <c r="BB163" s="177"/>
      <c r="BC163" s="177"/>
      <c r="BD163" s="177"/>
      <c r="CA163" s="9" t="s">
        <v>55</v>
      </c>
    </row>
    <row r="166" spans="1:79" ht="14.25" customHeight="1" x14ac:dyDescent="0.2">
      <c r="A166" s="67" t="s">
        <v>325</v>
      </c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</row>
    <row r="167" spans="1:79" ht="15" customHeight="1" x14ac:dyDescent="0.2">
      <c r="A167" s="78" t="s">
        <v>243</v>
      </c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</row>
    <row r="168" spans="1:79" ht="23.1" customHeight="1" x14ac:dyDescent="0.2">
      <c r="A168" s="57" t="s">
        <v>159</v>
      </c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86" t="s">
        <v>160</v>
      </c>
      <c r="O168" s="87"/>
      <c r="P168" s="87"/>
      <c r="Q168" s="87"/>
      <c r="R168" s="87"/>
      <c r="S168" s="87"/>
      <c r="T168" s="87"/>
      <c r="U168" s="88"/>
      <c r="V168" s="86" t="s">
        <v>161</v>
      </c>
      <c r="W168" s="87"/>
      <c r="X168" s="87"/>
      <c r="Y168" s="87"/>
      <c r="Z168" s="88"/>
      <c r="AA168" s="57" t="s">
        <v>244</v>
      </c>
      <c r="AB168" s="57"/>
      <c r="AC168" s="57"/>
      <c r="AD168" s="57"/>
      <c r="AE168" s="57"/>
      <c r="AF168" s="57"/>
      <c r="AG168" s="57"/>
      <c r="AH168" s="57"/>
      <c r="AI168" s="57"/>
      <c r="AJ168" s="57" t="s">
        <v>245</v>
      </c>
      <c r="AK168" s="57"/>
      <c r="AL168" s="57"/>
      <c r="AM168" s="57"/>
      <c r="AN168" s="57"/>
      <c r="AO168" s="57"/>
      <c r="AP168" s="57"/>
      <c r="AQ168" s="57"/>
      <c r="AR168" s="57"/>
      <c r="AS168" s="57" t="s">
        <v>246</v>
      </c>
      <c r="AT168" s="57"/>
      <c r="AU168" s="57"/>
      <c r="AV168" s="57"/>
      <c r="AW168" s="57"/>
      <c r="AX168" s="57"/>
      <c r="AY168" s="57"/>
      <c r="AZ168" s="57"/>
      <c r="BA168" s="57"/>
      <c r="BB168" s="57" t="s">
        <v>247</v>
      </c>
      <c r="BC168" s="57"/>
      <c r="BD168" s="57"/>
      <c r="BE168" s="57"/>
      <c r="BF168" s="57"/>
      <c r="BG168" s="57"/>
      <c r="BH168" s="57"/>
      <c r="BI168" s="57"/>
      <c r="BJ168" s="57"/>
      <c r="BK168" s="57" t="s">
        <v>249</v>
      </c>
      <c r="BL168" s="57"/>
      <c r="BM168" s="57"/>
      <c r="BN168" s="57"/>
      <c r="BO168" s="57"/>
      <c r="BP168" s="57"/>
      <c r="BQ168" s="57"/>
      <c r="BR168" s="57"/>
      <c r="BS168" s="57"/>
    </row>
    <row r="169" spans="1:79" ht="95.25" customHeight="1" x14ac:dyDescent="0.2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89"/>
      <c r="O169" s="90"/>
      <c r="P169" s="90"/>
      <c r="Q169" s="90"/>
      <c r="R169" s="90"/>
      <c r="S169" s="90"/>
      <c r="T169" s="90"/>
      <c r="U169" s="91"/>
      <c r="V169" s="89"/>
      <c r="W169" s="90"/>
      <c r="X169" s="90"/>
      <c r="Y169" s="90"/>
      <c r="Z169" s="91"/>
      <c r="AA169" s="74" t="s">
        <v>164</v>
      </c>
      <c r="AB169" s="74"/>
      <c r="AC169" s="74"/>
      <c r="AD169" s="74"/>
      <c r="AE169" s="74"/>
      <c r="AF169" s="74" t="s">
        <v>165</v>
      </c>
      <c r="AG169" s="74"/>
      <c r="AH169" s="74"/>
      <c r="AI169" s="74"/>
      <c r="AJ169" s="74" t="s">
        <v>164</v>
      </c>
      <c r="AK169" s="74"/>
      <c r="AL169" s="74"/>
      <c r="AM169" s="74"/>
      <c r="AN169" s="74"/>
      <c r="AO169" s="74" t="s">
        <v>165</v>
      </c>
      <c r="AP169" s="74"/>
      <c r="AQ169" s="74"/>
      <c r="AR169" s="74"/>
      <c r="AS169" s="74" t="s">
        <v>164</v>
      </c>
      <c r="AT169" s="74"/>
      <c r="AU169" s="74"/>
      <c r="AV169" s="74"/>
      <c r="AW169" s="74"/>
      <c r="AX169" s="74" t="s">
        <v>165</v>
      </c>
      <c r="AY169" s="74"/>
      <c r="AZ169" s="74"/>
      <c r="BA169" s="74"/>
      <c r="BB169" s="74" t="s">
        <v>164</v>
      </c>
      <c r="BC169" s="74"/>
      <c r="BD169" s="74"/>
      <c r="BE169" s="74"/>
      <c r="BF169" s="74"/>
      <c r="BG169" s="74" t="s">
        <v>165</v>
      </c>
      <c r="BH169" s="74"/>
      <c r="BI169" s="74"/>
      <c r="BJ169" s="74"/>
      <c r="BK169" s="74" t="s">
        <v>164</v>
      </c>
      <c r="BL169" s="74"/>
      <c r="BM169" s="74"/>
      <c r="BN169" s="74"/>
      <c r="BO169" s="74"/>
      <c r="BP169" s="74" t="s">
        <v>165</v>
      </c>
      <c r="BQ169" s="74"/>
      <c r="BR169" s="74"/>
      <c r="BS169" s="74"/>
    </row>
    <row r="170" spans="1:79" ht="15" customHeight="1" x14ac:dyDescent="0.2">
      <c r="A170" s="57">
        <v>1</v>
      </c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1">
        <v>2</v>
      </c>
      <c r="O170" s="52"/>
      <c r="P170" s="52"/>
      <c r="Q170" s="52"/>
      <c r="R170" s="52"/>
      <c r="S170" s="52"/>
      <c r="T170" s="52"/>
      <c r="U170" s="53"/>
      <c r="V170" s="57">
        <v>3</v>
      </c>
      <c r="W170" s="57"/>
      <c r="X170" s="57"/>
      <c r="Y170" s="57"/>
      <c r="Z170" s="57"/>
      <c r="AA170" s="57">
        <v>4</v>
      </c>
      <c r="AB170" s="57"/>
      <c r="AC170" s="57"/>
      <c r="AD170" s="57"/>
      <c r="AE170" s="57"/>
      <c r="AF170" s="57">
        <v>5</v>
      </c>
      <c r="AG170" s="57"/>
      <c r="AH170" s="57"/>
      <c r="AI170" s="57"/>
      <c r="AJ170" s="57">
        <v>6</v>
      </c>
      <c r="AK170" s="57"/>
      <c r="AL170" s="57"/>
      <c r="AM170" s="57"/>
      <c r="AN170" s="57"/>
      <c r="AO170" s="57">
        <v>7</v>
      </c>
      <c r="AP170" s="57"/>
      <c r="AQ170" s="57"/>
      <c r="AR170" s="57"/>
      <c r="AS170" s="57">
        <v>8</v>
      </c>
      <c r="AT170" s="57"/>
      <c r="AU170" s="57"/>
      <c r="AV170" s="57"/>
      <c r="AW170" s="57"/>
      <c r="AX170" s="57">
        <v>9</v>
      </c>
      <c r="AY170" s="57"/>
      <c r="AZ170" s="57"/>
      <c r="BA170" s="57"/>
      <c r="BB170" s="57">
        <v>10</v>
      </c>
      <c r="BC170" s="57"/>
      <c r="BD170" s="57"/>
      <c r="BE170" s="57"/>
      <c r="BF170" s="57"/>
      <c r="BG170" s="57">
        <v>11</v>
      </c>
      <c r="BH170" s="57"/>
      <c r="BI170" s="57"/>
      <c r="BJ170" s="57"/>
      <c r="BK170" s="57">
        <v>12</v>
      </c>
      <c r="BL170" s="57"/>
      <c r="BM170" s="57"/>
      <c r="BN170" s="57"/>
      <c r="BO170" s="57"/>
      <c r="BP170" s="57">
        <v>13</v>
      </c>
      <c r="BQ170" s="57"/>
      <c r="BR170" s="57"/>
      <c r="BS170" s="57"/>
    </row>
    <row r="171" spans="1:79" s="2" customFormat="1" ht="12" hidden="1" customHeight="1" x14ac:dyDescent="0.2">
      <c r="A171" s="99" t="s">
        <v>177</v>
      </c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60" t="s">
        <v>162</v>
      </c>
      <c r="O171" s="60"/>
      <c r="P171" s="60"/>
      <c r="Q171" s="60"/>
      <c r="R171" s="60"/>
      <c r="S171" s="60"/>
      <c r="T171" s="60"/>
      <c r="U171" s="60"/>
      <c r="V171" s="60" t="s">
        <v>163</v>
      </c>
      <c r="W171" s="60"/>
      <c r="X171" s="60"/>
      <c r="Y171" s="60"/>
      <c r="Z171" s="60"/>
      <c r="AA171" s="59" t="s">
        <v>86</v>
      </c>
      <c r="AB171" s="59"/>
      <c r="AC171" s="59"/>
      <c r="AD171" s="59"/>
      <c r="AE171" s="59"/>
      <c r="AF171" s="59" t="s">
        <v>87</v>
      </c>
      <c r="AG171" s="59"/>
      <c r="AH171" s="59"/>
      <c r="AI171" s="59"/>
      <c r="AJ171" s="59" t="s">
        <v>88</v>
      </c>
      <c r="AK171" s="59"/>
      <c r="AL171" s="59"/>
      <c r="AM171" s="59"/>
      <c r="AN171" s="59"/>
      <c r="AO171" s="59" t="s">
        <v>89</v>
      </c>
      <c r="AP171" s="59"/>
      <c r="AQ171" s="59"/>
      <c r="AR171" s="59"/>
      <c r="AS171" s="59" t="s">
        <v>79</v>
      </c>
      <c r="AT171" s="59"/>
      <c r="AU171" s="59"/>
      <c r="AV171" s="59"/>
      <c r="AW171" s="59"/>
      <c r="AX171" s="59" t="s">
        <v>80</v>
      </c>
      <c r="AY171" s="59"/>
      <c r="AZ171" s="59"/>
      <c r="BA171" s="59"/>
      <c r="BB171" s="59" t="s">
        <v>81</v>
      </c>
      <c r="BC171" s="59"/>
      <c r="BD171" s="59"/>
      <c r="BE171" s="59"/>
      <c r="BF171" s="59"/>
      <c r="BG171" s="59" t="s">
        <v>82</v>
      </c>
      <c r="BH171" s="59"/>
      <c r="BI171" s="59"/>
      <c r="BJ171" s="59"/>
      <c r="BK171" s="59" t="s">
        <v>83</v>
      </c>
      <c r="BL171" s="59"/>
      <c r="BM171" s="59"/>
      <c r="BN171" s="59"/>
      <c r="BO171" s="59"/>
      <c r="BP171" s="59" t="s">
        <v>84</v>
      </c>
      <c r="BQ171" s="59"/>
      <c r="BR171" s="59"/>
      <c r="BS171" s="59"/>
      <c r="CA171" s="2" t="s">
        <v>56</v>
      </c>
    </row>
    <row r="172" spans="1:79" s="9" customFormat="1" ht="12.75" customHeight="1" x14ac:dyDescent="0.2">
      <c r="A172" s="179" t="s">
        <v>179</v>
      </c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19"/>
      <c r="O172" s="117"/>
      <c r="P172" s="117"/>
      <c r="Q172" s="117"/>
      <c r="R172" s="117"/>
      <c r="S172" s="117"/>
      <c r="T172" s="117"/>
      <c r="U172" s="118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81"/>
      <c r="AJ172" s="181"/>
      <c r="AK172" s="181"/>
      <c r="AL172" s="181"/>
      <c r="AM172" s="181"/>
      <c r="AN172" s="181"/>
      <c r="AO172" s="181"/>
      <c r="AP172" s="181"/>
      <c r="AQ172" s="181"/>
      <c r="AR172" s="181"/>
      <c r="AS172" s="181"/>
      <c r="AT172" s="181"/>
      <c r="AU172" s="181"/>
      <c r="AV172" s="181"/>
      <c r="AW172" s="181"/>
      <c r="AX172" s="181"/>
      <c r="AY172" s="181"/>
      <c r="AZ172" s="181"/>
      <c r="BA172" s="181"/>
      <c r="BB172" s="181"/>
      <c r="BC172" s="181"/>
      <c r="BD172" s="181"/>
      <c r="BE172" s="181"/>
      <c r="BF172" s="181"/>
      <c r="BG172" s="181"/>
      <c r="BH172" s="181"/>
      <c r="BI172" s="181"/>
      <c r="BJ172" s="181"/>
      <c r="BK172" s="181"/>
      <c r="BL172" s="181"/>
      <c r="BM172" s="181"/>
      <c r="BN172" s="181"/>
      <c r="BO172" s="181"/>
      <c r="BP172" s="182"/>
      <c r="BQ172" s="183"/>
      <c r="BR172" s="183"/>
      <c r="BS172" s="184"/>
      <c r="CA172" s="9" t="s">
        <v>57</v>
      </c>
    </row>
    <row r="175" spans="1:79" ht="35.25" customHeight="1" x14ac:dyDescent="0.2">
      <c r="A175" s="67" t="s">
        <v>326</v>
      </c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</row>
    <row r="176" spans="1:79" ht="90" customHeight="1" x14ac:dyDescent="0.2">
      <c r="A176" s="149" t="s">
        <v>343</v>
      </c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150"/>
      <c r="AE176" s="150"/>
      <c r="AF176" s="150"/>
      <c r="AG176" s="150"/>
      <c r="AH176" s="150"/>
      <c r="AI176" s="150"/>
      <c r="AJ176" s="150"/>
      <c r="AK176" s="150"/>
      <c r="AL176" s="150"/>
      <c r="AM176" s="150"/>
      <c r="AN176" s="150"/>
      <c r="AO176" s="150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</row>
    <row r="177" spans="1:79" ht="15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9" spans="1:79" ht="28.5" customHeight="1" x14ac:dyDescent="0.2">
      <c r="A179" s="61" t="s">
        <v>312</v>
      </c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</row>
    <row r="180" spans="1:79" ht="14.25" customHeight="1" x14ac:dyDescent="0.2">
      <c r="A180" s="67" t="s">
        <v>297</v>
      </c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</row>
    <row r="181" spans="1:79" ht="15" customHeight="1" x14ac:dyDescent="0.2">
      <c r="A181" s="62" t="s">
        <v>243</v>
      </c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  <c r="BC181" s="62"/>
      <c r="BD181" s="62"/>
      <c r="BE181" s="62"/>
      <c r="BF181" s="62"/>
      <c r="BG181" s="62"/>
      <c r="BH181" s="62"/>
      <c r="BI181" s="62"/>
      <c r="BJ181" s="62"/>
      <c r="BK181" s="62"/>
      <c r="BL181" s="62"/>
    </row>
    <row r="182" spans="1:79" ht="42.95" customHeight="1" x14ac:dyDescent="0.2">
      <c r="A182" s="74" t="s">
        <v>166</v>
      </c>
      <c r="B182" s="74"/>
      <c r="C182" s="74"/>
      <c r="D182" s="74"/>
      <c r="E182" s="74"/>
      <c r="F182" s="74"/>
      <c r="G182" s="57" t="s">
        <v>20</v>
      </c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 t="s">
        <v>16</v>
      </c>
      <c r="U182" s="57"/>
      <c r="V182" s="57"/>
      <c r="W182" s="57"/>
      <c r="X182" s="57"/>
      <c r="Y182" s="57"/>
      <c r="Z182" s="57" t="s">
        <v>15</v>
      </c>
      <c r="AA182" s="57"/>
      <c r="AB182" s="57"/>
      <c r="AC182" s="57"/>
      <c r="AD182" s="57"/>
      <c r="AE182" s="57" t="s">
        <v>167</v>
      </c>
      <c r="AF182" s="57"/>
      <c r="AG182" s="57"/>
      <c r="AH182" s="57"/>
      <c r="AI182" s="57"/>
      <c r="AJ182" s="57"/>
      <c r="AK182" s="57" t="s">
        <v>168</v>
      </c>
      <c r="AL182" s="57"/>
      <c r="AM182" s="57"/>
      <c r="AN182" s="57"/>
      <c r="AO182" s="57"/>
      <c r="AP182" s="57"/>
      <c r="AQ182" s="57" t="s">
        <v>169</v>
      </c>
      <c r="AR182" s="57"/>
      <c r="AS182" s="57"/>
      <c r="AT182" s="57"/>
      <c r="AU182" s="57"/>
      <c r="AV182" s="57"/>
      <c r="AW182" s="57" t="s">
        <v>120</v>
      </c>
      <c r="AX182" s="57"/>
      <c r="AY182" s="57"/>
      <c r="AZ182" s="57"/>
      <c r="BA182" s="57"/>
      <c r="BB182" s="57"/>
      <c r="BC182" s="57"/>
      <c r="BD182" s="57"/>
      <c r="BE182" s="57"/>
      <c r="BF182" s="57"/>
      <c r="BG182" s="57" t="s">
        <v>170</v>
      </c>
      <c r="BH182" s="57"/>
      <c r="BI182" s="57"/>
      <c r="BJ182" s="57"/>
      <c r="BK182" s="57"/>
      <c r="BL182" s="57"/>
    </row>
    <row r="183" spans="1:79" ht="39.950000000000003" customHeight="1" x14ac:dyDescent="0.2">
      <c r="A183" s="74"/>
      <c r="B183" s="74"/>
      <c r="C183" s="74"/>
      <c r="D183" s="74"/>
      <c r="E183" s="74"/>
      <c r="F183" s="74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 t="s">
        <v>18</v>
      </c>
      <c r="AX183" s="57"/>
      <c r="AY183" s="57"/>
      <c r="AZ183" s="57"/>
      <c r="BA183" s="57"/>
      <c r="BB183" s="57" t="s">
        <v>17</v>
      </c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</row>
    <row r="184" spans="1:79" ht="15" customHeight="1" x14ac:dyDescent="0.2">
      <c r="A184" s="57">
        <v>1</v>
      </c>
      <c r="B184" s="57"/>
      <c r="C184" s="57"/>
      <c r="D184" s="57"/>
      <c r="E184" s="57"/>
      <c r="F184" s="57"/>
      <c r="G184" s="57">
        <v>2</v>
      </c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>
        <v>3</v>
      </c>
      <c r="U184" s="57"/>
      <c r="V184" s="57"/>
      <c r="W184" s="57"/>
      <c r="X184" s="57"/>
      <c r="Y184" s="57"/>
      <c r="Z184" s="57">
        <v>4</v>
      </c>
      <c r="AA184" s="57"/>
      <c r="AB184" s="57"/>
      <c r="AC184" s="57"/>
      <c r="AD184" s="57"/>
      <c r="AE184" s="57">
        <v>5</v>
      </c>
      <c r="AF184" s="57"/>
      <c r="AG184" s="57"/>
      <c r="AH184" s="57"/>
      <c r="AI184" s="57"/>
      <c r="AJ184" s="57"/>
      <c r="AK184" s="57">
        <v>6</v>
      </c>
      <c r="AL184" s="57"/>
      <c r="AM184" s="57"/>
      <c r="AN184" s="57"/>
      <c r="AO184" s="57"/>
      <c r="AP184" s="57"/>
      <c r="AQ184" s="57">
        <v>7</v>
      </c>
      <c r="AR184" s="57"/>
      <c r="AS184" s="57"/>
      <c r="AT184" s="57"/>
      <c r="AU184" s="57"/>
      <c r="AV184" s="57"/>
      <c r="AW184" s="57">
        <v>8</v>
      </c>
      <c r="AX184" s="57"/>
      <c r="AY184" s="57"/>
      <c r="AZ184" s="57"/>
      <c r="BA184" s="57"/>
      <c r="BB184" s="57">
        <v>9</v>
      </c>
      <c r="BC184" s="57"/>
      <c r="BD184" s="57"/>
      <c r="BE184" s="57"/>
      <c r="BF184" s="57"/>
      <c r="BG184" s="57">
        <v>10</v>
      </c>
      <c r="BH184" s="57"/>
      <c r="BI184" s="57"/>
      <c r="BJ184" s="57"/>
      <c r="BK184" s="57"/>
      <c r="BL184" s="57"/>
    </row>
    <row r="185" spans="1:79" s="2" customFormat="1" ht="12" hidden="1" customHeight="1" x14ac:dyDescent="0.2">
      <c r="A185" s="60" t="s">
        <v>85</v>
      </c>
      <c r="B185" s="60"/>
      <c r="C185" s="60"/>
      <c r="D185" s="60"/>
      <c r="E185" s="60"/>
      <c r="F185" s="60"/>
      <c r="G185" s="99" t="s">
        <v>78</v>
      </c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59" t="s">
        <v>101</v>
      </c>
      <c r="U185" s="59"/>
      <c r="V185" s="59"/>
      <c r="W185" s="59"/>
      <c r="X185" s="59"/>
      <c r="Y185" s="59"/>
      <c r="Z185" s="59" t="s">
        <v>102</v>
      </c>
      <c r="AA185" s="59"/>
      <c r="AB185" s="59"/>
      <c r="AC185" s="59"/>
      <c r="AD185" s="59"/>
      <c r="AE185" s="59" t="s">
        <v>103</v>
      </c>
      <c r="AF185" s="59"/>
      <c r="AG185" s="59"/>
      <c r="AH185" s="59"/>
      <c r="AI185" s="59"/>
      <c r="AJ185" s="59"/>
      <c r="AK185" s="59" t="s">
        <v>104</v>
      </c>
      <c r="AL185" s="59"/>
      <c r="AM185" s="59"/>
      <c r="AN185" s="59"/>
      <c r="AO185" s="59"/>
      <c r="AP185" s="59"/>
      <c r="AQ185" s="100" t="s">
        <v>122</v>
      </c>
      <c r="AR185" s="59"/>
      <c r="AS185" s="59"/>
      <c r="AT185" s="59"/>
      <c r="AU185" s="59"/>
      <c r="AV185" s="59"/>
      <c r="AW185" s="59" t="s">
        <v>105</v>
      </c>
      <c r="AX185" s="59"/>
      <c r="AY185" s="59"/>
      <c r="AZ185" s="59"/>
      <c r="BA185" s="59"/>
      <c r="BB185" s="59" t="s">
        <v>106</v>
      </c>
      <c r="BC185" s="59"/>
      <c r="BD185" s="59"/>
      <c r="BE185" s="59"/>
      <c r="BF185" s="59"/>
      <c r="BG185" s="100" t="s">
        <v>123</v>
      </c>
      <c r="BH185" s="59"/>
      <c r="BI185" s="59"/>
      <c r="BJ185" s="59"/>
      <c r="BK185" s="59"/>
      <c r="BL185" s="59"/>
      <c r="CA185" s="2" t="s">
        <v>58</v>
      </c>
    </row>
    <row r="186" spans="1:79" s="9" customFormat="1" ht="12.75" customHeight="1" x14ac:dyDescent="0.2">
      <c r="A186" s="120"/>
      <c r="B186" s="120"/>
      <c r="C186" s="120"/>
      <c r="D186" s="120"/>
      <c r="E186" s="120"/>
      <c r="F186" s="120"/>
      <c r="G186" s="179" t="s">
        <v>179</v>
      </c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  <c r="AE186" s="177"/>
      <c r="AF186" s="177"/>
      <c r="AG186" s="177"/>
      <c r="AH186" s="177"/>
      <c r="AI186" s="177"/>
      <c r="AJ186" s="177"/>
      <c r="AK186" s="177"/>
      <c r="AL186" s="177"/>
      <c r="AM186" s="177"/>
      <c r="AN186" s="177"/>
      <c r="AO186" s="177"/>
      <c r="AP186" s="177"/>
      <c r="AQ186" s="177">
        <f>IF(ISNUMBER(AK186),AK186,0)-IF(ISNUMBER(AE186),AE186,0)</f>
        <v>0</v>
      </c>
      <c r="AR186" s="177"/>
      <c r="AS186" s="177"/>
      <c r="AT186" s="177"/>
      <c r="AU186" s="177"/>
      <c r="AV186" s="177"/>
      <c r="AW186" s="177"/>
      <c r="AX186" s="177"/>
      <c r="AY186" s="177"/>
      <c r="AZ186" s="177"/>
      <c r="BA186" s="177"/>
      <c r="BB186" s="177"/>
      <c r="BC186" s="177"/>
      <c r="BD186" s="177"/>
      <c r="BE186" s="177"/>
      <c r="BF186" s="177"/>
      <c r="BG186" s="177">
        <f>IF(ISNUMBER(Z186),Z186,0)+IF(ISNUMBER(AK186),AK186,0)</f>
        <v>0</v>
      </c>
      <c r="BH186" s="177"/>
      <c r="BI186" s="177"/>
      <c r="BJ186" s="177"/>
      <c r="BK186" s="177"/>
      <c r="BL186" s="177"/>
      <c r="CA186" s="9" t="s">
        <v>59</v>
      </c>
    </row>
    <row r="188" spans="1:79" ht="14.25" customHeight="1" x14ac:dyDescent="0.2">
      <c r="A188" s="67" t="s">
        <v>313</v>
      </c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</row>
    <row r="189" spans="1:79" ht="15" customHeight="1" x14ac:dyDescent="0.2">
      <c r="A189" s="62" t="s">
        <v>243</v>
      </c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</row>
    <row r="190" spans="1:79" ht="18" customHeight="1" x14ac:dyDescent="0.2">
      <c r="A190" s="57" t="s">
        <v>166</v>
      </c>
      <c r="B190" s="57"/>
      <c r="C190" s="57"/>
      <c r="D190" s="57"/>
      <c r="E190" s="57"/>
      <c r="F190" s="57"/>
      <c r="G190" s="57" t="s">
        <v>20</v>
      </c>
      <c r="H190" s="57"/>
      <c r="I190" s="57"/>
      <c r="J190" s="57"/>
      <c r="K190" s="57"/>
      <c r="L190" s="57"/>
      <c r="M190" s="57"/>
      <c r="N190" s="57"/>
      <c r="O190" s="57"/>
      <c r="P190" s="57"/>
      <c r="Q190" s="57" t="s">
        <v>300</v>
      </c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 t="s">
        <v>310</v>
      </c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</row>
    <row r="191" spans="1:79" ht="42.95" customHeight="1" x14ac:dyDescent="0.2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 t="s">
        <v>171</v>
      </c>
      <c r="R191" s="57"/>
      <c r="S191" s="57"/>
      <c r="T191" s="57"/>
      <c r="U191" s="57"/>
      <c r="V191" s="74" t="s">
        <v>172</v>
      </c>
      <c r="W191" s="74"/>
      <c r="X191" s="74"/>
      <c r="Y191" s="74"/>
      <c r="Z191" s="57" t="s">
        <v>173</v>
      </c>
      <c r="AA191" s="57"/>
      <c r="AB191" s="57"/>
      <c r="AC191" s="57"/>
      <c r="AD191" s="57"/>
      <c r="AE191" s="57"/>
      <c r="AF191" s="57"/>
      <c r="AG191" s="57"/>
      <c r="AH191" s="57"/>
      <c r="AI191" s="57"/>
      <c r="AJ191" s="57" t="s">
        <v>174</v>
      </c>
      <c r="AK191" s="57"/>
      <c r="AL191" s="57"/>
      <c r="AM191" s="57"/>
      <c r="AN191" s="57"/>
      <c r="AO191" s="57" t="s">
        <v>21</v>
      </c>
      <c r="AP191" s="57"/>
      <c r="AQ191" s="57"/>
      <c r="AR191" s="57"/>
      <c r="AS191" s="57"/>
      <c r="AT191" s="74" t="s">
        <v>175</v>
      </c>
      <c r="AU191" s="74"/>
      <c r="AV191" s="74"/>
      <c r="AW191" s="74"/>
      <c r="AX191" s="57" t="s">
        <v>173</v>
      </c>
      <c r="AY191" s="57"/>
      <c r="AZ191" s="57"/>
      <c r="BA191" s="57"/>
      <c r="BB191" s="57"/>
      <c r="BC191" s="57"/>
      <c r="BD191" s="57"/>
      <c r="BE191" s="57"/>
      <c r="BF191" s="57"/>
      <c r="BG191" s="57"/>
      <c r="BH191" s="57" t="s">
        <v>176</v>
      </c>
      <c r="BI191" s="57"/>
      <c r="BJ191" s="57"/>
      <c r="BK191" s="57"/>
      <c r="BL191" s="57"/>
    </row>
    <row r="192" spans="1:79" ht="63" customHeight="1" x14ac:dyDescent="0.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74"/>
      <c r="W192" s="74"/>
      <c r="X192" s="74"/>
      <c r="Y192" s="74"/>
      <c r="Z192" s="57" t="s">
        <v>18</v>
      </c>
      <c r="AA192" s="57"/>
      <c r="AB192" s="57"/>
      <c r="AC192" s="57"/>
      <c r="AD192" s="57"/>
      <c r="AE192" s="57" t="s">
        <v>17</v>
      </c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74"/>
      <c r="AU192" s="74"/>
      <c r="AV192" s="74"/>
      <c r="AW192" s="74"/>
      <c r="AX192" s="57" t="s">
        <v>18</v>
      </c>
      <c r="AY192" s="57"/>
      <c r="AZ192" s="57"/>
      <c r="BA192" s="57"/>
      <c r="BB192" s="57"/>
      <c r="BC192" s="57" t="s">
        <v>17</v>
      </c>
      <c r="BD192" s="57"/>
      <c r="BE192" s="57"/>
      <c r="BF192" s="57"/>
      <c r="BG192" s="57"/>
      <c r="BH192" s="57"/>
      <c r="BI192" s="57"/>
      <c r="BJ192" s="57"/>
      <c r="BK192" s="57"/>
      <c r="BL192" s="57"/>
    </row>
    <row r="193" spans="1:79" ht="15" customHeight="1" x14ac:dyDescent="0.2">
      <c r="A193" s="57">
        <v>1</v>
      </c>
      <c r="B193" s="57"/>
      <c r="C193" s="57"/>
      <c r="D193" s="57"/>
      <c r="E193" s="57"/>
      <c r="F193" s="57"/>
      <c r="G193" s="57">
        <v>2</v>
      </c>
      <c r="H193" s="57"/>
      <c r="I193" s="57"/>
      <c r="J193" s="57"/>
      <c r="K193" s="57"/>
      <c r="L193" s="57"/>
      <c r="M193" s="57"/>
      <c r="N193" s="57"/>
      <c r="O193" s="57"/>
      <c r="P193" s="57"/>
      <c r="Q193" s="57">
        <v>3</v>
      </c>
      <c r="R193" s="57"/>
      <c r="S193" s="57"/>
      <c r="T193" s="57"/>
      <c r="U193" s="57"/>
      <c r="V193" s="57">
        <v>4</v>
      </c>
      <c r="W193" s="57"/>
      <c r="X193" s="57"/>
      <c r="Y193" s="57"/>
      <c r="Z193" s="57">
        <v>5</v>
      </c>
      <c r="AA193" s="57"/>
      <c r="AB193" s="57"/>
      <c r="AC193" s="57"/>
      <c r="AD193" s="57"/>
      <c r="AE193" s="57">
        <v>6</v>
      </c>
      <c r="AF193" s="57"/>
      <c r="AG193" s="57"/>
      <c r="AH193" s="57"/>
      <c r="AI193" s="57"/>
      <c r="AJ193" s="57">
        <v>7</v>
      </c>
      <c r="AK193" s="57"/>
      <c r="AL193" s="57"/>
      <c r="AM193" s="57"/>
      <c r="AN193" s="57"/>
      <c r="AO193" s="57">
        <v>8</v>
      </c>
      <c r="AP193" s="57"/>
      <c r="AQ193" s="57"/>
      <c r="AR193" s="57"/>
      <c r="AS193" s="57"/>
      <c r="AT193" s="57">
        <v>9</v>
      </c>
      <c r="AU193" s="57"/>
      <c r="AV193" s="57"/>
      <c r="AW193" s="57"/>
      <c r="AX193" s="57">
        <v>10</v>
      </c>
      <c r="AY193" s="57"/>
      <c r="AZ193" s="57"/>
      <c r="BA193" s="57"/>
      <c r="BB193" s="57"/>
      <c r="BC193" s="57">
        <v>11</v>
      </c>
      <c r="BD193" s="57"/>
      <c r="BE193" s="57"/>
      <c r="BF193" s="57"/>
      <c r="BG193" s="57"/>
      <c r="BH193" s="57">
        <v>12</v>
      </c>
      <c r="BI193" s="57"/>
      <c r="BJ193" s="57"/>
      <c r="BK193" s="57"/>
      <c r="BL193" s="57"/>
    </row>
    <row r="194" spans="1:79" s="2" customFormat="1" ht="12" hidden="1" customHeight="1" x14ac:dyDescent="0.2">
      <c r="A194" s="60" t="s">
        <v>85</v>
      </c>
      <c r="B194" s="60"/>
      <c r="C194" s="60"/>
      <c r="D194" s="60"/>
      <c r="E194" s="60"/>
      <c r="F194" s="60"/>
      <c r="G194" s="99" t="s">
        <v>78</v>
      </c>
      <c r="H194" s="99"/>
      <c r="I194" s="99"/>
      <c r="J194" s="99"/>
      <c r="K194" s="99"/>
      <c r="L194" s="99"/>
      <c r="M194" s="99"/>
      <c r="N194" s="99"/>
      <c r="O194" s="99"/>
      <c r="P194" s="99"/>
      <c r="Q194" s="59" t="s">
        <v>101</v>
      </c>
      <c r="R194" s="59"/>
      <c r="S194" s="59"/>
      <c r="T194" s="59"/>
      <c r="U194" s="59"/>
      <c r="V194" s="59" t="s">
        <v>102</v>
      </c>
      <c r="W194" s="59"/>
      <c r="X194" s="59"/>
      <c r="Y194" s="59"/>
      <c r="Z194" s="59" t="s">
        <v>103</v>
      </c>
      <c r="AA194" s="59"/>
      <c r="AB194" s="59"/>
      <c r="AC194" s="59"/>
      <c r="AD194" s="59"/>
      <c r="AE194" s="59" t="s">
        <v>104</v>
      </c>
      <c r="AF194" s="59"/>
      <c r="AG194" s="59"/>
      <c r="AH194" s="59"/>
      <c r="AI194" s="59"/>
      <c r="AJ194" s="100" t="s">
        <v>124</v>
      </c>
      <c r="AK194" s="59"/>
      <c r="AL194" s="59"/>
      <c r="AM194" s="59"/>
      <c r="AN194" s="59"/>
      <c r="AO194" s="59" t="s">
        <v>105</v>
      </c>
      <c r="AP194" s="59"/>
      <c r="AQ194" s="59"/>
      <c r="AR194" s="59"/>
      <c r="AS194" s="59"/>
      <c r="AT194" s="100" t="s">
        <v>125</v>
      </c>
      <c r="AU194" s="59"/>
      <c r="AV194" s="59"/>
      <c r="AW194" s="59"/>
      <c r="AX194" s="59" t="s">
        <v>106</v>
      </c>
      <c r="AY194" s="59"/>
      <c r="AZ194" s="59"/>
      <c r="BA194" s="59"/>
      <c r="BB194" s="59"/>
      <c r="BC194" s="59" t="s">
        <v>107</v>
      </c>
      <c r="BD194" s="59"/>
      <c r="BE194" s="59"/>
      <c r="BF194" s="59"/>
      <c r="BG194" s="59"/>
      <c r="BH194" s="100" t="s">
        <v>124</v>
      </c>
      <c r="BI194" s="59"/>
      <c r="BJ194" s="59"/>
      <c r="BK194" s="59"/>
      <c r="BL194" s="59"/>
      <c r="CA194" s="2" t="s">
        <v>60</v>
      </c>
    </row>
    <row r="195" spans="1:79" s="9" customFormat="1" ht="12.75" customHeight="1" x14ac:dyDescent="0.2">
      <c r="A195" s="120"/>
      <c r="B195" s="120"/>
      <c r="C195" s="120"/>
      <c r="D195" s="120"/>
      <c r="E195" s="120"/>
      <c r="F195" s="120"/>
      <c r="G195" s="179" t="s">
        <v>179</v>
      </c>
      <c r="H195" s="179"/>
      <c r="I195" s="179"/>
      <c r="J195" s="179"/>
      <c r="K195" s="179"/>
      <c r="L195" s="179"/>
      <c r="M195" s="179"/>
      <c r="N195" s="179"/>
      <c r="O195" s="179"/>
      <c r="P195" s="179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  <c r="AE195" s="177"/>
      <c r="AF195" s="177"/>
      <c r="AG195" s="177"/>
      <c r="AH195" s="177"/>
      <c r="AI195" s="177"/>
      <c r="AJ195" s="177">
        <f>IF(ISNUMBER(Q195),Q195,0)-IF(ISNUMBER(Z195),Z195,0)</f>
        <v>0</v>
      </c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>
        <f>IF(ISNUMBER(V195),V195,0)-IF(ISNUMBER(Z195),Z195,0)-IF(ISNUMBER(AE195),AE195,0)</f>
        <v>0</v>
      </c>
      <c r="AU195" s="177"/>
      <c r="AV195" s="177"/>
      <c r="AW195" s="177"/>
      <c r="AX195" s="177"/>
      <c r="AY195" s="177"/>
      <c r="AZ195" s="177"/>
      <c r="BA195" s="177"/>
      <c r="BB195" s="177"/>
      <c r="BC195" s="177"/>
      <c r="BD195" s="177"/>
      <c r="BE195" s="177"/>
      <c r="BF195" s="177"/>
      <c r="BG195" s="177"/>
      <c r="BH195" s="177">
        <f>IF(ISNUMBER(AO195),AO195,0)-IF(ISNUMBER(AX195),AX195,0)</f>
        <v>0</v>
      </c>
      <c r="BI195" s="177"/>
      <c r="BJ195" s="177"/>
      <c r="BK195" s="177"/>
      <c r="BL195" s="177"/>
      <c r="CA195" s="9" t="s">
        <v>61</v>
      </c>
    </row>
    <row r="197" spans="1:79" ht="14.25" customHeight="1" x14ac:dyDescent="0.2">
      <c r="A197" s="67" t="s">
        <v>301</v>
      </c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</row>
    <row r="198" spans="1:79" ht="15" customHeight="1" x14ac:dyDescent="0.2">
      <c r="A198" s="62" t="s">
        <v>243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2"/>
    </row>
    <row r="199" spans="1:79" ht="42.95" customHeight="1" x14ac:dyDescent="0.2">
      <c r="A199" s="74" t="s">
        <v>166</v>
      </c>
      <c r="B199" s="74"/>
      <c r="C199" s="74"/>
      <c r="D199" s="74"/>
      <c r="E199" s="74"/>
      <c r="F199" s="74"/>
      <c r="G199" s="57" t="s">
        <v>20</v>
      </c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 t="s">
        <v>16</v>
      </c>
      <c r="U199" s="57"/>
      <c r="V199" s="57"/>
      <c r="W199" s="57"/>
      <c r="X199" s="57"/>
      <c r="Y199" s="57"/>
      <c r="Z199" s="57" t="s">
        <v>15</v>
      </c>
      <c r="AA199" s="57"/>
      <c r="AB199" s="57"/>
      <c r="AC199" s="57"/>
      <c r="AD199" s="57"/>
      <c r="AE199" s="57" t="s">
        <v>298</v>
      </c>
      <c r="AF199" s="57"/>
      <c r="AG199" s="57"/>
      <c r="AH199" s="57"/>
      <c r="AI199" s="57"/>
      <c r="AJ199" s="57"/>
      <c r="AK199" s="57" t="s">
        <v>302</v>
      </c>
      <c r="AL199" s="57"/>
      <c r="AM199" s="57"/>
      <c r="AN199" s="57"/>
      <c r="AO199" s="57"/>
      <c r="AP199" s="57"/>
      <c r="AQ199" s="57" t="s">
        <v>314</v>
      </c>
      <c r="AR199" s="57"/>
      <c r="AS199" s="57"/>
      <c r="AT199" s="57"/>
      <c r="AU199" s="57"/>
      <c r="AV199" s="57"/>
      <c r="AW199" s="57" t="s">
        <v>19</v>
      </c>
      <c r="AX199" s="57"/>
      <c r="AY199" s="57"/>
      <c r="AZ199" s="57"/>
      <c r="BA199" s="57"/>
      <c r="BB199" s="57"/>
      <c r="BC199" s="57"/>
      <c r="BD199" s="57"/>
      <c r="BE199" s="57" t="s">
        <v>190</v>
      </c>
      <c r="BF199" s="57"/>
      <c r="BG199" s="57"/>
      <c r="BH199" s="57"/>
      <c r="BI199" s="57"/>
      <c r="BJ199" s="57"/>
      <c r="BK199" s="57"/>
      <c r="BL199" s="57"/>
    </row>
    <row r="200" spans="1:79" ht="21.75" customHeight="1" x14ac:dyDescent="0.2">
      <c r="A200" s="74"/>
      <c r="B200" s="74"/>
      <c r="C200" s="74"/>
      <c r="D200" s="74"/>
      <c r="E200" s="74"/>
      <c r="F200" s="74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7"/>
      <c r="BD200" s="57"/>
      <c r="BE200" s="57"/>
      <c r="BF200" s="57"/>
      <c r="BG200" s="57"/>
      <c r="BH200" s="57"/>
      <c r="BI200" s="57"/>
      <c r="BJ200" s="57"/>
      <c r="BK200" s="57"/>
      <c r="BL200" s="57"/>
    </row>
    <row r="201" spans="1:79" ht="15" customHeight="1" x14ac:dyDescent="0.2">
      <c r="A201" s="57">
        <v>1</v>
      </c>
      <c r="B201" s="57"/>
      <c r="C201" s="57"/>
      <c r="D201" s="57"/>
      <c r="E201" s="57"/>
      <c r="F201" s="57"/>
      <c r="G201" s="57">
        <v>2</v>
      </c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>
        <v>3</v>
      </c>
      <c r="U201" s="57"/>
      <c r="V201" s="57"/>
      <c r="W201" s="57"/>
      <c r="X201" s="57"/>
      <c r="Y201" s="57"/>
      <c r="Z201" s="57">
        <v>4</v>
      </c>
      <c r="AA201" s="57"/>
      <c r="AB201" s="57"/>
      <c r="AC201" s="57"/>
      <c r="AD201" s="57"/>
      <c r="AE201" s="57">
        <v>5</v>
      </c>
      <c r="AF201" s="57"/>
      <c r="AG201" s="57"/>
      <c r="AH201" s="57"/>
      <c r="AI201" s="57"/>
      <c r="AJ201" s="57"/>
      <c r="AK201" s="57">
        <v>6</v>
      </c>
      <c r="AL201" s="57"/>
      <c r="AM201" s="57"/>
      <c r="AN201" s="57"/>
      <c r="AO201" s="57"/>
      <c r="AP201" s="57"/>
      <c r="AQ201" s="57">
        <v>7</v>
      </c>
      <c r="AR201" s="57"/>
      <c r="AS201" s="57"/>
      <c r="AT201" s="57"/>
      <c r="AU201" s="57"/>
      <c r="AV201" s="57"/>
      <c r="AW201" s="60">
        <v>8</v>
      </c>
      <c r="AX201" s="60"/>
      <c r="AY201" s="60"/>
      <c r="AZ201" s="60"/>
      <c r="BA201" s="60"/>
      <c r="BB201" s="60"/>
      <c r="BC201" s="60"/>
      <c r="BD201" s="60"/>
      <c r="BE201" s="60">
        <v>9</v>
      </c>
      <c r="BF201" s="60"/>
      <c r="BG201" s="60"/>
      <c r="BH201" s="60"/>
      <c r="BI201" s="60"/>
      <c r="BJ201" s="60"/>
      <c r="BK201" s="60"/>
      <c r="BL201" s="60"/>
    </row>
    <row r="202" spans="1:79" s="2" customFormat="1" ht="18.75" hidden="1" customHeight="1" x14ac:dyDescent="0.2">
      <c r="A202" s="60" t="s">
        <v>85</v>
      </c>
      <c r="B202" s="60"/>
      <c r="C202" s="60"/>
      <c r="D202" s="60"/>
      <c r="E202" s="60"/>
      <c r="F202" s="60"/>
      <c r="G202" s="99" t="s">
        <v>78</v>
      </c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59" t="s">
        <v>101</v>
      </c>
      <c r="U202" s="59"/>
      <c r="V202" s="59"/>
      <c r="W202" s="59"/>
      <c r="X202" s="59"/>
      <c r="Y202" s="59"/>
      <c r="Z202" s="59" t="s">
        <v>102</v>
      </c>
      <c r="AA202" s="59"/>
      <c r="AB202" s="59"/>
      <c r="AC202" s="59"/>
      <c r="AD202" s="59"/>
      <c r="AE202" s="59" t="s">
        <v>103</v>
      </c>
      <c r="AF202" s="59"/>
      <c r="AG202" s="59"/>
      <c r="AH202" s="59"/>
      <c r="AI202" s="59"/>
      <c r="AJ202" s="59"/>
      <c r="AK202" s="59" t="s">
        <v>104</v>
      </c>
      <c r="AL202" s="59"/>
      <c r="AM202" s="59"/>
      <c r="AN202" s="59"/>
      <c r="AO202" s="59"/>
      <c r="AP202" s="59"/>
      <c r="AQ202" s="59" t="s">
        <v>105</v>
      </c>
      <c r="AR202" s="59"/>
      <c r="AS202" s="59"/>
      <c r="AT202" s="59"/>
      <c r="AU202" s="59"/>
      <c r="AV202" s="59"/>
      <c r="AW202" s="99" t="s">
        <v>108</v>
      </c>
      <c r="AX202" s="99"/>
      <c r="AY202" s="99"/>
      <c r="AZ202" s="99"/>
      <c r="BA202" s="99"/>
      <c r="BB202" s="99"/>
      <c r="BC202" s="99"/>
      <c r="BD202" s="99"/>
      <c r="BE202" s="99" t="s">
        <v>109</v>
      </c>
      <c r="BF202" s="99"/>
      <c r="BG202" s="99"/>
      <c r="BH202" s="99"/>
      <c r="BI202" s="99"/>
      <c r="BJ202" s="99"/>
      <c r="BK202" s="99"/>
      <c r="BL202" s="99"/>
      <c r="CA202" s="2" t="s">
        <v>62</v>
      </c>
    </row>
    <row r="203" spans="1:79" s="9" customFormat="1" ht="12.75" customHeight="1" x14ac:dyDescent="0.2">
      <c r="A203" s="120"/>
      <c r="B203" s="120"/>
      <c r="C203" s="120"/>
      <c r="D203" s="120"/>
      <c r="E203" s="120"/>
      <c r="F203" s="120"/>
      <c r="G203" s="179" t="s">
        <v>179</v>
      </c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  <c r="AV203" s="177"/>
      <c r="AW203" s="179"/>
      <c r="AX203" s="179"/>
      <c r="AY203" s="179"/>
      <c r="AZ203" s="179"/>
      <c r="BA203" s="179"/>
      <c r="BB203" s="179"/>
      <c r="BC203" s="179"/>
      <c r="BD203" s="179"/>
      <c r="BE203" s="179"/>
      <c r="BF203" s="179"/>
      <c r="BG203" s="179"/>
      <c r="BH203" s="179"/>
      <c r="BI203" s="179"/>
      <c r="BJ203" s="179"/>
      <c r="BK203" s="179"/>
      <c r="BL203" s="179"/>
      <c r="CA203" s="9" t="s">
        <v>63</v>
      </c>
    </row>
    <row r="205" spans="1:79" ht="14.25" customHeight="1" x14ac:dyDescent="0.2">
      <c r="A205" s="67" t="s">
        <v>303</v>
      </c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</row>
    <row r="206" spans="1:79" ht="15" customHeight="1" x14ac:dyDescent="0.2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</row>
    <row r="207" spans="1:79" ht="1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9" spans="1:64" ht="14.25" x14ac:dyDescent="0.2">
      <c r="A209" s="67" t="s">
        <v>327</v>
      </c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</row>
    <row r="210" spans="1:64" ht="14.25" x14ac:dyDescent="0.2">
      <c r="A210" s="67" t="s">
        <v>304</v>
      </c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</row>
    <row r="211" spans="1:64" ht="15" customHeight="1" x14ac:dyDescent="0.2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</row>
    <row r="212" spans="1:64" ht="1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5" spans="1:64" ht="18.95" customHeight="1" x14ac:dyDescent="0.2">
      <c r="A215" s="153" t="s">
        <v>237</v>
      </c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40"/>
      <c r="AC215" s="40"/>
      <c r="AD215" s="40"/>
      <c r="AE215" s="40"/>
      <c r="AF215" s="40"/>
      <c r="AG215" s="40"/>
      <c r="AH215" s="43"/>
      <c r="AI215" s="43"/>
      <c r="AJ215" s="43"/>
      <c r="AK215" s="43"/>
      <c r="AL215" s="43"/>
      <c r="AM215" s="43"/>
      <c r="AN215" s="43"/>
      <c r="AO215" s="43"/>
      <c r="AP215" s="43"/>
      <c r="AQ215" s="40"/>
      <c r="AR215" s="40"/>
      <c r="AS215" s="40"/>
      <c r="AT215" s="40"/>
      <c r="AU215" s="154" t="s">
        <v>239</v>
      </c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</row>
    <row r="216" spans="1:64" ht="12.75" customHeight="1" x14ac:dyDescent="0.2">
      <c r="AB216" s="41"/>
      <c r="AC216" s="41"/>
      <c r="AD216" s="41"/>
      <c r="AE216" s="41"/>
      <c r="AF216" s="41"/>
      <c r="AG216" s="41"/>
      <c r="AH216" s="45" t="s">
        <v>2</v>
      </c>
      <c r="AI216" s="45"/>
      <c r="AJ216" s="45"/>
      <c r="AK216" s="45"/>
      <c r="AL216" s="45"/>
      <c r="AM216" s="45"/>
      <c r="AN216" s="45"/>
      <c r="AO216" s="45"/>
      <c r="AP216" s="45"/>
      <c r="AQ216" s="41"/>
      <c r="AR216" s="41"/>
      <c r="AS216" s="41"/>
      <c r="AT216" s="41"/>
      <c r="AU216" s="45" t="s">
        <v>205</v>
      </c>
      <c r="AV216" s="45"/>
      <c r="AW216" s="45"/>
      <c r="AX216" s="45"/>
      <c r="AY216" s="45"/>
      <c r="AZ216" s="45"/>
      <c r="BA216" s="45"/>
      <c r="BB216" s="45"/>
      <c r="BC216" s="45"/>
      <c r="BD216" s="45"/>
      <c r="BE216" s="45"/>
      <c r="BF216" s="45"/>
    </row>
    <row r="217" spans="1:64" ht="15" x14ac:dyDescent="0.2">
      <c r="AB217" s="41"/>
      <c r="AC217" s="41"/>
      <c r="AD217" s="41"/>
      <c r="AE217" s="41"/>
      <c r="AF217" s="41"/>
      <c r="AG217" s="41"/>
      <c r="AH217" s="42"/>
      <c r="AI217" s="42"/>
      <c r="AJ217" s="42"/>
      <c r="AK217" s="42"/>
      <c r="AL217" s="42"/>
      <c r="AM217" s="42"/>
      <c r="AN217" s="42"/>
      <c r="AO217" s="42"/>
      <c r="AP217" s="42"/>
      <c r="AQ217" s="41"/>
      <c r="AR217" s="41"/>
      <c r="AS217" s="41"/>
      <c r="AT217" s="41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</row>
    <row r="218" spans="1:64" ht="18" customHeight="1" x14ac:dyDescent="0.2">
      <c r="A218" s="153" t="s">
        <v>238</v>
      </c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41"/>
      <c r="AC218" s="41"/>
      <c r="AD218" s="41"/>
      <c r="AE218" s="41"/>
      <c r="AF218" s="41"/>
      <c r="AG218" s="41"/>
      <c r="AH218" s="44"/>
      <c r="AI218" s="44"/>
      <c r="AJ218" s="44"/>
      <c r="AK218" s="44"/>
      <c r="AL218" s="44"/>
      <c r="AM218" s="44"/>
      <c r="AN218" s="44"/>
      <c r="AO218" s="44"/>
      <c r="AP218" s="44"/>
      <c r="AQ218" s="41"/>
      <c r="AR218" s="41"/>
      <c r="AS218" s="41"/>
      <c r="AT218" s="41"/>
      <c r="AU218" s="155" t="s">
        <v>240</v>
      </c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</row>
    <row r="219" spans="1:64" ht="12" customHeight="1" x14ac:dyDescent="0.2">
      <c r="AB219" s="41"/>
      <c r="AC219" s="41"/>
      <c r="AD219" s="41"/>
      <c r="AE219" s="41"/>
      <c r="AF219" s="41"/>
      <c r="AG219" s="41"/>
      <c r="AH219" s="45" t="s">
        <v>2</v>
      </c>
      <c r="AI219" s="45"/>
      <c r="AJ219" s="45"/>
      <c r="AK219" s="45"/>
      <c r="AL219" s="45"/>
      <c r="AM219" s="45"/>
      <c r="AN219" s="45"/>
      <c r="AO219" s="45"/>
      <c r="AP219" s="45"/>
      <c r="AQ219" s="41"/>
      <c r="AR219" s="41"/>
      <c r="AS219" s="41"/>
      <c r="AT219" s="41"/>
      <c r="AU219" s="45" t="s">
        <v>205</v>
      </c>
      <c r="AV219" s="45"/>
      <c r="AW219" s="45"/>
      <c r="AX219" s="45"/>
      <c r="AY219" s="45"/>
      <c r="AZ219" s="45"/>
      <c r="BA219" s="45"/>
      <c r="BB219" s="45"/>
      <c r="BC219" s="45"/>
      <c r="BD219" s="45"/>
      <c r="BE219" s="45"/>
      <c r="BF219" s="45"/>
    </row>
  </sheetData>
  <mergeCells count="1245">
    <mergeCell ref="AX145:AZ145"/>
    <mergeCell ref="BA145:BC145"/>
    <mergeCell ref="BD145:BF145"/>
    <mergeCell ref="BG145:BI145"/>
    <mergeCell ref="BJ145:BL145"/>
    <mergeCell ref="A145:C145"/>
    <mergeCell ref="D145:V145"/>
    <mergeCell ref="W145:Y145"/>
    <mergeCell ref="Z145:AB145"/>
    <mergeCell ref="AC145:AE145"/>
    <mergeCell ref="AF145:AH145"/>
    <mergeCell ref="AI145:AK145"/>
    <mergeCell ref="A135:T135"/>
    <mergeCell ref="U135:Y135"/>
    <mergeCell ref="Z135:AD135"/>
    <mergeCell ref="AE135:AI135"/>
    <mergeCell ref="AJ135:AN135"/>
    <mergeCell ref="AO135:AS135"/>
    <mergeCell ref="AT135:AX135"/>
    <mergeCell ref="AY135:BC135"/>
    <mergeCell ref="BD135:BH135"/>
    <mergeCell ref="BE126:BI126"/>
    <mergeCell ref="BE125:BI125"/>
    <mergeCell ref="A126:C126"/>
    <mergeCell ref="D126:P126"/>
    <mergeCell ref="Q126:U126"/>
    <mergeCell ref="V126:AE126"/>
    <mergeCell ref="AF126:AJ126"/>
    <mergeCell ref="AK126:AO126"/>
    <mergeCell ref="AP126:AT126"/>
    <mergeCell ref="AU126:AY126"/>
    <mergeCell ref="AZ126:BD126"/>
    <mergeCell ref="BE124:BI124"/>
    <mergeCell ref="A125:C125"/>
    <mergeCell ref="D125:P125"/>
    <mergeCell ref="Q125:U125"/>
    <mergeCell ref="V125:AE125"/>
    <mergeCell ref="AF125:AJ125"/>
    <mergeCell ref="AK125:AO125"/>
    <mergeCell ref="AP125:AT125"/>
    <mergeCell ref="AU125:AY125"/>
    <mergeCell ref="AZ125:BD125"/>
    <mergeCell ref="BE123:BI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BE122:BI122"/>
    <mergeCell ref="A123:C123"/>
    <mergeCell ref="D123:P123"/>
    <mergeCell ref="Q123:U123"/>
    <mergeCell ref="V123:AE123"/>
    <mergeCell ref="AF123:AJ123"/>
    <mergeCell ref="AK123:AO123"/>
    <mergeCell ref="AP123:AT123"/>
    <mergeCell ref="AU123:AY123"/>
    <mergeCell ref="AZ123:BD123"/>
    <mergeCell ref="BE121:BI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V121:AE121"/>
    <mergeCell ref="AF121:AJ121"/>
    <mergeCell ref="AK121:AO121"/>
    <mergeCell ref="AP121:AT121"/>
    <mergeCell ref="AU121:AY121"/>
    <mergeCell ref="AZ121:BD121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BE112:BI112"/>
    <mergeCell ref="BJ112:BN112"/>
    <mergeCell ref="BO112:BS112"/>
    <mergeCell ref="BT112:BX112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BT109:BX109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AP109:AT109"/>
    <mergeCell ref="AU109:AY109"/>
    <mergeCell ref="AZ109:BD109"/>
    <mergeCell ref="BE109:BI109"/>
    <mergeCell ref="BJ109:BN109"/>
    <mergeCell ref="BO109:BS109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BE106:BI106"/>
    <mergeCell ref="BJ106:BN106"/>
    <mergeCell ref="BO106:BS106"/>
    <mergeCell ref="BT106:BX106"/>
    <mergeCell ref="A107:C107"/>
    <mergeCell ref="D107:P107"/>
    <mergeCell ref="Q107:U107"/>
    <mergeCell ref="V107:AE107"/>
    <mergeCell ref="AF107:AJ107"/>
    <mergeCell ref="AK107:AO107"/>
    <mergeCell ref="A106:C106"/>
    <mergeCell ref="D106:P106"/>
    <mergeCell ref="Q106:U106"/>
    <mergeCell ref="V106:AE106"/>
    <mergeCell ref="AF106:AJ106"/>
    <mergeCell ref="AK106:AO106"/>
    <mergeCell ref="AP106:AT106"/>
    <mergeCell ref="AU106:AY106"/>
    <mergeCell ref="AZ106:BD106"/>
    <mergeCell ref="BD96:BH96"/>
    <mergeCell ref="A96:C96"/>
    <mergeCell ref="D96:T96"/>
    <mergeCell ref="U96:Y96"/>
    <mergeCell ref="Z96:AD96"/>
    <mergeCell ref="AE96:AI96"/>
    <mergeCell ref="BU87:BY87"/>
    <mergeCell ref="AS87:AW87"/>
    <mergeCell ref="AX87:BA87"/>
    <mergeCell ref="BB87:BF87"/>
    <mergeCell ref="BG87:BK87"/>
    <mergeCell ref="BL87:BP87"/>
    <mergeCell ref="BQ87:BT87"/>
    <mergeCell ref="A87:C87"/>
    <mergeCell ref="D87:T87"/>
    <mergeCell ref="U87:Y87"/>
    <mergeCell ref="Z87:AD87"/>
    <mergeCell ref="AE87:AH87"/>
    <mergeCell ref="AI87:AM87"/>
    <mergeCell ref="AN87:AR87"/>
    <mergeCell ref="A68:D68"/>
    <mergeCell ref="E68:W68"/>
    <mergeCell ref="X68:AB68"/>
    <mergeCell ref="AC68:AG68"/>
    <mergeCell ref="AH68:AL68"/>
    <mergeCell ref="AM68:AQ68"/>
    <mergeCell ref="AR68:AV68"/>
    <mergeCell ref="BU51:BY51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18:AA218"/>
    <mergeCell ref="AH218:AP218"/>
    <mergeCell ref="AU218:BF218"/>
    <mergeCell ref="AH219:AP219"/>
    <mergeCell ref="AU219:BF219"/>
    <mergeCell ref="A31:D31"/>
    <mergeCell ref="E31:T31"/>
    <mergeCell ref="U31:Y31"/>
    <mergeCell ref="Z31:AD31"/>
    <mergeCell ref="AE31:AH31"/>
    <mergeCell ref="A211:BL211"/>
    <mergeCell ref="A215:AA215"/>
    <mergeCell ref="AH215:AP215"/>
    <mergeCell ref="AU215:BF215"/>
    <mergeCell ref="AH216:AP216"/>
    <mergeCell ref="AU216:BF216"/>
    <mergeCell ref="AW203:BD203"/>
    <mergeCell ref="BE203:BL203"/>
    <mergeCell ref="A205:BL205"/>
    <mergeCell ref="A206:BL206"/>
    <mergeCell ref="A209:BL209"/>
    <mergeCell ref="A210:BL210"/>
    <mergeCell ref="AQ202:AV202"/>
    <mergeCell ref="AW202:BD202"/>
    <mergeCell ref="BE202:BL202"/>
    <mergeCell ref="A203:F203"/>
    <mergeCell ref="G203:S203"/>
    <mergeCell ref="T203:Y203"/>
    <mergeCell ref="Z203:AD203"/>
    <mergeCell ref="AE203:AJ203"/>
    <mergeCell ref="AK203:AP203"/>
    <mergeCell ref="AQ203:AV203"/>
    <mergeCell ref="A202:F202"/>
    <mergeCell ref="G202:S202"/>
    <mergeCell ref="T202:Y202"/>
    <mergeCell ref="Z202:AD202"/>
    <mergeCell ref="AE202:AJ202"/>
    <mergeCell ref="AK202:AP202"/>
    <mergeCell ref="BE199:BL200"/>
    <mergeCell ref="A201:F201"/>
    <mergeCell ref="G201:S201"/>
    <mergeCell ref="T201:Y201"/>
    <mergeCell ref="Z201:AD201"/>
    <mergeCell ref="AE201:AJ201"/>
    <mergeCell ref="AK201:AP201"/>
    <mergeCell ref="AQ201:AV201"/>
    <mergeCell ref="AW201:BD201"/>
    <mergeCell ref="BE201:BL201"/>
    <mergeCell ref="A197:BL197"/>
    <mergeCell ref="A198:BL198"/>
    <mergeCell ref="A199:F200"/>
    <mergeCell ref="G199:S200"/>
    <mergeCell ref="T199:Y200"/>
    <mergeCell ref="Z199:AD200"/>
    <mergeCell ref="AE199:AJ200"/>
    <mergeCell ref="AK199:AP200"/>
    <mergeCell ref="AQ199:AV200"/>
    <mergeCell ref="AW199:BD200"/>
    <mergeCell ref="AJ195:AN195"/>
    <mergeCell ref="AO195:AS195"/>
    <mergeCell ref="AT195:AW195"/>
    <mergeCell ref="AX195:BB195"/>
    <mergeCell ref="BC195:BG195"/>
    <mergeCell ref="BH195:BL195"/>
    <mergeCell ref="A195:F195"/>
    <mergeCell ref="G195:P195"/>
    <mergeCell ref="Q195:U195"/>
    <mergeCell ref="V195:Y195"/>
    <mergeCell ref="Z195:AD195"/>
    <mergeCell ref="AE195:AI195"/>
    <mergeCell ref="AJ194:AN194"/>
    <mergeCell ref="AO194:AS194"/>
    <mergeCell ref="AT194:AW194"/>
    <mergeCell ref="AX194:BB194"/>
    <mergeCell ref="BC194:BG194"/>
    <mergeCell ref="BH194:BL194"/>
    <mergeCell ref="A194:F194"/>
    <mergeCell ref="G194:P194"/>
    <mergeCell ref="Q194:U194"/>
    <mergeCell ref="V194:Y194"/>
    <mergeCell ref="Z194:AD194"/>
    <mergeCell ref="AE194:AI194"/>
    <mergeCell ref="AJ193:AN193"/>
    <mergeCell ref="AO193:AS193"/>
    <mergeCell ref="AT193:AW193"/>
    <mergeCell ref="AX193:BB193"/>
    <mergeCell ref="BC193:BG193"/>
    <mergeCell ref="BH193:BL193"/>
    <mergeCell ref="A193:F193"/>
    <mergeCell ref="G193:P193"/>
    <mergeCell ref="Q193:U193"/>
    <mergeCell ref="V193:Y193"/>
    <mergeCell ref="Z193:AD193"/>
    <mergeCell ref="AE193:AI193"/>
    <mergeCell ref="AT191:AW192"/>
    <mergeCell ref="AX191:BG191"/>
    <mergeCell ref="BH191:BL192"/>
    <mergeCell ref="Z192:AD192"/>
    <mergeCell ref="AE192:AI192"/>
    <mergeCell ref="AX192:BB192"/>
    <mergeCell ref="BC192:BG192"/>
    <mergeCell ref="A189:BL189"/>
    <mergeCell ref="A190:F192"/>
    <mergeCell ref="G190:P192"/>
    <mergeCell ref="Q190:AN190"/>
    <mergeCell ref="AO190:BL190"/>
    <mergeCell ref="Q191:U192"/>
    <mergeCell ref="V191:Y192"/>
    <mergeCell ref="Z191:AI191"/>
    <mergeCell ref="AJ191:AN192"/>
    <mergeCell ref="AO191:AS192"/>
    <mergeCell ref="AK186:AP186"/>
    <mergeCell ref="AQ186:AV186"/>
    <mergeCell ref="AW186:BA186"/>
    <mergeCell ref="BB186:BF186"/>
    <mergeCell ref="BG186:BL186"/>
    <mergeCell ref="A188:BL188"/>
    <mergeCell ref="AK185:AP185"/>
    <mergeCell ref="AQ185:AV185"/>
    <mergeCell ref="AW185:BA185"/>
    <mergeCell ref="BB185:BF185"/>
    <mergeCell ref="BG185:BL185"/>
    <mergeCell ref="A186:F186"/>
    <mergeCell ref="G186:S186"/>
    <mergeCell ref="T186:Y186"/>
    <mergeCell ref="Z186:AD186"/>
    <mergeCell ref="AE186:AJ186"/>
    <mergeCell ref="AK184:AP184"/>
    <mergeCell ref="AQ184:AV184"/>
    <mergeCell ref="AW184:BA184"/>
    <mergeCell ref="BB184:BF184"/>
    <mergeCell ref="BG184:BL184"/>
    <mergeCell ref="A185:F185"/>
    <mergeCell ref="G185:S185"/>
    <mergeCell ref="T185:Y185"/>
    <mergeCell ref="Z185:AD185"/>
    <mergeCell ref="AE185:AJ185"/>
    <mergeCell ref="AQ182:AV183"/>
    <mergeCell ref="AW182:BF182"/>
    <mergeCell ref="BG182:BL183"/>
    <mergeCell ref="AW183:BA183"/>
    <mergeCell ref="BB183:BF183"/>
    <mergeCell ref="A184:F184"/>
    <mergeCell ref="G184:S184"/>
    <mergeCell ref="T184:Y184"/>
    <mergeCell ref="Z184:AD184"/>
    <mergeCell ref="AE184:AJ184"/>
    <mergeCell ref="A182:F183"/>
    <mergeCell ref="G182:S183"/>
    <mergeCell ref="T182:Y183"/>
    <mergeCell ref="Z182:AD183"/>
    <mergeCell ref="AE182:AJ183"/>
    <mergeCell ref="AK182:AP183"/>
    <mergeCell ref="BP172:BS172"/>
    <mergeCell ref="A175:BL175"/>
    <mergeCell ref="A176:BL176"/>
    <mergeCell ref="A179:BL179"/>
    <mergeCell ref="A180:BL180"/>
    <mergeCell ref="A181:BL181"/>
    <mergeCell ref="AO172:AR172"/>
    <mergeCell ref="AS172:AW172"/>
    <mergeCell ref="AX172:BA172"/>
    <mergeCell ref="BB172:BF172"/>
    <mergeCell ref="BG172:BJ172"/>
    <mergeCell ref="BK172:BO172"/>
    <mergeCell ref="BB171:BF171"/>
    <mergeCell ref="BG171:BJ171"/>
    <mergeCell ref="BK171:BO171"/>
    <mergeCell ref="BP171:BS171"/>
    <mergeCell ref="A172:M172"/>
    <mergeCell ref="N172:U172"/>
    <mergeCell ref="V172:Z172"/>
    <mergeCell ref="AA172:AE172"/>
    <mergeCell ref="AF172:AI172"/>
    <mergeCell ref="AJ172:AN172"/>
    <mergeCell ref="BP170:BS170"/>
    <mergeCell ref="A171:M171"/>
    <mergeCell ref="N171:U171"/>
    <mergeCell ref="V171:Z171"/>
    <mergeCell ref="AA171:AE171"/>
    <mergeCell ref="AF171:AI171"/>
    <mergeCell ref="AJ171:AN171"/>
    <mergeCell ref="AO171:AR171"/>
    <mergeCell ref="AS171:AW171"/>
    <mergeCell ref="AX171:BA171"/>
    <mergeCell ref="AO170:AR170"/>
    <mergeCell ref="AS170:AW170"/>
    <mergeCell ref="AX170:BA170"/>
    <mergeCell ref="BB170:BF170"/>
    <mergeCell ref="BG170:BJ170"/>
    <mergeCell ref="BK170:BO170"/>
    <mergeCell ref="BB169:BF169"/>
    <mergeCell ref="BG169:BJ169"/>
    <mergeCell ref="BK169:BO169"/>
    <mergeCell ref="BP169:BS169"/>
    <mergeCell ref="A170:M170"/>
    <mergeCell ref="N170:U170"/>
    <mergeCell ref="V170:Z170"/>
    <mergeCell ref="AA170:AE170"/>
    <mergeCell ref="AF170:AI170"/>
    <mergeCell ref="AJ170:AN170"/>
    <mergeCell ref="AA169:AE169"/>
    <mergeCell ref="AF169:AI169"/>
    <mergeCell ref="AJ169:AN169"/>
    <mergeCell ref="AO169:AR169"/>
    <mergeCell ref="AS169:AW169"/>
    <mergeCell ref="AX169:BA169"/>
    <mergeCell ref="A166:BL166"/>
    <mergeCell ref="A167:BM167"/>
    <mergeCell ref="A168:M169"/>
    <mergeCell ref="N168:U169"/>
    <mergeCell ref="V168:Z169"/>
    <mergeCell ref="AA168:AI168"/>
    <mergeCell ref="AJ168:AR168"/>
    <mergeCell ref="AS168:BA168"/>
    <mergeCell ref="BB168:BJ168"/>
    <mergeCell ref="BK168:BS168"/>
    <mergeCell ref="AZ162:BD162"/>
    <mergeCell ref="A163:F163"/>
    <mergeCell ref="G163:S163"/>
    <mergeCell ref="T163:Z163"/>
    <mergeCell ref="AA163:AE163"/>
    <mergeCell ref="AF163:AJ163"/>
    <mergeCell ref="AK163:AO163"/>
    <mergeCell ref="AP163:AT163"/>
    <mergeCell ref="AU163:AY163"/>
    <mergeCell ref="AZ163:BD163"/>
    <mergeCell ref="AU161:AY161"/>
    <mergeCell ref="AZ161:BD161"/>
    <mergeCell ref="A162:F162"/>
    <mergeCell ref="G162:S162"/>
    <mergeCell ref="T162:Z162"/>
    <mergeCell ref="AA162:AE162"/>
    <mergeCell ref="AF162:AJ162"/>
    <mergeCell ref="AK162:AO162"/>
    <mergeCell ref="AP162:AT162"/>
    <mergeCell ref="AU162:AY162"/>
    <mergeCell ref="AP160:AT160"/>
    <mergeCell ref="AU160:AY160"/>
    <mergeCell ref="AZ160:BD160"/>
    <mergeCell ref="A161:F161"/>
    <mergeCell ref="G161:S161"/>
    <mergeCell ref="T161:Z161"/>
    <mergeCell ref="AA161:AE161"/>
    <mergeCell ref="AF161:AJ161"/>
    <mergeCell ref="AK161:AO161"/>
    <mergeCell ref="AP161:AT161"/>
    <mergeCell ref="A157:BL157"/>
    <mergeCell ref="A158:BD158"/>
    <mergeCell ref="A159:F160"/>
    <mergeCell ref="G159:S160"/>
    <mergeCell ref="T159:Z160"/>
    <mergeCell ref="AA159:AO159"/>
    <mergeCell ref="AP159:BD159"/>
    <mergeCell ref="AA160:AE160"/>
    <mergeCell ref="AF160:AJ160"/>
    <mergeCell ref="AK160:AO160"/>
    <mergeCell ref="AP155:AT155"/>
    <mergeCell ref="AU155:AY155"/>
    <mergeCell ref="AZ155:BD155"/>
    <mergeCell ref="BE155:BI155"/>
    <mergeCell ref="BJ155:BN155"/>
    <mergeCell ref="BO155:BS155"/>
    <mergeCell ref="A155:F155"/>
    <mergeCell ref="G155:S155"/>
    <mergeCell ref="T155:Z155"/>
    <mergeCell ref="AA155:AE155"/>
    <mergeCell ref="AF155:AJ155"/>
    <mergeCell ref="AK155:AO155"/>
    <mergeCell ref="AP154:AT154"/>
    <mergeCell ref="AU154:AY154"/>
    <mergeCell ref="AZ154:BD154"/>
    <mergeCell ref="BE154:BI154"/>
    <mergeCell ref="BJ154:BN154"/>
    <mergeCell ref="BO154:BS154"/>
    <mergeCell ref="A154:F154"/>
    <mergeCell ref="G154:S154"/>
    <mergeCell ref="T154:Z154"/>
    <mergeCell ref="AA154:AE154"/>
    <mergeCell ref="AF154:AJ154"/>
    <mergeCell ref="AK154:AO154"/>
    <mergeCell ref="AP153:AT153"/>
    <mergeCell ref="AU153:AY153"/>
    <mergeCell ref="AZ153:BD153"/>
    <mergeCell ref="BE153:BI153"/>
    <mergeCell ref="BJ153:BN153"/>
    <mergeCell ref="BO153:BS153"/>
    <mergeCell ref="A153:F153"/>
    <mergeCell ref="G153:S153"/>
    <mergeCell ref="T153:Z153"/>
    <mergeCell ref="AA153:AE153"/>
    <mergeCell ref="AF153:AJ153"/>
    <mergeCell ref="AK153:AO153"/>
    <mergeCell ref="AP152:AT152"/>
    <mergeCell ref="AU152:AY152"/>
    <mergeCell ref="AZ152:BD152"/>
    <mergeCell ref="BE152:BI152"/>
    <mergeCell ref="BJ152:BN152"/>
    <mergeCell ref="BO152:BS152"/>
    <mergeCell ref="A150:BS150"/>
    <mergeCell ref="A151:F152"/>
    <mergeCell ref="G151:S152"/>
    <mergeCell ref="T151:Z152"/>
    <mergeCell ref="AA151:AO151"/>
    <mergeCell ref="AP151:BD151"/>
    <mergeCell ref="BE151:BS151"/>
    <mergeCell ref="AA152:AE152"/>
    <mergeCell ref="AF152:AJ152"/>
    <mergeCell ref="AK152:AO152"/>
    <mergeCell ref="BA144:BC144"/>
    <mergeCell ref="BD144:BF144"/>
    <mergeCell ref="BG144:BI144"/>
    <mergeCell ref="BJ144:BL144"/>
    <mergeCell ref="A148:BL148"/>
    <mergeCell ref="A149:BS149"/>
    <mergeCell ref="AL145:AN145"/>
    <mergeCell ref="AO145:AQ145"/>
    <mergeCell ref="AR145:AT145"/>
    <mergeCell ref="AU145:AW145"/>
    <mergeCell ref="AI144:AK144"/>
    <mergeCell ref="AL144:AN144"/>
    <mergeCell ref="AO144:AQ144"/>
    <mergeCell ref="AR144:AT144"/>
    <mergeCell ref="AU144:AW144"/>
    <mergeCell ref="AX144:AZ144"/>
    <mergeCell ref="BA143:BC143"/>
    <mergeCell ref="BD143:BF143"/>
    <mergeCell ref="BG143:BI143"/>
    <mergeCell ref="BJ143:BL143"/>
    <mergeCell ref="A144:C144"/>
    <mergeCell ref="D144:V144"/>
    <mergeCell ref="W144:Y144"/>
    <mergeCell ref="Z144:AB144"/>
    <mergeCell ref="AC144:AE144"/>
    <mergeCell ref="AF144:AH144"/>
    <mergeCell ref="AI143:AK143"/>
    <mergeCell ref="AL143:AN143"/>
    <mergeCell ref="AO143:AQ143"/>
    <mergeCell ref="AR143:AT143"/>
    <mergeCell ref="AU143:AW143"/>
    <mergeCell ref="AX143:AZ143"/>
    <mergeCell ref="BA142:BC142"/>
    <mergeCell ref="BD142:BF142"/>
    <mergeCell ref="BG142:BI142"/>
    <mergeCell ref="BJ142:BL142"/>
    <mergeCell ref="A143:C143"/>
    <mergeCell ref="D143:V143"/>
    <mergeCell ref="W143:Y143"/>
    <mergeCell ref="Z143:AB143"/>
    <mergeCell ref="AC143:AE143"/>
    <mergeCell ref="AF143:AH143"/>
    <mergeCell ref="AI142:AK142"/>
    <mergeCell ref="AL142:AN142"/>
    <mergeCell ref="AO142:AQ142"/>
    <mergeCell ref="AR142:AT142"/>
    <mergeCell ref="AU142:AW142"/>
    <mergeCell ref="AX142:AZ142"/>
    <mergeCell ref="A142:C142"/>
    <mergeCell ref="D142:V142"/>
    <mergeCell ref="W142:Y142"/>
    <mergeCell ref="Z142:AB142"/>
    <mergeCell ref="AC142:AE142"/>
    <mergeCell ref="AF142:AH142"/>
    <mergeCell ref="BJ140:BL141"/>
    <mergeCell ref="W141:Y141"/>
    <mergeCell ref="Z141:AB141"/>
    <mergeCell ref="AC141:AE141"/>
    <mergeCell ref="AF141:AH141"/>
    <mergeCell ref="AI141:AK141"/>
    <mergeCell ref="AL141:AN141"/>
    <mergeCell ref="AO141:AQ141"/>
    <mergeCell ref="AR141:AT141"/>
    <mergeCell ref="BG139:BL139"/>
    <mergeCell ref="W140:AB140"/>
    <mergeCell ref="AC140:AH140"/>
    <mergeCell ref="AI140:AN140"/>
    <mergeCell ref="AO140:AT140"/>
    <mergeCell ref="AU140:AW141"/>
    <mergeCell ref="AX140:AZ141"/>
    <mergeCell ref="BA140:BC141"/>
    <mergeCell ref="BD140:BF141"/>
    <mergeCell ref="BG140:BI141"/>
    <mergeCell ref="A139:C141"/>
    <mergeCell ref="D139:V141"/>
    <mergeCell ref="W139:AH139"/>
    <mergeCell ref="AI139:AT139"/>
    <mergeCell ref="AU139:AZ139"/>
    <mergeCell ref="BA139:BF139"/>
    <mergeCell ref="AT134:AX134"/>
    <mergeCell ref="AY134:BC134"/>
    <mergeCell ref="BD134:BH134"/>
    <mergeCell ref="BI134:BM134"/>
    <mergeCell ref="BN134:BR134"/>
    <mergeCell ref="A138:BL138"/>
    <mergeCell ref="BI135:BM135"/>
    <mergeCell ref="BN135:BR135"/>
    <mergeCell ref="A134:T134"/>
    <mergeCell ref="U134:Y134"/>
    <mergeCell ref="Z134:AD134"/>
    <mergeCell ref="AE134:AI134"/>
    <mergeCell ref="AJ134:AN134"/>
    <mergeCell ref="AO134:AS134"/>
    <mergeCell ref="AO133:AS133"/>
    <mergeCell ref="AT133:AX133"/>
    <mergeCell ref="AY133:BC133"/>
    <mergeCell ref="BD133:BH133"/>
    <mergeCell ref="BI133:BM133"/>
    <mergeCell ref="BN133:BR133"/>
    <mergeCell ref="AT132:AX132"/>
    <mergeCell ref="AY132:BC132"/>
    <mergeCell ref="BD132:BH132"/>
    <mergeCell ref="BI132:BM132"/>
    <mergeCell ref="BN132:BR132"/>
    <mergeCell ref="A133:T133"/>
    <mergeCell ref="U133:Y133"/>
    <mergeCell ref="Z133:AD133"/>
    <mergeCell ref="AE133:AI133"/>
    <mergeCell ref="AJ133:AN133"/>
    <mergeCell ref="A132:T132"/>
    <mergeCell ref="U132:Y132"/>
    <mergeCell ref="Z132:AD132"/>
    <mergeCell ref="AE132:AI132"/>
    <mergeCell ref="AJ132:AN132"/>
    <mergeCell ref="AO132:AS132"/>
    <mergeCell ref="AO131:AS131"/>
    <mergeCell ref="AT131:AX131"/>
    <mergeCell ref="AY131:BC131"/>
    <mergeCell ref="BD131:BH131"/>
    <mergeCell ref="BI131:BM131"/>
    <mergeCell ref="BN131:BR131"/>
    <mergeCell ref="A130:T131"/>
    <mergeCell ref="U130:AD130"/>
    <mergeCell ref="AE130:AN130"/>
    <mergeCell ref="AO130:AX130"/>
    <mergeCell ref="AY130:BH130"/>
    <mergeCell ref="BI130:BR130"/>
    <mergeCell ref="U131:Y131"/>
    <mergeCell ref="Z131:AD131"/>
    <mergeCell ref="AE131:AI131"/>
    <mergeCell ref="AJ131:AN131"/>
    <mergeCell ref="AP119:AT119"/>
    <mergeCell ref="AU119:AY119"/>
    <mergeCell ref="AZ119:BD119"/>
    <mergeCell ref="BE119:BI119"/>
    <mergeCell ref="A128:BL128"/>
    <mergeCell ref="A129:BR129"/>
    <mergeCell ref="BE120:BI120"/>
    <mergeCell ref="A121:C121"/>
    <mergeCell ref="D121:P121"/>
    <mergeCell ref="Q121:U121"/>
    <mergeCell ref="AP118:AT118"/>
    <mergeCell ref="AU118:AY118"/>
    <mergeCell ref="AZ118:BD118"/>
    <mergeCell ref="BE118:BI118"/>
    <mergeCell ref="A119:C119"/>
    <mergeCell ref="D119:P119"/>
    <mergeCell ref="Q119:U119"/>
    <mergeCell ref="V119:AE119"/>
    <mergeCell ref="AF119:AJ119"/>
    <mergeCell ref="AK119:AO119"/>
    <mergeCell ref="AP117:AT117"/>
    <mergeCell ref="AU117:AY117"/>
    <mergeCell ref="AZ117:BD117"/>
    <mergeCell ref="BE117:BI117"/>
    <mergeCell ref="A118:C118"/>
    <mergeCell ref="D118:P118"/>
    <mergeCell ref="Q118:U118"/>
    <mergeCell ref="V118:AE118"/>
    <mergeCell ref="AF118:AJ118"/>
    <mergeCell ref="AK118:AO118"/>
    <mergeCell ref="AP116:AT116"/>
    <mergeCell ref="AU116:AY116"/>
    <mergeCell ref="AZ116:BD116"/>
    <mergeCell ref="BE116:BI116"/>
    <mergeCell ref="A117:C117"/>
    <mergeCell ref="D117:P117"/>
    <mergeCell ref="Q117:U117"/>
    <mergeCell ref="V117:AE117"/>
    <mergeCell ref="AF117:AJ117"/>
    <mergeCell ref="AK117:AO117"/>
    <mergeCell ref="BT105:BX105"/>
    <mergeCell ref="A114:BL114"/>
    <mergeCell ref="A115:C116"/>
    <mergeCell ref="D115:P116"/>
    <mergeCell ref="Q115:U116"/>
    <mergeCell ref="V115:AE116"/>
    <mergeCell ref="AF115:AT115"/>
    <mergeCell ref="AU115:BI115"/>
    <mergeCell ref="AF116:AJ116"/>
    <mergeCell ref="AK116:AO116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5:AS95"/>
    <mergeCell ref="AT95:AX95"/>
    <mergeCell ref="AY95:BC95"/>
    <mergeCell ref="BD95:BH95"/>
    <mergeCell ref="A99:BL99"/>
    <mergeCell ref="A100:BL100"/>
    <mergeCell ref="AJ96:AN96"/>
    <mergeCell ref="AO96:AS96"/>
    <mergeCell ref="AT96:AX96"/>
    <mergeCell ref="AY96:BC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O93:AS93"/>
    <mergeCell ref="AT93:AX93"/>
    <mergeCell ref="AY93:BC93"/>
    <mergeCell ref="BD93:BH93"/>
    <mergeCell ref="A94:C94"/>
    <mergeCell ref="D94:T94"/>
    <mergeCell ref="U94:Y94"/>
    <mergeCell ref="Z94:AD94"/>
    <mergeCell ref="AE94:AI94"/>
    <mergeCell ref="AJ94:AN94"/>
    <mergeCell ref="A93:C93"/>
    <mergeCell ref="D93:T93"/>
    <mergeCell ref="U93:Y93"/>
    <mergeCell ref="Z93:AD93"/>
    <mergeCell ref="AE93:AI93"/>
    <mergeCell ref="AJ93:AN93"/>
    <mergeCell ref="AE92:AI92"/>
    <mergeCell ref="AJ92:AN92"/>
    <mergeCell ref="AO92:AS92"/>
    <mergeCell ref="AT92:AX92"/>
    <mergeCell ref="AY92:BC92"/>
    <mergeCell ref="BD92:BH92"/>
    <mergeCell ref="BQ86:BT86"/>
    <mergeCell ref="BU86:BY86"/>
    <mergeCell ref="A89:BL89"/>
    <mergeCell ref="A90:BH90"/>
    <mergeCell ref="A91:C92"/>
    <mergeCell ref="D91:T92"/>
    <mergeCell ref="U91:AN91"/>
    <mergeCell ref="AO91:BH91"/>
    <mergeCell ref="U92:Y92"/>
    <mergeCell ref="Z92:AD92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C85"/>
    <mergeCell ref="D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A84:C84"/>
    <mergeCell ref="D84:T84"/>
    <mergeCell ref="U84:Y84"/>
    <mergeCell ref="Z84:AD84"/>
    <mergeCell ref="AE84:AH84"/>
    <mergeCell ref="AI84:AM84"/>
    <mergeCell ref="AX83:BA83"/>
    <mergeCell ref="BB83:BF83"/>
    <mergeCell ref="BG83:BK83"/>
    <mergeCell ref="BL83:BP83"/>
    <mergeCell ref="BQ83:BT83"/>
    <mergeCell ref="BU83:BY83"/>
    <mergeCell ref="U83:Y83"/>
    <mergeCell ref="Z83:AD83"/>
    <mergeCell ref="AE83:AH83"/>
    <mergeCell ref="AI83:AM83"/>
    <mergeCell ref="AN83:AR83"/>
    <mergeCell ref="AS83:AW83"/>
    <mergeCell ref="BB76:BF76"/>
    <mergeCell ref="BG76:BK76"/>
    <mergeCell ref="A79:BL79"/>
    <mergeCell ref="A80:BL80"/>
    <mergeCell ref="A81:BY81"/>
    <mergeCell ref="A82:C83"/>
    <mergeCell ref="D82:T83"/>
    <mergeCell ref="U82:AM82"/>
    <mergeCell ref="AN82:BF82"/>
    <mergeCell ref="BG82:BY82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BB74:BF74"/>
    <mergeCell ref="BG74:BK74"/>
    <mergeCell ref="A75:E75"/>
    <mergeCell ref="F75:W75"/>
    <mergeCell ref="X75:AB75"/>
    <mergeCell ref="AC75:AG75"/>
    <mergeCell ref="AH75:AL75"/>
    <mergeCell ref="AM75:AQ75"/>
    <mergeCell ref="AR75:AV75"/>
    <mergeCell ref="AW75:BA75"/>
    <mergeCell ref="BB73:BF73"/>
    <mergeCell ref="BG73:BK73"/>
    <mergeCell ref="A74:E74"/>
    <mergeCell ref="F74:W74"/>
    <mergeCell ref="X74:AB74"/>
    <mergeCell ref="AC74:AG74"/>
    <mergeCell ref="AH74:AL74"/>
    <mergeCell ref="AM74:AQ74"/>
    <mergeCell ref="AR74:AV74"/>
    <mergeCell ref="AW74:BA74"/>
    <mergeCell ref="A72:E73"/>
    <mergeCell ref="F72:W73"/>
    <mergeCell ref="X72:AQ72"/>
    <mergeCell ref="AR72:BK72"/>
    <mergeCell ref="X73:AB73"/>
    <mergeCell ref="AC73:AG73"/>
    <mergeCell ref="AH73:AL73"/>
    <mergeCell ref="AM73:AQ73"/>
    <mergeCell ref="AR73:AV73"/>
    <mergeCell ref="AW73:BA73"/>
    <mergeCell ref="AR67:AV67"/>
    <mergeCell ref="AW67:BA67"/>
    <mergeCell ref="BB67:BF67"/>
    <mergeCell ref="BG67:BK67"/>
    <mergeCell ref="A70:BL70"/>
    <mergeCell ref="A71:BK71"/>
    <mergeCell ref="AW68:BA68"/>
    <mergeCell ref="BB68:BF68"/>
    <mergeCell ref="BG68:BK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R65:AV65"/>
    <mergeCell ref="AW65:BA65"/>
    <mergeCell ref="BB65:BF65"/>
    <mergeCell ref="BG65:BK65"/>
    <mergeCell ref="A66:D66"/>
    <mergeCell ref="E66:W66"/>
    <mergeCell ref="X66:AB66"/>
    <mergeCell ref="AC66:AG66"/>
    <mergeCell ref="AH66:AL66"/>
    <mergeCell ref="AM66:AQ66"/>
    <mergeCell ref="A65:D65"/>
    <mergeCell ref="E65:W65"/>
    <mergeCell ref="X65:AB65"/>
    <mergeCell ref="AC65:AG65"/>
    <mergeCell ref="AH65:AL65"/>
    <mergeCell ref="AM65:AQ65"/>
    <mergeCell ref="AH64:AL64"/>
    <mergeCell ref="AM64:AQ64"/>
    <mergeCell ref="AR64:AV64"/>
    <mergeCell ref="AW64:BA64"/>
    <mergeCell ref="BB64:BF64"/>
    <mergeCell ref="BG64:BK64"/>
    <mergeCell ref="BQ59:BT59"/>
    <mergeCell ref="BU59:BY59"/>
    <mergeCell ref="A61:BL61"/>
    <mergeCell ref="A62:BK62"/>
    <mergeCell ref="A63:D64"/>
    <mergeCell ref="E63:W64"/>
    <mergeCell ref="X63:AQ63"/>
    <mergeCell ref="AR63:BK63"/>
    <mergeCell ref="X64:AB64"/>
    <mergeCell ref="AC64:AG64"/>
    <mergeCell ref="AN59:AR59"/>
    <mergeCell ref="AS59:AW59"/>
    <mergeCell ref="AX59:BA59"/>
    <mergeCell ref="BB59:BF59"/>
    <mergeCell ref="BG59:BK59"/>
    <mergeCell ref="BL59:BP59"/>
    <mergeCell ref="A59:E59"/>
    <mergeCell ref="F59:T59"/>
    <mergeCell ref="U59:Y59"/>
    <mergeCell ref="Z59:AD59"/>
    <mergeCell ref="AE59:AH59"/>
    <mergeCell ref="AI59:AM59"/>
    <mergeCell ref="AX58:BA58"/>
    <mergeCell ref="BB58:BF58"/>
    <mergeCell ref="BG58:BK58"/>
    <mergeCell ref="BL58:BP58"/>
    <mergeCell ref="BQ58:BT58"/>
    <mergeCell ref="BU58:BY58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N58:AR58"/>
    <mergeCell ref="AS58:AW58"/>
    <mergeCell ref="AN57:AR57"/>
    <mergeCell ref="AS57:AW57"/>
    <mergeCell ref="AX57:BA57"/>
    <mergeCell ref="BB57:BF57"/>
    <mergeCell ref="BG57:BK57"/>
    <mergeCell ref="BL57:BP57"/>
    <mergeCell ref="BG56:BK56"/>
    <mergeCell ref="BL56:BP56"/>
    <mergeCell ref="BQ56:BT56"/>
    <mergeCell ref="BU56:BY56"/>
    <mergeCell ref="A57:E57"/>
    <mergeCell ref="F57:T57"/>
    <mergeCell ref="U57:Y57"/>
    <mergeCell ref="Z57:AD57"/>
    <mergeCell ref="AE57:AH57"/>
    <mergeCell ref="AI57:AM57"/>
    <mergeCell ref="AE56:AH56"/>
    <mergeCell ref="AI56:AM56"/>
    <mergeCell ref="AN56:AR56"/>
    <mergeCell ref="AS56:AW56"/>
    <mergeCell ref="AX56:BA56"/>
    <mergeCell ref="BB56:BF56"/>
    <mergeCell ref="BU50:BY50"/>
    <mergeCell ref="A53:BL53"/>
    <mergeCell ref="A54:BY54"/>
    <mergeCell ref="A55:E56"/>
    <mergeCell ref="F55:T56"/>
    <mergeCell ref="U55:AM55"/>
    <mergeCell ref="AN55:BF55"/>
    <mergeCell ref="BG55:BY55"/>
    <mergeCell ref="U56:Y56"/>
    <mergeCell ref="Z56:AD56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6 A144 A95">
    <cfRule type="cellIs" dxfId="36" priority="39" stopIfTrue="1" operator="equal">
      <formula>A85</formula>
    </cfRule>
  </conditionalFormatting>
  <conditionalFormatting sqref="A105:C105 A119:C119">
    <cfRule type="cellIs" dxfId="35" priority="40" stopIfTrue="1" operator="equal">
      <formula>A104</formula>
    </cfRule>
    <cfRule type="cellIs" dxfId="34" priority="41" stopIfTrue="1" operator="equal">
      <formula>0</formula>
    </cfRule>
  </conditionalFormatting>
  <conditionalFormatting sqref="A87">
    <cfRule type="cellIs" dxfId="33" priority="38" stopIfTrue="1" operator="equal">
      <formula>A86</formula>
    </cfRule>
  </conditionalFormatting>
  <conditionalFormatting sqref="A97">
    <cfRule type="cellIs" dxfId="32" priority="105" stopIfTrue="1" operator="equal">
      <formula>A95</formula>
    </cfRule>
  </conditionalFormatting>
  <conditionalFormatting sqref="A96">
    <cfRule type="cellIs" dxfId="31" priority="36" stopIfTrue="1" operator="equal">
      <formula>A95</formula>
    </cfRule>
  </conditionalFormatting>
  <conditionalFormatting sqref="A145">
    <cfRule type="cellIs" dxfId="30" priority="2" stopIfTrue="1" operator="equal">
      <formula>A144</formula>
    </cfRule>
  </conditionalFormatting>
  <conditionalFormatting sqref="A106:C106">
    <cfRule type="cellIs" dxfId="29" priority="33" stopIfTrue="1" operator="equal">
      <formula>A105</formula>
    </cfRule>
    <cfRule type="cellIs" dxfId="28" priority="34" stopIfTrue="1" operator="equal">
      <formula>0</formula>
    </cfRule>
  </conditionalFormatting>
  <conditionalFormatting sqref="A107:C107">
    <cfRule type="cellIs" dxfId="27" priority="31" stopIfTrue="1" operator="equal">
      <formula>A106</formula>
    </cfRule>
    <cfRule type="cellIs" dxfId="26" priority="32" stopIfTrue="1" operator="equal">
      <formula>0</formula>
    </cfRule>
  </conditionalFormatting>
  <conditionalFormatting sqref="A108:C108">
    <cfRule type="cellIs" dxfId="25" priority="29" stopIfTrue="1" operator="equal">
      <formula>A107</formula>
    </cfRule>
    <cfRule type="cellIs" dxfId="24" priority="30" stopIfTrue="1" operator="equal">
      <formula>0</formula>
    </cfRule>
  </conditionalFormatting>
  <conditionalFormatting sqref="A109:C109">
    <cfRule type="cellIs" dxfId="23" priority="27" stopIfTrue="1" operator="equal">
      <formula>A108</formula>
    </cfRule>
    <cfRule type="cellIs" dxfId="22" priority="28" stopIfTrue="1" operator="equal">
      <formula>0</formula>
    </cfRule>
  </conditionalFormatting>
  <conditionalFormatting sqref="A110:C110">
    <cfRule type="cellIs" dxfId="21" priority="25" stopIfTrue="1" operator="equal">
      <formula>A109</formula>
    </cfRule>
    <cfRule type="cellIs" dxfId="20" priority="26" stopIfTrue="1" operator="equal">
      <formula>0</formula>
    </cfRule>
  </conditionalFormatting>
  <conditionalFormatting sqref="A111:C111">
    <cfRule type="cellIs" dxfId="19" priority="23" stopIfTrue="1" operator="equal">
      <formula>A110</formula>
    </cfRule>
    <cfRule type="cellIs" dxfId="18" priority="24" stopIfTrue="1" operator="equal">
      <formula>0</formula>
    </cfRule>
  </conditionalFormatting>
  <conditionalFormatting sqref="A112:C112">
    <cfRule type="cellIs" dxfId="17" priority="21" stopIfTrue="1" operator="equal">
      <formula>A111</formula>
    </cfRule>
    <cfRule type="cellIs" dxfId="16" priority="22" stopIfTrue="1" operator="equal">
      <formula>0</formula>
    </cfRule>
  </conditionalFormatting>
  <conditionalFormatting sqref="A120:C120">
    <cfRule type="cellIs" dxfId="15" priority="17" stopIfTrue="1" operator="equal">
      <formula>A119</formula>
    </cfRule>
    <cfRule type="cellIs" dxfId="14" priority="18" stopIfTrue="1" operator="equal">
      <formula>0</formula>
    </cfRule>
  </conditionalFormatting>
  <conditionalFormatting sqref="A121:C121">
    <cfRule type="cellIs" dxfId="13" priority="15" stopIfTrue="1" operator="equal">
      <formula>A120</formula>
    </cfRule>
    <cfRule type="cellIs" dxfId="12" priority="16" stopIfTrue="1" operator="equal">
      <formula>0</formula>
    </cfRule>
  </conditionalFormatting>
  <conditionalFormatting sqref="A122:C122">
    <cfRule type="cellIs" dxfId="11" priority="13" stopIfTrue="1" operator="equal">
      <formula>A121</formula>
    </cfRule>
    <cfRule type="cellIs" dxfId="10" priority="14" stopIfTrue="1" operator="equal">
      <formula>0</formula>
    </cfRule>
  </conditionalFormatting>
  <conditionalFormatting sqref="A123:C123">
    <cfRule type="cellIs" dxfId="9" priority="11" stopIfTrue="1" operator="equal">
      <formula>A122</formula>
    </cfRule>
    <cfRule type="cellIs" dxfId="8" priority="12" stopIfTrue="1" operator="equal">
      <formula>0</formula>
    </cfRule>
  </conditionalFormatting>
  <conditionalFormatting sqref="A124:C124">
    <cfRule type="cellIs" dxfId="7" priority="9" stopIfTrue="1" operator="equal">
      <formula>A123</formula>
    </cfRule>
    <cfRule type="cellIs" dxfId="6" priority="10" stopIfTrue="1" operator="equal">
      <formula>0</formula>
    </cfRule>
  </conditionalFormatting>
  <conditionalFormatting sqref="A125:C125">
    <cfRule type="cellIs" dxfId="5" priority="7" stopIfTrue="1" operator="equal">
      <formula>A124</formula>
    </cfRule>
    <cfRule type="cellIs" dxfId="4" priority="8" stopIfTrue="1" operator="equal">
      <formula>0</formula>
    </cfRule>
  </conditionalFormatting>
  <conditionalFormatting sqref="A126:C126">
    <cfRule type="cellIs" dxfId="3" priority="5" stopIfTrue="1" operator="equal">
      <formula>A125</formula>
    </cfRule>
    <cfRule type="cellIs" dxfId="2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4"/>
  <sheetViews>
    <sheetView zoomScaleNormal="100" workbookViewId="0"/>
  </sheetViews>
  <sheetFormatPr defaultRowHeight="12.75" x14ac:dyDescent="0.2"/>
  <cols>
    <col min="1" max="78" width="2.85546875" customWidth="1"/>
    <col min="79" max="79" width="8" hidden="1" customWidth="1"/>
  </cols>
  <sheetData>
    <row r="1" spans="1:79" ht="60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85" t="s">
        <v>143</v>
      </c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</row>
    <row r="2" spans="1:79" ht="14.25" customHeight="1" x14ac:dyDescent="0.2">
      <c r="A2" s="123" t="s">
        <v>354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</row>
    <row r="4" spans="1:79" ht="28.5" customHeight="1" x14ac:dyDescent="0.2">
      <c r="A4" s="27" t="s">
        <v>199</v>
      </c>
      <c r="B4" s="151" t="s">
        <v>227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46" t="s">
        <v>236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24"/>
      <c r="AT4" s="156" t="s">
        <v>241</v>
      </c>
      <c r="AU4" s="46"/>
      <c r="AV4" s="46"/>
      <c r="AW4" s="46"/>
      <c r="AX4" s="46"/>
      <c r="AY4" s="46"/>
      <c r="AZ4" s="46"/>
      <c r="BA4" s="46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22"/>
      <c r="AH5" s="47" t="s">
        <v>206</v>
      </c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22"/>
      <c r="AT5" s="47" t="s">
        <v>197</v>
      </c>
      <c r="AU5" s="47"/>
      <c r="AV5" s="47"/>
      <c r="AW5" s="47"/>
      <c r="AX5" s="47"/>
      <c r="AY5" s="47"/>
      <c r="AZ5" s="47"/>
      <c r="BA5" s="47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15" customHeight="1" x14ac:dyDescent="0.2">
      <c r="A7" s="27" t="s">
        <v>208</v>
      </c>
      <c r="B7" s="151" t="s">
        <v>226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46" t="s">
        <v>331</v>
      </c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31"/>
      <c r="BC7" s="156" t="s">
        <v>241</v>
      </c>
      <c r="BD7" s="46"/>
      <c r="BE7" s="46"/>
      <c r="BF7" s="46"/>
      <c r="BG7" s="46"/>
      <c r="BH7" s="46"/>
      <c r="BI7" s="46"/>
      <c r="BJ7" s="46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68" t="s">
        <v>188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22"/>
      <c r="AH8" s="47" t="s">
        <v>209</v>
      </c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29"/>
      <c r="BC8" s="47" t="s">
        <v>197</v>
      </c>
      <c r="BD8" s="47"/>
      <c r="BE8" s="47"/>
      <c r="BF8" s="47"/>
      <c r="BG8" s="47"/>
      <c r="BH8" s="47"/>
      <c r="BI8" s="47"/>
      <c r="BJ8" s="47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28.5" customHeight="1" x14ac:dyDescent="0.2">
      <c r="A10" s="27" t="s">
        <v>210</v>
      </c>
      <c r="B10" s="46" t="s">
        <v>328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N10" s="46" t="s">
        <v>329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31"/>
      <c r="AA10" s="46" t="s">
        <v>330</v>
      </c>
      <c r="AB10" s="46"/>
      <c r="AC10" s="46"/>
      <c r="AD10" s="46"/>
      <c r="AE10" s="46"/>
      <c r="AF10" s="46"/>
      <c r="AG10" s="46"/>
      <c r="AH10" s="46"/>
      <c r="AI10" s="46"/>
      <c r="AJ10" s="31"/>
      <c r="AK10" s="185" t="s">
        <v>229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242</v>
      </c>
      <c r="BM10" s="46"/>
      <c r="BN10" s="46"/>
      <c r="BO10" s="46"/>
      <c r="BP10" s="46"/>
      <c r="BQ10" s="46"/>
      <c r="BR10" s="46"/>
      <c r="BS10" s="46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47" t="s">
        <v>211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N11" s="47" t="s">
        <v>213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29"/>
      <c r="AA11" s="109" t="s">
        <v>214</v>
      </c>
      <c r="AB11" s="109"/>
      <c r="AC11" s="109"/>
      <c r="AD11" s="109"/>
      <c r="AE11" s="109"/>
      <c r="AF11" s="109"/>
      <c r="AG11" s="109"/>
      <c r="AH11" s="109"/>
      <c r="AI11" s="109"/>
      <c r="AJ11" s="29"/>
      <c r="AK11" s="110" t="s">
        <v>212</v>
      </c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35"/>
      <c r="BL11" s="47" t="s">
        <v>198</v>
      </c>
      <c r="BM11" s="47"/>
      <c r="BN11" s="47"/>
      <c r="BO11" s="47"/>
      <c r="BP11" s="47"/>
      <c r="BQ11" s="47"/>
      <c r="BR11" s="47"/>
      <c r="BS11" s="47"/>
      <c r="BT11" s="29"/>
      <c r="BU11" s="29"/>
      <c r="BV11" s="29"/>
      <c r="BW11" s="29"/>
      <c r="BX11" s="29"/>
      <c r="BY11" s="29"/>
      <c r="BZ11" s="29"/>
      <c r="CA11" s="29"/>
    </row>
    <row r="13" spans="1:79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79" ht="14.25" customHeight="1" x14ac:dyDescent="0.2">
      <c r="A14" s="67" t="s">
        <v>178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1:79" ht="14.25" customHeight="1" x14ac:dyDescent="0.2">
      <c r="A15" s="83" t="s">
        <v>347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</row>
    <row r="16" spans="1:79" ht="15" customHeight="1" x14ac:dyDescent="0.2">
      <c r="A16" s="62" t="s">
        <v>243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</row>
    <row r="17" spans="1:79" ht="36.75" customHeight="1" x14ac:dyDescent="0.2">
      <c r="A17" s="74" t="s">
        <v>166</v>
      </c>
      <c r="B17" s="74"/>
      <c r="C17" s="74"/>
      <c r="D17" s="74"/>
      <c r="E17" s="74"/>
      <c r="F17" s="74"/>
      <c r="G17" s="57" t="s">
        <v>20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 t="s">
        <v>244</v>
      </c>
      <c r="U17" s="57"/>
      <c r="V17" s="57"/>
      <c r="W17" s="57"/>
      <c r="X17" s="57"/>
      <c r="Y17" s="57"/>
      <c r="Z17" s="57"/>
      <c r="AA17" s="57" t="s">
        <v>245</v>
      </c>
      <c r="AB17" s="57"/>
      <c r="AC17" s="57"/>
      <c r="AD17" s="57"/>
      <c r="AE17" s="57"/>
      <c r="AF17" s="57"/>
      <c r="AG17" s="57"/>
      <c r="AH17" s="57" t="s">
        <v>246</v>
      </c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 t="s">
        <v>348</v>
      </c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</row>
    <row r="18" spans="1:79" ht="48" customHeight="1" x14ac:dyDescent="0.2">
      <c r="A18" s="74"/>
      <c r="B18" s="74"/>
      <c r="C18" s="74"/>
      <c r="D18" s="74"/>
      <c r="E18" s="74"/>
      <c r="F18" s="74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 t="s">
        <v>21</v>
      </c>
      <c r="AI18" s="57"/>
      <c r="AJ18" s="57"/>
      <c r="AK18" s="57"/>
      <c r="AL18" s="57"/>
      <c r="AM18" s="57"/>
      <c r="AN18" s="57"/>
      <c r="AO18" s="57" t="s">
        <v>121</v>
      </c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</row>
    <row r="19" spans="1:79" ht="15" customHeight="1" x14ac:dyDescent="0.2">
      <c r="A19" s="57">
        <v>1</v>
      </c>
      <c r="B19" s="57"/>
      <c r="C19" s="57"/>
      <c r="D19" s="57"/>
      <c r="E19" s="57"/>
      <c r="F19" s="57"/>
      <c r="G19" s="57">
        <v>2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>
        <v>3</v>
      </c>
      <c r="U19" s="57"/>
      <c r="V19" s="57"/>
      <c r="W19" s="57"/>
      <c r="X19" s="57"/>
      <c r="Y19" s="57"/>
      <c r="Z19" s="57"/>
      <c r="AA19" s="57">
        <v>4</v>
      </c>
      <c r="AB19" s="57"/>
      <c r="AC19" s="57"/>
      <c r="AD19" s="57"/>
      <c r="AE19" s="57"/>
      <c r="AF19" s="57"/>
      <c r="AG19" s="57"/>
      <c r="AH19" s="57">
        <v>5</v>
      </c>
      <c r="AI19" s="57"/>
      <c r="AJ19" s="57"/>
      <c r="AK19" s="57"/>
      <c r="AL19" s="57"/>
      <c r="AM19" s="57"/>
      <c r="AN19" s="57"/>
      <c r="AO19" s="57">
        <v>6</v>
      </c>
      <c r="AP19" s="57"/>
      <c r="AQ19" s="57"/>
      <c r="AR19" s="57"/>
      <c r="AS19" s="57"/>
      <c r="AT19" s="57"/>
      <c r="AU19" s="57"/>
      <c r="AV19" s="57">
        <v>7</v>
      </c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</row>
    <row r="20" spans="1:79" hidden="1" x14ac:dyDescent="0.2">
      <c r="A20" s="111" t="s">
        <v>128</v>
      </c>
      <c r="B20" s="111"/>
      <c r="C20" s="111"/>
      <c r="D20" s="111"/>
      <c r="E20" s="111"/>
      <c r="F20" s="111"/>
      <c r="G20" s="111" t="s">
        <v>78</v>
      </c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 t="s">
        <v>101</v>
      </c>
      <c r="U20" s="111"/>
      <c r="V20" s="111"/>
      <c r="W20" s="111"/>
      <c r="X20" s="111"/>
      <c r="Y20" s="111"/>
      <c r="Z20" s="111"/>
      <c r="AA20" s="111" t="s">
        <v>102</v>
      </c>
      <c r="AB20" s="111"/>
      <c r="AC20" s="111"/>
      <c r="AD20" s="111"/>
      <c r="AE20" s="111"/>
      <c r="AF20" s="111"/>
      <c r="AG20" s="111"/>
      <c r="AH20" s="111" t="s">
        <v>103</v>
      </c>
      <c r="AI20" s="111"/>
      <c r="AJ20" s="111"/>
      <c r="AK20" s="111"/>
      <c r="AL20" s="111"/>
      <c r="AM20" s="111"/>
      <c r="AN20" s="111"/>
      <c r="AO20" s="111" t="s">
        <v>104</v>
      </c>
      <c r="AP20" s="111"/>
      <c r="AQ20" s="111"/>
      <c r="AR20" s="111"/>
      <c r="AS20" s="111"/>
      <c r="AT20" s="111"/>
      <c r="AU20" s="111"/>
      <c r="AV20" s="111" t="s">
        <v>110</v>
      </c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CA20" t="s">
        <v>64</v>
      </c>
    </row>
    <row r="21" spans="1:79" s="7" customFormat="1" x14ac:dyDescent="0.2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CA21" s="7" t="s">
        <v>65</v>
      </c>
    </row>
    <row r="23" spans="1:79" ht="15" customHeight="1" x14ac:dyDescent="0.2">
      <c r="A23" s="67" t="s">
        <v>186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5" spans="1:79" ht="48" customHeight="1" x14ac:dyDescent="0.2">
      <c r="A25" s="57" t="s">
        <v>7</v>
      </c>
      <c r="B25" s="57"/>
      <c r="C25" s="57"/>
      <c r="D25" s="57"/>
      <c r="E25" s="57"/>
      <c r="F25" s="57"/>
      <c r="G25" s="51" t="s">
        <v>20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3"/>
      <c r="AF25" s="57" t="s">
        <v>9</v>
      </c>
      <c r="AG25" s="57"/>
      <c r="AH25" s="57"/>
      <c r="AI25" s="57"/>
      <c r="AJ25" s="57"/>
      <c r="AK25" s="57" t="s">
        <v>8</v>
      </c>
      <c r="AL25" s="57"/>
      <c r="AM25" s="57"/>
      <c r="AN25" s="57"/>
      <c r="AO25" s="57"/>
      <c r="AP25" s="57"/>
      <c r="AQ25" s="57"/>
      <c r="AR25" s="57"/>
      <c r="AS25" s="57"/>
      <c r="AT25" s="57"/>
      <c r="AU25" s="57" t="s">
        <v>349</v>
      </c>
      <c r="AV25" s="57"/>
      <c r="AW25" s="57"/>
      <c r="AX25" s="57"/>
      <c r="AY25" s="57"/>
      <c r="AZ25" s="57"/>
      <c r="BA25" s="57"/>
      <c r="BB25" s="57"/>
      <c r="BC25" s="57"/>
      <c r="BD25" s="57"/>
      <c r="BE25" s="57" t="s">
        <v>350</v>
      </c>
      <c r="BF25" s="57"/>
      <c r="BG25" s="57"/>
      <c r="BH25" s="57"/>
      <c r="BI25" s="57"/>
      <c r="BJ25" s="57"/>
      <c r="BK25" s="57"/>
      <c r="BL25" s="57"/>
      <c r="BM25" s="57"/>
      <c r="BN25" s="57"/>
    </row>
    <row r="26" spans="1:79" ht="15" customHeight="1" x14ac:dyDescent="0.2">
      <c r="A26" s="57">
        <v>1</v>
      </c>
      <c r="B26" s="57"/>
      <c r="C26" s="57"/>
      <c r="D26" s="57"/>
      <c r="E26" s="57"/>
      <c r="F26" s="57"/>
      <c r="G26" s="51">
        <v>2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3"/>
      <c r="AF26" s="57">
        <v>3</v>
      </c>
      <c r="AG26" s="57"/>
      <c r="AH26" s="57"/>
      <c r="AI26" s="57"/>
      <c r="AJ26" s="57"/>
      <c r="AK26" s="57">
        <v>4</v>
      </c>
      <c r="AL26" s="57"/>
      <c r="AM26" s="57"/>
      <c r="AN26" s="57"/>
      <c r="AO26" s="57"/>
      <c r="AP26" s="57"/>
      <c r="AQ26" s="57"/>
      <c r="AR26" s="57"/>
      <c r="AS26" s="57"/>
      <c r="AT26" s="57"/>
      <c r="AU26" s="57">
        <v>5</v>
      </c>
      <c r="AV26" s="57"/>
      <c r="AW26" s="57"/>
      <c r="AX26" s="57"/>
      <c r="AY26" s="57"/>
      <c r="AZ26" s="57"/>
      <c r="BA26" s="57"/>
      <c r="BB26" s="57"/>
      <c r="BC26" s="57"/>
      <c r="BD26" s="57"/>
      <c r="BE26" s="57">
        <v>6</v>
      </c>
      <c r="BF26" s="57"/>
      <c r="BG26" s="57"/>
      <c r="BH26" s="57"/>
      <c r="BI26" s="57"/>
      <c r="BJ26" s="57"/>
      <c r="BK26" s="57"/>
      <c r="BL26" s="57"/>
      <c r="BM26" s="57"/>
      <c r="BN26" s="57"/>
    </row>
    <row r="27" spans="1:79" ht="15" hidden="1" customHeight="1" x14ac:dyDescent="0.2">
      <c r="A27" s="111" t="s">
        <v>187</v>
      </c>
      <c r="B27" s="111"/>
      <c r="C27" s="111"/>
      <c r="D27" s="111"/>
      <c r="E27" s="111"/>
      <c r="F27" s="111"/>
      <c r="G27" s="114" t="s">
        <v>78</v>
      </c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6"/>
      <c r="AF27" s="111" t="s">
        <v>91</v>
      </c>
      <c r="AG27" s="111"/>
      <c r="AH27" s="111"/>
      <c r="AI27" s="111"/>
      <c r="AJ27" s="111"/>
      <c r="AK27" s="111" t="s">
        <v>92</v>
      </c>
      <c r="AL27" s="111"/>
      <c r="AM27" s="111"/>
      <c r="AN27" s="111"/>
      <c r="AO27" s="111"/>
      <c r="AP27" s="111"/>
      <c r="AQ27" s="111"/>
      <c r="AR27" s="111"/>
      <c r="AS27" s="111"/>
      <c r="AT27" s="111"/>
      <c r="AU27" s="111" t="s">
        <v>139</v>
      </c>
      <c r="AV27" s="111"/>
      <c r="AW27" s="111"/>
      <c r="AX27" s="111"/>
      <c r="AY27" s="111"/>
      <c r="AZ27" s="111"/>
      <c r="BA27" s="111"/>
      <c r="BB27" s="111"/>
      <c r="BC27" s="111"/>
      <c r="BD27" s="111"/>
      <c r="BE27" s="111" t="s">
        <v>141</v>
      </c>
      <c r="BF27" s="111"/>
      <c r="BG27" s="111"/>
      <c r="BH27" s="111"/>
      <c r="BI27" s="111"/>
      <c r="BJ27" s="111"/>
      <c r="BK27" s="111"/>
      <c r="BL27" s="111"/>
      <c r="BM27" s="111"/>
      <c r="BN27" s="111"/>
      <c r="CA27" t="s">
        <v>66</v>
      </c>
    </row>
    <row r="28" spans="1:79" s="7" customFormat="1" x14ac:dyDescent="0.2">
      <c r="A28" s="113"/>
      <c r="B28" s="113"/>
      <c r="C28" s="113"/>
      <c r="D28" s="113"/>
      <c r="E28" s="113"/>
      <c r="F28" s="113"/>
      <c r="G28" s="125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7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CA28" s="7" t="s">
        <v>67</v>
      </c>
    </row>
    <row r="30" spans="1:79" ht="14.25" customHeight="1" x14ac:dyDescent="0.2">
      <c r="A30" s="66" t="s">
        <v>351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</row>
    <row r="31" spans="1:79" ht="15" customHeight="1" x14ac:dyDescent="0.2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</row>
    <row r="33" spans="1:79" s="1" customFormat="1" ht="28.5" hidden="1" customHeight="1" x14ac:dyDescent="0.2">
      <c r="A33" s="120"/>
      <c r="B33" s="120"/>
      <c r="C33" s="120"/>
      <c r="D33" s="120"/>
      <c r="E33" s="120"/>
      <c r="F33" s="120"/>
      <c r="G33" s="119" t="s">
        <v>1</v>
      </c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 t="s">
        <v>101</v>
      </c>
      <c r="U33" s="117"/>
      <c r="V33" s="117"/>
      <c r="W33" s="117"/>
      <c r="X33" s="117"/>
      <c r="Y33" s="117"/>
      <c r="Z33" s="117"/>
      <c r="AA33" s="117" t="s">
        <v>102</v>
      </c>
      <c r="AB33" s="117"/>
      <c r="AC33" s="117"/>
      <c r="AD33" s="117"/>
      <c r="AE33" s="117"/>
      <c r="AF33" s="117"/>
      <c r="AG33" s="117"/>
      <c r="AH33" s="117" t="s">
        <v>103</v>
      </c>
      <c r="AI33" s="117"/>
      <c r="AJ33" s="117"/>
      <c r="AK33" s="117"/>
      <c r="AL33" s="117"/>
      <c r="AM33" s="117"/>
      <c r="AN33" s="118"/>
      <c r="AO33" s="119" t="s">
        <v>104</v>
      </c>
      <c r="AP33" s="117"/>
      <c r="AQ33" s="117"/>
      <c r="AR33" s="117"/>
      <c r="AS33" s="117"/>
      <c r="AT33" s="117"/>
      <c r="AU33" s="117"/>
      <c r="AV33" s="12"/>
      <c r="AW33" s="12"/>
      <c r="AX33" s="12"/>
      <c r="AY33" s="12"/>
      <c r="AZ33" s="12"/>
      <c r="BA33" s="12"/>
      <c r="BB33" s="12"/>
      <c r="BC33" s="12"/>
      <c r="BD33" s="13"/>
      <c r="BE33" s="11"/>
      <c r="BF33" s="12"/>
      <c r="BG33" s="12"/>
      <c r="BH33" s="12"/>
      <c r="BI33" s="12"/>
      <c r="BJ33" s="12"/>
      <c r="BK33" s="12"/>
      <c r="BL33" s="12"/>
      <c r="BM33" s="12"/>
      <c r="BN33" s="13"/>
      <c r="CA33" t="s">
        <v>129</v>
      </c>
    </row>
    <row r="34" spans="1:79" s="9" customFormat="1" ht="12.75" customHeight="1" x14ac:dyDescent="0.2">
      <c r="A34" s="120" t="s">
        <v>179</v>
      </c>
      <c r="B34" s="120"/>
      <c r="C34" s="120"/>
      <c r="D34" s="120"/>
      <c r="E34" s="120"/>
      <c r="F34" s="120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4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CA34" s="9" t="s">
        <v>130</v>
      </c>
    </row>
    <row r="37" spans="1:79" ht="14.25" customHeight="1" x14ac:dyDescent="0.2">
      <c r="A37" s="83" t="s">
        <v>355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</row>
    <row r="38" spans="1:79" ht="15" x14ac:dyDescent="0.25">
      <c r="A38" s="121" t="s">
        <v>243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</row>
    <row r="39" spans="1:79" ht="12.95" customHeight="1" x14ac:dyDescent="0.2">
      <c r="A39" s="57" t="s">
        <v>3</v>
      </c>
      <c r="B39" s="57"/>
      <c r="C39" s="57"/>
      <c r="D39" s="57"/>
      <c r="E39" s="57"/>
      <c r="F39" s="57"/>
      <c r="G39" s="57" t="s">
        <v>20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 t="s">
        <v>247</v>
      </c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 t="s">
        <v>249</v>
      </c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 t="s">
        <v>356</v>
      </c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</row>
    <row r="40" spans="1:79" ht="47.1" customHeight="1" x14ac:dyDescent="0.2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 t="s">
        <v>22</v>
      </c>
      <c r="U40" s="57"/>
      <c r="V40" s="57"/>
      <c r="W40" s="57"/>
      <c r="X40" s="57"/>
      <c r="Y40" s="57"/>
      <c r="Z40" s="57"/>
      <c r="AA40" s="57" t="s">
        <v>121</v>
      </c>
      <c r="AB40" s="57"/>
      <c r="AC40" s="57"/>
      <c r="AD40" s="57"/>
      <c r="AE40" s="57"/>
      <c r="AF40" s="57"/>
      <c r="AG40" s="57"/>
      <c r="AH40" s="57" t="s">
        <v>22</v>
      </c>
      <c r="AI40" s="57"/>
      <c r="AJ40" s="57"/>
      <c r="AK40" s="57"/>
      <c r="AL40" s="57"/>
      <c r="AM40" s="57"/>
      <c r="AN40" s="57"/>
      <c r="AO40" s="57" t="s">
        <v>121</v>
      </c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</row>
    <row r="41" spans="1:79" ht="15" customHeight="1" x14ac:dyDescent="0.2">
      <c r="A41" s="57">
        <v>1</v>
      </c>
      <c r="B41" s="57"/>
      <c r="C41" s="57"/>
      <c r="D41" s="57"/>
      <c r="E41" s="57"/>
      <c r="F41" s="57"/>
      <c r="G41" s="57">
        <v>2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>
        <v>3</v>
      </c>
      <c r="U41" s="57"/>
      <c r="V41" s="57"/>
      <c r="W41" s="57"/>
      <c r="X41" s="57"/>
      <c r="Y41" s="57"/>
      <c r="Z41" s="57"/>
      <c r="AA41" s="57">
        <v>4</v>
      </c>
      <c r="AB41" s="57"/>
      <c r="AC41" s="57"/>
      <c r="AD41" s="57"/>
      <c r="AE41" s="57"/>
      <c r="AF41" s="57"/>
      <c r="AG41" s="57"/>
      <c r="AH41" s="57">
        <v>5</v>
      </c>
      <c r="AI41" s="57"/>
      <c r="AJ41" s="57"/>
      <c r="AK41" s="57"/>
      <c r="AL41" s="57"/>
      <c r="AM41" s="57"/>
      <c r="AN41" s="57"/>
      <c r="AO41" s="57">
        <v>6</v>
      </c>
      <c r="AP41" s="57"/>
      <c r="AQ41" s="57"/>
      <c r="AR41" s="57"/>
      <c r="AS41" s="57"/>
      <c r="AT41" s="57"/>
      <c r="AU41" s="57"/>
      <c r="AV41" s="57">
        <v>7</v>
      </c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</row>
    <row r="42" spans="1:79" s="2" customFormat="1" ht="12.75" hidden="1" customHeight="1" x14ac:dyDescent="0.2">
      <c r="A42" s="60" t="s">
        <v>128</v>
      </c>
      <c r="B42" s="60"/>
      <c r="C42" s="60"/>
      <c r="D42" s="60"/>
      <c r="E42" s="60"/>
      <c r="F42" s="60"/>
      <c r="G42" s="99" t="s">
        <v>78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59" t="s">
        <v>101</v>
      </c>
      <c r="U42" s="59"/>
      <c r="V42" s="59"/>
      <c r="W42" s="59"/>
      <c r="X42" s="59"/>
      <c r="Y42" s="59"/>
      <c r="Z42" s="59"/>
      <c r="AA42" s="59" t="s">
        <v>102</v>
      </c>
      <c r="AB42" s="59"/>
      <c r="AC42" s="59"/>
      <c r="AD42" s="59"/>
      <c r="AE42" s="59"/>
      <c r="AF42" s="59"/>
      <c r="AG42" s="59"/>
      <c r="AH42" s="59" t="s">
        <v>103</v>
      </c>
      <c r="AI42" s="59"/>
      <c r="AJ42" s="59"/>
      <c r="AK42" s="59"/>
      <c r="AL42" s="59"/>
      <c r="AM42" s="59"/>
      <c r="AN42" s="59"/>
      <c r="AO42" s="59" t="s">
        <v>104</v>
      </c>
      <c r="AP42" s="59"/>
      <c r="AQ42" s="59"/>
      <c r="AR42" s="59"/>
      <c r="AS42" s="59"/>
      <c r="AT42" s="59"/>
      <c r="AU42" s="59"/>
      <c r="AV42" s="60" t="s">
        <v>110</v>
      </c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CA42" s="2" t="s">
        <v>68</v>
      </c>
    </row>
    <row r="43" spans="1:79" s="8" customFormat="1" ht="12.75" customHeight="1" x14ac:dyDescent="0.2">
      <c r="A43" s="60" t="s">
        <v>1</v>
      </c>
      <c r="B43" s="60"/>
      <c r="C43" s="60"/>
      <c r="D43" s="60"/>
      <c r="E43" s="60"/>
      <c r="F43" s="60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CA43" s="8" t="s">
        <v>69</v>
      </c>
    </row>
    <row r="45" spans="1:79" ht="15" customHeight="1" x14ac:dyDescent="0.2">
      <c r="A45" s="83" t="s">
        <v>189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</row>
    <row r="47" spans="1:79" ht="90.95" customHeight="1" x14ac:dyDescent="0.2">
      <c r="A47" s="57" t="s">
        <v>7</v>
      </c>
      <c r="B47" s="57"/>
      <c r="C47" s="57"/>
      <c r="D47" s="57"/>
      <c r="E47" s="57"/>
      <c r="F47" s="57"/>
      <c r="G47" s="51" t="s">
        <v>20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57" t="s">
        <v>9</v>
      </c>
      <c r="AG47" s="57"/>
      <c r="AH47" s="57"/>
      <c r="AI47" s="57"/>
      <c r="AJ47" s="57"/>
      <c r="AK47" s="57" t="s">
        <v>8</v>
      </c>
      <c r="AL47" s="57"/>
      <c r="AM47" s="57"/>
      <c r="AN47" s="57"/>
      <c r="AO47" s="57"/>
      <c r="AP47" s="57"/>
      <c r="AQ47" s="57"/>
      <c r="AR47" s="57"/>
      <c r="AS47" s="57"/>
      <c r="AT47" s="57"/>
      <c r="AU47" s="57" t="s">
        <v>352</v>
      </c>
      <c r="AV47" s="57"/>
      <c r="AW47" s="57"/>
      <c r="AX47" s="57"/>
      <c r="AY47" s="57"/>
      <c r="AZ47" s="57"/>
      <c r="BA47" s="57" t="s">
        <v>353</v>
      </c>
      <c r="BB47" s="57"/>
      <c r="BC47" s="57"/>
      <c r="BD47" s="57"/>
      <c r="BE47" s="57"/>
      <c r="BF47" s="57"/>
      <c r="BG47" s="57" t="s">
        <v>357</v>
      </c>
      <c r="BH47" s="57"/>
      <c r="BI47" s="57"/>
      <c r="BJ47" s="57"/>
      <c r="BK47" s="57"/>
      <c r="BL47" s="57"/>
      <c r="BM47" s="57" t="s">
        <v>358</v>
      </c>
      <c r="BN47" s="57"/>
      <c r="BO47" s="57"/>
      <c r="BP47" s="57"/>
      <c r="BQ47" s="57"/>
      <c r="BR47" s="57"/>
    </row>
    <row r="48" spans="1:79" ht="15" customHeight="1" x14ac:dyDescent="0.2">
      <c r="A48" s="57">
        <v>1</v>
      </c>
      <c r="B48" s="57"/>
      <c r="C48" s="57"/>
      <c r="D48" s="57"/>
      <c r="E48" s="57"/>
      <c r="F48" s="57"/>
      <c r="G48" s="51">
        <v>2</v>
      </c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3"/>
      <c r="AF48" s="57">
        <v>3</v>
      </c>
      <c r="AG48" s="57"/>
      <c r="AH48" s="57"/>
      <c r="AI48" s="57"/>
      <c r="AJ48" s="57"/>
      <c r="AK48" s="57">
        <v>4</v>
      </c>
      <c r="AL48" s="57"/>
      <c r="AM48" s="57"/>
      <c r="AN48" s="57"/>
      <c r="AO48" s="57"/>
      <c r="AP48" s="57"/>
      <c r="AQ48" s="57"/>
      <c r="AR48" s="57"/>
      <c r="AS48" s="57"/>
      <c r="AT48" s="57"/>
      <c r="AU48" s="57">
        <v>5</v>
      </c>
      <c r="AV48" s="57"/>
      <c r="AW48" s="57"/>
      <c r="AX48" s="57"/>
      <c r="AY48" s="57"/>
      <c r="AZ48" s="57"/>
      <c r="BA48" s="57">
        <v>6</v>
      </c>
      <c r="BB48" s="57"/>
      <c r="BC48" s="57"/>
      <c r="BD48" s="57"/>
      <c r="BE48" s="57"/>
      <c r="BF48" s="57"/>
      <c r="BG48" s="57">
        <v>7</v>
      </c>
      <c r="BH48" s="57"/>
      <c r="BI48" s="57"/>
      <c r="BJ48" s="57"/>
      <c r="BK48" s="57"/>
      <c r="BL48" s="57"/>
      <c r="BM48" s="57">
        <v>8</v>
      </c>
      <c r="BN48" s="57"/>
      <c r="BO48" s="57"/>
      <c r="BP48" s="57"/>
      <c r="BQ48" s="57"/>
      <c r="BR48" s="57"/>
    </row>
    <row r="49" spans="1:79" ht="9.75" hidden="1" customHeight="1" x14ac:dyDescent="0.2">
      <c r="A49" s="111" t="s">
        <v>187</v>
      </c>
      <c r="B49" s="111"/>
      <c r="C49" s="111"/>
      <c r="D49" s="111"/>
      <c r="E49" s="111"/>
      <c r="F49" s="111"/>
      <c r="G49" s="114" t="s">
        <v>78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6"/>
      <c r="AF49" s="111" t="s">
        <v>91</v>
      </c>
      <c r="AG49" s="111"/>
      <c r="AH49" s="111"/>
      <c r="AI49" s="111"/>
      <c r="AJ49" s="111"/>
      <c r="AK49" s="111" t="s">
        <v>92</v>
      </c>
      <c r="AL49" s="111"/>
      <c r="AM49" s="111"/>
      <c r="AN49" s="111"/>
      <c r="AO49" s="111"/>
      <c r="AP49" s="111"/>
      <c r="AQ49" s="111"/>
      <c r="AR49" s="111"/>
      <c r="AS49" s="111"/>
      <c r="AT49" s="111"/>
      <c r="AU49" s="111" t="s">
        <v>139</v>
      </c>
      <c r="AV49" s="111"/>
      <c r="AW49" s="111"/>
      <c r="AX49" s="111"/>
      <c r="AY49" s="111"/>
      <c r="AZ49" s="111"/>
      <c r="BA49" s="111" t="s">
        <v>141</v>
      </c>
      <c r="BB49" s="111"/>
      <c r="BC49" s="111"/>
      <c r="BD49" s="111"/>
      <c r="BE49" s="111"/>
      <c r="BF49" s="111"/>
      <c r="BG49" s="111" t="s">
        <v>133</v>
      </c>
      <c r="BH49" s="111"/>
      <c r="BI49" s="111"/>
      <c r="BJ49" s="111"/>
      <c r="BK49" s="111"/>
      <c r="BL49" s="111"/>
      <c r="BM49" s="111" t="s">
        <v>135</v>
      </c>
      <c r="BN49" s="111"/>
      <c r="BO49" s="111"/>
      <c r="BP49" s="111"/>
      <c r="BQ49" s="111"/>
      <c r="BR49" s="111"/>
      <c r="CA49" t="s">
        <v>70</v>
      </c>
    </row>
    <row r="50" spans="1:79" s="7" customFormat="1" x14ac:dyDescent="0.2">
      <c r="A50" s="113"/>
      <c r="B50" s="113"/>
      <c r="C50" s="113"/>
      <c r="D50" s="113"/>
      <c r="E50" s="113"/>
      <c r="F50" s="113"/>
      <c r="G50" s="125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7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CA50" s="7" t="s">
        <v>71</v>
      </c>
    </row>
    <row r="52" spans="1:79" ht="28.5" customHeight="1" x14ac:dyDescent="0.2">
      <c r="A52" s="61" t="s">
        <v>359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</row>
    <row r="53" spans="1:79" ht="15" customHeight="1" x14ac:dyDescent="0.2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</row>
    <row r="54" spans="1:79" s="21" customFormat="1" ht="1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79" s="2" customFormat="1" ht="15.75" hidden="1" customHeight="1" x14ac:dyDescent="0.2">
      <c r="A55" s="60"/>
      <c r="B55" s="60"/>
      <c r="C55" s="60"/>
      <c r="D55" s="60"/>
      <c r="E55" s="60"/>
      <c r="F55" s="60"/>
      <c r="G55" s="54" t="s">
        <v>1</v>
      </c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 t="s">
        <v>101</v>
      </c>
      <c r="U55" s="55"/>
      <c r="V55" s="55"/>
      <c r="W55" s="55"/>
      <c r="X55" s="55"/>
      <c r="Y55" s="55"/>
      <c r="Z55" s="55"/>
      <c r="AA55" s="55" t="s">
        <v>102</v>
      </c>
      <c r="AB55" s="55"/>
      <c r="AC55" s="55"/>
      <c r="AD55" s="55"/>
      <c r="AE55" s="55"/>
      <c r="AF55" s="55"/>
      <c r="AG55" s="55"/>
      <c r="AH55" s="55" t="s">
        <v>103</v>
      </c>
      <c r="AI55" s="55"/>
      <c r="AJ55" s="55"/>
      <c r="AK55" s="55"/>
      <c r="AL55" s="55"/>
      <c r="AM55" s="55"/>
      <c r="AN55" s="55"/>
      <c r="AO55" s="128" t="s">
        <v>104</v>
      </c>
      <c r="AP55" s="128"/>
      <c r="AQ55" s="128"/>
      <c r="AR55" s="128"/>
      <c r="AS55" s="128"/>
      <c r="AT55" s="128"/>
      <c r="AU55" s="129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7"/>
      <c r="CA55" s="2" t="s">
        <v>131</v>
      </c>
    </row>
    <row r="56" spans="1:79" s="9" customFormat="1" ht="15" customHeight="1" x14ac:dyDescent="0.2">
      <c r="A56" s="120" t="s">
        <v>179</v>
      </c>
      <c r="B56" s="120"/>
      <c r="C56" s="120"/>
      <c r="D56" s="120"/>
      <c r="E56" s="120"/>
      <c r="F56" s="120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9"/>
      <c r="CA56" s="9" t="s">
        <v>132</v>
      </c>
    </row>
    <row r="57" spans="1:79" s="1" customFormat="1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79" s="1" customFormat="1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60" spans="1:79" ht="18.95" customHeight="1" x14ac:dyDescent="0.2">
      <c r="A60" s="153" t="s">
        <v>237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40"/>
      <c r="AC60" s="40"/>
      <c r="AD60" s="40"/>
      <c r="AE60" s="40"/>
      <c r="AF60" s="40"/>
      <c r="AG60" s="40"/>
      <c r="AH60" s="43"/>
      <c r="AI60" s="43"/>
      <c r="AJ60" s="43"/>
      <c r="AK60" s="43"/>
      <c r="AL60" s="43"/>
      <c r="AM60" s="43"/>
      <c r="AN60" s="43"/>
      <c r="AO60" s="43"/>
      <c r="AP60" s="43"/>
      <c r="AQ60" s="40"/>
      <c r="AR60" s="40"/>
      <c r="AS60" s="40"/>
      <c r="AT60" s="40"/>
      <c r="AU60" s="154" t="s">
        <v>239</v>
      </c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 spans="1:79" ht="12.75" customHeight="1" x14ac:dyDescent="0.2">
      <c r="AB61" s="41"/>
      <c r="AC61" s="41"/>
      <c r="AD61" s="41"/>
      <c r="AE61" s="41"/>
      <c r="AF61" s="41"/>
      <c r="AG61" s="41"/>
      <c r="AH61" s="45" t="s">
        <v>2</v>
      </c>
      <c r="AI61" s="45"/>
      <c r="AJ61" s="45"/>
      <c r="AK61" s="45"/>
      <c r="AL61" s="45"/>
      <c r="AM61" s="45"/>
      <c r="AN61" s="45"/>
      <c r="AO61" s="45"/>
      <c r="AP61" s="45"/>
      <c r="AQ61" s="41"/>
      <c r="AR61" s="41"/>
      <c r="AS61" s="41"/>
      <c r="AT61" s="41"/>
      <c r="AU61" s="45" t="s">
        <v>205</v>
      </c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</row>
    <row r="62" spans="1:79" ht="15" x14ac:dyDescent="0.2">
      <c r="AB62" s="41"/>
      <c r="AC62" s="41"/>
      <c r="AD62" s="41"/>
      <c r="AE62" s="41"/>
      <c r="AF62" s="41"/>
      <c r="AG62" s="41"/>
      <c r="AH62" s="42"/>
      <c r="AI62" s="42"/>
      <c r="AJ62" s="42"/>
      <c r="AK62" s="42"/>
      <c r="AL62" s="42"/>
      <c r="AM62" s="42"/>
      <c r="AN62" s="42"/>
      <c r="AO62" s="42"/>
      <c r="AP62" s="42"/>
      <c r="AQ62" s="41"/>
      <c r="AR62" s="41"/>
      <c r="AS62" s="41"/>
      <c r="AT62" s="41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spans="1:79" ht="18" customHeight="1" x14ac:dyDescent="0.2">
      <c r="A63" s="153" t="s">
        <v>238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41"/>
      <c r="AC63" s="41"/>
      <c r="AD63" s="41"/>
      <c r="AE63" s="41"/>
      <c r="AF63" s="41"/>
      <c r="AG63" s="41"/>
      <c r="AH63" s="44"/>
      <c r="AI63" s="44"/>
      <c r="AJ63" s="44"/>
      <c r="AK63" s="44"/>
      <c r="AL63" s="44"/>
      <c r="AM63" s="44"/>
      <c r="AN63" s="44"/>
      <c r="AO63" s="44"/>
      <c r="AP63" s="44"/>
      <c r="AQ63" s="41"/>
      <c r="AR63" s="41"/>
      <c r="AS63" s="41"/>
      <c r="AT63" s="41"/>
      <c r="AU63" s="155" t="s">
        <v>240</v>
      </c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 spans="1:79" ht="12" customHeight="1" x14ac:dyDescent="0.2">
      <c r="AB64" s="41"/>
      <c r="AC64" s="41"/>
      <c r="AD64" s="41"/>
      <c r="AE64" s="41"/>
      <c r="AF64" s="41"/>
      <c r="AG64" s="41"/>
      <c r="AH64" s="45" t="s">
        <v>2</v>
      </c>
      <c r="AI64" s="45"/>
      <c r="AJ64" s="45"/>
      <c r="AK64" s="45"/>
      <c r="AL64" s="45"/>
      <c r="AM64" s="45"/>
      <c r="AN64" s="45"/>
      <c r="AO64" s="45"/>
      <c r="AP64" s="45"/>
      <c r="AQ64" s="41"/>
      <c r="AR64" s="41"/>
      <c r="AS64" s="41"/>
      <c r="AT64" s="41"/>
      <c r="AU64" s="45" t="s">
        <v>205</v>
      </c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</row>
  </sheetData>
  <mergeCells count="184">
    <mergeCell ref="AH64:AP64"/>
    <mergeCell ref="AU64:BF64"/>
    <mergeCell ref="A60:AA60"/>
    <mergeCell ref="AH60:AP60"/>
    <mergeCell ref="AU60:BF60"/>
    <mergeCell ref="AH61:AP61"/>
    <mergeCell ref="AU61:BF61"/>
    <mergeCell ref="A63:AA63"/>
    <mergeCell ref="AH63:AP63"/>
    <mergeCell ref="AU63:BF63"/>
    <mergeCell ref="A56:F56"/>
    <mergeCell ref="G56:S56"/>
    <mergeCell ref="T56:Z56"/>
    <mergeCell ref="AA56:AG56"/>
    <mergeCell ref="AH56:AN56"/>
    <mergeCell ref="AO56:AU56"/>
    <mergeCell ref="BG50:BL50"/>
    <mergeCell ref="BM50:BR50"/>
    <mergeCell ref="A52:BL52"/>
    <mergeCell ref="A53:BL53"/>
    <mergeCell ref="A55:F55"/>
    <mergeCell ref="G55:S55"/>
    <mergeCell ref="T55:Z55"/>
    <mergeCell ref="AA55:AG55"/>
    <mergeCell ref="AH55:AN55"/>
    <mergeCell ref="AO55:AU55"/>
    <mergeCell ref="A50:F50"/>
    <mergeCell ref="G50:AE50"/>
    <mergeCell ref="AF50:AJ50"/>
    <mergeCell ref="AK50:AT50"/>
    <mergeCell ref="AU50:AZ50"/>
    <mergeCell ref="BA50:BF50"/>
    <mergeCell ref="BG48:BL48"/>
    <mergeCell ref="BM48:BR48"/>
    <mergeCell ref="A49:F49"/>
    <mergeCell ref="G49:AE49"/>
    <mergeCell ref="AF49:AJ49"/>
    <mergeCell ref="AK49:AT49"/>
    <mergeCell ref="AU49:AZ49"/>
    <mergeCell ref="BA49:BF49"/>
    <mergeCell ref="BG49:BL49"/>
    <mergeCell ref="BM49:BR49"/>
    <mergeCell ref="A48:F48"/>
    <mergeCell ref="G48:AE48"/>
    <mergeCell ref="AF48:AJ48"/>
    <mergeCell ref="AK48:AT48"/>
    <mergeCell ref="AU48:AZ48"/>
    <mergeCell ref="BA48:BF48"/>
    <mergeCell ref="AV43:BQ43"/>
    <mergeCell ref="A45:BL45"/>
    <mergeCell ref="A47:F47"/>
    <mergeCell ref="G47:AE47"/>
    <mergeCell ref="AF47:AJ47"/>
    <mergeCell ref="AK47:AT47"/>
    <mergeCell ref="AU47:AZ47"/>
    <mergeCell ref="BA47:BF47"/>
    <mergeCell ref="BG47:BL47"/>
    <mergeCell ref="BM47:BR47"/>
    <mergeCell ref="A43:F43"/>
    <mergeCell ref="G43:S43"/>
    <mergeCell ref="T43:Z43"/>
    <mergeCell ref="AA43:AG43"/>
    <mergeCell ref="AH43:AN43"/>
    <mergeCell ref="AO43:AU43"/>
    <mergeCell ref="AV41:BQ41"/>
    <mergeCell ref="A42:F42"/>
    <mergeCell ref="G42:S42"/>
    <mergeCell ref="T42:Z42"/>
    <mergeCell ref="AA42:AG42"/>
    <mergeCell ref="AH42:AN42"/>
    <mergeCell ref="AO42:AU42"/>
    <mergeCell ref="AV42:BQ42"/>
    <mergeCell ref="AO40:AU40"/>
    <mergeCell ref="A41:F41"/>
    <mergeCell ref="G41:S41"/>
    <mergeCell ref="T41:Z41"/>
    <mergeCell ref="AA41:AG41"/>
    <mergeCell ref="AH41:AN41"/>
    <mergeCell ref="AO41:AU41"/>
    <mergeCell ref="A37:BL37"/>
    <mergeCell ref="A38:BQ38"/>
    <mergeCell ref="A39:F40"/>
    <mergeCell ref="G39:S40"/>
    <mergeCell ref="T39:AG39"/>
    <mergeCell ref="AH39:AU39"/>
    <mergeCell ref="AV39:BQ40"/>
    <mergeCell ref="T40:Z40"/>
    <mergeCell ref="AA40:AG40"/>
    <mergeCell ref="AH40:AN40"/>
    <mergeCell ref="A34:F34"/>
    <mergeCell ref="G34:S34"/>
    <mergeCell ref="T34:Z34"/>
    <mergeCell ref="AA34:AG34"/>
    <mergeCell ref="AH34:AN34"/>
    <mergeCell ref="AO34:AU34"/>
    <mergeCell ref="A30:BQ30"/>
    <mergeCell ref="A31:BL31"/>
    <mergeCell ref="A33:F33"/>
    <mergeCell ref="G33:S33"/>
    <mergeCell ref="T33:Z33"/>
    <mergeCell ref="AA33:AG33"/>
    <mergeCell ref="AH33:AN33"/>
    <mergeCell ref="AO33:AU33"/>
    <mergeCell ref="A28:F28"/>
    <mergeCell ref="G28:AE28"/>
    <mergeCell ref="AF28:AJ28"/>
    <mergeCell ref="AK28:AT28"/>
    <mergeCell ref="AU28:BD28"/>
    <mergeCell ref="BE28:BN28"/>
    <mergeCell ref="A27:F27"/>
    <mergeCell ref="G27:AE27"/>
    <mergeCell ref="AF27:AJ27"/>
    <mergeCell ref="AK27:AT27"/>
    <mergeCell ref="AU27:BD27"/>
    <mergeCell ref="BE27:BN27"/>
    <mergeCell ref="A26:F26"/>
    <mergeCell ref="G26:AE26"/>
    <mergeCell ref="AF26:AJ26"/>
    <mergeCell ref="AK26:AT26"/>
    <mergeCell ref="AU26:BD26"/>
    <mergeCell ref="BE26:BN26"/>
    <mergeCell ref="AV21:BL21"/>
    <mergeCell ref="A23:BL23"/>
    <mergeCell ref="A25:F25"/>
    <mergeCell ref="G25:AE25"/>
    <mergeCell ref="AF25:AJ25"/>
    <mergeCell ref="AK25:AT25"/>
    <mergeCell ref="AU25:BD25"/>
    <mergeCell ref="BE25:BN25"/>
    <mergeCell ref="A21:F21"/>
    <mergeCell ref="G21:S21"/>
    <mergeCell ref="T21:Z21"/>
    <mergeCell ref="AA21:AG21"/>
    <mergeCell ref="AH21:AN21"/>
    <mergeCell ref="AO21:AU21"/>
    <mergeCell ref="AV19:BL19"/>
    <mergeCell ref="A20:F20"/>
    <mergeCell ref="G20:S20"/>
    <mergeCell ref="T20:Z20"/>
    <mergeCell ref="AA20:AG20"/>
    <mergeCell ref="AH20:AN20"/>
    <mergeCell ref="AO20:AU20"/>
    <mergeCell ref="AV20:BL20"/>
    <mergeCell ref="AO18:AU18"/>
    <mergeCell ref="A19:F19"/>
    <mergeCell ref="G19:S19"/>
    <mergeCell ref="T19:Z19"/>
    <mergeCell ref="AA19:AG19"/>
    <mergeCell ref="AH19:AN19"/>
    <mergeCell ref="AO19:AU19"/>
    <mergeCell ref="A14:BL14"/>
    <mergeCell ref="A15:BL15"/>
    <mergeCell ref="A16:BL16"/>
    <mergeCell ref="A17:F18"/>
    <mergeCell ref="G17:S18"/>
    <mergeCell ref="T17:Z18"/>
    <mergeCell ref="AA17:AG18"/>
    <mergeCell ref="AH17:AU17"/>
    <mergeCell ref="AV17:BL18"/>
    <mergeCell ref="AH18:AN18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AX1:BL1"/>
    <mergeCell ref="A2:BL2"/>
    <mergeCell ref="B4:AF4"/>
    <mergeCell ref="AH4:AR4"/>
    <mergeCell ref="AT4:BA4"/>
    <mergeCell ref="A5:AF5"/>
    <mergeCell ref="AH5:AR5"/>
    <mergeCell ref="AT5:BA5"/>
  </mergeCells>
  <conditionalFormatting sqref="A50:F50 A28:F28">
    <cfRule type="cellIs" dxfId="1" priority="1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64"/>
  <sheetViews>
    <sheetView zoomScaleNormal="100" workbookViewId="0"/>
  </sheetViews>
  <sheetFormatPr defaultRowHeight="12.75" x14ac:dyDescent="0.2"/>
  <cols>
    <col min="1" max="78" width="2.85546875" customWidth="1"/>
    <col min="79" max="79" width="8" hidden="1" customWidth="1"/>
  </cols>
  <sheetData>
    <row r="1" spans="1:79" ht="60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85" t="s">
        <v>143</v>
      </c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</row>
    <row r="2" spans="1:79" ht="14.25" customHeight="1" x14ac:dyDescent="0.2">
      <c r="A2" s="123" t="s">
        <v>354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</row>
    <row r="4" spans="1:79" ht="28.5" customHeight="1" x14ac:dyDescent="0.2">
      <c r="A4" s="27" t="s">
        <v>199</v>
      </c>
      <c r="B4" s="151" t="s">
        <v>227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24"/>
      <c r="AH4" s="46" t="s">
        <v>236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24"/>
      <c r="AT4" s="156" t="s">
        <v>241</v>
      </c>
      <c r="AU4" s="46"/>
      <c r="AV4" s="46"/>
      <c r="AW4" s="46"/>
      <c r="AX4" s="46"/>
      <c r="AY4" s="46"/>
      <c r="AZ4" s="46"/>
      <c r="BA4" s="46"/>
      <c r="BB4" s="31"/>
      <c r="BC4" s="24"/>
      <c r="BD4" s="24"/>
      <c r="BE4" s="28"/>
      <c r="BF4" s="28"/>
      <c r="BG4" s="28"/>
      <c r="BH4" s="28"/>
      <c r="BI4" s="28"/>
      <c r="BJ4" s="28"/>
      <c r="BK4" s="28"/>
      <c r="BL4" s="28"/>
    </row>
    <row r="5" spans="1:79" ht="24" customHeight="1" x14ac:dyDescent="0.2">
      <c r="A5" s="68" t="s">
        <v>0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22"/>
      <c r="AH5" s="47" t="s">
        <v>206</v>
      </c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22"/>
      <c r="AT5" s="47" t="s">
        <v>197</v>
      </c>
      <c r="AU5" s="47"/>
      <c r="AV5" s="47"/>
      <c r="AW5" s="47"/>
      <c r="AX5" s="47"/>
      <c r="AY5" s="47"/>
      <c r="AZ5" s="47"/>
      <c r="BA5" s="47"/>
      <c r="BB5" s="29"/>
      <c r="BC5" s="22"/>
      <c r="BD5" s="22"/>
      <c r="BE5" s="29"/>
      <c r="BF5" s="29"/>
      <c r="BG5" s="29"/>
      <c r="BH5" s="29"/>
      <c r="BI5" s="29"/>
      <c r="BJ5" s="29"/>
      <c r="BK5" s="29"/>
      <c r="BL5" s="29"/>
    </row>
    <row r="6" spans="1:79" x14ac:dyDescent="0.2">
      <c r="BE6" s="30"/>
      <c r="BF6" s="30"/>
      <c r="BG6" s="30"/>
      <c r="BH6" s="30"/>
      <c r="BI6" s="30"/>
      <c r="BJ6" s="30"/>
      <c r="BK6" s="30"/>
      <c r="BL6" s="30"/>
    </row>
    <row r="7" spans="1:79" ht="28.5" customHeight="1" x14ac:dyDescent="0.2">
      <c r="A7" s="27" t="s">
        <v>208</v>
      </c>
      <c r="B7" s="151" t="s">
        <v>227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24"/>
      <c r="AH7" s="46" t="s">
        <v>331</v>
      </c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31"/>
      <c r="BC7" s="156" t="s">
        <v>241</v>
      </c>
      <c r="BD7" s="46"/>
      <c r="BE7" s="46"/>
      <c r="BF7" s="46"/>
      <c r="BG7" s="46"/>
      <c r="BH7" s="46"/>
      <c r="BI7" s="46"/>
      <c r="BJ7" s="46"/>
      <c r="BK7" s="31"/>
      <c r="BL7" s="28"/>
      <c r="BM7" s="32"/>
      <c r="BN7" s="32"/>
      <c r="BO7" s="32"/>
      <c r="BP7" s="31"/>
      <c r="BQ7" s="31"/>
      <c r="BR7" s="31"/>
      <c r="BS7" s="31"/>
      <c r="BT7" s="31"/>
      <c r="BU7" s="31"/>
      <c r="BV7" s="31"/>
      <c r="BW7" s="31"/>
    </row>
    <row r="8" spans="1:79" ht="24" customHeight="1" x14ac:dyDescent="0.2">
      <c r="A8" s="68" t="s">
        <v>188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22"/>
      <c r="AH8" s="47" t="s">
        <v>209</v>
      </c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29"/>
      <c r="BC8" s="47" t="s">
        <v>197</v>
      </c>
      <c r="BD8" s="47"/>
      <c r="BE8" s="47"/>
      <c r="BF8" s="47"/>
      <c r="BG8" s="47"/>
      <c r="BH8" s="47"/>
      <c r="BI8" s="47"/>
      <c r="BJ8" s="47"/>
      <c r="BK8" s="37"/>
      <c r="BL8" s="29"/>
      <c r="BM8" s="32"/>
      <c r="BN8" s="32"/>
      <c r="BO8" s="32"/>
      <c r="BP8" s="29"/>
      <c r="BQ8" s="29"/>
      <c r="BR8" s="29"/>
      <c r="BS8" s="29"/>
      <c r="BT8" s="29"/>
      <c r="BU8" s="29"/>
      <c r="BV8" s="29"/>
      <c r="BW8" s="29"/>
    </row>
    <row r="10" spans="1:79" ht="14.25" customHeight="1" x14ac:dyDescent="0.2">
      <c r="A10" s="27" t="s">
        <v>210</v>
      </c>
      <c r="B10" s="46" t="s">
        <v>344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N10" s="46" t="s">
        <v>345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31"/>
      <c r="AA10" s="46" t="s">
        <v>346</v>
      </c>
      <c r="AB10" s="46"/>
      <c r="AC10" s="46"/>
      <c r="AD10" s="46"/>
      <c r="AE10" s="46"/>
      <c r="AF10" s="46"/>
      <c r="AG10" s="46"/>
      <c r="AH10" s="46"/>
      <c r="AI10" s="46"/>
      <c r="AJ10" s="31"/>
      <c r="AK10" s="185" t="s">
        <v>232</v>
      </c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36"/>
      <c r="BL10" s="156" t="s">
        <v>242</v>
      </c>
      <c r="BM10" s="46"/>
      <c r="BN10" s="46"/>
      <c r="BO10" s="46"/>
      <c r="BP10" s="46"/>
      <c r="BQ10" s="46"/>
      <c r="BR10" s="46"/>
      <c r="BS10" s="46"/>
      <c r="BT10" s="31"/>
      <c r="BU10" s="31"/>
      <c r="BV10" s="31"/>
      <c r="BW10" s="31"/>
      <c r="BX10" s="31"/>
      <c r="BY10" s="31"/>
      <c r="BZ10" s="31"/>
      <c r="CA10" s="31"/>
    </row>
    <row r="11" spans="1:79" ht="25.5" customHeight="1" x14ac:dyDescent="0.2">
      <c r="B11" s="47" t="s">
        <v>211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N11" s="47" t="s">
        <v>213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29"/>
      <c r="AA11" s="109" t="s">
        <v>214</v>
      </c>
      <c r="AB11" s="109"/>
      <c r="AC11" s="109"/>
      <c r="AD11" s="109"/>
      <c r="AE11" s="109"/>
      <c r="AF11" s="109"/>
      <c r="AG11" s="109"/>
      <c r="AH11" s="109"/>
      <c r="AI11" s="109"/>
      <c r="AJ11" s="29"/>
      <c r="AK11" s="110" t="s">
        <v>212</v>
      </c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0"/>
      <c r="BK11" s="35"/>
      <c r="BL11" s="47" t="s">
        <v>198</v>
      </c>
      <c r="BM11" s="47"/>
      <c r="BN11" s="47"/>
      <c r="BO11" s="47"/>
      <c r="BP11" s="47"/>
      <c r="BQ11" s="47"/>
      <c r="BR11" s="47"/>
      <c r="BS11" s="47"/>
      <c r="BT11" s="29"/>
      <c r="BU11" s="29"/>
      <c r="BV11" s="29"/>
      <c r="BW11" s="29"/>
      <c r="BX11" s="29"/>
      <c r="BY11" s="29"/>
      <c r="BZ11" s="29"/>
      <c r="CA11" s="29"/>
    </row>
    <row r="13" spans="1:79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79" ht="14.25" customHeight="1" x14ac:dyDescent="0.2">
      <c r="A14" s="67" t="s">
        <v>178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1:79" ht="14.25" customHeight="1" x14ac:dyDescent="0.2">
      <c r="A15" s="83" t="s">
        <v>347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</row>
    <row r="16" spans="1:79" ht="15" customHeight="1" x14ac:dyDescent="0.2">
      <c r="A16" s="62" t="s">
        <v>243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</row>
    <row r="17" spans="1:79" ht="36.75" customHeight="1" x14ac:dyDescent="0.2">
      <c r="A17" s="74" t="s">
        <v>166</v>
      </c>
      <c r="B17" s="74"/>
      <c r="C17" s="74"/>
      <c r="D17" s="74"/>
      <c r="E17" s="74"/>
      <c r="F17" s="74"/>
      <c r="G17" s="57" t="s">
        <v>20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 t="s">
        <v>244</v>
      </c>
      <c r="U17" s="57"/>
      <c r="V17" s="57"/>
      <c r="W17" s="57"/>
      <c r="X17" s="57"/>
      <c r="Y17" s="57"/>
      <c r="Z17" s="57"/>
      <c r="AA17" s="57" t="s">
        <v>245</v>
      </c>
      <c r="AB17" s="57"/>
      <c r="AC17" s="57"/>
      <c r="AD17" s="57"/>
      <c r="AE17" s="57"/>
      <c r="AF17" s="57"/>
      <c r="AG17" s="57"/>
      <c r="AH17" s="57" t="s">
        <v>246</v>
      </c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 t="s">
        <v>348</v>
      </c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</row>
    <row r="18" spans="1:79" ht="48" customHeight="1" x14ac:dyDescent="0.2">
      <c r="A18" s="74"/>
      <c r="B18" s="74"/>
      <c r="C18" s="74"/>
      <c r="D18" s="74"/>
      <c r="E18" s="74"/>
      <c r="F18" s="74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 t="s">
        <v>21</v>
      </c>
      <c r="AI18" s="57"/>
      <c r="AJ18" s="57"/>
      <c r="AK18" s="57"/>
      <c r="AL18" s="57"/>
      <c r="AM18" s="57"/>
      <c r="AN18" s="57"/>
      <c r="AO18" s="57" t="s">
        <v>121</v>
      </c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</row>
    <row r="19" spans="1:79" ht="15" customHeight="1" x14ac:dyDescent="0.2">
      <c r="A19" s="57">
        <v>1</v>
      </c>
      <c r="B19" s="57"/>
      <c r="C19" s="57"/>
      <c r="D19" s="57"/>
      <c r="E19" s="57"/>
      <c r="F19" s="57"/>
      <c r="G19" s="57">
        <v>2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>
        <v>3</v>
      </c>
      <c r="U19" s="57"/>
      <c r="V19" s="57"/>
      <c r="W19" s="57"/>
      <c r="X19" s="57"/>
      <c r="Y19" s="57"/>
      <c r="Z19" s="57"/>
      <c r="AA19" s="57">
        <v>4</v>
      </c>
      <c r="AB19" s="57"/>
      <c r="AC19" s="57"/>
      <c r="AD19" s="57"/>
      <c r="AE19" s="57"/>
      <c r="AF19" s="57"/>
      <c r="AG19" s="57"/>
      <c r="AH19" s="57">
        <v>5</v>
      </c>
      <c r="AI19" s="57"/>
      <c r="AJ19" s="57"/>
      <c r="AK19" s="57"/>
      <c r="AL19" s="57"/>
      <c r="AM19" s="57"/>
      <c r="AN19" s="57"/>
      <c r="AO19" s="57">
        <v>6</v>
      </c>
      <c r="AP19" s="57"/>
      <c r="AQ19" s="57"/>
      <c r="AR19" s="57"/>
      <c r="AS19" s="57"/>
      <c r="AT19" s="57"/>
      <c r="AU19" s="57"/>
      <c r="AV19" s="57">
        <v>7</v>
      </c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</row>
    <row r="20" spans="1:79" hidden="1" x14ac:dyDescent="0.2">
      <c r="A20" s="111" t="s">
        <v>128</v>
      </c>
      <c r="B20" s="111"/>
      <c r="C20" s="111"/>
      <c r="D20" s="111"/>
      <c r="E20" s="111"/>
      <c r="F20" s="111"/>
      <c r="G20" s="111" t="s">
        <v>78</v>
      </c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 t="s">
        <v>101</v>
      </c>
      <c r="U20" s="111"/>
      <c r="V20" s="111"/>
      <c r="W20" s="111"/>
      <c r="X20" s="111"/>
      <c r="Y20" s="111"/>
      <c r="Z20" s="111"/>
      <c r="AA20" s="111" t="s">
        <v>102</v>
      </c>
      <c r="AB20" s="111"/>
      <c r="AC20" s="111"/>
      <c r="AD20" s="111"/>
      <c r="AE20" s="111"/>
      <c r="AF20" s="111"/>
      <c r="AG20" s="111"/>
      <c r="AH20" s="111" t="s">
        <v>103</v>
      </c>
      <c r="AI20" s="111"/>
      <c r="AJ20" s="111"/>
      <c r="AK20" s="111"/>
      <c r="AL20" s="111"/>
      <c r="AM20" s="111"/>
      <c r="AN20" s="111"/>
      <c r="AO20" s="111" t="s">
        <v>104</v>
      </c>
      <c r="AP20" s="111"/>
      <c r="AQ20" s="111"/>
      <c r="AR20" s="111"/>
      <c r="AS20" s="111"/>
      <c r="AT20" s="111"/>
      <c r="AU20" s="111"/>
      <c r="AV20" s="111" t="s">
        <v>110</v>
      </c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CA20" t="s">
        <v>64</v>
      </c>
    </row>
    <row r="21" spans="1:79" s="7" customFormat="1" x14ac:dyDescent="0.2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CA21" s="7" t="s">
        <v>65</v>
      </c>
    </row>
    <row r="23" spans="1:79" ht="15" customHeight="1" x14ac:dyDescent="0.2">
      <c r="A23" s="67" t="s">
        <v>186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5" spans="1:79" ht="48" customHeight="1" x14ac:dyDescent="0.2">
      <c r="A25" s="57" t="s">
        <v>7</v>
      </c>
      <c r="B25" s="57"/>
      <c r="C25" s="57"/>
      <c r="D25" s="57"/>
      <c r="E25" s="57"/>
      <c r="F25" s="57"/>
      <c r="G25" s="51" t="s">
        <v>20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3"/>
      <c r="AF25" s="57" t="s">
        <v>9</v>
      </c>
      <c r="AG25" s="57"/>
      <c r="AH25" s="57"/>
      <c r="AI25" s="57"/>
      <c r="AJ25" s="57"/>
      <c r="AK25" s="57" t="s">
        <v>8</v>
      </c>
      <c r="AL25" s="57"/>
      <c r="AM25" s="57"/>
      <c r="AN25" s="57"/>
      <c r="AO25" s="57"/>
      <c r="AP25" s="57"/>
      <c r="AQ25" s="57"/>
      <c r="AR25" s="57"/>
      <c r="AS25" s="57"/>
      <c r="AT25" s="57"/>
      <c r="AU25" s="57" t="s">
        <v>349</v>
      </c>
      <c r="AV25" s="57"/>
      <c r="AW25" s="57"/>
      <c r="AX25" s="57"/>
      <c r="AY25" s="57"/>
      <c r="AZ25" s="57"/>
      <c r="BA25" s="57"/>
      <c r="BB25" s="57"/>
      <c r="BC25" s="57"/>
      <c r="BD25" s="57"/>
      <c r="BE25" s="57" t="s">
        <v>350</v>
      </c>
      <c r="BF25" s="57"/>
      <c r="BG25" s="57"/>
      <c r="BH25" s="57"/>
      <c r="BI25" s="57"/>
      <c r="BJ25" s="57"/>
      <c r="BK25" s="57"/>
      <c r="BL25" s="57"/>
      <c r="BM25" s="57"/>
      <c r="BN25" s="57"/>
    </row>
    <row r="26" spans="1:79" ht="15" customHeight="1" x14ac:dyDescent="0.2">
      <c r="A26" s="57">
        <v>1</v>
      </c>
      <c r="B26" s="57"/>
      <c r="C26" s="57"/>
      <c r="D26" s="57"/>
      <c r="E26" s="57"/>
      <c r="F26" s="57"/>
      <c r="G26" s="51">
        <v>2</v>
      </c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3"/>
      <c r="AF26" s="57">
        <v>3</v>
      </c>
      <c r="AG26" s="57"/>
      <c r="AH26" s="57"/>
      <c r="AI26" s="57"/>
      <c r="AJ26" s="57"/>
      <c r="AK26" s="57">
        <v>4</v>
      </c>
      <c r="AL26" s="57"/>
      <c r="AM26" s="57"/>
      <c r="AN26" s="57"/>
      <c r="AO26" s="57"/>
      <c r="AP26" s="57"/>
      <c r="AQ26" s="57"/>
      <c r="AR26" s="57"/>
      <c r="AS26" s="57"/>
      <c r="AT26" s="57"/>
      <c r="AU26" s="57">
        <v>5</v>
      </c>
      <c r="AV26" s="57"/>
      <c r="AW26" s="57"/>
      <c r="AX26" s="57"/>
      <c r="AY26" s="57"/>
      <c r="AZ26" s="57"/>
      <c r="BA26" s="57"/>
      <c r="BB26" s="57"/>
      <c r="BC26" s="57"/>
      <c r="BD26" s="57"/>
      <c r="BE26" s="57">
        <v>6</v>
      </c>
      <c r="BF26" s="57"/>
      <c r="BG26" s="57"/>
      <c r="BH26" s="57"/>
      <c r="BI26" s="57"/>
      <c r="BJ26" s="57"/>
      <c r="BK26" s="57"/>
      <c r="BL26" s="57"/>
      <c r="BM26" s="57"/>
      <c r="BN26" s="57"/>
    </row>
    <row r="27" spans="1:79" ht="15" hidden="1" customHeight="1" x14ac:dyDescent="0.2">
      <c r="A27" s="111" t="s">
        <v>187</v>
      </c>
      <c r="B27" s="111"/>
      <c r="C27" s="111"/>
      <c r="D27" s="111"/>
      <c r="E27" s="111"/>
      <c r="F27" s="111"/>
      <c r="G27" s="114" t="s">
        <v>78</v>
      </c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6"/>
      <c r="AF27" s="111" t="s">
        <v>91</v>
      </c>
      <c r="AG27" s="111"/>
      <c r="AH27" s="111"/>
      <c r="AI27" s="111"/>
      <c r="AJ27" s="111"/>
      <c r="AK27" s="111" t="s">
        <v>92</v>
      </c>
      <c r="AL27" s="111"/>
      <c r="AM27" s="111"/>
      <c r="AN27" s="111"/>
      <c r="AO27" s="111"/>
      <c r="AP27" s="111"/>
      <c r="AQ27" s="111"/>
      <c r="AR27" s="111"/>
      <c r="AS27" s="111"/>
      <c r="AT27" s="111"/>
      <c r="AU27" s="111" t="s">
        <v>139</v>
      </c>
      <c r="AV27" s="111"/>
      <c r="AW27" s="111"/>
      <c r="AX27" s="111"/>
      <c r="AY27" s="111"/>
      <c r="AZ27" s="111"/>
      <c r="BA27" s="111"/>
      <c r="BB27" s="111"/>
      <c r="BC27" s="111"/>
      <c r="BD27" s="111"/>
      <c r="BE27" s="111" t="s">
        <v>141</v>
      </c>
      <c r="BF27" s="111"/>
      <c r="BG27" s="111"/>
      <c r="BH27" s="111"/>
      <c r="BI27" s="111"/>
      <c r="BJ27" s="111"/>
      <c r="BK27" s="111"/>
      <c r="BL27" s="111"/>
      <c r="BM27" s="111"/>
      <c r="BN27" s="111"/>
      <c r="CA27" t="s">
        <v>66</v>
      </c>
    </row>
    <row r="28" spans="1:79" s="7" customFormat="1" x14ac:dyDescent="0.2">
      <c r="A28" s="113"/>
      <c r="B28" s="113"/>
      <c r="C28" s="113"/>
      <c r="D28" s="113"/>
      <c r="E28" s="113"/>
      <c r="F28" s="113"/>
      <c r="G28" s="125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7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CA28" s="7" t="s">
        <v>67</v>
      </c>
    </row>
    <row r="30" spans="1:79" ht="14.25" customHeight="1" x14ac:dyDescent="0.2">
      <c r="A30" s="66" t="s">
        <v>351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</row>
    <row r="31" spans="1:79" ht="15" customHeight="1" x14ac:dyDescent="0.2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</row>
    <row r="33" spans="1:79" s="1" customFormat="1" ht="28.5" hidden="1" customHeight="1" x14ac:dyDescent="0.2">
      <c r="A33" s="120"/>
      <c r="B33" s="120"/>
      <c r="C33" s="120"/>
      <c r="D33" s="120"/>
      <c r="E33" s="120"/>
      <c r="F33" s="120"/>
      <c r="G33" s="119" t="s">
        <v>1</v>
      </c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 t="s">
        <v>101</v>
      </c>
      <c r="U33" s="117"/>
      <c r="V33" s="117"/>
      <c r="W33" s="117"/>
      <c r="X33" s="117"/>
      <c r="Y33" s="117"/>
      <c r="Z33" s="117"/>
      <c r="AA33" s="117" t="s">
        <v>102</v>
      </c>
      <c r="AB33" s="117"/>
      <c r="AC33" s="117"/>
      <c r="AD33" s="117"/>
      <c r="AE33" s="117"/>
      <c r="AF33" s="117"/>
      <c r="AG33" s="117"/>
      <c r="AH33" s="117" t="s">
        <v>103</v>
      </c>
      <c r="AI33" s="117"/>
      <c r="AJ33" s="117"/>
      <c r="AK33" s="117"/>
      <c r="AL33" s="117"/>
      <c r="AM33" s="117"/>
      <c r="AN33" s="118"/>
      <c r="AO33" s="119" t="s">
        <v>104</v>
      </c>
      <c r="AP33" s="117"/>
      <c r="AQ33" s="117"/>
      <c r="AR33" s="117"/>
      <c r="AS33" s="117"/>
      <c r="AT33" s="117"/>
      <c r="AU33" s="117"/>
      <c r="AV33" s="12"/>
      <c r="AW33" s="12"/>
      <c r="AX33" s="12"/>
      <c r="AY33" s="12"/>
      <c r="AZ33" s="12"/>
      <c r="BA33" s="12"/>
      <c r="BB33" s="12"/>
      <c r="BC33" s="12"/>
      <c r="BD33" s="13"/>
      <c r="BE33" s="11"/>
      <c r="BF33" s="12"/>
      <c r="BG33" s="12"/>
      <c r="BH33" s="12"/>
      <c r="BI33" s="12"/>
      <c r="BJ33" s="12"/>
      <c r="BK33" s="12"/>
      <c r="BL33" s="12"/>
      <c r="BM33" s="12"/>
      <c r="BN33" s="13"/>
      <c r="CA33" t="s">
        <v>129</v>
      </c>
    </row>
    <row r="34" spans="1:79" s="9" customFormat="1" ht="12.75" customHeight="1" x14ac:dyDescent="0.2">
      <c r="A34" s="120" t="s">
        <v>179</v>
      </c>
      <c r="B34" s="120"/>
      <c r="C34" s="120"/>
      <c r="D34" s="120"/>
      <c r="E34" s="120"/>
      <c r="F34" s="120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7"/>
      <c r="AU34" s="187"/>
      <c r="AV34" s="14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CA34" s="9" t="s">
        <v>130</v>
      </c>
    </row>
    <row r="37" spans="1:79" ht="14.25" customHeight="1" x14ac:dyDescent="0.2">
      <c r="A37" s="83" t="s">
        <v>355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</row>
    <row r="38" spans="1:79" ht="15" x14ac:dyDescent="0.25">
      <c r="A38" s="121" t="s">
        <v>243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</row>
    <row r="39" spans="1:79" ht="12.95" customHeight="1" x14ac:dyDescent="0.2">
      <c r="A39" s="57" t="s">
        <v>3</v>
      </c>
      <c r="B39" s="57"/>
      <c r="C39" s="57"/>
      <c r="D39" s="57"/>
      <c r="E39" s="57"/>
      <c r="F39" s="57"/>
      <c r="G39" s="57" t="s">
        <v>20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 t="s">
        <v>247</v>
      </c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 t="s">
        <v>249</v>
      </c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 t="s">
        <v>356</v>
      </c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</row>
    <row r="40" spans="1:79" ht="47.1" customHeight="1" x14ac:dyDescent="0.2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 t="s">
        <v>22</v>
      </c>
      <c r="U40" s="57"/>
      <c r="V40" s="57"/>
      <c r="W40" s="57"/>
      <c r="X40" s="57"/>
      <c r="Y40" s="57"/>
      <c r="Z40" s="57"/>
      <c r="AA40" s="57" t="s">
        <v>121</v>
      </c>
      <c r="AB40" s="57"/>
      <c r="AC40" s="57"/>
      <c r="AD40" s="57"/>
      <c r="AE40" s="57"/>
      <c r="AF40" s="57"/>
      <c r="AG40" s="57"/>
      <c r="AH40" s="57" t="s">
        <v>22</v>
      </c>
      <c r="AI40" s="57"/>
      <c r="AJ40" s="57"/>
      <c r="AK40" s="57"/>
      <c r="AL40" s="57"/>
      <c r="AM40" s="57"/>
      <c r="AN40" s="57"/>
      <c r="AO40" s="57" t="s">
        <v>121</v>
      </c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</row>
    <row r="41" spans="1:79" ht="15" customHeight="1" x14ac:dyDescent="0.2">
      <c r="A41" s="57">
        <v>1</v>
      </c>
      <c r="B41" s="57"/>
      <c r="C41" s="57"/>
      <c r="D41" s="57"/>
      <c r="E41" s="57"/>
      <c r="F41" s="57"/>
      <c r="G41" s="57">
        <v>2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>
        <v>3</v>
      </c>
      <c r="U41" s="57"/>
      <c r="V41" s="57"/>
      <c r="W41" s="57"/>
      <c r="X41" s="57"/>
      <c r="Y41" s="57"/>
      <c r="Z41" s="57"/>
      <c r="AA41" s="57">
        <v>4</v>
      </c>
      <c r="AB41" s="57"/>
      <c r="AC41" s="57"/>
      <c r="AD41" s="57"/>
      <c r="AE41" s="57"/>
      <c r="AF41" s="57"/>
      <c r="AG41" s="57"/>
      <c r="AH41" s="57">
        <v>5</v>
      </c>
      <c r="AI41" s="57"/>
      <c r="AJ41" s="57"/>
      <c r="AK41" s="57"/>
      <c r="AL41" s="57"/>
      <c r="AM41" s="57"/>
      <c r="AN41" s="57"/>
      <c r="AO41" s="57">
        <v>6</v>
      </c>
      <c r="AP41" s="57"/>
      <c r="AQ41" s="57"/>
      <c r="AR41" s="57"/>
      <c r="AS41" s="57"/>
      <c r="AT41" s="57"/>
      <c r="AU41" s="57"/>
      <c r="AV41" s="57">
        <v>7</v>
      </c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</row>
    <row r="42" spans="1:79" s="2" customFormat="1" ht="12.75" hidden="1" customHeight="1" x14ac:dyDescent="0.2">
      <c r="A42" s="60" t="s">
        <v>128</v>
      </c>
      <c r="B42" s="60"/>
      <c r="C42" s="60"/>
      <c r="D42" s="60"/>
      <c r="E42" s="60"/>
      <c r="F42" s="60"/>
      <c r="G42" s="99" t="s">
        <v>78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59" t="s">
        <v>101</v>
      </c>
      <c r="U42" s="59"/>
      <c r="V42" s="59"/>
      <c r="W42" s="59"/>
      <c r="X42" s="59"/>
      <c r="Y42" s="59"/>
      <c r="Z42" s="59"/>
      <c r="AA42" s="59" t="s">
        <v>102</v>
      </c>
      <c r="AB42" s="59"/>
      <c r="AC42" s="59"/>
      <c r="AD42" s="59"/>
      <c r="AE42" s="59"/>
      <c r="AF42" s="59"/>
      <c r="AG42" s="59"/>
      <c r="AH42" s="59" t="s">
        <v>103</v>
      </c>
      <c r="AI42" s="59"/>
      <c r="AJ42" s="59"/>
      <c r="AK42" s="59"/>
      <c r="AL42" s="59"/>
      <c r="AM42" s="59"/>
      <c r="AN42" s="59"/>
      <c r="AO42" s="59" t="s">
        <v>104</v>
      </c>
      <c r="AP42" s="59"/>
      <c r="AQ42" s="59"/>
      <c r="AR42" s="59"/>
      <c r="AS42" s="59"/>
      <c r="AT42" s="59"/>
      <c r="AU42" s="59"/>
      <c r="AV42" s="60" t="s">
        <v>110</v>
      </c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CA42" s="2" t="s">
        <v>68</v>
      </c>
    </row>
    <row r="43" spans="1:79" s="8" customFormat="1" ht="12.75" customHeight="1" x14ac:dyDescent="0.2">
      <c r="A43" s="60" t="s">
        <v>1</v>
      </c>
      <c r="B43" s="60"/>
      <c r="C43" s="60"/>
      <c r="D43" s="60"/>
      <c r="E43" s="60"/>
      <c r="F43" s="60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CA43" s="8" t="s">
        <v>69</v>
      </c>
    </row>
    <row r="45" spans="1:79" ht="15" customHeight="1" x14ac:dyDescent="0.2">
      <c r="A45" s="83" t="s">
        <v>189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</row>
    <row r="47" spans="1:79" ht="90.95" customHeight="1" x14ac:dyDescent="0.2">
      <c r="A47" s="57" t="s">
        <v>7</v>
      </c>
      <c r="B47" s="57"/>
      <c r="C47" s="57"/>
      <c r="D47" s="57"/>
      <c r="E47" s="57"/>
      <c r="F47" s="57"/>
      <c r="G47" s="51" t="s">
        <v>20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57" t="s">
        <v>9</v>
      </c>
      <c r="AG47" s="57"/>
      <c r="AH47" s="57"/>
      <c r="AI47" s="57"/>
      <c r="AJ47" s="57"/>
      <c r="AK47" s="57" t="s">
        <v>8</v>
      </c>
      <c r="AL47" s="57"/>
      <c r="AM47" s="57"/>
      <c r="AN47" s="57"/>
      <c r="AO47" s="57"/>
      <c r="AP47" s="57"/>
      <c r="AQ47" s="57"/>
      <c r="AR47" s="57"/>
      <c r="AS47" s="57"/>
      <c r="AT47" s="57"/>
      <c r="AU47" s="57" t="s">
        <v>352</v>
      </c>
      <c r="AV47" s="57"/>
      <c r="AW47" s="57"/>
      <c r="AX47" s="57"/>
      <c r="AY47" s="57"/>
      <c r="AZ47" s="57"/>
      <c r="BA47" s="57" t="s">
        <v>353</v>
      </c>
      <c r="BB47" s="57"/>
      <c r="BC47" s="57"/>
      <c r="BD47" s="57"/>
      <c r="BE47" s="57"/>
      <c r="BF47" s="57"/>
      <c r="BG47" s="57" t="s">
        <v>357</v>
      </c>
      <c r="BH47" s="57"/>
      <c r="BI47" s="57"/>
      <c r="BJ47" s="57"/>
      <c r="BK47" s="57"/>
      <c r="BL47" s="57"/>
      <c r="BM47" s="57" t="s">
        <v>358</v>
      </c>
      <c r="BN47" s="57"/>
      <c r="BO47" s="57"/>
      <c r="BP47" s="57"/>
      <c r="BQ47" s="57"/>
      <c r="BR47" s="57"/>
    </row>
    <row r="48" spans="1:79" ht="15" customHeight="1" x14ac:dyDescent="0.2">
      <c r="A48" s="57">
        <v>1</v>
      </c>
      <c r="B48" s="57"/>
      <c r="C48" s="57"/>
      <c r="D48" s="57"/>
      <c r="E48" s="57"/>
      <c r="F48" s="57"/>
      <c r="G48" s="51">
        <v>2</v>
      </c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3"/>
      <c r="AF48" s="57">
        <v>3</v>
      </c>
      <c r="AG48" s="57"/>
      <c r="AH48" s="57"/>
      <c r="AI48" s="57"/>
      <c r="AJ48" s="57"/>
      <c r="AK48" s="57">
        <v>4</v>
      </c>
      <c r="AL48" s="57"/>
      <c r="AM48" s="57"/>
      <c r="AN48" s="57"/>
      <c r="AO48" s="57"/>
      <c r="AP48" s="57"/>
      <c r="AQ48" s="57"/>
      <c r="AR48" s="57"/>
      <c r="AS48" s="57"/>
      <c r="AT48" s="57"/>
      <c r="AU48" s="57">
        <v>5</v>
      </c>
      <c r="AV48" s="57"/>
      <c r="AW48" s="57"/>
      <c r="AX48" s="57"/>
      <c r="AY48" s="57"/>
      <c r="AZ48" s="57"/>
      <c r="BA48" s="57">
        <v>6</v>
      </c>
      <c r="BB48" s="57"/>
      <c r="BC48" s="57"/>
      <c r="BD48" s="57"/>
      <c r="BE48" s="57"/>
      <c r="BF48" s="57"/>
      <c r="BG48" s="57">
        <v>7</v>
      </c>
      <c r="BH48" s="57"/>
      <c r="BI48" s="57"/>
      <c r="BJ48" s="57"/>
      <c r="BK48" s="57"/>
      <c r="BL48" s="57"/>
      <c r="BM48" s="57">
        <v>8</v>
      </c>
      <c r="BN48" s="57"/>
      <c r="BO48" s="57"/>
      <c r="BP48" s="57"/>
      <c r="BQ48" s="57"/>
      <c r="BR48" s="57"/>
    </row>
    <row r="49" spans="1:79" ht="9.75" hidden="1" customHeight="1" x14ac:dyDescent="0.2">
      <c r="A49" s="111" t="s">
        <v>187</v>
      </c>
      <c r="B49" s="111"/>
      <c r="C49" s="111"/>
      <c r="D49" s="111"/>
      <c r="E49" s="111"/>
      <c r="F49" s="111"/>
      <c r="G49" s="114" t="s">
        <v>78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6"/>
      <c r="AF49" s="111" t="s">
        <v>91</v>
      </c>
      <c r="AG49" s="111"/>
      <c r="AH49" s="111"/>
      <c r="AI49" s="111"/>
      <c r="AJ49" s="111"/>
      <c r="AK49" s="111" t="s">
        <v>92</v>
      </c>
      <c r="AL49" s="111"/>
      <c r="AM49" s="111"/>
      <c r="AN49" s="111"/>
      <c r="AO49" s="111"/>
      <c r="AP49" s="111"/>
      <c r="AQ49" s="111"/>
      <c r="AR49" s="111"/>
      <c r="AS49" s="111"/>
      <c r="AT49" s="111"/>
      <c r="AU49" s="111" t="s">
        <v>139</v>
      </c>
      <c r="AV49" s="111"/>
      <c r="AW49" s="111"/>
      <c r="AX49" s="111"/>
      <c r="AY49" s="111"/>
      <c r="AZ49" s="111"/>
      <c r="BA49" s="111" t="s">
        <v>141</v>
      </c>
      <c r="BB49" s="111"/>
      <c r="BC49" s="111"/>
      <c r="BD49" s="111"/>
      <c r="BE49" s="111"/>
      <c r="BF49" s="111"/>
      <c r="BG49" s="111" t="s">
        <v>133</v>
      </c>
      <c r="BH49" s="111"/>
      <c r="BI49" s="111"/>
      <c r="BJ49" s="111"/>
      <c r="BK49" s="111"/>
      <c r="BL49" s="111"/>
      <c r="BM49" s="111" t="s">
        <v>135</v>
      </c>
      <c r="BN49" s="111"/>
      <c r="BO49" s="111"/>
      <c r="BP49" s="111"/>
      <c r="BQ49" s="111"/>
      <c r="BR49" s="111"/>
      <c r="CA49" t="s">
        <v>70</v>
      </c>
    </row>
    <row r="50" spans="1:79" s="7" customFormat="1" x14ac:dyDescent="0.2">
      <c r="A50" s="113"/>
      <c r="B50" s="113"/>
      <c r="C50" s="113"/>
      <c r="D50" s="113"/>
      <c r="E50" s="113"/>
      <c r="F50" s="113"/>
      <c r="G50" s="125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7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CA50" s="7" t="s">
        <v>71</v>
      </c>
    </row>
    <row r="52" spans="1:79" ht="28.5" customHeight="1" x14ac:dyDescent="0.2">
      <c r="A52" s="61" t="s">
        <v>359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</row>
    <row r="53" spans="1:79" ht="15" customHeight="1" x14ac:dyDescent="0.2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</row>
    <row r="54" spans="1:79" s="21" customFormat="1" ht="1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</row>
    <row r="55" spans="1:79" s="2" customFormat="1" ht="15.75" hidden="1" customHeight="1" x14ac:dyDescent="0.2">
      <c r="A55" s="60"/>
      <c r="B55" s="60"/>
      <c r="C55" s="60"/>
      <c r="D55" s="60"/>
      <c r="E55" s="60"/>
      <c r="F55" s="60"/>
      <c r="G55" s="54" t="s">
        <v>1</v>
      </c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 t="s">
        <v>101</v>
      </c>
      <c r="U55" s="55"/>
      <c r="V55" s="55"/>
      <c r="W55" s="55"/>
      <c r="X55" s="55"/>
      <c r="Y55" s="55"/>
      <c r="Z55" s="55"/>
      <c r="AA55" s="55" t="s">
        <v>102</v>
      </c>
      <c r="AB55" s="55"/>
      <c r="AC55" s="55"/>
      <c r="AD55" s="55"/>
      <c r="AE55" s="55"/>
      <c r="AF55" s="55"/>
      <c r="AG55" s="55"/>
      <c r="AH55" s="55" t="s">
        <v>103</v>
      </c>
      <c r="AI55" s="55"/>
      <c r="AJ55" s="55"/>
      <c r="AK55" s="55"/>
      <c r="AL55" s="55"/>
      <c r="AM55" s="55"/>
      <c r="AN55" s="55"/>
      <c r="AO55" s="128" t="s">
        <v>104</v>
      </c>
      <c r="AP55" s="128"/>
      <c r="AQ55" s="128"/>
      <c r="AR55" s="128"/>
      <c r="AS55" s="128"/>
      <c r="AT55" s="128"/>
      <c r="AU55" s="129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7"/>
      <c r="CA55" s="2" t="s">
        <v>131</v>
      </c>
    </row>
    <row r="56" spans="1:79" s="9" customFormat="1" ht="15" customHeight="1" x14ac:dyDescent="0.2">
      <c r="A56" s="120" t="s">
        <v>179</v>
      </c>
      <c r="B56" s="120"/>
      <c r="C56" s="120"/>
      <c r="D56" s="120"/>
      <c r="E56" s="120"/>
      <c r="F56" s="120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9"/>
      <c r="CA56" s="9" t="s">
        <v>132</v>
      </c>
    </row>
    <row r="57" spans="1:79" s="1" customFormat="1" ht="12.75" customHeigh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1:79" s="1" customFormat="1" ht="12.75" customHeigh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60" spans="1:79" ht="18.95" customHeight="1" x14ac:dyDescent="0.2">
      <c r="A60" s="153" t="s">
        <v>237</v>
      </c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40"/>
      <c r="AC60" s="40"/>
      <c r="AD60" s="40"/>
      <c r="AE60" s="40"/>
      <c r="AF60" s="40"/>
      <c r="AG60" s="40"/>
      <c r="AH60" s="43"/>
      <c r="AI60" s="43"/>
      <c r="AJ60" s="43"/>
      <c r="AK60" s="43"/>
      <c r="AL60" s="43"/>
      <c r="AM60" s="43"/>
      <c r="AN60" s="43"/>
      <c r="AO60" s="43"/>
      <c r="AP60" s="43"/>
      <c r="AQ60" s="40"/>
      <c r="AR60" s="40"/>
      <c r="AS60" s="40"/>
      <c r="AT60" s="40"/>
      <c r="AU60" s="154" t="s">
        <v>239</v>
      </c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</row>
    <row r="61" spans="1:79" ht="12.75" customHeight="1" x14ac:dyDescent="0.2">
      <c r="AB61" s="41"/>
      <c r="AC61" s="41"/>
      <c r="AD61" s="41"/>
      <c r="AE61" s="41"/>
      <c r="AF61" s="41"/>
      <c r="AG61" s="41"/>
      <c r="AH61" s="45" t="s">
        <v>2</v>
      </c>
      <c r="AI61" s="45"/>
      <c r="AJ61" s="45"/>
      <c r="AK61" s="45"/>
      <c r="AL61" s="45"/>
      <c r="AM61" s="45"/>
      <c r="AN61" s="45"/>
      <c r="AO61" s="45"/>
      <c r="AP61" s="45"/>
      <c r="AQ61" s="41"/>
      <c r="AR61" s="41"/>
      <c r="AS61" s="41"/>
      <c r="AT61" s="41"/>
      <c r="AU61" s="45" t="s">
        <v>205</v>
      </c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</row>
    <row r="62" spans="1:79" ht="15" x14ac:dyDescent="0.2">
      <c r="AB62" s="41"/>
      <c r="AC62" s="41"/>
      <c r="AD62" s="41"/>
      <c r="AE62" s="41"/>
      <c r="AF62" s="41"/>
      <c r="AG62" s="41"/>
      <c r="AH62" s="42"/>
      <c r="AI62" s="42"/>
      <c r="AJ62" s="42"/>
      <c r="AK62" s="42"/>
      <c r="AL62" s="42"/>
      <c r="AM62" s="42"/>
      <c r="AN62" s="42"/>
      <c r="AO62" s="42"/>
      <c r="AP62" s="42"/>
      <c r="AQ62" s="41"/>
      <c r="AR62" s="41"/>
      <c r="AS62" s="41"/>
      <c r="AT62" s="41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</row>
    <row r="63" spans="1:79" ht="18" customHeight="1" x14ac:dyDescent="0.2">
      <c r="A63" s="153" t="s">
        <v>238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  <c r="AB63" s="41"/>
      <c r="AC63" s="41"/>
      <c r="AD63" s="41"/>
      <c r="AE63" s="41"/>
      <c r="AF63" s="41"/>
      <c r="AG63" s="41"/>
      <c r="AH63" s="44"/>
      <c r="AI63" s="44"/>
      <c r="AJ63" s="44"/>
      <c r="AK63" s="44"/>
      <c r="AL63" s="44"/>
      <c r="AM63" s="44"/>
      <c r="AN63" s="44"/>
      <c r="AO63" s="44"/>
      <c r="AP63" s="44"/>
      <c r="AQ63" s="41"/>
      <c r="AR63" s="41"/>
      <c r="AS63" s="41"/>
      <c r="AT63" s="41"/>
      <c r="AU63" s="155" t="s">
        <v>240</v>
      </c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</row>
    <row r="64" spans="1:79" ht="12" customHeight="1" x14ac:dyDescent="0.2">
      <c r="AB64" s="41"/>
      <c r="AC64" s="41"/>
      <c r="AD64" s="41"/>
      <c r="AE64" s="41"/>
      <c r="AF64" s="41"/>
      <c r="AG64" s="41"/>
      <c r="AH64" s="45" t="s">
        <v>2</v>
      </c>
      <c r="AI64" s="45"/>
      <c r="AJ64" s="45"/>
      <c r="AK64" s="45"/>
      <c r="AL64" s="45"/>
      <c r="AM64" s="45"/>
      <c r="AN64" s="45"/>
      <c r="AO64" s="45"/>
      <c r="AP64" s="45"/>
      <c r="AQ64" s="41"/>
      <c r="AR64" s="41"/>
      <c r="AS64" s="41"/>
      <c r="AT64" s="41"/>
      <c r="AU64" s="45" t="s">
        <v>205</v>
      </c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</row>
  </sheetData>
  <mergeCells count="184">
    <mergeCell ref="AH64:AP64"/>
    <mergeCell ref="AU64:BF64"/>
    <mergeCell ref="A60:AA60"/>
    <mergeCell ref="AH60:AP60"/>
    <mergeCell ref="AU60:BF60"/>
    <mergeCell ref="AH61:AP61"/>
    <mergeCell ref="AU61:BF61"/>
    <mergeCell ref="A63:AA63"/>
    <mergeCell ref="AH63:AP63"/>
    <mergeCell ref="AU63:BF63"/>
    <mergeCell ref="A56:F56"/>
    <mergeCell ref="G56:S56"/>
    <mergeCell ref="T56:Z56"/>
    <mergeCell ref="AA56:AG56"/>
    <mergeCell ref="AH56:AN56"/>
    <mergeCell ref="AO56:AU56"/>
    <mergeCell ref="BG50:BL50"/>
    <mergeCell ref="BM50:BR50"/>
    <mergeCell ref="A52:BL52"/>
    <mergeCell ref="A53:BL53"/>
    <mergeCell ref="A55:F55"/>
    <mergeCell ref="G55:S55"/>
    <mergeCell ref="T55:Z55"/>
    <mergeCell ref="AA55:AG55"/>
    <mergeCell ref="AH55:AN55"/>
    <mergeCell ref="AO55:AU55"/>
    <mergeCell ref="A50:F50"/>
    <mergeCell ref="G50:AE50"/>
    <mergeCell ref="AF50:AJ50"/>
    <mergeCell ref="AK50:AT50"/>
    <mergeCell ref="AU50:AZ50"/>
    <mergeCell ref="BA50:BF50"/>
    <mergeCell ref="BG48:BL48"/>
    <mergeCell ref="BM48:BR48"/>
    <mergeCell ref="A49:F49"/>
    <mergeCell ref="G49:AE49"/>
    <mergeCell ref="AF49:AJ49"/>
    <mergeCell ref="AK49:AT49"/>
    <mergeCell ref="AU49:AZ49"/>
    <mergeCell ref="BA49:BF49"/>
    <mergeCell ref="BG49:BL49"/>
    <mergeCell ref="BM49:BR49"/>
    <mergeCell ref="A48:F48"/>
    <mergeCell ref="G48:AE48"/>
    <mergeCell ref="AF48:AJ48"/>
    <mergeCell ref="AK48:AT48"/>
    <mergeCell ref="AU48:AZ48"/>
    <mergeCell ref="BA48:BF48"/>
    <mergeCell ref="AV43:BQ43"/>
    <mergeCell ref="A45:BL45"/>
    <mergeCell ref="A47:F47"/>
    <mergeCell ref="G47:AE47"/>
    <mergeCell ref="AF47:AJ47"/>
    <mergeCell ref="AK47:AT47"/>
    <mergeCell ref="AU47:AZ47"/>
    <mergeCell ref="BA47:BF47"/>
    <mergeCell ref="BG47:BL47"/>
    <mergeCell ref="BM47:BR47"/>
    <mergeCell ref="A43:F43"/>
    <mergeCell ref="G43:S43"/>
    <mergeCell ref="T43:Z43"/>
    <mergeCell ref="AA43:AG43"/>
    <mergeCell ref="AH43:AN43"/>
    <mergeCell ref="AO43:AU43"/>
    <mergeCell ref="AV41:BQ41"/>
    <mergeCell ref="A42:F42"/>
    <mergeCell ref="G42:S42"/>
    <mergeCell ref="T42:Z42"/>
    <mergeCell ref="AA42:AG42"/>
    <mergeCell ref="AH42:AN42"/>
    <mergeCell ref="AO42:AU42"/>
    <mergeCell ref="AV42:BQ42"/>
    <mergeCell ref="AO40:AU40"/>
    <mergeCell ref="A41:F41"/>
    <mergeCell ref="G41:S41"/>
    <mergeCell ref="T41:Z41"/>
    <mergeCell ref="AA41:AG41"/>
    <mergeCell ref="AH41:AN41"/>
    <mergeCell ref="AO41:AU41"/>
    <mergeCell ref="A37:BL37"/>
    <mergeCell ref="A38:BQ38"/>
    <mergeCell ref="A39:F40"/>
    <mergeCell ref="G39:S40"/>
    <mergeCell ref="T39:AG39"/>
    <mergeCell ref="AH39:AU39"/>
    <mergeCell ref="AV39:BQ40"/>
    <mergeCell ref="T40:Z40"/>
    <mergeCell ref="AA40:AG40"/>
    <mergeCell ref="AH40:AN40"/>
    <mergeCell ref="A34:F34"/>
    <mergeCell ref="G34:S34"/>
    <mergeCell ref="T34:Z34"/>
    <mergeCell ref="AA34:AG34"/>
    <mergeCell ref="AH34:AN34"/>
    <mergeCell ref="AO34:AU34"/>
    <mergeCell ref="A30:BQ30"/>
    <mergeCell ref="A31:BL31"/>
    <mergeCell ref="A33:F33"/>
    <mergeCell ref="G33:S33"/>
    <mergeCell ref="T33:Z33"/>
    <mergeCell ref="AA33:AG33"/>
    <mergeCell ref="AH33:AN33"/>
    <mergeCell ref="AO33:AU33"/>
    <mergeCell ref="A28:F28"/>
    <mergeCell ref="G28:AE28"/>
    <mergeCell ref="AF28:AJ28"/>
    <mergeCell ref="AK28:AT28"/>
    <mergeCell ref="AU28:BD28"/>
    <mergeCell ref="BE28:BN28"/>
    <mergeCell ref="A27:F27"/>
    <mergeCell ref="G27:AE27"/>
    <mergeCell ref="AF27:AJ27"/>
    <mergeCell ref="AK27:AT27"/>
    <mergeCell ref="AU27:BD27"/>
    <mergeCell ref="BE27:BN27"/>
    <mergeCell ref="A26:F26"/>
    <mergeCell ref="G26:AE26"/>
    <mergeCell ref="AF26:AJ26"/>
    <mergeCell ref="AK26:AT26"/>
    <mergeCell ref="AU26:BD26"/>
    <mergeCell ref="BE26:BN26"/>
    <mergeCell ref="AV21:BL21"/>
    <mergeCell ref="A23:BL23"/>
    <mergeCell ref="A25:F25"/>
    <mergeCell ref="G25:AE25"/>
    <mergeCell ref="AF25:AJ25"/>
    <mergeCell ref="AK25:AT25"/>
    <mergeCell ref="AU25:BD25"/>
    <mergeCell ref="BE25:BN25"/>
    <mergeCell ref="A21:F21"/>
    <mergeCell ref="G21:S21"/>
    <mergeCell ref="T21:Z21"/>
    <mergeCell ref="AA21:AG21"/>
    <mergeCell ref="AH21:AN21"/>
    <mergeCell ref="AO21:AU21"/>
    <mergeCell ref="AV19:BL19"/>
    <mergeCell ref="A20:F20"/>
    <mergeCell ref="G20:S20"/>
    <mergeCell ref="T20:Z20"/>
    <mergeCell ref="AA20:AG20"/>
    <mergeCell ref="AH20:AN20"/>
    <mergeCell ref="AO20:AU20"/>
    <mergeCell ref="AV20:BL20"/>
    <mergeCell ref="AO18:AU18"/>
    <mergeCell ref="A19:F19"/>
    <mergeCell ref="G19:S19"/>
    <mergeCell ref="T19:Z19"/>
    <mergeCell ref="AA19:AG19"/>
    <mergeCell ref="AH19:AN19"/>
    <mergeCell ref="AO19:AU19"/>
    <mergeCell ref="A14:BL14"/>
    <mergeCell ref="A15:BL15"/>
    <mergeCell ref="A16:BL16"/>
    <mergeCell ref="A17:F18"/>
    <mergeCell ref="G17:S18"/>
    <mergeCell ref="T17:Z18"/>
    <mergeCell ref="AA17:AG18"/>
    <mergeCell ref="AH17:AU17"/>
    <mergeCell ref="AV17:BL18"/>
    <mergeCell ref="AH18:AN18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AX1:BL1"/>
    <mergeCell ref="A2:BL2"/>
    <mergeCell ref="B4:AF4"/>
    <mergeCell ref="AH4:AR4"/>
    <mergeCell ref="AT4:BA4"/>
    <mergeCell ref="A5:AF5"/>
    <mergeCell ref="AH5:AR5"/>
    <mergeCell ref="AT5:BA5"/>
  </mergeCells>
  <conditionalFormatting sqref="A50:F50 A28:F28">
    <cfRule type="cellIs" dxfId="0" priority="1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Додаток1</vt:lpstr>
      <vt:lpstr>Додаток2 КПК3710160</vt:lpstr>
      <vt:lpstr>Додаток2 КПК3718710</vt:lpstr>
      <vt:lpstr>Додаток3 КПК3710160</vt:lpstr>
      <vt:lpstr>Додаток3 КПК3718710</vt:lpstr>
      <vt:lpstr>Додаток1!Область_печати</vt:lpstr>
      <vt:lpstr>'Додаток2 КПК3710160'!Область_печати</vt:lpstr>
      <vt:lpstr>'Додаток2 КПК3718710'!Область_печати</vt:lpstr>
      <vt:lpstr>'Додаток3 КПК3710160'!Область_печати</vt:lpstr>
      <vt:lpstr>'Додаток3 КПК3718710'!Область_печати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</cp:lastModifiedBy>
  <cp:lastPrinted>2019-10-19T14:09:19Z</cp:lastPrinted>
  <dcterms:created xsi:type="dcterms:W3CDTF">2016-07-02T12:27:50Z</dcterms:created>
  <dcterms:modified xsi:type="dcterms:W3CDTF">2024-11-13T07:11:24Z</dcterms:modified>
</cp:coreProperties>
</file>