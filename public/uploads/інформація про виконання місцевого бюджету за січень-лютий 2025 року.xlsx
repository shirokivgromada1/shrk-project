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БЮДЖЕТ на 2025 рік\ВИКОНАННЯ БЮДЖЕТУ 2025 рік\"/>
    </mc:Choice>
  </mc:AlternateContent>
  <xr:revisionPtr revIDLastSave="0" documentId="13_ncr:1_{C415DFAC-46BD-49E8-9F10-643C69268D75}" xr6:coauthVersionLast="46" xr6:coauthVersionMax="46" xr10:uidLastSave="{00000000-0000-0000-0000-000000000000}"/>
  <bookViews>
    <workbookView xWindow="-120" yWindow="-120" windowWidth="29040" windowHeight="15840" activeTab="1" xr2:uid="{5E541E7C-2A84-4538-8507-78C0C9DD4CE9}"/>
  </bookViews>
  <sheets>
    <sheet name="доходи" sheetId="1" r:id="rId1"/>
    <sheet name="видатки" sheetId="2" r:id="rId2"/>
  </sheets>
  <externalReferences>
    <externalReference r:id="rId3"/>
  </externalReferences>
  <definedNames>
    <definedName name="CREXPORT">#REF!</definedName>
    <definedName name="n" hidden="1">{#N/A,#N/A,FALSE,"Лист4"}</definedName>
    <definedName name="wrn.Інструкція." hidden="1">{#N/A,#N/A,FALSE,"Лист4"}</definedName>
    <definedName name="аа" hidden="1">{#N/A,#N/A,FALSE,"Лист4"}</definedName>
    <definedName name="аааа" hidden="1">{#N/A,#N/A,FALSE,"Лист4"}</definedName>
    <definedName name="ааааа" hidden="1">{#N/A,#N/A,FALSE,"Лист4"}</definedName>
    <definedName name="аааг" hidden="1">{#N/A,#N/A,FALSE,"Лист4"}</definedName>
    <definedName name="ааао" hidden="1">{#N/A,#N/A,FALSE,"Лист4"}</definedName>
    <definedName name="аааоркк" hidden="1">{#N/A,#N/A,FALSE,"Лист4"}</definedName>
    <definedName name="аарр" hidden="1">{#N/A,#N/A,FALSE,"Лист4"}</definedName>
    <definedName name="амп" hidden="1">{#N/A,#N/A,FALSE,"Лист4"}</definedName>
    <definedName name="ап" hidden="1">{#N/A,#N/A,FALSE,"Лист4"}</definedName>
    <definedName name="апро" hidden="1">{#N/A,#N/A,FALSE,"Лист4"}</definedName>
    <definedName name="аунуну" hidden="1">{#N/A,#N/A,FALSE,"Лист4"}</definedName>
    <definedName name="бб" hidden="1">{#N/A,#N/A,FALSE,"Лист4"}</definedName>
    <definedName name="вап" hidden="1">{#N/A,#N/A,FALSE,"Лист4"}</definedName>
    <definedName name="вапа" hidden="1">{#N/A,#N/A,FALSE,"Лист4"}</definedName>
    <definedName name="вапро" hidden="1">{#N/A,#N/A,FALSE,"Лист4"}</definedName>
    <definedName name="вау" hidden="1">{#N/A,#N/A,FALSE,"Лист4"}</definedName>
    <definedName name="вв" hidden="1">{#N/A,#N/A,FALSE,"Лист4"}</definedName>
    <definedName name="вмр" hidden="1">{#N/A,#N/A,FALSE,"Лист4"}</definedName>
    <definedName name="вруу" hidden="1">{#N/A,#N/A,FALSE,"Лист4"}</definedName>
    <definedName name="врууунуууу" hidden="1">{#N/A,#N/A,FALSE,"Лист4"}</definedName>
    <definedName name="гг" hidden="1">{#N/A,#N/A,FALSE,"Лист4"}</definedName>
    <definedName name="ггг" hidden="1">{#N/A,#N/A,FALSE,"Лист4"}</definedName>
    <definedName name="гго" hidden="1">{#N/A,#N/A,FALSE,"Лист4"}</definedName>
    <definedName name="ггшшз" hidden="1">{#N/A,#N/A,FALSE,"Лист4"}</definedName>
    <definedName name="гр" hidden="1">{#N/A,#N/A,FALSE,"Лист4"}</definedName>
    <definedName name="ддд" hidden="1">{#N/A,#N/A,FALSE,"Лист4"}</definedName>
    <definedName name="е" hidden="1">{#N/A,#N/A,FALSE,"Лист4"}</definedName>
    <definedName name="ее" hidden="1">{#N/A,#N/A,FALSE,"Лист4"}</definedName>
    <definedName name="ееге" hidden="1">{#N/A,#N/A,FALSE,"Лист4"}</definedName>
    <definedName name="еегше" hidden="1">{#N/A,#N/A,FALSE,"Лист4"}</definedName>
    <definedName name="еее" hidden="1">{#N/A,#N/A,FALSE,"Лист4"}</definedName>
    <definedName name="ееее" hidden="1">{#N/A,#N/A,FALSE,"Лист4"}</definedName>
    <definedName name="ееекк" hidden="1">{#N/A,#N/A,FALSE,"Лист4"}</definedName>
    <definedName name="еепке" hidden="1">{#N/A,#N/A,FALSE,"Лист4"}</definedName>
    <definedName name="еешгег" hidden="1">{#N/A,#N/A,FALSE,"Лист4"}</definedName>
    <definedName name="екуц" hidden="1">{#N/A,#N/A,FALSE,"Лист4"}</definedName>
    <definedName name="енг" hidden="1">{#N/A,#N/A,FALSE,"Лист4"}</definedName>
    <definedName name="епи" hidden="1">{#N/A,#N/A,FALSE,"Лист4"}</definedName>
    <definedName name="ешгееуу" hidden="1">{#N/A,#N/A,FALSE,"Лист4"}</definedName>
    <definedName name="є" hidden="1">{#N/A,#N/A,FALSE,"Лист4"}</definedName>
    <definedName name="єєє" hidden="1">{#N/A,#N/A,FALSE,"Лист4"}</definedName>
    <definedName name="єєєєєє" hidden="1">{#N/A,#N/A,FALSE,"Лист4"}</definedName>
    <definedName name="єєєєєєє" hidden="1">{#N/A,#N/A,FALSE,"Лист4"}</definedName>
    <definedName name="єєєєєєє." hidden="1">{#N/A,#N/A,FALSE,"Лист4"}</definedName>
    <definedName name="єж" hidden="1">{#N/A,#N/A,FALSE,"Лист4"}</definedName>
    <definedName name="жж" hidden="1">{#N/A,#N/A,FALSE,"Лист4"}</definedName>
    <definedName name="житлове" hidden="1">{#N/A,#N/A,FALSE,"Лист4"}</definedName>
    <definedName name="_xlnm.Print_Titles" localSheetId="1">видатки!$7:$8</definedName>
    <definedName name="_xlnm.Print_Titles" localSheetId="0">доходи!$A:$B</definedName>
    <definedName name="здоровя" hidden="1">{#N/A,#N/A,FALSE,"Лист4"}</definedName>
    <definedName name="зз" hidden="1">{#N/A,#N/A,FALSE,"Лист4"}</definedName>
    <definedName name="ззз" hidden="1">{#N/A,#N/A,FALSE,"Лист4"}</definedName>
    <definedName name="зззз" hidden="1">{#N/A,#N/A,FALSE,"Лист4"}</definedName>
    <definedName name="ип" hidden="1">{#N/A,#N/A,FALSE,"Лист4"}</definedName>
    <definedName name="ить" hidden="1">{#N/A,#N/A,FALSE,"Лист4"}</definedName>
    <definedName name="іваа" hidden="1">{#N/A,#N/A,FALSE,"Лист4"}</definedName>
    <definedName name="івап" hidden="1">{#N/A,#N/A,FALSE,"Лист4"}</definedName>
    <definedName name="івпа" hidden="1">{#N/A,#N/A,FALSE,"Лист4"}</definedName>
    <definedName name="іі" hidden="1">{#N/A,#N/A,FALSE,"Лист4"}</definedName>
    <definedName name="ііі" hidden="1">{#N/A,#N/A,FALSE,"Лист4"}</definedName>
    <definedName name="іііі" hidden="1">{#N/A,#N/A,FALSE,"Лист4"}</definedName>
    <definedName name="ін" hidden="1">{#N/A,#N/A,FALSE,"Лист4"}</definedName>
    <definedName name="інші" hidden="1">{#N/A,#N/A,FALSE,"Лист4"}</definedName>
    <definedName name="іук" hidden="1">{#N/A,#N/A,FALSE,"Лист4"}</definedName>
    <definedName name="їжд" hidden="1">{#N/A,#N/A,FALSE,"Лист4"}</definedName>
    <definedName name="ййй" hidden="1">{#N/A,#N/A,FALSE,"Лист4"}</definedName>
    <definedName name="йййй" hidden="1">{#N/A,#N/A,FALSE,"Лист4"}</definedName>
    <definedName name="кгккг" hidden="1">{#N/A,#N/A,FALSE,"Лист4"}</definedName>
    <definedName name="кгкккк" hidden="1">{#N/A,#N/A,FALSE,"Лист4"}</definedName>
    <definedName name="кеуц" hidden="1">{#N/A,#N/A,FALSE,"Лист4"}</definedName>
    <definedName name="кк" hidden="1">{#N/A,#N/A,FALSE,"Лист4"}</definedName>
    <definedName name="ккгкг" hidden="1">{#N/A,#N/A,FALSE,"Лист4"}</definedName>
    <definedName name="ккк" hidden="1">{#N/A,#N/A,FALSE,"Лист4"}</definedName>
    <definedName name="кккну" hidden="1">{#N/A,#N/A,FALSE,"Лист4"}</definedName>
    <definedName name="кккокк" hidden="1">{#N/A,#N/A,FALSE,"Лист4"}</definedName>
    <definedName name="комунальне" hidden="1">{#N/A,#N/A,FALSE,"Лист4"}</definedName>
    <definedName name="кот" hidden="1">{#N/A,#N/A,FALSE,"Лист4"}</definedName>
    <definedName name="кр" hidden="1">{#N/A,#N/A,FALSE,"Лист4"}</definedName>
    <definedName name="культура" hidden="1">{#N/A,#N/A,FALSE,"Лист4"}</definedName>
    <definedName name="л" hidden="1">{#N/A,#N/A,FALSE,"Лист4"}</definedName>
    <definedName name="лд" hidden="1">{#N/A,#N/A,FALSE,"Лист4"}</definedName>
    <definedName name="лл" hidden="1">{#N/A,#N/A,FALSE,"Лист4"}</definedName>
    <definedName name="ллл" hidden="1">{#N/A,#N/A,FALSE,"Лист4"}</definedName>
    <definedName name="лнпллпл" hidden="1">{#N/A,#N/A,FALSE,"Лист4"}</definedName>
    <definedName name="мак" hidden="1">{#N/A,#N/A,FALSE,"Лист4"}</definedName>
    <definedName name="мм" hidden="1">{#N/A,#N/A,FALSE,"Лист4"}</definedName>
    <definedName name="мпе" hidden="1">{#N/A,#N/A,FALSE,"Лист4"}</definedName>
    <definedName name="нгнгш" hidden="1">{#N/A,#N/A,FALSE,"Лист4"}</definedName>
    <definedName name="ннггг" hidden="1">{#N/A,#N/A,FALSE,"Лист4"}</definedName>
    <definedName name="ннн" hidden="1">{#N/A,#N/A,FALSE,"Лист4"}</definedName>
    <definedName name="ннннг" hidden="1">{#N/A,#N/A,FALSE,"Лист4"}</definedName>
    <definedName name="нннннннн" hidden="1">{#N/A,#N/A,FALSE,"Лист4"}</definedName>
    <definedName name="ннншенгке" hidden="1">{#N/A,#N/A,FALSE,"Лист4"}</definedName>
    <definedName name="нншекк" hidden="1">{#N/A,#N/A,FALSE,"Лист4"}</definedName>
    <definedName name="оггне" hidden="1">{#N/A,#N/A,FALSE,"Лист4"}</definedName>
    <definedName name="оллд" hidden="1">{#N/A,#N/A,FALSE,"Лист4"}</definedName>
    <definedName name="олол" hidden="1">{#N/A,#N/A,FALSE,"Лист4"}</definedName>
    <definedName name="оо" hidden="1">{#N/A,#N/A,FALSE,"Лист4"}</definedName>
    <definedName name="ооо" hidden="1">{#N/A,#N/A,FALSE,"Лист4"}</definedName>
    <definedName name="орнг" hidden="1">{#N/A,#N/A,FALSE,"Лист4"}</definedName>
    <definedName name="освіта" hidden="1">{#N/A,#N/A,FALSE,"Лист4"}</definedName>
    <definedName name="ох" hidden="1">{#N/A,#N/A,FALSE,"Лист4"}</definedName>
    <definedName name="охорона" hidden="1">{#N/A,#N/A,FALSE,"Лист4"}</definedName>
    <definedName name="плеккккг" hidden="1">{#N/A,#N/A,FALSE,"Лист4"}</definedName>
    <definedName name="пллеелш" hidden="1">{#N/A,#N/A,FALSE,"Лист4"}</definedName>
    <definedName name="попле" hidden="1">{#N/A,#N/A,FALSE,"Лист4"}</definedName>
    <definedName name="пот" hidden="1">{#N/A,#N/A,FALSE,"Лист4"}</definedName>
    <definedName name="пп" hidden="1">{#N/A,#N/A,FALSE,"Лист4"}</definedName>
    <definedName name="ппше" hidden="1">{#N/A,#N/A,FALSE,"Лист4"}</definedName>
    <definedName name="про" hidden="1">{#N/A,#N/A,FALSE,"Лист4"}</definedName>
    <definedName name="прое" hidden="1">{#N/A,#N/A,FALSE,"Лист4"}</definedName>
    <definedName name="прои" hidden="1">{#N/A,#N/A,FALSE,"Лист4"}</definedName>
    <definedName name="рор" hidden="1">{#N/A,#N/A,FALSE,"Лист4"}</definedName>
    <definedName name="роро" hidden="1">{#N/A,#N/A,FALSE,"Лист4"}</definedName>
    <definedName name="рррр" hidden="1">{#N/A,#N/A,FALSE,"Лист4"}</definedName>
    <definedName name="сми" hidden="1">{#N/A,#N/A,FALSE,"Лист4"}</definedName>
    <definedName name="сс" hidden="1">{#N/A,#N/A,FALSE,"Лист4"}</definedName>
    <definedName name="сум" hidden="1">{#N/A,#N/A,FALSE,"Лист4"}</definedName>
    <definedName name="Суми" hidden="1">{#N/A,#N/A,FALSE,"Лист4"}</definedName>
    <definedName name="счу" hidden="1">{#N/A,#N/A,FALSE,"Лист4"}</definedName>
    <definedName name="счя" hidden="1">{#N/A,#N/A,FALSE,"Лист4"}</definedName>
    <definedName name="тогн" hidden="1">{#N/A,#N/A,FALSE,"Лист4"}</definedName>
    <definedName name="трн" hidden="1">{#N/A,#N/A,FALSE,"Лист4"}</definedName>
    <definedName name="ттт" hidden="1">{#N/A,#N/A,FALSE,"Лист4"}</definedName>
    <definedName name="ть" hidden="1">{#N/A,#N/A,FALSE,"Лист4"}</definedName>
    <definedName name="уа" hidden="1">{#N/A,#N/A,FALSE,"Лист4"}</definedName>
    <definedName name="увке" hidden="1">{#N/A,#N/A,FALSE,"Лист4"}</definedName>
    <definedName name="уеунукнун" hidden="1">{#N/A,#N/A,FALSE,"Лист4"}</definedName>
    <definedName name="уке" hidden="1">{#N/A,#N/A,FALSE,"Лист4"}</definedName>
    <definedName name="укй" hidden="1">{#N/A,#N/A,FALSE,"Лист4"}</definedName>
    <definedName name="укунн" hidden="1">{#N/A,#N/A,FALSE,"Лист4"}</definedName>
    <definedName name="унунен" hidden="1">{#N/A,#N/A,FALSE,"Лист4"}</definedName>
    <definedName name="унунун" hidden="1">{#N/A,#N/A,FALSE,"Лист4"}</definedName>
    <definedName name="унуу" hidden="1">{#N/A,#N/A,FALSE,"Лист4"}</definedName>
    <definedName name="унуун" hidden="1">{#N/A,#N/A,FALSE,"Лист4"}</definedName>
    <definedName name="унууу" hidden="1">{#N/A,#N/A,FALSE,"Лист4"}</definedName>
    <definedName name="управ" hidden="1">{#N/A,#N/A,FALSE,"Лист4"}</definedName>
    <definedName name="управління" hidden="1">{#N/A,#N/A,FALSE,"Лист4"}</definedName>
    <definedName name="уукее" hidden="1">{#N/A,#N/A,FALSE,"Лист4"}</definedName>
    <definedName name="ууннну" hidden="1">{#N/A,#N/A,FALSE,"Лист4"}</definedName>
    <definedName name="ууну" hidden="1">{#N/A,#N/A,FALSE,"Лист4"}</definedName>
    <definedName name="уунунг" hidden="1">{#N/A,#N/A,FALSE,"Лист4"}</definedName>
    <definedName name="уунунууу" hidden="1">{#N/A,#N/A,FALSE,"Лист4"}</definedName>
    <definedName name="уунуурр" hidden="1">{#N/A,#N/A,FALSE,"Лист4"}</definedName>
    <definedName name="уунуууу" hidden="1">{#N/A,#N/A,FALSE,"Лист4"}</definedName>
    <definedName name="ууу" hidden="1">{#N/A,#N/A,FALSE,"Лист4"}</definedName>
    <definedName name="ууунну" hidden="1">{#N/A,#N/A,FALSE,"Лист4"}</definedName>
    <definedName name="ууунууууу" hidden="1">{#N/A,#N/A,FALSE,"Лист4"}</definedName>
    <definedName name="уууу" hidden="1">{#N/A,#N/A,FALSE,"Лист4"}</definedName>
    <definedName name="уууу32" hidden="1">{#N/A,#N/A,FALSE,"Лист4"}</definedName>
    <definedName name="уууун" hidden="1">{#N/A,#N/A,FALSE,"Лист4"}</definedName>
    <definedName name="фф" hidden="1">{#N/A,#N/A,FALSE,"Лист4"}</definedName>
    <definedName name="ффф" hidden="1">{#N/A,#N/A,FALSE,"Лист4"}</definedName>
    <definedName name="фффф" hidden="1">{#N/A,#N/A,FALSE,"Лист4"}</definedName>
    <definedName name="ффффф" hidden="1">{#N/A,#N/A,FALSE,"Лист4"}</definedName>
    <definedName name="хз" hidden="1">{#N/A,#N/A,FALSE,"Лист4"}</definedName>
    <definedName name="хїз" hidden="1">{#N/A,#N/A,FALSE,"Лист4"}</definedName>
    <definedName name="ххх" hidden="1">{#N/A,#N/A,FALSE,"Лист4"}</definedName>
    <definedName name="ц" hidden="1">{#N/A,#N/A,FALSE,"Лист4"}</definedName>
    <definedName name="цва" hidden="1">{#N/A,#N/A,FALSE,"Лист4"}</definedName>
    <definedName name="цекццецце" hidden="1">{#N/A,#N/A,FALSE,"Лист4"}</definedName>
    <definedName name="цеце" hidden="1">{#N/A,#N/A,FALSE,"Лист4"}</definedName>
    <definedName name="цецеце" hidden="1">{#N/A,#N/A,FALSE,"Лист4"}</definedName>
    <definedName name="цук" hidden="1">{#N/A,#N/A,FALSE,"Лист4"}</definedName>
    <definedName name="цуку" hidden="1">{#N/A,#N/A,FALSE,"Лист4"}</definedName>
    <definedName name="цууу" hidden="1">{#N/A,#N/A,FALSE,"Лист4"}</definedName>
    <definedName name="цц" hidden="1">{#N/A,#N/A,FALSE,"Лист4"}</definedName>
    <definedName name="ццвва" hidden="1">{#N/A,#N/A,FALSE,"Лист4"}</definedName>
    <definedName name="ццецц" hidden="1">{#N/A,#N/A,FALSE,"Лист4"}</definedName>
    <definedName name="ццеццке" hidden="1">{#N/A,#N/A,FALSE,"Лист4"}</definedName>
    <definedName name="ццеццкевап" hidden="1">{#N/A,#N/A,FALSE,"Лист4"}</definedName>
    <definedName name="ццке" hidden="1">{#N/A,#N/A,FALSE,"Лист4"}</definedName>
    <definedName name="ццук" hidden="1">{#N/A,#N/A,FALSE,"Лист4"}</definedName>
    <definedName name="цццецц" hidden="1">{#N/A,#N/A,FALSE,"Лист4"}</definedName>
    <definedName name="цццкеец" hidden="1">{#N/A,#N/A,FALSE,"Лист4"}</definedName>
    <definedName name="цццц" hidden="1">{#N/A,#N/A,FALSE,"Лист4"}</definedName>
    <definedName name="ццццкц" hidden="1">{#N/A,#N/A,FALSE,"Лист4"}</definedName>
    <definedName name="ццццц" hidden="1">{#N/A,#N/A,FALSE,"Лист4"}</definedName>
    <definedName name="цццццц" hidden="1">{#N/A,#N/A,FALSE,"Лист4"}</definedName>
    <definedName name="чву" hidden="1">{#N/A,#N/A,FALSE,"Лист4"}</definedName>
    <definedName name="чч" hidden="1">{#N/A,#N/A,FALSE,"Лист4"}</definedName>
    <definedName name="ччч" hidden="1">{#N/A,#N/A,FALSE,"Лист4"}</definedName>
    <definedName name="шш" hidden="1">{#N/A,#N/A,FALSE,"Лист4"}</definedName>
    <definedName name="шшшш" hidden="1">{#N/A,#N/A,FALSE,"Лист4"}</definedName>
    <definedName name="щщ" hidden="1">{#N/A,#N/A,FALSE,"Лист4"}</definedName>
    <definedName name="щщщ" hidden="1">{#N/A,#N/A,FALSE,"Лист4"}</definedName>
    <definedName name="щщщшг" hidden="1">{#N/A,#N/A,FALSE,"Лист4"}</definedName>
    <definedName name="юю" hidden="1">{#N/A,#N/A,FALSE,"Лист4"}</definedName>
    <definedName name="ююю" hidden="1">{#N/A,#N/A,FALSE,"Лист4"}</definedName>
    <definedName name="яяя" hidden="1">{#N/A,#N/A,FALSE,"Лист4"}</definedName>
    <definedName name="яяяя" hidden="1">{#N/A,#N/A,FALSE,"Лист4"}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4" i="2" l="1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</calcChain>
</file>

<file path=xl/sharedStrings.xml><?xml version="1.0" encoding="utf-8"?>
<sst xmlns="http://schemas.openxmlformats.org/spreadsheetml/2006/main" count="120" uniqueCount="114">
  <si>
    <t>тис. грн.</t>
  </si>
  <si>
    <t>ККД</t>
  </si>
  <si>
    <t>Доходи</t>
  </si>
  <si>
    <t>0852300000 - Бюджет Широкiвської сiльської територiальної громади</t>
  </si>
  <si>
    <t>Поч.річн. план</t>
  </si>
  <si>
    <t>Уточн.річн. план</t>
  </si>
  <si>
    <t xml:space="preserve"> Уточ.пл. за період</t>
  </si>
  <si>
    <t>Факт</t>
  </si>
  <si>
    <t>+/-</t>
  </si>
  <si>
    <t>Податкові надходження</t>
  </si>
  <si>
    <t>Податки на доходи, податки на прибуток, податки на збільшення ринкової вартості</t>
  </si>
  <si>
    <t>Податок та збір на доходи фізичних осіб</t>
  </si>
  <si>
    <t>Податок на прибуток підприємств</t>
  </si>
  <si>
    <t>Рентна плата та плата за використання інших природних ресурсів</t>
  </si>
  <si>
    <t>Внутрішні податки на товари та послуги</t>
  </si>
  <si>
    <t>Місцеві податки та збори, що сплачуються (перераховуються) згідно з Податковим кодексом України</t>
  </si>
  <si>
    <t>Податок на майно</t>
  </si>
  <si>
    <t>Єдиний податок</t>
  </si>
  <si>
    <t>Неподаткові надходження</t>
  </si>
  <si>
    <t>Офіційні трансферти</t>
  </si>
  <si>
    <t>Базова дотація</t>
  </si>
  <si>
    <t>Освітня субвенція з державного бюджету місцевим бюджетам</t>
  </si>
  <si>
    <t>Субвенція з державного бюджету місцевим бюджетам на надання державної підтримки особам з особливими освітніми потребами</t>
  </si>
  <si>
    <t>Субвенція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</si>
  <si>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Субвенція з державного бюджету місцевим бюджетам на здійснення доплат педагогічним працівникам закладів загальної середньої освіти</t>
  </si>
  <si>
    <t>Інші субвенції з місцевого бюджету</t>
  </si>
  <si>
    <t>% виконання</t>
  </si>
  <si>
    <t>ІНФОРМАЦІЯ</t>
  </si>
  <si>
    <t>про виконання доходної частини місцевого бюджету</t>
  </si>
  <si>
    <t>загальний фонд</t>
  </si>
  <si>
    <t>за січень-лютий 2025 року</t>
  </si>
  <si>
    <t>Субвенція з місцевого бюджету на 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України, за рахунок відповідної субвенції з державного бюджету</t>
  </si>
  <si>
    <t>Всього без урахування трансфертів</t>
  </si>
  <si>
    <t>ВСЬОГО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</si>
  <si>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зв`язку з повномасштабною збройною агресією рф</t>
  </si>
  <si>
    <t>Код</t>
  </si>
  <si>
    <t>Показник</t>
  </si>
  <si>
    <t>План на рік з урахуванням змін</t>
  </si>
  <si>
    <t>План на вказаний період з урахуванням змін</t>
  </si>
  <si>
    <t>Касові видатки за вказаний період</t>
  </si>
  <si>
    <t>Залишки плану на рік відносно касових</t>
  </si>
  <si>
    <t>Залишки плану на період відносно касових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</si>
  <si>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</si>
  <si>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</si>
  <si>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</si>
  <si>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</si>
  <si>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0111031</t>
  </si>
  <si>
    <t>Надання загальної середньої освіти закладами загальної середньої освіти за рахунок освітньої субвенції</t>
  </si>
  <si>
    <t>0111184</t>
  </si>
  <si>
    <t>Виконання заходів, спрямованих на реалізацію публічного інвестиційного проекту на забезпечення якісної, сучасної та доступної загальної середньої освіти `Нова українська школа` за рахунок субвенції з державного бюджету місцевим бюджетам</t>
  </si>
  <si>
    <t>0111200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</si>
  <si>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</si>
  <si>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0111600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</si>
  <si>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</si>
  <si>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0112010</t>
  </si>
  <si>
    <t>Багатопрофільна стаціонарна медична допомога населенню</t>
  </si>
  <si>
    <t>0112151</t>
  </si>
  <si>
    <t>Забезпечення діяльності інших закладів у сфері охорони здоров`я</t>
  </si>
  <si>
    <t>0113031</t>
  </si>
  <si>
    <t>Надання інших пільг окремим категоріям громадян відповідно до законодавства</t>
  </si>
  <si>
    <t>0113032</t>
  </si>
  <si>
    <t>Надання пільг окремим категоріям громадян з оплати послуг зв`язку</t>
  </si>
  <si>
    <t>0113090</t>
  </si>
  <si>
    <t>Видатки на поховання учасників бойових дій та осіб з інвалідністю внаслідок війни</t>
  </si>
  <si>
    <t>0113112</t>
  </si>
  <si>
    <t>Заходи державної політики з питань дітей та їх соціального захисту</t>
  </si>
  <si>
    <t>0113140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</si>
  <si>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</si>
  <si>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0113160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</si>
  <si>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</si>
  <si>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0113193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</si>
  <si>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</si>
  <si>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0113230</t>
  </si>
  <si>
    <t>Видатки, пов`язані з наданням підтримки внутрішньо перемішеним та/або евакуйованим особам у зв`язку із введенням воєнного стану</t>
  </si>
  <si>
    <t>0113241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</si>
  <si>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</si>
  <si>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0113242</t>
  </si>
  <si>
    <t>Інші заходи у сфері соціального захисту і соціального забезпечення</t>
  </si>
  <si>
    <t>0114081</t>
  </si>
  <si>
    <t>Забезпечення діяльності інших закладів в галузі культури і мистецтва</t>
  </si>
  <si>
    <t>0116013</t>
  </si>
  <si>
    <t>Забезпечення діяльності водопровідно-каналізаційного господарства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</si>
  <si>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</si>
  <si>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</si>
  <si>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0116030</t>
  </si>
  <si>
    <t>Організація благоустрою населених пунктів</t>
  </si>
  <si>
    <t>0117680</t>
  </si>
  <si>
    <t>Членські внески до асоціацій органів місцевого самоврядування</t>
  </si>
  <si>
    <t>0117693</t>
  </si>
  <si>
    <t>Інші заходи, пов`язані з економічною діяльністю</t>
  </si>
  <si>
    <t>0118110</t>
  </si>
  <si>
    <t>Заходи із запобігання та ліквідації надзвичайних ситуацій та наслідків стихійного лиха</t>
  </si>
  <si>
    <t>0118130</t>
  </si>
  <si>
    <t>Забезпечення діяльності місцевої та добровільної пожежної охорони</t>
  </si>
  <si>
    <t>0118240</t>
  </si>
  <si>
    <t>Заходи та роботи з територіальної оборони</t>
  </si>
  <si>
    <t>0118420</t>
  </si>
  <si>
    <t>Інші заходи у сфері медіа (засобів масової інформації)</t>
  </si>
  <si>
    <t>0119150</t>
  </si>
  <si>
    <t>Інші дотації з місцевого бюджету</t>
  </si>
  <si>
    <t>0119800</t>
  </si>
  <si>
    <t>Субвенція з місцевого бюджету державному бюджету на виконання програм соціально-економічного розвитку регіонів</t>
  </si>
  <si>
    <t>0910160</t>
  </si>
  <si>
    <t>Керівництво і управління у відповідній сфері у містах (місті Києві), селищах, селах, територіальних громадах</t>
  </si>
  <si>
    <t>1610160</t>
  </si>
  <si>
    <t>1616030</t>
  </si>
  <si>
    <t>3710160</t>
  </si>
  <si>
    <t>3718710</t>
  </si>
  <si>
    <t>Резервний фонд місцевого бюджету</t>
  </si>
  <si>
    <t xml:space="preserve"> </t>
  </si>
  <si>
    <t xml:space="preserve">Усього </t>
  </si>
  <si>
    <t xml:space="preserve">% виконання на вказаний період </t>
  </si>
  <si>
    <t>тис.грн</t>
  </si>
  <si>
    <t>про виконання видаткової частини місцевого бюджету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</si>
</sst>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name val="Arial"/>
      <charset val="204"/>
    </font>
    <font>
      <b/>
      <sz val="10"/>
      <name val="Arial"/>
      <family val="2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/>
    <xf numFmtId="4" fontId="3" fillId="0" borderId="1" xfId="0" applyNumberFormat="1" applyFont="1" applyBorder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quotePrefix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/>
    <xf numFmtId="164" fontId="2" fillId="0" borderId="1" xfId="0" applyNumberFormat="1" applyFont="1" applyBorder="1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/>
    <xf numFmtId="4" fontId="2" fillId="2" borderId="1" xfId="0" applyNumberFormat="1" applyFont="1" applyFill="1" applyBorder="1"/>
    <xf numFmtId="164" fontId="2" fillId="2" borderId="1" xfId="0" applyNumberFormat="1" applyFont="1" applyFill="1" applyBorder="1"/>
    <xf numFmtId="0" fontId="5" fillId="0" borderId="0" xfId="1"/>
    <xf numFmtId="0" fontId="5" fillId="0" borderId="0" xfId="1" applyAlignment="1">
      <alignment horizontal="center"/>
    </xf>
    <xf numFmtId="0" fontId="5" fillId="0" borderId="0" xfId="1" applyAlignment="1">
      <alignment wrapText="1"/>
    </xf>
    <xf numFmtId="0" fontId="5" fillId="0" borderId="0" xfId="1" applyAlignment="1">
      <alignment horizontal="right"/>
    </xf>
    <xf numFmtId="0" fontId="6" fillId="0" borderId="0" xfId="1" applyFont="1" applyAlignment="1">
      <alignment horizontal="center"/>
    </xf>
    <xf numFmtId="4" fontId="5" fillId="0" borderId="0" xfId="1" applyNumberFormat="1" applyAlignment="1">
      <alignment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vertical="center" wrapText="1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9" fillId="0" borderId="0" xfId="1" applyFont="1" applyFill="1"/>
    <xf numFmtId="4" fontId="9" fillId="0" borderId="0" xfId="1" applyNumberFormat="1" applyFont="1" applyFill="1" applyAlignment="1">
      <alignment vertical="center"/>
    </xf>
    <xf numFmtId="0" fontId="8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vertical="center" wrapText="1"/>
    </xf>
    <xf numFmtId="4" fontId="10" fillId="0" borderId="1" xfId="1" applyNumberFormat="1" applyFont="1" applyBorder="1" applyAlignment="1">
      <alignment vertical="center"/>
    </xf>
    <xf numFmtId="4" fontId="10" fillId="0" borderId="1" xfId="1" applyNumberFormat="1" applyFont="1" applyFill="1" applyBorder="1" applyAlignment="1">
      <alignment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vertical="center" wrapText="1"/>
    </xf>
    <xf numFmtId="4" fontId="8" fillId="2" borderId="1" xfId="1" applyNumberFormat="1" applyFont="1" applyFill="1" applyBorder="1" applyAlignment="1">
      <alignment vertical="center"/>
    </xf>
  </cellXfs>
  <cellStyles count="2">
    <cellStyle name="Обычный" xfId="0" builtinId="0"/>
    <cellStyle name="Обычный 2" xfId="1" xr:uid="{3F8CAA6B-E1E7-4965-81B8-7577399A3882}"/>
  </cellStyles>
  <dxfs count="96"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4;&#1080;&#10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z_vd0"/>
      <sheetName val="Лист1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3235-8227-46A7-B22F-928A5B36EF45}">
  <dimension ref="A2:K29"/>
  <sheetViews>
    <sheetView topLeftCell="A19" workbookViewId="0">
      <selection activeCell="O14" sqref="O14"/>
    </sheetView>
  </sheetViews>
  <sheetFormatPr defaultRowHeight="15" x14ac:dyDescent="0.25"/>
  <cols>
    <col min="1" max="1" width="13.140625" style="6" customWidth="1"/>
    <col min="2" max="2" width="50.42578125" customWidth="1"/>
    <col min="3" max="3" width="14" customWidth="1"/>
    <col min="4" max="4" width="13.85546875" customWidth="1"/>
    <col min="5" max="5" width="14.85546875" customWidth="1"/>
    <col min="6" max="6" width="11.42578125" customWidth="1"/>
    <col min="7" max="7" width="10.5703125" customWidth="1"/>
    <col min="8" max="8" width="11.85546875" customWidth="1"/>
  </cols>
  <sheetData>
    <row r="2" spans="1:11" ht="15.75" x14ac:dyDescent="0.25">
      <c r="A2" s="10" t="s">
        <v>27</v>
      </c>
      <c r="B2" s="10"/>
      <c r="C2" s="10"/>
      <c r="D2" s="10"/>
      <c r="E2" s="10"/>
      <c r="F2" s="10"/>
      <c r="G2" s="10"/>
      <c r="H2" s="10"/>
    </row>
    <row r="3" spans="1:11" ht="15.75" x14ac:dyDescent="0.25">
      <c r="A3" s="10" t="s">
        <v>28</v>
      </c>
      <c r="B3" s="10"/>
      <c r="C3" s="10"/>
      <c r="D3" s="10"/>
      <c r="E3" s="10"/>
      <c r="F3" s="10"/>
      <c r="G3" s="10"/>
      <c r="H3" s="10"/>
    </row>
    <row r="4" spans="1:11" ht="15.75" x14ac:dyDescent="0.25">
      <c r="A4" s="10" t="s">
        <v>29</v>
      </c>
      <c r="B4" s="10"/>
      <c r="C4" s="10"/>
      <c r="D4" s="10"/>
      <c r="E4" s="10"/>
      <c r="F4" s="10"/>
      <c r="G4" s="10"/>
      <c r="H4" s="10"/>
      <c r="I4" s="1"/>
      <c r="J4" s="1"/>
      <c r="K4" s="1"/>
    </row>
    <row r="5" spans="1:11" x14ac:dyDescent="0.25">
      <c r="A5" s="11" t="s">
        <v>30</v>
      </c>
      <c r="B5" s="11"/>
      <c r="C5" s="11"/>
      <c r="D5" s="11"/>
      <c r="E5" s="11"/>
      <c r="F5" s="11"/>
      <c r="G5" s="11"/>
      <c r="H5" s="11"/>
      <c r="I5" s="1"/>
      <c r="J5" s="1"/>
      <c r="K5" s="1"/>
    </row>
    <row r="6" spans="1:11" x14ac:dyDescent="0.25">
      <c r="F6" t="s">
        <v>0</v>
      </c>
    </row>
    <row r="7" spans="1:11" ht="23.25" customHeight="1" x14ac:dyDescent="0.25">
      <c r="A7" s="4" t="s">
        <v>1</v>
      </c>
      <c r="B7" s="4" t="s">
        <v>2</v>
      </c>
      <c r="C7" s="12" t="s">
        <v>3</v>
      </c>
      <c r="D7" s="5"/>
      <c r="E7" s="13"/>
      <c r="F7" s="13"/>
      <c r="G7" s="13"/>
      <c r="H7" s="14"/>
    </row>
    <row r="8" spans="1:11" ht="33.75" customHeight="1" x14ac:dyDescent="0.25">
      <c r="A8" s="5"/>
      <c r="B8" s="5"/>
      <c r="C8" s="2" t="s">
        <v>4</v>
      </c>
      <c r="D8" s="2" t="s">
        <v>5</v>
      </c>
      <c r="E8" s="2" t="s">
        <v>6</v>
      </c>
      <c r="F8" s="3" t="s">
        <v>7</v>
      </c>
      <c r="G8" s="3" t="s">
        <v>8</v>
      </c>
      <c r="H8" s="2" t="s">
        <v>26</v>
      </c>
    </row>
    <row r="9" spans="1:11" s="18" customFormat="1" ht="15.75" x14ac:dyDescent="0.25">
      <c r="A9" s="15">
        <v>10000000</v>
      </c>
      <c r="B9" s="19" t="s">
        <v>9</v>
      </c>
      <c r="C9" s="16">
        <v>115906.4</v>
      </c>
      <c r="D9" s="16">
        <v>119420.4</v>
      </c>
      <c r="E9" s="16">
        <v>19144.66</v>
      </c>
      <c r="F9" s="16">
        <v>23569.829320000001</v>
      </c>
      <c r="G9" s="16">
        <f t="shared" ref="G9:G17" si="0">F9-E9</f>
        <v>4425.1693200000009</v>
      </c>
      <c r="H9" s="17">
        <f t="shared" ref="H9:H17" si="1">IF(E9=0,0,F9/E9*100)</f>
        <v>123.11437925771469</v>
      </c>
    </row>
    <row r="10" spans="1:11" ht="31.5" x14ac:dyDescent="0.25">
      <c r="A10" s="7">
        <v>11000000</v>
      </c>
      <c r="B10" s="20" t="s">
        <v>10</v>
      </c>
      <c r="C10" s="9">
        <v>53945.4</v>
      </c>
      <c r="D10" s="9">
        <v>55947.4</v>
      </c>
      <c r="E10" s="9">
        <v>6874.9</v>
      </c>
      <c r="F10" s="9">
        <v>8610.5773199999985</v>
      </c>
      <c r="G10" s="9">
        <f t="shared" si="0"/>
        <v>1735.6773199999989</v>
      </c>
      <c r="H10" s="8">
        <f t="shared" si="1"/>
        <v>125.24658278665871</v>
      </c>
    </row>
    <row r="11" spans="1:11" ht="15.75" x14ac:dyDescent="0.25">
      <c r="A11" s="7">
        <v>11010000</v>
      </c>
      <c r="B11" s="20" t="s">
        <v>11</v>
      </c>
      <c r="C11" s="9">
        <v>53895.4</v>
      </c>
      <c r="D11" s="9">
        <v>55897.4</v>
      </c>
      <c r="E11" s="9">
        <v>6874.9</v>
      </c>
      <c r="F11" s="9">
        <v>8610.5773199999985</v>
      </c>
      <c r="G11" s="9">
        <f t="shared" si="0"/>
        <v>1735.6773199999989</v>
      </c>
      <c r="H11" s="8">
        <f t="shared" si="1"/>
        <v>125.24658278665871</v>
      </c>
    </row>
    <row r="12" spans="1:11" ht="15.75" x14ac:dyDescent="0.25">
      <c r="A12" s="7">
        <v>11020000</v>
      </c>
      <c r="B12" s="20" t="s">
        <v>12</v>
      </c>
      <c r="C12" s="9">
        <v>50</v>
      </c>
      <c r="D12" s="9">
        <v>50</v>
      </c>
      <c r="E12" s="9">
        <v>0</v>
      </c>
      <c r="F12" s="9">
        <v>0</v>
      </c>
      <c r="G12" s="9">
        <f t="shared" si="0"/>
        <v>0</v>
      </c>
      <c r="H12" s="8">
        <f t="shared" si="1"/>
        <v>0</v>
      </c>
    </row>
    <row r="13" spans="1:11" ht="31.5" x14ac:dyDescent="0.25">
      <c r="A13" s="7">
        <v>13000000</v>
      </c>
      <c r="B13" s="20" t="s">
        <v>13</v>
      </c>
      <c r="C13" s="9">
        <v>3</v>
      </c>
      <c r="D13" s="9">
        <v>3</v>
      </c>
      <c r="E13" s="9">
        <v>0.38</v>
      </c>
      <c r="F13" s="9">
        <v>0.42455000000000004</v>
      </c>
      <c r="G13" s="9">
        <f t="shared" si="0"/>
        <v>4.4550000000000034E-2</v>
      </c>
      <c r="H13" s="8">
        <f t="shared" si="1"/>
        <v>111.72368421052632</v>
      </c>
    </row>
    <row r="14" spans="1:11" ht="15.75" x14ac:dyDescent="0.25">
      <c r="A14" s="7">
        <v>14000000</v>
      </c>
      <c r="B14" s="20" t="s">
        <v>14</v>
      </c>
      <c r="C14" s="9">
        <v>19620</v>
      </c>
      <c r="D14" s="9">
        <v>20111</v>
      </c>
      <c r="E14" s="9">
        <v>3736.3</v>
      </c>
      <c r="F14" s="9">
        <v>4116.1475200000004</v>
      </c>
      <c r="G14" s="9">
        <f t="shared" si="0"/>
        <v>379.84752000000026</v>
      </c>
      <c r="H14" s="8">
        <f t="shared" si="1"/>
        <v>110.16640847897654</v>
      </c>
    </row>
    <row r="15" spans="1:11" s="18" customFormat="1" ht="47.25" x14ac:dyDescent="0.25">
      <c r="A15" s="15">
        <v>18000000</v>
      </c>
      <c r="B15" s="19" t="s">
        <v>15</v>
      </c>
      <c r="C15" s="16">
        <v>42338</v>
      </c>
      <c r="D15" s="16">
        <v>43359</v>
      </c>
      <c r="E15" s="16">
        <v>8533.08</v>
      </c>
      <c r="F15" s="16">
        <v>10842.67993</v>
      </c>
      <c r="G15" s="16">
        <f t="shared" si="0"/>
        <v>2309.5999300000003</v>
      </c>
      <c r="H15" s="17">
        <f t="shared" si="1"/>
        <v>127.06642771426027</v>
      </c>
    </row>
    <row r="16" spans="1:11" ht="15.75" x14ac:dyDescent="0.25">
      <c r="A16" s="7">
        <v>18010000</v>
      </c>
      <c r="B16" s="20" t="s">
        <v>16</v>
      </c>
      <c r="C16" s="9">
        <v>13938</v>
      </c>
      <c r="D16" s="9">
        <v>14022</v>
      </c>
      <c r="E16" s="9">
        <v>1747.08</v>
      </c>
      <c r="F16" s="9">
        <v>2871.2702099999997</v>
      </c>
      <c r="G16" s="9">
        <f t="shared" si="0"/>
        <v>1124.1902099999998</v>
      </c>
      <c r="H16" s="8">
        <f t="shared" si="1"/>
        <v>164.34680781647091</v>
      </c>
    </row>
    <row r="17" spans="1:8" ht="15.75" x14ac:dyDescent="0.25">
      <c r="A17" s="7">
        <v>18050000</v>
      </c>
      <c r="B17" s="20" t="s">
        <v>17</v>
      </c>
      <c r="C17" s="9">
        <v>28400</v>
      </c>
      <c r="D17" s="9">
        <v>29337</v>
      </c>
      <c r="E17" s="9">
        <v>6786</v>
      </c>
      <c r="F17" s="9">
        <v>7971.4097200000006</v>
      </c>
      <c r="G17" s="9">
        <f t="shared" si="0"/>
        <v>1185.4097200000006</v>
      </c>
      <c r="H17" s="8">
        <f t="shared" si="1"/>
        <v>117.46846035956382</v>
      </c>
    </row>
    <row r="18" spans="1:8" s="18" customFormat="1" ht="15.75" x14ac:dyDescent="0.25">
      <c r="A18" s="15">
        <v>20000000</v>
      </c>
      <c r="B18" s="19" t="s">
        <v>18</v>
      </c>
      <c r="C18" s="16">
        <v>2262.6</v>
      </c>
      <c r="D18" s="16">
        <v>2448.6</v>
      </c>
      <c r="E18" s="16">
        <v>418.9</v>
      </c>
      <c r="F18" s="16">
        <v>926.01373000000001</v>
      </c>
      <c r="G18" s="16">
        <f t="shared" ref="G18:G26" si="2">F18-E18</f>
        <v>507.11373000000003</v>
      </c>
      <c r="H18" s="17">
        <f t="shared" ref="H18:H29" si="3">IF(E18=0,0,F18/E18*100)</f>
        <v>221.05842205777034</v>
      </c>
    </row>
    <row r="19" spans="1:8" s="18" customFormat="1" ht="15.75" x14ac:dyDescent="0.25">
      <c r="A19" s="15">
        <v>40000000</v>
      </c>
      <c r="B19" s="19" t="s">
        <v>19</v>
      </c>
      <c r="C19" s="16">
        <v>51782.9</v>
      </c>
      <c r="D19" s="16">
        <v>54650.18</v>
      </c>
      <c r="E19" s="16">
        <v>11867.83</v>
      </c>
      <c r="F19" s="16">
        <v>11759.83</v>
      </c>
      <c r="G19" s="16">
        <f t="shared" si="2"/>
        <v>-108</v>
      </c>
      <c r="H19" s="17">
        <f t="shared" si="3"/>
        <v>99.089976853392741</v>
      </c>
    </row>
    <row r="20" spans="1:8" ht="15.75" x14ac:dyDescent="0.25">
      <c r="A20" s="7">
        <v>41020100</v>
      </c>
      <c r="B20" s="20" t="s">
        <v>20</v>
      </c>
      <c r="C20" s="9">
        <v>17634.2</v>
      </c>
      <c r="D20" s="9">
        <v>17634.2</v>
      </c>
      <c r="E20" s="9">
        <v>2939</v>
      </c>
      <c r="F20" s="9">
        <v>2939</v>
      </c>
      <c r="G20" s="9">
        <f t="shared" si="2"/>
        <v>0</v>
      </c>
      <c r="H20" s="8">
        <f t="shared" si="3"/>
        <v>100</v>
      </c>
    </row>
    <row r="21" spans="1:8" ht="110.25" x14ac:dyDescent="0.25">
      <c r="A21" s="7">
        <v>41021400</v>
      </c>
      <c r="B21" s="20" t="s">
        <v>34</v>
      </c>
      <c r="C21" s="9">
        <v>2498.9</v>
      </c>
      <c r="D21" s="9">
        <v>2498.9</v>
      </c>
      <c r="E21" s="9">
        <v>833</v>
      </c>
      <c r="F21" s="9">
        <v>833</v>
      </c>
      <c r="G21" s="9">
        <f t="shared" si="2"/>
        <v>0</v>
      </c>
      <c r="H21" s="8">
        <f t="shared" si="3"/>
        <v>100</v>
      </c>
    </row>
    <row r="22" spans="1:8" ht="36.75" customHeight="1" x14ac:dyDescent="0.25">
      <c r="A22" s="7">
        <v>41033900</v>
      </c>
      <c r="B22" s="20" t="s">
        <v>21</v>
      </c>
      <c r="C22" s="9">
        <v>31649.8</v>
      </c>
      <c r="D22" s="9">
        <v>31649.8</v>
      </c>
      <c r="E22" s="9">
        <v>7241.4</v>
      </c>
      <c r="F22" s="9">
        <v>7241.4</v>
      </c>
      <c r="G22" s="9">
        <f t="shared" si="2"/>
        <v>0</v>
      </c>
      <c r="H22" s="8">
        <f t="shared" si="3"/>
        <v>100</v>
      </c>
    </row>
    <row r="23" spans="1:8" ht="49.5" customHeight="1" x14ac:dyDescent="0.25">
      <c r="A23" s="7">
        <v>41035400</v>
      </c>
      <c r="B23" s="20" t="s">
        <v>22</v>
      </c>
      <c r="C23" s="9">
        <v>0</v>
      </c>
      <c r="D23" s="9">
        <v>205.4</v>
      </c>
      <c r="E23" s="9">
        <v>41</v>
      </c>
      <c r="F23" s="9">
        <v>41</v>
      </c>
      <c r="G23" s="9">
        <f t="shared" si="2"/>
        <v>0</v>
      </c>
      <c r="H23" s="8">
        <f t="shared" si="3"/>
        <v>100</v>
      </c>
    </row>
    <row r="24" spans="1:8" ht="84" customHeight="1" x14ac:dyDescent="0.25">
      <c r="A24" s="7">
        <v>41036000</v>
      </c>
      <c r="B24" s="20" t="s">
        <v>23</v>
      </c>
      <c r="C24" s="9">
        <v>0</v>
      </c>
      <c r="D24" s="9">
        <v>253.6</v>
      </c>
      <c r="E24" s="9">
        <v>0</v>
      </c>
      <c r="F24" s="9">
        <v>0</v>
      </c>
      <c r="G24" s="9">
        <f t="shared" si="2"/>
        <v>0</v>
      </c>
      <c r="H24" s="8">
        <f t="shared" si="3"/>
        <v>0</v>
      </c>
    </row>
    <row r="25" spans="1:8" ht="51.75" customHeight="1" x14ac:dyDescent="0.25">
      <c r="A25" s="7">
        <v>41036300</v>
      </c>
      <c r="B25" s="20" t="s">
        <v>24</v>
      </c>
      <c r="C25" s="9">
        <v>0</v>
      </c>
      <c r="D25" s="9">
        <v>1931.7</v>
      </c>
      <c r="E25" s="9">
        <v>644</v>
      </c>
      <c r="F25" s="9">
        <v>644</v>
      </c>
      <c r="G25" s="9">
        <f t="shared" si="2"/>
        <v>0</v>
      </c>
      <c r="H25" s="8">
        <f t="shared" si="3"/>
        <v>100</v>
      </c>
    </row>
    <row r="26" spans="1:8" ht="22.5" customHeight="1" x14ac:dyDescent="0.25">
      <c r="A26" s="7">
        <v>41053900</v>
      </c>
      <c r="B26" s="20" t="s">
        <v>25</v>
      </c>
      <c r="C26" s="9">
        <v>0</v>
      </c>
      <c r="D26" s="9">
        <v>108</v>
      </c>
      <c r="E26" s="9">
        <v>108</v>
      </c>
      <c r="F26" s="9">
        <v>0</v>
      </c>
      <c r="G26" s="9">
        <f t="shared" si="2"/>
        <v>-108</v>
      </c>
      <c r="H26" s="8">
        <f t="shared" si="3"/>
        <v>0</v>
      </c>
    </row>
    <row r="27" spans="1:8" ht="99" customHeight="1" x14ac:dyDescent="0.25">
      <c r="A27" s="7">
        <v>41059300</v>
      </c>
      <c r="B27" s="20" t="s">
        <v>31</v>
      </c>
      <c r="C27" s="9">
        <v>0</v>
      </c>
      <c r="D27" s="9">
        <v>368.58</v>
      </c>
      <c r="E27" s="9">
        <v>61.43</v>
      </c>
      <c r="F27" s="9">
        <v>61.43</v>
      </c>
      <c r="G27" s="9">
        <f t="shared" ref="G27:G58" si="4">F27-E27</f>
        <v>0</v>
      </c>
      <c r="H27" s="8">
        <f t="shared" si="3"/>
        <v>100</v>
      </c>
    </row>
    <row r="28" spans="1:8" ht="15.75" x14ac:dyDescent="0.25">
      <c r="A28" s="21" t="s">
        <v>32</v>
      </c>
      <c r="B28" s="21"/>
      <c r="C28" s="22">
        <v>118169</v>
      </c>
      <c r="D28" s="22">
        <v>121869</v>
      </c>
      <c r="E28" s="22">
        <v>19563.560000000001</v>
      </c>
      <c r="F28" s="22">
        <v>24495.843050000003</v>
      </c>
      <c r="G28" s="22">
        <f t="shared" si="4"/>
        <v>4932.2830500000018</v>
      </c>
      <c r="H28" s="23">
        <f t="shared" si="3"/>
        <v>125.21158240115808</v>
      </c>
    </row>
    <row r="29" spans="1:8" ht="15.75" x14ac:dyDescent="0.25">
      <c r="A29" s="21" t="s">
        <v>33</v>
      </c>
      <c r="B29" s="21"/>
      <c r="C29" s="22">
        <v>169951.9</v>
      </c>
      <c r="D29" s="22">
        <v>176519.18</v>
      </c>
      <c r="E29" s="22">
        <v>31431.39</v>
      </c>
      <c r="F29" s="22">
        <v>36255.673050000005</v>
      </c>
      <c r="G29" s="22">
        <f t="shared" si="4"/>
        <v>4824.2830500000055</v>
      </c>
      <c r="H29" s="23">
        <f t="shared" si="3"/>
        <v>115.34861503102474</v>
      </c>
    </row>
  </sheetData>
  <mergeCells count="9">
    <mergeCell ref="A2:H2"/>
    <mergeCell ref="A3:H3"/>
    <mergeCell ref="A4:H4"/>
    <mergeCell ref="A5:H5"/>
    <mergeCell ref="A28:B28"/>
    <mergeCell ref="A29:B29"/>
    <mergeCell ref="A7:A8"/>
    <mergeCell ref="B7:B8"/>
    <mergeCell ref="C7:H7"/>
  </mergeCells>
  <pageMargins left="0.78740157480314965" right="0.19685039370078741" top="0.39370078740157483" bottom="0.39370078740157483" header="0" footer="0"/>
  <pageSetup paperSize="9" scale="65" fitToHeight="50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66925-F4B5-4043-8678-BDCDBE090740}">
  <sheetPr>
    <pageSetUpPr fitToPage="1"/>
  </sheetPr>
  <dimension ref="A2:I54"/>
  <sheetViews>
    <sheetView tabSelected="1" workbookViewId="0">
      <selection activeCell="E10" sqref="E10"/>
    </sheetView>
  </sheetViews>
  <sheetFormatPr defaultRowHeight="12.75" x14ac:dyDescent="0.2"/>
  <cols>
    <col min="1" max="1" width="12.7109375" style="25" customWidth="1"/>
    <col min="2" max="2" width="50.7109375" style="26" customWidth="1"/>
    <col min="3" max="8" width="15.7109375" style="24" customWidth="1"/>
    <col min="9" max="248" width="9.140625" style="24"/>
    <col min="249" max="249" width="12.7109375" style="24" customWidth="1"/>
    <col min="250" max="250" width="50.7109375" style="24" customWidth="1"/>
    <col min="251" max="264" width="15.7109375" style="24" customWidth="1"/>
    <col min="265" max="504" width="9.140625" style="24"/>
    <col min="505" max="505" width="12.7109375" style="24" customWidth="1"/>
    <col min="506" max="506" width="50.7109375" style="24" customWidth="1"/>
    <col min="507" max="520" width="15.7109375" style="24" customWidth="1"/>
    <col min="521" max="760" width="9.140625" style="24"/>
    <col min="761" max="761" width="12.7109375" style="24" customWidth="1"/>
    <col min="762" max="762" width="50.7109375" style="24" customWidth="1"/>
    <col min="763" max="776" width="15.7109375" style="24" customWidth="1"/>
    <col min="777" max="1016" width="9.140625" style="24"/>
    <col min="1017" max="1017" width="12.7109375" style="24" customWidth="1"/>
    <col min="1018" max="1018" width="50.7109375" style="24" customWidth="1"/>
    <col min="1019" max="1032" width="15.7109375" style="24" customWidth="1"/>
    <col min="1033" max="1272" width="9.140625" style="24"/>
    <col min="1273" max="1273" width="12.7109375" style="24" customWidth="1"/>
    <col min="1274" max="1274" width="50.7109375" style="24" customWidth="1"/>
    <col min="1275" max="1288" width="15.7109375" style="24" customWidth="1"/>
    <col min="1289" max="1528" width="9.140625" style="24"/>
    <col min="1529" max="1529" width="12.7109375" style="24" customWidth="1"/>
    <col min="1530" max="1530" width="50.7109375" style="24" customWidth="1"/>
    <col min="1531" max="1544" width="15.7109375" style="24" customWidth="1"/>
    <col min="1545" max="1784" width="9.140625" style="24"/>
    <col min="1785" max="1785" width="12.7109375" style="24" customWidth="1"/>
    <col min="1786" max="1786" width="50.7109375" style="24" customWidth="1"/>
    <col min="1787" max="1800" width="15.7109375" style="24" customWidth="1"/>
    <col min="1801" max="2040" width="9.140625" style="24"/>
    <col min="2041" max="2041" width="12.7109375" style="24" customWidth="1"/>
    <col min="2042" max="2042" width="50.7109375" style="24" customWidth="1"/>
    <col min="2043" max="2056" width="15.7109375" style="24" customWidth="1"/>
    <col min="2057" max="2296" width="9.140625" style="24"/>
    <col min="2297" max="2297" width="12.7109375" style="24" customWidth="1"/>
    <col min="2298" max="2298" width="50.7109375" style="24" customWidth="1"/>
    <col min="2299" max="2312" width="15.7109375" style="24" customWidth="1"/>
    <col min="2313" max="2552" width="9.140625" style="24"/>
    <col min="2553" max="2553" width="12.7109375" style="24" customWidth="1"/>
    <col min="2554" max="2554" width="50.7109375" style="24" customWidth="1"/>
    <col min="2555" max="2568" width="15.7109375" style="24" customWidth="1"/>
    <col min="2569" max="2808" width="9.140625" style="24"/>
    <col min="2809" max="2809" width="12.7109375" style="24" customWidth="1"/>
    <col min="2810" max="2810" width="50.7109375" style="24" customWidth="1"/>
    <col min="2811" max="2824" width="15.7109375" style="24" customWidth="1"/>
    <col min="2825" max="3064" width="9.140625" style="24"/>
    <col min="3065" max="3065" width="12.7109375" style="24" customWidth="1"/>
    <col min="3066" max="3066" width="50.7109375" style="24" customWidth="1"/>
    <col min="3067" max="3080" width="15.7109375" style="24" customWidth="1"/>
    <col min="3081" max="3320" width="9.140625" style="24"/>
    <col min="3321" max="3321" width="12.7109375" style="24" customWidth="1"/>
    <col min="3322" max="3322" width="50.7109375" style="24" customWidth="1"/>
    <col min="3323" max="3336" width="15.7109375" style="24" customWidth="1"/>
    <col min="3337" max="3576" width="9.140625" style="24"/>
    <col min="3577" max="3577" width="12.7109375" style="24" customWidth="1"/>
    <col min="3578" max="3578" width="50.7109375" style="24" customWidth="1"/>
    <col min="3579" max="3592" width="15.7109375" style="24" customWidth="1"/>
    <col min="3593" max="3832" width="9.140625" style="24"/>
    <col min="3833" max="3833" width="12.7109375" style="24" customWidth="1"/>
    <col min="3834" max="3834" width="50.7109375" style="24" customWidth="1"/>
    <col min="3835" max="3848" width="15.7109375" style="24" customWidth="1"/>
    <col min="3849" max="4088" width="9.140625" style="24"/>
    <col min="4089" max="4089" width="12.7109375" style="24" customWidth="1"/>
    <col min="4090" max="4090" width="50.7109375" style="24" customWidth="1"/>
    <col min="4091" max="4104" width="15.7109375" style="24" customWidth="1"/>
    <col min="4105" max="4344" width="9.140625" style="24"/>
    <col min="4345" max="4345" width="12.7109375" style="24" customWidth="1"/>
    <col min="4346" max="4346" width="50.7109375" style="24" customWidth="1"/>
    <col min="4347" max="4360" width="15.7109375" style="24" customWidth="1"/>
    <col min="4361" max="4600" width="9.140625" style="24"/>
    <col min="4601" max="4601" width="12.7109375" style="24" customWidth="1"/>
    <col min="4602" max="4602" width="50.7109375" style="24" customWidth="1"/>
    <col min="4603" max="4616" width="15.7109375" style="24" customWidth="1"/>
    <col min="4617" max="4856" width="9.140625" style="24"/>
    <col min="4857" max="4857" width="12.7109375" style="24" customWidth="1"/>
    <col min="4858" max="4858" width="50.7109375" style="24" customWidth="1"/>
    <col min="4859" max="4872" width="15.7109375" style="24" customWidth="1"/>
    <col min="4873" max="5112" width="9.140625" style="24"/>
    <col min="5113" max="5113" width="12.7109375" style="24" customWidth="1"/>
    <col min="5114" max="5114" width="50.7109375" style="24" customWidth="1"/>
    <col min="5115" max="5128" width="15.7109375" style="24" customWidth="1"/>
    <col min="5129" max="5368" width="9.140625" style="24"/>
    <col min="5369" max="5369" width="12.7109375" style="24" customWidth="1"/>
    <col min="5370" max="5370" width="50.7109375" style="24" customWidth="1"/>
    <col min="5371" max="5384" width="15.7109375" style="24" customWidth="1"/>
    <col min="5385" max="5624" width="9.140625" style="24"/>
    <col min="5625" max="5625" width="12.7109375" style="24" customWidth="1"/>
    <col min="5626" max="5626" width="50.7109375" style="24" customWidth="1"/>
    <col min="5627" max="5640" width="15.7109375" style="24" customWidth="1"/>
    <col min="5641" max="5880" width="9.140625" style="24"/>
    <col min="5881" max="5881" width="12.7109375" style="24" customWidth="1"/>
    <col min="5882" max="5882" width="50.7109375" style="24" customWidth="1"/>
    <col min="5883" max="5896" width="15.7109375" style="24" customWidth="1"/>
    <col min="5897" max="6136" width="9.140625" style="24"/>
    <col min="6137" max="6137" width="12.7109375" style="24" customWidth="1"/>
    <col min="6138" max="6138" width="50.7109375" style="24" customWidth="1"/>
    <col min="6139" max="6152" width="15.7109375" style="24" customWidth="1"/>
    <col min="6153" max="6392" width="9.140625" style="24"/>
    <col min="6393" max="6393" width="12.7109375" style="24" customWidth="1"/>
    <col min="6394" max="6394" width="50.7109375" style="24" customWidth="1"/>
    <col min="6395" max="6408" width="15.7109375" style="24" customWidth="1"/>
    <col min="6409" max="6648" width="9.140625" style="24"/>
    <col min="6649" max="6649" width="12.7109375" style="24" customWidth="1"/>
    <col min="6650" max="6650" width="50.7109375" style="24" customWidth="1"/>
    <col min="6651" max="6664" width="15.7109375" style="24" customWidth="1"/>
    <col min="6665" max="6904" width="9.140625" style="24"/>
    <col min="6905" max="6905" width="12.7109375" style="24" customWidth="1"/>
    <col min="6906" max="6906" width="50.7109375" style="24" customWidth="1"/>
    <col min="6907" max="6920" width="15.7109375" style="24" customWidth="1"/>
    <col min="6921" max="7160" width="9.140625" style="24"/>
    <col min="7161" max="7161" width="12.7109375" style="24" customWidth="1"/>
    <col min="7162" max="7162" width="50.7109375" style="24" customWidth="1"/>
    <col min="7163" max="7176" width="15.7109375" style="24" customWidth="1"/>
    <col min="7177" max="7416" width="9.140625" style="24"/>
    <col min="7417" max="7417" width="12.7109375" style="24" customWidth="1"/>
    <col min="7418" max="7418" width="50.7109375" style="24" customWidth="1"/>
    <col min="7419" max="7432" width="15.7109375" style="24" customWidth="1"/>
    <col min="7433" max="7672" width="9.140625" style="24"/>
    <col min="7673" max="7673" width="12.7109375" style="24" customWidth="1"/>
    <col min="7674" max="7674" width="50.7109375" style="24" customWidth="1"/>
    <col min="7675" max="7688" width="15.7109375" style="24" customWidth="1"/>
    <col min="7689" max="7928" width="9.140625" style="24"/>
    <col min="7929" max="7929" width="12.7109375" style="24" customWidth="1"/>
    <col min="7930" max="7930" width="50.7109375" style="24" customWidth="1"/>
    <col min="7931" max="7944" width="15.7109375" style="24" customWidth="1"/>
    <col min="7945" max="8184" width="9.140625" style="24"/>
    <col min="8185" max="8185" width="12.7109375" style="24" customWidth="1"/>
    <col min="8186" max="8186" width="50.7109375" style="24" customWidth="1"/>
    <col min="8187" max="8200" width="15.7109375" style="24" customWidth="1"/>
    <col min="8201" max="8440" width="9.140625" style="24"/>
    <col min="8441" max="8441" width="12.7109375" style="24" customWidth="1"/>
    <col min="8442" max="8442" width="50.7109375" style="24" customWidth="1"/>
    <col min="8443" max="8456" width="15.7109375" style="24" customWidth="1"/>
    <col min="8457" max="8696" width="9.140625" style="24"/>
    <col min="8697" max="8697" width="12.7109375" style="24" customWidth="1"/>
    <col min="8698" max="8698" width="50.7109375" style="24" customWidth="1"/>
    <col min="8699" max="8712" width="15.7109375" style="24" customWidth="1"/>
    <col min="8713" max="8952" width="9.140625" style="24"/>
    <col min="8953" max="8953" width="12.7109375" style="24" customWidth="1"/>
    <col min="8954" max="8954" width="50.7109375" style="24" customWidth="1"/>
    <col min="8955" max="8968" width="15.7109375" style="24" customWidth="1"/>
    <col min="8969" max="9208" width="9.140625" style="24"/>
    <col min="9209" max="9209" width="12.7109375" style="24" customWidth="1"/>
    <col min="9210" max="9210" width="50.7109375" style="24" customWidth="1"/>
    <col min="9211" max="9224" width="15.7109375" style="24" customWidth="1"/>
    <col min="9225" max="9464" width="9.140625" style="24"/>
    <col min="9465" max="9465" width="12.7109375" style="24" customWidth="1"/>
    <col min="9466" max="9466" width="50.7109375" style="24" customWidth="1"/>
    <col min="9467" max="9480" width="15.7109375" style="24" customWidth="1"/>
    <col min="9481" max="9720" width="9.140625" style="24"/>
    <col min="9721" max="9721" width="12.7109375" style="24" customWidth="1"/>
    <col min="9722" max="9722" width="50.7109375" style="24" customWidth="1"/>
    <col min="9723" max="9736" width="15.7109375" style="24" customWidth="1"/>
    <col min="9737" max="9976" width="9.140625" style="24"/>
    <col min="9977" max="9977" width="12.7109375" style="24" customWidth="1"/>
    <col min="9978" max="9978" width="50.7109375" style="24" customWidth="1"/>
    <col min="9979" max="9992" width="15.7109375" style="24" customWidth="1"/>
    <col min="9993" max="10232" width="9.140625" style="24"/>
    <col min="10233" max="10233" width="12.7109375" style="24" customWidth="1"/>
    <col min="10234" max="10234" width="50.7109375" style="24" customWidth="1"/>
    <col min="10235" max="10248" width="15.7109375" style="24" customWidth="1"/>
    <col min="10249" max="10488" width="9.140625" style="24"/>
    <col min="10489" max="10489" width="12.7109375" style="24" customWidth="1"/>
    <col min="10490" max="10490" width="50.7109375" style="24" customWidth="1"/>
    <col min="10491" max="10504" width="15.7109375" style="24" customWidth="1"/>
    <col min="10505" max="10744" width="9.140625" style="24"/>
    <col min="10745" max="10745" width="12.7109375" style="24" customWidth="1"/>
    <col min="10746" max="10746" width="50.7109375" style="24" customWidth="1"/>
    <col min="10747" max="10760" width="15.7109375" style="24" customWidth="1"/>
    <col min="10761" max="11000" width="9.140625" style="24"/>
    <col min="11001" max="11001" width="12.7109375" style="24" customWidth="1"/>
    <col min="11002" max="11002" width="50.7109375" style="24" customWidth="1"/>
    <col min="11003" max="11016" width="15.7109375" style="24" customWidth="1"/>
    <col min="11017" max="11256" width="9.140625" style="24"/>
    <col min="11257" max="11257" width="12.7109375" style="24" customWidth="1"/>
    <col min="11258" max="11258" width="50.7109375" style="24" customWidth="1"/>
    <col min="11259" max="11272" width="15.7109375" style="24" customWidth="1"/>
    <col min="11273" max="11512" width="9.140625" style="24"/>
    <col min="11513" max="11513" width="12.7109375" style="24" customWidth="1"/>
    <col min="11514" max="11514" width="50.7109375" style="24" customWidth="1"/>
    <col min="11515" max="11528" width="15.7109375" style="24" customWidth="1"/>
    <col min="11529" max="11768" width="9.140625" style="24"/>
    <col min="11769" max="11769" width="12.7109375" style="24" customWidth="1"/>
    <col min="11770" max="11770" width="50.7109375" style="24" customWidth="1"/>
    <col min="11771" max="11784" width="15.7109375" style="24" customWidth="1"/>
    <col min="11785" max="12024" width="9.140625" style="24"/>
    <col min="12025" max="12025" width="12.7109375" style="24" customWidth="1"/>
    <col min="12026" max="12026" width="50.7109375" style="24" customWidth="1"/>
    <col min="12027" max="12040" width="15.7109375" style="24" customWidth="1"/>
    <col min="12041" max="12280" width="9.140625" style="24"/>
    <col min="12281" max="12281" width="12.7109375" style="24" customWidth="1"/>
    <col min="12282" max="12282" width="50.7109375" style="24" customWidth="1"/>
    <col min="12283" max="12296" width="15.7109375" style="24" customWidth="1"/>
    <col min="12297" max="12536" width="9.140625" style="24"/>
    <col min="12537" max="12537" width="12.7109375" style="24" customWidth="1"/>
    <col min="12538" max="12538" width="50.7109375" style="24" customWidth="1"/>
    <col min="12539" max="12552" width="15.7109375" style="24" customWidth="1"/>
    <col min="12553" max="12792" width="9.140625" style="24"/>
    <col min="12793" max="12793" width="12.7109375" style="24" customWidth="1"/>
    <col min="12794" max="12794" width="50.7109375" style="24" customWidth="1"/>
    <col min="12795" max="12808" width="15.7109375" style="24" customWidth="1"/>
    <col min="12809" max="13048" width="9.140625" style="24"/>
    <col min="13049" max="13049" width="12.7109375" style="24" customWidth="1"/>
    <col min="13050" max="13050" width="50.7109375" style="24" customWidth="1"/>
    <col min="13051" max="13064" width="15.7109375" style="24" customWidth="1"/>
    <col min="13065" max="13304" width="9.140625" style="24"/>
    <col min="13305" max="13305" width="12.7109375" style="24" customWidth="1"/>
    <col min="13306" max="13306" width="50.7109375" style="24" customWidth="1"/>
    <col min="13307" max="13320" width="15.7109375" style="24" customWidth="1"/>
    <col min="13321" max="13560" width="9.140625" style="24"/>
    <col min="13561" max="13561" width="12.7109375" style="24" customWidth="1"/>
    <col min="13562" max="13562" width="50.7109375" style="24" customWidth="1"/>
    <col min="13563" max="13576" width="15.7109375" style="24" customWidth="1"/>
    <col min="13577" max="13816" width="9.140625" style="24"/>
    <col min="13817" max="13817" width="12.7109375" style="24" customWidth="1"/>
    <col min="13818" max="13818" width="50.7109375" style="24" customWidth="1"/>
    <col min="13819" max="13832" width="15.7109375" style="24" customWidth="1"/>
    <col min="13833" max="14072" width="9.140625" style="24"/>
    <col min="14073" max="14073" width="12.7109375" style="24" customWidth="1"/>
    <col min="14074" max="14074" width="50.7109375" style="24" customWidth="1"/>
    <col min="14075" max="14088" width="15.7109375" style="24" customWidth="1"/>
    <col min="14089" max="14328" width="9.140625" style="24"/>
    <col min="14329" max="14329" width="12.7109375" style="24" customWidth="1"/>
    <col min="14330" max="14330" width="50.7109375" style="24" customWidth="1"/>
    <col min="14331" max="14344" width="15.7109375" style="24" customWidth="1"/>
    <col min="14345" max="14584" width="9.140625" style="24"/>
    <col min="14585" max="14585" width="12.7109375" style="24" customWidth="1"/>
    <col min="14586" max="14586" width="50.7109375" style="24" customWidth="1"/>
    <col min="14587" max="14600" width="15.7109375" style="24" customWidth="1"/>
    <col min="14601" max="14840" width="9.140625" style="24"/>
    <col min="14841" max="14841" width="12.7109375" style="24" customWidth="1"/>
    <col min="14842" max="14842" width="50.7109375" style="24" customWidth="1"/>
    <col min="14843" max="14856" width="15.7109375" style="24" customWidth="1"/>
    <col min="14857" max="15096" width="9.140625" style="24"/>
    <col min="15097" max="15097" width="12.7109375" style="24" customWidth="1"/>
    <col min="15098" max="15098" width="50.7109375" style="24" customWidth="1"/>
    <col min="15099" max="15112" width="15.7109375" style="24" customWidth="1"/>
    <col min="15113" max="15352" width="9.140625" style="24"/>
    <col min="15353" max="15353" width="12.7109375" style="24" customWidth="1"/>
    <col min="15354" max="15354" width="50.7109375" style="24" customWidth="1"/>
    <col min="15355" max="15368" width="15.7109375" style="24" customWidth="1"/>
    <col min="15369" max="15608" width="9.140625" style="24"/>
    <col min="15609" max="15609" width="12.7109375" style="24" customWidth="1"/>
    <col min="15610" max="15610" width="50.7109375" style="24" customWidth="1"/>
    <col min="15611" max="15624" width="15.7109375" style="24" customWidth="1"/>
    <col min="15625" max="15864" width="9.140625" style="24"/>
    <col min="15865" max="15865" width="12.7109375" style="24" customWidth="1"/>
    <col min="15866" max="15866" width="50.7109375" style="24" customWidth="1"/>
    <col min="15867" max="15880" width="15.7109375" style="24" customWidth="1"/>
    <col min="15881" max="16120" width="9.140625" style="24"/>
    <col min="16121" max="16121" width="12.7109375" style="24" customWidth="1"/>
    <col min="16122" max="16122" width="50.7109375" style="24" customWidth="1"/>
    <col min="16123" max="16136" width="15.7109375" style="24" customWidth="1"/>
    <col min="16137" max="16384" width="9.140625" style="24"/>
  </cols>
  <sheetData>
    <row r="2" spans="1:9" ht="15.75" x14ac:dyDescent="0.25">
      <c r="A2" s="32" t="s">
        <v>27</v>
      </c>
      <c r="B2" s="32"/>
      <c r="C2" s="32"/>
      <c r="D2" s="32"/>
      <c r="E2" s="32"/>
      <c r="F2" s="32"/>
      <c r="G2" s="32"/>
      <c r="H2" s="32"/>
    </row>
    <row r="3" spans="1:9" ht="15.75" x14ac:dyDescent="0.25">
      <c r="A3" s="32" t="s">
        <v>113</v>
      </c>
      <c r="B3" s="32"/>
      <c r="C3" s="32"/>
      <c r="D3" s="32"/>
      <c r="E3" s="32"/>
      <c r="F3" s="32"/>
      <c r="G3" s="32"/>
      <c r="H3" s="32"/>
    </row>
    <row r="4" spans="1:9" ht="15.75" x14ac:dyDescent="0.25">
      <c r="A4" s="32" t="s">
        <v>29</v>
      </c>
      <c r="B4" s="32"/>
      <c r="C4" s="32"/>
      <c r="D4" s="32"/>
      <c r="E4" s="32"/>
      <c r="F4" s="32"/>
      <c r="G4" s="32"/>
      <c r="H4" s="32"/>
    </row>
    <row r="5" spans="1:9" ht="14.25" x14ac:dyDescent="0.2">
      <c r="A5" s="33" t="s">
        <v>30</v>
      </c>
      <c r="B5" s="33"/>
      <c r="C5" s="33"/>
      <c r="D5" s="33"/>
      <c r="E5" s="33"/>
      <c r="F5" s="33"/>
      <c r="G5" s="33"/>
      <c r="H5" s="33"/>
    </row>
    <row r="6" spans="1:9" x14ac:dyDescent="0.2">
      <c r="H6" s="27" t="s">
        <v>112</v>
      </c>
    </row>
    <row r="7" spans="1:9" s="28" customFormat="1" ht="71.25" x14ac:dyDescent="0.2">
      <c r="A7" s="36" t="s">
        <v>35</v>
      </c>
      <c r="B7" s="36" t="s">
        <v>36</v>
      </c>
      <c r="C7" s="36" t="s">
        <v>37</v>
      </c>
      <c r="D7" s="36" t="s">
        <v>38</v>
      </c>
      <c r="E7" s="36" t="s">
        <v>39</v>
      </c>
      <c r="F7" s="36" t="s">
        <v>40</v>
      </c>
      <c r="G7" s="36" t="s">
        <v>41</v>
      </c>
      <c r="H7" s="36" t="s">
        <v>111</v>
      </c>
    </row>
    <row r="8" spans="1:9" ht="14.25" x14ac:dyDescent="0.2">
      <c r="A8" s="36">
        <v>1</v>
      </c>
      <c r="B8" s="36">
        <v>2</v>
      </c>
      <c r="C8" s="36">
        <v>3</v>
      </c>
      <c r="D8" s="36">
        <v>4</v>
      </c>
      <c r="E8" s="36">
        <v>5</v>
      </c>
      <c r="F8" s="36">
        <v>6</v>
      </c>
      <c r="G8" s="36">
        <v>7</v>
      </c>
      <c r="H8" s="36">
        <v>8</v>
      </c>
    </row>
    <row r="9" spans="1:9" ht="64.5" customHeight="1" x14ac:dyDescent="0.2">
      <c r="A9" s="37" t="s">
        <v>42</v>
      </c>
      <c r="B9" s="38" t="s">
        <v>43</v>
      </c>
      <c r="C9" s="39">
        <v>37789.888000000014</v>
      </c>
      <c r="D9" s="39">
        <v>5890.2359999999999</v>
      </c>
      <c r="E9" s="39">
        <v>3960.5947200000001</v>
      </c>
      <c r="F9" s="40">
        <f>C9-E9</f>
        <v>33829.293280000013</v>
      </c>
      <c r="G9" s="40">
        <f>D9-E9</f>
        <v>1929.6412799999998</v>
      </c>
      <c r="H9" s="40">
        <f>IF(D9=0,0,(E9/D9)*100)</f>
        <v>67.240000570435555</v>
      </c>
      <c r="I9" s="29"/>
    </row>
    <row r="10" spans="1:9" ht="49.5" customHeight="1" x14ac:dyDescent="0.2">
      <c r="A10" s="37" t="s">
        <v>44</v>
      </c>
      <c r="B10" s="38" t="s">
        <v>45</v>
      </c>
      <c r="C10" s="39">
        <v>21698.564999999999</v>
      </c>
      <c r="D10" s="39">
        <v>4765.228000000001</v>
      </c>
      <c r="E10" s="39">
        <v>3841.3512000000001</v>
      </c>
      <c r="F10" s="40">
        <f>C10-E10</f>
        <v>17857.213799999998</v>
      </c>
      <c r="G10" s="40">
        <f>D10-E10</f>
        <v>923.87680000000091</v>
      </c>
      <c r="H10" s="40">
        <f>IF(D10=0,0,(E10/D10)*100)</f>
        <v>80.612117615358585</v>
      </c>
      <c r="I10" s="29"/>
    </row>
    <row r="11" spans="1:9" ht="45" x14ac:dyDescent="0.2">
      <c r="A11" s="37" t="s">
        <v>46</v>
      </c>
      <c r="B11" s="38" t="s">
        <v>47</v>
      </c>
      <c r="C11" s="39">
        <v>31649.8</v>
      </c>
      <c r="D11" s="39">
        <v>7241.4000000000005</v>
      </c>
      <c r="E11" s="39">
        <v>6365.1202499999999</v>
      </c>
      <c r="F11" s="40">
        <f>C11-E11</f>
        <v>25284.679749999999</v>
      </c>
      <c r="G11" s="40">
        <f>D11-E11</f>
        <v>876.2797500000006</v>
      </c>
      <c r="H11" s="40">
        <f>IF(D11=0,0,(E11/D11)*100)</f>
        <v>87.899028502775707</v>
      </c>
      <c r="I11" s="29"/>
    </row>
    <row r="12" spans="1:9" ht="84" customHeight="1" x14ac:dyDescent="0.2">
      <c r="A12" s="37" t="s">
        <v>48</v>
      </c>
      <c r="B12" s="38" t="s">
        <v>49</v>
      </c>
      <c r="C12" s="39">
        <v>253.6</v>
      </c>
      <c r="D12" s="39">
        <v>0</v>
      </c>
      <c r="E12" s="39">
        <v>0</v>
      </c>
      <c r="F12" s="40">
        <f>C12-E12</f>
        <v>253.6</v>
      </c>
      <c r="G12" s="40">
        <f>D12-E12</f>
        <v>0</v>
      </c>
      <c r="H12" s="40">
        <f>IF(D12=0,0,(E12/D12)*100)</f>
        <v>0</v>
      </c>
      <c r="I12" s="29"/>
    </row>
    <row r="13" spans="1:9" ht="75" x14ac:dyDescent="0.2">
      <c r="A13" s="37" t="s">
        <v>50</v>
      </c>
      <c r="B13" s="38" t="s">
        <v>51</v>
      </c>
      <c r="C13" s="39">
        <v>205.4</v>
      </c>
      <c r="D13" s="39">
        <v>41</v>
      </c>
      <c r="E13" s="39">
        <v>40.713999999999999</v>
      </c>
      <c r="F13" s="40">
        <f>C13-E13</f>
        <v>164.68600000000001</v>
      </c>
      <c r="G13" s="40">
        <f>D13-E13</f>
        <v>0.28600000000000136</v>
      </c>
      <c r="H13" s="40">
        <f>IF(D13=0,0,(E13/D13)*100)</f>
        <v>99.302439024390239</v>
      </c>
      <c r="I13" s="29"/>
    </row>
    <row r="14" spans="1:9" ht="45" x14ac:dyDescent="0.2">
      <c r="A14" s="37" t="s">
        <v>52</v>
      </c>
      <c r="B14" s="38" t="s">
        <v>53</v>
      </c>
      <c r="C14" s="39">
        <v>1931.7</v>
      </c>
      <c r="D14" s="39">
        <v>644</v>
      </c>
      <c r="E14" s="39">
        <v>611.58444000000009</v>
      </c>
      <c r="F14" s="40">
        <f>C14-E14</f>
        <v>1320.11556</v>
      </c>
      <c r="G14" s="40">
        <f>D14-E14</f>
        <v>32.415559999999914</v>
      </c>
      <c r="H14" s="40">
        <f>IF(D14=0,0,(E14/D14)*100)</f>
        <v>94.966527950310578</v>
      </c>
      <c r="I14" s="29"/>
    </row>
    <row r="15" spans="1:9" ht="30" x14ac:dyDescent="0.2">
      <c r="A15" s="37" t="s">
        <v>54</v>
      </c>
      <c r="B15" s="38" t="s">
        <v>55</v>
      </c>
      <c r="C15" s="39">
        <v>2078.3360000000002</v>
      </c>
      <c r="D15" s="39">
        <v>2078.3360000000002</v>
      </c>
      <c r="E15" s="39">
        <v>1800</v>
      </c>
      <c r="F15" s="40">
        <f>C15-E15</f>
        <v>278.33600000000024</v>
      </c>
      <c r="G15" s="40">
        <f>D15-E15</f>
        <v>278.33600000000024</v>
      </c>
      <c r="H15" s="40">
        <f>IF(D15=0,0,(E15/D15)*100)</f>
        <v>86.60774773665085</v>
      </c>
      <c r="I15" s="29"/>
    </row>
    <row r="16" spans="1:9" ht="30" x14ac:dyDescent="0.2">
      <c r="A16" s="37" t="s">
        <v>56</v>
      </c>
      <c r="B16" s="38" t="s">
        <v>57</v>
      </c>
      <c r="C16" s="39">
        <v>210.8</v>
      </c>
      <c r="D16" s="39">
        <v>210.8</v>
      </c>
      <c r="E16" s="39">
        <v>85.4</v>
      </c>
      <c r="F16" s="40">
        <f>C16-E16</f>
        <v>125.4</v>
      </c>
      <c r="G16" s="40">
        <f>D16-E16</f>
        <v>125.4</v>
      </c>
      <c r="H16" s="40">
        <f>IF(D16=0,0,(E16/D16)*100)</f>
        <v>40.512333965844405</v>
      </c>
      <c r="I16" s="29"/>
    </row>
    <row r="17" spans="1:9" ht="30" x14ac:dyDescent="0.2">
      <c r="A17" s="37" t="s">
        <v>58</v>
      </c>
      <c r="B17" s="38" t="s">
        <v>59</v>
      </c>
      <c r="C17" s="39">
        <v>60</v>
      </c>
      <c r="D17" s="39">
        <v>10</v>
      </c>
      <c r="E17" s="39">
        <v>0</v>
      </c>
      <c r="F17" s="40">
        <f>C17-E17</f>
        <v>60</v>
      </c>
      <c r="G17" s="40">
        <f>D17-E17</f>
        <v>10</v>
      </c>
      <c r="H17" s="40">
        <f>IF(D17=0,0,(E17/D17)*100)</f>
        <v>0</v>
      </c>
      <c r="I17" s="29"/>
    </row>
    <row r="18" spans="1:9" ht="30" x14ac:dyDescent="0.2">
      <c r="A18" s="37" t="s">
        <v>60</v>
      </c>
      <c r="B18" s="38" t="s">
        <v>61</v>
      </c>
      <c r="C18" s="39">
        <v>1.62</v>
      </c>
      <c r="D18" s="39">
        <v>0.27</v>
      </c>
      <c r="E18" s="39">
        <v>0</v>
      </c>
      <c r="F18" s="40">
        <f>C18-E18</f>
        <v>1.62</v>
      </c>
      <c r="G18" s="40">
        <f>D18-E18</f>
        <v>0.27</v>
      </c>
      <c r="H18" s="40">
        <f>IF(D18=0,0,(E18/D18)*100)</f>
        <v>0</v>
      </c>
      <c r="I18" s="29"/>
    </row>
    <row r="19" spans="1:9" ht="30" x14ac:dyDescent="0.2">
      <c r="A19" s="37" t="s">
        <v>62</v>
      </c>
      <c r="B19" s="38" t="s">
        <v>63</v>
      </c>
      <c r="C19" s="39">
        <v>0</v>
      </c>
      <c r="D19" s="39">
        <v>0</v>
      </c>
      <c r="E19" s="39">
        <v>0</v>
      </c>
      <c r="F19" s="40">
        <f>C19-E19</f>
        <v>0</v>
      </c>
      <c r="G19" s="40">
        <f>D19-E19</f>
        <v>0</v>
      </c>
      <c r="H19" s="40">
        <f>IF(D19=0,0,(E19/D19)*100)</f>
        <v>0</v>
      </c>
      <c r="I19" s="29"/>
    </row>
    <row r="20" spans="1:9" ht="30" x14ac:dyDescent="0.2">
      <c r="A20" s="37" t="s">
        <v>64</v>
      </c>
      <c r="B20" s="38" t="s">
        <v>65</v>
      </c>
      <c r="C20" s="39">
        <v>28.8</v>
      </c>
      <c r="D20" s="39">
        <v>28.8</v>
      </c>
      <c r="E20" s="39">
        <v>0</v>
      </c>
      <c r="F20" s="40">
        <f>C20-E20</f>
        <v>28.8</v>
      </c>
      <c r="G20" s="40">
        <f>D20-E20</f>
        <v>28.8</v>
      </c>
      <c r="H20" s="40">
        <f>IF(D20=0,0,(E20/D20)*100)</f>
        <v>0</v>
      </c>
      <c r="I20" s="29"/>
    </row>
    <row r="21" spans="1:9" ht="70.5" customHeight="1" x14ac:dyDescent="0.2">
      <c r="A21" s="37" t="s">
        <v>66</v>
      </c>
      <c r="B21" s="38" t="s">
        <v>67</v>
      </c>
      <c r="C21" s="39">
        <v>320</v>
      </c>
      <c r="D21" s="39">
        <v>0</v>
      </c>
      <c r="E21" s="39">
        <v>0</v>
      </c>
      <c r="F21" s="40">
        <f>C21-E21</f>
        <v>320</v>
      </c>
      <c r="G21" s="40">
        <f>D21-E21</f>
        <v>0</v>
      </c>
      <c r="H21" s="40">
        <f>IF(D21=0,0,(E21/D21)*100)</f>
        <v>0</v>
      </c>
      <c r="I21" s="29"/>
    </row>
    <row r="22" spans="1:9" ht="83.25" customHeight="1" x14ac:dyDescent="0.2">
      <c r="A22" s="37" t="s">
        <v>68</v>
      </c>
      <c r="B22" s="38" t="s">
        <v>69</v>
      </c>
      <c r="C22" s="39">
        <v>943.00200000000007</v>
      </c>
      <c r="D22" s="39">
        <v>157.20000000000002</v>
      </c>
      <c r="E22" s="39">
        <v>64.025670000000005</v>
      </c>
      <c r="F22" s="40">
        <f>C22-E22</f>
        <v>878.97633000000008</v>
      </c>
      <c r="G22" s="40">
        <f>D22-E22</f>
        <v>93.174330000000012</v>
      </c>
      <c r="H22" s="40">
        <f>IF(D22=0,0,(E22/D22)*100)</f>
        <v>40.728797709923661</v>
      </c>
      <c r="I22" s="29"/>
    </row>
    <row r="23" spans="1:9" ht="66.75" customHeight="1" x14ac:dyDescent="0.2">
      <c r="A23" s="37" t="s">
        <v>70</v>
      </c>
      <c r="B23" s="38" t="s">
        <v>71</v>
      </c>
      <c r="C23" s="39">
        <v>368.58000000000004</v>
      </c>
      <c r="D23" s="39">
        <v>61.430000000000007</v>
      </c>
      <c r="E23" s="39">
        <v>54.586600000000004</v>
      </c>
      <c r="F23" s="40">
        <f>C23-E23</f>
        <v>313.99340000000007</v>
      </c>
      <c r="G23" s="40">
        <f>D23-E23</f>
        <v>6.8434000000000026</v>
      </c>
      <c r="H23" s="40">
        <f>IF(D23=0,0,(E23/D23)*100)</f>
        <v>88.859840468826306</v>
      </c>
      <c r="I23" s="29"/>
    </row>
    <row r="24" spans="1:9" ht="49.5" customHeight="1" x14ac:dyDescent="0.2">
      <c r="A24" s="37" t="s">
        <v>72</v>
      </c>
      <c r="B24" s="38" t="s">
        <v>73</v>
      </c>
      <c r="C24" s="39">
        <v>398</v>
      </c>
      <c r="D24" s="39">
        <v>398</v>
      </c>
      <c r="E24" s="39">
        <v>397.53818999999999</v>
      </c>
      <c r="F24" s="40">
        <f>C24-E24</f>
        <v>0.46181000000001404</v>
      </c>
      <c r="G24" s="40">
        <f>D24-E24</f>
        <v>0.46181000000001404</v>
      </c>
      <c r="H24" s="40">
        <f>IF(D24=0,0,(E24/D24)*100)</f>
        <v>99.883967336683412</v>
      </c>
      <c r="I24" s="29"/>
    </row>
    <row r="25" spans="1:9" ht="49.5" customHeight="1" x14ac:dyDescent="0.2">
      <c r="A25" s="37" t="s">
        <v>74</v>
      </c>
      <c r="B25" s="38" t="s">
        <v>75</v>
      </c>
      <c r="C25" s="39">
        <v>11888.673000000001</v>
      </c>
      <c r="D25" s="39">
        <v>2013.7929999999997</v>
      </c>
      <c r="E25" s="39">
        <v>1107.7578100000001</v>
      </c>
      <c r="F25" s="40">
        <f>C25-E25</f>
        <v>10780.91519</v>
      </c>
      <c r="G25" s="40">
        <f>D25-E25</f>
        <v>906.0351899999996</v>
      </c>
      <c r="H25" s="40">
        <f>IF(D25=0,0,(E25/D25)*100)</f>
        <v>55.008524212766666</v>
      </c>
      <c r="I25" s="29"/>
    </row>
    <row r="26" spans="1:9" ht="34.5" customHeight="1" x14ac:dyDescent="0.2">
      <c r="A26" s="37" t="s">
        <v>76</v>
      </c>
      <c r="B26" s="38" t="s">
        <v>77</v>
      </c>
      <c r="C26" s="39">
        <v>3376.17</v>
      </c>
      <c r="D26" s="39">
        <v>652.79999999999995</v>
      </c>
      <c r="E26" s="39">
        <v>67.664000000000001</v>
      </c>
      <c r="F26" s="40">
        <f>C26-E26</f>
        <v>3308.5059999999999</v>
      </c>
      <c r="G26" s="40">
        <f>D26-E26</f>
        <v>585.13599999999997</v>
      </c>
      <c r="H26" s="40">
        <f>IF(D26=0,0,(E26/D26)*100)</f>
        <v>10.365196078431374</v>
      </c>
      <c r="I26" s="29"/>
    </row>
    <row r="27" spans="1:9" ht="30" x14ac:dyDescent="0.2">
      <c r="A27" s="37" t="s">
        <v>78</v>
      </c>
      <c r="B27" s="38" t="s">
        <v>79</v>
      </c>
      <c r="C27" s="39">
        <v>10772.504999999999</v>
      </c>
      <c r="D27" s="39">
        <v>1700.749</v>
      </c>
      <c r="E27" s="39">
        <v>1173.0266999999999</v>
      </c>
      <c r="F27" s="40">
        <f>C27-E27</f>
        <v>9599.4782999999989</v>
      </c>
      <c r="G27" s="40">
        <f>D27-E27</f>
        <v>527.72230000000013</v>
      </c>
      <c r="H27" s="40">
        <f>IF(D27=0,0,(E27/D27)*100)</f>
        <v>68.971182696564853</v>
      </c>
      <c r="I27" s="29"/>
    </row>
    <row r="28" spans="1:9" ht="30" x14ac:dyDescent="0.2">
      <c r="A28" s="37" t="s">
        <v>80</v>
      </c>
      <c r="B28" s="38" t="s">
        <v>81</v>
      </c>
      <c r="C28" s="39">
        <v>100</v>
      </c>
      <c r="D28" s="39">
        <v>100</v>
      </c>
      <c r="E28" s="39">
        <v>0</v>
      </c>
      <c r="F28" s="40">
        <f>C28-E28</f>
        <v>100</v>
      </c>
      <c r="G28" s="40">
        <f>D28-E28</f>
        <v>100</v>
      </c>
      <c r="H28" s="40">
        <f>IF(D28=0,0,(E28/D28)*100)</f>
        <v>0</v>
      </c>
      <c r="I28" s="29"/>
    </row>
    <row r="29" spans="1:9" ht="53.25" customHeight="1" x14ac:dyDescent="0.2">
      <c r="A29" s="37" t="s">
        <v>82</v>
      </c>
      <c r="B29" s="38" t="s">
        <v>83</v>
      </c>
      <c r="C29" s="39">
        <v>4975.8</v>
      </c>
      <c r="D29" s="39">
        <v>4975.8</v>
      </c>
      <c r="E29" s="39">
        <v>4350.4619299999995</v>
      </c>
      <c r="F29" s="40">
        <f>C29-E29</f>
        <v>625.3380700000007</v>
      </c>
      <c r="G29" s="40">
        <f>D29-E29</f>
        <v>625.3380700000007</v>
      </c>
      <c r="H29" s="40">
        <f>IF(D29=0,0,(E29/D29)*100)</f>
        <v>87.432411471522158</v>
      </c>
      <c r="I29" s="29"/>
    </row>
    <row r="30" spans="1:9" ht="15" x14ac:dyDescent="0.2">
      <c r="A30" s="37" t="s">
        <v>84</v>
      </c>
      <c r="B30" s="38" t="s">
        <v>85</v>
      </c>
      <c r="C30" s="39">
        <v>23870.657999999999</v>
      </c>
      <c r="D30" s="39">
        <v>4932.68</v>
      </c>
      <c r="E30" s="39">
        <v>3805.9835900000003</v>
      </c>
      <c r="F30" s="40">
        <f>C30-E30</f>
        <v>20064.67441</v>
      </c>
      <c r="G30" s="40">
        <f>D30-E30</f>
        <v>1126.69641</v>
      </c>
      <c r="H30" s="40">
        <f>IF(D30=0,0,(E30/D30)*100)</f>
        <v>77.158534305894563</v>
      </c>
      <c r="I30" s="29"/>
    </row>
    <row r="31" spans="1:9" ht="40.5" customHeight="1" x14ac:dyDescent="0.2">
      <c r="A31" s="37" t="s">
        <v>86</v>
      </c>
      <c r="B31" s="38" t="s">
        <v>87</v>
      </c>
      <c r="C31" s="39">
        <v>121.892</v>
      </c>
      <c r="D31" s="39">
        <v>0</v>
      </c>
      <c r="E31" s="39">
        <v>0</v>
      </c>
      <c r="F31" s="40">
        <f>C31-E31</f>
        <v>121.892</v>
      </c>
      <c r="G31" s="40">
        <f>D31-E31</f>
        <v>0</v>
      </c>
      <c r="H31" s="40">
        <f>IF(D31=0,0,(E31/D31)*100)</f>
        <v>0</v>
      </c>
      <c r="I31" s="29"/>
    </row>
    <row r="32" spans="1:9" ht="23.25" customHeight="1" x14ac:dyDescent="0.2">
      <c r="A32" s="37" t="s">
        <v>88</v>
      </c>
      <c r="B32" s="38" t="s">
        <v>89</v>
      </c>
      <c r="C32" s="39">
        <v>5091.7730000000001</v>
      </c>
      <c r="D32" s="39">
        <v>1180.886</v>
      </c>
      <c r="E32" s="39">
        <v>610.71496000000002</v>
      </c>
      <c r="F32" s="40">
        <f>C32-E32</f>
        <v>4481.0580399999999</v>
      </c>
      <c r="G32" s="40">
        <f>D32-E32</f>
        <v>570.17103999999995</v>
      </c>
      <c r="H32" s="40">
        <f>IF(D32=0,0,(E32/D32)*100)</f>
        <v>51.716673751742334</v>
      </c>
      <c r="I32" s="29"/>
    </row>
    <row r="33" spans="1:9" ht="36.75" customHeight="1" x14ac:dyDescent="0.2">
      <c r="A33" s="37" t="s">
        <v>90</v>
      </c>
      <c r="B33" s="38" t="s">
        <v>91</v>
      </c>
      <c r="C33" s="39">
        <v>300</v>
      </c>
      <c r="D33" s="39">
        <v>300</v>
      </c>
      <c r="E33" s="39">
        <v>0</v>
      </c>
      <c r="F33" s="40">
        <f>C33-E33</f>
        <v>300</v>
      </c>
      <c r="G33" s="40">
        <f>D33-E33</f>
        <v>300</v>
      </c>
      <c r="H33" s="40">
        <f>IF(D33=0,0,(E33/D33)*100)</f>
        <v>0</v>
      </c>
      <c r="I33" s="29"/>
    </row>
    <row r="34" spans="1:9" ht="35.25" customHeight="1" x14ac:dyDescent="0.2">
      <c r="A34" s="37" t="s">
        <v>92</v>
      </c>
      <c r="B34" s="38" t="s">
        <v>93</v>
      </c>
      <c r="C34" s="39">
        <v>8165.6540000000005</v>
      </c>
      <c r="D34" s="39">
        <v>1202.42</v>
      </c>
      <c r="E34" s="39">
        <v>879.99836000000005</v>
      </c>
      <c r="F34" s="40">
        <f>C34-E34</f>
        <v>7285.6556400000009</v>
      </c>
      <c r="G34" s="40">
        <f>D34-E34</f>
        <v>322.42164000000002</v>
      </c>
      <c r="H34" s="40">
        <f>IF(D34=0,0,(E34/D34)*100)</f>
        <v>73.185605695181394</v>
      </c>
      <c r="I34" s="29"/>
    </row>
    <row r="35" spans="1:9" ht="21" customHeight="1" x14ac:dyDescent="0.2">
      <c r="A35" s="37" t="s">
        <v>94</v>
      </c>
      <c r="B35" s="38" t="s">
        <v>95</v>
      </c>
      <c r="C35" s="39">
        <v>100</v>
      </c>
      <c r="D35" s="39">
        <v>100</v>
      </c>
      <c r="E35" s="39">
        <v>0</v>
      </c>
      <c r="F35" s="40">
        <f>C35-E35</f>
        <v>100</v>
      </c>
      <c r="G35" s="40">
        <f>D35-E35</f>
        <v>100</v>
      </c>
      <c r="H35" s="40">
        <f>IF(D35=0,0,(E35/D35)*100)</f>
        <v>0</v>
      </c>
      <c r="I35" s="29"/>
    </row>
    <row r="36" spans="1:9" ht="21.75" customHeight="1" x14ac:dyDescent="0.2">
      <c r="A36" s="37" t="s">
        <v>96</v>
      </c>
      <c r="B36" s="38" t="s">
        <v>97</v>
      </c>
      <c r="C36" s="39">
        <v>428.93799999999999</v>
      </c>
      <c r="D36" s="39">
        <v>70.106999999999999</v>
      </c>
      <c r="E36" s="39">
        <v>23.361000000000001</v>
      </c>
      <c r="F36" s="40">
        <f>C36-E36</f>
        <v>405.577</v>
      </c>
      <c r="G36" s="40">
        <f>D36-E36</f>
        <v>46.745999999999995</v>
      </c>
      <c r="H36" s="40">
        <f>IF(D36=0,0,(E36/D36)*100)</f>
        <v>33.32192220463007</v>
      </c>
      <c r="I36" s="29"/>
    </row>
    <row r="37" spans="1:9" ht="19.5" customHeight="1" x14ac:dyDescent="0.2">
      <c r="A37" s="37" t="s">
        <v>98</v>
      </c>
      <c r="B37" s="38" t="s">
        <v>99</v>
      </c>
      <c r="C37" s="39">
        <v>8000</v>
      </c>
      <c r="D37" s="39">
        <v>8000</v>
      </c>
      <c r="E37" s="39">
        <v>1000</v>
      </c>
      <c r="F37" s="40">
        <f>C37-E37</f>
        <v>7000</v>
      </c>
      <c r="G37" s="40">
        <f>D37-E37</f>
        <v>7000</v>
      </c>
      <c r="H37" s="40">
        <f>IF(D37=0,0,(E37/D37)*100)</f>
        <v>12.5</v>
      </c>
      <c r="I37" s="29"/>
    </row>
    <row r="38" spans="1:9" ht="51" customHeight="1" x14ac:dyDescent="0.2">
      <c r="A38" s="37" t="s">
        <v>100</v>
      </c>
      <c r="B38" s="38" t="s">
        <v>101</v>
      </c>
      <c r="C38" s="39">
        <v>50</v>
      </c>
      <c r="D38" s="39">
        <v>50</v>
      </c>
      <c r="E38" s="39">
        <v>0</v>
      </c>
      <c r="F38" s="40">
        <f>C38-E38</f>
        <v>50</v>
      </c>
      <c r="G38" s="40">
        <f>D38-E38</f>
        <v>50</v>
      </c>
      <c r="H38" s="40">
        <f>IF(D38=0,0,(E38/D38)*100)</f>
        <v>0</v>
      </c>
      <c r="I38" s="29"/>
    </row>
    <row r="39" spans="1:9" ht="45" x14ac:dyDescent="0.2">
      <c r="A39" s="37" t="s">
        <v>102</v>
      </c>
      <c r="B39" s="38" t="s">
        <v>103</v>
      </c>
      <c r="C39" s="39">
        <v>1710.5629999999999</v>
      </c>
      <c r="D39" s="39">
        <v>208.67000000000002</v>
      </c>
      <c r="E39" s="39">
        <v>152.97232</v>
      </c>
      <c r="F39" s="40">
        <f>C39-E39</f>
        <v>1557.5906799999998</v>
      </c>
      <c r="G39" s="40">
        <f>D39-E39</f>
        <v>55.69768000000002</v>
      </c>
      <c r="H39" s="40">
        <f>IF(D39=0,0,(E39/D39)*100)</f>
        <v>73.308247472085114</v>
      </c>
      <c r="I39" s="29"/>
    </row>
    <row r="40" spans="1:9" ht="45" x14ac:dyDescent="0.2">
      <c r="A40" s="37" t="s">
        <v>104</v>
      </c>
      <c r="B40" s="38" t="s">
        <v>103</v>
      </c>
      <c r="C40" s="39">
        <v>7473.2300000000014</v>
      </c>
      <c r="D40" s="39">
        <v>1241.78</v>
      </c>
      <c r="E40" s="39">
        <v>997.88670999999988</v>
      </c>
      <c r="F40" s="40">
        <f>C40-E40</f>
        <v>6475.3432900000016</v>
      </c>
      <c r="G40" s="40">
        <f>D40-E40</f>
        <v>243.89329000000009</v>
      </c>
      <c r="H40" s="40">
        <f>IF(D40=0,0,(E40/D40)*100)</f>
        <v>80.359380083428618</v>
      </c>
      <c r="I40" s="29"/>
    </row>
    <row r="41" spans="1:9" ht="20.25" customHeight="1" x14ac:dyDescent="0.2">
      <c r="A41" s="37" t="s">
        <v>105</v>
      </c>
      <c r="B41" s="38" t="s">
        <v>85</v>
      </c>
      <c r="C41" s="39">
        <v>1310</v>
      </c>
      <c r="D41" s="39">
        <v>710</v>
      </c>
      <c r="E41" s="39">
        <v>706.30000000000007</v>
      </c>
      <c r="F41" s="40">
        <f>C41-E41</f>
        <v>603.69999999999993</v>
      </c>
      <c r="G41" s="40">
        <f>D41-E41</f>
        <v>3.6999999999999318</v>
      </c>
      <c r="H41" s="40">
        <f>IF(D41=0,0,(E41/D41)*100)</f>
        <v>99.478873239436624</v>
      </c>
      <c r="I41" s="29"/>
    </row>
    <row r="42" spans="1:9" ht="45" x14ac:dyDescent="0.2">
      <c r="A42" s="37" t="s">
        <v>106</v>
      </c>
      <c r="B42" s="38" t="s">
        <v>103</v>
      </c>
      <c r="C42" s="39">
        <v>2380.7290000000003</v>
      </c>
      <c r="D42" s="39">
        <v>327.608</v>
      </c>
      <c r="E42" s="39">
        <v>242.89079999999998</v>
      </c>
      <c r="F42" s="40">
        <f>C42-E42</f>
        <v>2137.8382000000001</v>
      </c>
      <c r="G42" s="40">
        <f>D42-E42</f>
        <v>84.71720000000002</v>
      </c>
      <c r="H42" s="40">
        <f>IF(D42=0,0,(E42/D42)*100)</f>
        <v>74.140680325266771</v>
      </c>
      <c r="I42" s="29"/>
    </row>
    <row r="43" spans="1:9" ht="20.25" customHeight="1" x14ac:dyDescent="0.2">
      <c r="A43" s="37" t="s">
        <v>107</v>
      </c>
      <c r="B43" s="38" t="s">
        <v>108</v>
      </c>
      <c r="C43" s="39">
        <v>100</v>
      </c>
      <c r="D43" s="39">
        <v>100</v>
      </c>
      <c r="E43" s="39">
        <v>0</v>
      </c>
      <c r="F43" s="40">
        <f>C43-E43</f>
        <v>100</v>
      </c>
      <c r="G43" s="40">
        <f>D43-E43</f>
        <v>100</v>
      </c>
      <c r="H43" s="40">
        <f>IF(D43=0,0,(E43/D43)*100)</f>
        <v>0</v>
      </c>
      <c r="I43" s="29"/>
    </row>
    <row r="44" spans="1:9" ht="14.25" x14ac:dyDescent="0.2">
      <c r="A44" s="41" t="s">
        <v>109</v>
      </c>
      <c r="B44" s="42" t="s">
        <v>110</v>
      </c>
      <c r="C44" s="43">
        <v>188154.67599999998</v>
      </c>
      <c r="D44" s="43">
        <v>49393.992999999995</v>
      </c>
      <c r="E44" s="43">
        <v>32339.933250000006</v>
      </c>
      <c r="F44" s="43">
        <f>C44-E44</f>
        <v>155814.74274999998</v>
      </c>
      <c r="G44" s="43">
        <f>D44-E44</f>
        <v>17054.059749999989</v>
      </c>
      <c r="H44" s="43">
        <f>IF(D44=0,0,(E44/D44)*100)</f>
        <v>65.473413437135989</v>
      </c>
      <c r="I44" s="29"/>
    </row>
    <row r="45" spans="1:9" x14ac:dyDescent="0.2">
      <c r="F45" s="34"/>
      <c r="G45" s="34"/>
      <c r="H45" s="34"/>
    </row>
    <row r="46" spans="1:9" x14ac:dyDescent="0.2">
      <c r="A46" s="30"/>
      <c r="B46" s="31"/>
      <c r="C46" s="29"/>
      <c r="D46" s="29"/>
      <c r="E46" s="29"/>
      <c r="F46" s="35"/>
      <c r="G46" s="35"/>
      <c r="H46" s="35"/>
    </row>
    <row r="54" hidden="1" x14ac:dyDescent="0.2"/>
  </sheetData>
  <mergeCells count="4">
    <mergeCell ref="A2:H2"/>
    <mergeCell ref="A3:H3"/>
    <mergeCell ref="A4:H4"/>
    <mergeCell ref="A5:H5"/>
  </mergeCells>
  <conditionalFormatting sqref="A9:A44">
    <cfRule type="expression" dxfId="95" priority="49" stopIfTrue="1">
      <formula>#REF!=1</formula>
    </cfRule>
    <cfRule type="expression" dxfId="94" priority="50" stopIfTrue="1">
      <formula>#REF!=2</formula>
    </cfRule>
    <cfRule type="expression" dxfId="93" priority="51" stopIfTrue="1">
      <formula>#REF!=3</formula>
    </cfRule>
  </conditionalFormatting>
  <conditionalFormatting sqref="B9:B44">
    <cfRule type="expression" dxfId="92" priority="52" stopIfTrue="1">
      <formula>#REF!=1</formula>
    </cfRule>
    <cfRule type="expression" dxfId="91" priority="53" stopIfTrue="1">
      <formula>#REF!=2</formula>
    </cfRule>
    <cfRule type="expression" dxfId="90" priority="54" stopIfTrue="1">
      <formula>#REF!=3</formula>
    </cfRule>
  </conditionalFormatting>
  <conditionalFormatting sqref="C9:C44">
    <cfRule type="expression" dxfId="86" priority="58" stopIfTrue="1">
      <formula>#REF!=1</formula>
    </cfRule>
    <cfRule type="expression" dxfId="85" priority="59" stopIfTrue="1">
      <formula>#REF!=2</formula>
    </cfRule>
    <cfRule type="expression" dxfId="84" priority="60" stopIfTrue="1">
      <formula>#REF!=3</formula>
    </cfRule>
  </conditionalFormatting>
  <conditionalFormatting sqref="D9:D44">
    <cfRule type="expression" dxfId="83" priority="61" stopIfTrue="1">
      <formula>#REF!=1</formula>
    </cfRule>
    <cfRule type="expression" dxfId="82" priority="62" stopIfTrue="1">
      <formula>#REF!=2</formula>
    </cfRule>
    <cfRule type="expression" dxfId="81" priority="63" stopIfTrue="1">
      <formula>#REF!=3</formula>
    </cfRule>
  </conditionalFormatting>
  <conditionalFormatting sqref="E9:E44">
    <cfRule type="expression" dxfId="74" priority="70" stopIfTrue="1">
      <formula>#REF!=1</formula>
    </cfRule>
    <cfRule type="expression" dxfId="73" priority="71" stopIfTrue="1">
      <formula>#REF!=2</formula>
    </cfRule>
    <cfRule type="expression" dxfId="72" priority="72" stopIfTrue="1">
      <formula>#REF!=3</formula>
    </cfRule>
  </conditionalFormatting>
  <conditionalFormatting sqref="F9:F44">
    <cfRule type="expression" dxfId="56" priority="88" stopIfTrue="1">
      <formula>#REF!=1</formula>
    </cfRule>
    <cfRule type="expression" dxfId="55" priority="89" stopIfTrue="1">
      <formula>#REF!=2</formula>
    </cfRule>
    <cfRule type="expression" dxfId="54" priority="90" stopIfTrue="1">
      <formula>#REF!=3</formula>
    </cfRule>
  </conditionalFormatting>
  <conditionalFormatting sqref="G9:G44">
    <cfRule type="expression" dxfId="53" priority="91" stopIfTrue="1">
      <formula>#REF!=1</formula>
    </cfRule>
    <cfRule type="expression" dxfId="52" priority="92" stopIfTrue="1">
      <formula>#REF!=2</formula>
    </cfRule>
    <cfRule type="expression" dxfId="51" priority="93" stopIfTrue="1">
      <formula>#REF!=3</formula>
    </cfRule>
  </conditionalFormatting>
  <conditionalFormatting sqref="H9:H44">
    <cfRule type="expression" dxfId="50" priority="94" stopIfTrue="1">
      <formula>#REF!=1</formula>
    </cfRule>
    <cfRule type="expression" dxfId="49" priority="95" stopIfTrue="1">
      <formula>#REF!=2</formula>
    </cfRule>
    <cfRule type="expression" dxfId="48" priority="96" stopIfTrue="1">
      <formula>#REF!=3</formula>
    </cfRule>
  </conditionalFormatting>
  <conditionalFormatting sqref="A46:A55">
    <cfRule type="expression" dxfId="47" priority="1" stopIfTrue="1">
      <formula>#REF!=1</formula>
    </cfRule>
    <cfRule type="expression" dxfId="46" priority="2" stopIfTrue="1">
      <formula>#REF!=2</formula>
    </cfRule>
    <cfRule type="expression" dxfId="45" priority="3" stopIfTrue="1">
      <formula>#REF!=3</formula>
    </cfRule>
  </conditionalFormatting>
  <conditionalFormatting sqref="B46:B55">
    <cfRule type="expression" dxfId="44" priority="4" stopIfTrue="1">
      <formula>#REF!=1</formula>
    </cfRule>
    <cfRule type="expression" dxfId="43" priority="5" stopIfTrue="1">
      <formula>#REF!=2</formula>
    </cfRule>
    <cfRule type="expression" dxfId="42" priority="6" stopIfTrue="1">
      <formula>#REF!=3</formula>
    </cfRule>
  </conditionalFormatting>
  <conditionalFormatting sqref="C46:C55">
    <cfRule type="expression" dxfId="38" priority="10" stopIfTrue="1">
      <formula>#REF!=1</formula>
    </cfRule>
    <cfRule type="expression" dxfId="37" priority="11" stopIfTrue="1">
      <formula>#REF!=2</formula>
    </cfRule>
    <cfRule type="expression" dxfId="36" priority="12" stopIfTrue="1">
      <formula>#REF!=3</formula>
    </cfRule>
  </conditionalFormatting>
  <conditionalFormatting sqref="D46:D55">
    <cfRule type="expression" dxfId="35" priority="13" stopIfTrue="1">
      <formula>#REF!=1</formula>
    </cfRule>
    <cfRule type="expression" dxfId="34" priority="14" stopIfTrue="1">
      <formula>#REF!=2</formula>
    </cfRule>
    <cfRule type="expression" dxfId="33" priority="15" stopIfTrue="1">
      <formula>#REF!=3</formula>
    </cfRule>
  </conditionalFormatting>
  <conditionalFormatting sqref="E46:E55">
    <cfRule type="expression" dxfId="26" priority="22" stopIfTrue="1">
      <formula>#REF!=1</formula>
    </cfRule>
    <cfRule type="expression" dxfId="25" priority="23" stopIfTrue="1">
      <formula>#REF!=2</formula>
    </cfRule>
    <cfRule type="expression" dxfId="24" priority="24" stopIfTrue="1">
      <formula>#REF!=3</formula>
    </cfRule>
  </conditionalFormatting>
  <conditionalFormatting sqref="F46:F55">
    <cfRule type="expression" dxfId="8" priority="40" stopIfTrue="1">
      <formula>#REF!=1</formula>
    </cfRule>
    <cfRule type="expression" dxfId="7" priority="41" stopIfTrue="1">
      <formula>#REF!=2</formula>
    </cfRule>
    <cfRule type="expression" dxfId="6" priority="42" stopIfTrue="1">
      <formula>#REF!=3</formula>
    </cfRule>
  </conditionalFormatting>
  <conditionalFormatting sqref="G46:G55">
    <cfRule type="expression" dxfId="5" priority="43" stopIfTrue="1">
      <formula>#REF!=1</formula>
    </cfRule>
    <cfRule type="expression" dxfId="4" priority="44" stopIfTrue="1">
      <formula>#REF!=2</formula>
    </cfRule>
    <cfRule type="expression" dxfId="3" priority="45" stopIfTrue="1">
      <formula>#REF!=3</formula>
    </cfRule>
  </conditionalFormatting>
  <conditionalFormatting sqref="H46:H55">
    <cfRule type="expression" dxfId="2" priority="46" stopIfTrue="1">
      <formula>#REF!=1</formula>
    </cfRule>
    <cfRule type="expression" dxfId="1" priority="47" stopIfTrue="1">
      <formula>#REF!=2</formula>
    </cfRule>
    <cfRule type="expression" dxfId="0" priority="48" stopIfTrue="1">
      <formula>#REF!=3</formula>
    </cfRule>
  </conditionalFormatting>
  <pageMargins left="0.32" right="0.33" top="0.39370078740157499" bottom="0.39370078740157499" header="0" footer="0"/>
  <pageSetup paperSize="9" scale="61" fitToHeight="50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доходи</vt:lpstr>
      <vt:lpstr>видатки</vt:lpstr>
      <vt:lpstr>видатки!Заголовки_для_печати</vt:lpstr>
      <vt:lpstr>доходи!Заголовки_для_печати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2025-03-20T09:27:40Z</cp:lastPrinted>
  <dcterms:created xsi:type="dcterms:W3CDTF">2025-03-20T09:05:18Z</dcterms:created>
  <dcterms:modified xsi:type="dcterms:W3CDTF">2025-03-20T09:29:21Z</dcterms:modified>
</cp:coreProperties>
</file>