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ЭтаКнига" defaultThemeVersion="166925"/>
  <mc:AlternateContent xmlns:mc="http://schemas.openxmlformats.org/markup-compatibility/2006">
    <mc:Choice Requires="x15">
      <x15ac:absPath xmlns:x15ac="http://schemas.microsoft.com/office/spreadsheetml/2010/11/ac" url="D:\с рабочего стола\Мої документи\Бюджетні запити\на 2025 рік\"/>
    </mc:Choice>
  </mc:AlternateContent>
  <xr:revisionPtr revIDLastSave="0" documentId="13_ncr:1_{F3AE81E1-BC1D-440C-83C2-FB25DEFA7B81}" xr6:coauthVersionLast="46" xr6:coauthVersionMax="46" xr10:uidLastSave="{00000000-0000-0000-0000-000000000000}"/>
  <bookViews>
    <workbookView xWindow="-120" yWindow="-120" windowWidth="29040" windowHeight="15840" tabRatio="522" xr2:uid="{00000000-000D-0000-FFFF-FFFF00000000}"/>
  </bookViews>
  <sheets>
    <sheet name="Додаток2 КПК0113241" sheetId="6" r:id="rId1"/>
  </sheets>
  <definedNames>
    <definedName name="_xlnm.Print_Area" localSheetId="0">'Додаток2 КПК0113241'!$A$1:$BY$358</definedName>
  </definedNames>
  <calcPr calcId="191029"/>
</workbook>
</file>

<file path=xl/calcChain.xml><?xml version="1.0" encoding="utf-8"?>
<calcChain xmlns="http://schemas.openxmlformats.org/spreadsheetml/2006/main">
  <c r="BH328" i="6" l="1"/>
  <c r="AT328" i="6"/>
  <c r="AJ328" i="6"/>
  <c r="BH327" i="6"/>
  <c r="AT327" i="6"/>
  <c r="AJ327" i="6"/>
  <c r="BH326" i="6"/>
  <c r="AT326" i="6"/>
  <c r="AJ326" i="6"/>
  <c r="BH325" i="6"/>
  <c r="AT325" i="6"/>
  <c r="AJ325" i="6"/>
  <c r="BH324" i="6"/>
  <c r="AT324" i="6"/>
  <c r="AJ324" i="6"/>
  <c r="BH323" i="6"/>
  <c r="AT323" i="6"/>
  <c r="AJ323" i="6"/>
  <c r="BH322" i="6"/>
  <c r="AT322" i="6"/>
  <c r="AJ322" i="6"/>
  <c r="BH321" i="6"/>
  <c r="AT321" i="6"/>
  <c r="AJ321" i="6"/>
  <c r="BH320" i="6"/>
  <c r="AT320" i="6"/>
  <c r="AJ320" i="6"/>
  <c r="BH319" i="6"/>
  <c r="AT319" i="6"/>
  <c r="AJ319" i="6"/>
  <c r="BH318" i="6"/>
  <c r="AT318" i="6"/>
  <c r="AJ318" i="6"/>
  <c r="BH317" i="6"/>
  <c r="AT317" i="6"/>
  <c r="AJ317" i="6"/>
  <c r="BG308" i="6"/>
  <c r="AQ308" i="6"/>
  <c r="BG307" i="6"/>
  <c r="AQ307" i="6"/>
  <c r="BG306" i="6"/>
  <c r="AQ306" i="6"/>
  <c r="BG305" i="6"/>
  <c r="AQ305" i="6"/>
  <c r="BG304" i="6"/>
  <c r="AQ304" i="6"/>
  <c r="BG303" i="6"/>
  <c r="AQ303" i="6"/>
  <c r="BG302" i="6"/>
  <c r="AQ302" i="6"/>
  <c r="BG301" i="6"/>
  <c r="AQ301" i="6"/>
  <c r="BG300" i="6"/>
  <c r="AQ300" i="6"/>
  <c r="BG299" i="6"/>
  <c r="AQ299" i="6"/>
  <c r="BG298" i="6"/>
  <c r="AQ298" i="6"/>
  <c r="BG297" i="6"/>
  <c r="AQ297" i="6"/>
  <c r="AZ277" i="6"/>
  <c r="AK277" i="6"/>
  <c r="BO269" i="6"/>
  <c r="AZ269" i="6"/>
  <c r="AK269" i="6"/>
  <c r="BD194" i="6"/>
  <c r="AJ194" i="6"/>
  <c r="BD193" i="6"/>
  <c r="AJ193" i="6"/>
  <c r="BD192" i="6"/>
  <c r="AJ192" i="6"/>
  <c r="BD191" i="6"/>
  <c r="AJ191" i="6"/>
  <c r="BD190" i="6"/>
  <c r="AJ190" i="6"/>
  <c r="BD189" i="6"/>
  <c r="AJ189" i="6"/>
  <c r="BD188" i="6"/>
  <c r="AJ188" i="6"/>
  <c r="BD187" i="6"/>
  <c r="AJ187" i="6"/>
  <c r="BD186" i="6"/>
  <c r="AJ186" i="6"/>
  <c r="BD185" i="6"/>
  <c r="AJ185" i="6"/>
  <c r="BD184" i="6"/>
  <c r="AJ184" i="6"/>
  <c r="BD183" i="6"/>
  <c r="AJ183" i="6"/>
  <c r="BD182" i="6"/>
  <c r="AJ182" i="6"/>
  <c r="BD181" i="6"/>
  <c r="AJ181" i="6"/>
  <c r="BD180" i="6"/>
  <c r="AJ180" i="6"/>
  <c r="BD179" i="6"/>
  <c r="AJ179" i="6"/>
  <c r="BD178" i="6"/>
  <c r="AJ178" i="6"/>
  <c r="BD177" i="6"/>
  <c r="AJ177" i="6"/>
  <c r="BD176" i="6"/>
  <c r="AJ176" i="6"/>
  <c r="BD175" i="6"/>
  <c r="AJ175" i="6"/>
  <c r="BD174" i="6"/>
  <c r="AJ174" i="6"/>
  <c r="BD173" i="6"/>
  <c r="AJ173" i="6"/>
  <c r="BD172" i="6"/>
  <c r="AJ172" i="6"/>
  <c r="BD171" i="6"/>
  <c r="AJ171" i="6"/>
  <c r="BD170" i="6"/>
  <c r="AJ170" i="6"/>
  <c r="BD169" i="6"/>
  <c r="AJ169" i="6"/>
  <c r="BD168" i="6"/>
  <c r="AJ168" i="6"/>
  <c r="BD167" i="6"/>
  <c r="AJ167" i="6"/>
  <c r="BD166" i="6"/>
  <c r="AJ166" i="6"/>
  <c r="BD165" i="6"/>
  <c r="AJ165" i="6"/>
  <c r="BD164" i="6"/>
  <c r="AJ164" i="6"/>
  <c r="BD163" i="6"/>
  <c r="AJ163" i="6"/>
  <c r="BD162" i="6"/>
  <c r="AJ162" i="6"/>
  <c r="BD161" i="6"/>
  <c r="AJ161" i="6"/>
  <c r="BD160" i="6"/>
  <c r="AJ160" i="6"/>
  <c r="BD159" i="6"/>
  <c r="AJ159" i="6"/>
  <c r="BD158" i="6"/>
  <c r="AJ158" i="6"/>
  <c r="BD157" i="6"/>
  <c r="AJ157" i="6"/>
  <c r="BD156" i="6"/>
  <c r="AJ156" i="6"/>
  <c r="BD155" i="6"/>
  <c r="AJ155" i="6"/>
  <c r="BU147" i="6"/>
  <c r="BB147" i="6"/>
  <c r="AI147" i="6"/>
  <c r="BU146" i="6"/>
  <c r="BB146" i="6"/>
  <c r="AI146" i="6"/>
  <c r="BU145" i="6"/>
  <c r="BB145" i="6"/>
  <c r="AI145" i="6"/>
  <c r="BU144" i="6"/>
  <c r="BB144" i="6"/>
  <c r="AI144" i="6"/>
  <c r="BU143" i="6"/>
  <c r="BB143" i="6"/>
  <c r="AI143" i="6"/>
  <c r="BU142" i="6"/>
  <c r="BB142" i="6"/>
  <c r="AI142" i="6"/>
  <c r="BU141" i="6"/>
  <c r="BB141" i="6"/>
  <c r="AI141" i="6"/>
  <c r="BU140" i="6"/>
  <c r="BB140" i="6"/>
  <c r="AI140" i="6"/>
  <c r="BU139" i="6"/>
  <c r="BB139" i="6"/>
  <c r="AI139" i="6"/>
  <c r="BU138" i="6"/>
  <c r="BB138" i="6"/>
  <c r="AI138" i="6"/>
  <c r="BU137" i="6"/>
  <c r="BB137" i="6"/>
  <c r="AI137" i="6"/>
  <c r="BU136" i="6"/>
  <c r="BB136" i="6"/>
  <c r="AI136" i="6"/>
  <c r="BU135" i="6"/>
  <c r="BB135" i="6"/>
  <c r="AI135" i="6"/>
  <c r="BU134" i="6"/>
  <c r="BB134" i="6"/>
  <c r="AI134" i="6"/>
  <c r="BU133" i="6"/>
  <c r="BB133" i="6"/>
  <c r="AI133" i="6"/>
  <c r="BU132" i="6"/>
  <c r="BB132" i="6"/>
  <c r="AI132" i="6"/>
  <c r="BU131" i="6"/>
  <c r="BB131" i="6"/>
  <c r="AI131" i="6"/>
  <c r="BU130" i="6"/>
  <c r="BB130" i="6"/>
  <c r="AI130" i="6"/>
  <c r="BU129" i="6"/>
  <c r="BB129" i="6"/>
  <c r="AI129" i="6"/>
  <c r="BU128" i="6"/>
  <c r="BB128" i="6"/>
  <c r="AI128" i="6"/>
  <c r="BU127" i="6"/>
  <c r="BB127" i="6"/>
  <c r="AI127" i="6"/>
  <c r="BU126" i="6"/>
  <c r="BB126" i="6"/>
  <c r="AI126" i="6"/>
  <c r="BU125" i="6"/>
  <c r="BB125" i="6"/>
  <c r="AI125" i="6"/>
  <c r="BU124" i="6"/>
  <c r="BB124" i="6"/>
  <c r="AI124" i="6"/>
  <c r="BU123" i="6"/>
  <c r="BB123" i="6"/>
  <c r="AI123" i="6"/>
  <c r="BU122" i="6"/>
  <c r="BB122" i="6"/>
  <c r="AI122" i="6"/>
  <c r="BU121" i="6"/>
  <c r="BB121" i="6"/>
  <c r="AI121" i="6"/>
  <c r="BU120" i="6"/>
  <c r="BB120" i="6"/>
  <c r="AI120" i="6"/>
  <c r="BU119" i="6"/>
  <c r="BB119" i="6"/>
  <c r="AI119" i="6"/>
  <c r="BU118" i="6"/>
  <c r="BB118" i="6"/>
  <c r="AI118" i="6"/>
  <c r="BU117" i="6"/>
  <c r="BB117" i="6"/>
  <c r="AI117" i="6"/>
  <c r="BU116" i="6"/>
  <c r="BB116" i="6"/>
  <c r="AI116" i="6"/>
  <c r="BU115" i="6"/>
  <c r="BB115" i="6"/>
  <c r="AI115" i="6"/>
  <c r="BU114" i="6"/>
  <c r="BB114" i="6"/>
  <c r="AI114" i="6"/>
  <c r="BU113" i="6"/>
  <c r="BB113" i="6"/>
  <c r="AI113" i="6"/>
  <c r="BU112" i="6"/>
  <c r="BB112" i="6"/>
  <c r="AI112" i="6"/>
  <c r="BU111" i="6"/>
  <c r="BB111" i="6"/>
  <c r="AI111" i="6"/>
  <c r="BU110" i="6"/>
  <c r="BB110" i="6"/>
  <c r="AI110" i="6"/>
  <c r="BU109" i="6"/>
  <c r="BB109" i="6"/>
  <c r="AI109" i="6"/>
  <c r="BU108" i="6"/>
  <c r="BB108" i="6"/>
  <c r="AI108" i="6"/>
  <c r="BG99" i="6"/>
  <c r="AM99" i="6"/>
  <c r="BG91" i="6"/>
  <c r="AM91" i="6"/>
  <c r="BG90" i="6"/>
  <c r="AM90" i="6"/>
  <c r="BG89" i="6"/>
  <c r="AM89" i="6"/>
  <c r="BG88" i="6"/>
  <c r="AM88" i="6"/>
  <c r="BG87" i="6"/>
  <c r="AM87" i="6"/>
  <c r="BG86" i="6"/>
  <c r="AM86" i="6"/>
  <c r="BG85" i="6"/>
  <c r="AM85" i="6"/>
  <c r="BG84" i="6"/>
  <c r="AM84" i="6"/>
  <c r="BG83" i="6"/>
  <c r="AM83" i="6"/>
  <c r="BG82" i="6"/>
  <c r="AM82" i="6"/>
  <c r="BG81" i="6"/>
  <c r="AM81" i="6"/>
  <c r="BG80" i="6"/>
  <c r="AM80" i="6"/>
  <c r="BU72" i="6"/>
  <c r="BB72" i="6"/>
  <c r="AI72" i="6"/>
  <c r="BU64" i="6"/>
  <c r="BB64" i="6"/>
  <c r="AI64" i="6"/>
  <c r="BU63" i="6"/>
  <c r="BB63" i="6"/>
  <c r="AI63" i="6"/>
  <c r="BU62" i="6"/>
  <c r="BB62" i="6"/>
  <c r="AI62" i="6"/>
  <c r="BU61" i="6"/>
  <c r="BB61" i="6"/>
  <c r="AI61" i="6"/>
  <c r="BU60" i="6"/>
  <c r="BB60" i="6"/>
  <c r="AI60" i="6"/>
  <c r="BU59" i="6"/>
  <c r="BB59" i="6"/>
  <c r="AI59" i="6"/>
  <c r="BU58" i="6"/>
  <c r="BB58" i="6"/>
  <c r="AI58" i="6"/>
  <c r="BU57" i="6"/>
  <c r="BB57" i="6"/>
  <c r="AI57" i="6"/>
  <c r="BU56" i="6"/>
  <c r="BB56" i="6"/>
  <c r="AI56" i="6"/>
  <c r="BU55" i="6"/>
  <c r="BB55" i="6"/>
  <c r="AI55" i="6"/>
  <c r="BU54" i="6"/>
  <c r="BB54" i="6"/>
  <c r="AI54" i="6"/>
  <c r="BU53" i="6"/>
  <c r="BB53" i="6"/>
  <c r="AI53" i="6"/>
  <c r="BG44" i="6"/>
  <c r="AM44" i="6"/>
  <c r="BG43" i="6"/>
  <c r="AM43" i="6"/>
  <c r="BG42" i="6"/>
  <c r="AM42" i="6"/>
  <c r="BG41" i="6"/>
  <c r="AM41" i="6"/>
  <c r="BU33" i="6"/>
  <c r="BB33" i="6"/>
  <c r="AI33" i="6"/>
  <c r="BU32" i="6"/>
  <c r="BB32" i="6"/>
  <c r="AI32" i="6"/>
  <c r="BU31" i="6"/>
  <c r="BB31" i="6"/>
  <c r="AI31" i="6"/>
  <c r="BU30" i="6"/>
  <c r="BB30" i="6"/>
  <c r="AI30" i="6"/>
</calcChain>
</file>

<file path=xl/sharedStrings.xml><?xml version="1.0" encoding="utf-8"?>
<sst xmlns="http://schemas.openxmlformats.org/spreadsheetml/2006/main" count="856" uniqueCount="314">
  <si>
    <t xml:space="preserve">                (найменування головного розпорядника коштів місцевого бюджету)                        </t>
  </si>
  <si>
    <t xml:space="preserve"> (підпис)</t>
  </si>
  <si>
    <t>Код</t>
  </si>
  <si>
    <t>спеціальний фонд</t>
  </si>
  <si>
    <t>загальний фонд</t>
  </si>
  <si>
    <t xml:space="preserve">разом (3+4) </t>
  </si>
  <si>
    <t>№ з/п</t>
  </si>
  <si>
    <t>Джерело інформації</t>
  </si>
  <si>
    <t>Одиниця виміру</t>
  </si>
  <si>
    <t>Показники</t>
  </si>
  <si>
    <t>Категорії працівників</t>
  </si>
  <si>
    <t>фактич но зайняті</t>
  </si>
  <si>
    <t>затверджено</t>
  </si>
  <si>
    <t>Коли та яким документом затверджена</t>
  </si>
  <si>
    <t>Касові видатки/ надання кредитів</t>
  </si>
  <si>
    <t>Затверджено з урахуванням змін</t>
  </si>
  <si>
    <t>спеціального фонду</t>
  </si>
  <si>
    <t>загального фонду</t>
  </si>
  <si>
    <t>Причини виникнення заборгованості</t>
  </si>
  <si>
    <t>Найменування</t>
  </si>
  <si>
    <t>граничний обсяг</t>
  </si>
  <si>
    <t>p2.5.1</t>
  </si>
  <si>
    <t>s2.5.1</t>
  </si>
  <si>
    <t>p2.5.2</t>
  </si>
  <si>
    <t>s2.5.2</t>
  </si>
  <si>
    <t>p2.6.1</t>
  </si>
  <si>
    <t>s2.6.1</t>
  </si>
  <si>
    <t>p2.6.2</t>
  </si>
  <si>
    <t>s2.6.2</t>
  </si>
  <si>
    <t>p2.6.3</t>
  </si>
  <si>
    <t>s2.6.3</t>
  </si>
  <si>
    <t>p2.6.4</t>
  </si>
  <si>
    <t>s2.6.4</t>
  </si>
  <si>
    <t>p2.7.1</t>
  </si>
  <si>
    <t>s2.7.1</t>
  </si>
  <si>
    <t>p2.7.2</t>
  </si>
  <si>
    <t>s2.7.2</t>
  </si>
  <si>
    <t>p2.8.1</t>
  </si>
  <si>
    <t>s2.8.1</t>
  </si>
  <si>
    <t>p2.8.2</t>
  </si>
  <si>
    <t>s2.8.2</t>
  </si>
  <si>
    <t>p2.9</t>
  </si>
  <si>
    <t>s2.9</t>
  </si>
  <si>
    <t>s2.10</t>
  </si>
  <si>
    <t>p2.11.1</t>
  </si>
  <si>
    <t>s2.11.1</t>
  </si>
  <si>
    <t>p2.11.2</t>
  </si>
  <si>
    <t>s2.11.2</t>
  </si>
  <si>
    <t>p2.12.1</t>
  </si>
  <si>
    <t>s2.12.1</t>
  </si>
  <si>
    <t>p2.13.1</t>
  </si>
  <si>
    <t>s2.13.1</t>
  </si>
  <si>
    <t>p2.13.2</t>
  </si>
  <si>
    <t>s2.13.2</t>
  </si>
  <si>
    <t>p2.13.3</t>
  </si>
  <si>
    <t>s2.13.3</t>
  </si>
  <si>
    <t>dcode</t>
  </si>
  <si>
    <t>name</t>
  </si>
  <si>
    <t>z3</t>
  </si>
  <si>
    <t>s3</t>
  </si>
  <si>
    <t>z4</t>
  </si>
  <si>
    <t>s4</t>
  </si>
  <si>
    <t>z5</t>
  </si>
  <si>
    <t>s5</t>
  </si>
  <si>
    <t>ecode</t>
  </si>
  <si>
    <t>z1</t>
  </si>
  <si>
    <t>s1</t>
  </si>
  <si>
    <t>z2</t>
  </si>
  <si>
    <t>s2</t>
  </si>
  <si>
    <t>npp</t>
  </si>
  <si>
    <t>od_vim</t>
  </si>
  <si>
    <t>dger_inf</t>
  </si>
  <si>
    <t>zz1</t>
  </si>
  <si>
    <t>zf1</t>
  </si>
  <si>
    <t>sz1</t>
  </si>
  <si>
    <t>sf1</t>
  </si>
  <si>
    <t>zz2</t>
  </si>
  <si>
    <t>zf2</t>
  </si>
  <si>
    <t>sf2</t>
  </si>
  <si>
    <t>pidstava</t>
  </si>
  <si>
    <t>st1</t>
  </si>
  <si>
    <t>st2</t>
  </si>
  <si>
    <t>st3</t>
  </si>
  <si>
    <t>st4</t>
  </si>
  <si>
    <t>st5</t>
  </si>
  <si>
    <t>st6</t>
  </si>
  <si>
    <t>st7</t>
  </si>
  <si>
    <t>prich</t>
  </si>
  <si>
    <t>zahodi</t>
  </si>
  <si>
    <t xml:space="preserve">разом (4+5) </t>
  </si>
  <si>
    <t xml:space="preserve">разом (8+9) </t>
  </si>
  <si>
    <t>br1</t>
  </si>
  <si>
    <t>br2</t>
  </si>
  <si>
    <t>br3</t>
  </si>
  <si>
    <t>br4</t>
  </si>
  <si>
    <t>br5</t>
  </si>
  <si>
    <t xml:space="preserve">разом (7+8) </t>
  </si>
  <si>
    <t xml:space="preserve">разом (11+12) </t>
  </si>
  <si>
    <t>Погашено кредиторську заборгованість за рахунок коштів</t>
  </si>
  <si>
    <t>formula=IF(ISNUMBER(RC[-6]),RC[-6],0)-IF(ISNUMBER(RC[-12]),RC[-12],0)</t>
  </si>
  <si>
    <t>formula=IF(ISNUMBER(RC[-33]),RC[-33],0)+IF(ISNUMBER(RC[-22]),RC[-22],0)</t>
  </si>
  <si>
    <t>formula=IF(ISNUMBER(RC[-19]),RC[-19],0)-IF(ISNUMBER(RC[-10]),RC[-10],0)</t>
  </si>
  <si>
    <t>formula=IF(ISNUMBER(RC[-24]),RC[-24],0)-IF(ISNUMBER(RC[-20]),RC[-20],0)-IF(ISNUMBER(RC[-15]),RC[-15],0)</t>
  </si>
  <si>
    <t>p2.10</t>
  </si>
  <si>
    <t>sz2</t>
  </si>
  <si>
    <t>zp3</t>
  </si>
  <si>
    <t>sp3</t>
  </si>
  <si>
    <t>zp4</t>
  </si>
  <si>
    <t>sp4</t>
  </si>
  <si>
    <t>zp5</t>
  </si>
  <si>
    <t>sp5</t>
  </si>
  <si>
    <t>zp1</t>
  </si>
  <si>
    <t>sp1</t>
  </si>
  <si>
    <t>zp2</t>
  </si>
  <si>
    <t>sp2</t>
  </si>
  <si>
    <t xml:space="preserve">ЗАТВЕРДЖЕНО
Наказ Міністерства фінансів України
від 17 липня 2015 року № 648
(у редакції наказу Міністерства фінансів України
 від 17 липня 2018 року № 617)                                                  </t>
  </si>
  <si>
    <t>у тому числі бюджет розвитку</t>
  </si>
  <si>
    <t>6. Витрати за кодами Економічної класифікації видатків / Класифікації кредитування бюджету:</t>
  </si>
  <si>
    <t>Код Економічної класифікації видатків бюджету</t>
  </si>
  <si>
    <t>Код Класифікації кредитування бюджету</t>
  </si>
  <si>
    <t>7. Витрати за напрямами використання бюджетних коштів:</t>
  </si>
  <si>
    <t>Напрями використання бюджетних коштів</t>
  </si>
  <si>
    <t>formula=IF(ISNUMBER(RC[-10]),RC[-10],0)+IF(ISNUMBER(RC[-5]),RC[-5],0)</t>
  </si>
  <si>
    <t xml:space="preserve">разом (5+6) </t>
  </si>
  <si>
    <t>9. Структура видатків на оплату праці:</t>
  </si>
  <si>
    <t>10. Чисельність зайнятих у бюджетних установах:</t>
  </si>
  <si>
    <t>Найменування місцевої/ регіональної програми</t>
  </si>
  <si>
    <t xml:space="preserve">разом (10+11) </t>
  </si>
  <si>
    <t>Найменування об’єкта відповідно до проектно-кошторисної документації</t>
  </si>
  <si>
    <t>Строк реалізації об’єкта (рік початку і завершення)</t>
  </si>
  <si>
    <t>Загальна вартість об’єкта</t>
  </si>
  <si>
    <t>strok</t>
  </si>
  <si>
    <t>vartist</t>
  </si>
  <si>
    <t xml:space="preserve">спеціальний фонд
(бюджет розвитку)
</t>
  </si>
  <si>
    <t>рівень будівельної  готовності об’єкта на кінець бюджетного періоду, %</t>
  </si>
  <si>
    <t>Код Економічної класифікації видатків бюджету / код Класифікації кредитування бюджету</t>
  </si>
  <si>
    <t xml:space="preserve">Кредиторська заборгованість на початок минулого бюджетного періоду </t>
  </si>
  <si>
    <t>Кредиторська заборгованість на кінець минулого бюджетного періоду</t>
  </si>
  <si>
    <t>Зміна кредиторської заборгованості (6-5)</t>
  </si>
  <si>
    <t>Бюджетні зобов’язання (4+6)</t>
  </si>
  <si>
    <t>затверджені призначення</t>
  </si>
  <si>
    <t xml:space="preserve">кредиторська заборгованість на початок поточного  бюджетного періоду  </t>
  </si>
  <si>
    <t>планується погасити кредиторської заборгованості за рахунок коштів</t>
  </si>
  <si>
    <t xml:space="preserve">очікуваний обсяг взяття поточних зобов'язань
(3 – 5)
</t>
  </si>
  <si>
    <t>можлива кредиторська
заборгованість на початок планового  бюджетного періоду (4 – 5 – 6)</t>
  </si>
  <si>
    <t>очікуваний обсяг взяття поточних зобов’язань (8-10)</t>
  </si>
  <si>
    <t>invest_pr</t>
  </si>
  <si>
    <t>УСЬОГО</t>
  </si>
  <si>
    <t>1) мета бюджетної програми, строки її реалізації;</t>
  </si>
  <si>
    <t xml:space="preserve">2) завдання бюджетної програми; </t>
  </si>
  <si>
    <t>3) підстави реалізації бюджетної програми.</t>
  </si>
  <si>
    <t>5. Надходження для виконання бюджетної програми:</t>
  </si>
  <si>
    <t>8. Результативні показники бюджетної програми:</t>
  </si>
  <si>
    <t>11. Місцеві/регіональні програми, які виконуються в межах бюджетної програми:</t>
  </si>
  <si>
    <t>zp</t>
  </si>
  <si>
    <t xml:space="preserve">                            (найменування відповідального виконавця )               </t>
  </si>
  <si>
    <t>Вжиті заходи щодо погашення заборгованості</t>
  </si>
  <si>
    <t>(код за ЄДРПОУ)</t>
  </si>
  <si>
    <t>(код бюджету)</t>
  </si>
  <si>
    <t>1.</t>
  </si>
  <si>
    <t>(код Типової відомчої класифікації видатків та кредитування місцевого бюджету)</t>
  </si>
  <si>
    <t>2.</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</si>
  <si>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</si>
  <si>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3.</t>
  </si>
  <si>
    <t>(код Програмної класифікації видатків та кредитування місцевого бюджету)</t>
  </si>
  <si>
    <t xml:space="preserve">(найменування бюджетної програми згідно з Типовою програмною класифікацією видатків та кредитування місцевого бюджету)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</si>
  <si>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</si>
  <si>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</si>
  <si>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  </t>
  </si>
  <si>
    <t>formula=IF(ISNUMBER(RC[-14]),RC[-14],0)+IF(ISNUMBER(RC[-9]),RC[-9],0)</t>
  </si>
  <si>
    <t>formula=IF(ISNUMBER(RC[-15]),RC[-15],0)+IF(ISNUMBER(RC[-10]),RC[-10],0)</t>
  </si>
  <si>
    <t>(прізвище та ініціали)</t>
  </si>
  <si>
    <t>Надходження із загального фонду бюджету</t>
  </si>
  <si>
    <t>X</t>
  </si>
  <si>
    <t>Власні надходження бюджетних установ (розписати за видами надходжень)</t>
  </si>
  <si>
    <t>Надходження, що отримують бюджетні установи від підприємств, організацій, фізичних осіб та від інших бюджетних установ для виконання цільових заходів, у тому числі заходів з відчуження для суспільних потреб земельних ділянок та розміщених на них інших об`</t>
  </si>
  <si>
    <t>Заробітна плата</t>
  </si>
  <si>
    <t>Нарахування на оплату праці</t>
  </si>
  <si>
    <t>Предмети, матеріали, обладнання та інвентар</t>
  </si>
  <si>
    <t>Оплата послуг (крім комунальних)</t>
  </si>
  <si>
    <t>Видатки на відрядження</t>
  </si>
  <si>
    <t>Оплата водопостачання та водовідведення</t>
  </si>
  <si>
    <t>Оплата електроенергії</t>
  </si>
  <si>
    <t>Оплата природного газу</t>
  </si>
  <si>
    <t>Оплата інших енергоносіїв та інших комунальних послуг</t>
  </si>
  <si>
    <t>Окремі заходи по реалізації державних (регіональних) програм, не віднесені до заходів розвитку</t>
  </si>
  <si>
    <t>Інші виплати населенню</t>
  </si>
  <si>
    <t>Виготовлення технічної документації на земельні ділянки під будівлями та спорудами</t>
  </si>
  <si>
    <t>Опалат послуг з адмініструвння (обслуговування) програмного забезпечення</t>
  </si>
  <si>
    <t>Опалат послуг з поводження з відходами</t>
  </si>
  <si>
    <t>Оплата асенізаційних послуг</t>
  </si>
  <si>
    <t>Оплата водопостачання</t>
  </si>
  <si>
    <t>Оплата за навчання відповідальних осіб з видачею посвідчення</t>
  </si>
  <si>
    <t>Оплата за природний газ</t>
  </si>
  <si>
    <t>Оплата інших енергоносіїв</t>
  </si>
  <si>
    <t>Оплата послуг  з прибирання прилеглої території</t>
  </si>
  <si>
    <t>Оплата послуг з благоустрою території</t>
  </si>
  <si>
    <t>Оплата послуг з заправки картриджів, тонерів</t>
  </si>
  <si>
    <t>Оплата послуг з обстеження димовентиляційних каналів</t>
  </si>
  <si>
    <t>Оплата послуг з охорони</t>
  </si>
  <si>
    <t>Оплата послуг з поточного ремонту службового транспорту</t>
  </si>
  <si>
    <t>Оплата послуг з поточного ремонту та технічного обслуговування комп'ютерної техніки та оргтехніки</t>
  </si>
  <si>
    <t>Оплата послуг з ремонту і технічного обслуговування систем центрального опалення</t>
  </si>
  <si>
    <t>Оплата послуг з технічного обслуговування газового обладнання</t>
  </si>
  <si>
    <t>Оплата послуг з технічного осблуговування електрообладнання та електричних мереж</t>
  </si>
  <si>
    <t>Оплата послуг лікувальних, медичних закладів, передбачених законодавством</t>
  </si>
  <si>
    <t>Оплата послуг по підключенню до мережі Інтернет</t>
  </si>
  <si>
    <t>Оплата послуг страхування транспортних засобів</t>
  </si>
  <si>
    <t>Оплата послуг, пов"язаних з утриманням споруд</t>
  </si>
  <si>
    <t>Підтримка, матеріально-технічне забезпечення та розвиток функціональності інформаційно-обчислювальної системи ДКСУ (заходи з інформатизації)</t>
  </si>
  <si>
    <t>Плата за користування програмними або апаратними засобами захисту електронних платіжних документів</t>
  </si>
  <si>
    <t>Погашення кредиторської заборгованості</t>
  </si>
  <si>
    <t>Придбання запчастин для транспортних засобів</t>
  </si>
  <si>
    <t>Придбання канцелярських предемтів та приладдя</t>
  </si>
  <si>
    <t>Придбання матеріалів, інвентарю та інструментів для господарської діяльності</t>
  </si>
  <si>
    <t>Придбання пально-мастильних матеріалів</t>
  </si>
  <si>
    <t>Придбання та виготовлення жалюзі</t>
  </si>
  <si>
    <t>Оплата послуг з промивки системи опалення</t>
  </si>
  <si>
    <t>Поточний ремонт притулку для осіб, які постраждали від домвшнього насильства за адресою: с. Привітне, пров. Тихий, 7</t>
  </si>
  <si>
    <t>Поточний ремонт приміщень</t>
  </si>
  <si>
    <t>Надання допомоги у натуральному вираженні ветеранам та непрацюючим пенсіонерам</t>
  </si>
  <si>
    <t>затрат</t>
  </si>
  <si>
    <t xml:space="preserve">formula=RC[-16]+RC[-8]                          </t>
  </si>
  <si>
    <t>кількість  центрів  соціальних послуг</t>
  </si>
  <si>
    <t>од.</t>
  </si>
  <si>
    <t>мережа бюджетних установ</t>
  </si>
  <si>
    <t>кількість штатних працівників центру соціальних послуг</t>
  </si>
  <si>
    <t>осіб</t>
  </si>
  <si>
    <t>штатний розпис</t>
  </si>
  <si>
    <t>у т.ч.  фахівців  та робітників, які надають соціальні послуги</t>
  </si>
  <si>
    <t>продукту</t>
  </si>
  <si>
    <t>кількість закладів, що надають соціальні послуги</t>
  </si>
  <si>
    <t>кількість осіб, що потребують соціального обслуговування</t>
  </si>
  <si>
    <t>облікові дані</t>
  </si>
  <si>
    <t>ефективності</t>
  </si>
  <si>
    <t>середні витрати на утримання одного штатного працівника центру</t>
  </si>
  <si>
    <t>грн/рік</t>
  </si>
  <si>
    <t>розрахунковий показник</t>
  </si>
  <si>
    <t>кількість осіб, що потребують соціального обслуговування, на одного робітника, який надає соціальні послуги</t>
  </si>
  <si>
    <t>якості</t>
  </si>
  <si>
    <t>відсоток охоплення осіб соціальним обслуговуванням</t>
  </si>
  <si>
    <t>відс.</t>
  </si>
  <si>
    <t>звітність</t>
  </si>
  <si>
    <t>Обов’язкові виплати, у тому числі:</t>
  </si>
  <si>
    <t>посадовий оклад</t>
  </si>
  <si>
    <t>доплати</t>
  </si>
  <si>
    <t>надбавки</t>
  </si>
  <si>
    <t>Премії</t>
  </si>
  <si>
    <t>Матеріальна допомога, у тому числі:</t>
  </si>
  <si>
    <t>на оздоровлення при наданні щорічної відпустки</t>
  </si>
  <si>
    <t>Інші виплати</t>
  </si>
  <si>
    <t>у тому числі оплата праці  штатних одиниць за загальним фондом, що враховані також у спеціальному фонді</t>
  </si>
  <si>
    <t>010 - Керівники</t>
  </si>
  <si>
    <t>030 - Спеціалісти</t>
  </si>
  <si>
    <t>060 - Інші працівники</t>
  </si>
  <si>
    <t>УСЬОГО штатних одиниць</t>
  </si>
  <si>
    <t>з них штатні одиниці за загальним фондом, що враховані також у спеціальному фонді</t>
  </si>
  <si>
    <t>Продукти харчування</t>
  </si>
  <si>
    <t>Надання соціальних послуг особам,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 створення фінансових, організаційно-правових механізмів для підвищення рівня та якості життя соціальних груп населення, які перебувають у складних життєвих обставинах за рахунок можливостей бюджету територіальної громади</t>
  </si>
  <si>
    <t>Надання соціальних послуг мешканцям територіальної громади, які опинились у складних життєвих обставинах та потребують сторонньої допомоги</t>
  </si>
  <si>
    <t>Конституція України (із змінами)_x000D_
Бюджетний кодекс України (зі змінами)_x000D_
Закон України "Про місцеве самоврядування в Україні" від 21.05.1997 року №280/97-ВР (зі змінами)_x000D_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(зі змінами)_x000D_
Наказ Міністерства фінансів України "Про затвердження складових програмної класифікації видатків та кредитування місцевих бюджетів" від 20.09.2017 № 793 (зі змінами)_x000D_
Наказ Міністерства соціальної політики України від 14.05.2018 №688 «Про затвердження Типового переліку бюджетних програм і результативних показників їх виконання для місцевих бюджетів у галузі «Соціальний захист та соціальне забезпечення» (із змінами)</t>
  </si>
  <si>
    <t>Діяльність КУ "Центр соціальних послуг" спрямована на надання соціальних послуг особам,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 створення фінансових, організаційно-правових механізмів для підвищення рівня та якості життя соціальних груп населення, які перебувають у складних життєвих обставинах за рахунок можливостей бюджету територіальної громади																																																																												._x000D_
_x000D_
Розрахунок видатків, затвреджених на 2024 рік забезпечує діяльність КУ "Центр соціальних послуг" необхідними  ресурсами та надає можливість виконувати повноваження в повному обсязі. _x000D_
_x000D_
З метою реалізації бюджетної програми необхідно продовжувати її фінансування в 2025 році для виконання визначених бюджетною програмою мети та завдань згідно до напрямків діяльності.</t>
  </si>
  <si>
    <t>Станом на 01.01.2024 кредиторська заборгованість відсутня._x000D_
_x000D_
Відповідно до положень статті 48 Бюджетного кодексу України із змінами комунальною утсановою  реєструються бюджетні зобов’язання та здійснюються платежі тільки в межах бюджетних асигнувань, затверджених кошторисом на 2024 рік. Бюджетні зобов’язання реєструються в Управлінні Державної казначейської служби України у Запорізькому районі відповідно до вимог чинного бюджетного законодавства.</t>
  </si>
  <si>
    <t>(0)(1)</t>
  </si>
  <si>
    <t>Широкiвська сiльська рада Запорiзького району Запорiзької областi</t>
  </si>
  <si>
    <t>26013402</t>
  </si>
  <si>
    <t>0852300000</t>
  </si>
  <si>
    <t>(грн)</t>
  </si>
  <si>
    <t>2023 рік (звіт)</t>
  </si>
  <si>
    <t>1) кредиторська заборгованість місцевого бюджету у 2023 році:</t>
  </si>
  <si>
    <t>Дебіторська заборгованість на 01.01.2023</t>
  </si>
  <si>
    <t>2024 рік (затверджено)</t>
  </si>
  <si>
    <t>2024 рік (план)</t>
  </si>
  <si>
    <t>2024 рік</t>
  </si>
  <si>
    <t>3) дебіторська заборгованість у 2023 - 2024 роках:</t>
  </si>
  <si>
    <t>Дебіторська заборгованість на 01.01.2024</t>
  </si>
  <si>
    <t>4) аналіз управління бюджетними зобов'язаннями та пропозиції щодо упорядкування бюджетних зобов'язань у 2024 році.</t>
  </si>
  <si>
    <t>внаслідок використання коштів спеціального фонду бюджету у 2023 році, та очікувані результати у 2024 році.</t>
  </si>
  <si>
    <t>1) надходження для виконання бюджетної програми у 2023 - 2025 роках:</t>
  </si>
  <si>
    <t>2025 рік (проект)</t>
  </si>
  <si>
    <t>1) видатки за кодами Економічної класифікації видатків бюджету у 2023 - 2025 роках:</t>
  </si>
  <si>
    <t>2) надання кредитів за кодами Класифікації кредитування бюджету у 2023 - 2025 роках:</t>
  </si>
  <si>
    <t>1) витрати за напрямами використання бюджетних коштів у 2023 - 2025 роках:</t>
  </si>
  <si>
    <t>1) результативні показники бюджетної програми у 2023 - 2025 роках:</t>
  </si>
  <si>
    <t>2025 рік</t>
  </si>
  <si>
    <t>1) місцеві/регіональні програми, які виконуються в межах бюджетної програми у 2023 - 2025 роках:</t>
  </si>
  <si>
    <t>14. Бюджетні зобов’язання у 2023 - 2025 роках:</t>
  </si>
  <si>
    <t xml:space="preserve">2) кредиторська заборгованість місцевого бюджету у 2024 - 2025 роках: </t>
  </si>
  <si>
    <t>Очікувана дебіторська заборгованость  на 01.01.2025</t>
  </si>
  <si>
    <t>2026 рік (прогноз)</t>
  </si>
  <si>
    <t>2026 рік</t>
  </si>
  <si>
    <t>БЮДЖЕТНИЙ ЗАПИТ НА 2025-2027 РОКИ індивідуальний (Форма 2025-2)</t>
  </si>
  <si>
    <t>4. Мета та завдання бюджетної програми на 2025 - 2027 роки</t>
  </si>
  <si>
    <t>2) надходження для виконання бюджетної програми  у 2026 - 2027 роках:</t>
  </si>
  <si>
    <t>2027 рік (прогноз)</t>
  </si>
  <si>
    <t>3) видатки за кодами Економічної класифікації видатків бюджету у 2026 - 2027 роках:</t>
  </si>
  <si>
    <t>4) надання кредитів за кодами Класифікації кредитування бюджету у 2026 - 2027 роках:</t>
  </si>
  <si>
    <t>2) витрати за напрямами використання бюджетних коштів у 2026 - 2027 роках:</t>
  </si>
  <si>
    <t>2) результативні показники бюджетної програми у 2026 - 2027 роках:</t>
  </si>
  <si>
    <t xml:space="preserve">2027 рік </t>
  </si>
  <si>
    <t>2) місцеві/регіональні програми, які виконуються в межах бюджетної програми у 2026 - 2027 роках:</t>
  </si>
  <si>
    <t>12. Об’єкти, які виконуються в межах бюджетної програми за рахунок коштів бюджету розвитку у 2023 - 2027 роках:</t>
  </si>
  <si>
    <t>13. Аналіз результатів, досягнутих внаслідок використання коштів загального фонду бюджету у 2023 році, очікувані результати у 
2024 році, обґрунтування необхідності передбачення витрат кредитів на 2025 - 2027 роки</t>
  </si>
  <si>
    <t xml:space="preserve"> 15. Підстави та обґрунтування видатків спеціального фонду на 2025 рік та на 2026 - 2027 роки за рахунок надходжень до спеціального фонду, аналіз результатів, досягнутих </t>
  </si>
  <si>
    <t>(0)(1)(1)(3)(2)(4)(1)</t>
  </si>
  <si>
    <t>(3)(2)(4)(1)</t>
  </si>
  <si>
    <t>(1)(0)(9)(0)</t>
  </si>
  <si>
    <t>Надання комплексу послуг особам/сім`ям у сфері соціального захисту та соціального забезпечення іншими надавачами соціальних послуг</t>
  </si>
  <si>
    <t>Широківська сільська рада Запорізького району Запорізької області</t>
  </si>
  <si>
    <t>(0)(1)(1)</t>
  </si>
  <si>
    <t>Сільський голова</t>
  </si>
  <si>
    <t>Денис КОРОТЕНКО</t>
  </si>
  <si>
    <t>Начальник відділу бухгалтерського обліку та звітності - головний бухгалтер</t>
  </si>
  <si>
    <t>Одарка СВІРІНА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</si>
</sst>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7" x14ac:knownFonts="1">
    <font>
      <sz val="10"/>
      <name val="Arial Cyr"/>
      <charset val="204"/>
    </font>
    <font>
      <sz val="10"/>
      <name val="Arial Cyr"/>
      <charset val="204"/>
    </font>
    <font>
      <sz val="11"/>
      <name val="Times New Roman"/>
      <family val="1"/>
      <charset val="204"/>
    </font>
    <font>
      <b/>
      <sz val="11"/>
      <name val="Times New Roman"/>
      <family val="1"/>
      <charset val="204"/>
    </font>
    <font>
      <b/>
      <sz val="10"/>
      <name val="Arial Cyr"/>
      <charset val="204"/>
    </font>
    <font>
      <sz val="8"/>
      <name val="Times New Roman"/>
      <family val="1"/>
      <charset val="204"/>
    </font>
    <font>
      <sz val="8"/>
      <name val="Times New Roman CYR"/>
      <charset val="204"/>
    </font>
    <font>
      <b/>
      <sz val="12"/>
      <name val="Times New Roman"/>
      <family val="1"/>
      <charset val="204"/>
    </font>
    <font>
      <sz val="10"/>
      <name val="Times New Roman"/>
      <family val="1"/>
      <charset val="204"/>
    </font>
    <font>
      <b/>
      <u/>
      <sz val="11"/>
      <name val="Times New Roman"/>
      <family val="1"/>
    </font>
    <font>
      <b/>
      <sz val="11"/>
      <name val="Times New Roman"/>
      <family val="1"/>
    </font>
    <font>
      <b/>
      <sz val="11"/>
      <name val="Times New Roman CYR"/>
      <family val="1"/>
      <charset val="204"/>
    </font>
    <font>
      <sz val="11"/>
      <name val="Times New Roman"/>
      <family val="1"/>
    </font>
    <font>
      <sz val="10"/>
      <name val="Arial Cyr"/>
      <charset val="204"/>
    </font>
    <font>
      <sz val="11"/>
      <name val="Times New Roman CYR"/>
      <family val="1"/>
      <charset val="204"/>
    </font>
    <font>
      <sz val="8"/>
      <name val="Times New Roman"/>
      <family val="1"/>
    </font>
    <font>
      <b/>
      <sz val="8"/>
      <name val="Arial Cyr"/>
      <charset val="204"/>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122">
    <xf numFmtId="0" fontId="0" fillId="0" borderId="0" xfId="0"/>
    <xf numFmtId="0" fontId="1" fillId="0" borderId="0" xfId="0" applyFont="1"/>
    <xf numFmtId="0" fontId="2"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vertical="center"/>
    </xf>
    <xf numFmtId="0" fontId="4" fillId="0" borderId="0" xfId="0" applyFont="1" applyAlignment="1">
      <alignment vertical="center"/>
    </xf>
    <xf numFmtId="0" fontId="6" fillId="0" borderId="0" xfId="0" applyFont="1" applyAlignment="1">
      <alignment horizontal="center" vertical="top" wrapText="1"/>
    </xf>
    <xf numFmtId="0" fontId="9" fillId="0" borderId="0" xfId="0" applyFont="1" applyAlignment="1">
      <alignment horizontal="center" vertical="center" wrapText="1"/>
    </xf>
    <xf numFmtId="0" fontId="3" fillId="0" borderId="0" xfId="0" applyFont="1" applyAlignment="1">
      <alignment horizontal="left" vertical="center" wrapText="1"/>
    </xf>
    <xf numFmtId="0" fontId="5" fillId="0" borderId="0" xfId="0" applyFont="1" applyAlignment="1">
      <alignment horizontal="right" vertical="center" wrapText="1"/>
    </xf>
    <xf numFmtId="0" fontId="11" fillId="0" borderId="0" xfId="0" applyFont="1" applyAlignment="1">
      <alignment horizontal="center" vertical="center" wrapText="1"/>
    </xf>
    <xf numFmtId="0" fontId="12" fillId="0" borderId="0" xfId="0" applyFont="1" applyAlignment="1">
      <alignment horizontal="center" vertical="center"/>
    </xf>
    <xf numFmtId="0" fontId="6" fillId="0" borderId="0" xfId="0" applyFont="1" applyAlignment="1">
      <alignment horizontal="center" vertical="top"/>
    </xf>
    <xf numFmtId="0" fontId="13" fillId="0" borderId="0" xfId="0" applyFont="1"/>
    <xf numFmtId="0" fontId="10" fillId="0" borderId="0" xfId="0" applyFont="1" applyAlignment="1">
      <alignment horizontal="center" vertical="center"/>
    </xf>
    <xf numFmtId="0" fontId="5" fillId="0" borderId="0" xfId="0" applyFont="1" applyAlignment="1">
      <alignment horizontal="center" vertical="center" wrapText="1"/>
    </xf>
    <xf numFmtId="0" fontId="10" fillId="0" borderId="0" xfId="0" applyFont="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15" fillId="0" borderId="0" xfId="0" applyFont="1" applyAlignment="1">
      <alignment horizontal="center" vertical="center"/>
    </xf>
    <xf numFmtId="0" fontId="0" fillId="0" borderId="5" xfId="0" applyBorder="1" applyAlignment="1">
      <alignment horizontal="left"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3" fontId="4" fillId="0" borderId="5" xfId="0" applyNumberFormat="1" applyFont="1" applyBorder="1" applyAlignment="1">
      <alignment horizontal="right" vertical="center" wrapText="1"/>
    </xf>
    <xf numFmtId="0" fontId="4" fillId="0" borderId="5" xfId="0" applyFont="1" applyBorder="1" applyAlignment="1">
      <alignment horizontal="left" vertical="center" wrapText="1"/>
    </xf>
    <xf numFmtId="0" fontId="0" fillId="0" borderId="5" xfId="0" applyBorder="1" applyAlignment="1">
      <alignment horizontal="center" vertical="center"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3" fontId="0" fillId="0" borderId="5" xfId="0" applyNumberFormat="1" applyBorder="1" applyAlignment="1">
      <alignment horizontal="right" vertical="center" wrapText="1"/>
    </xf>
    <xf numFmtId="0" fontId="0" fillId="0" borderId="5" xfId="0" applyBorder="1" applyAlignment="1">
      <alignment horizontal="right" vertical="center" wrapText="1"/>
    </xf>
    <xf numFmtId="0" fontId="4" fillId="0" borderId="5" xfId="0" applyFont="1" applyBorder="1" applyAlignment="1">
      <alignment horizontal="righ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2" fillId="0" borderId="1" xfId="0" applyFont="1" applyBorder="1" applyAlignment="1">
      <alignment horizontal="center" vertical="top" wrapText="1"/>
    </xf>
    <xf numFmtId="0" fontId="2" fillId="0" borderId="5" xfId="0" applyFont="1" applyBorder="1" applyAlignment="1">
      <alignment horizontal="center" vertical="center" wrapText="1"/>
    </xf>
    <xf numFmtId="0" fontId="3" fillId="0" borderId="1" xfId="0" applyFont="1" applyBorder="1" applyAlignment="1">
      <alignment horizontal="center" vertical="top" wrapText="1"/>
    </xf>
    <xf numFmtId="0" fontId="3" fillId="0" borderId="5" xfId="0" applyFont="1" applyBorder="1" applyAlignment="1">
      <alignment horizontal="center" vertical="center" wrapText="1"/>
    </xf>
    <xf numFmtId="3" fontId="4" fillId="0" borderId="1"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xf numFmtId="3" fontId="4" fillId="0" borderId="3" xfId="0" applyNumberFormat="1" applyFont="1" applyBorder="1" applyAlignment="1">
      <alignment horizontal="center" vertical="center" wrapText="1"/>
    </xf>
    <xf numFmtId="3" fontId="4" fillId="0" borderId="5"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3" fontId="0" fillId="0" borderId="2" xfId="0" applyNumberFormat="1" applyBorder="1" applyAlignment="1">
      <alignment horizontal="center" vertical="center" wrapText="1"/>
    </xf>
    <xf numFmtId="3" fontId="0" fillId="0" borderId="3" xfId="0" applyNumberFormat="1" applyBorder="1" applyAlignment="1">
      <alignment horizontal="center" vertical="center" wrapText="1"/>
    </xf>
    <xf numFmtId="3" fontId="0" fillId="0" borderId="5" xfId="0" applyNumberFormat="1" applyBorder="1" applyAlignment="1">
      <alignment horizontal="center" vertical="center" wrapText="1"/>
    </xf>
    <xf numFmtId="0" fontId="4" fillId="0" borderId="3" xfId="0" applyFont="1" applyBorder="1" applyAlignment="1">
      <alignment horizontal="center" vertical="center" wrapText="1"/>
    </xf>
    <xf numFmtId="0" fontId="0" fillId="0" borderId="3" xfId="0" applyBorder="1" applyAlignment="1">
      <alignment horizontal="center" vertical="center" wrapText="1"/>
    </xf>
    <xf numFmtId="0" fontId="3" fillId="0" borderId="0" xfId="0" quotePrefix="1" applyFont="1" applyAlignment="1">
      <alignment horizontal="left" vertical="top" wrapText="1"/>
    </xf>
    <xf numFmtId="0" fontId="0" fillId="0" borderId="0" xfId="0" applyAlignment="1">
      <alignment horizontal="left" vertical="top" wrapText="1"/>
    </xf>
    <xf numFmtId="0" fontId="2" fillId="0" borderId="6" xfId="0" applyFont="1" applyBorder="1" applyAlignment="1">
      <alignment horizontal="center" vertical="center"/>
    </xf>
    <xf numFmtId="0" fontId="12" fillId="0" borderId="6" xfId="0" quotePrefix="1" applyFont="1" applyBorder="1" applyAlignment="1">
      <alignment horizontal="left" vertical="top" wrapText="1"/>
    </xf>
    <xf numFmtId="0" fontId="0" fillId="0" borderId="6" xfId="0" applyBorder="1" applyAlignment="1">
      <alignment horizontal="left" vertical="top" wrapText="1"/>
    </xf>
    <xf numFmtId="0" fontId="15" fillId="0" borderId="7" xfId="0" applyFont="1" applyBorder="1" applyAlignment="1">
      <alignment horizontal="center" vertical="center"/>
    </xf>
    <xf numFmtId="0" fontId="2" fillId="0" borderId="0" xfId="0" applyFont="1" applyAlignment="1">
      <alignment horizontal="left" vertical="center" wrapText="1"/>
    </xf>
    <xf numFmtId="0" fontId="1" fillId="0" borderId="6" xfId="0" applyFont="1" applyBorder="1" applyAlignment="1">
      <alignment horizontal="center" vertical="center"/>
    </xf>
    <xf numFmtId="0" fontId="14" fillId="0" borderId="6" xfId="0" quotePrefix="1" applyFont="1" applyBorder="1" applyAlignment="1">
      <alignment horizontal="left" vertical="top" wrapText="1"/>
    </xf>
    <xf numFmtId="0" fontId="3" fillId="0" borderId="0" xfId="0" applyFont="1" applyAlignment="1">
      <alignment horizontal="left" vertical="center" wrapText="1"/>
    </xf>
    <xf numFmtId="0" fontId="2" fillId="0" borderId="0" xfId="0" quotePrefix="1" applyFont="1" applyAlignment="1">
      <alignment horizontal="left" vertical="top" wrapText="1"/>
    </xf>
    <xf numFmtId="164" fontId="1" fillId="0" borderId="5" xfId="0" applyNumberFormat="1" applyFont="1" applyBorder="1" applyAlignment="1">
      <alignment horizontal="center" vertical="center" wrapText="1"/>
    </xf>
    <xf numFmtId="0" fontId="1" fillId="0" borderId="5" xfId="0" applyFont="1" applyBorder="1" applyAlignment="1">
      <alignment horizontal="left" vertical="center" wrapText="1"/>
    </xf>
    <xf numFmtId="0" fontId="1" fillId="0" borderId="5" xfId="0" applyFont="1" applyBorder="1" applyAlignment="1">
      <alignment horizontal="center" vertical="center" wrapText="1"/>
    </xf>
    <xf numFmtId="0" fontId="2" fillId="0" borderId="0" xfId="0" applyFont="1" applyAlignment="1">
      <alignment horizontal="right" vertical="center" wrapText="1"/>
    </xf>
    <xf numFmtId="0" fontId="8" fillId="0" borderId="5" xfId="0" applyFont="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3" fillId="0" borderId="0" xfId="0" applyFont="1" applyAlignment="1">
      <alignment vertical="center" wrapText="1"/>
    </xf>
    <xf numFmtId="1" fontId="4" fillId="0" borderId="5"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right"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1" xfId="0" applyFont="1" applyBorder="1" applyAlignment="1">
      <alignment horizontal="center" vertical="center" wrapText="1"/>
    </xf>
    <xf numFmtId="164" fontId="4" fillId="0" borderId="5" xfId="0" applyNumberFormat="1" applyFont="1" applyBorder="1" applyAlignment="1">
      <alignment horizontal="center" vertical="center" wrapText="1"/>
    </xf>
    <xf numFmtId="0" fontId="16" fillId="0" borderId="5" xfId="0" applyFont="1" applyBorder="1" applyAlignment="1">
      <alignment horizontal="left" vertical="center" wrapText="1"/>
    </xf>
    <xf numFmtId="0" fontId="0" fillId="0" borderId="2" xfId="0" applyBorder="1"/>
    <xf numFmtId="0" fontId="0" fillId="0" borderId="3" xfId="0" applyBorder="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12" xfId="0" applyFont="1" applyBorder="1" applyAlignment="1">
      <alignment horizontal="center" vertical="center" wrapText="1"/>
    </xf>
    <xf numFmtId="164" fontId="4" fillId="0" borderId="1" xfId="0" applyNumberFormat="1" applyFont="1" applyBorder="1" applyAlignment="1">
      <alignment horizontal="center" vertical="center" wrapText="1"/>
    </xf>
    <xf numFmtId="164" fontId="4" fillId="0" borderId="2"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3" fontId="4" fillId="0" borderId="1" xfId="0" applyNumberFormat="1" applyFont="1" applyBorder="1" applyAlignment="1">
      <alignment horizontal="right" vertical="center" wrapText="1"/>
    </xf>
    <xf numFmtId="3" fontId="4" fillId="0" borderId="2" xfId="0" applyNumberFormat="1" applyFont="1" applyBorder="1" applyAlignment="1">
      <alignment horizontal="right" vertical="center" wrapText="1"/>
    </xf>
    <xf numFmtId="3" fontId="4" fillId="0" borderId="3" xfId="0" applyNumberFormat="1" applyFont="1" applyBorder="1" applyAlignment="1">
      <alignment horizontal="right" vertical="center" wrapText="1"/>
    </xf>
    <xf numFmtId="0" fontId="8" fillId="0" borderId="8" xfId="0" applyFont="1" applyBorder="1" applyAlignment="1">
      <alignment horizontal="center" vertical="center" wrapText="1"/>
    </xf>
    <xf numFmtId="0" fontId="8" fillId="0" borderId="7"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11"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7" fillId="0" borderId="0" xfId="0" applyFont="1" applyAlignment="1">
      <alignment horizontal="left"/>
    </xf>
    <xf numFmtId="0" fontId="10" fillId="0" borderId="6" xfId="0" applyFont="1" applyBorder="1" applyAlignment="1">
      <alignment horizontal="center" vertical="center" wrapText="1"/>
    </xf>
    <xf numFmtId="0" fontId="10" fillId="0" borderId="6" xfId="0" quotePrefix="1" applyFont="1" applyBorder="1" applyAlignment="1">
      <alignment horizontal="left" vertical="top" wrapText="1"/>
    </xf>
    <xf numFmtId="0" fontId="10" fillId="0" borderId="6" xfId="0" quotePrefix="1" applyFont="1" applyBorder="1" applyAlignment="1">
      <alignment horizontal="center" vertical="center" wrapText="1"/>
    </xf>
    <xf numFmtId="0" fontId="6" fillId="0" borderId="0" xfId="0" applyFont="1" applyAlignment="1">
      <alignment horizontal="center" vertical="top" wrapText="1"/>
    </xf>
    <xf numFmtId="0" fontId="6" fillId="0" borderId="7" xfId="0" applyFont="1" applyBorder="1" applyAlignment="1">
      <alignment horizontal="center" vertical="top" wrapText="1"/>
    </xf>
    <xf numFmtId="0" fontId="5" fillId="0" borderId="7" xfId="0" applyFont="1" applyBorder="1" applyAlignment="1">
      <alignment horizontal="center" vertical="center" wrapText="1"/>
    </xf>
    <xf numFmtId="0" fontId="11" fillId="0" borderId="6" xfId="0" quotePrefix="1" applyFont="1" applyBorder="1" applyAlignment="1">
      <alignment horizontal="left" vertical="top" wrapText="1"/>
    </xf>
    <xf numFmtId="0" fontId="5" fillId="0" borderId="0" xfId="0" applyFont="1" applyAlignment="1">
      <alignment horizontal="center" vertical="top" wrapText="1"/>
    </xf>
    <xf numFmtId="0" fontId="5" fillId="0" borderId="0" xfId="0" applyFont="1" applyAlignment="1">
      <alignment horizontal="left" vertical="center" wrapText="1"/>
    </xf>
    <xf numFmtId="0" fontId="3" fillId="0" borderId="0" xfId="0" applyFont="1" applyAlignment="1">
      <alignment horizontal="center" vertical="center" wrapText="1"/>
    </xf>
  </cellXfs>
  <cellStyles count="1">
    <cellStyle name="Обычный" xfId="0" builtinId="0"/>
  </cellStyles>
  <dxfs count="130">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359"/>
  <sheetViews>
    <sheetView tabSelected="1" zoomScaleNormal="100" workbookViewId="0">
      <selection activeCell="A45" sqref="A45:XFD45"/>
    </sheetView>
  </sheetViews>
  <sheetFormatPr defaultRowHeight="12.75" x14ac:dyDescent="0.2"/>
  <cols>
    <col min="1" max="78" width="2.85546875" customWidth="1"/>
    <col min="79" max="79" width="4" hidden="1" customWidth="1"/>
  </cols>
  <sheetData>
    <row r="1" spans="1:79" ht="57.75" customHeight="1" x14ac:dyDescent="0.2">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120" t="s">
        <v>115</v>
      </c>
      <c r="BO1" s="120"/>
      <c r="BP1" s="120"/>
      <c r="BQ1" s="120"/>
      <c r="BR1" s="120"/>
      <c r="BS1" s="120"/>
      <c r="BT1" s="120"/>
      <c r="BU1" s="120"/>
      <c r="BV1" s="120"/>
      <c r="BW1" s="120"/>
      <c r="BX1" s="120"/>
      <c r="BY1" s="120"/>
      <c r="BZ1" s="120"/>
    </row>
    <row r="2" spans="1:79" ht="14.25" customHeight="1" x14ac:dyDescent="0.2">
      <c r="A2" s="121" t="s">
        <v>291</v>
      </c>
      <c r="B2" s="121"/>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c r="AW2" s="121"/>
      <c r="AX2" s="121"/>
      <c r="AY2" s="121"/>
      <c r="AZ2" s="121"/>
      <c r="BA2" s="121"/>
      <c r="BB2" s="121"/>
      <c r="BC2" s="121"/>
      <c r="BD2" s="121"/>
      <c r="BE2" s="121"/>
      <c r="BF2" s="121"/>
      <c r="BG2" s="121"/>
      <c r="BH2" s="121"/>
      <c r="BI2" s="121"/>
      <c r="BJ2" s="121"/>
      <c r="BK2" s="121"/>
      <c r="BL2" s="121"/>
      <c r="BM2" s="121"/>
      <c r="BN2" s="121"/>
      <c r="BO2" s="121"/>
      <c r="BP2" s="121"/>
      <c r="BQ2" s="121"/>
      <c r="BR2" s="121"/>
      <c r="BS2" s="121"/>
      <c r="BT2" s="121"/>
      <c r="BU2" s="121"/>
      <c r="BV2" s="121"/>
      <c r="BW2" s="121"/>
      <c r="BX2" s="121"/>
      <c r="BY2" s="121"/>
      <c r="BZ2" s="121"/>
    </row>
    <row r="4" spans="1:79" ht="15" customHeight="1" x14ac:dyDescent="0.2">
      <c r="A4" s="10" t="s">
        <v>159</v>
      </c>
      <c r="B4" s="118" t="s">
        <v>264</v>
      </c>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7"/>
      <c r="AH4" s="112" t="s">
        <v>263</v>
      </c>
      <c r="AI4" s="112"/>
      <c r="AJ4" s="112"/>
      <c r="AK4" s="112"/>
      <c r="AL4" s="112"/>
      <c r="AM4" s="112"/>
      <c r="AN4" s="112"/>
      <c r="AO4" s="112"/>
      <c r="AP4" s="112"/>
      <c r="AQ4" s="112"/>
      <c r="AR4" s="112"/>
      <c r="AS4" s="7"/>
      <c r="AT4" s="114" t="s">
        <v>265</v>
      </c>
      <c r="AU4" s="112"/>
      <c r="AV4" s="112"/>
      <c r="AW4" s="112"/>
      <c r="AX4" s="112"/>
      <c r="AY4" s="112"/>
      <c r="AZ4" s="112"/>
      <c r="BA4" s="112"/>
      <c r="BB4" s="14"/>
      <c r="BC4" s="7"/>
      <c r="BD4" s="7"/>
      <c r="BE4" s="11"/>
      <c r="BF4" s="11"/>
      <c r="BG4" s="11"/>
      <c r="BH4" s="11"/>
      <c r="BI4" s="11"/>
      <c r="BJ4" s="11"/>
      <c r="BK4" s="11"/>
      <c r="BL4" s="11"/>
    </row>
    <row r="5" spans="1:79" ht="24" customHeight="1" x14ac:dyDescent="0.2">
      <c r="A5" s="119" t="s">
        <v>0</v>
      </c>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6"/>
      <c r="AH5" s="115" t="s">
        <v>160</v>
      </c>
      <c r="AI5" s="115"/>
      <c r="AJ5" s="115"/>
      <c r="AK5" s="115"/>
      <c r="AL5" s="115"/>
      <c r="AM5" s="115"/>
      <c r="AN5" s="115"/>
      <c r="AO5" s="115"/>
      <c r="AP5" s="115"/>
      <c r="AQ5" s="115"/>
      <c r="AR5" s="115"/>
      <c r="AS5" s="6"/>
      <c r="AT5" s="115" t="s">
        <v>157</v>
      </c>
      <c r="AU5" s="115"/>
      <c r="AV5" s="115"/>
      <c r="AW5" s="115"/>
      <c r="AX5" s="115"/>
      <c r="AY5" s="115"/>
      <c r="AZ5" s="115"/>
      <c r="BA5" s="115"/>
      <c r="BB5" s="12"/>
      <c r="BC5" s="6"/>
      <c r="BD5" s="6"/>
      <c r="BE5" s="12"/>
      <c r="BF5" s="12"/>
      <c r="BG5" s="12"/>
      <c r="BH5" s="12"/>
      <c r="BI5" s="12"/>
      <c r="BJ5" s="12"/>
      <c r="BK5" s="12"/>
      <c r="BL5" s="12"/>
    </row>
    <row r="6" spans="1:79" x14ac:dyDescent="0.2">
      <c r="BE6" s="13"/>
      <c r="BF6" s="13"/>
      <c r="BG6" s="13"/>
      <c r="BH6" s="13"/>
      <c r="BI6" s="13"/>
      <c r="BJ6" s="13"/>
      <c r="BK6" s="13"/>
      <c r="BL6" s="13"/>
    </row>
    <row r="7" spans="1:79" ht="15" customHeight="1" x14ac:dyDescent="0.2">
      <c r="A7" s="10" t="s">
        <v>161</v>
      </c>
      <c r="B7" s="118" t="s">
        <v>308</v>
      </c>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7"/>
      <c r="AH7" s="112" t="s">
        <v>309</v>
      </c>
      <c r="AI7" s="112"/>
      <c r="AJ7" s="112"/>
      <c r="AK7" s="112"/>
      <c r="AL7" s="112"/>
      <c r="AM7" s="112"/>
      <c r="AN7" s="112"/>
      <c r="AO7" s="112"/>
      <c r="AP7" s="112"/>
      <c r="AQ7" s="112"/>
      <c r="AR7" s="112"/>
      <c r="AS7" s="112"/>
      <c r="AT7" s="112"/>
      <c r="AU7" s="112"/>
      <c r="AV7" s="112"/>
      <c r="AW7" s="112"/>
      <c r="AX7" s="112"/>
      <c r="AY7" s="112"/>
      <c r="AZ7" s="112"/>
      <c r="BA7" s="112"/>
      <c r="BB7" s="14"/>
      <c r="BC7" s="114" t="s">
        <v>265</v>
      </c>
      <c r="BD7" s="112"/>
      <c r="BE7" s="112"/>
      <c r="BF7" s="112"/>
      <c r="BG7" s="112"/>
      <c r="BH7" s="112"/>
      <c r="BI7" s="112"/>
      <c r="BJ7" s="112"/>
      <c r="BK7" s="14"/>
      <c r="BL7" s="11"/>
      <c r="BP7" s="14"/>
      <c r="BQ7" s="14"/>
      <c r="BR7" s="14"/>
      <c r="BS7" s="14"/>
      <c r="BT7" s="14"/>
      <c r="BU7" s="14"/>
      <c r="BV7" s="14"/>
      <c r="BW7" s="14"/>
    </row>
    <row r="8" spans="1:79" ht="24" customHeight="1" x14ac:dyDescent="0.2">
      <c r="A8" s="119" t="s">
        <v>155</v>
      </c>
      <c r="B8" s="119"/>
      <c r="C8" s="119"/>
      <c r="D8" s="119"/>
      <c r="E8" s="119"/>
      <c r="F8" s="119"/>
      <c r="G8" s="119"/>
      <c r="H8" s="119"/>
      <c r="I8" s="119"/>
      <c r="J8" s="119"/>
      <c r="K8" s="119"/>
      <c r="L8" s="119"/>
      <c r="M8" s="119"/>
      <c r="N8" s="119"/>
      <c r="O8" s="119"/>
      <c r="P8" s="119"/>
      <c r="Q8" s="119"/>
      <c r="R8" s="119"/>
      <c r="S8" s="119"/>
      <c r="T8" s="119"/>
      <c r="U8" s="119"/>
      <c r="V8" s="119"/>
      <c r="W8" s="119"/>
      <c r="X8" s="119"/>
      <c r="Y8" s="119"/>
      <c r="Z8" s="119"/>
      <c r="AA8" s="119"/>
      <c r="AB8" s="119"/>
      <c r="AC8" s="119"/>
      <c r="AD8" s="119"/>
      <c r="AE8" s="119"/>
      <c r="AF8" s="119"/>
      <c r="AG8" s="6"/>
      <c r="AH8" s="115" t="s">
        <v>162</v>
      </c>
      <c r="AI8" s="115"/>
      <c r="AJ8" s="115"/>
      <c r="AK8" s="115"/>
      <c r="AL8" s="115"/>
      <c r="AM8" s="115"/>
      <c r="AN8" s="115"/>
      <c r="AO8" s="115"/>
      <c r="AP8" s="115"/>
      <c r="AQ8" s="115"/>
      <c r="AR8" s="115"/>
      <c r="AS8" s="115"/>
      <c r="AT8" s="115"/>
      <c r="AU8" s="115"/>
      <c r="AV8" s="115"/>
      <c r="AW8" s="115"/>
      <c r="AX8" s="115"/>
      <c r="AY8" s="115"/>
      <c r="AZ8" s="115"/>
      <c r="BA8" s="115"/>
      <c r="BB8" s="12"/>
      <c r="BC8" s="115" t="s">
        <v>157</v>
      </c>
      <c r="BD8" s="115"/>
      <c r="BE8" s="115"/>
      <c r="BF8" s="115"/>
      <c r="BG8" s="115"/>
      <c r="BH8" s="115"/>
      <c r="BI8" s="115"/>
      <c r="BJ8" s="115"/>
      <c r="BK8" s="12"/>
      <c r="BL8" s="12"/>
      <c r="BP8" s="12"/>
      <c r="BQ8" s="12"/>
      <c r="BR8" s="12"/>
      <c r="BS8" s="12"/>
      <c r="BT8" s="12"/>
      <c r="BU8" s="12"/>
      <c r="BV8" s="12"/>
      <c r="BW8" s="12"/>
    </row>
    <row r="10" spans="1:79" ht="28.5" customHeight="1" x14ac:dyDescent="0.2">
      <c r="A10" s="10" t="s">
        <v>163</v>
      </c>
      <c r="B10" s="112" t="s">
        <v>304</v>
      </c>
      <c r="C10" s="112"/>
      <c r="D10" s="112"/>
      <c r="E10" s="112"/>
      <c r="F10" s="112"/>
      <c r="G10" s="112"/>
      <c r="H10" s="112"/>
      <c r="I10" s="112"/>
      <c r="J10" s="112"/>
      <c r="K10" s="112"/>
      <c r="L10" s="112"/>
      <c r="N10" s="112" t="s">
        <v>305</v>
      </c>
      <c r="O10" s="112"/>
      <c r="P10" s="112"/>
      <c r="Q10" s="112"/>
      <c r="R10" s="112"/>
      <c r="S10" s="112"/>
      <c r="T10" s="112"/>
      <c r="U10" s="112"/>
      <c r="V10" s="112"/>
      <c r="W10" s="112"/>
      <c r="X10" s="112"/>
      <c r="Y10" s="112"/>
      <c r="Z10" s="14"/>
      <c r="AA10" s="112" t="s">
        <v>306</v>
      </c>
      <c r="AB10" s="112"/>
      <c r="AC10" s="112"/>
      <c r="AD10" s="112"/>
      <c r="AE10" s="112"/>
      <c r="AF10" s="112"/>
      <c r="AG10" s="112"/>
      <c r="AH10" s="112"/>
      <c r="AI10" s="112"/>
      <c r="AJ10" s="14"/>
      <c r="AK10" s="113" t="s">
        <v>307</v>
      </c>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16"/>
      <c r="BL10" s="114" t="s">
        <v>266</v>
      </c>
      <c r="BM10" s="112"/>
      <c r="BN10" s="112"/>
      <c r="BO10" s="112"/>
      <c r="BP10" s="112"/>
      <c r="BQ10" s="112"/>
      <c r="BR10" s="112"/>
      <c r="BS10" s="112"/>
      <c r="BT10" s="14"/>
      <c r="BU10" s="14"/>
      <c r="BV10" s="14"/>
      <c r="BW10" s="14"/>
      <c r="BX10" s="14"/>
      <c r="BY10" s="14"/>
      <c r="BZ10" s="14"/>
      <c r="CA10" s="14"/>
    </row>
    <row r="11" spans="1:79" ht="25.5" customHeight="1" x14ac:dyDescent="0.2">
      <c r="B11" s="115" t="s">
        <v>164</v>
      </c>
      <c r="C11" s="115"/>
      <c r="D11" s="115"/>
      <c r="E11" s="115"/>
      <c r="F11" s="115"/>
      <c r="G11" s="115"/>
      <c r="H11" s="115"/>
      <c r="I11" s="115"/>
      <c r="J11" s="115"/>
      <c r="K11" s="115"/>
      <c r="L11" s="115"/>
      <c r="N11" s="115" t="s">
        <v>166</v>
      </c>
      <c r="O11" s="115"/>
      <c r="P11" s="115"/>
      <c r="Q11" s="115"/>
      <c r="R11" s="115"/>
      <c r="S11" s="115"/>
      <c r="T11" s="115"/>
      <c r="U11" s="115"/>
      <c r="V11" s="115"/>
      <c r="W11" s="115"/>
      <c r="X11" s="115"/>
      <c r="Y11" s="115"/>
      <c r="Z11" s="12"/>
      <c r="AA11" s="116" t="s">
        <v>167</v>
      </c>
      <c r="AB11" s="116"/>
      <c r="AC11" s="116"/>
      <c r="AD11" s="116"/>
      <c r="AE11" s="116"/>
      <c r="AF11" s="116"/>
      <c r="AG11" s="116"/>
      <c r="AH11" s="116"/>
      <c r="AI11" s="116"/>
      <c r="AJ11" s="12"/>
      <c r="AK11" s="117" t="s">
        <v>165</v>
      </c>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5"/>
      <c r="BL11" s="115" t="s">
        <v>158</v>
      </c>
      <c r="BM11" s="115"/>
      <c r="BN11" s="115"/>
      <c r="BO11" s="115"/>
      <c r="BP11" s="115"/>
      <c r="BQ11" s="115"/>
      <c r="BR11" s="115"/>
      <c r="BS11" s="115"/>
      <c r="BT11" s="12"/>
      <c r="BU11" s="12"/>
      <c r="BV11" s="12"/>
      <c r="BW11" s="12"/>
      <c r="BX11" s="12"/>
      <c r="BY11" s="12"/>
      <c r="BZ11" s="12"/>
      <c r="CA11" s="12"/>
    </row>
    <row r="13" spans="1:79" ht="14.25" customHeight="1" x14ac:dyDescent="0.2">
      <c r="A13" s="61" t="s">
        <v>292</v>
      </c>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row>
    <row r="14" spans="1:79" ht="14.25" customHeight="1" x14ac:dyDescent="0.2">
      <c r="A14" s="61" t="s">
        <v>148</v>
      </c>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row>
    <row r="15" spans="1:79" ht="30" customHeight="1" x14ac:dyDescent="0.2">
      <c r="A15" s="62" t="s">
        <v>258</v>
      </c>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c r="BV15" s="53"/>
      <c r="BW15" s="53"/>
      <c r="BX15" s="53"/>
      <c r="BY15" s="53"/>
    </row>
    <row r="16" spans="1:79" ht="1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row>
    <row r="17" spans="1:79" ht="15" customHeight="1" x14ac:dyDescent="0.25">
      <c r="A17" s="111" t="s">
        <v>149</v>
      </c>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111"/>
      <c r="BS17" s="111"/>
      <c r="BT17" s="111"/>
      <c r="BU17" s="111"/>
      <c r="BV17" s="111"/>
      <c r="BW17" s="111"/>
      <c r="BX17" s="111"/>
      <c r="BY17" s="111"/>
    </row>
    <row r="18" spans="1:79" ht="15" customHeight="1" x14ac:dyDescent="0.2">
      <c r="A18" s="62" t="s">
        <v>259</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row>
    <row r="19" spans="1:79" ht="1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row>
    <row r="20" spans="1:79" ht="14.25" customHeight="1" x14ac:dyDescent="0.2">
      <c r="A20" s="61" t="s">
        <v>150</v>
      </c>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row>
    <row r="21" spans="1:79" ht="105" customHeight="1" x14ac:dyDescent="0.2">
      <c r="A21" s="62" t="s">
        <v>260</v>
      </c>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row>
    <row r="22" spans="1:79" ht="1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row>
    <row r="23" spans="1:79" ht="14.25" customHeight="1" x14ac:dyDescent="0.2">
      <c r="A23" s="61" t="s">
        <v>151</v>
      </c>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c r="BC23" s="61"/>
      <c r="BD23" s="61"/>
      <c r="BE23" s="61"/>
      <c r="BF23" s="61"/>
      <c r="BG23" s="61"/>
      <c r="BH23" s="61"/>
      <c r="BI23" s="61"/>
      <c r="BJ23" s="61"/>
      <c r="BK23" s="61"/>
      <c r="BL23" s="61"/>
      <c r="BM23" s="61"/>
      <c r="BN23" s="61"/>
      <c r="BO23" s="61"/>
      <c r="BP23" s="61"/>
      <c r="BQ23" s="61"/>
      <c r="BR23" s="61"/>
      <c r="BS23" s="61"/>
      <c r="BT23" s="61"/>
      <c r="BU23" s="61"/>
      <c r="BV23" s="61"/>
      <c r="BW23" s="61"/>
      <c r="BX23" s="61"/>
      <c r="BY23" s="61"/>
    </row>
    <row r="24" spans="1:79" ht="14.25" customHeight="1" x14ac:dyDescent="0.2">
      <c r="A24" s="61" t="s">
        <v>278</v>
      </c>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c r="BU24" s="61"/>
      <c r="BV24" s="61"/>
      <c r="BW24" s="61"/>
      <c r="BX24" s="61"/>
      <c r="BY24" s="61"/>
    </row>
    <row r="25" spans="1:79" ht="15" customHeight="1" x14ac:dyDescent="0.2">
      <c r="A25" s="66" t="s">
        <v>267</v>
      </c>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row>
    <row r="26" spans="1:79" ht="23.1" customHeight="1" x14ac:dyDescent="0.2">
      <c r="A26" s="77" t="s">
        <v>2</v>
      </c>
      <c r="B26" s="78"/>
      <c r="C26" s="78"/>
      <c r="D26" s="79"/>
      <c r="E26" s="77" t="s">
        <v>19</v>
      </c>
      <c r="F26" s="78"/>
      <c r="G26" s="78"/>
      <c r="H26" s="78"/>
      <c r="I26" s="78"/>
      <c r="J26" s="78"/>
      <c r="K26" s="78"/>
      <c r="L26" s="78"/>
      <c r="M26" s="78"/>
      <c r="N26" s="78"/>
      <c r="O26" s="78"/>
      <c r="P26" s="78"/>
      <c r="Q26" s="78"/>
      <c r="R26" s="78"/>
      <c r="S26" s="78"/>
      <c r="T26" s="78"/>
      <c r="U26" s="39" t="s">
        <v>268</v>
      </c>
      <c r="V26" s="39"/>
      <c r="W26" s="39"/>
      <c r="X26" s="39"/>
      <c r="Y26" s="39"/>
      <c r="Z26" s="39"/>
      <c r="AA26" s="39"/>
      <c r="AB26" s="39"/>
      <c r="AC26" s="39"/>
      <c r="AD26" s="39"/>
      <c r="AE26" s="39"/>
      <c r="AF26" s="39"/>
      <c r="AG26" s="39"/>
      <c r="AH26" s="39"/>
      <c r="AI26" s="39"/>
      <c r="AJ26" s="39"/>
      <c r="AK26" s="39"/>
      <c r="AL26" s="39"/>
      <c r="AM26" s="39"/>
      <c r="AN26" s="39" t="s">
        <v>271</v>
      </c>
      <c r="AO26" s="39"/>
      <c r="AP26" s="39"/>
      <c r="AQ26" s="39"/>
      <c r="AR26" s="39"/>
      <c r="AS26" s="39"/>
      <c r="AT26" s="39"/>
      <c r="AU26" s="39"/>
      <c r="AV26" s="39"/>
      <c r="AW26" s="39"/>
      <c r="AX26" s="39"/>
      <c r="AY26" s="39"/>
      <c r="AZ26" s="39"/>
      <c r="BA26" s="39"/>
      <c r="BB26" s="39"/>
      <c r="BC26" s="39"/>
      <c r="BD26" s="39"/>
      <c r="BE26" s="39"/>
      <c r="BF26" s="39"/>
      <c r="BG26" s="39" t="s">
        <v>279</v>
      </c>
      <c r="BH26" s="39"/>
      <c r="BI26" s="39"/>
      <c r="BJ26" s="39"/>
      <c r="BK26" s="39"/>
      <c r="BL26" s="39"/>
      <c r="BM26" s="39"/>
      <c r="BN26" s="39"/>
      <c r="BO26" s="39"/>
      <c r="BP26" s="39"/>
      <c r="BQ26" s="39"/>
      <c r="BR26" s="39"/>
      <c r="BS26" s="39"/>
      <c r="BT26" s="39"/>
      <c r="BU26" s="39"/>
      <c r="BV26" s="39"/>
      <c r="BW26" s="39"/>
      <c r="BX26" s="39"/>
      <c r="BY26" s="39"/>
    </row>
    <row r="27" spans="1:79" ht="54.75" customHeight="1" x14ac:dyDescent="0.2">
      <c r="A27" s="80"/>
      <c r="B27" s="81"/>
      <c r="C27" s="81"/>
      <c r="D27" s="82"/>
      <c r="E27" s="80"/>
      <c r="F27" s="81"/>
      <c r="G27" s="81"/>
      <c r="H27" s="81"/>
      <c r="I27" s="81"/>
      <c r="J27" s="81"/>
      <c r="K27" s="81"/>
      <c r="L27" s="81"/>
      <c r="M27" s="81"/>
      <c r="N27" s="81"/>
      <c r="O27" s="81"/>
      <c r="P27" s="81"/>
      <c r="Q27" s="81"/>
      <c r="R27" s="81"/>
      <c r="S27" s="81"/>
      <c r="T27" s="81"/>
      <c r="U27" s="73" t="s">
        <v>4</v>
      </c>
      <c r="V27" s="74"/>
      <c r="W27" s="74"/>
      <c r="X27" s="74"/>
      <c r="Y27" s="75"/>
      <c r="Z27" s="73" t="s">
        <v>3</v>
      </c>
      <c r="AA27" s="74"/>
      <c r="AB27" s="74"/>
      <c r="AC27" s="74"/>
      <c r="AD27" s="75"/>
      <c r="AE27" s="96" t="s">
        <v>116</v>
      </c>
      <c r="AF27" s="97"/>
      <c r="AG27" s="97"/>
      <c r="AH27" s="98"/>
      <c r="AI27" s="73" t="s">
        <v>5</v>
      </c>
      <c r="AJ27" s="74"/>
      <c r="AK27" s="74"/>
      <c r="AL27" s="74"/>
      <c r="AM27" s="75"/>
      <c r="AN27" s="73" t="s">
        <v>4</v>
      </c>
      <c r="AO27" s="74"/>
      <c r="AP27" s="74"/>
      <c r="AQ27" s="74"/>
      <c r="AR27" s="75"/>
      <c r="AS27" s="73" t="s">
        <v>3</v>
      </c>
      <c r="AT27" s="74"/>
      <c r="AU27" s="74"/>
      <c r="AV27" s="74"/>
      <c r="AW27" s="75"/>
      <c r="AX27" s="96" t="s">
        <v>116</v>
      </c>
      <c r="AY27" s="97"/>
      <c r="AZ27" s="97"/>
      <c r="BA27" s="98"/>
      <c r="BB27" s="73" t="s">
        <v>96</v>
      </c>
      <c r="BC27" s="74"/>
      <c r="BD27" s="74"/>
      <c r="BE27" s="74"/>
      <c r="BF27" s="75"/>
      <c r="BG27" s="73" t="s">
        <v>4</v>
      </c>
      <c r="BH27" s="74"/>
      <c r="BI27" s="74"/>
      <c r="BJ27" s="74"/>
      <c r="BK27" s="75"/>
      <c r="BL27" s="73" t="s">
        <v>3</v>
      </c>
      <c r="BM27" s="74"/>
      <c r="BN27" s="74"/>
      <c r="BO27" s="74"/>
      <c r="BP27" s="75"/>
      <c r="BQ27" s="96" t="s">
        <v>116</v>
      </c>
      <c r="BR27" s="97"/>
      <c r="BS27" s="97"/>
      <c r="BT27" s="98"/>
      <c r="BU27" s="73" t="s">
        <v>97</v>
      </c>
      <c r="BV27" s="74"/>
      <c r="BW27" s="74"/>
      <c r="BX27" s="74"/>
      <c r="BY27" s="75"/>
    </row>
    <row r="28" spans="1:79" ht="15" customHeight="1" x14ac:dyDescent="0.2">
      <c r="A28" s="73">
        <v>1</v>
      </c>
      <c r="B28" s="74"/>
      <c r="C28" s="74"/>
      <c r="D28" s="75"/>
      <c r="E28" s="73">
        <v>2</v>
      </c>
      <c r="F28" s="74"/>
      <c r="G28" s="74"/>
      <c r="H28" s="74"/>
      <c r="I28" s="74"/>
      <c r="J28" s="74"/>
      <c r="K28" s="74"/>
      <c r="L28" s="74"/>
      <c r="M28" s="74"/>
      <c r="N28" s="74"/>
      <c r="O28" s="74"/>
      <c r="P28" s="74"/>
      <c r="Q28" s="74"/>
      <c r="R28" s="74"/>
      <c r="S28" s="74"/>
      <c r="T28" s="74"/>
      <c r="U28" s="73">
        <v>3</v>
      </c>
      <c r="V28" s="74"/>
      <c r="W28" s="74"/>
      <c r="X28" s="74"/>
      <c r="Y28" s="75"/>
      <c r="Z28" s="73">
        <v>4</v>
      </c>
      <c r="AA28" s="74"/>
      <c r="AB28" s="74"/>
      <c r="AC28" s="74"/>
      <c r="AD28" s="75"/>
      <c r="AE28" s="73">
        <v>5</v>
      </c>
      <c r="AF28" s="74"/>
      <c r="AG28" s="74"/>
      <c r="AH28" s="75"/>
      <c r="AI28" s="73">
        <v>6</v>
      </c>
      <c r="AJ28" s="74"/>
      <c r="AK28" s="74"/>
      <c r="AL28" s="74"/>
      <c r="AM28" s="75"/>
      <c r="AN28" s="73">
        <v>7</v>
      </c>
      <c r="AO28" s="74"/>
      <c r="AP28" s="74"/>
      <c r="AQ28" s="74"/>
      <c r="AR28" s="75"/>
      <c r="AS28" s="73">
        <v>8</v>
      </c>
      <c r="AT28" s="74"/>
      <c r="AU28" s="74"/>
      <c r="AV28" s="74"/>
      <c r="AW28" s="75"/>
      <c r="AX28" s="73">
        <v>9</v>
      </c>
      <c r="AY28" s="74"/>
      <c r="AZ28" s="74"/>
      <c r="BA28" s="75"/>
      <c r="BB28" s="73">
        <v>10</v>
      </c>
      <c r="BC28" s="74"/>
      <c r="BD28" s="74"/>
      <c r="BE28" s="74"/>
      <c r="BF28" s="75"/>
      <c r="BG28" s="73">
        <v>11</v>
      </c>
      <c r="BH28" s="74"/>
      <c r="BI28" s="74"/>
      <c r="BJ28" s="74"/>
      <c r="BK28" s="75"/>
      <c r="BL28" s="73">
        <v>12</v>
      </c>
      <c r="BM28" s="74"/>
      <c r="BN28" s="74"/>
      <c r="BO28" s="74"/>
      <c r="BP28" s="75"/>
      <c r="BQ28" s="73">
        <v>13</v>
      </c>
      <c r="BR28" s="74"/>
      <c r="BS28" s="74"/>
      <c r="BT28" s="75"/>
      <c r="BU28" s="73">
        <v>14</v>
      </c>
      <c r="BV28" s="74"/>
      <c r="BW28" s="74"/>
      <c r="BX28" s="74"/>
      <c r="BY28" s="75"/>
    </row>
    <row r="29" spans="1:79" ht="13.5" hidden="1" customHeight="1" x14ac:dyDescent="0.2">
      <c r="A29" s="87" t="s">
        <v>56</v>
      </c>
      <c r="B29" s="88"/>
      <c r="C29" s="88"/>
      <c r="D29" s="89"/>
      <c r="E29" s="87" t="s">
        <v>57</v>
      </c>
      <c r="F29" s="88"/>
      <c r="G29" s="88"/>
      <c r="H29" s="88"/>
      <c r="I29" s="88"/>
      <c r="J29" s="88"/>
      <c r="K29" s="88"/>
      <c r="L29" s="88"/>
      <c r="M29" s="88"/>
      <c r="N29" s="88"/>
      <c r="O29" s="88"/>
      <c r="P29" s="88"/>
      <c r="Q29" s="88"/>
      <c r="R29" s="88"/>
      <c r="S29" s="88"/>
      <c r="T29" s="88"/>
      <c r="U29" s="87" t="s">
        <v>65</v>
      </c>
      <c r="V29" s="88"/>
      <c r="W29" s="88"/>
      <c r="X29" s="88"/>
      <c r="Y29" s="89"/>
      <c r="Z29" s="87" t="s">
        <v>66</v>
      </c>
      <c r="AA29" s="88"/>
      <c r="AB29" s="88"/>
      <c r="AC29" s="88"/>
      <c r="AD29" s="89"/>
      <c r="AE29" s="87" t="s">
        <v>91</v>
      </c>
      <c r="AF29" s="88"/>
      <c r="AG29" s="88"/>
      <c r="AH29" s="89"/>
      <c r="AI29" s="93" t="s">
        <v>169</v>
      </c>
      <c r="AJ29" s="94"/>
      <c r="AK29" s="94"/>
      <c r="AL29" s="94"/>
      <c r="AM29" s="95"/>
      <c r="AN29" s="87" t="s">
        <v>67</v>
      </c>
      <c r="AO29" s="88"/>
      <c r="AP29" s="88"/>
      <c r="AQ29" s="88"/>
      <c r="AR29" s="89"/>
      <c r="AS29" s="87" t="s">
        <v>68</v>
      </c>
      <c r="AT29" s="88"/>
      <c r="AU29" s="88"/>
      <c r="AV29" s="88"/>
      <c r="AW29" s="89"/>
      <c r="AX29" s="87" t="s">
        <v>92</v>
      </c>
      <c r="AY29" s="88"/>
      <c r="AZ29" s="88"/>
      <c r="BA29" s="89"/>
      <c r="BB29" s="93" t="s">
        <v>169</v>
      </c>
      <c r="BC29" s="94"/>
      <c r="BD29" s="94"/>
      <c r="BE29" s="94"/>
      <c r="BF29" s="95"/>
      <c r="BG29" s="87" t="s">
        <v>58</v>
      </c>
      <c r="BH29" s="88"/>
      <c r="BI29" s="88"/>
      <c r="BJ29" s="88"/>
      <c r="BK29" s="89"/>
      <c r="BL29" s="87" t="s">
        <v>59</v>
      </c>
      <c r="BM29" s="88"/>
      <c r="BN29" s="88"/>
      <c r="BO29" s="88"/>
      <c r="BP29" s="89"/>
      <c r="BQ29" s="87" t="s">
        <v>93</v>
      </c>
      <c r="BR29" s="88"/>
      <c r="BS29" s="88"/>
      <c r="BT29" s="89"/>
      <c r="BU29" s="93" t="s">
        <v>169</v>
      </c>
      <c r="BV29" s="94"/>
      <c r="BW29" s="94"/>
      <c r="BX29" s="94"/>
      <c r="BY29" s="95"/>
      <c r="CA29" t="s">
        <v>21</v>
      </c>
    </row>
    <row r="30" spans="1:79" s="4" customFormat="1" ht="12.75" customHeight="1" x14ac:dyDescent="0.2">
      <c r="A30" s="34"/>
      <c r="B30" s="35"/>
      <c r="C30" s="35"/>
      <c r="D30" s="51"/>
      <c r="E30" s="28" t="s">
        <v>172</v>
      </c>
      <c r="F30" s="29"/>
      <c r="G30" s="29"/>
      <c r="H30" s="29"/>
      <c r="I30" s="29"/>
      <c r="J30" s="29"/>
      <c r="K30" s="29"/>
      <c r="L30" s="29"/>
      <c r="M30" s="29"/>
      <c r="N30" s="29"/>
      <c r="O30" s="29"/>
      <c r="P30" s="29"/>
      <c r="Q30" s="29"/>
      <c r="R30" s="29"/>
      <c r="S30" s="29"/>
      <c r="T30" s="30"/>
      <c r="U30" s="49">
        <v>6246934</v>
      </c>
      <c r="V30" s="49"/>
      <c r="W30" s="49"/>
      <c r="X30" s="49"/>
      <c r="Y30" s="49"/>
      <c r="Z30" s="49" t="s">
        <v>173</v>
      </c>
      <c r="AA30" s="49"/>
      <c r="AB30" s="49"/>
      <c r="AC30" s="49"/>
      <c r="AD30" s="49"/>
      <c r="AE30" s="46" t="s">
        <v>173</v>
      </c>
      <c r="AF30" s="47"/>
      <c r="AG30" s="47"/>
      <c r="AH30" s="48"/>
      <c r="AI30" s="46">
        <f>IF(ISNUMBER(U30),U30,0)+IF(ISNUMBER(Z30),Z30,0)</f>
        <v>6246934</v>
      </c>
      <c r="AJ30" s="47"/>
      <c r="AK30" s="47"/>
      <c r="AL30" s="47"/>
      <c r="AM30" s="48"/>
      <c r="AN30" s="46">
        <v>8832955</v>
      </c>
      <c r="AO30" s="47"/>
      <c r="AP30" s="47"/>
      <c r="AQ30" s="47"/>
      <c r="AR30" s="48"/>
      <c r="AS30" s="46" t="s">
        <v>173</v>
      </c>
      <c r="AT30" s="47"/>
      <c r="AU30" s="47"/>
      <c r="AV30" s="47"/>
      <c r="AW30" s="48"/>
      <c r="AX30" s="46" t="s">
        <v>173</v>
      </c>
      <c r="AY30" s="47"/>
      <c r="AZ30" s="47"/>
      <c r="BA30" s="48"/>
      <c r="BB30" s="46">
        <f>IF(ISNUMBER(AN30),AN30,0)+IF(ISNUMBER(AS30),AS30,0)</f>
        <v>8832955</v>
      </c>
      <c r="BC30" s="47"/>
      <c r="BD30" s="47"/>
      <c r="BE30" s="47"/>
      <c r="BF30" s="48"/>
      <c r="BG30" s="46">
        <v>11888673</v>
      </c>
      <c r="BH30" s="47"/>
      <c r="BI30" s="47"/>
      <c r="BJ30" s="47"/>
      <c r="BK30" s="48"/>
      <c r="BL30" s="46" t="s">
        <v>173</v>
      </c>
      <c r="BM30" s="47"/>
      <c r="BN30" s="47"/>
      <c r="BO30" s="47"/>
      <c r="BP30" s="48"/>
      <c r="BQ30" s="46" t="s">
        <v>173</v>
      </c>
      <c r="BR30" s="47"/>
      <c r="BS30" s="47"/>
      <c r="BT30" s="48"/>
      <c r="BU30" s="46">
        <f>IF(ISNUMBER(BG30),BG30,0)+IF(ISNUMBER(BL30),BL30,0)</f>
        <v>11888673</v>
      </c>
      <c r="BV30" s="47"/>
      <c r="BW30" s="47"/>
      <c r="BX30" s="47"/>
      <c r="BY30" s="48"/>
      <c r="CA30" s="4" t="s">
        <v>22</v>
      </c>
    </row>
    <row r="31" spans="1:79" s="4" customFormat="1" ht="25.5" customHeight="1" x14ac:dyDescent="0.2">
      <c r="A31" s="34"/>
      <c r="B31" s="35"/>
      <c r="C31" s="35"/>
      <c r="D31" s="51"/>
      <c r="E31" s="28" t="s">
        <v>174</v>
      </c>
      <c r="F31" s="29"/>
      <c r="G31" s="29"/>
      <c r="H31" s="29"/>
      <c r="I31" s="29"/>
      <c r="J31" s="29"/>
      <c r="K31" s="29"/>
      <c r="L31" s="29"/>
      <c r="M31" s="29"/>
      <c r="N31" s="29"/>
      <c r="O31" s="29"/>
      <c r="P31" s="29"/>
      <c r="Q31" s="29"/>
      <c r="R31" s="29"/>
      <c r="S31" s="29"/>
      <c r="T31" s="30"/>
      <c r="U31" s="49" t="s">
        <v>173</v>
      </c>
      <c r="V31" s="49"/>
      <c r="W31" s="49"/>
      <c r="X31" s="49"/>
      <c r="Y31" s="49"/>
      <c r="Z31" s="49">
        <v>0</v>
      </c>
      <c r="AA31" s="49"/>
      <c r="AB31" s="49"/>
      <c r="AC31" s="49"/>
      <c r="AD31" s="49"/>
      <c r="AE31" s="46">
        <v>0</v>
      </c>
      <c r="AF31" s="47"/>
      <c r="AG31" s="47"/>
      <c r="AH31" s="48"/>
      <c r="AI31" s="46">
        <f>IF(ISNUMBER(U31),U31,0)+IF(ISNUMBER(Z31),Z31,0)</f>
        <v>0</v>
      </c>
      <c r="AJ31" s="47"/>
      <c r="AK31" s="47"/>
      <c r="AL31" s="47"/>
      <c r="AM31" s="48"/>
      <c r="AN31" s="46" t="s">
        <v>173</v>
      </c>
      <c r="AO31" s="47"/>
      <c r="AP31" s="47"/>
      <c r="AQ31" s="47"/>
      <c r="AR31" s="48"/>
      <c r="AS31" s="46">
        <v>0</v>
      </c>
      <c r="AT31" s="47"/>
      <c r="AU31" s="47"/>
      <c r="AV31" s="47"/>
      <c r="AW31" s="48"/>
      <c r="AX31" s="46">
        <v>0</v>
      </c>
      <c r="AY31" s="47"/>
      <c r="AZ31" s="47"/>
      <c r="BA31" s="48"/>
      <c r="BB31" s="46">
        <f>IF(ISNUMBER(AN31),AN31,0)+IF(ISNUMBER(AS31),AS31,0)</f>
        <v>0</v>
      </c>
      <c r="BC31" s="47"/>
      <c r="BD31" s="47"/>
      <c r="BE31" s="47"/>
      <c r="BF31" s="48"/>
      <c r="BG31" s="46" t="s">
        <v>173</v>
      </c>
      <c r="BH31" s="47"/>
      <c r="BI31" s="47"/>
      <c r="BJ31" s="47"/>
      <c r="BK31" s="48"/>
      <c r="BL31" s="46">
        <v>0</v>
      </c>
      <c r="BM31" s="47"/>
      <c r="BN31" s="47"/>
      <c r="BO31" s="47"/>
      <c r="BP31" s="48"/>
      <c r="BQ31" s="46">
        <v>0</v>
      </c>
      <c r="BR31" s="47"/>
      <c r="BS31" s="47"/>
      <c r="BT31" s="48"/>
      <c r="BU31" s="46">
        <f>IF(ISNUMBER(BG31),BG31,0)+IF(ISNUMBER(BL31),BL31,0)</f>
        <v>0</v>
      </c>
      <c r="BV31" s="47"/>
      <c r="BW31" s="47"/>
      <c r="BX31" s="47"/>
      <c r="BY31" s="48"/>
    </row>
    <row r="32" spans="1:79" s="4" customFormat="1" ht="76.5" customHeight="1" x14ac:dyDescent="0.2">
      <c r="A32" s="34">
        <v>25020200</v>
      </c>
      <c r="B32" s="35"/>
      <c r="C32" s="35"/>
      <c r="D32" s="51"/>
      <c r="E32" s="28" t="s">
        <v>175</v>
      </c>
      <c r="F32" s="29"/>
      <c r="G32" s="29"/>
      <c r="H32" s="29"/>
      <c r="I32" s="29"/>
      <c r="J32" s="29"/>
      <c r="K32" s="29"/>
      <c r="L32" s="29"/>
      <c r="M32" s="29"/>
      <c r="N32" s="29"/>
      <c r="O32" s="29"/>
      <c r="P32" s="29"/>
      <c r="Q32" s="29"/>
      <c r="R32" s="29"/>
      <c r="S32" s="29"/>
      <c r="T32" s="30"/>
      <c r="U32" s="49" t="s">
        <v>173</v>
      </c>
      <c r="V32" s="49"/>
      <c r="W32" s="49"/>
      <c r="X32" s="49"/>
      <c r="Y32" s="49"/>
      <c r="Z32" s="49">
        <v>0</v>
      </c>
      <c r="AA32" s="49"/>
      <c r="AB32" s="49"/>
      <c r="AC32" s="49"/>
      <c r="AD32" s="49"/>
      <c r="AE32" s="46">
        <v>0</v>
      </c>
      <c r="AF32" s="47"/>
      <c r="AG32" s="47"/>
      <c r="AH32" s="48"/>
      <c r="AI32" s="46">
        <f>IF(ISNUMBER(U32),U32,0)+IF(ISNUMBER(Z32),Z32,0)</f>
        <v>0</v>
      </c>
      <c r="AJ32" s="47"/>
      <c r="AK32" s="47"/>
      <c r="AL32" s="47"/>
      <c r="AM32" s="48"/>
      <c r="AN32" s="46" t="s">
        <v>173</v>
      </c>
      <c r="AO32" s="47"/>
      <c r="AP32" s="47"/>
      <c r="AQ32" s="47"/>
      <c r="AR32" s="48"/>
      <c r="AS32" s="46">
        <v>0</v>
      </c>
      <c r="AT32" s="47"/>
      <c r="AU32" s="47"/>
      <c r="AV32" s="47"/>
      <c r="AW32" s="48"/>
      <c r="AX32" s="46">
        <v>0</v>
      </c>
      <c r="AY32" s="47"/>
      <c r="AZ32" s="47"/>
      <c r="BA32" s="48"/>
      <c r="BB32" s="46">
        <f>IF(ISNUMBER(AN32),AN32,0)+IF(ISNUMBER(AS32),AS32,0)</f>
        <v>0</v>
      </c>
      <c r="BC32" s="47"/>
      <c r="BD32" s="47"/>
      <c r="BE32" s="47"/>
      <c r="BF32" s="48"/>
      <c r="BG32" s="46" t="s">
        <v>173</v>
      </c>
      <c r="BH32" s="47"/>
      <c r="BI32" s="47"/>
      <c r="BJ32" s="47"/>
      <c r="BK32" s="48"/>
      <c r="BL32" s="46">
        <v>0</v>
      </c>
      <c r="BM32" s="47"/>
      <c r="BN32" s="47"/>
      <c r="BO32" s="47"/>
      <c r="BP32" s="48"/>
      <c r="BQ32" s="46">
        <v>0</v>
      </c>
      <c r="BR32" s="47"/>
      <c r="BS32" s="47"/>
      <c r="BT32" s="48"/>
      <c r="BU32" s="46">
        <f>IF(ISNUMBER(BG32),BG32,0)+IF(ISNUMBER(BL32),BL32,0)</f>
        <v>0</v>
      </c>
      <c r="BV32" s="47"/>
      <c r="BW32" s="47"/>
      <c r="BX32" s="47"/>
      <c r="BY32" s="48"/>
    </row>
    <row r="33" spans="1:79" s="5" customFormat="1" ht="12.75" customHeight="1" x14ac:dyDescent="0.2">
      <c r="A33" s="36"/>
      <c r="B33" s="37"/>
      <c r="C33" s="37"/>
      <c r="D33" s="50"/>
      <c r="E33" s="22" t="s">
        <v>147</v>
      </c>
      <c r="F33" s="23"/>
      <c r="G33" s="23"/>
      <c r="H33" s="23"/>
      <c r="I33" s="23"/>
      <c r="J33" s="23"/>
      <c r="K33" s="23"/>
      <c r="L33" s="23"/>
      <c r="M33" s="23"/>
      <c r="N33" s="23"/>
      <c r="O33" s="23"/>
      <c r="P33" s="23"/>
      <c r="Q33" s="23"/>
      <c r="R33" s="23"/>
      <c r="S33" s="23"/>
      <c r="T33" s="24"/>
      <c r="U33" s="45">
        <v>6246934</v>
      </c>
      <c r="V33" s="45"/>
      <c r="W33" s="45"/>
      <c r="X33" s="45"/>
      <c r="Y33" s="45"/>
      <c r="Z33" s="45">
        <v>0</v>
      </c>
      <c r="AA33" s="45"/>
      <c r="AB33" s="45"/>
      <c r="AC33" s="45"/>
      <c r="AD33" s="45"/>
      <c r="AE33" s="42">
        <v>0</v>
      </c>
      <c r="AF33" s="43"/>
      <c r="AG33" s="43"/>
      <c r="AH33" s="44"/>
      <c r="AI33" s="42">
        <f>IF(ISNUMBER(U33),U33,0)+IF(ISNUMBER(Z33),Z33,0)</f>
        <v>6246934</v>
      </c>
      <c r="AJ33" s="43"/>
      <c r="AK33" s="43"/>
      <c r="AL33" s="43"/>
      <c r="AM33" s="44"/>
      <c r="AN33" s="42">
        <v>8832955</v>
      </c>
      <c r="AO33" s="43"/>
      <c r="AP33" s="43"/>
      <c r="AQ33" s="43"/>
      <c r="AR33" s="44"/>
      <c r="AS33" s="42">
        <v>0</v>
      </c>
      <c r="AT33" s="43"/>
      <c r="AU33" s="43"/>
      <c r="AV33" s="43"/>
      <c r="AW33" s="44"/>
      <c r="AX33" s="42">
        <v>0</v>
      </c>
      <c r="AY33" s="43"/>
      <c r="AZ33" s="43"/>
      <c r="BA33" s="44"/>
      <c r="BB33" s="42">
        <f>IF(ISNUMBER(AN33),AN33,0)+IF(ISNUMBER(AS33),AS33,0)</f>
        <v>8832955</v>
      </c>
      <c r="BC33" s="43"/>
      <c r="BD33" s="43"/>
      <c r="BE33" s="43"/>
      <c r="BF33" s="44"/>
      <c r="BG33" s="42">
        <v>11888673</v>
      </c>
      <c r="BH33" s="43"/>
      <c r="BI33" s="43"/>
      <c r="BJ33" s="43"/>
      <c r="BK33" s="44"/>
      <c r="BL33" s="42">
        <v>0</v>
      </c>
      <c r="BM33" s="43"/>
      <c r="BN33" s="43"/>
      <c r="BO33" s="43"/>
      <c r="BP33" s="44"/>
      <c r="BQ33" s="42">
        <v>0</v>
      </c>
      <c r="BR33" s="43"/>
      <c r="BS33" s="43"/>
      <c r="BT33" s="44"/>
      <c r="BU33" s="42">
        <f>IF(ISNUMBER(BG33),BG33,0)+IF(ISNUMBER(BL33),BL33,0)</f>
        <v>11888673</v>
      </c>
      <c r="BV33" s="43"/>
      <c r="BW33" s="43"/>
      <c r="BX33" s="43"/>
      <c r="BY33" s="44"/>
    </row>
    <row r="35" spans="1:79" ht="14.25" customHeight="1" x14ac:dyDescent="0.2">
      <c r="A35" s="61" t="s">
        <v>293</v>
      </c>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row>
    <row r="36" spans="1:79" ht="15" customHeight="1" x14ac:dyDescent="0.2">
      <c r="A36" s="76" t="s">
        <v>267</v>
      </c>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row>
    <row r="37" spans="1:79" ht="22.5" customHeight="1" x14ac:dyDescent="0.2">
      <c r="A37" s="77" t="s">
        <v>2</v>
      </c>
      <c r="B37" s="78"/>
      <c r="C37" s="78"/>
      <c r="D37" s="79"/>
      <c r="E37" s="77" t="s">
        <v>19</v>
      </c>
      <c r="F37" s="78"/>
      <c r="G37" s="78"/>
      <c r="H37" s="78"/>
      <c r="I37" s="78"/>
      <c r="J37" s="78"/>
      <c r="K37" s="78"/>
      <c r="L37" s="78"/>
      <c r="M37" s="78"/>
      <c r="N37" s="78"/>
      <c r="O37" s="78"/>
      <c r="P37" s="78"/>
      <c r="Q37" s="78"/>
      <c r="R37" s="78"/>
      <c r="S37" s="78"/>
      <c r="T37" s="78"/>
      <c r="U37" s="78"/>
      <c r="V37" s="78"/>
      <c r="W37" s="79"/>
      <c r="X37" s="73" t="s">
        <v>289</v>
      </c>
      <c r="Y37" s="74"/>
      <c r="Z37" s="74"/>
      <c r="AA37" s="74"/>
      <c r="AB37" s="74"/>
      <c r="AC37" s="74"/>
      <c r="AD37" s="74"/>
      <c r="AE37" s="74"/>
      <c r="AF37" s="74"/>
      <c r="AG37" s="74"/>
      <c r="AH37" s="74"/>
      <c r="AI37" s="74"/>
      <c r="AJ37" s="74"/>
      <c r="AK37" s="74"/>
      <c r="AL37" s="74"/>
      <c r="AM37" s="74"/>
      <c r="AN37" s="74"/>
      <c r="AO37" s="74"/>
      <c r="AP37" s="74"/>
      <c r="AQ37" s="75"/>
      <c r="AR37" s="39" t="s">
        <v>294</v>
      </c>
      <c r="AS37" s="39"/>
      <c r="AT37" s="39"/>
      <c r="AU37" s="39"/>
      <c r="AV37" s="39"/>
      <c r="AW37" s="39"/>
      <c r="AX37" s="39"/>
      <c r="AY37" s="39"/>
      <c r="AZ37" s="39"/>
      <c r="BA37" s="39"/>
      <c r="BB37" s="39"/>
      <c r="BC37" s="39"/>
      <c r="BD37" s="39"/>
      <c r="BE37" s="39"/>
      <c r="BF37" s="39"/>
      <c r="BG37" s="39"/>
      <c r="BH37" s="39"/>
      <c r="BI37" s="39"/>
      <c r="BJ37" s="39"/>
      <c r="BK37" s="39"/>
    </row>
    <row r="38" spans="1:79" ht="36" customHeight="1" x14ac:dyDescent="0.2">
      <c r="A38" s="80"/>
      <c r="B38" s="81"/>
      <c r="C38" s="81"/>
      <c r="D38" s="82"/>
      <c r="E38" s="80"/>
      <c r="F38" s="81"/>
      <c r="G38" s="81"/>
      <c r="H38" s="81"/>
      <c r="I38" s="81"/>
      <c r="J38" s="81"/>
      <c r="K38" s="81"/>
      <c r="L38" s="81"/>
      <c r="M38" s="81"/>
      <c r="N38" s="81"/>
      <c r="O38" s="81"/>
      <c r="P38" s="81"/>
      <c r="Q38" s="81"/>
      <c r="R38" s="81"/>
      <c r="S38" s="81"/>
      <c r="T38" s="81"/>
      <c r="U38" s="81"/>
      <c r="V38" s="81"/>
      <c r="W38" s="82"/>
      <c r="X38" s="39" t="s">
        <v>4</v>
      </c>
      <c r="Y38" s="39"/>
      <c r="Z38" s="39"/>
      <c r="AA38" s="39"/>
      <c r="AB38" s="39"/>
      <c r="AC38" s="39" t="s">
        <v>3</v>
      </c>
      <c r="AD38" s="39"/>
      <c r="AE38" s="39"/>
      <c r="AF38" s="39"/>
      <c r="AG38" s="39"/>
      <c r="AH38" s="96" t="s">
        <v>116</v>
      </c>
      <c r="AI38" s="97"/>
      <c r="AJ38" s="97"/>
      <c r="AK38" s="97"/>
      <c r="AL38" s="98"/>
      <c r="AM38" s="73" t="s">
        <v>5</v>
      </c>
      <c r="AN38" s="74"/>
      <c r="AO38" s="74"/>
      <c r="AP38" s="74"/>
      <c r="AQ38" s="75"/>
      <c r="AR38" s="73" t="s">
        <v>4</v>
      </c>
      <c r="AS38" s="74"/>
      <c r="AT38" s="74"/>
      <c r="AU38" s="74"/>
      <c r="AV38" s="75"/>
      <c r="AW38" s="73" t="s">
        <v>3</v>
      </c>
      <c r="AX38" s="74"/>
      <c r="AY38" s="74"/>
      <c r="AZ38" s="74"/>
      <c r="BA38" s="75"/>
      <c r="BB38" s="96" t="s">
        <v>116</v>
      </c>
      <c r="BC38" s="97"/>
      <c r="BD38" s="97"/>
      <c r="BE38" s="97"/>
      <c r="BF38" s="98"/>
      <c r="BG38" s="73" t="s">
        <v>96</v>
      </c>
      <c r="BH38" s="74"/>
      <c r="BI38" s="74"/>
      <c r="BJ38" s="74"/>
      <c r="BK38" s="75"/>
    </row>
    <row r="39" spans="1:79" ht="15" customHeight="1" x14ac:dyDescent="0.2">
      <c r="A39" s="73">
        <v>1</v>
      </c>
      <c r="B39" s="74"/>
      <c r="C39" s="74"/>
      <c r="D39" s="75"/>
      <c r="E39" s="73">
        <v>2</v>
      </c>
      <c r="F39" s="74"/>
      <c r="G39" s="74"/>
      <c r="H39" s="74"/>
      <c r="I39" s="74"/>
      <c r="J39" s="74"/>
      <c r="K39" s="74"/>
      <c r="L39" s="74"/>
      <c r="M39" s="74"/>
      <c r="N39" s="74"/>
      <c r="O39" s="74"/>
      <c r="P39" s="74"/>
      <c r="Q39" s="74"/>
      <c r="R39" s="74"/>
      <c r="S39" s="74"/>
      <c r="T39" s="74"/>
      <c r="U39" s="74"/>
      <c r="V39" s="74"/>
      <c r="W39" s="75"/>
      <c r="X39" s="39">
        <v>3</v>
      </c>
      <c r="Y39" s="39"/>
      <c r="Z39" s="39"/>
      <c r="AA39" s="39"/>
      <c r="AB39" s="39"/>
      <c r="AC39" s="39">
        <v>4</v>
      </c>
      <c r="AD39" s="39"/>
      <c r="AE39" s="39"/>
      <c r="AF39" s="39"/>
      <c r="AG39" s="39"/>
      <c r="AH39" s="39">
        <v>5</v>
      </c>
      <c r="AI39" s="39"/>
      <c r="AJ39" s="39"/>
      <c r="AK39" s="39"/>
      <c r="AL39" s="39"/>
      <c r="AM39" s="39">
        <v>6</v>
      </c>
      <c r="AN39" s="39"/>
      <c r="AO39" s="39"/>
      <c r="AP39" s="39"/>
      <c r="AQ39" s="39"/>
      <c r="AR39" s="73">
        <v>7</v>
      </c>
      <c r="AS39" s="74"/>
      <c r="AT39" s="74"/>
      <c r="AU39" s="74"/>
      <c r="AV39" s="75"/>
      <c r="AW39" s="73">
        <v>8</v>
      </c>
      <c r="AX39" s="74"/>
      <c r="AY39" s="74"/>
      <c r="AZ39" s="74"/>
      <c r="BA39" s="75"/>
      <c r="BB39" s="73">
        <v>9</v>
      </c>
      <c r="BC39" s="74"/>
      <c r="BD39" s="74"/>
      <c r="BE39" s="74"/>
      <c r="BF39" s="75"/>
      <c r="BG39" s="73">
        <v>10</v>
      </c>
      <c r="BH39" s="74"/>
      <c r="BI39" s="74"/>
      <c r="BJ39" s="74"/>
      <c r="BK39" s="75"/>
    </row>
    <row r="40" spans="1:79" ht="20.25" hidden="1" customHeight="1" x14ac:dyDescent="0.2">
      <c r="A40" s="87" t="s">
        <v>56</v>
      </c>
      <c r="B40" s="88"/>
      <c r="C40" s="88"/>
      <c r="D40" s="89"/>
      <c r="E40" s="87" t="s">
        <v>57</v>
      </c>
      <c r="F40" s="88"/>
      <c r="G40" s="88"/>
      <c r="H40" s="88"/>
      <c r="I40" s="88"/>
      <c r="J40" s="88"/>
      <c r="K40" s="88"/>
      <c r="L40" s="88"/>
      <c r="M40" s="88"/>
      <c r="N40" s="88"/>
      <c r="O40" s="88"/>
      <c r="P40" s="88"/>
      <c r="Q40" s="88"/>
      <c r="R40" s="88"/>
      <c r="S40" s="88"/>
      <c r="T40" s="88"/>
      <c r="U40" s="88"/>
      <c r="V40" s="88"/>
      <c r="W40" s="89"/>
      <c r="X40" s="65" t="s">
        <v>60</v>
      </c>
      <c r="Y40" s="65"/>
      <c r="Z40" s="65"/>
      <c r="AA40" s="65"/>
      <c r="AB40" s="65"/>
      <c r="AC40" s="65" t="s">
        <v>61</v>
      </c>
      <c r="AD40" s="65"/>
      <c r="AE40" s="65"/>
      <c r="AF40" s="65"/>
      <c r="AG40" s="65"/>
      <c r="AH40" s="87" t="s">
        <v>94</v>
      </c>
      <c r="AI40" s="88"/>
      <c r="AJ40" s="88"/>
      <c r="AK40" s="88"/>
      <c r="AL40" s="89"/>
      <c r="AM40" s="93" t="s">
        <v>170</v>
      </c>
      <c r="AN40" s="94"/>
      <c r="AO40" s="94"/>
      <c r="AP40" s="94"/>
      <c r="AQ40" s="95"/>
      <c r="AR40" s="87" t="s">
        <v>62</v>
      </c>
      <c r="AS40" s="88"/>
      <c r="AT40" s="88"/>
      <c r="AU40" s="88"/>
      <c r="AV40" s="89"/>
      <c r="AW40" s="87" t="s">
        <v>63</v>
      </c>
      <c r="AX40" s="88"/>
      <c r="AY40" s="88"/>
      <c r="AZ40" s="88"/>
      <c r="BA40" s="89"/>
      <c r="BB40" s="87" t="s">
        <v>95</v>
      </c>
      <c r="BC40" s="88"/>
      <c r="BD40" s="88"/>
      <c r="BE40" s="88"/>
      <c r="BF40" s="89"/>
      <c r="BG40" s="93" t="s">
        <v>170</v>
      </c>
      <c r="BH40" s="94"/>
      <c r="BI40" s="94"/>
      <c r="BJ40" s="94"/>
      <c r="BK40" s="95"/>
      <c r="CA40" t="s">
        <v>23</v>
      </c>
    </row>
    <row r="41" spans="1:79" s="4" customFormat="1" ht="12.75" customHeight="1" x14ac:dyDescent="0.2">
      <c r="A41" s="34"/>
      <c r="B41" s="35"/>
      <c r="C41" s="35"/>
      <c r="D41" s="51"/>
      <c r="E41" s="28" t="s">
        <v>172</v>
      </c>
      <c r="F41" s="29"/>
      <c r="G41" s="29"/>
      <c r="H41" s="29"/>
      <c r="I41" s="29"/>
      <c r="J41" s="29"/>
      <c r="K41" s="29"/>
      <c r="L41" s="29"/>
      <c r="M41" s="29"/>
      <c r="N41" s="29"/>
      <c r="O41" s="29"/>
      <c r="P41" s="29"/>
      <c r="Q41" s="29"/>
      <c r="R41" s="29"/>
      <c r="S41" s="29"/>
      <c r="T41" s="29"/>
      <c r="U41" s="29"/>
      <c r="V41" s="29"/>
      <c r="W41" s="30"/>
      <c r="X41" s="46">
        <v>12078514</v>
      </c>
      <c r="Y41" s="47"/>
      <c r="Z41" s="47"/>
      <c r="AA41" s="47"/>
      <c r="AB41" s="48"/>
      <c r="AC41" s="46" t="s">
        <v>173</v>
      </c>
      <c r="AD41" s="47"/>
      <c r="AE41" s="47"/>
      <c r="AF41" s="47"/>
      <c r="AG41" s="48"/>
      <c r="AH41" s="46" t="s">
        <v>173</v>
      </c>
      <c r="AI41" s="47"/>
      <c r="AJ41" s="47"/>
      <c r="AK41" s="47"/>
      <c r="AL41" s="48"/>
      <c r="AM41" s="46">
        <f>IF(ISNUMBER(X41),X41,0)+IF(ISNUMBER(AC41),AC41,0)</f>
        <v>12078514</v>
      </c>
      <c r="AN41" s="47"/>
      <c r="AO41" s="47"/>
      <c r="AP41" s="47"/>
      <c r="AQ41" s="48"/>
      <c r="AR41" s="46">
        <v>12247110</v>
      </c>
      <c r="AS41" s="47"/>
      <c r="AT41" s="47"/>
      <c r="AU41" s="47"/>
      <c r="AV41" s="48"/>
      <c r="AW41" s="46" t="s">
        <v>173</v>
      </c>
      <c r="AX41" s="47"/>
      <c r="AY41" s="47"/>
      <c r="AZ41" s="47"/>
      <c r="BA41" s="48"/>
      <c r="BB41" s="46" t="s">
        <v>173</v>
      </c>
      <c r="BC41" s="47"/>
      <c r="BD41" s="47"/>
      <c r="BE41" s="47"/>
      <c r="BF41" s="48"/>
      <c r="BG41" s="49">
        <f>IF(ISNUMBER(AR41),AR41,0)+IF(ISNUMBER(AW41),AW41,0)</f>
        <v>12247110</v>
      </c>
      <c r="BH41" s="49"/>
      <c r="BI41" s="49"/>
      <c r="BJ41" s="49"/>
      <c r="BK41" s="49"/>
      <c r="CA41" s="4" t="s">
        <v>24</v>
      </c>
    </row>
    <row r="42" spans="1:79" s="4" customFormat="1" ht="25.5" customHeight="1" x14ac:dyDescent="0.2">
      <c r="A42" s="34"/>
      <c r="B42" s="35"/>
      <c r="C42" s="35"/>
      <c r="D42" s="51"/>
      <c r="E42" s="28" t="s">
        <v>174</v>
      </c>
      <c r="F42" s="29"/>
      <c r="G42" s="29"/>
      <c r="H42" s="29"/>
      <c r="I42" s="29"/>
      <c r="J42" s="29"/>
      <c r="K42" s="29"/>
      <c r="L42" s="29"/>
      <c r="M42" s="29"/>
      <c r="N42" s="29"/>
      <c r="O42" s="29"/>
      <c r="P42" s="29"/>
      <c r="Q42" s="29"/>
      <c r="R42" s="29"/>
      <c r="S42" s="29"/>
      <c r="T42" s="29"/>
      <c r="U42" s="29"/>
      <c r="V42" s="29"/>
      <c r="W42" s="30"/>
      <c r="X42" s="46" t="s">
        <v>173</v>
      </c>
      <c r="Y42" s="47"/>
      <c r="Z42" s="47"/>
      <c r="AA42" s="47"/>
      <c r="AB42" s="48"/>
      <c r="AC42" s="46">
        <v>0</v>
      </c>
      <c r="AD42" s="47"/>
      <c r="AE42" s="47"/>
      <c r="AF42" s="47"/>
      <c r="AG42" s="48"/>
      <c r="AH42" s="46">
        <v>0</v>
      </c>
      <c r="AI42" s="47"/>
      <c r="AJ42" s="47"/>
      <c r="AK42" s="47"/>
      <c r="AL42" s="48"/>
      <c r="AM42" s="46">
        <f>IF(ISNUMBER(X42),X42,0)+IF(ISNUMBER(AC42),AC42,0)</f>
        <v>0</v>
      </c>
      <c r="AN42" s="47"/>
      <c r="AO42" s="47"/>
      <c r="AP42" s="47"/>
      <c r="AQ42" s="48"/>
      <c r="AR42" s="46" t="s">
        <v>173</v>
      </c>
      <c r="AS42" s="47"/>
      <c r="AT42" s="47"/>
      <c r="AU42" s="47"/>
      <c r="AV42" s="48"/>
      <c r="AW42" s="46">
        <v>0</v>
      </c>
      <c r="AX42" s="47"/>
      <c r="AY42" s="47"/>
      <c r="AZ42" s="47"/>
      <c r="BA42" s="48"/>
      <c r="BB42" s="46">
        <v>0</v>
      </c>
      <c r="BC42" s="47"/>
      <c r="BD42" s="47"/>
      <c r="BE42" s="47"/>
      <c r="BF42" s="48"/>
      <c r="BG42" s="49">
        <f>IF(ISNUMBER(AR42),AR42,0)+IF(ISNUMBER(AW42),AW42,0)</f>
        <v>0</v>
      </c>
      <c r="BH42" s="49"/>
      <c r="BI42" s="49"/>
      <c r="BJ42" s="49"/>
      <c r="BK42" s="49"/>
    </row>
    <row r="43" spans="1:79" s="4" customFormat="1" ht="63.75" customHeight="1" x14ac:dyDescent="0.2">
      <c r="A43" s="34">
        <v>25020200</v>
      </c>
      <c r="B43" s="35"/>
      <c r="C43" s="35"/>
      <c r="D43" s="51"/>
      <c r="E43" s="28" t="s">
        <v>175</v>
      </c>
      <c r="F43" s="29"/>
      <c r="G43" s="29"/>
      <c r="H43" s="29"/>
      <c r="I43" s="29"/>
      <c r="J43" s="29"/>
      <c r="K43" s="29"/>
      <c r="L43" s="29"/>
      <c r="M43" s="29"/>
      <c r="N43" s="29"/>
      <c r="O43" s="29"/>
      <c r="P43" s="29"/>
      <c r="Q43" s="29"/>
      <c r="R43" s="29"/>
      <c r="S43" s="29"/>
      <c r="T43" s="29"/>
      <c r="U43" s="29"/>
      <c r="V43" s="29"/>
      <c r="W43" s="30"/>
      <c r="X43" s="46" t="s">
        <v>173</v>
      </c>
      <c r="Y43" s="47"/>
      <c r="Z43" s="47"/>
      <c r="AA43" s="47"/>
      <c r="AB43" s="48"/>
      <c r="AC43" s="46">
        <v>0</v>
      </c>
      <c r="AD43" s="47"/>
      <c r="AE43" s="47"/>
      <c r="AF43" s="47"/>
      <c r="AG43" s="48"/>
      <c r="AH43" s="46">
        <v>0</v>
      </c>
      <c r="AI43" s="47"/>
      <c r="AJ43" s="47"/>
      <c r="AK43" s="47"/>
      <c r="AL43" s="48"/>
      <c r="AM43" s="46">
        <f>IF(ISNUMBER(X43),X43,0)+IF(ISNUMBER(AC43),AC43,0)</f>
        <v>0</v>
      </c>
      <c r="AN43" s="47"/>
      <c r="AO43" s="47"/>
      <c r="AP43" s="47"/>
      <c r="AQ43" s="48"/>
      <c r="AR43" s="46" t="s">
        <v>173</v>
      </c>
      <c r="AS43" s="47"/>
      <c r="AT43" s="47"/>
      <c r="AU43" s="47"/>
      <c r="AV43" s="48"/>
      <c r="AW43" s="46">
        <v>0</v>
      </c>
      <c r="AX43" s="47"/>
      <c r="AY43" s="47"/>
      <c r="AZ43" s="47"/>
      <c r="BA43" s="48"/>
      <c r="BB43" s="46">
        <v>0</v>
      </c>
      <c r="BC43" s="47"/>
      <c r="BD43" s="47"/>
      <c r="BE43" s="47"/>
      <c r="BF43" s="48"/>
      <c r="BG43" s="49">
        <f>IF(ISNUMBER(AR43),AR43,0)+IF(ISNUMBER(AW43),AW43,0)</f>
        <v>0</v>
      </c>
      <c r="BH43" s="49"/>
      <c r="BI43" s="49"/>
      <c r="BJ43" s="49"/>
      <c r="BK43" s="49"/>
    </row>
    <row r="44" spans="1:79" s="5" customFormat="1" ht="12.75" customHeight="1" x14ac:dyDescent="0.2">
      <c r="A44" s="36"/>
      <c r="B44" s="37"/>
      <c r="C44" s="37"/>
      <c r="D44" s="50"/>
      <c r="E44" s="22" t="s">
        <v>147</v>
      </c>
      <c r="F44" s="23"/>
      <c r="G44" s="23"/>
      <c r="H44" s="23"/>
      <c r="I44" s="23"/>
      <c r="J44" s="23"/>
      <c r="K44" s="23"/>
      <c r="L44" s="23"/>
      <c r="M44" s="23"/>
      <c r="N44" s="23"/>
      <c r="O44" s="23"/>
      <c r="P44" s="23"/>
      <c r="Q44" s="23"/>
      <c r="R44" s="23"/>
      <c r="S44" s="23"/>
      <c r="T44" s="23"/>
      <c r="U44" s="23"/>
      <c r="V44" s="23"/>
      <c r="W44" s="24"/>
      <c r="X44" s="42">
        <v>12078514</v>
      </c>
      <c r="Y44" s="43"/>
      <c r="Z44" s="43"/>
      <c r="AA44" s="43"/>
      <c r="AB44" s="44"/>
      <c r="AC44" s="42">
        <v>0</v>
      </c>
      <c r="AD44" s="43"/>
      <c r="AE44" s="43"/>
      <c r="AF44" s="43"/>
      <c r="AG44" s="44"/>
      <c r="AH44" s="42">
        <v>0</v>
      </c>
      <c r="AI44" s="43"/>
      <c r="AJ44" s="43"/>
      <c r="AK44" s="43"/>
      <c r="AL44" s="44"/>
      <c r="AM44" s="42">
        <f>IF(ISNUMBER(X44),X44,0)+IF(ISNUMBER(AC44),AC44,0)</f>
        <v>12078514</v>
      </c>
      <c r="AN44" s="43"/>
      <c r="AO44" s="43"/>
      <c r="AP44" s="43"/>
      <c r="AQ44" s="44"/>
      <c r="AR44" s="42">
        <v>12247110</v>
      </c>
      <c r="AS44" s="43"/>
      <c r="AT44" s="43"/>
      <c r="AU44" s="43"/>
      <c r="AV44" s="44"/>
      <c r="AW44" s="42">
        <v>0</v>
      </c>
      <c r="AX44" s="43"/>
      <c r="AY44" s="43"/>
      <c r="AZ44" s="43"/>
      <c r="BA44" s="44"/>
      <c r="BB44" s="42">
        <v>0</v>
      </c>
      <c r="BC44" s="43"/>
      <c r="BD44" s="43"/>
      <c r="BE44" s="43"/>
      <c r="BF44" s="44"/>
      <c r="BG44" s="45">
        <f>IF(ISNUMBER(AR44),AR44,0)+IF(ISNUMBER(AW44),AW44,0)</f>
        <v>12247110</v>
      </c>
      <c r="BH44" s="45"/>
      <c r="BI44" s="45"/>
      <c r="BJ44" s="45"/>
      <c r="BK44" s="45"/>
    </row>
    <row r="46" spans="1:79" s="3" customFormat="1" ht="14.25" customHeight="1" x14ac:dyDescent="0.2">
      <c r="A46" s="61" t="s">
        <v>117</v>
      </c>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8"/>
    </row>
    <row r="47" spans="1:79" ht="14.25" customHeight="1" x14ac:dyDescent="0.2">
      <c r="A47" s="61" t="s">
        <v>280</v>
      </c>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c r="AC47" s="61"/>
      <c r="AD47" s="61"/>
      <c r="AE47" s="61"/>
      <c r="AF47" s="61"/>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1"/>
    </row>
    <row r="48" spans="1:79" ht="15" customHeight="1" x14ac:dyDescent="0.2">
      <c r="A48" s="66" t="s">
        <v>267</v>
      </c>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6"/>
    </row>
    <row r="49" spans="1:79" ht="23.1" customHeight="1" x14ac:dyDescent="0.2">
      <c r="A49" s="102" t="s">
        <v>118</v>
      </c>
      <c r="B49" s="103"/>
      <c r="C49" s="103"/>
      <c r="D49" s="104"/>
      <c r="E49" s="39" t="s">
        <v>19</v>
      </c>
      <c r="F49" s="39"/>
      <c r="G49" s="39"/>
      <c r="H49" s="39"/>
      <c r="I49" s="39"/>
      <c r="J49" s="39"/>
      <c r="K49" s="39"/>
      <c r="L49" s="39"/>
      <c r="M49" s="39"/>
      <c r="N49" s="39"/>
      <c r="O49" s="39"/>
      <c r="P49" s="39"/>
      <c r="Q49" s="39"/>
      <c r="R49" s="39"/>
      <c r="S49" s="39"/>
      <c r="T49" s="39"/>
      <c r="U49" s="73" t="s">
        <v>268</v>
      </c>
      <c r="V49" s="74"/>
      <c r="W49" s="74"/>
      <c r="X49" s="74"/>
      <c r="Y49" s="74"/>
      <c r="Z49" s="74"/>
      <c r="AA49" s="74"/>
      <c r="AB49" s="74"/>
      <c r="AC49" s="74"/>
      <c r="AD49" s="74"/>
      <c r="AE49" s="74"/>
      <c r="AF49" s="74"/>
      <c r="AG49" s="74"/>
      <c r="AH49" s="74"/>
      <c r="AI49" s="74"/>
      <c r="AJ49" s="74"/>
      <c r="AK49" s="74"/>
      <c r="AL49" s="74"/>
      <c r="AM49" s="75"/>
      <c r="AN49" s="73" t="s">
        <v>271</v>
      </c>
      <c r="AO49" s="74"/>
      <c r="AP49" s="74"/>
      <c r="AQ49" s="74"/>
      <c r="AR49" s="74"/>
      <c r="AS49" s="74"/>
      <c r="AT49" s="74"/>
      <c r="AU49" s="74"/>
      <c r="AV49" s="74"/>
      <c r="AW49" s="74"/>
      <c r="AX49" s="74"/>
      <c r="AY49" s="74"/>
      <c r="AZ49" s="74"/>
      <c r="BA49" s="74"/>
      <c r="BB49" s="74"/>
      <c r="BC49" s="74"/>
      <c r="BD49" s="74"/>
      <c r="BE49" s="74"/>
      <c r="BF49" s="75"/>
      <c r="BG49" s="73" t="s">
        <v>279</v>
      </c>
      <c r="BH49" s="74"/>
      <c r="BI49" s="74"/>
      <c r="BJ49" s="74"/>
      <c r="BK49" s="74"/>
      <c r="BL49" s="74"/>
      <c r="BM49" s="74"/>
      <c r="BN49" s="74"/>
      <c r="BO49" s="74"/>
      <c r="BP49" s="74"/>
      <c r="BQ49" s="74"/>
      <c r="BR49" s="74"/>
      <c r="BS49" s="74"/>
      <c r="BT49" s="74"/>
      <c r="BU49" s="74"/>
      <c r="BV49" s="74"/>
      <c r="BW49" s="74"/>
      <c r="BX49" s="74"/>
      <c r="BY49" s="75"/>
    </row>
    <row r="50" spans="1:79" ht="48.75" customHeight="1" x14ac:dyDescent="0.2">
      <c r="A50" s="105"/>
      <c r="B50" s="106"/>
      <c r="C50" s="106"/>
      <c r="D50" s="107"/>
      <c r="E50" s="39"/>
      <c r="F50" s="39"/>
      <c r="G50" s="39"/>
      <c r="H50" s="39"/>
      <c r="I50" s="39"/>
      <c r="J50" s="39"/>
      <c r="K50" s="39"/>
      <c r="L50" s="39"/>
      <c r="M50" s="39"/>
      <c r="N50" s="39"/>
      <c r="O50" s="39"/>
      <c r="P50" s="39"/>
      <c r="Q50" s="39"/>
      <c r="R50" s="39"/>
      <c r="S50" s="39"/>
      <c r="T50" s="39"/>
      <c r="U50" s="73" t="s">
        <v>4</v>
      </c>
      <c r="V50" s="74"/>
      <c r="W50" s="74"/>
      <c r="X50" s="74"/>
      <c r="Y50" s="75"/>
      <c r="Z50" s="73" t="s">
        <v>3</v>
      </c>
      <c r="AA50" s="74"/>
      <c r="AB50" s="74"/>
      <c r="AC50" s="74"/>
      <c r="AD50" s="75"/>
      <c r="AE50" s="96" t="s">
        <v>116</v>
      </c>
      <c r="AF50" s="97"/>
      <c r="AG50" s="97"/>
      <c r="AH50" s="98"/>
      <c r="AI50" s="73" t="s">
        <v>5</v>
      </c>
      <c r="AJ50" s="74"/>
      <c r="AK50" s="74"/>
      <c r="AL50" s="74"/>
      <c r="AM50" s="75"/>
      <c r="AN50" s="73" t="s">
        <v>4</v>
      </c>
      <c r="AO50" s="74"/>
      <c r="AP50" s="74"/>
      <c r="AQ50" s="74"/>
      <c r="AR50" s="75"/>
      <c r="AS50" s="73" t="s">
        <v>3</v>
      </c>
      <c r="AT50" s="74"/>
      <c r="AU50" s="74"/>
      <c r="AV50" s="74"/>
      <c r="AW50" s="75"/>
      <c r="AX50" s="96" t="s">
        <v>116</v>
      </c>
      <c r="AY50" s="97"/>
      <c r="AZ50" s="97"/>
      <c r="BA50" s="98"/>
      <c r="BB50" s="73" t="s">
        <v>96</v>
      </c>
      <c r="BC50" s="74"/>
      <c r="BD50" s="74"/>
      <c r="BE50" s="74"/>
      <c r="BF50" s="75"/>
      <c r="BG50" s="73" t="s">
        <v>4</v>
      </c>
      <c r="BH50" s="74"/>
      <c r="BI50" s="74"/>
      <c r="BJ50" s="74"/>
      <c r="BK50" s="75"/>
      <c r="BL50" s="73" t="s">
        <v>3</v>
      </c>
      <c r="BM50" s="74"/>
      <c r="BN50" s="74"/>
      <c r="BO50" s="74"/>
      <c r="BP50" s="75"/>
      <c r="BQ50" s="96" t="s">
        <v>116</v>
      </c>
      <c r="BR50" s="97"/>
      <c r="BS50" s="97"/>
      <c r="BT50" s="98"/>
      <c r="BU50" s="73" t="s">
        <v>97</v>
      </c>
      <c r="BV50" s="74"/>
      <c r="BW50" s="74"/>
      <c r="BX50" s="74"/>
      <c r="BY50" s="75"/>
    </row>
    <row r="51" spans="1:79" ht="15" customHeight="1" x14ac:dyDescent="0.2">
      <c r="A51" s="73">
        <v>1</v>
      </c>
      <c r="B51" s="74"/>
      <c r="C51" s="74"/>
      <c r="D51" s="75"/>
      <c r="E51" s="73">
        <v>2</v>
      </c>
      <c r="F51" s="74"/>
      <c r="G51" s="74"/>
      <c r="H51" s="74"/>
      <c r="I51" s="74"/>
      <c r="J51" s="74"/>
      <c r="K51" s="74"/>
      <c r="L51" s="74"/>
      <c r="M51" s="74"/>
      <c r="N51" s="74"/>
      <c r="O51" s="74"/>
      <c r="P51" s="74"/>
      <c r="Q51" s="74"/>
      <c r="R51" s="74"/>
      <c r="S51" s="74"/>
      <c r="T51" s="75"/>
      <c r="U51" s="73">
        <v>3</v>
      </c>
      <c r="V51" s="74"/>
      <c r="W51" s="74"/>
      <c r="X51" s="74"/>
      <c r="Y51" s="75"/>
      <c r="Z51" s="73">
        <v>4</v>
      </c>
      <c r="AA51" s="74"/>
      <c r="AB51" s="74"/>
      <c r="AC51" s="74"/>
      <c r="AD51" s="75"/>
      <c r="AE51" s="73">
        <v>5</v>
      </c>
      <c r="AF51" s="74"/>
      <c r="AG51" s="74"/>
      <c r="AH51" s="75"/>
      <c r="AI51" s="73">
        <v>6</v>
      </c>
      <c r="AJ51" s="74"/>
      <c r="AK51" s="74"/>
      <c r="AL51" s="74"/>
      <c r="AM51" s="75"/>
      <c r="AN51" s="73">
        <v>7</v>
      </c>
      <c r="AO51" s="74"/>
      <c r="AP51" s="74"/>
      <c r="AQ51" s="74"/>
      <c r="AR51" s="75"/>
      <c r="AS51" s="73">
        <v>8</v>
      </c>
      <c r="AT51" s="74"/>
      <c r="AU51" s="74"/>
      <c r="AV51" s="74"/>
      <c r="AW51" s="75"/>
      <c r="AX51" s="73">
        <v>9</v>
      </c>
      <c r="AY51" s="74"/>
      <c r="AZ51" s="74"/>
      <c r="BA51" s="75"/>
      <c r="BB51" s="73">
        <v>10</v>
      </c>
      <c r="BC51" s="74"/>
      <c r="BD51" s="74"/>
      <c r="BE51" s="74"/>
      <c r="BF51" s="75"/>
      <c r="BG51" s="73">
        <v>11</v>
      </c>
      <c r="BH51" s="74"/>
      <c r="BI51" s="74"/>
      <c r="BJ51" s="74"/>
      <c r="BK51" s="75"/>
      <c r="BL51" s="73">
        <v>12</v>
      </c>
      <c r="BM51" s="74"/>
      <c r="BN51" s="74"/>
      <c r="BO51" s="74"/>
      <c r="BP51" s="75"/>
      <c r="BQ51" s="73">
        <v>13</v>
      </c>
      <c r="BR51" s="74"/>
      <c r="BS51" s="74"/>
      <c r="BT51" s="75"/>
      <c r="BU51" s="73">
        <v>14</v>
      </c>
      <c r="BV51" s="74"/>
      <c r="BW51" s="74"/>
      <c r="BX51" s="74"/>
      <c r="BY51" s="75"/>
    </row>
    <row r="52" spans="1:79" s="1" customFormat="1" ht="12.75" hidden="1" customHeight="1" x14ac:dyDescent="0.2">
      <c r="A52" s="87" t="s">
        <v>64</v>
      </c>
      <c r="B52" s="88"/>
      <c r="C52" s="88"/>
      <c r="D52" s="89"/>
      <c r="E52" s="87" t="s">
        <v>57</v>
      </c>
      <c r="F52" s="88"/>
      <c r="G52" s="88"/>
      <c r="H52" s="88"/>
      <c r="I52" s="88"/>
      <c r="J52" s="88"/>
      <c r="K52" s="88"/>
      <c r="L52" s="88"/>
      <c r="M52" s="88"/>
      <c r="N52" s="88"/>
      <c r="O52" s="88"/>
      <c r="P52" s="88"/>
      <c r="Q52" s="88"/>
      <c r="R52" s="88"/>
      <c r="S52" s="88"/>
      <c r="T52" s="89"/>
      <c r="U52" s="87" t="s">
        <v>65</v>
      </c>
      <c r="V52" s="88"/>
      <c r="W52" s="88"/>
      <c r="X52" s="88"/>
      <c r="Y52" s="89"/>
      <c r="Z52" s="87" t="s">
        <v>66</v>
      </c>
      <c r="AA52" s="88"/>
      <c r="AB52" s="88"/>
      <c r="AC52" s="88"/>
      <c r="AD52" s="89"/>
      <c r="AE52" s="87" t="s">
        <v>91</v>
      </c>
      <c r="AF52" s="88"/>
      <c r="AG52" s="88"/>
      <c r="AH52" s="89"/>
      <c r="AI52" s="93" t="s">
        <v>169</v>
      </c>
      <c r="AJ52" s="94"/>
      <c r="AK52" s="94"/>
      <c r="AL52" s="94"/>
      <c r="AM52" s="95"/>
      <c r="AN52" s="87" t="s">
        <v>67</v>
      </c>
      <c r="AO52" s="88"/>
      <c r="AP52" s="88"/>
      <c r="AQ52" s="88"/>
      <c r="AR52" s="89"/>
      <c r="AS52" s="87" t="s">
        <v>68</v>
      </c>
      <c r="AT52" s="88"/>
      <c r="AU52" s="88"/>
      <c r="AV52" s="88"/>
      <c r="AW52" s="89"/>
      <c r="AX52" s="87" t="s">
        <v>92</v>
      </c>
      <c r="AY52" s="88"/>
      <c r="AZ52" s="88"/>
      <c r="BA52" s="89"/>
      <c r="BB52" s="93" t="s">
        <v>169</v>
      </c>
      <c r="BC52" s="94"/>
      <c r="BD52" s="94"/>
      <c r="BE52" s="94"/>
      <c r="BF52" s="95"/>
      <c r="BG52" s="87" t="s">
        <v>58</v>
      </c>
      <c r="BH52" s="88"/>
      <c r="BI52" s="88"/>
      <c r="BJ52" s="88"/>
      <c r="BK52" s="89"/>
      <c r="BL52" s="87" t="s">
        <v>59</v>
      </c>
      <c r="BM52" s="88"/>
      <c r="BN52" s="88"/>
      <c r="BO52" s="88"/>
      <c r="BP52" s="89"/>
      <c r="BQ52" s="87" t="s">
        <v>93</v>
      </c>
      <c r="BR52" s="88"/>
      <c r="BS52" s="88"/>
      <c r="BT52" s="89"/>
      <c r="BU52" s="93" t="s">
        <v>169</v>
      </c>
      <c r="BV52" s="94"/>
      <c r="BW52" s="94"/>
      <c r="BX52" s="94"/>
      <c r="BY52" s="95"/>
      <c r="CA52" t="s">
        <v>25</v>
      </c>
    </row>
    <row r="53" spans="1:79" s="4" customFormat="1" ht="12.75" customHeight="1" x14ac:dyDescent="0.2">
      <c r="A53" s="34">
        <v>2111</v>
      </c>
      <c r="B53" s="35"/>
      <c r="C53" s="35"/>
      <c r="D53" s="51"/>
      <c r="E53" s="28" t="s">
        <v>176</v>
      </c>
      <c r="F53" s="29"/>
      <c r="G53" s="29"/>
      <c r="H53" s="29"/>
      <c r="I53" s="29"/>
      <c r="J53" s="29"/>
      <c r="K53" s="29"/>
      <c r="L53" s="29"/>
      <c r="M53" s="29"/>
      <c r="N53" s="29"/>
      <c r="O53" s="29"/>
      <c r="P53" s="29"/>
      <c r="Q53" s="29"/>
      <c r="R53" s="29"/>
      <c r="S53" s="29"/>
      <c r="T53" s="30"/>
      <c r="U53" s="46">
        <v>4084707</v>
      </c>
      <c r="V53" s="47"/>
      <c r="W53" s="47"/>
      <c r="X53" s="47"/>
      <c r="Y53" s="48"/>
      <c r="Z53" s="46">
        <v>0</v>
      </c>
      <c r="AA53" s="47"/>
      <c r="AB53" s="47"/>
      <c r="AC53" s="47"/>
      <c r="AD53" s="48"/>
      <c r="AE53" s="46">
        <v>0</v>
      </c>
      <c r="AF53" s="47"/>
      <c r="AG53" s="47"/>
      <c r="AH53" s="48"/>
      <c r="AI53" s="46">
        <f t="shared" ref="AI53:AI64" si="0">IF(ISNUMBER(U53),U53,0)+IF(ISNUMBER(Z53),Z53,0)</f>
        <v>4084707</v>
      </c>
      <c r="AJ53" s="47"/>
      <c r="AK53" s="47"/>
      <c r="AL53" s="47"/>
      <c r="AM53" s="48"/>
      <c r="AN53" s="46">
        <v>6083915</v>
      </c>
      <c r="AO53" s="47"/>
      <c r="AP53" s="47"/>
      <c r="AQ53" s="47"/>
      <c r="AR53" s="48"/>
      <c r="AS53" s="46">
        <v>0</v>
      </c>
      <c r="AT53" s="47"/>
      <c r="AU53" s="47"/>
      <c r="AV53" s="47"/>
      <c r="AW53" s="48"/>
      <c r="AX53" s="46">
        <v>0</v>
      </c>
      <c r="AY53" s="47"/>
      <c r="AZ53" s="47"/>
      <c r="BA53" s="48"/>
      <c r="BB53" s="46">
        <f t="shared" ref="BB53:BB64" si="1">IF(ISNUMBER(AN53),AN53,0)+IF(ISNUMBER(AS53),AS53,0)</f>
        <v>6083915</v>
      </c>
      <c r="BC53" s="47"/>
      <c r="BD53" s="47"/>
      <c r="BE53" s="47"/>
      <c r="BF53" s="48"/>
      <c r="BG53" s="46">
        <v>8173017</v>
      </c>
      <c r="BH53" s="47"/>
      <c r="BI53" s="47"/>
      <c r="BJ53" s="47"/>
      <c r="BK53" s="48"/>
      <c r="BL53" s="46">
        <v>0</v>
      </c>
      <c r="BM53" s="47"/>
      <c r="BN53" s="47"/>
      <c r="BO53" s="47"/>
      <c r="BP53" s="48"/>
      <c r="BQ53" s="46">
        <v>0</v>
      </c>
      <c r="BR53" s="47"/>
      <c r="BS53" s="47"/>
      <c r="BT53" s="48"/>
      <c r="BU53" s="46">
        <f t="shared" ref="BU53:BU64" si="2">IF(ISNUMBER(BG53),BG53,0)+IF(ISNUMBER(BL53),BL53,0)</f>
        <v>8173017</v>
      </c>
      <c r="BV53" s="47"/>
      <c r="BW53" s="47"/>
      <c r="BX53" s="47"/>
      <c r="BY53" s="48"/>
      <c r="CA53" s="4" t="s">
        <v>26</v>
      </c>
    </row>
    <row r="54" spans="1:79" s="4" customFormat="1" ht="12.75" customHeight="1" x14ac:dyDescent="0.2">
      <c r="A54" s="34">
        <v>2120</v>
      </c>
      <c r="B54" s="35"/>
      <c r="C54" s="35"/>
      <c r="D54" s="51"/>
      <c r="E54" s="28" t="s">
        <v>177</v>
      </c>
      <c r="F54" s="29"/>
      <c r="G54" s="29"/>
      <c r="H54" s="29"/>
      <c r="I54" s="29"/>
      <c r="J54" s="29"/>
      <c r="K54" s="29"/>
      <c r="L54" s="29"/>
      <c r="M54" s="29"/>
      <c r="N54" s="29"/>
      <c r="O54" s="29"/>
      <c r="P54" s="29"/>
      <c r="Q54" s="29"/>
      <c r="R54" s="29"/>
      <c r="S54" s="29"/>
      <c r="T54" s="30"/>
      <c r="U54" s="46">
        <v>877778</v>
      </c>
      <c r="V54" s="47"/>
      <c r="W54" s="47"/>
      <c r="X54" s="47"/>
      <c r="Y54" s="48"/>
      <c r="Z54" s="46">
        <v>0</v>
      </c>
      <c r="AA54" s="47"/>
      <c r="AB54" s="47"/>
      <c r="AC54" s="47"/>
      <c r="AD54" s="48"/>
      <c r="AE54" s="46">
        <v>0</v>
      </c>
      <c r="AF54" s="47"/>
      <c r="AG54" s="47"/>
      <c r="AH54" s="48"/>
      <c r="AI54" s="46">
        <f t="shared" si="0"/>
        <v>877778</v>
      </c>
      <c r="AJ54" s="47"/>
      <c r="AK54" s="47"/>
      <c r="AL54" s="47"/>
      <c r="AM54" s="48"/>
      <c r="AN54" s="46">
        <v>1334846</v>
      </c>
      <c r="AO54" s="47"/>
      <c r="AP54" s="47"/>
      <c r="AQ54" s="47"/>
      <c r="AR54" s="48"/>
      <c r="AS54" s="46">
        <v>0</v>
      </c>
      <c r="AT54" s="47"/>
      <c r="AU54" s="47"/>
      <c r="AV54" s="47"/>
      <c r="AW54" s="48"/>
      <c r="AX54" s="46">
        <v>0</v>
      </c>
      <c r="AY54" s="47"/>
      <c r="AZ54" s="47"/>
      <c r="BA54" s="48"/>
      <c r="BB54" s="46">
        <f t="shared" si="1"/>
        <v>1334846</v>
      </c>
      <c r="BC54" s="47"/>
      <c r="BD54" s="47"/>
      <c r="BE54" s="47"/>
      <c r="BF54" s="48"/>
      <c r="BG54" s="46">
        <v>1798064</v>
      </c>
      <c r="BH54" s="47"/>
      <c r="BI54" s="47"/>
      <c r="BJ54" s="47"/>
      <c r="BK54" s="48"/>
      <c r="BL54" s="46">
        <v>0</v>
      </c>
      <c r="BM54" s="47"/>
      <c r="BN54" s="47"/>
      <c r="BO54" s="47"/>
      <c r="BP54" s="48"/>
      <c r="BQ54" s="46">
        <v>0</v>
      </c>
      <c r="BR54" s="47"/>
      <c r="BS54" s="47"/>
      <c r="BT54" s="48"/>
      <c r="BU54" s="46">
        <f t="shared" si="2"/>
        <v>1798064</v>
      </c>
      <c r="BV54" s="47"/>
      <c r="BW54" s="47"/>
      <c r="BX54" s="47"/>
      <c r="BY54" s="48"/>
    </row>
    <row r="55" spans="1:79" s="4" customFormat="1" ht="12.75" customHeight="1" x14ac:dyDescent="0.2">
      <c r="A55" s="34">
        <v>2210</v>
      </c>
      <c r="B55" s="35"/>
      <c r="C55" s="35"/>
      <c r="D55" s="51"/>
      <c r="E55" s="28" t="s">
        <v>178</v>
      </c>
      <c r="F55" s="29"/>
      <c r="G55" s="29"/>
      <c r="H55" s="29"/>
      <c r="I55" s="29"/>
      <c r="J55" s="29"/>
      <c r="K55" s="29"/>
      <c r="L55" s="29"/>
      <c r="M55" s="29"/>
      <c r="N55" s="29"/>
      <c r="O55" s="29"/>
      <c r="P55" s="29"/>
      <c r="Q55" s="29"/>
      <c r="R55" s="29"/>
      <c r="S55" s="29"/>
      <c r="T55" s="30"/>
      <c r="U55" s="46">
        <v>422950</v>
      </c>
      <c r="V55" s="47"/>
      <c r="W55" s="47"/>
      <c r="X55" s="47"/>
      <c r="Y55" s="48"/>
      <c r="Z55" s="46">
        <v>0</v>
      </c>
      <c r="AA55" s="47"/>
      <c r="AB55" s="47"/>
      <c r="AC55" s="47"/>
      <c r="AD55" s="48"/>
      <c r="AE55" s="46">
        <v>0</v>
      </c>
      <c r="AF55" s="47"/>
      <c r="AG55" s="47"/>
      <c r="AH55" s="48"/>
      <c r="AI55" s="46">
        <f t="shared" si="0"/>
        <v>422950</v>
      </c>
      <c r="AJ55" s="47"/>
      <c r="AK55" s="47"/>
      <c r="AL55" s="47"/>
      <c r="AM55" s="48"/>
      <c r="AN55" s="46">
        <v>570300</v>
      </c>
      <c r="AO55" s="47"/>
      <c r="AP55" s="47"/>
      <c r="AQ55" s="47"/>
      <c r="AR55" s="48"/>
      <c r="AS55" s="46">
        <v>0</v>
      </c>
      <c r="AT55" s="47"/>
      <c r="AU55" s="47"/>
      <c r="AV55" s="47"/>
      <c r="AW55" s="48"/>
      <c r="AX55" s="46">
        <v>0</v>
      </c>
      <c r="AY55" s="47"/>
      <c r="AZ55" s="47"/>
      <c r="BA55" s="48"/>
      <c r="BB55" s="46">
        <f t="shared" si="1"/>
        <v>570300</v>
      </c>
      <c r="BC55" s="47"/>
      <c r="BD55" s="47"/>
      <c r="BE55" s="47"/>
      <c r="BF55" s="48"/>
      <c r="BG55" s="46">
        <v>209450</v>
      </c>
      <c r="BH55" s="47"/>
      <c r="BI55" s="47"/>
      <c r="BJ55" s="47"/>
      <c r="BK55" s="48"/>
      <c r="BL55" s="46">
        <v>0</v>
      </c>
      <c r="BM55" s="47"/>
      <c r="BN55" s="47"/>
      <c r="BO55" s="47"/>
      <c r="BP55" s="48"/>
      <c r="BQ55" s="46">
        <v>0</v>
      </c>
      <c r="BR55" s="47"/>
      <c r="BS55" s="47"/>
      <c r="BT55" s="48"/>
      <c r="BU55" s="46">
        <f t="shared" si="2"/>
        <v>209450</v>
      </c>
      <c r="BV55" s="47"/>
      <c r="BW55" s="47"/>
      <c r="BX55" s="47"/>
      <c r="BY55" s="48"/>
    </row>
    <row r="56" spans="1:79" s="4" customFormat="1" ht="12.75" customHeight="1" x14ac:dyDescent="0.2">
      <c r="A56" s="34">
        <v>2240</v>
      </c>
      <c r="B56" s="35"/>
      <c r="C56" s="35"/>
      <c r="D56" s="51"/>
      <c r="E56" s="28" t="s">
        <v>179</v>
      </c>
      <c r="F56" s="29"/>
      <c r="G56" s="29"/>
      <c r="H56" s="29"/>
      <c r="I56" s="29"/>
      <c r="J56" s="29"/>
      <c r="K56" s="29"/>
      <c r="L56" s="29"/>
      <c r="M56" s="29"/>
      <c r="N56" s="29"/>
      <c r="O56" s="29"/>
      <c r="P56" s="29"/>
      <c r="Q56" s="29"/>
      <c r="R56" s="29"/>
      <c r="S56" s="29"/>
      <c r="T56" s="30"/>
      <c r="U56" s="46">
        <v>792416</v>
      </c>
      <c r="V56" s="47"/>
      <c r="W56" s="47"/>
      <c r="X56" s="47"/>
      <c r="Y56" s="48"/>
      <c r="Z56" s="46">
        <v>0</v>
      </c>
      <c r="AA56" s="47"/>
      <c r="AB56" s="47"/>
      <c r="AC56" s="47"/>
      <c r="AD56" s="48"/>
      <c r="AE56" s="46">
        <v>0</v>
      </c>
      <c r="AF56" s="47"/>
      <c r="AG56" s="47"/>
      <c r="AH56" s="48"/>
      <c r="AI56" s="46">
        <f t="shared" si="0"/>
        <v>792416</v>
      </c>
      <c r="AJ56" s="47"/>
      <c r="AK56" s="47"/>
      <c r="AL56" s="47"/>
      <c r="AM56" s="48"/>
      <c r="AN56" s="46">
        <v>728904</v>
      </c>
      <c r="AO56" s="47"/>
      <c r="AP56" s="47"/>
      <c r="AQ56" s="47"/>
      <c r="AR56" s="48"/>
      <c r="AS56" s="46">
        <v>0</v>
      </c>
      <c r="AT56" s="47"/>
      <c r="AU56" s="47"/>
      <c r="AV56" s="47"/>
      <c r="AW56" s="48"/>
      <c r="AX56" s="46">
        <v>0</v>
      </c>
      <c r="AY56" s="47"/>
      <c r="AZ56" s="47"/>
      <c r="BA56" s="48"/>
      <c r="BB56" s="46">
        <f t="shared" si="1"/>
        <v>728904</v>
      </c>
      <c r="BC56" s="47"/>
      <c r="BD56" s="47"/>
      <c r="BE56" s="47"/>
      <c r="BF56" s="48"/>
      <c r="BG56" s="46">
        <v>1396849</v>
      </c>
      <c r="BH56" s="47"/>
      <c r="BI56" s="47"/>
      <c r="BJ56" s="47"/>
      <c r="BK56" s="48"/>
      <c r="BL56" s="46">
        <v>0</v>
      </c>
      <c r="BM56" s="47"/>
      <c r="BN56" s="47"/>
      <c r="BO56" s="47"/>
      <c r="BP56" s="48"/>
      <c r="BQ56" s="46">
        <v>0</v>
      </c>
      <c r="BR56" s="47"/>
      <c r="BS56" s="47"/>
      <c r="BT56" s="48"/>
      <c r="BU56" s="46">
        <f t="shared" si="2"/>
        <v>1396849</v>
      </c>
      <c r="BV56" s="47"/>
      <c r="BW56" s="47"/>
      <c r="BX56" s="47"/>
      <c r="BY56" s="48"/>
    </row>
    <row r="57" spans="1:79" s="4" customFormat="1" ht="12.75" customHeight="1" x14ac:dyDescent="0.2">
      <c r="A57" s="34">
        <v>2250</v>
      </c>
      <c r="B57" s="35"/>
      <c r="C57" s="35"/>
      <c r="D57" s="51"/>
      <c r="E57" s="28" t="s">
        <v>180</v>
      </c>
      <c r="F57" s="29"/>
      <c r="G57" s="29"/>
      <c r="H57" s="29"/>
      <c r="I57" s="29"/>
      <c r="J57" s="29"/>
      <c r="K57" s="29"/>
      <c r="L57" s="29"/>
      <c r="M57" s="29"/>
      <c r="N57" s="29"/>
      <c r="O57" s="29"/>
      <c r="P57" s="29"/>
      <c r="Q57" s="29"/>
      <c r="R57" s="29"/>
      <c r="S57" s="29"/>
      <c r="T57" s="30"/>
      <c r="U57" s="46">
        <v>4200</v>
      </c>
      <c r="V57" s="47"/>
      <c r="W57" s="47"/>
      <c r="X57" s="47"/>
      <c r="Y57" s="48"/>
      <c r="Z57" s="46">
        <v>0</v>
      </c>
      <c r="AA57" s="47"/>
      <c r="AB57" s="47"/>
      <c r="AC57" s="47"/>
      <c r="AD57" s="48"/>
      <c r="AE57" s="46">
        <v>0</v>
      </c>
      <c r="AF57" s="47"/>
      <c r="AG57" s="47"/>
      <c r="AH57" s="48"/>
      <c r="AI57" s="46">
        <f t="shared" si="0"/>
        <v>4200</v>
      </c>
      <c r="AJ57" s="47"/>
      <c r="AK57" s="47"/>
      <c r="AL57" s="47"/>
      <c r="AM57" s="48"/>
      <c r="AN57" s="46">
        <v>10000</v>
      </c>
      <c r="AO57" s="47"/>
      <c r="AP57" s="47"/>
      <c r="AQ57" s="47"/>
      <c r="AR57" s="48"/>
      <c r="AS57" s="46">
        <v>0</v>
      </c>
      <c r="AT57" s="47"/>
      <c r="AU57" s="47"/>
      <c r="AV57" s="47"/>
      <c r="AW57" s="48"/>
      <c r="AX57" s="46">
        <v>0</v>
      </c>
      <c r="AY57" s="47"/>
      <c r="AZ57" s="47"/>
      <c r="BA57" s="48"/>
      <c r="BB57" s="46">
        <f t="shared" si="1"/>
        <v>10000</v>
      </c>
      <c r="BC57" s="47"/>
      <c r="BD57" s="47"/>
      <c r="BE57" s="47"/>
      <c r="BF57" s="48"/>
      <c r="BG57" s="46">
        <v>150000</v>
      </c>
      <c r="BH57" s="47"/>
      <c r="BI57" s="47"/>
      <c r="BJ57" s="47"/>
      <c r="BK57" s="48"/>
      <c r="BL57" s="46">
        <v>0</v>
      </c>
      <c r="BM57" s="47"/>
      <c r="BN57" s="47"/>
      <c r="BO57" s="47"/>
      <c r="BP57" s="48"/>
      <c r="BQ57" s="46">
        <v>0</v>
      </c>
      <c r="BR57" s="47"/>
      <c r="BS57" s="47"/>
      <c r="BT57" s="48"/>
      <c r="BU57" s="46">
        <f t="shared" si="2"/>
        <v>150000</v>
      </c>
      <c r="BV57" s="47"/>
      <c r="BW57" s="47"/>
      <c r="BX57" s="47"/>
      <c r="BY57" s="48"/>
    </row>
    <row r="58" spans="1:79" s="4" customFormat="1" ht="12.75" customHeight="1" x14ac:dyDescent="0.2">
      <c r="A58" s="34">
        <v>2272</v>
      </c>
      <c r="B58" s="35"/>
      <c r="C58" s="35"/>
      <c r="D58" s="51"/>
      <c r="E58" s="28" t="s">
        <v>181</v>
      </c>
      <c r="F58" s="29"/>
      <c r="G58" s="29"/>
      <c r="H58" s="29"/>
      <c r="I58" s="29"/>
      <c r="J58" s="29"/>
      <c r="K58" s="29"/>
      <c r="L58" s="29"/>
      <c r="M58" s="29"/>
      <c r="N58" s="29"/>
      <c r="O58" s="29"/>
      <c r="P58" s="29"/>
      <c r="Q58" s="29"/>
      <c r="R58" s="29"/>
      <c r="S58" s="29"/>
      <c r="T58" s="30"/>
      <c r="U58" s="46">
        <v>318</v>
      </c>
      <c r="V58" s="47"/>
      <c r="W58" s="47"/>
      <c r="X58" s="47"/>
      <c r="Y58" s="48"/>
      <c r="Z58" s="46">
        <v>0</v>
      </c>
      <c r="AA58" s="47"/>
      <c r="AB58" s="47"/>
      <c r="AC58" s="47"/>
      <c r="AD58" s="48"/>
      <c r="AE58" s="46">
        <v>0</v>
      </c>
      <c r="AF58" s="47"/>
      <c r="AG58" s="47"/>
      <c r="AH58" s="48"/>
      <c r="AI58" s="46">
        <f t="shared" si="0"/>
        <v>318</v>
      </c>
      <c r="AJ58" s="47"/>
      <c r="AK58" s="47"/>
      <c r="AL58" s="47"/>
      <c r="AM58" s="48"/>
      <c r="AN58" s="46">
        <v>5000</v>
      </c>
      <c r="AO58" s="47"/>
      <c r="AP58" s="47"/>
      <c r="AQ58" s="47"/>
      <c r="AR58" s="48"/>
      <c r="AS58" s="46">
        <v>0</v>
      </c>
      <c r="AT58" s="47"/>
      <c r="AU58" s="47"/>
      <c r="AV58" s="47"/>
      <c r="AW58" s="48"/>
      <c r="AX58" s="46">
        <v>0</v>
      </c>
      <c r="AY58" s="47"/>
      <c r="AZ58" s="47"/>
      <c r="BA58" s="48"/>
      <c r="BB58" s="46">
        <f t="shared" si="1"/>
        <v>5000</v>
      </c>
      <c r="BC58" s="47"/>
      <c r="BD58" s="47"/>
      <c r="BE58" s="47"/>
      <c r="BF58" s="48"/>
      <c r="BG58" s="46">
        <v>6003</v>
      </c>
      <c r="BH58" s="47"/>
      <c r="BI58" s="47"/>
      <c r="BJ58" s="47"/>
      <c r="BK58" s="48"/>
      <c r="BL58" s="46">
        <v>0</v>
      </c>
      <c r="BM58" s="47"/>
      <c r="BN58" s="47"/>
      <c r="BO58" s="47"/>
      <c r="BP58" s="48"/>
      <c r="BQ58" s="46">
        <v>0</v>
      </c>
      <c r="BR58" s="47"/>
      <c r="BS58" s="47"/>
      <c r="BT58" s="48"/>
      <c r="BU58" s="46">
        <f t="shared" si="2"/>
        <v>6003</v>
      </c>
      <c r="BV58" s="47"/>
      <c r="BW58" s="47"/>
      <c r="BX58" s="47"/>
      <c r="BY58" s="48"/>
    </row>
    <row r="59" spans="1:79" s="4" customFormat="1" ht="12.75" customHeight="1" x14ac:dyDescent="0.2">
      <c r="A59" s="34">
        <v>2273</v>
      </c>
      <c r="B59" s="35"/>
      <c r="C59" s="35"/>
      <c r="D59" s="51"/>
      <c r="E59" s="28" t="s">
        <v>182</v>
      </c>
      <c r="F59" s="29"/>
      <c r="G59" s="29"/>
      <c r="H59" s="29"/>
      <c r="I59" s="29"/>
      <c r="J59" s="29"/>
      <c r="K59" s="29"/>
      <c r="L59" s="29"/>
      <c r="M59" s="29"/>
      <c r="N59" s="29"/>
      <c r="O59" s="29"/>
      <c r="P59" s="29"/>
      <c r="Q59" s="29"/>
      <c r="R59" s="29"/>
      <c r="S59" s="29"/>
      <c r="T59" s="30"/>
      <c r="U59" s="46">
        <v>26115</v>
      </c>
      <c r="V59" s="47"/>
      <c r="W59" s="47"/>
      <c r="X59" s="47"/>
      <c r="Y59" s="48"/>
      <c r="Z59" s="46">
        <v>0</v>
      </c>
      <c r="AA59" s="47"/>
      <c r="AB59" s="47"/>
      <c r="AC59" s="47"/>
      <c r="AD59" s="48"/>
      <c r="AE59" s="46">
        <v>0</v>
      </c>
      <c r="AF59" s="47"/>
      <c r="AG59" s="47"/>
      <c r="AH59" s="48"/>
      <c r="AI59" s="46">
        <f t="shared" si="0"/>
        <v>26115</v>
      </c>
      <c r="AJ59" s="47"/>
      <c r="AK59" s="47"/>
      <c r="AL59" s="47"/>
      <c r="AM59" s="48"/>
      <c r="AN59" s="46">
        <v>44990</v>
      </c>
      <c r="AO59" s="47"/>
      <c r="AP59" s="47"/>
      <c r="AQ59" s="47"/>
      <c r="AR59" s="48"/>
      <c r="AS59" s="46">
        <v>0</v>
      </c>
      <c r="AT59" s="47"/>
      <c r="AU59" s="47"/>
      <c r="AV59" s="47"/>
      <c r="AW59" s="48"/>
      <c r="AX59" s="46">
        <v>0</v>
      </c>
      <c r="AY59" s="47"/>
      <c r="AZ59" s="47"/>
      <c r="BA59" s="48"/>
      <c r="BB59" s="46">
        <f t="shared" si="1"/>
        <v>44990</v>
      </c>
      <c r="BC59" s="47"/>
      <c r="BD59" s="47"/>
      <c r="BE59" s="47"/>
      <c r="BF59" s="48"/>
      <c r="BG59" s="46">
        <v>64285</v>
      </c>
      <c r="BH59" s="47"/>
      <c r="BI59" s="47"/>
      <c r="BJ59" s="47"/>
      <c r="BK59" s="48"/>
      <c r="BL59" s="46">
        <v>0</v>
      </c>
      <c r="BM59" s="47"/>
      <c r="BN59" s="47"/>
      <c r="BO59" s="47"/>
      <c r="BP59" s="48"/>
      <c r="BQ59" s="46">
        <v>0</v>
      </c>
      <c r="BR59" s="47"/>
      <c r="BS59" s="47"/>
      <c r="BT59" s="48"/>
      <c r="BU59" s="46">
        <f t="shared" si="2"/>
        <v>64285</v>
      </c>
      <c r="BV59" s="47"/>
      <c r="BW59" s="47"/>
      <c r="BX59" s="47"/>
      <c r="BY59" s="48"/>
    </row>
    <row r="60" spans="1:79" s="4" customFormat="1" ht="12.75" customHeight="1" x14ac:dyDescent="0.2">
      <c r="A60" s="34">
        <v>2274</v>
      </c>
      <c r="B60" s="35"/>
      <c r="C60" s="35"/>
      <c r="D60" s="51"/>
      <c r="E60" s="28" t="s">
        <v>183</v>
      </c>
      <c r="F60" s="29"/>
      <c r="G60" s="29"/>
      <c r="H60" s="29"/>
      <c r="I60" s="29"/>
      <c r="J60" s="29"/>
      <c r="K60" s="29"/>
      <c r="L60" s="29"/>
      <c r="M60" s="29"/>
      <c r="N60" s="29"/>
      <c r="O60" s="29"/>
      <c r="P60" s="29"/>
      <c r="Q60" s="29"/>
      <c r="R60" s="29"/>
      <c r="S60" s="29"/>
      <c r="T60" s="30"/>
      <c r="U60" s="46">
        <v>35755</v>
      </c>
      <c r="V60" s="47"/>
      <c r="W60" s="47"/>
      <c r="X60" s="47"/>
      <c r="Y60" s="48"/>
      <c r="Z60" s="46">
        <v>0</v>
      </c>
      <c r="AA60" s="47"/>
      <c r="AB60" s="47"/>
      <c r="AC60" s="47"/>
      <c r="AD60" s="48"/>
      <c r="AE60" s="46">
        <v>0</v>
      </c>
      <c r="AF60" s="47"/>
      <c r="AG60" s="47"/>
      <c r="AH60" s="48"/>
      <c r="AI60" s="46">
        <f t="shared" si="0"/>
        <v>35755</v>
      </c>
      <c r="AJ60" s="47"/>
      <c r="AK60" s="47"/>
      <c r="AL60" s="47"/>
      <c r="AM60" s="48"/>
      <c r="AN60" s="46">
        <v>45000</v>
      </c>
      <c r="AO60" s="47"/>
      <c r="AP60" s="47"/>
      <c r="AQ60" s="47"/>
      <c r="AR60" s="48"/>
      <c r="AS60" s="46">
        <v>0</v>
      </c>
      <c r="AT60" s="47"/>
      <c r="AU60" s="47"/>
      <c r="AV60" s="47"/>
      <c r="AW60" s="48"/>
      <c r="AX60" s="46">
        <v>0</v>
      </c>
      <c r="AY60" s="47"/>
      <c r="AZ60" s="47"/>
      <c r="BA60" s="48"/>
      <c r="BB60" s="46">
        <f t="shared" si="1"/>
        <v>45000</v>
      </c>
      <c r="BC60" s="47"/>
      <c r="BD60" s="47"/>
      <c r="BE60" s="47"/>
      <c r="BF60" s="48"/>
      <c r="BG60" s="46">
        <v>55005</v>
      </c>
      <c r="BH60" s="47"/>
      <c r="BI60" s="47"/>
      <c r="BJ60" s="47"/>
      <c r="BK60" s="48"/>
      <c r="BL60" s="46">
        <v>0</v>
      </c>
      <c r="BM60" s="47"/>
      <c r="BN60" s="47"/>
      <c r="BO60" s="47"/>
      <c r="BP60" s="48"/>
      <c r="BQ60" s="46">
        <v>0</v>
      </c>
      <c r="BR60" s="47"/>
      <c r="BS60" s="47"/>
      <c r="BT60" s="48"/>
      <c r="BU60" s="46">
        <f t="shared" si="2"/>
        <v>55005</v>
      </c>
      <c r="BV60" s="47"/>
      <c r="BW60" s="47"/>
      <c r="BX60" s="47"/>
      <c r="BY60" s="48"/>
    </row>
    <row r="61" spans="1:79" s="4" customFormat="1" ht="25.5" customHeight="1" x14ac:dyDescent="0.2">
      <c r="A61" s="34">
        <v>2275</v>
      </c>
      <c r="B61" s="35"/>
      <c r="C61" s="35"/>
      <c r="D61" s="51"/>
      <c r="E61" s="28" t="s">
        <v>184</v>
      </c>
      <c r="F61" s="29"/>
      <c r="G61" s="29"/>
      <c r="H61" s="29"/>
      <c r="I61" s="29"/>
      <c r="J61" s="29"/>
      <c r="K61" s="29"/>
      <c r="L61" s="29"/>
      <c r="M61" s="29"/>
      <c r="N61" s="29"/>
      <c r="O61" s="29"/>
      <c r="P61" s="29"/>
      <c r="Q61" s="29"/>
      <c r="R61" s="29"/>
      <c r="S61" s="29"/>
      <c r="T61" s="30"/>
      <c r="U61" s="46">
        <v>2695</v>
      </c>
      <c r="V61" s="47"/>
      <c r="W61" s="47"/>
      <c r="X61" s="47"/>
      <c r="Y61" s="48"/>
      <c r="Z61" s="46">
        <v>0</v>
      </c>
      <c r="AA61" s="47"/>
      <c r="AB61" s="47"/>
      <c r="AC61" s="47"/>
      <c r="AD61" s="48"/>
      <c r="AE61" s="46">
        <v>0</v>
      </c>
      <c r="AF61" s="47"/>
      <c r="AG61" s="47"/>
      <c r="AH61" s="48"/>
      <c r="AI61" s="46">
        <f t="shared" si="0"/>
        <v>2695</v>
      </c>
      <c r="AJ61" s="47"/>
      <c r="AK61" s="47"/>
      <c r="AL61" s="47"/>
      <c r="AM61" s="48"/>
      <c r="AN61" s="46">
        <v>9000</v>
      </c>
      <c r="AO61" s="47"/>
      <c r="AP61" s="47"/>
      <c r="AQ61" s="47"/>
      <c r="AR61" s="48"/>
      <c r="AS61" s="46">
        <v>0</v>
      </c>
      <c r="AT61" s="47"/>
      <c r="AU61" s="47"/>
      <c r="AV61" s="47"/>
      <c r="AW61" s="48"/>
      <c r="AX61" s="46">
        <v>0</v>
      </c>
      <c r="AY61" s="47"/>
      <c r="AZ61" s="47"/>
      <c r="BA61" s="48"/>
      <c r="BB61" s="46">
        <f t="shared" si="1"/>
        <v>9000</v>
      </c>
      <c r="BC61" s="47"/>
      <c r="BD61" s="47"/>
      <c r="BE61" s="47"/>
      <c r="BF61" s="48"/>
      <c r="BG61" s="46">
        <v>5000</v>
      </c>
      <c r="BH61" s="47"/>
      <c r="BI61" s="47"/>
      <c r="BJ61" s="47"/>
      <c r="BK61" s="48"/>
      <c r="BL61" s="46">
        <v>0</v>
      </c>
      <c r="BM61" s="47"/>
      <c r="BN61" s="47"/>
      <c r="BO61" s="47"/>
      <c r="BP61" s="48"/>
      <c r="BQ61" s="46">
        <v>0</v>
      </c>
      <c r="BR61" s="47"/>
      <c r="BS61" s="47"/>
      <c r="BT61" s="48"/>
      <c r="BU61" s="46">
        <f t="shared" si="2"/>
        <v>5000</v>
      </c>
      <c r="BV61" s="47"/>
      <c r="BW61" s="47"/>
      <c r="BX61" s="47"/>
      <c r="BY61" s="48"/>
    </row>
    <row r="62" spans="1:79" s="4" customFormat="1" ht="38.25" customHeight="1" x14ac:dyDescent="0.2">
      <c r="A62" s="34">
        <v>2282</v>
      </c>
      <c r="B62" s="35"/>
      <c r="C62" s="35"/>
      <c r="D62" s="51"/>
      <c r="E62" s="28" t="s">
        <v>185</v>
      </c>
      <c r="F62" s="29"/>
      <c r="G62" s="29"/>
      <c r="H62" s="29"/>
      <c r="I62" s="29"/>
      <c r="J62" s="29"/>
      <c r="K62" s="29"/>
      <c r="L62" s="29"/>
      <c r="M62" s="29"/>
      <c r="N62" s="29"/>
      <c r="O62" s="29"/>
      <c r="P62" s="29"/>
      <c r="Q62" s="29"/>
      <c r="R62" s="29"/>
      <c r="S62" s="29"/>
      <c r="T62" s="30"/>
      <c r="U62" s="46">
        <v>0</v>
      </c>
      <c r="V62" s="47"/>
      <c r="W62" s="47"/>
      <c r="X62" s="47"/>
      <c r="Y62" s="48"/>
      <c r="Z62" s="46">
        <v>0</v>
      </c>
      <c r="AA62" s="47"/>
      <c r="AB62" s="47"/>
      <c r="AC62" s="47"/>
      <c r="AD62" s="48"/>
      <c r="AE62" s="46">
        <v>0</v>
      </c>
      <c r="AF62" s="47"/>
      <c r="AG62" s="47"/>
      <c r="AH62" s="48"/>
      <c r="AI62" s="46">
        <f t="shared" si="0"/>
        <v>0</v>
      </c>
      <c r="AJ62" s="47"/>
      <c r="AK62" s="47"/>
      <c r="AL62" s="47"/>
      <c r="AM62" s="48"/>
      <c r="AN62" s="46">
        <v>1000</v>
      </c>
      <c r="AO62" s="47"/>
      <c r="AP62" s="47"/>
      <c r="AQ62" s="47"/>
      <c r="AR62" s="48"/>
      <c r="AS62" s="46">
        <v>0</v>
      </c>
      <c r="AT62" s="47"/>
      <c r="AU62" s="47"/>
      <c r="AV62" s="47"/>
      <c r="AW62" s="48"/>
      <c r="AX62" s="46">
        <v>0</v>
      </c>
      <c r="AY62" s="47"/>
      <c r="AZ62" s="47"/>
      <c r="BA62" s="48"/>
      <c r="BB62" s="46">
        <f t="shared" si="1"/>
        <v>1000</v>
      </c>
      <c r="BC62" s="47"/>
      <c r="BD62" s="47"/>
      <c r="BE62" s="47"/>
      <c r="BF62" s="48"/>
      <c r="BG62" s="46">
        <v>1000</v>
      </c>
      <c r="BH62" s="47"/>
      <c r="BI62" s="47"/>
      <c r="BJ62" s="47"/>
      <c r="BK62" s="48"/>
      <c r="BL62" s="46">
        <v>0</v>
      </c>
      <c r="BM62" s="47"/>
      <c r="BN62" s="47"/>
      <c r="BO62" s="47"/>
      <c r="BP62" s="48"/>
      <c r="BQ62" s="46">
        <v>0</v>
      </c>
      <c r="BR62" s="47"/>
      <c r="BS62" s="47"/>
      <c r="BT62" s="48"/>
      <c r="BU62" s="46">
        <f t="shared" si="2"/>
        <v>1000</v>
      </c>
      <c r="BV62" s="47"/>
      <c r="BW62" s="47"/>
      <c r="BX62" s="47"/>
      <c r="BY62" s="48"/>
    </row>
    <row r="63" spans="1:79" s="4" customFormat="1" ht="12.75" customHeight="1" x14ac:dyDescent="0.2">
      <c r="A63" s="34">
        <v>2730</v>
      </c>
      <c r="B63" s="35"/>
      <c r="C63" s="35"/>
      <c r="D63" s="51"/>
      <c r="E63" s="28" t="s">
        <v>186</v>
      </c>
      <c r="F63" s="29"/>
      <c r="G63" s="29"/>
      <c r="H63" s="29"/>
      <c r="I63" s="29"/>
      <c r="J63" s="29"/>
      <c r="K63" s="29"/>
      <c r="L63" s="29"/>
      <c r="M63" s="29"/>
      <c r="N63" s="29"/>
      <c r="O63" s="29"/>
      <c r="P63" s="29"/>
      <c r="Q63" s="29"/>
      <c r="R63" s="29"/>
      <c r="S63" s="29"/>
      <c r="T63" s="30"/>
      <c r="U63" s="46">
        <v>0</v>
      </c>
      <c r="V63" s="47"/>
      <c r="W63" s="47"/>
      <c r="X63" s="47"/>
      <c r="Y63" s="48"/>
      <c r="Z63" s="46">
        <v>0</v>
      </c>
      <c r="AA63" s="47"/>
      <c r="AB63" s="47"/>
      <c r="AC63" s="47"/>
      <c r="AD63" s="48"/>
      <c r="AE63" s="46">
        <v>0</v>
      </c>
      <c r="AF63" s="47"/>
      <c r="AG63" s="47"/>
      <c r="AH63" s="48"/>
      <c r="AI63" s="46">
        <f t="shared" si="0"/>
        <v>0</v>
      </c>
      <c r="AJ63" s="47"/>
      <c r="AK63" s="47"/>
      <c r="AL63" s="47"/>
      <c r="AM63" s="48"/>
      <c r="AN63" s="46">
        <v>0</v>
      </c>
      <c r="AO63" s="47"/>
      <c r="AP63" s="47"/>
      <c r="AQ63" s="47"/>
      <c r="AR63" s="48"/>
      <c r="AS63" s="46">
        <v>0</v>
      </c>
      <c r="AT63" s="47"/>
      <c r="AU63" s="47"/>
      <c r="AV63" s="47"/>
      <c r="AW63" s="48"/>
      <c r="AX63" s="46">
        <v>0</v>
      </c>
      <c r="AY63" s="47"/>
      <c r="AZ63" s="47"/>
      <c r="BA63" s="48"/>
      <c r="BB63" s="46">
        <f t="shared" si="1"/>
        <v>0</v>
      </c>
      <c r="BC63" s="47"/>
      <c r="BD63" s="47"/>
      <c r="BE63" s="47"/>
      <c r="BF63" s="48"/>
      <c r="BG63" s="46">
        <v>30000</v>
      </c>
      <c r="BH63" s="47"/>
      <c r="BI63" s="47"/>
      <c r="BJ63" s="47"/>
      <c r="BK63" s="48"/>
      <c r="BL63" s="46">
        <v>0</v>
      </c>
      <c r="BM63" s="47"/>
      <c r="BN63" s="47"/>
      <c r="BO63" s="47"/>
      <c r="BP63" s="48"/>
      <c r="BQ63" s="46">
        <v>0</v>
      </c>
      <c r="BR63" s="47"/>
      <c r="BS63" s="47"/>
      <c r="BT63" s="48"/>
      <c r="BU63" s="46">
        <f t="shared" si="2"/>
        <v>30000</v>
      </c>
      <c r="BV63" s="47"/>
      <c r="BW63" s="47"/>
      <c r="BX63" s="47"/>
      <c r="BY63" s="48"/>
    </row>
    <row r="64" spans="1:79" s="5" customFormat="1" ht="12.75" customHeight="1" x14ac:dyDescent="0.2">
      <c r="A64" s="36"/>
      <c r="B64" s="37"/>
      <c r="C64" s="37"/>
      <c r="D64" s="50"/>
      <c r="E64" s="22" t="s">
        <v>147</v>
      </c>
      <c r="F64" s="23"/>
      <c r="G64" s="23"/>
      <c r="H64" s="23"/>
      <c r="I64" s="23"/>
      <c r="J64" s="23"/>
      <c r="K64" s="23"/>
      <c r="L64" s="23"/>
      <c r="M64" s="23"/>
      <c r="N64" s="23"/>
      <c r="O64" s="23"/>
      <c r="P64" s="23"/>
      <c r="Q64" s="23"/>
      <c r="R64" s="23"/>
      <c r="S64" s="23"/>
      <c r="T64" s="24"/>
      <c r="U64" s="42">
        <v>6246934</v>
      </c>
      <c r="V64" s="43"/>
      <c r="W64" s="43"/>
      <c r="X64" s="43"/>
      <c r="Y64" s="44"/>
      <c r="Z64" s="42">
        <v>0</v>
      </c>
      <c r="AA64" s="43"/>
      <c r="AB64" s="43"/>
      <c r="AC64" s="43"/>
      <c r="AD64" s="44"/>
      <c r="AE64" s="42">
        <v>0</v>
      </c>
      <c r="AF64" s="43"/>
      <c r="AG64" s="43"/>
      <c r="AH64" s="44"/>
      <c r="AI64" s="42">
        <f t="shared" si="0"/>
        <v>6246934</v>
      </c>
      <c r="AJ64" s="43"/>
      <c r="AK64" s="43"/>
      <c r="AL64" s="43"/>
      <c r="AM64" s="44"/>
      <c r="AN64" s="42">
        <v>8832955</v>
      </c>
      <c r="AO64" s="43"/>
      <c r="AP64" s="43"/>
      <c r="AQ64" s="43"/>
      <c r="AR64" s="44"/>
      <c r="AS64" s="42">
        <v>0</v>
      </c>
      <c r="AT64" s="43"/>
      <c r="AU64" s="43"/>
      <c r="AV64" s="43"/>
      <c r="AW64" s="44"/>
      <c r="AX64" s="42">
        <v>0</v>
      </c>
      <c r="AY64" s="43"/>
      <c r="AZ64" s="43"/>
      <c r="BA64" s="44"/>
      <c r="BB64" s="42">
        <f t="shared" si="1"/>
        <v>8832955</v>
      </c>
      <c r="BC64" s="43"/>
      <c r="BD64" s="43"/>
      <c r="BE64" s="43"/>
      <c r="BF64" s="44"/>
      <c r="BG64" s="42">
        <v>11888673</v>
      </c>
      <c r="BH64" s="43"/>
      <c r="BI64" s="43"/>
      <c r="BJ64" s="43"/>
      <c r="BK64" s="44"/>
      <c r="BL64" s="42">
        <v>0</v>
      </c>
      <c r="BM64" s="43"/>
      <c r="BN64" s="43"/>
      <c r="BO64" s="43"/>
      <c r="BP64" s="44"/>
      <c r="BQ64" s="42">
        <v>0</v>
      </c>
      <c r="BR64" s="43"/>
      <c r="BS64" s="43"/>
      <c r="BT64" s="44"/>
      <c r="BU64" s="42">
        <f t="shared" si="2"/>
        <v>11888673</v>
      </c>
      <c r="BV64" s="43"/>
      <c r="BW64" s="43"/>
      <c r="BX64" s="43"/>
      <c r="BY64" s="44"/>
    </row>
    <row r="66" spans="1:79" ht="14.25" customHeight="1" x14ac:dyDescent="0.2">
      <c r="A66" s="61" t="s">
        <v>281</v>
      </c>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row>
    <row r="67" spans="1:79" ht="15" customHeight="1" x14ac:dyDescent="0.2">
      <c r="A67" s="76" t="s">
        <v>267</v>
      </c>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row>
    <row r="68" spans="1:79" ht="23.1" customHeight="1" x14ac:dyDescent="0.2">
      <c r="A68" s="102" t="s">
        <v>119</v>
      </c>
      <c r="B68" s="103"/>
      <c r="C68" s="103"/>
      <c r="D68" s="103"/>
      <c r="E68" s="104"/>
      <c r="F68" s="39" t="s">
        <v>19</v>
      </c>
      <c r="G68" s="39"/>
      <c r="H68" s="39"/>
      <c r="I68" s="39"/>
      <c r="J68" s="39"/>
      <c r="K68" s="39"/>
      <c r="L68" s="39"/>
      <c r="M68" s="39"/>
      <c r="N68" s="39"/>
      <c r="O68" s="39"/>
      <c r="P68" s="39"/>
      <c r="Q68" s="39"/>
      <c r="R68" s="39"/>
      <c r="S68" s="39"/>
      <c r="T68" s="39"/>
      <c r="U68" s="73" t="s">
        <v>268</v>
      </c>
      <c r="V68" s="74"/>
      <c r="W68" s="74"/>
      <c r="X68" s="74"/>
      <c r="Y68" s="74"/>
      <c r="Z68" s="74"/>
      <c r="AA68" s="74"/>
      <c r="AB68" s="74"/>
      <c r="AC68" s="74"/>
      <c r="AD68" s="74"/>
      <c r="AE68" s="74"/>
      <c r="AF68" s="74"/>
      <c r="AG68" s="74"/>
      <c r="AH68" s="74"/>
      <c r="AI68" s="74"/>
      <c r="AJ68" s="74"/>
      <c r="AK68" s="74"/>
      <c r="AL68" s="74"/>
      <c r="AM68" s="75"/>
      <c r="AN68" s="73" t="s">
        <v>271</v>
      </c>
      <c r="AO68" s="74"/>
      <c r="AP68" s="74"/>
      <c r="AQ68" s="74"/>
      <c r="AR68" s="74"/>
      <c r="AS68" s="74"/>
      <c r="AT68" s="74"/>
      <c r="AU68" s="74"/>
      <c r="AV68" s="74"/>
      <c r="AW68" s="74"/>
      <c r="AX68" s="74"/>
      <c r="AY68" s="74"/>
      <c r="AZ68" s="74"/>
      <c r="BA68" s="74"/>
      <c r="BB68" s="74"/>
      <c r="BC68" s="74"/>
      <c r="BD68" s="74"/>
      <c r="BE68" s="74"/>
      <c r="BF68" s="75"/>
      <c r="BG68" s="73" t="s">
        <v>279</v>
      </c>
      <c r="BH68" s="74"/>
      <c r="BI68" s="74"/>
      <c r="BJ68" s="74"/>
      <c r="BK68" s="74"/>
      <c r="BL68" s="74"/>
      <c r="BM68" s="74"/>
      <c r="BN68" s="74"/>
      <c r="BO68" s="74"/>
      <c r="BP68" s="74"/>
      <c r="BQ68" s="74"/>
      <c r="BR68" s="74"/>
      <c r="BS68" s="74"/>
      <c r="BT68" s="74"/>
      <c r="BU68" s="74"/>
      <c r="BV68" s="74"/>
      <c r="BW68" s="74"/>
      <c r="BX68" s="74"/>
      <c r="BY68" s="75"/>
    </row>
    <row r="69" spans="1:79" ht="51.75" customHeight="1" x14ac:dyDescent="0.2">
      <c r="A69" s="105"/>
      <c r="B69" s="106"/>
      <c r="C69" s="106"/>
      <c r="D69" s="106"/>
      <c r="E69" s="107"/>
      <c r="F69" s="39"/>
      <c r="G69" s="39"/>
      <c r="H69" s="39"/>
      <c r="I69" s="39"/>
      <c r="J69" s="39"/>
      <c r="K69" s="39"/>
      <c r="L69" s="39"/>
      <c r="M69" s="39"/>
      <c r="N69" s="39"/>
      <c r="O69" s="39"/>
      <c r="P69" s="39"/>
      <c r="Q69" s="39"/>
      <c r="R69" s="39"/>
      <c r="S69" s="39"/>
      <c r="T69" s="39"/>
      <c r="U69" s="73" t="s">
        <v>4</v>
      </c>
      <c r="V69" s="74"/>
      <c r="W69" s="74"/>
      <c r="X69" s="74"/>
      <c r="Y69" s="75"/>
      <c r="Z69" s="73" t="s">
        <v>3</v>
      </c>
      <c r="AA69" s="74"/>
      <c r="AB69" s="74"/>
      <c r="AC69" s="74"/>
      <c r="AD69" s="75"/>
      <c r="AE69" s="96" t="s">
        <v>116</v>
      </c>
      <c r="AF69" s="97"/>
      <c r="AG69" s="97"/>
      <c r="AH69" s="98"/>
      <c r="AI69" s="73" t="s">
        <v>5</v>
      </c>
      <c r="AJ69" s="74"/>
      <c r="AK69" s="74"/>
      <c r="AL69" s="74"/>
      <c r="AM69" s="75"/>
      <c r="AN69" s="73" t="s">
        <v>4</v>
      </c>
      <c r="AO69" s="74"/>
      <c r="AP69" s="74"/>
      <c r="AQ69" s="74"/>
      <c r="AR69" s="75"/>
      <c r="AS69" s="73" t="s">
        <v>3</v>
      </c>
      <c r="AT69" s="74"/>
      <c r="AU69" s="74"/>
      <c r="AV69" s="74"/>
      <c r="AW69" s="75"/>
      <c r="AX69" s="96" t="s">
        <v>116</v>
      </c>
      <c r="AY69" s="97"/>
      <c r="AZ69" s="97"/>
      <c r="BA69" s="98"/>
      <c r="BB69" s="73" t="s">
        <v>96</v>
      </c>
      <c r="BC69" s="74"/>
      <c r="BD69" s="74"/>
      <c r="BE69" s="74"/>
      <c r="BF69" s="75"/>
      <c r="BG69" s="73" t="s">
        <v>4</v>
      </c>
      <c r="BH69" s="74"/>
      <c r="BI69" s="74"/>
      <c r="BJ69" s="74"/>
      <c r="BK69" s="75"/>
      <c r="BL69" s="73" t="s">
        <v>3</v>
      </c>
      <c r="BM69" s="74"/>
      <c r="BN69" s="74"/>
      <c r="BO69" s="74"/>
      <c r="BP69" s="75"/>
      <c r="BQ69" s="96" t="s">
        <v>116</v>
      </c>
      <c r="BR69" s="97"/>
      <c r="BS69" s="97"/>
      <c r="BT69" s="98"/>
      <c r="BU69" s="39" t="s">
        <v>97</v>
      </c>
      <c r="BV69" s="39"/>
      <c r="BW69" s="39"/>
      <c r="BX69" s="39"/>
      <c r="BY69" s="39"/>
    </row>
    <row r="70" spans="1:79" ht="15" customHeight="1" x14ac:dyDescent="0.2">
      <c r="A70" s="73">
        <v>1</v>
      </c>
      <c r="B70" s="74"/>
      <c r="C70" s="74"/>
      <c r="D70" s="74"/>
      <c r="E70" s="75"/>
      <c r="F70" s="73">
        <v>2</v>
      </c>
      <c r="G70" s="74"/>
      <c r="H70" s="74"/>
      <c r="I70" s="74"/>
      <c r="J70" s="74"/>
      <c r="K70" s="74"/>
      <c r="L70" s="74"/>
      <c r="M70" s="74"/>
      <c r="N70" s="74"/>
      <c r="O70" s="74"/>
      <c r="P70" s="74"/>
      <c r="Q70" s="74"/>
      <c r="R70" s="74"/>
      <c r="S70" s="74"/>
      <c r="T70" s="75"/>
      <c r="U70" s="73">
        <v>3</v>
      </c>
      <c r="V70" s="74"/>
      <c r="W70" s="74"/>
      <c r="X70" s="74"/>
      <c r="Y70" s="75"/>
      <c r="Z70" s="73">
        <v>4</v>
      </c>
      <c r="AA70" s="74"/>
      <c r="AB70" s="74"/>
      <c r="AC70" s="74"/>
      <c r="AD70" s="75"/>
      <c r="AE70" s="73">
        <v>5</v>
      </c>
      <c r="AF70" s="74"/>
      <c r="AG70" s="74"/>
      <c r="AH70" s="75"/>
      <c r="AI70" s="73">
        <v>6</v>
      </c>
      <c r="AJ70" s="74"/>
      <c r="AK70" s="74"/>
      <c r="AL70" s="74"/>
      <c r="AM70" s="75"/>
      <c r="AN70" s="73">
        <v>7</v>
      </c>
      <c r="AO70" s="74"/>
      <c r="AP70" s="74"/>
      <c r="AQ70" s="74"/>
      <c r="AR70" s="75"/>
      <c r="AS70" s="73">
        <v>8</v>
      </c>
      <c r="AT70" s="74"/>
      <c r="AU70" s="74"/>
      <c r="AV70" s="74"/>
      <c r="AW70" s="75"/>
      <c r="AX70" s="73">
        <v>9</v>
      </c>
      <c r="AY70" s="74"/>
      <c r="AZ70" s="74"/>
      <c r="BA70" s="75"/>
      <c r="BB70" s="73">
        <v>10</v>
      </c>
      <c r="BC70" s="74"/>
      <c r="BD70" s="74"/>
      <c r="BE70" s="74"/>
      <c r="BF70" s="75"/>
      <c r="BG70" s="73">
        <v>11</v>
      </c>
      <c r="BH70" s="74"/>
      <c r="BI70" s="74"/>
      <c r="BJ70" s="74"/>
      <c r="BK70" s="75"/>
      <c r="BL70" s="73">
        <v>12</v>
      </c>
      <c r="BM70" s="74"/>
      <c r="BN70" s="74"/>
      <c r="BO70" s="74"/>
      <c r="BP70" s="75"/>
      <c r="BQ70" s="73">
        <v>13</v>
      </c>
      <c r="BR70" s="74"/>
      <c r="BS70" s="74"/>
      <c r="BT70" s="75"/>
      <c r="BU70" s="39">
        <v>14</v>
      </c>
      <c r="BV70" s="39"/>
      <c r="BW70" s="39"/>
      <c r="BX70" s="39"/>
      <c r="BY70" s="39"/>
    </row>
    <row r="71" spans="1:79" s="1" customFormat="1" ht="13.5" hidden="1" customHeight="1" x14ac:dyDescent="0.2">
      <c r="A71" s="87" t="s">
        <v>64</v>
      </c>
      <c r="B71" s="88"/>
      <c r="C71" s="88"/>
      <c r="D71" s="88"/>
      <c r="E71" s="89"/>
      <c r="F71" s="87" t="s">
        <v>57</v>
      </c>
      <c r="G71" s="88"/>
      <c r="H71" s="88"/>
      <c r="I71" s="88"/>
      <c r="J71" s="88"/>
      <c r="K71" s="88"/>
      <c r="L71" s="88"/>
      <c r="M71" s="88"/>
      <c r="N71" s="88"/>
      <c r="O71" s="88"/>
      <c r="P71" s="88"/>
      <c r="Q71" s="88"/>
      <c r="R71" s="88"/>
      <c r="S71" s="88"/>
      <c r="T71" s="89"/>
      <c r="U71" s="87" t="s">
        <v>65</v>
      </c>
      <c r="V71" s="88"/>
      <c r="W71" s="88"/>
      <c r="X71" s="88"/>
      <c r="Y71" s="89"/>
      <c r="Z71" s="87" t="s">
        <v>66</v>
      </c>
      <c r="AA71" s="88"/>
      <c r="AB71" s="88"/>
      <c r="AC71" s="88"/>
      <c r="AD71" s="89"/>
      <c r="AE71" s="87" t="s">
        <v>91</v>
      </c>
      <c r="AF71" s="88"/>
      <c r="AG71" s="88"/>
      <c r="AH71" s="89"/>
      <c r="AI71" s="93" t="s">
        <v>169</v>
      </c>
      <c r="AJ71" s="94"/>
      <c r="AK71" s="94"/>
      <c r="AL71" s="94"/>
      <c r="AM71" s="95"/>
      <c r="AN71" s="87" t="s">
        <v>67</v>
      </c>
      <c r="AO71" s="88"/>
      <c r="AP71" s="88"/>
      <c r="AQ71" s="88"/>
      <c r="AR71" s="89"/>
      <c r="AS71" s="87" t="s">
        <v>68</v>
      </c>
      <c r="AT71" s="88"/>
      <c r="AU71" s="88"/>
      <c r="AV71" s="88"/>
      <c r="AW71" s="89"/>
      <c r="AX71" s="87" t="s">
        <v>92</v>
      </c>
      <c r="AY71" s="88"/>
      <c r="AZ71" s="88"/>
      <c r="BA71" s="89"/>
      <c r="BB71" s="93" t="s">
        <v>169</v>
      </c>
      <c r="BC71" s="94"/>
      <c r="BD71" s="94"/>
      <c r="BE71" s="94"/>
      <c r="BF71" s="95"/>
      <c r="BG71" s="87" t="s">
        <v>58</v>
      </c>
      <c r="BH71" s="88"/>
      <c r="BI71" s="88"/>
      <c r="BJ71" s="88"/>
      <c r="BK71" s="89"/>
      <c r="BL71" s="87" t="s">
        <v>59</v>
      </c>
      <c r="BM71" s="88"/>
      <c r="BN71" s="88"/>
      <c r="BO71" s="88"/>
      <c r="BP71" s="89"/>
      <c r="BQ71" s="87" t="s">
        <v>93</v>
      </c>
      <c r="BR71" s="88"/>
      <c r="BS71" s="88"/>
      <c r="BT71" s="89"/>
      <c r="BU71" s="83" t="s">
        <v>169</v>
      </c>
      <c r="BV71" s="83"/>
      <c r="BW71" s="83"/>
      <c r="BX71" s="83"/>
      <c r="BY71" s="83"/>
      <c r="CA71" t="s">
        <v>27</v>
      </c>
    </row>
    <row r="72" spans="1:79" s="5" customFormat="1" ht="12.75" customHeight="1" x14ac:dyDescent="0.2">
      <c r="A72" s="36"/>
      <c r="B72" s="37"/>
      <c r="C72" s="37"/>
      <c r="D72" s="37"/>
      <c r="E72" s="50"/>
      <c r="F72" s="36" t="s">
        <v>147</v>
      </c>
      <c r="G72" s="37"/>
      <c r="H72" s="37"/>
      <c r="I72" s="37"/>
      <c r="J72" s="37"/>
      <c r="K72" s="37"/>
      <c r="L72" s="37"/>
      <c r="M72" s="37"/>
      <c r="N72" s="37"/>
      <c r="O72" s="37"/>
      <c r="P72" s="37"/>
      <c r="Q72" s="37"/>
      <c r="R72" s="37"/>
      <c r="S72" s="37"/>
      <c r="T72" s="50"/>
      <c r="U72" s="42"/>
      <c r="V72" s="43"/>
      <c r="W72" s="43"/>
      <c r="X72" s="43"/>
      <c r="Y72" s="44"/>
      <c r="Z72" s="42"/>
      <c r="AA72" s="43"/>
      <c r="AB72" s="43"/>
      <c r="AC72" s="43"/>
      <c r="AD72" s="44"/>
      <c r="AE72" s="42"/>
      <c r="AF72" s="43"/>
      <c r="AG72" s="43"/>
      <c r="AH72" s="44"/>
      <c r="AI72" s="42">
        <f>IF(ISNUMBER(U72),U72,0)+IF(ISNUMBER(Z72),Z72,0)</f>
        <v>0</v>
      </c>
      <c r="AJ72" s="43"/>
      <c r="AK72" s="43"/>
      <c r="AL72" s="43"/>
      <c r="AM72" s="44"/>
      <c r="AN72" s="42"/>
      <c r="AO72" s="43"/>
      <c r="AP72" s="43"/>
      <c r="AQ72" s="43"/>
      <c r="AR72" s="44"/>
      <c r="AS72" s="42"/>
      <c r="AT72" s="43"/>
      <c r="AU72" s="43"/>
      <c r="AV72" s="43"/>
      <c r="AW72" s="44"/>
      <c r="AX72" s="42"/>
      <c r="AY72" s="43"/>
      <c r="AZ72" s="43"/>
      <c r="BA72" s="44"/>
      <c r="BB72" s="42">
        <f>IF(ISNUMBER(AN72),AN72,0)+IF(ISNUMBER(AS72),AS72,0)</f>
        <v>0</v>
      </c>
      <c r="BC72" s="43"/>
      <c r="BD72" s="43"/>
      <c r="BE72" s="43"/>
      <c r="BF72" s="44"/>
      <c r="BG72" s="42"/>
      <c r="BH72" s="43"/>
      <c r="BI72" s="43"/>
      <c r="BJ72" s="43"/>
      <c r="BK72" s="44"/>
      <c r="BL72" s="42"/>
      <c r="BM72" s="43"/>
      <c r="BN72" s="43"/>
      <c r="BO72" s="43"/>
      <c r="BP72" s="44"/>
      <c r="BQ72" s="42"/>
      <c r="BR72" s="43"/>
      <c r="BS72" s="43"/>
      <c r="BT72" s="44"/>
      <c r="BU72" s="42">
        <f>IF(ISNUMBER(BG72),BG72,0)+IF(ISNUMBER(BL72),BL72,0)</f>
        <v>0</v>
      </c>
      <c r="BV72" s="43"/>
      <c r="BW72" s="43"/>
      <c r="BX72" s="43"/>
      <c r="BY72" s="44"/>
      <c r="CA72" s="5" t="s">
        <v>28</v>
      </c>
    </row>
    <row r="74" spans="1:79" ht="14.25" customHeight="1" x14ac:dyDescent="0.2">
      <c r="A74" s="61" t="s">
        <v>295</v>
      </c>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row>
    <row r="75" spans="1:79" ht="15" customHeight="1" x14ac:dyDescent="0.2">
      <c r="A75" s="76" t="s">
        <v>267</v>
      </c>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c r="BK75" s="76"/>
    </row>
    <row r="76" spans="1:79" ht="23.1" customHeight="1" x14ac:dyDescent="0.2">
      <c r="A76" s="102" t="s">
        <v>118</v>
      </c>
      <c r="B76" s="103"/>
      <c r="C76" s="103"/>
      <c r="D76" s="104"/>
      <c r="E76" s="77" t="s">
        <v>19</v>
      </c>
      <c r="F76" s="78"/>
      <c r="G76" s="78"/>
      <c r="H76" s="78"/>
      <c r="I76" s="78"/>
      <c r="J76" s="78"/>
      <c r="K76" s="78"/>
      <c r="L76" s="78"/>
      <c r="M76" s="78"/>
      <c r="N76" s="78"/>
      <c r="O76" s="78"/>
      <c r="P76" s="78"/>
      <c r="Q76" s="78"/>
      <c r="R76" s="78"/>
      <c r="S76" s="78"/>
      <c r="T76" s="78"/>
      <c r="U76" s="78"/>
      <c r="V76" s="78"/>
      <c r="W76" s="79"/>
      <c r="X76" s="73" t="s">
        <v>289</v>
      </c>
      <c r="Y76" s="74"/>
      <c r="Z76" s="74"/>
      <c r="AA76" s="74"/>
      <c r="AB76" s="74"/>
      <c r="AC76" s="74"/>
      <c r="AD76" s="74"/>
      <c r="AE76" s="74"/>
      <c r="AF76" s="74"/>
      <c r="AG76" s="74"/>
      <c r="AH76" s="74"/>
      <c r="AI76" s="74"/>
      <c r="AJ76" s="74"/>
      <c r="AK76" s="74"/>
      <c r="AL76" s="74"/>
      <c r="AM76" s="74"/>
      <c r="AN76" s="74"/>
      <c r="AO76" s="74"/>
      <c r="AP76" s="74"/>
      <c r="AQ76" s="75"/>
      <c r="AR76" s="39" t="s">
        <v>294</v>
      </c>
      <c r="AS76" s="39"/>
      <c r="AT76" s="39"/>
      <c r="AU76" s="39"/>
      <c r="AV76" s="39"/>
      <c r="AW76" s="39"/>
      <c r="AX76" s="39"/>
      <c r="AY76" s="39"/>
      <c r="AZ76" s="39"/>
      <c r="BA76" s="39"/>
      <c r="BB76" s="39"/>
      <c r="BC76" s="39"/>
      <c r="BD76" s="39"/>
      <c r="BE76" s="39"/>
      <c r="BF76" s="39"/>
      <c r="BG76" s="39"/>
      <c r="BH76" s="39"/>
      <c r="BI76" s="39"/>
      <c r="BJ76" s="39"/>
      <c r="BK76" s="39"/>
    </row>
    <row r="77" spans="1:79" ht="48.75" customHeight="1" x14ac:dyDescent="0.2">
      <c r="A77" s="105"/>
      <c r="B77" s="106"/>
      <c r="C77" s="106"/>
      <c r="D77" s="107"/>
      <c r="E77" s="80"/>
      <c r="F77" s="81"/>
      <c r="G77" s="81"/>
      <c r="H77" s="81"/>
      <c r="I77" s="81"/>
      <c r="J77" s="81"/>
      <c r="K77" s="81"/>
      <c r="L77" s="81"/>
      <c r="M77" s="81"/>
      <c r="N77" s="81"/>
      <c r="O77" s="81"/>
      <c r="P77" s="81"/>
      <c r="Q77" s="81"/>
      <c r="R77" s="81"/>
      <c r="S77" s="81"/>
      <c r="T77" s="81"/>
      <c r="U77" s="81"/>
      <c r="V77" s="81"/>
      <c r="W77" s="82"/>
      <c r="X77" s="77" t="s">
        <v>4</v>
      </c>
      <c r="Y77" s="78"/>
      <c r="Z77" s="78"/>
      <c r="AA77" s="78"/>
      <c r="AB77" s="79"/>
      <c r="AC77" s="77" t="s">
        <v>3</v>
      </c>
      <c r="AD77" s="78"/>
      <c r="AE77" s="78"/>
      <c r="AF77" s="78"/>
      <c r="AG77" s="79"/>
      <c r="AH77" s="96" t="s">
        <v>116</v>
      </c>
      <c r="AI77" s="97"/>
      <c r="AJ77" s="97"/>
      <c r="AK77" s="97"/>
      <c r="AL77" s="98"/>
      <c r="AM77" s="73" t="s">
        <v>5</v>
      </c>
      <c r="AN77" s="74"/>
      <c r="AO77" s="74"/>
      <c r="AP77" s="74"/>
      <c r="AQ77" s="75"/>
      <c r="AR77" s="73" t="s">
        <v>4</v>
      </c>
      <c r="AS77" s="74"/>
      <c r="AT77" s="74"/>
      <c r="AU77" s="74"/>
      <c r="AV77" s="75"/>
      <c r="AW77" s="73" t="s">
        <v>3</v>
      </c>
      <c r="AX77" s="74"/>
      <c r="AY77" s="74"/>
      <c r="AZ77" s="74"/>
      <c r="BA77" s="75"/>
      <c r="BB77" s="96" t="s">
        <v>116</v>
      </c>
      <c r="BC77" s="97"/>
      <c r="BD77" s="97"/>
      <c r="BE77" s="97"/>
      <c r="BF77" s="98"/>
      <c r="BG77" s="73" t="s">
        <v>96</v>
      </c>
      <c r="BH77" s="74"/>
      <c r="BI77" s="74"/>
      <c r="BJ77" s="74"/>
      <c r="BK77" s="75"/>
    </row>
    <row r="78" spans="1:79" ht="12.75" customHeight="1" x14ac:dyDescent="0.2">
      <c r="A78" s="73">
        <v>1</v>
      </c>
      <c r="B78" s="74"/>
      <c r="C78" s="74"/>
      <c r="D78" s="75"/>
      <c r="E78" s="73">
        <v>2</v>
      </c>
      <c r="F78" s="74"/>
      <c r="G78" s="74"/>
      <c r="H78" s="74"/>
      <c r="I78" s="74"/>
      <c r="J78" s="74"/>
      <c r="K78" s="74"/>
      <c r="L78" s="74"/>
      <c r="M78" s="74"/>
      <c r="N78" s="74"/>
      <c r="O78" s="74"/>
      <c r="P78" s="74"/>
      <c r="Q78" s="74"/>
      <c r="R78" s="74"/>
      <c r="S78" s="74"/>
      <c r="T78" s="74"/>
      <c r="U78" s="74"/>
      <c r="V78" s="74"/>
      <c r="W78" s="75"/>
      <c r="X78" s="73">
        <v>3</v>
      </c>
      <c r="Y78" s="74"/>
      <c r="Z78" s="74"/>
      <c r="AA78" s="74"/>
      <c r="AB78" s="75"/>
      <c r="AC78" s="73">
        <v>4</v>
      </c>
      <c r="AD78" s="74"/>
      <c r="AE78" s="74"/>
      <c r="AF78" s="74"/>
      <c r="AG78" s="75"/>
      <c r="AH78" s="73">
        <v>5</v>
      </c>
      <c r="AI78" s="74"/>
      <c r="AJ78" s="74"/>
      <c r="AK78" s="74"/>
      <c r="AL78" s="75"/>
      <c r="AM78" s="73">
        <v>6</v>
      </c>
      <c r="AN78" s="74"/>
      <c r="AO78" s="74"/>
      <c r="AP78" s="74"/>
      <c r="AQ78" s="75"/>
      <c r="AR78" s="73">
        <v>7</v>
      </c>
      <c r="AS78" s="74"/>
      <c r="AT78" s="74"/>
      <c r="AU78" s="74"/>
      <c r="AV78" s="75"/>
      <c r="AW78" s="73">
        <v>8</v>
      </c>
      <c r="AX78" s="74"/>
      <c r="AY78" s="74"/>
      <c r="AZ78" s="74"/>
      <c r="BA78" s="75"/>
      <c r="BB78" s="73">
        <v>9</v>
      </c>
      <c r="BC78" s="74"/>
      <c r="BD78" s="74"/>
      <c r="BE78" s="74"/>
      <c r="BF78" s="75"/>
      <c r="BG78" s="73">
        <v>10</v>
      </c>
      <c r="BH78" s="74"/>
      <c r="BI78" s="74"/>
      <c r="BJ78" s="74"/>
      <c r="BK78" s="75"/>
    </row>
    <row r="79" spans="1:79" s="1" customFormat="1" ht="12.75" hidden="1" customHeight="1" x14ac:dyDescent="0.2">
      <c r="A79" s="87" t="s">
        <v>64</v>
      </c>
      <c r="B79" s="88"/>
      <c r="C79" s="88"/>
      <c r="D79" s="89"/>
      <c r="E79" s="87" t="s">
        <v>57</v>
      </c>
      <c r="F79" s="88"/>
      <c r="G79" s="88"/>
      <c r="H79" s="88"/>
      <c r="I79" s="88"/>
      <c r="J79" s="88"/>
      <c r="K79" s="88"/>
      <c r="L79" s="88"/>
      <c r="M79" s="88"/>
      <c r="N79" s="88"/>
      <c r="O79" s="88"/>
      <c r="P79" s="88"/>
      <c r="Q79" s="88"/>
      <c r="R79" s="88"/>
      <c r="S79" s="88"/>
      <c r="T79" s="88"/>
      <c r="U79" s="88"/>
      <c r="V79" s="88"/>
      <c r="W79" s="89"/>
      <c r="X79" s="108" t="s">
        <v>60</v>
      </c>
      <c r="Y79" s="109"/>
      <c r="Z79" s="109"/>
      <c r="AA79" s="109"/>
      <c r="AB79" s="110"/>
      <c r="AC79" s="108" t="s">
        <v>61</v>
      </c>
      <c r="AD79" s="109"/>
      <c r="AE79" s="109"/>
      <c r="AF79" s="109"/>
      <c r="AG79" s="110"/>
      <c r="AH79" s="87" t="s">
        <v>94</v>
      </c>
      <c r="AI79" s="88"/>
      <c r="AJ79" s="88"/>
      <c r="AK79" s="88"/>
      <c r="AL79" s="89"/>
      <c r="AM79" s="93" t="s">
        <v>170</v>
      </c>
      <c r="AN79" s="94"/>
      <c r="AO79" s="94"/>
      <c r="AP79" s="94"/>
      <c r="AQ79" s="95"/>
      <c r="AR79" s="87" t="s">
        <v>62</v>
      </c>
      <c r="AS79" s="88"/>
      <c r="AT79" s="88"/>
      <c r="AU79" s="88"/>
      <c r="AV79" s="89"/>
      <c r="AW79" s="87" t="s">
        <v>63</v>
      </c>
      <c r="AX79" s="88"/>
      <c r="AY79" s="88"/>
      <c r="AZ79" s="88"/>
      <c r="BA79" s="89"/>
      <c r="BB79" s="87" t="s">
        <v>95</v>
      </c>
      <c r="BC79" s="88"/>
      <c r="BD79" s="88"/>
      <c r="BE79" s="88"/>
      <c r="BF79" s="89"/>
      <c r="BG79" s="93" t="s">
        <v>170</v>
      </c>
      <c r="BH79" s="94"/>
      <c r="BI79" s="94"/>
      <c r="BJ79" s="94"/>
      <c r="BK79" s="95"/>
      <c r="CA79" t="s">
        <v>29</v>
      </c>
    </row>
    <row r="80" spans="1:79" s="4" customFormat="1" ht="12.75" customHeight="1" x14ac:dyDescent="0.2">
      <c r="A80" s="34">
        <v>2111</v>
      </c>
      <c r="B80" s="35"/>
      <c r="C80" s="35"/>
      <c r="D80" s="51"/>
      <c r="E80" s="28" t="s">
        <v>176</v>
      </c>
      <c r="F80" s="29"/>
      <c r="G80" s="29"/>
      <c r="H80" s="29"/>
      <c r="I80" s="29"/>
      <c r="J80" s="29"/>
      <c r="K80" s="29"/>
      <c r="L80" s="29"/>
      <c r="M80" s="29"/>
      <c r="N80" s="29"/>
      <c r="O80" s="29"/>
      <c r="P80" s="29"/>
      <c r="Q80" s="29"/>
      <c r="R80" s="29"/>
      <c r="S80" s="29"/>
      <c r="T80" s="29"/>
      <c r="U80" s="29"/>
      <c r="V80" s="29"/>
      <c r="W80" s="30"/>
      <c r="X80" s="46">
        <v>8173017</v>
      </c>
      <c r="Y80" s="47"/>
      <c r="Z80" s="47"/>
      <c r="AA80" s="47"/>
      <c r="AB80" s="48"/>
      <c r="AC80" s="46">
        <v>0</v>
      </c>
      <c r="AD80" s="47"/>
      <c r="AE80" s="47"/>
      <c r="AF80" s="47"/>
      <c r="AG80" s="48"/>
      <c r="AH80" s="46">
        <v>0</v>
      </c>
      <c r="AI80" s="47"/>
      <c r="AJ80" s="47"/>
      <c r="AK80" s="47"/>
      <c r="AL80" s="48"/>
      <c r="AM80" s="46">
        <f t="shared" ref="AM80:AM91" si="3">IF(ISNUMBER(X80),X80,0)+IF(ISNUMBER(AC80),AC80,0)</f>
        <v>8173017</v>
      </c>
      <c r="AN80" s="47"/>
      <c r="AO80" s="47"/>
      <c r="AP80" s="47"/>
      <c r="AQ80" s="48"/>
      <c r="AR80" s="46">
        <v>8173017</v>
      </c>
      <c r="AS80" s="47"/>
      <c r="AT80" s="47"/>
      <c r="AU80" s="47"/>
      <c r="AV80" s="48"/>
      <c r="AW80" s="46">
        <v>0</v>
      </c>
      <c r="AX80" s="47"/>
      <c r="AY80" s="47"/>
      <c r="AZ80" s="47"/>
      <c r="BA80" s="48"/>
      <c r="BB80" s="46">
        <v>0</v>
      </c>
      <c r="BC80" s="47"/>
      <c r="BD80" s="47"/>
      <c r="BE80" s="47"/>
      <c r="BF80" s="48"/>
      <c r="BG80" s="49">
        <f t="shared" ref="BG80:BG91" si="4">IF(ISNUMBER(AR80),AR80,0)+IF(ISNUMBER(AW80),AW80,0)</f>
        <v>8173017</v>
      </c>
      <c r="BH80" s="49"/>
      <c r="BI80" s="49"/>
      <c r="BJ80" s="49"/>
      <c r="BK80" s="49"/>
      <c r="CA80" s="4" t="s">
        <v>30</v>
      </c>
    </row>
    <row r="81" spans="1:64" s="4" customFormat="1" ht="12.75" customHeight="1" x14ac:dyDescent="0.2">
      <c r="A81" s="34">
        <v>2120</v>
      </c>
      <c r="B81" s="35"/>
      <c r="C81" s="35"/>
      <c r="D81" s="51"/>
      <c r="E81" s="28" t="s">
        <v>177</v>
      </c>
      <c r="F81" s="29"/>
      <c r="G81" s="29"/>
      <c r="H81" s="29"/>
      <c r="I81" s="29"/>
      <c r="J81" s="29"/>
      <c r="K81" s="29"/>
      <c r="L81" s="29"/>
      <c r="M81" s="29"/>
      <c r="N81" s="29"/>
      <c r="O81" s="29"/>
      <c r="P81" s="29"/>
      <c r="Q81" s="29"/>
      <c r="R81" s="29"/>
      <c r="S81" s="29"/>
      <c r="T81" s="29"/>
      <c r="U81" s="29"/>
      <c r="V81" s="29"/>
      <c r="W81" s="30"/>
      <c r="X81" s="46">
        <v>1798064</v>
      </c>
      <c r="Y81" s="47"/>
      <c r="Z81" s="47"/>
      <c r="AA81" s="47"/>
      <c r="AB81" s="48"/>
      <c r="AC81" s="46">
        <v>0</v>
      </c>
      <c r="AD81" s="47"/>
      <c r="AE81" s="47"/>
      <c r="AF81" s="47"/>
      <c r="AG81" s="48"/>
      <c r="AH81" s="46">
        <v>0</v>
      </c>
      <c r="AI81" s="47"/>
      <c r="AJ81" s="47"/>
      <c r="AK81" s="47"/>
      <c r="AL81" s="48"/>
      <c r="AM81" s="46">
        <f t="shared" si="3"/>
        <v>1798064</v>
      </c>
      <c r="AN81" s="47"/>
      <c r="AO81" s="47"/>
      <c r="AP81" s="47"/>
      <c r="AQ81" s="48"/>
      <c r="AR81" s="46">
        <v>1798064</v>
      </c>
      <c r="AS81" s="47"/>
      <c r="AT81" s="47"/>
      <c r="AU81" s="47"/>
      <c r="AV81" s="48"/>
      <c r="AW81" s="46">
        <v>0</v>
      </c>
      <c r="AX81" s="47"/>
      <c r="AY81" s="47"/>
      <c r="AZ81" s="47"/>
      <c r="BA81" s="48"/>
      <c r="BB81" s="46">
        <v>0</v>
      </c>
      <c r="BC81" s="47"/>
      <c r="BD81" s="47"/>
      <c r="BE81" s="47"/>
      <c r="BF81" s="48"/>
      <c r="BG81" s="49">
        <f t="shared" si="4"/>
        <v>1798064</v>
      </c>
      <c r="BH81" s="49"/>
      <c r="BI81" s="49"/>
      <c r="BJ81" s="49"/>
      <c r="BK81" s="49"/>
    </row>
    <row r="82" spans="1:64" s="4" customFormat="1" ht="12.75" customHeight="1" x14ac:dyDescent="0.2">
      <c r="A82" s="34">
        <v>2210</v>
      </c>
      <c r="B82" s="35"/>
      <c r="C82" s="35"/>
      <c r="D82" s="51"/>
      <c r="E82" s="28" t="s">
        <v>178</v>
      </c>
      <c r="F82" s="29"/>
      <c r="G82" s="29"/>
      <c r="H82" s="29"/>
      <c r="I82" s="29"/>
      <c r="J82" s="29"/>
      <c r="K82" s="29"/>
      <c r="L82" s="29"/>
      <c r="M82" s="29"/>
      <c r="N82" s="29"/>
      <c r="O82" s="29"/>
      <c r="P82" s="29"/>
      <c r="Q82" s="29"/>
      <c r="R82" s="29"/>
      <c r="S82" s="29"/>
      <c r="T82" s="29"/>
      <c r="U82" s="29"/>
      <c r="V82" s="29"/>
      <c r="W82" s="30"/>
      <c r="X82" s="46">
        <v>230186</v>
      </c>
      <c r="Y82" s="47"/>
      <c r="Z82" s="47"/>
      <c r="AA82" s="47"/>
      <c r="AB82" s="48"/>
      <c r="AC82" s="46">
        <v>0</v>
      </c>
      <c r="AD82" s="47"/>
      <c r="AE82" s="47"/>
      <c r="AF82" s="47"/>
      <c r="AG82" s="48"/>
      <c r="AH82" s="46">
        <v>0</v>
      </c>
      <c r="AI82" s="47"/>
      <c r="AJ82" s="47"/>
      <c r="AK82" s="47"/>
      <c r="AL82" s="48"/>
      <c r="AM82" s="46">
        <f t="shared" si="3"/>
        <v>230186</v>
      </c>
      <c r="AN82" s="47"/>
      <c r="AO82" s="47"/>
      <c r="AP82" s="47"/>
      <c r="AQ82" s="48"/>
      <c r="AR82" s="46">
        <v>248601</v>
      </c>
      <c r="AS82" s="47"/>
      <c r="AT82" s="47"/>
      <c r="AU82" s="47"/>
      <c r="AV82" s="48"/>
      <c r="AW82" s="46">
        <v>0</v>
      </c>
      <c r="AX82" s="47"/>
      <c r="AY82" s="47"/>
      <c r="AZ82" s="47"/>
      <c r="BA82" s="48"/>
      <c r="BB82" s="46">
        <v>0</v>
      </c>
      <c r="BC82" s="47"/>
      <c r="BD82" s="47"/>
      <c r="BE82" s="47"/>
      <c r="BF82" s="48"/>
      <c r="BG82" s="49">
        <f t="shared" si="4"/>
        <v>248601</v>
      </c>
      <c r="BH82" s="49"/>
      <c r="BI82" s="49"/>
      <c r="BJ82" s="49"/>
      <c r="BK82" s="49"/>
    </row>
    <row r="83" spans="1:64" s="4" customFormat="1" ht="12.75" customHeight="1" x14ac:dyDescent="0.2">
      <c r="A83" s="34">
        <v>2240</v>
      </c>
      <c r="B83" s="35"/>
      <c r="C83" s="35"/>
      <c r="D83" s="51"/>
      <c r="E83" s="28" t="s">
        <v>179</v>
      </c>
      <c r="F83" s="29"/>
      <c r="G83" s="29"/>
      <c r="H83" s="29"/>
      <c r="I83" s="29"/>
      <c r="J83" s="29"/>
      <c r="K83" s="29"/>
      <c r="L83" s="29"/>
      <c r="M83" s="29"/>
      <c r="N83" s="29"/>
      <c r="O83" s="29"/>
      <c r="P83" s="29"/>
      <c r="Q83" s="29"/>
      <c r="R83" s="29"/>
      <c r="S83" s="29"/>
      <c r="T83" s="29"/>
      <c r="U83" s="29"/>
      <c r="V83" s="29"/>
      <c r="W83" s="30"/>
      <c r="X83" s="46">
        <v>1535137</v>
      </c>
      <c r="Y83" s="47"/>
      <c r="Z83" s="47"/>
      <c r="AA83" s="47"/>
      <c r="AB83" s="48"/>
      <c r="AC83" s="46">
        <v>0</v>
      </c>
      <c r="AD83" s="47"/>
      <c r="AE83" s="47"/>
      <c r="AF83" s="47"/>
      <c r="AG83" s="48"/>
      <c r="AH83" s="46">
        <v>0</v>
      </c>
      <c r="AI83" s="47"/>
      <c r="AJ83" s="47"/>
      <c r="AK83" s="47"/>
      <c r="AL83" s="48"/>
      <c r="AM83" s="46">
        <f t="shared" si="3"/>
        <v>1535137</v>
      </c>
      <c r="AN83" s="47"/>
      <c r="AO83" s="47"/>
      <c r="AP83" s="47"/>
      <c r="AQ83" s="48"/>
      <c r="AR83" s="46">
        <v>1657948</v>
      </c>
      <c r="AS83" s="47"/>
      <c r="AT83" s="47"/>
      <c r="AU83" s="47"/>
      <c r="AV83" s="48"/>
      <c r="AW83" s="46">
        <v>0</v>
      </c>
      <c r="AX83" s="47"/>
      <c r="AY83" s="47"/>
      <c r="AZ83" s="47"/>
      <c r="BA83" s="48"/>
      <c r="BB83" s="46">
        <v>0</v>
      </c>
      <c r="BC83" s="47"/>
      <c r="BD83" s="47"/>
      <c r="BE83" s="47"/>
      <c r="BF83" s="48"/>
      <c r="BG83" s="49">
        <f t="shared" si="4"/>
        <v>1657948</v>
      </c>
      <c r="BH83" s="49"/>
      <c r="BI83" s="49"/>
      <c r="BJ83" s="49"/>
      <c r="BK83" s="49"/>
    </row>
    <row r="84" spans="1:64" s="4" customFormat="1" ht="12.75" customHeight="1" x14ac:dyDescent="0.2">
      <c r="A84" s="34">
        <v>2250</v>
      </c>
      <c r="B84" s="35"/>
      <c r="C84" s="35"/>
      <c r="D84" s="51"/>
      <c r="E84" s="28" t="s">
        <v>180</v>
      </c>
      <c r="F84" s="29"/>
      <c r="G84" s="29"/>
      <c r="H84" s="29"/>
      <c r="I84" s="29"/>
      <c r="J84" s="29"/>
      <c r="K84" s="29"/>
      <c r="L84" s="29"/>
      <c r="M84" s="29"/>
      <c r="N84" s="29"/>
      <c r="O84" s="29"/>
      <c r="P84" s="29"/>
      <c r="Q84" s="29"/>
      <c r="R84" s="29"/>
      <c r="S84" s="29"/>
      <c r="T84" s="29"/>
      <c r="U84" s="29"/>
      <c r="V84" s="29"/>
      <c r="W84" s="30"/>
      <c r="X84" s="46">
        <v>164850</v>
      </c>
      <c r="Y84" s="47"/>
      <c r="Z84" s="47"/>
      <c r="AA84" s="47"/>
      <c r="AB84" s="48"/>
      <c r="AC84" s="46">
        <v>0</v>
      </c>
      <c r="AD84" s="47"/>
      <c r="AE84" s="47"/>
      <c r="AF84" s="47"/>
      <c r="AG84" s="48"/>
      <c r="AH84" s="46">
        <v>0</v>
      </c>
      <c r="AI84" s="47"/>
      <c r="AJ84" s="47"/>
      <c r="AK84" s="47"/>
      <c r="AL84" s="48"/>
      <c r="AM84" s="46">
        <f t="shared" si="3"/>
        <v>164850</v>
      </c>
      <c r="AN84" s="47"/>
      <c r="AO84" s="47"/>
      <c r="AP84" s="47"/>
      <c r="AQ84" s="48"/>
      <c r="AR84" s="46">
        <v>178038</v>
      </c>
      <c r="AS84" s="47"/>
      <c r="AT84" s="47"/>
      <c r="AU84" s="47"/>
      <c r="AV84" s="48"/>
      <c r="AW84" s="46">
        <v>0</v>
      </c>
      <c r="AX84" s="47"/>
      <c r="AY84" s="47"/>
      <c r="AZ84" s="47"/>
      <c r="BA84" s="48"/>
      <c r="BB84" s="46">
        <v>0</v>
      </c>
      <c r="BC84" s="47"/>
      <c r="BD84" s="47"/>
      <c r="BE84" s="47"/>
      <c r="BF84" s="48"/>
      <c r="BG84" s="49">
        <f t="shared" si="4"/>
        <v>178038</v>
      </c>
      <c r="BH84" s="49"/>
      <c r="BI84" s="49"/>
      <c r="BJ84" s="49"/>
      <c r="BK84" s="49"/>
    </row>
    <row r="85" spans="1:64" s="4" customFormat="1" ht="12.75" customHeight="1" x14ac:dyDescent="0.2">
      <c r="A85" s="34">
        <v>2272</v>
      </c>
      <c r="B85" s="35"/>
      <c r="C85" s="35"/>
      <c r="D85" s="51"/>
      <c r="E85" s="28" t="s">
        <v>181</v>
      </c>
      <c r="F85" s="29"/>
      <c r="G85" s="29"/>
      <c r="H85" s="29"/>
      <c r="I85" s="29"/>
      <c r="J85" s="29"/>
      <c r="K85" s="29"/>
      <c r="L85" s="29"/>
      <c r="M85" s="29"/>
      <c r="N85" s="29"/>
      <c r="O85" s="29"/>
      <c r="P85" s="29"/>
      <c r="Q85" s="29"/>
      <c r="R85" s="29"/>
      <c r="S85" s="29"/>
      <c r="T85" s="29"/>
      <c r="U85" s="29"/>
      <c r="V85" s="29"/>
      <c r="W85" s="30"/>
      <c r="X85" s="46">
        <v>6597</v>
      </c>
      <c r="Y85" s="47"/>
      <c r="Z85" s="47"/>
      <c r="AA85" s="47"/>
      <c r="AB85" s="48"/>
      <c r="AC85" s="46">
        <v>0</v>
      </c>
      <c r="AD85" s="47"/>
      <c r="AE85" s="47"/>
      <c r="AF85" s="47"/>
      <c r="AG85" s="48"/>
      <c r="AH85" s="46">
        <v>0</v>
      </c>
      <c r="AI85" s="47"/>
      <c r="AJ85" s="47"/>
      <c r="AK85" s="47"/>
      <c r="AL85" s="48"/>
      <c r="AM85" s="46">
        <f t="shared" si="3"/>
        <v>6597</v>
      </c>
      <c r="AN85" s="47"/>
      <c r="AO85" s="47"/>
      <c r="AP85" s="47"/>
      <c r="AQ85" s="48"/>
      <c r="AR85" s="46">
        <v>7125</v>
      </c>
      <c r="AS85" s="47"/>
      <c r="AT85" s="47"/>
      <c r="AU85" s="47"/>
      <c r="AV85" s="48"/>
      <c r="AW85" s="46">
        <v>0</v>
      </c>
      <c r="AX85" s="47"/>
      <c r="AY85" s="47"/>
      <c r="AZ85" s="47"/>
      <c r="BA85" s="48"/>
      <c r="BB85" s="46">
        <v>0</v>
      </c>
      <c r="BC85" s="47"/>
      <c r="BD85" s="47"/>
      <c r="BE85" s="47"/>
      <c r="BF85" s="48"/>
      <c r="BG85" s="49">
        <f t="shared" si="4"/>
        <v>7125</v>
      </c>
      <c r="BH85" s="49"/>
      <c r="BI85" s="49"/>
      <c r="BJ85" s="49"/>
      <c r="BK85" s="49"/>
    </row>
    <row r="86" spans="1:64" s="4" customFormat="1" ht="12.75" customHeight="1" x14ac:dyDescent="0.2">
      <c r="A86" s="34">
        <v>2273</v>
      </c>
      <c r="B86" s="35"/>
      <c r="C86" s="35"/>
      <c r="D86" s="51"/>
      <c r="E86" s="28" t="s">
        <v>182</v>
      </c>
      <c r="F86" s="29"/>
      <c r="G86" s="29"/>
      <c r="H86" s="29"/>
      <c r="I86" s="29"/>
      <c r="J86" s="29"/>
      <c r="K86" s="29"/>
      <c r="L86" s="29"/>
      <c r="M86" s="29"/>
      <c r="N86" s="29"/>
      <c r="O86" s="29"/>
      <c r="P86" s="29"/>
      <c r="Q86" s="29"/>
      <c r="R86" s="29"/>
      <c r="S86" s="29"/>
      <c r="T86" s="29"/>
      <c r="U86" s="29"/>
      <c r="V86" s="29"/>
      <c r="W86" s="30"/>
      <c r="X86" s="46">
        <v>70649</v>
      </c>
      <c r="Y86" s="47"/>
      <c r="Z86" s="47"/>
      <c r="AA86" s="47"/>
      <c r="AB86" s="48"/>
      <c r="AC86" s="46">
        <v>0</v>
      </c>
      <c r="AD86" s="47"/>
      <c r="AE86" s="47"/>
      <c r="AF86" s="47"/>
      <c r="AG86" s="48"/>
      <c r="AH86" s="46">
        <v>0</v>
      </c>
      <c r="AI86" s="47"/>
      <c r="AJ86" s="47"/>
      <c r="AK86" s="47"/>
      <c r="AL86" s="48"/>
      <c r="AM86" s="46">
        <f t="shared" si="3"/>
        <v>70649</v>
      </c>
      <c r="AN86" s="47"/>
      <c r="AO86" s="47"/>
      <c r="AP86" s="47"/>
      <c r="AQ86" s="48"/>
      <c r="AR86" s="46">
        <v>76301</v>
      </c>
      <c r="AS86" s="47"/>
      <c r="AT86" s="47"/>
      <c r="AU86" s="47"/>
      <c r="AV86" s="48"/>
      <c r="AW86" s="46">
        <v>0</v>
      </c>
      <c r="AX86" s="47"/>
      <c r="AY86" s="47"/>
      <c r="AZ86" s="47"/>
      <c r="BA86" s="48"/>
      <c r="BB86" s="46">
        <v>0</v>
      </c>
      <c r="BC86" s="47"/>
      <c r="BD86" s="47"/>
      <c r="BE86" s="47"/>
      <c r="BF86" s="48"/>
      <c r="BG86" s="49">
        <f t="shared" si="4"/>
        <v>76301</v>
      </c>
      <c r="BH86" s="49"/>
      <c r="BI86" s="49"/>
      <c r="BJ86" s="49"/>
      <c r="BK86" s="49"/>
    </row>
    <row r="87" spans="1:64" s="4" customFormat="1" ht="12.75" customHeight="1" x14ac:dyDescent="0.2">
      <c r="A87" s="34">
        <v>2274</v>
      </c>
      <c r="B87" s="35"/>
      <c r="C87" s="35"/>
      <c r="D87" s="51"/>
      <c r="E87" s="28" t="s">
        <v>183</v>
      </c>
      <c r="F87" s="29"/>
      <c r="G87" s="29"/>
      <c r="H87" s="29"/>
      <c r="I87" s="29"/>
      <c r="J87" s="29"/>
      <c r="K87" s="29"/>
      <c r="L87" s="29"/>
      <c r="M87" s="29"/>
      <c r="N87" s="29"/>
      <c r="O87" s="29"/>
      <c r="P87" s="29"/>
      <c r="Q87" s="29"/>
      <c r="R87" s="29"/>
      <c r="S87" s="29"/>
      <c r="T87" s="29"/>
      <c r="U87" s="29"/>
      <c r="V87" s="29"/>
      <c r="W87" s="30"/>
      <c r="X87" s="46">
        <v>60450</v>
      </c>
      <c r="Y87" s="47"/>
      <c r="Z87" s="47"/>
      <c r="AA87" s="47"/>
      <c r="AB87" s="48"/>
      <c r="AC87" s="46">
        <v>0</v>
      </c>
      <c r="AD87" s="47"/>
      <c r="AE87" s="47"/>
      <c r="AF87" s="47"/>
      <c r="AG87" s="48"/>
      <c r="AH87" s="46">
        <v>0</v>
      </c>
      <c r="AI87" s="47"/>
      <c r="AJ87" s="47"/>
      <c r="AK87" s="47"/>
      <c r="AL87" s="48"/>
      <c r="AM87" s="46">
        <f t="shared" si="3"/>
        <v>60450</v>
      </c>
      <c r="AN87" s="47"/>
      <c r="AO87" s="47"/>
      <c r="AP87" s="47"/>
      <c r="AQ87" s="48"/>
      <c r="AR87" s="46">
        <v>65286</v>
      </c>
      <c r="AS87" s="47"/>
      <c r="AT87" s="47"/>
      <c r="AU87" s="47"/>
      <c r="AV87" s="48"/>
      <c r="AW87" s="46">
        <v>0</v>
      </c>
      <c r="AX87" s="47"/>
      <c r="AY87" s="47"/>
      <c r="AZ87" s="47"/>
      <c r="BA87" s="48"/>
      <c r="BB87" s="46">
        <v>0</v>
      </c>
      <c r="BC87" s="47"/>
      <c r="BD87" s="47"/>
      <c r="BE87" s="47"/>
      <c r="BF87" s="48"/>
      <c r="BG87" s="49">
        <f t="shared" si="4"/>
        <v>65286</v>
      </c>
      <c r="BH87" s="49"/>
      <c r="BI87" s="49"/>
      <c r="BJ87" s="49"/>
      <c r="BK87" s="49"/>
    </row>
    <row r="88" spans="1:64" s="4" customFormat="1" ht="12.75" customHeight="1" x14ac:dyDescent="0.2">
      <c r="A88" s="34">
        <v>2275</v>
      </c>
      <c r="B88" s="35"/>
      <c r="C88" s="35"/>
      <c r="D88" s="51"/>
      <c r="E88" s="28" t="s">
        <v>184</v>
      </c>
      <c r="F88" s="29"/>
      <c r="G88" s="29"/>
      <c r="H88" s="29"/>
      <c r="I88" s="29"/>
      <c r="J88" s="29"/>
      <c r="K88" s="29"/>
      <c r="L88" s="29"/>
      <c r="M88" s="29"/>
      <c r="N88" s="29"/>
      <c r="O88" s="29"/>
      <c r="P88" s="29"/>
      <c r="Q88" s="29"/>
      <c r="R88" s="29"/>
      <c r="S88" s="29"/>
      <c r="T88" s="29"/>
      <c r="U88" s="29"/>
      <c r="V88" s="29"/>
      <c r="W88" s="30"/>
      <c r="X88" s="46">
        <v>5495</v>
      </c>
      <c r="Y88" s="47"/>
      <c r="Z88" s="47"/>
      <c r="AA88" s="47"/>
      <c r="AB88" s="48"/>
      <c r="AC88" s="46">
        <v>0</v>
      </c>
      <c r="AD88" s="47"/>
      <c r="AE88" s="47"/>
      <c r="AF88" s="47"/>
      <c r="AG88" s="48"/>
      <c r="AH88" s="46">
        <v>0</v>
      </c>
      <c r="AI88" s="47"/>
      <c r="AJ88" s="47"/>
      <c r="AK88" s="47"/>
      <c r="AL88" s="48"/>
      <c r="AM88" s="46">
        <f t="shared" si="3"/>
        <v>5495</v>
      </c>
      <c r="AN88" s="47"/>
      <c r="AO88" s="47"/>
      <c r="AP88" s="47"/>
      <c r="AQ88" s="48"/>
      <c r="AR88" s="46">
        <v>5935</v>
      </c>
      <c r="AS88" s="47"/>
      <c r="AT88" s="47"/>
      <c r="AU88" s="47"/>
      <c r="AV88" s="48"/>
      <c r="AW88" s="46">
        <v>0</v>
      </c>
      <c r="AX88" s="47"/>
      <c r="AY88" s="47"/>
      <c r="AZ88" s="47"/>
      <c r="BA88" s="48"/>
      <c r="BB88" s="46">
        <v>0</v>
      </c>
      <c r="BC88" s="47"/>
      <c r="BD88" s="47"/>
      <c r="BE88" s="47"/>
      <c r="BF88" s="48"/>
      <c r="BG88" s="49">
        <f t="shared" si="4"/>
        <v>5935</v>
      </c>
      <c r="BH88" s="49"/>
      <c r="BI88" s="49"/>
      <c r="BJ88" s="49"/>
      <c r="BK88" s="49"/>
    </row>
    <row r="89" spans="1:64" s="4" customFormat="1" ht="25.5" customHeight="1" x14ac:dyDescent="0.2">
      <c r="A89" s="34">
        <v>2282</v>
      </c>
      <c r="B89" s="35"/>
      <c r="C89" s="35"/>
      <c r="D89" s="51"/>
      <c r="E89" s="28" t="s">
        <v>185</v>
      </c>
      <c r="F89" s="29"/>
      <c r="G89" s="29"/>
      <c r="H89" s="29"/>
      <c r="I89" s="29"/>
      <c r="J89" s="29"/>
      <c r="K89" s="29"/>
      <c r="L89" s="29"/>
      <c r="M89" s="29"/>
      <c r="N89" s="29"/>
      <c r="O89" s="29"/>
      <c r="P89" s="29"/>
      <c r="Q89" s="29"/>
      <c r="R89" s="29"/>
      <c r="S89" s="29"/>
      <c r="T89" s="29"/>
      <c r="U89" s="29"/>
      <c r="V89" s="29"/>
      <c r="W89" s="30"/>
      <c r="X89" s="46">
        <v>1099</v>
      </c>
      <c r="Y89" s="47"/>
      <c r="Z89" s="47"/>
      <c r="AA89" s="47"/>
      <c r="AB89" s="48"/>
      <c r="AC89" s="46">
        <v>0</v>
      </c>
      <c r="AD89" s="47"/>
      <c r="AE89" s="47"/>
      <c r="AF89" s="47"/>
      <c r="AG89" s="48"/>
      <c r="AH89" s="46">
        <v>0</v>
      </c>
      <c r="AI89" s="47"/>
      <c r="AJ89" s="47"/>
      <c r="AK89" s="47"/>
      <c r="AL89" s="48"/>
      <c r="AM89" s="46">
        <f t="shared" si="3"/>
        <v>1099</v>
      </c>
      <c r="AN89" s="47"/>
      <c r="AO89" s="47"/>
      <c r="AP89" s="47"/>
      <c r="AQ89" s="48"/>
      <c r="AR89" s="46">
        <v>1187</v>
      </c>
      <c r="AS89" s="47"/>
      <c r="AT89" s="47"/>
      <c r="AU89" s="47"/>
      <c r="AV89" s="48"/>
      <c r="AW89" s="46">
        <v>0</v>
      </c>
      <c r="AX89" s="47"/>
      <c r="AY89" s="47"/>
      <c r="AZ89" s="47"/>
      <c r="BA89" s="48"/>
      <c r="BB89" s="46">
        <v>0</v>
      </c>
      <c r="BC89" s="47"/>
      <c r="BD89" s="47"/>
      <c r="BE89" s="47"/>
      <c r="BF89" s="48"/>
      <c r="BG89" s="49">
        <f t="shared" si="4"/>
        <v>1187</v>
      </c>
      <c r="BH89" s="49"/>
      <c r="BI89" s="49"/>
      <c r="BJ89" s="49"/>
      <c r="BK89" s="49"/>
    </row>
    <row r="90" spans="1:64" s="4" customFormat="1" ht="12.75" customHeight="1" x14ac:dyDescent="0.2">
      <c r="A90" s="34">
        <v>2730</v>
      </c>
      <c r="B90" s="35"/>
      <c r="C90" s="35"/>
      <c r="D90" s="51"/>
      <c r="E90" s="28" t="s">
        <v>186</v>
      </c>
      <c r="F90" s="29"/>
      <c r="G90" s="29"/>
      <c r="H90" s="29"/>
      <c r="I90" s="29"/>
      <c r="J90" s="29"/>
      <c r="K90" s="29"/>
      <c r="L90" s="29"/>
      <c r="M90" s="29"/>
      <c r="N90" s="29"/>
      <c r="O90" s="29"/>
      <c r="P90" s="29"/>
      <c r="Q90" s="29"/>
      <c r="R90" s="29"/>
      <c r="S90" s="29"/>
      <c r="T90" s="29"/>
      <c r="U90" s="29"/>
      <c r="V90" s="29"/>
      <c r="W90" s="30"/>
      <c r="X90" s="46">
        <v>32970</v>
      </c>
      <c r="Y90" s="47"/>
      <c r="Z90" s="47"/>
      <c r="AA90" s="47"/>
      <c r="AB90" s="48"/>
      <c r="AC90" s="46">
        <v>0</v>
      </c>
      <c r="AD90" s="47"/>
      <c r="AE90" s="47"/>
      <c r="AF90" s="47"/>
      <c r="AG90" s="48"/>
      <c r="AH90" s="46">
        <v>0</v>
      </c>
      <c r="AI90" s="47"/>
      <c r="AJ90" s="47"/>
      <c r="AK90" s="47"/>
      <c r="AL90" s="48"/>
      <c r="AM90" s="46">
        <f t="shared" si="3"/>
        <v>32970</v>
      </c>
      <c r="AN90" s="47"/>
      <c r="AO90" s="47"/>
      <c r="AP90" s="47"/>
      <c r="AQ90" s="48"/>
      <c r="AR90" s="46">
        <v>35608</v>
      </c>
      <c r="AS90" s="47"/>
      <c r="AT90" s="47"/>
      <c r="AU90" s="47"/>
      <c r="AV90" s="48"/>
      <c r="AW90" s="46">
        <v>0</v>
      </c>
      <c r="AX90" s="47"/>
      <c r="AY90" s="47"/>
      <c r="AZ90" s="47"/>
      <c r="BA90" s="48"/>
      <c r="BB90" s="46">
        <v>0</v>
      </c>
      <c r="BC90" s="47"/>
      <c r="BD90" s="47"/>
      <c r="BE90" s="47"/>
      <c r="BF90" s="48"/>
      <c r="BG90" s="49">
        <f t="shared" si="4"/>
        <v>35608</v>
      </c>
      <c r="BH90" s="49"/>
      <c r="BI90" s="49"/>
      <c r="BJ90" s="49"/>
      <c r="BK90" s="49"/>
    </row>
    <row r="91" spans="1:64" s="5" customFormat="1" ht="12.75" customHeight="1" x14ac:dyDescent="0.2">
      <c r="A91" s="36"/>
      <c r="B91" s="37"/>
      <c r="C91" s="37"/>
      <c r="D91" s="50"/>
      <c r="E91" s="22" t="s">
        <v>147</v>
      </c>
      <c r="F91" s="23"/>
      <c r="G91" s="23"/>
      <c r="H91" s="23"/>
      <c r="I91" s="23"/>
      <c r="J91" s="23"/>
      <c r="K91" s="23"/>
      <c r="L91" s="23"/>
      <c r="M91" s="23"/>
      <c r="N91" s="23"/>
      <c r="O91" s="23"/>
      <c r="P91" s="23"/>
      <c r="Q91" s="23"/>
      <c r="R91" s="23"/>
      <c r="S91" s="23"/>
      <c r="T91" s="23"/>
      <c r="U91" s="23"/>
      <c r="V91" s="23"/>
      <c r="W91" s="24"/>
      <c r="X91" s="42">
        <v>12078514</v>
      </c>
      <c r="Y91" s="43"/>
      <c r="Z91" s="43"/>
      <c r="AA91" s="43"/>
      <c r="AB91" s="44"/>
      <c r="AC91" s="42">
        <v>0</v>
      </c>
      <c r="AD91" s="43"/>
      <c r="AE91" s="43"/>
      <c r="AF91" s="43"/>
      <c r="AG91" s="44"/>
      <c r="AH91" s="42">
        <v>0</v>
      </c>
      <c r="AI91" s="43"/>
      <c r="AJ91" s="43"/>
      <c r="AK91" s="43"/>
      <c r="AL91" s="44"/>
      <c r="AM91" s="42">
        <f t="shared" si="3"/>
        <v>12078514</v>
      </c>
      <c r="AN91" s="43"/>
      <c r="AO91" s="43"/>
      <c r="AP91" s="43"/>
      <c r="AQ91" s="44"/>
      <c r="AR91" s="42">
        <v>12247110</v>
      </c>
      <c r="AS91" s="43"/>
      <c r="AT91" s="43"/>
      <c r="AU91" s="43"/>
      <c r="AV91" s="44"/>
      <c r="AW91" s="42">
        <v>0</v>
      </c>
      <c r="AX91" s="43"/>
      <c r="AY91" s="43"/>
      <c r="AZ91" s="43"/>
      <c r="BA91" s="44"/>
      <c r="BB91" s="42">
        <v>0</v>
      </c>
      <c r="BC91" s="43"/>
      <c r="BD91" s="43"/>
      <c r="BE91" s="43"/>
      <c r="BF91" s="44"/>
      <c r="BG91" s="45">
        <f t="shared" si="4"/>
        <v>12247110</v>
      </c>
      <c r="BH91" s="45"/>
      <c r="BI91" s="45"/>
      <c r="BJ91" s="45"/>
      <c r="BK91" s="45"/>
    </row>
    <row r="93" spans="1:64" ht="14.25" customHeight="1" x14ac:dyDescent="0.2">
      <c r="A93" s="61" t="s">
        <v>296</v>
      </c>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row>
    <row r="94" spans="1:64" ht="15" customHeight="1" x14ac:dyDescent="0.2">
      <c r="A94" s="76" t="s">
        <v>267</v>
      </c>
      <c r="B94" s="76"/>
      <c r="C94" s="76"/>
      <c r="D94" s="76"/>
      <c r="E94" s="76"/>
      <c r="F94" s="76"/>
      <c r="G94" s="76"/>
      <c r="H94" s="76"/>
      <c r="I94" s="76"/>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c r="BE94" s="76"/>
      <c r="BF94" s="76"/>
      <c r="BG94" s="76"/>
      <c r="BH94" s="76"/>
      <c r="BI94" s="76"/>
      <c r="BJ94" s="76"/>
      <c r="BK94" s="76"/>
    </row>
    <row r="95" spans="1:64" ht="23.1" customHeight="1" x14ac:dyDescent="0.2">
      <c r="A95" s="102" t="s">
        <v>119</v>
      </c>
      <c r="B95" s="103"/>
      <c r="C95" s="103"/>
      <c r="D95" s="103"/>
      <c r="E95" s="104"/>
      <c r="F95" s="77" t="s">
        <v>19</v>
      </c>
      <c r="G95" s="78"/>
      <c r="H95" s="78"/>
      <c r="I95" s="78"/>
      <c r="J95" s="78"/>
      <c r="K95" s="78"/>
      <c r="L95" s="78"/>
      <c r="M95" s="78"/>
      <c r="N95" s="78"/>
      <c r="O95" s="78"/>
      <c r="P95" s="78"/>
      <c r="Q95" s="78"/>
      <c r="R95" s="78"/>
      <c r="S95" s="78"/>
      <c r="T95" s="78"/>
      <c r="U95" s="78"/>
      <c r="V95" s="78"/>
      <c r="W95" s="79"/>
      <c r="X95" s="39" t="s">
        <v>289</v>
      </c>
      <c r="Y95" s="39"/>
      <c r="Z95" s="39"/>
      <c r="AA95" s="39"/>
      <c r="AB95" s="39"/>
      <c r="AC95" s="39"/>
      <c r="AD95" s="39"/>
      <c r="AE95" s="39"/>
      <c r="AF95" s="39"/>
      <c r="AG95" s="39"/>
      <c r="AH95" s="39"/>
      <c r="AI95" s="39"/>
      <c r="AJ95" s="39"/>
      <c r="AK95" s="39"/>
      <c r="AL95" s="39"/>
      <c r="AM95" s="39"/>
      <c r="AN95" s="39"/>
      <c r="AO95" s="39"/>
      <c r="AP95" s="39"/>
      <c r="AQ95" s="39"/>
      <c r="AR95" s="73" t="s">
        <v>294</v>
      </c>
      <c r="AS95" s="74"/>
      <c r="AT95" s="74"/>
      <c r="AU95" s="74"/>
      <c r="AV95" s="74"/>
      <c r="AW95" s="74"/>
      <c r="AX95" s="74"/>
      <c r="AY95" s="74"/>
      <c r="AZ95" s="74"/>
      <c r="BA95" s="74"/>
      <c r="BB95" s="74"/>
      <c r="BC95" s="74"/>
      <c r="BD95" s="74"/>
      <c r="BE95" s="74"/>
      <c r="BF95" s="74"/>
      <c r="BG95" s="74"/>
      <c r="BH95" s="74"/>
      <c r="BI95" s="74"/>
      <c r="BJ95" s="74"/>
      <c r="BK95" s="75"/>
    </row>
    <row r="96" spans="1:64" ht="53.25" customHeight="1" x14ac:dyDescent="0.2">
      <c r="A96" s="105"/>
      <c r="B96" s="106"/>
      <c r="C96" s="106"/>
      <c r="D96" s="106"/>
      <c r="E96" s="107"/>
      <c r="F96" s="80"/>
      <c r="G96" s="81"/>
      <c r="H96" s="81"/>
      <c r="I96" s="81"/>
      <c r="J96" s="81"/>
      <c r="K96" s="81"/>
      <c r="L96" s="81"/>
      <c r="M96" s="81"/>
      <c r="N96" s="81"/>
      <c r="O96" s="81"/>
      <c r="P96" s="81"/>
      <c r="Q96" s="81"/>
      <c r="R96" s="81"/>
      <c r="S96" s="81"/>
      <c r="T96" s="81"/>
      <c r="U96" s="81"/>
      <c r="V96" s="81"/>
      <c r="W96" s="82"/>
      <c r="X96" s="73" t="s">
        <v>4</v>
      </c>
      <c r="Y96" s="74"/>
      <c r="Z96" s="74"/>
      <c r="AA96" s="74"/>
      <c r="AB96" s="75"/>
      <c r="AC96" s="73" t="s">
        <v>3</v>
      </c>
      <c r="AD96" s="74"/>
      <c r="AE96" s="74"/>
      <c r="AF96" s="74"/>
      <c r="AG96" s="75"/>
      <c r="AH96" s="96" t="s">
        <v>116</v>
      </c>
      <c r="AI96" s="97"/>
      <c r="AJ96" s="97"/>
      <c r="AK96" s="97"/>
      <c r="AL96" s="98"/>
      <c r="AM96" s="73" t="s">
        <v>5</v>
      </c>
      <c r="AN96" s="74"/>
      <c r="AO96" s="74"/>
      <c r="AP96" s="74"/>
      <c r="AQ96" s="75"/>
      <c r="AR96" s="73" t="s">
        <v>4</v>
      </c>
      <c r="AS96" s="74"/>
      <c r="AT96" s="74"/>
      <c r="AU96" s="74"/>
      <c r="AV96" s="75"/>
      <c r="AW96" s="73" t="s">
        <v>3</v>
      </c>
      <c r="AX96" s="74"/>
      <c r="AY96" s="74"/>
      <c r="AZ96" s="74"/>
      <c r="BA96" s="75"/>
      <c r="BB96" s="67" t="s">
        <v>116</v>
      </c>
      <c r="BC96" s="67"/>
      <c r="BD96" s="67"/>
      <c r="BE96" s="67"/>
      <c r="BF96" s="67"/>
      <c r="BG96" s="73" t="s">
        <v>96</v>
      </c>
      <c r="BH96" s="74"/>
      <c r="BI96" s="74"/>
      <c r="BJ96" s="74"/>
      <c r="BK96" s="75"/>
    </row>
    <row r="97" spans="1:79" ht="15" customHeight="1" x14ac:dyDescent="0.2">
      <c r="A97" s="73">
        <v>1</v>
      </c>
      <c r="B97" s="74"/>
      <c r="C97" s="74"/>
      <c r="D97" s="74"/>
      <c r="E97" s="75"/>
      <c r="F97" s="73">
        <v>2</v>
      </c>
      <c r="G97" s="74"/>
      <c r="H97" s="74"/>
      <c r="I97" s="74"/>
      <c r="J97" s="74"/>
      <c r="K97" s="74"/>
      <c r="L97" s="74"/>
      <c r="M97" s="74"/>
      <c r="N97" s="74"/>
      <c r="O97" s="74"/>
      <c r="P97" s="74"/>
      <c r="Q97" s="74"/>
      <c r="R97" s="74"/>
      <c r="S97" s="74"/>
      <c r="T97" s="74"/>
      <c r="U97" s="74"/>
      <c r="V97" s="74"/>
      <c r="W97" s="75"/>
      <c r="X97" s="73">
        <v>3</v>
      </c>
      <c r="Y97" s="74"/>
      <c r="Z97" s="74"/>
      <c r="AA97" s="74"/>
      <c r="AB97" s="75"/>
      <c r="AC97" s="73">
        <v>4</v>
      </c>
      <c r="AD97" s="74"/>
      <c r="AE97" s="74"/>
      <c r="AF97" s="74"/>
      <c r="AG97" s="75"/>
      <c r="AH97" s="73">
        <v>5</v>
      </c>
      <c r="AI97" s="74"/>
      <c r="AJ97" s="74"/>
      <c r="AK97" s="74"/>
      <c r="AL97" s="75"/>
      <c r="AM97" s="73">
        <v>6</v>
      </c>
      <c r="AN97" s="74"/>
      <c r="AO97" s="74"/>
      <c r="AP97" s="74"/>
      <c r="AQ97" s="75"/>
      <c r="AR97" s="73">
        <v>7</v>
      </c>
      <c r="AS97" s="74"/>
      <c r="AT97" s="74"/>
      <c r="AU97" s="74"/>
      <c r="AV97" s="75"/>
      <c r="AW97" s="73">
        <v>8</v>
      </c>
      <c r="AX97" s="74"/>
      <c r="AY97" s="74"/>
      <c r="AZ97" s="74"/>
      <c r="BA97" s="75"/>
      <c r="BB97" s="73">
        <v>9</v>
      </c>
      <c r="BC97" s="74"/>
      <c r="BD97" s="74"/>
      <c r="BE97" s="74"/>
      <c r="BF97" s="75"/>
      <c r="BG97" s="73">
        <v>10</v>
      </c>
      <c r="BH97" s="74"/>
      <c r="BI97" s="74"/>
      <c r="BJ97" s="74"/>
      <c r="BK97" s="75"/>
    </row>
    <row r="98" spans="1:79" s="1" customFormat="1" ht="15" hidden="1" customHeight="1" x14ac:dyDescent="0.2">
      <c r="A98" s="87" t="s">
        <v>64</v>
      </c>
      <c r="B98" s="88"/>
      <c r="C98" s="88"/>
      <c r="D98" s="88"/>
      <c r="E98" s="89"/>
      <c r="F98" s="87" t="s">
        <v>57</v>
      </c>
      <c r="G98" s="88"/>
      <c r="H98" s="88"/>
      <c r="I98" s="88"/>
      <c r="J98" s="88"/>
      <c r="K98" s="88"/>
      <c r="L98" s="88"/>
      <c r="M98" s="88"/>
      <c r="N98" s="88"/>
      <c r="O98" s="88"/>
      <c r="P98" s="88"/>
      <c r="Q98" s="88"/>
      <c r="R98" s="88"/>
      <c r="S98" s="88"/>
      <c r="T98" s="88"/>
      <c r="U98" s="88"/>
      <c r="V98" s="88"/>
      <c r="W98" s="89"/>
      <c r="X98" s="87" t="s">
        <v>60</v>
      </c>
      <c r="Y98" s="88"/>
      <c r="Z98" s="88"/>
      <c r="AA98" s="88"/>
      <c r="AB98" s="89"/>
      <c r="AC98" s="87" t="s">
        <v>61</v>
      </c>
      <c r="AD98" s="88"/>
      <c r="AE98" s="88"/>
      <c r="AF98" s="88"/>
      <c r="AG98" s="89"/>
      <c r="AH98" s="87" t="s">
        <v>94</v>
      </c>
      <c r="AI98" s="88"/>
      <c r="AJ98" s="88"/>
      <c r="AK98" s="88"/>
      <c r="AL98" s="89"/>
      <c r="AM98" s="93" t="s">
        <v>170</v>
      </c>
      <c r="AN98" s="94"/>
      <c r="AO98" s="94"/>
      <c r="AP98" s="94"/>
      <c r="AQ98" s="95"/>
      <c r="AR98" s="87" t="s">
        <v>62</v>
      </c>
      <c r="AS98" s="88"/>
      <c r="AT98" s="88"/>
      <c r="AU98" s="88"/>
      <c r="AV98" s="89"/>
      <c r="AW98" s="87" t="s">
        <v>63</v>
      </c>
      <c r="AX98" s="88"/>
      <c r="AY98" s="88"/>
      <c r="AZ98" s="88"/>
      <c r="BA98" s="89"/>
      <c r="BB98" s="87" t="s">
        <v>95</v>
      </c>
      <c r="BC98" s="88"/>
      <c r="BD98" s="88"/>
      <c r="BE98" s="88"/>
      <c r="BF98" s="89"/>
      <c r="BG98" s="93" t="s">
        <v>170</v>
      </c>
      <c r="BH98" s="94"/>
      <c r="BI98" s="94"/>
      <c r="BJ98" s="94"/>
      <c r="BK98" s="95"/>
      <c r="CA98" t="s">
        <v>31</v>
      </c>
    </row>
    <row r="99" spans="1:79" s="5" customFormat="1" ht="12.75" customHeight="1" x14ac:dyDescent="0.2">
      <c r="A99" s="36"/>
      <c r="B99" s="37"/>
      <c r="C99" s="37"/>
      <c r="D99" s="37"/>
      <c r="E99" s="50"/>
      <c r="F99" s="36" t="s">
        <v>147</v>
      </c>
      <c r="G99" s="37"/>
      <c r="H99" s="37"/>
      <c r="I99" s="37"/>
      <c r="J99" s="37"/>
      <c r="K99" s="37"/>
      <c r="L99" s="37"/>
      <c r="M99" s="37"/>
      <c r="N99" s="37"/>
      <c r="O99" s="37"/>
      <c r="P99" s="37"/>
      <c r="Q99" s="37"/>
      <c r="R99" s="37"/>
      <c r="S99" s="37"/>
      <c r="T99" s="37"/>
      <c r="U99" s="37"/>
      <c r="V99" s="37"/>
      <c r="W99" s="50"/>
      <c r="X99" s="99"/>
      <c r="Y99" s="100"/>
      <c r="Z99" s="100"/>
      <c r="AA99" s="100"/>
      <c r="AB99" s="101"/>
      <c r="AC99" s="99"/>
      <c r="AD99" s="100"/>
      <c r="AE99" s="100"/>
      <c r="AF99" s="100"/>
      <c r="AG99" s="101"/>
      <c r="AH99" s="45"/>
      <c r="AI99" s="45"/>
      <c r="AJ99" s="45"/>
      <c r="AK99" s="45"/>
      <c r="AL99" s="45"/>
      <c r="AM99" s="45">
        <f>IF(ISNUMBER(X99),X99,0)+IF(ISNUMBER(AC99),AC99,0)</f>
        <v>0</v>
      </c>
      <c r="AN99" s="45"/>
      <c r="AO99" s="45"/>
      <c r="AP99" s="45"/>
      <c r="AQ99" s="45"/>
      <c r="AR99" s="45"/>
      <c r="AS99" s="45"/>
      <c r="AT99" s="45"/>
      <c r="AU99" s="45"/>
      <c r="AV99" s="45"/>
      <c r="AW99" s="45"/>
      <c r="AX99" s="45"/>
      <c r="AY99" s="45"/>
      <c r="AZ99" s="45"/>
      <c r="BA99" s="45"/>
      <c r="BB99" s="45"/>
      <c r="BC99" s="45"/>
      <c r="BD99" s="45"/>
      <c r="BE99" s="45"/>
      <c r="BF99" s="45"/>
      <c r="BG99" s="45">
        <f>IF(ISNUMBER(AR99),AR99,0)+IF(ISNUMBER(AW99),AW99,0)</f>
        <v>0</v>
      </c>
      <c r="BH99" s="45"/>
      <c r="BI99" s="45"/>
      <c r="BJ99" s="45"/>
      <c r="BK99" s="45"/>
      <c r="CA99" s="5" t="s">
        <v>32</v>
      </c>
    </row>
    <row r="101" spans="1:79" ht="14.25" customHeight="1" x14ac:dyDescent="0.2">
      <c r="A101" s="61" t="s">
        <v>120</v>
      </c>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row>
    <row r="102" spans="1:79" ht="14.25" customHeight="1" x14ac:dyDescent="0.2">
      <c r="A102" s="61" t="s">
        <v>282</v>
      </c>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row>
    <row r="103" spans="1:79" ht="15" customHeight="1" x14ac:dyDescent="0.2">
      <c r="A103" s="76" t="s">
        <v>267</v>
      </c>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c r="BQ103" s="76"/>
      <c r="BR103" s="76"/>
      <c r="BS103" s="76"/>
      <c r="BT103" s="76"/>
      <c r="BU103" s="76"/>
      <c r="BV103" s="76"/>
      <c r="BW103" s="76"/>
      <c r="BX103" s="76"/>
      <c r="BY103" s="76"/>
    </row>
    <row r="104" spans="1:79" ht="23.1" customHeight="1" x14ac:dyDescent="0.2">
      <c r="A104" s="77" t="s">
        <v>6</v>
      </c>
      <c r="B104" s="78"/>
      <c r="C104" s="78"/>
      <c r="D104" s="77" t="s">
        <v>121</v>
      </c>
      <c r="E104" s="78"/>
      <c r="F104" s="78"/>
      <c r="G104" s="78"/>
      <c r="H104" s="78"/>
      <c r="I104" s="78"/>
      <c r="J104" s="78"/>
      <c r="K104" s="78"/>
      <c r="L104" s="78"/>
      <c r="M104" s="78"/>
      <c r="N104" s="78"/>
      <c r="O104" s="78"/>
      <c r="P104" s="78"/>
      <c r="Q104" s="78"/>
      <c r="R104" s="78"/>
      <c r="S104" s="78"/>
      <c r="T104" s="79"/>
      <c r="U104" s="73" t="s">
        <v>268</v>
      </c>
      <c r="V104" s="74"/>
      <c r="W104" s="74"/>
      <c r="X104" s="74"/>
      <c r="Y104" s="74"/>
      <c r="Z104" s="74"/>
      <c r="AA104" s="74"/>
      <c r="AB104" s="74"/>
      <c r="AC104" s="74"/>
      <c r="AD104" s="74"/>
      <c r="AE104" s="74"/>
      <c r="AF104" s="74"/>
      <c r="AG104" s="74"/>
      <c r="AH104" s="74"/>
      <c r="AI104" s="74"/>
      <c r="AJ104" s="74"/>
      <c r="AK104" s="74"/>
      <c r="AL104" s="74"/>
      <c r="AM104" s="75"/>
      <c r="AN104" s="73" t="s">
        <v>271</v>
      </c>
      <c r="AO104" s="74"/>
      <c r="AP104" s="74"/>
      <c r="AQ104" s="74"/>
      <c r="AR104" s="74"/>
      <c r="AS104" s="74"/>
      <c r="AT104" s="74"/>
      <c r="AU104" s="74"/>
      <c r="AV104" s="74"/>
      <c r="AW104" s="74"/>
      <c r="AX104" s="74"/>
      <c r="AY104" s="74"/>
      <c r="AZ104" s="74"/>
      <c r="BA104" s="74"/>
      <c r="BB104" s="74"/>
      <c r="BC104" s="74"/>
      <c r="BD104" s="74"/>
      <c r="BE104" s="74"/>
      <c r="BF104" s="75"/>
      <c r="BG104" s="39" t="s">
        <v>279</v>
      </c>
      <c r="BH104" s="39"/>
      <c r="BI104" s="39"/>
      <c r="BJ104" s="39"/>
      <c r="BK104" s="39"/>
      <c r="BL104" s="39"/>
      <c r="BM104" s="39"/>
      <c r="BN104" s="39"/>
      <c r="BO104" s="39"/>
      <c r="BP104" s="39"/>
      <c r="BQ104" s="39"/>
      <c r="BR104" s="39"/>
      <c r="BS104" s="39"/>
      <c r="BT104" s="39"/>
      <c r="BU104" s="39"/>
      <c r="BV104" s="39"/>
      <c r="BW104" s="39"/>
      <c r="BX104" s="39"/>
      <c r="BY104" s="39"/>
    </row>
    <row r="105" spans="1:79" ht="52.5" customHeight="1" x14ac:dyDescent="0.2">
      <c r="A105" s="80"/>
      <c r="B105" s="81"/>
      <c r="C105" s="81"/>
      <c r="D105" s="80"/>
      <c r="E105" s="81"/>
      <c r="F105" s="81"/>
      <c r="G105" s="81"/>
      <c r="H105" s="81"/>
      <c r="I105" s="81"/>
      <c r="J105" s="81"/>
      <c r="K105" s="81"/>
      <c r="L105" s="81"/>
      <c r="M105" s="81"/>
      <c r="N105" s="81"/>
      <c r="O105" s="81"/>
      <c r="P105" s="81"/>
      <c r="Q105" s="81"/>
      <c r="R105" s="81"/>
      <c r="S105" s="81"/>
      <c r="T105" s="82"/>
      <c r="U105" s="73" t="s">
        <v>4</v>
      </c>
      <c r="V105" s="74"/>
      <c r="W105" s="74"/>
      <c r="X105" s="74"/>
      <c r="Y105" s="75"/>
      <c r="Z105" s="73" t="s">
        <v>3</v>
      </c>
      <c r="AA105" s="74"/>
      <c r="AB105" s="74"/>
      <c r="AC105" s="74"/>
      <c r="AD105" s="75"/>
      <c r="AE105" s="96" t="s">
        <v>116</v>
      </c>
      <c r="AF105" s="97"/>
      <c r="AG105" s="97"/>
      <c r="AH105" s="98"/>
      <c r="AI105" s="73" t="s">
        <v>5</v>
      </c>
      <c r="AJ105" s="74"/>
      <c r="AK105" s="74"/>
      <c r="AL105" s="74"/>
      <c r="AM105" s="75"/>
      <c r="AN105" s="73" t="s">
        <v>4</v>
      </c>
      <c r="AO105" s="74"/>
      <c r="AP105" s="74"/>
      <c r="AQ105" s="74"/>
      <c r="AR105" s="75"/>
      <c r="AS105" s="73" t="s">
        <v>3</v>
      </c>
      <c r="AT105" s="74"/>
      <c r="AU105" s="74"/>
      <c r="AV105" s="74"/>
      <c r="AW105" s="75"/>
      <c r="AX105" s="96" t="s">
        <v>116</v>
      </c>
      <c r="AY105" s="97"/>
      <c r="AZ105" s="97"/>
      <c r="BA105" s="98"/>
      <c r="BB105" s="73" t="s">
        <v>96</v>
      </c>
      <c r="BC105" s="74"/>
      <c r="BD105" s="74"/>
      <c r="BE105" s="74"/>
      <c r="BF105" s="75"/>
      <c r="BG105" s="73" t="s">
        <v>4</v>
      </c>
      <c r="BH105" s="74"/>
      <c r="BI105" s="74"/>
      <c r="BJ105" s="74"/>
      <c r="BK105" s="75"/>
      <c r="BL105" s="39" t="s">
        <v>3</v>
      </c>
      <c r="BM105" s="39"/>
      <c r="BN105" s="39"/>
      <c r="BO105" s="39"/>
      <c r="BP105" s="39"/>
      <c r="BQ105" s="67" t="s">
        <v>116</v>
      </c>
      <c r="BR105" s="67"/>
      <c r="BS105" s="67"/>
      <c r="BT105" s="67"/>
      <c r="BU105" s="73" t="s">
        <v>97</v>
      </c>
      <c r="BV105" s="74"/>
      <c r="BW105" s="74"/>
      <c r="BX105" s="74"/>
      <c r="BY105" s="75"/>
    </row>
    <row r="106" spans="1:79" ht="15" customHeight="1" x14ac:dyDescent="0.2">
      <c r="A106" s="73">
        <v>1</v>
      </c>
      <c r="B106" s="74"/>
      <c r="C106" s="74"/>
      <c r="D106" s="73">
        <v>2</v>
      </c>
      <c r="E106" s="74"/>
      <c r="F106" s="74"/>
      <c r="G106" s="74"/>
      <c r="H106" s="74"/>
      <c r="I106" s="74"/>
      <c r="J106" s="74"/>
      <c r="K106" s="74"/>
      <c r="L106" s="74"/>
      <c r="M106" s="74"/>
      <c r="N106" s="74"/>
      <c r="O106" s="74"/>
      <c r="P106" s="74"/>
      <c r="Q106" s="74"/>
      <c r="R106" s="74"/>
      <c r="S106" s="74"/>
      <c r="T106" s="75"/>
      <c r="U106" s="73">
        <v>3</v>
      </c>
      <c r="V106" s="74"/>
      <c r="W106" s="74"/>
      <c r="X106" s="74"/>
      <c r="Y106" s="75"/>
      <c r="Z106" s="73">
        <v>4</v>
      </c>
      <c r="AA106" s="74"/>
      <c r="AB106" s="74"/>
      <c r="AC106" s="74"/>
      <c r="AD106" s="75"/>
      <c r="AE106" s="73">
        <v>5</v>
      </c>
      <c r="AF106" s="74"/>
      <c r="AG106" s="74"/>
      <c r="AH106" s="75"/>
      <c r="AI106" s="73">
        <v>6</v>
      </c>
      <c r="AJ106" s="74"/>
      <c r="AK106" s="74"/>
      <c r="AL106" s="74"/>
      <c r="AM106" s="75"/>
      <c r="AN106" s="73">
        <v>7</v>
      </c>
      <c r="AO106" s="74"/>
      <c r="AP106" s="74"/>
      <c r="AQ106" s="74"/>
      <c r="AR106" s="75"/>
      <c r="AS106" s="73">
        <v>8</v>
      </c>
      <c r="AT106" s="74"/>
      <c r="AU106" s="74"/>
      <c r="AV106" s="74"/>
      <c r="AW106" s="75"/>
      <c r="AX106" s="39">
        <v>9</v>
      </c>
      <c r="AY106" s="39"/>
      <c r="AZ106" s="39"/>
      <c r="BA106" s="39"/>
      <c r="BB106" s="73">
        <v>10</v>
      </c>
      <c r="BC106" s="74"/>
      <c r="BD106" s="74"/>
      <c r="BE106" s="74"/>
      <c r="BF106" s="75"/>
      <c r="BG106" s="73">
        <v>11</v>
      </c>
      <c r="BH106" s="74"/>
      <c r="BI106" s="74"/>
      <c r="BJ106" s="74"/>
      <c r="BK106" s="75"/>
      <c r="BL106" s="39">
        <v>12</v>
      </c>
      <c r="BM106" s="39"/>
      <c r="BN106" s="39"/>
      <c r="BO106" s="39"/>
      <c r="BP106" s="39"/>
      <c r="BQ106" s="73">
        <v>13</v>
      </c>
      <c r="BR106" s="74"/>
      <c r="BS106" s="74"/>
      <c r="BT106" s="75"/>
      <c r="BU106" s="73">
        <v>14</v>
      </c>
      <c r="BV106" s="74"/>
      <c r="BW106" s="74"/>
      <c r="BX106" s="74"/>
      <c r="BY106" s="75"/>
    </row>
    <row r="107" spans="1:79" s="1" customFormat="1" ht="14.25" hidden="1" customHeight="1" x14ac:dyDescent="0.2">
      <c r="A107" s="87" t="s">
        <v>69</v>
      </c>
      <c r="B107" s="88"/>
      <c r="C107" s="88"/>
      <c r="D107" s="87" t="s">
        <v>57</v>
      </c>
      <c r="E107" s="88"/>
      <c r="F107" s="88"/>
      <c r="G107" s="88"/>
      <c r="H107" s="88"/>
      <c r="I107" s="88"/>
      <c r="J107" s="88"/>
      <c r="K107" s="88"/>
      <c r="L107" s="88"/>
      <c r="M107" s="88"/>
      <c r="N107" s="88"/>
      <c r="O107" s="88"/>
      <c r="P107" s="88"/>
      <c r="Q107" s="88"/>
      <c r="R107" s="88"/>
      <c r="S107" s="88"/>
      <c r="T107" s="89"/>
      <c r="U107" s="65" t="s">
        <v>65</v>
      </c>
      <c r="V107" s="65"/>
      <c r="W107" s="65"/>
      <c r="X107" s="65"/>
      <c r="Y107" s="65"/>
      <c r="Z107" s="65" t="s">
        <v>66</v>
      </c>
      <c r="AA107" s="65"/>
      <c r="AB107" s="65"/>
      <c r="AC107" s="65"/>
      <c r="AD107" s="65"/>
      <c r="AE107" s="65" t="s">
        <v>91</v>
      </c>
      <c r="AF107" s="65"/>
      <c r="AG107" s="65"/>
      <c r="AH107" s="65"/>
      <c r="AI107" s="83" t="s">
        <v>169</v>
      </c>
      <c r="AJ107" s="83"/>
      <c r="AK107" s="83"/>
      <c r="AL107" s="83"/>
      <c r="AM107" s="83"/>
      <c r="AN107" s="65" t="s">
        <v>67</v>
      </c>
      <c r="AO107" s="65"/>
      <c r="AP107" s="65"/>
      <c r="AQ107" s="65"/>
      <c r="AR107" s="65"/>
      <c r="AS107" s="65" t="s">
        <v>68</v>
      </c>
      <c r="AT107" s="65"/>
      <c r="AU107" s="65"/>
      <c r="AV107" s="65"/>
      <c r="AW107" s="65"/>
      <c r="AX107" s="65" t="s">
        <v>92</v>
      </c>
      <c r="AY107" s="65"/>
      <c r="AZ107" s="65"/>
      <c r="BA107" s="65"/>
      <c r="BB107" s="83" t="s">
        <v>169</v>
      </c>
      <c r="BC107" s="83"/>
      <c r="BD107" s="83"/>
      <c r="BE107" s="83"/>
      <c r="BF107" s="83"/>
      <c r="BG107" s="65" t="s">
        <v>58</v>
      </c>
      <c r="BH107" s="65"/>
      <c r="BI107" s="65"/>
      <c r="BJ107" s="65"/>
      <c r="BK107" s="65"/>
      <c r="BL107" s="65" t="s">
        <v>59</v>
      </c>
      <c r="BM107" s="65"/>
      <c r="BN107" s="65"/>
      <c r="BO107" s="65"/>
      <c r="BP107" s="65"/>
      <c r="BQ107" s="65" t="s">
        <v>93</v>
      </c>
      <c r="BR107" s="65"/>
      <c r="BS107" s="65"/>
      <c r="BT107" s="65"/>
      <c r="BU107" s="83" t="s">
        <v>169</v>
      </c>
      <c r="BV107" s="83"/>
      <c r="BW107" s="83"/>
      <c r="BX107" s="83"/>
      <c r="BY107" s="83"/>
      <c r="CA107" t="s">
        <v>33</v>
      </c>
    </row>
    <row r="108" spans="1:79" s="4" customFormat="1" ht="25.5" customHeight="1" x14ac:dyDescent="0.2">
      <c r="A108" s="34">
        <v>1</v>
      </c>
      <c r="B108" s="35"/>
      <c r="C108" s="35"/>
      <c r="D108" s="28" t="s">
        <v>187</v>
      </c>
      <c r="E108" s="29"/>
      <c r="F108" s="29"/>
      <c r="G108" s="29"/>
      <c r="H108" s="29"/>
      <c r="I108" s="29"/>
      <c r="J108" s="29"/>
      <c r="K108" s="29"/>
      <c r="L108" s="29"/>
      <c r="M108" s="29"/>
      <c r="N108" s="29"/>
      <c r="O108" s="29"/>
      <c r="P108" s="29"/>
      <c r="Q108" s="29"/>
      <c r="R108" s="29"/>
      <c r="S108" s="29"/>
      <c r="T108" s="30"/>
      <c r="U108" s="46">
        <v>116000</v>
      </c>
      <c r="V108" s="47"/>
      <c r="W108" s="47"/>
      <c r="X108" s="47"/>
      <c r="Y108" s="48"/>
      <c r="Z108" s="46">
        <v>0</v>
      </c>
      <c r="AA108" s="47"/>
      <c r="AB108" s="47"/>
      <c r="AC108" s="47"/>
      <c r="AD108" s="48"/>
      <c r="AE108" s="46">
        <v>0</v>
      </c>
      <c r="AF108" s="47"/>
      <c r="AG108" s="47"/>
      <c r="AH108" s="48"/>
      <c r="AI108" s="46">
        <f t="shared" ref="AI108:AI147" si="5">IF(ISNUMBER(U108),U108,0)+IF(ISNUMBER(Z108),Z108,0)</f>
        <v>116000</v>
      </c>
      <c r="AJ108" s="47"/>
      <c r="AK108" s="47"/>
      <c r="AL108" s="47"/>
      <c r="AM108" s="48"/>
      <c r="AN108" s="46">
        <v>0</v>
      </c>
      <c r="AO108" s="47"/>
      <c r="AP108" s="47"/>
      <c r="AQ108" s="47"/>
      <c r="AR108" s="48"/>
      <c r="AS108" s="46">
        <v>0</v>
      </c>
      <c r="AT108" s="47"/>
      <c r="AU108" s="47"/>
      <c r="AV108" s="47"/>
      <c r="AW108" s="48"/>
      <c r="AX108" s="46">
        <v>0</v>
      </c>
      <c r="AY108" s="47"/>
      <c r="AZ108" s="47"/>
      <c r="BA108" s="48"/>
      <c r="BB108" s="46">
        <f t="shared" ref="BB108:BB147" si="6">IF(ISNUMBER(AN108),AN108,0)+IF(ISNUMBER(AS108),AS108,0)</f>
        <v>0</v>
      </c>
      <c r="BC108" s="47"/>
      <c r="BD108" s="47"/>
      <c r="BE108" s="47"/>
      <c r="BF108" s="48"/>
      <c r="BG108" s="46">
        <v>0</v>
      </c>
      <c r="BH108" s="47"/>
      <c r="BI108" s="47"/>
      <c r="BJ108" s="47"/>
      <c r="BK108" s="48"/>
      <c r="BL108" s="46">
        <v>0</v>
      </c>
      <c r="BM108" s="47"/>
      <c r="BN108" s="47"/>
      <c r="BO108" s="47"/>
      <c r="BP108" s="48"/>
      <c r="BQ108" s="46">
        <v>0</v>
      </c>
      <c r="BR108" s="47"/>
      <c r="BS108" s="47"/>
      <c r="BT108" s="48"/>
      <c r="BU108" s="46">
        <f t="shared" ref="BU108:BU147" si="7">IF(ISNUMBER(BG108),BG108,0)+IF(ISNUMBER(BL108),BL108,0)</f>
        <v>0</v>
      </c>
      <c r="BV108" s="47"/>
      <c r="BW108" s="47"/>
      <c r="BX108" s="47"/>
      <c r="BY108" s="48"/>
      <c r="CA108" s="4" t="s">
        <v>34</v>
      </c>
    </row>
    <row r="109" spans="1:79" s="4" customFormat="1" ht="12.75" customHeight="1" x14ac:dyDescent="0.2">
      <c r="A109" s="34">
        <v>2</v>
      </c>
      <c r="B109" s="35"/>
      <c r="C109" s="35"/>
      <c r="D109" s="28" t="s">
        <v>180</v>
      </c>
      <c r="E109" s="29"/>
      <c r="F109" s="29"/>
      <c r="G109" s="29"/>
      <c r="H109" s="29"/>
      <c r="I109" s="29"/>
      <c r="J109" s="29"/>
      <c r="K109" s="29"/>
      <c r="L109" s="29"/>
      <c r="M109" s="29"/>
      <c r="N109" s="29"/>
      <c r="O109" s="29"/>
      <c r="P109" s="29"/>
      <c r="Q109" s="29"/>
      <c r="R109" s="29"/>
      <c r="S109" s="29"/>
      <c r="T109" s="30"/>
      <c r="U109" s="46">
        <v>4200</v>
      </c>
      <c r="V109" s="47"/>
      <c r="W109" s="47"/>
      <c r="X109" s="47"/>
      <c r="Y109" s="48"/>
      <c r="Z109" s="46">
        <v>0</v>
      </c>
      <c r="AA109" s="47"/>
      <c r="AB109" s="47"/>
      <c r="AC109" s="47"/>
      <c r="AD109" s="48"/>
      <c r="AE109" s="46">
        <v>0</v>
      </c>
      <c r="AF109" s="47"/>
      <c r="AG109" s="47"/>
      <c r="AH109" s="48"/>
      <c r="AI109" s="46">
        <f t="shared" si="5"/>
        <v>4200</v>
      </c>
      <c r="AJ109" s="47"/>
      <c r="AK109" s="47"/>
      <c r="AL109" s="47"/>
      <c r="AM109" s="48"/>
      <c r="AN109" s="46">
        <v>10000</v>
      </c>
      <c r="AO109" s="47"/>
      <c r="AP109" s="47"/>
      <c r="AQ109" s="47"/>
      <c r="AR109" s="48"/>
      <c r="AS109" s="46">
        <v>0</v>
      </c>
      <c r="AT109" s="47"/>
      <c r="AU109" s="47"/>
      <c r="AV109" s="47"/>
      <c r="AW109" s="48"/>
      <c r="AX109" s="46">
        <v>0</v>
      </c>
      <c r="AY109" s="47"/>
      <c r="AZ109" s="47"/>
      <c r="BA109" s="48"/>
      <c r="BB109" s="46">
        <f t="shared" si="6"/>
        <v>10000</v>
      </c>
      <c r="BC109" s="47"/>
      <c r="BD109" s="47"/>
      <c r="BE109" s="47"/>
      <c r="BF109" s="48"/>
      <c r="BG109" s="46">
        <v>150000</v>
      </c>
      <c r="BH109" s="47"/>
      <c r="BI109" s="47"/>
      <c r="BJ109" s="47"/>
      <c r="BK109" s="48"/>
      <c r="BL109" s="46">
        <v>0</v>
      </c>
      <c r="BM109" s="47"/>
      <c r="BN109" s="47"/>
      <c r="BO109" s="47"/>
      <c r="BP109" s="48"/>
      <c r="BQ109" s="46">
        <v>0</v>
      </c>
      <c r="BR109" s="47"/>
      <c r="BS109" s="47"/>
      <c r="BT109" s="48"/>
      <c r="BU109" s="46">
        <f t="shared" si="7"/>
        <v>150000</v>
      </c>
      <c r="BV109" s="47"/>
      <c r="BW109" s="47"/>
      <c r="BX109" s="47"/>
      <c r="BY109" s="48"/>
    </row>
    <row r="110" spans="1:79" s="4" customFormat="1" ht="12.75" customHeight="1" x14ac:dyDescent="0.2">
      <c r="A110" s="34">
        <v>3</v>
      </c>
      <c r="B110" s="35"/>
      <c r="C110" s="35"/>
      <c r="D110" s="28" t="s">
        <v>176</v>
      </c>
      <c r="E110" s="29"/>
      <c r="F110" s="29"/>
      <c r="G110" s="29"/>
      <c r="H110" s="29"/>
      <c r="I110" s="29"/>
      <c r="J110" s="29"/>
      <c r="K110" s="29"/>
      <c r="L110" s="29"/>
      <c r="M110" s="29"/>
      <c r="N110" s="29"/>
      <c r="O110" s="29"/>
      <c r="P110" s="29"/>
      <c r="Q110" s="29"/>
      <c r="R110" s="29"/>
      <c r="S110" s="29"/>
      <c r="T110" s="30"/>
      <c r="U110" s="46">
        <v>4084707</v>
      </c>
      <c r="V110" s="47"/>
      <c r="W110" s="47"/>
      <c r="X110" s="47"/>
      <c r="Y110" s="48"/>
      <c r="Z110" s="46">
        <v>0</v>
      </c>
      <c r="AA110" s="47"/>
      <c r="AB110" s="47"/>
      <c r="AC110" s="47"/>
      <c r="AD110" s="48"/>
      <c r="AE110" s="46">
        <v>0</v>
      </c>
      <c r="AF110" s="47"/>
      <c r="AG110" s="47"/>
      <c r="AH110" s="48"/>
      <c r="AI110" s="46">
        <f t="shared" si="5"/>
        <v>4084707</v>
      </c>
      <c r="AJ110" s="47"/>
      <c r="AK110" s="47"/>
      <c r="AL110" s="47"/>
      <c r="AM110" s="48"/>
      <c r="AN110" s="46">
        <v>6083915</v>
      </c>
      <c r="AO110" s="47"/>
      <c r="AP110" s="47"/>
      <c r="AQ110" s="47"/>
      <c r="AR110" s="48"/>
      <c r="AS110" s="46">
        <v>0</v>
      </c>
      <c r="AT110" s="47"/>
      <c r="AU110" s="47"/>
      <c r="AV110" s="47"/>
      <c r="AW110" s="48"/>
      <c r="AX110" s="46">
        <v>0</v>
      </c>
      <c r="AY110" s="47"/>
      <c r="AZ110" s="47"/>
      <c r="BA110" s="48"/>
      <c r="BB110" s="46">
        <f t="shared" si="6"/>
        <v>6083915</v>
      </c>
      <c r="BC110" s="47"/>
      <c r="BD110" s="47"/>
      <c r="BE110" s="47"/>
      <c r="BF110" s="48"/>
      <c r="BG110" s="46">
        <v>8173017</v>
      </c>
      <c r="BH110" s="47"/>
      <c r="BI110" s="47"/>
      <c r="BJ110" s="47"/>
      <c r="BK110" s="48"/>
      <c r="BL110" s="46">
        <v>0</v>
      </c>
      <c r="BM110" s="47"/>
      <c r="BN110" s="47"/>
      <c r="BO110" s="47"/>
      <c r="BP110" s="48"/>
      <c r="BQ110" s="46">
        <v>0</v>
      </c>
      <c r="BR110" s="47"/>
      <c r="BS110" s="47"/>
      <c r="BT110" s="48"/>
      <c r="BU110" s="46">
        <f t="shared" si="7"/>
        <v>8173017</v>
      </c>
      <c r="BV110" s="47"/>
      <c r="BW110" s="47"/>
      <c r="BX110" s="47"/>
      <c r="BY110" s="48"/>
    </row>
    <row r="111" spans="1:79" s="4" customFormat="1" ht="12.75" customHeight="1" x14ac:dyDescent="0.2">
      <c r="A111" s="34">
        <v>4</v>
      </c>
      <c r="B111" s="35"/>
      <c r="C111" s="35"/>
      <c r="D111" s="28" t="s">
        <v>186</v>
      </c>
      <c r="E111" s="29"/>
      <c r="F111" s="29"/>
      <c r="G111" s="29"/>
      <c r="H111" s="29"/>
      <c r="I111" s="29"/>
      <c r="J111" s="29"/>
      <c r="K111" s="29"/>
      <c r="L111" s="29"/>
      <c r="M111" s="29"/>
      <c r="N111" s="29"/>
      <c r="O111" s="29"/>
      <c r="P111" s="29"/>
      <c r="Q111" s="29"/>
      <c r="R111" s="29"/>
      <c r="S111" s="29"/>
      <c r="T111" s="30"/>
      <c r="U111" s="46">
        <v>0</v>
      </c>
      <c r="V111" s="47"/>
      <c r="W111" s="47"/>
      <c r="X111" s="47"/>
      <c r="Y111" s="48"/>
      <c r="Z111" s="46">
        <v>0</v>
      </c>
      <c r="AA111" s="47"/>
      <c r="AB111" s="47"/>
      <c r="AC111" s="47"/>
      <c r="AD111" s="48"/>
      <c r="AE111" s="46">
        <v>0</v>
      </c>
      <c r="AF111" s="47"/>
      <c r="AG111" s="47"/>
      <c r="AH111" s="48"/>
      <c r="AI111" s="46">
        <f t="shared" si="5"/>
        <v>0</v>
      </c>
      <c r="AJ111" s="47"/>
      <c r="AK111" s="47"/>
      <c r="AL111" s="47"/>
      <c r="AM111" s="48"/>
      <c r="AN111" s="46">
        <v>0</v>
      </c>
      <c r="AO111" s="47"/>
      <c r="AP111" s="47"/>
      <c r="AQ111" s="47"/>
      <c r="AR111" s="48"/>
      <c r="AS111" s="46">
        <v>0</v>
      </c>
      <c r="AT111" s="47"/>
      <c r="AU111" s="47"/>
      <c r="AV111" s="47"/>
      <c r="AW111" s="48"/>
      <c r="AX111" s="46">
        <v>0</v>
      </c>
      <c r="AY111" s="47"/>
      <c r="AZ111" s="47"/>
      <c r="BA111" s="48"/>
      <c r="BB111" s="46">
        <f t="shared" si="6"/>
        <v>0</v>
      </c>
      <c r="BC111" s="47"/>
      <c r="BD111" s="47"/>
      <c r="BE111" s="47"/>
      <c r="BF111" s="48"/>
      <c r="BG111" s="46">
        <v>0</v>
      </c>
      <c r="BH111" s="47"/>
      <c r="BI111" s="47"/>
      <c r="BJ111" s="47"/>
      <c r="BK111" s="48"/>
      <c r="BL111" s="46">
        <v>0</v>
      </c>
      <c r="BM111" s="47"/>
      <c r="BN111" s="47"/>
      <c r="BO111" s="47"/>
      <c r="BP111" s="48"/>
      <c r="BQ111" s="46">
        <v>0</v>
      </c>
      <c r="BR111" s="47"/>
      <c r="BS111" s="47"/>
      <c r="BT111" s="48"/>
      <c r="BU111" s="46">
        <f t="shared" si="7"/>
        <v>0</v>
      </c>
      <c r="BV111" s="47"/>
      <c r="BW111" s="47"/>
      <c r="BX111" s="47"/>
      <c r="BY111" s="48"/>
    </row>
    <row r="112" spans="1:79" s="4" customFormat="1" ht="12.75" customHeight="1" x14ac:dyDescent="0.2">
      <c r="A112" s="34">
        <v>5</v>
      </c>
      <c r="B112" s="35"/>
      <c r="C112" s="35"/>
      <c r="D112" s="28" t="s">
        <v>177</v>
      </c>
      <c r="E112" s="29"/>
      <c r="F112" s="29"/>
      <c r="G112" s="29"/>
      <c r="H112" s="29"/>
      <c r="I112" s="29"/>
      <c r="J112" s="29"/>
      <c r="K112" s="29"/>
      <c r="L112" s="29"/>
      <c r="M112" s="29"/>
      <c r="N112" s="29"/>
      <c r="O112" s="29"/>
      <c r="P112" s="29"/>
      <c r="Q112" s="29"/>
      <c r="R112" s="29"/>
      <c r="S112" s="29"/>
      <c r="T112" s="30"/>
      <c r="U112" s="46">
        <v>877778</v>
      </c>
      <c r="V112" s="47"/>
      <c r="W112" s="47"/>
      <c r="X112" s="47"/>
      <c r="Y112" s="48"/>
      <c r="Z112" s="46">
        <v>0</v>
      </c>
      <c r="AA112" s="47"/>
      <c r="AB112" s="47"/>
      <c r="AC112" s="47"/>
      <c r="AD112" s="48"/>
      <c r="AE112" s="46">
        <v>0</v>
      </c>
      <c r="AF112" s="47"/>
      <c r="AG112" s="47"/>
      <c r="AH112" s="48"/>
      <c r="AI112" s="46">
        <f t="shared" si="5"/>
        <v>877778</v>
      </c>
      <c r="AJ112" s="47"/>
      <c r="AK112" s="47"/>
      <c r="AL112" s="47"/>
      <c r="AM112" s="48"/>
      <c r="AN112" s="46">
        <v>1334846</v>
      </c>
      <c r="AO112" s="47"/>
      <c r="AP112" s="47"/>
      <c r="AQ112" s="47"/>
      <c r="AR112" s="48"/>
      <c r="AS112" s="46">
        <v>0</v>
      </c>
      <c r="AT112" s="47"/>
      <c r="AU112" s="47"/>
      <c r="AV112" s="47"/>
      <c r="AW112" s="48"/>
      <c r="AX112" s="46">
        <v>0</v>
      </c>
      <c r="AY112" s="47"/>
      <c r="AZ112" s="47"/>
      <c r="BA112" s="48"/>
      <c r="BB112" s="46">
        <f t="shared" si="6"/>
        <v>1334846</v>
      </c>
      <c r="BC112" s="47"/>
      <c r="BD112" s="47"/>
      <c r="BE112" s="47"/>
      <c r="BF112" s="48"/>
      <c r="BG112" s="46">
        <v>1798064</v>
      </c>
      <c r="BH112" s="47"/>
      <c r="BI112" s="47"/>
      <c r="BJ112" s="47"/>
      <c r="BK112" s="48"/>
      <c r="BL112" s="46">
        <v>0</v>
      </c>
      <c r="BM112" s="47"/>
      <c r="BN112" s="47"/>
      <c r="BO112" s="47"/>
      <c r="BP112" s="48"/>
      <c r="BQ112" s="46">
        <v>0</v>
      </c>
      <c r="BR112" s="47"/>
      <c r="BS112" s="47"/>
      <c r="BT112" s="48"/>
      <c r="BU112" s="46">
        <f t="shared" si="7"/>
        <v>1798064</v>
      </c>
      <c r="BV112" s="47"/>
      <c r="BW112" s="47"/>
      <c r="BX112" s="47"/>
      <c r="BY112" s="48"/>
    </row>
    <row r="113" spans="1:77" s="4" customFormat="1" ht="25.5" customHeight="1" x14ac:dyDescent="0.2">
      <c r="A113" s="34">
        <v>6</v>
      </c>
      <c r="B113" s="35"/>
      <c r="C113" s="35"/>
      <c r="D113" s="28" t="s">
        <v>188</v>
      </c>
      <c r="E113" s="29"/>
      <c r="F113" s="29"/>
      <c r="G113" s="29"/>
      <c r="H113" s="29"/>
      <c r="I113" s="29"/>
      <c r="J113" s="29"/>
      <c r="K113" s="29"/>
      <c r="L113" s="29"/>
      <c r="M113" s="29"/>
      <c r="N113" s="29"/>
      <c r="O113" s="29"/>
      <c r="P113" s="29"/>
      <c r="Q113" s="29"/>
      <c r="R113" s="29"/>
      <c r="S113" s="29"/>
      <c r="T113" s="30"/>
      <c r="U113" s="46">
        <v>0</v>
      </c>
      <c r="V113" s="47"/>
      <c r="W113" s="47"/>
      <c r="X113" s="47"/>
      <c r="Y113" s="48"/>
      <c r="Z113" s="46">
        <v>0</v>
      </c>
      <c r="AA113" s="47"/>
      <c r="AB113" s="47"/>
      <c r="AC113" s="47"/>
      <c r="AD113" s="48"/>
      <c r="AE113" s="46">
        <v>0</v>
      </c>
      <c r="AF113" s="47"/>
      <c r="AG113" s="47"/>
      <c r="AH113" s="48"/>
      <c r="AI113" s="46">
        <f t="shared" si="5"/>
        <v>0</v>
      </c>
      <c r="AJ113" s="47"/>
      <c r="AK113" s="47"/>
      <c r="AL113" s="47"/>
      <c r="AM113" s="48"/>
      <c r="AN113" s="46">
        <v>16000</v>
      </c>
      <c r="AO113" s="47"/>
      <c r="AP113" s="47"/>
      <c r="AQ113" s="47"/>
      <c r="AR113" s="48"/>
      <c r="AS113" s="46">
        <v>0</v>
      </c>
      <c r="AT113" s="47"/>
      <c r="AU113" s="47"/>
      <c r="AV113" s="47"/>
      <c r="AW113" s="48"/>
      <c r="AX113" s="46">
        <v>0</v>
      </c>
      <c r="AY113" s="47"/>
      <c r="AZ113" s="47"/>
      <c r="BA113" s="48"/>
      <c r="BB113" s="46">
        <f t="shared" si="6"/>
        <v>16000</v>
      </c>
      <c r="BC113" s="47"/>
      <c r="BD113" s="47"/>
      <c r="BE113" s="47"/>
      <c r="BF113" s="48"/>
      <c r="BG113" s="46">
        <v>21000</v>
      </c>
      <c r="BH113" s="47"/>
      <c r="BI113" s="47"/>
      <c r="BJ113" s="47"/>
      <c r="BK113" s="48"/>
      <c r="BL113" s="46">
        <v>0</v>
      </c>
      <c r="BM113" s="47"/>
      <c r="BN113" s="47"/>
      <c r="BO113" s="47"/>
      <c r="BP113" s="48"/>
      <c r="BQ113" s="46">
        <v>0</v>
      </c>
      <c r="BR113" s="47"/>
      <c r="BS113" s="47"/>
      <c r="BT113" s="48"/>
      <c r="BU113" s="46">
        <f t="shared" si="7"/>
        <v>21000</v>
      </c>
      <c r="BV113" s="47"/>
      <c r="BW113" s="47"/>
      <c r="BX113" s="47"/>
      <c r="BY113" s="48"/>
    </row>
    <row r="114" spans="1:77" s="4" customFormat="1" ht="12.75" customHeight="1" x14ac:dyDescent="0.2">
      <c r="A114" s="34">
        <v>7</v>
      </c>
      <c r="B114" s="35"/>
      <c r="C114" s="35"/>
      <c r="D114" s="28" t="s">
        <v>189</v>
      </c>
      <c r="E114" s="29"/>
      <c r="F114" s="29"/>
      <c r="G114" s="29"/>
      <c r="H114" s="29"/>
      <c r="I114" s="29"/>
      <c r="J114" s="29"/>
      <c r="K114" s="29"/>
      <c r="L114" s="29"/>
      <c r="M114" s="29"/>
      <c r="N114" s="29"/>
      <c r="O114" s="29"/>
      <c r="P114" s="29"/>
      <c r="Q114" s="29"/>
      <c r="R114" s="29"/>
      <c r="S114" s="29"/>
      <c r="T114" s="30"/>
      <c r="U114" s="46">
        <v>0</v>
      </c>
      <c r="V114" s="47"/>
      <c r="W114" s="47"/>
      <c r="X114" s="47"/>
      <c r="Y114" s="48"/>
      <c r="Z114" s="46">
        <v>0</v>
      </c>
      <c r="AA114" s="47"/>
      <c r="AB114" s="47"/>
      <c r="AC114" s="47"/>
      <c r="AD114" s="48"/>
      <c r="AE114" s="46">
        <v>0</v>
      </c>
      <c r="AF114" s="47"/>
      <c r="AG114" s="47"/>
      <c r="AH114" s="48"/>
      <c r="AI114" s="46">
        <f t="shared" si="5"/>
        <v>0</v>
      </c>
      <c r="AJ114" s="47"/>
      <c r="AK114" s="47"/>
      <c r="AL114" s="47"/>
      <c r="AM114" s="48"/>
      <c r="AN114" s="46">
        <v>9000</v>
      </c>
      <c r="AO114" s="47"/>
      <c r="AP114" s="47"/>
      <c r="AQ114" s="47"/>
      <c r="AR114" s="48"/>
      <c r="AS114" s="46">
        <v>0</v>
      </c>
      <c r="AT114" s="47"/>
      <c r="AU114" s="47"/>
      <c r="AV114" s="47"/>
      <c r="AW114" s="48"/>
      <c r="AX114" s="46">
        <v>0</v>
      </c>
      <c r="AY114" s="47"/>
      <c r="AZ114" s="47"/>
      <c r="BA114" s="48"/>
      <c r="BB114" s="46">
        <f t="shared" si="6"/>
        <v>9000</v>
      </c>
      <c r="BC114" s="47"/>
      <c r="BD114" s="47"/>
      <c r="BE114" s="47"/>
      <c r="BF114" s="48"/>
      <c r="BG114" s="46">
        <v>5000</v>
      </c>
      <c r="BH114" s="47"/>
      <c r="BI114" s="47"/>
      <c r="BJ114" s="47"/>
      <c r="BK114" s="48"/>
      <c r="BL114" s="46">
        <v>0</v>
      </c>
      <c r="BM114" s="47"/>
      <c r="BN114" s="47"/>
      <c r="BO114" s="47"/>
      <c r="BP114" s="48"/>
      <c r="BQ114" s="46">
        <v>0</v>
      </c>
      <c r="BR114" s="47"/>
      <c r="BS114" s="47"/>
      <c r="BT114" s="48"/>
      <c r="BU114" s="46">
        <f t="shared" si="7"/>
        <v>5000</v>
      </c>
      <c r="BV114" s="47"/>
      <c r="BW114" s="47"/>
      <c r="BX114" s="47"/>
      <c r="BY114" s="48"/>
    </row>
    <row r="115" spans="1:77" s="4" customFormat="1" ht="12.75" customHeight="1" x14ac:dyDescent="0.2">
      <c r="A115" s="34">
        <v>8</v>
      </c>
      <c r="B115" s="35"/>
      <c r="C115" s="35"/>
      <c r="D115" s="28" t="s">
        <v>190</v>
      </c>
      <c r="E115" s="29"/>
      <c r="F115" s="29"/>
      <c r="G115" s="29"/>
      <c r="H115" s="29"/>
      <c r="I115" s="29"/>
      <c r="J115" s="29"/>
      <c r="K115" s="29"/>
      <c r="L115" s="29"/>
      <c r="M115" s="29"/>
      <c r="N115" s="29"/>
      <c r="O115" s="29"/>
      <c r="P115" s="29"/>
      <c r="Q115" s="29"/>
      <c r="R115" s="29"/>
      <c r="S115" s="29"/>
      <c r="T115" s="30"/>
      <c r="U115" s="46">
        <v>0</v>
      </c>
      <c r="V115" s="47"/>
      <c r="W115" s="47"/>
      <c r="X115" s="47"/>
      <c r="Y115" s="48"/>
      <c r="Z115" s="46">
        <v>0</v>
      </c>
      <c r="AA115" s="47"/>
      <c r="AB115" s="47"/>
      <c r="AC115" s="47"/>
      <c r="AD115" s="48"/>
      <c r="AE115" s="46">
        <v>0</v>
      </c>
      <c r="AF115" s="47"/>
      <c r="AG115" s="47"/>
      <c r="AH115" s="48"/>
      <c r="AI115" s="46">
        <f t="shared" si="5"/>
        <v>0</v>
      </c>
      <c r="AJ115" s="47"/>
      <c r="AK115" s="47"/>
      <c r="AL115" s="47"/>
      <c r="AM115" s="48"/>
      <c r="AN115" s="46">
        <v>5000</v>
      </c>
      <c r="AO115" s="47"/>
      <c r="AP115" s="47"/>
      <c r="AQ115" s="47"/>
      <c r="AR115" s="48"/>
      <c r="AS115" s="46">
        <v>0</v>
      </c>
      <c r="AT115" s="47"/>
      <c r="AU115" s="47"/>
      <c r="AV115" s="47"/>
      <c r="AW115" s="48"/>
      <c r="AX115" s="46">
        <v>0</v>
      </c>
      <c r="AY115" s="47"/>
      <c r="AZ115" s="47"/>
      <c r="BA115" s="48"/>
      <c r="BB115" s="46">
        <f t="shared" si="6"/>
        <v>5000</v>
      </c>
      <c r="BC115" s="47"/>
      <c r="BD115" s="47"/>
      <c r="BE115" s="47"/>
      <c r="BF115" s="48"/>
      <c r="BG115" s="46">
        <v>5000</v>
      </c>
      <c r="BH115" s="47"/>
      <c r="BI115" s="47"/>
      <c r="BJ115" s="47"/>
      <c r="BK115" s="48"/>
      <c r="BL115" s="46">
        <v>0</v>
      </c>
      <c r="BM115" s="47"/>
      <c r="BN115" s="47"/>
      <c r="BO115" s="47"/>
      <c r="BP115" s="48"/>
      <c r="BQ115" s="46">
        <v>0</v>
      </c>
      <c r="BR115" s="47"/>
      <c r="BS115" s="47"/>
      <c r="BT115" s="48"/>
      <c r="BU115" s="46">
        <f t="shared" si="7"/>
        <v>5000</v>
      </c>
      <c r="BV115" s="47"/>
      <c r="BW115" s="47"/>
      <c r="BX115" s="47"/>
      <c r="BY115" s="48"/>
    </row>
    <row r="116" spans="1:77" s="4" customFormat="1" ht="12.75" customHeight="1" x14ac:dyDescent="0.2">
      <c r="A116" s="34">
        <v>9</v>
      </c>
      <c r="B116" s="35"/>
      <c r="C116" s="35"/>
      <c r="D116" s="28" t="s">
        <v>191</v>
      </c>
      <c r="E116" s="29"/>
      <c r="F116" s="29"/>
      <c r="G116" s="29"/>
      <c r="H116" s="29"/>
      <c r="I116" s="29"/>
      <c r="J116" s="29"/>
      <c r="K116" s="29"/>
      <c r="L116" s="29"/>
      <c r="M116" s="29"/>
      <c r="N116" s="29"/>
      <c r="O116" s="29"/>
      <c r="P116" s="29"/>
      <c r="Q116" s="29"/>
      <c r="R116" s="29"/>
      <c r="S116" s="29"/>
      <c r="T116" s="30"/>
      <c r="U116" s="46">
        <v>318</v>
      </c>
      <c r="V116" s="47"/>
      <c r="W116" s="47"/>
      <c r="X116" s="47"/>
      <c r="Y116" s="48"/>
      <c r="Z116" s="46">
        <v>0</v>
      </c>
      <c r="AA116" s="47"/>
      <c r="AB116" s="47"/>
      <c r="AC116" s="47"/>
      <c r="AD116" s="48"/>
      <c r="AE116" s="46">
        <v>0</v>
      </c>
      <c r="AF116" s="47"/>
      <c r="AG116" s="47"/>
      <c r="AH116" s="48"/>
      <c r="AI116" s="46">
        <f t="shared" si="5"/>
        <v>318</v>
      </c>
      <c r="AJ116" s="47"/>
      <c r="AK116" s="47"/>
      <c r="AL116" s="47"/>
      <c r="AM116" s="48"/>
      <c r="AN116" s="46">
        <v>5000</v>
      </c>
      <c r="AO116" s="47"/>
      <c r="AP116" s="47"/>
      <c r="AQ116" s="47"/>
      <c r="AR116" s="48"/>
      <c r="AS116" s="46">
        <v>0</v>
      </c>
      <c r="AT116" s="47"/>
      <c r="AU116" s="47"/>
      <c r="AV116" s="47"/>
      <c r="AW116" s="48"/>
      <c r="AX116" s="46">
        <v>0</v>
      </c>
      <c r="AY116" s="47"/>
      <c r="AZ116" s="47"/>
      <c r="BA116" s="48"/>
      <c r="BB116" s="46">
        <f t="shared" si="6"/>
        <v>5000</v>
      </c>
      <c r="BC116" s="47"/>
      <c r="BD116" s="47"/>
      <c r="BE116" s="47"/>
      <c r="BF116" s="48"/>
      <c r="BG116" s="46">
        <v>6003</v>
      </c>
      <c r="BH116" s="47"/>
      <c r="BI116" s="47"/>
      <c r="BJ116" s="47"/>
      <c r="BK116" s="48"/>
      <c r="BL116" s="46">
        <v>0</v>
      </c>
      <c r="BM116" s="47"/>
      <c r="BN116" s="47"/>
      <c r="BO116" s="47"/>
      <c r="BP116" s="48"/>
      <c r="BQ116" s="46">
        <v>0</v>
      </c>
      <c r="BR116" s="47"/>
      <c r="BS116" s="47"/>
      <c r="BT116" s="48"/>
      <c r="BU116" s="46">
        <f t="shared" si="7"/>
        <v>6003</v>
      </c>
      <c r="BV116" s="47"/>
      <c r="BW116" s="47"/>
      <c r="BX116" s="47"/>
      <c r="BY116" s="48"/>
    </row>
    <row r="117" spans="1:77" s="4" customFormat="1" ht="12.75" customHeight="1" x14ac:dyDescent="0.2">
      <c r="A117" s="34">
        <v>10</v>
      </c>
      <c r="B117" s="35"/>
      <c r="C117" s="35"/>
      <c r="D117" s="28" t="s">
        <v>182</v>
      </c>
      <c r="E117" s="29"/>
      <c r="F117" s="29"/>
      <c r="G117" s="29"/>
      <c r="H117" s="29"/>
      <c r="I117" s="29"/>
      <c r="J117" s="29"/>
      <c r="K117" s="29"/>
      <c r="L117" s="29"/>
      <c r="M117" s="29"/>
      <c r="N117" s="29"/>
      <c r="O117" s="29"/>
      <c r="P117" s="29"/>
      <c r="Q117" s="29"/>
      <c r="R117" s="29"/>
      <c r="S117" s="29"/>
      <c r="T117" s="30"/>
      <c r="U117" s="46">
        <v>26115</v>
      </c>
      <c r="V117" s="47"/>
      <c r="W117" s="47"/>
      <c r="X117" s="47"/>
      <c r="Y117" s="48"/>
      <c r="Z117" s="46">
        <v>0</v>
      </c>
      <c r="AA117" s="47"/>
      <c r="AB117" s="47"/>
      <c r="AC117" s="47"/>
      <c r="AD117" s="48"/>
      <c r="AE117" s="46">
        <v>0</v>
      </c>
      <c r="AF117" s="47"/>
      <c r="AG117" s="47"/>
      <c r="AH117" s="48"/>
      <c r="AI117" s="46">
        <f t="shared" si="5"/>
        <v>26115</v>
      </c>
      <c r="AJ117" s="47"/>
      <c r="AK117" s="47"/>
      <c r="AL117" s="47"/>
      <c r="AM117" s="48"/>
      <c r="AN117" s="46">
        <v>44990</v>
      </c>
      <c r="AO117" s="47"/>
      <c r="AP117" s="47"/>
      <c r="AQ117" s="47"/>
      <c r="AR117" s="48"/>
      <c r="AS117" s="46">
        <v>0</v>
      </c>
      <c r="AT117" s="47"/>
      <c r="AU117" s="47"/>
      <c r="AV117" s="47"/>
      <c r="AW117" s="48"/>
      <c r="AX117" s="46">
        <v>0</v>
      </c>
      <c r="AY117" s="47"/>
      <c r="AZ117" s="47"/>
      <c r="BA117" s="48"/>
      <c r="BB117" s="46">
        <f t="shared" si="6"/>
        <v>44990</v>
      </c>
      <c r="BC117" s="47"/>
      <c r="BD117" s="47"/>
      <c r="BE117" s="47"/>
      <c r="BF117" s="48"/>
      <c r="BG117" s="46">
        <v>64285</v>
      </c>
      <c r="BH117" s="47"/>
      <c r="BI117" s="47"/>
      <c r="BJ117" s="47"/>
      <c r="BK117" s="48"/>
      <c r="BL117" s="46">
        <v>0</v>
      </c>
      <c r="BM117" s="47"/>
      <c r="BN117" s="47"/>
      <c r="BO117" s="47"/>
      <c r="BP117" s="48"/>
      <c r="BQ117" s="46">
        <v>0</v>
      </c>
      <c r="BR117" s="47"/>
      <c r="BS117" s="47"/>
      <c r="BT117" s="48"/>
      <c r="BU117" s="46">
        <f t="shared" si="7"/>
        <v>64285</v>
      </c>
      <c r="BV117" s="47"/>
      <c r="BW117" s="47"/>
      <c r="BX117" s="47"/>
      <c r="BY117" s="48"/>
    </row>
    <row r="118" spans="1:77" s="4" customFormat="1" ht="25.5" customHeight="1" x14ac:dyDescent="0.2">
      <c r="A118" s="34">
        <v>11</v>
      </c>
      <c r="B118" s="35"/>
      <c r="C118" s="35"/>
      <c r="D118" s="28" t="s">
        <v>192</v>
      </c>
      <c r="E118" s="29"/>
      <c r="F118" s="29"/>
      <c r="G118" s="29"/>
      <c r="H118" s="29"/>
      <c r="I118" s="29"/>
      <c r="J118" s="29"/>
      <c r="K118" s="29"/>
      <c r="L118" s="29"/>
      <c r="M118" s="29"/>
      <c r="N118" s="29"/>
      <c r="O118" s="29"/>
      <c r="P118" s="29"/>
      <c r="Q118" s="29"/>
      <c r="R118" s="29"/>
      <c r="S118" s="29"/>
      <c r="T118" s="30"/>
      <c r="U118" s="46">
        <v>0</v>
      </c>
      <c r="V118" s="47"/>
      <c r="W118" s="47"/>
      <c r="X118" s="47"/>
      <c r="Y118" s="48"/>
      <c r="Z118" s="46">
        <v>0</v>
      </c>
      <c r="AA118" s="47"/>
      <c r="AB118" s="47"/>
      <c r="AC118" s="47"/>
      <c r="AD118" s="48"/>
      <c r="AE118" s="46">
        <v>0</v>
      </c>
      <c r="AF118" s="47"/>
      <c r="AG118" s="47"/>
      <c r="AH118" s="48"/>
      <c r="AI118" s="46">
        <f t="shared" si="5"/>
        <v>0</v>
      </c>
      <c r="AJ118" s="47"/>
      <c r="AK118" s="47"/>
      <c r="AL118" s="47"/>
      <c r="AM118" s="48"/>
      <c r="AN118" s="46">
        <v>1000</v>
      </c>
      <c r="AO118" s="47"/>
      <c r="AP118" s="47"/>
      <c r="AQ118" s="47"/>
      <c r="AR118" s="48"/>
      <c r="AS118" s="46">
        <v>0</v>
      </c>
      <c r="AT118" s="47"/>
      <c r="AU118" s="47"/>
      <c r="AV118" s="47"/>
      <c r="AW118" s="48"/>
      <c r="AX118" s="46">
        <v>0</v>
      </c>
      <c r="AY118" s="47"/>
      <c r="AZ118" s="47"/>
      <c r="BA118" s="48"/>
      <c r="BB118" s="46">
        <f t="shared" si="6"/>
        <v>1000</v>
      </c>
      <c r="BC118" s="47"/>
      <c r="BD118" s="47"/>
      <c r="BE118" s="47"/>
      <c r="BF118" s="48"/>
      <c r="BG118" s="46">
        <v>1000</v>
      </c>
      <c r="BH118" s="47"/>
      <c r="BI118" s="47"/>
      <c r="BJ118" s="47"/>
      <c r="BK118" s="48"/>
      <c r="BL118" s="46">
        <v>0</v>
      </c>
      <c r="BM118" s="47"/>
      <c r="BN118" s="47"/>
      <c r="BO118" s="47"/>
      <c r="BP118" s="48"/>
      <c r="BQ118" s="46">
        <v>0</v>
      </c>
      <c r="BR118" s="47"/>
      <c r="BS118" s="47"/>
      <c r="BT118" s="48"/>
      <c r="BU118" s="46">
        <f t="shared" si="7"/>
        <v>1000</v>
      </c>
      <c r="BV118" s="47"/>
      <c r="BW118" s="47"/>
      <c r="BX118" s="47"/>
      <c r="BY118" s="48"/>
    </row>
    <row r="119" spans="1:77" s="4" customFormat="1" ht="12.75" customHeight="1" x14ac:dyDescent="0.2">
      <c r="A119" s="34">
        <v>12</v>
      </c>
      <c r="B119" s="35"/>
      <c r="C119" s="35"/>
      <c r="D119" s="28" t="s">
        <v>193</v>
      </c>
      <c r="E119" s="29"/>
      <c r="F119" s="29"/>
      <c r="G119" s="29"/>
      <c r="H119" s="29"/>
      <c r="I119" s="29"/>
      <c r="J119" s="29"/>
      <c r="K119" s="29"/>
      <c r="L119" s="29"/>
      <c r="M119" s="29"/>
      <c r="N119" s="29"/>
      <c r="O119" s="29"/>
      <c r="P119" s="29"/>
      <c r="Q119" s="29"/>
      <c r="R119" s="29"/>
      <c r="S119" s="29"/>
      <c r="T119" s="30"/>
      <c r="U119" s="46">
        <v>35755</v>
      </c>
      <c r="V119" s="47"/>
      <c r="W119" s="47"/>
      <c r="X119" s="47"/>
      <c r="Y119" s="48"/>
      <c r="Z119" s="46">
        <v>0</v>
      </c>
      <c r="AA119" s="47"/>
      <c r="AB119" s="47"/>
      <c r="AC119" s="47"/>
      <c r="AD119" s="48"/>
      <c r="AE119" s="46">
        <v>0</v>
      </c>
      <c r="AF119" s="47"/>
      <c r="AG119" s="47"/>
      <c r="AH119" s="48"/>
      <c r="AI119" s="46">
        <f t="shared" si="5"/>
        <v>35755</v>
      </c>
      <c r="AJ119" s="47"/>
      <c r="AK119" s="47"/>
      <c r="AL119" s="47"/>
      <c r="AM119" s="48"/>
      <c r="AN119" s="46">
        <v>45000</v>
      </c>
      <c r="AO119" s="47"/>
      <c r="AP119" s="47"/>
      <c r="AQ119" s="47"/>
      <c r="AR119" s="48"/>
      <c r="AS119" s="46">
        <v>0</v>
      </c>
      <c r="AT119" s="47"/>
      <c r="AU119" s="47"/>
      <c r="AV119" s="47"/>
      <c r="AW119" s="48"/>
      <c r="AX119" s="46">
        <v>0</v>
      </c>
      <c r="AY119" s="47"/>
      <c r="AZ119" s="47"/>
      <c r="BA119" s="48"/>
      <c r="BB119" s="46">
        <f t="shared" si="6"/>
        <v>45000</v>
      </c>
      <c r="BC119" s="47"/>
      <c r="BD119" s="47"/>
      <c r="BE119" s="47"/>
      <c r="BF119" s="48"/>
      <c r="BG119" s="46">
        <v>55005</v>
      </c>
      <c r="BH119" s="47"/>
      <c r="BI119" s="47"/>
      <c r="BJ119" s="47"/>
      <c r="BK119" s="48"/>
      <c r="BL119" s="46">
        <v>0</v>
      </c>
      <c r="BM119" s="47"/>
      <c r="BN119" s="47"/>
      <c r="BO119" s="47"/>
      <c r="BP119" s="48"/>
      <c r="BQ119" s="46">
        <v>0</v>
      </c>
      <c r="BR119" s="47"/>
      <c r="BS119" s="47"/>
      <c r="BT119" s="48"/>
      <c r="BU119" s="46">
        <f t="shared" si="7"/>
        <v>55005</v>
      </c>
      <c r="BV119" s="47"/>
      <c r="BW119" s="47"/>
      <c r="BX119" s="47"/>
      <c r="BY119" s="48"/>
    </row>
    <row r="120" spans="1:77" s="4" customFormat="1" ht="12.75" customHeight="1" x14ac:dyDescent="0.2">
      <c r="A120" s="34">
        <v>13</v>
      </c>
      <c r="B120" s="35"/>
      <c r="C120" s="35"/>
      <c r="D120" s="28" t="s">
        <v>194</v>
      </c>
      <c r="E120" s="29"/>
      <c r="F120" s="29"/>
      <c r="G120" s="29"/>
      <c r="H120" s="29"/>
      <c r="I120" s="29"/>
      <c r="J120" s="29"/>
      <c r="K120" s="29"/>
      <c r="L120" s="29"/>
      <c r="M120" s="29"/>
      <c r="N120" s="29"/>
      <c r="O120" s="29"/>
      <c r="P120" s="29"/>
      <c r="Q120" s="29"/>
      <c r="R120" s="29"/>
      <c r="S120" s="29"/>
      <c r="T120" s="30"/>
      <c r="U120" s="46">
        <v>2695</v>
      </c>
      <c r="V120" s="47"/>
      <c r="W120" s="47"/>
      <c r="X120" s="47"/>
      <c r="Y120" s="48"/>
      <c r="Z120" s="46">
        <v>0</v>
      </c>
      <c r="AA120" s="47"/>
      <c r="AB120" s="47"/>
      <c r="AC120" s="47"/>
      <c r="AD120" s="48"/>
      <c r="AE120" s="46">
        <v>0</v>
      </c>
      <c r="AF120" s="47"/>
      <c r="AG120" s="47"/>
      <c r="AH120" s="48"/>
      <c r="AI120" s="46">
        <f t="shared" si="5"/>
        <v>2695</v>
      </c>
      <c r="AJ120" s="47"/>
      <c r="AK120" s="47"/>
      <c r="AL120" s="47"/>
      <c r="AM120" s="48"/>
      <c r="AN120" s="46">
        <v>0</v>
      </c>
      <c r="AO120" s="47"/>
      <c r="AP120" s="47"/>
      <c r="AQ120" s="47"/>
      <c r="AR120" s="48"/>
      <c r="AS120" s="46">
        <v>0</v>
      </c>
      <c r="AT120" s="47"/>
      <c r="AU120" s="47"/>
      <c r="AV120" s="47"/>
      <c r="AW120" s="48"/>
      <c r="AX120" s="46">
        <v>0</v>
      </c>
      <c r="AY120" s="47"/>
      <c r="AZ120" s="47"/>
      <c r="BA120" s="48"/>
      <c r="BB120" s="46">
        <f t="shared" si="6"/>
        <v>0</v>
      </c>
      <c r="BC120" s="47"/>
      <c r="BD120" s="47"/>
      <c r="BE120" s="47"/>
      <c r="BF120" s="48"/>
      <c r="BG120" s="46">
        <v>0</v>
      </c>
      <c r="BH120" s="47"/>
      <c r="BI120" s="47"/>
      <c r="BJ120" s="47"/>
      <c r="BK120" s="48"/>
      <c r="BL120" s="46">
        <v>0</v>
      </c>
      <c r="BM120" s="47"/>
      <c r="BN120" s="47"/>
      <c r="BO120" s="47"/>
      <c r="BP120" s="48"/>
      <c r="BQ120" s="46">
        <v>0</v>
      </c>
      <c r="BR120" s="47"/>
      <c r="BS120" s="47"/>
      <c r="BT120" s="48"/>
      <c r="BU120" s="46">
        <f t="shared" si="7"/>
        <v>0</v>
      </c>
      <c r="BV120" s="47"/>
      <c r="BW120" s="47"/>
      <c r="BX120" s="47"/>
      <c r="BY120" s="48"/>
    </row>
    <row r="121" spans="1:77" s="4" customFormat="1" ht="12.75" customHeight="1" x14ac:dyDescent="0.2">
      <c r="A121" s="34">
        <v>14</v>
      </c>
      <c r="B121" s="35"/>
      <c r="C121" s="35"/>
      <c r="D121" s="28" t="s">
        <v>195</v>
      </c>
      <c r="E121" s="29"/>
      <c r="F121" s="29"/>
      <c r="G121" s="29"/>
      <c r="H121" s="29"/>
      <c r="I121" s="29"/>
      <c r="J121" s="29"/>
      <c r="K121" s="29"/>
      <c r="L121" s="29"/>
      <c r="M121" s="29"/>
      <c r="N121" s="29"/>
      <c r="O121" s="29"/>
      <c r="P121" s="29"/>
      <c r="Q121" s="29"/>
      <c r="R121" s="29"/>
      <c r="S121" s="29"/>
      <c r="T121" s="30"/>
      <c r="U121" s="46">
        <v>49999</v>
      </c>
      <c r="V121" s="47"/>
      <c r="W121" s="47"/>
      <c r="X121" s="47"/>
      <c r="Y121" s="48"/>
      <c r="Z121" s="46">
        <v>0</v>
      </c>
      <c r="AA121" s="47"/>
      <c r="AB121" s="47"/>
      <c r="AC121" s="47"/>
      <c r="AD121" s="48"/>
      <c r="AE121" s="46">
        <v>0</v>
      </c>
      <c r="AF121" s="47"/>
      <c r="AG121" s="47"/>
      <c r="AH121" s="48"/>
      <c r="AI121" s="46">
        <f t="shared" si="5"/>
        <v>49999</v>
      </c>
      <c r="AJ121" s="47"/>
      <c r="AK121" s="47"/>
      <c r="AL121" s="47"/>
      <c r="AM121" s="48"/>
      <c r="AN121" s="46">
        <v>0</v>
      </c>
      <c r="AO121" s="47"/>
      <c r="AP121" s="47"/>
      <c r="AQ121" s="47"/>
      <c r="AR121" s="48"/>
      <c r="AS121" s="46">
        <v>0</v>
      </c>
      <c r="AT121" s="47"/>
      <c r="AU121" s="47"/>
      <c r="AV121" s="47"/>
      <c r="AW121" s="48"/>
      <c r="AX121" s="46">
        <v>0</v>
      </c>
      <c r="AY121" s="47"/>
      <c r="AZ121" s="47"/>
      <c r="BA121" s="48"/>
      <c r="BB121" s="46">
        <f t="shared" si="6"/>
        <v>0</v>
      </c>
      <c r="BC121" s="47"/>
      <c r="BD121" s="47"/>
      <c r="BE121" s="47"/>
      <c r="BF121" s="48"/>
      <c r="BG121" s="46">
        <v>350000</v>
      </c>
      <c r="BH121" s="47"/>
      <c r="BI121" s="47"/>
      <c r="BJ121" s="47"/>
      <c r="BK121" s="48"/>
      <c r="BL121" s="46">
        <v>0</v>
      </c>
      <c r="BM121" s="47"/>
      <c r="BN121" s="47"/>
      <c r="BO121" s="47"/>
      <c r="BP121" s="48"/>
      <c r="BQ121" s="46">
        <v>0</v>
      </c>
      <c r="BR121" s="47"/>
      <c r="BS121" s="47"/>
      <c r="BT121" s="48"/>
      <c r="BU121" s="46">
        <f t="shared" si="7"/>
        <v>350000</v>
      </c>
      <c r="BV121" s="47"/>
      <c r="BW121" s="47"/>
      <c r="BX121" s="47"/>
      <c r="BY121" s="48"/>
    </row>
    <row r="122" spans="1:77" s="4" customFormat="1" ht="12.75" customHeight="1" x14ac:dyDescent="0.2">
      <c r="A122" s="34">
        <v>15</v>
      </c>
      <c r="B122" s="35"/>
      <c r="C122" s="35"/>
      <c r="D122" s="28" t="s">
        <v>196</v>
      </c>
      <c r="E122" s="29"/>
      <c r="F122" s="29"/>
      <c r="G122" s="29"/>
      <c r="H122" s="29"/>
      <c r="I122" s="29"/>
      <c r="J122" s="29"/>
      <c r="K122" s="29"/>
      <c r="L122" s="29"/>
      <c r="M122" s="29"/>
      <c r="N122" s="29"/>
      <c r="O122" s="29"/>
      <c r="P122" s="29"/>
      <c r="Q122" s="29"/>
      <c r="R122" s="29"/>
      <c r="S122" s="29"/>
      <c r="T122" s="30"/>
      <c r="U122" s="46">
        <v>49900</v>
      </c>
      <c r="V122" s="47"/>
      <c r="W122" s="47"/>
      <c r="X122" s="47"/>
      <c r="Y122" s="48"/>
      <c r="Z122" s="46">
        <v>0</v>
      </c>
      <c r="AA122" s="47"/>
      <c r="AB122" s="47"/>
      <c r="AC122" s="47"/>
      <c r="AD122" s="48"/>
      <c r="AE122" s="46">
        <v>0</v>
      </c>
      <c r="AF122" s="47"/>
      <c r="AG122" s="47"/>
      <c r="AH122" s="48"/>
      <c r="AI122" s="46">
        <f t="shared" si="5"/>
        <v>49900</v>
      </c>
      <c r="AJ122" s="47"/>
      <c r="AK122" s="47"/>
      <c r="AL122" s="47"/>
      <c r="AM122" s="48"/>
      <c r="AN122" s="46">
        <v>0</v>
      </c>
      <c r="AO122" s="47"/>
      <c r="AP122" s="47"/>
      <c r="AQ122" s="47"/>
      <c r="AR122" s="48"/>
      <c r="AS122" s="46">
        <v>0</v>
      </c>
      <c r="AT122" s="47"/>
      <c r="AU122" s="47"/>
      <c r="AV122" s="47"/>
      <c r="AW122" s="48"/>
      <c r="AX122" s="46">
        <v>0</v>
      </c>
      <c r="AY122" s="47"/>
      <c r="AZ122" s="47"/>
      <c r="BA122" s="48"/>
      <c r="BB122" s="46">
        <f t="shared" si="6"/>
        <v>0</v>
      </c>
      <c r="BC122" s="47"/>
      <c r="BD122" s="47"/>
      <c r="BE122" s="47"/>
      <c r="BF122" s="48"/>
      <c r="BG122" s="46">
        <v>126450</v>
      </c>
      <c r="BH122" s="47"/>
      <c r="BI122" s="47"/>
      <c r="BJ122" s="47"/>
      <c r="BK122" s="48"/>
      <c r="BL122" s="46">
        <v>0</v>
      </c>
      <c r="BM122" s="47"/>
      <c r="BN122" s="47"/>
      <c r="BO122" s="47"/>
      <c r="BP122" s="48"/>
      <c r="BQ122" s="46">
        <v>0</v>
      </c>
      <c r="BR122" s="47"/>
      <c r="BS122" s="47"/>
      <c r="BT122" s="48"/>
      <c r="BU122" s="46">
        <f t="shared" si="7"/>
        <v>126450</v>
      </c>
      <c r="BV122" s="47"/>
      <c r="BW122" s="47"/>
      <c r="BX122" s="47"/>
      <c r="BY122" s="48"/>
    </row>
    <row r="123" spans="1:77" s="4" customFormat="1" ht="12.75" customHeight="1" x14ac:dyDescent="0.2">
      <c r="A123" s="34">
        <v>16</v>
      </c>
      <c r="B123" s="35"/>
      <c r="C123" s="35"/>
      <c r="D123" s="28" t="s">
        <v>197</v>
      </c>
      <c r="E123" s="29"/>
      <c r="F123" s="29"/>
      <c r="G123" s="29"/>
      <c r="H123" s="29"/>
      <c r="I123" s="29"/>
      <c r="J123" s="29"/>
      <c r="K123" s="29"/>
      <c r="L123" s="29"/>
      <c r="M123" s="29"/>
      <c r="N123" s="29"/>
      <c r="O123" s="29"/>
      <c r="P123" s="29"/>
      <c r="Q123" s="29"/>
      <c r="R123" s="29"/>
      <c r="S123" s="29"/>
      <c r="T123" s="30"/>
      <c r="U123" s="46">
        <v>13629</v>
      </c>
      <c r="V123" s="47"/>
      <c r="W123" s="47"/>
      <c r="X123" s="47"/>
      <c r="Y123" s="48"/>
      <c r="Z123" s="46">
        <v>0</v>
      </c>
      <c r="AA123" s="47"/>
      <c r="AB123" s="47"/>
      <c r="AC123" s="47"/>
      <c r="AD123" s="48"/>
      <c r="AE123" s="46">
        <v>0</v>
      </c>
      <c r="AF123" s="47"/>
      <c r="AG123" s="47"/>
      <c r="AH123" s="48"/>
      <c r="AI123" s="46">
        <f t="shared" si="5"/>
        <v>13629</v>
      </c>
      <c r="AJ123" s="47"/>
      <c r="AK123" s="47"/>
      <c r="AL123" s="47"/>
      <c r="AM123" s="48"/>
      <c r="AN123" s="46">
        <v>15000</v>
      </c>
      <c r="AO123" s="47"/>
      <c r="AP123" s="47"/>
      <c r="AQ123" s="47"/>
      <c r="AR123" s="48"/>
      <c r="AS123" s="46">
        <v>0</v>
      </c>
      <c r="AT123" s="47"/>
      <c r="AU123" s="47"/>
      <c r="AV123" s="47"/>
      <c r="AW123" s="48"/>
      <c r="AX123" s="46">
        <v>0</v>
      </c>
      <c r="AY123" s="47"/>
      <c r="AZ123" s="47"/>
      <c r="BA123" s="48"/>
      <c r="BB123" s="46">
        <f t="shared" si="6"/>
        <v>15000</v>
      </c>
      <c r="BC123" s="47"/>
      <c r="BD123" s="47"/>
      <c r="BE123" s="47"/>
      <c r="BF123" s="48"/>
      <c r="BG123" s="46">
        <v>25000</v>
      </c>
      <c r="BH123" s="47"/>
      <c r="BI123" s="47"/>
      <c r="BJ123" s="47"/>
      <c r="BK123" s="48"/>
      <c r="BL123" s="46">
        <v>0</v>
      </c>
      <c r="BM123" s="47"/>
      <c r="BN123" s="47"/>
      <c r="BO123" s="47"/>
      <c r="BP123" s="48"/>
      <c r="BQ123" s="46">
        <v>0</v>
      </c>
      <c r="BR123" s="47"/>
      <c r="BS123" s="47"/>
      <c r="BT123" s="48"/>
      <c r="BU123" s="46">
        <f t="shared" si="7"/>
        <v>25000</v>
      </c>
      <c r="BV123" s="47"/>
      <c r="BW123" s="47"/>
      <c r="BX123" s="47"/>
      <c r="BY123" s="48"/>
    </row>
    <row r="124" spans="1:77" s="4" customFormat="1" ht="25.5" customHeight="1" x14ac:dyDescent="0.2">
      <c r="A124" s="34">
        <v>17</v>
      </c>
      <c r="B124" s="35"/>
      <c r="C124" s="35"/>
      <c r="D124" s="28" t="s">
        <v>198</v>
      </c>
      <c r="E124" s="29"/>
      <c r="F124" s="29"/>
      <c r="G124" s="29"/>
      <c r="H124" s="29"/>
      <c r="I124" s="29"/>
      <c r="J124" s="29"/>
      <c r="K124" s="29"/>
      <c r="L124" s="29"/>
      <c r="M124" s="29"/>
      <c r="N124" s="29"/>
      <c r="O124" s="29"/>
      <c r="P124" s="29"/>
      <c r="Q124" s="29"/>
      <c r="R124" s="29"/>
      <c r="S124" s="29"/>
      <c r="T124" s="30"/>
      <c r="U124" s="46">
        <v>151</v>
      </c>
      <c r="V124" s="47"/>
      <c r="W124" s="47"/>
      <c r="X124" s="47"/>
      <c r="Y124" s="48"/>
      <c r="Z124" s="46">
        <v>0</v>
      </c>
      <c r="AA124" s="47"/>
      <c r="AB124" s="47"/>
      <c r="AC124" s="47"/>
      <c r="AD124" s="48"/>
      <c r="AE124" s="46">
        <v>0</v>
      </c>
      <c r="AF124" s="47"/>
      <c r="AG124" s="47"/>
      <c r="AH124" s="48"/>
      <c r="AI124" s="46">
        <f t="shared" si="5"/>
        <v>151</v>
      </c>
      <c r="AJ124" s="47"/>
      <c r="AK124" s="47"/>
      <c r="AL124" s="47"/>
      <c r="AM124" s="48"/>
      <c r="AN124" s="46">
        <v>2000</v>
      </c>
      <c r="AO124" s="47"/>
      <c r="AP124" s="47"/>
      <c r="AQ124" s="47"/>
      <c r="AR124" s="48"/>
      <c r="AS124" s="46">
        <v>0</v>
      </c>
      <c r="AT124" s="47"/>
      <c r="AU124" s="47"/>
      <c r="AV124" s="47"/>
      <c r="AW124" s="48"/>
      <c r="AX124" s="46">
        <v>0</v>
      </c>
      <c r="AY124" s="47"/>
      <c r="AZ124" s="47"/>
      <c r="BA124" s="48"/>
      <c r="BB124" s="46">
        <f t="shared" si="6"/>
        <v>2000</v>
      </c>
      <c r="BC124" s="47"/>
      <c r="BD124" s="47"/>
      <c r="BE124" s="47"/>
      <c r="BF124" s="48"/>
      <c r="BG124" s="46">
        <v>2000</v>
      </c>
      <c r="BH124" s="47"/>
      <c r="BI124" s="47"/>
      <c r="BJ124" s="47"/>
      <c r="BK124" s="48"/>
      <c r="BL124" s="46">
        <v>0</v>
      </c>
      <c r="BM124" s="47"/>
      <c r="BN124" s="47"/>
      <c r="BO124" s="47"/>
      <c r="BP124" s="48"/>
      <c r="BQ124" s="46">
        <v>0</v>
      </c>
      <c r="BR124" s="47"/>
      <c r="BS124" s="47"/>
      <c r="BT124" s="48"/>
      <c r="BU124" s="46">
        <f t="shared" si="7"/>
        <v>2000</v>
      </c>
      <c r="BV124" s="47"/>
      <c r="BW124" s="47"/>
      <c r="BX124" s="47"/>
      <c r="BY124" s="48"/>
    </row>
    <row r="125" spans="1:77" s="4" customFormat="1" ht="12.75" customHeight="1" x14ac:dyDescent="0.2">
      <c r="A125" s="34">
        <v>18</v>
      </c>
      <c r="B125" s="35"/>
      <c r="C125" s="35"/>
      <c r="D125" s="28" t="s">
        <v>199</v>
      </c>
      <c r="E125" s="29"/>
      <c r="F125" s="29"/>
      <c r="G125" s="29"/>
      <c r="H125" s="29"/>
      <c r="I125" s="29"/>
      <c r="J125" s="29"/>
      <c r="K125" s="29"/>
      <c r="L125" s="29"/>
      <c r="M125" s="29"/>
      <c r="N125" s="29"/>
      <c r="O125" s="29"/>
      <c r="P125" s="29"/>
      <c r="Q125" s="29"/>
      <c r="R125" s="29"/>
      <c r="S125" s="29"/>
      <c r="T125" s="30"/>
      <c r="U125" s="46">
        <v>25868</v>
      </c>
      <c r="V125" s="47"/>
      <c r="W125" s="47"/>
      <c r="X125" s="47"/>
      <c r="Y125" s="48"/>
      <c r="Z125" s="46">
        <v>0</v>
      </c>
      <c r="AA125" s="47"/>
      <c r="AB125" s="47"/>
      <c r="AC125" s="47"/>
      <c r="AD125" s="48"/>
      <c r="AE125" s="46">
        <v>0</v>
      </c>
      <c r="AF125" s="47"/>
      <c r="AG125" s="47"/>
      <c r="AH125" s="48"/>
      <c r="AI125" s="46">
        <f t="shared" si="5"/>
        <v>25868</v>
      </c>
      <c r="AJ125" s="47"/>
      <c r="AK125" s="47"/>
      <c r="AL125" s="47"/>
      <c r="AM125" s="48"/>
      <c r="AN125" s="46">
        <v>24084</v>
      </c>
      <c r="AO125" s="47"/>
      <c r="AP125" s="47"/>
      <c r="AQ125" s="47"/>
      <c r="AR125" s="48"/>
      <c r="AS125" s="46">
        <v>0</v>
      </c>
      <c r="AT125" s="47"/>
      <c r="AU125" s="47"/>
      <c r="AV125" s="47"/>
      <c r="AW125" s="48"/>
      <c r="AX125" s="46">
        <v>0</v>
      </c>
      <c r="AY125" s="47"/>
      <c r="AZ125" s="47"/>
      <c r="BA125" s="48"/>
      <c r="BB125" s="46">
        <f t="shared" si="6"/>
        <v>24084</v>
      </c>
      <c r="BC125" s="47"/>
      <c r="BD125" s="47"/>
      <c r="BE125" s="47"/>
      <c r="BF125" s="48"/>
      <c r="BG125" s="46">
        <v>25284</v>
      </c>
      <c r="BH125" s="47"/>
      <c r="BI125" s="47"/>
      <c r="BJ125" s="47"/>
      <c r="BK125" s="48"/>
      <c r="BL125" s="46">
        <v>0</v>
      </c>
      <c r="BM125" s="47"/>
      <c r="BN125" s="47"/>
      <c r="BO125" s="47"/>
      <c r="BP125" s="48"/>
      <c r="BQ125" s="46">
        <v>0</v>
      </c>
      <c r="BR125" s="47"/>
      <c r="BS125" s="47"/>
      <c r="BT125" s="48"/>
      <c r="BU125" s="46">
        <f t="shared" si="7"/>
        <v>25284</v>
      </c>
      <c r="BV125" s="47"/>
      <c r="BW125" s="47"/>
      <c r="BX125" s="47"/>
      <c r="BY125" s="48"/>
    </row>
    <row r="126" spans="1:77" s="4" customFormat="1" ht="25.5" customHeight="1" x14ac:dyDescent="0.2">
      <c r="A126" s="34">
        <v>19</v>
      </c>
      <c r="B126" s="35"/>
      <c r="C126" s="35"/>
      <c r="D126" s="28" t="s">
        <v>200</v>
      </c>
      <c r="E126" s="29"/>
      <c r="F126" s="29"/>
      <c r="G126" s="29"/>
      <c r="H126" s="29"/>
      <c r="I126" s="29"/>
      <c r="J126" s="29"/>
      <c r="K126" s="29"/>
      <c r="L126" s="29"/>
      <c r="M126" s="29"/>
      <c r="N126" s="29"/>
      <c r="O126" s="29"/>
      <c r="P126" s="29"/>
      <c r="Q126" s="29"/>
      <c r="R126" s="29"/>
      <c r="S126" s="29"/>
      <c r="T126" s="30"/>
      <c r="U126" s="46">
        <v>289690</v>
      </c>
      <c r="V126" s="47"/>
      <c r="W126" s="47"/>
      <c r="X126" s="47"/>
      <c r="Y126" s="48"/>
      <c r="Z126" s="46">
        <v>0</v>
      </c>
      <c r="AA126" s="47"/>
      <c r="AB126" s="47"/>
      <c r="AC126" s="47"/>
      <c r="AD126" s="48"/>
      <c r="AE126" s="46">
        <v>0</v>
      </c>
      <c r="AF126" s="47"/>
      <c r="AG126" s="47"/>
      <c r="AH126" s="48"/>
      <c r="AI126" s="46">
        <f t="shared" si="5"/>
        <v>289690</v>
      </c>
      <c r="AJ126" s="47"/>
      <c r="AK126" s="47"/>
      <c r="AL126" s="47"/>
      <c r="AM126" s="48"/>
      <c r="AN126" s="46">
        <v>165300</v>
      </c>
      <c r="AO126" s="47"/>
      <c r="AP126" s="47"/>
      <c r="AQ126" s="47"/>
      <c r="AR126" s="48"/>
      <c r="AS126" s="46">
        <v>0</v>
      </c>
      <c r="AT126" s="47"/>
      <c r="AU126" s="47"/>
      <c r="AV126" s="47"/>
      <c r="AW126" s="48"/>
      <c r="AX126" s="46">
        <v>0</v>
      </c>
      <c r="AY126" s="47"/>
      <c r="AZ126" s="47"/>
      <c r="BA126" s="48"/>
      <c r="BB126" s="46">
        <f t="shared" si="6"/>
        <v>165300</v>
      </c>
      <c r="BC126" s="47"/>
      <c r="BD126" s="47"/>
      <c r="BE126" s="47"/>
      <c r="BF126" s="48"/>
      <c r="BG126" s="46">
        <v>99900</v>
      </c>
      <c r="BH126" s="47"/>
      <c r="BI126" s="47"/>
      <c r="BJ126" s="47"/>
      <c r="BK126" s="48"/>
      <c r="BL126" s="46">
        <v>0</v>
      </c>
      <c r="BM126" s="47"/>
      <c r="BN126" s="47"/>
      <c r="BO126" s="47"/>
      <c r="BP126" s="48"/>
      <c r="BQ126" s="46">
        <v>0</v>
      </c>
      <c r="BR126" s="47"/>
      <c r="BS126" s="47"/>
      <c r="BT126" s="48"/>
      <c r="BU126" s="46">
        <f t="shared" si="7"/>
        <v>99900</v>
      </c>
      <c r="BV126" s="47"/>
      <c r="BW126" s="47"/>
      <c r="BX126" s="47"/>
      <c r="BY126" s="48"/>
    </row>
    <row r="127" spans="1:77" s="4" customFormat="1" ht="25.5" customHeight="1" x14ac:dyDescent="0.2">
      <c r="A127" s="34">
        <v>20</v>
      </c>
      <c r="B127" s="35"/>
      <c r="C127" s="35"/>
      <c r="D127" s="28" t="s">
        <v>201</v>
      </c>
      <c r="E127" s="29"/>
      <c r="F127" s="29"/>
      <c r="G127" s="29"/>
      <c r="H127" s="29"/>
      <c r="I127" s="29"/>
      <c r="J127" s="29"/>
      <c r="K127" s="29"/>
      <c r="L127" s="29"/>
      <c r="M127" s="29"/>
      <c r="N127" s="29"/>
      <c r="O127" s="29"/>
      <c r="P127" s="29"/>
      <c r="Q127" s="29"/>
      <c r="R127" s="29"/>
      <c r="S127" s="29"/>
      <c r="T127" s="30"/>
      <c r="U127" s="46">
        <v>0</v>
      </c>
      <c r="V127" s="47"/>
      <c r="W127" s="47"/>
      <c r="X127" s="47"/>
      <c r="Y127" s="48"/>
      <c r="Z127" s="46">
        <v>0</v>
      </c>
      <c r="AA127" s="47"/>
      <c r="AB127" s="47"/>
      <c r="AC127" s="47"/>
      <c r="AD127" s="48"/>
      <c r="AE127" s="46">
        <v>0</v>
      </c>
      <c r="AF127" s="47"/>
      <c r="AG127" s="47"/>
      <c r="AH127" s="48"/>
      <c r="AI127" s="46">
        <f t="shared" si="5"/>
        <v>0</v>
      </c>
      <c r="AJ127" s="47"/>
      <c r="AK127" s="47"/>
      <c r="AL127" s="47"/>
      <c r="AM127" s="48"/>
      <c r="AN127" s="46">
        <v>49440</v>
      </c>
      <c r="AO127" s="47"/>
      <c r="AP127" s="47"/>
      <c r="AQ127" s="47"/>
      <c r="AR127" s="48"/>
      <c r="AS127" s="46">
        <v>0</v>
      </c>
      <c r="AT127" s="47"/>
      <c r="AU127" s="47"/>
      <c r="AV127" s="47"/>
      <c r="AW127" s="48"/>
      <c r="AX127" s="46">
        <v>0</v>
      </c>
      <c r="AY127" s="47"/>
      <c r="AZ127" s="47"/>
      <c r="BA127" s="48"/>
      <c r="BB127" s="46">
        <f t="shared" si="6"/>
        <v>49440</v>
      </c>
      <c r="BC127" s="47"/>
      <c r="BD127" s="47"/>
      <c r="BE127" s="47"/>
      <c r="BF127" s="48"/>
      <c r="BG127" s="46">
        <v>66000</v>
      </c>
      <c r="BH127" s="47"/>
      <c r="BI127" s="47"/>
      <c r="BJ127" s="47"/>
      <c r="BK127" s="48"/>
      <c r="BL127" s="46">
        <v>0</v>
      </c>
      <c r="BM127" s="47"/>
      <c r="BN127" s="47"/>
      <c r="BO127" s="47"/>
      <c r="BP127" s="48"/>
      <c r="BQ127" s="46">
        <v>0</v>
      </c>
      <c r="BR127" s="47"/>
      <c r="BS127" s="47"/>
      <c r="BT127" s="48"/>
      <c r="BU127" s="46">
        <f t="shared" si="7"/>
        <v>66000</v>
      </c>
      <c r="BV127" s="47"/>
      <c r="BW127" s="47"/>
      <c r="BX127" s="47"/>
      <c r="BY127" s="48"/>
    </row>
    <row r="128" spans="1:77" s="4" customFormat="1" ht="25.5" customHeight="1" x14ac:dyDescent="0.2">
      <c r="A128" s="34">
        <v>21</v>
      </c>
      <c r="B128" s="35"/>
      <c r="C128" s="35"/>
      <c r="D128" s="28" t="s">
        <v>202</v>
      </c>
      <c r="E128" s="29"/>
      <c r="F128" s="29"/>
      <c r="G128" s="29"/>
      <c r="H128" s="29"/>
      <c r="I128" s="29"/>
      <c r="J128" s="29"/>
      <c r="K128" s="29"/>
      <c r="L128" s="29"/>
      <c r="M128" s="29"/>
      <c r="N128" s="29"/>
      <c r="O128" s="29"/>
      <c r="P128" s="29"/>
      <c r="Q128" s="29"/>
      <c r="R128" s="29"/>
      <c r="S128" s="29"/>
      <c r="T128" s="30"/>
      <c r="U128" s="46">
        <v>2282</v>
      </c>
      <c r="V128" s="47"/>
      <c r="W128" s="47"/>
      <c r="X128" s="47"/>
      <c r="Y128" s="48"/>
      <c r="Z128" s="46">
        <v>0</v>
      </c>
      <c r="AA128" s="47"/>
      <c r="AB128" s="47"/>
      <c r="AC128" s="47"/>
      <c r="AD128" s="48"/>
      <c r="AE128" s="46">
        <v>0</v>
      </c>
      <c r="AF128" s="47"/>
      <c r="AG128" s="47"/>
      <c r="AH128" s="48"/>
      <c r="AI128" s="46">
        <f t="shared" si="5"/>
        <v>2282</v>
      </c>
      <c r="AJ128" s="47"/>
      <c r="AK128" s="47"/>
      <c r="AL128" s="47"/>
      <c r="AM128" s="48"/>
      <c r="AN128" s="46">
        <v>5000</v>
      </c>
      <c r="AO128" s="47"/>
      <c r="AP128" s="47"/>
      <c r="AQ128" s="47"/>
      <c r="AR128" s="48"/>
      <c r="AS128" s="46">
        <v>0</v>
      </c>
      <c r="AT128" s="47"/>
      <c r="AU128" s="47"/>
      <c r="AV128" s="47"/>
      <c r="AW128" s="48"/>
      <c r="AX128" s="46">
        <v>0</v>
      </c>
      <c r="AY128" s="47"/>
      <c r="AZ128" s="47"/>
      <c r="BA128" s="48"/>
      <c r="BB128" s="46">
        <f t="shared" si="6"/>
        <v>5000</v>
      </c>
      <c r="BC128" s="47"/>
      <c r="BD128" s="47"/>
      <c r="BE128" s="47"/>
      <c r="BF128" s="48"/>
      <c r="BG128" s="46">
        <v>5000</v>
      </c>
      <c r="BH128" s="47"/>
      <c r="BI128" s="47"/>
      <c r="BJ128" s="47"/>
      <c r="BK128" s="48"/>
      <c r="BL128" s="46">
        <v>0</v>
      </c>
      <c r="BM128" s="47"/>
      <c r="BN128" s="47"/>
      <c r="BO128" s="47"/>
      <c r="BP128" s="48"/>
      <c r="BQ128" s="46">
        <v>0</v>
      </c>
      <c r="BR128" s="47"/>
      <c r="BS128" s="47"/>
      <c r="BT128" s="48"/>
      <c r="BU128" s="46">
        <f t="shared" si="7"/>
        <v>5000</v>
      </c>
      <c r="BV128" s="47"/>
      <c r="BW128" s="47"/>
      <c r="BX128" s="47"/>
      <c r="BY128" s="48"/>
    </row>
    <row r="129" spans="1:77" s="4" customFormat="1" ht="25.5" customHeight="1" x14ac:dyDescent="0.2">
      <c r="A129" s="34">
        <v>22</v>
      </c>
      <c r="B129" s="35"/>
      <c r="C129" s="35"/>
      <c r="D129" s="28" t="s">
        <v>203</v>
      </c>
      <c r="E129" s="29"/>
      <c r="F129" s="29"/>
      <c r="G129" s="29"/>
      <c r="H129" s="29"/>
      <c r="I129" s="29"/>
      <c r="J129" s="29"/>
      <c r="K129" s="29"/>
      <c r="L129" s="29"/>
      <c r="M129" s="29"/>
      <c r="N129" s="29"/>
      <c r="O129" s="29"/>
      <c r="P129" s="29"/>
      <c r="Q129" s="29"/>
      <c r="R129" s="29"/>
      <c r="S129" s="29"/>
      <c r="T129" s="30"/>
      <c r="U129" s="46">
        <v>20000</v>
      </c>
      <c r="V129" s="47"/>
      <c r="W129" s="47"/>
      <c r="X129" s="47"/>
      <c r="Y129" s="48"/>
      <c r="Z129" s="46">
        <v>0</v>
      </c>
      <c r="AA129" s="47"/>
      <c r="AB129" s="47"/>
      <c r="AC129" s="47"/>
      <c r="AD129" s="48"/>
      <c r="AE129" s="46">
        <v>0</v>
      </c>
      <c r="AF129" s="47"/>
      <c r="AG129" s="47"/>
      <c r="AH129" s="48"/>
      <c r="AI129" s="46">
        <f t="shared" si="5"/>
        <v>20000</v>
      </c>
      <c r="AJ129" s="47"/>
      <c r="AK129" s="47"/>
      <c r="AL129" s="47"/>
      <c r="AM129" s="48"/>
      <c r="AN129" s="46">
        <v>23000</v>
      </c>
      <c r="AO129" s="47"/>
      <c r="AP129" s="47"/>
      <c r="AQ129" s="47"/>
      <c r="AR129" s="48"/>
      <c r="AS129" s="46">
        <v>0</v>
      </c>
      <c r="AT129" s="47"/>
      <c r="AU129" s="47"/>
      <c r="AV129" s="47"/>
      <c r="AW129" s="48"/>
      <c r="AX129" s="46">
        <v>0</v>
      </c>
      <c r="AY129" s="47"/>
      <c r="AZ129" s="47"/>
      <c r="BA129" s="48"/>
      <c r="BB129" s="46">
        <f t="shared" si="6"/>
        <v>23000</v>
      </c>
      <c r="BC129" s="47"/>
      <c r="BD129" s="47"/>
      <c r="BE129" s="47"/>
      <c r="BF129" s="48"/>
      <c r="BG129" s="46">
        <v>23000</v>
      </c>
      <c r="BH129" s="47"/>
      <c r="BI129" s="47"/>
      <c r="BJ129" s="47"/>
      <c r="BK129" s="48"/>
      <c r="BL129" s="46">
        <v>0</v>
      </c>
      <c r="BM129" s="47"/>
      <c r="BN129" s="47"/>
      <c r="BO129" s="47"/>
      <c r="BP129" s="48"/>
      <c r="BQ129" s="46">
        <v>0</v>
      </c>
      <c r="BR129" s="47"/>
      <c r="BS129" s="47"/>
      <c r="BT129" s="48"/>
      <c r="BU129" s="46">
        <f t="shared" si="7"/>
        <v>23000</v>
      </c>
      <c r="BV129" s="47"/>
      <c r="BW129" s="47"/>
      <c r="BX129" s="47"/>
      <c r="BY129" s="48"/>
    </row>
    <row r="130" spans="1:77" s="4" customFormat="1" ht="25.5" customHeight="1" x14ac:dyDescent="0.2">
      <c r="A130" s="34">
        <v>23</v>
      </c>
      <c r="B130" s="35"/>
      <c r="C130" s="35"/>
      <c r="D130" s="28" t="s">
        <v>204</v>
      </c>
      <c r="E130" s="29"/>
      <c r="F130" s="29"/>
      <c r="G130" s="29"/>
      <c r="H130" s="29"/>
      <c r="I130" s="29"/>
      <c r="J130" s="29"/>
      <c r="K130" s="29"/>
      <c r="L130" s="29"/>
      <c r="M130" s="29"/>
      <c r="N130" s="29"/>
      <c r="O130" s="29"/>
      <c r="P130" s="29"/>
      <c r="Q130" s="29"/>
      <c r="R130" s="29"/>
      <c r="S130" s="29"/>
      <c r="T130" s="30"/>
      <c r="U130" s="46">
        <v>34380</v>
      </c>
      <c r="V130" s="47"/>
      <c r="W130" s="47"/>
      <c r="X130" s="47"/>
      <c r="Y130" s="48"/>
      <c r="Z130" s="46">
        <v>0</v>
      </c>
      <c r="AA130" s="47"/>
      <c r="AB130" s="47"/>
      <c r="AC130" s="47"/>
      <c r="AD130" s="48"/>
      <c r="AE130" s="46">
        <v>0</v>
      </c>
      <c r="AF130" s="47"/>
      <c r="AG130" s="47"/>
      <c r="AH130" s="48"/>
      <c r="AI130" s="46">
        <f t="shared" si="5"/>
        <v>34380</v>
      </c>
      <c r="AJ130" s="47"/>
      <c r="AK130" s="47"/>
      <c r="AL130" s="47"/>
      <c r="AM130" s="48"/>
      <c r="AN130" s="46">
        <v>221200</v>
      </c>
      <c r="AO130" s="47"/>
      <c r="AP130" s="47"/>
      <c r="AQ130" s="47"/>
      <c r="AR130" s="48"/>
      <c r="AS130" s="46">
        <v>0</v>
      </c>
      <c r="AT130" s="47"/>
      <c r="AU130" s="47"/>
      <c r="AV130" s="47"/>
      <c r="AW130" s="48"/>
      <c r="AX130" s="46">
        <v>0</v>
      </c>
      <c r="AY130" s="47"/>
      <c r="AZ130" s="47"/>
      <c r="BA130" s="48"/>
      <c r="BB130" s="46">
        <f t="shared" si="6"/>
        <v>221200</v>
      </c>
      <c r="BC130" s="47"/>
      <c r="BD130" s="47"/>
      <c r="BE130" s="47"/>
      <c r="BF130" s="48"/>
      <c r="BG130" s="46">
        <v>202800</v>
      </c>
      <c r="BH130" s="47"/>
      <c r="BI130" s="47"/>
      <c r="BJ130" s="47"/>
      <c r="BK130" s="48"/>
      <c r="BL130" s="46">
        <v>0</v>
      </c>
      <c r="BM130" s="47"/>
      <c r="BN130" s="47"/>
      <c r="BO130" s="47"/>
      <c r="BP130" s="48"/>
      <c r="BQ130" s="46">
        <v>0</v>
      </c>
      <c r="BR130" s="47"/>
      <c r="BS130" s="47"/>
      <c r="BT130" s="48"/>
      <c r="BU130" s="46">
        <f t="shared" si="7"/>
        <v>202800</v>
      </c>
      <c r="BV130" s="47"/>
      <c r="BW130" s="47"/>
      <c r="BX130" s="47"/>
      <c r="BY130" s="48"/>
    </row>
    <row r="131" spans="1:77" s="4" customFormat="1" ht="25.5" customHeight="1" x14ac:dyDescent="0.2">
      <c r="A131" s="34">
        <v>24</v>
      </c>
      <c r="B131" s="35"/>
      <c r="C131" s="35"/>
      <c r="D131" s="28" t="s">
        <v>205</v>
      </c>
      <c r="E131" s="29"/>
      <c r="F131" s="29"/>
      <c r="G131" s="29"/>
      <c r="H131" s="29"/>
      <c r="I131" s="29"/>
      <c r="J131" s="29"/>
      <c r="K131" s="29"/>
      <c r="L131" s="29"/>
      <c r="M131" s="29"/>
      <c r="N131" s="29"/>
      <c r="O131" s="29"/>
      <c r="P131" s="29"/>
      <c r="Q131" s="29"/>
      <c r="R131" s="29"/>
      <c r="S131" s="29"/>
      <c r="T131" s="30"/>
      <c r="U131" s="46">
        <v>10000</v>
      </c>
      <c r="V131" s="47"/>
      <c r="W131" s="47"/>
      <c r="X131" s="47"/>
      <c r="Y131" s="48"/>
      <c r="Z131" s="46">
        <v>0</v>
      </c>
      <c r="AA131" s="47"/>
      <c r="AB131" s="47"/>
      <c r="AC131" s="47"/>
      <c r="AD131" s="48"/>
      <c r="AE131" s="46">
        <v>0</v>
      </c>
      <c r="AF131" s="47"/>
      <c r="AG131" s="47"/>
      <c r="AH131" s="48"/>
      <c r="AI131" s="46">
        <f t="shared" si="5"/>
        <v>10000</v>
      </c>
      <c r="AJ131" s="47"/>
      <c r="AK131" s="47"/>
      <c r="AL131" s="47"/>
      <c r="AM131" s="48"/>
      <c r="AN131" s="46">
        <v>10000</v>
      </c>
      <c r="AO131" s="47"/>
      <c r="AP131" s="47"/>
      <c r="AQ131" s="47"/>
      <c r="AR131" s="48"/>
      <c r="AS131" s="46">
        <v>0</v>
      </c>
      <c r="AT131" s="47"/>
      <c r="AU131" s="47"/>
      <c r="AV131" s="47"/>
      <c r="AW131" s="48"/>
      <c r="AX131" s="46">
        <v>0</v>
      </c>
      <c r="AY131" s="47"/>
      <c r="AZ131" s="47"/>
      <c r="BA131" s="48"/>
      <c r="BB131" s="46">
        <f t="shared" si="6"/>
        <v>10000</v>
      </c>
      <c r="BC131" s="47"/>
      <c r="BD131" s="47"/>
      <c r="BE131" s="47"/>
      <c r="BF131" s="48"/>
      <c r="BG131" s="46">
        <v>12000</v>
      </c>
      <c r="BH131" s="47"/>
      <c r="BI131" s="47"/>
      <c r="BJ131" s="47"/>
      <c r="BK131" s="48"/>
      <c r="BL131" s="46">
        <v>0</v>
      </c>
      <c r="BM131" s="47"/>
      <c r="BN131" s="47"/>
      <c r="BO131" s="47"/>
      <c r="BP131" s="48"/>
      <c r="BQ131" s="46">
        <v>0</v>
      </c>
      <c r="BR131" s="47"/>
      <c r="BS131" s="47"/>
      <c r="BT131" s="48"/>
      <c r="BU131" s="46">
        <f t="shared" si="7"/>
        <v>12000</v>
      </c>
      <c r="BV131" s="47"/>
      <c r="BW131" s="47"/>
      <c r="BX131" s="47"/>
      <c r="BY131" s="48"/>
    </row>
    <row r="132" spans="1:77" s="4" customFormat="1" ht="12.75" customHeight="1" x14ac:dyDescent="0.2">
      <c r="A132" s="34">
        <v>25</v>
      </c>
      <c r="B132" s="35"/>
      <c r="C132" s="35"/>
      <c r="D132" s="28" t="s">
        <v>206</v>
      </c>
      <c r="E132" s="29"/>
      <c r="F132" s="29"/>
      <c r="G132" s="29"/>
      <c r="H132" s="29"/>
      <c r="I132" s="29"/>
      <c r="J132" s="29"/>
      <c r="K132" s="29"/>
      <c r="L132" s="29"/>
      <c r="M132" s="29"/>
      <c r="N132" s="29"/>
      <c r="O132" s="29"/>
      <c r="P132" s="29"/>
      <c r="Q132" s="29"/>
      <c r="R132" s="29"/>
      <c r="S132" s="29"/>
      <c r="T132" s="30"/>
      <c r="U132" s="46">
        <v>0</v>
      </c>
      <c r="V132" s="47"/>
      <c r="W132" s="47"/>
      <c r="X132" s="47"/>
      <c r="Y132" s="48"/>
      <c r="Z132" s="46">
        <v>0</v>
      </c>
      <c r="AA132" s="47"/>
      <c r="AB132" s="47"/>
      <c r="AC132" s="47"/>
      <c r="AD132" s="48"/>
      <c r="AE132" s="46">
        <v>0</v>
      </c>
      <c r="AF132" s="47"/>
      <c r="AG132" s="47"/>
      <c r="AH132" s="48"/>
      <c r="AI132" s="46">
        <f t="shared" si="5"/>
        <v>0</v>
      </c>
      <c r="AJ132" s="47"/>
      <c r="AK132" s="47"/>
      <c r="AL132" s="47"/>
      <c r="AM132" s="48"/>
      <c r="AN132" s="46">
        <v>10000</v>
      </c>
      <c r="AO132" s="47"/>
      <c r="AP132" s="47"/>
      <c r="AQ132" s="47"/>
      <c r="AR132" s="48"/>
      <c r="AS132" s="46">
        <v>0</v>
      </c>
      <c r="AT132" s="47"/>
      <c r="AU132" s="47"/>
      <c r="AV132" s="47"/>
      <c r="AW132" s="48"/>
      <c r="AX132" s="46">
        <v>0</v>
      </c>
      <c r="AY132" s="47"/>
      <c r="AZ132" s="47"/>
      <c r="BA132" s="48"/>
      <c r="BB132" s="46">
        <f t="shared" si="6"/>
        <v>10000</v>
      </c>
      <c r="BC132" s="47"/>
      <c r="BD132" s="47"/>
      <c r="BE132" s="47"/>
      <c r="BF132" s="48"/>
      <c r="BG132" s="46">
        <v>10000</v>
      </c>
      <c r="BH132" s="47"/>
      <c r="BI132" s="47"/>
      <c r="BJ132" s="47"/>
      <c r="BK132" s="48"/>
      <c r="BL132" s="46">
        <v>0</v>
      </c>
      <c r="BM132" s="47"/>
      <c r="BN132" s="47"/>
      <c r="BO132" s="47"/>
      <c r="BP132" s="48"/>
      <c r="BQ132" s="46">
        <v>0</v>
      </c>
      <c r="BR132" s="47"/>
      <c r="BS132" s="47"/>
      <c r="BT132" s="48"/>
      <c r="BU132" s="46">
        <f t="shared" si="7"/>
        <v>10000</v>
      </c>
      <c r="BV132" s="47"/>
      <c r="BW132" s="47"/>
      <c r="BX132" s="47"/>
      <c r="BY132" s="48"/>
    </row>
    <row r="133" spans="1:77" s="4" customFormat="1" ht="12.75" customHeight="1" x14ac:dyDescent="0.2">
      <c r="A133" s="34">
        <v>26</v>
      </c>
      <c r="B133" s="35"/>
      <c r="C133" s="35"/>
      <c r="D133" s="28" t="s">
        <v>207</v>
      </c>
      <c r="E133" s="29"/>
      <c r="F133" s="29"/>
      <c r="G133" s="29"/>
      <c r="H133" s="29"/>
      <c r="I133" s="29"/>
      <c r="J133" s="29"/>
      <c r="K133" s="29"/>
      <c r="L133" s="29"/>
      <c r="M133" s="29"/>
      <c r="N133" s="29"/>
      <c r="O133" s="29"/>
      <c r="P133" s="29"/>
      <c r="Q133" s="29"/>
      <c r="R133" s="29"/>
      <c r="S133" s="29"/>
      <c r="T133" s="30"/>
      <c r="U133" s="46">
        <v>34380</v>
      </c>
      <c r="V133" s="47"/>
      <c r="W133" s="47"/>
      <c r="X133" s="47"/>
      <c r="Y133" s="48"/>
      <c r="Z133" s="46">
        <v>0</v>
      </c>
      <c r="AA133" s="47"/>
      <c r="AB133" s="47"/>
      <c r="AC133" s="47"/>
      <c r="AD133" s="48"/>
      <c r="AE133" s="46">
        <v>0</v>
      </c>
      <c r="AF133" s="47"/>
      <c r="AG133" s="47"/>
      <c r="AH133" s="48"/>
      <c r="AI133" s="46">
        <f t="shared" si="5"/>
        <v>34380</v>
      </c>
      <c r="AJ133" s="47"/>
      <c r="AK133" s="47"/>
      <c r="AL133" s="47"/>
      <c r="AM133" s="48"/>
      <c r="AN133" s="46">
        <v>34380</v>
      </c>
      <c r="AO133" s="47"/>
      <c r="AP133" s="47"/>
      <c r="AQ133" s="47"/>
      <c r="AR133" s="48"/>
      <c r="AS133" s="46">
        <v>0</v>
      </c>
      <c r="AT133" s="47"/>
      <c r="AU133" s="47"/>
      <c r="AV133" s="47"/>
      <c r="AW133" s="48"/>
      <c r="AX133" s="46">
        <v>0</v>
      </c>
      <c r="AY133" s="47"/>
      <c r="AZ133" s="47"/>
      <c r="BA133" s="48"/>
      <c r="BB133" s="46">
        <f t="shared" si="6"/>
        <v>34380</v>
      </c>
      <c r="BC133" s="47"/>
      <c r="BD133" s="47"/>
      <c r="BE133" s="47"/>
      <c r="BF133" s="48"/>
      <c r="BG133" s="46">
        <v>80000</v>
      </c>
      <c r="BH133" s="47"/>
      <c r="BI133" s="47"/>
      <c r="BJ133" s="47"/>
      <c r="BK133" s="48"/>
      <c r="BL133" s="46">
        <v>0</v>
      </c>
      <c r="BM133" s="47"/>
      <c r="BN133" s="47"/>
      <c r="BO133" s="47"/>
      <c r="BP133" s="48"/>
      <c r="BQ133" s="46">
        <v>0</v>
      </c>
      <c r="BR133" s="47"/>
      <c r="BS133" s="47"/>
      <c r="BT133" s="48"/>
      <c r="BU133" s="46">
        <f t="shared" si="7"/>
        <v>80000</v>
      </c>
      <c r="BV133" s="47"/>
      <c r="BW133" s="47"/>
      <c r="BX133" s="47"/>
      <c r="BY133" s="48"/>
    </row>
    <row r="134" spans="1:77" s="4" customFormat="1" ht="12.75" customHeight="1" x14ac:dyDescent="0.2">
      <c r="A134" s="34">
        <v>27</v>
      </c>
      <c r="B134" s="35"/>
      <c r="C134" s="35"/>
      <c r="D134" s="28" t="s">
        <v>208</v>
      </c>
      <c r="E134" s="29"/>
      <c r="F134" s="29"/>
      <c r="G134" s="29"/>
      <c r="H134" s="29"/>
      <c r="I134" s="29"/>
      <c r="J134" s="29"/>
      <c r="K134" s="29"/>
      <c r="L134" s="29"/>
      <c r="M134" s="29"/>
      <c r="N134" s="29"/>
      <c r="O134" s="29"/>
      <c r="P134" s="29"/>
      <c r="Q134" s="29"/>
      <c r="R134" s="29"/>
      <c r="S134" s="29"/>
      <c r="T134" s="30"/>
      <c r="U134" s="46">
        <v>78540</v>
      </c>
      <c r="V134" s="47"/>
      <c r="W134" s="47"/>
      <c r="X134" s="47"/>
      <c r="Y134" s="48"/>
      <c r="Z134" s="46">
        <v>0</v>
      </c>
      <c r="AA134" s="47"/>
      <c r="AB134" s="47"/>
      <c r="AC134" s="47"/>
      <c r="AD134" s="48"/>
      <c r="AE134" s="46">
        <v>0</v>
      </c>
      <c r="AF134" s="47"/>
      <c r="AG134" s="47"/>
      <c r="AH134" s="48"/>
      <c r="AI134" s="46">
        <f t="shared" si="5"/>
        <v>78540</v>
      </c>
      <c r="AJ134" s="47"/>
      <c r="AK134" s="47"/>
      <c r="AL134" s="47"/>
      <c r="AM134" s="48"/>
      <c r="AN134" s="46">
        <v>71000</v>
      </c>
      <c r="AO134" s="47"/>
      <c r="AP134" s="47"/>
      <c r="AQ134" s="47"/>
      <c r="AR134" s="48"/>
      <c r="AS134" s="46">
        <v>0</v>
      </c>
      <c r="AT134" s="47"/>
      <c r="AU134" s="47"/>
      <c r="AV134" s="47"/>
      <c r="AW134" s="48"/>
      <c r="AX134" s="46">
        <v>0</v>
      </c>
      <c r="AY134" s="47"/>
      <c r="AZ134" s="47"/>
      <c r="BA134" s="48"/>
      <c r="BB134" s="46">
        <f t="shared" si="6"/>
        <v>71000</v>
      </c>
      <c r="BC134" s="47"/>
      <c r="BD134" s="47"/>
      <c r="BE134" s="47"/>
      <c r="BF134" s="48"/>
      <c r="BG134" s="46">
        <v>190815</v>
      </c>
      <c r="BH134" s="47"/>
      <c r="BI134" s="47"/>
      <c r="BJ134" s="47"/>
      <c r="BK134" s="48"/>
      <c r="BL134" s="46">
        <v>0</v>
      </c>
      <c r="BM134" s="47"/>
      <c r="BN134" s="47"/>
      <c r="BO134" s="47"/>
      <c r="BP134" s="48"/>
      <c r="BQ134" s="46">
        <v>0</v>
      </c>
      <c r="BR134" s="47"/>
      <c r="BS134" s="47"/>
      <c r="BT134" s="48"/>
      <c r="BU134" s="46">
        <f t="shared" si="7"/>
        <v>190815</v>
      </c>
      <c r="BV134" s="47"/>
      <c r="BW134" s="47"/>
      <c r="BX134" s="47"/>
      <c r="BY134" s="48"/>
    </row>
    <row r="135" spans="1:77" s="4" customFormat="1" ht="51" customHeight="1" x14ac:dyDescent="0.2">
      <c r="A135" s="34">
        <v>28</v>
      </c>
      <c r="B135" s="35"/>
      <c r="C135" s="35"/>
      <c r="D135" s="28" t="s">
        <v>209</v>
      </c>
      <c r="E135" s="29"/>
      <c r="F135" s="29"/>
      <c r="G135" s="29"/>
      <c r="H135" s="29"/>
      <c r="I135" s="29"/>
      <c r="J135" s="29"/>
      <c r="K135" s="29"/>
      <c r="L135" s="29"/>
      <c r="M135" s="29"/>
      <c r="N135" s="29"/>
      <c r="O135" s="29"/>
      <c r="P135" s="29"/>
      <c r="Q135" s="29"/>
      <c r="R135" s="29"/>
      <c r="S135" s="29"/>
      <c r="T135" s="30"/>
      <c r="U135" s="46">
        <v>65500</v>
      </c>
      <c r="V135" s="47"/>
      <c r="W135" s="47"/>
      <c r="X135" s="47"/>
      <c r="Y135" s="48"/>
      <c r="Z135" s="46">
        <v>0</v>
      </c>
      <c r="AA135" s="47"/>
      <c r="AB135" s="47"/>
      <c r="AC135" s="47"/>
      <c r="AD135" s="48"/>
      <c r="AE135" s="46">
        <v>0</v>
      </c>
      <c r="AF135" s="47"/>
      <c r="AG135" s="47"/>
      <c r="AH135" s="48"/>
      <c r="AI135" s="46">
        <f t="shared" si="5"/>
        <v>65500</v>
      </c>
      <c r="AJ135" s="47"/>
      <c r="AK135" s="47"/>
      <c r="AL135" s="47"/>
      <c r="AM135" s="48"/>
      <c r="AN135" s="46">
        <v>0</v>
      </c>
      <c r="AO135" s="47"/>
      <c r="AP135" s="47"/>
      <c r="AQ135" s="47"/>
      <c r="AR135" s="48"/>
      <c r="AS135" s="46">
        <v>0</v>
      </c>
      <c r="AT135" s="47"/>
      <c r="AU135" s="47"/>
      <c r="AV135" s="47"/>
      <c r="AW135" s="48"/>
      <c r="AX135" s="46">
        <v>0</v>
      </c>
      <c r="AY135" s="47"/>
      <c r="AZ135" s="47"/>
      <c r="BA135" s="48"/>
      <c r="BB135" s="46">
        <f t="shared" si="6"/>
        <v>0</v>
      </c>
      <c r="BC135" s="47"/>
      <c r="BD135" s="47"/>
      <c r="BE135" s="47"/>
      <c r="BF135" s="48"/>
      <c r="BG135" s="46">
        <v>0</v>
      </c>
      <c r="BH135" s="47"/>
      <c r="BI135" s="47"/>
      <c r="BJ135" s="47"/>
      <c r="BK135" s="48"/>
      <c r="BL135" s="46">
        <v>0</v>
      </c>
      <c r="BM135" s="47"/>
      <c r="BN135" s="47"/>
      <c r="BO135" s="47"/>
      <c r="BP135" s="48"/>
      <c r="BQ135" s="46">
        <v>0</v>
      </c>
      <c r="BR135" s="47"/>
      <c r="BS135" s="47"/>
      <c r="BT135" s="48"/>
      <c r="BU135" s="46">
        <f t="shared" si="7"/>
        <v>0</v>
      </c>
      <c r="BV135" s="47"/>
      <c r="BW135" s="47"/>
      <c r="BX135" s="47"/>
      <c r="BY135" s="48"/>
    </row>
    <row r="136" spans="1:77" s="4" customFormat="1" ht="25.5" customHeight="1" x14ac:dyDescent="0.2">
      <c r="A136" s="34">
        <v>29</v>
      </c>
      <c r="B136" s="35"/>
      <c r="C136" s="35"/>
      <c r="D136" s="28" t="s">
        <v>210</v>
      </c>
      <c r="E136" s="29"/>
      <c r="F136" s="29"/>
      <c r="G136" s="29"/>
      <c r="H136" s="29"/>
      <c r="I136" s="29"/>
      <c r="J136" s="29"/>
      <c r="K136" s="29"/>
      <c r="L136" s="29"/>
      <c r="M136" s="29"/>
      <c r="N136" s="29"/>
      <c r="O136" s="29"/>
      <c r="P136" s="29"/>
      <c r="Q136" s="29"/>
      <c r="R136" s="29"/>
      <c r="S136" s="29"/>
      <c r="T136" s="30"/>
      <c r="U136" s="46">
        <v>0</v>
      </c>
      <c r="V136" s="47"/>
      <c r="W136" s="47"/>
      <c r="X136" s="47"/>
      <c r="Y136" s="48"/>
      <c r="Z136" s="46">
        <v>0</v>
      </c>
      <c r="AA136" s="47"/>
      <c r="AB136" s="47"/>
      <c r="AC136" s="47"/>
      <c r="AD136" s="48"/>
      <c r="AE136" s="46">
        <v>0</v>
      </c>
      <c r="AF136" s="47"/>
      <c r="AG136" s="47"/>
      <c r="AH136" s="48"/>
      <c r="AI136" s="46">
        <f t="shared" si="5"/>
        <v>0</v>
      </c>
      <c r="AJ136" s="47"/>
      <c r="AK136" s="47"/>
      <c r="AL136" s="47"/>
      <c r="AM136" s="48"/>
      <c r="AN136" s="46">
        <v>500</v>
      </c>
      <c r="AO136" s="47"/>
      <c r="AP136" s="47"/>
      <c r="AQ136" s="47"/>
      <c r="AR136" s="48"/>
      <c r="AS136" s="46">
        <v>0</v>
      </c>
      <c r="AT136" s="47"/>
      <c r="AU136" s="47"/>
      <c r="AV136" s="47"/>
      <c r="AW136" s="48"/>
      <c r="AX136" s="46">
        <v>0</v>
      </c>
      <c r="AY136" s="47"/>
      <c r="AZ136" s="47"/>
      <c r="BA136" s="48"/>
      <c r="BB136" s="46">
        <f t="shared" si="6"/>
        <v>500</v>
      </c>
      <c r="BC136" s="47"/>
      <c r="BD136" s="47"/>
      <c r="BE136" s="47"/>
      <c r="BF136" s="48"/>
      <c r="BG136" s="46">
        <v>600</v>
      </c>
      <c r="BH136" s="47"/>
      <c r="BI136" s="47"/>
      <c r="BJ136" s="47"/>
      <c r="BK136" s="48"/>
      <c r="BL136" s="46">
        <v>0</v>
      </c>
      <c r="BM136" s="47"/>
      <c r="BN136" s="47"/>
      <c r="BO136" s="47"/>
      <c r="BP136" s="48"/>
      <c r="BQ136" s="46">
        <v>0</v>
      </c>
      <c r="BR136" s="47"/>
      <c r="BS136" s="47"/>
      <c r="BT136" s="48"/>
      <c r="BU136" s="46">
        <f t="shared" si="7"/>
        <v>600</v>
      </c>
      <c r="BV136" s="47"/>
      <c r="BW136" s="47"/>
      <c r="BX136" s="47"/>
      <c r="BY136" s="48"/>
    </row>
    <row r="137" spans="1:77" s="4" customFormat="1" ht="12.75" customHeight="1" x14ac:dyDescent="0.2">
      <c r="A137" s="34">
        <v>30</v>
      </c>
      <c r="B137" s="35"/>
      <c r="C137" s="35"/>
      <c r="D137" s="28" t="s">
        <v>211</v>
      </c>
      <c r="E137" s="29"/>
      <c r="F137" s="29"/>
      <c r="G137" s="29"/>
      <c r="H137" s="29"/>
      <c r="I137" s="29"/>
      <c r="J137" s="29"/>
      <c r="K137" s="29"/>
      <c r="L137" s="29"/>
      <c r="M137" s="29"/>
      <c r="N137" s="29"/>
      <c r="O137" s="29"/>
      <c r="P137" s="29"/>
      <c r="Q137" s="29"/>
      <c r="R137" s="29"/>
      <c r="S137" s="29"/>
      <c r="T137" s="30"/>
      <c r="U137" s="46">
        <v>8614</v>
      </c>
      <c r="V137" s="47"/>
      <c r="W137" s="47"/>
      <c r="X137" s="47"/>
      <c r="Y137" s="48"/>
      <c r="Z137" s="46">
        <v>0</v>
      </c>
      <c r="AA137" s="47"/>
      <c r="AB137" s="47"/>
      <c r="AC137" s="47"/>
      <c r="AD137" s="48"/>
      <c r="AE137" s="46">
        <v>0</v>
      </c>
      <c r="AF137" s="47"/>
      <c r="AG137" s="47"/>
      <c r="AH137" s="48"/>
      <c r="AI137" s="46">
        <f t="shared" si="5"/>
        <v>8614</v>
      </c>
      <c r="AJ137" s="47"/>
      <c r="AK137" s="47"/>
      <c r="AL137" s="47"/>
      <c r="AM137" s="48"/>
      <c r="AN137" s="46">
        <v>0</v>
      </c>
      <c r="AO137" s="47"/>
      <c r="AP137" s="47"/>
      <c r="AQ137" s="47"/>
      <c r="AR137" s="48"/>
      <c r="AS137" s="46">
        <v>0</v>
      </c>
      <c r="AT137" s="47"/>
      <c r="AU137" s="47"/>
      <c r="AV137" s="47"/>
      <c r="AW137" s="48"/>
      <c r="AX137" s="46">
        <v>0</v>
      </c>
      <c r="AY137" s="47"/>
      <c r="AZ137" s="47"/>
      <c r="BA137" s="48"/>
      <c r="BB137" s="46">
        <f t="shared" si="6"/>
        <v>0</v>
      </c>
      <c r="BC137" s="47"/>
      <c r="BD137" s="47"/>
      <c r="BE137" s="47"/>
      <c r="BF137" s="48"/>
      <c r="BG137" s="46">
        <v>0</v>
      </c>
      <c r="BH137" s="47"/>
      <c r="BI137" s="47"/>
      <c r="BJ137" s="47"/>
      <c r="BK137" s="48"/>
      <c r="BL137" s="46">
        <v>0</v>
      </c>
      <c r="BM137" s="47"/>
      <c r="BN137" s="47"/>
      <c r="BO137" s="47"/>
      <c r="BP137" s="48"/>
      <c r="BQ137" s="46">
        <v>0</v>
      </c>
      <c r="BR137" s="47"/>
      <c r="BS137" s="47"/>
      <c r="BT137" s="48"/>
      <c r="BU137" s="46">
        <f t="shared" si="7"/>
        <v>0</v>
      </c>
      <c r="BV137" s="47"/>
      <c r="BW137" s="47"/>
      <c r="BX137" s="47"/>
      <c r="BY137" s="48"/>
    </row>
    <row r="138" spans="1:77" s="4" customFormat="1" ht="12.75" customHeight="1" x14ac:dyDescent="0.2">
      <c r="A138" s="34">
        <v>31</v>
      </c>
      <c r="B138" s="35"/>
      <c r="C138" s="35"/>
      <c r="D138" s="28" t="s">
        <v>212</v>
      </c>
      <c r="E138" s="29"/>
      <c r="F138" s="29"/>
      <c r="G138" s="29"/>
      <c r="H138" s="29"/>
      <c r="I138" s="29"/>
      <c r="J138" s="29"/>
      <c r="K138" s="29"/>
      <c r="L138" s="29"/>
      <c r="M138" s="29"/>
      <c r="N138" s="29"/>
      <c r="O138" s="29"/>
      <c r="P138" s="29"/>
      <c r="Q138" s="29"/>
      <c r="R138" s="29"/>
      <c r="S138" s="29"/>
      <c r="T138" s="30"/>
      <c r="U138" s="46">
        <v>0</v>
      </c>
      <c r="V138" s="47"/>
      <c r="W138" s="47"/>
      <c r="X138" s="47"/>
      <c r="Y138" s="48"/>
      <c r="Z138" s="46">
        <v>0</v>
      </c>
      <c r="AA138" s="47"/>
      <c r="AB138" s="47"/>
      <c r="AC138" s="47"/>
      <c r="AD138" s="48"/>
      <c r="AE138" s="46">
        <v>0</v>
      </c>
      <c r="AF138" s="47"/>
      <c r="AG138" s="47"/>
      <c r="AH138" s="48"/>
      <c r="AI138" s="46">
        <f t="shared" si="5"/>
        <v>0</v>
      </c>
      <c r="AJ138" s="47"/>
      <c r="AK138" s="47"/>
      <c r="AL138" s="47"/>
      <c r="AM138" s="48"/>
      <c r="AN138" s="46">
        <v>40000</v>
      </c>
      <c r="AO138" s="47"/>
      <c r="AP138" s="47"/>
      <c r="AQ138" s="47"/>
      <c r="AR138" s="48"/>
      <c r="AS138" s="46">
        <v>0</v>
      </c>
      <c r="AT138" s="47"/>
      <c r="AU138" s="47"/>
      <c r="AV138" s="47"/>
      <c r="AW138" s="48"/>
      <c r="AX138" s="46">
        <v>0</v>
      </c>
      <c r="AY138" s="47"/>
      <c r="AZ138" s="47"/>
      <c r="BA138" s="48"/>
      <c r="BB138" s="46">
        <f t="shared" si="6"/>
        <v>40000</v>
      </c>
      <c r="BC138" s="47"/>
      <c r="BD138" s="47"/>
      <c r="BE138" s="47"/>
      <c r="BF138" s="48"/>
      <c r="BG138" s="46">
        <v>60000</v>
      </c>
      <c r="BH138" s="47"/>
      <c r="BI138" s="47"/>
      <c r="BJ138" s="47"/>
      <c r="BK138" s="48"/>
      <c r="BL138" s="46">
        <v>0</v>
      </c>
      <c r="BM138" s="47"/>
      <c r="BN138" s="47"/>
      <c r="BO138" s="47"/>
      <c r="BP138" s="48"/>
      <c r="BQ138" s="46">
        <v>0</v>
      </c>
      <c r="BR138" s="47"/>
      <c r="BS138" s="47"/>
      <c r="BT138" s="48"/>
      <c r="BU138" s="46">
        <f t="shared" si="7"/>
        <v>60000</v>
      </c>
      <c r="BV138" s="47"/>
      <c r="BW138" s="47"/>
      <c r="BX138" s="47"/>
      <c r="BY138" s="48"/>
    </row>
    <row r="139" spans="1:77" s="4" customFormat="1" ht="12.75" customHeight="1" x14ac:dyDescent="0.2">
      <c r="A139" s="34">
        <v>32</v>
      </c>
      <c r="B139" s="35"/>
      <c r="C139" s="35"/>
      <c r="D139" s="28" t="s">
        <v>213</v>
      </c>
      <c r="E139" s="29"/>
      <c r="F139" s="29"/>
      <c r="G139" s="29"/>
      <c r="H139" s="29"/>
      <c r="I139" s="29"/>
      <c r="J139" s="29"/>
      <c r="K139" s="29"/>
      <c r="L139" s="29"/>
      <c r="M139" s="29"/>
      <c r="N139" s="29"/>
      <c r="O139" s="29"/>
      <c r="P139" s="29"/>
      <c r="Q139" s="29"/>
      <c r="R139" s="29"/>
      <c r="S139" s="29"/>
      <c r="T139" s="30"/>
      <c r="U139" s="46">
        <v>31323</v>
      </c>
      <c r="V139" s="47"/>
      <c r="W139" s="47"/>
      <c r="X139" s="47"/>
      <c r="Y139" s="48"/>
      <c r="Z139" s="46">
        <v>0</v>
      </c>
      <c r="AA139" s="47"/>
      <c r="AB139" s="47"/>
      <c r="AC139" s="47"/>
      <c r="AD139" s="48"/>
      <c r="AE139" s="46">
        <v>0</v>
      </c>
      <c r="AF139" s="47"/>
      <c r="AG139" s="47"/>
      <c r="AH139" s="48"/>
      <c r="AI139" s="46">
        <f t="shared" si="5"/>
        <v>31323</v>
      </c>
      <c r="AJ139" s="47"/>
      <c r="AK139" s="47"/>
      <c r="AL139" s="47"/>
      <c r="AM139" s="48"/>
      <c r="AN139" s="46">
        <v>49900</v>
      </c>
      <c r="AO139" s="47"/>
      <c r="AP139" s="47"/>
      <c r="AQ139" s="47"/>
      <c r="AR139" s="48"/>
      <c r="AS139" s="46">
        <v>0</v>
      </c>
      <c r="AT139" s="47"/>
      <c r="AU139" s="47"/>
      <c r="AV139" s="47"/>
      <c r="AW139" s="48"/>
      <c r="AX139" s="46">
        <v>0</v>
      </c>
      <c r="AY139" s="47"/>
      <c r="AZ139" s="47"/>
      <c r="BA139" s="48"/>
      <c r="BB139" s="46">
        <f t="shared" si="6"/>
        <v>49900</v>
      </c>
      <c r="BC139" s="47"/>
      <c r="BD139" s="47"/>
      <c r="BE139" s="47"/>
      <c r="BF139" s="48"/>
      <c r="BG139" s="46">
        <v>49900</v>
      </c>
      <c r="BH139" s="47"/>
      <c r="BI139" s="47"/>
      <c r="BJ139" s="47"/>
      <c r="BK139" s="48"/>
      <c r="BL139" s="46">
        <v>0</v>
      </c>
      <c r="BM139" s="47"/>
      <c r="BN139" s="47"/>
      <c r="BO139" s="47"/>
      <c r="BP139" s="48"/>
      <c r="BQ139" s="46">
        <v>0</v>
      </c>
      <c r="BR139" s="47"/>
      <c r="BS139" s="47"/>
      <c r="BT139" s="48"/>
      <c r="BU139" s="46">
        <f t="shared" si="7"/>
        <v>49900</v>
      </c>
      <c r="BV139" s="47"/>
      <c r="BW139" s="47"/>
      <c r="BX139" s="47"/>
      <c r="BY139" s="48"/>
    </row>
    <row r="140" spans="1:77" s="4" customFormat="1" ht="25.5" customHeight="1" x14ac:dyDescent="0.2">
      <c r="A140" s="34">
        <v>33</v>
      </c>
      <c r="B140" s="35"/>
      <c r="C140" s="35"/>
      <c r="D140" s="28" t="s">
        <v>214</v>
      </c>
      <c r="E140" s="29"/>
      <c r="F140" s="29"/>
      <c r="G140" s="29"/>
      <c r="H140" s="29"/>
      <c r="I140" s="29"/>
      <c r="J140" s="29"/>
      <c r="K140" s="29"/>
      <c r="L140" s="29"/>
      <c r="M140" s="29"/>
      <c r="N140" s="29"/>
      <c r="O140" s="29"/>
      <c r="P140" s="29"/>
      <c r="Q140" s="29"/>
      <c r="R140" s="29"/>
      <c r="S140" s="29"/>
      <c r="T140" s="30"/>
      <c r="U140" s="46">
        <v>3600</v>
      </c>
      <c r="V140" s="47"/>
      <c r="W140" s="47"/>
      <c r="X140" s="47"/>
      <c r="Y140" s="48"/>
      <c r="Z140" s="46">
        <v>0</v>
      </c>
      <c r="AA140" s="47"/>
      <c r="AB140" s="47"/>
      <c r="AC140" s="47"/>
      <c r="AD140" s="48"/>
      <c r="AE140" s="46">
        <v>0</v>
      </c>
      <c r="AF140" s="47"/>
      <c r="AG140" s="47"/>
      <c r="AH140" s="48"/>
      <c r="AI140" s="46">
        <f t="shared" si="5"/>
        <v>3600</v>
      </c>
      <c r="AJ140" s="47"/>
      <c r="AK140" s="47"/>
      <c r="AL140" s="47"/>
      <c r="AM140" s="48"/>
      <c r="AN140" s="46">
        <v>0</v>
      </c>
      <c r="AO140" s="47"/>
      <c r="AP140" s="47"/>
      <c r="AQ140" s="47"/>
      <c r="AR140" s="48"/>
      <c r="AS140" s="46">
        <v>0</v>
      </c>
      <c r="AT140" s="47"/>
      <c r="AU140" s="47"/>
      <c r="AV140" s="47"/>
      <c r="AW140" s="48"/>
      <c r="AX140" s="46">
        <v>0</v>
      </c>
      <c r="AY140" s="47"/>
      <c r="AZ140" s="47"/>
      <c r="BA140" s="48"/>
      <c r="BB140" s="46">
        <f t="shared" si="6"/>
        <v>0</v>
      </c>
      <c r="BC140" s="47"/>
      <c r="BD140" s="47"/>
      <c r="BE140" s="47"/>
      <c r="BF140" s="48"/>
      <c r="BG140" s="46">
        <v>0</v>
      </c>
      <c r="BH140" s="47"/>
      <c r="BI140" s="47"/>
      <c r="BJ140" s="47"/>
      <c r="BK140" s="48"/>
      <c r="BL140" s="46">
        <v>0</v>
      </c>
      <c r="BM140" s="47"/>
      <c r="BN140" s="47"/>
      <c r="BO140" s="47"/>
      <c r="BP140" s="48"/>
      <c r="BQ140" s="46">
        <v>0</v>
      </c>
      <c r="BR140" s="47"/>
      <c r="BS140" s="47"/>
      <c r="BT140" s="48"/>
      <c r="BU140" s="46">
        <f t="shared" si="7"/>
        <v>0</v>
      </c>
      <c r="BV140" s="47"/>
      <c r="BW140" s="47"/>
      <c r="BX140" s="47"/>
      <c r="BY140" s="48"/>
    </row>
    <row r="141" spans="1:77" s="4" customFormat="1" ht="12.75" customHeight="1" x14ac:dyDescent="0.2">
      <c r="A141" s="34">
        <v>34</v>
      </c>
      <c r="B141" s="35"/>
      <c r="C141" s="35"/>
      <c r="D141" s="28" t="s">
        <v>215</v>
      </c>
      <c r="E141" s="29"/>
      <c r="F141" s="29"/>
      <c r="G141" s="29"/>
      <c r="H141" s="29"/>
      <c r="I141" s="29"/>
      <c r="J141" s="29"/>
      <c r="K141" s="29"/>
      <c r="L141" s="29"/>
      <c r="M141" s="29"/>
      <c r="N141" s="29"/>
      <c r="O141" s="29"/>
      <c r="P141" s="29"/>
      <c r="Q141" s="29"/>
      <c r="R141" s="29"/>
      <c r="S141" s="29"/>
      <c r="T141" s="30"/>
      <c r="U141" s="46">
        <v>343200</v>
      </c>
      <c r="V141" s="47"/>
      <c r="W141" s="47"/>
      <c r="X141" s="47"/>
      <c r="Y141" s="48"/>
      <c r="Z141" s="46">
        <v>0</v>
      </c>
      <c r="AA141" s="47"/>
      <c r="AB141" s="47"/>
      <c r="AC141" s="47"/>
      <c r="AD141" s="48"/>
      <c r="AE141" s="46">
        <v>0</v>
      </c>
      <c r="AF141" s="47"/>
      <c r="AG141" s="47"/>
      <c r="AH141" s="48"/>
      <c r="AI141" s="46">
        <f t="shared" si="5"/>
        <v>343200</v>
      </c>
      <c r="AJ141" s="47"/>
      <c r="AK141" s="47"/>
      <c r="AL141" s="47"/>
      <c r="AM141" s="48"/>
      <c r="AN141" s="46">
        <v>480400</v>
      </c>
      <c r="AO141" s="47"/>
      <c r="AP141" s="47"/>
      <c r="AQ141" s="47"/>
      <c r="AR141" s="48"/>
      <c r="AS141" s="46">
        <v>0</v>
      </c>
      <c r="AT141" s="47"/>
      <c r="AU141" s="47"/>
      <c r="AV141" s="47"/>
      <c r="AW141" s="48"/>
      <c r="AX141" s="46">
        <v>0</v>
      </c>
      <c r="AY141" s="47"/>
      <c r="AZ141" s="47"/>
      <c r="BA141" s="48"/>
      <c r="BB141" s="46">
        <f t="shared" si="6"/>
        <v>480400</v>
      </c>
      <c r="BC141" s="47"/>
      <c r="BD141" s="47"/>
      <c r="BE141" s="47"/>
      <c r="BF141" s="48"/>
      <c r="BG141" s="46">
        <v>99550</v>
      </c>
      <c r="BH141" s="47"/>
      <c r="BI141" s="47"/>
      <c r="BJ141" s="47"/>
      <c r="BK141" s="48"/>
      <c r="BL141" s="46">
        <v>0</v>
      </c>
      <c r="BM141" s="47"/>
      <c r="BN141" s="47"/>
      <c r="BO141" s="47"/>
      <c r="BP141" s="48"/>
      <c r="BQ141" s="46">
        <v>0</v>
      </c>
      <c r="BR141" s="47"/>
      <c r="BS141" s="47"/>
      <c r="BT141" s="48"/>
      <c r="BU141" s="46">
        <f t="shared" si="7"/>
        <v>99550</v>
      </c>
      <c r="BV141" s="47"/>
      <c r="BW141" s="47"/>
      <c r="BX141" s="47"/>
      <c r="BY141" s="48"/>
    </row>
    <row r="142" spans="1:77" s="4" customFormat="1" ht="12.75" customHeight="1" x14ac:dyDescent="0.2">
      <c r="A142" s="34">
        <v>35</v>
      </c>
      <c r="B142" s="35"/>
      <c r="C142" s="35"/>
      <c r="D142" s="28" t="s">
        <v>216</v>
      </c>
      <c r="E142" s="29"/>
      <c r="F142" s="29"/>
      <c r="G142" s="29"/>
      <c r="H142" s="29"/>
      <c r="I142" s="29"/>
      <c r="J142" s="29"/>
      <c r="K142" s="29"/>
      <c r="L142" s="29"/>
      <c r="M142" s="29"/>
      <c r="N142" s="29"/>
      <c r="O142" s="29"/>
      <c r="P142" s="29"/>
      <c r="Q142" s="29"/>
      <c r="R142" s="29"/>
      <c r="S142" s="29"/>
      <c r="T142" s="30"/>
      <c r="U142" s="46">
        <v>38310</v>
      </c>
      <c r="V142" s="47"/>
      <c r="W142" s="47"/>
      <c r="X142" s="47"/>
      <c r="Y142" s="48"/>
      <c r="Z142" s="46">
        <v>0</v>
      </c>
      <c r="AA142" s="47"/>
      <c r="AB142" s="47"/>
      <c r="AC142" s="47"/>
      <c r="AD142" s="48"/>
      <c r="AE142" s="46">
        <v>0</v>
      </c>
      <c r="AF142" s="47"/>
      <c r="AG142" s="47"/>
      <c r="AH142" s="48"/>
      <c r="AI142" s="46">
        <f t="shared" si="5"/>
        <v>38310</v>
      </c>
      <c r="AJ142" s="47"/>
      <c r="AK142" s="47"/>
      <c r="AL142" s="47"/>
      <c r="AM142" s="48"/>
      <c r="AN142" s="46">
        <v>0</v>
      </c>
      <c r="AO142" s="47"/>
      <c r="AP142" s="47"/>
      <c r="AQ142" s="47"/>
      <c r="AR142" s="48"/>
      <c r="AS142" s="46">
        <v>0</v>
      </c>
      <c r="AT142" s="47"/>
      <c r="AU142" s="47"/>
      <c r="AV142" s="47"/>
      <c r="AW142" s="48"/>
      <c r="AX142" s="46">
        <v>0</v>
      </c>
      <c r="AY142" s="47"/>
      <c r="AZ142" s="47"/>
      <c r="BA142" s="48"/>
      <c r="BB142" s="46">
        <f t="shared" si="6"/>
        <v>0</v>
      </c>
      <c r="BC142" s="47"/>
      <c r="BD142" s="47"/>
      <c r="BE142" s="47"/>
      <c r="BF142" s="48"/>
      <c r="BG142" s="46">
        <v>0</v>
      </c>
      <c r="BH142" s="47"/>
      <c r="BI142" s="47"/>
      <c r="BJ142" s="47"/>
      <c r="BK142" s="48"/>
      <c r="BL142" s="46">
        <v>0</v>
      </c>
      <c r="BM142" s="47"/>
      <c r="BN142" s="47"/>
      <c r="BO142" s="47"/>
      <c r="BP142" s="48"/>
      <c r="BQ142" s="46">
        <v>0</v>
      </c>
      <c r="BR142" s="47"/>
      <c r="BS142" s="47"/>
      <c r="BT142" s="48"/>
      <c r="BU142" s="46">
        <f t="shared" si="7"/>
        <v>0</v>
      </c>
      <c r="BV142" s="47"/>
      <c r="BW142" s="47"/>
      <c r="BX142" s="47"/>
      <c r="BY142" s="48"/>
    </row>
    <row r="143" spans="1:77" s="4" customFormat="1" ht="12.75" customHeight="1" x14ac:dyDescent="0.2">
      <c r="A143" s="34">
        <v>36</v>
      </c>
      <c r="B143" s="35"/>
      <c r="C143" s="35"/>
      <c r="D143" s="28" t="s">
        <v>217</v>
      </c>
      <c r="E143" s="29"/>
      <c r="F143" s="29"/>
      <c r="G143" s="29"/>
      <c r="H143" s="29"/>
      <c r="I143" s="29"/>
      <c r="J143" s="29"/>
      <c r="K143" s="29"/>
      <c r="L143" s="29"/>
      <c r="M143" s="29"/>
      <c r="N143" s="29"/>
      <c r="O143" s="29"/>
      <c r="P143" s="29"/>
      <c r="Q143" s="29"/>
      <c r="R143" s="29"/>
      <c r="S143" s="29"/>
      <c r="T143" s="30"/>
      <c r="U143" s="46">
        <v>0</v>
      </c>
      <c r="V143" s="47"/>
      <c r="W143" s="47"/>
      <c r="X143" s="47"/>
      <c r="Y143" s="48"/>
      <c r="Z143" s="46">
        <v>0</v>
      </c>
      <c r="AA143" s="47"/>
      <c r="AB143" s="47"/>
      <c r="AC143" s="47"/>
      <c r="AD143" s="48"/>
      <c r="AE143" s="46">
        <v>0</v>
      </c>
      <c r="AF143" s="47"/>
      <c r="AG143" s="47"/>
      <c r="AH143" s="48"/>
      <c r="AI143" s="46">
        <f t="shared" si="5"/>
        <v>0</v>
      </c>
      <c r="AJ143" s="47"/>
      <c r="AK143" s="47"/>
      <c r="AL143" s="47"/>
      <c r="AM143" s="48"/>
      <c r="AN143" s="46">
        <v>2000</v>
      </c>
      <c r="AO143" s="47"/>
      <c r="AP143" s="47"/>
      <c r="AQ143" s="47"/>
      <c r="AR143" s="48"/>
      <c r="AS143" s="46">
        <v>0</v>
      </c>
      <c r="AT143" s="47"/>
      <c r="AU143" s="47"/>
      <c r="AV143" s="47"/>
      <c r="AW143" s="48"/>
      <c r="AX143" s="46">
        <v>0</v>
      </c>
      <c r="AY143" s="47"/>
      <c r="AZ143" s="47"/>
      <c r="BA143" s="48"/>
      <c r="BB143" s="46">
        <f t="shared" si="6"/>
        <v>2000</v>
      </c>
      <c r="BC143" s="47"/>
      <c r="BD143" s="47"/>
      <c r="BE143" s="47"/>
      <c r="BF143" s="48"/>
      <c r="BG143" s="46">
        <v>2000</v>
      </c>
      <c r="BH143" s="47"/>
      <c r="BI143" s="47"/>
      <c r="BJ143" s="47"/>
      <c r="BK143" s="48"/>
      <c r="BL143" s="46">
        <v>0</v>
      </c>
      <c r="BM143" s="47"/>
      <c r="BN143" s="47"/>
      <c r="BO143" s="47"/>
      <c r="BP143" s="48"/>
      <c r="BQ143" s="46">
        <v>0</v>
      </c>
      <c r="BR143" s="47"/>
      <c r="BS143" s="47"/>
      <c r="BT143" s="48"/>
      <c r="BU143" s="46">
        <f t="shared" si="7"/>
        <v>2000</v>
      </c>
      <c r="BV143" s="47"/>
      <c r="BW143" s="47"/>
      <c r="BX143" s="47"/>
      <c r="BY143" s="48"/>
    </row>
    <row r="144" spans="1:77" s="4" customFormat="1" ht="38.25" customHeight="1" x14ac:dyDescent="0.2">
      <c r="A144" s="34">
        <v>37</v>
      </c>
      <c r="B144" s="35"/>
      <c r="C144" s="35"/>
      <c r="D144" s="28" t="s">
        <v>218</v>
      </c>
      <c r="E144" s="29"/>
      <c r="F144" s="29"/>
      <c r="G144" s="29"/>
      <c r="H144" s="29"/>
      <c r="I144" s="29"/>
      <c r="J144" s="29"/>
      <c r="K144" s="29"/>
      <c r="L144" s="29"/>
      <c r="M144" s="29"/>
      <c r="N144" s="29"/>
      <c r="O144" s="29"/>
      <c r="P144" s="29"/>
      <c r="Q144" s="29"/>
      <c r="R144" s="29"/>
      <c r="S144" s="29"/>
      <c r="T144" s="30"/>
      <c r="U144" s="46">
        <v>0</v>
      </c>
      <c r="V144" s="47"/>
      <c r="W144" s="47"/>
      <c r="X144" s="47"/>
      <c r="Y144" s="48"/>
      <c r="Z144" s="46">
        <v>0</v>
      </c>
      <c r="AA144" s="47"/>
      <c r="AB144" s="47"/>
      <c r="AC144" s="47"/>
      <c r="AD144" s="48"/>
      <c r="AE144" s="46">
        <v>0</v>
      </c>
      <c r="AF144" s="47"/>
      <c r="AG144" s="47"/>
      <c r="AH144" s="48"/>
      <c r="AI144" s="46">
        <f t="shared" si="5"/>
        <v>0</v>
      </c>
      <c r="AJ144" s="47"/>
      <c r="AK144" s="47"/>
      <c r="AL144" s="47"/>
      <c r="AM144" s="48"/>
      <c r="AN144" s="46">
        <v>75000</v>
      </c>
      <c r="AO144" s="47"/>
      <c r="AP144" s="47"/>
      <c r="AQ144" s="47"/>
      <c r="AR144" s="48"/>
      <c r="AS144" s="46">
        <v>0</v>
      </c>
      <c r="AT144" s="47"/>
      <c r="AU144" s="47"/>
      <c r="AV144" s="47"/>
      <c r="AW144" s="48"/>
      <c r="AX144" s="46">
        <v>0</v>
      </c>
      <c r="AY144" s="47"/>
      <c r="AZ144" s="47"/>
      <c r="BA144" s="48"/>
      <c r="BB144" s="46">
        <f t="shared" si="6"/>
        <v>75000</v>
      </c>
      <c r="BC144" s="47"/>
      <c r="BD144" s="47"/>
      <c r="BE144" s="47"/>
      <c r="BF144" s="48"/>
      <c r="BG144" s="46">
        <v>0</v>
      </c>
      <c r="BH144" s="47"/>
      <c r="BI144" s="47"/>
      <c r="BJ144" s="47"/>
      <c r="BK144" s="48"/>
      <c r="BL144" s="46">
        <v>0</v>
      </c>
      <c r="BM144" s="47"/>
      <c r="BN144" s="47"/>
      <c r="BO144" s="47"/>
      <c r="BP144" s="48"/>
      <c r="BQ144" s="46">
        <v>0</v>
      </c>
      <c r="BR144" s="47"/>
      <c r="BS144" s="47"/>
      <c r="BT144" s="48"/>
      <c r="BU144" s="46">
        <f t="shared" si="7"/>
        <v>0</v>
      </c>
      <c r="BV144" s="47"/>
      <c r="BW144" s="47"/>
      <c r="BX144" s="47"/>
      <c r="BY144" s="48"/>
    </row>
    <row r="145" spans="1:79" s="4" customFormat="1" ht="12.75" customHeight="1" x14ac:dyDescent="0.2">
      <c r="A145" s="34">
        <v>38</v>
      </c>
      <c r="B145" s="35"/>
      <c r="C145" s="35"/>
      <c r="D145" s="28" t="s">
        <v>219</v>
      </c>
      <c r="E145" s="29"/>
      <c r="F145" s="29"/>
      <c r="G145" s="29"/>
      <c r="H145" s="29"/>
      <c r="I145" s="29"/>
      <c r="J145" s="29"/>
      <c r="K145" s="29"/>
      <c r="L145" s="29"/>
      <c r="M145" s="29"/>
      <c r="N145" s="29"/>
      <c r="O145" s="29"/>
      <c r="P145" s="29"/>
      <c r="Q145" s="29"/>
      <c r="R145" s="29"/>
      <c r="S145" s="29"/>
      <c r="T145" s="30"/>
      <c r="U145" s="46">
        <v>0</v>
      </c>
      <c r="V145" s="47"/>
      <c r="W145" s="47"/>
      <c r="X145" s="47"/>
      <c r="Y145" s="48"/>
      <c r="Z145" s="46">
        <v>0</v>
      </c>
      <c r="AA145" s="47"/>
      <c r="AB145" s="47"/>
      <c r="AC145" s="47"/>
      <c r="AD145" s="48"/>
      <c r="AE145" s="46">
        <v>0</v>
      </c>
      <c r="AF145" s="47"/>
      <c r="AG145" s="47"/>
      <c r="AH145" s="48"/>
      <c r="AI145" s="46">
        <f t="shared" si="5"/>
        <v>0</v>
      </c>
      <c r="AJ145" s="47"/>
      <c r="AK145" s="47"/>
      <c r="AL145" s="47"/>
      <c r="AM145" s="48"/>
      <c r="AN145" s="46">
        <v>0</v>
      </c>
      <c r="AO145" s="47"/>
      <c r="AP145" s="47"/>
      <c r="AQ145" s="47"/>
      <c r="AR145" s="48"/>
      <c r="AS145" s="46">
        <v>0</v>
      </c>
      <c r="AT145" s="47"/>
      <c r="AU145" s="47"/>
      <c r="AV145" s="47"/>
      <c r="AW145" s="48"/>
      <c r="AX145" s="46">
        <v>0</v>
      </c>
      <c r="AY145" s="47"/>
      <c r="AZ145" s="47"/>
      <c r="BA145" s="48"/>
      <c r="BB145" s="46">
        <f t="shared" si="6"/>
        <v>0</v>
      </c>
      <c r="BC145" s="47"/>
      <c r="BD145" s="47"/>
      <c r="BE145" s="47"/>
      <c r="BF145" s="48"/>
      <c r="BG145" s="46">
        <v>150000</v>
      </c>
      <c r="BH145" s="47"/>
      <c r="BI145" s="47"/>
      <c r="BJ145" s="47"/>
      <c r="BK145" s="48"/>
      <c r="BL145" s="46">
        <v>0</v>
      </c>
      <c r="BM145" s="47"/>
      <c r="BN145" s="47"/>
      <c r="BO145" s="47"/>
      <c r="BP145" s="48"/>
      <c r="BQ145" s="46">
        <v>0</v>
      </c>
      <c r="BR145" s="47"/>
      <c r="BS145" s="47"/>
      <c r="BT145" s="48"/>
      <c r="BU145" s="46">
        <f t="shared" si="7"/>
        <v>150000</v>
      </c>
      <c r="BV145" s="47"/>
      <c r="BW145" s="47"/>
      <c r="BX145" s="47"/>
      <c r="BY145" s="48"/>
    </row>
    <row r="146" spans="1:79" s="4" customFormat="1" ht="25.5" customHeight="1" x14ac:dyDescent="0.2">
      <c r="A146" s="34">
        <v>39</v>
      </c>
      <c r="B146" s="35"/>
      <c r="C146" s="35"/>
      <c r="D146" s="28" t="s">
        <v>220</v>
      </c>
      <c r="E146" s="29"/>
      <c r="F146" s="29"/>
      <c r="G146" s="29"/>
      <c r="H146" s="29"/>
      <c r="I146" s="29"/>
      <c r="J146" s="29"/>
      <c r="K146" s="29"/>
      <c r="L146" s="29"/>
      <c r="M146" s="29"/>
      <c r="N146" s="29"/>
      <c r="O146" s="29"/>
      <c r="P146" s="29"/>
      <c r="Q146" s="29"/>
      <c r="R146" s="29"/>
      <c r="S146" s="29"/>
      <c r="T146" s="30"/>
      <c r="U146" s="46">
        <v>0</v>
      </c>
      <c r="V146" s="47"/>
      <c r="W146" s="47"/>
      <c r="X146" s="47"/>
      <c r="Y146" s="48"/>
      <c r="Z146" s="46">
        <v>0</v>
      </c>
      <c r="AA146" s="47"/>
      <c r="AB146" s="47"/>
      <c r="AC146" s="47"/>
      <c r="AD146" s="48"/>
      <c r="AE146" s="46">
        <v>0</v>
      </c>
      <c r="AF146" s="47"/>
      <c r="AG146" s="47"/>
      <c r="AH146" s="48"/>
      <c r="AI146" s="46">
        <f t="shared" si="5"/>
        <v>0</v>
      </c>
      <c r="AJ146" s="47"/>
      <c r="AK146" s="47"/>
      <c r="AL146" s="47"/>
      <c r="AM146" s="48"/>
      <c r="AN146" s="46">
        <v>0</v>
      </c>
      <c r="AO146" s="47"/>
      <c r="AP146" s="47"/>
      <c r="AQ146" s="47"/>
      <c r="AR146" s="48"/>
      <c r="AS146" s="46">
        <v>0</v>
      </c>
      <c r="AT146" s="47"/>
      <c r="AU146" s="47"/>
      <c r="AV146" s="47"/>
      <c r="AW146" s="48"/>
      <c r="AX146" s="46">
        <v>0</v>
      </c>
      <c r="AY146" s="47"/>
      <c r="AZ146" s="47"/>
      <c r="BA146" s="48"/>
      <c r="BB146" s="46">
        <f t="shared" si="6"/>
        <v>0</v>
      </c>
      <c r="BC146" s="47"/>
      <c r="BD146" s="47"/>
      <c r="BE146" s="47"/>
      <c r="BF146" s="48"/>
      <c r="BG146" s="46">
        <v>30000</v>
      </c>
      <c r="BH146" s="47"/>
      <c r="BI146" s="47"/>
      <c r="BJ146" s="47"/>
      <c r="BK146" s="48"/>
      <c r="BL146" s="46">
        <v>0</v>
      </c>
      <c r="BM146" s="47"/>
      <c r="BN146" s="47"/>
      <c r="BO146" s="47"/>
      <c r="BP146" s="48"/>
      <c r="BQ146" s="46">
        <v>0</v>
      </c>
      <c r="BR146" s="47"/>
      <c r="BS146" s="47"/>
      <c r="BT146" s="48"/>
      <c r="BU146" s="46">
        <f t="shared" si="7"/>
        <v>30000</v>
      </c>
      <c r="BV146" s="47"/>
      <c r="BW146" s="47"/>
      <c r="BX146" s="47"/>
      <c r="BY146" s="48"/>
    </row>
    <row r="147" spans="1:79" s="5" customFormat="1" ht="12.75" customHeight="1" x14ac:dyDescent="0.2">
      <c r="A147" s="36"/>
      <c r="B147" s="37"/>
      <c r="C147" s="37"/>
      <c r="D147" s="22" t="s">
        <v>147</v>
      </c>
      <c r="E147" s="23"/>
      <c r="F147" s="23"/>
      <c r="G147" s="23"/>
      <c r="H147" s="23"/>
      <c r="I147" s="23"/>
      <c r="J147" s="23"/>
      <c r="K147" s="23"/>
      <c r="L147" s="23"/>
      <c r="M147" s="23"/>
      <c r="N147" s="23"/>
      <c r="O147" s="23"/>
      <c r="P147" s="23"/>
      <c r="Q147" s="23"/>
      <c r="R147" s="23"/>
      <c r="S147" s="23"/>
      <c r="T147" s="24"/>
      <c r="U147" s="42">
        <v>6246934</v>
      </c>
      <c r="V147" s="43"/>
      <c r="W147" s="43"/>
      <c r="X147" s="43"/>
      <c r="Y147" s="44"/>
      <c r="Z147" s="42">
        <v>0</v>
      </c>
      <c r="AA147" s="43"/>
      <c r="AB147" s="43"/>
      <c r="AC147" s="43"/>
      <c r="AD147" s="44"/>
      <c r="AE147" s="42">
        <v>0</v>
      </c>
      <c r="AF147" s="43"/>
      <c r="AG147" s="43"/>
      <c r="AH147" s="44"/>
      <c r="AI147" s="42">
        <f t="shared" si="5"/>
        <v>6246934</v>
      </c>
      <c r="AJ147" s="43"/>
      <c r="AK147" s="43"/>
      <c r="AL147" s="43"/>
      <c r="AM147" s="44"/>
      <c r="AN147" s="42">
        <v>8832955</v>
      </c>
      <c r="AO147" s="43"/>
      <c r="AP147" s="43"/>
      <c r="AQ147" s="43"/>
      <c r="AR147" s="44"/>
      <c r="AS147" s="42">
        <v>0</v>
      </c>
      <c r="AT147" s="43"/>
      <c r="AU147" s="43"/>
      <c r="AV147" s="43"/>
      <c r="AW147" s="44"/>
      <c r="AX147" s="42">
        <v>0</v>
      </c>
      <c r="AY147" s="43"/>
      <c r="AZ147" s="43"/>
      <c r="BA147" s="44"/>
      <c r="BB147" s="42">
        <f t="shared" si="6"/>
        <v>8832955</v>
      </c>
      <c r="BC147" s="43"/>
      <c r="BD147" s="43"/>
      <c r="BE147" s="43"/>
      <c r="BF147" s="44"/>
      <c r="BG147" s="42">
        <v>11888673</v>
      </c>
      <c r="BH147" s="43"/>
      <c r="BI147" s="43"/>
      <c r="BJ147" s="43"/>
      <c r="BK147" s="44"/>
      <c r="BL147" s="42">
        <v>0</v>
      </c>
      <c r="BM147" s="43"/>
      <c r="BN147" s="43"/>
      <c r="BO147" s="43"/>
      <c r="BP147" s="44"/>
      <c r="BQ147" s="42">
        <v>0</v>
      </c>
      <c r="BR147" s="43"/>
      <c r="BS147" s="43"/>
      <c r="BT147" s="44"/>
      <c r="BU147" s="42">
        <f t="shared" si="7"/>
        <v>11888673</v>
      </c>
      <c r="BV147" s="43"/>
      <c r="BW147" s="43"/>
      <c r="BX147" s="43"/>
      <c r="BY147" s="44"/>
    </row>
    <row r="149" spans="1:79" ht="14.25" customHeight="1" x14ac:dyDescent="0.2">
      <c r="A149" s="61" t="s">
        <v>297</v>
      </c>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row>
    <row r="150" spans="1:79" ht="15" customHeight="1" x14ac:dyDescent="0.2">
      <c r="A150" s="66" t="s">
        <v>267</v>
      </c>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row>
    <row r="151" spans="1:79" ht="23.1" customHeight="1" x14ac:dyDescent="0.2">
      <c r="A151" s="77" t="s">
        <v>6</v>
      </c>
      <c r="B151" s="78"/>
      <c r="C151" s="78"/>
      <c r="D151" s="77" t="s">
        <v>121</v>
      </c>
      <c r="E151" s="78"/>
      <c r="F151" s="78"/>
      <c r="G151" s="78"/>
      <c r="H151" s="78"/>
      <c r="I151" s="78"/>
      <c r="J151" s="78"/>
      <c r="K151" s="78"/>
      <c r="L151" s="78"/>
      <c r="M151" s="78"/>
      <c r="N151" s="78"/>
      <c r="O151" s="78"/>
      <c r="P151" s="78"/>
      <c r="Q151" s="78"/>
      <c r="R151" s="78"/>
      <c r="S151" s="78"/>
      <c r="T151" s="79"/>
      <c r="U151" s="39" t="s">
        <v>289</v>
      </c>
      <c r="V151" s="39"/>
      <c r="W151" s="39"/>
      <c r="X151" s="39"/>
      <c r="Y151" s="39"/>
      <c r="Z151" s="39"/>
      <c r="AA151" s="39"/>
      <c r="AB151" s="39"/>
      <c r="AC151" s="39"/>
      <c r="AD151" s="39"/>
      <c r="AE151" s="39"/>
      <c r="AF151" s="39"/>
      <c r="AG151" s="39"/>
      <c r="AH151" s="39"/>
      <c r="AI151" s="39"/>
      <c r="AJ151" s="39"/>
      <c r="AK151" s="39"/>
      <c r="AL151" s="39"/>
      <c r="AM151" s="39"/>
      <c r="AN151" s="39"/>
      <c r="AO151" s="39" t="s">
        <v>294</v>
      </c>
      <c r="AP151" s="39"/>
      <c r="AQ151" s="39"/>
      <c r="AR151" s="39"/>
      <c r="AS151" s="39"/>
      <c r="AT151" s="39"/>
      <c r="AU151" s="39"/>
      <c r="AV151" s="39"/>
      <c r="AW151" s="39"/>
      <c r="AX151" s="39"/>
      <c r="AY151" s="39"/>
      <c r="AZ151" s="39"/>
      <c r="BA151" s="39"/>
      <c r="BB151" s="39"/>
      <c r="BC151" s="39"/>
      <c r="BD151" s="39"/>
      <c r="BE151" s="39"/>
      <c r="BF151" s="39"/>
      <c r="BG151" s="39"/>
      <c r="BH151" s="39"/>
    </row>
    <row r="152" spans="1:79" ht="54" customHeight="1" x14ac:dyDescent="0.2">
      <c r="A152" s="80"/>
      <c r="B152" s="81"/>
      <c r="C152" s="81"/>
      <c r="D152" s="80"/>
      <c r="E152" s="81"/>
      <c r="F152" s="81"/>
      <c r="G152" s="81"/>
      <c r="H152" s="81"/>
      <c r="I152" s="81"/>
      <c r="J152" s="81"/>
      <c r="K152" s="81"/>
      <c r="L152" s="81"/>
      <c r="M152" s="81"/>
      <c r="N152" s="81"/>
      <c r="O152" s="81"/>
      <c r="P152" s="81"/>
      <c r="Q152" s="81"/>
      <c r="R152" s="81"/>
      <c r="S152" s="81"/>
      <c r="T152" s="82"/>
      <c r="U152" s="73" t="s">
        <v>4</v>
      </c>
      <c r="V152" s="74"/>
      <c r="W152" s="74"/>
      <c r="X152" s="74"/>
      <c r="Y152" s="75"/>
      <c r="Z152" s="73" t="s">
        <v>3</v>
      </c>
      <c r="AA152" s="74"/>
      <c r="AB152" s="74"/>
      <c r="AC152" s="74"/>
      <c r="AD152" s="75"/>
      <c r="AE152" s="96" t="s">
        <v>116</v>
      </c>
      <c r="AF152" s="97"/>
      <c r="AG152" s="97"/>
      <c r="AH152" s="97"/>
      <c r="AI152" s="98"/>
      <c r="AJ152" s="73" t="s">
        <v>5</v>
      </c>
      <c r="AK152" s="74"/>
      <c r="AL152" s="74"/>
      <c r="AM152" s="74"/>
      <c r="AN152" s="75"/>
      <c r="AO152" s="73" t="s">
        <v>4</v>
      </c>
      <c r="AP152" s="74"/>
      <c r="AQ152" s="74"/>
      <c r="AR152" s="74"/>
      <c r="AS152" s="75"/>
      <c r="AT152" s="73" t="s">
        <v>3</v>
      </c>
      <c r="AU152" s="74"/>
      <c r="AV152" s="74"/>
      <c r="AW152" s="74"/>
      <c r="AX152" s="75"/>
      <c r="AY152" s="96" t="s">
        <v>116</v>
      </c>
      <c r="AZ152" s="97"/>
      <c r="BA152" s="97"/>
      <c r="BB152" s="97"/>
      <c r="BC152" s="98"/>
      <c r="BD152" s="39" t="s">
        <v>96</v>
      </c>
      <c r="BE152" s="39"/>
      <c r="BF152" s="39"/>
      <c r="BG152" s="39"/>
      <c r="BH152" s="39"/>
    </row>
    <row r="153" spans="1:79" ht="15" customHeight="1" x14ac:dyDescent="0.2">
      <c r="A153" s="73" t="s">
        <v>168</v>
      </c>
      <c r="B153" s="74"/>
      <c r="C153" s="74"/>
      <c r="D153" s="73">
        <v>2</v>
      </c>
      <c r="E153" s="74"/>
      <c r="F153" s="74"/>
      <c r="G153" s="74"/>
      <c r="H153" s="74"/>
      <c r="I153" s="74"/>
      <c r="J153" s="74"/>
      <c r="K153" s="74"/>
      <c r="L153" s="74"/>
      <c r="M153" s="74"/>
      <c r="N153" s="74"/>
      <c r="O153" s="74"/>
      <c r="P153" s="74"/>
      <c r="Q153" s="74"/>
      <c r="R153" s="74"/>
      <c r="S153" s="74"/>
      <c r="T153" s="75"/>
      <c r="U153" s="73">
        <v>3</v>
      </c>
      <c r="V153" s="74"/>
      <c r="W153" s="74"/>
      <c r="X153" s="74"/>
      <c r="Y153" s="75"/>
      <c r="Z153" s="73">
        <v>4</v>
      </c>
      <c r="AA153" s="74"/>
      <c r="AB153" s="74"/>
      <c r="AC153" s="74"/>
      <c r="AD153" s="75"/>
      <c r="AE153" s="73">
        <v>5</v>
      </c>
      <c r="AF153" s="74"/>
      <c r="AG153" s="74"/>
      <c r="AH153" s="74"/>
      <c r="AI153" s="75"/>
      <c r="AJ153" s="73">
        <v>6</v>
      </c>
      <c r="AK153" s="74"/>
      <c r="AL153" s="74"/>
      <c r="AM153" s="74"/>
      <c r="AN153" s="75"/>
      <c r="AO153" s="73">
        <v>7</v>
      </c>
      <c r="AP153" s="74"/>
      <c r="AQ153" s="74"/>
      <c r="AR153" s="74"/>
      <c r="AS153" s="75"/>
      <c r="AT153" s="73">
        <v>8</v>
      </c>
      <c r="AU153" s="74"/>
      <c r="AV153" s="74"/>
      <c r="AW153" s="74"/>
      <c r="AX153" s="75"/>
      <c r="AY153" s="73">
        <v>9</v>
      </c>
      <c r="AZ153" s="74"/>
      <c r="BA153" s="74"/>
      <c r="BB153" s="74"/>
      <c r="BC153" s="75"/>
      <c r="BD153" s="73">
        <v>10</v>
      </c>
      <c r="BE153" s="74"/>
      <c r="BF153" s="74"/>
      <c r="BG153" s="74"/>
      <c r="BH153" s="75"/>
    </row>
    <row r="154" spans="1:79" s="1" customFormat="1" ht="12.75" hidden="1" customHeight="1" x14ac:dyDescent="0.2">
      <c r="A154" s="87" t="s">
        <v>69</v>
      </c>
      <c r="B154" s="88"/>
      <c r="C154" s="88"/>
      <c r="D154" s="87" t="s">
        <v>57</v>
      </c>
      <c r="E154" s="88"/>
      <c r="F154" s="88"/>
      <c r="G154" s="88"/>
      <c r="H154" s="88"/>
      <c r="I154" s="88"/>
      <c r="J154" s="88"/>
      <c r="K154" s="88"/>
      <c r="L154" s="88"/>
      <c r="M154" s="88"/>
      <c r="N154" s="88"/>
      <c r="O154" s="88"/>
      <c r="P154" s="88"/>
      <c r="Q154" s="88"/>
      <c r="R154" s="88"/>
      <c r="S154" s="88"/>
      <c r="T154" s="89"/>
      <c r="U154" s="87" t="s">
        <v>60</v>
      </c>
      <c r="V154" s="88"/>
      <c r="W154" s="88"/>
      <c r="X154" s="88"/>
      <c r="Y154" s="89"/>
      <c r="Z154" s="87" t="s">
        <v>61</v>
      </c>
      <c r="AA154" s="88"/>
      <c r="AB154" s="88"/>
      <c r="AC154" s="88"/>
      <c r="AD154" s="89"/>
      <c r="AE154" s="87" t="s">
        <v>94</v>
      </c>
      <c r="AF154" s="88"/>
      <c r="AG154" s="88"/>
      <c r="AH154" s="88"/>
      <c r="AI154" s="89"/>
      <c r="AJ154" s="93" t="s">
        <v>170</v>
      </c>
      <c r="AK154" s="94"/>
      <c r="AL154" s="94"/>
      <c r="AM154" s="94"/>
      <c r="AN154" s="95"/>
      <c r="AO154" s="87" t="s">
        <v>62</v>
      </c>
      <c r="AP154" s="88"/>
      <c r="AQ154" s="88"/>
      <c r="AR154" s="88"/>
      <c r="AS154" s="89"/>
      <c r="AT154" s="87" t="s">
        <v>63</v>
      </c>
      <c r="AU154" s="88"/>
      <c r="AV154" s="88"/>
      <c r="AW154" s="88"/>
      <c r="AX154" s="89"/>
      <c r="AY154" s="87" t="s">
        <v>95</v>
      </c>
      <c r="AZ154" s="88"/>
      <c r="BA154" s="88"/>
      <c r="BB154" s="88"/>
      <c r="BC154" s="89"/>
      <c r="BD154" s="83" t="s">
        <v>170</v>
      </c>
      <c r="BE154" s="83"/>
      <c r="BF154" s="83"/>
      <c r="BG154" s="83"/>
      <c r="BH154" s="83"/>
      <c r="CA154" s="1" t="s">
        <v>35</v>
      </c>
    </row>
    <row r="155" spans="1:79" s="4" customFormat="1" ht="25.5" customHeight="1" x14ac:dyDescent="0.2">
      <c r="A155" s="34">
        <v>1</v>
      </c>
      <c r="B155" s="35"/>
      <c r="C155" s="35"/>
      <c r="D155" s="28" t="s">
        <v>187</v>
      </c>
      <c r="E155" s="29"/>
      <c r="F155" s="29"/>
      <c r="G155" s="29"/>
      <c r="H155" s="29"/>
      <c r="I155" s="29"/>
      <c r="J155" s="29"/>
      <c r="K155" s="29"/>
      <c r="L155" s="29"/>
      <c r="M155" s="29"/>
      <c r="N155" s="29"/>
      <c r="O155" s="29"/>
      <c r="P155" s="29"/>
      <c r="Q155" s="29"/>
      <c r="R155" s="29"/>
      <c r="S155" s="29"/>
      <c r="T155" s="30"/>
      <c r="U155" s="46">
        <v>0</v>
      </c>
      <c r="V155" s="47"/>
      <c r="W155" s="47"/>
      <c r="X155" s="47"/>
      <c r="Y155" s="48"/>
      <c r="Z155" s="46">
        <v>0</v>
      </c>
      <c r="AA155" s="47"/>
      <c r="AB155" s="47"/>
      <c r="AC155" s="47"/>
      <c r="AD155" s="48"/>
      <c r="AE155" s="49">
        <v>0</v>
      </c>
      <c r="AF155" s="49"/>
      <c r="AG155" s="49"/>
      <c r="AH155" s="49"/>
      <c r="AI155" s="49"/>
      <c r="AJ155" s="27">
        <f t="shared" ref="AJ155:AJ194" si="8">IF(ISNUMBER(U155),U155,0)+IF(ISNUMBER(Z155),Z155,0)</f>
        <v>0</v>
      </c>
      <c r="AK155" s="27"/>
      <c r="AL155" s="27"/>
      <c r="AM155" s="27"/>
      <c r="AN155" s="27"/>
      <c r="AO155" s="49">
        <v>0</v>
      </c>
      <c r="AP155" s="49"/>
      <c r="AQ155" s="49"/>
      <c r="AR155" s="49"/>
      <c r="AS155" s="49"/>
      <c r="AT155" s="27">
        <v>0</v>
      </c>
      <c r="AU155" s="27"/>
      <c r="AV155" s="27"/>
      <c r="AW155" s="27"/>
      <c r="AX155" s="27"/>
      <c r="AY155" s="49">
        <v>0</v>
      </c>
      <c r="AZ155" s="49"/>
      <c r="BA155" s="49"/>
      <c r="BB155" s="49"/>
      <c r="BC155" s="49"/>
      <c r="BD155" s="27">
        <f t="shared" ref="BD155:BD194" si="9">IF(ISNUMBER(AO155),AO155,0)+IF(ISNUMBER(AT155),AT155,0)</f>
        <v>0</v>
      </c>
      <c r="BE155" s="27"/>
      <c r="BF155" s="27"/>
      <c r="BG155" s="27"/>
      <c r="BH155" s="27"/>
      <c r="CA155" s="4" t="s">
        <v>36</v>
      </c>
    </row>
    <row r="156" spans="1:79" s="4" customFormat="1" ht="12.75" customHeight="1" x14ac:dyDescent="0.2">
      <c r="A156" s="34">
        <v>2</v>
      </c>
      <c r="B156" s="35"/>
      <c r="C156" s="35"/>
      <c r="D156" s="28" t="s">
        <v>180</v>
      </c>
      <c r="E156" s="29"/>
      <c r="F156" s="29"/>
      <c r="G156" s="29"/>
      <c r="H156" s="29"/>
      <c r="I156" s="29"/>
      <c r="J156" s="29"/>
      <c r="K156" s="29"/>
      <c r="L156" s="29"/>
      <c r="M156" s="29"/>
      <c r="N156" s="29"/>
      <c r="O156" s="29"/>
      <c r="P156" s="29"/>
      <c r="Q156" s="29"/>
      <c r="R156" s="29"/>
      <c r="S156" s="29"/>
      <c r="T156" s="30"/>
      <c r="U156" s="46">
        <v>164850</v>
      </c>
      <c r="V156" s="47"/>
      <c r="W156" s="47"/>
      <c r="X156" s="47"/>
      <c r="Y156" s="48"/>
      <c r="Z156" s="46">
        <v>0</v>
      </c>
      <c r="AA156" s="47"/>
      <c r="AB156" s="47"/>
      <c r="AC156" s="47"/>
      <c r="AD156" s="48"/>
      <c r="AE156" s="49">
        <v>0</v>
      </c>
      <c r="AF156" s="49"/>
      <c r="AG156" s="49"/>
      <c r="AH156" s="49"/>
      <c r="AI156" s="49"/>
      <c r="AJ156" s="27">
        <f t="shared" si="8"/>
        <v>164850</v>
      </c>
      <c r="AK156" s="27"/>
      <c r="AL156" s="27"/>
      <c r="AM156" s="27"/>
      <c r="AN156" s="27"/>
      <c r="AO156" s="49">
        <v>178038</v>
      </c>
      <c r="AP156" s="49"/>
      <c r="AQ156" s="49"/>
      <c r="AR156" s="49"/>
      <c r="AS156" s="49"/>
      <c r="AT156" s="27">
        <v>0</v>
      </c>
      <c r="AU156" s="27"/>
      <c r="AV156" s="27"/>
      <c r="AW156" s="27"/>
      <c r="AX156" s="27"/>
      <c r="AY156" s="49">
        <v>0</v>
      </c>
      <c r="AZ156" s="49"/>
      <c r="BA156" s="49"/>
      <c r="BB156" s="49"/>
      <c r="BC156" s="49"/>
      <c r="BD156" s="27">
        <f t="shared" si="9"/>
        <v>178038</v>
      </c>
      <c r="BE156" s="27"/>
      <c r="BF156" s="27"/>
      <c r="BG156" s="27"/>
      <c r="BH156" s="27"/>
    </row>
    <row r="157" spans="1:79" s="4" customFormat="1" ht="12.75" customHeight="1" x14ac:dyDescent="0.2">
      <c r="A157" s="34">
        <v>3</v>
      </c>
      <c r="B157" s="35"/>
      <c r="C157" s="35"/>
      <c r="D157" s="28" t="s">
        <v>176</v>
      </c>
      <c r="E157" s="29"/>
      <c r="F157" s="29"/>
      <c r="G157" s="29"/>
      <c r="H157" s="29"/>
      <c r="I157" s="29"/>
      <c r="J157" s="29"/>
      <c r="K157" s="29"/>
      <c r="L157" s="29"/>
      <c r="M157" s="29"/>
      <c r="N157" s="29"/>
      <c r="O157" s="29"/>
      <c r="P157" s="29"/>
      <c r="Q157" s="29"/>
      <c r="R157" s="29"/>
      <c r="S157" s="29"/>
      <c r="T157" s="30"/>
      <c r="U157" s="46">
        <v>8173017</v>
      </c>
      <c r="V157" s="47"/>
      <c r="W157" s="47"/>
      <c r="X157" s="47"/>
      <c r="Y157" s="48"/>
      <c r="Z157" s="46">
        <v>0</v>
      </c>
      <c r="AA157" s="47"/>
      <c r="AB157" s="47"/>
      <c r="AC157" s="47"/>
      <c r="AD157" s="48"/>
      <c r="AE157" s="49">
        <v>0</v>
      </c>
      <c r="AF157" s="49"/>
      <c r="AG157" s="49"/>
      <c r="AH157" s="49"/>
      <c r="AI157" s="49"/>
      <c r="AJ157" s="27">
        <f t="shared" si="8"/>
        <v>8173017</v>
      </c>
      <c r="AK157" s="27"/>
      <c r="AL157" s="27"/>
      <c r="AM157" s="27"/>
      <c r="AN157" s="27"/>
      <c r="AO157" s="49">
        <v>8173017</v>
      </c>
      <c r="AP157" s="49"/>
      <c r="AQ157" s="49"/>
      <c r="AR157" s="49"/>
      <c r="AS157" s="49"/>
      <c r="AT157" s="27">
        <v>0</v>
      </c>
      <c r="AU157" s="27"/>
      <c r="AV157" s="27"/>
      <c r="AW157" s="27"/>
      <c r="AX157" s="27"/>
      <c r="AY157" s="49">
        <v>0</v>
      </c>
      <c r="AZ157" s="49"/>
      <c r="BA157" s="49"/>
      <c r="BB157" s="49"/>
      <c r="BC157" s="49"/>
      <c r="BD157" s="27">
        <f t="shared" si="9"/>
        <v>8173017</v>
      </c>
      <c r="BE157" s="27"/>
      <c r="BF157" s="27"/>
      <c r="BG157" s="27"/>
      <c r="BH157" s="27"/>
    </row>
    <row r="158" spans="1:79" s="4" customFormat="1" ht="12.75" customHeight="1" x14ac:dyDescent="0.2">
      <c r="A158" s="34">
        <v>4</v>
      </c>
      <c r="B158" s="35"/>
      <c r="C158" s="35"/>
      <c r="D158" s="28" t="s">
        <v>186</v>
      </c>
      <c r="E158" s="29"/>
      <c r="F158" s="29"/>
      <c r="G158" s="29"/>
      <c r="H158" s="29"/>
      <c r="I158" s="29"/>
      <c r="J158" s="29"/>
      <c r="K158" s="29"/>
      <c r="L158" s="29"/>
      <c r="M158" s="29"/>
      <c r="N158" s="29"/>
      <c r="O158" s="29"/>
      <c r="P158" s="29"/>
      <c r="Q158" s="29"/>
      <c r="R158" s="29"/>
      <c r="S158" s="29"/>
      <c r="T158" s="30"/>
      <c r="U158" s="46">
        <v>0</v>
      </c>
      <c r="V158" s="47"/>
      <c r="W158" s="47"/>
      <c r="X158" s="47"/>
      <c r="Y158" s="48"/>
      <c r="Z158" s="46">
        <v>0</v>
      </c>
      <c r="AA158" s="47"/>
      <c r="AB158" s="47"/>
      <c r="AC158" s="47"/>
      <c r="AD158" s="48"/>
      <c r="AE158" s="49">
        <v>0</v>
      </c>
      <c r="AF158" s="49"/>
      <c r="AG158" s="49"/>
      <c r="AH158" s="49"/>
      <c r="AI158" s="49"/>
      <c r="AJ158" s="27">
        <f t="shared" si="8"/>
        <v>0</v>
      </c>
      <c r="AK158" s="27"/>
      <c r="AL158" s="27"/>
      <c r="AM158" s="27"/>
      <c r="AN158" s="27"/>
      <c r="AO158" s="49">
        <v>0</v>
      </c>
      <c r="AP158" s="49"/>
      <c r="AQ158" s="49"/>
      <c r="AR158" s="49"/>
      <c r="AS158" s="49"/>
      <c r="AT158" s="27">
        <v>0</v>
      </c>
      <c r="AU158" s="27"/>
      <c r="AV158" s="27"/>
      <c r="AW158" s="27"/>
      <c r="AX158" s="27"/>
      <c r="AY158" s="49">
        <v>0</v>
      </c>
      <c r="AZ158" s="49"/>
      <c r="BA158" s="49"/>
      <c r="BB158" s="49"/>
      <c r="BC158" s="49"/>
      <c r="BD158" s="27">
        <f t="shared" si="9"/>
        <v>0</v>
      </c>
      <c r="BE158" s="27"/>
      <c r="BF158" s="27"/>
      <c r="BG158" s="27"/>
      <c r="BH158" s="27"/>
    </row>
    <row r="159" spans="1:79" s="4" customFormat="1" ht="12.75" customHeight="1" x14ac:dyDescent="0.2">
      <c r="A159" s="34">
        <v>5</v>
      </c>
      <c r="B159" s="35"/>
      <c r="C159" s="35"/>
      <c r="D159" s="28" t="s">
        <v>177</v>
      </c>
      <c r="E159" s="29"/>
      <c r="F159" s="29"/>
      <c r="G159" s="29"/>
      <c r="H159" s="29"/>
      <c r="I159" s="29"/>
      <c r="J159" s="29"/>
      <c r="K159" s="29"/>
      <c r="L159" s="29"/>
      <c r="M159" s="29"/>
      <c r="N159" s="29"/>
      <c r="O159" s="29"/>
      <c r="P159" s="29"/>
      <c r="Q159" s="29"/>
      <c r="R159" s="29"/>
      <c r="S159" s="29"/>
      <c r="T159" s="30"/>
      <c r="U159" s="46">
        <v>1798064</v>
      </c>
      <c r="V159" s="47"/>
      <c r="W159" s="47"/>
      <c r="X159" s="47"/>
      <c r="Y159" s="48"/>
      <c r="Z159" s="46">
        <v>0</v>
      </c>
      <c r="AA159" s="47"/>
      <c r="AB159" s="47"/>
      <c r="AC159" s="47"/>
      <c r="AD159" s="48"/>
      <c r="AE159" s="49">
        <v>0</v>
      </c>
      <c r="AF159" s="49"/>
      <c r="AG159" s="49"/>
      <c r="AH159" s="49"/>
      <c r="AI159" s="49"/>
      <c r="AJ159" s="27">
        <f t="shared" si="8"/>
        <v>1798064</v>
      </c>
      <c r="AK159" s="27"/>
      <c r="AL159" s="27"/>
      <c r="AM159" s="27"/>
      <c r="AN159" s="27"/>
      <c r="AO159" s="49">
        <v>1798064</v>
      </c>
      <c r="AP159" s="49"/>
      <c r="AQ159" s="49"/>
      <c r="AR159" s="49"/>
      <c r="AS159" s="49"/>
      <c r="AT159" s="27">
        <v>0</v>
      </c>
      <c r="AU159" s="27"/>
      <c r="AV159" s="27"/>
      <c r="AW159" s="27"/>
      <c r="AX159" s="27"/>
      <c r="AY159" s="49">
        <v>0</v>
      </c>
      <c r="AZ159" s="49"/>
      <c r="BA159" s="49"/>
      <c r="BB159" s="49"/>
      <c r="BC159" s="49"/>
      <c r="BD159" s="27">
        <f t="shared" si="9"/>
        <v>1798064</v>
      </c>
      <c r="BE159" s="27"/>
      <c r="BF159" s="27"/>
      <c r="BG159" s="27"/>
      <c r="BH159" s="27"/>
    </row>
    <row r="160" spans="1:79" s="4" customFormat="1" ht="25.5" customHeight="1" x14ac:dyDescent="0.2">
      <c r="A160" s="34">
        <v>6</v>
      </c>
      <c r="B160" s="35"/>
      <c r="C160" s="35"/>
      <c r="D160" s="28" t="s">
        <v>188</v>
      </c>
      <c r="E160" s="29"/>
      <c r="F160" s="29"/>
      <c r="G160" s="29"/>
      <c r="H160" s="29"/>
      <c r="I160" s="29"/>
      <c r="J160" s="29"/>
      <c r="K160" s="29"/>
      <c r="L160" s="29"/>
      <c r="M160" s="29"/>
      <c r="N160" s="29"/>
      <c r="O160" s="29"/>
      <c r="P160" s="29"/>
      <c r="Q160" s="29"/>
      <c r="R160" s="29"/>
      <c r="S160" s="29"/>
      <c r="T160" s="30"/>
      <c r="U160" s="46">
        <v>23079</v>
      </c>
      <c r="V160" s="47"/>
      <c r="W160" s="47"/>
      <c r="X160" s="47"/>
      <c r="Y160" s="48"/>
      <c r="Z160" s="46">
        <v>0</v>
      </c>
      <c r="AA160" s="47"/>
      <c r="AB160" s="47"/>
      <c r="AC160" s="47"/>
      <c r="AD160" s="48"/>
      <c r="AE160" s="49">
        <v>0</v>
      </c>
      <c r="AF160" s="49"/>
      <c r="AG160" s="49"/>
      <c r="AH160" s="49"/>
      <c r="AI160" s="49"/>
      <c r="AJ160" s="27">
        <f t="shared" si="8"/>
        <v>23079</v>
      </c>
      <c r="AK160" s="27"/>
      <c r="AL160" s="27"/>
      <c r="AM160" s="27"/>
      <c r="AN160" s="27"/>
      <c r="AO160" s="49">
        <v>24925</v>
      </c>
      <c r="AP160" s="49"/>
      <c r="AQ160" s="49"/>
      <c r="AR160" s="49"/>
      <c r="AS160" s="49"/>
      <c r="AT160" s="27">
        <v>0</v>
      </c>
      <c r="AU160" s="27"/>
      <c r="AV160" s="27"/>
      <c r="AW160" s="27"/>
      <c r="AX160" s="27"/>
      <c r="AY160" s="49">
        <v>0</v>
      </c>
      <c r="AZ160" s="49"/>
      <c r="BA160" s="49"/>
      <c r="BB160" s="49"/>
      <c r="BC160" s="49"/>
      <c r="BD160" s="27">
        <f t="shared" si="9"/>
        <v>24925</v>
      </c>
      <c r="BE160" s="27"/>
      <c r="BF160" s="27"/>
      <c r="BG160" s="27"/>
      <c r="BH160" s="27"/>
    </row>
    <row r="161" spans="1:60" s="4" customFormat="1" ht="12.75" customHeight="1" x14ac:dyDescent="0.2">
      <c r="A161" s="34">
        <v>7</v>
      </c>
      <c r="B161" s="35"/>
      <c r="C161" s="35"/>
      <c r="D161" s="28" t="s">
        <v>189</v>
      </c>
      <c r="E161" s="29"/>
      <c r="F161" s="29"/>
      <c r="G161" s="29"/>
      <c r="H161" s="29"/>
      <c r="I161" s="29"/>
      <c r="J161" s="29"/>
      <c r="K161" s="29"/>
      <c r="L161" s="29"/>
      <c r="M161" s="29"/>
      <c r="N161" s="29"/>
      <c r="O161" s="29"/>
      <c r="P161" s="29"/>
      <c r="Q161" s="29"/>
      <c r="R161" s="29"/>
      <c r="S161" s="29"/>
      <c r="T161" s="30"/>
      <c r="U161" s="46">
        <v>5495</v>
      </c>
      <c r="V161" s="47"/>
      <c r="W161" s="47"/>
      <c r="X161" s="47"/>
      <c r="Y161" s="48"/>
      <c r="Z161" s="46">
        <v>0</v>
      </c>
      <c r="AA161" s="47"/>
      <c r="AB161" s="47"/>
      <c r="AC161" s="47"/>
      <c r="AD161" s="48"/>
      <c r="AE161" s="49">
        <v>0</v>
      </c>
      <c r="AF161" s="49"/>
      <c r="AG161" s="49"/>
      <c r="AH161" s="49"/>
      <c r="AI161" s="49"/>
      <c r="AJ161" s="27">
        <f t="shared" si="8"/>
        <v>5495</v>
      </c>
      <c r="AK161" s="27"/>
      <c r="AL161" s="27"/>
      <c r="AM161" s="27"/>
      <c r="AN161" s="27"/>
      <c r="AO161" s="49">
        <v>5935</v>
      </c>
      <c r="AP161" s="49"/>
      <c r="AQ161" s="49"/>
      <c r="AR161" s="49"/>
      <c r="AS161" s="49"/>
      <c r="AT161" s="27">
        <v>0</v>
      </c>
      <c r="AU161" s="27"/>
      <c r="AV161" s="27"/>
      <c r="AW161" s="27"/>
      <c r="AX161" s="27"/>
      <c r="AY161" s="49">
        <v>0</v>
      </c>
      <c r="AZ161" s="49"/>
      <c r="BA161" s="49"/>
      <c r="BB161" s="49"/>
      <c r="BC161" s="49"/>
      <c r="BD161" s="27">
        <f t="shared" si="9"/>
        <v>5935</v>
      </c>
      <c r="BE161" s="27"/>
      <c r="BF161" s="27"/>
      <c r="BG161" s="27"/>
      <c r="BH161" s="27"/>
    </row>
    <row r="162" spans="1:60" s="4" customFormat="1" ht="12.75" customHeight="1" x14ac:dyDescent="0.2">
      <c r="A162" s="34">
        <v>8</v>
      </c>
      <c r="B162" s="35"/>
      <c r="C162" s="35"/>
      <c r="D162" s="28" t="s">
        <v>190</v>
      </c>
      <c r="E162" s="29"/>
      <c r="F162" s="29"/>
      <c r="G162" s="29"/>
      <c r="H162" s="29"/>
      <c r="I162" s="29"/>
      <c r="J162" s="29"/>
      <c r="K162" s="29"/>
      <c r="L162" s="29"/>
      <c r="M162" s="29"/>
      <c r="N162" s="29"/>
      <c r="O162" s="29"/>
      <c r="P162" s="29"/>
      <c r="Q162" s="29"/>
      <c r="R162" s="29"/>
      <c r="S162" s="29"/>
      <c r="T162" s="30"/>
      <c r="U162" s="46">
        <v>5495</v>
      </c>
      <c r="V162" s="47"/>
      <c r="W162" s="47"/>
      <c r="X162" s="47"/>
      <c r="Y162" s="48"/>
      <c r="Z162" s="46">
        <v>0</v>
      </c>
      <c r="AA162" s="47"/>
      <c r="AB162" s="47"/>
      <c r="AC162" s="47"/>
      <c r="AD162" s="48"/>
      <c r="AE162" s="49">
        <v>0</v>
      </c>
      <c r="AF162" s="49"/>
      <c r="AG162" s="49"/>
      <c r="AH162" s="49"/>
      <c r="AI162" s="49"/>
      <c r="AJ162" s="27">
        <f t="shared" si="8"/>
        <v>5495</v>
      </c>
      <c r="AK162" s="27"/>
      <c r="AL162" s="27"/>
      <c r="AM162" s="27"/>
      <c r="AN162" s="27"/>
      <c r="AO162" s="49">
        <v>5935</v>
      </c>
      <c r="AP162" s="49"/>
      <c r="AQ162" s="49"/>
      <c r="AR162" s="49"/>
      <c r="AS162" s="49"/>
      <c r="AT162" s="27">
        <v>0</v>
      </c>
      <c r="AU162" s="27"/>
      <c r="AV162" s="27"/>
      <c r="AW162" s="27"/>
      <c r="AX162" s="27"/>
      <c r="AY162" s="49">
        <v>0</v>
      </c>
      <c r="AZ162" s="49"/>
      <c r="BA162" s="49"/>
      <c r="BB162" s="49"/>
      <c r="BC162" s="49"/>
      <c r="BD162" s="27">
        <f t="shared" si="9"/>
        <v>5935</v>
      </c>
      <c r="BE162" s="27"/>
      <c r="BF162" s="27"/>
      <c r="BG162" s="27"/>
      <c r="BH162" s="27"/>
    </row>
    <row r="163" spans="1:60" s="4" customFormat="1" ht="12.75" customHeight="1" x14ac:dyDescent="0.2">
      <c r="A163" s="34">
        <v>9</v>
      </c>
      <c r="B163" s="35"/>
      <c r="C163" s="35"/>
      <c r="D163" s="28" t="s">
        <v>191</v>
      </c>
      <c r="E163" s="29"/>
      <c r="F163" s="29"/>
      <c r="G163" s="29"/>
      <c r="H163" s="29"/>
      <c r="I163" s="29"/>
      <c r="J163" s="29"/>
      <c r="K163" s="29"/>
      <c r="L163" s="29"/>
      <c r="M163" s="29"/>
      <c r="N163" s="29"/>
      <c r="O163" s="29"/>
      <c r="P163" s="29"/>
      <c r="Q163" s="29"/>
      <c r="R163" s="29"/>
      <c r="S163" s="29"/>
      <c r="T163" s="30"/>
      <c r="U163" s="46">
        <v>6597</v>
      </c>
      <c r="V163" s="47"/>
      <c r="W163" s="47"/>
      <c r="X163" s="47"/>
      <c r="Y163" s="48"/>
      <c r="Z163" s="46">
        <v>0</v>
      </c>
      <c r="AA163" s="47"/>
      <c r="AB163" s="47"/>
      <c r="AC163" s="47"/>
      <c r="AD163" s="48"/>
      <c r="AE163" s="49">
        <v>0</v>
      </c>
      <c r="AF163" s="49"/>
      <c r="AG163" s="49"/>
      <c r="AH163" s="49"/>
      <c r="AI163" s="49"/>
      <c r="AJ163" s="27">
        <f t="shared" si="8"/>
        <v>6597</v>
      </c>
      <c r="AK163" s="27"/>
      <c r="AL163" s="27"/>
      <c r="AM163" s="27"/>
      <c r="AN163" s="27"/>
      <c r="AO163" s="49">
        <v>7125</v>
      </c>
      <c r="AP163" s="49"/>
      <c r="AQ163" s="49"/>
      <c r="AR163" s="49"/>
      <c r="AS163" s="49"/>
      <c r="AT163" s="27">
        <v>0</v>
      </c>
      <c r="AU163" s="27"/>
      <c r="AV163" s="27"/>
      <c r="AW163" s="27"/>
      <c r="AX163" s="27"/>
      <c r="AY163" s="49">
        <v>0</v>
      </c>
      <c r="AZ163" s="49"/>
      <c r="BA163" s="49"/>
      <c r="BB163" s="49"/>
      <c r="BC163" s="49"/>
      <c r="BD163" s="27">
        <f t="shared" si="9"/>
        <v>7125</v>
      </c>
      <c r="BE163" s="27"/>
      <c r="BF163" s="27"/>
      <c r="BG163" s="27"/>
      <c r="BH163" s="27"/>
    </row>
    <row r="164" spans="1:60" s="4" customFormat="1" ht="12.75" customHeight="1" x14ac:dyDescent="0.2">
      <c r="A164" s="34">
        <v>10</v>
      </c>
      <c r="B164" s="35"/>
      <c r="C164" s="35"/>
      <c r="D164" s="28" t="s">
        <v>182</v>
      </c>
      <c r="E164" s="29"/>
      <c r="F164" s="29"/>
      <c r="G164" s="29"/>
      <c r="H164" s="29"/>
      <c r="I164" s="29"/>
      <c r="J164" s="29"/>
      <c r="K164" s="29"/>
      <c r="L164" s="29"/>
      <c r="M164" s="29"/>
      <c r="N164" s="29"/>
      <c r="O164" s="29"/>
      <c r="P164" s="29"/>
      <c r="Q164" s="29"/>
      <c r="R164" s="29"/>
      <c r="S164" s="29"/>
      <c r="T164" s="30"/>
      <c r="U164" s="46">
        <v>70649</v>
      </c>
      <c r="V164" s="47"/>
      <c r="W164" s="47"/>
      <c r="X164" s="47"/>
      <c r="Y164" s="48"/>
      <c r="Z164" s="46">
        <v>0</v>
      </c>
      <c r="AA164" s="47"/>
      <c r="AB164" s="47"/>
      <c r="AC164" s="47"/>
      <c r="AD164" s="48"/>
      <c r="AE164" s="49">
        <v>0</v>
      </c>
      <c r="AF164" s="49"/>
      <c r="AG164" s="49"/>
      <c r="AH164" s="49"/>
      <c r="AI164" s="49"/>
      <c r="AJ164" s="27">
        <f t="shared" si="8"/>
        <v>70649</v>
      </c>
      <c r="AK164" s="27"/>
      <c r="AL164" s="27"/>
      <c r="AM164" s="27"/>
      <c r="AN164" s="27"/>
      <c r="AO164" s="49">
        <v>76301</v>
      </c>
      <c r="AP164" s="49"/>
      <c r="AQ164" s="49"/>
      <c r="AR164" s="49"/>
      <c r="AS164" s="49"/>
      <c r="AT164" s="27">
        <v>0</v>
      </c>
      <c r="AU164" s="27"/>
      <c r="AV164" s="27"/>
      <c r="AW164" s="27"/>
      <c r="AX164" s="27"/>
      <c r="AY164" s="49">
        <v>0</v>
      </c>
      <c r="AZ164" s="49"/>
      <c r="BA164" s="49"/>
      <c r="BB164" s="49"/>
      <c r="BC164" s="49"/>
      <c r="BD164" s="27">
        <f t="shared" si="9"/>
        <v>76301</v>
      </c>
      <c r="BE164" s="27"/>
      <c r="BF164" s="27"/>
      <c r="BG164" s="27"/>
      <c r="BH164" s="27"/>
    </row>
    <row r="165" spans="1:60" s="4" customFormat="1" ht="25.5" customHeight="1" x14ac:dyDescent="0.2">
      <c r="A165" s="34">
        <v>11</v>
      </c>
      <c r="B165" s="35"/>
      <c r="C165" s="35"/>
      <c r="D165" s="28" t="s">
        <v>192</v>
      </c>
      <c r="E165" s="29"/>
      <c r="F165" s="29"/>
      <c r="G165" s="29"/>
      <c r="H165" s="29"/>
      <c r="I165" s="29"/>
      <c r="J165" s="29"/>
      <c r="K165" s="29"/>
      <c r="L165" s="29"/>
      <c r="M165" s="29"/>
      <c r="N165" s="29"/>
      <c r="O165" s="29"/>
      <c r="P165" s="29"/>
      <c r="Q165" s="29"/>
      <c r="R165" s="29"/>
      <c r="S165" s="29"/>
      <c r="T165" s="30"/>
      <c r="U165" s="46">
        <v>1099</v>
      </c>
      <c r="V165" s="47"/>
      <c r="W165" s="47"/>
      <c r="X165" s="47"/>
      <c r="Y165" s="48"/>
      <c r="Z165" s="46">
        <v>0</v>
      </c>
      <c r="AA165" s="47"/>
      <c r="AB165" s="47"/>
      <c r="AC165" s="47"/>
      <c r="AD165" s="48"/>
      <c r="AE165" s="49">
        <v>0</v>
      </c>
      <c r="AF165" s="49"/>
      <c r="AG165" s="49"/>
      <c r="AH165" s="49"/>
      <c r="AI165" s="49"/>
      <c r="AJ165" s="27">
        <f t="shared" si="8"/>
        <v>1099</v>
      </c>
      <c r="AK165" s="27"/>
      <c r="AL165" s="27"/>
      <c r="AM165" s="27"/>
      <c r="AN165" s="27"/>
      <c r="AO165" s="49">
        <v>1187</v>
      </c>
      <c r="AP165" s="49"/>
      <c r="AQ165" s="49"/>
      <c r="AR165" s="49"/>
      <c r="AS165" s="49"/>
      <c r="AT165" s="27">
        <v>0</v>
      </c>
      <c r="AU165" s="27"/>
      <c r="AV165" s="27"/>
      <c r="AW165" s="27"/>
      <c r="AX165" s="27"/>
      <c r="AY165" s="49">
        <v>0</v>
      </c>
      <c r="AZ165" s="49"/>
      <c r="BA165" s="49"/>
      <c r="BB165" s="49"/>
      <c r="BC165" s="49"/>
      <c r="BD165" s="27">
        <f t="shared" si="9"/>
        <v>1187</v>
      </c>
      <c r="BE165" s="27"/>
      <c r="BF165" s="27"/>
      <c r="BG165" s="27"/>
      <c r="BH165" s="27"/>
    </row>
    <row r="166" spans="1:60" s="4" customFormat="1" ht="12.75" customHeight="1" x14ac:dyDescent="0.2">
      <c r="A166" s="34">
        <v>12</v>
      </c>
      <c r="B166" s="35"/>
      <c r="C166" s="35"/>
      <c r="D166" s="28" t="s">
        <v>193</v>
      </c>
      <c r="E166" s="29"/>
      <c r="F166" s="29"/>
      <c r="G166" s="29"/>
      <c r="H166" s="29"/>
      <c r="I166" s="29"/>
      <c r="J166" s="29"/>
      <c r="K166" s="29"/>
      <c r="L166" s="29"/>
      <c r="M166" s="29"/>
      <c r="N166" s="29"/>
      <c r="O166" s="29"/>
      <c r="P166" s="29"/>
      <c r="Q166" s="29"/>
      <c r="R166" s="29"/>
      <c r="S166" s="29"/>
      <c r="T166" s="30"/>
      <c r="U166" s="46">
        <v>60450</v>
      </c>
      <c r="V166" s="47"/>
      <c r="W166" s="47"/>
      <c r="X166" s="47"/>
      <c r="Y166" s="48"/>
      <c r="Z166" s="46">
        <v>0</v>
      </c>
      <c r="AA166" s="47"/>
      <c r="AB166" s="47"/>
      <c r="AC166" s="47"/>
      <c r="AD166" s="48"/>
      <c r="AE166" s="49">
        <v>0</v>
      </c>
      <c r="AF166" s="49"/>
      <c r="AG166" s="49"/>
      <c r="AH166" s="49"/>
      <c r="AI166" s="49"/>
      <c r="AJ166" s="27">
        <f t="shared" si="8"/>
        <v>60450</v>
      </c>
      <c r="AK166" s="27"/>
      <c r="AL166" s="27"/>
      <c r="AM166" s="27"/>
      <c r="AN166" s="27"/>
      <c r="AO166" s="49">
        <v>65287</v>
      </c>
      <c r="AP166" s="49"/>
      <c r="AQ166" s="49"/>
      <c r="AR166" s="49"/>
      <c r="AS166" s="49"/>
      <c r="AT166" s="27">
        <v>0</v>
      </c>
      <c r="AU166" s="27"/>
      <c r="AV166" s="27"/>
      <c r="AW166" s="27"/>
      <c r="AX166" s="27"/>
      <c r="AY166" s="49">
        <v>0</v>
      </c>
      <c r="AZ166" s="49"/>
      <c r="BA166" s="49"/>
      <c r="BB166" s="49"/>
      <c r="BC166" s="49"/>
      <c r="BD166" s="27">
        <f t="shared" si="9"/>
        <v>65287</v>
      </c>
      <c r="BE166" s="27"/>
      <c r="BF166" s="27"/>
      <c r="BG166" s="27"/>
      <c r="BH166" s="27"/>
    </row>
    <row r="167" spans="1:60" s="4" customFormat="1" ht="12.75" customHeight="1" x14ac:dyDescent="0.2">
      <c r="A167" s="34">
        <v>13</v>
      </c>
      <c r="B167" s="35"/>
      <c r="C167" s="35"/>
      <c r="D167" s="28" t="s">
        <v>194</v>
      </c>
      <c r="E167" s="29"/>
      <c r="F167" s="29"/>
      <c r="G167" s="29"/>
      <c r="H167" s="29"/>
      <c r="I167" s="29"/>
      <c r="J167" s="29"/>
      <c r="K167" s="29"/>
      <c r="L167" s="29"/>
      <c r="M167" s="29"/>
      <c r="N167" s="29"/>
      <c r="O167" s="29"/>
      <c r="P167" s="29"/>
      <c r="Q167" s="29"/>
      <c r="R167" s="29"/>
      <c r="S167" s="29"/>
      <c r="T167" s="30"/>
      <c r="U167" s="46">
        <v>0</v>
      </c>
      <c r="V167" s="47"/>
      <c r="W167" s="47"/>
      <c r="X167" s="47"/>
      <c r="Y167" s="48"/>
      <c r="Z167" s="46">
        <v>0</v>
      </c>
      <c r="AA167" s="47"/>
      <c r="AB167" s="47"/>
      <c r="AC167" s="47"/>
      <c r="AD167" s="48"/>
      <c r="AE167" s="49">
        <v>0</v>
      </c>
      <c r="AF167" s="49"/>
      <c r="AG167" s="49"/>
      <c r="AH167" s="49"/>
      <c r="AI167" s="49"/>
      <c r="AJ167" s="27">
        <f t="shared" si="8"/>
        <v>0</v>
      </c>
      <c r="AK167" s="27"/>
      <c r="AL167" s="27"/>
      <c r="AM167" s="27"/>
      <c r="AN167" s="27"/>
      <c r="AO167" s="49">
        <v>0</v>
      </c>
      <c r="AP167" s="49"/>
      <c r="AQ167" s="49"/>
      <c r="AR167" s="49"/>
      <c r="AS167" s="49"/>
      <c r="AT167" s="27">
        <v>0</v>
      </c>
      <c r="AU167" s="27"/>
      <c r="AV167" s="27"/>
      <c r="AW167" s="27"/>
      <c r="AX167" s="27"/>
      <c r="AY167" s="49">
        <v>0</v>
      </c>
      <c r="AZ167" s="49"/>
      <c r="BA167" s="49"/>
      <c r="BB167" s="49"/>
      <c r="BC167" s="49"/>
      <c r="BD167" s="27">
        <f t="shared" si="9"/>
        <v>0</v>
      </c>
      <c r="BE167" s="27"/>
      <c r="BF167" s="27"/>
      <c r="BG167" s="27"/>
      <c r="BH167" s="27"/>
    </row>
    <row r="168" spans="1:60" s="4" customFormat="1" ht="12.75" customHeight="1" x14ac:dyDescent="0.2">
      <c r="A168" s="34">
        <v>14</v>
      </c>
      <c r="B168" s="35"/>
      <c r="C168" s="35"/>
      <c r="D168" s="28" t="s">
        <v>195</v>
      </c>
      <c r="E168" s="29"/>
      <c r="F168" s="29"/>
      <c r="G168" s="29"/>
      <c r="H168" s="29"/>
      <c r="I168" s="29"/>
      <c r="J168" s="29"/>
      <c r="K168" s="29"/>
      <c r="L168" s="29"/>
      <c r="M168" s="29"/>
      <c r="N168" s="29"/>
      <c r="O168" s="29"/>
      <c r="P168" s="29"/>
      <c r="Q168" s="29"/>
      <c r="R168" s="29"/>
      <c r="S168" s="29"/>
      <c r="T168" s="30"/>
      <c r="U168" s="46">
        <v>384650</v>
      </c>
      <c r="V168" s="47"/>
      <c r="W168" s="47"/>
      <c r="X168" s="47"/>
      <c r="Y168" s="48"/>
      <c r="Z168" s="46">
        <v>0</v>
      </c>
      <c r="AA168" s="47"/>
      <c r="AB168" s="47"/>
      <c r="AC168" s="47"/>
      <c r="AD168" s="48"/>
      <c r="AE168" s="49">
        <v>0</v>
      </c>
      <c r="AF168" s="49"/>
      <c r="AG168" s="49"/>
      <c r="AH168" s="49"/>
      <c r="AI168" s="49"/>
      <c r="AJ168" s="27">
        <f t="shared" si="8"/>
        <v>384650</v>
      </c>
      <c r="AK168" s="27"/>
      <c r="AL168" s="27"/>
      <c r="AM168" s="27"/>
      <c r="AN168" s="27"/>
      <c r="AO168" s="49">
        <v>415422</v>
      </c>
      <c r="AP168" s="49"/>
      <c r="AQ168" s="49"/>
      <c r="AR168" s="49"/>
      <c r="AS168" s="49"/>
      <c r="AT168" s="27">
        <v>0</v>
      </c>
      <c r="AU168" s="27"/>
      <c r="AV168" s="27"/>
      <c r="AW168" s="27"/>
      <c r="AX168" s="27"/>
      <c r="AY168" s="49">
        <v>0</v>
      </c>
      <c r="AZ168" s="49"/>
      <c r="BA168" s="49"/>
      <c r="BB168" s="49"/>
      <c r="BC168" s="49"/>
      <c r="BD168" s="27">
        <f t="shared" si="9"/>
        <v>415422</v>
      </c>
      <c r="BE168" s="27"/>
      <c r="BF168" s="27"/>
      <c r="BG168" s="27"/>
      <c r="BH168" s="27"/>
    </row>
    <row r="169" spans="1:60" s="4" customFormat="1" ht="12.75" customHeight="1" x14ac:dyDescent="0.2">
      <c r="A169" s="34">
        <v>15</v>
      </c>
      <c r="B169" s="35"/>
      <c r="C169" s="35"/>
      <c r="D169" s="28" t="s">
        <v>196</v>
      </c>
      <c r="E169" s="29"/>
      <c r="F169" s="29"/>
      <c r="G169" s="29"/>
      <c r="H169" s="29"/>
      <c r="I169" s="29"/>
      <c r="J169" s="29"/>
      <c r="K169" s="29"/>
      <c r="L169" s="29"/>
      <c r="M169" s="29"/>
      <c r="N169" s="29"/>
      <c r="O169" s="29"/>
      <c r="P169" s="29"/>
      <c r="Q169" s="29"/>
      <c r="R169" s="29"/>
      <c r="S169" s="29"/>
      <c r="T169" s="30"/>
      <c r="U169" s="46">
        <v>138969</v>
      </c>
      <c r="V169" s="47"/>
      <c r="W169" s="47"/>
      <c r="X169" s="47"/>
      <c r="Y169" s="48"/>
      <c r="Z169" s="46">
        <v>0</v>
      </c>
      <c r="AA169" s="47"/>
      <c r="AB169" s="47"/>
      <c r="AC169" s="47"/>
      <c r="AD169" s="48"/>
      <c r="AE169" s="49">
        <v>0</v>
      </c>
      <c r="AF169" s="49"/>
      <c r="AG169" s="49"/>
      <c r="AH169" s="49"/>
      <c r="AI169" s="49"/>
      <c r="AJ169" s="27">
        <f t="shared" si="8"/>
        <v>138969</v>
      </c>
      <c r="AK169" s="27"/>
      <c r="AL169" s="27"/>
      <c r="AM169" s="27"/>
      <c r="AN169" s="27"/>
      <c r="AO169" s="49">
        <v>150086</v>
      </c>
      <c r="AP169" s="49"/>
      <c r="AQ169" s="49"/>
      <c r="AR169" s="49"/>
      <c r="AS169" s="49"/>
      <c r="AT169" s="27">
        <v>0</v>
      </c>
      <c r="AU169" s="27"/>
      <c r="AV169" s="27"/>
      <c r="AW169" s="27"/>
      <c r="AX169" s="27"/>
      <c r="AY169" s="49">
        <v>0</v>
      </c>
      <c r="AZ169" s="49"/>
      <c r="BA169" s="49"/>
      <c r="BB169" s="49"/>
      <c r="BC169" s="49"/>
      <c r="BD169" s="27">
        <f t="shared" si="9"/>
        <v>150086</v>
      </c>
      <c r="BE169" s="27"/>
      <c r="BF169" s="27"/>
      <c r="BG169" s="27"/>
      <c r="BH169" s="27"/>
    </row>
    <row r="170" spans="1:60" s="4" customFormat="1" ht="12.75" customHeight="1" x14ac:dyDescent="0.2">
      <c r="A170" s="34">
        <v>16</v>
      </c>
      <c r="B170" s="35"/>
      <c r="C170" s="35"/>
      <c r="D170" s="28" t="s">
        <v>197</v>
      </c>
      <c r="E170" s="29"/>
      <c r="F170" s="29"/>
      <c r="G170" s="29"/>
      <c r="H170" s="29"/>
      <c r="I170" s="29"/>
      <c r="J170" s="29"/>
      <c r="K170" s="29"/>
      <c r="L170" s="29"/>
      <c r="M170" s="29"/>
      <c r="N170" s="29"/>
      <c r="O170" s="29"/>
      <c r="P170" s="29"/>
      <c r="Q170" s="29"/>
      <c r="R170" s="29"/>
      <c r="S170" s="29"/>
      <c r="T170" s="30"/>
      <c r="U170" s="46">
        <v>27475</v>
      </c>
      <c r="V170" s="47"/>
      <c r="W170" s="47"/>
      <c r="X170" s="47"/>
      <c r="Y170" s="48"/>
      <c r="Z170" s="46">
        <v>0</v>
      </c>
      <c r="AA170" s="47"/>
      <c r="AB170" s="47"/>
      <c r="AC170" s="47"/>
      <c r="AD170" s="48"/>
      <c r="AE170" s="49">
        <v>0</v>
      </c>
      <c r="AF170" s="49"/>
      <c r="AG170" s="49"/>
      <c r="AH170" s="49"/>
      <c r="AI170" s="49"/>
      <c r="AJ170" s="27">
        <f t="shared" si="8"/>
        <v>27475</v>
      </c>
      <c r="AK170" s="27"/>
      <c r="AL170" s="27"/>
      <c r="AM170" s="27"/>
      <c r="AN170" s="27"/>
      <c r="AO170" s="49">
        <v>29673</v>
      </c>
      <c r="AP170" s="49"/>
      <c r="AQ170" s="49"/>
      <c r="AR170" s="49"/>
      <c r="AS170" s="49"/>
      <c r="AT170" s="27">
        <v>0</v>
      </c>
      <c r="AU170" s="27"/>
      <c r="AV170" s="27"/>
      <c r="AW170" s="27"/>
      <c r="AX170" s="27"/>
      <c r="AY170" s="49">
        <v>0</v>
      </c>
      <c r="AZ170" s="49"/>
      <c r="BA170" s="49"/>
      <c r="BB170" s="49"/>
      <c r="BC170" s="49"/>
      <c r="BD170" s="27">
        <f t="shared" si="9"/>
        <v>29673</v>
      </c>
      <c r="BE170" s="27"/>
      <c r="BF170" s="27"/>
      <c r="BG170" s="27"/>
      <c r="BH170" s="27"/>
    </row>
    <row r="171" spans="1:60" s="4" customFormat="1" ht="25.5" customHeight="1" x14ac:dyDescent="0.2">
      <c r="A171" s="34">
        <v>17</v>
      </c>
      <c r="B171" s="35"/>
      <c r="C171" s="35"/>
      <c r="D171" s="28" t="s">
        <v>198</v>
      </c>
      <c r="E171" s="29"/>
      <c r="F171" s="29"/>
      <c r="G171" s="29"/>
      <c r="H171" s="29"/>
      <c r="I171" s="29"/>
      <c r="J171" s="29"/>
      <c r="K171" s="29"/>
      <c r="L171" s="29"/>
      <c r="M171" s="29"/>
      <c r="N171" s="29"/>
      <c r="O171" s="29"/>
      <c r="P171" s="29"/>
      <c r="Q171" s="29"/>
      <c r="R171" s="29"/>
      <c r="S171" s="29"/>
      <c r="T171" s="30"/>
      <c r="U171" s="46">
        <v>2198</v>
      </c>
      <c r="V171" s="47"/>
      <c r="W171" s="47"/>
      <c r="X171" s="47"/>
      <c r="Y171" s="48"/>
      <c r="Z171" s="46">
        <v>0</v>
      </c>
      <c r="AA171" s="47"/>
      <c r="AB171" s="47"/>
      <c r="AC171" s="47"/>
      <c r="AD171" s="48"/>
      <c r="AE171" s="49">
        <v>0</v>
      </c>
      <c r="AF171" s="49"/>
      <c r="AG171" s="49"/>
      <c r="AH171" s="49"/>
      <c r="AI171" s="49"/>
      <c r="AJ171" s="27">
        <f t="shared" si="8"/>
        <v>2198</v>
      </c>
      <c r="AK171" s="27"/>
      <c r="AL171" s="27"/>
      <c r="AM171" s="27"/>
      <c r="AN171" s="27"/>
      <c r="AO171" s="49">
        <v>2374</v>
      </c>
      <c r="AP171" s="49"/>
      <c r="AQ171" s="49"/>
      <c r="AR171" s="49"/>
      <c r="AS171" s="49"/>
      <c r="AT171" s="27">
        <v>0</v>
      </c>
      <c r="AU171" s="27"/>
      <c r="AV171" s="27"/>
      <c r="AW171" s="27"/>
      <c r="AX171" s="27"/>
      <c r="AY171" s="49">
        <v>0</v>
      </c>
      <c r="AZ171" s="49"/>
      <c r="BA171" s="49"/>
      <c r="BB171" s="49"/>
      <c r="BC171" s="49"/>
      <c r="BD171" s="27">
        <f t="shared" si="9"/>
        <v>2374</v>
      </c>
      <c r="BE171" s="27"/>
      <c r="BF171" s="27"/>
      <c r="BG171" s="27"/>
      <c r="BH171" s="27"/>
    </row>
    <row r="172" spans="1:60" s="4" customFormat="1" ht="12.75" customHeight="1" x14ac:dyDescent="0.2">
      <c r="A172" s="34">
        <v>18</v>
      </c>
      <c r="B172" s="35"/>
      <c r="C172" s="35"/>
      <c r="D172" s="28" t="s">
        <v>199</v>
      </c>
      <c r="E172" s="29"/>
      <c r="F172" s="29"/>
      <c r="G172" s="29"/>
      <c r="H172" s="29"/>
      <c r="I172" s="29"/>
      <c r="J172" s="29"/>
      <c r="K172" s="29"/>
      <c r="L172" s="29"/>
      <c r="M172" s="29"/>
      <c r="N172" s="29"/>
      <c r="O172" s="29"/>
      <c r="P172" s="29"/>
      <c r="Q172" s="29"/>
      <c r="R172" s="29"/>
      <c r="S172" s="29"/>
      <c r="T172" s="30"/>
      <c r="U172" s="46">
        <v>27787</v>
      </c>
      <c r="V172" s="47"/>
      <c r="W172" s="47"/>
      <c r="X172" s="47"/>
      <c r="Y172" s="48"/>
      <c r="Z172" s="46">
        <v>0</v>
      </c>
      <c r="AA172" s="47"/>
      <c r="AB172" s="47"/>
      <c r="AC172" s="47"/>
      <c r="AD172" s="48"/>
      <c r="AE172" s="49">
        <v>0</v>
      </c>
      <c r="AF172" s="49"/>
      <c r="AG172" s="49"/>
      <c r="AH172" s="49"/>
      <c r="AI172" s="49"/>
      <c r="AJ172" s="27">
        <f t="shared" si="8"/>
        <v>27787</v>
      </c>
      <c r="AK172" s="27"/>
      <c r="AL172" s="27"/>
      <c r="AM172" s="27"/>
      <c r="AN172" s="27"/>
      <c r="AO172" s="49">
        <v>30010</v>
      </c>
      <c r="AP172" s="49"/>
      <c r="AQ172" s="49"/>
      <c r="AR172" s="49"/>
      <c r="AS172" s="49"/>
      <c r="AT172" s="27">
        <v>0</v>
      </c>
      <c r="AU172" s="27"/>
      <c r="AV172" s="27"/>
      <c r="AW172" s="27"/>
      <c r="AX172" s="27"/>
      <c r="AY172" s="49">
        <v>0</v>
      </c>
      <c r="AZ172" s="49"/>
      <c r="BA172" s="49"/>
      <c r="BB172" s="49"/>
      <c r="BC172" s="49"/>
      <c r="BD172" s="27">
        <f t="shared" si="9"/>
        <v>30010</v>
      </c>
      <c r="BE172" s="27"/>
      <c r="BF172" s="27"/>
      <c r="BG172" s="27"/>
      <c r="BH172" s="27"/>
    </row>
    <row r="173" spans="1:60" s="4" customFormat="1" ht="25.5" customHeight="1" x14ac:dyDescent="0.2">
      <c r="A173" s="34">
        <v>19</v>
      </c>
      <c r="B173" s="35"/>
      <c r="C173" s="35"/>
      <c r="D173" s="28" t="s">
        <v>200</v>
      </c>
      <c r="E173" s="29"/>
      <c r="F173" s="29"/>
      <c r="G173" s="29"/>
      <c r="H173" s="29"/>
      <c r="I173" s="29"/>
      <c r="J173" s="29"/>
      <c r="K173" s="29"/>
      <c r="L173" s="29"/>
      <c r="M173" s="29"/>
      <c r="N173" s="29"/>
      <c r="O173" s="29"/>
      <c r="P173" s="29"/>
      <c r="Q173" s="29"/>
      <c r="R173" s="29"/>
      <c r="S173" s="29"/>
      <c r="T173" s="30"/>
      <c r="U173" s="46">
        <v>109790</v>
      </c>
      <c r="V173" s="47"/>
      <c r="W173" s="47"/>
      <c r="X173" s="47"/>
      <c r="Y173" s="48"/>
      <c r="Z173" s="46">
        <v>0</v>
      </c>
      <c r="AA173" s="47"/>
      <c r="AB173" s="47"/>
      <c r="AC173" s="47"/>
      <c r="AD173" s="48"/>
      <c r="AE173" s="49">
        <v>0</v>
      </c>
      <c r="AF173" s="49"/>
      <c r="AG173" s="49"/>
      <c r="AH173" s="49"/>
      <c r="AI173" s="49"/>
      <c r="AJ173" s="27">
        <f t="shared" si="8"/>
        <v>109790</v>
      </c>
      <c r="AK173" s="27"/>
      <c r="AL173" s="27"/>
      <c r="AM173" s="27"/>
      <c r="AN173" s="27"/>
      <c r="AO173" s="49">
        <v>118573</v>
      </c>
      <c r="AP173" s="49"/>
      <c r="AQ173" s="49"/>
      <c r="AR173" s="49"/>
      <c r="AS173" s="49"/>
      <c r="AT173" s="27">
        <v>0</v>
      </c>
      <c r="AU173" s="27"/>
      <c r="AV173" s="27"/>
      <c r="AW173" s="27"/>
      <c r="AX173" s="27"/>
      <c r="AY173" s="49">
        <v>0</v>
      </c>
      <c r="AZ173" s="49"/>
      <c r="BA173" s="49"/>
      <c r="BB173" s="49"/>
      <c r="BC173" s="49"/>
      <c r="BD173" s="27">
        <f t="shared" si="9"/>
        <v>118573</v>
      </c>
      <c r="BE173" s="27"/>
      <c r="BF173" s="27"/>
      <c r="BG173" s="27"/>
      <c r="BH173" s="27"/>
    </row>
    <row r="174" spans="1:60" s="4" customFormat="1" ht="25.5" customHeight="1" x14ac:dyDescent="0.2">
      <c r="A174" s="34">
        <v>20</v>
      </c>
      <c r="B174" s="35"/>
      <c r="C174" s="35"/>
      <c r="D174" s="28" t="s">
        <v>201</v>
      </c>
      <c r="E174" s="29"/>
      <c r="F174" s="29"/>
      <c r="G174" s="29"/>
      <c r="H174" s="29"/>
      <c r="I174" s="29"/>
      <c r="J174" s="29"/>
      <c r="K174" s="29"/>
      <c r="L174" s="29"/>
      <c r="M174" s="29"/>
      <c r="N174" s="29"/>
      <c r="O174" s="29"/>
      <c r="P174" s="29"/>
      <c r="Q174" s="29"/>
      <c r="R174" s="29"/>
      <c r="S174" s="29"/>
      <c r="T174" s="30"/>
      <c r="U174" s="46">
        <v>72534</v>
      </c>
      <c r="V174" s="47"/>
      <c r="W174" s="47"/>
      <c r="X174" s="47"/>
      <c r="Y174" s="48"/>
      <c r="Z174" s="46">
        <v>0</v>
      </c>
      <c r="AA174" s="47"/>
      <c r="AB174" s="47"/>
      <c r="AC174" s="47"/>
      <c r="AD174" s="48"/>
      <c r="AE174" s="49">
        <v>0</v>
      </c>
      <c r="AF174" s="49"/>
      <c r="AG174" s="49"/>
      <c r="AH174" s="49"/>
      <c r="AI174" s="49"/>
      <c r="AJ174" s="27">
        <f t="shared" si="8"/>
        <v>72534</v>
      </c>
      <c r="AK174" s="27"/>
      <c r="AL174" s="27"/>
      <c r="AM174" s="27"/>
      <c r="AN174" s="27"/>
      <c r="AO174" s="49">
        <v>78337</v>
      </c>
      <c r="AP174" s="49"/>
      <c r="AQ174" s="49"/>
      <c r="AR174" s="49"/>
      <c r="AS174" s="49"/>
      <c r="AT174" s="27">
        <v>0</v>
      </c>
      <c r="AU174" s="27"/>
      <c r="AV174" s="27"/>
      <c r="AW174" s="27"/>
      <c r="AX174" s="27"/>
      <c r="AY174" s="49">
        <v>0</v>
      </c>
      <c r="AZ174" s="49"/>
      <c r="BA174" s="49"/>
      <c r="BB174" s="49"/>
      <c r="BC174" s="49"/>
      <c r="BD174" s="27">
        <f t="shared" si="9"/>
        <v>78337</v>
      </c>
      <c r="BE174" s="27"/>
      <c r="BF174" s="27"/>
      <c r="BG174" s="27"/>
      <c r="BH174" s="27"/>
    </row>
    <row r="175" spans="1:60" s="4" customFormat="1" ht="25.5" customHeight="1" x14ac:dyDescent="0.2">
      <c r="A175" s="34">
        <v>21</v>
      </c>
      <c r="B175" s="35"/>
      <c r="C175" s="35"/>
      <c r="D175" s="28" t="s">
        <v>202</v>
      </c>
      <c r="E175" s="29"/>
      <c r="F175" s="29"/>
      <c r="G175" s="29"/>
      <c r="H175" s="29"/>
      <c r="I175" s="29"/>
      <c r="J175" s="29"/>
      <c r="K175" s="29"/>
      <c r="L175" s="29"/>
      <c r="M175" s="29"/>
      <c r="N175" s="29"/>
      <c r="O175" s="29"/>
      <c r="P175" s="29"/>
      <c r="Q175" s="29"/>
      <c r="R175" s="29"/>
      <c r="S175" s="29"/>
      <c r="T175" s="30"/>
      <c r="U175" s="46">
        <v>5495</v>
      </c>
      <c r="V175" s="47"/>
      <c r="W175" s="47"/>
      <c r="X175" s="47"/>
      <c r="Y175" s="48"/>
      <c r="Z175" s="46">
        <v>0</v>
      </c>
      <c r="AA175" s="47"/>
      <c r="AB175" s="47"/>
      <c r="AC175" s="47"/>
      <c r="AD175" s="48"/>
      <c r="AE175" s="49">
        <v>0</v>
      </c>
      <c r="AF175" s="49"/>
      <c r="AG175" s="49"/>
      <c r="AH175" s="49"/>
      <c r="AI175" s="49"/>
      <c r="AJ175" s="27">
        <f t="shared" si="8"/>
        <v>5495</v>
      </c>
      <c r="AK175" s="27"/>
      <c r="AL175" s="27"/>
      <c r="AM175" s="27"/>
      <c r="AN175" s="27"/>
      <c r="AO175" s="49">
        <v>5935</v>
      </c>
      <c r="AP175" s="49"/>
      <c r="AQ175" s="49"/>
      <c r="AR175" s="49"/>
      <c r="AS175" s="49"/>
      <c r="AT175" s="27">
        <v>0</v>
      </c>
      <c r="AU175" s="27"/>
      <c r="AV175" s="27"/>
      <c r="AW175" s="27"/>
      <c r="AX175" s="27"/>
      <c r="AY175" s="49">
        <v>0</v>
      </c>
      <c r="AZ175" s="49"/>
      <c r="BA175" s="49"/>
      <c r="BB175" s="49"/>
      <c r="BC175" s="49"/>
      <c r="BD175" s="27">
        <f t="shared" si="9"/>
        <v>5935</v>
      </c>
      <c r="BE175" s="27"/>
      <c r="BF175" s="27"/>
      <c r="BG175" s="27"/>
      <c r="BH175" s="27"/>
    </row>
    <row r="176" spans="1:60" s="4" customFormat="1" ht="25.5" customHeight="1" x14ac:dyDescent="0.2">
      <c r="A176" s="34">
        <v>22</v>
      </c>
      <c r="B176" s="35"/>
      <c r="C176" s="35"/>
      <c r="D176" s="28" t="s">
        <v>203</v>
      </c>
      <c r="E176" s="29"/>
      <c r="F176" s="29"/>
      <c r="G176" s="29"/>
      <c r="H176" s="29"/>
      <c r="I176" s="29"/>
      <c r="J176" s="29"/>
      <c r="K176" s="29"/>
      <c r="L176" s="29"/>
      <c r="M176" s="29"/>
      <c r="N176" s="29"/>
      <c r="O176" s="29"/>
      <c r="P176" s="29"/>
      <c r="Q176" s="29"/>
      <c r="R176" s="29"/>
      <c r="S176" s="29"/>
      <c r="T176" s="30"/>
      <c r="U176" s="46">
        <v>25277</v>
      </c>
      <c r="V176" s="47"/>
      <c r="W176" s="47"/>
      <c r="X176" s="47"/>
      <c r="Y176" s="48"/>
      <c r="Z176" s="46">
        <v>0</v>
      </c>
      <c r="AA176" s="47"/>
      <c r="AB176" s="47"/>
      <c r="AC176" s="47"/>
      <c r="AD176" s="48"/>
      <c r="AE176" s="49">
        <v>0</v>
      </c>
      <c r="AF176" s="49"/>
      <c r="AG176" s="49"/>
      <c r="AH176" s="49"/>
      <c r="AI176" s="49"/>
      <c r="AJ176" s="27">
        <f t="shared" si="8"/>
        <v>25277</v>
      </c>
      <c r="AK176" s="27"/>
      <c r="AL176" s="27"/>
      <c r="AM176" s="27"/>
      <c r="AN176" s="27"/>
      <c r="AO176" s="49">
        <v>27299</v>
      </c>
      <c r="AP176" s="49"/>
      <c r="AQ176" s="49"/>
      <c r="AR176" s="49"/>
      <c r="AS176" s="49"/>
      <c r="AT176" s="27">
        <v>0</v>
      </c>
      <c r="AU176" s="27"/>
      <c r="AV176" s="27"/>
      <c r="AW176" s="27"/>
      <c r="AX176" s="27"/>
      <c r="AY176" s="49">
        <v>0</v>
      </c>
      <c r="AZ176" s="49"/>
      <c r="BA176" s="49"/>
      <c r="BB176" s="49"/>
      <c r="BC176" s="49"/>
      <c r="BD176" s="27">
        <f t="shared" si="9"/>
        <v>27299</v>
      </c>
      <c r="BE176" s="27"/>
      <c r="BF176" s="27"/>
      <c r="BG176" s="27"/>
      <c r="BH176" s="27"/>
    </row>
    <row r="177" spans="1:60" s="4" customFormat="1" ht="25.5" customHeight="1" x14ac:dyDescent="0.2">
      <c r="A177" s="34">
        <v>23</v>
      </c>
      <c r="B177" s="35"/>
      <c r="C177" s="35"/>
      <c r="D177" s="28" t="s">
        <v>204</v>
      </c>
      <c r="E177" s="29"/>
      <c r="F177" s="29"/>
      <c r="G177" s="29"/>
      <c r="H177" s="29"/>
      <c r="I177" s="29"/>
      <c r="J177" s="29"/>
      <c r="K177" s="29"/>
      <c r="L177" s="29"/>
      <c r="M177" s="29"/>
      <c r="N177" s="29"/>
      <c r="O177" s="29"/>
      <c r="P177" s="29"/>
      <c r="Q177" s="29"/>
      <c r="R177" s="29"/>
      <c r="S177" s="29"/>
      <c r="T177" s="30"/>
      <c r="U177" s="46">
        <v>222877</v>
      </c>
      <c r="V177" s="47"/>
      <c r="W177" s="47"/>
      <c r="X177" s="47"/>
      <c r="Y177" s="48"/>
      <c r="Z177" s="46">
        <v>0</v>
      </c>
      <c r="AA177" s="47"/>
      <c r="AB177" s="47"/>
      <c r="AC177" s="47"/>
      <c r="AD177" s="48"/>
      <c r="AE177" s="49">
        <v>0</v>
      </c>
      <c r="AF177" s="49"/>
      <c r="AG177" s="49"/>
      <c r="AH177" s="49"/>
      <c r="AI177" s="49"/>
      <c r="AJ177" s="27">
        <f t="shared" si="8"/>
        <v>222877</v>
      </c>
      <c r="AK177" s="27"/>
      <c r="AL177" s="27"/>
      <c r="AM177" s="27"/>
      <c r="AN177" s="27"/>
      <c r="AO177" s="49">
        <v>240707</v>
      </c>
      <c r="AP177" s="49"/>
      <c r="AQ177" s="49"/>
      <c r="AR177" s="49"/>
      <c r="AS177" s="49"/>
      <c r="AT177" s="27">
        <v>0</v>
      </c>
      <c r="AU177" s="27"/>
      <c r="AV177" s="27"/>
      <c r="AW177" s="27"/>
      <c r="AX177" s="27"/>
      <c r="AY177" s="49">
        <v>0</v>
      </c>
      <c r="AZ177" s="49"/>
      <c r="BA177" s="49"/>
      <c r="BB177" s="49"/>
      <c r="BC177" s="49"/>
      <c r="BD177" s="27">
        <f t="shared" si="9"/>
        <v>240707</v>
      </c>
      <c r="BE177" s="27"/>
      <c r="BF177" s="27"/>
      <c r="BG177" s="27"/>
      <c r="BH177" s="27"/>
    </row>
    <row r="178" spans="1:60" s="4" customFormat="1" ht="25.5" customHeight="1" x14ac:dyDescent="0.2">
      <c r="A178" s="34">
        <v>24</v>
      </c>
      <c r="B178" s="35"/>
      <c r="C178" s="35"/>
      <c r="D178" s="28" t="s">
        <v>205</v>
      </c>
      <c r="E178" s="29"/>
      <c r="F178" s="29"/>
      <c r="G178" s="29"/>
      <c r="H178" s="29"/>
      <c r="I178" s="29"/>
      <c r="J178" s="29"/>
      <c r="K178" s="29"/>
      <c r="L178" s="29"/>
      <c r="M178" s="29"/>
      <c r="N178" s="29"/>
      <c r="O178" s="29"/>
      <c r="P178" s="29"/>
      <c r="Q178" s="29"/>
      <c r="R178" s="29"/>
      <c r="S178" s="29"/>
      <c r="T178" s="30"/>
      <c r="U178" s="46">
        <v>13188</v>
      </c>
      <c r="V178" s="47"/>
      <c r="W178" s="47"/>
      <c r="X178" s="47"/>
      <c r="Y178" s="48"/>
      <c r="Z178" s="46">
        <v>0</v>
      </c>
      <c r="AA178" s="47"/>
      <c r="AB178" s="47"/>
      <c r="AC178" s="47"/>
      <c r="AD178" s="48"/>
      <c r="AE178" s="49">
        <v>0</v>
      </c>
      <c r="AF178" s="49"/>
      <c r="AG178" s="49"/>
      <c r="AH178" s="49"/>
      <c r="AI178" s="49"/>
      <c r="AJ178" s="27">
        <f t="shared" si="8"/>
        <v>13188</v>
      </c>
      <c r="AK178" s="27"/>
      <c r="AL178" s="27"/>
      <c r="AM178" s="27"/>
      <c r="AN178" s="27"/>
      <c r="AO178" s="49">
        <v>14243</v>
      </c>
      <c r="AP178" s="49"/>
      <c r="AQ178" s="49"/>
      <c r="AR178" s="49"/>
      <c r="AS178" s="49"/>
      <c r="AT178" s="27">
        <v>0</v>
      </c>
      <c r="AU178" s="27"/>
      <c r="AV178" s="27"/>
      <c r="AW178" s="27"/>
      <c r="AX178" s="27"/>
      <c r="AY178" s="49">
        <v>0</v>
      </c>
      <c r="AZ178" s="49"/>
      <c r="BA178" s="49"/>
      <c r="BB178" s="49"/>
      <c r="BC178" s="49"/>
      <c r="BD178" s="27">
        <f t="shared" si="9"/>
        <v>14243</v>
      </c>
      <c r="BE178" s="27"/>
      <c r="BF178" s="27"/>
      <c r="BG178" s="27"/>
      <c r="BH178" s="27"/>
    </row>
    <row r="179" spans="1:60" s="4" customFormat="1" ht="12.75" customHeight="1" x14ac:dyDescent="0.2">
      <c r="A179" s="34">
        <v>25</v>
      </c>
      <c r="B179" s="35"/>
      <c r="C179" s="35"/>
      <c r="D179" s="28" t="s">
        <v>206</v>
      </c>
      <c r="E179" s="29"/>
      <c r="F179" s="29"/>
      <c r="G179" s="29"/>
      <c r="H179" s="29"/>
      <c r="I179" s="29"/>
      <c r="J179" s="29"/>
      <c r="K179" s="29"/>
      <c r="L179" s="29"/>
      <c r="M179" s="29"/>
      <c r="N179" s="29"/>
      <c r="O179" s="29"/>
      <c r="P179" s="29"/>
      <c r="Q179" s="29"/>
      <c r="R179" s="29"/>
      <c r="S179" s="29"/>
      <c r="T179" s="30"/>
      <c r="U179" s="46">
        <v>10990</v>
      </c>
      <c r="V179" s="47"/>
      <c r="W179" s="47"/>
      <c r="X179" s="47"/>
      <c r="Y179" s="48"/>
      <c r="Z179" s="46">
        <v>0</v>
      </c>
      <c r="AA179" s="47"/>
      <c r="AB179" s="47"/>
      <c r="AC179" s="47"/>
      <c r="AD179" s="48"/>
      <c r="AE179" s="49">
        <v>0</v>
      </c>
      <c r="AF179" s="49"/>
      <c r="AG179" s="49"/>
      <c r="AH179" s="49"/>
      <c r="AI179" s="49"/>
      <c r="AJ179" s="27">
        <f t="shared" si="8"/>
        <v>10990</v>
      </c>
      <c r="AK179" s="27"/>
      <c r="AL179" s="27"/>
      <c r="AM179" s="27"/>
      <c r="AN179" s="27"/>
      <c r="AO179" s="49">
        <v>11869</v>
      </c>
      <c r="AP179" s="49"/>
      <c r="AQ179" s="49"/>
      <c r="AR179" s="49"/>
      <c r="AS179" s="49"/>
      <c r="AT179" s="27">
        <v>0</v>
      </c>
      <c r="AU179" s="27"/>
      <c r="AV179" s="27"/>
      <c r="AW179" s="27"/>
      <c r="AX179" s="27"/>
      <c r="AY179" s="49">
        <v>0</v>
      </c>
      <c r="AZ179" s="49"/>
      <c r="BA179" s="49"/>
      <c r="BB179" s="49"/>
      <c r="BC179" s="49"/>
      <c r="BD179" s="27">
        <f t="shared" si="9"/>
        <v>11869</v>
      </c>
      <c r="BE179" s="27"/>
      <c r="BF179" s="27"/>
      <c r="BG179" s="27"/>
      <c r="BH179" s="27"/>
    </row>
    <row r="180" spans="1:60" s="4" customFormat="1" ht="12.75" customHeight="1" x14ac:dyDescent="0.2">
      <c r="A180" s="34">
        <v>26</v>
      </c>
      <c r="B180" s="35"/>
      <c r="C180" s="35"/>
      <c r="D180" s="28" t="s">
        <v>207</v>
      </c>
      <c r="E180" s="29"/>
      <c r="F180" s="29"/>
      <c r="G180" s="29"/>
      <c r="H180" s="29"/>
      <c r="I180" s="29"/>
      <c r="J180" s="29"/>
      <c r="K180" s="29"/>
      <c r="L180" s="29"/>
      <c r="M180" s="29"/>
      <c r="N180" s="29"/>
      <c r="O180" s="29"/>
      <c r="P180" s="29"/>
      <c r="Q180" s="29"/>
      <c r="R180" s="29"/>
      <c r="S180" s="29"/>
      <c r="T180" s="30"/>
      <c r="U180" s="46">
        <v>87920</v>
      </c>
      <c r="V180" s="47"/>
      <c r="W180" s="47"/>
      <c r="X180" s="47"/>
      <c r="Y180" s="48"/>
      <c r="Z180" s="46">
        <v>0</v>
      </c>
      <c r="AA180" s="47"/>
      <c r="AB180" s="47"/>
      <c r="AC180" s="47"/>
      <c r="AD180" s="48"/>
      <c r="AE180" s="49">
        <v>0</v>
      </c>
      <c r="AF180" s="49"/>
      <c r="AG180" s="49"/>
      <c r="AH180" s="49"/>
      <c r="AI180" s="49"/>
      <c r="AJ180" s="27">
        <f t="shared" si="8"/>
        <v>87920</v>
      </c>
      <c r="AK180" s="27"/>
      <c r="AL180" s="27"/>
      <c r="AM180" s="27"/>
      <c r="AN180" s="27"/>
      <c r="AO180" s="49">
        <v>94954</v>
      </c>
      <c r="AP180" s="49"/>
      <c r="AQ180" s="49"/>
      <c r="AR180" s="49"/>
      <c r="AS180" s="49"/>
      <c r="AT180" s="27">
        <v>0</v>
      </c>
      <c r="AU180" s="27"/>
      <c r="AV180" s="27"/>
      <c r="AW180" s="27"/>
      <c r="AX180" s="27"/>
      <c r="AY180" s="49">
        <v>0</v>
      </c>
      <c r="AZ180" s="49"/>
      <c r="BA180" s="49"/>
      <c r="BB180" s="49"/>
      <c r="BC180" s="49"/>
      <c r="BD180" s="27">
        <f t="shared" si="9"/>
        <v>94954</v>
      </c>
      <c r="BE180" s="27"/>
      <c r="BF180" s="27"/>
      <c r="BG180" s="27"/>
      <c r="BH180" s="27"/>
    </row>
    <row r="181" spans="1:60" s="4" customFormat="1" ht="12.75" customHeight="1" x14ac:dyDescent="0.2">
      <c r="A181" s="34">
        <v>27</v>
      </c>
      <c r="B181" s="35"/>
      <c r="C181" s="35"/>
      <c r="D181" s="28" t="s">
        <v>208</v>
      </c>
      <c r="E181" s="29"/>
      <c r="F181" s="29"/>
      <c r="G181" s="29"/>
      <c r="H181" s="29"/>
      <c r="I181" s="29"/>
      <c r="J181" s="29"/>
      <c r="K181" s="29"/>
      <c r="L181" s="29"/>
      <c r="M181" s="29"/>
      <c r="N181" s="29"/>
      <c r="O181" s="29"/>
      <c r="P181" s="29"/>
      <c r="Q181" s="29"/>
      <c r="R181" s="29"/>
      <c r="S181" s="29"/>
      <c r="T181" s="30"/>
      <c r="U181" s="46">
        <v>209706</v>
      </c>
      <c r="V181" s="47"/>
      <c r="W181" s="47"/>
      <c r="X181" s="47"/>
      <c r="Y181" s="48"/>
      <c r="Z181" s="46">
        <v>0</v>
      </c>
      <c r="AA181" s="47"/>
      <c r="AB181" s="47"/>
      <c r="AC181" s="47"/>
      <c r="AD181" s="48"/>
      <c r="AE181" s="49">
        <v>0</v>
      </c>
      <c r="AF181" s="49"/>
      <c r="AG181" s="49"/>
      <c r="AH181" s="49"/>
      <c r="AI181" s="49"/>
      <c r="AJ181" s="27">
        <f t="shared" si="8"/>
        <v>209706</v>
      </c>
      <c r="AK181" s="27"/>
      <c r="AL181" s="27"/>
      <c r="AM181" s="27"/>
      <c r="AN181" s="27"/>
      <c r="AO181" s="49">
        <v>226482</v>
      </c>
      <c r="AP181" s="49"/>
      <c r="AQ181" s="49"/>
      <c r="AR181" s="49"/>
      <c r="AS181" s="49"/>
      <c r="AT181" s="27">
        <v>0</v>
      </c>
      <c r="AU181" s="27"/>
      <c r="AV181" s="27"/>
      <c r="AW181" s="27"/>
      <c r="AX181" s="27"/>
      <c r="AY181" s="49">
        <v>0</v>
      </c>
      <c r="AZ181" s="49"/>
      <c r="BA181" s="49"/>
      <c r="BB181" s="49"/>
      <c r="BC181" s="49"/>
      <c r="BD181" s="27">
        <f t="shared" si="9"/>
        <v>226482</v>
      </c>
      <c r="BE181" s="27"/>
      <c r="BF181" s="27"/>
      <c r="BG181" s="27"/>
      <c r="BH181" s="27"/>
    </row>
    <row r="182" spans="1:60" s="4" customFormat="1" ht="51" customHeight="1" x14ac:dyDescent="0.2">
      <c r="A182" s="34">
        <v>28</v>
      </c>
      <c r="B182" s="35"/>
      <c r="C182" s="35"/>
      <c r="D182" s="28" t="s">
        <v>209</v>
      </c>
      <c r="E182" s="29"/>
      <c r="F182" s="29"/>
      <c r="G182" s="29"/>
      <c r="H182" s="29"/>
      <c r="I182" s="29"/>
      <c r="J182" s="29"/>
      <c r="K182" s="29"/>
      <c r="L182" s="29"/>
      <c r="M182" s="29"/>
      <c r="N182" s="29"/>
      <c r="O182" s="29"/>
      <c r="P182" s="29"/>
      <c r="Q182" s="29"/>
      <c r="R182" s="29"/>
      <c r="S182" s="29"/>
      <c r="T182" s="30"/>
      <c r="U182" s="46">
        <v>0</v>
      </c>
      <c r="V182" s="47"/>
      <c r="W182" s="47"/>
      <c r="X182" s="47"/>
      <c r="Y182" s="48"/>
      <c r="Z182" s="46">
        <v>0</v>
      </c>
      <c r="AA182" s="47"/>
      <c r="AB182" s="47"/>
      <c r="AC182" s="47"/>
      <c r="AD182" s="48"/>
      <c r="AE182" s="49">
        <v>0</v>
      </c>
      <c r="AF182" s="49"/>
      <c r="AG182" s="49"/>
      <c r="AH182" s="49"/>
      <c r="AI182" s="49"/>
      <c r="AJ182" s="27">
        <f t="shared" si="8"/>
        <v>0</v>
      </c>
      <c r="AK182" s="27"/>
      <c r="AL182" s="27"/>
      <c r="AM182" s="27"/>
      <c r="AN182" s="27"/>
      <c r="AO182" s="49">
        <v>0</v>
      </c>
      <c r="AP182" s="49"/>
      <c r="AQ182" s="49"/>
      <c r="AR182" s="49"/>
      <c r="AS182" s="49"/>
      <c r="AT182" s="27">
        <v>0</v>
      </c>
      <c r="AU182" s="27"/>
      <c r="AV182" s="27"/>
      <c r="AW182" s="27"/>
      <c r="AX182" s="27"/>
      <c r="AY182" s="49">
        <v>0</v>
      </c>
      <c r="AZ182" s="49"/>
      <c r="BA182" s="49"/>
      <c r="BB182" s="49"/>
      <c r="BC182" s="49"/>
      <c r="BD182" s="27">
        <f t="shared" si="9"/>
        <v>0</v>
      </c>
      <c r="BE182" s="27"/>
      <c r="BF182" s="27"/>
      <c r="BG182" s="27"/>
      <c r="BH182" s="27"/>
    </row>
    <row r="183" spans="1:60" s="4" customFormat="1" ht="25.5" customHeight="1" x14ac:dyDescent="0.2">
      <c r="A183" s="34">
        <v>29</v>
      </c>
      <c r="B183" s="35"/>
      <c r="C183" s="35"/>
      <c r="D183" s="28" t="s">
        <v>210</v>
      </c>
      <c r="E183" s="29"/>
      <c r="F183" s="29"/>
      <c r="G183" s="29"/>
      <c r="H183" s="29"/>
      <c r="I183" s="29"/>
      <c r="J183" s="29"/>
      <c r="K183" s="29"/>
      <c r="L183" s="29"/>
      <c r="M183" s="29"/>
      <c r="N183" s="29"/>
      <c r="O183" s="29"/>
      <c r="P183" s="29"/>
      <c r="Q183" s="29"/>
      <c r="R183" s="29"/>
      <c r="S183" s="29"/>
      <c r="T183" s="30"/>
      <c r="U183" s="46">
        <v>659</v>
      </c>
      <c r="V183" s="47"/>
      <c r="W183" s="47"/>
      <c r="X183" s="47"/>
      <c r="Y183" s="48"/>
      <c r="Z183" s="46">
        <v>0</v>
      </c>
      <c r="AA183" s="47"/>
      <c r="AB183" s="47"/>
      <c r="AC183" s="47"/>
      <c r="AD183" s="48"/>
      <c r="AE183" s="49">
        <v>0</v>
      </c>
      <c r="AF183" s="49"/>
      <c r="AG183" s="49"/>
      <c r="AH183" s="49"/>
      <c r="AI183" s="49"/>
      <c r="AJ183" s="27">
        <f t="shared" si="8"/>
        <v>659</v>
      </c>
      <c r="AK183" s="27"/>
      <c r="AL183" s="27"/>
      <c r="AM183" s="27"/>
      <c r="AN183" s="27"/>
      <c r="AO183" s="49">
        <v>712</v>
      </c>
      <c r="AP183" s="49"/>
      <c r="AQ183" s="49"/>
      <c r="AR183" s="49"/>
      <c r="AS183" s="49"/>
      <c r="AT183" s="27">
        <v>0</v>
      </c>
      <c r="AU183" s="27"/>
      <c r="AV183" s="27"/>
      <c r="AW183" s="27"/>
      <c r="AX183" s="27"/>
      <c r="AY183" s="49">
        <v>0</v>
      </c>
      <c r="AZ183" s="49"/>
      <c r="BA183" s="49"/>
      <c r="BB183" s="49"/>
      <c r="BC183" s="49"/>
      <c r="BD183" s="27">
        <f t="shared" si="9"/>
        <v>712</v>
      </c>
      <c r="BE183" s="27"/>
      <c r="BF183" s="27"/>
      <c r="BG183" s="27"/>
      <c r="BH183" s="27"/>
    </row>
    <row r="184" spans="1:60" s="4" customFormat="1" ht="12.75" customHeight="1" x14ac:dyDescent="0.2">
      <c r="A184" s="34">
        <v>30</v>
      </c>
      <c r="B184" s="35"/>
      <c r="C184" s="35"/>
      <c r="D184" s="28" t="s">
        <v>211</v>
      </c>
      <c r="E184" s="29"/>
      <c r="F184" s="29"/>
      <c r="G184" s="29"/>
      <c r="H184" s="29"/>
      <c r="I184" s="29"/>
      <c r="J184" s="29"/>
      <c r="K184" s="29"/>
      <c r="L184" s="29"/>
      <c r="M184" s="29"/>
      <c r="N184" s="29"/>
      <c r="O184" s="29"/>
      <c r="P184" s="29"/>
      <c r="Q184" s="29"/>
      <c r="R184" s="29"/>
      <c r="S184" s="29"/>
      <c r="T184" s="30"/>
      <c r="U184" s="46">
        <v>0</v>
      </c>
      <c r="V184" s="47"/>
      <c r="W184" s="47"/>
      <c r="X184" s="47"/>
      <c r="Y184" s="48"/>
      <c r="Z184" s="46">
        <v>0</v>
      </c>
      <c r="AA184" s="47"/>
      <c r="AB184" s="47"/>
      <c r="AC184" s="47"/>
      <c r="AD184" s="48"/>
      <c r="AE184" s="49">
        <v>0</v>
      </c>
      <c r="AF184" s="49"/>
      <c r="AG184" s="49"/>
      <c r="AH184" s="49"/>
      <c r="AI184" s="49"/>
      <c r="AJ184" s="27">
        <f t="shared" si="8"/>
        <v>0</v>
      </c>
      <c r="AK184" s="27"/>
      <c r="AL184" s="27"/>
      <c r="AM184" s="27"/>
      <c r="AN184" s="27"/>
      <c r="AO184" s="49">
        <v>0</v>
      </c>
      <c r="AP184" s="49"/>
      <c r="AQ184" s="49"/>
      <c r="AR184" s="49"/>
      <c r="AS184" s="49"/>
      <c r="AT184" s="27">
        <v>0</v>
      </c>
      <c r="AU184" s="27"/>
      <c r="AV184" s="27"/>
      <c r="AW184" s="27"/>
      <c r="AX184" s="27"/>
      <c r="AY184" s="49">
        <v>0</v>
      </c>
      <c r="AZ184" s="49"/>
      <c r="BA184" s="49"/>
      <c r="BB184" s="49"/>
      <c r="BC184" s="49"/>
      <c r="BD184" s="27">
        <f t="shared" si="9"/>
        <v>0</v>
      </c>
      <c r="BE184" s="27"/>
      <c r="BF184" s="27"/>
      <c r="BG184" s="27"/>
      <c r="BH184" s="27"/>
    </row>
    <row r="185" spans="1:60" s="4" customFormat="1" ht="12.75" customHeight="1" x14ac:dyDescent="0.2">
      <c r="A185" s="34">
        <v>31</v>
      </c>
      <c r="B185" s="35"/>
      <c r="C185" s="35"/>
      <c r="D185" s="28" t="s">
        <v>212</v>
      </c>
      <c r="E185" s="29"/>
      <c r="F185" s="29"/>
      <c r="G185" s="29"/>
      <c r="H185" s="29"/>
      <c r="I185" s="29"/>
      <c r="J185" s="29"/>
      <c r="K185" s="29"/>
      <c r="L185" s="29"/>
      <c r="M185" s="29"/>
      <c r="N185" s="29"/>
      <c r="O185" s="29"/>
      <c r="P185" s="29"/>
      <c r="Q185" s="29"/>
      <c r="R185" s="29"/>
      <c r="S185" s="29"/>
      <c r="T185" s="30"/>
      <c r="U185" s="46">
        <v>65940</v>
      </c>
      <c r="V185" s="47"/>
      <c r="W185" s="47"/>
      <c r="X185" s="47"/>
      <c r="Y185" s="48"/>
      <c r="Z185" s="46">
        <v>0</v>
      </c>
      <c r="AA185" s="47"/>
      <c r="AB185" s="47"/>
      <c r="AC185" s="47"/>
      <c r="AD185" s="48"/>
      <c r="AE185" s="49">
        <v>0</v>
      </c>
      <c r="AF185" s="49"/>
      <c r="AG185" s="49"/>
      <c r="AH185" s="49"/>
      <c r="AI185" s="49"/>
      <c r="AJ185" s="27">
        <f t="shared" si="8"/>
        <v>65940</v>
      </c>
      <c r="AK185" s="27"/>
      <c r="AL185" s="27"/>
      <c r="AM185" s="27"/>
      <c r="AN185" s="27"/>
      <c r="AO185" s="49">
        <v>71215</v>
      </c>
      <c r="AP185" s="49"/>
      <c r="AQ185" s="49"/>
      <c r="AR185" s="49"/>
      <c r="AS185" s="49"/>
      <c r="AT185" s="27">
        <v>0</v>
      </c>
      <c r="AU185" s="27"/>
      <c r="AV185" s="27"/>
      <c r="AW185" s="27"/>
      <c r="AX185" s="27"/>
      <c r="AY185" s="49">
        <v>0</v>
      </c>
      <c r="AZ185" s="49"/>
      <c r="BA185" s="49"/>
      <c r="BB185" s="49"/>
      <c r="BC185" s="49"/>
      <c r="BD185" s="27">
        <f t="shared" si="9"/>
        <v>71215</v>
      </c>
      <c r="BE185" s="27"/>
      <c r="BF185" s="27"/>
      <c r="BG185" s="27"/>
      <c r="BH185" s="27"/>
    </row>
    <row r="186" spans="1:60" s="4" customFormat="1" ht="12.75" customHeight="1" x14ac:dyDescent="0.2">
      <c r="A186" s="34">
        <v>32</v>
      </c>
      <c r="B186" s="35"/>
      <c r="C186" s="35"/>
      <c r="D186" s="28" t="s">
        <v>213</v>
      </c>
      <c r="E186" s="29"/>
      <c r="F186" s="29"/>
      <c r="G186" s="29"/>
      <c r="H186" s="29"/>
      <c r="I186" s="29"/>
      <c r="J186" s="29"/>
      <c r="K186" s="29"/>
      <c r="L186" s="29"/>
      <c r="M186" s="29"/>
      <c r="N186" s="29"/>
      <c r="O186" s="29"/>
      <c r="P186" s="29"/>
      <c r="Q186" s="29"/>
      <c r="R186" s="29"/>
      <c r="S186" s="29"/>
      <c r="T186" s="30"/>
      <c r="U186" s="46">
        <v>54840</v>
      </c>
      <c r="V186" s="47"/>
      <c r="W186" s="47"/>
      <c r="X186" s="47"/>
      <c r="Y186" s="48"/>
      <c r="Z186" s="46">
        <v>0</v>
      </c>
      <c r="AA186" s="47"/>
      <c r="AB186" s="47"/>
      <c r="AC186" s="47"/>
      <c r="AD186" s="48"/>
      <c r="AE186" s="49">
        <v>0</v>
      </c>
      <c r="AF186" s="49"/>
      <c r="AG186" s="49"/>
      <c r="AH186" s="49"/>
      <c r="AI186" s="49"/>
      <c r="AJ186" s="27">
        <f t="shared" si="8"/>
        <v>54840</v>
      </c>
      <c r="AK186" s="27"/>
      <c r="AL186" s="27"/>
      <c r="AM186" s="27"/>
      <c r="AN186" s="27"/>
      <c r="AO186" s="49">
        <v>59227</v>
      </c>
      <c r="AP186" s="49"/>
      <c r="AQ186" s="49"/>
      <c r="AR186" s="49"/>
      <c r="AS186" s="49"/>
      <c r="AT186" s="27">
        <v>0</v>
      </c>
      <c r="AU186" s="27"/>
      <c r="AV186" s="27"/>
      <c r="AW186" s="27"/>
      <c r="AX186" s="27"/>
      <c r="AY186" s="49">
        <v>0</v>
      </c>
      <c r="AZ186" s="49"/>
      <c r="BA186" s="49"/>
      <c r="BB186" s="49"/>
      <c r="BC186" s="49"/>
      <c r="BD186" s="27">
        <f t="shared" si="9"/>
        <v>59227</v>
      </c>
      <c r="BE186" s="27"/>
      <c r="BF186" s="27"/>
      <c r="BG186" s="27"/>
      <c r="BH186" s="27"/>
    </row>
    <row r="187" spans="1:60" s="4" customFormat="1" ht="25.5" customHeight="1" x14ac:dyDescent="0.2">
      <c r="A187" s="34">
        <v>33</v>
      </c>
      <c r="B187" s="35"/>
      <c r="C187" s="35"/>
      <c r="D187" s="28" t="s">
        <v>214</v>
      </c>
      <c r="E187" s="29"/>
      <c r="F187" s="29"/>
      <c r="G187" s="29"/>
      <c r="H187" s="29"/>
      <c r="I187" s="29"/>
      <c r="J187" s="29"/>
      <c r="K187" s="29"/>
      <c r="L187" s="29"/>
      <c r="M187" s="29"/>
      <c r="N187" s="29"/>
      <c r="O187" s="29"/>
      <c r="P187" s="29"/>
      <c r="Q187" s="29"/>
      <c r="R187" s="29"/>
      <c r="S187" s="29"/>
      <c r="T187" s="30"/>
      <c r="U187" s="46">
        <v>0</v>
      </c>
      <c r="V187" s="47"/>
      <c r="W187" s="47"/>
      <c r="X187" s="47"/>
      <c r="Y187" s="48"/>
      <c r="Z187" s="46">
        <v>0</v>
      </c>
      <c r="AA187" s="47"/>
      <c r="AB187" s="47"/>
      <c r="AC187" s="47"/>
      <c r="AD187" s="48"/>
      <c r="AE187" s="49">
        <v>0</v>
      </c>
      <c r="AF187" s="49"/>
      <c r="AG187" s="49"/>
      <c r="AH187" s="49"/>
      <c r="AI187" s="49"/>
      <c r="AJ187" s="27">
        <f t="shared" si="8"/>
        <v>0</v>
      </c>
      <c r="AK187" s="27"/>
      <c r="AL187" s="27"/>
      <c r="AM187" s="27"/>
      <c r="AN187" s="27"/>
      <c r="AO187" s="49">
        <v>0</v>
      </c>
      <c r="AP187" s="49"/>
      <c r="AQ187" s="49"/>
      <c r="AR187" s="49"/>
      <c r="AS187" s="49"/>
      <c r="AT187" s="27">
        <v>0</v>
      </c>
      <c r="AU187" s="27"/>
      <c r="AV187" s="27"/>
      <c r="AW187" s="27"/>
      <c r="AX187" s="27"/>
      <c r="AY187" s="49">
        <v>0</v>
      </c>
      <c r="AZ187" s="49"/>
      <c r="BA187" s="49"/>
      <c r="BB187" s="49"/>
      <c r="BC187" s="49"/>
      <c r="BD187" s="27">
        <f t="shared" si="9"/>
        <v>0</v>
      </c>
      <c r="BE187" s="27"/>
      <c r="BF187" s="27"/>
      <c r="BG187" s="27"/>
      <c r="BH187" s="27"/>
    </row>
    <row r="188" spans="1:60" s="4" customFormat="1" ht="12.75" customHeight="1" x14ac:dyDescent="0.2">
      <c r="A188" s="34">
        <v>34</v>
      </c>
      <c r="B188" s="35"/>
      <c r="C188" s="35"/>
      <c r="D188" s="28" t="s">
        <v>215</v>
      </c>
      <c r="E188" s="29"/>
      <c r="F188" s="29"/>
      <c r="G188" s="29"/>
      <c r="H188" s="29"/>
      <c r="I188" s="29"/>
      <c r="J188" s="29"/>
      <c r="K188" s="29"/>
      <c r="L188" s="29"/>
      <c r="M188" s="29"/>
      <c r="N188" s="29"/>
      <c r="O188" s="29"/>
      <c r="P188" s="29"/>
      <c r="Q188" s="29"/>
      <c r="R188" s="29"/>
      <c r="S188" s="29"/>
      <c r="T188" s="30"/>
      <c r="U188" s="46">
        <v>109406</v>
      </c>
      <c r="V188" s="47"/>
      <c r="W188" s="47"/>
      <c r="X188" s="47"/>
      <c r="Y188" s="48"/>
      <c r="Z188" s="46">
        <v>0</v>
      </c>
      <c r="AA188" s="47"/>
      <c r="AB188" s="47"/>
      <c r="AC188" s="47"/>
      <c r="AD188" s="48"/>
      <c r="AE188" s="49">
        <v>0</v>
      </c>
      <c r="AF188" s="49"/>
      <c r="AG188" s="49"/>
      <c r="AH188" s="49"/>
      <c r="AI188" s="49"/>
      <c r="AJ188" s="27">
        <f t="shared" si="8"/>
        <v>109406</v>
      </c>
      <c r="AK188" s="27"/>
      <c r="AL188" s="27"/>
      <c r="AM188" s="27"/>
      <c r="AN188" s="27"/>
      <c r="AO188" s="49">
        <v>118158</v>
      </c>
      <c r="AP188" s="49"/>
      <c r="AQ188" s="49"/>
      <c r="AR188" s="49"/>
      <c r="AS188" s="49"/>
      <c r="AT188" s="27">
        <v>0</v>
      </c>
      <c r="AU188" s="27"/>
      <c r="AV188" s="27"/>
      <c r="AW188" s="27"/>
      <c r="AX188" s="27"/>
      <c r="AY188" s="49">
        <v>0</v>
      </c>
      <c r="AZ188" s="49"/>
      <c r="BA188" s="49"/>
      <c r="BB188" s="49"/>
      <c r="BC188" s="49"/>
      <c r="BD188" s="27">
        <f t="shared" si="9"/>
        <v>118158</v>
      </c>
      <c r="BE188" s="27"/>
      <c r="BF188" s="27"/>
      <c r="BG188" s="27"/>
      <c r="BH188" s="27"/>
    </row>
    <row r="189" spans="1:60" s="4" customFormat="1" ht="12.75" customHeight="1" x14ac:dyDescent="0.2">
      <c r="A189" s="34">
        <v>35</v>
      </c>
      <c r="B189" s="35"/>
      <c r="C189" s="35"/>
      <c r="D189" s="28" t="s">
        <v>216</v>
      </c>
      <c r="E189" s="29"/>
      <c r="F189" s="29"/>
      <c r="G189" s="29"/>
      <c r="H189" s="29"/>
      <c r="I189" s="29"/>
      <c r="J189" s="29"/>
      <c r="K189" s="29"/>
      <c r="L189" s="29"/>
      <c r="M189" s="29"/>
      <c r="N189" s="29"/>
      <c r="O189" s="29"/>
      <c r="P189" s="29"/>
      <c r="Q189" s="29"/>
      <c r="R189" s="29"/>
      <c r="S189" s="29"/>
      <c r="T189" s="30"/>
      <c r="U189" s="46">
        <v>0</v>
      </c>
      <c r="V189" s="47"/>
      <c r="W189" s="47"/>
      <c r="X189" s="47"/>
      <c r="Y189" s="48"/>
      <c r="Z189" s="46">
        <v>0</v>
      </c>
      <c r="AA189" s="47"/>
      <c r="AB189" s="47"/>
      <c r="AC189" s="47"/>
      <c r="AD189" s="48"/>
      <c r="AE189" s="49">
        <v>0</v>
      </c>
      <c r="AF189" s="49"/>
      <c r="AG189" s="49"/>
      <c r="AH189" s="49"/>
      <c r="AI189" s="49"/>
      <c r="AJ189" s="27">
        <f t="shared" si="8"/>
        <v>0</v>
      </c>
      <c r="AK189" s="27"/>
      <c r="AL189" s="27"/>
      <c r="AM189" s="27"/>
      <c r="AN189" s="27"/>
      <c r="AO189" s="49">
        <v>0</v>
      </c>
      <c r="AP189" s="49"/>
      <c r="AQ189" s="49"/>
      <c r="AR189" s="49"/>
      <c r="AS189" s="49"/>
      <c r="AT189" s="27">
        <v>0</v>
      </c>
      <c r="AU189" s="27"/>
      <c r="AV189" s="27"/>
      <c r="AW189" s="27"/>
      <c r="AX189" s="27"/>
      <c r="AY189" s="49">
        <v>0</v>
      </c>
      <c r="AZ189" s="49"/>
      <c r="BA189" s="49"/>
      <c r="BB189" s="49"/>
      <c r="BC189" s="49"/>
      <c r="BD189" s="27">
        <f t="shared" si="9"/>
        <v>0</v>
      </c>
      <c r="BE189" s="27"/>
      <c r="BF189" s="27"/>
      <c r="BG189" s="27"/>
      <c r="BH189" s="27"/>
    </row>
    <row r="190" spans="1:60" s="4" customFormat="1" ht="12.75" customHeight="1" x14ac:dyDescent="0.2">
      <c r="A190" s="34">
        <v>36</v>
      </c>
      <c r="B190" s="35"/>
      <c r="C190" s="35"/>
      <c r="D190" s="28" t="s">
        <v>217</v>
      </c>
      <c r="E190" s="29"/>
      <c r="F190" s="29"/>
      <c r="G190" s="29"/>
      <c r="H190" s="29"/>
      <c r="I190" s="29"/>
      <c r="J190" s="29"/>
      <c r="K190" s="29"/>
      <c r="L190" s="29"/>
      <c r="M190" s="29"/>
      <c r="N190" s="29"/>
      <c r="O190" s="29"/>
      <c r="P190" s="29"/>
      <c r="Q190" s="29"/>
      <c r="R190" s="29"/>
      <c r="S190" s="29"/>
      <c r="T190" s="30"/>
      <c r="U190" s="46">
        <v>2198</v>
      </c>
      <c r="V190" s="47"/>
      <c r="W190" s="47"/>
      <c r="X190" s="47"/>
      <c r="Y190" s="48"/>
      <c r="Z190" s="46">
        <v>0</v>
      </c>
      <c r="AA190" s="47"/>
      <c r="AB190" s="47"/>
      <c r="AC190" s="47"/>
      <c r="AD190" s="48"/>
      <c r="AE190" s="49">
        <v>0</v>
      </c>
      <c r="AF190" s="49"/>
      <c r="AG190" s="49"/>
      <c r="AH190" s="49"/>
      <c r="AI190" s="49"/>
      <c r="AJ190" s="27">
        <f t="shared" si="8"/>
        <v>2198</v>
      </c>
      <c r="AK190" s="27"/>
      <c r="AL190" s="27"/>
      <c r="AM190" s="27"/>
      <c r="AN190" s="27"/>
      <c r="AO190" s="49">
        <v>2374</v>
      </c>
      <c r="AP190" s="49"/>
      <c r="AQ190" s="49"/>
      <c r="AR190" s="49"/>
      <c r="AS190" s="49"/>
      <c r="AT190" s="27">
        <v>0</v>
      </c>
      <c r="AU190" s="27"/>
      <c r="AV190" s="27"/>
      <c r="AW190" s="27"/>
      <c r="AX190" s="27"/>
      <c r="AY190" s="49">
        <v>0</v>
      </c>
      <c r="AZ190" s="49"/>
      <c r="BA190" s="49"/>
      <c r="BB190" s="49"/>
      <c r="BC190" s="49"/>
      <c r="BD190" s="27">
        <f t="shared" si="9"/>
        <v>2374</v>
      </c>
      <c r="BE190" s="27"/>
      <c r="BF190" s="27"/>
      <c r="BG190" s="27"/>
      <c r="BH190" s="27"/>
    </row>
    <row r="191" spans="1:60" s="4" customFormat="1" ht="38.25" customHeight="1" x14ac:dyDescent="0.2">
      <c r="A191" s="34">
        <v>37</v>
      </c>
      <c r="B191" s="35"/>
      <c r="C191" s="35"/>
      <c r="D191" s="28" t="s">
        <v>218</v>
      </c>
      <c r="E191" s="29"/>
      <c r="F191" s="29"/>
      <c r="G191" s="29"/>
      <c r="H191" s="29"/>
      <c r="I191" s="29"/>
      <c r="J191" s="29"/>
      <c r="K191" s="29"/>
      <c r="L191" s="29"/>
      <c r="M191" s="29"/>
      <c r="N191" s="29"/>
      <c r="O191" s="29"/>
      <c r="P191" s="29"/>
      <c r="Q191" s="29"/>
      <c r="R191" s="29"/>
      <c r="S191" s="29"/>
      <c r="T191" s="30"/>
      <c r="U191" s="46">
        <v>0</v>
      </c>
      <c r="V191" s="47"/>
      <c r="W191" s="47"/>
      <c r="X191" s="47"/>
      <c r="Y191" s="48"/>
      <c r="Z191" s="46">
        <v>0</v>
      </c>
      <c r="AA191" s="47"/>
      <c r="AB191" s="47"/>
      <c r="AC191" s="47"/>
      <c r="AD191" s="48"/>
      <c r="AE191" s="49">
        <v>0</v>
      </c>
      <c r="AF191" s="49"/>
      <c r="AG191" s="49"/>
      <c r="AH191" s="49"/>
      <c r="AI191" s="49"/>
      <c r="AJ191" s="27">
        <f t="shared" si="8"/>
        <v>0</v>
      </c>
      <c r="AK191" s="27"/>
      <c r="AL191" s="27"/>
      <c r="AM191" s="27"/>
      <c r="AN191" s="27"/>
      <c r="AO191" s="49">
        <v>0</v>
      </c>
      <c r="AP191" s="49"/>
      <c r="AQ191" s="49"/>
      <c r="AR191" s="49"/>
      <c r="AS191" s="49"/>
      <c r="AT191" s="27">
        <v>0</v>
      </c>
      <c r="AU191" s="27"/>
      <c r="AV191" s="27"/>
      <c r="AW191" s="27"/>
      <c r="AX191" s="27"/>
      <c r="AY191" s="49">
        <v>0</v>
      </c>
      <c r="AZ191" s="49"/>
      <c r="BA191" s="49"/>
      <c r="BB191" s="49"/>
      <c r="BC191" s="49"/>
      <c r="BD191" s="27">
        <f t="shared" si="9"/>
        <v>0</v>
      </c>
      <c r="BE191" s="27"/>
      <c r="BF191" s="27"/>
      <c r="BG191" s="27"/>
      <c r="BH191" s="27"/>
    </row>
    <row r="192" spans="1:60" s="4" customFormat="1" ht="12.75" customHeight="1" x14ac:dyDescent="0.2">
      <c r="A192" s="34">
        <v>38</v>
      </c>
      <c r="B192" s="35"/>
      <c r="C192" s="35"/>
      <c r="D192" s="28" t="s">
        <v>219</v>
      </c>
      <c r="E192" s="29"/>
      <c r="F192" s="29"/>
      <c r="G192" s="29"/>
      <c r="H192" s="29"/>
      <c r="I192" s="29"/>
      <c r="J192" s="29"/>
      <c r="K192" s="29"/>
      <c r="L192" s="29"/>
      <c r="M192" s="29"/>
      <c r="N192" s="29"/>
      <c r="O192" s="29"/>
      <c r="P192" s="29"/>
      <c r="Q192" s="29"/>
      <c r="R192" s="29"/>
      <c r="S192" s="29"/>
      <c r="T192" s="30"/>
      <c r="U192" s="46">
        <v>164850</v>
      </c>
      <c r="V192" s="47"/>
      <c r="W192" s="47"/>
      <c r="X192" s="47"/>
      <c r="Y192" s="48"/>
      <c r="Z192" s="46">
        <v>0</v>
      </c>
      <c r="AA192" s="47"/>
      <c r="AB192" s="47"/>
      <c r="AC192" s="47"/>
      <c r="AD192" s="48"/>
      <c r="AE192" s="49">
        <v>0</v>
      </c>
      <c r="AF192" s="49"/>
      <c r="AG192" s="49"/>
      <c r="AH192" s="49"/>
      <c r="AI192" s="49"/>
      <c r="AJ192" s="27">
        <f t="shared" si="8"/>
        <v>164850</v>
      </c>
      <c r="AK192" s="27"/>
      <c r="AL192" s="27"/>
      <c r="AM192" s="27"/>
      <c r="AN192" s="27"/>
      <c r="AO192" s="49">
        <v>178038</v>
      </c>
      <c r="AP192" s="49"/>
      <c r="AQ192" s="49"/>
      <c r="AR192" s="49"/>
      <c r="AS192" s="49"/>
      <c r="AT192" s="27">
        <v>0</v>
      </c>
      <c r="AU192" s="27"/>
      <c r="AV192" s="27"/>
      <c r="AW192" s="27"/>
      <c r="AX192" s="27"/>
      <c r="AY192" s="49">
        <v>0</v>
      </c>
      <c r="AZ192" s="49"/>
      <c r="BA192" s="49"/>
      <c r="BB192" s="49"/>
      <c r="BC192" s="49"/>
      <c r="BD192" s="27">
        <f t="shared" si="9"/>
        <v>178038</v>
      </c>
      <c r="BE192" s="27"/>
      <c r="BF192" s="27"/>
      <c r="BG192" s="27"/>
      <c r="BH192" s="27"/>
    </row>
    <row r="193" spans="1:79" s="4" customFormat="1" ht="25.5" customHeight="1" x14ac:dyDescent="0.2">
      <c r="A193" s="34">
        <v>39</v>
      </c>
      <c r="B193" s="35"/>
      <c r="C193" s="35"/>
      <c r="D193" s="28" t="s">
        <v>220</v>
      </c>
      <c r="E193" s="29"/>
      <c r="F193" s="29"/>
      <c r="G193" s="29"/>
      <c r="H193" s="29"/>
      <c r="I193" s="29"/>
      <c r="J193" s="29"/>
      <c r="K193" s="29"/>
      <c r="L193" s="29"/>
      <c r="M193" s="29"/>
      <c r="N193" s="29"/>
      <c r="O193" s="29"/>
      <c r="P193" s="29"/>
      <c r="Q193" s="29"/>
      <c r="R193" s="29"/>
      <c r="S193" s="29"/>
      <c r="T193" s="30"/>
      <c r="U193" s="46">
        <v>32970</v>
      </c>
      <c r="V193" s="47"/>
      <c r="W193" s="47"/>
      <c r="X193" s="47"/>
      <c r="Y193" s="48"/>
      <c r="Z193" s="46">
        <v>0</v>
      </c>
      <c r="AA193" s="47"/>
      <c r="AB193" s="47"/>
      <c r="AC193" s="47"/>
      <c r="AD193" s="48"/>
      <c r="AE193" s="49">
        <v>0</v>
      </c>
      <c r="AF193" s="49"/>
      <c r="AG193" s="49"/>
      <c r="AH193" s="49"/>
      <c r="AI193" s="49"/>
      <c r="AJ193" s="27">
        <f t="shared" si="8"/>
        <v>32970</v>
      </c>
      <c r="AK193" s="27"/>
      <c r="AL193" s="27"/>
      <c r="AM193" s="27"/>
      <c r="AN193" s="27"/>
      <c r="AO193" s="49">
        <v>35608</v>
      </c>
      <c r="AP193" s="49"/>
      <c r="AQ193" s="49"/>
      <c r="AR193" s="49"/>
      <c r="AS193" s="49"/>
      <c r="AT193" s="27">
        <v>0</v>
      </c>
      <c r="AU193" s="27"/>
      <c r="AV193" s="27"/>
      <c r="AW193" s="27"/>
      <c r="AX193" s="27"/>
      <c r="AY193" s="49">
        <v>0</v>
      </c>
      <c r="AZ193" s="49"/>
      <c r="BA193" s="49"/>
      <c r="BB193" s="49"/>
      <c r="BC193" s="49"/>
      <c r="BD193" s="27">
        <f t="shared" si="9"/>
        <v>35608</v>
      </c>
      <c r="BE193" s="27"/>
      <c r="BF193" s="27"/>
      <c r="BG193" s="27"/>
      <c r="BH193" s="27"/>
    </row>
    <row r="194" spans="1:79" s="5" customFormat="1" ht="12.75" customHeight="1" x14ac:dyDescent="0.2">
      <c r="A194" s="36"/>
      <c r="B194" s="37"/>
      <c r="C194" s="37"/>
      <c r="D194" s="22" t="s">
        <v>147</v>
      </c>
      <c r="E194" s="23"/>
      <c r="F194" s="23"/>
      <c r="G194" s="23"/>
      <c r="H194" s="23"/>
      <c r="I194" s="23"/>
      <c r="J194" s="23"/>
      <c r="K194" s="23"/>
      <c r="L194" s="23"/>
      <c r="M194" s="23"/>
      <c r="N194" s="23"/>
      <c r="O194" s="23"/>
      <c r="P194" s="23"/>
      <c r="Q194" s="23"/>
      <c r="R194" s="23"/>
      <c r="S194" s="23"/>
      <c r="T194" s="24"/>
      <c r="U194" s="42">
        <v>12078514</v>
      </c>
      <c r="V194" s="43"/>
      <c r="W194" s="43"/>
      <c r="X194" s="43"/>
      <c r="Y194" s="44"/>
      <c r="Z194" s="42">
        <v>0</v>
      </c>
      <c r="AA194" s="43"/>
      <c r="AB194" s="43"/>
      <c r="AC194" s="43"/>
      <c r="AD194" s="44"/>
      <c r="AE194" s="45">
        <v>0</v>
      </c>
      <c r="AF194" s="45"/>
      <c r="AG194" s="45"/>
      <c r="AH194" s="45"/>
      <c r="AI194" s="45"/>
      <c r="AJ194" s="21">
        <f t="shared" si="8"/>
        <v>12078514</v>
      </c>
      <c r="AK194" s="21"/>
      <c r="AL194" s="21"/>
      <c r="AM194" s="21"/>
      <c r="AN194" s="21"/>
      <c r="AO194" s="45">
        <v>12247110</v>
      </c>
      <c r="AP194" s="45"/>
      <c r="AQ194" s="45"/>
      <c r="AR194" s="45"/>
      <c r="AS194" s="45"/>
      <c r="AT194" s="21">
        <v>0</v>
      </c>
      <c r="AU194" s="21"/>
      <c r="AV194" s="21"/>
      <c r="AW194" s="21"/>
      <c r="AX194" s="21"/>
      <c r="AY194" s="45">
        <v>0</v>
      </c>
      <c r="AZ194" s="45"/>
      <c r="BA194" s="45"/>
      <c r="BB194" s="45"/>
      <c r="BC194" s="45"/>
      <c r="BD194" s="21">
        <f t="shared" si="9"/>
        <v>12247110</v>
      </c>
      <c r="BE194" s="21"/>
      <c r="BF194" s="21"/>
      <c r="BG194" s="21"/>
      <c r="BH194" s="21"/>
    </row>
    <row r="196" spans="1:79" ht="14.25" customHeight="1" x14ac:dyDescent="0.2">
      <c r="A196" s="61" t="s">
        <v>152</v>
      </c>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row>
    <row r="197" spans="1:79" ht="14.25" customHeight="1" x14ac:dyDescent="0.2">
      <c r="A197" s="61" t="s">
        <v>283</v>
      </c>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row>
    <row r="198" spans="1:79" ht="23.1" customHeight="1" x14ac:dyDescent="0.2">
      <c r="A198" s="77" t="s">
        <v>6</v>
      </c>
      <c r="B198" s="78"/>
      <c r="C198" s="78"/>
      <c r="D198" s="39" t="s">
        <v>9</v>
      </c>
      <c r="E198" s="39"/>
      <c r="F198" s="39"/>
      <c r="G198" s="39"/>
      <c r="H198" s="39"/>
      <c r="I198" s="39"/>
      <c r="J198" s="39"/>
      <c r="K198" s="39"/>
      <c r="L198" s="39"/>
      <c r="M198" s="39"/>
      <c r="N198" s="39"/>
      <c r="O198" s="39"/>
      <c r="P198" s="39"/>
      <c r="Q198" s="39" t="s">
        <v>8</v>
      </c>
      <c r="R198" s="39"/>
      <c r="S198" s="39"/>
      <c r="T198" s="39"/>
      <c r="U198" s="39"/>
      <c r="V198" s="39" t="s">
        <v>7</v>
      </c>
      <c r="W198" s="39"/>
      <c r="X198" s="39"/>
      <c r="Y198" s="39"/>
      <c r="Z198" s="39"/>
      <c r="AA198" s="39"/>
      <c r="AB198" s="39"/>
      <c r="AC198" s="39"/>
      <c r="AD198" s="39"/>
      <c r="AE198" s="39"/>
      <c r="AF198" s="73" t="s">
        <v>268</v>
      </c>
      <c r="AG198" s="74"/>
      <c r="AH198" s="74"/>
      <c r="AI198" s="74"/>
      <c r="AJ198" s="74"/>
      <c r="AK198" s="74"/>
      <c r="AL198" s="74"/>
      <c r="AM198" s="74"/>
      <c r="AN198" s="74"/>
      <c r="AO198" s="74"/>
      <c r="AP198" s="74"/>
      <c r="AQ198" s="74"/>
      <c r="AR198" s="74"/>
      <c r="AS198" s="74"/>
      <c r="AT198" s="75"/>
      <c r="AU198" s="73" t="s">
        <v>271</v>
      </c>
      <c r="AV198" s="74"/>
      <c r="AW198" s="74"/>
      <c r="AX198" s="74"/>
      <c r="AY198" s="74"/>
      <c r="AZ198" s="74"/>
      <c r="BA198" s="74"/>
      <c r="BB198" s="74"/>
      <c r="BC198" s="74"/>
      <c r="BD198" s="74"/>
      <c r="BE198" s="74"/>
      <c r="BF198" s="74"/>
      <c r="BG198" s="74"/>
      <c r="BH198" s="74"/>
      <c r="BI198" s="75"/>
      <c r="BJ198" s="73" t="s">
        <v>279</v>
      </c>
      <c r="BK198" s="74"/>
      <c r="BL198" s="74"/>
      <c r="BM198" s="74"/>
      <c r="BN198" s="74"/>
      <c r="BO198" s="74"/>
      <c r="BP198" s="74"/>
      <c r="BQ198" s="74"/>
      <c r="BR198" s="74"/>
      <c r="BS198" s="74"/>
      <c r="BT198" s="74"/>
      <c r="BU198" s="74"/>
      <c r="BV198" s="74"/>
      <c r="BW198" s="74"/>
      <c r="BX198" s="75"/>
    </row>
    <row r="199" spans="1:79" ht="32.25" customHeight="1" x14ac:dyDescent="0.2">
      <c r="A199" s="80"/>
      <c r="B199" s="81"/>
      <c r="C199" s="81"/>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t="s">
        <v>4</v>
      </c>
      <c r="AG199" s="39"/>
      <c r="AH199" s="39"/>
      <c r="AI199" s="39"/>
      <c r="AJ199" s="39"/>
      <c r="AK199" s="39" t="s">
        <v>3</v>
      </c>
      <c r="AL199" s="39"/>
      <c r="AM199" s="39"/>
      <c r="AN199" s="39"/>
      <c r="AO199" s="39"/>
      <c r="AP199" s="39" t="s">
        <v>123</v>
      </c>
      <c r="AQ199" s="39"/>
      <c r="AR199" s="39"/>
      <c r="AS199" s="39"/>
      <c r="AT199" s="39"/>
      <c r="AU199" s="39" t="s">
        <v>4</v>
      </c>
      <c r="AV199" s="39"/>
      <c r="AW199" s="39"/>
      <c r="AX199" s="39"/>
      <c r="AY199" s="39"/>
      <c r="AZ199" s="39" t="s">
        <v>3</v>
      </c>
      <c r="BA199" s="39"/>
      <c r="BB199" s="39"/>
      <c r="BC199" s="39"/>
      <c r="BD199" s="39"/>
      <c r="BE199" s="39" t="s">
        <v>90</v>
      </c>
      <c r="BF199" s="39"/>
      <c r="BG199" s="39"/>
      <c r="BH199" s="39"/>
      <c r="BI199" s="39"/>
      <c r="BJ199" s="39" t="s">
        <v>4</v>
      </c>
      <c r="BK199" s="39"/>
      <c r="BL199" s="39"/>
      <c r="BM199" s="39"/>
      <c r="BN199" s="39"/>
      <c r="BO199" s="39" t="s">
        <v>3</v>
      </c>
      <c r="BP199" s="39"/>
      <c r="BQ199" s="39"/>
      <c r="BR199" s="39"/>
      <c r="BS199" s="39"/>
      <c r="BT199" s="39" t="s">
        <v>97</v>
      </c>
      <c r="BU199" s="39"/>
      <c r="BV199" s="39"/>
      <c r="BW199" s="39"/>
      <c r="BX199" s="39"/>
    </row>
    <row r="200" spans="1:79" ht="15" customHeight="1" x14ac:dyDescent="0.2">
      <c r="A200" s="73">
        <v>1</v>
      </c>
      <c r="B200" s="74"/>
      <c r="C200" s="74"/>
      <c r="D200" s="39">
        <v>2</v>
      </c>
      <c r="E200" s="39"/>
      <c r="F200" s="39"/>
      <c r="G200" s="39"/>
      <c r="H200" s="39"/>
      <c r="I200" s="39"/>
      <c r="J200" s="39"/>
      <c r="K200" s="39"/>
      <c r="L200" s="39"/>
      <c r="M200" s="39"/>
      <c r="N200" s="39"/>
      <c r="O200" s="39"/>
      <c r="P200" s="39"/>
      <c r="Q200" s="39">
        <v>3</v>
      </c>
      <c r="R200" s="39"/>
      <c r="S200" s="39"/>
      <c r="T200" s="39"/>
      <c r="U200" s="39"/>
      <c r="V200" s="39">
        <v>4</v>
      </c>
      <c r="W200" s="39"/>
      <c r="X200" s="39"/>
      <c r="Y200" s="39"/>
      <c r="Z200" s="39"/>
      <c r="AA200" s="39"/>
      <c r="AB200" s="39"/>
      <c r="AC200" s="39"/>
      <c r="AD200" s="39"/>
      <c r="AE200" s="39"/>
      <c r="AF200" s="39">
        <v>5</v>
      </c>
      <c r="AG200" s="39"/>
      <c r="AH200" s="39"/>
      <c r="AI200" s="39"/>
      <c r="AJ200" s="39"/>
      <c r="AK200" s="39">
        <v>6</v>
      </c>
      <c r="AL200" s="39"/>
      <c r="AM200" s="39"/>
      <c r="AN200" s="39"/>
      <c r="AO200" s="39"/>
      <c r="AP200" s="39">
        <v>7</v>
      </c>
      <c r="AQ200" s="39"/>
      <c r="AR200" s="39"/>
      <c r="AS200" s="39"/>
      <c r="AT200" s="39"/>
      <c r="AU200" s="39">
        <v>8</v>
      </c>
      <c r="AV200" s="39"/>
      <c r="AW200" s="39"/>
      <c r="AX200" s="39"/>
      <c r="AY200" s="39"/>
      <c r="AZ200" s="39">
        <v>9</v>
      </c>
      <c r="BA200" s="39"/>
      <c r="BB200" s="39"/>
      <c r="BC200" s="39"/>
      <c r="BD200" s="39"/>
      <c r="BE200" s="39">
        <v>10</v>
      </c>
      <c r="BF200" s="39"/>
      <c r="BG200" s="39"/>
      <c r="BH200" s="39"/>
      <c r="BI200" s="39"/>
      <c r="BJ200" s="39">
        <v>11</v>
      </c>
      <c r="BK200" s="39"/>
      <c r="BL200" s="39"/>
      <c r="BM200" s="39"/>
      <c r="BN200" s="39"/>
      <c r="BO200" s="39">
        <v>12</v>
      </c>
      <c r="BP200" s="39"/>
      <c r="BQ200" s="39"/>
      <c r="BR200" s="39"/>
      <c r="BS200" s="39"/>
      <c r="BT200" s="39">
        <v>13</v>
      </c>
      <c r="BU200" s="39"/>
      <c r="BV200" s="39"/>
      <c r="BW200" s="39"/>
      <c r="BX200" s="39"/>
    </row>
    <row r="201" spans="1:79" ht="10.5" hidden="1" customHeight="1" x14ac:dyDescent="0.2">
      <c r="A201" s="87" t="s">
        <v>154</v>
      </c>
      <c r="B201" s="88"/>
      <c r="C201" s="88"/>
      <c r="D201" s="39" t="s">
        <v>57</v>
      </c>
      <c r="E201" s="39"/>
      <c r="F201" s="39"/>
      <c r="G201" s="39"/>
      <c r="H201" s="39"/>
      <c r="I201" s="39"/>
      <c r="J201" s="39"/>
      <c r="K201" s="39"/>
      <c r="L201" s="39"/>
      <c r="M201" s="39"/>
      <c r="N201" s="39"/>
      <c r="O201" s="39"/>
      <c r="P201" s="39"/>
      <c r="Q201" s="39" t="s">
        <v>70</v>
      </c>
      <c r="R201" s="39"/>
      <c r="S201" s="39"/>
      <c r="T201" s="39"/>
      <c r="U201" s="39"/>
      <c r="V201" s="39" t="s">
        <v>71</v>
      </c>
      <c r="W201" s="39"/>
      <c r="X201" s="39"/>
      <c r="Y201" s="39"/>
      <c r="Z201" s="39"/>
      <c r="AA201" s="39"/>
      <c r="AB201" s="39"/>
      <c r="AC201" s="39"/>
      <c r="AD201" s="39"/>
      <c r="AE201" s="39"/>
      <c r="AF201" s="65" t="s">
        <v>111</v>
      </c>
      <c r="AG201" s="65"/>
      <c r="AH201" s="65"/>
      <c r="AI201" s="65"/>
      <c r="AJ201" s="65"/>
      <c r="AK201" s="63" t="s">
        <v>112</v>
      </c>
      <c r="AL201" s="63"/>
      <c r="AM201" s="63"/>
      <c r="AN201" s="63"/>
      <c r="AO201" s="63"/>
      <c r="AP201" s="83" t="s">
        <v>222</v>
      </c>
      <c r="AQ201" s="83"/>
      <c r="AR201" s="83"/>
      <c r="AS201" s="83"/>
      <c r="AT201" s="83"/>
      <c r="AU201" s="65" t="s">
        <v>113</v>
      </c>
      <c r="AV201" s="65"/>
      <c r="AW201" s="65"/>
      <c r="AX201" s="65"/>
      <c r="AY201" s="65"/>
      <c r="AZ201" s="63" t="s">
        <v>114</v>
      </c>
      <c r="BA201" s="63"/>
      <c r="BB201" s="63"/>
      <c r="BC201" s="63"/>
      <c r="BD201" s="63"/>
      <c r="BE201" s="83" t="s">
        <v>222</v>
      </c>
      <c r="BF201" s="83"/>
      <c r="BG201" s="83"/>
      <c r="BH201" s="83"/>
      <c r="BI201" s="83"/>
      <c r="BJ201" s="65" t="s">
        <v>105</v>
      </c>
      <c r="BK201" s="65"/>
      <c r="BL201" s="65"/>
      <c r="BM201" s="65"/>
      <c r="BN201" s="65"/>
      <c r="BO201" s="63" t="s">
        <v>106</v>
      </c>
      <c r="BP201" s="63"/>
      <c r="BQ201" s="63"/>
      <c r="BR201" s="63"/>
      <c r="BS201" s="63"/>
      <c r="BT201" s="83" t="s">
        <v>222</v>
      </c>
      <c r="BU201" s="83"/>
      <c r="BV201" s="83"/>
      <c r="BW201" s="83"/>
      <c r="BX201" s="83"/>
      <c r="CA201" t="s">
        <v>37</v>
      </c>
    </row>
    <row r="202" spans="1:79" s="5" customFormat="1" ht="15" customHeight="1" x14ac:dyDescent="0.2">
      <c r="A202" s="36">
        <v>0</v>
      </c>
      <c r="B202" s="37"/>
      <c r="C202" s="37"/>
      <c r="D202" s="41" t="s">
        <v>221</v>
      </c>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CA202" s="5" t="s">
        <v>38</v>
      </c>
    </row>
    <row r="203" spans="1:79" s="4" customFormat="1" ht="28.5" customHeight="1" x14ac:dyDescent="0.2">
      <c r="A203" s="34">
        <v>1</v>
      </c>
      <c r="B203" s="35"/>
      <c r="C203" s="35"/>
      <c r="D203" s="38" t="s">
        <v>223</v>
      </c>
      <c r="E203" s="29"/>
      <c r="F203" s="29"/>
      <c r="G203" s="29"/>
      <c r="H203" s="29"/>
      <c r="I203" s="29"/>
      <c r="J203" s="29"/>
      <c r="K203" s="29"/>
      <c r="L203" s="29"/>
      <c r="M203" s="29"/>
      <c r="N203" s="29"/>
      <c r="O203" s="29"/>
      <c r="P203" s="30"/>
      <c r="Q203" s="39" t="s">
        <v>224</v>
      </c>
      <c r="R203" s="39"/>
      <c r="S203" s="39"/>
      <c r="T203" s="39"/>
      <c r="U203" s="39"/>
      <c r="V203" s="38" t="s">
        <v>225</v>
      </c>
      <c r="W203" s="29"/>
      <c r="X203" s="29"/>
      <c r="Y203" s="29"/>
      <c r="Z203" s="29"/>
      <c r="AA203" s="29"/>
      <c r="AB203" s="29"/>
      <c r="AC203" s="29"/>
      <c r="AD203" s="29"/>
      <c r="AE203" s="30"/>
      <c r="AF203" s="32">
        <v>1</v>
      </c>
      <c r="AG203" s="32"/>
      <c r="AH203" s="32"/>
      <c r="AI203" s="32"/>
      <c r="AJ203" s="32"/>
      <c r="AK203" s="32">
        <v>0</v>
      </c>
      <c r="AL203" s="32"/>
      <c r="AM203" s="32"/>
      <c r="AN203" s="32"/>
      <c r="AO203" s="32"/>
      <c r="AP203" s="32">
        <v>1</v>
      </c>
      <c r="AQ203" s="32"/>
      <c r="AR203" s="32"/>
      <c r="AS203" s="32"/>
      <c r="AT203" s="32"/>
      <c r="AU203" s="32">
        <v>1</v>
      </c>
      <c r="AV203" s="32"/>
      <c r="AW203" s="32"/>
      <c r="AX203" s="32"/>
      <c r="AY203" s="32"/>
      <c r="AZ203" s="32">
        <v>0</v>
      </c>
      <c r="BA203" s="32"/>
      <c r="BB203" s="32"/>
      <c r="BC203" s="32"/>
      <c r="BD203" s="32"/>
      <c r="BE203" s="32">
        <v>1</v>
      </c>
      <c r="BF203" s="32"/>
      <c r="BG203" s="32"/>
      <c r="BH203" s="32"/>
      <c r="BI203" s="32"/>
      <c r="BJ203" s="32">
        <v>1</v>
      </c>
      <c r="BK203" s="32"/>
      <c r="BL203" s="32"/>
      <c r="BM203" s="32"/>
      <c r="BN203" s="32"/>
      <c r="BO203" s="32">
        <v>0</v>
      </c>
      <c r="BP203" s="32"/>
      <c r="BQ203" s="32"/>
      <c r="BR203" s="32"/>
      <c r="BS203" s="32"/>
      <c r="BT203" s="32">
        <v>1</v>
      </c>
      <c r="BU203" s="32"/>
      <c r="BV203" s="32"/>
      <c r="BW203" s="32"/>
      <c r="BX203" s="32"/>
    </row>
    <row r="204" spans="1:79" s="4" customFormat="1" ht="30" customHeight="1" x14ac:dyDescent="0.2">
      <c r="A204" s="34">
        <v>2</v>
      </c>
      <c r="B204" s="35"/>
      <c r="C204" s="35"/>
      <c r="D204" s="38" t="s">
        <v>226</v>
      </c>
      <c r="E204" s="29"/>
      <c r="F204" s="29"/>
      <c r="G204" s="29"/>
      <c r="H204" s="29"/>
      <c r="I204" s="29"/>
      <c r="J204" s="29"/>
      <c r="K204" s="29"/>
      <c r="L204" s="29"/>
      <c r="M204" s="29"/>
      <c r="N204" s="29"/>
      <c r="O204" s="29"/>
      <c r="P204" s="30"/>
      <c r="Q204" s="39" t="s">
        <v>227</v>
      </c>
      <c r="R204" s="39"/>
      <c r="S204" s="39"/>
      <c r="T204" s="39"/>
      <c r="U204" s="39"/>
      <c r="V204" s="38" t="s">
        <v>228</v>
      </c>
      <c r="W204" s="29"/>
      <c r="X204" s="29"/>
      <c r="Y204" s="29"/>
      <c r="Z204" s="29"/>
      <c r="AA204" s="29"/>
      <c r="AB204" s="29"/>
      <c r="AC204" s="29"/>
      <c r="AD204" s="29"/>
      <c r="AE204" s="30"/>
      <c r="AF204" s="32">
        <v>31</v>
      </c>
      <c r="AG204" s="32"/>
      <c r="AH204" s="32"/>
      <c r="AI204" s="32"/>
      <c r="AJ204" s="32"/>
      <c r="AK204" s="32">
        <v>0</v>
      </c>
      <c r="AL204" s="32"/>
      <c r="AM204" s="32"/>
      <c r="AN204" s="32"/>
      <c r="AO204" s="32"/>
      <c r="AP204" s="32">
        <v>31</v>
      </c>
      <c r="AQ204" s="32"/>
      <c r="AR204" s="32"/>
      <c r="AS204" s="32"/>
      <c r="AT204" s="32"/>
      <c r="AU204" s="32">
        <v>31</v>
      </c>
      <c r="AV204" s="32"/>
      <c r="AW204" s="32"/>
      <c r="AX204" s="32"/>
      <c r="AY204" s="32"/>
      <c r="AZ204" s="32">
        <v>0</v>
      </c>
      <c r="BA204" s="32"/>
      <c r="BB204" s="32"/>
      <c r="BC204" s="32"/>
      <c r="BD204" s="32"/>
      <c r="BE204" s="32">
        <v>31</v>
      </c>
      <c r="BF204" s="32"/>
      <c r="BG204" s="32"/>
      <c r="BH204" s="32"/>
      <c r="BI204" s="32"/>
      <c r="BJ204" s="32">
        <v>31</v>
      </c>
      <c r="BK204" s="32"/>
      <c r="BL204" s="32"/>
      <c r="BM204" s="32"/>
      <c r="BN204" s="32"/>
      <c r="BO204" s="32">
        <v>0</v>
      </c>
      <c r="BP204" s="32"/>
      <c r="BQ204" s="32"/>
      <c r="BR204" s="32"/>
      <c r="BS204" s="32"/>
      <c r="BT204" s="32">
        <v>31</v>
      </c>
      <c r="BU204" s="32"/>
      <c r="BV204" s="32"/>
      <c r="BW204" s="32"/>
      <c r="BX204" s="32"/>
    </row>
    <row r="205" spans="1:79" s="4" customFormat="1" ht="30" customHeight="1" x14ac:dyDescent="0.2">
      <c r="A205" s="34">
        <v>3</v>
      </c>
      <c r="B205" s="35"/>
      <c r="C205" s="35"/>
      <c r="D205" s="38" t="s">
        <v>229</v>
      </c>
      <c r="E205" s="29"/>
      <c r="F205" s="29"/>
      <c r="G205" s="29"/>
      <c r="H205" s="29"/>
      <c r="I205" s="29"/>
      <c r="J205" s="29"/>
      <c r="K205" s="29"/>
      <c r="L205" s="29"/>
      <c r="M205" s="29"/>
      <c r="N205" s="29"/>
      <c r="O205" s="29"/>
      <c r="P205" s="30"/>
      <c r="Q205" s="39" t="s">
        <v>227</v>
      </c>
      <c r="R205" s="39"/>
      <c r="S205" s="39"/>
      <c r="T205" s="39"/>
      <c r="U205" s="39"/>
      <c r="V205" s="38" t="s">
        <v>228</v>
      </c>
      <c r="W205" s="29"/>
      <c r="X205" s="29"/>
      <c r="Y205" s="29"/>
      <c r="Z205" s="29"/>
      <c r="AA205" s="29"/>
      <c r="AB205" s="29"/>
      <c r="AC205" s="29"/>
      <c r="AD205" s="29"/>
      <c r="AE205" s="30"/>
      <c r="AF205" s="32">
        <v>18</v>
      </c>
      <c r="AG205" s="32"/>
      <c r="AH205" s="32"/>
      <c r="AI205" s="32"/>
      <c r="AJ205" s="32"/>
      <c r="AK205" s="32">
        <v>0</v>
      </c>
      <c r="AL205" s="32"/>
      <c r="AM205" s="32"/>
      <c r="AN205" s="32"/>
      <c r="AO205" s="32"/>
      <c r="AP205" s="32">
        <v>18</v>
      </c>
      <c r="AQ205" s="32"/>
      <c r="AR205" s="32"/>
      <c r="AS205" s="32"/>
      <c r="AT205" s="32"/>
      <c r="AU205" s="32">
        <v>18</v>
      </c>
      <c r="AV205" s="32"/>
      <c r="AW205" s="32"/>
      <c r="AX205" s="32"/>
      <c r="AY205" s="32"/>
      <c r="AZ205" s="32">
        <v>0</v>
      </c>
      <c r="BA205" s="32"/>
      <c r="BB205" s="32"/>
      <c r="BC205" s="32"/>
      <c r="BD205" s="32"/>
      <c r="BE205" s="32">
        <v>18</v>
      </c>
      <c r="BF205" s="32"/>
      <c r="BG205" s="32"/>
      <c r="BH205" s="32"/>
      <c r="BI205" s="32"/>
      <c r="BJ205" s="32">
        <v>18</v>
      </c>
      <c r="BK205" s="32"/>
      <c r="BL205" s="32"/>
      <c r="BM205" s="32"/>
      <c r="BN205" s="32"/>
      <c r="BO205" s="32">
        <v>0</v>
      </c>
      <c r="BP205" s="32"/>
      <c r="BQ205" s="32"/>
      <c r="BR205" s="32"/>
      <c r="BS205" s="32"/>
      <c r="BT205" s="32">
        <v>18</v>
      </c>
      <c r="BU205" s="32"/>
      <c r="BV205" s="32"/>
      <c r="BW205" s="32"/>
      <c r="BX205" s="32"/>
    </row>
    <row r="206" spans="1:79" s="5" customFormat="1" ht="15" customHeight="1" x14ac:dyDescent="0.2">
      <c r="A206" s="36">
        <v>0</v>
      </c>
      <c r="B206" s="37"/>
      <c r="C206" s="37"/>
      <c r="D206" s="40" t="s">
        <v>230</v>
      </c>
      <c r="E206" s="23"/>
      <c r="F206" s="23"/>
      <c r="G206" s="23"/>
      <c r="H206" s="23"/>
      <c r="I206" s="23"/>
      <c r="J206" s="23"/>
      <c r="K206" s="23"/>
      <c r="L206" s="23"/>
      <c r="M206" s="23"/>
      <c r="N206" s="23"/>
      <c r="O206" s="23"/>
      <c r="P206" s="24"/>
      <c r="Q206" s="41"/>
      <c r="R206" s="41"/>
      <c r="S206" s="41"/>
      <c r="T206" s="41"/>
      <c r="U206" s="41"/>
      <c r="V206" s="40"/>
      <c r="W206" s="23"/>
      <c r="X206" s="23"/>
      <c r="Y206" s="23"/>
      <c r="Z206" s="23"/>
      <c r="AA206" s="23"/>
      <c r="AB206" s="23"/>
      <c r="AC206" s="23"/>
      <c r="AD206" s="23"/>
      <c r="AE206" s="24"/>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row>
    <row r="207" spans="1:79" s="4" customFormat="1" ht="28.5" customHeight="1" x14ac:dyDescent="0.2">
      <c r="A207" s="34">
        <v>1</v>
      </c>
      <c r="B207" s="35"/>
      <c r="C207" s="35"/>
      <c r="D207" s="38" t="s">
        <v>231</v>
      </c>
      <c r="E207" s="29"/>
      <c r="F207" s="29"/>
      <c r="G207" s="29"/>
      <c r="H207" s="29"/>
      <c r="I207" s="29"/>
      <c r="J207" s="29"/>
      <c r="K207" s="29"/>
      <c r="L207" s="29"/>
      <c r="M207" s="29"/>
      <c r="N207" s="29"/>
      <c r="O207" s="29"/>
      <c r="P207" s="30"/>
      <c r="Q207" s="39" t="s">
        <v>224</v>
      </c>
      <c r="R207" s="39"/>
      <c r="S207" s="39"/>
      <c r="T207" s="39"/>
      <c r="U207" s="39"/>
      <c r="V207" s="38" t="s">
        <v>225</v>
      </c>
      <c r="W207" s="29"/>
      <c r="X207" s="29"/>
      <c r="Y207" s="29"/>
      <c r="Z207" s="29"/>
      <c r="AA207" s="29"/>
      <c r="AB207" s="29"/>
      <c r="AC207" s="29"/>
      <c r="AD207" s="29"/>
      <c r="AE207" s="30"/>
      <c r="AF207" s="32">
        <v>1</v>
      </c>
      <c r="AG207" s="32"/>
      <c r="AH207" s="32"/>
      <c r="AI207" s="32"/>
      <c r="AJ207" s="32"/>
      <c r="AK207" s="32">
        <v>0</v>
      </c>
      <c r="AL207" s="32"/>
      <c r="AM207" s="32"/>
      <c r="AN207" s="32"/>
      <c r="AO207" s="32"/>
      <c r="AP207" s="32">
        <v>1</v>
      </c>
      <c r="AQ207" s="32"/>
      <c r="AR207" s="32"/>
      <c r="AS207" s="32"/>
      <c r="AT207" s="32"/>
      <c r="AU207" s="32">
        <v>1</v>
      </c>
      <c r="AV207" s="32"/>
      <c r="AW207" s="32"/>
      <c r="AX207" s="32"/>
      <c r="AY207" s="32"/>
      <c r="AZ207" s="32">
        <v>0</v>
      </c>
      <c r="BA207" s="32"/>
      <c r="BB207" s="32"/>
      <c r="BC207" s="32"/>
      <c r="BD207" s="32"/>
      <c r="BE207" s="32">
        <v>1</v>
      </c>
      <c r="BF207" s="32"/>
      <c r="BG207" s="32"/>
      <c r="BH207" s="32"/>
      <c r="BI207" s="32"/>
      <c r="BJ207" s="32">
        <v>1</v>
      </c>
      <c r="BK207" s="32"/>
      <c r="BL207" s="32"/>
      <c r="BM207" s="32"/>
      <c r="BN207" s="32"/>
      <c r="BO207" s="32">
        <v>0</v>
      </c>
      <c r="BP207" s="32"/>
      <c r="BQ207" s="32"/>
      <c r="BR207" s="32"/>
      <c r="BS207" s="32"/>
      <c r="BT207" s="32">
        <v>1</v>
      </c>
      <c r="BU207" s="32"/>
      <c r="BV207" s="32"/>
      <c r="BW207" s="32"/>
      <c r="BX207" s="32"/>
    </row>
    <row r="208" spans="1:79" s="4" customFormat="1" ht="30" customHeight="1" x14ac:dyDescent="0.2">
      <c r="A208" s="34">
        <v>2</v>
      </c>
      <c r="B208" s="35"/>
      <c r="C208" s="35"/>
      <c r="D208" s="38" t="s">
        <v>232</v>
      </c>
      <c r="E208" s="29"/>
      <c r="F208" s="29"/>
      <c r="G208" s="29"/>
      <c r="H208" s="29"/>
      <c r="I208" s="29"/>
      <c r="J208" s="29"/>
      <c r="K208" s="29"/>
      <c r="L208" s="29"/>
      <c r="M208" s="29"/>
      <c r="N208" s="29"/>
      <c r="O208" s="29"/>
      <c r="P208" s="30"/>
      <c r="Q208" s="39" t="s">
        <v>227</v>
      </c>
      <c r="R208" s="39"/>
      <c r="S208" s="39"/>
      <c r="T208" s="39"/>
      <c r="U208" s="39"/>
      <c r="V208" s="38" t="s">
        <v>233</v>
      </c>
      <c r="W208" s="29"/>
      <c r="X208" s="29"/>
      <c r="Y208" s="29"/>
      <c r="Z208" s="29"/>
      <c r="AA208" s="29"/>
      <c r="AB208" s="29"/>
      <c r="AC208" s="29"/>
      <c r="AD208" s="29"/>
      <c r="AE208" s="30"/>
      <c r="AF208" s="32">
        <v>700</v>
      </c>
      <c r="AG208" s="32"/>
      <c r="AH208" s="32"/>
      <c r="AI208" s="32"/>
      <c r="AJ208" s="32"/>
      <c r="AK208" s="32">
        <v>0</v>
      </c>
      <c r="AL208" s="32"/>
      <c r="AM208" s="32"/>
      <c r="AN208" s="32"/>
      <c r="AO208" s="32"/>
      <c r="AP208" s="32">
        <v>700</v>
      </c>
      <c r="AQ208" s="32"/>
      <c r="AR208" s="32"/>
      <c r="AS208" s="32"/>
      <c r="AT208" s="32"/>
      <c r="AU208" s="32">
        <v>700</v>
      </c>
      <c r="AV208" s="32"/>
      <c r="AW208" s="32"/>
      <c r="AX208" s="32"/>
      <c r="AY208" s="32"/>
      <c r="AZ208" s="32">
        <v>0</v>
      </c>
      <c r="BA208" s="32"/>
      <c r="BB208" s="32"/>
      <c r="BC208" s="32"/>
      <c r="BD208" s="32"/>
      <c r="BE208" s="32">
        <v>700</v>
      </c>
      <c r="BF208" s="32"/>
      <c r="BG208" s="32"/>
      <c r="BH208" s="32"/>
      <c r="BI208" s="32"/>
      <c r="BJ208" s="32">
        <v>700</v>
      </c>
      <c r="BK208" s="32"/>
      <c r="BL208" s="32"/>
      <c r="BM208" s="32"/>
      <c r="BN208" s="32"/>
      <c r="BO208" s="32">
        <v>0</v>
      </c>
      <c r="BP208" s="32"/>
      <c r="BQ208" s="32"/>
      <c r="BR208" s="32"/>
      <c r="BS208" s="32"/>
      <c r="BT208" s="32">
        <v>700</v>
      </c>
      <c r="BU208" s="32"/>
      <c r="BV208" s="32"/>
      <c r="BW208" s="32"/>
      <c r="BX208" s="32"/>
    </row>
    <row r="209" spans="1:79" s="5" customFormat="1" ht="15" customHeight="1" x14ac:dyDescent="0.2">
      <c r="A209" s="36">
        <v>0</v>
      </c>
      <c r="B209" s="37"/>
      <c r="C209" s="37"/>
      <c r="D209" s="40" t="s">
        <v>234</v>
      </c>
      <c r="E209" s="23"/>
      <c r="F209" s="23"/>
      <c r="G209" s="23"/>
      <c r="H209" s="23"/>
      <c r="I209" s="23"/>
      <c r="J209" s="23"/>
      <c r="K209" s="23"/>
      <c r="L209" s="23"/>
      <c r="M209" s="23"/>
      <c r="N209" s="23"/>
      <c r="O209" s="23"/>
      <c r="P209" s="24"/>
      <c r="Q209" s="41"/>
      <c r="R209" s="41"/>
      <c r="S209" s="41"/>
      <c r="T209" s="41"/>
      <c r="U209" s="41"/>
      <c r="V209" s="40"/>
      <c r="W209" s="23"/>
      <c r="X209" s="23"/>
      <c r="Y209" s="23"/>
      <c r="Z209" s="23"/>
      <c r="AA209" s="23"/>
      <c r="AB209" s="23"/>
      <c r="AC209" s="23"/>
      <c r="AD209" s="23"/>
      <c r="AE209" s="24"/>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row>
    <row r="210" spans="1:79" s="4" customFormat="1" ht="42.75" customHeight="1" x14ac:dyDescent="0.2">
      <c r="A210" s="34">
        <v>1</v>
      </c>
      <c r="B210" s="35"/>
      <c r="C210" s="35"/>
      <c r="D210" s="38" t="s">
        <v>235</v>
      </c>
      <c r="E210" s="29"/>
      <c r="F210" s="29"/>
      <c r="G210" s="29"/>
      <c r="H210" s="29"/>
      <c r="I210" s="29"/>
      <c r="J210" s="29"/>
      <c r="K210" s="29"/>
      <c r="L210" s="29"/>
      <c r="M210" s="29"/>
      <c r="N210" s="29"/>
      <c r="O210" s="29"/>
      <c r="P210" s="30"/>
      <c r="Q210" s="39" t="s">
        <v>236</v>
      </c>
      <c r="R210" s="39"/>
      <c r="S210" s="39"/>
      <c r="T210" s="39"/>
      <c r="U210" s="39"/>
      <c r="V210" s="38" t="s">
        <v>237</v>
      </c>
      <c r="W210" s="29"/>
      <c r="X210" s="29"/>
      <c r="Y210" s="29"/>
      <c r="Z210" s="29"/>
      <c r="AA210" s="29"/>
      <c r="AB210" s="29"/>
      <c r="AC210" s="29"/>
      <c r="AD210" s="29"/>
      <c r="AE210" s="30"/>
      <c r="AF210" s="32">
        <v>133797</v>
      </c>
      <c r="AG210" s="32"/>
      <c r="AH210" s="32"/>
      <c r="AI210" s="32"/>
      <c r="AJ210" s="32"/>
      <c r="AK210" s="32">
        <v>0</v>
      </c>
      <c r="AL210" s="32"/>
      <c r="AM210" s="32"/>
      <c r="AN210" s="32"/>
      <c r="AO210" s="32"/>
      <c r="AP210" s="32">
        <v>133797</v>
      </c>
      <c r="AQ210" s="32"/>
      <c r="AR210" s="32"/>
      <c r="AS210" s="32"/>
      <c r="AT210" s="32"/>
      <c r="AU210" s="32">
        <v>137366</v>
      </c>
      <c r="AV210" s="32"/>
      <c r="AW210" s="32"/>
      <c r="AX210" s="32"/>
      <c r="AY210" s="32"/>
      <c r="AZ210" s="32">
        <v>0</v>
      </c>
      <c r="BA210" s="32"/>
      <c r="BB210" s="32"/>
      <c r="BC210" s="32"/>
      <c r="BD210" s="32"/>
      <c r="BE210" s="32">
        <v>137366</v>
      </c>
      <c r="BF210" s="32"/>
      <c r="BG210" s="32"/>
      <c r="BH210" s="32"/>
      <c r="BI210" s="32"/>
      <c r="BJ210" s="32">
        <v>147944</v>
      </c>
      <c r="BK210" s="32"/>
      <c r="BL210" s="32"/>
      <c r="BM210" s="32"/>
      <c r="BN210" s="32"/>
      <c r="BO210" s="32">
        <v>0</v>
      </c>
      <c r="BP210" s="32"/>
      <c r="BQ210" s="32"/>
      <c r="BR210" s="32"/>
      <c r="BS210" s="32"/>
      <c r="BT210" s="32">
        <v>147944</v>
      </c>
      <c r="BU210" s="32"/>
      <c r="BV210" s="32"/>
      <c r="BW210" s="32"/>
      <c r="BX210" s="32"/>
    </row>
    <row r="211" spans="1:79" s="4" customFormat="1" ht="45" customHeight="1" x14ac:dyDescent="0.2">
      <c r="A211" s="34">
        <v>2</v>
      </c>
      <c r="B211" s="35"/>
      <c r="C211" s="35"/>
      <c r="D211" s="38" t="s">
        <v>238</v>
      </c>
      <c r="E211" s="29"/>
      <c r="F211" s="29"/>
      <c r="G211" s="29"/>
      <c r="H211" s="29"/>
      <c r="I211" s="29"/>
      <c r="J211" s="29"/>
      <c r="K211" s="29"/>
      <c r="L211" s="29"/>
      <c r="M211" s="29"/>
      <c r="N211" s="29"/>
      <c r="O211" s="29"/>
      <c r="P211" s="30"/>
      <c r="Q211" s="39" t="s">
        <v>227</v>
      </c>
      <c r="R211" s="39"/>
      <c r="S211" s="39"/>
      <c r="T211" s="39"/>
      <c r="U211" s="39"/>
      <c r="V211" s="38" t="s">
        <v>237</v>
      </c>
      <c r="W211" s="29"/>
      <c r="X211" s="29"/>
      <c r="Y211" s="29"/>
      <c r="Z211" s="29"/>
      <c r="AA211" s="29"/>
      <c r="AB211" s="29"/>
      <c r="AC211" s="29"/>
      <c r="AD211" s="29"/>
      <c r="AE211" s="30"/>
      <c r="AF211" s="32">
        <v>39</v>
      </c>
      <c r="AG211" s="32"/>
      <c r="AH211" s="32"/>
      <c r="AI211" s="32"/>
      <c r="AJ211" s="32"/>
      <c r="AK211" s="32">
        <v>0</v>
      </c>
      <c r="AL211" s="32"/>
      <c r="AM211" s="32"/>
      <c r="AN211" s="32"/>
      <c r="AO211" s="32"/>
      <c r="AP211" s="32">
        <v>39</v>
      </c>
      <c r="AQ211" s="32"/>
      <c r="AR211" s="32"/>
      <c r="AS211" s="32"/>
      <c r="AT211" s="32"/>
      <c r="AU211" s="32">
        <v>39</v>
      </c>
      <c r="AV211" s="32"/>
      <c r="AW211" s="32"/>
      <c r="AX211" s="32"/>
      <c r="AY211" s="32"/>
      <c r="AZ211" s="32">
        <v>0</v>
      </c>
      <c r="BA211" s="32"/>
      <c r="BB211" s="32"/>
      <c r="BC211" s="32"/>
      <c r="BD211" s="32"/>
      <c r="BE211" s="32">
        <v>39</v>
      </c>
      <c r="BF211" s="32"/>
      <c r="BG211" s="32"/>
      <c r="BH211" s="32"/>
      <c r="BI211" s="32"/>
      <c r="BJ211" s="32">
        <v>39</v>
      </c>
      <c r="BK211" s="32"/>
      <c r="BL211" s="32"/>
      <c r="BM211" s="32"/>
      <c r="BN211" s="32"/>
      <c r="BO211" s="32">
        <v>0</v>
      </c>
      <c r="BP211" s="32"/>
      <c r="BQ211" s="32"/>
      <c r="BR211" s="32"/>
      <c r="BS211" s="32"/>
      <c r="BT211" s="32">
        <v>39</v>
      </c>
      <c r="BU211" s="32"/>
      <c r="BV211" s="32"/>
      <c r="BW211" s="32"/>
      <c r="BX211" s="32"/>
    </row>
    <row r="212" spans="1:79" s="5" customFormat="1" ht="15" customHeight="1" x14ac:dyDescent="0.2">
      <c r="A212" s="36">
        <v>0</v>
      </c>
      <c r="B212" s="37"/>
      <c r="C212" s="37"/>
      <c r="D212" s="40" t="s">
        <v>239</v>
      </c>
      <c r="E212" s="23"/>
      <c r="F212" s="23"/>
      <c r="G212" s="23"/>
      <c r="H212" s="23"/>
      <c r="I212" s="23"/>
      <c r="J212" s="23"/>
      <c r="K212" s="23"/>
      <c r="L212" s="23"/>
      <c r="M212" s="23"/>
      <c r="N212" s="23"/>
      <c r="O212" s="23"/>
      <c r="P212" s="24"/>
      <c r="Q212" s="41"/>
      <c r="R212" s="41"/>
      <c r="S212" s="41"/>
      <c r="T212" s="41"/>
      <c r="U212" s="41"/>
      <c r="V212" s="40"/>
      <c r="W212" s="23"/>
      <c r="X212" s="23"/>
      <c r="Y212" s="23"/>
      <c r="Z212" s="23"/>
      <c r="AA212" s="23"/>
      <c r="AB212" s="23"/>
      <c r="AC212" s="23"/>
      <c r="AD212" s="23"/>
      <c r="AE212" s="24"/>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row>
    <row r="213" spans="1:79" s="4" customFormat="1" ht="28.5" customHeight="1" x14ac:dyDescent="0.2">
      <c r="A213" s="34">
        <v>1</v>
      </c>
      <c r="B213" s="35"/>
      <c r="C213" s="35"/>
      <c r="D213" s="38" t="s">
        <v>240</v>
      </c>
      <c r="E213" s="29"/>
      <c r="F213" s="29"/>
      <c r="G213" s="29"/>
      <c r="H213" s="29"/>
      <c r="I213" s="29"/>
      <c r="J213" s="29"/>
      <c r="K213" s="29"/>
      <c r="L213" s="29"/>
      <c r="M213" s="29"/>
      <c r="N213" s="29"/>
      <c r="O213" s="29"/>
      <c r="P213" s="30"/>
      <c r="Q213" s="39" t="s">
        <v>241</v>
      </c>
      <c r="R213" s="39"/>
      <c r="S213" s="39"/>
      <c r="T213" s="39"/>
      <c r="U213" s="39"/>
      <c r="V213" s="38" t="s">
        <v>242</v>
      </c>
      <c r="W213" s="29"/>
      <c r="X213" s="29"/>
      <c r="Y213" s="29"/>
      <c r="Z213" s="29"/>
      <c r="AA213" s="29"/>
      <c r="AB213" s="29"/>
      <c r="AC213" s="29"/>
      <c r="AD213" s="29"/>
      <c r="AE213" s="30"/>
      <c r="AF213" s="32">
        <v>100</v>
      </c>
      <c r="AG213" s="32"/>
      <c r="AH213" s="32"/>
      <c r="AI213" s="32"/>
      <c r="AJ213" s="32"/>
      <c r="AK213" s="32">
        <v>0</v>
      </c>
      <c r="AL213" s="32"/>
      <c r="AM213" s="32"/>
      <c r="AN213" s="32"/>
      <c r="AO213" s="32"/>
      <c r="AP213" s="32">
        <v>100</v>
      </c>
      <c r="AQ213" s="32"/>
      <c r="AR213" s="32"/>
      <c r="AS213" s="32"/>
      <c r="AT213" s="32"/>
      <c r="AU213" s="32">
        <v>100</v>
      </c>
      <c r="AV213" s="32"/>
      <c r="AW213" s="32"/>
      <c r="AX213" s="32"/>
      <c r="AY213" s="32"/>
      <c r="AZ213" s="32">
        <v>0</v>
      </c>
      <c r="BA213" s="32"/>
      <c r="BB213" s="32"/>
      <c r="BC213" s="32"/>
      <c r="BD213" s="32"/>
      <c r="BE213" s="32">
        <v>100</v>
      </c>
      <c r="BF213" s="32"/>
      <c r="BG213" s="32"/>
      <c r="BH213" s="32"/>
      <c r="BI213" s="32"/>
      <c r="BJ213" s="32">
        <v>100</v>
      </c>
      <c r="BK213" s="32"/>
      <c r="BL213" s="32"/>
      <c r="BM213" s="32"/>
      <c r="BN213" s="32"/>
      <c r="BO213" s="32">
        <v>0</v>
      </c>
      <c r="BP213" s="32"/>
      <c r="BQ213" s="32"/>
      <c r="BR213" s="32"/>
      <c r="BS213" s="32"/>
      <c r="BT213" s="32">
        <v>100</v>
      </c>
      <c r="BU213" s="32"/>
      <c r="BV213" s="32"/>
      <c r="BW213" s="32"/>
      <c r="BX213" s="32"/>
    </row>
    <row r="215" spans="1:79" ht="14.25" customHeight="1" x14ac:dyDescent="0.2">
      <c r="A215" s="61" t="s">
        <v>298</v>
      </c>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row>
    <row r="216" spans="1:79" ht="23.1" customHeight="1" x14ac:dyDescent="0.2">
      <c r="A216" s="77" t="s">
        <v>6</v>
      </c>
      <c r="B216" s="78"/>
      <c r="C216" s="78"/>
      <c r="D216" s="39" t="s">
        <v>9</v>
      </c>
      <c r="E216" s="39"/>
      <c r="F216" s="39"/>
      <c r="G216" s="39"/>
      <c r="H216" s="39"/>
      <c r="I216" s="39"/>
      <c r="J216" s="39"/>
      <c r="K216" s="39"/>
      <c r="L216" s="39"/>
      <c r="M216" s="39"/>
      <c r="N216" s="39"/>
      <c r="O216" s="39"/>
      <c r="P216" s="39"/>
      <c r="Q216" s="39" t="s">
        <v>8</v>
      </c>
      <c r="R216" s="39"/>
      <c r="S216" s="39"/>
      <c r="T216" s="39"/>
      <c r="U216" s="39"/>
      <c r="V216" s="39" t="s">
        <v>7</v>
      </c>
      <c r="W216" s="39"/>
      <c r="X216" s="39"/>
      <c r="Y216" s="39"/>
      <c r="Z216" s="39"/>
      <c r="AA216" s="39"/>
      <c r="AB216" s="39"/>
      <c r="AC216" s="39"/>
      <c r="AD216" s="39"/>
      <c r="AE216" s="39"/>
      <c r="AF216" s="73" t="s">
        <v>289</v>
      </c>
      <c r="AG216" s="74"/>
      <c r="AH216" s="74"/>
      <c r="AI216" s="74"/>
      <c r="AJ216" s="74"/>
      <c r="AK216" s="74"/>
      <c r="AL216" s="74"/>
      <c r="AM216" s="74"/>
      <c r="AN216" s="74"/>
      <c r="AO216" s="74"/>
      <c r="AP216" s="74"/>
      <c r="AQ216" s="74"/>
      <c r="AR216" s="74"/>
      <c r="AS216" s="74"/>
      <c r="AT216" s="75"/>
      <c r="AU216" s="73" t="s">
        <v>294</v>
      </c>
      <c r="AV216" s="74"/>
      <c r="AW216" s="74"/>
      <c r="AX216" s="74"/>
      <c r="AY216" s="74"/>
      <c r="AZ216" s="74"/>
      <c r="BA216" s="74"/>
      <c r="BB216" s="74"/>
      <c r="BC216" s="74"/>
      <c r="BD216" s="74"/>
      <c r="BE216" s="74"/>
      <c r="BF216" s="74"/>
      <c r="BG216" s="74"/>
      <c r="BH216" s="74"/>
      <c r="BI216" s="75"/>
    </row>
    <row r="217" spans="1:79" ht="28.5" customHeight="1" x14ac:dyDescent="0.2">
      <c r="A217" s="80"/>
      <c r="B217" s="81"/>
      <c r="C217" s="81"/>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t="s">
        <v>4</v>
      </c>
      <c r="AG217" s="39"/>
      <c r="AH217" s="39"/>
      <c r="AI217" s="39"/>
      <c r="AJ217" s="39"/>
      <c r="AK217" s="39" t="s">
        <v>3</v>
      </c>
      <c r="AL217" s="39"/>
      <c r="AM217" s="39"/>
      <c r="AN217" s="39"/>
      <c r="AO217" s="39"/>
      <c r="AP217" s="39" t="s">
        <v>123</v>
      </c>
      <c r="AQ217" s="39"/>
      <c r="AR217" s="39"/>
      <c r="AS217" s="39"/>
      <c r="AT217" s="39"/>
      <c r="AU217" s="39" t="s">
        <v>4</v>
      </c>
      <c r="AV217" s="39"/>
      <c r="AW217" s="39"/>
      <c r="AX217" s="39"/>
      <c r="AY217" s="39"/>
      <c r="AZ217" s="39" t="s">
        <v>3</v>
      </c>
      <c r="BA217" s="39"/>
      <c r="BB217" s="39"/>
      <c r="BC217" s="39"/>
      <c r="BD217" s="39"/>
      <c r="BE217" s="39" t="s">
        <v>90</v>
      </c>
      <c r="BF217" s="39"/>
      <c r="BG217" s="39"/>
      <c r="BH217" s="39"/>
      <c r="BI217" s="39"/>
    </row>
    <row r="218" spans="1:79" ht="15" customHeight="1" x14ac:dyDescent="0.2">
      <c r="A218" s="73">
        <v>1</v>
      </c>
      <c r="B218" s="74"/>
      <c r="C218" s="74"/>
      <c r="D218" s="39">
        <v>2</v>
      </c>
      <c r="E218" s="39"/>
      <c r="F218" s="39"/>
      <c r="G218" s="39"/>
      <c r="H218" s="39"/>
      <c r="I218" s="39"/>
      <c r="J218" s="39"/>
      <c r="K218" s="39"/>
      <c r="L218" s="39"/>
      <c r="M218" s="39"/>
      <c r="N218" s="39"/>
      <c r="O218" s="39"/>
      <c r="P218" s="39"/>
      <c r="Q218" s="39">
        <v>3</v>
      </c>
      <c r="R218" s="39"/>
      <c r="S218" s="39"/>
      <c r="T218" s="39"/>
      <c r="U218" s="39"/>
      <c r="V218" s="39">
        <v>4</v>
      </c>
      <c r="W218" s="39"/>
      <c r="X218" s="39"/>
      <c r="Y218" s="39"/>
      <c r="Z218" s="39"/>
      <c r="AA218" s="39"/>
      <c r="AB218" s="39"/>
      <c r="AC218" s="39"/>
      <c r="AD218" s="39"/>
      <c r="AE218" s="39"/>
      <c r="AF218" s="39">
        <v>5</v>
      </c>
      <c r="AG218" s="39"/>
      <c r="AH218" s="39"/>
      <c r="AI218" s="39"/>
      <c r="AJ218" s="39"/>
      <c r="AK218" s="39">
        <v>6</v>
      </c>
      <c r="AL218" s="39"/>
      <c r="AM218" s="39"/>
      <c r="AN218" s="39"/>
      <c r="AO218" s="39"/>
      <c r="AP218" s="39">
        <v>7</v>
      </c>
      <c r="AQ218" s="39"/>
      <c r="AR218" s="39"/>
      <c r="AS218" s="39"/>
      <c r="AT218" s="39"/>
      <c r="AU218" s="39">
        <v>8</v>
      </c>
      <c r="AV218" s="39"/>
      <c r="AW218" s="39"/>
      <c r="AX218" s="39"/>
      <c r="AY218" s="39"/>
      <c r="AZ218" s="39">
        <v>9</v>
      </c>
      <c r="BA218" s="39"/>
      <c r="BB218" s="39"/>
      <c r="BC218" s="39"/>
      <c r="BD218" s="39"/>
      <c r="BE218" s="39">
        <v>10</v>
      </c>
      <c r="BF218" s="39"/>
      <c r="BG218" s="39"/>
      <c r="BH218" s="39"/>
      <c r="BI218" s="39"/>
    </row>
    <row r="219" spans="1:79" ht="15.75" hidden="1" customHeight="1" x14ac:dyDescent="0.2">
      <c r="A219" s="87" t="s">
        <v>154</v>
      </c>
      <c r="B219" s="88"/>
      <c r="C219" s="88"/>
      <c r="D219" s="39" t="s">
        <v>57</v>
      </c>
      <c r="E219" s="39"/>
      <c r="F219" s="39"/>
      <c r="G219" s="39"/>
      <c r="H219" s="39"/>
      <c r="I219" s="39"/>
      <c r="J219" s="39"/>
      <c r="K219" s="39"/>
      <c r="L219" s="39"/>
      <c r="M219" s="39"/>
      <c r="N219" s="39"/>
      <c r="O219" s="39"/>
      <c r="P219" s="39"/>
      <c r="Q219" s="39" t="s">
        <v>70</v>
      </c>
      <c r="R219" s="39"/>
      <c r="S219" s="39"/>
      <c r="T219" s="39"/>
      <c r="U219" s="39"/>
      <c r="V219" s="39" t="s">
        <v>71</v>
      </c>
      <c r="W219" s="39"/>
      <c r="X219" s="39"/>
      <c r="Y219" s="39"/>
      <c r="Z219" s="39"/>
      <c r="AA219" s="39"/>
      <c r="AB219" s="39"/>
      <c r="AC219" s="39"/>
      <c r="AD219" s="39"/>
      <c r="AE219" s="39"/>
      <c r="AF219" s="65" t="s">
        <v>107</v>
      </c>
      <c r="AG219" s="65"/>
      <c r="AH219" s="65"/>
      <c r="AI219" s="65"/>
      <c r="AJ219" s="65"/>
      <c r="AK219" s="63" t="s">
        <v>108</v>
      </c>
      <c r="AL219" s="63"/>
      <c r="AM219" s="63"/>
      <c r="AN219" s="63"/>
      <c r="AO219" s="63"/>
      <c r="AP219" s="83" t="s">
        <v>222</v>
      </c>
      <c r="AQ219" s="83"/>
      <c r="AR219" s="83"/>
      <c r="AS219" s="83"/>
      <c r="AT219" s="83"/>
      <c r="AU219" s="65" t="s">
        <v>109</v>
      </c>
      <c r="AV219" s="65"/>
      <c r="AW219" s="65"/>
      <c r="AX219" s="65"/>
      <c r="AY219" s="65"/>
      <c r="AZ219" s="63" t="s">
        <v>110</v>
      </c>
      <c r="BA219" s="63"/>
      <c r="BB219" s="63"/>
      <c r="BC219" s="63"/>
      <c r="BD219" s="63"/>
      <c r="BE219" s="83" t="s">
        <v>222</v>
      </c>
      <c r="BF219" s="83"/>
      <c r="BG219" s="83"/>
      <c r="BH219" s="83"/>
      <c r="BI219" s="83"/>
      <c r="CA219" t="s">
        <v>39</v>
      </c>
    </row>
    <row r="220" spans="1:79" s="5" customFormat="1" ht="14.25" x14ac:dyDescent="0.2">
      <c r="A220" s="36">
        <v>0</v>
      </c>
      <c r="B220" s="37"/>
      <c r="C220" s="37"/>
      <c r="D220" s="41" t="s">
        <v>221</v>
      </c>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CA220" s="5" t="s">
        <v>40</v>
      </c>
    </row>
    <row r="221" spans="1:79" s="4" customFormat="1" ht="28.5" customHeight="1" x14ac:dyDescent="0.2">
      <c r="A221" s="34">
        <v>1</v>
      </c>
      <c r="B221" s="35"/>
      <c r="C221" s="35"/>
      <c r="D221" s="38" t="s">
        <v>223</v>
      </c>
      <c r="E221" s="29"/>
      <c r="F221" s="29"/>
      <c r="G221" s="29"/>
      <c r="H221" s="29"/>
      <c r="I221" s="29"/>
      <c r="J221" s="29"/>
      <c r="K221" s="29"/>
      <c r="L221" s="29"/>
      <c r="M221" s="29"/>
      <c r="N221" s="29"/>
      <c r="O221" s="29"/>
      <c r="P221" s="30"/>
      <c r="Q221" s="39" t="s">
        <v>224</v>
      </c>
      <c r="R221" s="39"/>
      <c r="S221" s="39"/>
      <c r="T221" s="39"/>
      <c r="U221" s="39"/>
      <c r="V221" s="38" t="s">
        <v>225</v>
      </c>
      <c r="W221" s="29"/>
      <c r="X221" s="29"/>
      <c r="Y221" s="29"/>
      <c r="Z221" s="29"/>
      <c r="AA221" s="29"/>
      <c r="AB221" s="29"/>
      <c r="AC221" s="29"/>
      <c r="AD221" s="29"/>
      <c r="AE221" s="30"/>
      <c r="AF221" s="32">
        <v>1</v>
      </c>
      <c r="AG221" s="32"/>
      <c r="AH221" s="32"/>
      <c r="AI221" s="32"/>
      <c r="AJ221" s="32"/>
      <c r="AK221" s="32">
        <v>0</v>
      </c>
      <c r="AL221" s="32"/>
      <c r="AM221" s="32"/>
      <c r="AN221" s="32"/>
      <c r="AO221" s="32"/>
      <c r="AP221" s="32">
        <v>1</v>
      </c>
      <c r="AQ221" s="32"/>
      <c r="AR221" s="32"/>
      <c r="AS221" s="32"/>
      <c r="AT221" s="32"/>
      <c r="AU221" s="32">
        <v>1</v>
      </c>
      <c r="AV221" s="32"/>
      <c r="AW221" s="32"/>
      <c r="AX221" s="32"/>
      <c r="AY221" s="32"/>
      <c r="AZ221" s="32">
        <v>0</v>
      </c>
      <c r="BA221" s="32"/>
      <c r="BB221" s="32"/>
      <c r="BC221" s="32"/>
      <c r="BD221" s="32"/>
      <c r="BE221" s="32">
        <v>1</v>
      </c>
      <c r="BF221" s="32"/>
      <c r="BG221" s="32"/>
      <c r="BH221" s="32"/>
      <c r="BI221" s="32"/>
    </row>
    <row r="222" spans="1:79" s="4" customFormat="1" ht="30" customHeight="1" x14ac:dyDescent="0.2">
      <c r="A222" s="34">
        <v>2</v>
      </c>
      <c r="B222" s="35"/>
      <c r="C222" s="35"/>
      <c r="D222" s="38" t="s">
        <v>226</v>
      </c>
      <c r="E222" s="29"/>
      <c r="F222" s="29"/>
      <c r="G222" s="29"/>
      <c r="H222" s="29"/>
      <c r="I222" s="29"/>
      <c r="J222" s="29"/>
      <c r="K222" s="29"/>
      <c r="L222" s="29"/>
      <c r="M222" s="29"/>
      <c r="N222" s="29"/>
      <c r="O222" s="29"/>
      <c r="P222" s="30"/>
      <c r="Q222" s="39" t="s">
        <v>227</v>
      </c>
      <c r="R222" s="39"/>
      <c r="S222" s="39"/>
      <c r="T222" s="39"/>
      <c r="U222" s="39"/>
      <c r="V222" s="38" t="s">
        <v>228</v>
      </c>
      <c r="W222" s="29"/>
      <c r="X222" s="29"/>
      <c r="Y222" s="29"/>
      <c r="Z222" s="29"/>
      <c r="AA222" s="29"/>
      <c r="AB222" s="29"/>
      <c r="AC222" s="29"/>
      <c r="AD222" s="29"/>
      <c r="AE222" s="30"/>
      <c r="AF222" s="32">
        <v>31</v>
      </c>
      <c r="AG222" s="32"/>
      <c r="AH222" s="32"/>
      <c r="AI222" s="32"/>
      <c r="AJ222" s="32"/>
      <c r="AK222" s="32">
        <v>0</v>
      </c>
      <c r="AL222" s="32"/>
      <c r="AM222" s="32"/>
      <c r="AN222" s="32"/>
      <c r="AO222" s="32"/>
      <c r="AP222" s="32">
        <v>31</v>
      </c>
      <c r="AQ222" s="32"/>
      <c r="AR222" s="32"/>
      <c r="AS222" s="32"/>
      <c r="AT222" s="32"/>
      <c r="AU222" s="32">
        <v>31</v>
      </c>
      <c r="AV222" s="32"/>
      <c r="AW222" s="32"/>
      <c r="AX222" s="32"/>
      <c r="AY222" s="32"/>
      <c r="AZ222" s="32">
        <v>0</v>
      </c>
      <c r="BA222" s="32"/>
      <c r="BB222" s="32"/>
      <c r="BC222" s="32"/>
      <c r="BD222" s="32"/>
      <c r="BE222" s="32">
        <v>31</v>
      </c>
      <c r="BF222" s="32"/>
      <c r="BG222" s="32"/>
      <c r="BH222" s="32"/>
      <c r="BI222" s="32"/>
    </row>
    <row r="223" spans="1:79" s="4" customFormat="1" ht="30" customHeight="1" x14ac:dyDescent="0.2">
      <c r="A223" s="34">
        <v>3</v>
      </c>
      <c r="B223" s="35"/>
      <c r="C223" s="35"/>
      <c r="D223" s="38" t="s">
        <v>229</v>
      </c>
      <c r="E223" s="29"/>
      <c r="F223" s="29"/>
      <c r="G223" s="29"/>
      <c r="H223" s="29"/>
      <c r="I223" s="29"/>
      <c r="J223" s="29"/>
      <c r="K223" s="29"/>
      <c r="L223" s="29"/>
      <c r="M223" s="29"/>
      <c r="N223" s="29"/>
      <c r="O223" s="29"/>
      <c r="P223" s="30"/>
      <c r="Q223" s="39" t="s">
        <v>227</v>
      </c>
      <c r="R223" s="39"/>
      <c r="S223" s="39"/>
      <c r="T223" s="39"/>
      <c r="U223" s="39"/>
      <c r="V223" s="38" t="s">
        <v>228</v>
      </c>
      <c r="W223" s="29"/>
      <c r="X223" s="29"/>
      <c r="Y223" s="29"/>
      <c r="Z223" s="29"/>
      <c r="AA223" s="29"/>
      <c r="AB223" s="29"/>
      <c r="AC223" s="29"/>
      <c r="AD223" s="29"/>
      <c r="AE223" s="30"/>
      <c r="AF223" s="32">
        <v>18</v>
      </c>
      <c r="AG223" s="32"/>
      <c r="AH223" s="32"/>
      <c r="AI223" s="32"/>
      <c r="AJ223" s="32"/>
      <c r="AK223" s="32">
        <v>0</v>
      </c>
      <c r="AL223" s="32"/>
      <c r="AM223" s="32"/>
      <c r="AN223" s="32"/>
      <c r="AO223" s="32"/>
      <c r="AP223" s="32">
        <v>18</v>
      </c>
      <c r="AQ223" s="32"/>
      <c r="AR223" s="32"/>
      <c r="AS223" s="32"/>
      <c r="AT223" s="32"/>
      <c r="AU223" s="32">
        <v>18</v>
      </c>
      <c r="AV223" s="32"/>
      <c r="AW223" s="32"/>
      <c r="AX223" s="32"/>
      <c r="AY223" s="32"/>
      <c r="AZ223" s="32">
        <v>0</v>
      </c>
      <c r="BA223" s="32"/>
      <c r="BB223" s="32"/>
      <c r="BC223" s="32"/>
      <c r="BD223" s="32"/>
      <c r="BE223" s="32">
        <v>18</v>
      </c>
      <c r="BF223" s="32"/>
      <c r="BG223" s="32"/>
      <c r="BH223" s="32"/>
      <c r="BI223" s="32"/>
    </row>
    <row r="224" spans="1:79" s="5" customFormat="1" ht="14.25" x14ac:dyDescent="0.2">
      <c r="A224" s="36">
        <v>0</v>
      </c>
      <c r="B224" s="37"/>
      <c r="C224" s="37"/>
      <c r="D224" s="40" t="s">
        <v>230</v>
      </c>
      <c r="E224" s="23"/>
      <c r="F224" s="23"/>
      <c r="G224" s="23"/>
      <c r="H224" s="23"/>
      <c r="I224" s="23"/>
      <c r="J224" s="23"/>
      <c r="K224" s="23"/>
      <c r="L224" s="23"/>
      <c r="M224" s="23"/>
      <c r="N224" s="23"/>
      <c r="O224" s="23"/>
      <c r="P224" s="24"/>
      <c r="Q224" s="41"/>
      <c r="R224" s="41"/>
      <c r="S224" s="41"/>
      <c r="T224" s="41"/>
      <c r="U224" s="41"/>
      <c r="V224" s="40"/>
      <c r="W224" s="23"/>
      <c r="X224" s="23"/>
      <c r="Y224" s="23"/>
      <c r="Z224" s="23"/>
      <c r="AA224" s="23"/>
      <c r="AB224" s="23"/>
      <c r="AC224" s="23"/>
      <c r="AD224" s="23"/>
      <c r="AE224" s="24"/>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row>
    <row r="225" spans="1:79" s="4" customFormat="1" ht="28.5" customHeight="1" x14ac:dyDescent="0.2">
      <c r="A225" s="34">
        <v>1</v>
      </c>
      <c r="B225" s="35"/>
      <c r="C225" s="35"/>
      <c r="D225" s="38" t="s">
        <v>231</v>
      </c>
      <c r="E225" s="29"/>
      <c r="F225" s="29"/>
      <c r="G225" s="29"/>
      <c r="H225" s="29"/>
      <c r="I225" s="29"/>
      <c r="J225" s="29"/>
      <c r="K225" s="29"/>
      <c r="L225" s="29"/>
      <c r="M225" s="29"/>
      <c r="N225" s="29"/>
      <c r="O225" s="29"/>
      <c r="P225" s="30"/>
      <c r="Q225" s="39" t="s">
        <v>224</v>
      </c>
      <c r="R225" s="39"/>
      <c r="S225" s="39"/>
      <c r="T225" s="39"/>
      <c r="U225" s="39"/>
      <c r="V225" s="38" t="s">
        <v>225</v>
      </c>
      <c r="W225" s="29"/>
      <c r="X225" s="29"/>
      <c r="Y225" s="29"/>
      <c r="Z225" s="29"/>
      <c r="AA225" s="29"/>
      <c r="AB225" s="29"/>
      <c r="AC225" s="29"/>
      <c r="AD225" s="29"/>
      <c r="AE225" s="30"/>
      <c r="AF225" s="32">
        <v>1</v>
      </c>
      <c r="AG225" s="32"/>
      <c r="AH225" s="32"/>
      <c r="AI225" s="32"/>
      <c r="AJ225" s="32"/>
      <c r="AK225" s="32">
        <v>0</v>
      </c>
      <c r="AL225" s="32"/>
      <c r="AM225" s="32"/>
      <c r="AN225" s="32"/>
      <c r="AO225" s="32"/>
      <c r="AP225" s="32">
        <v>1</v>
      </c>
      <c r="AQ225" s="32"/>
      <c r="AR225" s="32"/>
      <c r="AS225" s="32"/>
      <c r="AT225" s="32"/>
      <c r="AU225" s="32">
        <v>1</v>
      </c>
      <c r="AV225" s="32"/>
      <c r="AW225" s="32"/>
      <c r="AX225" s="32"/>
      <c r="AY225" s="32"/>
      <c r="AZ225" s="32">
        <v>0</v>
      </c>
      <c r="BA225" s="32"/>
      <c r="BB225" s="32"/>
      <c r="BC225" s="32"/>
      <c r="BD225" s="32"/>
      <c r="BE225" s="32">
        <v>1</v>
      </c>
      <c r="BF225" s="32"/>
      <c r="BG225" s="32"/>
      <c r="BH225" s="32"/>
      <c r="BI225" s="32"/>
    </row>
    <row r="226" spans="1:79" s="4" customFormat="1" ht="30" customHeight="1" x14ac:dyDescent="0.2">
      <c r="A226" s="34">
        <v>2</v>
      </c>
      <c r="B226" s="35"/>
      <c r="C226" s="35"/>
      <c r="D226" s="38" t="s">
        <v>232</v>
      </c>
      <c r="E226" s="29"/>
      <c r="F226" s="29"/>
      <c r="G226" s="29"/>
      <c r="H226" s="29"/>
      <c r="I226" s="29"/>
      <c r="J226" s="29"/>
      <c r="K226" s="29"/>
      <c r="L226" s="29"/>
      <c r="M226" s="29"/>
      <c r="N226" s="29"/>
      <c r="O226" s="29"/>
      <c r="P226" s="30"/>
      <c r="Q226" s="39" t="s">
        <v>227</v>
      </c>
      <c r="R226" s="39"/>
      <c r="S226" s="39"/>
      <c r="T226" s="39"/>
      <c r="U226" s="39"/>
      <c r="V226" s="38" t="s">
        <v>233</v>
      </c>
      <c r="W226" s="29"/>
      <c r="X226" s="29"/>
      <c r="Y226" s="29"/>
      <c r="Z226" s="29"/>
      <c r="AA226" s="29"/>
      <c r="AB226" s="29"/>
      <c r="AC226" s="29"/>
      <c r="AD226" s="29"/>
      <c r="AE226" s="30"/>
      <c r="AF226" s="32">
        <v>700</v>
      </c>
      <c r="AG226" s="32"/>
      <c r="AH226" s="32"/>
      <c r="AI226" s="32"/>
      <c r="AJ226" s="32"/>
      <c r="AK226" s="32">
        <v>0</v>
      </c>
      <c r="AL226" s="32"/>
      <c r="AM226" s="32"/>
      <c r="AN226" s="32"/>
      <c r="AO226" s="32"/>
      <c r="AP226" s="32">
        <v>700</v>
      </c>
      <c r="AQ226" s="32"/>
      <c r="AR226" s="32"/>
      <c r="AS226" s="32"/>
      <c r="AT226" s="32"/>
      <c r="AU226" s="32">
        <v>700</v>
      </c>
      <c r="AV226" s="32"/>
      <c r="AW226" s="32"/>
      <c r="AX226" s="32"/>
      <c r="AY226" s="32"/>
      <c r="AZ226" s="32">
        <v>0</v>
      </c>
      <c r="BA226" s="32"/>
      <c r="BB226" s="32"/>
      <c r="BC226" s="32"/>
      <c r="BD226" s="32"/>
      <c r="BE226" s="32">
        <v>700</v>
      </c>
      <c r="BF226" s="32"/>
      <c r="BG226" s="32"/>
      <c r="BH226" s="32"/>
      <c r="BI226" s="32"/>
    </row>
    <row r="227" spans="1:79" s="5" customFormat="1" ht="14.25" x14ac:dyDescent="0.2">
      <c r="A227" s="36">
        <v>0</v>
      </c>
      <c r="B227" s="37"/>
      <c r="C227" s="37"/>
      <c r="D227" s="40" t="s">
        <v>234</v>
      </c>
      <c r="E227" s="23"/>
      <c r="F227" s="23"/>
      <c r="G227" s="23"/>
      <c r="H227" s="23"/>
      <c r="I227" s="23"/>
      <c r="J227" s="23"/>
      <c r="K227" s="23"/>
      <c r="L227" s="23"/>
      <c r="M227" s="23"/>
      <c r="N227" s="23"/>
      <c r="O227" s="23"/>
      <c r="P227" s="24"/>
      <c r="Q227" s="41"/>
      <c r="R227" s="41"/>
      <c r="S227" s="41"/>
      <c r="T227" s="41"/>
      <c r="U227" s="41"/>
      <c r="V227" s="40"/>
      <c r="W227" s="23"/>
      <c r="X227" s="23"/>
      <c r="Y227" s="23"/>
      <c r="Z227" s="23"/>
      <c r="AA227" s="23"/>
      <c r="AB227" s="23"/>
      <c r="AC227" s="23"/>
      <c r="AD227" s="23"/>
      <c r="AE227" s="24"/>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row>
    <row r="228" spans="1:79" s="4" customFormat="1" ht="42.75" customHeight="1" x14ac:dyDescent="0.2">
      <c r="A228" s="34">
        <v>1</v>
      </c>
      <c r="B228" s="35"/>
      <c r="C228" s="35"/>
      <c r="D228" s="38" t="s">
        <v>235</v>
      </c>
      <c r="E228" s="29"/>
      <c r="F228" s="29"/>
      <c r="G228" s="29"/>
      <c r="H228" s="29"/>
      <c r="I228" s="29"/>
      <c r="J228" s="29"/>
      <c r="K228" s="29"/>
      <c r="L228" s="29"/>
      <c r="M228" s="29"/>
      <c r="N228" s="29"/>
      <c r="O228" s="29"/>
      <c r="P228" s="30"/>
      <c r="Q228" s="39" t="s">
        <v>236</v>
      </c>
      <c r="R228" s="39"/>
      <c r="S228" s="39"/>
      <c r="T228" s="39"/>
      <c r="U228" s="39"/>
      <c r="V228" s="38" t="s">
        <v>237</v>
      </c>
      <c r="W228" s="29"/>
      <c r="X228" s="29"/>
      <c r="Y228" s="29"/>
      <c r="Z228" s="29"/>
      <c r="AA228" s="29"/>
      <c r="AB228" s="29"/>
      <c r="AC228" s="29"/>
      <c r="AD228" s="29"/>
      <c r="AE228" s="30"/>
      <c r="AF228" s="32">
        <v>162590</v>
      </c>
      <c r="AG228" s="32"/>
      <c r="AH228" s="32"/>
      <c r="AI228" s="32"/>
      <c r="AJ228" s="32"/>
      <c r="AK228" s="32">
        <v>0</v>
      </c>
      <c r="AL228" s="32"/>
      <c r="AM228" s="32"/>
      <c r="AN228" s="32"/>
      <c r="AO228" s="32"/>
      <c r="AP228" s="32">
        <v>162590</v>
      </c>
      <c r="AQ228" s="32"/>
      <c r="AR228" s="32"/>
      <c r="AS228" s="32"/>
      <c r="AT228" s="32"/>
      <c r="AU228" s="32">
        <v>175598</v>
      </c>
      <c r="AV228" s="32"/>
      <c r="AW228" s="32"/>
      <c r="AX228" s="32"/>
      <c r="AY228" s="32"/>
      <c r="AZ228" s="32">
        <v>0</v>
      </c>
      <c r="BA228" s="32"/>
      <c r="BB228" s="32"/>
      <c r="BC228" s="32"/>
      <c r="BD228" s="32"/>
      <c r="BE228" s="32">
        <v>175598</v>
      </c>
      <c r="BF228" s="32"/>
      <c r="BG228" s="32"/>
      <c r="BH228" s="32"/>
      <c r="BI228" s="32"/>
    </row>
    <row r="229" spans="1:79" s="4" customFormat="1" ht="45" customHeight="1" x14ac:dyDescent="0.2">
      <c r="A229" s="34">
        <v>2</v>
      </c>
      <c r="B229" s="35"/>
      <c r="C229" s="35"/>
      <c r="D229" s="38" t="s">
        <v>238</v>
      </c>
      <c r="E229" s="29"/>
      <c r="F229" s="29"/>
      <c r="G229" s="29"/>
      <c r="H229" s="29"/>
      <c r="I229" s="29"/>
      <c r="J229" s="29"/>
      <c r="K229" s="29"/>
      <c r="L229" s="29"/>
      <c r="M229" s="29"/>
      <c r="N229" s="29"/>
      <c r="O229" s="29"/>
      <c r="P229" s="30"/>
      <c r="Q229" s="39" t="s">
        <v>227</v>
      </c>
      <c r="R229" s="39"/>
      <c r="S229" s="39"/>
      <c r="T229" s="39"/>
      <c r="U229" s="39"/>
      <c r="V229" s="38" t="s">
        <v>237</v>
      </c>
      <c r="W229" s="29"/>
      <c r="X229" s="29"/>
      <c r="Y229" s="29"/>
      <c r="Z229" s="29"/>
      <c r="AA229" s="29"/>
      <c r="AB229" s="29"/>
      <c r="AC229" s="29"/>
      <c r="AD229" s="29"/>
      <c r="AE229" s="30"/>
      <c r="AF229" s="32">
        <v>39</v>
      </c>
      <c r="AG229" s="32"/>
      <c r="AH229" s="32"/>
      <c r="AI229" s="32"/>
      <c r="AJ229" s="32"/>
      <c r="AK229" s="32">
        <v>0</v>
      </c>
      <c r="AL229" s="32"/>
      <c r="AM229" s="32"/>
      <c r="AN229" s="32"/>
      <c r="AO229" s="32"/>
      <c r="AP229" s="32">
        <v>39</v>
      </c>
      <c r="AQ229" s="32"/>
      <c r="AR229" s="32"/>
      <c r="AS229" s="32"/>
      <c r="AT229" s="32"/>
      <c r="AU229" s="32">
        <v>40</v>
      </c>
      <c r="AV229" s="32"/>
      <c r="AW229" s="32"/>
      <c r="AX229" s="32"/>
      <c r="AY229" s="32"/>
      <c r="AZ229" s="32">
        <v>0</v>
      </c>
      <c r="BA229" s="32"/>
      <c r="BB229" s="32"/>
      <c r="BC229" s="32"/>
      <c r="BD229" s="32"/>
      <c r="BE229" s="32">
        <v>40</v>
      </c>
      <c r="BF229" s="32"/>
      <c r="BG229" s="32"/>
      <c r="BH229" s="32"/>
      <c r="BI229" s="32"/>
    </row>
    <row r="230" spans="1:79" s="5" customFormat="1" ht="14.25" x14ac:dyDescent="0.2">
      <c r="A230" s="36">
        <v>0</v>
      </c>
      <c r="B230" s="37"/>
      <c r="C230" s="37"/>
      <c r="D230" s="40" t="s">
        <v>239</v>
      </c>
      <c r="E230" s="23"/>
      <c r="F230" s="23"/>
      <c r="G230" s="23"/>
      <c r="H230" s="23"/>
      <c r="I230" s="23"/>
      <c r="J230" s="23"/>
      <c r="K230" s="23"/>
      <c r="L230" s="23"/>
      <c r="M230" s="23"/>
      <c r="N230" s="23"/>
      <c r="O230" s="23"/>
      <c r="P230" s="24"/>
      <c r="Q230" s="41"/>
      <c r="R230" s="41"/>
      <c r="S230" s="41"/>
      <c r="T230" s="41"/>
      <c r="U230" s="41"/>
      <c r="V230" s="40"/>
      <c r="W230" s="23"/>
      <c r="X230" s="23"/>
      <c r="Y230" s="23"/>
      <c r="Z230" s="23"/>
      <c r="AA230" s="23"/>
      <c r="AB230" s="23"/>
      <c r="AC230" s="23"/>
      <c r="AD230" s="23"/>
      <c r="AE230" s="24"/>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row>
    <row r="231" spans="1:79" s="4" customFormat="1" ht="28.5" customHeight="1" x14ac:dyDescent="0.2">
      <c r="A231" s="34">
        <v>1</v>
      </c>
      <c r="B231" s="35"/>
      <c r="C231" s="35"/>
      <c r="D231" s="38" t="s">
        <v>240</v>
      </c>
      <c r="E231" s="29"/>
      <c r="F231" s="29"/>
      <c r="G231" s="29"/>
      <c r="H231" s="29"/>
      <c r="I231" s="29"/>
      <c r="J231" s="29"/>
      <c r="K231" s="29"/>
      <c r="L231" s="29"/>
      <c r="M231" s="29"/>
      <c r="N231" s="29"/>
      <c r="O231" s="29"/>
      <c r="P231" s="30"/>
      <c r="Q231" s="39" t="s">
        <v>241</v>
      </c>
      <c r="R231" s="39"/>
      <c r="S231" s="39"/>
      <c r="T231" s="39"/>
      <c r="U231" s="39"/>
      <c r="V231" s="38" t="s">
        <v>242</v>
      </c>
      <c r="W231" s="29"/>
      <c r="X231" s="29"/>
      <c r="Y231" s="29"/>
      <c r="Z231" s="29"/>
      <c r="AA231" s="29"/>
      <c r="AB231" s="29"/>
      <c r="AC231" s="29"/>
      <c r="AD231" s="29"/>
      <c r="AE231" s="30"/>
      <c r="AF231" s="32">
        <v>100</v>
      </c>
      <c r="AG231" s="32"/>
      <c r="AH231" s="32"/>
      <c r="AI231" s="32"/>
      <c r="AJ231" s="32"/>
      <c r="AK231" s="32">
        <v>0</v>
      </c>
      <c r="AL231" s="32"/>
      <c r="AM231" s="32"/>
      <c r="AN231" s="32"/>
      <c r="AO231" s="32"/>
      <c r="AP231" s="32">
        <v>100</v>
      </c>
      <c r="AQ231" s="32"/>
      <c r="AR231" s="32"/>
      <c r="AS231" s="32"/>
      <c r="AT231" s="32"/>
      <c r="AU231" s="32">
        <v>100</v>
      </c>
      <c r="AV231" s="32"/>
      <c r="AW231" s="32"/>
      <c r="AX231" s="32"/>
      <c r="AY231" s="32"/>
      <c r="AZ231" s="32">
        <v>0</v>
      </c>
      <c r="BA231" s="32"/>
      <c r="BB231" s="32"/>
      <c r="BC231" s="32"/>
      <c r="BD231" s="32"/>
      <c r="BE231" s="32">
        <v>100</v>
      </c>
      <c r="BF231" s="32"/>
      <c r="BG231" s="32"/>
      <c r="BH231" s="32"/>
      <c r="BI231" s="32"/>
    </row>
    <row r="233" spans="1:79" ht="14.25" customHeight="1" x14ac:dyDescent="0.2">
      <c r="A233" s="61" t="s">
        <v>124</v>
      </c>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row>
    <row r="234" spans="1:79" ht="15" customHeight="1" x14ac:dyDescent="0.2">
      <c r="A234" s="76" t="s">
        <v>267</v>
      </c>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6"/>
      <c r="AN234" s="76"/>
      <c r="AO234" s="76"/>
      <c r="AP234" s="76"/>
      <c r="AQ234" s="76"/>
      <c r="AR234" s="76"/>
      <c r="AS234" s="76"/>
      <c r="AT234" s="76"/>
      <c r="AU234" s="76"/>
      <c r="AV234" s="76"/>
      <c r="AW234" s="76"/>
      <c r="AX234" s="76"/>
      <c r="AY234" s="76"/>
      <c r="AZ234" s="76"/>
      <c r="BA234" s="76"/>
      <c r="BB234" s="76"/>
      <c r="BC234" s="76"/>
      <c r="BD234" s="76"/>
      <c r="BE234" s="76"/>
      <c r="BF234" s="76"/>
      <c r="BG234" s="76"/>
      <c r="BH234" s="76"/>
      <c r="BI234" s="76"/>
      <c r="BJ234" s="76"/>
      <c r="BK234" s="76"/>
      <c r="BL234" s="76"/>
      <c r="BM234" s="76"/>
      <c r="BN234" s="76"/>
      <c r="BO234" s="76"/>
      <c r="BP234" s="76"/>
      <c r="BQ234" s="76"/>
      <c r="BR234" s="76"/>
    </row>
    <row r="235" spans="1:79" ht="12.95" customHeight="1" x14ac:dyDescent="0.2">
      <c r="A235" s="77" t="s">
        <v>19</v>
      </c>
      <c r="B235" s="78"/>
      <c r="C235" s="78"/>
      <c r="D235" s="78"/>
      <c r="E235" s="78"/>
      <c r="F235" s="78"/>
      <c r="G235" s="78"/>
      <c r="H235" s="78"/>
      <c r="I235" s="78"/>
      <c r="J235" s="78"/>
      <c r="K235" s="78"/>
      <c r="L235" s="78"/>
      <c r="M235" s="78"/>
      <c r="N235" s="78"/>
      <c r="O235" s="78"/>
      <c r="P235" s="78"/>
      <c r="Q235" s="78"/>
      <c r="R235" s="78"/>
      <c r="S235" s="78"/>
      <c r="T235" s="79"/>
      <c r="U235" s="39" t="s">
        <v>268</v>
      </c>
      <c r="V235" s="39"/>
      <c r="W235" s="39"/>
      <c r="X235" s="39"/>
      <c r="Y235" s="39"/>
      <c r="Z235" s="39"/>
      <c r="AA235" s="39"/>
      <c r="AB235" s="39"/>
      <c r="AC235" s="39"/>
      <c r="AD235" s="39"/>
      <c r="AE235" s="39" t="s">
        <v>271</v>
      </c>
      <c r="AF235" s="39"/>
      <c r="AG235" s="39"/>
      <c r="AH235" s="39"/>
      <c r="AI235" s="39"/>
      <c r="AJ235" s="39"/>
      <c r="AK235" s="39"/>
      <c r="AL235" s="39"/>
      <c r="AM235" s="39"/>
      <c r="AN235" s="39"/>
      <c r="AO235" s="39" t="s">
        <v>279</v>
      </c>
      <c r="AP235" s="39"/>
      <c r="AQ235" s="39"/>
      <c r="AR235" s="39"/>
      <c r="AS235" s="39"/>
      <c r="AT235" s="39"/>
      <c r="AU235" s="39"/>
      <c r="AV235" s="39"/>
      <c r="AW235" s="39"/>
      <c r="AX235" s="39"/>
      <c r="AY235" s="39" t="s">
        <v>289</v>
      </c>
      <c r="AZ235" s="39"/>
      <c r="BA235" s="39"/>
      <c r="BB235" s="39"/>
      <c r="BC235" s="39"/>
      <c r="BD235" s="39"/>
      <c r="BE235" s="39"/>
      <c r="BF235" s="39"/>
      <c r="BG235" s="39"/>
      <c r="BH235" s="39"/>
      <c r="BI235" s="39" t="s">
        <v>294</v>
      </c>
      <c r="BJ235" s="39"/>
      <c r="BK235" s="39"/>
      <c r="BL235" s="39"/>
      <c r="BM235" s="39"/>
      <c r="BN235" s="39"/>
      <c r="BO235" s="39"/>
      <c r="BP235" s="39"/>
      <c r="BQ235" s="39"/>
      <c r="BR235" s="39"/>
    </row>
    <row r="236" spans="1:79" ht="30" customHeight="1" x14ac:dyDescent="0.2">
      <c r="A236" s="80"/>
      <c r="B236" s="81"/>
      <c r="C236" s="81"/>
      <c r="D236" s="81"/>
      <c r="E236" s="81"/>
      <c r="F236" s="81"/>
      <c r="G236" s="81"/>
      <c r="H236" s="81"/>
      <c r="I236" s="81"/>
      <c r="J236" s="81"/>
      <c r="K236" s="81"/>
      <c r="L236" s="81"/>
      <c r="M236" s="81"/>
      <c r="N236" s="81"/>
      <c r="O236" s="81"/>
      <c r="P236" s="81"/>
      <c r="Q236" s="81"/>
      <c r="R236" s="81"/>
      <c r="S236" s="81"/>
      <c r="T236" s="82"/>
      <c r="U236" s="39" t="s">
        <v>4</v>
      </c>
      <c r="V236" s="39"/>
      <c r="W236" s="39"/>
      <c r="X236" s="39"/>
      <c r="Y236" s="39"/>
      <c r="Z236" s="39" t="s">
        <v>3</v>
      </c>
      <c r="AA236" s="39"/>
      <c r="AB236" s="39"/>
      <c r="AC236" s="39"/>
      <c r="AD236" s="39"/>
      <c r="AE236" s="39" t="s">
        <v>4</v>
      </c>
      <c r="AF236" s="39"/>
      <c r="AG236" s="39"/>
      <c r="AH236" s="39"/>
      <c r="AI236" s="39"/>
      <c r="AJ236" s="39" t="s">
        <v>3</v>
      </c>
      <c r="AK236" s="39"/>
      <c r="AL236" s="39"/>
      <c r="AM236" s="39"/>
      <c r="AN236" s="39"/>
      <c r="AO236" s="39" t="s">
        <v>4</v>
      </c>
      <c r="AP236" s="39"/>
      <c r="AQ236" s="39"/>
      <c r="AR236" s="39"/>
      <c r="AS236" s="39"/>
      <c r="AT236" s="39" t="s">
        <v>3</v>
      </c>
      <c r="AU236" s="39"/>
      <c r="AV236" s="39"/>
      <c r="AW236" s="39"/>
      <c r="AX236" s="39"/>
      <c r="AY236" s="39" t="s">
        <v>4</v>
      </c>
      <c r="AZ236" s="39"/>
      <c r="BA236" s="39"/>
      <c r="BB236" s="39"/>
      <c r="BC236" s="39"/>
      <c r="BD236" s="39" t="s">
        <v>3</v>
      </c>
      <c r="BE236" s="39"/>
      <c r="BF236" s="39"/>
      <c r="BG236" s="39"/>
      <c r="BH236" s="39"/>
      <c r="BI236" s="39" t="s">
        <v>4</v>
      </c>
      <c r="BJ236" s="39"/>
      <c r="BK236" s="39"/>
      <c r="BL236" s="39"/>
      <c r="BM236" s="39"/>
      <c r="BN236" s="39" t="s">
        <v>3</v>
      </c>
      <c r="BO236" s="39"/>
      <c r="BP236" s="39"/>
      <c r="BQ236" s="39"/>
      <c r="BR236" s="39"/>
    </row>
    <row r="237" spans="1:79" ht="15" customHeight="1" x14ac:dyDescent="0.2">
      <c r="A237" s="73">
        <v>1</v>
      </c>
      <c r="B237" s="74"/>
      <c r="C237" s="74"/>
      <c r="D237" s="74"/>
      <c r="E237" s="74"/>
      <c r="F237" s="74"/>
      <c r="G237" s="74"/>
      <c r="H237" s="74"/>
      <c r="I237" s="74"/>
      <c r="J237" s="74"/>
      <c r="K237" s="74"/>
      <c r="L237" s="74"/>
      <c r="M237" s="74"/>
      <c r="N237" s="74"/>
      <c r="O237" s="74"/>
      <c r="P237" s="74"/>
      <c r="Q237" s="74"/>
      <c r="R237" s="74"/>
      <c r="S237" s="74"/>
      <c r="T237" s="75"/>
      <c r="U237" s="39">
        <v>2</v>
      </c>
      <c r="V237" s="39"/>
      <c r="W237" s="39"/>
      <c r="X237" s="39"/>
      <c r="Y237" s="39"/>
      <c r="Z237" s="39">
        <v>3</v>
      </c>
      <c r="AA237" s="39"/>
      <c r="AB237" s="39"/>
      <c r="AC237" s="39"/>
      <c r="AD237" s="39"/>
      <c r="AE237" s="39">
        <v>4</v>
      </c>
      <c r="AF237" s="39"/>
      <c r="AG237" s="39"/>
      <c r="AH237" s="39"/>
      <c r="AI237" s="39"/>
      <c r="AJ237" s="39">
        <v>5</v>
      </c>
      <c r="AK237" s="39"/>
      <c r="AL237" s="39"/>
      <c r="AM237" s="39"/>
      <c r="AN237" s="39"/>
      <c r="AO237" s="39">
        <v>6</v>
      </c>
      <c r="AP237" s="39"/>
      <c r="AQ237" s="39"/>
      <c r="AR237" s="39"/>
      <c r="AS237" s="39"/>
      <c r="AT237" s="39">
        <v>7</v>
      </c>
      <c r="AU237" s="39"/>
      <c r="AV237" s="39"/>
      <c r="AW237" s="39"/>
      <c r="AX237" s="39"/>
      <c r="AY237" s="39">
        <v>8</v>
      </c>
      <c r="AZ237" s="39"/>
      <c r="BA237" s="39"/>
      <c r="BB237" s="39"/>
      <c r="BC237" s="39"/>
      <c r="BD237" s="39">
        <v>9</v>
      </c>
      <c r="BE237" s="39"/>
      <c r="BF237" s="39"/>
      <c r="BG237" s="39"/>
      <c r="BH237" s="39"/>
      <c r="BI237" s="39">
        <v>10</v>
      </c>
      <c r="BJ237" s="39"/>
      <c r="BK237" s="39"/>
      <c r="BL237" s="39"/>
      <c r="BM237" s="39"/>
      <c r="BN237" s="39">
        <v>11</v>
      </c>
      <c r="BO237" s="39"/>
      <c r="BP237" s="39"/>
      <c r="BQ237" s="39"/>
      <c r="BR237" s="39"/>
    </row>
    <row r="238" spans="1:79" s="1" customFormat="1" ht="15.75" hidden="1" customHeight="1" x14ac:dyDescent="0.2">
      <c r="A238" s="87" t="s">
        <v>57</v>
      </c>
      <c r="B238" s="88"/>
      <c r="C238" s="88"/>
      <c r="D238" s="88"/>
      <c r="E238" s="88"/>
      <c r="F238" s="88"/>
      <c r="G238" s="88"/>
      <c r="H238" s="88"/>
      <c r="I238" s="88"/>
      <c r="J238" s="88"/>
      <c r="K238" s="88"/>
      <c r="L238" s="88"/>
      <c r="M238" s="88"/>
      <c r="N238" s="88"/>
      <c r="O238" s="88"/>
      <c r="P238" s="88"/>
      <c r="Q238" s="88"/>
      <c r="R238" s="88"/>
      <c r="S238" s="88"/>
      <c r="T238" s="89"/>
      <c r="U238" s="65" t="s">
        <v>65</v>
      </c>
      <c r="V238" s="65"/>
      <c r="W238" s="65"/>
      <c r="X238" s="65"/>
      <c r="Y238" s="65"/>
      <c r="Z238" s="63" t="s">
        <v>66</v>
      </c>
      <c r="AA238" s="63"/>
      <c r="AB238" s="63"/>
      <c r="AC238" s="63"/>
      <c r="AD238" s="63"/>
      <c r="AE238" s="65" t="s">
        <v>67</v>
      </c>
      <c r="AF238" s="65"/>
      <c r="AG238" s="65"/>
      <c r="AH238" s="65"/>
      <c r="AI238" s="65"/>
      <c r="AJ238" s="63" t="s">
        <v>68</v>
      </c>
      <c r="AK238" s="63"/>
      <c r="AL238" s="63"/>
      <c r="AM238" s="63"/>
      <c r="AN238" s="63"/>
      <c r="AO238" s="65" t="s">
        <v>58</v>
      </c>
      <c r="AP238" s="65"/>
      <c r="AQ238" s="65"/>
      <c r="AR238" s="65"/>
      <c r="AS238" s="65"/>
      <c r="AT238" s="63" t="s">
        <v>59</v>
      </c>
      <c r="AU238" s="63"/>
      <c r="AV238" s="63"/>
      <c r="AW238" s="63"/>
      <c r="AX238" s="63"/>
      <c r="AY238" s="65" t="s">
        <v>60</v>
      </c>
      <c r="AZ238" s="65"/>
      <c r="BA238" s="65"/>
      <c r="BB238" s="65"/>
      <c r="BC238" s="65"/>
      <c r="BD238" s="63" t="s">
        <v>61</v>
      </c>
      <c r="BE238" s="63"/>
      <c r="BF238" s="63"/>
      <c r="BG238" s="63"/>
      <c r="BH238" s="63"/>
      <c r="BI238" s="65" t="s">
        <v>62</v>
      </c>
      <c r="BJ238" s="65"/>
      <c r="BK238" s="65"/>
      <c r="BL238" s="65"/>
      <c r="BM238" s="65"/>
      <c r="BN238" s="63" t="s">
        <v>63</v>
      </c>
      <c r="BO238" s="63"/>
      <c r="BP238" s="63"/>
      <c r="BQ238" s="63"/>
      <c r="BR238" s="63"/>
      <c r="CA238" t="s">
        <v>41</v>
      </c>
    </row>
    <row r="239" spans="1:79" s="5" customFormat="1" ht="12.75" customHeight="1" x14ac:dyDescent="0.2">
      <c r="A239" s="22" t="s">
        <v>243</v>
      </c>
      <c r="B239" s="23"/>
      <c r="C239" s="23"/>
      <c r="D239" s="23"/>
      <c r="E239" s="23"/>
      <c r="F239" s="23"/>
      <c r="G239" s="23"/>
      <c r="H239" s="23"/>
      <c r="I239" s="23"/>
      <c r="J239" s="23"/>
      <c r="K239" s="23"/>
      <c r="L239" s="23"/>
      <c r="M239" s="23"/>
      <c r="N239" s="23"/>
      <c r="O239" s="23"/>
      <c r="P239" s="23"/>
      <c r="Q239" s="23"/>
      <c r="R239" s="23"/>
      <c r="S239" s="23"/>
      <c r="T239" s="24"/>
      <c r="U239" s="25">
        <v>2271789</v>
      </c>
      <c r="V239" s="25"/>
      <c r="W239" s="25"/>
      <c r="X239" s="25"/>
      <c r="Y239" s="25"/>
      <c r="Z239" s="25">
        <v>0</v>
      </c>
      <c r="AA239" s="25"/>
      <c r="AB239" s="25"/>
      <c r="AC239" s="25"/>
      <c r="AD239" s="25"/>
      <c r="AE239" s="25">
        <v>3481789</v>
      </c>
      <c r="AF239" s="25"/>
      <c r="AG239" s="25"/>
      <c r="AH239" s="25"/>
      <c r="AI239" s="25"/>
      <c r="AJ239" s="25">
        <v>0</v>
      </c>
      <c r="AK239" s="25"/>
      <c r="AL239" s="25"/>
      <c r="AM239" s="25"/>
      <c r="AN239" s="25"/>
      <c r="AO239" s="25">
        <v>4074658</v>
      </c>
      <c r="AP239" s="25"/>
      <c r="AQ239" s="25"/>
      <c r="AR239" s="25"/>
      <c r="AS239" s="25"/>
      <c r="AT239" s="25">
        <v>0</v>
      </c>
      <c r="AU239" s="25"/>
      <c r="AV239" s="25"/>
      <c r="AW239" s="25"/>
      <c r="AX239" s="25"/>
      <c r="AY239" s="25">
        <v>4074658</v>
      </c>
      <c r="AZ239" s="25"/>
      <c r="BA239" s="25"/>
      <c r="BB239" s="25"/>
      <c r="BC239" s="25"/>
      <c r="BD239" s="25">
        <v>0</v>
      </c>
      <c r="BE239" s="25"/>
      <c r="BF239" s="25"/>
      <c r="BG239" s="25"/>
      <c r="BH239" s="25"/>
      <c r="BI239" s="25">
        <v>4074658</v>
      </c>
      <c r="BJ239" s="25"/>
      <c r="BK239" s="25"/>
      <c r="BL239" s="25"/>
      <c r="BM239" s="25"/>
      <c r="BN239" s="25">
        <v>0</v>
      </c>
      <c r="BO239" s="25"/>
      <c r="BP239" s="25"/>
      <c r="BQ239" s="25"/>
      <c r="BR239" s="25"/>
      <c r="CA239" s="5" t="s">
        <v>42</v>
      </c>
    </row>
    <row r="240" spans="1:79" s="4" customFormat="1" ht="12.75" customHeight="1" x14ac:dyDescent="0.2">
      <c r="A240" s="28" t="s">
        <v>244</v>
      </c>
      <c r="B240" s="29"/>
      <c r="C240" s="29"/>
      <c r="D240" s="29"/>
      <c r="E240" s="29"/>
      <c r="F240" s="29"/>
      <c r="G240" s="29"/>
      <c r="H240" s="29"/>
      <c r="I240" s="29"/>
      <c r="J240" s="29"/>
      <c r="K240" s="29"/>
      <c r="L240" s="29"/>
      <c r="M240" s="29"/>
      <c r="N240" s="29"/>
      <c r="O240" s="29"/>
      <c r="P240" s="29"/>
      <c r="Q240" s="29"/>
      <c r="R240" s="29"/>
      <c r="S240" s="29"/>
      <c r="T240" s="30"/>
      <c r="U240" s="31">
        <v>1894548</v>
      </c>
      <c r="V240" s="31"/>
      <c r="W240" s="31"/>
      <c r="X240" s="31"/>
      <c r="Y240" s="31"/>
      <c r="Z240" s="31">
        <v>0</v>
      </c>
      <c r="AA240" s="31"/>
      <c r="AB240" s="31"/>
      <c r="AC240" s="31"/>
      <c r="AD240" s="31"/>
      <c r="AE240" s="31">
        <v>2894548</v>
      </c>
      <c r="AF240" s="31"/>
      <c r="AG240" s="31"/>
      <c r="AH240" s="31"/>
      <c r="AI240" s="31"/>
      <c r="AJ240" s="31">
        <v>0</v>
      </c>
      <c r="AK240" s="31"/>
      <c r="AL240" s="31"/>
      <c r="AM240" s="31"/>
      <c r="AN240" s="31"/>
      <c r="AO240" s="31">
        <v>3176040</v>
      </c>
      <c r="AP240" s="31"/>
      <c r="AQ240" s="31"/>
      <c r="AR240" s="31"/>
      <c r="AS240" s="31"/>
      <c r="AT240" s="31">
        <v>0</v>
      </c>
      <c r="AU240" s="31"/>
      <c r="AV240" s="31"/>
      <c r="AW240" s="31"/>
      <c r="AX240" s="31"/>
      <c r="AY240" s="31">
        <v>3176040</v>
      </c>
      <c r="AZ240" s="31"/>
      <c r="BA240" s="31"/>
      <c r="BB240" s="31"/>
      <c r="BC240" s="31"/>
      <c r="BD240" s="31">
        <v>0</v>
      </c>
      <c r="BE240" s="31"/>
      <c r="BF240" s="31"/>
      <c r="BG240" s="31"/>
      <c r="BH240" s="31"/>
      <c r="BI240" s="31">
        <v>3176040</v>
      </c>
      <c r="BJ240" s="31"/>
      <c r="BK240" s="31"/>
      <c r="BL240" s="31"/>
      <c r="BM240" s="31"/>
      <c r="BN240" s="31">
        <v>0</v>
      </c>
      <c r="BO240" s="31"/>
      <c r="BP240" s="31"/>
      <c r="BQ240" s="31"/>
      <c r="BR240" s="31"/>
    </row>
    <row r="241" spans="1:79" s="4" customFormat="1" ht="12.75" customHeight="1" x14ac:dyDescent="0.2">
      <c r="A241" s="28" t="s">
        <v>245</v>
      </c>
      <c r="B241" s="29"/>
      <c r="C241" s="29"/>
      <c r="D241" s="29"/>
      <c r="E241" s="29"/>
      <c r="F241" s="29"/>
      <c r="G241" s="29"/>
      <c r="H241" s="29"/>
      <c r="I241" s="29"/>
      <c r="J241" s="29"/>
      <c r="K241" s="29"/>
      <c r="L241" s="29"/>
      <c r="M241" s="29"/>
      <c r="N241" s="29"/>
      <c r="O241" s="29"/>
      <c r="P241" s="29"/>
      <c r="Q241" s="29"/>
      <c r="R241" s="29"/>
      <c r="S241" s="29"/>
      <c r="T241" s="30"/>
      <c r="U241" s="31">
        <v>47250</v>
      </c>
      <c r="V241" s="31"/>
      <c r="W241" s="31"/>
      <c r="X241" s="31"/>
      <c r="Y241" s="31"/>
      <c r="Z241" s="31">
        <v>0</v>
      </c>
      <c r="AA241" s="31"/>
      <c r="AB241" s="31"/>
      <c r="AC241" s="31"/>
      <c r="AD241" s="31"/>
      <c r="AE241" s="31">
        <v>57250</v>
      </c>
      <c r="AF241" s="31"/>
      <c r="AG241" s="31"/>
      <c r="AH241" s="31"/>
      <c r="AI241" s="31"/>
      <c r="AJ241" s="31">
        <v>0</v>
      </c>
      <c r="AK241" s="31"/>
      <c r="AL241" s="31"/>
      <c r="AM241" s="31"/>
      <c r="AN241" s="31"/>
      <c r="AO241" s="31">
        <v>73188</v>
      </c>
      <c r="AP241" s="31"/>
      <c r="AQ241" s="31"/>
      <c r="AR241" s="31"/>
      <c r="AS241" s="31"/>
      <c r="AT241" s="31">
        <v>0</v>
      </c>
      <c r="AU241" s="31"/>
      <c r="AV241" s="31"/>
      <c r="AW241" s="31"/>
      <c r="AX241" s="31"/>
      <c r="AY241" s="31">
        <v>73188</v>
      </c>
      <c r="AZ241" s="31"/>
      <c r="BA241" s="31"/>
      <c r="BB241" s="31"/>
      <c r="BC241" s="31"/>
      <c r="BD241" s="31">
        <v>0</v>
      </c>
      <c r="BE241" s="31"/>
      <c r="BF241" s="31"/>
      <c r="BG241" s="31"/>
      <c r="BH241" s="31"/>
      <c r="BI241" s="31">
        <v>73188</v>
      </c>
      <c r="BJ241" s="31"/>
      <c r="BK241" s="31"/>
      <c r="BL241" s="31"/>
      <c r="BM241" s="31"/>
      <c r="BN241" s="31">
        <v>0</v>
      </c>
      <c r="BO241" s="31"/>
      <c r="BP241" s="31"/>
      <c r="BQ241" s="31"/>
      <c r="BR241" s="31"/>
    </row>
    <row r="242" spans="1:79" s="4" customFormat="1" ht="12.75" customHeight="1" x14ac:dyDescent="0.2">
      <c r="A242" s="28" t="s">
        <v>246</v>
      </c>
      <c r="B242" s="29"/>
      <c r="C242" s="29"/>
      <c r="D242" s="29"/>
      <c r="E242" s="29"/>
      <c r="F242" s="29"/>
      <c r="G242" s="29"/>
      <c r="H242" s="29"/>
      <c r="I242" s="29"/>
      <c r="J242" s="29"/>
      <c r="K242" s="29"/>
      <c r="L242" s="29"/>
      <c r="M242" s="29"/>
      <c r="N242" s="29"/>
      <c r="O242" s="29"/>
      <c r="P242" s="29"/>
      <c r="Q242" s="29"/>
      <c r="R242" s="29"/>
      <c r="S242" s="29"/>
      <c r="T242" s="30"/>
      <c r="U242" s="31">
        <v>329991</v>
      </c>
      <c r="V242" s="31"/>
      <c r="W242" s="31"/>
      <c r="X242" s="31"/>
      <c r="Y242" s="31"/>
      <c r="Z242" s="31">
        <v>0</v>
      </c>
      <c r="AA242" s="31"/>
      <c r="AB242" s="31"/>
      <c r="AC242" s="31"/>
      <c r="AD242" s="31"/>
      <c r="AE242" s="31">
        <v>529991</v>
      </c>
      <c r="AF242" s="31"/>
      <c r="AG242" s="31"/>
      <c r="AH242" s="31"/>
      <c r="AI242" s="31"/>
      <c r="AJ242" s="31">
        <v>0</v>
      </c>
      <c r="AK242" s="31"/>
      <c r="AL242" s="31"/>
      <c r="AM242" s="31"/>
      <c r="AN242" s="31"/>
      <c r="AO242" s="31">
        <v>825430</v>
      </c>
      <c r="AP242" s="31"/>
      <c r="AQ242" s="31"/>
      <c r="AR242" s="31"/>
      <c r="AS242" s="31"/>
      <c r="AT242" s="31">
        <v>0</v>
      </c>
      <c r="AU242" s="31"/>
      <c r="AV242" s="31"/>
      <c r="AW242" s="31"/>
      <c r="AX242" s="31"/>
      <c r="AY242" s="31">
        <v>825430</v>
      </c>
      <c r="AZ242" s="31"/>
      <c r="BA242" s="31"/>
      <c r="BB242" s="31"/>
      <c r="BC242" s="31"/>
      <c r="BD242" s="31">
        <v>0</v>
      </c>
      <c r="BE242" s="31"/>
      <c r="BF242" s="31"/>
      <c r="BG242" s="31"/>
      <c r="BH242" s="31"/>
      <c r="BI242" s="31">
        <v>825430</v>
      </c>
      <c r="BJ242" s="31"/>
      <c r="BK242" s="31"/>
      <c r="BL242" s="31"/>
      <c r="BM242" s="31"/>
      <c r="BN242" s="31">
        <v>0</v>
      </c>
      <c r="BO242" s="31"/>
      <c r="BP242" s="31"/>
      <c r="BQ242" s="31"/>
      <c r="BR242" s="31"/>
    </row>
    <row r="243" spans="1:79" s="4" customFormat="1" ht="12.75" customHeight="1" x14ac:dyDescent="0.2">
      <c r="A243" s="28" t="s">
        <v>247</v>
      </c>
      <c r="B243" s="29"/>
      <c r="C243" s="29"/>
      <c r="D243" s="29"/>
      <c r="E243" s="29"/>
      <c r="F243" s="29"/>
      <c r="G243" s="29"/>
      <c r="H243" s="29"/>
      <c r="I243" s="29"/>
      <c r="J243" s="29"/>
      <c r="K243" s="29"/>
      <c r="L243" s="29"/>
      <c r="M243" s="29"/>
      <c r="N243" s="29"/>
      <c r="O243" s="29"/>
      <c r="P243" s="29"/>
      <c r="Q243" s="29"/>
      <c r="R243" s="29"/>
      <c r="S243" s="29"/>
      <c r="T243" s="30"/>
      <c r="U243" s="31">
        <v>1505477</v>
      </c>
      <c r="V243" s="31"/>
      <c r="W243" s="31"/>
      <c r="X243" s="31"/>
      <c r="Y243" s="31"/>
      <c r="Z243" s="31">
        <v>0</v>
      </c>
      <c r="AA243" s="31"/>
      <c r="AB243" s="31"/>
      <c r="AC243" s="31"/>
      <c r="AD243" s="31"/>
      <c r="AE243" s="31">
        <v>1985477</v>
      </c>
      <c r="AF243" s="31"/>
      <c r="AG243" s="31"/>
      <c r="AH243" s="31"/>
      <c r="AI243" s="31"/>
      <c r="AJ243" s="31">
        <v>0</v>
      </c>
      <c r="AK243" s="31"/>
      <c r="AL243" s="31"/>
      <c r="AM243" s="31"/>
      <c r="AN243" s="31"/>
      <c r="AO243" s="31">
        <v>2312710</v>
      </c>
      <c r="AP243" s="31"/>
      <c r="AQ243" s="31"/>
      <c r="AR243" s="31"/>
      <c r="AS243" s="31"/>
      <c r="AT243" s="31">
        <v>0</v>
      </c>
      <c r="AU243" s="31"/>
      <c r="AV243" s="31"/>
      <c r="AW243" s="31"/>
      <c r="AX243" s="31"/>
      <c r="AY243" s="31">
        <v>2312710</v>
      </c>
      <c r="AZ243" s="31"/>
      <c r="BA243" s="31"/>
      <c r="BB243" s="31"/>
      <c r="BC243" s="31"/>
      <c r="BD243" s="31">
        <v>0</v>
      </c>
      <c r="BE243" s="31"/>
      <c r="BF243" s="31"/>
      <c r="BG243" s="31"/>
      <c r="BH243" s="31"/>
      <c r="BI243" s="31">
        <v>2312710</v>
      </c>
      <c r="BJ243" s="31"/>
      <c r="BK243" s="31"/>
      <c r="BL243" s="31"/>
      <c r="BM243" s="31"/>
      <c r="BN243" s="31">
        <v>0</v>
      </c>
      <c r="BO243" s="31"/>
      <c r="BP243" s="31"/>
      <c r="BQ243" s="31"/>
      <c r="BR243" s="31"/>
    </row>
    <row r="244" spans="1:79" s="5" customFormat="1" ht="12.75" customHeight="1" x14ac:dyDescent="0.2">
      <c r="A244" s="22" t="s">
        <v>248</v>
      </c>
      <c r="B244" s="23"/>
      <c r="C244" s="23"/>
      <c r="D244" s="23"/>
      <c r="E244" s="23"/>
      <c r="F244" s="23"/>
      <c r="G244" s="23"/>
      <c r="H244" s="23"/>
      <c r="I244" s="23"/>
      <c r="J244" s="23"/>
      <c r="K244" s="23"/>
      <c r="L244" s="23"/>
      <c r="M244" s="23"/>
      <c r="N244" s="23"/>
      <c r="O244" s="23"/>
      <c r="P244" s="23"/>
      <c r="Q244" s="23"/>
      <c r="R244" s="23"/>
      <c r="S244" s="23"/>
      <c r="T244" s="24"/>
      <c r="U244" s="25">
        <v>157879</v>
      </c>
      <c r="V244" s="25"/>
      <c r="W244" s="25"/>
      <c r="X244" s="25"/>
      <c r="Y244" s="25"/>
      <c r="Z244" s="25">
        <v>0</v>
      </c>
      <c r="AA244" s="25"/>
      <c r="AB244" s="25"/>
      <c r="AC244" s="25"/>
      <c r="AD244" s="25"/>
      <c r="AE244" s="25">
        <v>197879</v>
      </c>
      <c r="AF244" s="25"/>
      <c r="AG244" s="25"/>
      <c r="AH244" s="25"/>
      <c r="AI244" s="25"/>
      <c r="AJ244" s="25">
        <v>0</v>
      </c>
      <c r="AK244" s="25"/>
      <c r="AL244" s="25"/>
      <c r="AM244" s="25"/>
      <c r="AN244" s="25"/>
      <c r="AO244" s="25">
        <v>250076</v>
      </c>
      <c r="AP244" s="25"/>
      <c r="AQ244" s="25"/>
      <c r="AR244" s="25"/>
      <c r="AS244" s="25"/>
      <c r="AT244" s="25">
        <v>0</v>
      </c>
      <c r="AU244" s="25"/>
      <c r="AV244" s="25"/>
      <c r="AW244" s="25"/>
      <c r="AX244" s="25"/>
      <c r="AY244" s="25">
        <v>250076</v>
      </c>
      <c r="AZ244" s="25"/>
      <c r="BA244" s="25"/>
      <c r="BB244" s="25"/>
      <c r="BC244" s="25"/>
      <c r="BD244" s="25">
        <v>0</v>
      </c>
      <c r="BE244" s="25"/>
      <c r="BF244" s="25"/>
      <c r="BG244" s="25"/>
      <c r="BH244" s="25"/>
      <c r="BI244" s="25">
        <v>250076</v>
      </c>
      <c r="BJ244" s="25"/>
      <c r="BK244" s="25"/>
      <c r="BL244" s="25"/>
      <c r="BM244" s="25"/>
      <c r="BN244" s="25">
        <v>0</v>
      </c>
      <c r="BO244" s="25"/>
      <c r="BP244" s="25"/>
      <c r="BQ244" s="25"/>
      <c r="BR244" s="25"/>
    </row>
    <row r="245" spans="1:79" s="4" customFormat="1" ht="12.75" customHeight="1" x14ac:dyDescent="0.2">
      <c r="A245" s="28" t="s">
        <v>249</v>
      </c>
      <c r="B245" s="29"/>
      <c r="C245" s="29"/>
      <c r="D245" s="29"/>
      <c r="E245" s="29"/>
      <c r="F245" s="29"/>
      <c r="G245" s="29"/>
      <c r="H245" s="29"/>
      <c r="I245" s="29"/>
      <c r="J245" s="29"/>
      <c r="K245" s="29"/>
      <c r="L245" s="29"/>
      <c r="M245" s="29"/>
      <c r="N245" s="29"/>
      <c r="O245" s="29"/>
      <c r="P245" s="29"/>
      <c r="Q245" s="29"/>
      <c r="R245" s="29"/>
      <c r="S245" s="29"/>
      <c r="T245" s="30"/>
      <c r="U245" s="31">
        <v>157879</v>
      </c>
      <c r="V245" s="31"/>
      <c r="W245" s="31"/>
      <c r="X245" s="31"/>
      <c r="Y245" s="31"/>
      <c r="Z245" s="31">
        <v>0</v>
      </c>
      <c r="AA245" s="31"/>
      <c r="AB245" s="31"/>
      <c r="AC245" s="31"/>
      <c r="AD245" s="31"/>
      <c r="AE245" s="31">
        <v>197879</v>
      </c>
      <c r="AF245" s="31"/>
      <c r="AG245" s="31"/>
      <c r="AH245" s="31"/>
      <c r="AI245" s="31"/>
      <c r="AJ245" s="31">
        <v>0</v>
      </c>
      <c r="AK245" s="31"/>
      <c r="AL245" s="31"/>
      <c r="AM245" s="31"/>
      <c r="AN245" s="31"/>
      <c r="AO245" s="31">
        <v>250076</v>
      </c>
      <c r="AP245" s="31"/>
      <c r="AQ245" s="31"/>
      <c r="AR245" s="31"/>
      <c r="AS245" s="31"/>
      <c r="AT245" s="31">
        <v>0</v>
      </c>
      <c r="AU245" s="31"/>
      <c r="AV245" s="31"/>
      <c r="AW245" s="31"/>
      <c r="AX245" s="31"/>
      <c r="AY245" s="31">
        <v>250076</v>
      </c>
      <c r="AZ245" s="31"/>
      <c r="BA245" s="31"/>
      <c r="BB245" s="31"/>
      <c r="BC245" s="31"/>
      <c r="BD245" s="31">
        <v>0</v>
      </c>
      <c r="BE245" s="31"/>
      <c r="BF245" s="31"/>
      <c r="BG245" s="31"/>
      <c r="BH245" s="31"/>
      <c r="BI245" s="31">
        <v>250076</v>
      </c>
      <c r="BJ245" s="31"/>
      <c r="BK245" s="31"/>
      <c r="BL245" s="31"/>
      <c r="BM245" s="31"/>
      <c r="BN245" s="31">
        <v>0</v>
      </c>
      <c r="BO245" s="31"/>
      <c r="BP245" s="31"/>
      <c r="BQ245" s="31"/>
      <c r="BR245" s="31"/>
    </row>
    <row r="246" spans="1:79" s="4" customFormat="1" ht="12.75" customHeight="1" x14ac:dyDescent="0.2">
      <c r="A246" s="28" t="s">
        <v>250</v>
      </c>
      <c r="B246" s="29"/>
      <c r="C246" s="29"/>
      <c r="D246" s="29"/>
      <c r="E246" s="29"/>
      <c r="F246" s="29"/>
      <c r="G246" s="29"/>
      <c r="H246" s="29"/>
      <c r="I246" s="29"/>
      <c r="J246" s="29"/>
      <c r="K246" s="29"/>
      <c r="L246" s="29"/>
      <c r="M246" s="29"/>
      <c r="N246" s="29"/>
      <c r="O246" s="29"/>
      <c r="P246" s="29"/>
      <c r="Q246" s="29"/>
      <c r="R246" s="29"/>
      <c r="S246" s="29"/>
      <c r="T246" s="30"/>
      <c r="U246" s="31">
        <v>149562</v>
      </c>
      <c r="V246" s="31"/>
      <c r="W246" s="31"/>
      <c r="X246" s="31"/>
      <c r="Y246" s="31"/>
      <c r="Z246" s="31">
        <v>0</v>
      </c>
      <c r="AA246" s="31"/>
      <c r="AB246" s="31"/>
      <c r="AC246" s="31"/>
      <c r="AD246" s="31"/>
      <c r="AE246" s="31">
        <v>418770</v>
      </c>
      <c r="AF246" s="31"/>
      <c r="AG246" s="31"/>
      <c r="AH246" s="31"/>
      <c r="AI246" s="31"/>
      <c r="AJ246" s="31">
        <v>0</v>
      </c>
      <c r="AK246" s="31"/>
      <c r="AL246" s="31"/>
      <c r="AM246" s="31"/>
      <c r="AN246" s="31"/>
      <c r="AO246" s="31">
        <v>1535573</v>
      </c>
      <c r="AP246" s="31"/>
      <c r="AQ246" s="31"/>
      <c r="AR246" s="31"/>
      <c r="AS246" s="31"/>
      <c r="AT246" s="31">
        <v>0</v>
      </c>
      <c r="AU246" s="31"/>
      <c r="AV246" s="31"/>
      <c r="AW246" s="31"/>
      <c r="AX246" s="31"/>
      <c r="AY246" s="31">
        <v>1535573</v>
      </c>
      <c r="AZ246" s="31"/>
      <c r="BA246" s="31"/>
      <c r="BB246" s="31"/>
      <c r="BC246" s="31"/>
      <c r="BD246" s="31">
        <v>0</v>
      </c>
      <c r="BE246" s="31"/>
      <c r="BF246" s="31"/>
      <c r="BG246" s="31"/>
      <c r="BH246" s="31"/>
      <c r="BI246" s="31">
        <v>1535573</v>
      </c>
      <c r="BJ246" s="31"/>
      <c r="BK246" s="31"/>
      <c r="BL246" s="31"/>
      <c r="BM246" s="31"/>
      <c r="BN246" s="31">
        <v>0</v>
      </c>
      <c r="BO246" s="31"/>
      <c r="BP246" s="31"/>
      <c r="BQ246" s="31"/>
      <c r="BR246" s="31"/>
    </row>
    <row r="247" spans="1:79" s="5" customFormat="1" ht="12.75" customHeight="1" x14ac:dyDescent="0.2">
      <c r="A247" s="22" t="s">
        <v>147</v>
      </c>
      <c r="B247" s="23"/>
      <c r="C247" s="23"/>
      <c r="D247" s="23"/>
      <c r="E247" s="23"/>
      <c r="F247" s="23"/>
      <c r="G247" s="23"/>
      <c r="H247" s="23"/>
      <c r="I247" s="23"/>
      <c r="J247" s="23"/>
      <c r="K247" s="23"/>
      <c r="L247" s="23"/>
      <c r="M247" s="23"/>
      <c r="N247" s="23"/>
      <c r="O247" s="23"/>
      <c r="P247" s="23"/>
      <c r="Q247" s="23"/>
      <c r="R247" s="23"/>
      <c r="S247" s="23"/>
      <c r="T247" s="24"/>
      <c r="U247" s="25">
        <v>4084707</v>
      </c>
      <c r="V247" s="25"/>
      <c r="W247" s="25"/>
      <c r="X247" s="25"/>
      <c r="Y247" s="25"/>
      <c r="Z247" s="25">
        <v>0</v>
      </c>
      <c r="AA247" s="25"/>
      <c r="AB247" s="25"/>
      <c r="AC247" s="25"/>
      <c r="AD247" s="25"/>
      <c r="AE247" s="25">
        <v>6083915</v>
      </c>
      <c r="AF247" s="25"/>
      <c r="AG247" s="25"/>
      <c r="AH247" s="25"/>
      <c r="AI247" s="25"/>
      <c r="AJ247" s="25">
        <v>0</v>
      </c>
      <c r="AK247" s="25"/>
      <c r="AL247" s="25"/>
      <c r="AM247" s="25"/>
      <c r="AN247" s="25"/>
      <c r="AO247" s="25">
        <v>8173017</v>
      </c>
      <c r="AP247" s="25"/>
      <c r="AQ247" s="25"/>
      <c r="AR247" s="25"/>
      <c r="AS247" s="25"/>
      <c r="AT247" s="25">
        <v>0</v>
      </c>
      <c r="AU247" s="25"/>
      <c r="AV247" s="25"/>
      <c r="AW247" s="25"/>
      <c r="AX247" s="25"/>
      <c r="AY247" s="25">
        <v>8173017</v>
      </c>
      <c r="AZ247" s="25"/>
      <c r="BA247" s="25"/>
      <c r="BB247" s="25"/>
      <c r="BC247" s="25"/>
      <c r="BD247" s="25">
        <v>0</v>
      </c>
      <c r="BE247" s="25"/>
      <c r="BF247" s="25"/>
      <c r="BG247" s="25"/>
      <c r="BH247" s="25"/>
      <c r="BI247" s="25">
        <v>8173017</v>
      </c>
      <c r="BJ247" s="25"/>
      <c r="BK247" s="25"/>
      <c r="BL247" s="25"/>
      <c r="BM247" s="25"/>
      <c r="BN247" s="25">
        <v>0</v>
      </c>
      <c r="BO247" s="25"/>
      <c r="BP247" s="25"/>
      <c r="BQ247" s="25"/>
      <c r="BR247" s="25"/>
    </row>
    <row r="248" spans="1:79" s="4" customFormat="1" ht="38.25" customHeight="1" x14ac:dyDescent="0.2">
      <c r="A248" s="28" t="s">
        <v>251</v>
      </c>
      <c r="B248" s="29"/>
      <c r="C248" s="29"/>
      <c r="D248" s="29"/>
      <c r="E248" s="29"/>
      <c r="F248" s="29"/>
      <c r="G248" s="29"/>
      <c r="H248" s="29"/>
      <c r="I248" s="29"/>
      <c r="J248" s="29"/>
      <c r="K248" s="29"/>
      <c r="L248" s="29"/>
      <c r="M248" s="29"/>
      <c r="N248" s="29"/>
      <c r="O248" s="29"/>
      <c r="P248" s="29"/>
      <c r="Q248" s="29"/>
      <c r="R248" s="29"/>
      <c r="S248" s="29"/>
      <c r="T248" s="30"/>
      <c r="U248" s="31" t="s">
        <v>173</v>
      </c>
      <c r="V248" s="31"/>
      <c r="W248" s="31"/>
      <c r="X248" s="31"/>
      <c r="Y248" s="31"/>
      <c r="Z248" s="31"/>
      <c r="AA248" s="31"/>
      <c r="AB248" s="31"/>
      <c r="AC248" s="31"/>
      <c r="AD248" s="31"/>
      <c r="AE248" s="31" t="s">
        <v>173</v>
      </c>
      <c r="AF248" s="31"/>
      <c r="AG248" s="31"/>
      <c r="AH248" s="31"/>
      <c r="AI248" s="31"/>
      <c r="AJ248" s="31"/>
      <c r="AK248" s="31"/>
      <c r="AL248" s="31"/>
      <c r="AM248" s="31"/>
      <c r="AN248" s="31"/>
      <c r="AO248" s="31" t="s">
        <v>173</v>
      </c>
      <c r="AP248" s="31"/>
      <c r="AQ248" s="31"/>
      <c r="AR248" s="31"/>
      <c r="AS248" s="31"/>
      <c r="AT248" s="31"/>
      <c r="AU248" s="31"/>
      <c r="AV248" s="31"/>
      <c r="AW248" s="31"/>
      <c r="AX248" s="31"/>
      <c r="AY248" s="31" t="s">
        <v>173</v>
      </c>
      <c r="AZ248" s="31"/>
      <c r="BA248" s="31"/>
      <c r="BB248" s="31"/>
      <c r="BC248" s="31"/>
      <c r="BD248" s="31"/>
      <c r="BE248" s="31"/>
      <c r="BF248" s="31"/>
      <c r="BG248" s="31"/>
      <c r="BH248" s="31"/>
      <c r="BI248" s="31" t="s">
        <v>173</v>
      </c>
      <c r="BJ248" s="31"/>
      <c r="BK248" s="31"/>
      <c r="BL248" s="31"/>
      <c r="BM248" s="31"/>
      <c r="BN248" s="31"/>
      <c r="BO248" s="31"/>
      <c r="BP248" s="31"/>
      <c r="BQ248" s="31"/>
      <c r="BR248" s="31"/>
    </row>
    <row r="250" spans="1:79" ht="14.25" customHeight="1" x14ac:dyDescent="0.2">
      <c r="A250" s="61" t="s">
        <v>125</v>
      </c>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row>
    <row r="251" spans="1:79" ht="15" customHeight="1" x14ac:dyDescent="0.2">
      <c r="A251" s="77" t="s">
        <v>6</v>
      </c>
      <c r="B251" s="78"/>
      <c r="C251" s="78"/>
      <c r="D251" s="77" t="s">
        <v>10</v>
      </c>
      <c r="E251" s="78"/>
      <c r="F251" s="78"/>
      <c r="G251" s="78"/>
      <c r="H251" s="78"/>
      <c r="I251" s="78"/>
      <c r="J251" s="78"/>
      <c r="K251" s="78"/>
      <c r="L251" s="78"/>
      <c r="M251" s="78"/>
      <c r="N251" s="78"/>
      <c r="O251" s="78"/>
      <c r="P251" s="78"/>
      <c r="Q251" s="78"/>
      <c r="R251" s="78"/>
      <c r="S251" s="78"/>
      <c r="T251" s="78"/>
      <c r="U251" s="78"/>
      <c r="V251" s="79"/>
      <c r="W251" s="39" t="s">
        <v>268</v>
      </c>
      <c r="X251" s="39"/>
      <c r="Y251" s="39"/>
      <c r="Z251" s="39"/>
      <c r="AA251" s="39"/>
      <c r="AB251" s="39"/>
      <c r="AC251" s="39"/>
      <c r="AD251" s="39"/>
      <c r="AE251" s="39"/>
      <c r="AF251" s="39"/>
      <c r="AG251" s="39"/>
      <c r="AH251" s="39"/>
      <c r="AI251" s="39" t="s">
        <v>272</v>
      </c>
      <c r="AJ251" s="39"/>
      <c r="AK251" s="39"/>
      <c r="AL251" s="39"/>
      <c r="AM251" s="39"/>
      <c r="AN251" s="39"/>
      <c r="AO251" s="39"/>
      <c r="AP251" s="39"/>
      <c r="AQ251" s="39"/>
      <c r="AR251" s="39"/>
      <c r="AS251" s="39"/>
      <c r="AT251" s="39"/>
      <c r="AU251" s="39" t="s">
        <v>284</v>
      </c>
      <c r="AV251" s="39"/>
      <c r="AW251" s="39"/>
      <c r="AX251" s="39"/>
      <c r="AY251" s="39"/>
      <c r="AZ251" s="39"/>
      <c r="BA251" s="39" t="s">
        <v>290</v>
      </c>
      <c r="BB251" s="39"/>
      <c r="BC251" s="39"/>
      <c r="BD251" s="39"/>
      <c r="BE251" s="39"/>
      <c r="BF251" s="39"/>
      <c r="BG251" s="39" t="s">
        <v>299</v>
      </c>
      <c r="BH251" s="39"/>
      <c r="BI251" s="39"/>
      <c r="BJ251" s="39"/>
      <c r="BK251" s="39"/>
      <c r="BL251" s="39"/>
    </row>
    <row r="252" spans="1:79" ht="15" customHeight="1" x14ac:dyDescent="0.2">
      <c r="A252" s="90"/>
      <c r="B252" s="91"/>
      <c r="C252" s="91"/>
      <c r="D252" s="90"/>
      <c r="E252" s="91"/>
      <c r="F252" s="91"/>
      <c r="G252" s="91"/>
      <c r="H252" s="91"/>
      <c r="I252" s="91"/>
      <c r="J252" s="91"/>
      <c r="K252" s="91"/>
      <c r="L252" s="91"/>
      <c r="M252" s="91"/>
      <c r="N252" s="91"/>
      <c r="O252" s="91"/>
      <c r="P252" s="91"/>
      <c r="Q252" s="91"/>
      <c r="R252" s="91"/>
      <c r="S252" s="91"/>
      <c r="T252" s="91"/>
      <c r="U252" s="91"/>
      <c r="V252" s="92"/>
      <c r="W252" s="39" t="s">
        <v>4</v>
      </c>
      <c r="X252" s="39"/>
      <c r="Y252" s="39"/>
      <c r="Z252" s="39"/>
      <c r="AA252" s="39"/>
      <c r="AB252" s="39"/>
      <c r="AC252" s="39" t="s">
        <v>3</v>
      </c>
      <c r="AD252" s="39"/>
      <c r="AE252" s="39"/>
      <c r="AF252" s="39"/>
      <c r="AG252" s="39"/>
      <c r="AH252" s="39"/>
      <c r="AI252" s="39" t="s">
        <v>4</v>
      </c>
      <c r="AJ252" s="39"/>
      <c r="AK252" s="39"/>
      <c r="AL252" s="39"/>
      <c r="AM252" s="39"/>
      <c r="AN252" s="39"/>
      <c r="AO252" s="39" t="s">
        <v>3</v>
      </c>
      <c r="AP252" s="39"/>
      <c r="AQ252" s="39"/>
      <c r="AR252" s="39"/>
      <c r="AS252" s="39"/>
      <c r="AT252" s="39"/>
      <c r="AU252" s="67" t="s">
        <v>4</v>
      </c>
      <c r="AV252" s="67"/>
      <c r="AW252" s="67"/>
      <c r="AX252" s="67" t="s">
        <v>3</v>
      </c>
      <c r="AY252" s="67"/>
      <c r="AZ252" s="67"/>
      <c r="BA252" s="67" t="s">
        <v>4</v>
      </c>
      <c r="BB252" s="67"/>
      <c r="BC252" s="67"/>
      <c r="BD252" s="67" t="s">
        <v>3</v>
      </c>
      <c r="BE252" s="67"/>
      <c r="BF252" s="67"/>
      <c r="BG252" s="67" t="s">
        <v>4</v>
      </c>
      <c r="BH252" s="67"/>
      <c r="BI252" s="67"/>
      <c r="BJ252" s="67" t="s">
        <v>3</v>
      </c>
      <c r="BK252" s="67"/>
      <c r="BL252" s="67"/>
    </row>
    <row r="253" spans="1:79" ht="57" customHeight="1" x14ac:dyDescent="0.2">
      <c r="A253" s="80"/>
      <c r="B253" s="81"/>
      <c r="C253" s="81"/>
      <c r="D253" s="80"/>
      <c r="E253" s="81"/>
      <c r="F253" s="81"/>
      <c r="G253" s="81"/>
      <c r="H253" s="81"/>
      <c r="I253" s="81"/>
      <c r="J253" s="81"/>
      <c r="K253" s="81"/>
      <c r="L253" s="81"/>
      <c r="M253" s="81"/>
      <c r="N253" s="81"/>
      <c r="O253" s="81"/>
      <c r="P253" s="81"/>
      <c r="Q253" s="81"/>
      <c r="R253" s="81"/>
      <c r="S253" s="81"/>
      <c r="T253" s="81"/>
      <c r="U253" s="81"/>
      <c r="V253" s="82"/>
      <c r="W253" s="39" t="s">
        <v>12</v>
      </c>
      <c r="X253" s="39"/>
      <c r="Y253" s="39"/>
      <c r="Z253" s="39" t="s">
        <v>11</v>
      </c>
      <c r="AA253" s="39"/>
      <c r="AB253" s="39"/>
      <c r="AC253" s="39" t="s">
        <v>12</v>
      </c>
      <c r="AD253" s="39"/>
      <c r="AE253" s="39"/>
      <c r="AF253" s="39" t="s">
        <v>11</v>
      </c>
      <c r="AG253" s="39"/>
      <c r="AH253" s="39"/>
      <c r="AI253" s="39" t="s">
        <v>12</v>
      </c>
      <c r="AJ253" s="39"/>
      <c r="AK253" s="39"/>
      <c r="AL253" s="39" t="s">
        <v>11</v>
      </c>
      <c r="AM253" s="39"/>
      <c r="AN253" s="39"/>
      <c r="AO253" s="39" t="s">
        <v>12</v>
      </c>
      <c r="AP253" s="39"/>
      <c r="AQ253" s="39"/>
      <c r="AR253" s="39" t="s">
        <v>11</v>
      </c>
      <c r="AS253" s="39"/>
      <c r="AT253" s="39"/>
      <c r="AU253" s="67"/>
      <c r="AV253" s="67"/>
      <c r="AW253" s="67"/>
      <c r="AX253" s="67"/>
      <c r="AY253" s="67"/>
      <c r="AZ253" s="67"/>
      <c r="BA253" s="67"/>
      <c r="BB253" s="67"/>
      <c r="BC253" s="67"/>
      <c r="BD253" s="67"/>
      <c r="BE253" s="67"/>
      <c r="BF253" s="67"/>
      <c r="BG253" s="67"/>
      <c r="BH253" s="67"/>
      <c r="BI253" s="67"/>
      <c r="BJ253" s="67"/>
      <c r="BK253" s="67"/>
      <c r="BL253" s="67"/>
    </row>
    <row r="254" spans="1:79" ht="15" customHeight="1" x14ac:dyDescent="0.2">
      <c r="A254" s="73">
        <v>1</v>
      </c>
      <c r="B254" s="74"/>
      <c r="C254" s="74"/>
      <c r="D254" s="73">
        <v>2</v>
      </c>
      <c r="E254" s="74"/>
      <c r="F254" s="74"/>
      <c r="G254" s="74"/>
      <c r="H254" s="74"/>
      <c r="I254" s="74"/>
      <c r="J254" s="74"/>
      <c r="K254" s="74"/>
      <c r="L254" s="74"/>
      <c r="M254" s="74"/>
      <c r="N254" s="74"/>
      <c r="O254" s="74"/>
      <c r="P254" s="74"/>
      <c r="Q254" s="74"/>
      <c r="R254" s="74"/>
      <c r="S254" s="74"/>
      <c r="T254" s="74"/>
      <c r="U254" s="74"/>
      <c r="V254" s="75"/>
      <c r="W254" s="39">
        <v>3</v>
      </c>
      <c r="X254" s="39"/>
      <c r="Y254" s="39"/>
      <c r="Z254" s="39">
        <v>4</v>
      </c>
      <c r="AA254" s="39"/>
      <c r="AB254" s="39"/>
      <c r="AC254" s="39">
        <v>5</v>
      </c>
      <c r="AD254" s="39"/>
      <c r="AE254" s="39"/>
      <c r="AF254" s="39">
        <v>6</v>
      </c>
      <c r="AG254" s="39"/>
      <c r="AH254" s="39"/>
      <c r="AI254" s="39">
        <v>7</v>
      </c>
      <c r="AJ254" s="39"/>
      <c r="AK254" s="39"/>
      <c r="AL254" s="39">
        <v>8</v>
      </c>
      <c r="AM254" s="39"/>
      <c r="AN254" s="39"/>
      <c r="AO254" s="39">
        <v>9</v>
      </c>
      <c r="AP254" s="39"/>
      <c r="AQ254" s="39"/>
      <c r="AR254" s="39">
        <v>10</v>
      </c>
      <c r="AS254" s="39"/>
      <c r="AT254" s="39"/>
      <c r="AU254" s="39">
        <v>11</v>
      </c>
      <c r="AV254" s="39"/>
      <c r="AW254" s="39"/>
      <c r="AX254" s="39">
        <v>12</v>
      </c>
      <c r="AY254" s="39"/>
      <c r="AZ254" s="39"/>
      <c r="BA254" s="39">
        <v>13</v>
      </c>
      <c r="BB254" s="39"/>
      <c r="BC254" s="39"/>
      <c r="BD254" s="39">
        <v>14</v>
      </c>
      <c r="BE254" s="39"/>
      <c r="BF254" s="39"/>
      <c r="BG254" s="39">
        <v>15</v>
      </c>
      <c r="BH254" s="39"/>
      <c r="BI254" s="39"/>
      <c r="BJ254" s="39">
        <v>16</v>
      </c>
      <c r="BK254" s="39"/>
      <c r="BL254" s="39"/>
    </row>
    <row r="255" spans="1:79" s="1" customFormat="1" ht="12.75" hidden="1" customHeight="1" x14ac:dyDescent="0.2">
      <c r="A255" s="87" t="s">
        <v>69</v>
      </c>
      <c r="B255" s="88"/>
      <c r="C255" s="88"/>
      <c r="D255" s="87" t="s">
        <v>57</v>
      </c>
      <c r="E255" s="88"/>
      <c r="F255" s="88"/>
      <c r="G255" s="88"/>
      <c r="H255" s="88"/>
      <c r="I255" s="88"/>
      <c r="J255" s="88"/>
      <c r="K255" s="88"/>
      <c r="L255" s="88"/>
      <c r="M255" s="88"/>
      <c r="N255" s="88"/>
      <c r="O255" s="88"/>
      <c r="P255" s="88"/>
      <c r="Q255" s="88"/>
      <c r="R255" s="88"/>
      <c r="S255" s="88"/>
      <c r="T255" s="88"/>
      <c r="U255" s="88"/>
      <c r="V255" s="89"/>
      <c r="W255" s="65" t="s">
        <v>72</v>
      </c>
      <c r="X255" s="65"/>
      <c r="Y255" s="65"/>
      <c r="Z255" s="65" t="s">
        <v>73</v>
      </c>
      <c r="AA255" s="65"/>
      <c r="AB255" s="65"/>
      <c r="AC255" s="63" t="s">
        <v>74</v>
      </c>
      <c r="AD255" s="63"/>
      <c r="AE255" s="63"/>
      <c r="AF255" s="63" t="s">
        <v>75</v>
      </c>
      <c r="AG255" s="63"/>
      <c r="AH255" s="63"/>
      <c r="AI255" s="65" t="s">
        <v>76</v>
      </c>
      <c r="AJ255" s="65"/>
      <c r="AK255" s="65"/>
      <c r="AL255" s="65" t="s">
        <v>77</v>
      </c>
      <c r="AM255" s="65"/>
      <c r="AN255" s="65"/>
      <c r="AO255" s="63" t="s">
        <v>104</v>
      </c>
      <c r="AP255" s="63"/>
      <c r="AQ255" s="63"/>
      <c r="AR255" s="63" t="s">
        <v>78</v>
      </c>
      <c r="AS255" s="63"/>
      <c r="AT255" s="63"/>
      <c r="AU255" s="65" t="s">
        <v>105</v>
      </c>
      <c r="AV255" s="65"/>
      <c r="AW255" s="65"/>
      <c r="AX255" s="63" t="s">
        <v>106</v>
      </c>
      <c r="AY255" s="63"/>
      <c r="AZ255" s="63"/>
      <c r="BA255" s="65" t="s">
        <v>107</v>
      </c>
      <c r="BB255" s="65"/>
      <c r="BC255" s="65"/>
      <c r="BD255" s="63" t="s">
        <v>108</v>
      </c>
      <c r="BE255" s="63"/>
      <c r="BF255" s="63"/>
      <c r="BG255" s="65" t="s">
        <v>109</v>
      </c>
      <c r="BH255" s="65"/>
      <c r="BI255" s="65"/>
      <c r="BJ255" s="63" t="s">
        <v>110</v>
      </c>
      <c r="BK255" s="63"/>
      <c r="BL255" s="63"/>
      <c r="CA255" s="1" t="s">
        <v>103</v>
      </c>
    </row>
    <row r="256" spans="1:79" s="4" customFormat="1" ht="12.75" customHeight="1" x14ac:dyDescent="0.2">
      <c r="A256" s="34">
        <v>1</v>
      </c>
      <c r="B256" s="35"/>
      <c r="C256" s="35"/>
      <c r="D256" s="28" t="s">
        <v>252</v>
      </c>
      <c r="E256" s="29"/>
      <c r="F256" s="29"/>
      <c r="G256" s="29"/>
      <c r="H256" s="29"/>
      <c r="I256" s="29"/>
      <c r="J256" s="29"/>
      <c r="K256" s="29"/>
      <c r="L256" s="29"/>
      <c r="M256" s="29"/>
      <c r="N256" s="29"/>
      <c r="O256" s="29"/>
      <c r="P256" s="29"/>
      <c r="Q256" s="29"/>
      <c r="R256" s="29"/>
      <c r="S256" s="29"/>
      <c r="T256" s="29"/>
      <c r="U256" s="29"/>
      <c r="V256" s="30"/>
      <c r="W256" s="32">
        <v>1</v>
      </c>
      <c r="X256" s="32"/>
      <c r="Y256" s="32"/>
      <c r="Z256" s="32">
        <v>1</v>
      </c>
      <c r="AA256" s="32"/>
      <c r="AB256" s="32"/>
      <c r="AC256" s="32">
        <v>0</v>
      </c>
      <c r="AD256" s="32"/>
      <c r="AE256" s="32"/>
      <c r="AF256" s="32">
        <v>0</v>
      </c>
      <c r="AG256" s="32"/>
      <c r="AH256" s="32"/>
      <c r="AI256" s="32">
        <v>1</v>
      </c>
      <c r="AJ256" s="32"/>
      <c r="AK256" s="32"/>
      <c r="AL256" s="32">
        <v>1</v>
      </c>
      <c r="AM256" s="32"/>
      <c r="AN256" s="32"/>
      <c r="AO256" s="32">
        <v>0</v>
      </c>
      <c r="AP256" s="32"/>
      <c r="AQ256" s="32"/>
      <c r="AR256" s="32">
        <v>0</v>
      </c>
      <c r="AS256" s="32"/>
      <c r="AT256" s="32"/>
      <c r="AU256" s="32">
        <v>1</v>
      </c>
      <c r="AV256" s="32"/>
      <c r="AW256" s="32"/>
      <c r="AX256" s="32">
        <v>0</v>
      </c>
      <c r="AY256" s="32"/>
      <c r="AZ256" s="32"/>
      <c r="BA256" s="32">
        <v>1</v>
      </c>
      <c r="BB256" s="32"/>
      <c r="BC256" s="32"/>
      <c r="BD256" s="32">
        <v>0</v>
      </c>
      <c r="BE256" s="32"/>
      <c r="BF256" s="32"/>
      <c r="BG256" s="32">
        <v>1</v>
      </c>
      <c r="BH256" s="32"/>
      <c r="BI256" s="32"/>
      <c r="BJ256" s="32">
        <v>0</v>
      </c>
      <c r="BK256" s="32"/>
      <c r="BL256" s="32"/>
      <c r="CA256" s="4" t="s">
        <v>43</v>
      </c>
    </row>
    <row r="257" spans="1:79" s="4" customFormat="1" ht="12.75" customHeight="1" x14ac:dyDescent="0.2">
      <c r="A257" s="34">
        <v>2</v>
      </c>
      <c r="B257" s="35"/>
      <c r="C257" s="35"/>
      <c r="D257" s="28" t="s">
        <v>253</v>
      </c>
      <c r="E257" s="29"/>
      <c r="F257" s="29"/>
      <c r="G257" s="29"/>
      <c r="H257" s="29"/>
      <c r="I257" s="29"/>
      <c r="J257" s="29"/>
      <c r="K257" s="29"/>
      <c r="L257" s="29"/>
      <c r="M257" s="29"/>
      <c r="N257" s="29"/>
      <c r="O257" s="29"/>
      <c r="P257" s="29"/>
      <c r="Q257" s="29"/>
      <c r="R257" s="29"/>
      <c r="S257" s="29"/>
      <c r="T257" s="29"/>
      <c r="U257" s="29"/>
      <c r="V257" s="30"/>
      <c r="W257" s="32">
        <v>16</v>
      </c>
      <c r="X257" s="32"/>
      <c r="Y257" s="32"/>
      <c r="Z257" s="32">
        <v>16</v>
      </c>
      <c r="AA257" s="32"/>
      <c r="AB257" s="32"/>
      <c r="AC257" s="32">
        <v>0</v>
      </c>
      <c r="AD257" s="32"/>
      <c r="AE257" s="32"/>
      <c r="AF257" s="32">
        <v>0</v>
      </c>
      <c r="AG257" s="32"/>
      <c r="AH257" s="32"/>
      <c r="AI257" s="32">
        <v>16</v>
      </c>
      <c r="AJ257" s="32"/>
      <c r="AK257" s="32"/>
      <c r="AL257" s="32">
        <v>16</v>
      </c>
      <c r="AM257" s="32"/>
      <c r="AN257" s="32"/>
      <c r="AO257" s="32">
        <v>0</v>
      </c>
      <c r="AP257" s="32"/>
      <c r="AQ257" s="32"/>
      <c r="AR257" s="32">
        <v>0</v>
      </c>
      <c r="AS257" s="32"/>
      <c r="AT257" s="32"/>
      <c r="AU257" s="32">
        <v>16</v>
      </c>
      <c r="AV257" s="32"/>
      <c r="AW257" s="32"/>
      <c r="AX257" s="32">
        <v>0</v>
      </c>
      <c r="AY257" s="32"/>
      <c r="AZ257" s="32"/>
      <c r="BA257" s="32">
        <v>16</v>
      </c>
      <c r="BB257" s="32"/>
      <c r="BC257" s="32"/>
      <c r="BD257" s="32">
        <v>0</v>
      </c>
      <c r="BE257" s="32"/>
      <c r="BF257" s="32"/>
      <c r="BG257" s="32">
        <v>16</v>
      </c>
      <c r="BH257" s="32"/>
      <c r="BI257" s="32"/>
      <c r="BJ257" s="32">
        <v>0</v>
      </c>
      <c r="BK257" s="32"/>
      <c r="BL257" s="32"/>
    </row>
    <row r="258" spans="1:79" s="4" customFormat="1" ht="12.75" customHeight="1" x14ac:dyDescent="0.2">
      <c r="A258" s="34">
        <v>3</v>
      </c>
      <c r="B258" s="35"/>
      <c r="C258" s="35"/>
      <c r="D258" s="28" t="s">
        <v>254</v>
      </c>
      <c r="E258" s="29"/>
      <c r="F258" s="29"/>
      <c r="G258" s="29"/>
      <c r="H258" s="29"/>
      <c r="I258" s="29"/>
      <c r="J258" s="29"/>
      <c r="K258" s="29"/>
      <c r="L258" s="29"/>
      <c r="M258" s="29"/>
      <c r="N258" s="29"/>
      <c r="O258" s="29"/>
      <c r="P258" s="29"/>
      <c r="Q258" s="29"/>
      <c r="R258" s="29"/>
      <c r="S258" s="29"/>
      <c r="T258" s="29"/>
      <c r="U258" s="29"/>
      <c r="V258" s="30"/>
      <c r="W258" s="32">
        <v>14</v>
      </c>
      <c r="X258" s="32"/>
      <c r="Y258" s="32"/>
      <c r="Z258" s="32">
        <v>8.5500000000000007</v>
      </c>
      <c r="AA258" s="32"/>
      <c r="AB258" s="32"/>
      <c r="AC258" s="32">
        <v>0</v>
      </c>
      <c r="AD258" s="32"/>
      <c r="AE258" s="32"/>
      <c r="AF258" s="32">
        <v>0</v>
      </c>
      <c r="AG258" s="32"/>
      <c r="AH258" s="32"/>
      <c r="AI258" s="32">
        <v>14</v>
      </c>
      <c r="AJ258" s="32"/>
      <c r="AK258" s="32"/>
      <c r="AL258" s="32">
        <v>8.5500000000000007</v>
      </c>
      <c r="AM258" s="32"/>
      <c r="AN258" s="32"/>
      <c r="AO258" s="32">
        <v>0</v>
      </c>
      <c r="AP258" s="32"/>
      <c r="AQ258" s="32"/>
      <c r="AR258" s="32">
        <v>0</v>
      </c>
      <c r="AS258" s="32"/>
      <c r="AT258" s="32"/>
      <c r="AU258" s="32">
        <v>14</v>
      </c>
      <c r="AV258" s="32"/>
      <c r="AW258" s="32"/>
      <c r="AX258" s="32">
        <v>0</v>
      </c>
      <c r="AY258" s="32"/>
      <c r="AZ258" s="32"/>
      <c r="BA258" s="32">
        <v>14</v>
      </c>
      <c r="BB258" s="32"/>
      <c r="BC258" s="32"/>
      <c r="BD258" s="32">
        <v>0</v>
      </c>
      <c r="BE258" s="32"/>
      <c r="BF258" s="32"/>
      <c r="BG258" s="32">
        <v>14</v>
      </c>
      <c r="BH258" s="32"/>
      <c r="BI258" s="32"/>
      <c r="BJ258" s="32">
        <v>0</v>
      </c>
      <c r="BK258" s="32"/>
      <c r="BL258" s="32"/>
    </row>
    <row r="259" spans="1:79" s="5" customFormat="1" ht="12.75" customHeight="1" x14ac:dyDescent="0.2">
      <c r="A259" s="36">
        <v>4</v>
      </c>
      <c r="B259" s="37"/>
      <c r="C259" s="37"/>
      <c r="D259" s="22" t="s">
        <v>255</v>
      </c>
      <c r="E259" s="23"/>
      <c r="F259" s="23"/>
      <c r="G259" s="23"/>
      <c r="H259" s="23"/>
      <c r="I259" s="23"/>
      <c r="J259" s="23"/>
      <c r="K259" s="23"/>
      <c r="L259" s="23"/>
      <c r="M259" s="23"/>
      <c r="N259" s="23"/>
      <c r="O259" s="23"/>
      <c r="P259" s="23"/>
      <c r="Q259" s="23"/>
      <c r="R259" s="23"/>
      <c r="S259" s="23"/>
      <c r="T259" s="23"/>
      <c r="U259" s="23"/>
      <c r="V259" s="24"/>
      <c r="W259" s="33">
        <v>31</v>
      </c>
      <c r="X259" s="33"/>
      <c r="Y259" s="33"/>
      <c r="Z259" s="33">
        <v>25.55</v>
      </c>
      <c r="AA259" s="33"/>
      <c r="AB259" s="33"/>
      <c r="AC259" s="33">
        <v>0</v>
      </c>
      <c r="AD259" s="33"/>
      <c r="AE259" s="33"/>
      <c r="AF259" s="33">
        <v>0</v>
      </c>
      <c r="AG259" s="33"/>
      <c r="AH259" s="33"/>
      <c r="AI259" s="33">
        <v>31</v>
      </c>
      <c r="AJ259" s="33"/>
      <c r="AK259" s="33"/>
      <c r="AL259" s="33">
        <v>25.55</v>
      </c>
      <c r="AM259" s="33"/>
      <c r="AN259" s="33"/>
      <c r="AO259" s="33">
        <v>0</v>
      </c>
      <c r="AP259" s="33"/>
      <c r="AQ259" s="33"/>
      <c r="AR259" s="33">
        <v>0</v>
      </c>
      <c r="AS259" s="33"/>
      <c r="AT259" s="33"/>
      <c r="AU259" s="33">
        <v>31</v>
      </c>
      <c r="AV259" s="33"/>
      <c r="AW259" s="33"/>
      <c r="AX259" s="33">
        <v>0</v>
      </c>
      <c r="AY259" s="33"/>
      <c r="AZ259" s="33"/>
      <c r="BA259" s="33">
        <v>31</v>
      </c>
      <c r="BB259" s="33"/>
      <c r="BC259" s="33"/>
      <c r="BD259" s="33">
        <v>0</v>
      </c>
      <c r="BE259" s="33"/>
      <c r="BF259" s="33"/>
      <c r="BG259" s="33">
        <v>31</v>
      </c>
      <c r="BH259" s="33"/>
      <c r="BI259" s="33"/>
      <c r="BJ259" s="33">
        <v>0</v>
      </c>
      <c r="BK259" s="33"/>
      <c r="BL259" s="33"/>
    </row>
    <row r="260" spans="1:79" s="4" customFormat="1" ht="25.5" customHeight="1" x14ac:dyDescent="0.2">
      <c r="A260" s="34">
        <v>5</v>
      </c>
      <c r="B260" s="35"/>
      <c r="C260" s="35"/>
      <c r="D260" s="28" t="s">
        <v>256</v>
      </c>
      <c r="E260" s="29"/>
      <c r="F260" s="29"/>
      <c r="G260" s="29"/>
      <c r="H260" s="29"/>
      <c r="I260" s="29"/>
      <c r="J260" s="29"/>
      <c r="K260" s="29"/>
      <c r="L260" s="29"/>
      <c r="M260" s="29"/>
      <c r="N260" s="29"/>
      <c r="O260" s="29"/>
      <c r="P260" s="29"/>
      <c r="Q260" s="29"/>
      <c r="R260" s="29"/>
      <c r="S260" s="29"/>
      <c r="T260" s="29"/>
      <c r="U260" s="29"/>
      <c r="V260" s="30"/>
      <c r="W260" s="32" t="s">
        <v>173</v>
      </c>
      <c r="X260" s="32"/>
      <c r="Y260" s="32"/>
      <c r="Z260" s="32" t="s">
        <v>173</v>
      </c>
      <c r="AA260" s="32"/>
      <c r="AB260" s="32"/>
      <c r="AC260" s="32"/>
      <c r="AD260" s="32"/>
      <c r="AE260" s="32"/>
      <c r="AF260" s="32"/>
      <c r="AG260" s="32"/>
      <c r="AH260" s="32"/>
      <c r="AI260" s="32" t="s">
        <v>173</v>
      </c>
      <c r="AJ260" s="32"/>
      <c r="AK260" s="32"/>
      <c r="AL260" s="32" t="s">
        <v>173</v>
      </c>
      <c r="AM260" s="32"/>
      <c r="AN260" s="32"/>
      <c r="AO260" s="32"/>
      <c r="AP260" s="32"/>
      <c r="AQ260" s="32"/>
      <c r="AR260" s="32"/>
      <c r="AS260" s="32"/>
      <c r="AT260" s="32"/>
      <c r="AU260" s="32" t="s">
        <v>173</v>
      </c>
      <c r="AV260" s="32"/>
      <c r="AW260" s="32"/>
      <c r="AX260" s="32"/>
      <c r="AY260" s="32"/>
      <c r="AZ260" s="32"/>
      <c r="BA260" s="32" t="s">
        <v>173</v>
      </c>
      <c r="BB260" s="32"/>
      <c r="BC260" s="32"/>
      <c r="BD260" s="32"/>
      <c r="BE260" s="32"/>
      <c r="BF260" s="32"/>
      <c r="BG260" s="32" t="s">
        <v>173</v>
      </c>
      <c r="BH260" s="32"/>
      <c r="BI260" s="32"/>
      <c r="BJ260" s="32"/>
      <c r="BK260" s="32"/>
      <c r="BL260" s="32"/>
    </row>
    <row r="262" spans="1:79" ht="14.25" customHeight="1" x14ac:dyDescent="0.2">
      <c r="A262" s="61" t="s">
        <v>153</v>
      </c>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row>
    <row r="263" spans="1:79" ht="14.25" customHeight="1" x14ac:dyDescent="0.2">
      <c r="A263" s="61" t="s">
        <v>285</v>
      </c>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row>
    <row r="264" spans="1:79" ht="15" customHeight="1" x14ac:dyDescent="0.2">
      <c r="A264" s="66" t="s">
        <v>267</v>
      </c>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c r="BO264" s="66"/>
      <c r="BP264" s="66"/>
      <c r="BQ264" s="66"/>
      <c r="BR264" s="66"/>
      <c r="BS264" s="66"/>
    </row>
    <row r="265" spans="1:79" ht="15" customHeight="1" x14ac:dyDescent="0.2">
      <c r="A265" s="39" t="s">
        <v>6</v>
      </c>
      <c r="B265" s="39"/>
      <c r="C265" s="39"/>
      <c r="D265" s="39"/>
      <c r="E265" s="39"/>
      <c r="F265" s="39"/>
      <c r="G265" s="39" t="s">
        <v>126</v>
      </c>
      <c r="H265" s="39"/>
      <c r="I265" s="39"/>
      <c r="J265" s="39"/>
      <c r="K265" s="39"/>
      <c r="L265" s="39"/>
      <c r="M265" s="39"/>
      <c r="N265" s="39"/>
      <c r="O265" s="39"/>
      <c r="P265" s="39"/>
      <c r="Q265" s="39"/>
      <c r="R265" s="39"/>
      <c r="S265" s="39"/>
      <c r="T265" s="39" t="s">
        <v>13</v>
      </c>
      <c r="U265" s="39"/>
      <c r="V265" s="39"/>
      <c r="W265" s="39"/>
      <c r="X265" s="39"/>
      <c r="Y265" s="39"/>
      <c r="Z265" s="39"/>
      <c r="AA265" s="73" t="s">
        <v>268</v>
      </c>
      <c r="AB265" s="85"/>
      <c r="AC265" s="85"/>
      <c r="AD265" s="85"/>
      <c r="AE265" s="85"/>
      <c r="AF265" s="85"/>
      <c r="AG265" s="85"/>
      <c r="AH265" s="85"/>
      <c r="AI265" s="85"/>
      <c r="AJ265" s="85"/>
      <c r="AK265" s="85"/>
      <c r="AL265" s="85"/>
      <c r="AM265" s="85"/>
      <c r="AN265" s="85"/>
      <c r="AO265" s="86"/>
      <c r="AP265" s="73" t="s">
        <v>271</v>
      </c>
      <c r="AQ265" s="74"/>
      <c r="AR265" s="74"/>
      <c r="AS265" s="74"/>
      <c r="AT265" s="74"/>
      <c r="AU265" s="74"/>
      <c r="AV265" s="74"/>
      <c r="AW265" s="74"/>
      <c r="AX265" s="74"/>
      <c r="AY265" s="74"/>
      <c r="AZ265" s="74"/>
      <c r="BA265" s="74"/>
      <c r="BB265" s="74"/>
      <c r="BC265" s="74"/>
      <c r="BD265" s="75"/>
      <c r="BE265" s="73" t="s">
        <v>279</v>
      </c>
      <c r="BF265" s="74"/>
      <c r="BG265" s="74"/>
      <c r="BH265" s="74"/>
      <c r="BI265" s="74"/>
      <c r="BJ265" s="74"/>
      <c r="BK265" s="74"/>
      <c r="BL265" s="74"/>
      <c r="BM265" s="74"/>
      <c r="BN265" s="74"/>
      <c r="BO265" s="74"/>
      <c r="BP265" s="74"/>
      <c r="BQ265" s="74"/>
      <c r="BR265" s="74"/>
      <c r="BS265" s="75"/>
    </row>
    <row r="266" spans="1:79" ht="32.1" customHeight="1" x14ac:dyDescent="0.2">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t="s">
        <v>4</v>
      </c>
      <c r="AB266" s="39"/>
      <c r="AC266" s="39"/>
      <c r="AD266" s="39"/>
      <c r="AE266" s="39"/>
      <c r="AF266" s="39" t="s">
        <v>3</v>
      </c>
      <c r="AG266" s="39"/>
      <c r="AH266" s="39"/>
      <c r="AI266" s="39"/>
      <c r="AJ266" s="39"/>
      <c r="AK266" s="39" t="s">
        <v>89</v>
      </c>
      <c r="AL266" s="39"/>
      <c r="AM266" s="39"/>
      <c r="AN266" s="39"/>
      <c r="AO266" s="39"/>
      <c r="AP266" s="39" t="s">
        <v>4</v>
      </c>
      <c r="AQ266" s="39"/>
      <c r="AR266" s="39"/>
      <c r="AS266" s="39"/>
      <c r="AT266" s="39"/>
      <c r="AU266" s="39" t="s">
        <v>3</v>
      </c>
      <c r="AV266" s="39"/>
      <c r="AW266" s="39"/>
      <c r="AX266" s="39"/>
      <c r="AY266" s="39"/>
      <c r="AZ266" s="39" t="s">
        <v>96</v>
      </c>
      <c r="BA266" s="39"/>
      <c r="BB266" s="39"/>
      <c r="BC266" s="39"/>
      <c r="BD266" s="39"/>
      <c r="BE266" s="39" t="s">
        <v>4</v>
      </c>
      <c r="BF266" s="39"/>
      <c r="BG266" s="39"/>
      <c r="BH266" s="39"/>
      <c r="BI266" s="39"/>
      <c r="BJ266" s="39" t="s">
        <v>3</v>
      </c>
      <c r="BK266" s="39"/>
      <c r="BL266" s="39"/>
      <c r="BM266" s="39"/>
      <c r="BN266" s="39"/>
      <c r="BO266" s="39" t="s">
        <v>127</v>
      </c>
      <c r="BP266" s="39"/>
      <c r="BQ266" s="39"/>
      <c r="BR266" s="39"/>
      <c r="BS266" s="39"/>
    </row>
    <row r="267" spans="1:79" ht="15" customHeight="1" x14ac:dyDescent="0.2">
      <c r="A267" s="39">
        <v>1</v>
      </c>
      <c r="B267" s="39"/>
      <c r="C267" s="39"/>
      <c r="D267" s="39"/>
      <c r="E267" s="39"/>
      <c r="F267" s="39"/>
      <c r="G267" s="39">
        <v>2</v>
      </c>
      <c r="H267" s="39"/>
      <c r="I267" s="39"/>
      <c r="J267" s="39"/>
      <c r="K267" s="39"/>
      <c r="L267" s="39"/>
      <c r="M267" s="39"/>
      <c r="N267" s="39"/>
      <c r="O267" s="39"/>
      <c r="P267" s="39"/>
      <c r="Q267" s="39"/>
      <c r="R267" s="39"/>
      <c r="S267" s="39"/>
      <c r="T267" s="39">
        <v>3</v>
      </c>
      <c r="U267" s="39"/>
      <c r="V267" s="39"/>
      <c r="W267" s="39"/>
      <c r="X267" s="39"/>
      <c r="Y267" s="39"/>
      <c r="Z267" s="39"/>
      <c r="AA267" s="39">
        <v>4</v>
      </c>
      <c r="AB267" s="39"/>
      <c r="AC267" s="39"/>
      <c r="AD267" s="39"/>
      <c r="AE267" s="39"/>
      <c r="AF267" s="39">
        <v>5</v>
      </c>
      <c r="AG267" s="39"/>
      <c r="AH267" s="39"/>
      <c r="AI267" s="39"/>
      <c r="AJ267" s="39"/>
      <c r="AK267" s="39">
        <v>6</v>
      </c>
      <c r="AL267" s="39"/>
      <c r="AM267" s="39"/>
      <c r="AN267" s="39"/>
      <c r="AO267" s="39"/>
      <c r="AP267" s="39">
        <v>7</v>
      </c>
      <c r="AQ267" s="39"/>
      <c r="AR267" s="39"/>
      <c r="AS267" s="39"/>
      <c r="AT267" s="39"/>
      <c r="AU267" s="39">
        <v>8</v>
      </c>
      <c r="AV267" s="39"/>
      <c r="AW267" s="39"/>
      <c r="AX267" s="39"/>
      <c r="AY267" s="39"/>
      <c r="AZ267" s="39">
        <v>9</v>
      </c>
      <c r="BA267" s="39"/>
      <c r="BB267" s="39"/>
      <c r="BC267" s="39"/>
      <c r="BD267" s="39"/>
      <c r="BE267" s="39">
        <v>10</v>
      </c>
      <c r="BF267" s="39"/>
      <c r="BG267" s="39"/>
      <c r="BH267" s="39"/>
      <c r="BI267" s="39"/>
      <c r="BJ267" s="39">
        <v>11</v>
      </c>
      <c r="BK267" s="39"/>
      <c r="BL267" s="39"/>
      <c r="BM267" s="39"/>
      <c r="BN267" s="39"/>
      <c r="BO267" s="39">
        <v>12</v>
      </c>
      <c r="BP267" s="39"/>
      <c r="BQ267" s="39"/>
      <c r="BR267" s="39"/>
      <c r="BS267" s="39"/>
    </row>
    <row r="268" spans="1:79" s="1" customFormat="1" ht="15" hidden="1" customHeight="1" x14ac:dyDescent="0.2">
      <c r="A268" s="65" t="s">
        <v>69</v>
      </c>
      <c r="B268" s="65"/>
      <c r="C268" s="65"/>
      <c r="D268" s="65"/>
      <c r="E268" s="65"/>
      <c r="F268" s="65"/>
      <c r="G268" s="64" t="s">
        <v>57</v>
      </c>
      <c r="H268" s="64"/>
      <c r="I268" s="64"/>
      <c r="J268" s="64"/>
      <c r="K268" s="64"/>
      <c r="L268" s="64"/>
      <c r="M268" s="64"/>
      <c r="N268" s="64"/>
      <c r="O268" s="64"/>
      <c r="P268" s="64"/>
      <c r="Q268" s="64"/>
      <c r="R268" s="64"/>
      <c r="S268" s="64"/>
      <c r="T268" s="64" t="s">
        <v>79</v>
      </c>
      <c r="U268" s="64"/>
      <c r="V268" s="64"/>
      <c r="W268" s="64"/>
      <c r="X268" s="64"/>
      <c r="Y268" s="64"/>
      <c r="Z268" s="64"/>
      <c r="AA268" s="63" t="s">
        <v>65</v>
      </c>
      <c r="AB268" s="63"/>
      <c r="AC268" s="63"/>
      <c r="AD268" s="63"/>
      <c r="AE268" s="63"/>
      <c r="AF268" s="63" t="s">
        <v>66</v>
      </c>
      <c r="AG268" s="63"/>
      <c r="AH268" s="63"/>
      <c r="AI268" s="63"/>
      <c r="AJ268" s="63"/>
      <c r="AK268" s="83" t="s">
        <v>122</v>
      </c>
      <c r="AL268" s="83"/>
      <c r="AM268" s="83"/>
      <c r="AN268" s="83"/>
      <c r="AO268" s="83"/>
      <c r="AP268" s="63" t="s">
        <v>67</v>
      </c>
      <c r="AQ268" s="63"/>
      <c r="AR268" s="63"/>
      <c r="AS268" s="63"/>
      <c r="AT268" s="63"/>
      <c r="AU268" s="63" t="s">
        <v>68</v>
      </c>
      <c r="AV268" s="63"/>
      <c r="AW268" s="63"/>
      <c r="AX268" s="63"/>
      <c r="AY268" s="63"/>
      <c r="AZ268" s="83" t="s">
        <v>122</v>
      </c>
      <c r="BA268" s="83"/>
      <c r="BB268" s="83"/>
      <c r="BC268" s="83"/>
      <c r="BD268" s="83"/>
      <c r="BE268" s="63" t="s">
        <v>58</v>
      </c>
      <c r="BF268" s="63"/>
      <c r="BG268" s="63"/>
      <c r="BH268" s="63"/>
      <c r="BI268" s="63"/>
      <c r="BJ268" s="63" t="s">
        <v>59</v>
      </c>
      <c r="BK268" s="63"/>
      <c r="BL268" s="63"/>
      <c r="BM268" s="63"/>
      <c r="BN268" s="63"/>
      <c r="BO268" s="83" t="s">
        <v>122</v>
      </c>
      <c r="BP268" s="83"/>
      <c r="BQ268" s="83"/>
      <c r="BR268" s="83"/>
      <c r="BS268" s="83"/>
      <c r="CA268" s="1" t="s">
        <v>44</v>
      </c>
    </row>
    <row r="269" spans="1:79" s="5" customFormat="1" ht="12.75" customHeight="1" x14ac:dyDescent="0.2">
      <c r="A269" s="21"/>
      <c r="B269" s="21"/>
      <c r="C269" s="21"/>
      <c r="D269" s="21"/>
      <c r="E269" s="21"/>
      <c r="F269" s="21"/>
      <c r="G269" s="26" t="s">
        <v>147</v>
      </c>
      <c r="H269" s="26"/>
      <c r="I269" s="26"/>
      <c r="J269" s="26"/>
      <c r="K269" s="26"/>
      <c r="L269" s="26"/>
      <c r="M269" s="26"/>
      <c r="N269" s="26"/>
      <c r="O269" s="26"/>
      <c r="P269" s="26"/>
      <c r="Q269" s="26"/>
      <c r="R269" s="26"/>
      <c r="S269" s="26"/>
      <c r="T269" s="84"/>
      <c r="U269" s="84"/>
      <c r="V269" s="84"/>
      <c r="W269" s="84"/>
      <c r="X269" s="84"/>
      <c r="Y269" s="84"/>
      <c r="Z269" s="84"/>
      <c r="AA269" s="25"/>
      <c r="AB269" s="25"/>
      <c r="AC269" s="25"/>
      <c r="AD269" s="25"/>
      <c r="AE269" s="25"/>
      <c r="AF269" s="25"/>
      <c r="AG269" s="25"/>
      <c r="AH269" s="25"/>
      <c r="AI269" s="25"/>
      <c r="AJ269" s="25"/>
      <c r="AK269" s="25">
        <f>IF(ISNUMBER(AA269),AA269,0)+IF(ISNUMBER(AF269),AF269,0)</f>
        <v>0</v>
      </c>
      <c r="AL269" s="25"/>
      <c r="AM269" s="25"/>
      <c r="AN269" s="25"/>
      <c r="AO269" s="25"/>
      <c r="AP269" s="25"/>
      <c r="AQ269" s="25"/>
      <c r="AR269" s="25"/>
      <c r="AS269" s="25"/>
      <c r="AT269" s="25"/>
      <c r="AU269" s="25"/>
      <c r="AV269" s="25"/>
      <c r="AW269" s="25"/>
      <c r="AX269" s="25"/>
      <c r="AY269" s="25"/>
      <c r="AZ269" s="25">
        <f>IF(ISNUMBER(AP269),AP269,0)+IF(ISNUMBER(AU269),AU269,0)</f>
        <v>0</v>
      </c>
      <c r="BA269" s="25"/>
      <c r="BB269" s="25"/>
      <c r="BC269" s="25"/>
      <c r="BD269" s="25"/>
      <c r="BE269" s="25"/>
      <c r="BF269" s="25"/>
      <c r="BG269" s="25"/>
      <c r="BH269" s="25"/>
      <c r="BI269" s="25"/>
      <c r="BJ269" s="25"/>
      <c r="BK269" s="25"/>
      <c r="BL269" s="25"/>
      <c r="BM269" s="25"/>
      <c r="BN269" s="25"/>
      <c r="BO269" s="25">
        <f>IF(ISNUMBER(BE269),BE269,0)+IF(ISNUMBER(BJ269),BJ269,0)</f>
        <v>0</v>
      </c>
      <c r="BP269" s="25"/>
      <c r="BQ269" s="25"/>
      <c r="BR269" s="25"/>
      <c r="BS269" s="25"/>
      <c r="CA269" s="5" t="s">
        <v>45</v>
      </c>
    </row>
    <row r="271" spans="1:79" ht="13.5" customHeight="1" x14ac:dyDescent="0.2">
      <c r="A271" s="61" t="s">
        <v>300</v>
      </c>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row>
    <row r="272" spans="1:79" ht="15" customHeight="1" x14ac:dyDescent="0.2">
      <c r="A272" s="76" t="s">
        <v>267</v>
      </c>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c r="AA272" s="76"/>
      <c r="AB272" s="76"/>
      <c r="AC272" s="76"/>
      <c r="AD272" s="76"/>
      <c r="AE272" s="76"/>
      <c r="AF272" s="76"/>
      <c r="AG272" s="76"/>
      <c r="AH272" s="76"/>
      <c r="AI272" s="76"/>
      <c r="AJ272" s="76"/>
      <c r="AK272" s="76"/>
      <c r="AL272" s="76"/>
      <c r="AM272" s="76"/>
      <c r="AN272" s="76"/>
      <c r="AO272" s="76"/>
      <c r="AP272" s="76"/>
      <c r="AQ272" s="76"/>
      <c r="AR272" s="76"/>
      <c r="AS272" s="76"/>
      <c r="AT272" s="76"/>
      <c r="AU272" s="76"/>
      <c r="AV272" s="76"/>
      <c r="AW272" s="76"/>
      <c r="AX272" s="76"/>
      <c r="AY272" s="76"/>
      <c r="AZ272" s="76"/>
      <c r="BA272" s="76"/>
      <c r="BB272" s="76"/>
      <c r="BC272" s="76"/>
      <c r="BD272" s="76"/>
    </row>
    <row r="273" spans="1:79" ht="15" customHeight="1" x14ac:dyDescent="0.2">
      <c r="A273" s="39" t="s">
        <v>6</v>
      </c>
      <c r="B273" s="39"/>
      <c r="C273" s="39"/>
      <c r="D273" s="39"/>
      <c r="E273" s="39"/>
      <c r="F273" s="39"/>
      <c r="G273" s="39" t="s">
        <v>126</v>
      </c>
      <c r="H273" s="39"/>
      <c r="I273" s="39"/>
      <c r="J273" s="39"/>
      <c r="K273" s="39"/>
      <c r="L273" s="39"/>
      <c r="M273" s="39"/>
      <c r="N273" s="39"/>
      <c r="O273" s="39"/>
      <c r="P273" s="39"/>
      <c r="Q273" s="39"/>
      <c r="R273" s="39"/>
      <c r="S273" s="39"/>
      <c r="T273" s="39" t="s">
        <v>13</v>
      </c>
      <c r="U273" s="39"/>
      <c r="V273" s="39"/>
      <c r="W273" s="39"/>
      <c r="X273" s="39"/>
      <c r="Y273" s="39"/>
      <c r="Z273" s="39"/>
      <c r="AA273" s="73" t="s">
        <v>289</v>
      </c>
      <c r="AB273" s="85"/>
      <c r="AC273" s="85"/>
      <c r="AD273" s="85"/>
      <c r="AE273" s="85"/>
      <c r="AF273" s="85"/>
      <c r="AG273" s="85"/>
      <c r="AH273" s="85"/>
      <c r="AI273" s="85"/>
      <c r="AJ273" s="85"/>
      <c r="AK273" s="85"/>
      <c r="AL273" s="85"/>
      <c r="AM273" s="85"/>
      <c r="AN273" s="85"/>
      <c r="AO273" s="86"/>
      <c r="AP273" s="73" t="s">
        <v>294</v>
      </c>
      <c r="AQ273" s="74"/>
      <c r="AR273" s="74"/>
      <c r="AS273" s="74"/>
      <c r="AT273" s="74"/>
      <c r="AU273" s="74"/>
      <c r="AV273" s="74"/>
      <c r="AW273" s="74"/>
      <c r="AX273" s="74"/>
      <c r="AY273" s="74"/>
      <c r="AZ273" s="74"/>
      <c r="BA273" s="74"/>
      <c r="BB273" s="74"/>
      <c r="BC273" s="74"/>
      <c r="BD273" s="75"/>
    </row>
    <row r="274" spans="1:79" ht="32.1" customHeight="1" x14ac:dyDescent="0.2">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t="s">
        <v>4</v>
      </c>
      <c r="AB274" s="39"/>
      <c r="AC274" s="39"/>
      <c r="AD274" s="39"/>
      <c r="AE274" s="39"/>
      <c r="AF274" s="39" t="s">
        <v>3</v>
      </c>
      <c r="AG274" s="39"/>
      <c r="AH274" s="39"/>
      <c r="AI274" s="39"/>
      <c r="AJ274" s="39"/>
      <c r="AK274" s="39" t="s">
        <v>89</v>
      </c>
      <c r="AL274" s="39"/>
      <c r="AM274" s="39"/>
      <c r="AN274" s="39"/>
      <c r="AO274" s="39"/>
      <c r="AP274" s="39" t="s">
        <v>4</v>
      </c>
      <c r="AQ274" s="39"/>
      <c r="AR274" s="39"/>
      <c r="AS274" s="39"/>
      <c r="AT274" s="39"/>
      <c r="AU274" s="39" t="s">
        <v>3</v>
      </c>
      <c r="AV274" s="39"/>
      <c r="AW274" s="39"/>
      <c r="AX274" s="39"/>
      <c r="AY274" s="39"/>
      <c r="AZ274" s="39" t="s">
        <v>96</v>
      </c>
      <c r="BA274" s="39"/>
      <c r="BB274" s="39"/>
      <c r="BC274" s="39"/>
      <c r="BD274" s="39"/>
    </row>
    <row r="275" spans="1:79" ht="15" customHeight="1" x14ac:dyDescent="0.2">
      <c r="A275" s="39">
        <v>1</v>
      </c>
      <c r="B275" s="39"/>
      <c r="C275" s="39"/>
      <c r="D275" s="39"/>
      <c r="E275" s="39"/>
      <c r="F275" s="39"/>
      <c r="G275" s="39">
        <v>2</v>
      </c>
      <c r="H275" s="39"/>
      <c r="I275" s="39"/>
      <c r="J275" s="39"/>
      <c r="K275" s="39"/>
      <c r="L275" s="39"/>
      <c r="M275" s="39"/>
      <c r="N275" s="39"/>
      <c r="O275" s="39"/>
      <c r="P275" s="39"/>
      <c r="Q275" s="39"/>
      <c r="R275" s="39"/>
      <c r="S275" s="39"/>
      <c r="T275" s="39">
        <v>3</v>
      </c>
      <c r="U275" s="39"/>
      <c r="V275" s="39"/>
      <c r="W275" s="39"/>
      <c r="X275" s="39"/>
      <c r="Y275" s="39"/>
      <c r="Z275" s="39"/>
      <c r="AA275" s="39">
        <v>4</v>
      </c>
      <c r="AB275" s="39"/>
      <c r="AC275" s="39"/>
      <c r="AD275" s="39"/>
      <c r="AE275" s="39"/>
      <c r="AF275" s="39">
        <v>5</v>
      </c>
      <c r="AG275" s="39"/>
      <c r="AH275" s="39"/>
      <c r="AI275" s="39"/>
      <c r="AJ275" s="39"/>
      <c r="AK275" s="39">
        <v>6</v>
      </c>
      <c r="AL275" s="39"/>
      <c r="AM275" s="39"/>
      <c r="AN275" s="39"/>
      <c r="AO275" s="39"/>
      <c r="AP275" s="39">
        <v>7</v>
      </c>
      <c r="AQ275" s="39"/>
      <c r="AR275" s="39"/>
      <c r="AS275" s="39"/>
      <c r="AT275" s="39"/>
      <c r="AU275" s="39">
        <v>8</v>
      </c>
      <c r="AV275" s="39"/>
      <c r="AW275" s="39"/>
      <c r="AX275" s="39"/>
      <c r="AY275" s="39"/>
      <c r="AZ275" s="39">
        <v>9</v>
      </c>
      <c r="BA275" s="39"/>
      <c r="BB275" s="39"/>
      <c r="BC275" s="39"/>
      <c r="BD275" s="39"/>
    </row>
    <row r="276" spans="1:79" s="1" customFormat="1" ht="12" hidden="1" customHeight="1" x14ac:dyDescent="0.2">
      <c r="A276" s="65" t="s">
        <v>69</v>
      </c>
      <c r="B276" s="65"/>
      <c r="C276" s="65"/>
      <c r="D276" s="65"/>
      <c r="E276" s="65"/>
      <c r="F276" s="65"/>
      <c r="G276" s="64" t="s">
        <v>57</v>
      </c>
      <c r="H276" s="64"/>
      <c r="I276" s="64"/>
      <c r="J276" s="64"/>
      <c r="K276" s="64"/>
      <c r="L276" s="64"/>
      <c r="M276" s="64"/>
      <c r="N276" s="64"/>
      <c r="O276" s="64"/>
      <c r="P276" s="64"/>
      <c r="Q276" s="64"/>
      <c r="R276" s="64"/>
      <c r="S276" s="64"/>
      <c r="T276" s="64" t="s">
        <v>79</v>
      </c>
      <c r="U276" s="64"/>
      <c r="V276" s="64"/>
      <c r="W276" s="64"/>
      <c r="X276" s="64"/>
      <c r="Y276" s="64"/>
      <c r="Z276" s="64"/>
      <c r="AA276" s="63" t="s">
        <v>60</v>
      </c>
      <c r="AB276" s="63"/>
      <c r="AC276" s="63"/>
      <c r="AD276" s="63"/>
      <c r="AE276" s="63"/>
      <c r="AF276" s="63" t="s">
        <v>61</v>
      </c>
      <c r="AG276" s="63"/>
      <c r="AH276" s="63"/>
      <c r="AI276" s="63"/>
      <c r="AJ276" s="63"/>
      <c r="AK276" s="83" t="s">
        <v>122</v>
      </c>
      <c r="AL276" s="83"/>
      <c r="AM276" s="83"/>
      <c r="AN276" s="83"/>
      <c r="AO276" s="83"/>
      <c r="AP276" s="63" t="s">
        <v>62</v>
      </c>
      <c r="AQ276" s="63"/>
      <c r="AR276" s="63"/>
      <c r="AS276" s="63"/>
      <c r="AT276" s="63"/>
      <c r="AU276" s="63" t="s">
        <v>63</v>
      </c>
      <c r="AV276" s="63"/>
      <c r="AW276" s="63"/>
      <c r="AX276" s="63"/>
      <c r="AY276" s="63"/>
      <c r="AZ276" s="83" t="s">
        <v>122</v>
      </c>
      <c r="BA276" s="83"/>
      <c r="BB276" s="83"/>
      <c r="BC276" s="83"/>
      <c r="BD276" s="83"/>
      <c r="CA276" s="1" t="s">
        <v>46</v>
      </c>
    </row>
    <row r="277" spans="1:79" s="5" customFormat="1" x14ac:dyDescent="0.2">
      <c r="A277" s="21"/>
      <c r="B277" s="21"/>
      <c r="C277" s="21"/>
      <c r="D277" s="21"/>
      <c r="E277" s="21"/>
      <c r="F277" s="21"/>
      <c r="G277" s="26" t="s">
        <v>147</v>
      </c>
      <c r="H277" s="26"/>
      <c r="I277" s="26"/>
      <c r="J277" s="26"/>
      <c r="K277" s="26"/>
      <c r="L277" s="26"/>
      <c r="M277" s="26"/>
      <c r="N277" s="26"/>
      <c r="O277" s="26"/>
      <c r="P277" s="26"/>
      <c r="Q277" s="26"/>
      <c r="R277" s="26"/>
      <c r="S277" s="26"/>
      <c r="T277" s="84"/>
      <c r="U277" s="84"/>
      <c r="V277" s="84"/>
      <c r="W277" s="84"/>
      <c r="X277" s="84"/>
      <c r="Y277" s="84"/>
      <c r="Z277" s="84"/>
      <c r="AA277" s="25"/>
      <c r="AB277" s="25"/>
      <c r="AC277" s="25"/>
      <c r="AD277" s="25"/>
      <c r="AE277" s="25"/>
      <c r="AF277" s="25"/>
      <c r="AG277" s="25"/>
      <c r="AH277" s="25"/>
      <c r="AI277" s="25"/>
      <c r="AJ277" s="25"/>
      <c r="AK277" s="25">
        <f>IF(ISNUMBER(AA277),AA277,0)+IF(ISNUMBER(AF277),AF277,0)</f>
        <v>0</v>
      </c>
      <c r="AL277" s="25"/>
      <c r="AM277" s="25"/>
      <c r="AN277" s="25"/>
      <c r="AO277" s="25"/>
      <c r="AP277" s="25"/>
      <c r="AQ277" s="25"/>
      <c r="AR277" s="25"/>
      <c r="AS277" s="25"/>
      <c r="AT277" s="25"/>
      <c r="AU277" s="25"/>
      <c r="AV277" s="25"/>
      <c r="AW277" s="25"/>
      <c r="AX277" s="25"/>
      <c r="AY277" s="25"/>
      <c r="AZ277" s="25">
        <f>IF(ISNUMBER(AP277),AP277,0)+IF(ISNUMBER(AU277),AU277,0)</f>
        <v>0</v>
      </c>
      <c r="BA277" s="25"/>
      <c r="BB277" s="25"/>
      <c r="BC277" s="25"/>
      <c r="BD277" s="25"/>
      <c r="CA277" s="5" t="s">
        <v>47</v>
      </c>
    </row>
    <row r="279" spans="1:79" ht="14.25" customHeight="1" x14ac:dyDescent="0.2">
      <c r="A279" s="61" t="s">
        <v>301</v>
      </c>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61"/>
      <c r="BI279" s="61"/>
      <c r="BJ279" s="61"/>
      <c r="BK279" s="61"/>
      <c r="BL279" s="61"/>
    </row>
    <row r="280" spans="1:79" ht="15" customHeight="1" x14ac:dyDescent="0.2">
      <c r="A280" s="76" t="s">
        <v>267</v>
      </c>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c r="AZ280" s="66"/>
      <c r="BA280" s="66"/>
      <c r="BB280" s="66"/>
      <c r="BC280" s="66"/>
      <c r="BD280" s="66"/>
      <c r="BE280" s="66"/>
      <c r="BF280" s="66"/>
      <c r="BG280" s="66"/>
      <c r="BH280" s="66"/>
      <c r="BI280" s="66"/>
      <c r="BJ280" s="66"/>
      <c r="BK280" s="66"/>
      <c r="BL280" s="66"/>
      <c r="BM280" s="66"/>
    </row>
    <row r="281" spans="1:79" ht="23.1" customHeight="1" x14ac:dyDescent="0.2">
      <c r="A281" s="39" t="s">
        <v>128</v>
      </c>
      <c r="B281" s="39"/>
      <c r="C281" s="39"/>
      <c r="D281" s="39"/>
      <c r="E281" s="39"/>
      <c r="F281" s="39"/>
      <c r="G281" s="39"/>
      <c r="H281" s="39"/>
      <c r="I281" s="39"/>
      <c r="J281" s="39"/>
      <c r="K281" s="39"/>
      <c r="L281" s="39"/>
      <c r="M281" s="39"/>
      <c r="N281" s="77" t="s">
        <v>129</v>
      </c>
      <c r="O281" s="78"/>
      <c r="P281" s="78"/>
      <c r="Q281" s="78"/>
      <c r="R281" s="78"/>
      <c r="S281" s="78"/>
      <c r="T281" s="78"/>
      <c r="U281" s="79"/>
      <c r="V281" s="77" t="s">
        <v>130</v>
      </c>
      <c r="W281" s="78"/>
      <c r="X281" s="78"/>
      <c r="Y281" s="78"/>
      <c r="Z281" s="79"/>
      <c r="AA281" s="39" t="s">
        <v>268</v>
      </c>
      <c r="AB281" s="39"/>
      <c r="AC281" s="39"/>
      <c r="AD281" s="39"/>
      <c r="AE281" s="39"/>
      <c r="AF281" s="39"/>
      <c r="AG281" s="39"/>
      <c r="AH281" s="39"/>
      <c r="AI281" s="39"/>
      <c r="AJ281" s="39" t="s">
        <v>271</v>
      </c>
      <c r="AK281" s="39"/>
      <c r="AL281" s="39"/>
      <c r="AM281" s="39"/>
      <c r="AN281" s="39"/>
      <c r="AO281" s="39"/>
      <c r="AP281" s="39"/>
      <c r="AQ281" s="39"/>
      <c r="AR281" s="39"/>
      <c r="AS281" s="39" t="s">
        <v>279</v>
      </c>
      <c r="AT281" s="39"/>
      <c r="AU281" s="39"/>
      <c r="AV281" s="39"/>
      <c r="AW281" s="39"/>
      <c r="AX281" s="39"/>
      <c r="AY281" s="39"/>
      <c r="AZ281" s="39"/>
      <c r="BA281" s="39"/>
      <c r="BB281" s="39" t="s">
        <v>289</v>
      </c>
      <c r="BC281" s="39"/>
      <c r="BD281" s="39"/>
      <c r="BE281" s="39"/>
      <c r="BF281" s="39"/>
      <c r="BG281" s="39"/>
      <c r="BH281" s="39"/>
      <c r="BI281" s="39"/>
      <c r="BJ281" s="39"/>
      <c r="BK281" s="39" t="s">
        <v>294</v>
      </c>
      <c r="BL281" s="39"/>
      <c r="BM281" s="39"/>
      <c r="BN281" s="39"/>
      <c r="BO281" s="39"/>
      <c r="BP281" s="39"/>
      <c r="BQ281" s="39"/>
      <c r="BR281" s="39"/>
      <c r="BS281" s="39"/>
    </row>
    <row r="282" spans="1:79" ht="95.25" customHeight="1" x14ac:dyDescent="0.2">
      <c r="A282" s="39"/>
      <c r="B282" s="39"/>
      <c r="C282" s="39"/>
      <c r="D282" s="39"/>
      <c r="E282" s="39"/>
      <c r="F282" s="39"/>
      <c r="G282" s="39"/>
      <c r="H282" s="39"/>
      <c r="I282" s="39"/>
      <c r="J282" s="39"/>
      <c r="K282" s="39"/>
      <c r="L282" s="39"/>
      <c r="M282" s="39"/>
      <c r="N282" s="80"/>
      <c r="O282" s="81"/>
      <c r="P282" s="81"/>
      <c r="Q282" s="81"/>
      <c r="R282" s="81"/>
      <c r="S282" s="81"/>
      <c r="T282" s="81"/>
      <c r="U282" s="82"/>
      <c r="V282" s="80"/>
      <c r="W282" s="81"/>
      <c r="X282" s="81"/>
      <c r="Y282" s="81"/>
      <c r="Z282" s="82"/>
      <c r="AA282" s="67" t="s">
        <v>133</v>
      </c>
      <c r="AB282" s="67"/>
      <c r="AC282" s="67"/>
      <c r="AD282" s="67"/>
      <c r="AE282" s="67"/>
      <c r="AF282" s="67" t="s">
        <v>134</v>
      </c>
      <c r="AG282" s="67"/>
      <c r="AH282" s="67"/>
      <c r="AI282" s="67"/>
      <c r="AJ282" s="67" t="s">
        <v>133</v>
      </c>
      <c r="AK282" s="67"/>
      <c r="AL282" s="67"/>
      <c r="AM282" s="67"/>
      <c r="AN282" s="67"/>
      <c r="AO282" s="67" t="s">
        <v>134</v>
      </c>
      <c r="AP282" s="67"/>
      <c r="AQ282" s="67"/>
      <c r="AR282" s="67"/>
      <c r="AS282" s="67" t="s">
        <v>133</v>
      </c>
      <c r="AT282" s="67"/>
      <c r="AU282" s="67"/>
      <c r="AV282" s="67"/>
      <c r="AW282" s="67"/>
      <c r="AX282" s="67" t="s">
        <v>134</v>
      </c>
      <c r="AY282" s="67"/>
      <c r="AZ282" s="67"/>
      <c r="BA282" s="67"/>
      <c r="BB282" s="67" t="s">
        <v>133</v>
      </c>
      <c r="BC282" s="67"/>
      <c r="BD282" s="67"/>
      <c r="BE282" s="67"/>
      <c r="BF282" s="67"/>
      <c r="BG282" s="67" t="s">
        <v>134</v>
      </c>
      <c r="BH282" s="67"/>
      <c r="BI282" s="67"/>
      <c r="BJ282" s="67"/>
      <c r="BK282" s="67" t="s">
        <v>133</v>
      </c>
      <c r="BL282" s="67"/>
      <c r="BM282" s="67"/>
      <c r="BN282" s="67"/>
      <c r="BO282" s="67"/>
      <c r="BP282" s="67" t="s">
        <v>134</v>
      </c>
      <c r="BQ282" s="67"/>
      <c r="BR282" s="67"/>
      <c r="BS282" s="67"/>
    </row>
    <row r="283" spans="1:79" ht="15" customHeight="1" x14ac:dyDescent="0.2">
      <c r="A283" s="39">
        <v>1</v>
      </c>
      <c r="B283" s="39"/>
      <c r="C283" s="39"/>
      <c r="D283" s="39"/>
      <c r="E283" s="39"/>
      <c r="F283" s="39"/>
      <c r="G283" s="39"/>
      <c r="H283" s="39"/>
      <c r="I283" s="39"/>
      <c r="J283" s="39"/>
      <c r="K283" s="39"/>
      <c r="L283" s="39"/>
      <c r="M283" s="39"/>
      <c r="N283" s="73">
        <v>2</v>
      </c>
      <c r="O283" s="74"/>
      <c r="P283" s="74"/>
      <c r="Q283" s="74"/>
      <c r="R283" s="74"/>
      <c r="S283" s="74"/>
      <c r="T283" s="74"/>
      <c r="U283" s="75"/>
      <c r="V283" s="39">
        <v>3</v>
      </c>
      <c r="W283" s="39"/>
      <c r="X283" s="39"/>
      <c r="Y283" s="39"/>
      <c r="Z283" s="39"/>
      <c r="AA283" s="39">
        <v>4</v>
      </c>
      <c r="AB283" s="39"/>
      <c r="AC283" s="39"/>
      <c r="AD283" s="39"/>
      <c r="AE283" s="39"/>
      <c r="AF283" s="39">
        <v>5</v>
      </c>
      <c r="AG283" s="39"/>
      <c r="AH283" s="39"/>
      <c r="AI283" s="39"/>
      <c r="AJ283" s="39">
        <v>6</v>
      </c>
      <c r="AK283" s="39"/>
      <c r="AL283" s="39"/>
      <c r="AM283" s="39"/>
      <c r="AN283" s="39"/>
      <c r="AO283" s="39">
        <v>7</v>
      </c>
      <c r="AP283" s="39"/>
      <c r="AQ283" s="39"/>
      <c r="AR283" s="39"/>
      <c r="AS283" s="39">
        <v>8</v>
      </c>
      <c r="AT283" s="39"/>
      <c r="AU283" s="39"/>
      <c r="AV283" s="39"/>
      <c r="AW283" s="39"/>
      <c r="AX283" s="39">
        <v>9</v>
      </c>
      <c r="AY283" s="39"/>
      <c r="AZ283" s="39"/>
      <c r="BA283" s="39"/>
      <c r="BB283" s="39">
        <v>10</v>
      </c>
      <c r="BC283" s="39"/>
      <c r="BD283" s="39"/>
      <c r="BE283" s="39"/>
      <c r="BF283" s="39"/>
      <c r="BG283" s="39">
        <v>11</v>
      </c>
      <c r="BH283" s="39"/>
      <c r="BI283" s="39"/>
      <c r="BJ283" s="39"/>
      <c r="BK283" s="39">
        <v>12</v>
      </c>
      <c r="BL283" s="39"/>
      <c r="BM283" s="39"/>
      <c r="BN283" s="39"/>
      <c r="BO283" s="39"/>
      <c r="BP283" s="39">
        <v>13</v>
      </c>
      <c r="BQ283" s="39"/>
      <c r="BR283" s="39"/>
      <c r="BS283" s="39"/>
    </row>
    <row r="284" spans="1:79" s="1" customFormat="1" ht="12" hidden="1" customHeight="1" x14ac:dyDescent="0.2">
      <c r="A284" s="64" t="s">
        <v>146</v>
      </c>
      <c r="B284" s="64"/>
      <c r="C284" s="64"/>
      <c r="D284" s="64"/>
      <c r="E284" s="64"/>
      <c r="F284" s="64"/>
      <c r="G284" s="64"/>
      <c r="H284" s="64"/>
      <c r="I284" s="64"/>
      <c r="J284" s="64"/>
      <c r="K284" s="64"/>
      <c r="L284" s="64"/>
      <c r="M284" s="64"/>
      <c r="N284" s="65" t="s">
        <v>131</v>
      </c>
      <c r="O284" s="65"/>
      <c r="P284" s="65"/>
      <c r="Q284" s="65"/>
      <c r="R284" s="65"/>
      <c r="S284" s="65"/>
      <c r="T284" s="65"/>
      <c r="U284" s="65"/>
      <c r="V284" s="65" t="s">
        <v>132</v>
      </c>
      <c r="W284" s="65"/>
      <c r="X284" s="65"/>
      <c r="Y284" s="65"/>
      <c r="Z284" s="65"/>
      <c r="AA284" s="63" t="s">
        <v>65</v>
      </c>
      <c r="AB284" s="63"/>
      <c r="AC284" s="63"/>
      <c r="AD284" s="63"/>
      <c r="AE284" s="63"/>
      <c r="AF284" s="63" t="s">
        <v>66</v>
      </c>
      <c r="AG284" s="63"/>
      <c r="AH284" s="63"/>
      <c r="AI284" s="63"/>
      <c r="AJ284" s="63" t="s">
        <v>67</v>
      </c>
      <c r="AK284" s="63"/>
      <c r="AL284" s="63"/>
      <c r="AM284" s="63"/>
      <c r="AN284" s="63"/>
      <c r="AO284" s="63" t="s">
        <v>68</v>
      </c>
      <c r="AP284" s="63"/>
      <c r="AQ284" s="63"/>
      <c r="AR284" s="63"/>
      <c r="AS284" s="63" t="s">
        <v>58</v>
      </c>
      <c r="AT284" s="63"/>
      <c r="AU284" s="63"/>
      <c r="AV284" s="63"/>
      <c r="AW284" s="63"/>
      <c r="AX284" s="63" t="s">
        <v>59</v>
      </c>
      <c r="AY284" s="63"/>
      <c r="AZ284" s="63"/>
      <c r="BA284" s="63"/>
      <c r="BB284" s="63" t="s">
        <v>60</v>
      </c>
      <c r="BC284" s="63"/>
      <c r="BD284" s="63"/>
      <c r="BE284" s="63"/>
      <c r="BF284" s="63"/>
      <c r="BG284" s="63" t="s">
        <v>61</v>
      </c>
      <c r="BH284" s="63"/>
      <c r="BI284" s="63"/>
      <c r="BJ284" s="63"/>
      <c r="BK284" s="63" t="s">
        <v>62</v>
      </c>
      <c r="BL284" s="63"/>
      <c r="BM284" s="63"/>
      <c r="BN284" s="63"/>
      <c r="BO284" s="63"/>
      <c r="BP284" s="63" t="s">
        <v>63</v>
      </c>
      <c r="BQ284" s="63"/>
      <c r="BR284" s="63"/>
      <c r="BS284" s="63"/>
      <c r="CA284" s="1" t="s">
        <v>48</v>
      </c>
    </row>
    <row r="285" spans="1:79" s="5" customFormat="1" ht="12.75" customHeight="1" x14ac:dyDescent="0.2">
      <c r="A285" s="26" t="s">
        <v>147</v>
      </c>
      <c r="B285" s="26"/>
      <c r="C285" s="26"/>
      <c r="D285" s="26"/>
      <c r="E285" s="26"/>
      <c r="F285" s="26"/>
      <c r="G285" s="26"/>
      <c r="H285" s="26"/>
      <c r="I285" s="26"/>
      <c r="J285" s="26"/>
      <c r="K285" s="26"/>
      <c r="L285" s="26"/>
      <c r="M285" s="26"/>
      <c r="N285" s="36"/>
      <c r="O285" s="37"/>
      <c r="P285" s="37"/>
      <c r="Q285" s="37"/>
      <c r="R285" s="37"/>
      <c r="S285" s="37"/>
      <c r="T285" s="37"/>
      <c r="U285" s="50"/>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c r="AV285" s="72"/>
      <c r="AW285" s="72"/>
      <c r="AX285" s="72"/>
      <c r="AY285" s="72"/>
      <c r="AZ285" s="72"/>
      <c r="BA285" s="72"/>
      <c r="BB285" s="72"/>
      <c r="BC285" s="72"/>
      <c r="BD285" s="72"/>
      <c r="BE285" s="72"/>
      <c r="BF285" s="72"/>
      <c r="BG285" s="72"/>
      <c r="BH285" s="72"/>
      <c r="BI285" s="72"/>
      <c r="BJ285" s="72"/>
      <c r="BK285" s="72"/>
      <c r="BL285" s="72"/>
      <c r="BM285" s="72"/>
      <c r="BN285" s="72"/>
      <c r="BO285" s="72"/>
      <c r="BP285" s="68"/>
      <c r="BQ285" s="69"/>
      <c r="BR285" s="69"/>
      <c r="BS285" s="70"/>
      <c r="CA285" s="5" t="s">
        <v>49</v>
      </c>
    </row>
    <row r="287" spans="1:79" ht="35.25" customHeight="1" x14ac:dyDescent="0.2">
      <c r="A287" s="61" t="s">
        <v>302</v>
      </c>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61"/>
      <c r="BI287" s="61"/>
      <c r="BJ287" s="61"/>
      <c r="BK287" s="61"/>
      <c r="BL287" s="61"/>
    </row>
    <row r="288" spans="1:79" ht="105" customHeight="1" x14ac:dyDescent="0.2">
      <c r="A288" s="62" t="s">
        <v>261</v>
      </c>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c r="AI288" s="53"/>
      <c r="AJ288" s="53"/>
      <c r="AK288" s="53"/>
      <c r="AL288" s="53"/>
      <c r="AM288" s="53"/>
      <c r="AN288" s="53"/>
      <c r="AO288" s="53"/>
      <c r="AP288" s="53"/>
      <c r="AQ288" s="53"/>
      <c r="AR288" s="53"/>
      <c r="AS288" s="53"/>
      <c r="AT288" s="53"/>
      <c r="AU288" s="53"/>
      <c r="AV288" s="53"/>
      <c r="AW288" s="53"/>
      <c r="AX288" s="53"/>
      <c r="AY288" s="53"/>
      <c r="AZ288" s="53"/>
      <c r="BA288" s="53"/>
      <c r="BB288" s="53"/>
      <c r="BC288" s="53"/>
      <c r="BD288" s="53"/>
      <c r="BE288" s="53"/>
      <c r="BF288" s="53"/>
      <c r="BG288" s="53"/>
      <c r="BH288" s="53"/>
      <c r="BI288" s="53"/>
      <c r="BJ288" s="53"/>
      <c r="BK288" s="53"/>
      <c r="BL288" s="53"/>
    </row>
    <row r="290" spans="1:79" ht="28.5" customHeight="1" x14ac:dyDescent="0.2">
      <c r="A290" s="71" t="s">
        <v>286</v>
      </c>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c r="AA290" s="71"/>
      <c r="AB290" s="71"/>
      <c r="AC290" s="71"/>
      <c r="AD290" s="71"/>
      <c r="AE290" s="71"/>
      <c r="AF290" s="71"/>
      <c r="AG290" s="71"/>
      <c r="AH290" s="71"/>
      <c r="AI290" s="71"/>
      <c r="AJ290" s="71"/>
      <c r="AK290" s="71"/>
      <c r="AL290" s="71"/>
      <c r="AM290" s="71"/>
      <c r="AN290" s="71"/>
      <c r="AO290" s="71"/>
      <c r="AP290" s="71"/>
      <c r="AQ290" s="71"/>
      <c r="AR290" s="71"/>
      <c r="AS290" s="71"/>
      <c r="AT290" s="71"/>
      <c r="AU290" s="71"/>
      <c r="AV290" s="71"/>
      <c r="AW290" s="71"/>
      <c r="AX290" s="71"/>
      <c r="AY290" s="71"/>
      <c r="AZ290" s="71"/>
      <c r="BA290" s="71"/>
      <c r="BB290" s="71"/>
      <c r="BC290" s="71"/>
      <c r="BD290" s="71"/>
      <c r="BE290" s="71"/>
      <c r="BF290" s="71"/>
      <c r="BG290" s="71"/>
      <c r="BH290" s="71"/>
      <c r="BI290" s="71"/>
      <c r="BJ290" s="71"/>
      <c r="BK290" s="71"/>
      <c r="BL290" s="71"/>
    </row>
    <row r="291" spans="1:79" ht="14.25" customHeight="1" x14ac:dyDescent="0.2">
      <c r="A291" s="61" t="s">
        <v>269</v>
      </c>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61"/>
      <c r="BI291" s="61"/>
      <c r="BJ291" s="61"/>
      <c r="BK291" s="61"/>
      <c r="BL291" s="61"/>
    </row>
    <row r="292" spans="1:79" ht="15" customHeight="1" x14ac:dyDescent="0.2">
      <c r="A292" s="66" t="s">
        <v>267</v>
      </c>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c r="BC292" s="66"/>
      <c r="BD292" s="66"/>
      <c r="BE292" s="66"/>
      <c r="BF292" s="66"/>
      <c r="BG292" s="66"/>
      <c r="BH292" s="66"/>
      <c r="BI292" s="66"/>
      <c r="BJ292" s="66"/>
      <c r="BK292" s="66"/>
      <c r="BL292" s="66"/>
    </row>
    <row r="293" spans="1:79" ht="42.95" customHeight="1" x14ac:dyDescent="0.2">
      <c r="A293" s="67" t="s">
        <v>135</v>
      </c>
      <c r="B293" s="67"/>
      <c r="C293" s="67"/>
      <c r="D293" s="67"/>
      <c r="E293" s="67"/>
      <c r="F293" s="67"/>
      <c r="G293" s="39" t="s">
        <v>19</v>
      </c>
      <c r="H293" s="39"/>
      <c r="I293" s="39"/>
      <c r="J293" s="39"/>
      <c r="K293" s="39"/>
      <c r="L293" s="39"/>
      <c r="M293" s="39"/>
      <c r="N293" s="39"/>
      <c r="O293" s="39"/>
      <c r="P293" s="39"/>
      <c r="Q293" s="39"/>
      <c r="R293" s="39"/>
      <c r="S293" s="39"/>
      <c r="T293" s="39" t="s">
        <v>15</v>
      </c>
      <c r="U293" s="39"/>
      <c r="V293" s="39"/>
      <c r="W293" s="39"/>
      <c r="X293" s="39"/>
      <c r="Y293" s="39"/>
      <c r="Z293" s="39" t="s">
        <v>14</v>
      </c>
      <c r="AA293" s="39"/>
      <c r="AB293" s="39"/>
      <c r="AC293" s="39"/>
      <c r="AD293" s="39"/>
      <c r="AE293" s="39" t="s">
        <v>136</v>
      </c>
      <c r="AF293" s="39"/>
      <c r="AG293" s="39"/>
      <c r="AH293" s="39"/>
      <c r="AI293" s="39"/>
      <c r="AJ293" s="39"/>
      <c r="AK293" s="39" t="s">
        <v>137</v>
      </c>
      <c r="AL293" s="39"/>
      <c r="AM293" s="39"/>
      <c r="AN293" s="39"/>
      <c r="AO293" s="39"/>
      <c r="AP293" s="39"/>
      <c r="AQ293" s="39" t="s">
        <v>138</v>
      </c>
      <c r="AR293" s="39"/>
      <c r="AS293" s="39"/>
      <c r="AT293" s="39"/>
      <c r="AU293" s="39"/>
      <c r="AV293" s="39"/>
      <c r="AW293" s="39" t="s">
        <v>98</v>
      </c>
      <c r="AX293" s="39"/>
      <c r="AY293" s="39"/>
      <c r="AZ293" s="39"/>
      <c r="BA293" s="39"/>
      <c r="BB293" s="39"/>
      <c r="BC293" s="39"/>
      <c r="BD293" s="39"/>
      <c r="BE293" s="39"/>
      <c r="BF293" s="39"/>
      <c r="BG293" s="39" t="s">
        <v>139</v>
      </c>
      <c r="BH293" s="39"/>
      <c r="BI293" s="39"/>
      <c r="BJ293" s="39"/>
      <c r="BK293" s="39"/>
      <c r="BL293" s="39"/>
    </row>
    <row r="294" spans="1:79" ht="39.950000000000003" customHeight="1" x14ac:dyDescent="0.2">
      <c r="A294" s="67"/>
      <c r="B294" s="67"/>
      <c r="C294" s="67"/>
      <c r="D294" s="67"/>
      <c r="E294" s="67"/>
      <c r="F294" s="67"/>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t="s">
        <v>17</v>
      </c>
      <c r="AX294" s="39"/>
      <c r="AY294" s="39"/>
      <c r="AZ294" s="39"/>
      <c r="BA294" s="39"/>
      <c r="BB294" s="39" t="s">
        <v>16</v>
      </c>
      <c r="BC294" s="39"/>
      <c r="BD294" s="39"/>
      <c r="BE294" s="39"/>
      <c r="BF294" s="39"/>
      <c r="BG294" s="39"/>
      <c r="BH294" s="39"/>
      <c r="BI294" s="39"/>
      <c r="BJ294" s="39"/>
      <c r="BK294" s="39"/>
      <c r="BL294" s="39"/>
    </row>
    <row r="295" spans="1:79" ht="15" customHeight="1" x14ac:dyDescent="0.2">
      <c r="A295" s="39">
        <v>1</v>
      </c>
      <c r="B295" s="39"/>
      <c r="C295" s="39"/>
      <c r="D295" s="39"/>
      <c r="E295" s="39"/>
      <c r="F295" s="39"/>
      <c r="G295" s="39">
        <v>2</v>
      </c>
      <c r="H295" s="39"/>
      <c r="I295" s="39"/>
      <c r="J295" s="39"/>
      <c r="K295" s="39"/>
      <c r="L295" s="39"/>
      <c r="M295" s="39"/>
      <c r="N295" s="39"/>
      <c r="O295" s="39"/>
      <c r="P295" s="39"/>
      <c r="Q295" s="39"/>
      <c r="R295" s="39"/>
      <c r="S295" s="39"/>
      <c r="T295" s="39">
        <v>3</v>
      </c>
      <c r="U295" s="39"/>
      <c r="V295" s="39"/>
      <c r="W295" s="39"/>
      <c r="X295" s="39"/>
      <c r="Y295" s="39"/>
      <c r="Z295" s="39">
        <v>4</v>
      </c>
      <c r="AA295" s="39"/>
      <c r="AB295" s="39"/>
      <c r="AC295" s="39"/>
      <c r="AD295" s="39"/>
      <c r="AE295" s="39">
        <v>5</v>
      </c>
      <c r="AF295" s="39"/>
      <c r="AG295" s="39"/>
      <c r="AH295" s="39"/>
      <c r="AI295" s="39"/>
      <c r="AJ295" s="39"/>
      <c r="AK295" s="39">
        <v>6</v>
      </c>
      <c r="AL295" s="39"/>
      <c r="AM295" s="39"/>
      <c r="AN295" s="39"/>
      <c r="AO295" s="39"/>
      <c r="AP295" s="39"/>
      <c r="AQ295" s="39">
        <v>7</v>
      </c>
      <c r="AR295" s="39"/>
      <c r="AS295" s="39"/>
      <c r="AT295" s="39"/>
      <c r="AU295" s="39"/>
      <c r="AV295" s="39"/>
      <c r="AW295" s="39">
        <v>8</v>
      </c>
      <c r="AX295" s="39"/>
      <c r="AY295" s="39"/>
      <c r="AZ295" s="39"/>
      <c r="BA295" s="39"/>
      <c r="BB295" s="39">
        <v>9</v>
      </c>
      <c r="BC295" s="39"/>
      <c r="BD295" s="39"/>
      <c r="BE295" s="39"/>
      <c r="BF295" s="39"/>
      <c r="BG295" s="39">
        <v>10</v>
      </c>
      <c r="BH295" s="39"/>
      <c r="BI295" s="39"/>
      <c r="BJ295" s="39"/>
      <c r="BK295" s="39"/>
      <c r="BL295" s="39"/>
    </row>
    <row r="296" spans="1:79" s="1" customFormat="1" ht="12" hidden="1" customHeight="1" x14ac:dyDescent="0.2">
      <c r="A296" s="65" t="s">
        <v>64</v>
      </c>
      <c r="B296" s="65"/>
      <c r="C296" s="65"/>
      <c r="D296" s="65"/>
      <c r="E296" s="65"/>
      <c r="F296" s="65"/>
      <c r="G296" s="64" t="s">
        <v>57</v>
      </c>
      <c r="H296" s="64"/>
      <c r="I296" s="64"/>
      <c r="J296" s="64"/>
      <c r="K296" s="64"/>
      <c r="L296" s="64"/>
      <c r="M296" s="64"/>
      <c r="N296" s="64"/>
      <c r="O296" s="64"/>
      <c r="P296" s="64"/>
      <c r="Q296" s="64"/>
      <c r="R296" s="64"/>
      <c r="S296" s="64"/>
      <c r="T296" s="63" t="s">
        <v>80</v>
      </c>
      <c r="U296" s="63"/>
      <c r="V296" s="63"/>
      <c r="W296" s="63"/>
      <c r="X296" s="63"/>
      <c r="Y296" s="63"/>
      <c r="Z296" s="63" t="s">
        <v>81</v>
      </c>
      <c r="AA296" s="63"/>
      <c r="AB296" s="63"/>
      <c r="AC296" s="63"/>
      <c r="AD296" s="63"/>
      <c r="AE296" s="63" t="s">
        <v>82</v>
      </c>
      <c r="AF296" s="63"/>
      <c r="AG296" s="63"/>
      <c r="AH296" s="63"/>
      <c r="AI296" s="63"/>
      <c r="AJ296" s="63"/>
      <c r="AK296" s="63" t="s">
        <v>83</v>
      </c>
      <c r="AL296" s="63"/>
      <c r="AM296" s="63"/>
      <c r="AN296" s="63"/>
      <c r="AO296" s="63"/>
      <c r="AP296" s="63"/>
      <c r="AQ296" s="65" t="s">
        <v>99</v>
      </c>
      <c r="AR296" s="63"/>
      <c r="AS296" s="63"/>
      <c r="AT296" s="63"/>
      <c r="AU296" s="63"/>
      <c r="AV296" s="63"/>
      <c r="AW296" s="63" t="s">
        <v>84</v>
      </c>
      <c r="AX296" s="63"/>
      <c r="AY296" s="63"/>
      <c r="AZ296" s="63"/>
      <c r="BA296" s="63"/>
      <c r="BB296" s="63" t="s">
        <v>85</v>
      </c>
      <c r="BC296" s="63"/>
      <c r="BD296" s="63"/>
      <c r="BE296" s="63"/>
      <c r="BF296" s="63"/>
      <c r="BG296" s="65" t="s">
        <v>100</v>
      </c>
      <c r="BH296" s="63"/>
      <c r="BI296" s="63"/>
      <c r="BJ296" s="63"/>
      <c r="BK296" s="63"/>
      <c r="BL296" s="63"/>
      <c r="CA296" s="1" t="s">
        <v>50</v>
      </c>
    </row>
    <row r="297" spans="1:79" s="4" customFormat="1" ht="12.75" customHeight="1" x14ac:dyDescent="0.2">
      <c r="A297" s="27">
        <v>2111</v>
      </c>
      <c r="B297" s="27"/>
      <c r="C297" s="27"/>
      <c r="D297" s="27"/>
      <c r="E297" s="27"/>
      <c r="F297" s="27"/>
      <c r="G297" s="28" t="s">
        <v>176</v>
      </c>
      <c r="H297" s="29"/>
      <c r="I297" s="29"/>
      <c r="J297" s="29"/>
      <c r="K297" s="29"/>
      <c r="L297" s="29"/>
      <c r="M297" s="29"/>
      <c r="N297" s="29"/>
      <c r="O297" s="29"/>
      <c r="P297" s="29"/>
      <c r="Q297" s="29"/>
      <c r="R297" s="29"/>
      <c r="S297" s="30"/>
      <c r="T297" s="31">
        <v>4117319</v>
      </c>
      <c r="U297" s="31"/>
      <c r="V297" s="31"/>
      <c r="W297" s="31"/>
      <c r="X297" s="31"/>
      <c r="Y297" s="31"/>
      <c r="Z297" s="31">
        <v>4084707</v>
      </c>
      <c r="AA297" s="31"/>
      <c r="AB297" s="31"/>
      <c r="AC297" s="31"/>
      <c r="AD297" s="31"/>
      <c r="AE297" s="31">
        <v>0</v>
      </c>
      <c r="AF297" s="31"/>
      <c r="AG297" s="31"/>
      <c r="AH297" s="31"/>
      <c r="AI297" s="31"/>
      <c r="AJ297" s="31"/>
      <c r="AK297" s="31">
        <v>0</v>
      </c>
      <c r="AL297" s="31"/>
      <c r="AM297" s="31"/>
      <c r="AN297" s="31"/>
      <c r="AO297" s="31"/>
      <c r="AP297" s="31"/>
      <c r="AQ297" s="31">
        <f t="shared" ref="AQ297:AQ308" si="10">IF(ISNUMBER(AK297),AK297,0)-IF(ISNUMBER(AE297),AE297,0)</f>
        <v>0</v>
      </c>
      <c r="AR297" s="31"/>
      <c r="AS297" s="31"/>
      <c r="AT297" s="31"/>
      <c r="AU297" s="31"/>
      <c r="AV297" s="31"/>
      <c r="AW297" s="31">
        <v>0</v>
      </c>
      <c r="AX297" s="31"/>
      <c r="AY297" s="31"/>
      <c r="AZ297" s="31"/>
      <c r="BA297" s="31"/>
      <c r="BB297" s="31">
        <v>0</v>
      </c>
      <c r="BC297" s="31"/>
      <c r="BD297" s="31"/>
      <c r="BE297" s="31"/>
      <c r="BF297" s="31"/>
      <c r="BG297" s="31">
        <f t="shared" ref="BG297:BG308" si="11">IF(ISNUMBER(Z297),Z297,0)+IF(ISNUMBER(AK297),AK297,0)</f>
        <v>4084707</v>
      </c>
      <c r="BH297" s="31"/>
      <c r="BI297" s="31"/>
      <c r="BJ297" s="31"/>
      <c r="BK297" s="31"/>
      <c r="BL297" s="31"/>
      <c r="CA297" s="4" t="s">
        <v>51</v>
      </c>
    </row>
    <row r="298" spans="1:79" s="4" customFormat="1" ht="12.75" customHeight="1" x14ac:dyDescent="0.2">
      <c r="A298" s="27">
        <v>2120</v>
      </c>
      <c r="B298" s="27"/>
      <c r="C298" s="27"/>
      <c r="D298" s="27"/>
      <c r="E298" s="27"/>
      <c r="F298" s="27"/>
      <c r="G298" s="28" t="s">
        <v>177</v>
      </c>
      <c r="H298" s="29"/>
      <c r="I298" s="29"/>
      <c r="J298" s="29"/>
      <c r="K298" s="29"/>
      <c r="L298" s="29"/>
      <c r="M298" s="29"/>
      <c r="N298" s="29"/>
      <c r="O298" s="29"/>
      <c r="P298" s="29"/>
      <c r="Q298" s="29"/>
      <c r="R298" s="29"/>
      <c r="S298" s="30"/>
      <c r="T298" s="31">
        <v>905810</v>
      </c>
      <c r="U298" s="31"/>
      <c r="V298" s="31"/>
      <c r="W298" s="31"/>
      <c r="X298" s="31"/>
      <c r="Y298" s="31"/>
      <c r="Z298" s="31">
        <v>877778</v>
      </c>
      <c r="AA298" s="31"/>
      <c r="AB298" s="31"/>
      <c r="AC298" s="31"/>
      <c r="AD298" s="31"/>
      <c r="AE298" s="31">
        <v>0</v>
      </c>
      <c r="AF298" s="31"/>
      <c r="AG298" s="31"/>
      <c r="AH298" s="31"/>
      <c r="AI298" s="31"/>
      <c r="AJ298" s="31"/>
      <c r="AK298" s="31">
        <v>0</v>
      </c>
      <c r="AL298" s="31"/>
      <c r="AM298" s="31"/>
      <c r="AN298" s="31"/>
      <c r="AO298" s="31"/>
      <c r="AP298" s="31"/>
      <c r="AQ298" s="31">
        <f t="shared" si="10"/>
        <v>0</v>
      </c>
      <c r="AR298" s="31"/>
      <c r="AS298" s="31"/>
      <c r="AT298" s="31"/>
      <c r="AU298" s="31"/>
      <c r="AV298" s="31"/>
      <c r="AW298" s="31">
        <v>0</v>
      </c>
      <c r="AX298" s="31"/>
      <c r="AY298" s="31"/>
      <c r="AZ298" s="31"/>
      <c r="BA298" s="31"/>
      <c r="BB298" s="31">
        <v>0</v>
      </c>
      <c r="BC298" s="31"/>
      <c r="BD298" s="31"/>
      <c r="BE298" s="31"/>
      <c r="BF298" s="31"/>
      <c r="BG298" s="31">
        <f t="shared" si="11"/>
        <v>877778</v>
      </c>
      <c r="BH298" s="31"/>
      <c r="BI298" s="31"/>
      <c r="BJ298" s="31"/>
      <c r="BK298" s="31"/>
      <c r="BL298" s="31"/>
    </row>
    <row r="299" spans="1:79" s="4" customFormat="1" ht="25.5" customHeight="1" x14ac:dyDescent="0.2">
      <c r="A299" s="27">
        <v>2210</v>
      </c>
      <c r="B299" s="27"/>
      <c r="C299" s="27"/>
      <c r="D299" s="27"/>
      <c r="E299" s="27"/>
      <c r="F299" s="27"/>
      <c r="G299" s="28" t="s">
        <v>178</v>
      </c>
      <c r="H299" s="29"/>
      <c r="I299" s="29"/>
      <c r="J299" s="29"/>
      <c r="K299" s="29"/>
      <c r="L299" s="29"/>
      <c r="M299" s="29"/>
      <c r="N299" s="29"/>
      <c r="O299" s="29"/>
      <c r="P299" s="29"/>
      <c r="Q299" s="29"/>
      <c r="R299" s="29"/>
      <c r="S299" s="30"/>
      <c r="T299" s="31">
        <v>485215</v>
      </c>
      <c r="U299" s="31"/>
      <c r="V299" s="31"/>
      <c r="W299" s="31"/>
      <c r="X299" s="31"/>
      <c r="Y299" s="31"/>
      <c r="Z299" s="31">
        <v>422950</v>
      </c>
      <c r="AA299" s="31"/>
      <c r="AB299" s="31"/>
      <c r="AC299" s="31"/>
      <c r="AD299" s="31"/>
      <c r="AE299" s="31">
        <v>0</v>
      </c>
      <c r="AF299" s="31"/>
      <c r="AG299" s="31"/>
      <c r="AH299" s="31"/>
      <c r="AI299" s="31"/>
      <c r="AJ299" s="31"/>
      <c r="AK299" s="31">
        <v>0</v>
      </c>
      <c r="AL299" s="31"/>
      <c r="AM299" s="31"/>
      <c r="AN299" s="31"/>
      <c r="AO299" s="31"/>
      <c r="AP299" s="31"/>
      <c r="AQ299" s="31">
        <f t="shared" si="10"/>
        <v>0</v>
      </c>
      <c r="AR299" s="31"/>
      <c r="AS299" s="31"/>
      <c r="AT299" s="31"/>
      <c r="AU299" s="31"/>
      <c r="AV299" s="31"/>
      <c r="AW299" s="31">
        <v>0</v>
      </c>
      <c r="AX299" s="31"/>
      <c r="AY299" s="31"/>
      <c r="AZ299" s="31"/>
      <c r="BA299" s="31"/>
      <c r="BB299" s="31">
        <v>0</v>
      </c>
      <c r="BC299" s="31"/>
      <c r="BD299" s="31"/>
      <c r="BE299" s="31"/>
      <c r="BF299" s="31"/>
      <c r="BG299" s="31">
        <f t="shared" si="11"/>
        <v>422950</v>
      </c>
      <c r="BH299" s="31"/>
      <c r="BI299" s="31"/>
      <c r="BJ299" s="31"/>
      <c r="BK299" s="31"/>
      <c r="BL299" s="31"/>
    </row>
    <row r="300" spans="1:79" s="4" customFormat="1" ht="12.75" customHeight="1" x14ac:dyDescent="0.2">
      <c r="A300" s="27">
        <v>2230</v>
      </c>
      <c r="B300" s="27"/>
      <c r="C300" s="27"/>
      <c r="D300" s="27"/>
      <c r="E300" s="27"/>
      <c r="F300" s="27"/>
      <c r="G300" s="28" t="s">
        <v>257</v>
      </c>
      <c r="H300" s="29"/>
      <c r="I300" s="29"/>
      <c r="J300" s="29"/>
      <c r="K300" s="29"/>
      <c r="L300" s="29"/>
      <c r="M300" s="29"/>
      <c r="N300" s="29"/>
      <c r="O300" s="29"/>
      <c r="P300" s="29"/>
      <c r="Q300" s="29"/>
      <c r="R300" s="29"/>
      <c r="S300" s="30"/>
      <c r="T300" s="31">
        <v>10</v>
      </c>
      <c r="U300" s="31"/>
      <c r="V300" s="31"/>
      <c r="W300" s="31"/>
      <c r="X300" s="31"/>
      <c r="Y300" s="31"/>
      <c r="Z300" s="31">
        <v>0</v>
      </c>
      <c r="AA300" s="31"/>
      <c r="AB300" s="31"/>
      <c r="AC300" s="31"/>
      <c r="AD300" s="31"/>
      <c r="AE300" s="31">
        <v>0</v>
      </c>
      <c r="AF300" s="31"/>
      <c r="AG300" s="31"/>
      <c r="AH300" s="31"/>
      <c r="AI300" s="31"/>
      <c r="AJ300" s="31"/>
      <c r="AK300" s="31">
        <v>0</v>
      </c>
      <c r="AL300" s="31"/>
      <c r="AM300" s="31"/>
      <c r="AN300" s="31"/>
      <c r="AO300" s="31"/>
      <c r="AP300" s="31"/>
      <c r="AQ300" s="31">
        <f t="shared" si="10"/>
        <v>0</v>
      </c>
      <c r="AR300" s="31"/>
      <c r="AS300" s="31"/>
      <c r="AT300" s="31"/>
      <c r="AU300" s="31"/>
      <c r="AV300" s="31"/>
      <c r="AW300" s="31">
        <v>0</v>
      </c>
      <c r="AX300" s="31"/>
      <c r="AY300" s="31"/>
      <c r="AZ300" s="31"/>
      <c r="BA300" s="31"/>
      <c r="BB300" s="31">
        <v>0</v>
      </c>
      <c r="BC300" s="31"/>
      <c r="BD300" s="31"/>
      <c r="BE300" s="31"/>
      <c r="BF300" s="31"/>
      <c r="BG300" s="31">
        <f t="shared" si="11"/>
        <v>0</v>
      </c>
      <c r="BH300" s="31"/>
      <c r="BI300" s="31"/>
      <c r="BJ300" s="31"/>
      <c r="BK300" s="31"/>
      <c r="BL300" s="31"/>
    </row>
    <row r="301" spans="1:79" s="4" customFormat="1" ht="12.75" customHeight="1" x14ac:dyDescent="0.2">
      <c r="A301" s="27">
        <v>2240</v>
      </c>
      <c r="B301" s="27"/>
      <c r="C301" s="27"/>
      <c r="D301" s="27"/>
      <c r="E301" s="27"/>
      <c r="F301" s="27"/>
      <c r="G301" s="28" t="s">
        <v>179</v>
      </c>
      <c r="H301" s="29"/>
      <c r="I301" s="29"/>
      <c r="J301" s="29"/>
      <c r="K301" s="29"/>
      <c r="L301" s="29"/>
      <c r="M301" s="29"/>
      <c r="N301" s="29"/>
      <c r="O301" s="29"/>
      <c r="P301" s="29"/>
      <c r="Q301" s="29"/>
      <c r="R301" s="29"/>
      <c r="S301" s="30"/>
      <c r="T301" s="31">
        <v>868003</v>
      </c>
      <c r="U301" s="31"/>
      <c r="V301" s="31"/>
      <c r="W301" s="31"/>
      <c r="X301" s="31"/>
      <c r="Y301" s="31"/>
      <c r="Z301" s="31">
        <v>792416</v>
      </c>
      <c r="AA301" s="31"/>
      <c r="AB301" s="31"/>
      <c r="AC301" s="31"/>
      <c r="AD301" s="31"/>
      <c r="AE301" s="31">
        <v>0</v>
      </c>
      <c r="AF301" s="31"/>
      <c r="AG301" s="31"/>
      <c r="AH301" s="31"/>
      <c r="AI301" s="31"/>
      <c r="AJ301" s="31"/>
      <c r="AK301" s="31">
        <v>0</v>
      </c>
      <c r="AL301" s="31"/>
      <c r="AM301" s="31"/>
      <c r="AN301" s="31"/>
      <c r="AO301" s="31"/>
      <c r="AP301" s="31"/>
      <c r="AQ301" s="31">
        <f t="shared" si="10"/>
        <v>0</v>
      </c>
      <c r="AR301" s="31"/>
      <c r="AS301" s="31"/>
      <c r="AT301" s="31"/>
      <c r="AU301" s="31"/>
      <c r="AV301" s="31"/>
      <c r="AW301" s="31">
        <v>0</v>
      </c>
      <c r="AX301" s="31"/>
      <c r="AY301" s="31"/>
      <c r="AZ301" s="31"/>
      <c r="BA301" s="31"/>
      <c r="BB301" s="31">
        <v>0</v>
      </c>
      <c r="BC301" s="31"/>
      <c r="BD301" s="31"/>
      <c r="BE301" s="31"/>
      <c r="BF301" s="31"/>
      <c r="BG301" s="31">
        <f t="shared" si="11"/>
        <v>792416</v>
      </c>
      <c r="BH301" s="31"/>
      <c r="BI301" s="31"/>
      <c r="BJ301" s="31"/>
      <c r="BK301" s="31"/>
      <c r="BL301" s="31"/>
    </row>
    <row r="302" spans="1:79" s="4" customFormat="1" ht="12.75" customHeight="1" x14ac:dyDescent="0.2">
      <c r="A302" s="27">
        <v>2250</v>
      </c>
      <c r="B302" s="27"/>
      <c r="C302" s="27"/>
      <c r="D302" s="27"/>
      <c r="E302" s="27"/>
      <c r="F302" s="27"/>
      <c r="G302" s="28" t="s">
        <v>180</v>
      </c>
      <c r="H302" s="29"/>
      <c r="I302" s="29"/>
      <c r="J302" s="29"/>
      <c r="K302" s="29"/>
      <c r="L302" s="29"/>
      <c r="M302" s="29"/>
      <c r="N302" s="29"/>
      <c r="O302" s="29"/>
      <c r="P302" s="29"/>
      <c r="Q302" s="29"/>
      <c r="R302" s="29"/>
      <c r="S302" s="30"/>
      <c r="T302" s="31">
        <v>10000</v>
      </c>
      <c r="U302" s="31"/>
      <c r="V302" s="31"/>
      <c r="W302" s="31"/>
      <c r="X302" s="31"/>
      <c r="Y302" s="31"/>
      <c r="Z302" s="31">
        <v>4200</v>
      </c>
      <c r="AA302" s="31"/>
      <c r="AB302" s="31"/>
      <c r="AC302" s="31"/>
      <c r="AD302" s="31"/>
      <c r="AE302" s="31">
        <v>0</v>
      </c>
      <c r="AF302" s="31"/>
      <c r="AG302" s="31"/>
      <c r="AH302" s="31"/>
      <c r="AI302" s="31"/>
      <c r="AJ302" s="31"/>
      <c r="AK302" s="31">
        <v>0</v>
      </c>
      <c r="AL302" s="31"/>
      <c r="AM302" s="31"/>
      <c r="AN302" s="31"/>
      <c r="AO302" s="31"/>
      <c r="AP302" s="31"/>
      <c r="AQ302" s="31">
        <f t="shared" si="10"/>
        <v>0</v>
      </c>
      <c r="AR302" s="31"/>
      <c r="AS302" s="31"/>
      <c r="AT302" s="31"/>
      <c r="AU302" s="31"/>
      <c r="AV302" s="31"/>
      <c r="AW302" s="31">
        <v>0</v>
      </c>
      <c r="AX302" s="31"/>
      <c r="AY302" s="31"/>
      <c r="AZ302" s="31"/>
      <c r="BA302" s="31"/>
      <c r="BB302" s="31">
        <v>0</v>
      </c>
      <c r="BC302" s="31"/>
      <c r="BD302" s="31"/>
      <c r="BE302" s="31"/>
      <c r="BF302" s="31"/>
      <c r="BG302" s="31">
        <f t="shared" si="11"/>
        <v>4200</v>
      </c>
      <c r="BH302" s="31"/>
      <c r="BI302" s="31"/>
      <c r="BJ302" s="31"/>
      <c r="BK302" s="31"/>
      <c r="BL302" s="31"/>
    </row>
    <row r="303" spans="1:79" s="4" customFormat="1" ht="25.5" customHeight="1" x14ac:dyDescent="0.2">
      <c r="A303" s="27">
        <v>2272</v>
      </c>
      <c r="B303" s="27"/>
      <c r="C303" s="27"/>
      <c r="D303" s="27"/>
      <c r="E303" s="27"/>
      <c r="F303" s="27"/>
      <c r="G303" s="28" t="s">
        <v>181</v>
      </c>
      <c r="H303" s="29"/>
      <c r="I303" s="29"/>
      <c r="J303" s="29"/>
      <c r="K303" s="29"/>
      <c r="L303" s="29"/>
      <c r="M303" s="29"/>
      <c r="N303" s="29"/>
      <c r="O303" s="29"/>
      <c r="P303" s="29"/>
      <c r="Q303" s="29"/>
      <c r="R303" s="29"/>
      <c r="S303" s="30"/>
      <c r="T303" s="31">
        <v>41715</v>
      </c>
      <c r="U303" s="31"/>
      <c r="V303" s="31"/>
      <c r="W303" s="31"/>
      <c r="X303" s="31"/>
      <c r="Y303" s="31"/>
      <c r="Z303" s="31">
        <v>318</v>
      </c>
      <c r="AA303" s="31"/>
      <c r="AB303" s="31"/>
      <c r="AC303" s="31"/>
      <c r="AD303" s="31"/>
      <c r="AE303" s="31">
        <v>0</v>
      </c>
      <c r="AF303" s="31"/>
      <c r="AG303" s="31"/>
      <c r="AH303" s="31"/>
      <c r="AI303" s="31"/>
      <c r="AJ303" s="31"/>
      <c r="AK303" s="31">
        <v>0</v>
      </c>
      <c r="AL303" s="31"/>
      <c r="AM303" s="31"/>
      <c r="AN303" s="31"/>
      <c r="AO303" s="31"/>
      <c r="AP303" s="31"/>
      <c r="AQ303" s="31">
        <f t="shared" si="10"/>
        <v>0</v>
      </c>
      <c r="AR303" s="31"/>
      <c r="AS303" s="31"/>
      <c r="AT303" s="31"/>
      <c r="AU303" s="31"/>
      <c r="AV303" s="31"/>
      <c r="AW303" s="31">
        <v>0</v>
      </c>
      <c r="AX303" s="31"/>
      <c r="AY303" s="31"/>
      <c r="AZ303" s="31"/>
      <c r="BA303" s="31"/>
      <c r="BB303" s="31">
        <v>0</v>
      </c>
      <c r="BC303" s="31"/>
      <c r="BD303" s="31"/>
      <c r="BE303" s="31"/>
      <c r="BF303" s="31"/>
      <c r="BG303" s="31">
        <f t="shared" si="11"/>
        <v>318</v>
      </c>
      <c r="BH303" s="31"/>
      <c r="BI303" s="31"/>
      <c r="BJ303" s="31"/>
      <c r="BK303" s="31"/>
      <c r="BL303" s="31"/>
    </row>
    <row r="304" spans="1:79" s="4" customFormat="1" ht="12.75" customHeight="1" x14ac:dyDescent="0.2">
      <c r="A304" s="27">
        <v>2273</v>
      </c>
      <c r="B304" s="27"/>
      <c r="C304" s="27"/>
      <c r="D304" s="27"/>
      <c r="E304" s="27"/>
      <c r="F304" s="27"/>
      <c r="G304" s="28" t="s">
        <v>182</v>
      </c>
      <c r="H304" s="29"/>
      <c r="I304" s="29"/>
      <c r="J304" s="29"/>
      <c r="K304" s="29"/>
      <c r="L304" s="29"/>
      <c r="M304" s="29"/>
      <c r="N304" s="29"/>
      <c r="O304" s="29"/>
      <c r="P304" s="29"/>
      <c r="Q304" s="29"/>
      <c r="R304" s="29"/>
      <c r="S304" s="30"/>
      <c r="T304" s="31">
        <v>44990</v>
      </c>
      <c r="U304" s="31"/>
      <c r="V304" s="31"/>
      <c r="W304" s="31"/>
      <c r="X304" s="31"/>
      <c r="Y304" s="31"/>
      <c r="Z304" s="31">
        <v>26115</v>
      </c>
      <c r="AA304" s="31"/>
      <c r="AB304" s="31"/>
      <c r="AC304" s="31"/>
      <c r="AD304" s="31"/>
      <c r="AE304" s="31">
        <v>0</v>
      </c>
      <c r="AF304" s="31"/>
      <c r="AG304" s="31"/>
      <c r="AH304" s="31"/>
      <c r="AI304" s="31"/>
      <c r="AJ304" s="31"/>
      <c r="AK304" s="31">
        <v>0</v>
      </c>
      <c r="AL304" s="31"/>
      <c r="AM304" s="31"/>
      <c r="AN304" s="31"/>
      <c r="AO304" s="31"/>
      <c r="AP304" s="31"/>
      <c r="AQ304" s="31">
        <f t="shared" si="10"/>
        <v>0</v>
      </c>
      <c r="AR304" s="31"/>
      <c r="AS304" s="31"/>
      <c r="AT304" s="31"/>
      <c r="AU304" s="31"/>
      <c r="AV304" s="31"/>
      <c r="AW304" s="31">
        <v>0</v>
      </c>
      <c r="AX304" s="31"/>
      <c r="AY304" s="31"/>
      <c r="AZ304" s="31"/>
      <c r="BA304" s="31"/>
      <c r="BB304" s="31">
        <v>0</v>
      </c>
      <c r="BC304" s="31"/>
      <c r="BD304" s="31"/>
      <c r="BE304" s="31"/>
      <c r="BF304" s="31"/>
      <c r="BG304" s="31">
        <f t="shared" si="11"/>
        <v>26115</v>
      </c>
      <c r="BH304" s="31"/>
      <c r="BI304" s="31"/>
      <c r="BJ304" s="31"/>
      <c r="BK304" s="31"/>
      <c r="BL304" s="31"/>
    </row>
    <row r="305" spans="1:79" s="4" customFormat="1" ht="12.75" customHeight="1" x14ac:dyDescent="0.2">
      <c r="A305" s="27">
        <v>2274</v>
      </c>
      <c r="B305" s="27"/>
      <c r="C305" s="27"/>
      <c r="D305" s="27"/>
      <c r="E305" s="27"/>
      <c r="F305" s="27"/>
      <c r="G305" s="28" t="s">
        <v>183</v>
      </c>
      <c r="H305" s="29"/>
      <c r="I305" s="29"/>
      <c r="J305" s="29"/>
      <c r="K305" s="29"/>
      <c r="L305" s="29"/>
      <c r="M305" s="29"/>
      <c r="N305" s="29"/>
      <c r="O305" s="29"/>
      <c r="P305" s="29"/>
      <c r="Q305" s="29"/>
      <c r="R305" s="29"/>
      <c r="S305" s="30"/>
      <c r="T305" s="31">
        <v>48285</v>
      </c>
      <c r="U305" s="31"/>
      <c r="V305" s="31"/>
      <c r="W305" s="31"/>
      <c r="X305" s="31"/>
      <c r="Y305" s="31"/>
      <c r="Z305" s="31">
        <v>35755</v>
      </c>
      <c r="AA305" s="31"/>
      <c r="AB305" s="31"/>
      <c r="AC305" s="31"/>
      <c r="AD305" s="31"/>
      <c r="AE305" s="31">
        <v>0</v>
      </c>
      <c r="AF305" s="31"/>
      <c r="AG305" s="31"/>
      <c r="AH305" s="31"/>
      <c r="AI305" s="31"/>
      <c r="AJ305" s="31"/>
      <c r="AK305" s="31">
        <v>0</v>
      </c>
      <c r="AL305" s="31"/>
      <c r="AM305" s="31"/>
      <c r="AN305" s="31"/>
      <c r="AO305" s="31"/>
      <c r="AP305" s="31"/>
      <c r="AQ305" s="31">
        <f t="shared" si="10"/>
        <v>0</v>
      </c>
      <c r="AR305" s="31"/>
      <c r="AS305" s="31"/>
      <c r="AT305" s="31"/>
      <c r="AU305" s="31"/>
      <c r="AV305" s="31"/>
      <c r="AW305" s="31">
        <v>0</v>
      </c>
      <c r="AX305" s="31"/>
      <c r="AY305" s="31"/>
      <c r="AZ305" s="31"/>
      <c r="BA305" s="31"/>
      <c r="BB305" s="31">
        <v>0</v>
      </c>
      <c r="BC305" s="31"/>
      <c r="BD305" s="31"/>
      <c r="BE305" s="31"/>
      <c r="BF305" s="31"/>
      <c r="BG305" s="31">
        <f t="shared" si="11"/>
        <v>35755</v>
      </c>
      <c r="BH305" s="31"/>
      <c r="BI305" s="31"/>
      <c r="BJ305" s="31"/>
      <c r="BK305" s="31"/>
      <c r="BL305" s="31"/>
    </row>
    <row r="306" spans="1:79" s="4" customFormat="1" ht="25.5" customHeight="1" x14ac:dyDescent="0.2">
      <c r="A306" s="27">
        <v>2275</v>
      </c>
      <c r="B306" s="27"/>
      <c r="C306" s="27"/>
      <c r="D306" s="27"/>
      <c r="E306" s="27"/>
      <c r="F306" s="27"/>
      <c r="G306" s="28" t="s">
        <v>184</v>
      </c>
      <c r="H306" s="29"/>
      <c r="I306" s="29"/>
      <c r="J306" s="29"/>
      <c r="K306" s="29"/>
      <c r="L306" s="29"/>
      <c r="M306" s="29"/>
      <c r="N306" s="29"/>
      <c r="O306" s="29"/>
      <c r="P306" s="29"/>
      <c r="Q306" s="29"/>
      <c r="R306" s="29"/>
      <c r="S306" s="30"/>
      <c r="T306" s="31">
        <v>11000</v>
      </c>
      <c r="U306" s="31"/>
      <c r="V306" s="31"/>
      <c r="W306" s="31"/>
      <c r="X306" s="31"/>
      <c r="Y306" s="31"/>
      <c r="Z306" s="31">
        <v>2695</v>
      </c>
      <c r="AA306" s="31"/>
      <c r="AB306" s="31"/>
      <c r="AC306" s="31"/>
      <c r="AD306" s="31"/>
      <c r="AE306" s="31">
        <v>0</v>
      </c>
      <c r="AF306" s="31"/>
      <c r="AG306" s="31"/>
      <c r="AH306" s="31"/>
      <c r="AI306" s="31"/>
      <c r="AJ306" s="31"/>
      <c r="AK306" s="31">
        <v>0</v>
      </c>
      <c r="AL306" s="31"/>
      <c r="AM306" s="31"/>
      <c r="AN306" s="31"/>
      <c r="AO306" s="31"/>
      <c r="AP306" s="31"/>
      <c r="AQ306" s="31">
        <f t="shared" si="10"/>
        <v>0</v>
      </c>
      <c r="AR306" s="31"/>
      <c r="AS306" s="31"/>
      <c r="AT306" s="31"/>
      <c r="AU306" s="31"/>
      <c r="AV306" s="31"/>
      <c r="AW306" s="31">
        <v>0</v>
      </c>
      <c r="AX306" s="31"/>
      <c r="AY306" s="31"/>
      <c r="AZ306" s="31"/>
      <c r="BA306" s="31"/>
      <c r="BB306" s="31">
        <v>0</v>
      </c>
      <c r="BC306" s="31"/>
      <c r="BD306" s="31"/>
      <c r="BE306" s="31"/>
      <c r="BF306" s="31"/>
      <c r="BG306" s="31">
        <f t="shared" si="11"/>
        <v>2695</v>
      </c>
      <c r="BH306" s="31"/>
      <c r="BI306" s="31"/>
      <c r="BJ306" s="31"/>
      <c r="BK306" s="31"/>
      <c r="BL306" s="31"/>
    </row>
    <row r="307" spans="1:79" s="4" customFormat="1" ht="38.25" customHeight="1" x14ac:dyDescent="0.2">
      <c r="A307" s="27">
        <v>2282</v>
      </c>
      <c r="B307" s="27"/>
      <c r="C307" s="27"/>
      <c r="D307" s="27"/>
      <c r="E307" s="27"/>
      <c r="F307" s="27"/>
      <c r="G307" s="28" t="s">
        <v>185</v>
      </c>
      <c r="H307" s="29"/>
      <c r="I307" s="29"/>
      <c r="J307" s="29"/>
      <c r="K307" s="29"/>
      <c r="L307" s="29"/>
      <c r="M307" s="29"/>
      <c r="N307" s="29"/>
      <c r="O307" s="29"/>
      <c r="P307" s="29"/>
      <c r="Q307" s="29"/>
      <c r="R307" s="29"/>
      <c r="S307" s="30"/>
      <c r="T307" s="31">
        <v>1000</v>
      </c>
      <c r="U307" s="31"/>
      <c r="V307" s="31"/>
      <c r="W307" s="31"/>
      <c r="X307" s="31"/>
      <c r="Y307" s="31"/>
      <c r="Z307" s="31">
        <v>0</v>
      </c>
      <c r="AA307" s="31"/>
      <c r="AB307" s="31"/>
      <c r="AC307" s="31"/>
      <c r="AD307" s="31"/>
      <c r="AE307" s="31">
        <v>0</v>
      </c>
      <c r="AF307" s="31"/>
      <c r="AG307" s="31"/>
      <c r="AH307" s="31"/>
      <c r="AI307" s="31"/>
      <c r="AJ307" s="31"/>
      <c r="AK307" s="31">
        <v>0</v>
      </c>
      <c r="AL307" s="31"/>
      <c r="AM307" s="31"/>
      <c r="AN307" s="31"/>
      <c r="AO307" s="31"/>
      <c r="AP307" s="31"/>
      <c r="AQ307" s="31">
        <f t="shared" si="10"/>
        <v>0</v>
      </c>
      <c r="AR307" s="31"/>
      <c r="AS307" s="31"/>
      <c r="AT307" s="31"/>
      <c r="AU307" s="31"/>
      <c r="AV307" s="31"/>
      <c r="AW307" s="31">
        <v>0</v>
      </c>
      <c r="AX307" s="31"/>
      <c r="AY307" s="31"/>
      <c r="AZ307" s="31"/>
      <c r="BA307" s="31"/>
      <c r="BB307" s="31">
        <v>0</v>
      </c>
      <c r="BC307" s="31"/>
      <c r="BD307" s="31"/>
      <c r="BE307" s="31"/>
      <c r="BF307" s="31"/>
      <c r="BG307" s="31">
        <f t="shared" si="11"/>
        <v>0</v>
      </c>
      <c r="BH307" s="31"/>
      <c r="BI307" s="31"/>
      <c r="BJ307" s="31"/>
      <c r="BK307" s="31"/>
      <c r="BL307" s="31"/>
    </row>
    <row r="308" spans="1:79" s="5" customFormat="1" ht="12.75" customHeight="1" x14ac:dyDescent="0.2">
      <c r="A308" s="21"/>
      <c r="B308" s="21"/>
      <c r="C308" s="21"/>
      <c r="D308" s="21"/>
      <c r="E308" s="21"/>
      <c r="F308" s="21"/>
      <c r="G308" s="22" t="s">
        <v>147</v>
      </c>
      <c r="H308" s="23"/>
      <c r="I308" s="23"/>
      <c r="J308" s="23"/>
      <c r="K308" s="23"/>
      <c r="L308" s="23"/>
      <c r="M308" s="23"/>
      <c r="N308" s="23"/>
      <c r="O308" s="23"/>
      <c r="P308" s="23"/>
      <c r="Q308" s="23"/>
      <c r="R308" s="23"/>
      <c r="S308" s="24"/>
      <c r="T308" s="25">
        <v>6533347</v>
      </c>
      <c r="U308" s="25"/>
      <c r="V308" s="25"/>
      <c r="W308" s="25"/>
      <c r="X308" s="25"/>
      <c r="Y308" s="25"/>
      <c r="Z308" s="25">
        <v>6246934</v>
      </c>
      <c r="AA308" s="25"/>
      <c r="AB308" s="25"/>
      <c r="AC308" s="25"/>
      <c r="AD308" s="25"/>
      <c r="AE308" s="25">
        <v>0</v>
      </c>
      <c r="AF308" s="25"/>
      <c r="AG308" s="25"/>
      <c r="AH308" s="25"/>
      <c r="AI308" s="25"/>
      <c r="AJ308" s="25"/>
      <c r="AK308" s="25">
        <v>0</v>
      </c>
      <c r="AL308" s="25"/>
      <c r="AM308" s="25"/>
      <c r="AN308" s="25"/>
      <c r="AO308" s="25"/>
      <c r="AP308" s="25"/>
      <c r="AQ308" s="25">
        <f t="shared" si="10"/>
        <v>0</v>
      </c>
      <c r="AR308" s="25"/>
      <c r="AS308" s="25"/>
      <c r="AT308" s="25"/>
      <c r="AU308" s="25"/>
      <c r="AV308" s="25"/>
      <c r="AW308" s="25">
        <v>0</v>
      </c>
      <c r="AX308" s="25"/>
      <c r="AY308" s="25"/>
      <c r="AZ308" s="25"/>
      <c r="BA308" s="25"/>
      <c r="BB308" s="25">
        <v>0</v>
      </c>
      <c r="BC308" s="25"/>
      <c r="BD308" s="25"/>
      <c r="BE308" s="25"/>
      <c r="BF308" s="25"/>
      <c r="BG308" s="25">
        <f t="shared" si="11"/>
        <v>6246934</v>
      </c>
      <c r="BH308" s="25"/>
      <c r="BI308" s="25"/>
      <c r="BJ308" s="25"/>
      <c r="BK308" s="25"/>
      <c r="BL308" s="25"/>
    </row>
    <row r="310" spans="1:79" ht="14.25" customHeight="1" x14ac:dyDescent="0.2">
      <c r="A310" s="61" t="s">
        <v>287</v>
      </c>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61"/>
      <c r="BI310" s="61"/>
      <c r="BJ310" s="61"/>
      <c r="BK310" s="61"/>
      <c r="BL310" s="61"/>
    </row>
    <row r="311" spans="1:79" ht="15" customHeight="1" x14ac:dyDescent="0.2">
      <c r="A311" s="66" t="s">
        <v>267</v>
      </c>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c r="AZ311" s="66"/>
      <c r="BA311" s="66"/>
      <c r="BB311" s="66"/>
      <c r="BC311" s="66"/>
      <c r="BD311" s="66"/>
      <c r="BE311" s="66"/>
      <c r="BF311" s="66"/>
      <c r="BG311" s="66"/>
      <c r="BH311" s="66"/>
      <c r="BI311" s="66"/>
      <c r="BJ311" s="66"/>
      <c r="BK311" s="66"/>
      <c r="BL311" s="66"/>
    </row>
    <row r="312" spans="1:79" ht="18" customHeight="1" x14ac:dyDescent="0.2">
      <c r="A312" s="39" t="s">
        <v>135</v>
      </c>
      <c r="B312" s="39"/>
      <c r="C312" s="39"/>
      <c r="D312" s="39"/>
      <c r="E312" s="39"/>
      <c r="F312" s="39"/>
      <c r="G312" s="39" t="s">
        <v>19</v>
      </c>
      <c r="H312" s="39"/>
      <c r="I312" s="39"/>
      <c r="J312" s="39"/>
      <c r="K312" s="39"/>
      <c r="L312" s="39"/>
      <c r="M312" s="39"/>
      <c r="N312" s="39"/>
      <c r="O312" s="39"/>
      <c r="P312" s="39"/>
      <c r="Q312" s="39" t="s">
        <v>273</v>
      </c>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t="s">
        <v>284</v>
      </c>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row>
    <row r="313" spans="1:79" ht="42.95" customHeight="1" x14ac:dyDescent="0.2">
      <c r="A313" s="39"/>
      <c r="B313" s="39"/>
      <c r="C313" s="39"/>
      <c r="D313" s="39"/>
      <c r="E313" s="39"/>
      <c r="F313" s="39"/>
      <c r="G313" s="39"/>
      <c r="H313" s="39"/>
      <c r="I313" s="39"/>
      <c r="J313" s="39"/>
      <c r="K313" s="39"/>
      <c r="L313" s="39"/>
      <c r="M313" s="39"/>
      <c r="N313" s="39"/>
      <c r="O313" s="39"/>
      <c r="P313" s="39"/>
      <c r="Q313" s="39" t="s">
        <v>140</v>
      </c>
      <c r="R313" s="39"/>
      <c r="S313" s="39"/>
      <c r="T313" s="39"/>
      <c r="U313" s="39"/>
      <c r="V313" s="67" t="s">
        <v>141</v>
      </c>
      <c r="W313" s="67"/>
      <c r="X313" s="67"/>
      <c r="Y313" s="67"/>
      <c r="Z313" s="39" t="s">
        <v>142</v>
      </c>
      <c r="AA313" s="39"/>
      <c r="AB313" s="39"/>
      <c r="AC313" s="39"/>
      <c r="AD313" s="39"/>
      <c r="AE313" s="39"/>
      <c r="AF313" s="39"/>
      <c r="AG313" s="39"/>
      <c r="AH313" s="39"/>
      <c r="AI313" s="39"/>
      <c r="AJ313" s="39" t="s">
        <v>143</v>
      </c>
      <c r="AK313" s="39"/>
      <c r="AL313" s="39"/>
      <c r="AM313" s="39"/>
      <c r="AN313" s="39"/>
      <c r="AO313" s="39" t="s">
        <v>20</v>
      </c>
      <c r="AP313" s="39"/>
      <c r="AQ313" s="39"/>
      <c r="AR313" s="39"/>
      <c r="AS313" s="39"/>
      <c r="AT313" s="67" t="s">
        <v>144</v>
      </c>
      <c r="AU313" s="67"/>
      <c r="AV313" s="67"/>
      <c r="AW313" s="67"/>
      <c r="AX313" s="39" t="s">
        <v>142</v>
      </c>
      <c r="AY313" s="39"/>
      <c r="AZ313" s="39"/>
      <c r="BA313" s="39"/>
      <c r="BB313" s="39"/>
      <c r="BC313" s="39"/>
      <c r="BD313" s="39"/>
      <c r="BE313" s="39"/>
      <c r="BF313" s="39"/>
      <c r="BG313" s="39"/>
      <c r="BH313" s="39" t="s">
        <v>145</v>
      </c>
      <c r="BI313" s="39"/>
      <c r="BJ313" s="39"/>
      <c r="BK313" s="39"/>
      <c r="BL313" s="39"/>
    </row>
    <row r="314" spans="1:79" ht="63" customHeight="1" x14ac:dyDescent="0.2">
      <c r="A314" s="39"/>
      <c r="B314" s="39"/>
      <c r="C314" s="39"/>
      <c r="D314" s="39"/>
      <c r="E314" s="39"/>
      <c r="F314" s="39"/>
      <c r="G314" s="39"/>
      <c r="H314" s="39"/>
      <c r="I314" s="39"/>
      <c r="J314" s="39"/>
      <c r="K314" s="39"/>
      <c r="L314" s="39"/>
      <c r="M314" s="39"/>
      <c r="N314" s="39"/>
      <c r="O314" s="39"/>
      <c r="P314" s="39"/>
      <c r="Q314" s="39"/>
      <c r="R314" s="39"/>
      <c r="S314" s="39"/>
      <c r="T314" s="39"/>
      <c r="U314" s="39"/>
      <c r="V314" s="67"/>
      <c r="W314" s="67"/>
      <c r="X314" s="67"/>
      <c r="Y314" s="67"/>
      <c r="Z314" s="39" t="s">
        <v>17</v>
      </c>
      <c r="AA314" s="39"/>
      <c r="AB314" s="39"/>
      <c r="AC314" s="39"/>
      <c r="AD314" s="39"/>
      <c r="AE314" s="39" t="s">
        <v>16</v>
      </c>
      <c r="AF314" s="39"/>
      <c r="AG314" s="39"/>
      <c r="AH314" s="39"/>
      <c r="AI314" s="39"/>
      <c r="AJ314" s="39"/>
      <c r="AK314" s="39"/>
      <c r="AL314" s="39"/>
      <c r="AM314" s="39"/>
      <c r="AN314" s="39"/>
      <c r="AO314" s="39"/>
      <c r="AP314" s="39"/>
      <c r="AQ314" s="39"/>
      <c r="AR314" s="39"/>
      <c r="AS314" s="39"/>
      <c r="AT314" s="67"/>
      <c r="AU314" s="67"/>
      <c r="AV314" s="67"/>
      <c r="AW314" s="67"/>
      <c r="AX314" s="39" t="s">
        <v>17</v>
      </c>
      <c r="AY314" s="39"/>
      <c r="AZ314" s="39"/>
      <c r="BA314" s="39"/>
      <c r="BB314" s="39"/>
      <c r="BC314" s="39" t="s">
        <v>16</v>
      </c>
      <c r="BD314" s="39"/>
      <c r="BE314" s="39"/>
      <c r="BF314" s="39"/>
      <c r="BG314" s="39"/>
      <c r="BH314" s="39"/>
      <c r="BI314" s="39"/>
      <c r="BJ314" s="39"/>
      <c r="BK314" s="39"/>
      <c r="BL314" s="39"/>
    </row>
    <row r="315" spans="1:79" ht="15" customHeight="1" x14ac:dyDescent="0.2">
      <c r="A315" s="39">
        <v>1</v>
      </c>
      <c r="B315" s="39"/>
      <c r="C315" s="39"/>
      <c r="D315" s="39"/>
      <c r="E315" s="39"/>
      <c r="F315" s="39"/>
      <c r="G315" s="39">
        <v>2</v>
      </c>
      <c r="H315" s="39"/>
      <c r="I315" s="39"/>
      <c r="J315" s="39"/>
      <c r="K315" s="39"/>
      <c r="L315" s="39"/>
      <c r="M315" s="39"/>
      <c r="N315" s="39"/>
      <c r="O315" s="39"/>
      <c r="P315" s="39"/>
      <c r="Q315" s="39">
        <v>3</v>
      </c>
      <c r="R315" s="39"/>
      <c r="S315" s="39"/>
      <c r="T315" s="39"/>
      <c r="U315" s="39"/>
      <c r="V315" s="39">
        <v>4</v>
      </c>
      <c r="W315" s="39"/>
      <c r="X315" s="39"/>
      <c r="Y315" s="39"/>
      <c r="Z315" s="39">
        <v>5</v>
      </c>
      <c r="AA315" s="39"/>
      <c r="AB315" s="39"/>
      <c r="AC315" s="39"/>
      <c r="AD315" s="39"/>
      <c r="AE315" s="39">
        <v>6</v>
      </c>
      <c r="AF315" s="39"/>
      <c r="AG315" s="39"/>
      <c r="AH315" s="39"/>
      <c r="AI315" s="39"/>
      <c r="AJ315" s="39">
        <v>7</v>
      </c>
      <c r="AK315" s="39"/>
      <c r="AL315" s="39"/>
      <c r="AM315" s="39"/>
      <c r="AN315" s="39"/>
      <c r="AO315" s="39">
        <v>8</v>
      </c>
      <c r="AP315" s="39"/>
      <c r="AQ315" s="39"/>
      <c r="AR315" s="39"/>
      <c r="AS315" s="39"/>
      <c r="AT315" s="39">
        <v>9</v>
      </c>
      <c r="AU315" s="39"/>
      <c r="AV315" s="39"/>
      <c r="AW315" s="39"/>
      <c r="AX315" s="39">
        <v>10</v>
      </c>
      <c r="AY315" s="39"/>
      <c r="AZ315" s="39"/>
      <c r="BA315" s="39"/>
      <c r="BB315" s="39"/>
      <c r="BC315" s="39">
        <v>11</v>
      </c>
      <c r="BD315" s="39"/>
      <c r="BE315" s="39"/>
      <c r="BF315" s="39"/>
      <c r="BG315" s="39"/>
      <c r="BH315" s="39">
        <v>12</v>
      </c>
      <c r="BI315" s="39"/>
      <c r="BJ315" s="39"/>
      <c r="BK315" s="39"/>
      <c r="BL315" s="39"/>
    </row>
    <row r="316" spans="1:79" s="1" customFormat="1" ht="12" hidden="1" customHeight="1" x14ac:dyDescent="0.2">
      <c r="A316" s="65" t="s">
        <v>64</v>
      </c>
      <c r="B316" s="65"/>
      <c r="C316" s="65"/>
      <c r="D316" s="65"/>
      <c r="E316" s="65"/>
      <c r="F316" s="65"/>
      <c r="G316" s="64" t="s">
        <v>57</v>
      </c>
      <c r="H316" s="64"/>
      <c r="I316" s="64"/>
      <c r="J316" s="64"/>
      <c r="K316" s="64"/>
      <c r="L316" s="64"/>
      <c r="M316" s="64"/>
      <c r="N316" s="64"/>
      <c r="O316" s="64"/>
      <c r="P316" s="64"/>
      <c r="Q316" s="63" t="s">
        <v>80</v>
      </c>
      <c r="R316" s="63"/>
      <c r="S316" s="63"/>
      <c r="T316" s="63"/>
      <c r="U316" s="63"/>
      <c r="V316" s="63" t="s">
        <v>81</v>
      </c>
      <c r="W316" s="63"/>
      <c r="X316" s="63"/>
      <c r="Y316" s="63"/>
      <c r="Z316" s="63" t="s">
        <v>82</v>
      </c>
      <c r="AA316" s="63"/>
      <c r="AB316" s="63"/>
      <c r="AC316" s="63"/>
      <c r="AD316" s="63"/>
      <c r="AE316" s="63" t="s">
        <v>83</v>
      </c>
      <c r="AF316" s="63"/>
      <c r="AG316" s="63"/>
      <c r="AH316" s="63"/>
      <c r="AI316" s="63"/>
      <c r="AJ316" s="65" t="s">
        <v>101</v>
      </c>
      <c r="AK316" s="63"/>
      <c r="AL316" s="63"/>
      <c r="AM316" s="63"/>
      <c r="AN316" s="63"/>
      <c r="AO316" s="63" t="s">
        <v>84</v>
      </c>
      <c r="AP316" s="63"/>
      <c r="AQ316" s="63"/>
      <c r="AR316" s="63"/>
      <c r="AS316" s="63"/>
      <c r="AT316" s="65" t="s">
        <v>102</v>
      </c>
      <c r="AU316" s="63"/>
      <c r="AV316" s="63"/>
      <c r="AW316" s="63"/>
      <c r="AX316" s="63" t="s">
        <v>85</v>
      </c>
      <c r="AY316" s="63"/>
      <c r="AZ316" s="63"/>
      <c r="BA316" s="63"/>
      <c r="BB316" s="63"/>
      <c r="BC316" s="63" t="s">
        <v>86</v>
      </c>
      <c r="BD316" s="63"/>
      <c r="BE316" s="63"/>
      <c r="BF316" s="63"/>
      <c r="BG316" s="63"/>
      <c r="BH316" s="65" t="s">
        <v>101</v>
      </c>
      <c r="BI316" s="63"/>
      <c r="BJ316" s="63"/>
      <c r="BK316" s="63"/>
      <c r="BL316" s="63"/>
      <c r="CA316" s="1" t="s">
        <v>52</v>
      </c>
    </row>
    <row r="317" spans="1:79" s="4" customFormat="1" ht="12.75" customHeight="1" x14ac:dyDescent="0.2">
      <c r="A317" s="27">
        <v>2111</v>
      </c>
      <c r="B317" s="27"/>
      <c r="C317" s="27"/>
      <c r="D317" s="27"/>
      <c r="E317" s="27"/>
      <c r="F317" s="27"/>
      <c r="G317" s="28" t="s">
        <v>176</v>
      </c>
      <c r="H317" s="29"/>
      <c r="I317" s="29"/>
      <c r="J317" s="29"/>
      <c r="K317" s="29"/>
      <c r="L317" s="29"/>
      <c r="M317" s="29"/>
      <c r="N317" s="29"/>
      <c r="O317" s="29"/>
      <c r="P317" s="30"/>
      <c r="Q317" s="31">
        <v>6083915</v>
      </c>
      <c r="R317" s="31"/>
      <c r="S317" s="31"/>
      <c r="T317" s="31"/>
      <c r="U317" s="31"/>
      <c r="V317" s="31">
        <v>0</v>
      </c>
      <c r="W317" s="31"/>
      <c r="X317" s="31"/>
      <c r="Y317" s="31"/>
      <c r="Z317" s="31">
        <v>0</v>
      </c>
      <c r="AA317" s="31"/>
      <c r="AB317" s="31"/>
      <c r="AC317" s="31"/>
      <c r="AD317" s="31"/>
      <c r="AE317" s="31">
        <v>0</v>
      </c>
      <c r="AF317" s="31"/>
      <c r="AG317" s="31"/>
      <c r="AH317" s="31"/>
      <c r="AI317" s="31"/>
      <c r="AJ317" s="31">
        <f t="shared" ref="AJ317:AJ328" si="12">IF(ISNUMBER(Q317),Q317,0)-IF(ISNUMBER(Z317),Z317,0)</f>
        <v>6083915</v>
      </c>
      <c r="AK317" s="31"/>
      <c r="AL317" s="31"/>
      <c r="AM317" s="31"/>
      <c r="AN317" s="31"/>
      <c r="AO317" s="31">
        <v>8173017</v>
      </c>
      <c r="AP317" s="31"/>
      <c r="AQ317" s="31"/>
      <c r="AR317" s="31"/>
      <c r="AS317" s="31"/>
      <c r="AT317" s="31">
        <f t="shared" ref="AT317:AT328" si="13">IF(ISNUMBER(V317),V317,0)-IF(ISNUMBER(Z317),Z317,0)-IF(ISNUMBER(AE317),AE317,0)</f>
        <v>0</v>
      </c>
      <c r="AU317" s="31"/>
      <c r="AV317" s="31"/>
      <c r="AW317" s="31"/>
      <c r="AX317" s="31">
        <v>0</v>
      </c>
      <c r="AY317" s="31"/>
      <c r="AZ317" s="31"/>
      <c r="BA317" s="31"/>
      <c r="BB317" s="31"/>
      <c r="BC317" s="31">
        <v>0</v>
      </c>
      <c r="BD317" s="31"/>
      <c r="BE317" s="31"/>
      <c r="BF317" s="31"/>
      <c r="BG317" s="31"/>
      <c r="BH317" s="31">
        <f t="shared" ref="BH317:BH328" si="14">IF(ISNUMBER(AO317),AO317,0)-IF(ISNUMBER(AX317),AX317,0)</f>
        <v>8173017</v>
      </c>
      <c r="BI317" s="31"/>
      <c r="BJ317" s="31"/>
      <c r="BK317" s="31"/>
      <c r="BL317" s="31"/>
      <c r="CA317" s="4" t="s">
        <v>53</v>
      </c>
    </row>
    <row r="318" spans="1:79" s="4" customFormat="1" ht="12.75" customHeight="1" x14ac:dyDescent="0.2">
      <c r="A318" s="27">
        <v>2120</v>
      </c>
      <c r="B318" s="27"/>
      <c r="C318" s="27"/>
      <c r="D318" s="27"/>
      <c r="E318" s="27"/>
      <c r="F318" s="27"/>
      <c r="G318" s="28" t="s">
        <v>177</v>
      </c>
      <c r="H318" s="29"/>
      <c r="I318" s="29"/>
      <c r="J318" s="29"/>
      <c r="K318" s="29"/>
      <c r="L318" s="29"/>
      <c r="M318" s="29"/>
      <c r="N318" s="29"/>
      <c r="O318" s="29"/>
      <c r="P318" s="30"/>
      <c r="Q318" s="31">
        <v>1334846</v>
      </c>
      <c r="R318" s="31"/>
      <c r="S318" s="31"/>
      <c r="T318" s="31"/>
      <c r="U318" s="31"/>
      <c r="V318" s="31">
        <v>0</v>
      </c>
      <c r="W318" s="31"/>
      <c r="X318" s="31"/>
      <c r="Y318" s="31"/>
      <c r="Z318" s="31">
        <v>0</v>
      </c>
      <c r="AA318" s="31"/>
      <c r="AB318" s="31"/>
      <c r="AC318" s="31"/>
      <c r="AD318" s="31"/>
      <c r="AE318" s="31">
        <v>0</v>
      </c>
      <c r="AF318" s="31"/>
      <c r="AG318" s="31"/>
      <c r="AH318" s="31"/>
      <c r="AI318" s="31"/>
      <c r="AJ318" s="31">
        <f t="shared" si="12"/>
        <v>1334846</v>
      </c>
      <c r="AK318" s="31"/>
      <c r="AL318" s="31"/>
      <c r="AM318" s="31"/>
      <c r="AN318" s="31"/>
      <c r="AO318" s="31">
        <v>1798064</v>
      </c>
      <c r="AP318" s="31"/>
      <c r="AQ318" s="31"/>
      <c r="AR318" s="31"/>
      <c r="AS318" s="31"/>
      <c r="AT318" s="31">
        <f t="shared" si="13"/>
        <v>0</v>
      </c>
      <c r="AU318" s="31"/>
      <c r="AV318" s="31"/>
      <c r="AW318" s="31"/>
      <c r="AX318" s="31">
        <v>0</v>
      </c>
      <c r="AY318" s="31"/>
      <c r="AZ318" s="31"/>
      <c r="BA318" s="31"/>
      <c r="BB318" s="31"/>
      <c r="BC318" s="31">
        <v>0</v>
      </c>
      <c r="BD318" s="31"/>
      <c r="BE318" s="31"/>
      <c r="BF318" s="31"/>
      <c r="BG318" s="31"/>
      <c r="BH318" s="31">
        <f t="shared" si="14"/>
        <v>1798064</v>
      </c>
      <c r="BI318" s="31"/>
      <c r="BJ318" s="31"/>
      <c r="BK318" s="31"/>
      <c r="BL318" s="31"/>
    </row>
    <row r="319" spans="1:79" s="4" customFormat="1" ht="25.5" customHeight="1" x14ac:dyDescent="0.2">
      <c r="A319" s="27">
        <v>2210</v>
      </c>
      <c r="B319" s="27"/>
      <c r="C319" s="27"/>
      <c r="D319" s="27"/>
      <c r="E319" s="27"/>
      <c r="F319" s="27"/>
      <c r="G319" s="28" t="s">
        <v>178</v>
      </c>
      <c r="H319" s="29"/>
      <c r="I319" s="29"/>
      <c r="J319" s="29"/>
      <c r="K319" s="29"/>
      <c r="L319" s="29"/>
      <c r="M319" s="29"/>
      <c r="N319" s="29"/>
      <c r="O319" s="29"/>
      <c r="P319" s="30"/>
      <c r="Q319" s="31">
        <v>570300</v>
      </c>
      <c r="R319" s="31"/>
      <c r="S319" s="31"/>
      <c r="T319" s="31"/>
      <c r="U319" s="31"/>
      <c r="V319" s="31">
        <v>0</v>
      </c>
      <c r="W319" s="31"/>
      <c r="X319" s="31"/>
      <c r="Y319" s="31"/>
      <c r="Z319" s="31">
        <v>0</v>
      </c>
      <c r="AA319" s="31"/>
      <c r="AB319" s="31"/>
      <c r="AC319" s="31"/>
      <c r="AD319" s="31"/>
      <c r="AE319" s="31">
        <v>0</v>
      </c>
      <c r="AF319" s="31"/>
      <c r="AG319" s="31"/>
      <c r="AH319" s="31"/>
      <c r="AI319" s="31"/>
      <c r="AJ319" s="31">
        <f t="shared" si="12"/>
        <v>570300</v>
      </c>
      <c r="AK319" s="31"/>
      <c r="AL319" s="31"/>
      <c r="AM319" s="31"/>
      <c r="AN319" s="31"/>
      <c r="AO319" s="31">
        <v>209450</v>
      </c>
      <c r="AP319" s="31"/>
      <c r="AQ319" s="31"/>
      <c r="AR319" s="31"/>
      <c r="AS319" s="31"/>
      <c r="AT319" s="31">
        <f t="shared" si="13"/>
        <v>0</v>
      </c>
      <c r="AU319" s="31"/>
      <c r="AV319" s="31"/>
      <c r="AW319" s="31"/>
      <c r="AX319" s="31">
        <v>0</v>
      </c>
      <c r="AY319" s="31"/>
      <c r="AZ319" s="31"/>
      <c r="BA319" s="31"/>
      <c r="BB319" s="31"/>
      <c r="BC319" s="31">
        <v>0</v>
      </c>
      <c r="BD319" s="31"/>
      <c r="BE319" s="31"/>
      <c r="BF319" s="31"/>
      <c r="BG319" s="31"/>
      <c r="BH319" s="31">
        <f t="shared" si="14"/>
        <v>209450</v>
      </c>
      <c r="BI319" s="31"/>
      <c r="BJ319" s="31"/>
      <c r="BK319" s="31"/>
      <c r="BL319" s="31"/>
    </row>
    <row r="320" spans="1:79" s="4" customFormat="1" ht="25.5" customHeight="1" x14ac:dyDescent="0.2">
      <c r="A320" s="27">
        <v>2240</v>
      </c>
      <c r="B320" s="27"/>
      <c r="C320" s="27"/>
      <c r="D320" s="27"/>
      <c r="E320" s="27"/>
      <c r="F320" s="27"/>
      <c r="G320" s="28" t="s">
        <v>179</v>
      </c>
      <c r="H320" s="29"/>
      <c r="I320" s="29"/>
      <c r="J320" s="29"/>
      <c r="K320" s="29"/>
      <c r="L320" s="29"/>
      <c r="M320" s="29"/>
      <c r="N320" s="29"/>
      <c r="O320" s="29"/>
      <c r="P320" s="30"/>
      <c r="Q320" s="31">
        <v>728904</v>
      </c>
      <c r="R320" s="31"/>
      <c r="S320" s="31"/>
      <c r="T320" s="31"/>
      <c r="U320" s="31"/>
      <c r="V320" s="31">
        <v>0</v>
      </c>
      <c r="W320" s="31"/>
      <c r="X320" s="31"/>
      <c r="Y320" s="31"/>
      <c r="Z320" s="31">
        <v>0</v>
      </c>
      <c r="AA320" s="31"/>
      <c r="AB320" s="31"/>
      <c r="AC320" s="31"/>
      <c r="AD320" s="31"/>
      <c r="AE320" s="31">
        <v>0</v>
      </c>
      <c r="AF320" s="31"/>
      <c r="AG320" s="31"/>
      <c r="AH320" s="31"/>
      <c r="AI320" s="31"/>
      <c r="AJ320" s="31">
        <f t="shared" si="12"/>
        <v>728904</v>
      </c>
      <c r="AK320" s="31"/>
      <c r="AL320" s="31"/>
      <c r="AM320" s="31"/>
      <c r="AN320" s="31"/>
      <c r="AO320" s="31">
        <v>1396849</v>
      </c>
      <c r="AP320" s="31"/>
      <c r="AQ320" s="31"/>
      <c r="AR320" s="31"/>
      <c r="AS320" s="31"/>
      <c r="AT320" s="31">
        <f t="shared" si="13"/>
        <v>0</v>
      </c>
      <c r="AU320" s="31"/>
      <c r="AV320" s="31"/>
      <c r="AW320" s="31"/>
      <c r="AX320" s="31">
        <v>0</v>
      </c>
      <c r="AY320" s="31"/>
      <c r="AZ320" s="31"/>
      <c r="BA320" s="31"/>
      <c r="BB320" s="31"/>
      <c r="BC320" s="31">
        <v>0</v>
      </c>
      <c r="BD320" s="31"/>
      <c r="BE320" s="31"/>
      <c r="BF320" s="31"/>
      <c r="BG320" s="31"/>
      <c r="BH320" s="31">
        <f t="shared" si="14"/>
        <v>1396849</v>
      </c>
      <c r="BI320" s="31"/>
      <c r="BJ320" s="31"/>
      <c r="BK320" s="31"/>
      <c r="BL320" s="31"/>
    </row>
    <row r="321" spans="1:79" s="4" customFormat="1" ht="12.75" customHeight="1" x14ac:dyDescent="0.2">
      <c r="A321" s="27">
        <v>2250</v>
      </c>
      <c r="B321" s="27"/>
      <c r="C321" s="27"/>
      <c r="D321" s="27"/>
      <c r="E321" s="27"/>
      <c r="F321" s="27"/>
      <c r="G321" s="28" t="s">
        <v>180</v>
      </c>
      <c r="H321" s="29"/>
      <c r="I321" s="29"/>
      <c r="J321" s="29"/>
      <c r="K321" s="29"/>
      <c r="L321" s="29"/>
      <c r="M321" s="29"/>
      <c r="N321" s="29"/>
      <c r="O321" s="29"/>
      <c r="P321" s="30"/>
      <c r="Q321" s="31">
        <v>10000</v>
      </c>
      <c r="R321" s="31"/>
      <c r="S321" s="31"/>
      <c r="T321" s="31"/>
      <c r="U321" s="31"/>
      <c r="V321" s="31">
        <v>0</v>
      </c>
      <c r="W321" s="31"/>
      <c r="X321" s="31"/>
      <c r="Y321" s="31"/>
      <c r="Z321" s="31">
        <v>0</v>
      </c>
      <c r="AA321" s="31"/>
      <c r="AB321" s="31"/>
      <c r="AC321" s="31"/>
      <c r="AD321" s="31"/>
      <c r="AE321" s="31">
        <v>0</v>
      </c>
      <c r="AF321" s="31"/>
      <c r="AG321" s="31"/>
      <c r="AH321" s="31"/>
      <c r="AI321" s="31"/>
      <c r="AJ321" s="31">
        <f t="shared" si="12"/>
        <v>10000</v>
      </c>
      <c r="AK321" s="31"/>
      <c r="AL321" s="31"/>
      <c r="AM321" s="31"/>
      <c r="AN321" s="31"/>
      <c r="AO321" s="31">
        <v>150000</v>
      </c>
      <c r="AP321" s="31"/>
      <c r="AQ321" s="31"/>
      <c r="AR321" s="31"/>
      <c r="AS321" s="31"/>
      <c r="AT321" s="31">
        <f t="shared" si="13"/>
        <v>0</v>
      </c>
      <c r="AU321" s="31"/>
      <c r="AV321" s="31"/>
      <c r="AW321" s="31"/>
      <c r="AX321" s="31">
        <v>0</v>
      </c>
      <c r="AY321" s="31"/>
      <c r="AZ321" s="31"/>
      <c r="BA321" s="31"/>
      <c r="BB321" s="31"/>
      <c r="BC321" s="31">
        <v>0</v>
      </c>
      <c r="BD321" s="31"/>
      <c r="BE321" s="31"/>
      <c r="BF321" s="31"/>
      <c r="BG321" s="31"/>
      <c r="BH321" s="31">
        <f t="shared" si="14"/>
        <v>150000</v>
      </c>
      <c r="BI321" s="31"/>
      <c r="BJ321" s="31"/>
      <c r="BK321" s="31"/>
      <c r="BL321" s="31"/>
    </row>
    <row r="322" spans="1:79" s="4" customFormat="1" ht="25.5" customHeight="1" x14ac:dyDescent="0.2">
      <c r="A322" s="27">
        <v>2272</v>
      </c>
      <c r="B322" s="27"/>
      <c r="C322" s="27"/>
      <c r="D322" s="27"/>
      <c r="E322" s="27"/>
      <c r="F322" s="27"/>
      <c r="G322" s="28" t="s">
        <v>181</v>
      </c>
      <c r="H322" s="29"/>
      <c r="I322" s="29"/>
      <c r="J322" s="29"/>
      <c r="K322" s="29"/>
      <c r="L322" s="29"/>
      <c r="M322" s="29"/>
      <c r="N322" s="29"/>
      <c r="O322" s="29"/>
      <c r="P322" s="30"/>
      <c r="Q322" s="31">
        <v>5000</v>
      </c>
      <c r="R322" s="31"/>
      <c r="S322" s="31"/>
      <c r="T322" s="31"/>
      <c r="U322" s="31"/>
      <c r="V322" s="31">
        <v>0</v>
      </c>
      <c r="W322" s="31"/>
      <c r="X322" s="31"/>
      <c r="Y322" s="31"/>
      <c r="Z322" s="31">
        <v>0</v>
      </c>
      <c r="AA322" s="31"/>
      <c r="AB322" s="31"/>
      <c r="AC322" s="31"/>
      <c r="AD322" s="31"/>
      <c r="AE322" s="31">
        <v>0</v>
      </c>
      <c r="AF322" s="31"/>
      <c r="AG322" s="31"/>
      <c r="AH322" s="31"/>
      <c r="AI322" s="31"/>
      <c r="AJ322" s="31">
        <f t="shared" si="12"/>
        <v>5000</v>
      </c>
      <c r="AK322" s="31"/>
      <c r="AL322" s="31"/>
      <c r="AM322" s="31"/>
      <c r="AN322" s="31"/>
      <c r="AO322" s="31">
        <v>6003</v>
      </c>
      <c r="AP322" s="31"/>
      <c r="AQ322" s="31"/>
      <c r="AR322" s="31"/>
      <c r="AS322" s="31"/>
      <c r="AT322" s="31">
        <f t="shared" si="13"/>
        <v>0</v>
      </c>
      <c r="AU322" s="31"/>
      <c r="AV322" s="31"/>
      <c r="AW322" s="31"/>
      <c r="AX322" s="31">
        <v>0</v>
      </c>
      <c r="AY322" s="31"/>
      <c r="AZ322" s="31"/>
      <c r="BA322" s="31"/>
      <c r="BB322" s="31"/>
      <c r="BC322" s="31">
        <v>0</v>
      </c>
      <c r="BD322" s="31"/>
      <c r="BE322" s="31"/>
      <c r="BF322" s="31"/>
      <c r="BG322" s="31"/>
      <c r="BH322" s="31">
        <f t="shared" si="14"/>
        <v>6003</v>
      </c>
      <c r="BI322" s="31"/>
      <c r="BJ322" s="31"/>
      <c r="BK322" s="31"/>
      <c r="BL322" s="31"/>
    </row>
    <row r="323" spans="1:79" s="4" customFormat="1" ht="12.75" customHeight="1" x14ac:dyDescent="0.2">
      <c r="A323" s="27">
        <v>2273</v>
      </c>
      <c r="B323" s="27"/>
      <c r="C323" s="27"/>
      <c r="D323" s="27"/>
      <c r="E323" s="27"/>
      <c r="F323" s="27"/>
      <c r="G323" s="28" t="s">
        <v>182</v>
      </c>
      <c r="H323" s="29"/>
      <c r="I323" s="29"/>
      <c r="J323" s="29"/>
      <c r="K323" s="29"/>
      <c r="L323" s="29"/>
      <c r="M323" s="29"/>
      <c r="N323" s="29"/>
      <c r="O323" s="29"/>
      <c r="P323" s="30"/>
      <c r="Q323" s="31">
        <v>44990</v>
      </c>
      <c r="R323" s="31"/>
      <c r="S323" s="31"/>
      <c r="T323" s="31"/>
      <c r="U323" s="31"/>
      <c r="V323" s="31">
        <v>0</v>
      </c>
      <c r="W323" s="31"/>
      <c r="X323" s="31"/>
      <c r="Y323" s="31"/>
      <c r="Z323" s="31">
        <v>0</v>
      </c>
      <c r="AA323" s="31"/>
      <c r="AB323" s="31"/>
      <c r="AC323" s="31"/>
      <c r="AD323" s="31"/>
      <c r="AE323" s="31">
        <v>0</v>
      </c>
      <c r="AF323" s="31"/>
      <c r="AG323" s="31"/>
      <c r="AH323" s="31"/>
      <c r="AI323" s="31"/>
      <c r="AJ323" s="31">
        <f t="shared" si="12"/>
        <v>44990</v>
      </c>
      <c r="AK323" s="31"/>
      <c r="AL323" s="31"/>
      <c r="AM323" s="31"/>
      <c r="AN323" s="31"/>
      <c r="AO323" s="31">
        <v>64285</v>
      </c>
      <c r="AP323" s="31"/>
      <c r="AQ323" s="31"/>
      <c r="AR323" s="31"/>
      <c r="AS323" s="31"/>
      <c r="AT323" s="31">
        <f t="shared" si="13"/>
        <v>0</v>
      </c>
      <c r="AU323" s="31"/>
      <c r="AV323" s="31"/>
      <c r="AW323" s="31"/>
      <c r="AX323" s="31">
        <v>0</v>
      </c>
      <c r="AY323" s="31"/>
      <c r="AZ323" s="31"/>
      <c r="BA323" s="31"/>
      <c r="BB323" s="31"/>
      <c r="BC323" s="31">
        <v>0</v>
      </c>
      <c r="BD323" s="31"/>
      <c r="BE323" s="31"/>
      <c r="BF323" s="31"/>
      <c r="BG323" s="31"/>
      <c r="BH323" s="31">
        <f t="shared" si="14"/>
        <v>64285</v>
      </c>
      <c r="BI323" s="31"/>
      <c r="BJ323" s="31"/>
      <c r="BK323" s="31"/>
      <c r="BL323" s="31"/>
    </row>
    <row r="324" spans="1:79" s="4" customFormat="1" ht="12.75" customHeight="1" x14ac:dyDescent="0.2">
      <c r="A324" s="27">
        <v>2274</v>
      </c>
      <c r="B324" s="27"/>
      <c r="C324" s="27"/>
      <c r="D324" s="27"/>
      <c r="E324" s="27"/>
      <c r="F324" s="27"/>
      <c r="G324" s="28" t="s">
        <v>183</v>
      </c>
      <c r="H324" s="29"/>
      <c r="I324" s="29"/>
      <c r="J324" s="29"/>
      <c r="K324" s="29"/>
      <c r="L324" s="29"/>
      <c r="M324" s="29"/>
      <c r="N324" s="29"/>
      <c r="O324" s="29"/>
      <c r="P324" s="30"/>
      <c r="Q324" s="31">
        <v>45000</v>
      </c>
      <c r="R324" s="31"/>
      <c r="S324" s="31"/>
      <c r="T324" s="31"/>
      <c r="U324" s="31"/>
      <c r="V324" s="31">
        <v>0</v>
      </c>
      <c r="W324" s="31"/>
      <c r="X324" s="31"/>
      <c r="Y324" s="31"/>
      <c r="Z324" s="31">
        <v>0</v>
      </c>
      <c r="AA324" s="31"/>
      <c r="AB324" s="31"/>
      <c r="AC324" s="31"/>
      <c r="AD324" s="31"/>
      <c r="AE324" s="31">
        <v>0</v>
      </c>
      <c r="AF324" s="31"/>
      <c r="AG324" s="31"/>
      <c r="AH324" s="31"/>
      <c r="AI324" s="31"/>
      <c r="AJ324" s="31">
        <f t="shared" si="12"/>
        <v>45000</v>
      </c>
      <c r="AK324" s="31"/>
      <c r="AL324" s="31"/>
      <c r="AM324" s="31"/>
      <c r="AN324" s="31"/>
      <c r="AO324" s="31">
        <v>55005</v>
      </c>
      <c r="AP324" s="31"/>
      <c r="AQ324" s="31"/>
      <c r="AR324" s="31"/>
      <c r="AS324" s="31"/>
      <c r="AT324" s="31">
        <f t="shared" si="13"/>
        <v>0</v>
      </c>
      <c r="AU324" s="31"/>
      <c r="AV324" s="31"/>
      <c r="AW324" s="31"/>
      <c r="AX324" s="31">
        <v>0</v>
      </c>
      <c r="AY324" s="31"/>
      <c r="AZ324" s="31"/>
      <c r="BA324" s="31"/>
      <c r="BB324" s="31"/>
      <c r="BC324" s="31">
        <v>0</v>
      </c>
      <c r="BD324" s="31"/>
      <c r="BE324" s="31"/>
      <c r="BF324" s="31"/>
      <c r="BG324" s="31"/>
      <c r="BH324" s="31">
        <f t="shared" si="14"/>
        <v>55005</v>
      </c>
      <c r="BI324" s="31"/>
      <c r="BJ324" s="31"/>
      <c r="BK324" s="31"/>
      <c r="BL324" s="31"/>
    </row>
    <row r="325" spans="1:79" s="4" customFormat="1" ht="25.5" customHeight="1" x14ac:dyDescent="0.2">
      <c r="A325" s="27">
        <v>2275</v>
      </c>
      <c r="B325" s="27"/>
      <c r="C325" s="27"/>
      <c r="D325" s="27"/>
      <c r="E325" s="27"/>
      <c r="F325" s="27"/>
      <c r="G325" s="28" t="s">
        <v>184</v>
      </c>
      <c r="H325" s="29"/>
      <c r="I325" s="29"/>
      <c r="J325" s="29"/>
      <c r="K325" s="29"/>
      <c r="L325" s="29"/>
      <c r="M325" s="29"/>
      <c r="N325" s="29"/>
      <c r="O325" s="29"/>
      <c r="P325" s="30"/>
      <c r="Q325" s="31">
        <v>9000</v>
      </c>
      <c r="R325" s="31"/>
      <c r="S325" s="31"/>
      <c r="T325" s="31"/>
      <c r="U325" s="31"/>
      <c r="V325" s="31">
        <v>0</v>
      </c>
      <c r="W325" s="31"/>
      <c r="X325" s="31"/>
      <c r="Y325" s="31"/>
      <c r="Z325" s="31">
        <v>0</v>
      </c>
      <c r="AA325" s="31"/>
      <c r="AB325" s="31"/>
      <c r="AC325" s="31"/>
      <c r="AD325" s="31"/>
      <c r="AE325" s="31">
        <v>0</v>
      </c>
      <c r="AF325" s="31"/>
      <c r="AG325" s="31"/>
      <c r="AH325" s="31"/>
      <c r="AI325" s="31"/>
      <c r="AJ325" s="31">
        <f t="shared" si="12"/>
        <v>9000</v>
      </c>
      <c r="AK325" s="31"/>
      <c r="AL325" s="31"/>
      <c r="AM325" s="31"/>
      <c r="AN325" s="31"/>
      <c r="AO325" s="31">
        <v>5000</v>
      </c>
      <c r="AP325" s="31"/>
      <c r="AQ325" s="31"/>
      <c r="AR325" s="31"/>
      <c r="AS325" s="31"/>
      <c r="AT325" s="31">
        <f t="shared" si="13"/>
        <v>0</v>
      </c>
      <c r="AU325" s="31"/>
      <c r="AV325" s="31"/>
      <c r="AW325" s="31"/>
      <c r="AX325" s="31">
        <v>0</v>
      </c>
      <c r="AY325" s="31"/>
      <c r="AZ325" s="31"/>
      <c r="BA325" s="31"/>
      <c r="BB325" s="31"/>
      <c r="BC325" s="31">
        <v>0</v>
      </c>
      <c r="BD325" s="31"/>
      <c r="BE325" s="31"/>
      <c r="BF325" s="31"/>
      <c r="BG325" s="31"/>
      <c r="BH325" s="31">
        <f t="shared" si="14"/>
        <v>5000</v>
      </c>
      <c r="BI325" s="31"/>
      <c r="BJ325" s="31"/>
      <c r="BK325" s="31"/>
      <c r="BL325" s="31"/>
    </row>
    <row r="326" spans="1:79" s="4" customFormat="1" ht="51" customHeight="1" x14ac:dyDescent="0.2">
      <c r="A326" s="27">
        <v>2282</v>
      </c>
      <c r="B326" s="27"/>
      <c r="C326" s="27"/>
      <c r="D326" s="27"/>
      <c r="E326" s="27"/>
      <c r="F326" s="27"/>
      <c r="G326" s="28" t="s">
        <v>185</v>
      </c>
      <c r="H326" s="29"/>
      <c r="I326" s="29"/>
      <c r="J326" s="29"/>
      <c r="K326" s="29"/>
      <c r="L326" s="29"/>
      <c r="M326" s="29"/>
      <c r="N326" s="29"/>
      <c r="O326" s="29"/>
      <c r="P326" s="30"/>
      <c r="Q326" s="31">
        <v>1000</v>
      </c>
      <c r="R326" s="31"/>
      <c r="S326" s="31"/>
      <c r="T326" s="31"/>
      <c r="U326" s="31"/>
      <c r="V326" s="31">
        <v>0</v>
      </c>
      <c r="W326" s="31"/>
      <c r="X326" s="31"/>
      <c r="Y326" s="31"/>
      <c r="Z326" s="31">
        <v>0</v>
      </c>
      <c r="AA326" s="31"/>
      <c r="AB326" s="31"/>
      <c r="AC326" s="31"/>
      <c r="AD326" s="31"/>
      <c r="AE326" s="31">
        <v>0</v>
      </c>
      <c r="AF326" s="31"/>
      <c r="AG326" s="31"/>
      <c r="AH326" s="31"/>
      <c r="AI326" s="31"/>
      <c r="AJ326" s="31">
        <f t="shared" si="12"/>
        <v>1000</v>
      </c>
      <c r="AK326" s="31"/>
      <c r="AL326" s="31"/>
      <c r="AM326" s="31"/>
      <c r="AN326" s="31"/>
      <c r="AO326" s="31">
        <v>1000</v>
      </c>
      <c r="AP326" s="31"/>
      <c r="AQ326" s="31"/>
      <c r="AR326" s="31"/>
      <c r="AS326" s="31"/>
      <c r="AT326" s="31">
        <f t="shared" si="13"/>
        <v>0</v>
      </c>
      <c r="AU326" s="31"/>
      <c r="AV326" s="31"/>
      <c r="AW326" s="31"/>
      <c r="AX326" s="31">
        <v>0</v>
      </c>
      <c r="AY326" s="31"/>
      <c r="AZ326" s="31"/>
      <c r="BA326" s="31"/>
      <c r="BB326" s="31"/>
      <c r="BC326" s="31">
        <v>0</v>
      </c>
      <c r="BD326" s="31"/>
      <c r="BE326" s="31"/>
      <c r="BF326" s="31"/>
      <c r="BG326" s="31"/>
      <c r="BH326" s="31">
        <f t="shared" si="14"/>
        <v>1000</v>
      </c>
      <c r="BI326" s="31"/>
      <c r="BJ326" s="31"/>
      <c r="BK326" s="31"/>
      <c r="BL326" s="31"/>
    </row>
    <row r="327" spans="1:79" s="4" customFormat="1" ht="12.75" customHeight="1" x14ac:dyDescent="0.2">
      <c r="A327" s="27">
        <v>2730</v>
      </c>
      <c r="B327" s="27"/>
      <c r="C327" s="27"/>
      <c r="D327" s="27"/>
      <c r="E327" s="27"/>
      <c r="F327" s="27"/>
      <c r="G327" s="28" t="s">
        <v>186</v>
      </c>
      <c r="H327" s="29"/>
      <c r="I327" s="29"/>
      <c r="J327" s="29"/>
      <c r="K327" s="29"/>
      <c r="L327" s="29"/>
      <c r="M327" s="29"/>
      <c r="N327" s="29"/>
      <c r="O327" s="29"/>
      <c r="P327" s="30"/>
      <c r="Q327" s="31">
        <v>0</v>
      </c>
      <c r="R327" s="31"/>
      <c r="S327" s="31"/>
      <c r="T327" s="31"/>
      <c r="U327" s="31"/>
      <c r="V327" s="31">
        <v>0</v>
      </c>
      <c r="W327" s="31"/>
      <c r="X327" s="31"/>
      <c r="Y327" s="31"/>
      <c r="Z327" s="31">
        <v>0</v>
      </c>
      <c r="AA327" s="31"/>
      <c r="AB327" s="31"/>
      <c r="AC327" s="31"/>
      <c r="AD327" s="31"/>
      <c r="AE327" s="31">
        <v>0</v>
      </c>
      <c r="AF327" s="31"/>
      <c r="AG327" s="31"/>
      <c r="AH327" s="31"/>
      <c r="AI327" s="31"/>
      <c r="AJ327" s="31">
        <f t="shared" si="12"/>
        <v>0</v>
      </c>
      <c r="AK327" s="31"/>
      <c r="AL327" s="31"/>
      <c r="AM327" s="31"/>
      <c r="AN327" s="31"/>
      <c r="AO327" s="31">
        <v>30000</v>
      </c>
      <c r="AP327" s="31"/>
      <c r="AQ327" s="31"/>
      <c r="AR327" s="31"/>
      <c r="AS327" s="31"/>
      <c r="AT327" s="31">
        <f t="shared" si="13"/>
        <v>0</v>
      </c>
      <c r="AU327" s="31"/>
      <c r="AV327" s="31"/>
      <c r="AW327" s="31"/>
      <c r="AX327" s="31">
        <v>0</v>
      </c>
      <c r="AY327" s="31"/>
      <c r="AZ327" s="31"/>
      <c r="BA327" s="31"/>
      <c r="BB327" s="31"/>
      <c r="BC327" s="31">
        <v>0</v>
      </c>
      <c r="BD327" s="31"/>
      <c r="BE327" s="31"/>
      <c r="BF327" s="31"/>
      <c r="BG327" s="31"/>
      <c r="BH327" s="31">
        <f t="shared" si="14"/>
        <v>30000</v>
      </c>
      <c r="BI327" s="31"/>
      <c r="BJ327" s="31"/>
      <c r="BK327" s="31"/>
      <c r="BL327" s="31"/>
    </row>
    <row r="328" spans="1:79" s="5" customFormat="1" ht="12.75" customHeight="1" x14ac:dyDescent="0.2">
      <c r="A328" s="21"/>
      <c r="B328" s="21"/>
      <c r="C328" s="21"/>
      <c r="D328" s="21"/>
      <c r="E328" s="21"/>
      <c r="F328" s="21"/>
      <c r="G328" s="22" t="s">
        <v>147</v>
      </c>
      <c r="H328" s="23"/>
      <c r="I328" s="23"/>
      <c r="J328" s="23"/>
      <c r="K328" s="23"/>
      <c r="L328" s="23"/>
      <c r="M328" s="23"/>
      <c r="N328" s="23"/>
      <c r="O328" s="23"/>
      <c r="P328" s="24"/>
      <c r="Q328" s="25">
        <v>8832955</v>
      </c>
      <c r="R328" s="25"/>
      <c r="S328" s="25"/>
      <c r="T328" s="25"/>
      <c r="U328" s="25"/>
      <c r="V328" s="25">
        <v>0</v>
      </c>
      <c r="W328" s="25"/>
      <c r="X328" s="25"/>
      <c r="Y328" s="25"/>
      <c r="Z328" s="25">
        <v>0</v>
      </c>
      <c r="AA328" s="25"/>
      <c r="AB328" s="25"/>
      <c r="AC328" s="25"/>
      <c r="AD328" s="25"/>
      <c r="AE328" s="25">
        <v>0</v>
      </c>
      <c r="AF328" s="25"/>
      <c r="AG328" s="25"/>
      <c r="AH328" s="25"/>
      <c r="AI328" s="25"/>
      <c r="AJ328" s="25">
        <f t="shared" si="12"/>
        <v>8832955</v>
      </c>
      <c r="AK328" s="25"/>
      <c r="AL328" s="25"/>
      <c r="AM328" s="25"/>
      <c r="AN328" s="25"/>
      <c r="AO328" s="25">
        <v>11888673</v>
      </c>
      <c r="AP328" s="25"/>
      <c r="AQ328" s="25"/>
      <c r="AR328" s="25"/>
      <c r="AS328" s="25"/>
      <c r="AT328" s="25">
        <f t="shared" si="13"/>
        <v>0</v>
      </c>
      <c r="AU328" s="25"/>
      <c r="AV328" s="25"/>
      <c r="AW328" s="25"/>
      <c r="AX328" s="25">
        <v>0</v>
      </c>
      <c r="AY328" s="25"/>
      <c r="AZ328" s="25"/>
      <c r="BA328" s="25"/>
      <c r="BB328" s="25"/>
      <c r="BC328" s="25">
        <v>0</v>
      </c>
      <c r="BD328" s="25"/>
      <c r="BE328" s="25"/>
      <c r="BF328" s="25"/>
      <c r="BG328" s="25"/>
      <c r="BH328" s="25">
        <f t="shared" si="14"/>
        <v>11888673</v>
      </c>
      <c r="BI328" s="25"/>
      <c r="BJ328" s="25"/>
      <c r="BK328" s="25"/>
      <c r="BL328" s="25"/>
    </row>
    <row r="330" spans="1:79" ht="14.25" customHeight="1" x14ac:dyDescent="0.2">
      <c r="A330" s="61" t="s">
        <v>274</v>
      </c>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row>
    <row r="331" spans="1:79" ht="15" customHeight="1" x14ac:dyDescent="0.2">
      <c r="A331" s="66" t="s">
        <v>267</v>
      </c>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66"/>
      <c r="AL331" s="66"/>
      <c r="AM331" s="66"/>
      <c r="AN331" s="66"/>
      <c r="AO331" s="66"/>
      <c r="AP331" s="66"/>
      <c r="AQ331" s="66"/>
      <c r="AR331" s="66"/>
      <c r="AS331" s="66"/>
      <c r="AT331" s="66"/>
      <c r="AU331" s="66"/>
      <c r="AV331" s="66"/>
      <c r="AW331" s="66"/>
      <c r="AX331" s="66"/>
      <c r="AY331" s="66"/>
      <c r="AZ331" s="66"/>
      <c r="BA331" s="66"/>
      <c r="BB331" s="66"/>
      <c r="BC331" s="66"/>
      <c r="BD331" s="66"/>
      <c r="BE331" s="66"/>
      <c r="BF331" s="66"/>
      <c r="BG331" s="66"/>
      <c r="BH331" s="66"/>
      <c r="BI331" s="66"/>
      <c r="BJ331" s="66"/>
      <c r="BK331" s="66"/>
      <c r="BL331" s="66"/>
    </row>
    <row r="332" spans="1:79" ht="42.95" customHeight="1" x14ac:dyDescent="0.2">
      <c r="A332" s="67" t="s">
        <v>135</v>
      </c>
      <c r="B332" s="67"/>
      <c r="C332" s="67"/>
      <c r="D332" s="67"/>
      <c r="E332" s="67"/>
      <c r="F332" s="67"/>
      <c r="G332" s="39" t="s">
        <v>19</v>
      </c>
      <c r="H332" s="39"/>
      <c r="I332" s="39"/>
      <c r="J332" s="39"/>
      <c r="K332" s="39"/>
      <c r="L332" s="39"/>
      <c r="M332" s="39"/>
      <c r="N332" s="39"/>
      <c r="O332" s="39"/>
      <c r="P332" s="39"/>
      <c r="Q332" s="39"/>
      <c r="R332" s="39"/>
      <c r="S332" s="39"/>
      <c r="T332" s="39" t="s">
        <v>15</v>
      </c>
      <c r="U332" s="39"/>
      <c r="V332" s="39"/>
      <c r="W332" s="39"/>
      <c r="X332" s="39"/>
      <c r="Y332" s="39"/>
      <c r="Z332" s="39" t="s">
        <v>14</v>
      </c>
      <c r="AA332" s="39"/>
      <c r="AB332" s="39"/>
      <c r="AC332" s="39"/>
      <c r="AD332" s="39"/>
      <c r="AE332" s="39" t="s">
        <v>270</v>
      </c>
      <c r="AF332" s="39"/>
      <c r="AG332" s="39"/>
      <c r="AH332" s="39"/>
      <c r="AI332" s="39"/>
      <c r="AJ332" s="39"/>
      <c r="AK332" s="39" t="s">
        <v>275</v>
      </c>
      <c r="AL332" s="39"/>
      <c r="AM332" s="39"/>
      <c r="AN332" s="39"/>
      <c r="AO332" s="39"/>
      <c r="AP332" s="39"/>
      <c r="AQ332" s="39" t="s">
        <v>288</v>
      </c>
      <c r="AR332" s="39"/>
      <c r="AS332" s="39"/>
      <c r="AT332" s="39"/>
      <c r="AU332" s="39"/>
      <c r="AV332" s="39"/>
      <c r="AW332" s="39" t="s">
        <v>18</v>
      </c>
      <c r="AX332" s="39"/>
      <c r="AY332" s="39"/>
      <c r="AZ332" s="39"/>
      <c r="BA332" s="39"/>
      <c r="BB332" s="39"/>
      <c r="BC332" s="39"/>
      <c r="BD332" s="39"/>
      <c r="BE332" s="39" t="s">
        <v>156</v>
      </c>
      <c r="BF332" s="39"/>
      <c r="BG332" s="39"/>
      <c r="BH332" s="39"/>
      <c r="BI332" s="39"/>
      <c r="BJ332" s="39"/>
      <c r="BK332" s="39"/>
      <c r="BL332" s="39"/>
    </row>
    <row r="333" spans="1:79" ht="21.75" customHeight="1" x14ac:dyDescent="0.2">
      <c r="A333" s="67"/>
      <c r="B333" s="67"/>
      <c r="C333" s="67"/>
      <c r="D333" s="67"/>
      <c r="E333" s="67"/>
      <c r="F333" s="67"/>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c r="BC333" s="39"/>
      <c r="BD333" s="39"/>
      <c r="BE333" s="39"/>
      <c r="BF333" s="39"/>
      <c r="BG333" s="39"/>
      <c r="BH333" s="39"/>
      <c r="BI333" s="39"/>
      <c r="BJ333" s="39"/>
      <c r="BK333" s="39"/>
      <c r="BL333" s="39"/>
    </row>
    <row r="334" spans="1:79" ht="15" customHeight="1" x14ac:dyDescent="0.2">
      <c r="A334" s="39">
        <v>1</v>
      </c>
      <c r="B334" s="39"/>
      <c r="C334" s="39"/>
      <c r="D334" s="39"/>
      <c r="E334" s="39"/>
      <c r="F334" s="39"/>
      <c r="G334" s="39">
        <v>2</v>
      </c>
      <c r="H334" s="39"/>
      <c r="I334" s="39"/>
      <c r="J334" s="39"/>
      <c r="K334" s="39"/>
      <c r="L334" s="39"/>
      <c r="M334" s="39"/>
      <c r="N334" s="39"/>
      <c r="O334" s="39"/>
      <c r="P334" s="39"/>
      <c r="Q334" s="39"/>
      <c r="R334" s="39"/>
      <c r="S334" s="39"/>
      <c r="T334" s="39">
        <v>3</v>
      </c>
      <c r="U334" s="39"/>
      <c r="V334" s="39"/>
      <c r="W334" s="39"/>
      <c r="X334" s="39"/>
      <c r="Y334" s="39"/>
      <c r="Z334" s="39">
        <v>4</v>
      </c>
      <c r="AA334" s="39"/>
      <c r="AB334" s="39"/>
      <c r="AC334" s="39"/>
      <c r="AD334" s="39"/>
      <c r="AE334" s="39">
        <v>5</v>
      </c>
      <c r="AF334" s="39"/>
      <c r="AG334" s="39"/>
      <c r="AH334" s="39"/>
      <c r="AI334" s="39"/>
      <c r="AJ334" s="39"/>
      <c r="AK334" s="39">
        <v>6</v>
      </c>
      <c r="AL334" s="39"/>
      <c r="AM334" s="39"/>
      <c r="AN334" s="39"/>
      <c r="AO334" s="39"/>
      <c r="AP334" s="39"/>
      <c r="AQ334" s="39">
        <v>7</v>
      </c>
      <c r="AR334" s="39"/>
      <c r="AS334" s="39"/>
      <c r="AT334" s="39"/>
      <c r="AU334" s="39"/>
      <c r="AV334" s="39"/>
      <c r="AW334" s="65">
        <v>8</v>
      </c>
      <c r="AX334" s="65"/>
      <c r="AY334" s="65"/>
      <c r="AZ334" s="65"/>
      <c r="BA334" s="65"/>
      <c r="BB334" s="65"/>
      <c r="BC334" s="65"/>
      <c r="BD334" s="65"/>
      <c r="BE334" s="65">
        <v>9</v>
      </c>
      <c r="BF334" s="65"/>
      <c r="BG334" s="65"/>
      <c r="BH334" s="65"/>
      <c r="BI334" s="65"/>
      <c r="BJ334" s="65"/>
      <c r="BK334" s="65"/>
      <c r="BL334" s="65"/>
    </row>
    <row r="335" spans="1:79" s="1" customFormat="1" ht="18.75" hidden="1" customHeight="1" x14ac:dyDescent="0.2">
      <c r="A335" s="65" t="s">
        <v>64</v>
      </c>
      <c r="B335" s="65"/>
      <c r="C335" s="65"/>
      <c r="D335" s="65"/>
      <c r="E335" s="65"/>
      <c r="F335" s="65"/>
      <c r="G335" s="64" t="s">
        <v>57</v>
      </c>
      <c r="H335" s="64"/>
      <c r="I335" s="64"/>
      <c r="J335" s="64"/>
      <c r="K335" s="64"/>
      <c r="L335" s="64"/>
      <c r="M335" s="64"/>
      <c r="N335" s="64"/>
      <c r="O335" s="64"/>
      <c r="P335" s="64"/>
      <c r="Q335" s="64"/>
      <c r="R335" s="64"/>
      <c r="S335" s="64"/>
      <c r="T335" s="63" t="s">
        <v>80</v>
      </c>
      <c r="U335" s="63"/>
      <c r="V335" s="63"/>
      <c r="W335" s="63"/>
      <c r="X335" s="63"/>
      <c r="Y335" s="63"/>
      <c r="Z335" s="63" t="s">
        <v>81</v>
      </c>
      <c r="AA335" s="63"/>
      <c r="AB335" s="63"/>
      <c r="AC335" s="63"/>
      <c r="AD335" s="63"/>
      <c r="AE335" s="63" t="s">
        <v>82</v>
      </c>
      <c r="AF335" s="63"/>
      <c r="AG335" s="63"/>
      <c r="AH335" s="63"/>
      <c r="AI335" s="63"/>
      <c r="AJ335" s="63"/>
      <c r="AK335" s="63" t="s">
        <v>83</v>
      </c>
      <c r="AL335" s="63"/>
      <c r="AM335" s="63"/>
      <c r="AN335" s="63"/>
      <c r="AO335" s="63"/>
      <c r="AP335" s="63"/>
      <c r="AQ335" s="63" t="s">
        <v>84</v>
      </c>
      <c r="AR335" s="63"/>
      <c r="AS335" s="63"/>
      <c r="AT335" s="63"/>
      <c r="AU335" s="63"/>
      <c r="AV335" s="63"/>
      <c r="AW335" s="64" t="s">
        <v>87</v>
      </c>
      <c r="AX335" s="64"/>
      <c r="AY335" s="64"/>
      <c r="AZ335" s="64"/>
      <c r="BA335" s="64"/>
      <c r="BB335" s="64"/>
      <c r="BC335" s="64"/>
      <c r="BD335" s="64"/>
      <c r="BE335" s="64" t="s">
        <v>88</v>
      </c>
      <c r="BF335" s="64"/>
      <c r="BG335" s="64"/>
      <c r="BH335" s="64"/>
      <c r="BI335" s="64"/>
      <c r="BJ335" s="64"/>
      <c r="BK335" s="64"/>
      <c r="BL335" s="64"/>
      <c r="CA335" s="1" t="s">
        <v>54</v>
      </c>
    </row>
    <row r="336" spans="1:79" s="4" customFormat="1" ht="12.75" customHeight="1" x14ac:dyDescent="0.2">
      <c r="A336" s="27">
        <v>2111</v>
      </c>
      <c r="B336" s="27"/>
      <c r="C336" s="27"/>
      <c r="D336" s="27"/>
      <c r="E336" s="27"/>
      <c r="F336" s="27"/>
      <c r="G336" s="28" t="s">
        <v>176</v>
      </c>
      <c r="H336" s="29"/>
      <c r="I336" s="29"/>
      <c r="J336" s="29"/>
      <c r="K336" s="29"/>
      <c r="L336" s="29"/>
      <c r="M336" s="29"/>
      <c r="N336" s="29"/>
      <c r="O336" s="29"/>
      <c r="P336" s="29"/>
      <c r="Q336" s="29"/>
      <c r="R336" s="29"/>
      <c r="S336" s="30"/>
      <c r="T336" s="31">
        <v>4117319</v>
      </c>
      <c r="U336" s="31"/>
      <c r="V336" s="31"/>
      <c r="W336" s="31"/>
      <c r="X336" s="31"/>
      <c r="Y336" s="31"/>
      <c r="Z336" s="31">
        <v>4084707</v>
      </c>
      <c r="AA336" s="31"/>
      <c r="AB336" s="31"/>
      <c r="AC336" s="31"/>
      <c r="AD336" s="31"/>
      <c r="AE336" s="31">
        <v>0</v>
      </c>
      <c r="AF336" s="31"/>
      <c r="AG336" s="31"/>
      <c r="AH336" s="31"/>
      <c r="AI336" s="31"/>
      <c r="AJ336" s="31"/>
      <c r="AK336" s="31">
        <v>0</v>
      </c>
      <c r="AL336" s="31"/>
      <c r="AM336" s="31"/>
      <c r="AN336" s="31"/>
      <c r="AO336" s="31"/>
      <c r="AP336" s="31"/>
      <c r="AQ336" s="31">
        <v>0</v>
      </c>
      <c r="AR336" s="31"/>
      <c r="AS336" s="31"/>
      <c r="AT336" s="31"/>
      <c r="AU336" s="31"/>
      <c r="AV336" s="31"/>
      <c r="AW336" s="20"/>
      <c r="AX336" s="20"/>
      <c r="AY336" s="20"/>
      <c r="AZ336" s="20"/>
      <c r="BA336" s="20"/>
      <c r="BB336" s="20"/>
      <c r="BC336" s="20"/>
      <c r="BD336" s="20"/>
      <c r="BE336" s="20"/>
      <c r="BF336" s="20"/>
      <c r="BG336" s="20"/>
      <c r="BH336" s="20"/>
      <c r="BI336" s="20"/>
      <c r="BJ336" s="20"/>
      <c r="BK336" s="20"/>
      <c r="BL336" s="20"/>
      <c r="CA336" s="4" t="s">
        <v>55</v>
      </c>
    </row>
    <row r="337" spans="1:64" s="4" customFormat="1" ht="12.75" customHeight="1" x14ac:dyDescent="0.2">
      <c r="A337" s="27">
        <v>2120</v>
      </c>
      <c r="B337" s="27"/>
      <c r="C337" s="27"/>
      <c r="D337" s="27"/>
      <c r="E337" s="27"/>
      <c r="F337" s="27"/>
      <c r="G337" s="28" t="s">
        <v>177</v>
      </c>
      <c r="H337" s="29"/>
      <c r="I337" s="29"/>
      <c r="J337" s="29"/>
      <c r="K337" s="29"/>
      <c r="L337" s="29"/>
      <c r="M337" s="29"/>
      <c r="N337" s="29"/>
      <c r="O337" s="29"/>
      <c r="P337" s="29"/>
      <c r="Q337" s="29"/>
      <c r="R337" s="29"/>
      <c r="S337" s="30"/>
      <c r="T337" s="31">
        <v>905810</v>
      </c>
      <c r="U337" s="31"/>
      <c r="V337" s="31"/>
      <c r="W337" s="31"/>
      <c r="X337" s="31"/>
      <c r="Y337" s="31"/>
      <c r="Z337" s="31">
        <v>877778</v>
      </c>
      <c r="AA337" s="31"/>
      <c r="AB337" s="31"/>
      <c r="AC337" s="31"/>
      <c r="AD337" s="31"/>
      <c r="AE337" s="31">
        <v>0</v>
      </c>
      <c r="AF337" s="31"/>
      <c r="AG337" s="31"/>
      <c r="AH337" s="31"/>
      <c r="AI337" s="31"/>
      <c r="AJ337" s="31"/>
      <c r="AK337" s="31">
        <v>0</v>
      </c>
      <c r="AL337" s="31"/>
      <c r="AM337" s="31"/>
      <c r="AN337" s="31"/>
      <c r="AO337" s="31"/>
      <c r="AP337" s="31"/>
      <c r="AQ337" s="31">
        <v>0</v>
      </c>
      <c r="AR337" s="31"/>
      <c r="AS337" s="31"/>
      <c r="AT337" s="31"/>
      <c r="AU337" s="31"/>
      <c r="AV337" s="31"/>
      <c r="AW337" s="20"/>
      <c r="AX337" s="20"/>
      <c r="AY337" s="20"/>
      <c r="AZ337" s="20"/>
      <c r="BA337" s="20"/>
      <c r="BB337" s="20"/>
      <c r="BC337" s="20"/>
      <c r="BD337" s="20"/>
      <c r="BE337" s="20"/>
      <c r="BF337" s="20"/>
      <c r="BG337" s="20"/>
      <c r="BH337" s="20"/>
      <c r="BI337" s="20"/>
      <c r="BJ337" s="20"/>
      <c r="BK337" s="20"/>
      <c r="BL337" s="20"/>
    </row>
    <row r="338" spans="1:64" s="4" customFormat="1" ht="25.5" customHeight="1" x14ac:dyDescent="0.2">
      <c r="A338" s="27">
        <v>2210</v>
      </c>
      <c r="B338" s="27"/>
      <c r="C338" s="27"/>
      <c r="D338" s="27"/>
      <c r="E338" s="27"/>
      <c r="F338" s="27"/>
      <c r="G338" s="28" t="s">
        <v>178</v>
      </c>
      <c r="H338" s="29"/>
      <c r="I338" s="29"/>
      <c r="J338" s="29"/>
      <c r="K338" s="29"/>
      <c r="L338" s="29"/>
      <c r="M338" s="29"/>
      <c r="N338" s="29"/>
      <c r="O338" s="29"/>
      <c r="P338" s="29"/>
      <c r="Q338" s="29"/>
      <c r="R338" s="29"/>
      <c r="S338" s="30"/>
      <c r="T338" s="31">
        <v>485215</v>
      </c>
      <c r="U338" s="31"/>
      <c r="V338" s="31"/>
      <c r="W338" s="31"/>
      <c r="X338" s="31"/>
      <c r="Y338" s="31"/>
      <c r="Z338" s="31">
        <v>422950</v>
      </c>
      <c r="AA338" s="31"/>
      <c r="AB338" s="31"/>
      <c r="AC338" s="31"/>
      <c r="AD338" s="31"/>
      <c r="AE338" s="31">
        <v>0</v>
      </c>
      <c r="AF338" s="31"/>
      <c r="AG338" s="31"/>
      <c r="AH338" s="31"/>
      <c r="AI338" s="31"/>
      <c r="AJ338" s="31"/>
      <c r="AK338" s="31">
        <v>0</v>
      </c>
      <c r="AL338" s="31"/>
      <c r="AM338" s="31"/>
      <c r="AN338" s="31"/>
      <c r="AO338" s="31"/>
      <c r="AP338" s="31"/>
      <c r="AQ338" s="31">
        <v>0</v>
      </c>
      <c r="AR338" s="31"/>
      <c r="AS338" s="31"/>
      <c r="AT338" s="31"/>
      <c r="AU338" s="31"/>
      <c r="AV338" s="31"/>
      <c r="AW338" s="20"/>
      <c r="AX338" s="20"/>
      <c r="AY338" s="20"/>
      <c r="AZ338" s="20"/>
      <c r="BA338" s="20"/>
      <c r="BB338" s="20"/>
      <c r="BC338" s="20"/>
      <c r="BD338" s="20"/>
      <c r="BE338" s="20"/>
      <c r="BF338" s="20"/>
      <c r="BG338" s="20"/>
      <c r="BH338" s="20"/>
      <c r="BI338" s="20"/>
      <c r="BJ338" s="20"/>
      <c r="BK338" s="20"/>
      <c r="BL338" s="20"/>
    </row>
    <row r="339" spans="1:64" s="4" customFormat="1" ht="12.75" customHeight="1" x14ac:dyDescent="0.2">
      <c r="A339" s="27">
        <v>2230</v>
      </c>
      <c r="B339" s="27"/>
      <c r="C339" s="27"/>
      <c r="D339" s="27"/>
      <c r="E339" s="27"/>
      <c r="F339" s="27"/>
      <c r="G339" s="28" t="s">
        <v>257</v>
      </c>
      <c r="H339" s="29"/>
      <c r="I339" s="29"/>
      <c r="J339" s="29"/>
      <c r="K339" s="29"/>
      <c r="L339" s="29"/>
      <c r="M339" s="29"/>
      <c r="N339" s="29"/>
      <c r="O339" s="29"/>
      <c r="P339" s="29"/>
      <c r="Q339" s="29"/>
      <c r="R339" s="29"/>
      <c r="S339" s="30"/>
      <c r="T339" s="31">
        <v>10</v>
      </c>
      <c r="U339" s="31"/>
      <c r="V339" s="31"/>
      <c r="W339" s="31"/>
      <c r="X339" s="31"/>
      <c r="Y339" s="31"/>
      <c r="Z339" s="31">
        <v>0</v>
      </c>
      <c r="AA339" s="31"/>
      <c r="AB339" s="31"/>
      <c r="AC339" s="31"/>
      <c r="AD339" s="31"/>
      <c r="AE339" s="31">
        <v>0</v>
      </c>
      <c r="AF339" s="31"/>
      <c r="AG339" s="31"/>
      <c r="AH339" s="31"/>
      <c r="AI339" s="31"/>
      <c r="AJ339" s="31"/>
      <c r="AK339" s="31">
        <v>0</v>
      </c>
      <c r="AL339" s="31"/>
      <c r="AM339" s="31"/>
      <c r="AN339" s="31"/>
      <c r="AO339" s="31"/>
      <c r="AP339" s="31"/>
      <c r="AQ339" s="31">
        <v>0</v>
      </c>
      <c r="AR339" s="31"/>
      <c r="AS339" s="31"/>
      <c r="AT339" s="31"/>
      <c r="AU339" s="31"/>
      <c r="AV339" s="31"/>
      <c r="AW339" s="20"/>
      <c r="AX339" s="20"/>
      <c r="AY339" s="20"/>
      <c r="AZ339" s="20"/>
      <c r="BA339" s="20"/>
      <c r="BB339" s="20"/>
      <c r="BC339" s="20"/>
      <c r="BD339" s="20"/>
      <c r="BE339" s="20"/>
      <c r="BF339" s="20"/>
      <c r="BG339" s="20"/>
      <c r="BH339" s="20"/>
      <c r="BI339" s="20"/>
      <c r="BJ339" s="20"/>
      <c r="BK339" s="20"/>
      <c r="BL339" s="20"/>
    </row>
    <row r="340" spans="1:64" s="4" customFormat="1" ht="12.75" customHeight="1" x14ac:dyDescent="0.2">
      <c r="A340" s="27">
        <v>2240</v>
      </c>
      <c r="B340" s="27"/>
      <c r="C340" s="27"/>
      <c r="D340" s="27"/>
      <c r="E340" s="27"/>
      <c r="F340" s="27"/>
      <c r="G340" s="28" t="s">
        <v>179</v>
      </c>
      <c r="H340" s="29"/>
      <c r="I340" s="29"/>
      <c r="J340" s="29"/>
      <c r="K340" s="29"/>
      <c r="L340" s="29"/>
      <c r="M340" s="29"/>
      <c r="N340" s="29"/>
      <c r="O340" s="29"/>
      <c r="P340" s="29"/>
      <c r="Q340" s="29"/>
      <c r="R340" s="29"/>
      <c r="S340" s="30"/>
      <c r="T340" s="31">
        <v>868003</v>
      </c>
      <c r="U340" s="31"/>
      <c r="V340" s="31"/>
      <c r="W340" s="31"/>
      <c r="X340" s="31"/>
      <c r="Y340" s="31"/>
      <c r="Z340" s="31">
        <v>792416</v>
      </c>
      <c r="AA340" s="31"/>
      <c r="AB340" s="31"/>
      <c r="AC340" s="31"/>
      <c r="AD340" s="31"/>
      <c r="AE340" s="31">
        <v>0</v>
      </c>
      <c r="AF340" s="31"/>
      <c r="AG340" s="31"/>
      <c r="AH340" s="31"/>
      <c r="AI340" s="31"/>
      <c r="AJ340" s="31"/>
      <c r="AK340" s="31">
        <v>0</v>
      </c>
      <c r="AL340" s="31"/>
      <c r="AM340" s="31"/>
      <c r="AN340" s="31"/>
      <c r="AO340" s="31"/>
      <c r="AP340" s="31"/>
      <c r="AQ340" s="31">
        <v>0</v>
      </c>
      <c r="AR340" s="31"/>
      <c r="AS340" s="31"/>
      <c r="AT340" s="31"/>
      <c r="AU340" s="31"/>
      <c r="AV340" s="31"/>
      <c r="AW340" s="20"/>
      <c r="AX340" s="20"/>
      <c r="AY340" s="20"/>
      <c r="AZ340" s="20"/>
      <c r="BA340" s="20"/>
      <c r="BB340" s="20"/>
      <c r="BC340" s="20"/>
      <c r="BD340" s="20"/>
      <c r="BE340" s="20"/>
      <c r="BF340" s="20"/>
      <c r="BG340" s="20"/>
      <c r="BH340" s="20"/>
      <c r="BI340" s="20"/>
      <c r="BJ340" s="20"/>
      <c r="BK340" s="20"/>
      <c r="BL340" s="20"/>
    </row>
    <row r="341" spans="1:64" s="4" customFormat="1" ht="12.75" customHeight="1" x14ac:dyDescent="0.2">
      <c r="A341" s="27">
        <v>2250</v>
      </c>
      <c r="B341" s="27"/>
      <c r="C341" s="27"/>
      <c r="D341" s="27"/>
      <c r="E341" s="27"/>
      <c r="F341" s="27"/>
      <c r="G341" s="28" t="s">
        <v>180</v>
      </c>
      <c r="H341" s="29"/>
      <c r="I341" s="29"/>
      <c r="J341" s="29"/>
      <c r="K341" s="29"/>
      <c r="L341" s="29"/>
      <c r="M341" s="29"/>
      <c r="N341" s="29"/>
      <c r="O341" s="29"/>
      <c r="P341" s="29"/>
      <c r="Q341" s="29"/>
      <c r="R341" s="29"/>
      <c r="S341" s="30"/>
      <c r="T341" s="31">
        <v>10000</v>
      </c>
      <c r="U341" s="31"/>
      <c r="V341" s="31"/>
      <c r="W341" s="31"/>
      <c r="X341" s="31"/>
      <c r="Y341" s="31"/>
      <c r="Z341" s="31">
        <v>4200</v>
      </c>
      <c r="AA341" s="31"/>
      <c r="AB341" s="31"/>
      <c r="AC341" s="31"/>
      <c r="AD341" s="31"/>
      <c r="AE341" s="31">
        <v>0</v>
      </c>
      <c r="AF341" s="31"/>
      <c r="AG341" s="31"/>
      <c r="AH341" s="31"/>
      <c r="AI341" s="31"/>
      <c r="AJ341" s="31"/>
      <c r="AK341" s="31">
        <v>0</v>
      </c>
      <c r="AL341" s="31"/>
      <c r="AM341" s="31"/>
      <c r="AN341" s="31"/>
      <c r="AO341" s="31"/>
      <c r="AP341" s="31"/>
      <c r="AQ341" s="31">
        <v>0</v>
      </c>
      <c r="AR341" s="31"/>
      <c r="AS341" s="31"/>
      <c r="AT341" s="31"/>
      <c r="AU341" s="31"/>
      <c r="AV341" s="31"/>
      <c r="AW341" s="20"/>
      <c r="AX341" s="20"/>
      <c r="AY341" s="20"/>
      <c r="AZ341" s="20"/>
      <c r="BA341" s="20"/>
      <c r="BB341" s="20"/>
      <c r="BC341" s="20"/>
      <c r="BD341" s="20"/>
      <c r="BE341" s="20"/>
      <c r="BF341" s="20"/>
      <c r="BG341" s="20"/>
      <c r="BH341" s="20"/>
      <c r="BI341" s="20"/>
      <c r="BJ341" s="20"/>
      <c r="BK341" s="20"/>
      <c r="BL341" s="20"/>
    </row>
    <row r="342" spans="1:64" s="4" customFormat="1" ht="25.5" customHeight="1" x14ac:dyDescent="0.2">
      <c r="A342" s="27">
        <v>2272</v>
      </c>
      <c r="B342" s="27"/>
      <c r="C342" s="27"/>
      <c r="D342" s="27"/>
      <c r="E342" s="27"/>
      <c r="F342" s="27"/>
      <c r="G342" s="28" t="s">
        <v>181</v>
      </c>
      <c r="H342" s="29"/>
      <c r="I342" s="29"/>
      <c r="J342" s="29"/>
      <c r="K342" s="29"/>
      <c r="L342" s="29"/>
      <c r="M342" s="29"/>
      <c r="N342" s="29"/>
      <c r="O342" s="29"/>
      <c r="P342" s="29"/>
      <c r="Q342" s="29"/>
      <c r="R342" s="29"/>
      <c r="S342" s="30"/>
      <c r="T342" s="31">
        <v>41715</v>
      </c>
      <c r="U342" s="31"/>
      <c r="V342" s="31"/>
      <c r="W342" s="31"/>
      <c r="X342" s="31"/>
      <c r="Y342" s="31"/>
      <c r="Z342" s="31">
        <v>318</v>
      </c>
      <c r="AA342" s="31"/>
      <c r="AB342" s="31"/>
      <c r="AC342" s="31"/>
      <c r="AD342" s="31"/>
      <c r="AE342" s="31">
        <v>0</v>
      </c>
      <c r="AF342" s="31"/>
      <c r="AG342" s="31"/>
      <c r="AH342" s="31"/>
      <c r="AI342" s="31"/>
      <c r="AJ342" s="31"/>
      <c r="AK342" s="31">
        <v>0</v>
      </c>
      <c r="AL342" s="31"/>
      <c r="AM342" s="31"/>
      <c r="AN342" s="31"/>
      <c r="AO342" s="31"/>
      <c r="AP342" s="31"/>
      <c r="AQ342" s="31">
        <v>0</v>
      </c>
      <c r="AR342" s="31"/>
      <c r="AS342" s="31"/>
      <c r="AT342" s="31"/>
      <c r="AU342" s="31"/>
      <c r="AV342" s="31"/>
      <c r="AW342" s="20"/>
      <c r="AX342" s="20"/>
      <c r="AY342" s="20"/>
      <c r="AZ342" s="20"/>
      <c r="BA342" s="20"/>
      <c r="BB342" s="20"/>
      <c r="BC342" s="20"/>
      <c r="BD342" s="20"/>
      <c r="BE342" s="20"/>
      <c r="BF342" s="20"/>
      <c r="BG342" s="20"/>
      <c r="BH342" s="20"/>
      <c r="BI342" s="20"/>
      <c r="BJ342" s="20"/>
      <c r="BK342" s="20"/>
      <c r="BL342" s="20"/>
    </row>
    <row r="343" spans="1:64" s="4" customFormat="1" ht="12.75" customHeight="1" x14ac:dyDescent="0.2">
      <c r="A343" s="27">
        <v>2273</v>
      </c>
      <c r="B343" s="27"/>
      <c r="C343" s="27"/>
      <c r="D343" s="27"/>
      <c r="E343" s="27"/>
      <c r="F343" s="27"/>
      <c r="G343" s="28" t="s">
        <v>182</v>
      </c>
      <c r="H343" s="29"/>
      <c r="I343" s="29"/>
      <c r="J343" s="29"/>
      <c r="K343" s="29"/>
      <c r="L343" s="29"/>
      <c r="M343" s="29"/>
      <c r="N343" s="29"/>
      <c r="O343" s="29"/>
      <c r="P343" s="29"/>
      <c r="Q343" s="29"/>
      <c r="R343" s="29"/>
      <c r="S343" s="30"/>
      <c r="T343" s="31">
        <v>44990</v>
      </c>
      <c r="U343" s="31"/>
      <c r="V343" s="31"/>
      <c r="W343" s="31"/>
      <c r="X343" s="31"/>
      <c r="Y343" s="31"/>
      <c r="Z343" s="31">
        <v>26115</v>
      </c>
      <c r="AA343" s="31"/>
      <c r="AB343" s="31"/>
      <c r="AC343" s="31"/>
      <c r="AD343" s="31"/>
      <c r="AE343" s="31">
        <v>0</v>
      </c>
      <c r="AF343" s="31"/>
      <c r="AG343" s="31"/>
      <c r="AH343" s="31"/>
      <c r="AI343" s="31"/>
      <c r="AJ343" s="31"/>
      <c r="AK343" s="31">
        <v>0</v>
      </c>
      <c r="AL343" s="31"/>
      <c r="AM343" s="31"/>
      <c r="AN343" s="31"/>
      <c r="AO343" s="31"/>
      <c r="AP343" s="31"/>
      <c r="AQ343" s="31">
        <v>0</v>
      </c>
      <c r="AR343" s="31"/>
      <c r="AS343" s="31"/>
      <c r="AT343" s="31"/>
      <c r="AU343" s="31"/>
      <c r="AV343" s="31"/>
      <c r="AW343" s="20"/>
      <c r="AX343" s="20"/>
      <c r="AY343" s="20"/>
      <c r="AZ343" s="20"/>
      <c r="BA343" s="20"/>
      <c r="BB343" s="20"/>
      <c r="BC343" s="20"/>
      <c r="BD343" s="20"/>
      <c r="BE343" s="20"/>
      <c r="BF343" s="20"/>
      <c r="BG343" s="20"/>
      <c r="BH343" s="20"/>
      <c r="BI343" s="20"/>
      <c r="BJ343" s="20"/>
      <c r="BK343" s="20"/>
      <c r="BL343" s="20"/>
    </row>
    <row r="344" spans="1:64" s="4" customFormat="1" ht="12.75" customHeight="1" x14ac:dyDescent="0.2">
      <c r="A344" s="27">
        <v>2274</v>
      </c>
      <c r="B344" s="27"/>
      <c r="C344" s="27"/>
      <c r="D344" s="27"/>
      <c r="E344" s="27"/>
      <c r="F344" s="27"/>
      <c r="G344" s="28" t="s">
        <v>183</v>
      </c>
      <c r="H344" s="29"/>
      <c r="I344" s="29"/>
      <c r="J344" s="29"/>
      <c r="K344" s="29"/>
      <c r="L344" s="29"/>
      <c r="M344" s="29"/>
      <c r="N344" s="29"/>
      <c r="O344" s="29"/>
      <c r="P344" s="29"/>
      <c r="Q344" s="29"/>
      <c r="R344" s="29"/>
      <c r="S344" s="30"/>
      <c r="T344" s="31">
        <v>48285</v>
      </c>
      <c r="U344" s="31"/>
      <c r="V344" s="31"/>
      <c r="W344" s="31"/>
      <c r="X344" s="31"/>
      <c r="Y344" s="31"/>
      <c r="Z344" s="31">
        <v>35755</v>
      </c>
      <c r="AA344" s="31"/>
      <c r="AB344" s="31"/>
      <c r="AC344" s="31"/>
      <c r="AD344" s="31"/>
      <c r="AE344" s="31">
        <v>0</v>
      </c>
      <c r="AF344" s="31"/>
      <c r="AG344" s="31"/>
      <c r="AH344" s="31"/>
      <c r="AI344" s="31"/>
      <c r="AJ344" s="31"/>
      <c r="AK344" s="31">
        <v>0</v>
      </c>
      <c r="AL344" s="31"/>
      <c r="AM344" s="31"/>
      <c r="AN344" s="31"/>
      <c r="AO344" s="31"/>
      <c r="AP344" s="31"/>
      <c r="AQ344" s="31">
        <v>0</v>
      </c>
      <c r="AR344" s="31"/>
      <c r="AS344" s="31"/>
      <c r="AT344" s="31"/>
      <c r="AU344" s="31"/>
      <c r="AV344" s="31"/>
      <c r="AW344" s="20"/>
      <c r="AX344" s="20"/>
      <c r="AY344" s="20"/>
      <c r="AZ344" s="20"/>
      <c r="BA344" s="20"/>
      <c r="BB344" s="20"/>
      <c r="BC344" s="20"/>
      <c r="BD344" s="20"/>
      <c r="BE344" s="20"/>
      <c r="BF344" s="20"/>
      <c r="BG344" s="20"/>
      <c r="BH344" s="20"/>
      <c r="BI344" s="20"/>
      <c r="BJ344" s="20"/>
      <c r="BK344" s="20"/>
      <c r="BL344" s="20"/>
    </row>
    <row r="345" spans="1:64" s="4" customFormat="1" ht="25.5" customHeight="1" x14ac:dyDescent="0.2">
      <c r="A345" s="27">
        <v>2275</v>
      </c>
      <c r="B345" s="27"/>
      <c r="C345" s="27"/>
      <c r="D345" s="27"/>
      <c r="E345" s="27"/>
      <c r="F345" s="27"/>
      <c r="G345" s="28" t="s">
        <v>184</v>
      </c>
      <c r="H345" s="29"/>
      <c r="I345" s="29"/>
      <c r="J345" s="29"/>
      <c r="K345" s="29"/>
      <c r="L345" s="29"/>
      <c r="M345" s="29"/>
      <c r="N345" s="29"/>
      <c r="O345" s="29"/>
      <c r="P345" s="29"/>
      <c r="Q345" s="29"/>
      <c r="R345" s="29"/>
      <c r="S345" s="30"/>
      <c r="T345" s="31">
        <v>11000</v>
      </c>
      <c r="U345" s="31"/>
      <c r="V345" s="31"/>
      <c r="W345" s="31"/>
      <c r="X345" s="31"/>
      <c r="Y345" s="31"/>
      <c r="Z345" s="31">
        <v>2695</v>
      </c>
      <c r="AA345" s="31"/>
      <c r="AB345" s="31"/>
      <c r="AC345" s="31"/>
      <c r="AD345" s="31"/>
      <c r="AE345" s="31">
        <v>0</v>
      </c>
      <c r="AF345" s="31"/>
      <c r="AG345" s="31"/>
      <c r="AH345" s="31"/>
      <c r="AI345" s="31"/>
      <c r="AJ345" s="31"/>
      <c r="AK345" s="31">
        <v>0</v>
      </c>
      <c r="AL345" s="31"/>
      <c r="AM345" s="31"/>
      <c r="AN345" s="31"/>
      <c r="AO345" s="31"/>
      <c r="AP345" s="31"/>
      <c r="AQ345" s="31">
        <v>0</v>
      </c>
      <c r="AR345" s="31"/>
      <c r="AS345" s="31"/>
      <c r="AT345" s="31"/>
      <c r="AU345" s="31"/>
      <c r="AV345" s="31"/>
      <c r="AW345" s="20"/>
      <c r="AX345" s="20"/>
      <c r="AY345" s="20"/>
      <c r="AZ345" s="20"/>
      <c r="BA345" s="20"/>
      <c r="BB345" s="20"/>
      <c r="BC345" s="20"/>
      <c r="BD345" s="20"/>
      <c r="BE345" s="20"/>
      <c r="BF345" s="20"/>
      <c r="BG345" s="20"/>
      <c r="BH345" s="20"/>
      <c r="BI345" s="20"/>
      <c r="BJ345" s="20"/>
      <c r="BK345" s="20"/>
      <c r="BL345" s="20"/>
    </row>
    <row r="346" spans="1:64" s="4" customFormat="1" ht="38.25" customHeight="1" x14ac:dyDescent="0.2">
      <c r="A346" s="27">
        <v>2282</v>
      </c>
      <c r="B346" s="27"/>
      <c r="C346" s="27"/>
      <c r="D346" s="27"/>
      <c r="E346" s="27"/>
      <c r="F346" s="27"/>
      <c r="G346" s="28" t="s">
        <v>185</v>
      </c>
      <c r="H346" s="29"/>
      <c r="I346" s="29"/>
      <c r="J346" s="29"/>
      <c r="K346" s="29"/>
      <c r="L346" s="29"/>
      <c r="M346" s="29"/>
      <c r="N346" s="29"/>
      <c r="O346" s="29"/>
      <c r="P346" s="29"/>
      <c r="Q346" s="29"/>
      <c r="R346" s="29"/>
      <c r="S346" s="30"/>
      <c r="T346" s="31">
        <v>1000</v>
      </c>
      <c r="U346" s="31"/>
      <c r="V346" s="31"/>
      <c r="W346" s="31"/>
      <c r="X346" s="31"/>
      <c r="Y346" s="31"/>
      <c r="Z346" s="31">
        <v>0</v>
      </c>
      <c r="AA346" s="31"/>
      <c r="AB346" s="31"/>
      <c r="AC346" s="31"/>
      <c r="AD346" s="31"/>
      <c r="AE346" s="31">
        <v>0</v>
      </c>
      <c r="AF346" s="31"/>
      <c r="AG346" s="31"/>
      <c r="AH346" s="31"/>
      <c r="AI346" s="31"/>
      <c r="AJ346" s="31"/>
      <c r="AK346" s="31">
        <v>0</v>
      </c>
      <c r="AL346" s="31"/>
      <c r="AM346" s="31"/>
      <c r="AN346" s="31"/>
      <c r="AO346" s="31"/>
      <c r="AP346" s="31"/>
      <c r="AQ346" s="31">
        <v>0</v>
      </c>
      <c r="AR346" s="31"/>
      <c r="AS346" s="31"/>
      <c r="AT346" s="31"/>
      <c r="AU346" s="31"/>
      <c r="AV346" s="31"/>
      <c r="AW346" s="20"/>
      <c r="AX346" s="20"/>
      <c r="AY346" s="20"/>
      <c r="AZ346" s="20"/>
      <c r="BA346" s="20"/>
      <c r="BB346" s="20"/>
      <c r="BC346" s="20"/>
      <c r="BD346" s="20"/>
      <c r="BE346" s="20"/>
      <c r="BF346" s="20"/>
      <c r="BG346" s="20"/>
      <c r="BH346" s="20"/>
      <c r="BI346" s="20"/>
      <c r="BJ346" s="20"/>
      <c r="BK346" s="20"/>
      <c r="BL346" s="20"/>
    </row>
    <row r="347" spans="1:64" s="5" customFormat="1" ht="12.75" customHeight="1" x14ac:dyDescent="0.2">
      <c r="A347" s="21"/>
      <c r="B347" s="21"/>
      <c r="C347" s="21"/>
      <c r="D347" s="21"/>
      <c r="E347" s="21"/>
      <c r="F347" s="21"/>
      <c r="G347" s="22" t="s">
        <v>147</v>
      </c>
      <c r="H347" s="23"/>
      <c r="I347" s="23"/>
      <c r="J347" s="23"/>
      <c r="K347" s="23"/>
      <c r="L347" s="23"/>
      <c r="M347" s="23"/>
      <c r="N347" s="23"/>
      <c r="O347" s="23"/>
      <c r="P347" s="23"/>
      <c r="Q347" s="23"/>
      <c r="R347" s="23"/>
      <c r="S347" s="24"/>
      <c r="T347" s="25">
        <v>6533347</v>
      </c>
      <c r="U347" s="25"/>
      <c r="V347" s="25"/>
      <c r="W347" s="25"/>
      <c r="X347" s="25"/>
      <c r="Y347" s="25"/>
      <c r="Z347" s="25">
        <v>6246934</v>
      </c>
      <c r="AA347" s="25"/>
      <c r="AB347" s="25"/>
      <c r="AC347" s="25"/>
      <c r="AD347" s="25"/>
      <c r="AE347" s="25">
        <v>0</v>
      </c>
      <c r="AF347" s="25"/>
      <c r="AG347" s="25"/>
      <c r="AH347" s="25"/>
      <c r="AI347" s="25"/>
      <c r="AJ347" s="25"/>
      <c r="AK347" s="25">
        <v>0</v>
      </c>
      <c r="AL347" s="25"/>
      <c r="AM347" s="25"/>
      <c r="AN347" s="25"/>
      <c r="AO347" s="25"/>
      <c r="AP347" s="25"/>
      <c r="AQ347" s="25">
        <v>0</v>
      </c>
      <c r="AR347" s="25"/>
      <c r="AS347" s="25"/>
      <c r="AT347" s="25"/>
      <c r="AU347" s="25"/>
      <c r="AV347" s="25"/>
      <c r="AW347" s="26"/>
      <c r="AX347" s="26"/>
      <c r="AY347" s="26"/>
      <c r="AZ347" s="26"/>
      <c r="BA347" s="26"/>
      <c r="BB347" s="26"/>
      <c r="BC347" s="26"/>
      <c r="BD347" s="26"/>
      <c r="BE347" s="26"/>
      <c r="BF347" s="26"/>
      <c r="BG347" s="26"/>
      <c r="BH347" s="26"/>
      <c r="BI347" s="26"/>
      <c r="BJ347" s="26"/>
      <c r="BK347" s="26"/>
      <c r="BL347" s="26"/>
    </row>
    <row r="349" spans="1:64" ht="14.25" customHeight="1" x14ac:dyDescent="0.2">
      <c r="A349" s="61" t="s">
        <v>276</v>
      </c>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row>
    <row r="350" spans="1:64" ht="75" customHeight="1" x14ac:dyDescent="0.2">
      <c r="A350" s="62" t="s">
        <v>262</v>
      </c>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c r="AB350" s="53"/>
      <c r="AC350" s="53"/>
      <c r="AD350" s="53"/>
      <c r="AE350" s="53"/>
      <c r="AF350" s="53"/>
      <c r="AG350" s="53"/>
      <c r="AH350" s="53"/>
      <c r="AI350" s="53"/>
      <c r="AJ350" s="53"/>
      <c r="AK350" s="53"/>
      <c r="AL350" s="53"/>
      <c r="AM350" s="53"/>
      <c r="AN350" s="53"/>
      <c r="AO350" s="53"/>
      <c r="AP350" s="53"/>
      <c r="AQ350" s="53"/>
      <c r="AR350" s="53"/>
      <c r="AS350" s="53"/>
      <c r="AT350" s="53"/>
      <c r="AU350" s="53"/>
      <c r="AV350" s="53"/>
      <c r="AW350" s="53"/>
      <c r="AX350" s="53"/>
      <c r="AY350" s="53"/>
      <c r="AZ350" s="53"/>
      <c r="BA350" s="53"/>
      <c r="BB350" s="53"/>
      <c r="BC350" s="53"/>
      <c r="BD350" s="53"/>
      <c r="BE350" s="53"/>
      <c r="BF350" s="53"/>
      <c r="BG350" s="53"/>
      <c r="BH350" s="53"/>
      <c r="BI350" s="53"/>
      <c r="BJ350" s="53"/>
      <c r="BK350" s="53"/>
      <c r="BL350" s="53"/>
    </row>
    <row r="352" spans="1:64" ht="14.25" x14ac:dyDescent="0.2">
      <c r="A352" s="61" t="s">
        <v>303</v>
      </c>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row>
    <row r="353" spans="1:64" ht="14.25" x14ac:dyDescent="0.2">
      <c r="A353" s="61" t="s">
        <v>277</v>
      </c>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row>
    <row r="354" spans="1:64" ht="15" customHeight="1" x14ac:dyDescent="0.2">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c r="AS354" s="58"/>
      <c r="AT354" s="58"/>
      <c r="AU354" s="58"/>
      <c r="AV354" s="58"/>
      <c r="AW354" s="58"/>
      <c r="AX354" s="58"/>
      <c r="AY354" s="58"/>
      <c r="AZ354" s="58"/>
      <c r="BA354" s="58"/>
      <c r="BB354" s="58"/>
      <c r="BC354" s="58"/>
      <c r="BD354" s="58"/>
      <c r="BE354" s="58"/>
      <c r="BF354" s="58"/>
      <c r="BG354" s="58"/>
      <c r="BH354" s="58"/>
      <c r="BI354" s="58"/>
      <c r="BJ354" s="58"/>
      <c r="BK354" s="58"/>
      <c r="BL354" s="58"/>
    </row>
    <row r="355" spans="1:64" ht="18.95" customHeight="1" x14ac:dyDescent="0.2">
      <c r="A355" s="52" t="s">
        <v>310</v>
      </c>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c r="AB355" s="17"/>
      <c r="AC355" s="17"/>
      <c r="AD355" s="17"/>
      <c r="AE355" s="17"/>
      <c r="AF355" s="17"/>
      <c r="AG355" s="17"/>
      <c r="AH355" s="59"/>
      <c r="AI355" s="59"/>
      <c r="AJ355" s="59"/>
      <c r="AK355" s="59"/>
      <c r="AL355" s="59"/>
      <c r="AM355" s="59"/>
      <c r="AN355" s="59"/>
      <c r="AO355" s="59"/>
      <c r="AP355" s="59"/>
      <c r="AQ355" s="17"/>
      <c r="AR355" s="17"/>
      <c r="AS355" s="17"/>
      <c r="AT355" s="17"/>
      <c r="AU355" s="60" t="s">
        <v>311</v>
      </c>
      <c r="AV355" s="56"/>
      <c r="AW355" s="56"/>
      <c r="AX355" s="56"/>
      <c r="AY355" s="56"/>
      <c r="AZ355" s="56"/>
      <c r="BA355" s="56"/>
      <c r="BB355" s="56"/>
      <c r="BC355" s="56"/>
      <c r="BD355" s="56"/>
      <c r="BE355" s="56"/>
      <c r="BF355" s="56"/>
    </row>
    <row r="356" spans="1:64" ht="12.75" customHeight="1" x14ac:dyDescent="0.2">
      <c r="AB356" s="18"/>
      <c r="AC356" s="18"/>
      <c r="AD356" s="18"/>
      <c r="AE356" s="18"/>
      <c r="AF356" s="18"/>
      <c r="AG356" s="18"/>
      <c r="AH356" s="57" t="s">
        <v>1</v>
      </c>
      <c r="AI356" s="57"/>
      <c r="AJ356" s="57"/>
      <c r="AK356" s="57"/>
      <c r="AL356" s="57"/>
      <c r="AM356" s="57"/>
      <c r="AN356" s="57"/>
      <c r="AO356" s="57"/>
      <c r="AP356" s="57"/>
      <c r="AQ356" s="18"/>
      <c r="AR356" s="18"/>
      <c r="AS356" s="18"/>
      <c r="AT356" s="18"/>
      <c r="AU356" s="57" t="s">
        <v>171</v>
      </c>
      <c r="AV356" s="57"/>
      <c r="AW356" s="57"/>
      <c r="AX356" s="57"/>
      <c r="AY356" s="57"/>
      <c r="AZ356" s="57"/>
      <c r="BA356" s="57"/>
      <c r="BB356" s="57"/>
      <c r="BC356" s="57"/>
      <c r="BD356" s="57"/>
      <c r="BE356" s="57"/>
      <c r="BF356" s="57"/>
    </row>
    <row r="357" spans="1:64" ht="15" x14ac:dyDescent="0.2">
      <c r="AB357" s="18"/>
      <c r="AC357" s="18"/>
      <c r="AD357" s="18"/>
      <c r="AE357" s="18"/>
      <c r="AF357" s="18"/>
      <c r="AG357" s="18"/>
      <c r="AH357" s="19"/>
      <c r="AI357" s="19"/>
      <c r="AJ357" s="19"/>
      <c r="AK357" s="19"/>
      <c r="AL357" s="19"/>
      <c r="AM357" s="19"/>
      <c r="AN357" s="19"/>
      <c r="AO357" s="19"/>
      <c r="AP357" s="19"/>
      <c r="AQ357" s="18"/>
      <c r="AR357" s="18"/>
      <c r="AS357" s="18"/>
      <c r="AT357" s="18"/>
      <c r="AU357" s="19"/>
      <c r="AV357" s="19"/>
      <c r="AW357" s="19"/>
      <c r="AX357" s="19"/>
      <c r="AY357" s="19"/>
      <c r="AZ357" s="19"/>
      <c r="BA357" s="19"/>
      <c r="BB357" s="19"/>
      <c r="BC357" s="19"/>
      <c r="BD357" s="19"/>
      <c r="BE357" s="19"/>
      <c r="BF357" s="19"/>
    </row>
    <row r="358" spans="1:64" ht="18" customHeight="1" x14ac:dyDescent="0.2">
      <c r="A358" s="52" t="s">
        <v>312</v>
      </c>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c r="AB358" s="18"/>
      <c r="AC358" s="18"/>
      <c r="AD358" s="18"/>
      <c r="AE358" s="18"/>
      <c r="AF358" s="18"/>
      <c r="AG358" s="18"/>
      <c r="AH358" s="54"/>
      <c r="AI358" s="54"/>
      <c r="AJ358" s="54"/>
      <c r="AK358" s="54"/>
      <c r="AL358" s="54"/>
      <c r="AM358" s="54"/>
      <c r="AN358" s="54"/>
      <c r="AO358" s="54"/>
      <c r="AP358" s="54"/>
      <c r="AQ358" s="18"/>
      <c r="AR358" s="18"/>
      <c r="AS358" s="18"/>
      <c r="AT358" s="18"/>
      <c r="AU358" s="55" t="s">
        <v>313</v>
      </c>
      <c r="AV358" s="56"/>
      <c r="AW358" s="56"/>
      <c r="AX358" s="56"/>
      <c r="AY358" s="56"/>
      <c r="AZ358" s="56"/>
      <c r="BA358" s="56"/>
      <c r="BB358" s="56"/>
      <c r="BC358" s="56"/>
      <c r="BD358" s="56"/>
      <c r="BE358" s="56"/>
      <c r="BF358" s="56"/>
    </row>
    <row r="359" spans="1:64" ht="12" customHeight="1" x14ac:dyDescent="0.2">
      <c r="AB359" s="18"/>
      <c r="AC359" s="18"/>
      <c r="AD359" s="18"/>
      <c r="AE359" s="18"/>
      <c r="AF359" s="18"/>
      <c r="AG359" s="18"/>
      <c r="AH359" s="57" t="s">
        <v>1</v>
      </c>
      <c r="AI359" s="57"/>
      <c r="AJ359" s="57"/>
      <c r="AK359" s="57"/>
      <c r="AL359" s="57"/>
      <c r="AM359" s="57"/>
      <c r="AN359" s="57"/>
      <c r="AO359" s="57"/>
      <c r="AP359" s="57"/>
      <c r="AQ359" s="18"/>
      <c r="AR359" s="18"/>
      <c r="AS359" s="18"/>
      <c r="AT359" s="18"/>
      <c r="AU359" s="57" t="s">
        <v>171</v>
      </c>
      <c r="AV359" s="57"/>
      <c r="AW359" s="57"/>
      <c r="AX359" s="57"/>
      <c r="AY359" s="57"/>
      <c r="AZ359" s="57"/>
      <c r="BA359" s="57"/>
      <c r="BB359" s="57"/>
      <c r="BC359" s="57"/>
      <c r="BD359" s="57"/>
      <c r="BE359" s="57"/>
      <c r="BF359" s="57"/>
    </row>
  </sheetData>
  <mergeCells count="3014">
    <mergeCell ref="BN1:BZ1"/>
    <mergeCell ref="A2:BZ2"/>
    <mergeCell ref="B4:AF4"/>
    <mergeCell ref="AH4:AR4"/>
    <mergeCell ref="AT4:BA4"/>
    <mergeCell ref="A5:AF5"/>
    <mergeCell ref="AH5:AR5"/>
    <mergeCell ref="AT5:BA5"/>
    <mergeCell ref="A13:BY13"/>
    <mergeCell ref="A14:BY14"/>
    <mergeCell ref="A15:BY15"/>
    <mergeCell ref="A17:BY17"/>
    <mergeCell ref="A18:BY18"/>
    <mergeCell ref="A20:BY20"/>
    <mergeCell ref="B10:L10"/>
    <mergeCell ref="N10:Y10"/>
    <mergeCell ref="AA10:AI10"/>
    <mergeCell ref="AK10:BJ10"/>
    <mergeCell ref="BL10:BS10"/>
    <mergeCell ref="B11:L11"/>
    <mergeCell ref="N11:Y11"/>
    <mergeCell ref="AA11:AI11"/>
    <mergeCell ref="AK11:BJ11"/>
    <mergeCell ref="BL11:BS11"/>
    <mergeCell ref="B7:AF7"/>
    <mergeCell ref="AH7:BA7"/>
    <mergeCell ref="BC7:BJ7"/>
    <mergeCell ref="A8:AF8"/>
    <mergeCell ref="AH8:BA8"/>
    <mergeCell ref="BC8:BJ8"/>
    <mergeCell ref="BB27:BF27"/>
    <mergeCell ref="BG27:BK27"/>
    <mergeCell ref="BL27:BP27"/>
    <mergeCell ref="BQ27:BT27"/>
    <mergeCell ref="BU27:BY27"/>
    <mergeCell ref="A28:D28"/>
    <mergeCell ref="E28:T28"/>
    <mergeCell ref="U28:Y28"/>
    <mergeCell ref="Z28:AD28"/>
    <mergeCell ref="AE28:AH28"/>
    <mergeCell ref="Z27:AD27"/>
    <mergeCell ref="AE27:AH27"/>
    <mergeCell ref="AI27:AM27"/>
    <mergeCell ref="AN27:AR27"/>
    <mergeCell ref="AS27:AW27"/>
    <mergeCell ref="AX27:BA27"/>
    <mergeCell ref="A21:BY21"/>
    <mergeCell ref="A23:BY23"/>
    <mergeCell ref="A24:BY24"/>
    <mergeCell ref="A25:BY25"/>
    <mergeCell ref="A26:D27"/>
    <mergeCell ref="E26:T27"/>
    <mergeCell ref="U26:AM26"/>
    <mergeCell ref="AN26:BF26"/>
    <mergeCell ref="BG26:BY26"/>
    <mergeCell ref="U27:Y27"/>
    <mergeCell ref="BU29:BY29"/>
    <mergeCell ref="A30:D30"/>
    <mergeCell ref="E30:T30"/>
    <mergeCell ref="U30:Y30"/>
    <mergeCell ref="Z30:AD30"/>
    <mergeCell ref="AE30:AH30"/>
    <mergeCell ref="AI30:AM30"/>
    <mergeCell ref="AN30:AR30"/>
    <mergeCell ref="AS30:AW30"/>
    <mergeCell ref="AX30:BA30"/>
    <mergeCell ref="AS29:AW29"/>
    <mergeCell ref="AX29:BA29"/>
    <mergeCell ref="BB29:BF29"/>
    <mergeCell ref="BG29:BK29"/>
    <mergeCell ref="BL29:BP29"/>
    <mergeCell ref="BQ29:BT29"/>
    <mergeCell ref="BL28:BP28"/>
    <mergeCell ref="BQ28:BT28"/>
    <mergeCell ref="BU28:BY28"/>
    <mergeCell ref="A29:D29"/>
    <mergeCell ref="E29:T29"/>
    <mergeCell ref="U29:Y29"/>
    <mergeCell ref="Z29:AD29"/>
    <mergeCell ref="AE29:AH29"/>
    <mergeCell ref="AI29:AM29"/>
    <mergeCell ref="AN29:AR29"/>
    <mergeCell ref="AI28:AM28"/>
    <mergeCell ref="AN28:AR28"/>
    <mergeCell ref="AS28:AW28"/>
    <mergeCell ref="AX28:BA28"/>
    <mergeCell ref="BB28:BF28"/>
    <mergeCell ref="BG28:BK28"/>
    <mergeCell ref="A36:BK36"/>
    <mergeCell ref="A37:D38"/>
    <mergeCell ref="E37:W38"/>
    <mergeCell ref="X37:AQ37"/>
    <mergeCell ref="AR37:BK37"/>
    <mergeCell ref="X38:AB38"/>
    <mergeCell ref="AC38:AG38"/>
    <mergeCell ref="AH38:AL38"/>
    <mergeCell ref="AM38:AQ38"/>
    <mergeCell ref="AR38:AV38"/>
    <mergeCell ref="BB30:BF30"/>
    <mergeCell ref="BG30:BK30"/>
    <mergeCell ref="BL30:BP30"/>
    <mergeCell ref="BQ30:BT30"/>
    <mergeCell ref="BU30:BY30"/>
    <mergeCell ref="A35:BL35"/>
    <mergeCell ref="AI31:AM31"/>
    <mergeCell ref="AN31:AR31"/>
    <mergeCell ref="AS31:AW31"/>
    <mergeCell ref="AX31:BA31"/>
    <mergeCell ref="AW39:BA39"/>
    <mergeCell ref="BB39:BF39"/>
    <mergeCell ref="BG39:BK39"/>
    <mergeCell ref="A40:D40"/>
    <mergeCell ref="E40:W40"/>
    <mergeCell ref="X40:AB40"/>
    <mergeCell ref="AC40:AG40"/>
    <mergeCell ref="AH40:AL40"/>
    <mergeCell ref="AM40:AQ40"/>
    <mergeCell ref="AR40:AV40"/>
    <mergeCell ref="AW38:BA38"/>
    <mergeCell ref="BB38:BF38"/>
    <mergeCell ref="BG38:BK38"/>
    <mergeCell ref="A39:D39"/>
    <mergeCell ref="E39:W39"/>
    <mergeCell ref="X39:AB39"/>
    <mergeCell ref="AC39:AG39"/>
    <mergeCell ref="AH39:AL39"/>
    <mergeCell ref="AM39:AQ39"/>
    <mergeCell ref="AR39:AV39"/>
    <mergeCell ref="AW41:BA41"/>
    <mergeCell ref="BB41:BF41"/>
    <mergeCell ref="BG41:BK41"/>
    <mergeCell ref="A46:BY46"/>
    <mergeCell ref="A47:BY47"/>
    <mergeCell ref="A48:BY48"/>
    <mergeCell ref="AM42:AQ42"/>
    <mergeCell ref="AR42:AV42"/>
    <mergeCell ref="AW42:BA42"/>
    <mergeCell ref="BB42:BF42"/>
    <mergeCell ref="AW40:BA40"/>
    <mergeCell ref="BB40:BF40"/>
    <mergeCell ref="BG40:BK40"/>
    <mergeCell ref="A41:D41"/>
    <mergeCell ref="E41:W41"/>
    <mergeCell ref="X41:AB41"/>
    <mergeCell ref="AC41:AG41"/>
    <mergeCell ref="AH41:AL41"/>
    <mergeCell ref="AM41:AQ41"/>
    <mergeCell ref="AR41:AV41"/>
    <mergeCell ref="BU50:BY50"/>
    <mergeCell ref="A51:D51"/>
    <mergeCell ref="E51:T51"/>
    <mergeCell ref="U51:Y51"/>
    <mergeCell ref="Z51:AD51"/>
    <mergeCell ref="AE51:AH51"/>
    <mergeCell ref="AI51:AM51"/>
    <mergeCell ref="AN51:AR51"/>
    <mergeCell ref="AS51:AW51"/>
    <mergeCell ref="AX51:BA51"/>
    <mergeCell ref="AS50:AW50"/>
    <mergeCell ref="AX50:BA50"/>
    <mergeCell ref="BB50:BF50"/>
    <mergeCell ref="BG50:BK50"/>
    <mergeCell ref="BL50:BP50"/>
    <mergeCell ref="BQ50:BT50"/>
    <mergeCell ref="A49:D50"/>
    <mergeCell ref="E49:T50"/>
    <mergeCell ref="U49:AM49"/>
    <mergeCell ref="AN49:BF49"/>
    <mergeCell ref="BG49:BY49"/>
    <mergeCell ref="U50:Y50"/>
    <mergeCell ref="Z50:AD50"/>
    <mergeCell ref="AE50:AH50"/>
    <mergeCell ref="AI50:AM50"/>
    <mergeCell ref="AN50:AR50"/>
    <mergeCell ref="BL52:BP52"/>
    <mergeCell ref="BQ52:BT52"/>
    <mergeCell ref="BU52:BY52"/>
    <mergeCell ref="A53:D53"/>
    <mergeCell ref="E53:T53"/>
    <mergeCell ref="U53:Y53"/>
    <mergeCell ref="Z53:AD53"/>
    <mergeCell ref="AE53:AH53"/>
    <mergeCell ref="AI53:AM53"/>
    <mergeCell ref="AN53:AR53"/>
    <mergeCell ref="AI52:AM52"/>
    <mergeCell ref="AN52:AR52"/>
    <mergeCell ref="AS52:AW52"/>
    <mergeCell ref="AX52:BA52"/>
    <mergeCell ref="BB52:BF52"/>
    <mergeCell ref="BG52:BK52"/>
    <mergeCell ref="BB51:BF51"/>
    <mergeCell ref="BG51:BK51"/>
    <mergeCell ref="BL51:BP51"/>
    <mergeCell ref="BQ51:BT51"/>
    <mergeCell ref="BU51:BY51"/>
    <mergeCell ref="A52:D52"/>
    <mergeCell ref="E52:T52"/>
    <mergeCell ref="U52:Y52"/>
    <mergeCell ref="Z52:AD52"/>
    <mergeCell ref="AE52:AH52"/>
    <mergeCell ref="BG69:BK69"/>
    <mergeCell ref="BL69:BP69"/>
    <mergeCell ref="BQ69:BT69"/>
    <mergeCell ref="BU69:BY69"/>
    <mergeCell ref="A70:E70"/>
    <mergeCell ref="F70:T70"/>
    <mergeCell ref="U70:Y70"/>
    <mergeCell ref="Z70:AD70"/>
    <mergeCell ref="AE70:AH70"/>
    <mergeCell ref="AI70:AM70"/>
    <mergeCell ref="AE69:AH69"/>
    <mergeCell ref="AI69:AM69"/>
    <mergeCell ref="AN69:AR69"/>
    <mergeCell ref="AS69:AW69"/>
    <mergeCell ref="AX69:BA69"/>
    <mergeCell ref="BB69:BF69"/>
    <mergeCell ref="BU53:BY53"/>
    <mergeCell ref="A66:BL66"/>
    <mergeCell ref="A67:BY67"/>
    <mergeCell ref="A68:E69"/>
    <mergeCell ref="F68:T69"/>
    <mergeCell ref="U68:AM68"/>
    <mergeCell ref="AN68:BF68"/>
    <mergeCell ref="BG68:BY68"/>
    <mergeCell ref="U69:Y69"/>
    <mergeCell ref="Z69:AD69"/>
    <mergeCell ref="AS53:AW53"/>
    <mergeCell ref="AX53:BA53"/>
    <mergeCell ref="BB53:BF53"/>
    <mergeCell ref="BG53:BK53"/>
    <mergeCell ref="BL53:BP53"/>
    <mergeCell ref="BQ53:BT53"/>
    <mergeCell ref="AX71:BA71"/>
    <mergeCell ref="BB71:BF71"/>
    <mergeCell ref="BG71:BK71"/>
    <mergeCell ref="BL71:BP71"/>
    <mergeCell ref="BQ71:BT71"/>
    <mergeCell ref="BU71:BY71"/>
    <mergeCell ref="BQ70:BT70"/>
    <mergeCell ref="BU70:BY70"/>
    <mergeCell ref="A71:E71"/>
    <mergeCell ref="F71:T71"/>
    <mergeCell ref="U71:Y71"/>
    <mergeCell ref="Z71:AD71"/>
    <mergeCell ref="AE71:AH71"/>
    <mergeCell ref="AI71:AM71"/>
    <mergeCell ref="AN71:AR71"/>
    <mergeCell ref="AS71:AW71"/>
    <mergeCell ref="AN70:AR70"/>
    <mergeCell ref="AS70:AW70"/>
    <mergeCell ref="AX70:BA70"/>
    <mergeCell ref="BB70:BF70"/>
    <mergeCell ref="BG70:BK70"/>
    <mergeCell ref="BL70:BP70"/>
    <mergeCell ref="BQ72:BT72"/>
    <mergeCell ref="BU72:BY72"/>
    <mergeCell ref="A74:BL74"/>
    <mergeCell ref="A75:BK75"/>
    <mergeCell ref="A76:D77"/>
    <mergeCell ref="E76:W77"/>
    <mergeCell ref="X76:AQ76"/>
    <mergeCell ref="AR76:BK76"/>
    <mergeCell ref="X77:AB77"/>
    <mergeCell ref="AC77:AG77"/>
    <mergeCell ref="AN72:AR72"/>
    <mergeCell ref="AS72:AW72"/>
    <mergeCell ref="AX72:BA72"/>
    <mergeCell ref="BB72:BF72"/>
    <mergeCell ref="BG72:BK72"/>
    <mergeCell ref="BL72:BP72"/>
    <mergeCell ref="A72:E72"/>
    <mergeCell ref="F72:T72"/>
    <mergeCell ref="U72:Y72"/>
    <mergeCell ref="Z72:AD72"/>
    <mergeCell ref="AE72:AH72"/>
    <mergeCell ref="AI72:AM72"/>
    <mergeCell ref="AR78:AV78"/>
    <mergeCell ref="AW78:BA78"/>
    <mergeCell ref="BB78:BF78"/>
    <mergeCell ref="BG78:BK78"/>
    <mergeCell ref="A79:D79"/>
    <mergeCell ref="E79:W79"/>
    <mergeCell ref="X79:AB79"/>
    <mergeCell ref="AC79:AG79"/>
    <mergeCell ref="AH79:AL79"/>
    <mergeCell ref="AM79:AQ79"/>
    <mergeCell ref="A78:D78"/>
    <mergeCell ref="E78:W78"/>
    <mergeCell ref="X78:AB78"/>
    <mergeCell ref="AC78:AG78"/>
    <mergeCell ref="AH78:AL78"/>
    <mergeCell ref="AM78:AQ78"/>
    <mergeCell ref="AH77:AL77"/>
    <mergeCell ref="AM77:AQ77"/>
    <mergeCell ref="AR77:AV77"/>
    <mergeCell ref="AW77:BA77"/>
    <mergeCell ref="BB77:BF77"/>
    <mergeCell ref="BG77:BK77"/>
    <mergeCell ref="AR80:AV80"/>
    <mergeCell ref="AW80:BA80"/>
    <mergeCell ref="BB80:BF80"/>
    <mergeCell ref="BG80:BK80"/>
    <mergeCell ref="A93:BL93"/>
    <mergeCell ref="A94:BK94"/>
    <mergeCell ref="AM81:AQ81"/>
    <mergeCell ref="AR81:AV81"/>
    <mergeCell ref="AW81:BA81"/>
    <mergeCell ref="BB81:BF81"/>
    <mergeCell ref="AR79:AV79"/>
    <mergeCell ref="AW79:BA79"/>
    <mergeCell ref="BB79:BF79"/>
    <mergeCell ref="BG79:BK79"/>
    <mergeCell ref="A80:D80"/>
    <mergeCell ref="E80:W80"/>
    <mergeCell ref="X80:AB80"/>
    <mergeCell ref="AC80:AG80"/>
    <mergeCell ref="AH80:AL80"/>
    <mergeCell ref="AM80:AQ80"/>
    <mergeCell ref="BB96:BF96"/>
    <mergeCell ref="BG96:BK96"/>
    <mergeCell ref="A97:E97"/>
    <mergeCell ref="F97:W97"/>
    <mergeCell ref="X97:AB97"/>
    <mergeCell ref="AC97:AG97"/>
    <mergeCell ref="AH97:AL97"/>
    <mergeCell ref="AM97:AQ97"/>
    <mergeCell ref="AR97:AV97"/>
    <mergeCell ref="AW97:BA97"/>
    <mergeCell ref="A95:E96"/>
    <mergeCell ref="F95:W96"/>
    <mergeCell ref="X95:AQ95"/>
    <mergeCell ref="AR95:BK95"/>
    <mergeCell ref="X96:AB96"/>
    <mergeCell ref="AC96:AG96"/>
    <mergeCell ref="AH96:AL96"/>
    <mergeCell ref="AM96:AQ96"/>
    <mergeCell ref="AR96:AV96"/>
    <mergeCell ref="AW96:BA96"/>
    <mergeCell ref="BB98:BF98"/>
    <mergeCell ref="BG98:BK98"/>
    <mergeCell ref="A99:E99"/>
    <mergeCell ref="F99:W99"/>
    <mergeCell ref="X99:AB99"/>
    <mergeCell ref="AC99:AG99"/>
    <mergeCell ref="AH99:AL99"/>
    <mergeCell ref="AM99:AQ99"/>
    <mergeCell ref="AR99:AV99"/>
    <mergeCell ref="AW99:BA99"/>
    <mergeCell ref="BB97:BF97"/>
    <mergeCell ref="BG97:BK97"/>
    <mergeCell ref="A98:E98"/>
    <mergeCell ref="F98:W98"/>
    <mergeCell ref="X98:AB98"/>
    <mergeCell ref="AC98:AG98"/>
    <mergeCell ref="AH98:AL98"/>
    <mergeCell ref="AM98:AQ98"/>
    <mergeCell ref="AR98:AV98"/>
    <mergeCell ref="AW98:BA98"/>
    <mergeCell ref="AX105:BA105"/>
    <mergeCell ref="BB105:BF105"/>
    <mergeCell ref="BG105:BK105"/>
    <mergeCell ref="BL105:BP105"/>
    <mergeCell ref="BQ105:BT105"/>
    <mergeCell ref="BU105:BY105"/>
    <mergeCell ref="U105:Y105"/>
    <mergeCell ref="Z105:AD105"/>
    <mergeCell ref="AE105:AH105"/>
    <mergeCell ref="AI105:AM105"/>
    <mergeCell ref="AN105:AR105"/>
    <mergeCell ref="AS105:AW105"/>
    <mergeCell ref="BB99:BF99"/>
    <mergeCell ref="BG99:BK99"/>
    <mergeCell ref="A101:BL101"/>
    <mergeCell ref="A102:BL102"/>
    <mergeCell ref="A103:BY103"/>
    <mergeCell ref="A104:C105"/>
    <mergeCell ref="D104:T105"/>
    <mergeCell ref="U104:AM104"/>
    <mergeCell ref="AN104:BF104"/>
    <mergeCell ref="BG104:BY104"/>
    <mergeCell ref="AX107:BA107"/>
    <mergeCell ref="BB107:BF107"/>
    <mergeCell ref="BG107:BK107"/>
    <mergeCell ref="BL107:BP107"/>
    <mergeCell ref="BQ107:BT107"/>
    <mergeCell ref="BU107:BY107"/>
    <mergeCell ref="BQ106:BT106"/>
    <mergeCell ref="BU106:BY106"/>
    <mergeCell ref="A107:C107"/>
    <mergeCell ref="D107:T107"/>
    <mergeCell ref="U107:Y107"/>
    <mergeCell ref="Z107:AD107"/>
    <mergeCell ref="AE107:AH107"/>
    <mergeCell ref="AI107:AM107"/>
    <mergeCell ref="AN107:AR107"/>
    <mergeCell ref="AS107:AW107"/>
    <mergeCell ref="AN106:AR106"/>
    <mergeCell ref="AS106:AW106"/>
    <mergeCell ref="AX106:BA106"/>
    <mergeCell ref="BB106:BF106"/>
    <mergeCell ref="BG106:BK106"/>
    <mergeCell ref="BL106:BP106"/>
    <mergeCell ref="A106:C106"/>
    <mergeCell ref="D106:T106"/>
    <mergeCell ref="U106:Y106"/>
    <mergeCell ref="Z106:AD106"/>
    <mergeCell ref="AE106:AH106"/>
    <mergeCell ref="AI106:AM106"/>
    <mergeCell ref="AE152:AI152"/>
    <mergeCell ref="AJ152:AN152"/>
    <mergeCell ref="AO152:AS152"/>
    <mergeCell ref="AT152:AX152"/>
    <mergeCell ref="AY152:BC152"/>
    <mergeCell ref="BD152:BH152"/>
    <mergeCell ref="BQ108:BT108"/>
    <mergeCell ref="BU108:BY108"/>
    <mergeCell ref="A149:BL149"/>
    <mergeCell ref="A150:BH150"/>
    <mergeCell ref="A151:C152"/>
    <mergeCell ref="D151:T152"/>
    <mergeCell ref="U151:AN151"/>
    <mergeCell ref="AO151:BH151"/>
    <mergeCell ref="U152:Y152"/>
    <mergeCell ref="Z152:AD152"/>
    <mergeCell ref="AN108:AR108"/>
    <mergeCell ref="AS108:AW108"/>
    <mergeCell ref="AX108:BA108"/>
    <mergeCell ref="BB108:BF108"/>
    <mergeCell ref="BG108:BK108"/>
    <mergeCell ref="BL108:BP108"/>
    <mergeCell ref="A108:C108"/>
    <mergeCell ref="D108:T108"/>
    <mergeCell ref="U108:Y108"/>
    <mergeCell ref="Z108:AD108"/>
    <mergeCell ref="AE108:AH108"/>
    <mergeCell ref="AI108:AM108"/>
    <mergeCell ref="AO154:AS154"/>
    <mergeCell ref="AT154:AX154"/>
    <mergeCell ref="AY154:BC154"/>
    <mergeCell ref="BD154:BH154"/>
    <mergeCell ref="A155:C155"/>
    <mergeCell ref="D155:T155"/>
    <mergeCell ref="U155:Y155"/>
    <mergeCell ref="Z155:AD155"/>
    <mergeCell ref="AE155:AI155"/>
    <mergeCell ref="AJ155:AN155"/>
    <mergeCell ref="AO153:AS153"/>
    <mergeCell ref="AT153:AX153"/>
    <mergeCell ref="AY153:BC153"/>
    <mergeCell ref="BD153:BH153"/>
    <mergeCell ref="A154:C154"/>
    <mergeCell ref="D154:T154"/>
    <mergeCell ref="U154:Y154"/>
    <mergeCell ref="Z154:AD154"/>
    <mergeCell ref="AE154:AI154"/>
    <mergeCell ref="AJ154:AN154"/>
    <mergeCell ref="A153:C153"/>
    <mergeCell ref="D153:T153"/>
    <mergeCell ref="U153:Y153"/>
    <mergeCell ref="Z153:AD153"/>
    <mergeCell ref="AE153:AI153"/>
    <mergeCell ref="AJ153:AN153"/>
    <mergeCell ref="BJ198:BX198"/>
    <mergeCell ref="AF199:AJ199"/>
    <mergeCell ref="AK199:AO199"/>
    <mergeCell ref="AP199:AT199"/>
    <mergeCell ref="AU199:AY199"/>
    <mergeCell ref="AZ199:BD199"/>
    <mergeCell ref="BE199:BI199"/>
    <mergeCell ref="BJ199:BN199"/>
    <mergeCell ref="BO199:BS199"/>
    <mergeCell ref="BT199:BX199"/>
    <mergeCell ref="A198:C199"/>
    <mergeCell ref="D198:P199"/>
    <mergeCell ref="Q198:U199"/>
    <mergeCell ref="V198:AE199"/>
    <mergeCell ref="AF198:AT198"/>
    <mergeCell ref="AU198:BI198"/>
    <mergeCell ref="AO155:AS155"/>
    <mergeCell ref="AT155:AX155"/>
    <mergeCell ref="AY155:BC155"/>
    <mergeCell ref="BD155:BH155"/>
    <mergeCell ref="A196:BL196"/>
    <mergeCell ref="A197:BL197"/>
    <mergeCell ref="AJ156:AN156"/>
    <mergeCell ref="AO156:AS156"/>
    <mergeCell ref="AT156:AX156"/>
    <mergeCell ref="AY156:BC156"/>
    <mergeCell ref="BE201:BI201"/>
    <mergeCell ref="BJ201:BN201"/>
    <mergeCell ref="BO201:BS201"/>
    <mergeCell ref="BT201:BX201"/>
    <mergeCell ref="A202:C202"/>
    <mergeCell ref="D202:P202"/>
    <mergeCell ref="Q202:U202"/>
    <mergeCell ref="V202:AE202"/>
    <mergeCell ref="AF202:AJ202"/>
    <mergeCell ref="AK202:AO202"/>
    <mergeCell ref="BT200:BX200"/>
    <mergeCell ref="A201:C201"/>
    <mergeCell ref="D201:P201"/>
    <mergeCell ref="Q201:U201"/>
    <mergeCell ref="V201:AE201"/>
    <mergeCell ref="AF201:AJ201"/>
    <mergeCell ref="AK201:AO201"/>
    <mergeCell ref="AP201:AT201"/>
    <mergeCell ref="AU201:AY201"/>
    <mergeCell ref="AZ201:BD201"/>
    <mergeCell ref="AP200:AT200"/>
    <mergeCell ref="AU200:AY200"/>
    <mergeCell ref="AZ200:BD200"/>
    <mergeCell ref="BE200:BI200"/>
    <mergeCell ref="BJ200:BN200"/>
    <mergeCell ref="BO200:BS200"/>
    <mergeCell ref="A200:C200"/>
    <mergeCell ref="D200:P200"/>
    <mergeCell ref="Q200:U200"/>
    <mergeCell ref="V200:AE200"/>
    <mergeCell ref="AF200:AJ200"/>
    <mergeCell ref="AK200:AO200"/>
    <mergeCell ref="AP217:AT217"/>
    <mergeCell ref="AU217:AY217"/>
    <mergeCell ref="AZ217:BD217"/>
    <mergeCell ref="BE217:BI217"/>
    <mergeCell ref="A218:C218"/>
    <mergeCell ref="D218:P218"/>
    <mergeCell ref="Q218:U218"/>
    <mergeCell ref="V218:AE218"/>
    <mergeCell ref="AF218:AJ218"/>
    <mergeCell ref="AK218:AO218"/>
    <mergeCell ref="BT202:BX202"/>
    <mergeCell ref="A215:BL215"/>
    <mergeCell ref="A216:C217"/>
    <mergeCell ref="D216:P217"/>
    <mergeCell ref="Q216:U217"/>
    <mergeCell ref="V216:AE217"/>
    <mergeCell ref="AF216:AT216"/>
    <mergeCell ref="AU216:BI216"/>
    <mergeCell ref="AF217:AJ217"/>
    <mergeCell ref="AK217:AO217"/>
    <mergeCell ref="AP202:AT202"/>
    <mergeCell ref="AU202:AY202"/>
    <mergeCell ref="AZ202:BD202"/>
    <mergeCell ref="BE202:BI202"/>
    <mergeCell ref="BJ202:BN202"/>
    <mergeCell ref="BO202:BS202"/>
    <mergeCell ref="AP219:AT219"/>
    <mergeCell ref="AU219:AY219"/>
    <mergeCell ref="AZ219:BD219"/>
    <mergeCell ref="BE219:BI219"/>
    <mergeCell ref="A220:C220"/>
    <mergeCell ref="D220:P220"/>
    <mergeCell ref="Q220:U220"/>
    <mergeCell ref="V220:AE220"/>
    <mergeCell ref="AF220:AJ220"/>
    <mergeCell ref="AK220:AO220"/>
    <mergeCell ref="AP218:AT218"/>
    <mergeCell ref="AU218:AY218"/>
    <mergeCell ref="AZ218:BD218"/>
    <mergeCell ref="BE218:BI218"/>
    <mergeCell ref="A219:C219"/>
    <mergeCell ref="D219:P219"/>
    <mergeCell ref="Q219:U219"/>
    <mergeCell ref="V219:AE219"/>
    <mergeCell ref="AF219:AJ219"/>
    <mergeCell ref="AK219:AO219"/>
    <mergeCell ref="AO236:AS236"/>
    <mergeCell ref="AT236:AX236"/>
    <mergeCell ref="AY236:BC236"/>
    <mergeCell ref="BD236:BH236"/>
    <mergeCell ref="BI236:BM236"/>
    <mergeCell ref="BN236:BR236"/>
    <mergeCell ref="A235:T236"/>
    <mergeCell ref="U235:AD235"/>
    <mergeCell ref="AE235:AN235"/>
    <mergeCell ref="AO235:AX235"/>
    <mergeCell ref="AY235:BH235"/>
    <mergeCell ref="BI235:BR235"/>
    <mergeCell ref="U236:Y236"/>
    <mergeCell ref="Z236:AD236"/>
    <mergeCell ref="AE236:AI236"/>
    <mergeCell ref="AJ236:AN236"/>
    <mergeCell ref="AP220:AT220"/>
    <mergeCell ref="AU220:AY220"/>
    <mergeCell ref="AZ220:BD220"/>
    <mergeCell ref="BE220:BI220"/>
    <mergeCell ref="A233:BL233"/>
    <mergeCell ref="A234:BR234"/>
    <mergeCell ref="BE221:BI221"/>
    <mergeCell ref="A222:C222"/>
    <mergeCell ref="D222:P222"/>
    <mergeCell ref="Q222:U222"/>
    <mergeCell ref="AO238:AS238"/>
    <mergeCell ref="AT238:AX238"/>
    <mergeCell ref="AY238:BC238"/>
    <mergeCell ref="BD238:BH238"/>
    <mergeCell ref="BI238:BM238"/>
    <mergeCell ref="BN238:BR238"/>
    <mergeCell ref="AT237:AX237"/>
    <mergeCell ref="AY237:BC237"/>
    <mergeCell ref="BD237:BH237"/>
    <mergeCell ref="BI237:BM237"/>
    <mergeCell ref="BN237:BR237"/>
    <mergeCell ref="A238:T238"/>
    <mergeCell ref="U238:Y238"/>
    <mergeCell ref="Z238:AD238"/>
    <mergeCell ref="AE238:AI238"/>
    <mergeCell ref="AJ238:AN238"/>
    <mergeCell ref="A237:T237"/>
    <mergeCell ref="U237:Y237"/>
    <mergeCell ref="Z237:AD237"/>
    <mergeCell ref="AE237:AI237"/>
    <mergeCell ref="AJ237:AN237"/>
    <mergeCell ref="AO237:AS237"/>
    <mergeCell ref="A251:C253"/>
    <mergeCell ref="D251:V253"/>
    <mergeCell ref="W251:AH251"/>
    <mergeCell ref="AI251:AT251"/>
    <mergeCell ref="AU251:AZ251"/>
    <mergeCell ref="BA251:BF251"/>
    <mergeCell ref="AT239:AX239"/>
    <mergeCell ref="AY239:BC239"/>
    <mergeCell ref="BD239:BH239"/>
    <mergeCell ref="BI239:BM239"/>
    <mergeCell ref="BN239:BR239"/>
    <mergeCell ref="A250:BL250"/>
    <mergeCell ref="BI240:BM240"/>
    <mergeCell ref="BN240:BR240"/>
    <mergeCell ref="A241:T241"/>
    <mergeCell ref="U241:Y241"/>
    <mergeCell ref="A239:T239"/>
    <mergeCell ref="U239:Y239"/>
    <mergeCell ref="Z239:AD239"/>
    <mergeCell ref="AE239:AI239"/>
    <mergeCell ref="AJ239:AN239"/>
    <mergeCell ref="AO239:AS239"/>
    <mergeCell ref="AF254:AH254"/>
    <mergeCell ref="BJ252:BL253"/>
    <mergeCell ref="W253:Y253"/>
    <mergeCell ref="Z253:AB253"/>
    <mergeCell ref="AC253:AE253"/>
    <mergeCell ref="AF253:AH253"/>
    <mergeCell ref="AI253:AK253"/>
    <mergeCell ref="AL253:AN253"/>
    <mergeCell ref="AO253:AQ253"/>
    <mergeCell ref="AR253:AT253"/>
    <mergeCell ref="BG251:BL251"/>
    <mergeCell ref="W252:AB252"/>
    <mergeCell ref="AC252:AH252"/>
    <mergeCell ref="AI252:AN252"/>
    <mergeCell ref="AO252:AT252"/>
    <mergeCell ref="AU252:AW253"/>
    <mergeCell ref="AX252:AZ253"/>
    <mergeCell ref="BA252:BC253"/>
    <mergeCell ref="BD252:BF253"/>
    <mergeCell ref="BG252:BI253"/>
    <mergeCell ref="D256:V256"/>
    <mergeCell ref="W256:Y256"/>
    <mergeCell ref="Z256:AB256"/>
    <mergeCell ref="AC256:AE256"/>
    <mergeCell ref="AF256:AH256"/>
    <mergeCell ref="AI255:AK255"/>
    <mergeCell ref="AL255:AN255"/>
    <mergeCell ref="AO255:AQ255"/>
    <mergeCell ref="AR255:AT255"/>
    <mergeCell ref="AU255:AW255"/>
    <mergeCell ref="AX255:AZ255"/>
    <mergeCell ref="BA254:BC254"/>
    <mergeCell ref="BD254:BF254"/>
    <mergeCell ref="BG254:BI254"/>
    <mergeCell ref="BJ254:BL254"/>
    <mergeCell ref="A255:C255"/>
    <mergeCell ref="D255:V255"/>
    <mergeCell ref="W255:Y255"/>
    <mergeCell ref="Z255:AB255"/>
    <mergeCell ref="AC255:AE255"/>
    <mergeCell ref="AF255:AH255"/>
    <mergeCell ref="AI254:AK254"/>
    <mergeCell ref="AL254:AN254"/>
    <mergeCell ref="AO254:AQ254"/>
    <mergeCell ref="AR254:AT254"/>
    <mergeCell ref="AU254:AW254"/>
    <mergeCell ref="AX254:AZ254"/>
    <mergeCell ref="A254:C254"/>
    <mergeCell ref="D254:V254"/>
    <mergeCell ref="W254:Y254"/>
    <mergeCell ref="Z254:AB254"/>
    <mergeCell ref="AC254:AE254"/>
    <mergeCell ref="AP266:AT266"/>
    <mergeCell ref="AU266:AY266"/>
    <mergeCell ref="AZ266:BD266"/>
    <mergeCell ref="BE266:BI266"/>
    <mergeCell ref="BJ266:BN266"/>
    <mergeCell ref="BO266:BS266"/>
    <mergeCell ref="A264:BS264"/>
    <mergeCell ref="A265:F266"/>
    <mergeCell ref="G265:S266"/>
    <mergeCell ref="T265:Z266"/>
    <mergeCell ref="AA265:AO265"/>
    <mergeCell ref="AP265:BD265"/>
    <mergeCell ref="BE265:BS265"/>
    <mergeCell ref="AA266:AE266"/>
    <mergeCell ref="AF266:AJ266"/>
    <mergeCell ref="AK266:AO266"/>
    <mergeCell ref="BA256:BC256"/>
    <mergeCell ref="BD256:BF256"/>
    <mergeCell ref="BG256:BI256"/>
    <mergeCell ref="BJ256:BL256"/>
    <mergeCell ref="A262:BL262"/>
    <mergeCell ref="A263:BS263"/>
    <mergeCell ref="AF257:AH257"/>
    <mergeCell ref="AI257:AK257"/>
    <mergeCell ref="AL257:AN257"/>
    <mergeCell ref="AO257:AQ257"/>
    <mergeCell ref="AI256:AK256"/>
    <mergeCell ref="AL256:AN256"/>
    <mergeCell ref="AO256:AQ256"/>
    <mergeCell ref="AR256:AT256"/>
    <mergeCell ref="AU256:AW256"/>
    <mergeCell ref="AX256:AZ256"/>
    <mergeCell ref="AP268:AT268"/>
    <mergeCell ref="AU268:AY268"/>
    <mergeCell ref="AZ268:BD268"/>
    <mergeCell ref="BE268:BI268"/>
    <mergeCell ref="BJ268:BN268"/>
    <mergeCell ref="BO268:BS268"/>
    <mergeCell ref="A268:F268"/>
    <mergeCell ref="G268:S268"/>
    <mergeCell ref="T268:Z268"/>
    <mergeCell ref="AA268:AE268"/>
    <mergeCell ref="AF268:AJ268"/>
    <mergeCell ref="AK268:AO268"/>
    <mergeCell ref="AP267:AT267"/>
    <mergeCell ref="AU267:AY267"/>
    <mergeCell ref="AZ267:BD267"/>
    <mergeCell ref="BE267:BI267"/>
    <mergeCell ref="BJ267:BN267"/>
    <mergeCell ref="BO267:BS267"/>
    <mergeCell ref="A267:F267"/>
    <mergeCell ref="G267:S267"/>
    <mergeCell ref="T267:Z267"/>
    <mergeCell ref="AA267:AE267"/>
    <mergeCell ref="AF267:AJ267"/>
    <mergeCell ref="AK267:AO267"/>
    <mergeCell ref="A271:BL271"/>
    <mergeCell ref="A272:BD272"/>
    <mergeCell ref="A273:F274"/>
    <mergeCell ref="G273:S274"/>
    <mergeCell ref="T273:Z274"/>
    <mergeCell ref="AA273:AO273"/>
    <mergeCell ref="AP273:BD273"/>
    <mergeCell ref="AA274:AE274"/>
    <mergeCell ref="AF274:AJ274"/>
    <mergeCell ref="AK274:AO274"/>
    <mergeCell ref="AP269:AT269"/>
    <mergeCell ref="AU269:AY269"/>
    <mergeCell ref="AZ269:BD269"/>
    <mergeCell ref="BE269:BI269"/>
    <mergeCell ref="BJ269:BN269"/>
    <mergeCell ref="BO269:BS269"/>
    <mergeCell ref="A269:F269"/>
    <mergeCell ref="G269:S269"/>
    <mergeCell ref="T269:Z269"/>
    <mergeCell ref="AA269:AE269"/>
    <mergeCell ref="AF269:AJ269"/>
    <mergeCell ref="AK269:AO269"/>
    <mergeCell ref="AU275:AY275"/>
    <mergeCell ref="AZ275:BD275"/>
    <mergeCell ref="A276:F276"/>
    <mergeCell ref="G276:S276"/>
    <mergeCell ref="T276:Z276"/>
    <mergeCell ref="AA276:AE276"/>
    <mergeCell ref="AF276:AJ276"/>
    <mergeCell ref="AK276:AO276"/>
    <mergeCell ref="AP276:AT276"/>
    <mergeCell ref="AU276:AY276"/>
    <mergeCell ref="AP274:AT274"/>
    <mergeCell ref="AU274:AY274"/>
    <mergeCell ref="AZ274:BD274"/>
    <mergeCell ref="A275:F275"/>
    <mergeCell ref="G275:S275"/>
    <mergeCell ref="T275:Z275"/>
    <mergeCell ref="AA275:AE275"/>
    <mergeCell ref="AF275:AJ275"/>
    <mergeCell ref="AK275:AO275"/>
    <mergeCell ref="AP275:AT275"/>
    <mergeCell ref="A279:BL279"/>
    <mergeCell ref="A280:BM280"/>
    <mergeCell ref="A281:M282"/>
    <mergeCell ref="N281:U282"/>
    <mergeCell ref="V281:Z282"/>
    <mergeCell ref="AA281:AI281"/>
    <mergeCell ref="AJ281:AR281"/>
    <mergeCell ref="AS281:BA281"/>
    <mergeCell ref="BB281:BJ281"/>
    <mergeCell ref="BK281:BS281"/>
    <mergeCell ref="AZ276:BD276"/>
    <mergeCell ref="A277:F277"/>
    <mergeCell ref="G277:S277"/>
    <mergeCell ref="T277:Z277"/>
    <mergeCell ref="AA277:AE277"/>
    <mergeCell ref="AF277:AJ277"/>
    <mergeCell ref="AK277:AO277"/>
    <mergeCell ref="AP277:AT277"/>
    <mergeCell ref="AU277:AY277"/>
    <mergeCell ref="AZ277:BD277"/>
    <mergeCell ref="BP283:BS283"/>
    <mergeCell ref="A284:M284"/>
    <mergeCell ref="N284:U284"/>
    <mergeCell ref="V284:Z284"/>
    <mergeCell ref="AA284:AE284"/>
    <mergeCell ref="AF284:AI284"/>
    <mergeCell ref="AJ284:AN284"/>
    <mergeCell ref="AO284:AR284"/>
    <mergeCell ref="AS284:AW284"/>
    <mergeCell ref="AX284:BA284"/>
    <mergeCell ref="AO283:AR283"/>
    <mergeCell ref="AS283:AW283"/>
    <mergeCell ref="AX283:BA283"/>
    <mergeCell ref="BB283:BF283"/>
    <mergeCell ref="BG283:BJ283"/>
    <mergeCell ref="BK283:BO283"/>
    <mergeCell ref="BB282:BF282"/>
    <mergeCell ref="BG282:BJ282"/>
    <mergeCell ref="BK282:BO282"/>
    <mergeCell ref="BP282:BS282"/>
    <mergeCell ref="A283:M283"/>
    <mergeCell ref="N283:U283"/>
    <mergeCell ref="V283:Z283"/>
    <mergeCell ref="AA283:AE283"/>
    <mergeCell ref="AF283:AI283"/>
    <mergeCell ref="AJ283:AN283"/>
    <mergeCell ref="AA282:AE282"/>
    <mergeCell ref="AF282:AI282"/>
    <mergeCell ref="AJ282:AN282"/>
    <mergeCell ref="AO282:AR282"/>
    <mergeCell ref="AS282:AW282"/>
    <mergeCell ref="AX282:BA282"/>
    <mergeCell ref="BP285:BS285"/>
    <mergeCell ref="A287:BL287"/>
    <mergeCell ref="A288:BL288"/>
    <mergeCell ref="A290:BL290"/>
    <mergeCell ref="A291:BL291"/>
    <mergeCell ref="A292:BL292"/>
    <mergeCell ref="AO285:AR285"/>
    <mergeCell ref="AS285:AW285"/>
    <mergeCell ref="AX285:BA285"/>
    <mergeCell ref="BB285:BF285"/>
    <mergeCell ref="BG285:BJ285"/>
    <mergeCell ref="BK285:BO285"/>
    <mergeCell ref="BB284:BF284"/>
    <mergeCell ref="BG284:BJ284"/>
    <mergeCell ref="BK284:BO284"/>
    <mergeCell ref="BP284:BS284"/>
    <mergeCell ref="A285:M285"/>
    <mergeCell ref="N285:U285"/>
    <mergeCell ref="V285:Z285"/>
    <mergeCell ref="AA285:AE285"/>
    <mergeCell ref="AF285:AI285"/>
    <mergeCell ref="AJ285:AN285"/>
    <mergeCell ref="AK295:AP295"/>
    <mergeCell ref="AQ295:AV295"/>
    <mergeCell ref="AW295:BA295"/>
    <mergeCell ref="BB295:BF295"/>
    <mergeCell ref="BG295:BL295"/>
    <mergeCell ref="A296:F296"/>
    <mergeCell ref="G296:S296"/>
    <mergeCell ref="T296:Y296"/>
    <mergeCell ref="Z296:AD296"/>
    <mergeCell ref="AE296:AJ296"/>
    <mergeCell ref="AQ293:AV294"/>
    <mergeCell ref="AW293:BF293"/>
    <mergeCell ref="BG293:BL294"/>
    <mergeCell ref="AW294:BA294"/>
    <mergeCell ref="BB294:BF294"/>
    <mergeCell ref="A295:F295"/>
    <mergeCell ref="G295:S295"/>
    <mergeCell ref="T295:Y295"/>
    <mergeCell ref="Z295:AD295"/>
    <mergeCell ref="AE295:AJ295"/>
    <mergeCell ref="A293:F294"/>
    <mergeCell ref="G293:S294"/>
    <mergeCell ref="T293:Y294"/>
    <mergeCell ref="Z293:AD294"/>
    <mergeCell ref="AE293:AJ294"/>
    <mergeCell ref="AK293:AP294"/>
    <mergeCell ref="AK297:AP297"/>
    <mergeCell ref="AQ297:AV297"/>
    <mergeCell ref="AW297:BA297"/>
    <mergeCell ref="BB297:BF297"/>
    <mergeCell ref="BG297:BL297"/>
    <mergeCell ref="A310:BL310"/>
    <mergeCell ref="BG298:BL298"/>
    <mergeCell ref="A299:F299"/>
    <mergeCell ref="G299:S299"/>
    <mergeCell ref="T299:Y299"/>
    <mergeCell ref="AK296:AP296"/>
    <mergeCell ref="AQ296:AV296"/>
    <mergeCell ref="AW296:BA296"/>
    <mergeCell ref="BB296:BF296"/>
    <mergeCell ref="BG296:BL296"/>
    <mergeCell ref="A297:F297"/>
    <mergeCell ref="G297:S297"/>
    <mergeCell ref="T297:Y297"/>
    <mergeCell ref="Z297:AD297"/>
    <mergeCell ref="AE297:AJ297"/>
    <mergeCell ref="AT313:AW314"/>
    <mergeCell ref="AX313:BG313"/>
    <mergeCell ref="BH313:BL314"/>
    <mergeCell ref="Z314:AD314"/>
    <mergeCell ref="AE314:AI314"/>
    <mergeCell ref="AX314:BB314"/>
    <mergeCell ref="BC314:BG314"/>
    <mergeCell ref="A311:BL311"/>
    <mergeCell ref="A312:F314"/>
    <mergeCell ref="G312:P314"/>
    <mergeCell ref="Q312:AN312"/>
    <mergeCell ref="AO312:BL312"/>
    <mergeCell ref="Q313:U314"/>
    <mergeCell ref="V313:Y314"/>
    <mergeCell ref="Z313:AI313"/>
    <mergeCell ref="AJ313:AN314"/>
    <mergeCell ref="AO313:AS314"/>
    <mergeCell ref="AJ316:AN316"/>
    <mergeCell ref="AO316:AS316"/>
    <mergeCell ref="AT316:AW316"/>
    <mergeCell ref="AX316:BB316"/>
    <mergeCell ref="BC316:BG316"/>
    <mergeCell ref="BH316:BL316"/>
    <mergeCell ref="A316:F316"/>
    <mergeCell ref="G316:P316"/>
    <mergeCell ref="Q316:U316"/>
    <mergeCell ref="V316:Y316"/>
    <mergeCell ref="Z316:AD316"/>
    <mergeCell ref="AE316:AI316"/>
    <mergeCell ref="AJ315:AN315"/>
    <mergeCell ref="AO315:AS315"/>
    <mergeCell ref="AT315:AW315"/>
    <mergeCell ref="AX315:BB315"/>
    <mergeCell ref="BC315:BG315"/>
    <mergeCell ref="BH315:BL315"/>
    <mergeCell ref="A315:F315"/>
    <mergeCell ref="G315:P315"/>
    <mergeCell ref="Q315:U315"/>
    <mergeCell ref="V315:Y315"/>
    <mergeCell ref="Z315:AD315"/>
    <mergeCell ref="AE315:AI315"/>
    <mergeCell ref="A330:BL330"/>
    <mergeCell ref="A331:BL331"/>
    <mergeCell ref="A332:F333"/>
    <mergeCell ref="G332:S333"/>
    <mergeCell ref="T332:Y333"/>
    <mergeCell ref="Z332:AD333"/>
    <mergeCell ref="AE332:AJ333"/>
    <mergeCell ref="AK332:AP333"/>
    <mergeCell ref="AQ332:AV333"/>
    <mergeCell ref="AW332:BD333"/>
    <mergeCell ref="AJ317:AN317"/>
    <mergeCell ref="AO317:AS317"/>
    <mergeCell ref="AT317:AW317"/>
    <mergeCell ref="AX317:BB317"/>
    <mergeCell ref="BC317:BG317"/>
    <mergeCell ref="BH317:BL317"/>
    <mergeCell ref="A317:F317"/>
    <mergeCell ref="G317:P317"/>
    <mergeCell ref="Q317:U317"/>
    <mergeCell ref="V317:Y317"/>
    <mergeCell ref="Z317:AD317"/>
    <mergeCell ref="AE317:AI317"/>
    <mergeCell ref="AK336:AP336"/>
    <mergeCell ref="AQ336:AV336"/>
    <mergeCell ref="A335:F335"/>
    <mergeCell ref="G335:S335"/>
    <mergeCell ref="T335:Y335"/>
    <mergeCell ref="Z335:AD335"/>
    <mergeCell ref="AE335:AJ335"/>
    <mergeCell ref="AK335:AP335"/>
    <mergeCell ref="BE332:BL333"/>
    <mergeCell ref="A334:F334"/>
    <mergeCell ref="G334:S334"/>
    <mergeCell ref="T334:Y334"/>
    <mergeCell ref="Z334:AD334"/>
    <mergeCell ref="AE334:AJ334"/>
    <mergeCell ref="AK334:AP334"/>
    <mergeCell ref="AQ334:AV334"/>
    <mergeCell ref="AW334:BD334"/>
    <mergeCell ref="BE334:BL334"/>
    <mergeCell ref="BB31:BF31"/>
    <mergeCell ref="BG31:BK31"/>
    <mergeCell ref="BL31:BP31"/>
    <mergeCell ref="BQ31:BT31"/>
    <mergeCell ref="BU31:BY31"/>
    <mergeCell ref="A32:D32"/>
    <mergeCell ref="E32:T32"/>
    <mergeCell ref="U32:Y32"/>
    <mergeCell ref="Z32:AD32"/>
    <mergeCell ref="AE32:AH32"/>
    <mergeCell ref="A358:AA358"/>
    <mergeCell ref="AH358:AP358"/>
    <mergeCell ref="AU358:BF358"/>
    <mergeCell ref="AH359:AP359"/>
    <mergeCell ref="AU359:BF359"/>
    <mergeCell ref="A31:D31"/>
    <mergeCell ref="E31:T31"/>
    <mergeCell ref="U31:Y31"/>
    <mergeCell ref="Z31:AD31"/>
    <mergeCell ref="AE31:AH31"/>
    <mergeCell ref="A354:BL354"/>
    <mergeCell ref="A355:AA355"/>
    <mergeCell ref="AH355:AP355"/>
    <mergeCell ref="AU355:BF355"/>
    <mergeCell ref="AH356:AP356"/>
    <mergeCell ref="AU356:BF356"/>
    <mergeCell ref="AW336:BD336"/>
    <mergeCell ref="BE336:BL336"/>
    <mergeCell ref="A349:BL349"/>
    <mergeCell ref="A350:BL350"/>
    <mergeCell ref="A352:BL352"/>
    <mergeCell ref="A353:BL353"/>
    <mergeCell ref="BU33:BY33"/>
    <mergeCell ref="AS33:AW33"/>
    <mergeCell ref="AX33:BA33"/>
    <mergeCell ref="BB33:BF33"/>
    <mergeCell ref="BG33:BK33"/>
    <mergeCell ref="BL33:BP33"/>
    <mergeCell ref="BQ33:BT33"/>
    <mergeCell ref="BL32:BP32"/>
    <mergeCell ref="BQ32:BT32"/>
    <mergeCell ref="BU32:BY32"/>
    <mergeCell ref="A33:D33"/>
    <mergeCell ref="E33:T33"/>
    <mergeCell ref="U33:Y33"/>
    <mergeCell ref="Z33:AD33"/>
    <mergeCell ref="AE33:AH33"/>
    <mergeCell ref="AI33:AM33"/>
    <mergeCell ref="AN33:AR33"/>
    <mergeCell ref="AI32:AM32"/>
    <mergeCell ref="AN32:AR32"/>
    <mergeCell ref="AS32:AW32"/>
    <mergeCell ref="AX32:BA32"/>
    <mergeCell ref="BB32:BF32"/>
    <mergeCell ref="BG32:BK32"/>
    <mergeCell ref="BG44:BK44"/>
    <mergeCell ref="BG43:BK43"/>
    <mergeCell ref="A44:D44"/>
    <mergeCell ref="E44:W44"/>
    <mergeCell ref="X44:AB44"/>
    <mergeCell ref="AC44:AG44"/>
    <mergeCell ref="AH44:AL44"/>
    <mergeCell ref="AM44:AQ44"/>
    <mergeCell ref="AR44:AV44"/>
    <mergeCell ref="AW44:BA44"/>
    <mergeCell ref="BB44:BF44"/>
    <mergeCell ref="BG42:BK42"/>
    <mergeCell ref="A43:D43"/>
    <mergeCell ref="E43:W43"/>
    <mergeCell ref="X43:AB43"/>
    <mergeCell ref="AC43:AG43"/>
    <mergeCell ref="AH43:AL43"/>
    <mergeCell ref="AM43:AQ43"/>
    <mergeCell ref="AR43:AV43"/>
    <mergeCell ref="AW43:BA43"/>
    <mergeCell ref="BB43:BF43"/>
    <mergeCell ref="A42:D42"/>
    <mergeCell ref="E42:W42"/>
    <mergeCell ref="X42:AB42"/>
    <mergeCell ref="AC42:AG42"/>
    <mergeCell ref="AH42:AL42"/>
    <mergeCell ref="BB54:BF54"/>
    <mergeCell ref="BG54:BK54"/>
    <mergeCell ref="BL54:BP54"/>
    <mergeCell ref="BQ54:BT54"/>
    <mergeCell ref="BU54:BY54"/>
    <mergeCell ref="A55:D55"/>
    <mergeCell ref="E55:T55"/>
    <mergeCell ref="U55:Y55"/>
    <mergeCell ref="Z55:AD55"/>
    <mergeCell ref="AE55:AH55"/>
    <mergeCell ref="A54:D54"/>
    <mergeCell ref="E54:T54"/>
    <mergeCell ref="U54:Y54"/>
    <mergeCell ref="Z54:AD54"/>
    <mergeCell ref="AE54:AH54"/>
    <mergeCell ref="AI54:AM54"/>
    <mergeCell ref="AN54:AR54"/>
    <mergeCell ref="AS54:AW54"/>
    <mergeCell ref="AX54:BA54"/>
    <mergeCell ref="BU56:BY56"/>
    <mergeCell ref="A57:D57"/>
    <mergeCell ref="E57:T57"/>
    <mergeCell ref="U57:Y57"/>
    <mergeCell ref="Z57:AD57"/>
    <mergeCell ref="AE57:AH57"/>
    <mergeCell ref="AI57:AM57"/>
    <mergeCell ref="AN57:AR57"/>
    <mergeCell ref="AS57:AW57"/>
    <mergeCell ref="AX57:BA57"/>
    <mergeCell ref="AS56:AW56"/>
    <mergeCell ref="AX56:BA56"/>
    <mergeCell ref="BB56:BF56"/>
    <mergeCell ref="BG56:BK56"/>
    <mergeCell ref="BL56:BP56"/>
    <mergeCell ref="BQ56:BT56"/>
    <mergeCell ref="BL55:BP55"/>
    <mergeCell ref="BQ55:BT55"/>
    <mergeCell ref="BU55:BY55"/>
    <mergeCell ref="A56:D56"/>
    <mergeCell ref="E56:T56"/>
    <mergeCell ref="U56:Y56"/>
    <mergeCell ref="Z56:AD56"/>
    <mergeCell ref="AE56:AH56"/>
    <mergeCell ref="AI56:AM56"/>
    <mergeCell ref="AN56:AR56"/>
    <mergeCell ref="AI55:AM55"/>
    <mergeCell ref="AN55:AR55"/>
    <mergeCell ref="AS55:AW55"/>
    <mergeCell ref="AX55:BA55"/>
    <mergeCell ref="BB55:BF55"/>
    <mergeCell ref="BG55:BK55"/>
    <mergeCell ref="BL58:BP58"/>
    <mergeCell ref="BQ58:BT58"/>
    <mergeCell ref="BU58:BY58"/>
    <mergeCell ref="A59:D59"/>
    <mergeCell ref="E59:T59"/>
    <mergeCell ref="U59:Y59"/>
    <mergeCell ref="Z59:AD59"/>
    <mergeCell ref="AE59:AH59"/>
    <mergeCell ref="AI59:AM59"/>
    <mergeCell ref="AN59:AR59"/>
    <mergeCell ref="AI58:AM58"/>
    <mergeCell ref="AN58:AR58"/>
    <mergeCell ref="AS58:AW58"/>
    <mergeCell ref="AX58:BA58"/>
    <mergeCell ref="BB58:BF58"/>
    <mergeCell ref="BG58:BK58"/>
    <mergeCell ref="BB57:BF57"/>
    <mergeCell ref="BG57:BK57"/>
    <mergeCell ref="BL57:BP57"/>
    <mergeCell ref="BQ57:BT57"/>
    <mergeCell ref="BU57:BY57"/>
    <mergeCell ref="A58:D58"/>
    <mergeCell ref="E58:T58"/>
    <mergeCell ref="U58:Y58"/>
    <mergeCell ref="Z58:AD58"/>
    <mergeCell ref="AE58:AH58"/>
    <mergeCell ref="BB60:BF60"/>
    <mergeCell ref="BG60:BK60"/>
    <mergeCell ref="BL60:BP60"/>
    <mergeCell ref="BQ60:BT60"/>
    <mergeCell ref="BU60:BY60"/>
    <mergeCell ref="A61:D61"/>
    <mergeCell ref="E61:T61"/>
    <mergeCell ref="U61:Y61"/>
    <mergeCell ref="Z61:AD61"/>
    <mergeCell ref="AE61:AH61"/>
    <mergeCell ref="BU59:BY59"/>
    <mergeCell ref="A60:D60"/>
    <mergeCell ref="E60:T60"/>
    <mergeCell ref="U60:Y60"/>
    <mergeCell ref="Z60:AD60"/>
    <mergeCell ref="AE60:AH60"/>
    <mergeCell ref="AI60:AM60"/>
    <mergeCell ref="AN60:AR60"/>
    <mergeCell ref="AS60:AW60"/>
    <mergeCell ref="AX60:BA60"/>
    <mergeCell ref="AS59:AW59"/>
    <mergeCell ref="AX59:BA59"/>
    <mergeCell ref="BB59:BF59"/>
    <mergeCell ref="BG59:BK59"/>
    <mergeCell ref="BL59:BP59"/>
    <mergeCell ref="BQ59:BT59"/>
    <mergeCell ref="BU62:BY62"/>
    <mergeCell ref="A63:D63"/>
    <mergeCell ref="E63:T63"/>
    <mergeCell ref="U63:Y63"/>
    <mergeCell ref="Z63:AD63"/>
    <mergeCell ref="AE63:AH63"/>
    <mergeCell ref="AI63:AM63"/>
    <mergeCell ref="AN63:AR63"/>
    <mergeCell ref="AS63:AW63"/>
    <mergeCell ref="AX63:BA63"/>
    <mergeCell ref="AS62:AW62"/>
    <mergeCell ref="AX62:BA62"/>
    <mergeCell ref="BB62:BF62"/>
    <mergeCell ref="BG62:BK62"/>
    <mergeCell ref="BL62:BP62"/>
    <mergeCell ref="BQ62:BT62"/>
    <mergeCell ref="BL61:BP61"/>
    <mergeCell ref="BQ61:BT61"/>
    <mergeCell ref="BU61:BY61"/>
    <mergeCell ref="A62:D62"/>
    <mergeCell ref="E62:T62"/>
    <mergeCell ref="U62:Y62"/>
    <mergeCell ref="Z62:AD62"/>
    <mergeCell ref="AE62:AH62"/>
    <mergeCell ref="AI62:AM62"/>
    <mergeCell ref="AN62:AR62"/>
    <mergeCell ref="AI61:AM61"/>
    <mergeCell ref="AN61:AR61"/>
    <mergeCell ref="AS61:AW61"/>
    <mergeCell ref="AX61:BA61"/>
    <mergeCell ref="BB61:BF61"/>
    <mergeCell ref="BG61:BK61"/>
    <mergeCell ref="BL64:BP64"/>
    <mergeCell ref="BQ64:BT64"/>
    <mergeCell ref="BU64:BY64"/>
    <mergeCell ref="AI64:AM64"/>
    <mergeCell ref="AN64:AR64"/>
    <mergeCell ref="AS64:AW64"/>
    <mergeCell ref="AX64:BA64"/>
    <mergeCell ref="BB64:BF64"/>
    <mergeCell ref="BG64:BK64"/>
    <mergeCell ref="BB63:BF63"/>
    <mergeCell ref="BG63:BK63"/>
    <mergeCell ref="BL63:BP63"/>
    <mergeCell ref="BQ63:BT63"/>
    <mergeCell ref="BU63:BY63"/>
    <mergeCell ref="A64:D64"/>
    <mergeCell ref="E64:T64"/>
    <mergeCell ref="U64:Y64"/>
    <mergeCell ref="Z64:AD64"/>
    <mergeCell ref="AE64:AH64"/>
    <mergeCell ref="BG82:BK82"/>
    <mergeCell ref="A83:D83"/>
    <mergeCell ref="E83:W83"/>
    <mergeCell ref="X83:AB83"/>
    <mergeCell ref="AC83:AG83"/>
    <mergeCell ref="AH83:AL83"/>
    <mergeCell ref="AM83:AQ83"/>
    <mergeCell ref="AR83:AV83"/>
    <mergeCell ref="AW83:BA83"/>
    <mergeCell ref="BB83:BF83"/>
    <mergeCell ref="BG81:BK81"/>
    <mergeCell ref="A82:D82"/>
    <mergeCell ref="E82:W82"/>
    <mergeCell ref="X82:AB82"/>
    <mergeCell ref="AC82:AG82"/>
    <mergeCell ref="AH82:AL82"/>
    <mergeCell ref="AM82:AQ82"/>
    <mergeCell ref="AR82:AV82"/>
    <mergeCell ref="AW82:BA82"/>
    <mergeCell ref="BB82:BF82"/>
    <mergeCell ref="A81:D81"/>
    <mergeCell ref="E81:W81"/>
    <mergeCell ref="X81:AB81"/>
    <mergeCell ref="AC81:AG81"/>
    <mergeCell ref="AH81:AL81"/>
    <mergeCell ref="BG84:BK84"/>
    <mergeCell ref="A85:D85"/>
    <mergeCell ref="E85:W85"/>
    <mergeCell ref="X85:AB85"/>
    <mergeCell ref="AC85:AG85"/>
    <mergeCell ref="AH85:AL85"/>
    <mergeCell ref="AM85:AQ85"/>
    <mergeCell ref="AR85:AV85"/>
    <mergeCell ref="AW85:BA85"/>
    <mergeCell ref="BB85:BF85"/>
    <mergeCell ref="BG83:BK83"/>
    <mergeCell ref="A84:D84"/>
    <mergeCell ref="E84:W84"/>
    <mergeCell ref="X84:AB84"/>
    <mergeCell ref="AC84:AG84"/>
    <mergeCell ref="AH84:AL84"/>
    <mergeCell ref="AM84:AQ84"/>
    <mergeCell ref="AR84:AV84"/>
    <mergeCell ref="AW84:BA84"/>
    <mergeCell ref="BB84:BF84"/>
    <mergeCell ref="BG86:BK86"/>
    <mergeCell ref="A87:D87"/>
    <mergeCell ref="E87:W87"/>
    <mergeCell ref="X87:AB87"/>
    <mergeCell ref="AC87:AG87"/>
    <mergeCell ref="AH87:AL87"/>
    <mergeCell ref="AM87:AQ87"/>
    <mergeCell ref="AR87:AV87"/>
    <mergeCell ref="AW87:BA87"/>
    <mergeCell ref="BB87:BF87"/>
    <mergeCell ref="BG85:BK85"/>
    <mergeCell ref="A86:D86"/>
    <mergeCell ref="E86:W86"/>
    <mergeCell ref="X86:AB86"/>
    <mergeCell ref="AC86:AG86"/>
    <mergeCell ref="AH86:AL86"/>
    <mergeCell ref="AM86:AQ86"/>
    <mergeCell ref="AR86:AV86"/>
    <mergeCell ref="AW86:BA86"/>
    <mergeCell ref="BB86:BF86"/>
    <mergeCell ref="BG88:BK88"/>
    <mergeCell ref="A89:D89"/>
    <mergeCell ref="E89:W89"/>
    <mergeCell ref="X89:AB89"/>
    <mergeCell ref="AC89:AG89"/>
    <mergeCell ref="AH89:AL89"/>
    <mergeCell ref="AM89:AQ89"/>
    <mergeCell ref="AR89:AV89"/>
    <mergeCell ref="AW89:BA89"/>
    <mergeCell ref="BB89:BF89"/>
    <mergeCell ref="BG87:BK87"/>
    <mergeCell ref="A88:D88"/>
    <mergeCell ref="E88:W88"/>
    <mergeCell ref="X88:AB88"/>
    <mergeCell ref="AC88:AG88"/>
    <mergeCell ref="AH88:AL88"/>
    <mergeCell ref="AM88:AQ88"/>
    <mergeCell ref="AR88:AV88"/>
    <mergeCell ref="AW88:BA88"/>
    <mergeCell ref="BB88:BF88"/>
    <mergeCell ref="BG91:BK91"/>
    <mergeCell ref="BG90:BK90"/>
    <mergeCell ref="A91:D91"/>
    <mergeCell ref="E91:W91"/>
    <mergeCell ref="X91:AB91"/>
    <mergeCell ref="AC91:AG91"/>
    <mergeCell ref="AH91:AL91"/>
    <mergeCell ref="AM91:AQ91"/>
    <mergeCell ref="AR91:AV91"/>
    <mergeCell ref="AW91:BA91"/>
    <mergeCell ref="BB91:BF91"/>
    <mergeCell ref="BG89:BK89"/>
    <mergeCell ref="A90:D90"/>
    <mergeCell ref="E90:W90"/>
    <mergeCell ref="X90:AB90"/>
    <mergeCell ref="AC90:AG90"/>
    <mergeCell ref="AH90:AL90"/>
    <mergeCell ref="AM90:AQ90"/>
    <mergeCell ref="AR90:AV90"/>
    <mergeCell ref="AW90:BA90"/>
    <mergeCell ref="BB90:BF90"/>
    <mergeCell ref="BB109:BF109"/>
    <mergeCell ref="BG109:BK109"/>
    <mergeCell ref="BL109:BP109"/>
    <mergeCell ref="BQ109:BT109"/>
    <mergeCell ref="BU109:BY109"/>
    <mergeCell ref="A110:C110"/>
    <mergeCell ref="D110:T110"/>
    <mergeCell ref="U110:Y110"/>
    <mergeCell ref="Z110:AD110"/>
    <mergeCell ref="AE110:AH110"/>
    <mergeCell ref="A109:C109"/>
    <mergeCell ref="D109:T109"/>
    <mergeCell ref="U109:Y109"/>
    <mergeCell ref="Z109:AD109"/>
    <mergeCell ref="AE109:AH109"/>
    <mergeCell ref="AI109:AM109"/>
    <mergeCell ref="AN109:AR109"/>
    <mergeCell ref="AS109:AW109"/>
    <mergeCell ref="AX109:BA109"/>
    <mergeCell ref="BU111:BY111"/>
    <mergeCell ref="A112:C112"/>
    <mergeCell ref="D112:T112"/>
    <mergeCell ref="U112:Y112"/>
    <mergeCell ref="Z112:AD112"/>
    <mergeCell ref="AE112:AH112"/>
    <mergeCell ref="AI112:AM112"/>
    <mergeCell ref="AN112:AR112"/>
    <mergeCell ref="AS112:AW112"/>
    <mergeCell ref="AX112:BA112"/>
    <mergeCell ref="AS111:AW111"/>
    <mergeCell ref="AX111:BA111"/>
    <mergeCell ref="BB111:BF111"/>
    <mergeCell ref="BG111:BK111"/>
    <mergeCell ref="BL111:BP111"/>
    <mergeCell ref="BQ111:BT111"/>
    <mergeCell ref="BL110:BP110"/>
    <mergeCell ref="BQ110:BT110"/>
    <mergeCell ref="BU110:BY110"/>
    <mergeCell ref="A111:C111"/>
    <mergeCell ref="D111:T111"/>
    <mergeCell ref="U111:Y111"/>
    <mergeCell ref="Z111:AD111"/>
    <mergeCell ref="AE111:AH111"/>
    <mergeCell ref="AI111:AM111"/>
    <mergeCell ref="AN111:AR111"/>
    <mergeCell ref="AI110:AM110"/>
    <mergeCell ref="AN110:AR110"/>
    <mergeCell ref="AS110:AW110"/>
    <mergeCell ref="AX110:BA110"/>
    <mergeCell ref="BB110:BF110"/>
    <mergeCell ref="BG110:BK110"/>
    <mergeCell ref="BL113:BP113"/>
    <mergeCell ref="BQ113:BT113"/>
    <mergeCell ref="BU113:BY113"/>
    <mergeCell ref="A114:C114"/>
    <mergeCell ref="D114:T114"/>
    <mergeCell ref="U114:Y114"/>
    <mergeCell ref="Z114:AD114"/>
    <mergeCell ref="AE114:AH114"/>
    <mergeCell ref="AI114:AM114"/>
    <mergeCell ref="AN114:AR114"/>
    <mergeCell ref="AI113:AM113"/>
    <mergeCell ref="AN113:AR113"/>
    <mergeCell ref="AS113:AW113"/>
    <mergeCell ref="AX113:BA113"/>
    <mergeCell ref="BB113:BF113"/>
    <mergeCell ref="BG113:BK113"/>
    <mergeCell ref="BB112:BF112"/>
    <mergeCell ref="BG112:BK112"/>
    <mergeCell ref="BL112:BP112"/>
    <mergeCell ref="BQ112:BT112"/>
    <mergeCell ref="BU112:BY112"/>
    <mergeCell ref="A113:C113"/>
    <mergeCell ref="D113:T113"/>
    <mergeCell ref="U113:Y113"/>
    <mergeCell ref="Z113:AD113"/>
    <mergeCell ref="AE113:AH113"/>
    <mergeCell ref="BB115:BF115"/>
    <mergeCell ref="BG115:BK115"/>
    <mergeCell ref="BL115:BP115"/>
    <mergeCell ref="BQ115:BT115"/>
    <mergeCell ref="BU115:BY115"/>
    <mergeCell ref="A116:C116"/>
    <mergeCell ref="D116:T116"/>
    <mergeCell ref="U116:Y116"/>
    <mergeCell ref="Z116:AD116"/>
    <mergeCell ref="AE116:AH116"/>
    <mergeCell ref="BU114:BY114"/>
    <mergeCell ref="A115:C115"/>
    <mergeCell ref="D115:T115"/>
    <mergeCell ref="U115:Y115"/>
    <mergeCell ref="Z115:AD115"/>
    <mergeCell ref="AE115:AH115"/>
    <mergeCell ref="AI115:AM115"/>
    <mergeCell ref="AN115:AR115"/>
    <mergeCell ref="AS115:AW115"/>
    <mergeCell ref="AX115:BA115"/>
    <mergeCell ref="AS114:AW114"/>
    <mergeCell ref="AX114:BA114"/>
    <mergeCell ref="BB114:BF114"/>
    <mergeCell ref="BG114:BK114"/>
    <mergeCell ref="BL114:BP114"/>
    <mergeCell ref="BQ114:BT114"/>
    <mergeCell ref="BU117:BY117"/>
    <mergeCell ref="A118:C118"/>
    <mergeCell ref="D118:T118"/>
    <mergeCell ref="U118:Y118"/>
    <mergeCell ref="Z118:AD118"/>
    <mergeCell ref="AE118:AH118"/>
    <mergeCell ref="AI118:AM118"/>
    <mergeCell ref="AN118:AR118"/>
    <mergeCell ref="AS118:AW118"/>
    <mergeCell ref="AX118:BA118"/>
    <mergeCell ref="AS117:AW117"/>
    <mergeCell ref="AX117:BA117"/>
    <mergeCell ref="BB117:BF117"/>
    <mergeCell ref="BG117:BK117"/>
    <mergeCell ref="BL117:BP117"/>
    <mergeCell ref="BQ117:BT117"/>
    <mergeCell ref="BL116:BP116"/>
    <mergeCell ref="BQ116:BT116"/>
    <mergeCell ref="BU116:BY116"/>
    <mergeCell ref="A117:C117"/>
    <mergeCell ref="D117:T117"/>
    <mergeCell ref="U117:Y117"/>
    <mergeCell ref="Z117:AD117"/>
    <mergeCell ref="AE117:AH117"/>
    <mergeCell ref="AI117:AM117"/>
    <mergeCell ref="AN117:AR117"/>
    <mergeCell ref="AI116:AM116"/>
    <mergeCell ref="AN116:AR116"/>
    <mergeCell ref="AS116:AW116"/>
    <mergeCell ref="AX116:BA116"/>
    <mergeCell ref="BB116:BF116"/>
    <mergeCell ref="BG116:BK116"/>
    <mergeCell ref="BL119:BP119"/>
    <mergeCell ref="BQ119:BT119"/>
    <mergeCell ref="BU119:BY119"/>
    <mergeCell ref="A120:C120"/>
    <mergeCell ref="D120:T120"/>
    <mergeCell ref="U120:Y120"/>
    <mergeCell ref="Z120:AD120"/>
    <mergeCell ref="AE120:AH120"/>
    <mergeCell ref="AI120:AM120"/>
    <mergeCell ref="AN120:AR120"/>
    <mergeCell ref="AI119:AM119"/>
    <mergeCell ref="AN119:AR119"/>
    <mergeCell ref="AS119:AW119"/>
    <mergeCell ref="AX119:BA119"/>
    <mergeCell ref="BB119:BF119"/>
    <mergeCell ref="BG119:BK119"/>
    <mergeCell ref="BB118:BF118"/>
    <mergeCell ref="BG118:BK118"/>
    <mergeCell ref="BL118:BP118"/>
    <mergeCell ref="BQ118:BT118"/>
    <mergeCell ref="BU118:BY118"/>
    <mergeCell ref="A119:C119"/>
    <mergeCell ref="D119:T119"/>
    <mergeCell ref="U119:Y119"/>
    <mergeCell ref="Z119:AD119"/>
    <mergeCell ref="AE119:AH119"/>
    <mergeCell ref="BB121:BF121"/>
    <mergeCell ref="BG121:BK121"/>
    <mergeCell ref="BL121:BP121"/>
    <mergeCell ref="BQ121:BT121"/>
    <mergeCell ref="BU121:BY121"/>
    <mergeCell ref="A122:C122"/>
    <mergeCell ref="D122:T122"/>
    <mergeCell ref="U122:Y122"/>
    <mergeCell ref="Z122:AD122"/>
    <mergeCell ref="AE122:AH122"/>
    <mergeCell ref="BU120:BY120"/>
    <mergeCell ref="A121:C121"/>
    <mergeCell ref="D121:T121"/>
    <mergeCell ref="U121:Y121"/>
    <mergeCell ref="Z121:AD121"/>
    <mergeCell ref="AE121:AH121"/>
    <mergeCell ref="AI121:AM121"/>
    <mergeCell ref="AN121:AR121"/>
    <mergeCell ref="AS121:AW121"/>
    <mergeCell ref="AX121:BA121"/>
    <mergeCell ref="AS120:AW120"/>
    <mergeCell ref="AX120:BA120"/>
    <mergeCell ref="BB120:BF120"/>
    <mergeCell ref="BG120:BK120"/>
    <mergeCell ref="BL120:BP120"/>
    <mergeCell ref="BQ120:BT120"/>
    <mergeCell ref="BU123:BY123"/>
    <mergeCell ref="A124:C124"/>
    <mergeCell ref="D124:T124"/>
    <mergeCell ref="U124:Y124"/>
    <mergeCell ref="Z124:AD124"/>
    <mergeCell ref="AE124:AH124"/>
    <mergeCell ref="AI124:AM124"/>
    <mergeCell ref="AN124:AR124"/>
    <mergeCell ref="AS124:AW124"/>
    <mergeCell ref="AX124:BA124"/>
    <mergeCell ref="AS123:AW123"/>
    <mergeCell ref="AX123:BA123"/>
    <mergeCell ref="BB123:BF123"/>
    <mergeCell ref="BG123:BK123"/>
    <mergeCell ref="BL123:BP123"/>
    <mergeCell ref="BQ123:BT123"/>
    <mergeCell ref="BL122:BP122"/>
    <mergeCell ref="BQ122:BT122"/>
    <mergeCell ref="BU122:BY122"/>
    <mergeCell ref="A123:C123"/>
    <mergeCell ref="D123:T123"/>
    <mergeCell ref="U123:Y123"/>
    <mergeCell ref="Z123:AD123"/>
    <mergeCell ref="AE123:AH123"/>
    <mergeCell ref="AI123:AM123"/>
    <mergeCell ref="AN123:AR123"/>
    <mergeCell ref="AI122:AM122"/>
    <mergeCell ref="AN122:AR122"/>
    <mergeCell ref="AS122:AW122"/>
    <mergeCell ref="AX122:BA122"/>
    <mergeCell ref="BB122:BF122"/>
    <mergeCell ref="BG122:BK122"/>
    <mergeCell ref="BL125:BP125"/>
    <mergeCell ref="BQ125:BT125"/>
    <mergeCell ref="BU125:BY125"/>
    <mergeCell ref="A126:C126"/>
    <mergeCell ref="D126:T126"/>
    <mergeCell ref="U126:Y126"/>
    <mergeCell ref="Z126:AD126"/>
    <mergeCell ref="AE126:AH126"/>
    <mergeCell ref="AI126:AM126"/>
    <mergeCell ref="AN126:AR126"/>
    <mergeCell ref="AI125:AM125"/>
    <mergeCell ref="AN125:AR125"/>
    <mergeCell ref="AS125:AW125"/>
    <mergeCell ref="AX125:BA125"/>
    <mergeCell ref="BB125:BF125"/>
    <mergeCell ref="BG125:BK125"/>
    <mergeCell ref="BB124:BF124"/>
    <mergeCell ref="BG124:BK124"/>
    <mergeCell ref="BL124:BP124"/>
    <mergeCell ref="BQ124:BT124"/>
    <mergeCell ref="BU124:BY124"/>
    <mergeCell ref="A125:C125"/>
    <mergeCell ref="D125:T125"/>
    <mergeCell ref="U125:Y125"/>
    <mergeCell ref="Z125:AD125"/>
    <mergeCell ref="AE125:AH125"/>
    <mergeCell ref="BB127:BF127"/>
    <mergeCell ref="BG127:BK127"/>
    <mergeCell ref="BL127:BP127"/>
    <mergeCell ref="BQ127:BT127"/>
    <mergeCell ref="BU127:BY127"/>
    <mergeCell ref="A128:C128"/>
    <mergeCell ref="D128:T128"/>
    <mergeCell ref="U128:Y128"/>
    <mergeCell ref="Z128:AD128"/>
    <mergeCell ref="AE128:AH128"/>
    <mergeCell ref="BU126:BY126"/>
    <mergeCell ref="A127:C127"/>
    <mergeCell ref="D127:T127"/>
    <mergeCell ref="U127:Y127"/>
    <mergeCell ref="Z127:AD127"/>
    <mergeCell ref="AE127:AH127"/>
    <mergeCell ref="AI127:AM127"/>
    <mergeCell ref="AN127:AR127"/>
    <mergeCell ref="AS127:AW127"/>
    <mergeCell ref="AX127:BA127"/>
    <mergeCell ref="AS126:AW126"/>
    <mergeCell ref="AX126:BA126"/>
    <mergeCell ref="BB126:BF126"/>
    <mergeCell ref="BG126:BK126"/>
    <mergeCell ref="BL126:BP126"/>
    <mergeCell ref="BQ126:BT126"/>
    <mergeCell ref="BU129:BY129"/>
    <mergeCell ref="A130:C130"/>
    <mergeCell ref="D130:T130"/>
    <mergeCell ref="U130:Y130"/>
    <mergeCell ref="Z130:AD130"/>
    <mergeCell ref="AE130:AH130"/>
    <mergeCell ref="AI130:AM130"/>
    <mergeCell ref="AN130:AR130"/>
    <mergeCell ref="AS130:AW130"/>
    <mergeCell ref="AX130:BA130"/>
    <mergeCell ref="AS129:AW129"/>
    <mergeCell ref="AX129:BA129"/>
    <mergeCell ref="BB129:BF129"/>
    <mergeCell ref="BG129:BK129"/>
    <mergeCell ref="BL129:BP129"/>
    <mergeCell ref="BQ129:BT129"/>
    <mergeCell ref="BL128:BP128"/>
    <mergeCell ref="BQ128:BT128"/>
    <mergeCell ref="BU128:BY128"/>
    <mergeCell ref="A129:C129"/>
    <mergeCell ref="D129:T129"/>
    <mergeCell ref="U129:Y129"/>
    <mergeCell ref="Z129:AD129"/>
    <mergeCell ref="AE129:AH129"/>
    <mergeCell ref="AI129:AM129"/>
    <mergeCell ref="AN129:AR129"/>
    <mergeCell ref="AI128:AM128"/>
    <mergeCell ref="AN128:AR128"/>
    <mergeCell ref="AS128:AW128"/>
    <mergeCell ref="AX128:BA128"/>
    <mergeCell ref="BB128:BF128"/>
    <mergeCell ref="BG128:BK128"/>
    <mergeCell ref="BL131:BP131"/>
    <mergeCell ref="BQ131:BT131"/>
    <mergeCell ref="BU131:BY131"/>
    <mergeCell ref="A132:C132"/>
    <mergeCell ref="D132:T132"/>
    <mergeCell ref="U132:Y132"/>
    <mergeCell ref="Z132:AD132"/>
    <mergeCell ref="AE132:AH132"/>
    <mergeCell ref="AI132:AM132"/>
    <mergeCell ref="AN132:AR132"/>
    <mergeCell ref="AI131:AM131"/>
    <mergeCell ref="AN131:AR131"/>
    <mergeCell ref="AS131:AW131"/>
    <mergeCell ref="AX131:BA131"/>
    <mergeCell ref="BB131:BF131"/>
    <mergeCell ref="BG131:BK131"/>
    <mergeCell ref="BB130:BF130"/>
    <mergeCell ref="BG130:BK130"/>
    <mergeCell ref="BL130:BP130"/>
    <mergeCell ref="BQ130:BT130"/>
    <mergeCell ref="BU130:BY130"/>
    <mergeCell ref="A131:C131"/>
    <mergeCell ref="D131:T131"/>
    <mergeCell ref="U131:Y131"/>
    <mergeCell ref="Z131:AD131"/>
    <mergeCell ref="AE131:AH131"/>
    <mergeCell ref="BB133:BF133"/>
    <mergeCell ref="BG133:BK133"/>
    <mergeCell ref="BL133:BP133"/>
    <mergeCell ref="BQ133:BT133"/>
    <mergeCell ref="BU133:BY133"/>
    <mergeCell ref="A134:C134"/>
    <mergeCell ref="D134:T134"/>
    <mergeCell ref="U134:Y134"/>
    <mergeCell ref="Z134:AD134"/>
    <mergeCell ref="AE134:AH134"/>
    <mergeCell ref="BU132:BY132"/>
    <mergeCell ref="A133:C133"/>
    <mergeCell ref="D133:T133"/>
    <mergeCell ref="U133:Y133"/>
    <mergeCell ref="Z133:AD133"/>
    <mergeCell ref="AE133:AH133"/>
    <mergeCell ref="AI133:AM133"/>
    <mergeCell ref="AN133:AR133"/>
    <mergeCell ref="AS133:AW133"/>
    <mergeCell ref="AX133:BA133"/>
    <mergeCell ref="AS132:AW132"/>
    <mergeCell ref="AX132:BA132"/>
    <mergeCell ref="BB132:BF132"/>
    <mergeCell ref="BG132:BK132"/>
    <mergeCell ref="BL132:BP132"/>
    <mergeCell ref="BQ132:BT132"/>
    <mergeCell ref="BU135:BY135"/>
    <mergeCell ref="A136:C136"/>
    <mergeCell ref="D136:T136"/>
    <mergeCell ref="U136:Y136"/>
    <mergeCell ref="Z136:AD136"/>
    <mergeCell ref="AE136:AH136"/>
    <mergeCell ref="AI136:AM136"/>
    <mergeCell ref="AN136:AR136"/>
    <mergeCell ref="AS136:AW136"/>
    <mergeCell ref="AX136:BA136"/>
    <mergeCell ref="AS135:AW135"/>
    <mergeCell ref="AX135:BA135"/>
    <mergeCell ref="BB135:BF135"/>
    <mergeCell ref="BG135:BK135"/>
    <mergeCell ref="BL135:BP135"/>
    <mergeCell ref="BQ135:BT135"/>
    <mergeCell ref="BL134:BP134"/>
    <mergeCell ref="BQ134:BT134"/>
    <mergeCell ref="BU134:BY134"/>
    <mergeCell ref="A135:C135"/>
    <mergeCell ref="D135:T135"/>
    <mergeCell ref="U135:Y135"/>
    <mergeCell ref="Z135:AD135"/>
    <mergeCell ref="AE135:AH135"/>
    <mergeCell ref="AI135:AM135"/>
    <mergeCell ref="AN135:AR135"/>
    <mergeCell ref="AI134:AM134"/>
    <mergeCell ref="AN134:AR134"/>
    <mergeCell ref="AS134:AW134"/>
    <mergeCell ref="AX134:BA134"/>
    <mergeCell ref="BB134:BF134"/>
    <mergeCell ref="BG134:BK134"/>
    <mergeCell ref="BL137:BP137"/>
    <mergeCell ref="BQ137:BT137"/>
    <mergeCell ref="BU137:BY137"/>
    <mergeCell ref="A138:C138"/>
    <mergeCell ref="D138:T138"/>
    <mergeCell ref="U138:Y138"/>
    <mergeCell ref="Z138:AD138"/>
    <mergeCell ref="AE138:AH138"/>
    <mergeCell ref="AI138:AM138"/>
    <mergeCell ref="AN138:AR138"/>
    <mergeCell ref="AI137:AM137"/>
    <mergeCell ref="AN137:AR137"/>
    <mergeCell ref="AS137:AW137"/>
    <mergeCell ref="AX137:BA137"/>
    <mergeCell ref="BB137:BF137"/>
    <mergeCell ref="BG137:BK137"/>
    <mergeCell ref="BB136:BF136"/>
    <mergeCell ref="BG136:BK136"/>
    <mergeCell ref="BL136:BP136"/>
    <mergeCell ref="BQ136:BT136"/>
    <mergeCell ref="BU136:BY136"/>
    <mergeCell ref="A137:C137"/>
    <mergeCell ref="D137:T137"/>
    <mergeCell ref="U137:Y137"/>
    <mergeCell ref="Z137:AD137"/>
    <mergeCell ref="AE137:AH137"/>
    <mergeCell ref="BB139:BF139"/>
    <mergeCell ref="BG139:BK139"/>
    <mergeCell ref="BL139:BP139"/>
    <mergeCell ref="BQ139:BT139"/>
    <mergeCell ref="BU139:BY139"/>
    <mergeCell ref="A140:C140"/>
    <mergeCell ref="D140:T140"/>
    <mergeCell ref="U140:Y140"/>
    <mergeCell ref="Z140:AD140"/>
    <mergeCell ref="AE140:AH140"/>
    <mergeCell ref="BU138:BY138"/>
    <mergeCell ref="A139:C139"/>
    <mergeCell ref="D139:T139"/>
    <mergeCell ref="U139:Y139"/>
    <mergeCell ref="Z139:AD139"/>
    <mergeCell ref="AE139:AH139"/>
    <mergeCell ref="AI139:AM139"/>
    <mergeCell ref="AN139:AR139"/>
    <mergeCell ref="AS139:AW139"/>
    <mergeCell ref="AX139:BA139"/>
    <mergeCell ref="AS138:AW138"/>
    <mergeCell ref="AX138:BA138"/>
    <mergeCell ref="BB138:BF138"/>
    <mergeCell ref="BG138:BK138"/>
    <mergeCell ref="BL138:BP138"/>
    <mergeCell ref="BQ138:BT138"/>
    <mergeCell ref="BU141:BY141"/>
    <mergeCell ref="A142:C142"/>
    <mergeCell ref="D142:T142"/>
    <mergeCell ref="U142:Y142"/>
    <mergeCell ref="Z142:AD142"/>
    <mergeCell ref="AE142:AH142"/>
    <mergeCell ref="AI142:AM142"/>
    <mergeCell ref="AN142:AR142"/>
    <mergeCell ref="AS142:AW142"/>
    <mergeCell ref="AX142:BA142"/>
    <mergeCell ref="AS141:AW141"/>
    <mergeCell ref="AX141:BA141"/>
    <mergeCell ref="BB141:BF141"/>
    <mergeCell ref="BG141:BK141"/>
    <mergeCell ref="BL141:BP141"/>
    <mergeCell ref="BQ141:BT141"/>
    <mergeCell ref="BL140:BP140"/>
    <mergeCell ref="BQ140:BT140"/>
    <mergeCell ref="BU140:BY140"/>
    <mergeCell ref="A141:C141"/>
    <mergeCell ref="D141:T141"/>
    <mergeCell ref="U141:Y141"/>
    <mergeCell ref="Z141:AD141"/>
    <mergeCell ref="AE141:AH141"/>
    <mergeCell ref="AI141:AM141"/>
    <mergeCell ref="AN141:AR141"/>
    <mergeCell ref="AI140:AM140"/>
    <mergeCell ref="AN140:AR140"/>
    <mergeCell ref="AS140:AW140"/>
    <mergeCell ref="AX140:BA140"/>
    <mergeCell ref="BB140:BF140"/>
    <mergeCell ref="BG140:BK140"/>
    <mergeCell ref="BL143:BP143"/>
    <mergeCell ref="BQ143:BT143"/>
    <mergeCell ref="BU143:BY143"/>
    <mergeCell ref="A144:C144"/>
    <mergeCell ref="D144:T144"/>
    <mergeCell ref="U144:Y144"/>
    <mergeCell ref="Z144:AD144"/>
    <mergeCell ref="AE144:AH144"/>
    <mergeCell ref="AI144:AM144"/>
    <mergeCell ref="AN144:AR144"/>
    <mergeCell ref="AI143:AM143"/>
    <mergeCell ref="AN143:AR143"/>
    <mergeCell ref="AS143:AW143"/>
    <mergeCell ref="AX143:BA143"/>
    <mergeCell ref="BB143:BF143"/>
    <mergeCell ref="BG143:BK143"/>
    <mergeCell ref="BB142:BF142"/>
    <mergeCell ref="BG142:BK142"/>
    <mergeCell ref="BL142:BP142"/>
    <mergeCell ref="BQ142:BT142"/>
    <mergeCell ref="BU142:BY142"/>
    <mergeCell ref="A143:C143"/>
    <mergeCell ref="D143:T143"/>
    <mergeCell ref="U143:Y143"/>
    <mergeCell ref="Z143:AD143"/>
    <mergeCell ref="AE143:AH143"/>
    <mergeCell ref="BB145:BF145"/>
    <mergeCell ref="BG145:BK145"/>
    <mergeCell ref="BL145:BP145"/>
    <mergeCell ref="BQ145:BT145"/>
    <mergeCell ref="BU145:BY145"/>
    <mergeCell ref="A146:C146"/>
    <mergeCell ref="D146:T146"/>
    <mergeCell ref="U146:Y146"/>
    <mergeCell ref="Z146:AD146"/>
    <mergeCell ref="AE146:AH146"/>
    <mergeCell ref="BU144:BY144"/>
    <mergeCell ref="A145:C145"/>
    <mergeCell ref="D145:T145"/>
    <mergeCell ref="U145:Y145"/>
    <mergeCell ref="Z145:AD145"/>
    <mergeCell ref="AE145:AH145"/>
    <mergeCell ref="AI145:AM145"/>
    <mergeCell ref="AN145:AR145"/>
    <mergeCell ref="AS145:AW145"/>
    <mergeCell ref="AX145:BA145"/>
    <mergeCell ref="AS144:AW144"/>
    <mergeCell ref="AX144:BA144"/>
    <mergeCell ref="BB144:BF144"/>
    <mergeCell ref="BG144:BK144"/>
    <mergeCell ref="BL144:BP144"/>
    <mergeCell ref="BQ144:BT144"/>
    <mergeCell ref="BU147:BY147"/>
    <mergeCell ref="AS147:AW147"/>
    <mergeCell ref="AX147:BA147"/>
    <mergeCell ref="BB147:BF147"/>
    <mergeCell ref="BG147:BK147"/>
    <mergeCell ref="BL147:BP147"/>
    <mergeCell ref="BQ147:BT147"/>
    <mergeCell ref="BL146:BP146"/>
    <mergeCell ref="BQ146:BT146"/>
    <mergeCell ref="BU146:BY146"/>
    <mergeCell ref="A147:C147"/>
    <mergeCell ref="D147:T147"/>
    <mergeCell ref="U147:Y147"/>
    <mergeCell ref="Z147:AD147"/>
    <mergeCell ref="AE147:AH147"/>
    <mergeCell ref="AI147:AM147"/>
    <mergeCell ref="AN147:AR147"/>
    <mergeCell ref="AI146:AM146"/>
    <mergeCell ref="AN146:AR146"/>
    <mergeCell ref="AS146:AW146"/>
    <mergeCell ref="AX146:BA146"/>
    <mergeCell ref="BB146:BF146"/>
    <mergeCell ref="BG146:BK146"/>
    <mergeCell ref="BD157:BH157"/>
    <mergeCell ref="A158:C158"/>
    <mergeCell ref="D158:T158"/>
    <mergeCell ref="U158:Y158"/>
    <mergeCell ref="Z158:AD158"/>
    <mergeCell ref="AE158:AI158"/>
    <mergeCell ref="AJ158:AN158"/>
    <mergeCell ref="AO158:AS158"/>
    <mergeCell ref="AT158:AX158"/>
    <mergeCell ref="AY158:BC158"/>
    <mergeCell ref="BD156:BH156"/>
    <mergeCell ref="A157:C157"/>
    <mergeCell ref="D157:T157"/>
    <mergeCell ref="U157:Y157"/>
    <mergeCell ref="Z157:AD157"/>
    <mergeCell ref="AE157:AI157"/>
    <mergeCell ref="AJ157:AN157"/>
    <mergeCell ref="AO157:AS157"/>
    <mergeCell ref="AT157:AX157"/>
    <mergeCell ref="AY157:BC157"/>
    <mergeCell ref="A156:C156"/>
    <mergeCell ref="D156:T156"/>
    <mergeCell ref="U156:Y156"/>
    <mergeCell ref="Z156:AD156"/>
    <mergeCell ref="AE156:AI156"/>
    <mergeCell ref="BD159:BH159"/>
    <mergeCell ref="A160:C160"/>
    <mergeCell ref="D160:T160"/>
    <mergeCell ref="U160:Y160"/>
    <mergeCell ref="Z160:AD160"/>
    <mergeCell ref="AE160:AI160"/>
    <mergeCell ref="AJ160:AN160"/>
    <mergeCell ref="AO160:AS160"/>
    <mergeCell ref="AT160:AX160"/>
    <mergeCell ref="AY160:BC160"/>
    <mergeCell ref="BD158:BH158"/>
    <mergeCell ref="A159:C159"/>
    <mergeCell ref="D159:T159"/>
    <mergeCell ref="U159:Y159"/>
    <mergeCell ref="Z159:AD159"/>
    <mergeCell ref="AE159:AI159"/>
    <mergeCell ref="AJ159:AN159"/>
    <mergeCell ref="AO159:AS159"/>
    <mergeCell ref="AT159:AX159"/>
    <mergeCell ref="AY159:BC159"/>
    <mergeCell ref="BD161:BH161"/>
    <mergeCell ref="A162:C162"/>
    <mergeCell ref="D162:T162"/>
    <mergeCell ref="U162:Y162"/>
    <mergeCell ref="Z162:AD162"/>
    <mergeCell ref="AE162:AI162"/>
    <mergeCell ref="AJ162:AN162"/>
    <mergeCell ref="AO162:AS162"/>
    <mergeCell ref="AT162:AX162"/>
    <mergeCell ref="AY162:BC162"/>
    <mergeCell ref="BD160:BH160"/>
    <mergeCell ref="A161:C161"/>
    <mergeCell ref="D161:T161"/>
    <mergeCell ref="U161:Y161"/>
    <mergeCell ref="Z161:AD161"/>
    <mergeCell ref="AE161:AI161"/>
    <mergeCell ref="AJ161:AN161"/>
    <mergeCell ref="AO161:AS161"/>
    <mergeCell ref="AT161:AX161"/>
    <mergeCell ref="AY161:BC161"/>
    <mergeCell ref="BD163:BH163"/>
    <mergeCell ref="A164:C164"/>
    <mergeCell ref="D164:T164"/>
    <mergeCell ref="U164:Y164"/>
    <mergeCell ref="Z164:AD164"/>
    <mergeCell ref="AE164:AI164"/>
    <mergeCell ref="AJ164:AN164"/>
    <mergeCell ref="AO164:AS164"/>
    <mergeCell ref="AT164:AX164"/>
    <mergeCell ref="AY164:BC164"/>
    <mergeCell ref="BD162:BH162"/>
    <mergeCell ref="A163:C163"/>
    <mergeCell ref="D163:T163"/>
    <mergeCell ref="U163:Y163"/>
    <mergeCell ref="Z163:AD163"/>
    <mergeCell ref="AE163:AI163"/>
    <mergeCell ref="AJ163:AN163"/>
    <mergeCell ref="AO163:AS163"/>
    <mergeCell ref="AT163:AX163"/>
    <mergeCell ref="AY163:BC163"/>
    <mergeCell ref="BD165:BH165"/>
    <mergeCell ref="A166:C166"/>
    <mergeCell ref="D166:T166"/>
    <mergeCell ref="U166:Y166"/>
    <mergeCell ref="Z166:AD166"/>
    <mergeCell ref="AE166:AI166"/>
    <mergeCell ref="AJ166:AN166"/>
    <mergeCell ref="AO166:AS166"/>
    <mergeCell ref="AT166:AX166"/>
    <mergeCell ref="AY166:BC166"/>
    <mergeCell ref="BD164:BH164"/>
    <mergeCell ref="A165:C165"/>
    <mergeCell ref="D165:T165"/>
    <mergeCell ref="U165:Y165"/>
    <mergeCell ref="Z165:AD165"/>
    <mergeCell ref="AE165:AI165"/>
    <mergeCell ref="AJ165:AN165"/>
    <mergeCell ref="AO165:AS165"/>
    <mergeCell ref="AT165:AX165"/>
    <mergeCell ref="AY165:BC165"/>
    <mergeCell ref="BD167:BH167"/>
    <mergeCell ref="A168:C168"/>
    <mergeCell ref="D168:T168"/>
    <mergeCell ref="U168:Y168"/>
    <mergeCell ref="Z168:AD168"/>
    <mergeCell ref="AE168:AI168"/>
    <mergeCell ref="AJ168:AN168"/>
    <mergeCell ref="AO168:AS168"/>
    <mergeCell ref="AT168:AX168"/>
    <mergeCell ref="AY168:BC168"/>
    <mergeCell ref="BD166:BH166"/>
    <mergeCell ref="A167:C167"/>
    <mergeCell ref="D167:T167"/>
    <mergeCell ref="U167:Y167"/>
    <mergeCell ref="Z167:AD167"/>
    <mergeCell ref="AE167:AI167"/>
    <mergeCell ref="AJ167:AN167"/>
    <mergeCell ref="AO167:AS167"/>
    <mergeCell ref="AT167:AX167"/>
    <mergeCell ref="AY167:BC167"/>
    <mergeCell ref="BD169:BH169"/>
    <mergeCell ref="A170:C170"/>
    <mergeCell ref="D170:T170"/>
    <mergeCell ref="U170:Y170"/>
    <mergeCell ref="Z170:AD170"/>
    <mergeCell ref="AE170:AI170"/>
    <mergeCell ref="AJ170:AN170"/>
    <mergeCell ref="AO170:AS170"/>
    <mergeCell ref="AT170:AX170"/>
    <mergeCell ref="AY170:BC170"/>
    <mergeCell ref="BD168:BH168"/>
    <mergeCell ref="A169:C169"/>
    <mergeCell ref="D169:T169"/>
    <mergeCell ref="U169:Y169"/>
    <mergeCell ref="Z169:AD169"/>
    <mergeCell ref="AE169:AI169"/>
    <mergeCell ref="AJ169:AN169"/>
    <mergeCell ref="AO169:AS169"/>
    <mergeCell ref="AT169:AX169"/>
    <mergeCell ref="AY169:BC169"/>
    <mergeCell ref="BD171:BH171"/>
    <mergeCell ref="A172:C172"/>
    <mergeCell ref="D172:T172"/>
    <mergeCell ref="U172:Y172"/>
    <mergeCell ref="Z172:AD172"/>
    <mergeCell ref="AE172:AI172"/>
    <mergeCell ref="AJ172:AN172"/>
    <mergeCell ref="AO172:AS172"/>
    <mergeCell ref="AT172:AX172"/>
    <mergeCell ref="AY172:BC172"/>
    <mergeCell ref="BD170:BH170"/>
    <mergeCell ref="A171:C171"/>
    <mergeCell ref="D171:T171"/>
    <mergeCell ref="U171:Y171"/>
    <mergeCell ref="Z171:AD171"/>
    <mergeCell ref="AE171:AI171"/>
    <mergeCell ref="AJ171:AN171"/>
    <mergeCell ref="AO171:AS171"/>
    <mergeCell ref="AT171:AX171"/>
    <mergeCell ref="AY171:BC171"/>
    <mergeCell ref="BD173:BH173"/>
    <mergeCell ref="A174:C174"/>
    <mergeCell ref="D174:T174"/>
    <mergeCell ref="U174:Y174"/>
    <mergeCell ref="Z174:AD174"/>
    <mergeCell ref="AE174:AI174"/>
    <mergeCell ref="AJ174:AN174"/>
    <mergeCell ref="AO174:AS174"/>
    <mergeCell ref="AT174:AX174"/>
    <mergeCell ref="AY174:BC174"/>
    <mergeCell ref="BD172:BH172"/>
    <mergeCell ref="A173:C173"/>
    <mergeCell ref="D173:T173"/>
    <mergeCell ref="U173:Y173"/>
    <mergeCell ref="Z173:AD173"/>
    <mergeCell ref="AE173:AI173"/>
    <mergeCell ref="AJ173:AN173"/>
    <mergeCell ref="AO173:AS173"/>
    <mergeCell ref="AT173:AX173"/>
    <mergeCell ref="AY173:BC173"/>
    <mergeCell ref="BD175:BH175"/>
    <mergeCell ref="A176:C176"/>
    <mergeCell ref="D176:T176"/>
    <mergeCell ref="U176:Y176"/>
    <mergeCell ref="Z176:AD176"/>
    <mergeCell ref="AE176:AI176"/>
    <mergeCell ref="AJ176:AN176"/>
    <mergeCell ref="AO176:AS176"/>
    <mergeCell ref="AT176:AX176"/>
    <mergeCell ref="AY176:BC176"/>
    <mergeCell ref="BD174:BH174"/>
    <mergeCell ref="A175:C175"/>
    <mergeCell ref="D175:T175"/>
    <mergeCell ref="U175:Y175"/>
    <mergeCell ref="Z175:AD175"/>
    <mergeCell ref="AE175:AI175"/>
    <mergeCell ref="AJ175:AN175"/>
    <mergeCell ref="AO175:AS175"/>
    <mergeCell ref="AT175:AX175"/>
    <mergeCell ref="AY175:BC175"/>
    <mergeCell ref="BD177:BH177"/>
    <mergeCell ref="A178:C178"/>
    <mergeCell ref="D178:T178"/>
    <mergeCell ref="U178:Y178"/>
    <mergeCell ref="Z178:AD178"/>
    <mergeCell ref="AE178:AI178"/>
    <mergeCell ref="AJ178:AN178"/>
    <mergeCell ref="AO178:AS178"/>
    <mergeCell ref="AT178:AX178"/>
    <mergeCell ref="AY178:BC178"/>
    <mergeCell ref="BD176:BH176"/>
    <mergeCell ref="A177:C177"/>
    <mergeCell ref="D177:T177"/>
    <mergeCell ref="U177:Y177"/>
    <mergeCell ref="Z177:AD177"/>
    <mergeCell ref="AE177:AI177"/>
    <mergeCell ref="AJ177:AN177"/>
    <mergeCell ref="AO177:AS177"/>
    <mergeCell ref="AT177:AX177"/>
    <mergeCell ref="AY177:BC177"/>
    <mergeCell ref="BD179:BH179"/>
    <mergeCell ref="A180:C180"/>
    <mergeCell ref="D180:T180"/>
    <mergeCell ref="U180:Y180"/>
    <mergeCell ref="Z180:AD180"/>
    <mergeCell ref="AE180:AI180"/>
    <mergeCell ref="AJ180:AN180"/>
    <mergeCell ref="AO180:AS180"/>
    <mergeCell ref="AT180:AX180"/>
    <mergeCell ref="AY180:BC180"/>
    <mergeCell ref="BD178:BH178"/>
    <mergeCell ref="A179:C179"/>
    <mergeCell ref="D179:T179"/>
    <mergeCell ref="U179:Y179"/>
    <mergeCell ref="Z179:AD179"/>
    <mergeCell ref="AE179:AI179"/>
    <mergeCell ref="AJ179:AN179"/>
    <mergeCell ref="AO179:AS179"/>
    <mergeCell ref="AT179:AX179"/>
    <mergeCell ref="AY179:BC179"/>
    <mergeCell ref="BD181:BH181"/>
    <mergeCell ref="A182:C182"/>
    <mergeCell ref="D182:T182"/>
    <mergeCell ref="U182:Y182"/>
    <mergeCell ref="Z182:AD182"/>
    <mergeCell ref="AE182:AI182"/>
    <mergeCell ref="AJ182:AN182"/>
    <mergeCell ref="AO182:AS182"/>
    <mergeCell ref="AT182:AX182"/>
    <mergeCell ref="AY182:BC182"/>
    <mergeCell ref="BD180:BH180"/>
    <mergeCell ref="A181:C181"/>
    <mergeCell ref="D181:T181"/>
    <mergeCell ref="U181:Y181"/>
    <mergeCell ref="Z181:AD181"/>
    <mergeCell ref="AE181:AI181"/>
    <mergeCell ref="AJ181:AN181"/>
    <mergeCell ref="AO181:AS181"/>
    <mergeCell ref="AT181:AX181"/>
    <mergeCell ref="AY181:BC181"/>
    <mergeCell ref="BD183:BH183"/>
    <mergeCell ref="A184:C184"/>
    <mergeCell ref="D184:T184"/>
    <mergeCell ref="U184:Y184"/>
    <mergeCell ref="Z184:AD184"/>
    <mergeCell ref="AE184:AI184"/>
    <mergeCell ref="AJ184:AN184"/>
    <mergeCell ref="AO184:AS184"/>
    <mergeCell ref="AT184:AX184"/>
    <mergeCell ref="AY184:BC184"/>
    <mergeCell ref="BD182:BH182"/>
    <mergeCell ref="A183:C183"/>
    <mergeCell ref="D183:T183"/>
    <mergeCell ref="U183:Y183"/>
    <mergeCell ref="Z183:AD183"/>
    <mergeCell ref="AE183:AI183"/>
    <mergeCell ref="AJ183:AN183"/>
    <mergeCell ref="AO183:AS183"/>
    <mergeCell ref="AT183:AX183"/>
    <mergeCell ref="AY183:BC183"/>
    <mergeCell ref="BD185:BH185"/>
    <mergeCell ref="A186:C186"/>
    <mergeCell ref="D186:T186"/>
    <mergeCell ref="U186:Y186"/>
    <mergeCell ref="Z186:AD186"/>
    <mergeCell ref="AE186:AI186"/>
    <mergeCell ref="AJ186:AN186"/>
    <mergeCell ref="AO186:AS186"/>
    <mergeCell ref="AT186:AX186"/>
    <mergeCell ref="AY186:BC186"/>
    <mergeCell ref="BD184:BH184"/>
    <mergeCell ref="A185:C185"/>
    <mergeCell ref="D185:T185"/>
    <mergeCell ref="U185:Y185"/>
    <mergeCell ref="Z185:AD185"/>
    <mergeCell ref="AE185:AI185"/>
    <mergeCell ref="AJ185:AN185"/>
    <mergeCell ref="AO185:AS185"/>
    <mergeCell ref="AT185:AX185"/>
    <mergeCell ref="AY185:BC185"/>
    <mergeCell ref="BD187:BH187"/>
    <mergeCell ref="A188:C188"/>
    <mergeCell ref="D188:T188"/>
    <mergeCell ref="U188:Y188"/>
    <mergeCell ref="Z188:AD188"/>
    <mergeCell ref="AE188:AI188"/>
    <mergeCell ref="AJ188:AN188"/>
    <mergeCell ref="AO188:AS188"/>
    <mergeCell ref="AT188:AX188"/>
    <mergeCell ref="AY188:BC188"/>
    <mergeCell ref="BD186:BH186"/>
    <mergeCell ref="A187:C187"/>
    <mergeCell ref="D187:T187"/>
    <mergeCell ref="U187:Y187"/>
    <mergeCell ref="Z187:AD187"/>
    <mergeCell ref="AE187:AI187"/>
    <mergeCell ref="AJ187:AN187"/>
    <mergeCell ref="AO187:AS187"/>
    <mergeCell ref="AT187:AX187"/>
    <mergeCell ref="AY187:BC187"/>
    <mergeCell ref="BD189:BH189"/>
    <mergeCell ref="A190:C190"/>
    <mergeCell ref="D190:T190"/>
    <mergeCell ref="U190:Y190"/>
    <mergeCell ref="Z190:AD190"/>
    <mergeCell ref="AE190:AI190"/>
    <mergeCell ref="AJ190:AN190"/>
    <mergeCell ref="AO190:AS190"/>
    <mergeCell ref="AT190:AX190"/>
    <mergeCell ref="AY190:BC190"/>
    <mergeCell ref="BD188:BH188"/>
    <mergeCell ref="A189:C189"/>
    <mergeCell ref="D189:T189"/>
    <mergeCell ref="U189:Y189"/>
    <mergeCell ref="Z189:AD189"/>
    <mergeCell ref="AE189:AI189"/>
    <mergeCell ref="AJ189:AN189"/>
    <mergeCell ref="AO189:AS189"/>
    <mergeCell ref="AT189:AX189"/>
    <mergeCell ref="AY189:BC189"/>
    <mergeCell ref="BD191:BH191"/>
    <mergeCell ref="A192:C192"/>
    <mergeCell ref="D192:T192"/>
    <mergeCell ref="U192:Y192"/>
    <mergeCell ref="Z192:AD192"/>
    <mergeCell ref="AE192:AI192"/>
    <mergeCell ref="AJ192:AN192"/>
    <mergeCell ref="AO192:AS192"/>
    <mergeCell ref="AT192:AX192"/>
    <mergeCell ref="AY192:BC192"/>
    <mergeCell ref="BD190:BH190"/>
    <mergeCell ref="A191:C191"/>
    <mergeCell ref="D191:T191"/>
    <mergeCell ref="U191:Y191"/>
    <mergeCell ref="Z191:AD191"/>
    <mergeCell ref="AE191:AI191"/>
    <mergeCell ref="AJ191:AN191"/>
    <mergeCell ref="AO191:AS191"/>
    <mergeCell ref="AT191:AX191"/>
    <mergeCell ref="AY191:BC191"/>
    <mergeCell ref="BD194:BH194"/>
    <mergeCell ref="BD193:BH193"/>
    <mergeCell ref="A194:C194"/>
    <mergeCell ref="D194:T194"/>
    <mergeCell ref="U194:Y194"/>
    <mergeCell ref="Z194:AD194"/>
    <mergeCell ref="AE194:AI194"/>
    <mergeCell ref="AJ194:AN194"/>
    <mergeCell ref="AO194:AS194"/>
    <mergeCell ref="AT194:AX194"/>
    <mergeCell ref="AY194:BC194"/>
    <mergeCell ref="BD192:BH192"/>
    <mergeCell ref="A193:C193"/>
    <mergeCell ref="D193:T193"/>
    <mergeCell ref="U193:Y193"/>
    <mergeCell ref="Z193:AD193"/>
    <mergeCell ref="AE193:AI193"/>
    <mergeCell ref="AJ193:AN193"/>
    <mergeCell ref="AO193:AS193"/>
    <mergeCell ref="AT193:AX193"/>
    <mergeCell ref="AY193:BC193"/>
    <mergeCell ref="BE203:BI203"/>
    <mergeCell ref="BJ203:BN203"/>
    <mergeCell ref="BO203:BS203"/>
    <mergeCell ref="BT203:BX203"/>
    <mergeCell ref="A204:C204"/>
    <mergeCell ref="D204:P204"/>
    <mergeCell ref="Q204:U204"/>
    <mergeCell ref="V204:AE204"/>
    <mergeCell ref="AF204:AJ204"/>
    <mergeCell ref="AK204:AO204"/>
    <mergeCell ref="A203:C203"/>
    <mergeCell ref="D203:P203"/>
    <mergeCell ref="Q203:U203"/>
    <mergeCell ref="V203:AE203"/>
    <mergeCell ref="AF203:AJ203"/>
    <mergeCell ref="AK203:AO203"/>
    <mergeCell ref="AP203:AT203"/>
    <mergeCell ref="AU203:AY203"/>
    <mergeCell ref="AZ203:BD203"/>
    <mergeCell ref="BE205:BI205"/>
    <mergeCell ref="BJ205:BN205"/>
    <mergeCell ref="BO205:BS205"/>
    <mergeCell ref="BT205:BX205"/>
    <mergeCell ref="A206:C206"/>
    <mergeCell ref="D206:P206"/>
    <mergeCell ref="Q206:U206"/>
    <mergeCell ref="V206:AE206"/>
    <mergeCell ref="AF206:AJ206"/>
    <mergeCell ref="AK206:AO206"/>
    <mergeCell ref="BT204:BX204"/>
    <mergeCell ref="A205:C205"/>
    <mergeCell ref="D205:P205"/>
    <mergeCell ref="Q205:U205"/>
    <mergeCell ref="V205:AE205"/>
    <mergeCell ref="AF205:AJ205"/>
    <mergeCell ref="AK205:AO205"/>
    <mergeCell ref="AP205:AT205"/>
    <mergeCell ref="AU205:AY205"/>
    <mergeCell ref="AZ205:BD205"/>
    <mergeCell ref="AP204:AT204"/>
    <mergeCell ref="AU204:AY204"/>
    <mergeCell ref="AZ204:BD204"/>
    <mergeCell ref="BE204:BI204"/>
    <mergeCell ref="BJ204:BN204"/>
    <mergeCell ref="BO204:BS204"/>
    <mergeCell ref="BE207:BI207"/>
    <mergeCell ref="BJ207:BN207"/>
    <mergeCell ref="BO207:BS207"/>
    <mergeCell ref="BT207:BX207"/>
    <mergeCell ref="A208:C208"/>
    <mergeCell ref="D208:P208"/>
    <mergeCell ref="Q208:U208"/>
    <mergeCell ref="V208:AE208"/>
    <mergeCell ref="AF208:AJ208"/>
    <mergeCell ref="AK208:AO208"/>
    <mergeCell ref="BT206:BX206"/>
    <mergeCell ref="A207:C207"/>
    <mergeCell ref="D207:P207"/>
    <mergeCell ref="Q207:U207"/>
    <mergeCell ref="V207:AE207"/>
    <mergeCell ref="AF207:AJ207"/>
    <mergeCell ref="AK207:AO207"/>
    <mergeCell ref="AP207:AT207"/>
    <mergeCell ref="AU207:AY207"/>
    <mergeCell ref="AZ207:BD207"/>
    <mergeCell ref="AP206:AT206"/>
    <mergeCell ref="AU206:AY206"/>
    <mergeCell ref="AZ206:BD206"/>
    <mergeCell ref="BE206:BI206"/>
    <mergeCell ref="BJ206:BN206"/>
    <mergeCell ref="BO206:BS206"/>
    <mergeCell ref="BE209:BI209"/>
    <mergeCell ref="BJ209:BN209"/>
    <mergeCell ref="BO209:BS209"/>
    <mergeCell ref="BT209:BX209"/>
    <mergeCell ref="A210:C210"/>
    <mergeCell ref="D210:P210"/>
    <mergeCell ref="Q210:U210"/>
    <mergeCell ref="V210:AE210"/>
    <mergeCell ref="AF210:AJ210"/>
    <mergeCell ref="AK210:AO210"/>
    <mergeCell ref="BT208:BX208"/>
    <mergeCell ref="A209:C209"/>
    <mergeCell ref="D209:P209"/>
    <mergeCell ref="Q209:U209"/>
    <mergeCell ref="V209:AE209"/>
    <mergeCell ref="AF209:AJ209"/>
    <mergeCell ref="AK209:AO209"/>
    <mergeCell ref="AP209:AT209"/>
    <mergeCell ref="AU209:AY209"/>
    <mergeCell ref="AZ209:BD209"/>
    <mergeCell ref="AP208:AT208"/>
    <mergeCell ref="AU208:AY208"/>
    <mergeCell ref="AZ208:BD208"/>
    <mergeCell ref="BE208:BI208"/>
    <mergeCell ref="BJ208:BN208"/>
    <mergeCell ref="BO208:BS208"/>
    <mergeCell ref="BE211:BI211"/>
    <mergeCell ref="BJ211:BN211"/>
    <mergeCell ref="BO211:BS211"/>
    <mergeCell ref="BT211:BX211"/>
    <mergeCell ref="A212:C212"/>
    <mergeCell ref="D212:P212"/>
    <mergeCell ref="Q212:U212"/>
    <mergeCell ref="V212:AE212"/>
    <mergeCell ref="AF212:AJ212"/>
    <mergeCell ref="AK212:AO212"/>
    <mergeCell ref="BT210:BX210"/>
    <mergeCell ref="A211:C211"/>
    <mergeCell ref="D211:P211"/>
    <mergeCell ref="Q211:U211"/>
    <mergeCell ref="V211:AE211"/>
    <mergeCell ref="AF211:AJ211"/>
    <mergeCell ref="AK211:AO211"/>
    <mergeCell ref="AP211:AT211"/>
    <mergeCell ref="AU211:AY211"/>
    <mergeCell ref="AZ211:BD211"/>
    <mergeCell ref="AP210:AT210"/>
    <mergeCell ref="AU210:AY210"/>
    <mergeCell ref="AZ210:BD210"/>
    <mergeCell ref="BE210:BI210"/>
    <mergeCell ref="BJ210:BN210"/>
    <mergeCell ref="BO210:BS210"/>
    <mergeCell ref="BE213:BI213"/>
    <mergeCell ref="BJ213:BN213"/>
    <mergeCell ref="BO213:BS213"/>
    <mergeCell ref="BT213:BX213"/>
    <mergeCell ref="BT212:BX212"/>
    <mergeCell ref="A213:C213"/>
    <mergeCell ref="D213:P213"/>
    <mergeCell ref="Q213:U213"/>
    <mergeCell ref="V213:AE213"/>
    <mergeCell ref="AF213:AJ213"/>
    <mergeCell ref="AK213:AO213"/>
    <mergeCell ref="AP213:AT213"/>
    <mergeCell ref="AU213:AY213"/>
    <mergeCell ref="AZ213:BD213"/>
    <mergeCell ref="AP212:AT212"/>
    <mergeCell ref="AU212:AY212"/>
    <mergeCell ref="AZ212:BD212"/>
    <mergeCell ref="BE212:BI212"/>
    <mergeCell ref="BJ212:BN212"/>
    <mergeCell ref="BO212:BS212"/>
    <mergeCell ref="BE222:BI222"/>
    <mergeCell ref="A223:C223"/>
    <mergeCell ref="D223:P223"/>
    <mergeCell ref="Q223:U223"/>
    <mergeCell ref="V223:AE223"/>
    <mergeCell ref="AF223:AJ223"/>
    <mergeCell ref="AK223:AO223"/>
    <mergeCell ref="AP223:AT223"/>
    <mergeCell ref="AU223:AY223"/>
    <mergeCell ref="AZ223:BD223"/>
    <mergeCell ref="V222:AE222"/>
    <mergeCell ref="AF222:AJ222"/>
    <mergeCell ref="AK222:AO222"/>
    <mergeCell ref="AP222:AT222"/>
    <mergeCell ref="AU222:AY222"/>
    <mergeCell ref="AZ222:BD222"/>
    <mergeCell ref="A221:C221"/>
    <mergeCell ref="D221:P221"/>
    <mergeCell ref="Q221:U221"/>
    <mergeCell ref="V221:AE221"/>
    <mergeCell ref="AF221:AJ221"/>
    <mergeCell ref="AK221:AO221"/>
    <mergeCell ref="AP221:AT221"/>
    <mergeCell ref="AU221:AY221"/>
    <mergeCell ref="AZ221:BD221"/>
    <mergeCell ref="BE224:BI224"/>
    <mergeCell ref="A225:C225"/>
    <mergeCell ref="D225:P225"/>
    <mergeCell ref="Q225:U225"/>
    <mergeCell ref="V225:AE225"/>
    <mergeCell ref="AF225:AJ225"/>
    <mergeCell ref="AK225:AO225"/>
    <mergeCell ref="AP225:AT225"/>
    <mergeCell ref="AU225:AY225"/>
    <mergeCell ref="AZ225:BD225"/>
    <mergeCell ref="BE223:BI223"/>
    <mergeCell ref="A224:C224"/>
    <mergeCell ref="D224:P224"/>
    <mergeCell ref="Q224:U224"/>
    <mergeCell ref="V224:AE224"/>
    <mergeCell ref="AF224:AJ224"/>
    <mergeCell ref="AK224:AO224"/>
    <mergeCell ref="AP224:AT224"/>
    <mergeCell ref="AU224:AY224"/>
    <mergeCell ref="AZ224:BD224"/>
    <mergeCell ref="BE226:BI226"/>
    <mergeCell ref="A227:C227"/>
    <mergeCell ref="D227:P227"/>
    <mergeCell ref="Q227:U227"/>
    <mergeCell ref="V227:AE227"/>
    <mergeCell ref="AF227:AJ227"/>
    <mergeCell ref="AK227:AO227"/>
    <mergeCell ref="AP227:AT227"/>
    <mergeCell ref="AU227:AY227"/>
    <mergeCell ref="AZ227:BD227"/>
    <mergeCell ref="BE225:BI225"/>
    <mergeCell ref="A226:C226"/>
    <mergeCell ref="D226:P226"/>
    <mergeCell ref="Q226:U226"/>
    <mergeCell ref="V226:AE226"/>
    <mergeCell ref="AF226:AJ226"/>
    <mergeCell ref="AK226:AO226"/>
    <mergeCell ref="AP226:AT226"/>
    <mergeCell ref="AU226:AY226"/>
    <mergeCell ref="AZ226:BD226"/>
    <mergeCell ref="BE228:BI228"/>
    <mergeCell ref="A229:C229"/>
    <mergeCell ref="D229:P229"/>
    <mergeCell ref="Q229:U229"/>
    <mergeCell ref="V229:AE229"/>
    <mergeCell ref="AF229:AJ229"/>
    <mergeCell ref="AK229:AO229"/>
    <mergeCell ref="AP229:AT229"/>
    <mergeCell ref="AU229:AY229"/>
    <mergeCell ref="AZ229:BD229"/>
    <mergeCell ref="BE227:BI227"/>
    <mergeCell ref="A228:C228"/>
    <mergeCell ref="D228:P228"/>
    <mergeCell ref="Q228:U228"/>
    <mergeCell ref="V228:AE228"/>
    <mergeCell ref="AF228:AJ228"/>
    <mergeCell ref="AK228:AO228"/>
    <mergeCell ref="AP228:AT228"/>
    <mergeCell ref="AU228:AY228"/>
    <mergeCell ref="AZ228:BD228"/>
    <mergeCell ref="BE231:BI231"/>
    <mergeCell ref="BE230:BI230"/>
    <mergeCell ref="A231:C231"/>
    <mergeCell ref="D231:P231"/>
    <mergeCell ref="Q231:U231"/>
    <mergeCell ref="V231:AE231"/>
    <mergeCell ref="AF231:AJ231"/>
    <mergeCell ref="AK231:AO231"/>
    <mergeCell ref="AP231:AT231"/>
    <mergeCell ref="AU231:AY231"/>
    <mergeCell ref="AZ231:BD231"/>
    <mergeCell ref="BE229:BI229"/>
    <mergeCell ref="A230:C230"/>
    <mergeCell ref="D230:P230"/>
    <mergeCell ref="Q230:U230"/>
    <mergeCell ref="V230:AE230"/>
    <mergeCell ref="AF230:AJ230"/>
    <mergeCell ref="AK230:AO230"/>
    <mergeCell ref="AP230:AT230"/>
    <mergeCell ref="AU230:AY230"/>
    <mergeCell ref="AZ230:BD230"/>
    <mergeCell ref="BD241:BH241"/>
    <mergeCell ref="BI241:BM241"/>
    <mergeCell ref="BN241:BR241"/>
    <mergeCell ref="A242:T242"/>
    <mergeCell ref="U242:Y242"/>
    <mergeCell ref="Z242:AD242"/>
    <mergeCell ref="AE242:AI242"/>
    <mergeCell ref="AJ242:AN242"/>
    <mergeCell ref="AO242:AS242"/>
    <mergeCell ref="AT242:AX242"/>
    <mergeCell ref="Z241:AD241"/>
    <mergeCell ref="AE241:AI241"/>
    <mergeCell ref="AJ241:AN241"/>
    <mergeCell ref="AO241:AS241"/>
    <mergeCell ref="AT241:AX241"/>
    <mergeCell ref="AY241:BC241"/>
    <mergeCell ref="A240:T240"/>
    <mergeCell ref="U240:Y240"/>
    <mergeCell ref="Z240:AD240"/>
    <mergeCell ref="AE240:AI240"/>
    <mergeCell ref="AJ240:AN240"/>
    <mergeCell ref="AO240:AS240"/>
    <mergeCell ref="AT240:AX240"/>
    <mergeCell ref="AY240:BC240"/>
    <mergeCell ref="BD240:BH240"/>
    <mergeCell ref="AO244:AS244"/>
    <mergeCell ref="AT244:AX244"/>
    <mergeCell ref="AY244:BC244"/>
    <mergeCell ref="BD244:BH244"/>
    <mergeCell ref="BI244:BM244"/>
    <mergeCell ref="BN244:BR244"/>
    <mergeCell ref="AT243:AX243"/>
    <mergeCell ref="AY243:BC243"/>
    <mergeCell ref="BD243:BH243"/>
    <mergeCell ref="BI243:BM243"/>
    <mergeCell ref="BN243:BR243"/>
    <mergeCell ref="A244:T244"/>
    <mergeCell ref="U244:Y244"/>
    <mergeCell ref="Z244:AD244"/>
    <mergeCell ref="AE244:AI244"/>
    <mergeCell ref="AJ244:AN244"/>
    <mergeCell ref="AY242:BC242"/>
    <mergeCell ref="BD242:BH242"/>
    <mergeCell ref="BI242:BM242"/>
    <mergeCell ref="BN242:BR242"/>
    <mergeCell ref="A243:T243"/>
    <mergeCell ref="U243:Y243"/>
    <mergeCell ref="Z243:AD243"/>
    <mergeCell ref="AE243:AI243"/>
    <mergeCell ref="AJ243:AN243"/>
    <mergeCell ref="AO243:AS243"/>
    <mergeCell ref="AO246:AS246"/>
    <mergeCell ref="AT246:AX246"/>
    <mergeCell ref="AY246:BC246"/>
    <mergeCell ref="BD246:BH246"/>
    <mergeCell ref="BI246:BM246"/>
    <mergeCell ref="BN246:BR246"/>
    <mergeCell ref="AT245:AX245"/>
    <mergeCell ref="AY245:BC245"/>
    <mergeCell ref="BD245:BH245"/>
    <mergeCell ref="BI245:BM245"/>
    <mergeCell ref="BN245:BR245"/>
    <mergeCell ref="A246:T246"/>
    <mergeCell ref="U246:Y246"/>
    <mergeCell ref="Z246:AD246"/>
    <mergeCell ref="AE246:AI246"/>
    <mergeCell ref="AJ246:AN246"/>
    <mergeCell ref="A245:T245"/>
    <mergeCell ref="U245:Y245"/>
    <mergeCell ref="Z245:AD245"/>
    <mergeCell ref="AE245:AI245"/>
    <mergeCell ref="AJ245:AN245"/>
    <mergeCell ref="AO245:AS245"/>
    <mergeCell ref="A257:C257"/>
    <mergeCell ref="D257:V257"/>
    <mergeCell ref="W257:Y257"/>
    <mergeCell ref="Z257:AB257"/>
    <mergeCell ref="AC257:AE257"/>
    <mergeCell ref="AO248:AS248"/>
    <mergeCell ref="AT248:AX248"/>
    <mergeCell ref="AY248:BC248"/>
    <mergeCell ref="BD248:BH248"/>
    <mergeCell ref="BI248:BM248"/>
    <mergeCell ref="BN248:BR248"/>
    <mergeCell ref="AT247:AX247"/>
    <mergeCell ref="AY247:BC247"/>
    <mergeCell ref="BD247:BH247"/>
    <mergeCell ref="BI247:BM247"/>
    <mergeCell ref="BN247:BR247"/>
    <mergeCell ref="A248:T248"/>
    <mergeCell ref="U248:Y248"/>
    <mergeCell ref="Z248:AD248"/>
    <mergeCell ref="AE248:AI248"/>
    <mergeCell ref="AJ248:AN248"/>
    <mergeCell ref="A247:T247"/>
    <mergeCell ref="U247:Y247"/>
    <mergeCell ref="Z247:AD247"/>
    <mergeCell ref="AE247:AI247"/>
    <mergeCell ref="AJ247:AN247"/>
    <mergeCell ref="AO247:AS247"/>
    <mergeCell ref="BA255:BC255"/>
    <mergeCell ref="BD255:BF255"/>
    <mergeCell ref="BG255:BI255"/>
    <mergeCell ref="BJ255:BL255"/>
    <mergeCell ref="A256:C256"/>
    <mergeCell ref="BJ258:BL258"/>
    <mergeCell ref="A259:C259"/>
    <mergeCell ref="D259:V259"/>
    <mergeCell ref="W259:Y259"/>
    <mergeCell ref="Z259:AB259"/>
    <mergeCell ref="AC259:AE259"/>
    <mergeCell ref="AF259:AH259"/>
    <mergeCell ref="AI259:AK259"/>
    <mergeCell ref="AL259:AN259"/>
    <mergeCell ref="AO259:AQ259"/>
    <mergeCell ref="AR258:AT258"/>
    <mergeCell ref="AU258:AW258"/>
    <mergeCell ref="AX258:AZ258"/>
    <mergeCell ref="BA258:BC258"/>
    <mergeCell ref="BD258:BF258"/>
    <mergeCell ref="BG258:BI258"/>
    <mergeCell ref="BJ257:BL257"/>
    <mergeCell ref="A258:C258"/>
    <mergeCell ref="D258:V258"/>
    <mergeCell ref="W258:Y258"/>
    <mergeCell ref="Z258:AB258"/>
    <mergeCell ref="AC258:AE258"/>
    <mergeCell ref="AF258:AH258"/>
    <mergeCell ref="AI258:AK258"/>
    <mergeCell ref="AL258:AN258"/>
    <mergeCell ref="AO258:AQ258"/>
    <mergeCell ref="AR257:AT257"/>
    <mergeCell ref="AU257:AW257"/>
    <mergeCell ref="AX257:AZ257"/>
    <mergeCell ref="BA257:BC257"/>
    <mergeCell ref="BD257:BF257"/>
    <mergeCell ref="BG257:BI257"/>
    <mergeCell ref="BJ260:BL260"/>
    <mergeCell ref="AR260:AT260"/>
    <mergeCell ref="AU260:AW260"/>
    <mergeCell ref="AX260:AZ260"/>
    <mergeCell ref="BA260:BC260"/>
    <mergeCell ref="BD260:BF260"/>
    <mergeCell ref="BG260:BI260"/>
    <mergeCell ref="BJ259:BL259"/>
    <mergeCell ref="A260:C260"/>
    <mergeCell ref="D260:V260"/>
    <mergeCell ref="W260:Y260"/>
    <mergeCell ref="Z260:AB260"/>
    <mergeCell ref="AC260:AE260"/>
    <mergeCell ref="AF260:AH260"/>
    <mergeCell ref="AI260:AK260"/>
    <mergeCell ref="AL260:AN260"/>
    <mergeCell ref="AO260:AQ260"/>
    <mergeCell ref="AR259:AT259"/>
    <mergeCell ref="AU259:AW259"/>
    <mergeCell ref="AX259:AZ259"/>
    <mergeCell ref="BA259:BC259"/>
    <mergeCell ref="BD259:BF259"/>
    <mergeCell ref="BG259:BI259"/>
    <mergeCell ref="BG299:BL299"/>
    <mergeCell ref="A300:F300"/>
    <mergeCell ref="G300:S300"/>
    <mergeCell ref="T300:Y300"/>
    <mergeCell ref="Z300:AD300"/>
    <mergeCell ref="AE300:AJ300"/>
    <mergeCell ref="AK300:AP300"/>
    <mergeCell ref="AQ300:AV300"/>
    <mergeCell ref="AW300:BA300"/>
    <mergeCell ref="BB300:BF300"/>
    <mergeCell ref="Z299:AD299"/>
    <mergeCell ref="AE299:AJ299"/>
    <mergeCell ref="AK299:AP299"/>
    <mergeCell ref="AQ299:AV299"/>
    <mergeCell ref="AW299:BA299"/>
    <mergeCell ref="BB299:BF299"/>
    <mergeCell ref="A298:F298"/>
    <mergeCell ref="G298:S298"/>
    <mergeCell ref="T298:Y298"/>
    <mergeCell ref="Z298:AD298"/>
    <mergeCell ref="AE298:AJ298"/>
    <mergeCell ref="AK298:AP298"/>
    <mergeCell ref="AQ298:AV298"/>
    <mergeCell ref="AW298:BA298"/>
    <mergeCell ref="BB298:BF298"/>
    <mergeCell ref="BG301:BL301"/>
    <mergeCell ref="A302:F302"/>
    <mergeCell ref="G302:S302"/>
    <mergeCell ref="T302:Y302"/>
    <mergeCell ref="Z302:AD302"/>
    <mergeCell ref="AE302:AJ302"/>
    <mergeCell ref="AK302:AP302"/>
    <mergeCell ref="AQ302:AV302"/>
    <mergeCell ref="AW302:BA302"/>
    <mergeCell ref="BB302:BF302"/>
    <mergeCell ref="BG300:BL300"/>
    <mergeCell ref="A301:F301"/>
    <mergeCell ref="G301:S301"/>
    <mergeCell ref="T301:Y301"/>
    <mergeCell ref="Z301:AD301"/>
    <mergeCell ref="AE301:AJ301"/>
    <mergeCell ref="AK301:AP301"/>
    <mergeCell ref="AQ301:AV301"/>
    <mergeCell ref="AW301:BA301"/>
    <mergeCell ref="BB301:BF301"/>
    <mergeCell ref="BG303:BL303"/>
    <mergeCell ref="A304:F304"/>
    <mergeCell ref="G304:S304"/>
    <mergeCell ref="T304:Y304"/>
    <mergeCell ref="Z304:AD304"/>
    <mergeCell ref="AE304:AJ304"/>
    <mergeCell ref="AK304:AP304"/>
    <mergeCell ref="AQ304:AV304"/>
    <mergeCell ref="AW304:BA304"/>
    <mergeCell ref="BB304:BF304"/>
    <mergeCell ref="BG302:BL302"/>
    <mergeCell ref="A303:F303"/>
    <mergeCell ref="G303:S303"/>
    <mergeCell ref="T303:Y303"/>
    <mergeCell ref="Z303:AD303"/>
    <mergeCell ref="AE303:AJ303"/>
    <mergeCell ref="AK303:AP303"/>
    <mergeCell ref="AQ303:AV303"/>
    <mergeCell ref="AW303:BA303"/>
    <mergeCell ref="BB303:BF303"/>
    <mergeCell ref="BG305:BL305"/>
    <mergeCell ref="A306:F306"/>
    <mergeCell ref="G306:S306"/>
    <mergeCell ref="T306:Y306"/>
    <mergeCell ref="Z306:AD306"/>
    <mergeCell ref="AE306:AJ306"/>
    <mergeCell ref="AK306:AP306"/>
    <mergeCell ref="AQ306:AV306"/>
    <mergeCell ref="AW306:BA306"/>
    <mergeCell ref="BB306:BF306"/>
    <mergeCell ref="BG304:BL304"/>
    <mergeCell ref="A305:F305"/>
    <mergeCell ref="G305:S305"/>
    <mergeCell ref="T305:Y305"/>
    <mergeCell ref="Z305:AD305"/>
    <mergeCell ref="AE305:AJ305"/>
    <mergeCell ref="AK305:AP305"/>
    <mergeCell ref="AQ305:AV305"/>
    <mergeCell ref="AW305:BA305"/>
    <mergeCell ref="BB305:BF305"/>
    <mergeCell ref="BG308:BL308"/>
    <mergeCell ref="BG307:BL307"/>
    <mergeCell ref="A308:F308"/>
    <mergeCell ref="G308:S308"/>
    <mergeCell ref="T308:Y308"/>
    <mergeCell ref="Z308:AD308"/>
    <mergeCell ref="AE308:AJ308"/>
    <mergeCell ref="AK308:AP308"/>
    <mergeCell ref="AQ308:AV308"/>
    <mergeCell ref="AW308:BA308"/>
    <mergeCell ref="BB308:BF308"/>
    <mergeCell ref="BG306:BL306"/>
    <mergeCell ref="A307:F307"/>
    <mergeCell ref="G307:S307"/>
    <mergeCell ref="T307:Y307"/>
    <mergeCell ref="Z307:AD307"/>
    <mergeCell ref="AE307:AJ307"/>
    <mergeCell ref="AK307:AP307"/>
    <mergeCell ref="AQ307:AV307"/>
    <mergeCell ref="AW307:BA307"/>
    <mergeCell ref="BB307:BF307"/>
    <mergeCell ref="AX318:BB318"/>
    <mergeCell ref="BC318:BG318"/>
    <mergeCell ref="BH318:BL318"/>
    <mergeCell ref="A319:F319"/>
    <mergeCell ref="G319:P319"/>
    <mergeCell ref="Q319:U319"/>
    <mergeCell ref="V319:Y319"/>
    <mergeCell ref="Z319:AD319"/>
    <mergeCell ref="AE319:AI319"/>
    <mergeCell ref="AJ319:AN319"/>
    <mergeCell ref="A318:F318"/>
    <mergeCell ref="G318:P318"/>
    <mergeCell ref="Q318:U318"/>
    <mergeCell ref="V318:Y318"/>
    <mergeCell ref="Z318:AD318"/>
    <mergeCell ref="AE318:AI318"/>
    <mergeCell ref="AJ318:AN318"/>
    <mergeCell ref="AO318:AS318"/>
    <mergeCell ref="AT318:AW318"/>
    <mergeCell ref="BH320:BL320"/>
    <mergeCell ref="A321:F321"/>
    <mergeCell ref="G321:P321"/>
    <mergeCell ref="Q321:U321"/>
    <mergeCell ref="V321:Y321"/>
    <mergeCell ref="Z321:AD321"/>
    <mergeCell ref="AE321:AI321"/>
    <mergeCell ref="AJ321:AN321"/>
    <mergeCell ref="AO321:AS321"/>
    <mergeCell ref="AT321:AW321"/>
    <mergeCell ref="AE320:AI320"/>
    <mergeCell ref="AJ320:AN320"/>
    <mergeCell ref="AO320:AS320"/>
    <mergeCell ref="AT320:AW320"/>
    <mergeCell ref="AX320:BB320"/>
    <mergeCell ref="BC320:BG320"/>
    <mergeCell ref="AO319:AS319"/>
    <mergeCell ref="AT319:AW319"/>
    <mergeCell ref="AX319:BB319"/>
    <mergeCell ref="BC319:BG319"/>
    <mergeCell ref="BH319:BL319"/>
    <mergeCell ref="A320:F320"/>
    <mergeCell ref="G320:P320"/>
    <mergeCell ref="Q320:U320"/>
    <mergeCell ref="V320:Y320"/>
    <mergeCell ref="Z320:AD320"/>
    <mergeCell ref="AO322:AS322"/>
    <mergeCell ref="AT322:AW322"/>
    <mergeCell ref="AX322:BB322"/>
    <mergeCell ref="BC322:BG322"/>
    <mergeCell ref="BH322:BL322"/>
    <mergeCell ref="A323:F323"/>
    <mergeCell ref="G323:P323"/>
    <mergeCell ref="Q323:U323"/>
    <mergeCell ref="V323:Y323"/>
    <mergeCell ref="Z323:AD323"/>
    <mergeCell ref="AX321:BB321"/>
    <mergeCell ref="BC321:BG321"/>
    <mergeCell ref="BH321:BL321"/>
    <mergeCell ref="A322:F322"/>
    <mergeCell ref="G322:P322"/>
    <mergeCell ref="Q322:U322"/>
    <mergeCell ref="V322:Y322"/>
    <mergeCell ref="Z322:AD322"/>
    <mergeCell ref="AE322:AI322"/>
    <mergeCell ref="AJ322:AN322"/>
    <mergeCell ref="AX324:BB324"/>
    <mergeCell ref="BC324:BG324"/>
    <mergeCell ref="BH324:BL324"/>
    <mergeCell ref="A325:F325"/>
    <mergeCell ref="G325:P325"/>
    <mergeCell ref="Q325:U325"/>
    <mergeCell ref="V325:Y325"/>
    <mergeCell ref="Z325:AD325"/>
    <mergeCell ref="AE325:AI325"/>
    <mergeCell ref="AJ325:AN325"/>
    <mergeCell ref="BH323:BL323"/>
    <mergeCell ref="A324:F324"/>
    <mergeCell ref="G324:P324"/>
    <mergeCell ref="Q324:U324"/>
    <mergeCell ref="V324:Y324"/>
    <mergeCell ref="Z324:AD324"/>
    <mergeCell ref="AE324:AI324"/>
    <mergeCell ref="AJ324:AN324"/>
    <mergeCell ref="AO324:AS324"/>
    <mergeCell ref="AT324:AW324"/>
    <mergeCell ref="AE323:AI323"/>
    <mergeCell ref="AJ323:AN323"/>
    <mergeCell ref="AO323:AS323"/>
    <mergeCell ref="AT323:AW323"/>
    <mergeCell ref="AX323:BB323"/>
    <mergeCell ref="BC323:BG323"/>
    <mergeCell ref="BH326:BL326"/>
    <mergeCell ref="A327:F327"/>
    <mergeCell ref="G327:P327"/>
    <mergeCell ref="Q327:U327"/>
    <mergeCell ref="V327:Y327"/>
    <mergeCell ref="Z327:AD327"/>
    <mergeCell ref="AE327:AI327"/>
    <mergeCell ref="AJ327:AN327"/>
    <mergeCell ref="AO327:AS327"/>
    <mergeCell ref="AT327:AW327"/>
    <mergeCell ref="AE326:AI326"/>
    <mergeCell ref="AJ326:AN326"/>
    <mergeCell ref="AO326:AS326"/>
    <mergeCell ref="AT326:AW326"/>
    <mergeCell ref="AX326:BB326"/>
    <mergeCell ref="BC326:BG326"/>
    <mergeCell ref="AO325:AS325"/>
    <mergeCell ref="AT325:AW325"/>
    <mergeCell ref="AX325:BB325"/>
    <mergeCell ref="BC325:BG325"/>
    <mergeCell ref="BH325:BL325"/>
    <mergeCell ref="A326:F326"/>
    <mergeCell ref="G326:P326"/>
    <mergeCell ref="Q326:U326"/>
    <mergeCell ref="V326:Y326"/>
    <mergeCell ref="Z326:AD326"/>
    <mergeCell ref="A337:F337"/>
    <mergeCell ref="G337:S337"/>
    <mergeCell ref="T337:Y337"/>
    <mergeCell ref="Z337:AD337"/>
    <mergeCell ref="AE337:AJ337"/>
    <mergeCell ref="AK337:AP337"/>
    <mergeCell ref="AQ337:AV337"/>
    <mergeCell ref="AW337:BD337"/>
    <mergeCell ref="BE337:BL337"/>
    <mergeCell ref="AO328:AS328"/>
    <mergeCell ref="AT328:AW328"/>
    <mergeCell ref="AX328:BB328"/>
    <mergeCell ref="BC328:BG328"/>
    <mergeCell ref="BH328:BL328"/>
    <mergeCell ref="AX327:BB327"/>
    <mergeCell ref="BC327:BG327"/>
    <mergeCell ref="BH327:BL327"/>
    <mergeCell ref="A328:F328"/>
    <mergeCell ref="G328:P328"/>
    <mergeCell ref="Q328:U328"/>
    <mergeCell ref="V328:Y328"/>
    <mergeCell ref="Z328:AD328"/>
    <mergeCell ref="AE328:AI328"/>
    <mergeCell ref="AJ328:AN328"/>
    <mergeCell ref="AQ335:AV335"/>
    <mergeCell ref="AW335:BD335"/>
    <mergeCell ref="BE335:BL335"/>
    <mergeCell ref="A336:F336"/>
    <mergeCell ref="G336:S336"/>
    <mergeCell ref="T336:Y336"/>
    <mergeCell ref="Z336:AD336"/>
    <mergeCell ref="AE336:AJ336"/>
    <mergeCell ref="AK339:AP339"/>
    <mergeCell ref="AQ339:AV339"/>
    <mergeCell ref="AW339:BD339"/>
    <mergeCell ref="BE339:BL339"/>
    <mergeCell ref="A340:F340"/>
    <mergeCell ref="G340:S340"/>
    <mergeCell ref="T340:Y340"/>
    <mergeCell ref="Z340:AD340"/>
    <mergeCell ref="AE340:AJ340"/>
    <mergeCell ref="AK340:AP340"/>
    <mergeCell ref="AE338:AJ338"/>
    <mergeCell ref="AK338:AP338"/>
    <mergeCell ref="AQ338:AV338"/>
    <mergeCell ref="AW338:BD338"/>
    <mergeCell ref="BE338:BL338"/>
    <mergeCell ref="A339:F339"/>
    <mergeCell ref="G339:S339"/>
    <mergeCell ref="T339:Y339"/>
    <mergeCell ref="Z339:AD339"/>
    <mergeCell ref="AE339:AJ339"/>
    <mergeCell ref="A338:F338"/>
    <mergeCell ref="G338:S338"/>
    <mergeCell ref="T338:Y338"/>
    <mergeCell ref="Z338:AD338"/>
    <mergeCell ref="AW341:BD341"/>
    <mergeCell ref="BE341:BL341"/>
    <mergeCell ref="A342:F342"/>
    <mergeCell ref="G342:S342"/>
    <mergeCell ref="T342:Y342"/>
    <mergeCell ref="Z342:AD342"/>
    <mergeCell ref="AE342:AJ342"/>
    <mergeCell ref="AK342:AP342"/>
    <mergeCell ref="AQ342:AV342"/>
    <mergeCell ref="AW342:BD342"/>
    <mergeCell ref="AQ340:AV340"/>
    <mergeCell ref="AW340:BD340"/>
    <mergeCell ref="BE340:BL340"/>
    <mergeCell ref="A341:F341"/>
    <mergeCell ref="G341:S341"/>
    <mergeCell ref="T341:Y341"/>
    <mergeCell ref="Z341:AD341"/>
    <mergeCell ref="AE341:AJ341"/>
    <mergeCell ref="AK341:AP341"/>
    <mergeCell ref="AQ341:AV341"/>
    <mergeCell ref="AQ344:AV344"/>
    <mergeCell ref="AW344:BD344"/>
    <mergeCell ref="BE344:BL344"/>
    <mergeCell ref="A345:F345"/>
    <mergeCell ref="G345:S345"/>
    <mergeCell ref="T345:Y345"/>
    <mergeCell ref="Z345:AD345"/>
    <mergeCell ref="AE345:AJ345"/>
    <mergeCell ref="AK345:AP345"/>
    <mergeCell ref="AQ345:AV345"/>
    <mergeCell ref="A344:F344"/>
    <mergeCell ref="G344:S344"/>
    <mergeCell ref="T344:Y344"/>
    <mergeCell ref="Z344:AD344"/>
    <mergeCell ref="AE344:AJ344"/>
    <mergeCell ref="AK344:AP344"/>
    <mergeCell ref="BE342:BL342"/>
    <mergeCell ref="A343:F343"/>
    <mergeCell ref="G343:S343"/>
    <mergeCell ref="T343:Y343"/>
    <mergeCell ref="Z343:AD343"/>
    <mergeCell ref="AE343:AJ343"/>
    <mergeCell ref="AK343:AP343"/>
    <mergeCell ref="AQ343:AV343"/>
    <mergeCell ref="AW343:BD343"/>
    <mergeCell ref="BE343:BL343"/>
    <mergeCell ref="BE346:BL346"/>
    <mergeCell ref="A347:F347"/>
    <mergeCell ref="G347:S347"/>
    <mergeCell ref="T347:Y347"/>
    <mergeCell ref="Z347:AD347"/>
    <mergeCell ref="AE347:AJ347"/>
    <mergeCell ref="AK347:AP347"/>
    <mergeCell ref="AQ347:AV347"/>
    <mergeCell ref="AW347:BD347"/>
    <mergeCell ref="BE347:BL347"/>
    <mergeCell ref="AW345:BD345"/>
    <mergeCell ref="BE345:BL345"/>
    <mergeCell ref="A346:F346"/>
    <mergeCell ref="G346:S346"/>
    <mergeCell ref="T346:Y346"/>
    <mergeCell ref="Z346:AD346"/>
    <mergeCell ref="AE346:AJ346"/>
    <mergeCell ref="AK346:AP346"/>
    <mergeCell ref="AQ346:AV346"/>
    <mergeCell ref="AW346:BD346"/>
  </mergeCells>
  <conditionalFormatting sqref="A108 A256 A155">
    <cfRule type="cellIs" dxfId="129" priority="134" stopIfTrue="1" operator="equal">
      <formula>A107</formula>
    </cfRule>
  </conditionalFormatting>
  <conditionalFormatting sqref="A202:C202 A220:C220">
    <cfRule type="cellIs" dxfId="128" priority="135" stopIfTrue="1" operator="equal">
      <formula>A201</formula>
    </cfRule>
    <cfRule type="cellIs" dxfId="127" priority="136" stopIfTrue="1" operator="equal">
      <formula>0</formula>
    </cfRule>
  </conditionalFormatting>
  <conditionalFormatting sqref="A109">
    <cfRule type="cellIs" dxfId="126" priority="133" stopIfTrue="1" operator="equal">
      <formula>A108</formula>
    </cfRule>
  </conditionalFormatting>
  <conditionalFormatting sqref="A110">
    <cfRule type="cellIs" dxfId="125" priority="132" stopIfTrue="1" operator="equal">
      <formula>A109</formula>
    </cfRule>
  </conditionalFormatting>
  <conditionalFormatting sqref="A111">
    <cfRule type="cellIs" dxfId="124" priority="131" stopIfTrue="1" operator="equal">
      <formula>A110</formula>
    </cfRule>
  </conditionalFormatting>
  <conditionalFormatting sqref="A112">
    <cfRule type="cellIs" dxfId="123" priority="130" stopIfTrue="1" operator="equal">
      <formula>A111</formula>
    </cfRule>
  </conditionalFormatting>
  <conditionalFormatting sqref="A113">
    <cfRule type="cellIs" dxfId="122" priority="129" stopIfTrue="1" operator="equal">
      <formula>A112</formula>
    </cfRule>
  </conditionalFormatting>
  <conditionalFormatting sqref="A114">
    <cfRule type="cellIs" dxfId="121" priority="128" stopIfTrue="1" operator="equal">
      <formula>A113</formula>
    </cfRule>
  </conditionalFormatting>
  <conditionalFormatting sqref="A115">
    <cfRule type="cellIs" dxfId="120" priority="127" stopIfTrue="1" operator="equal">
      <formula>A114</formula>
    </cfRule>
  </conditionalFormatting>
  <conditionalFormatting sqref="A116">
    <cfRule type="cellIs" dxfId="119" priority="126" stopIfTrue="1" operator="equal">
      <formula>A115</formula>
    </cfRule>
  </conditionalFormatting>
  <conditionalFormatting sqref="A117">
    <cfRule type="cellIs" dxfId="118" priority="125" stopIfTrue="1" operator="equal">
      <formula>A116</formula>
    </cfRule>
  </conditionalFormatting>
  <conditionalFormatting sqref="A118">
    <cfRule type="cellIs" dxfId="117" priority="124" stopIfTrue="1" operator="equal">
      <formula>A117</formula>
    </cfRule>
  </conditionalFormatting>
  <conditionalFormatting sqref="A119">
    <cfRule type="cellIs" dxfId="116" priority="123" stopIfTrue="1" operator="equal">
      <formula>A118</formula>
    </cfRule>
  </conditionalFormatting>
  <conditionalFormatting sqref="A120">
    <cfRule type="cellIs" dxfId="115" priority="122" stopIfTrue="1" operator="equal">
      <formula>A119</formula>
    </cfRule>
  </conditionalFormatting>
  <conditionalFormatting sqref="A121">
    <cfRule type="cellIs" dxfId="114" priority="121" stopIfTrue="1" operator="equal">
      <formula>A120</formula>
    </cfRule>
  </conditionalFormatting>
  <conditionalFormatting sqref="A122">
    <cfRule type="cellIs" dxfId="113" priority="120" stopIfTrue="1" operator="equal">
      <formula>A121</formula>
    </cfRule>
  </conditionalFormatting>
  <conditionalFormatting sqref="A123">
    <cfRule type="cellIs" dxfId="112" priority="119" stopIfTrue="1" operator="equal">
      <formula>A122</formula>
    </cfRule>
  </conditionalFormatting>
  <conditionalFormatting sqref="A124">
    <cfRule type="cellIs" dxfId="111" priority="118" stopIfTrue="1" operator="equal">
      <formula>A123</formula>
    </cfRule>
  </conditionalFormatting>
  <conditionalFormatting sqref="A125">
    <cfRule type="cellIs" dxfId="110" priority="117" stopIfTrue="1" operator="equal">
      <formula>A124</formula>
    </cfRule>
  </conditionalFormatting>
  <conditionalFormatting sqref="A126">
    <cfRule type="cellIs" dxfId="109" priority="116" stopIfTrue="1" operator="equal">
      <formula>A125</formula>
    </cfRule>
  </conditionalFormatting>
  <conditionalFormatting sqref="A127">
    <cfRule type="cellIs" dxfId="108" priority="115" stopIfTrue="1" operator="equal">
      <formula>A126</formula>
    </cfRule>
  </conditionalFormatting>
  <conditionalFormatting sqref="A128">
    <cfRule type="cellIs" dxfId="107" priority="114" stopIfTrue="1" operator="equal">
      <formula>A127</formula>
    </cfRule>
  </conditionalFormatting>
  <conditionalFormatting sqref="A129">
    <cfRule type="cellIs" dxfId="106" priority="113" stopIfTrue="1" operator="equal">
      <formula>A128</formula>
    </cfRule>
  </conditionalFormatting>
  <conditionalFormatting sqref="A130">
    <cfRule type="cellIs" dxfId="105" priority="112" stopIfTrue="1" operator="equal">
      <formula>A129</formula>
    </cfRule>
  </conditionalFormatting>
  <conditionalFormatting sqref="A131">
    <cfRule type="cellIs" dxfId="104" priority="111" stopIfTrue="1" operator="equal">
      <formula>A130</formula>
    </cfRule>
  </conditionalFormatting>
  <conditionalFormatting sqref="A132">
    <cfRule type="cellIs" dxfId="103" priority="110" stopIfTrue="1" operator="equal">
      <formula>A131</formula>
    </cfRule>
  </conditionalFormatting>
  <conditionalFormatting sqref="A133">
    <cfRule type="cellIs" dxfId="102" priority="109" stopIfTrue="1" operator="equal">
      <formula>A132</formula>
    </cfRule>
  </conditionalFormatting>
  <conditionalFormatting sqref="A134">
    <cfRule type="cellIs" dxfId="101" priority="108" stopIfTrue="1" operator="equal">
      <formula>A133</formula>
    </cfRule>
  </conditionalFormatting>
  <conditionalFormatting sqref="A135">
    <cfRule type="cellIs" dxfId="100" priority="107" stopIfTrue="1" operator="equal">
      <formula>A134</formula>
    </cfRule>
  </conditionalFormatting>
  <conditionalFormatting sqref="A136">
    <cfRule type="cellIs" dxfId="99" priority="106" stopIfTrue="1" operator="equal">
      <formula>A135</formula>
    </cfRule>
  </conditionalFormatting>
  <conditionalFormatting sqref="A137">
    <cfRule type="cellIs" dxfId="98" priority="105" stopIfTrue="1" operator="equal">
      <formula>A136</formula>
    </cfRule>
  </conditionalFormatting>
  <conditionalFormatting sqref="A138">
    <cfRule type="cellIs" dxfId="97" priority="104" stopIfTrue="1" operator="equal">
      <formula>A137</formula>
    </cfRule>
  </conditionalFormatting>
  <conditionalFormatting sqref="A139">
    <cfRule type="cellIs" dxfId="96" priority="103" stopIfTrue="1" operator="equal">
      <formula>A138</formula>
    </cfRule>
  </conditionalFormatting>
  <conditionalFormatting sqref="A140">
    <cfRule type="cellIs" dxfId="95" priority="102" stopIfTrue="1" operator="equal">
      <formula>A139</formula>
    </cfRule>
  </conditionalFormatting>
  <conditionalFormatting sqref="A141">
    <cfRule type="cellIs" dxfId="94" priority="101" stopIfTrue="1" operator="equal">
      <formula>A140</formula>
    </cfRule>
  </conditionalFormatting>
  <conditionalFormatting sqref="A142">
    <cfRule type="cellIs" dxfId="93" priority="100" stopIfTrue="1" operator="equal">
      <formula>A141</formula>
    </cfRule>
  </conditionalFormatting>
  <conditionalFormatting sqref="A143">
    <cfRule type="cellIs" dxfId="92" priority="99" stopIfTrue="1" operator="equal">
      <formula>A142</formula>
    </cfRule>
  </conditionalFormatting>
  <conditionalFormatting sqref="A144">
    <cfRule type="cellIs" dxfId="91" priority="98" stopIfTrue="1" operator="equal">
      <formula>A143</formula>
    </cfRule>
  </conditionalFormatting>
  <conditionalFormatting sqref="A145">
    <cfRule type="cellIs" dxfId="90" priority="97" stopIfTrue="1" operator="equal">
      <formula>A144</formula>
    </cfRule>
  </conditionalFormatting>
  <conditionalFormatting sqref="A146">
    <cfRule type="cellIs" dxfId="89" priority="96" stopIfTrue="1" operator="equal">
      <formula>A145</formula>
    </cfRule>
  </conditionalFormatting>
  <conditionalFormatting sqref="A147">
    <cfRule type="cellIs" dxfId="88" priority="95" stopIfTrue="1" operator="equal">
      <formula>A146</formula>
    </cfRule>
  </conditionalFormatting>
  <conditionalFormatting sqref="A156">
    <cfRule type="cellIs" dxfId="86" priority="93" stopIfTrue="1" operator="equal">
      <formula>A155</formula>
    </cfRule>
  </conditionalFormatting>
  <conditionalFormatting sqref="A157">
    <cfRule type="cellIs" dxfId="85" priority="92" stopIfTrue="1" operator="equal">
      <formula>A156</formula>
    </cfRule>
  </conditionalFormatting>
  <conditionalFormatting sqref="A158">
    <cfRule type="cellIs" dxfId="84" priority="91" stopIfTrue="1" operator="equal">
      <formula>A157</formula>
    </cfRule>
  </conditionalFormatting>
  <conditionalFormatting sqref="A159">
    <cfRule type="cellIs" dxfId="83" priority="90" stopIfTrue="1" operator="equal">
      <formula>A158</formula>
    </cfRule>
  </conditionalFormatting>
  <conditionalFormatting sqref="A160">
    <cfRule type="cellIs" dxfId="82" priority="89" stopIfTrue="1" operator="equal">
      <formula>A159</formula>
    </cfRule>
  </conditionalFormatting>
  <conditionalFormatting sqref="A161">
    <cfRule type="cellIs" dxfId="81" priority="88" stopIfTrue="1" operator="equal">
      <formula>A160</formula>
    </cfRule>
  </conditionalFormatting>
  <conditionalFormatting sqref="A162">
    <cfRule type="cellIs" dxfId="80" priority="87" stopIfTrue="1" operator="equal">
      <formula>A161</formula>
    </cfRule>
  </conditionalFormatting>
  <conditionalFormatting sqref="A163">
    <cfRule type="cellIs" dxfId="79" priority="86" stopIfTrue="1" operator="equal">
      <formula>A162</formula>
    </cfRule>
  </conditionalFormatting>
  <conditionalFormatting sqref="A164">
    <cfRule type="cellIs" dxfId="78" priority="85" stopIfTrue="1" operator="equal">
      <formula>A163</formula>
    </cfRule>
  </conditionalFormatting>
  <conditionalFormatting sqref="A165">
    <cfRule type="cellIs" dxfId="77" priority="84" stopIfTrue="1" operator="equal">
      <formula>A164</formula>
    </cfRule>
  </conditionalFormatting>
  <conditionalFormatting sqref="A166">
    <cfRule type="cellIs" dxfId="76" priority="83" stopIfTrue="1" operator="equal">
      <formula>A165</formula>
    </cfRule>
  </conditionalFormatting>
  <conditionalFormatting sqref="A167">
    <cfRule type="cellIs" dxfId="75" priority="82" stopIfTrue="1" operator="equal">
      <formula>A166</formula>
    </cfRule>
  </conditionalFormatting>
  <conditionalFormatting sqref="A168">
    <cfRule type="cellIs" dxfId="74" priority="81" stopIfTrue="1" operator="equal">
      <formula>A167</formula>
    </cfRule>
  </conditionalFormatting>
  <conditionalFormatting sqref="A169">
    <cfRule type="cellIs" dxfId="73" priority="80" stopIfTrue="1" operator="equal">
      <formula>A168</formula>
    </cfRule>
  </conditionalFormatting>
  <conditionalFormatting sqref="A170">
    <cfRule type="cellIs" dxfId="72" priority="79" stopIfTrue="1" operator="equal">
      <formula>A169</formula>
    </cfRule>
  </conditionalFormatting>
  <conditionalFormatting sqref="A171">
    <cfRule type="cellIs" dxfId="71" priority="78" stopIfTrue="1" operator="equal">
      <formula>A170</formula>
    </cfRule>
  </conditionalFormatting>
  <conditionalFormatting sqref="A172">
    <cfRule type="cellIs" dxfId="70" priority="77" stopIfTrue="1" operator="equal">
      <formula>A171</formula>
    </cfRule>
  </conditionalFormatting>
  <conditionalFormatting sqref="A173">
    <cfRule type="cellIs" dxfId="69" priority="76" stopIfTrue="1" operator="equal">
      <formula>A172</formula>
    </cfRule>
  </conditionalFormatting>
  <conditionalFormatting sqref="A174">
    <cfRule type="cellIs" dxfId="68" priority="75" stopIfTrue="1" operator="equal">
      <formula>A173</formula>
    </cfRule>
  </conditionalFormatting>
  <conditionalFormatting sqref="A175">
    <cfRule type="cellIs" dxfId="67" priority="74" stopIfTrue="1" operator="equal">
      <formula>A174</formula>
    </cfRule>
  </conditionalFormatting>
  <conditionalFormatting sqref="A176">
    <cfRule type="cellIs" dxfId="66" priority="73" stopIfTrue="1" operator="equal">
      <formula>A175</formula>
    </cfRule>
  </conditionalFormatting>
  <conditionalFormatting sqref="A177">
    <cfRule type="cellIs" dxfId="65" priority="72" stopIfTrue="1" operator="equal">
      <formula>A176</formula>
    </cfRule>
  </conditionalFormatting>
  <conditionalFormatting sqref="A178">
    <cfRule type="cellIs" dxfId="64" priority="71" stopIfTrue="1" operator="equal">
      <formula>A177</formula>
    </cfRule>
  </conditionalFormatting>
  <conditionalFormatting sqref="A179">
    <cfRule type="cellIs" dxfId="63" priority="70" stopIfTrue="1" operator="equal">
      <formula>A178</formula>
    </cfRule>
  </conditionalFormatting>
  <conditionalFormatting sqref="A180">
    <cfRule type="cellIs" dxfId="62" priority="69" stopIfTrue="1" operator="equal">
      <formula>A179</formula>
    </cfRule>
  </conditionalFormatting>
  <conditionalFormatting sqref="A181">
    <cfRule type="cellIs" dxfId="61" priority="68" stopIfTrue="1" operator="equal">
      <formula>A180</formula>
    </cfRule>
  </conditionalFormatting>
  <conditionalFormatting sqref="A182">
    <cfRule type="cellIs" dxfId="60" priority="67" stopIfTrue="1" operator="equal">
      <formula>A181</formula>
    </cfRule>
  </conditionalFormatting>
  <conditionalFormatting sqref="A183">
    <cfRule type="cellIs" dxfId="59" priority="66" stopIfTrue="1" operator="equal">
      <formula>A182</formula>
    </cfRule>
  </conditionalFormatting>
  <conditionalFormatting sqref="A184">
    <cfRule type="cellIs" dxfId="58" priority="65" stopIfTrue="1" operator="equal">
      <formula>A183</formula>
    </cfRule>
  </conditionalFormatting>
  <conditionalFormatting sqref="A185">
    <cfRule type="cellIs" dxfId="57" priority="64" stopIfTrue="1" operator="equal">
      <formula>A184</formula>
    </cfRule>
  </conditionalFormatting>
  <conditionalFormatting sqref="A186">
    <cfRule type="cellIs" dxfId="56" priority="63" stopIfTrue="1" operator="equal">
      <formula>A185</formula>
    </cfRule>
  </conditionalFormatting>
  <conditionalFormatting sqref="A187">
    <cfRule type="cellIs" dxfId="55" priority="62" stopIfTrue="1" operator="equal">
      <formula>A186</formula>
    </cfRule>
  </conditionalFormatting>
  <conditionalFormatting sqref="A188">
    <cfRule type="cellIs" dxfId="54" priority="61" stopIfTrue="1" operator="equal">
      <formula>A187</formula>
    </cfRule>
  </conditionalFormatting>
  <conditionalFormatting sqref="A189">
    <cfRule type="cellIs" dxfId="53" priority="60" stopIfTrue="1" operator="equal">
      <formula>A188</formula>
    </cfRule>
  </conditionalFormatting>
  <conditionalFormatting sqref="A190">
    <cfRule type="cellIs" dxfId="52" priority="59" stopIfTrue="1" operator="equal">
      <formula>A189</formula>
    </cfRule>
  </conditionalFormatting>
  <conditionalFormatting sqref="A191">
    <cfRule type="cellIs" dxfId="51" priority="58" stopIfTrue="1" operator="equal">
      <formula>A190</formula>
    </cfRule>
  </conditionalFormatting>
  <conditionalFormatting sqref="A192">
    <cfRule type="cellIs" dxfId="50" priority="57" stopIfTrue="1" operator="equal">
      <formula>A191</formula>
    </cfRule>
  </conditionalFormatting>
  <conditionalFormatting sqref="A193">
    <cfRule type="cellIs" dxfId="49" priority="56" stopIfTrue="1" operator="equal">
      <formula>A192</formula>
    </cfRule>
  </conditionalFormatting>
  <conditionalFormatting sqref="A194">
    <cfRule type="cellIs" dxfId="48" priority="55" stopIfTrue="1" operator="equal">
      <formula>A193</formula>
    </cfRule>
  </conditionalFormatting>
  <conditionalFormatting sqref="A257">
    <cfRule type="cellIs" dxfId="47" priority="5" stopIfTrue="1" operator="equal">
      <formula>A256</formula>
    </cfRule>
  </conditionalFormatting>
  <conditionalFormatting sqref="A203:C203">
    <cfRule type="cellIs" dxfId="46" priority="52" stopIfTrue="1" operator="equal">
      <formula>A202</formula>
    </cfRule>
    <cfRule type="cellIs" dxfId="45" priority="53" stopIfTrue="1" operator="equal">
      <formula>0</formula>
    </cfRule>
  </conditionalFormatting>
  <conditionalFormatting sqref="A204:C204">
    <cfRule type="cellIs" dxfId="44" priority="50" stopIfTrue="1" operator="equal">
      <formula>A203</formula>
    </cfRule>
    <cfRule type="cellIs" dxfId="43" priority="51" stopIfTrue="1" operator="equal">
      <formula>0</formula>
    </cfRule>
  </conditionalFormatting>
  <conditionalFormatting sqref="A205:C205">
    <cfRule type="cellIs" dxfId="42" priority="48" stopIfTrue="1" operator="equal">
      <formula>A204</formula>
    </cfRule>
    <cfRule type="cellIs" dxfId="41" priority="49" stopIfTrue="1" operator="equal">
      <formula>0</formula>
    </cfRule>
  </conditionalFormatting>
  <conditionalFormatting sqref="A206:C206">
    <cfRule type="cellIs" dxfId="40" priority="46" stopIfTrue="1" operator="equal">
      <formula>A205</formula>
    </cfRule>
    <cfRule type="cellIs" dxfId="39" priority="47" stopIfTrue="1" operator="equal">
      <formula>0</formula>
    </cfRule>
  </conditionalFormatting>
  <conditionalFormatting sqref="A207:C207">
    <cfRule type="cellIs" dxfId="38" priority="44" stopIfTrue="1" operator="equal">
      <formula>A206</formula>
    </cfRule>
    <cfRule type="cellIs" dxfId="37" priority="45" stopIfTrue="1" operator="equal">
      <formula>0</formula>
    </cfRule>
  </conditionalFormatting>
  <conditionalFormatting sqref="A208:C208">
    <cfRule type="cellIs" dxfId="36" priority="42" stopIfTrue="1" operator="equal">
      <formula>A207</formula>
    </cfRule>
    <cfRule type="cellIs" dxfId="35" priority="43" stopIfTrue="1" operator="equal">
      <formula>0</formula>
    </cfRule>
  </conditionalFormatting>
  <conditionalFormatting sqref="A209:C209">
    <cfRule type="cellIs" dxfId="34" priority="40" stopIfTrue="1" operator="equal">
      <formula>A208</formula>
    </cfRule>
    <cfRule type="cellIs" dxfId="33" priority="41" stopIfTrue="1" operator="equal">
      <formula>0</formula>
    </cfRule>
  </conditionalFormatting>
  <conditionalFormatting sqref="A210:C210">
    <cfRule type="cellIs" dxfId="32" priority="38" stopIfTrue="1" operator="equal">
      <formula>A209</formula>
    </cfRule>
    <cfRule type="cellIs" dxfId="31" priority="39" stopIfTrue="1" operator="equal">
      <formula>0</formula>
    </cfRule>
  </conditionalFormatting>
  <conditionalFormatting sqref="A211:C211">
    <cfRule type="cellIs" dxfId="30" priority="36" stopIfTrue="1" operator="equal">
      <formula>A210</formula>
    </cfRule>
    <cfRule type="cellIs" dxfId="29" priority="37" stopIfTrue="1" operator="equal">
      <formula>0</formula>
    </cfRule>
  </conditionalFormatting>
  <conditionalFormatting sqref="A212:C212">
    <cfRule type="cellIs" dxfId="28" priority="34" stopIfTrue="1" operator="equal">
      <formula>A211</formula>
    </cfRule>
    <cfRule type="cellIs" dxfId="27" priority="35" stopIfTrue="1" operator="equal">
      <formula>0</formula>
    </cfRule>
  </conditionalFormatting>
  <conditionalFormatting sqref="A213:C213">
    <cfRule type="cellIs" dxfId="26" priority="32" stopIfTrue="1" operator="equal">
      <formula>A212</formula>
    </cfRule>
    <cfRule type="cellIs" dxfId="25" priority="33" stopIfTrue="1" operator="equal">
      <formula>0</formula>
    </cfRule>
  </conditionalFormatting>
  <conditionalFormatting sqref="A221:C221">
    <cfRule type="cellIs" dxfId="24" priority="28" stopIfTrue="1" operator="equal">
      <formula>A220</formula>
    </cfRule>
    <cfRule type="cellIs" dxfId="23" priority="29" stopIfTrue="1" operator="equal">
      <formula>0</formula>
    </cfRule>
  </conditionalFormatting>
  <conditionalFormatting sqref="A222:C222">
    <cfRule type="cellIs" dxfId="22" priority="26" stopIfTrue="1" operator="equal">
      <formula>A221</formula>
    </cfRule>
    <cfRule type="cellIs" dxfId="21" priority="27" stopIfTrue="1" operator="equal">
      <formula>0</formula>
    </cfRule>
  </conditionalFormatting>
  <conditionalFormatting sqref="A223:C223">
    <cfRule type="cellIs" dxfId="20" priority="24" stopIfTrue="1" operator="equal">
      <formula>A222</formula>
    </cfRule>
    <cfRule type="cellIs" dxfId="19" priority="25" stopIfTrue="1" operator="equal">
      <formula>0</formula>
    </cfRule>
  </conditionalFormatting>
  <conditionalFormatting sqref="A224:C224">
    <cfRule type="cellIs" dxfId="18" priority="22" stopIfTrue="1" operator="equal">
      <formula>A223</formula>
    </cfRule>
    <cfRule type="cellIs" dxfId="17" priority="23" stopIfTrue="1" operator="equal">
      <formula>0</formula>
    </cfRule>
  </conditionalFormatting>
  <conditionalFormatting sqref="A225:C225">
    <cfRule type="cellIs" dxfId="16" priority="20" stopIfTrue="1" operator="equal">
      <formula>A224</formula>
    </cfRule>
    <cfRule type="cellIs" dxfId="15" priority="21" stopIfTrue="1" operator="equal">
      <formula>0</formula>
    </cfRule>
  </conditionalFormatting>
  <conditionalFormatting sqref="A226:C226">
    <cfRule type="cellIs" dxfId="14" priority="18" stopIfTrue="1" operator="equal">
      <formula>A225</formula>
    </cfRule>
    <cfRule type="cellIs" dxfId="13" priority="19" stopIfTrue="1" operator="equal">
      <formula>0</formula>
    </cfRule>
  </conditionalFormatting>
  <conditionalFormatting sqref="A227:C227">
    <cfRule type="cellIs" dxfId="12" priority="16" stopIfTrue="1" operator="equal">
      <formula>A226</formula>
    </cfRule>
    <cfRule type="cellIs" dxfId="11" priority="17" stopIfTrue="1" operator="equal">
      <formula>0</formula>
    </cfRule>
  </conditionalFormatting>
  <conditionalFormatting sqref="A228:C228">
    <cfRule type="cellIs" dxfId="10" priority="14" stopIfTrue="1" operator="equal">
      <formula>A227</formula>
    </cfRule>
    <cfRule type="cellIs" dxfId="9" priority="15" stopIfTrue="1" operator="equal">
      <formula>0</formula>
    </cfRule>
  </conditionalFormatting>
  <conditionalFormatting sqref="A229:C229">
    <cfRule type="cellIs" dxfId="8" priority="12" stopIfTrue="1" operator="equal">
      <formula>A228</formula>
    </cfRule>
    <cfRule type="cellIs" dxfId="7" priority="13" stopIfTrue="1" operator="equal">
      <formula>0</formula>
    </cfRule>
  </conditionalFormatting>
  <conditionalFormatting sqref="A230:C230">
    <cfRule type="cellIs" dxfId="6" priority="10" stopIfTrue="1" operator="equal">
      <formula>A229</formula>
    </cfRule>
    <cfRule type="cellIs" dxfId="5" priority="11" stopIfTrue="1" operator="equal">
      <formula>0</formula>
    </cfRule>
  </conditionalFormatting>
  <conditionalFormatting sqref="A231:C231">
    <cfRule type="cellIs" dxfId="4" priority="8" stopIfTrue="1" operator="equal">
      <formula>A230</formula>
    </cfRule>
    <cfRule type="cellIs" dxfId="3" priority="9" stopIfTrue="1" operator="equal">
      <formula>0</formula>
    </cfRule>
  </conditionalFormatting>
  <conditionalFormatting sqref="A258">
    <cfRule type="cellIs" dxfId="2" priority="4" stopIfTrue="1" operator="equal">
      <formula>A257</formula>
    </cfRule>
  </conditionalFormatting>
  <conditionalFormatting sqref="A259">
    <cfRule type="cellIs" dxfId="1" priority="3" stopIfTrue="1" operator="equal">
      <formula>A258</formula>
    </cfRule>
  </conditionalFormatting>
  <conditionalFormatting sqref="A260">
    <cfRule type="cellIs" dxfId="0" priority="2" stopIfTrue="1" operator="equal">
      <formula>A259</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Додаток2 КПК0113241</vt:lpstr>
      <vt:lpstr>'Додаток2 КПК0113241'!Область_печати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2025-01-14T12:55:36Z</cp:lastPrinted>
  <dcterms:created xsi:type="dcterms:W3CDTF">2016-07-02T12:27:50Z</dcterms:created>
  <dcterms:modified xsi:type="dcterms:W3CDTF">2025-01-14T12:55:46Z</dcterms:modified>
</cp:coreProperties>
</file>