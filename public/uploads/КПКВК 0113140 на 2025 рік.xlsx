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Бюджетні запити\на 2025 рік\"/>
    </mc:Choice>
  </mc:AlternateContent>
  <xr:revisionPtr revIDLastSave="0" documentId="13_ncr:1_{0FDCBFEB-A7C0-43AC-80C6-3C03654DB97B}" xr6:coauthVersionLast="46" xr6:coauthVersionMax="46" xr10:uidLastSave="{00000000-0000-0000-0000-000000000000}"/>
  <bookViews>
    <workbookView xWindow="-120" yWindow="-120" windowWidth="29040" windowHeight="15840" tabRatio="522" xr2:uid="{00000000-000D-0000-FFFF-FFFF00000000}"/>
  </bookViews>
  <sheets>
    <sheet name="Додаток2 КПК0113140" sheetId="6" r:id="rId1"/>
  </sheets>
  <definedNames>
    <definedName name="_xlnm.Print_Area" localSheetId="0">'Додаток2 КПК0113140'!$A$1:$BY$239</definedName>
  </definedNames>
  <calcPr calcId="191029"/>
</workbook>
</file>

<file path=xl/calcChain.xml><?xml version="1.0" encoding="utf-8"?>
<calcChain xmlns="http://schemas.openxmlformats.org/spreadsheetml/2006/main">
  <c r="BH219" i="6" l="1"/>
  <c r="AT219" i="6"/>
  <c r="AJ219" i="6"/>
  <c r="BH218" i="6"/>
  <c r="AT218" i="6"/>
  <c r="AJ218" i="6"/>
  <c r="BH217" i="6"/>
  <c r="AT217" i="6"/>
  <c r="AJ217" i="6"/>
  <c r="BG208" i="6"/>
  <c r="AQ208" i="6"/>
  <c r="AZ185" i="6"/>
  <c r="AK185" i="6"/>
  <c r="AZ184" i="6"/>
  <c r="AK184" i="6"/>
  <c r="BO176" i="6"/>
  <c r="AZ176" i="6"/>
  <c r="AK176" i="6"/>
  <c r="BO175" i="6"/>
  <c r="AZ175" i="6"/>
  <c r="AK175" i="6"/>
  <c r="BD100" i="6"/>
  <c r="AJ100" i="6"/>
  <c r="BD99" i="6"/>
  <c r="AJ99" i="6"/>
  <c r="BD98" i="6"/>
  <c r="AJ98" i="6"/>
  <c r="BU90" i="6"/>
  <c r="BB90" i="6"/>
  <c r="AI90" i="6"/>
  <c r="BU89" i="6"/>
  <c r="BB89" i="6"/>
  <c r="AI89" i="6"/>
  <c r="BU88" i="6"/>
  <c r="BB88" i="6"/>
  <c r="AI88" i="6"/>
  <c r="BG78" i="6"/>
  <c r="AM78" i="6"/>
  <c r="BG70" i="6"/>
  <c r="AM70" i="6"/>
  <c r="BG69" i="6"/>
  <c r="AM69" i="6"/>
  <c r="BG68" i="6"/>
  <c r="AM68" i="6"/>
  <c r="BU60" i="6"/>
  <c r="BB60" i="6"/>
  <c r="AI60" i="6"/>
  <c r="BU52" i="6"/>
  <c r="BB52" i="6"/>
  <c r="AI52" i="6"/>
  <c r="BU51" i="6"/>
  <c r="BB51" i="6"/>
  <c r="AI51" i="6"/>
  <c r="BU50" i="6"/>
  <c r="BB50" i="6"/>
  <c r="AI50" i="6"/>
  <c r="BG40" i="6"/>
  <c r="AM40" i="6"/>
  <c r="BG39" i="6"/>
  <c r="AM39" i="6"/>
  <c r="BU31" i="6"/>
  <c r="BB31" i="6"/>
  <c r="AI31" i="6"/>
  <c r="BU30" i="6"/>
  <c r="BB30" i="6"/>
  <c r="AI30" i="6"/>
</calcChain>
</file>

<file path=xl/sharedStrings.xml><?xml version="1.0" encoding="utf-8"?>
<sst xmlns="http://schemas.openxmlformats.org/spreadsheetml/2006/main" count="729" uniqueCount="259">
  <si>
    <t xml:space="preserve">                (найменування головного розпорядника коштів місцевого бюджету)                        </t>
  </si>
  <si>
    <t xml:space="preserve"> (підпис)</t>
  </si>
  <si>
    <t>Код</t>
  </si>
  <si>
    <t>спеціальний фонд</t>
  </si>
  <si>
    <t>загальний фонд</t>
  </si>
  <si>
    <t xml:space="preserve">разом (3+4) </t>
  </si>
  <si>
    <t>№ з/п</t>
  </si>
  <si>
    <t>Джерело інформації</t>
  </si>
  <si>
    <t>Одиниця виміру</t>
  </si>
  <si>
    <t>Показники</t>
  </si>
  <si>
    <t>Категорії працівників</t>
  </si>
  <si>
    <t>фактич но зайняті</t>
  </si>
  <si>
    <t>затверджено</t>
  </si>
  <si>
    <t>Коли та яким документом затверджена</t>
  </si>
  <si>
    <t>Касові видатки/ надання кредитів</t>
  </si>
  <si>
    <t>Затверджено з урахуванням змін</t>
  </si>
  <si>
    <t>спеціального фонду</t>
  </si>
  <si>
    <t>загального фонду</t>
  </si>
  <si>
    <t>Причини виникнення заборгованості</t>
  </si>
  <si>
    <t>Найменування</t>
  </si>
  <si>
    <t>граничний обсяг</t>
  </si>
  <si>
    <t>p2.5.1</t>
  </si>
  <si>
    <t>s2.5.1</t>
  </si>
  <si>
    <t>p2.5.2</t>
  </si>
  <si>
    <t>s2.5.2</t>
  </si>
  <si>
    <t>p2.6.1</t>
  </si>
  <si>
    <t>s2.6.1</t>
  </si>
  <si>
    <t>p2.6.2</t>
  </si>
  <si>
    <t>s2.6.2</t>
  </si>
  <si>
    <t>p2.6.3</t>
  </si>
  <si>
    <t>s2.6.3</t>
  </si>
  <si>
    <t>p2.6.4</t>
  </si>
  <si>
    <t>s2.6.4</t>
  </si>
  <si>
    <t>p2.7.1</t>
  </si>
  <si>
    <t>s2.7.1</t>
  </si>
  <si>
    <t>p2.7.2</t>
  </si>
  <si>
    <t>s2.7.2</t>
  </si>
  <si>
    <t>p2.8.1</t>
  </si>
  <si>
    <t>s2.8.1</t>
  </si>
  <si>
    <t>p2.8.2</t>
  </si>
  <si>
    <t>s2.8.2</t>
  </si>
  <si>
    <t>p2.9</t>
  </si>
  <si>
    <t>s2.9</t>
  </si>
  <si>
    <t>s2.10</t>
  </si>
  <si>
    <t>p2.11.1</t>
  </si>
  <si>
    <t>s2.11.1</t>
  </si>
  <si>
    <t>p2.11.2</t>
  </si>
  <si>
    <t>s2.11.2</t>
  </si>
  <si>
    <t>p2.12.1</t>
  </si>
  <si>
    <t>s2.12.1</t>
  </si>
  <si>
    <t>p2.13.1</t>
  </si>
  <si>
    <t>s2.13.1</t>
  </si>
  <si>
    <t>p2.13.2</t>
  </si>
  <si>
    <t>s2.13.2</t>
  </si>
  <si>
    <t>p2.13.3</t>
  </si>
  <si>
    <t>s2.13.3</t>
  </si>
  <si>
    <t>dcode</t>
  </si>
  <si>
    <t>name</t>
  </si>
  <si>
    <t>z3</t>
  </si>
  <si>
    <t>s3</t>
  </si>
  <si>
    <t>z4</t>
  </si>
  <si>
    <t>s4</t>
  </si>
  <si>
    <t>z5</t>
  </si>
  <si>
    <t>s5</t>
  </si>
  <si>
    <t>ecode</t>
  </si>
  <si>
    <t>z1</t>
  </si>
  <si>
    <t>s1</t>
  </si>
  <si>
    <t>z2</t>
  </si>
  <si>
    <t>s2</t>
  </si>
  <si>
    <t>npp</t>
  </si>
  <si>
    <t>od_vim</t>
  </si>
  <si>
    <t>dger_inf</t>
  </si>
  <si>
    <t>zz1</t>
  </si>
  <si>
    <t>zf1</t>
  </si>
  <si>
    <t>sz1</t>
  </si>
  <si>
    <t>sf1</t>
  </si>
  <si>
    <t>zz2</t>
  </si>
  <si>
    <t>zf2</t>
  </si>
  <si>
    <t>sf2</t>
  </si>
  <si>
    <t>pidstava</t>
  </si>
  <si>
    <t>st1</t>
  </si>
  <si>
    <t>st2</t>
  </si>
  <si>
    <t>st3</t>
  </si>
  <si>
    <t>st4</t>
  </si>
  <si>
    <t>st5</t>
  </si>
  <si>
    <t>st6</t>
  </si>
  <si>
    <t>st7</t>
  </si>
  <si>
    <t>prich</t>
  </si>
  <si>
    <t>zahodi</t>
  </si>
  <si>
    <t xml:space="preserve">разом (4+5) </t>
  </si>
  <si>
    <t xml:space="preserve">разом (8+9) </t>
  </si>
  <si>
    <t>br1</t>
  </si>
  <si>
    <t>br2</t>
  </si>
  <si>
    <t>br3</t>
  </si>
  <si>
    <t>br4</t>
  </si>
  <si>
    <t>br5</t>
  </si>
  <si>
    <t xml:space="preserve">разом (7+8) </t>
  </si>
  <si>
    <t xml:space="preserve">разом (11+12) </t>
  </si>
  <si>
    <t>Погашено кредиторську заборгованість за рахунок коштів</t>
  </si>
  <si>
    <t>formula=IF(ISNUMBER(RC[-6]),RC[-6],0)-IF(ISNUMBER(RC[-12]),RC[-12],0)</t>
  </si>
  <si>
    <t>formula=IF(ISNUMBER(RC[-33]),RC[-33],0)+IF(ISNUMBER(RC[-22]),RC[-22],0)</t>
  </si>
  <si>
    <t>formula=IF(ISNUMBER(RC[-19]),RC[-19],0)-IF(ISNUMBER(RC[-10]),RC[-10],0)</t>
  </si>
  <si>
    <t>formula=IF(ISNUMBER(RC[-24]),RC[-24],0)-IF(ISNUMBER(RC[-20]),RC[-20],0)-IF(ISNUMBER(RC[-15]),RC[-15],0)</t>
  </si>
  <si>
    <t>p2.10</t>
  </si>
  <si>
    <t>sz2</t>
  </si>
  <si>
    <t>zp3</t>
  </si>
  <si>
    <t>sp3</t>
  </si>
  <si>
    <t>zp4</t>
  </si>
  <si>
    <t>sp4</t>
  </si>
  <si>
    <t>zp5</t>
  </si>
  <si>
    <t>sp5</t>
  </si>
  <si>
    <t>zp1</t>
  </si>
  <si>
    <t>sp1</t>
  </si>
  <si>
    <t>zp2</t>
  </si>
  <si>
    <t>sp2</t>
  </si>
  <si>
    <t xml:space="preserve">ЗАТВЕРДЖЕНО
Наказ Міністерства фінансів України
від 17 липня 2015 року № 648
(у редакції наказу Міністерства фінансів України
 від 17 липня 2018 року № 617)                                                  </t>
  </si>
  <si>
    <t>у тому числі бюджет розвитку</t>
  </si>
  <si>
    <t>6. Витрати за кодами Економічної класифікації видатків / Класифікації кредитування бюджету:</t>
  </si>
  <si>
    <t>Код Економічної класифікації видатків бюджету</t>
  </si>
  <si>
    <t>Код Класифікації кредитування бюджету</t>
  </si>
  <si>
    <t>7. Витрати за напрямами використання бюджетних коштів:</t>
  </si>
  <si>
    <t>Напрями використання бюджетних коштів</t>
  </si>
  <si>
    <t>formula=IF(ISNUMBER(RC[-10]),RC[-10],0)+IF(ISNUMBER(RC[-5]),RC[-5],0)</t>
  </si>
  <si>
    <t xml:space="preserve">разом (5+6) </t>
  </si>
  <si>
    <t>9. Структура видатків на оплату праці:</t>
  </si>
  <si>
    <t>10. Чисельність зайнятих у бюджетних установах:</t>
  </si>
  <si>
    <t>Найменування місцевої/ регіональної програми</t>
  </si>
  <si>
    <t xml:space="preserve">разом (10+11) </t>
  </si>
  <si>
    <t>Найменування об’єкта відповідно до проектно-кошторисної документації</t>
  </si>
  <si>
    <t>Строк реалізації об’єкта (рік початку і завершення)</t>
  </si>
  <si>
    <t>Загальна вартість об’єкта</t>
  </si>
  <si>
    <t>strok</t>
  </si>
  <si>
    <t>vartist</t>
  </si>
  <si>
    <t xml:space="preserve">спеціальний фонд
(бюджет розвитку)
</t>
  </si>
  <si>
    <t>рівень будівельної  готовності об’єкта на кінець бюджетного періоду, %</t>
  </si>
  <si>
    <t>Код Економічної класифікації видатків бюджету / код Класифікації кредитування бюджету</t>
  </si>
  <si>
    <t xml:space="preserve">Кредиторська заборгованість на початок минулого бюджетного періоду </t>
  </si>
  <si>
    <t>Кредиторська заборгованість на кінець минулого бюджетного періоду</t>
  </si>
  <si>
    <t>Зміна кредиторської заборгованості (6-5)</t>
  </si>
  <si>
    <t>Бюджетні зобов’язання (4+6)</t>
  </si>
  <si>
    <t>затверджені призначення</t>
  </si>
  <si>
    <t xml:space="preserve">кредиторська заборгованість на початок поточного  бюджетного періоду  </t>
  </si>
  <si>
    <t>планується погасити кредиторської заборгованості за рахунок коштів</t>
  </si>
  <si>
    <t xml:space="preserve">очікуваний обсяг взяття поточних зобов'язань
(3 – 5)
</t>
  </si>
  <si>
    <t>можлива кредиторська
заборгованість на початок планового  бюджетного періоду (4 – 5 – 6)</t>
  </si>
  <si>
    <t>очікуваний обсяг взяття поточних зобов’язань (8-10)</t>
  </si>
  <si>
    <t>invest_pr</t>
  </si>
  <si>
    <t>УСЬОГО</t>
  </si>
  <si>
    <t>1) мета бюджетної програми, строки її реалізації;</t>
  </si>
  <si>
    <t xml:space="preserve">2) завдання бюджетної програми; </t>
  </si>
  <si>
    <t>3) підстави реалізації бюджетної програми.</t>
  </si>
  <si>
    <t>5. Надходження для виконання бюджетної програми:</t>
  </si>
  <si>
    <t>8. Результативні показники бюджетної програми:</t>
  </si>
  <si>
    <t>11. Місцеві/регіональні програми, які виконуються в межах бюджетної програми:</t>
  </si>
  <si>
    <t>zp</t>
  </si>
  <si>
    <t xml:space="preserve">                            (найменування відповідального виконавця )               </t>
  </si>
  <si>
    <t>Вжиті заходи щодо погашення заборгованості</t>
  </si>
  <si>
    <t>(код за ЄДРПОУ)</t>
  </si>
  <si>
    <t>(код бюджету)</t>
  </si>
  <si>
    <t>1.</t>
  </si>
  <si>
    <t>(код Типової відомчої класифікації видатків та кредитування місцевого бюджету)</t>
  </si>
  <si>
    <t>2.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</si>
  <si>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</si>
  <si>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3.</t>
  </si>
  <si>
    <t>(код Програмної класифікації видатків та кредитування місцевого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</si>
  <si>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</si>
  <si>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</si>
  <si>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</si>
  <si>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  </t>
  </si>
  <si>
    <t>formula=IF(ISNUMBER(RC[-14]),RC[-14],0)+IF(ISNUMBER(RC[-9]),RC[-9],0)</t>
  </si>
  <si>
    <t>formula=IF(ISNUMBER(RC[-15]),RC[-15],0)+IF(ISNUMBER(RC[-10]),RC[-10],0)</t>
  </si>
  <si>
    <t>(прізвище та ініціали)</t>
  </si>
  <si>
    <t>Надходження із загального фонду бюджету</t>
  </si>
  <si>
    <t>X</t>
  </si>
  <si>
    <t>Оплата послуг (крім комунальних)</t>
  </si>
  <si>
    <t>Інші виплати населенню</t>
  </si>
  <si>
    <t>Видатки на перевезення дітей до таборів відпочинку</t>
  </si>
  <si>
    <t>Придбання путівок на оздоровлення дітей</t>
  </si>
  <si>
    <t>затрат</t>
  </si>
  <si>
    <t xml:space="preserve">formula=RC[-16]+RC[-8]                          </t>
  </si>
  <si>
    <t>обсяг видатків для придбання путівок на оздоровлення дітей</t>
  </si>
  <si>
    <t>грн.</t>
  </si>
  <si>
    <t>рішення сесії</t>
  </si>
  <si>
    <t>обсяг видатків на перевезення дітей до таборів відпочинку</t>
  </si>
  <si>
    <t>продукту</t>
  </si>
  <si>
    <t>кількість путівок на оздоровлення дітей, яку планується придбати</t>
  </si>
  <si>
    <t>од.</t>
  </si>
  <si>
    <t>хлопці</t>
  </si>
  <si>
    <t>звітність</t>
  </si>
  <si>
    <t>дівчата</t>
  </si>
  <si>
    <t>кількість перевезень, які планується здійснити</t>
  </si>
  <si>
    <t>осіб</t>
  </si>
  <si>
    <t>ефективності</t>
  </si>
  <si>
    <t>середня  вартість однієї путівки на оздоровлення</t>
  </si>
  <si>
    <t>розрахунковий показник</t>
  </si>
  <si>
    <t>середні витрати на проведення 1 перевезення</t>
  </si>
  <si>
    <t>якості</t>
  </si>
  <si>
    <t>питома вага дітей, охоплених оздоровленням</t>
  </si>
  <si>
    <t>відс.</t>
  </si>
  <si>
    <t>у тому числі оплата праці  штатних одиниць за загальним фондом, що враховані також у спеціальному фонді</t>
  </si>
  <si>
    <t>УСЬОГО штатних одиниць</t>
  </si>
  <si>
    <t>з них штатні одиниці за загальним фондом, що враховані також у спеціальному фонді</t>
  </si>
  <si>
    <t>Проєкт Цільової програми з оздоровлення та відпочинку дітей Широківської територіальної громади Запорізького району Запорізької області на 2025-2027 роки</t>
  </si>
  <si>
    <t>рішення сільської ради від 19.12.2021 №12</t>
  </si>
  <si>
    <t>Забезпечення оздоровлення та відпочинку дітей, які потребують особливої соціальної уваги та підтримки</t>
  </si>
  <si>
    <t>Організація та забезпечення оздоровлення та відпочинку дітей, які потребують особливої соціальної уваги та підтримки</t>
  </si>
  <si>
    <t>Конституція України (із змінами)_x000D_
Бюджетний кодекс України (із змінами)_x000D_
Закон України "Про місцеве самоврядування в Україні" від 21.05.1997 року №280/97-ВР (із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(із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(із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 (із змінами) _x000D_
	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 (із змінами)_x000D_
Цільова програми з оздоровлення та відпочинку дітей Широківської територіальної громади Запорізького району Запорізької області на 2025-2027 роки</t>
  </si>
  <si>
    <t>У 2023-2024 роках реалізація заходів бюджетної програми за КПКВК 0113140 "Оздоровлення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катастрофи)" не проводились у зв"язку з дією воєнного станоу на території України.</t>
  </si>
  <si>
    <t>(0)(1)</t>
  </si>
  <si>
    <t>Широкiвська сiльська рада Запорiзького району Запорiзької областi</t>
  </si>
  <si>
    <t>26013402</t>
  </si>
  <si>
    <t>0852300000</t>
  </si>
  <si>
    <t>(грн)</t>
  </si>
  <si>
    <t>2023 рік (звіт)</t>
  </si>
  <si>
    <t>1) кредиторська заборгованість місцевого бюджету у 2023 році:</t>
  </si>
  <si>
    <t>Дебіторська заборгованість на 01.01.2023</t>
  </si>
  <si>
    <t>2024 рік (затверджено)</t>
  </si>
  <si>
    <t>2024 рік (план)</t>
  </si>
  <si>
    <t>2024 рік</t>
  </si>
  <si>
    <t>3) дебіторська заборгованість у 2023 - 2024 роках:</t>
  </si>
  <si>
    <t>Дебіторська заборгованість на 01.01.2024</t>
  </si>
  <si>
    <t>4) аналіз управління бюджетними зобов'язаннями та пропозиції щодо упорядкування бюджетних зобов'язань у 2024 році.</t>
  </si>
  <si>
    <t>внаслідок використання коштів спеціального фонду бюджету у 2023 році, та очікувані результати у 2024 році.</t>
  </si>
  <si>
    <t>1) надходження для виконання бюджетної програми у 2023 - 2025 роках:</t>
  </si>
  <si>
    <t>2025 рік (проект)</t>
  </si>
  <si>
    <t>1) видатки за кодами Економічної класифікації видатків бюджету у 2023 - 2025 роках:</t>
  </si>
  <si>
    <t>2) надання кредитів за кодами Класифікації кредитування бюджету у 2023 - 2025 роках:</t>
  </si>
  <si>
    <t>1) витрати за напрямами використання бюджетних коштів у 2023 - 2025 роках:</t>
  </si>
  <si>
    <t>1) результативні показники бюджетної програми у 2023 - 2025 роках:</t>
  </si>
  <si>
    <t>2025 рік</t>
  </si>
  <si>
    <t>1) місцеві/регіональні програми, які виконуються в межах бюджетної програми у 2023 - 2025 роках:</t>
  </si>
  <si>
    <t>14. Бюджетні зобов’язання у 2023 - 2025 роках:</t>
  </si>
  <si>
    <t xml:space="preserve">2) кредиторська заборгованість місцевого бюджету у 2024 - 2025 роках: </t>
  </si>
  <si>
    <t>Очікувана дебіторська заборгованость  на 01.01.2025</t>
  </si>
  <si>
    <t>2026 рік (прогноз)</t>
  </si>
  <si>
    <t>2026 рік</t>
  </si>
  <si>
    <t>БЮДЖЕТНИЙ ЗАПИТ НА 2025-2027 РОКИ індивідуальний (Форма 2025-2)</t>
  </si>
  <si>
    <t>4. Мета та завдання бюджетної програми на 2025 - 2027 роки</t>
  </si>
  <si>
    <t>2) надходження для виконання бюджетної програми  у 2026 - 2027 роках:</t>
  </si>
  <si>
    <t>2027 рік (прогноз)</t>
  </si>
  <si>
    <t>3) видатки за кодами Економічної класифікації видатків бюджету у 2026 - 2027 роках:</t>
  </si>
  <si>
    <t>4) надання кредитів за кодами Класифікації кредитування бюджету у 2026 - 2027 роках:</t>
  </si>
  <si>
    <t>2) витрати за напрямами використання бюджетних коштів у 2026 - 2027 роках:</t>
  </si>
  <si>
    <t>2) результативні показники бюджетної програми у 2026 - 2027 роках:</t>
  </si>
  <si>
    <t xml:space="preserve">2027 рік </t>
  </si>
  <si>
    <t>2) місцеві/регіональні програми, які виконуються в межах бюджетної програми у 2026 - 2027 роках:</t>
  </si>
  <si>
    <t>12. Об’єкти, які виконуються в межах бюджетної програми за рахунок коштів бюджету розвитку у 2023 - 2027 роках:</t>
  </si>
  <si>
    <t>13. Аналіз результатів, досягнутих внаслідок використання коштів загального фонду бюджету у 2023 році, очікувані результати у 
2024 році, обґрунтування необхідності передбачення витрат кредитів на 2025 - 2027 роки</t>
  </si>
  <si>
    <t xml:space="preserve"> 15. Підстави та обґрунтування видатків спеціального фонду на 2025 рік та на 2026 - 2027 роки за рахунок надходжень до спеціального фонду, аналіз результатів, досягнутих </t>
  </si>
  <si>
    <t>(0)(1)(1)(3)(1)(4)(0)</t>
  </si>
  <si>
    <t>(3)(1)(4)(0)</t>
  </si>
  <si>
    <t>(1)(0)(4)(0)</t>
  </si>
  <si>
    <t>Оздоровлення та відпочинок дітей (крім заходів з оздоровлення дітей, що здійснюються за рахунок коштів на оздоровлення громадян, які постраждали внаслідок Чорнобильської катастрофи)</t>
  </si>
  <si>
    <t>Широківська сільська рада Запорізького району Запорізької області</t>
  </si>
  <si>
    <t>(0)(1)(1)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</si>
  <si>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</si>
  <si>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</si>
  <si>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</si>
  <si>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Одарка СВІРІНА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</si>
</sst>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8"/>
      <name val="Times New Roman"/>
      <family val="1"/>
      <charset val="204"/>
    </font>
    <font>
      <sz val="8"/>
      <name val="Times New Roman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11"/>
      <name val="Times New Roman"/>
      <family val="1"/>
    </font>
    <font>
      <sz val="10"/>
      <name val="Arial Cyr"/>
      <charset val="204"/>
    </font>
    <font>
      <sz val="11"/>
      <name val="Times New Roman CYR"/>
      <family val="1"/>
      <charset val="204"/>
    </font>
    <font>
      <sz val="8"/>
      <name val="Times New Roman"/>
      <family val="1"/>
    </font>
    <font>
      <b/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4" fillId="0" borderId="5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3" fontId="0" fillId="0" borderId="5" xfId="0" applyNumberFormat="1" applyBorder="1" applyAlignment="1">
      <alignment horizontal="righ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3" fontId="4" fillId="0" borderId="5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13" fillId="0" borderId="6" xfId="0" quotePrefix="1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5" fillId="0" borderId="6" xfId="0" quotePrefix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vertical="top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1" fillId="0" borderId="6" xfId="0" applyFont="1" applyBorder="1" applyAlignment="1">
      <alignment horizontal="center" vertical="center" wrapText="1"/>
    </xf>
    <xf numFmtId="0" fontId="11" fillId="0" borderId="6" xfId="0" quotePrefix="1" applyFont="1" applyBorder="1" applyAlignment="1">
      <alignment horizontal="left" vertical="top" wrapText="1"/>
    </xf>
    <xf numFmtId="0" fontId="11" fillId="0" borderId="6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12" fillId="0" borderId="6" xfId="0" quotePrefix="1" applyFont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6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240"/>
  <sheetViews>
    <sheetView tabSelected="1" topLeftCell="A215" zoomScaleNormal="100" workbookViewId="0">
      <selection activeCell="BV235" sqref="BV235"/>
    </sheetView>
  </sheetViews>
  <sheetFormatPr defaultRowHeight="12.75" x14ac:dyDescent="0.2"/>
  <cols>
    <col min="1" max="78" width="2.85546875" customWidth="1"/>
    <col min="79" max="79" width="4" hidden="1" customWidth="1"/>
  </cols>
  <sheetData>
    <row r="1" spans="1:79" ht="57.75" customHeight="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23" t="s">
        <v>115</v>
      </c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</row>
    <row r="2" spans="1:79" ht="14.25" customHeight="1" x14ac:dyDescent="0.2">
      <c r="A2" s="124" t="s">
        <v>236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4"/>
      <c r="AQ2" s="124"/>
      <c r="AR2" s="124"/>
      <c r="AS2" s="124"/>
      <c r="AT2" s="124"/>
      <c r="AU2" s="124"/>
      <c r="AV2" s="124"/>
      <c r="AW2" s="124"/>
      <c r="AX2" s="124"/>
      <c r="AY2" s="124"/>
      <c r="AZ2" s="124"/>
      <c r="BA2" s="124"/>
      <c r="BB2" s="124"/>
      <c r="BC2" s="124"/>
      <c r="BD2" s="124"/>
      <c r="BE2" s="124"/>
      <c r="BF2" s="124"/>
      <c r="BG2" s="124"/>
      <c r="BH2" s="124"/>
      <c r="BI2" s="124"/>
      <c r="BJ2" s="124"/>
      <c r="BK2" s="124"/>
      <c r="BL2" s="124"/>
      <c r="BM2" s="124"/>
      <c r="BN2" s="124"/>
      <c r="BO2" s="124"/>
      <c r="BP2" s="124"/>
      <c r="BQ2" s="124"/>
      <c r="BR2" s="124"/>
      <c r="BS2" s="124"/>
      <c r="BT2" s="124"/>
      <c r="BU2" s="124"/>
      <c r="BV2" s="124"/>
      <c r="BW2" s="124"/>
      <c r="BX2" s="124"/>
      <c r="BY2" s="124"/>
      <c r="BZ2" s="124"/>
    </row>
    <row r="4" spans="1:79" ht="15" customHeight="1" x14ac:dyDescent="0.2">
      <c r="A4" s="11" t="s">
        <v>159</v>
      </c>
      <c r="B4" s="121" t="s">
        <v>209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8"/>
      <c r="AH4" s="115" t="s">
        <v>208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8"/>
      <c r="AT4" s="117" t="s">
        <v>210</v>
      </c>
      <c r="AU4" s="115"/>
      <c r="AV4" s="115"/>
      <c r="AW4" s="115"/>
      <c r="AX4" s="115"/>
      <c r="AY4" s="115"/>
      <c r="AZ4" s="115"/>
      <c r="BA4" s="115"/>
      <c r="BB4" s="15"/>
      <c r="BC4" s="8"/>
      <c r="BD4" s="8"/>
      <c r="BE4" s="12"/>
      <c r="BF4" s="12"/>
      <c r="BG4" s="12"/>
      <c r="BH4" s="12"/>
      <c r="BI4" s="12"/>
      <c r="BJ4" s="12"/>
      <c r="BK4" s="12"/>
      <c r="BL4" s="12"/>
    </row>
    <row r="5" spans="1:79" ht="24" customHeight="1" x14ac:dyDescent="0.2">
      <c r="A5" s="122" t="s">
        <v>0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7"/>
      <c r="AH5" s="118" t="s">
        <v>160</v>
      </c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7"/>
      <c r="AT5" s="118" t="s">
        <v>157</v>
      </c>
      <c r="AU5" s="118"/>
      <c r="AV5" s="118"/>
      <c r="AW5" s="118"/>
      <c r="AX5" s="118"/>
      <c r="AY5" s="118"/>
      <c r="AZ5" s="118"/>
      <c r="BA5" s="118"/>
      <c r="BB5" s="13"/>
      <c r="BC5" s="7"/>
      <c r="BD5" s="7"/>
      <c r="BE5" s="13"/>
      <c r="BF5" s="13"/>
      <c r="BG5" s="13"/>
      <c r="BH5" s="13"/>
      <c r="BI5" s="13"/>
      <c r="BJ5" s="13"/>
      <c r="BK5" s="13"/>
      <c r="BL5" s="13"/>
    </row>
    <row r="6" spans="1:79" x14ac:dyDescent="0.2">
      <c r="BE6" s="14"/>
      <c r="BF6" s="14"/>
      <c r="BG6" s="14"/>
      <c r="BH6" s="14"/>
      <c r="BI6" s="14"/>
      <c r="BJ6" s="14"/>
      <c r="BK6" s="14"/>
      <c r="BL6" s="14"/>
    </row>
    <row r="7" spans="1:79" ht="15" customHeight="1" x14ac:dyDescent="0.2">
      <c r="A7" s="11" t="s">
        <v>161</v>
      </c>
      <c r="B7" s="121" t="s">
        <v>253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8"/>
      <c r="AH7" s="115" t="s">
        <v>254</v>
      </c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5"/>
      <c r="BC7" s="117" t="s">
        <v>210</v>
      </c>
      <c r="BD7" s="115"/>
      <c r="BE7" s="115"/>
      <c r="BF7" s="115"/>
      <c r="BG7" s="115"/>
      <c r="BH7" s="115"/>
      <c r="BI7" s="115"/>
      <c r="BJ7" s="115"/>
      <c r="BK7" s="15"/>
      <c r="BL7" s="12"/>
      <c r="BP7" s="15"/>
      <c r="BQ7" s="15"/>
      <c r="BR7" s="15"/>
      <c r="BS7" s="15"/>
      <c r="BT7" s="15"/>
      <c r="BU7" s="15"/>
      <c r="BV7" s="15"/>
      <c r="BW7" s="15"/>
    </row>
    <row r="8" spans="1:79" ht="24" customHeight="1" x14ac:dyDescent="0.2">
      <c r="A8" s="122" t="s">
        <v>155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7"/>
      <c r="AH8" s="118" t="s">
        <v>162</v>
      </c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3"/>
      <c r="BC8" s="118" t="s">
        <v>157</v>
      </c>
      <c r="BD8" s="118"/>
      <c r="BE8" s="118"/>
      <c r="BF8" s="118"/>
      <c r="BG8" s="118"/>
      <c r="BH8" s="118"/>
      <c r="BI8" s="118"/>
      <c r="BJ8" s="118"/>
      <c r="BK8" s="13"/>
      <c r="BL8" s="13"/>
      <c r="BP8" s="13"/>
      <c r="BQ8" s="13"/>
      <c r="BR8" s="13"/>
      <c r="BS8" s="13"/>
      <c r="BT8" s="13"/>
      <c r="BU8" s="13"/>
      <c r="BV8" s="13"/>
      <c r="BW8" s="13"/>
    </row>
    <row r="10" spans="1:79" ht="42.75" customHeight="1" x14ac:dyDescent="0.2">
      <c r="A10" s="11" t="s">
        <v>163</v>
      </c>
      <c r="B10" s="115" t="s">
        <v>249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N10" s="115" t="s">
        <v>250</v>
      </c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5"/>
      <c r="AA10" s="115" t="s">
        <v>251</v>
      </c>
      <c r="AB10" s="115"/>
      <c r="AC10" s="115"/>
      <c r="AD10" s="115"/>
      <c r="AE10" s="115"/>
      <c r="AF10" s="115"/>
      <c r="AG10" s="115"/>
      <c r="AH10" s="115"/>
      <c r="AI10" s="115"/>
      <c r="AJ10" s="15"/>
      <c r="AK10" s="116" t="s">
        <v>252</v>
      </c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19"/>
      <c r="BL10" s="117" t="s">
        <v>211</v>
      </c>
      <c r="BM10" s="115"/>
      <c r="BN10" s="115"/>
      <c r="BO10" s="115"/>
      <c r="BP10" s="115"/>
      <c r="BQ10" s="115"/>
      <c r="BR10" s="115"/>
      <c r="BS10" s="115"/>
      <c r="BT10" s="15"/>
      <c r="BU10" s="15"/>
      <c r="BV10" s="15"/>
      <c r="BW10" s="15"/>
      <c r="BX10" s="15"/>
      <c r="BY10" s="15"/>
      <c r="BZ10" s="15"/>
      <c r="CA10" s="15"/>
    </row>
    <row r="11" spans="1:79" ht="25.5" customHeight="1" x14ac:dyDescent="0.2">
      <c r="B11" s="118" t="s">
        <v>164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N11" s="118" t="s">
        <v>166</v>
      </c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3"/>
      <c r="AA11" s="119" t="s">
        <v>167</v>
      </c>
      <c r="AB11" s="119"/>
      <c r="AC11" s="119"/>
      <c r="AD11" s="119"/>
      <c r="AE11" s="119"/>
      <c r="AF11" s="119"/>
      <c r="AG11" s="119"/>
      <c r="AH11" s="119"/>
      <c r="AI11" s="119"/>
      <c r="AJ11" s="13"/>
      <c r="AK11" s="120" t="s">
        <v>165</v>
      </c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20"/>
      <c r="BF11" s="120"/>
      <c r="BG11" s="120"/>
      <c r="BH11" s="120"/>
      <c r="BI11" s="120"/>
      <c r="BJ11" s="120"/>
      <c r="BK11" s="18"/>
      <c r="BL11" s="118" t="s">
        <v>158</v>
      </c>
      <c r="BM11" s="118"/>
      <c r="BN11" s="118"/>
      <c r="BO11" s="118"/>
      <c r="BP11" s="118"/>
      <c r="BQ11" s="118"/>
      <c r="BR11" s="118"/>
      <c r="BS11" s="118"/>
      <c r="BT11" s="13"/>
      <c r="BU11" s="13"/>
      <c r="BV11" s="13"/>
      <c r="BW11" s="13"/>
      <c r="BX11" s="13"/>
      <c r="BY11" s="13"/>
      <c r="BZ11" s="13"/>
      <c r="CA11" s="13"/>
    </row>
    <row r="13" spans="1:79" ht="14.25" customHeight="1" x14ac:dyDescent="0.2">
      <c r="A13" s="64" t="s">
        <v>237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</row>
    <row r="14" spans="1:79" ht="14.25" customHeight="1" x14ac:dyDescent="0.2">
      <c r="A14" s="64" t="s">
        <v>148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</row>
    <row r="15" spans="1:79" ht="15" customHeight="1" x14ac:dyDescent="0.2">
      <c r="A15" s="65" t="s">
        <v>204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</row>
    <row r="16" spans="1:7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9" ht="15" customHeight="1" x14ac:dyDescent="0.25">
      <c r="A17" s="114" t="s">
        <v>149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4"/>
      <c r="AQ17" s="114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4"/>
      <c r="BM17" s="114"/>
      <c r="BN17" s="114"/>
      <c r="BO17" s="114"/>
      <c r="BP17" s="114"/>
      <c r="BQ17" s="114"/>
      <c r="BR17" s="114"/>
      <c r="BS17" s="114"/>
      <c r="BT17" s="114"/>
      <c r="BU17" s="114"/>
      <c r="BV17" s="114"/>
      <c r="BW17" s="114"/>
      <c r="BX17" s="114"/>
      <c r="BY17" s="114"/>
    </row>
    <row r="18" spans="1:79" ht="15" customHeight="1" x14ac:dyDescent="0.2">
      <c r="A18" s="65" t="s">
        <v>205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</row>
    <row r="19" spans="1:7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9" ht="14.25" customHeight="1" x14ac:dyDescent="0.2">
      <c r="A20" s="64" t="s">
        <v>150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</row>
    <row r="21" spans="1:79" ht="150" customHeight="1" x14ac:dyDescent="0.2">
      <c r="A21" s="65" t="s">
        <v>206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</row>
    <row r="22" spans="1:7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9" ht="14.25" customHeight="1" x14ac:dyDescent="0.2">
      <c r="A23" s="64" t="s">
        <v>151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</row>
    <row r="24" spans="1:79" ht="14.25" customHeight="1" x14ac:dyDescent="0.2">
      <c r="A24" s="64" t="s">
        <v>223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</row>
    <row r="25" spans="1:79" ht="15" customHeight="1" x14ac:dyDescent="0.2">
      <c r="A25" s="69" t="s">
        <v>212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</row>
    <row r="26" spans="1:79" ht="23.1" customHeight="1" x14ac:dyDescent="0.2">
      <c r="A26" s="80" t="s">
        <v>2</v>
      </c>
      <c r="B26" s="81"/>
      <c r="C26" s="81"/>
      <c r="D26" s="82"/>
      <c r="E26" s="80" t="s">
        <v>19</v>
      </c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39" t="s">
        <v>213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 t="s">
        <v>216</v>
      </c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 t="s">
        <v>224</v>
      </c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</row>
    <row r="27" spans="1:79" ht="54.75" customHeight="1" x14ac:dyDescent="0.2">
      <c r="A27" s="83"/>
      <c r="B27" s="84"/>
      <c r="C27" s="84"/>
      <c r="D27" s="85"/>
      <c r="E27" s="83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76" t="s">
        <v>4</v>
      </c>
      <c r="V27" s="77"/>
      <c r="W27" s="77"/>
      <c r="X27" s="77"/>
      <c r="Y27" s="78"/>
      <c r="Z27" s="76" t="s">
        <v>3</v>
      </c>
      <c r="AA27" s="77"/>
      <c r="AB27" s="77"/>
      <c r="AC27" s="77"/>
      <c r="AD27" s="78"/>
      <c r="AE27" s="99" t="s">
        <v>116</v>
      </c>
      <c r="AF27" s="100"/>
      <c r="AG27" s="100"/>
      <c r="AH27" s="101"/>
      <c r="AI27" s="76" t="s">
        <v>5</v>
      </c>
      <c r="AJ27" s="77"/>
      <c r="AK27" s="77"/>
      <c r="AL27" s="77"/>
      <c r="AM27" s="78"/>
      <c r="AN27" s="76" t="s">
        <v>4</v>
      </c>
      <c r="AO27" s="77"/>
      <c r="AP27" s="77"/>
      <c r="AQ27" s="77"/>
      <c r="AR27" s="78"/>
      <c r="AS27" s="76" t="s">
        <v>3</v>
      </c>
      <c r="AT27" s="77"/>
      <c r="AU27" s="77"/>
      <c r="AV27" s="77"/>
      <c r="AW27" s="78"/>
      <c r="AX27" s="99" t="s">
        <v>116</v>
      </c>
      <c r="AY27" s="100"/>
      <c r="AZ27" s="100"/>
      <c r="BA27" s="101"/>
      <c r="BB27" s="76" t="s">
        <v>96</v>
      </c>
      <c r="BC27" s="77"/>
      <c r="BD27" s="77"/>
      <c r="BE27" s="77"/>
      <c r="BF27" s="78"/>
      <c r="BG27" s="76" t="s">
        <v>4</v>
      </c>
      <c r="BH27" s="77"/>
      <c r="BI27" s="77"/>
      <c r="BJ27" s="77"/>
      <c r="BK27" s="78"/>
      <c r="BL27" s="76" t="s">
        <v>3</v>
      </c>
      <c r="BM27" s="77"/>
      <c r="BN27" s="77"/>
      <c r="BO27" s="77"/>
      <c r="BP27" s="78"/>
      <c r="BQ27" s="99" t="s">
        <v>116</v>
      </c>
      <c r="BR27" s="100"/>
      <c r="BS27" s="100"/>
      <c r="BT27" s="101"/>
      <c r="BU27" s="76" t="s">
        <v>97</v>
      </c>
      <c r="BV27" s="77"/>
      <c r="BW27" s="77"/>
      <c r="BX27" s="77"/>
      <c r="BY27" s="78"/>
    </row>
    <row r="28" spans="1:79" ht="15" customHeight="1" x14ac:dyDescent="0.2">
      <c r="A28" s="76">
        <v>1</v>
      </c>
      <c r="B28" s="77"/>
      <c r="C28" s="77"/>
      <c r="D28" s="78"/>
      <c r="E28" s="76">
        <v>2</v>
      </c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6">
        <v>3</v>
      </c>
      <c r="V28" s="77"/>
      <c r="W28" s="77"/>
      <c r="X28" s="77"/>
      <c r="Y28" s="78"/>
      <c r="Z28" s="76">
        <v>4</v>
      </c>
      <c r="AA28" s="77"/>
      <c r="AB28" s="77"/>
      <c r="AC28" s="77"/>
      <c r="AD28" s="78"/>
      <c r="AE28" s="76">
        <v>5</v>
      </c>
      <c r="AF28" s="77"/>
      <c r="AG28" s="77"/>
      <c r="AH28" s="78"/>
      <c r="AI28" s="76">
        <v>6</v>
      </c>
      <c r="AJ28" s="77"/>
      <c r="AK28" s="77"/>
      <c r="AL28" s="77"/>
      <c r="AM28" s="78"/>
      <c r="AN28" s="76">
        <v>7</v>
      </c>
      <c r="AO28" s="77"/>
      <c r="AP28" s="77"/>
      <c r="AQ28" s="77"/>
      <c r="AR28" s="78"/>
      <c r="AS28" s="76">
        <v>8</v>
      </c>
      <c r="AT28" s="77"/>
      <c r="AU28" s="77"/>
      <c r="AV28" s="77"/>
      <c r="AW28" s="78"/>
      <c r="AX28" s="76">
        <v>9</v>
      </c>
      <c r="AY28" s="77"/>
      <c r="AZ28" s="77"/>
      <c r="BA28" s="78"/>
      <c r="BB28" s="76">
        <v>10</v>
      </c>
      <c r="BC28" s="77"/>
      <c r="BD28" s="77"/>
      <c r="BE28" s="77"/>
      <c r="BF28" s="78"/>
      <c r="BG28" s="76">
        <v>11</v>
      </c>
      <c r="BH28" s="77"/>
      <c r="BI28" s="77"/>
      <c r="BJ28" s="77"/>
      <c r="BK28" s="78"/>
      <c r="BL28" s="76">
        <v>12</v>
      </c>
      <c r="BM28" s="77"/>
      <c r="BN28" s="77"/>
      <c r="BO28" s="77"/>
      <c r="BP28" s="78"/>
      <c r="BQ28" s="76">
        <v>13</v>
      </c>
      <c r="BR28" s="77"/>
      <c r="BS28" s="77"/>
      <c r="BT28" s="78"/>
      <c r="BU28" s="76">
        <v>14</v>
      </c>
      <c r="BV28" s="77"/>
      <c r="BW28" s="77"/>
      <c r="BX28" s="77"/>
      <c r="BY28" s="78"/>
    </row>
    <row r="29" spans="1:79" ht="13.5" hidden="1" customHeight="1" x14ac:dyDescent="0.2">
      <c r="A29" s="90" t="s">
        <v>56</v>
      </c>
      <c r="B29" s="91"/>
      <c r="C29" s="91"/>
      <c r="D29" s="92"/>
      <c r="E29" s="90" t="s">
        <v>57</v>
      </c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0" t="s">
        <v>65</v>
      </c>
      <c r="V29" s="91"/>
      <c r="W29" s="91"/>
      <c r="X29" s="91"/>
      <c r="Y29" s="92"/>
      <c r="Z29" s="90" t="s">
        <v>66</v>
      </c>
      <c r="AA29" s="91"/>
      <c r="AB29" s="91"/>
      <c r="AC29" s="91"/>
      <c r="AD29" s="92"/>
      <c r="AE29" s="90" t="s">
        <v>91</v>
      </c>
      <c r="AF29" s="91"/>
      <c r="AG29" s="91"/>
      <c r="AH29" s="92"/>
      <c r="AI29" s="96" t="s">
        <v>169</v>
      </c>
      <c r="AJ29" s="97"/>
      <c r="AK29" s="97"/>
      <c r="AL29" s="97"/>
      <c r="AM29" s="98"/>
      <c r="AN29" s="90" t="s">
        <v>67</v>
      </c>
      <c r="AO29" s="91"/>
      <c r="AP29" s="91"/>
      <c r="AQ29" s="91"/>
      <c r="AR29" s="92"/>
      <c r="AS29" s="90" t="s">
        <v>68</v>
      </c>
      <c r="AT29" s="91"/>
      <c r="AU29" s="91"/>
      <c r="AV29" s="91"/>
      <c r="AW29" s="92"/>
      <c r="AX29" s="90" t="s">
        <v>92</v>
      </c>
      <c r="AY29" s="91"/>
      <c r="AZ29" s="91"/>
      <c r="BA29" s="92"/>
      <c r="BB29" s="96" t="s">
        <v>169</v>
      </c>
      <c r="BC29" s="97"/>
      <c r="BD29" s="97"/>
      <c r="BE29" s="97"/>
      <c r="BF29" s="98"/>
      <c r="BG29" s="90" t="s">
        <v>58</v>
      </c>
      <c r="BH29" s="91"/>
      <c r="BI29" s="91"/>
      <c r="BJ29" s="91"/>
      <c r="BK29" s="92"/>
      <c r="BL29" s="90" t="s">
        <v>59</v>
      </c>
      <c r="BM29" s="91"/>
      <c r="BN29" s="91"/>
      <c r="BO29" s="91"/>
      <c r="BP29" s="92"/>
      <c r="BQ29" s="90" t="s">
        <v>93</v>
      </c>
      <c r="BR29" s="91"/>
      <c r="BS29" s="91"/>
      <c r="BT29" s="92"/>
      <c r="BU29" s="96" t="s">
        <v>169</v>
      </c>
      <c r="BV29" s="97"/>
      <c r="BW29" s="97"/>
      <c r="BX29" s="97"/>
      <c r="BY29" s="98"/>
      <c r="CA29" t="s">
        <v>21</v>
      </c>
    </row>
    <row r="30" spans="1:79" s="4" customFormat="1" ht="12.75" customHeight="1" x14ac:dyDescent="0.2">
      <c r="A30" s="35"/>
      <c r="B30" s="36"/>
      <c r="C30" s="36"/>
      <c r="D30" s="52"/>
      <c r="E30" s="30" t="s">
        <v>172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2"/>
      <c r="U30" s="51">
        <v>0</v>
      </c>
      <c r="V30" s="51"/>
      <c r="W30" s="51"/>
      <c r="X30" s="51"/>
      <c r="Y30" s="51"/>
      <c r="Z30" s="51" t="s">
        <v>173</v>
      </c>
      <c r="AA30" s="51"/>
      <c r="AB30" s="51"/>
      <c r="AC30" s="51"/>
      <c r="AD30" s="51"/>
      <c r="AE30" s="48" t="s">
        <v>173</v>
      </c>
      <c r="AF30" s="49"/>
      <c r="AG30" s="49"/>
      <c r="AH30" s="50"/>
      <c r="AI30" s="48">
        <f>IF(ISNUMBER(U30),U30,0)+IF(ISNUMBER(Z30),Z30,0)</f>
        <v>0</v>
      </c>
      <c r="AJ30" s="49"/>
      <c r="AK30" s="49"/>
      <c r="AL30" s="49"/>
      <c r="AM30" s="50"/>
      <c r="AN30" s="48">
        <v>0</v>
      </c>
      <c r="AO30" s="49"/>
      <c r="AP30" s="49"/>
      <c r="AQ30" s="49"/>
      <c r="AR30" s="50"/>
      <c r="AS30" s="48" t="s">
        <v>173</v>
      </c>
      <c r="AT30" s="49"/>
      <c r="AU30" s="49"/>
      <c r="AV30" s="49"/>
      <c r="AW30" s="50"/>
      <c r="AX30" s="48" t="s">
        <v>173</v>
      </c>
      <c r="AY30" s="49"/>
      <c r="AZ30" s="49"/>
      <c r="BA30" s="50"/>
      <c r="BB30" s="48">
        <f>IF(ISNUMBER(AN30),AN30,0)+IF(ISNUMBER(AS30),AS30,0)</f>
        <v>0</v>
      </c>
      <c r="BC30" s="49"/>
      <c r="BD30" s="49"/>
      <c r="BE30" s="49"/>
      <c r="BF30" s="50"/>
      <c r="BG30" s="48">
        <v>320000</v>
      </c>
      <c r="BH30" s="49"/>
      <c r="BI30" s="49"/>
      <c r="BJ30" s="49"/>
      <c r="BK30" s="50"/>
      <c r="BL30" s="48" t="s">
        <v>173</v>
      </c>
      <c r="BM30" s="49"/>
      <c r="BN30" s="49"/>
      <c r="BO30" s="49"/>
      <c r="BP30" s="50"/>
      <c r="BQ30" s="48" t="s">
        <v>173</v>
      </c>
      <c r="BR30" s="49"/>
      <c r="BS30" s="49"/>
      <c r="BT30" s="50"/>
      <c r="BU30" s="48">
        <f>IF(ISNUMBER(BG30),BG30,0)+IF(ISNUMBER(BL30),BL30,0)</f>
        <v>320000</v>
      </c>
      <c r="BV30" s="49"/>
      <c r="BW30" s="49"/>
      <c r="BX30" s="49"/>
      <c r="BY30" s="50"/>
      <c r="CA30" s="4" t="s">
        <v>22</v>
      </c>
    </row>
    <row r="31" spans="1:79" s="6" customFormat="1" ht="12.75" customHeight="1" x14ac:dyDescent="0.2">
      <c r="A31" s="40"/>
      <c r="B31" s="41"/>
      <c r="C31" s="41"/>
      <c r="D31" s="53"/>
      <c r="E31" s="25" t="s">
        <v>147</v>
      </c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7"/>
      <c r="U31" s="47">
        <v>0</v>
      </c>
      <c r="V31" s="47"/>
      <c r="W31" s="47"/>
      <c r="X31" s="47"/>
      <c r="Y31" s="47"/>
      <c r="Z31" s="47">
        <v>0</v>
      </c>
      <c r="AA31" s="47"/>
      <c r="AB31" s="47"/>
      <c r="AC31" s="47"/>
      <c r="AD31" s="47"/>
      <c r="AE31" s="44">
        <v>0</v>
      </c>
      <c r="AF31" s="45"/>
      <c r="AG31" s="45"/>
      <c r="AH31" s="46"/>
      <c r="AI31" s="44">
        <f>IF(ISNUMBER(U31),U31,0)+IF(ISNUMBER(Z31),Z31,0)</f>
        <v>0</v>
      </c>
      <c r="AJ31" s="45"/>
      <c r="AK31" s="45"/>
      <c r="AL31" s="45"/>
      <c r="AM31" s="46"/>
      <c r="AN31" s="44">
        <v>0</v>
      </c>
      <c r="AO31" s="45"/>
      <c r="AP31" s="45"/>
      <c r="AQ31" s="45"/>
      <c r="AR31" s="46"/>
      <c r="AS31" s="44">
        <v>0</v>
      </c>
      <c r="AT31" s="45"/>
      <c r="AU31" s="45"/>
      <c r="AV31" s="45"/>
      <c r="AW31" s="46"/>
      <c r="AX31" s="44">
        <v>0</v>
      </c>
      <c r="AY31" s="45"/>
      <c r="AZ31" s="45"/>
      <c r="BA31" s="46"/>
      <c r="BB31" s="44">
        <f>IF(ISNUMBER(AN31),AN31,0)+IF(ISNUMBER(AS31),AS31,0)</f>
        <v>0</v>
      </c>
      <c r="BC31" s="45"/>
      <c r="BD31" s="45"/>
      <c r="BE31" s="45"/>
      <c r="BF31" s="46"/>
      <c r="BG31" s="44">
        <v>320000</v>
      </c>
      <c r="BH31" s="45"/>
      <c r="BI31" s="45"/>
      <c r="BJ31" s="45"/>
      <c r="BK31" s="46"/>
      <c r="BL31" s="44">
        <v>0</v>
      </c>
      <c r="BM31" s="45"/>
      <c r="BN31" s="45"/>
      <c r="BO31" s="45"/>
      <c r="BP31" s="46"/>
      <c r="BQ31" s="44">
        <v>0</v>
      </c>
      <c r="BR31" s="45"/>
      <c r="BS31" s="45"/>
      <c r="BT31" s="46"/>
      <c r="BU31" s="44">
        <f>IF(ISNUMBER(BG31),BG31,0)+IF(ISNUMBER(BL31),BL31,0)</f>
        <v>320000</v>
      </c>
      <c r="BV31" s="45"/>
      <c r="BW31" s="45"/>
      <c r="BX31" s="45"/>
      <c r="BY31" s="46"/>
    </row>
    <row r="33" spans="1:79" ht="14.25" customHeight="1" x14ac:dyDescent="0.2">
      <c r="A33" s="64" t="s">
        <v>238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</row>
    <row r="34" spans="1:79" ht="15" customHeight="1" x14ac:dyDescent="0.2">
      <c r="A34" s="79" t="s">
        <v>212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</row>
    <row r="35" spans="1:79" ht="22.5" customHeight="1" x14ac:dyDescent="0.2">
      <c r="A35" s="80" t="s">
        <v>2</v>
      </c>
      <c r="B35" s="81"/>
      <c r="C35" s="81"/>
      <c r="D35" s="82"/>
      <c r="E35" s="80" t="s">
        <v>19</v>
      </c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2"/>
      <c r="X35" s="76" t="s">
        <v>234</v>
      </c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8"/>
      <c r="AR35" s="39" t="s">
        <v>239</v>
      </c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</row>
    <row r="36" spans="1:79" ht="36" customHeight="1" x14ac:dyDescent="0.2">
      <c r="A36" s="83"/>
      <c r="B36" s="84"/>
      <c r="C36" s="84"/>
      <c r="D36" s="85"/>
      <c r="E36" s="83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5"/>
      <c r="X36" s="39" t="s">
        <v>4</v>
      </c>
      <c r="Y36" s="39"/>
      <c r="Z36" s="39"/>
      <c r="AA36" s="39"/>
      <c r="AB36" s="39"/>
      <c r="AC36" s="39" t="s">
        <v>3</v>
      </c>
      <c r="AD36" s="39"/>
      <c r="AE36" s="39"/>
      <c r="AF36" s="39"/>
      <c r="AG36" s="39"/>
      <c r="AH36" s="99" t="s">
        <v>116</v>
      </c>
      <c r="AI36" s="100"/>
      <c r="AJ36" s="100"/>
      <c r="AK36" s="100"/>
      <c r="AL36" s="101"/>
      <c r="AM36" s="76" t="s">
        <v>5</v>
      </c>
      <c r="AN36" s="77"/>
      <c r="AO36" s="77"/>
      <c r="AP36" s="77"/>
      <c r="AQ36" s="78"/>
      <c r="AR36" s="76" t="s">
        <v>4</v>
      </c>
      <c r="AS36" s="77"/>
      <c r="AT36" s="77"/>
      <c r="AU36" s="77"/>
      <c r="AV36" s="78"/>
      <c r="AW36" s="76" t="s">
        <v>3</v>
      </c>
      <c r="AX36" s="77"/>
      <c r="AY36" s="77"/>
      <c r="AZ36" s="77"/>
      <c r="BA36" s="78"/>
      <c r="BB36" s="99" t="s">
        <v>116</v>
      </c>
      <c r="BC36" s="100"/>
      <c r="BD36" s="100"/>
      <c r="BE36" s="100"/>
      <c r="BF36" s="101"/>
      <c r="BG36" s="76" t="s">
        <v>96</v>
      </c>
      <c r="BH36" s="77"/>
      <c r="BI36" s="77"/>
      <c r="BJ36" s="77"/>
      <c r="BK36" s="78"/>
    </row>
    <row r="37" spans="1:79" ht="15" customHeight="1" x14ac:dyDescent="0.2">
      <c r="A37" s="76">
        <v>1</v>
      </c>
      <c r="B37" s="77"/>
      <c r="C37" s="77"/>
      <c r="D37" s="78"/>
      <c r="E37" s="76">
        <v>2</v>
      </c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8"/>
      <c r="X37" s="39">
        <v>3</v>
      </c>
      <c r="Y37" s="39"/>
      <c r="Z37" s="39"/>
      <c r="AA37" s="39"/>
      <c r="AB37" s="39"/>
      <c r="AC37" s="39">
        <v>4</v>
      </c>
      <c r="AD37" s="39"/>
      <c r="AE37" s="39"/>
      <c r="AF37" s="39"/>
      <c r="AG37" s="39"/>
      <c r="AH37" s="39">
        <v>5</v>
      </c>
      <c r="AI37" s="39"/>
      <c r="AJ37" s="39"/>
      <c r="AK37" s="39"/>
      <c r="AL37" s="39"/>
      <c r="AM37" s="39">
        <v>6</v>
      </c>
      <c r="AN37" s="39"/>
      <c r="AO37" s="39"/>
      <c r="AP37" s="39"/>
      <c r="AQ37" s="39"/>
      <c r="AR37" s="76">
        <v>7</v>
      </c>
      <c r="AS37" s="77"/>
      <c r="AT37" s="77"/>
      <c r="AU37" s="77"/>
      <c r="AV37" s="78"/>
      <c r="AW37" s="76">
        <v>8</v>
      </c>
      <c r="AX37" s="77"/>
      <c r="AY37" s="77"/>
      <c r="AZ37" s="77"/>
      <c r="BA37" s="78"/>
      <c r="BB37" s="76">
        <v>9</v>
      </c>
      <c r="BC37" s="77"/>
      <c r="BD37" s="77"/>
      <c r="BE37" s="77"/>
      <c r="BF37" s="78"/>
      <c r="BG37" s="76">
        <v>10</v>
      </c>
      <c r="BH37" s="77"/>
      <c r="BI37" s="77"/>
      <c r="BJ37" s="77"/>
      <c r="BK37" s="78"/>
    </row>
    <row r="38" spans="1:79" ht="20.25" hidden="1" customHeight="1" x14ac:dyDescent="0.2">
      <c r="A38" s="90" t="s">
        <v>56</v>
      </c>
      <c r="B38" s="91"/>
      <c r="C38" s="91"/>
      <c r="D38" s="92"/>
      <c r="E38" s="90" t="s">
        <v>57</v>
      </c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2"/>
      <c r="X38" s="68" t="s">
        <v>60</v>
      </c>
      <c r="Y38" s="68"/>
      <c r="Z38" s="68"/>
      <c r="AA38" s="68"/>
      <c r="AB38" s="68"/>
      <c r="AC38" s="68" t="s">
        <v>61</v>
      </c>
      <c r="AD38" s="68"/>
      <c r="AE38" s="68"/>
      <c r="AF38" s="68"/>
      <c r="AG38" s="68"/>
      <c r="AH38" s="90" t="s">
        <v>94</v>
      </c>
      <c r="AI38" s="91"/>
      <c r="AJ38" s="91"/>
      <c r="AK38" s="91"/>
      <c r="AL38" s="92"/>
      <c r="AM38" s="96" t="s">
        <v>170</v>
      </c>
      <c r="AN38" s="97"/>
      <c r="AO38" s="97"/>
      <c r="AP38" s="97"/>
      <c r="AQ38" s="98"/>
      <c r="AR38" s="90" t="s">
        <v>62</v>
      </c>
      <c r="AS38" s="91"/>
      <c r="AT38" s="91"/>
      <c r="AU38" s="91"/>
      <c r="AV38" s="92"/>
      <c r="AW38" s="90" t="s">
        <v>63</v>
      </c>
      <c r="AX38" s="91"/>
      <c r="AY38" s="91"/>
      <c r="AZ38" s="91"/>
      <c r="BA38" s="92"/>
      <c r="BB38" s="90" t="s">
        <v>95</v>
      </c>
      <c r="BC38" s="91"/>
      <c r="BD38" s="91"/>
      <c r="BE38" s="91"/>
      <c r="BF38" s="92"/>
      <c r="BG38" s="96" t="s">
        <v>170</v>
      </c>
      <c r="BH38" s="97"/>
      <c r="BI38" s="97"/>
      <c r="BJ38" s="97"/>
      <c r="BK38" s="98"/>
      <c r="CA38" t="s">
        <v>23</v>
      </c>
    </row>
    <row r="39" spans="1:79" s="4" customFormat="1" ht="12.75" customHeight="1" x14ac:dyDescent="0.2">
      <c r="A39" s="35"/>
      <c r="B39" s="36"/>
      <c r="C39" s="36"/>
      <c r="D39" s="52"/>
      <c r="E39" s="30" t="s">
        <v>172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2"/>
      <c r="X39" s="48">
        <v>351680</v>
      </c>
      <c r="Y39" s="49"/>
      <c r="Z39" s="49"/>
      <c r="AA39" s="49"/>
      <c r="AB39" s="50"/>
      <c r="AC39" s="48" t="s">
        <v>173</v>
      </c>
      <c r="AD39" s="49"/>
      <c r="AE39" s="49"/>
      <c r="AF39" s="49"/>
      <c r="AG39" s="50"/>
      <c r="AH39" s="48" t="s">
        <v>173</v>
      </c>
      <c r="AI39" s="49"/>
      <c r="AJ39" s="49"/>
      <c r="AK39" s="49"/>
      <c r="AL39" s="50"/>
      <c r="AM39" s="48">
        <f>IF(ISNUMBER(X39),X39,0)+IF(ISNUMBER(AC39),AC39,0)</f>
        <v>351680</v>
      </c>
      <c r="AN39" s="49"/>
      <c r="AO39" s="49"/>
      <c r="AP39" s="49"/>
      <c r="AQ39" s="50"/>
      <c r="AR39" s="48">
        <v>379814</v>
      </c>
      <c r="AS39" s="49"/>
      <c r="AT39" s="49"/>
      <c r="AU39" s="49"/>
      <c r="AV39" s="50"/>
      <c r="AW39" s="48" t="s">
        <v>173</v>
      </c>
      <c r="AX39" s="49"/>
      <c r="AY39" s="49"/>
      <c r="AZ39" s="49"/>
      <c r="BA39" s="50"/>
      <c r="BB39" s="48" t="s">
        <v>173</v>
      </c>
      <c r="BC39" s="49"/>
      <c r="BD39" s="49"/>
      <c r="BE39" s="49"/>
      <c r="BF39" s="50"/>
      <c r="BG39" s="51">
        <f>IF(ISNUMBER(AR39),AR39,0)+IF(ISNUMBER(AW39),AW39,0)</f>
        <v>379814</v>
      </c>
      <c r="BH39" s="51"/>
      <c r="BI39" s="51"/>
      <c r="BJ39" s="51"/>
      <c r="BK39" s="51"/>
      <c r="CA39" s="4" t="s">
        <v>24</v>
      </c>
    </row>
    <row r="40" spans="1:79" s="6" customFormat="1" ht="12.75" customHeight="1" x14ac:dyDescent="0.2">
      <c r="A40" s="40"/>
      <c r="B40" s="41"/>
      <c r="C40" s="41"/>
      <c r="D40" s="53"/>
      <c r="E40" s="25" t="s">
        <v>147</v>
      </c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7"/>
      <c r="X40" s="44">
        <v>351680</v>
      </c>
      <c r="Y40" s="45"/>
      <c r="Z40" s="45"/>
      <c r="AA40" s="45"/>
      <c r="AB40" s="46"/>
      <c r="AC40" s="44">
        <v>0</v>
      </c>
      <c r="AD40" s="45"/>
      <c r="AE40" s="45"/>
      <c r="AF40" s="45"/>
      <c r="AG40" s="46"/>
      <c r="AH40" s="44">
        <v>0</v>
      </c>
      <c r="AI40" s="45"/>
      <c r="AJ40" s="45"/>
      <c r="AK40" s="45"/>
      <c r="AL40" s="46"/>
      <c r="AM40" s="44">
        <f>IF(ISNUMBER(X40),X40,0)+IF(ISNUMBER(AC40),AC40,0)</f>
        <v>351680</v>
      </c>
      <c r="AN40" s="45"/>
      <c r="AO40" s="45"/>
      <c r="AP40" s="45"/>
      <c r="AQ40" s="46"/>
      <c r="AR40" s="44">
        <v>379814</v>
      </c>
      <c r="AS40" s="45"/>
      <c r="AT40" s="45"/>
      <c r="AU40" s="45"/>
      <c r="AV40" s="46"/>
      <c r="AW40" s="44">
        <v>0</v>
      </c>
      <c r="AX40" s="45"/>
      <c r="AY40" s="45"/>
      <c r="AZ40" s="45"/>
      <c r="BA40" s="46"/>
      <c r="BB40" s="44">
        <v>0</v>
      </c>
      <c r="BC40" s="45"/>
      <c r="BD40" s="45"/>
      <c r="BE40" s="45"/>
      <c r="BF40" s="46"/>
      <c r="BG40" s="47">
        <f>IF(ISNUMBER(AR40),AR40,0)+IF(ISNUMBER(AW40),AW40,0)</f>
        <v>379814</v>
      </c>
      <c r="BH40" s="47"/>
      <c r="BI40" s="47"/>
      <c r="BJ40" s="47"/>
      <c r="BK40" s="47"/>
    </row>
    <row r="41" spans="1:79" s="4" customFormat="1" ht="12.75" customHeight="1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</row>
    <row r="43" spans="1:79" s="3" customFormat="1" ht="14.25" customHeight="1" x14ac:dyDescent="0.2">
      <c r="A43" s="64" t="s">
        <v>117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9"/>
    </row>
    <row r="44" spans="1:79" ht="14.25" customHeight="1" x14ac:dyDescent="0.2">
      <c r="A44" s="64" t="s">
        <v>225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</row>
    <row r="45" spans="1:79" ht="15" customHeight="1" x14ac:dyDescent="0.2">
      <c r="A45" s="69" t="s">
        <v>212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</row>
    <row r="46" spans="1:79" ht="23.1" customHeight="1" x14ac:dyDescent="0.2">
      <c r="A46" s="105" t="s">
        <v>118</v>
      </c>
      <c r="B46" s="106"/>
      <c r="C46" s="106"/>
      <c r="D46" s="107"/>
      <c r="E46" s="39" t="s">
        <v>19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76" t="s">
        <v>213</v>
      </c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8"/>
      <c r="AN46" s="76" t="s">
        <v>216</v>
      </c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8"/>
      <c r="BG46" s="76" t="s">
        <v>224</v>
      </c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8"/>
    </row>
    <row r="47" spans="1:79" ht="48.75" customHeight="1" x14ac:dyDescent="0.2">
      <c r="A47" s="108"/>
      <c r="B47" s="109"/>
      <c r="C47" s="109"/>
      <c r="D47" s="110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76" t="s">
        <v>4</v>
      </c>
      <c r="V47" s="77"/>
      <c r="W47" s="77"/>
      <c r="X47" s="77"/>
      <c r="Y47" s="78"/>
      <c r="Z47" s="76" t="s">
        <v>3</v>
      </c>
      <c r="AA47" s="77"/>
      <c r="AB47" s="77"/>
      <c r="AC47" s="77"/>
      <c r="AD47" s="78"/>
      <c r="AE47" s="99" t="s">
        <v>116</v>
      </c>
      <c r="AF47" s="100"/>
      <c r="AG47" s="100"/>
      <c r="AH47" s="101"/>
      <c r="AI47" s="76" t="s">
        <v>5</v>
      </c>
      <c r="AJ47" s="77"/>
      <c r="AK47" s="77"/>
      <c r="AL47" s="77"/>
      <c r="AM47" s="78"/>
      <c r="AN47" s="76" t="s">
        <v>4</v>
      </c>
      <c r="AO47" s="77"/>
      <c r="AP47" s="77"/>
      <c r="AQ47" s="77"/>
      <c r="AR47" s="78"/>
      <c r="AS47" s="76" t="s">
        <v>3</v>
      </c>
      <c r="AT47" s="77"/>
      <c r="AU47" s="77"/>
      <c r="AV47" s="77"/>
      <c r="AW47" s="78"/>
      <c r="AX47" s="99" t="s">
        <v>116</v>
      </c>
      <c r="AY47" s="100"/>
      <c r="AZ47" s="100"/>
      <c r="BA47" s="101"/>
      <c r="BB47" s="76" t="s">
        <v>96</v>
      </c>
      <c r="BC47" s="77"/>
      <c r="BD47" s="77"/>
      <c r="BE47" s="77"/>
      <c r="BF47" s="78"/>
      <c r="BG47" s="76" t="s">
        <v>4</v>
      </c>
      <c r="BH47" s="77"/>
      <c r="BI47" s="77"/>
      <c r="BJ47" s="77"/>
      <c r="BK47" s="78"/>
      <c r="BL47" s="76" t="s">
        <v>3</v>
      </c>
      <c r="BM47" s="77"/>
      <c r="BN47" s="77"/>
      <c r="BO47" s="77"/>
      <c r="BP47" s="78"/>
      <c r="BQ47" s="99" t="s">
        <v>116</v>
      </c>
      <c r="BR47" s="100"/>
      <c r="BS47" s="100"/>
      <c r="BT47" s="101"/>
      <c r="BU47" s="76" t="s">
        <v>97</v>
      </c>
      <c r="BV47" s="77"/>
      <c r="BW47" s="77"/>
      <c r="BX47" s="77"/>
      <c r="BY47" s="78"/>
    </row>
    <row r="48" spans="1:79" ht="15" customHeight="1" x14ac:dyDescent="0.2">
      <c r="A48" s="76">
        <v>1</v>
      </c>
      <c r="B48" s="77"/>
      <c r="C48" s="77"/>
      <c r="D48" s="78"/>
      <c r="E48" s="76">
        <v>2</v>
      </c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8"/>
      <c r="U48" s="76">
        <v>3</v>
      </c>
      <c r="V48" s="77"/>
      <c r="W48" s="77"/>
      <c r="X48" s="77"/>
      <c r="Y48" s="78"/>
      <c r="Z48" s="76">
        <v>4</v>
      </c>
      <c r="AA48" s="77"/>
      <c r="AB48" s="77"/>
      <c r="AC48" s="77"/>
      <c r="AD48" s="78"/>
      <c r="AE48" s="76">
        <v>5</v>
      </c>
      <c r="AF48" s="77"/>
      <c r="AG48" s="77"/>
      <c r="AH48" s="78"/>
      <c r="AI48" s="76">
        <v>6</v>
      </c>
      <c r="AJ48" s="77"/>
      <c r="AK48" s="77"/>
      <c r="AL48" s="77"/>
      <c r="AM48" s="78"/>
      <c r="AN48" s="76">
        <v>7</v>
      </c>
      <c r="AO48" s="77"/>
      <c r="AP48" s="77"/>
      <c r="AQ48" s="77"/>
      <c r="AR48" s="78"/>
      <c r="AS48" s="76">
        <v>8</v>
      </c>
      <c r="AT48" s="77"/>
      <c r="AU48" s="77"/>
      <c r="AV48" s="77"/>
      <c r="AW48" s="78"/>
      <c r="AX48" s="76">
        <v>9</v>
      </c>
      <c r="AY48" s="77"/>
      <c r="AZ48" s="77"/>
      <c r="BA48" s="78"/>
      <c r="BB48" s="76">
        <v>10</v>
      </c>
      <c r="BC48" s="77"/>
      <c r="BD48" s="77"/>
      <c r="BE48" s="77"/>
      <c r="BF48" s="78"/>
      <c r="BG48" s="76">
        <v>11</v>
      </c>
      <c r="BH48" s="77"/>
      <c r="BI48" s="77"/>
      <c r="BJ48" s="77"/>
      <c r="BK48" s="78"/>
      <c r="BL48" s="76">
        <v>12</v>
      </c>
      <c r="BM48" s="77"/>
      <c r="BN48" s="77"/>
      <c r="BO48" s="77"/>
      <c r="BP48" s="78"/>
      <c r="BQ48" s="76">
        <v>13</v>
      </c>
      <c r="BR48" s="77"/>
      <c r="BS48" s="77"/>
      <c r="BT48" s="78"/>
      <c r="BU48" s="76">
        <v>14</v>
      </c>
      <c r="BV48" s="77"/>
      <c r="BW48" s="77"/>
      <c r="BX48" s="77"/>
      <c r="BY48" s="78"/>
    </row>
    <row r="49" spans="1:79" s="1" customFormat="1" ht="12.75" hidden="1" customHeight="1" x14ac:dyDescent="0.2">
      <c r="A49" s="90" t="s">
        <v>64</v>
      </c>
      <c r="B49" s="91"/>
      <c r="C49" s="91"/>
      <c r="D49" s="92"/>
      <c r="E49" s="90" t="s">
        <v>57</v>
      </c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2"/>
      <c r="U49" s="90" t="s">
        <v>65</v>
      </c>
      <c r="V49" s="91"/>
      <c r="W49" s="91"/>
      <c r="X49" s="91"/>
      <c r="Y49" s="92"/>
      <c r="Z49" s="90" t="s">
        <v>66</v>
      </c>
      <c r="AA49" s="91"/>
      <c r="AB49" s="91"/>
      <c r="AC49" s="91"/>
      <c r="AD49" s="92"/>
      <c r="AE49" s="90" t="s">
        <v>91</v>
      </c>
      <c r="AF49" s="91"/>
      <c r="AG49" s="91"/>
      <c r="AH49" s="92"/>
      <c r="AI49" s="96" t="s">
        <v>169</v>
      </c>
      <c r="AJ49" s="97"/>
      <c r="AK49" s="97"/>
      <c r="AL49" s="97"/>
      <c r="AM49" s="98"/>
      <c r="AN49" s="90" t="s">
        <v>67</v>
      </c>
      <c r="AO49" s="91"/>
      <c r="AP49" s="91"/>
      <c r="AQ49" s="91"/>
      <c r="AR49" s="92"/>
      <c r="AS49" s="90" t="s">
        <v>68</v>
      </c>
      <c r="AT49" s="91"/>
      <c r="AU49" s="91"/>
      <c r="AV49" s="91"/>
      <c r="AW49" s="92"/>
      <c r="AX49" s="90" t="s">
        <v>92</v>
      </c>
      <c r="AY49" s="91"/>
      <c r="AZ49" s="91"/>
      <c r="BA49" s="92"/>
      <c r="BB49" s="96" t="s">
        <v>169</v>
      </c>
      <c r="BC49" s="97"/>
      <c r="BD49" s="97"/>
      <c r="BE49" s="97"/>
      <c r="BF49" s="98"/>
      <c r="BG49" s="90" t="s">
        <v>58</v>
      </c>
      <c r="BH49" s="91"/>
      <c r="BI49" s="91"/>
      <c r="BJ49" s="91"/>
      <c r="BK49" s="92"/>
      <c r="BL49" s="90" t="s">
        <v>59</v>
      </c>
      <c r="BM49" s="91"/>
      <c r="BN49" s="91"/>
      <c r="BO49" s="91"/>
      <c r="BP49" s="92"/>
      <c r="BQ49" s="90" t="s">
        <v>93</v>
      </c>
      <c r="BR49" s="91"/>
      <c r="BS49" s="91"/>
      <c r="BT49" s="92"/>
      <c r="BU49" s="96" t="s">
        <v>169</v>
      </c>
      <c r="BV49" s="97"/>
      <c r="BW49" s="97"/>
      <c r="BX49" s="97"/>
      <c r="BY49" s="98"/>
      <c r="CA49" t="s">
        <v>25</v>
      </c>
    </row>
    <row r="50" spans="1:79" s="4" customFormat="1" ht="12.75" customHeight="1" x14ac:dyDescent="0.2">
      <c r="A50" s="35">
        <v>2240</v>
      </c>
      <c r="B50" s="36"/>
      <c r="C50" s="36"/>
      <c r="D50" s="52"/>
      <c r="E50" s="30" t="s">
        <v>174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2"/>
      <c r="U50" s="48">
        <v>0</v>
      </c>
      <c r="V50" s="49"/>
      <c r="W50" s="49"/>
      <c r="X50" s="49"/>
      <c r="Y50" s="50"/>
      <c r="Z50" s="48">
        <v>0</v>
      </c>
      <c r="AA50" s="49"/>
      <c r="AB50" s="49"/>
      <c r="AC50" s="49"/>
      <c r="AD50" s="50"/>
      <c r="AE50" s="48">
        <v>0</v>
      </c>
      <c r="AF50" s="49"/>
      <c r="AG50" s="49"/>
      <c r="AH50" s="50"/>
      <c r="AI50" s="48">
        <f>IF(ISNUMBER(U50),U50,0)+IF(ISNUMBER(Z50),Z50,0)</f>
        <v>0</v>
      </c>
      <c r="AJ50" s="49"/>
      <c r="AK50" s="49"/>
      <c r="AL50" s="49"/>
      <c r="AM50" s="50"/>
      <c r="AN50" s="48">
        <v>0</v>
      </c>
      <c r="AO50" s="49"/>
      <c r="AP50" s="49"/>
      <c r="AQ50" s="49"/>
      <c r="AR50" s="50"/>
      <c r="AS50" s="48">
        <v>0</v>
      </c>
      <c r="AT50" s="49"/>
      <c r="AU50" s="49"/>
      <c r="AV50" s="49"/>
      <c r="AW50" s="50"/>
      <c r="AX50" s="48">
        <v>0</v>
      </c>
      <c r="AY50" s="49"/>
      <c r="AZ50" s="49"/>
      <c r="BA50" s="50"/>
      <c r="BB50" s="48">
        <f>IF(ISNUMBER(AN50),AN50,0)+IF(ISNUMBER(AS50),AS50,0)</f>
        <v>0</v>
      </c>
      <c r="BC50" s="49"/>
      <c r="BD50" s="49"/>
      <c r="BE50" s="49"/>
      <c r="BF50" s="50"/>
      <c r="BG50" s="48">
        <v>80000</v>
      </c>
      <c r="BH50" s="49"/>
      <c r="BI50" s="49"/>
      <c r="BJ50" s="49"/>
      <c r="BK50" s="50"/>
      <c r="BL50" s="48">
        <v>0</v>
      </c>
      <c r="BM50" s="49"/>
      <c r="BN50" s="49"/>
      <c r="BO50" s="49"/>
      <c r="BP50" s="50"/>
      <c r="BQ50" s="48">
        <v>0</v>
      </c>
      <c r="BR50" s="49"/>
      <c r="BS50" s="49"/>
      <c r="BT50" s="50"/>
      <c r="BU50" s="48">
        <f>IF(ISNUMBER(BG50),BG50,0)+IF(ISNUMBER(BL50),BL50,0)</f>
        <v>80000</v>
      </c>
      <c r="BV50" s="49"/>
      <c r="BW50" s="49"/>
      <c r="BX50" s="49"/>
      <c r="BY50" s="50"/>
      <c r="CA50" s="4" t="s">
        <v>26</v>
      </c>
    </row>
    <row r="51" spans="1:79" s="4" customFormat="1" ht="12.75" customHeight="1" x14ac:dyDescent="0.2">
      <c r="A51" s="35">
        <v>2730</v>
      </c>
      <c r="B51" s="36"/>
      <c r="C51" s="36"/>
      <c r="D51" s="52"/>
      <c r="E51" s="30" t="s">
        <v>175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2"/>
      <c r="U51" s="48">
        <v>0</v>
      </c>
      <c r="V51" s="49"/>
      <c r="W51" s="49"/>
      <c r="X51" s="49"/>
      <c r="Y51" s="50"/>
      <c r="Z51" s="48">
        <v>0</v>
      </c>
      <c r="AA51" s="49"/>
      <c r="AB51" s="49"/>
      <c r="AC51" s="49"/>
      <c r="AD51" s="50"/>
      <c r="AE51" s="48">
        <v>0</v>
      </c>
      <c r="AF51" s="49"/>
      <c r="AG51" s="49"/>
      <c r="AH51" s="50"/>
      <c r="AI51" s="48">
        <f>IF(ISNUMBER(U51),U51,0)+IF(ISNUMBER(Z51),Z51,0)</f>
        <v>0</v>
      </c>
      <c r="AJ51" s="49"/>
      <c r="AK51" s="49"/>
      <c r="AL51" s="49"/>
      <c r="AM51" s="50"/>
      <c r="AN51" s="48">
        <v>0</v>
      </c>
      <c r="AO51" s="49"/>
      <c r="AP51" s="49"/>
      <c r="AQ51" s="49"/>
      <c r="AR51" s="50"/>
      <c r="AS51" s="48">
        <v>0</v>
      </c>
      <c r="AT51" s="49"/>
      <c r="AU51" s="49"/>
      <c r="AV51" s="49"/>
      <c r="AW51" s="50"/>
      <c r="AX51" s="48">
        <v>0</v>
      </c>
      <c r="AY51" s="49"/>
      <c r="AZ51" s="49"/>
      <c r="BA51" s="50"/>
      <c r="BB51" s="48">
        <f>IF(ISNUMBER(AN51),AN51,0)+IF(ISNUMBER(AS51),AS51,0)</f>
        <v>0</v>
      </c>
      <c r="BC51" s="49"/>
      <c r="BD51" s="49"/>
      <c r="BE51" s="49"/>
      <c r="BF51" s="50"/>
      <c r="BG51" s="48">
        <v>240000</v>
      </c>
      <c r="BH51" s="49"/>
      <c r="BI51" s="49"/>
      <c r="BJ51" s="49"/>
      <c r="BK51" s="50"/>
      <c r="BL51" s="48">
        <v>0</v>
      </c>
      <c r="BM51" s="49"/>
      <c r="BN51" s="49"/>
      <c r="BO51" s="49"/>
      <c r="BP51" s="50"/>
      <c r="BQ51" s="48">
        <v>0</v>
      </c>
      <c r="BR51" s="49"/>
      <c r="BS51" s="49"/>
      <c r="BT51" s="50"/>
      <c r="BU51" s="48">
        <f>IF(ISNUMBER(BG51),BG51,0)+IF(ISNUMBER(BL51),BL51,0)</f>
        <v>240000</v>
      </c>
      <c r="BV51" s="49"/>
      <c r="BW51" s="49"/>
      <c r="BX51" s="49"/>
      <c r="BY51" s="50"/>
    </row>
    <row r="52" spans="1:79" s="6" customFormat="1" ht="12.75" customHeight="1" x14ac:dyDescent="0.2">
      <c r="A52" s="40"/>
      <c r="B52" s="41"/>
      <c r="C52" s="41"/>
      <c r="D52" s="53"/>
      <c r="E52" s="25" t="s">
        <v>147</v>
      </c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7"/>
      <c r="U52" s="44">
        <v>0</v>
      </c>
      <c r="V52" s="45"/>
      <c r="W52" s="45"/>
      <c r="X52" s="45"/>
      <c r="Y52" s="46"/>
      <c r="Z52" s="44">
        <v>0</v>
      </c>
      <c r="AA52" s="45"/>
      <c r="AB52" s="45"/>
      <c r="AC52" s="45"/>
      <c r="AD52" s="46"/>
      <c r="AE52" s="44">
        <v>0</v>
      </c>
      <c r="AF52" s="45"/>
      <c r="AG52" s="45"/>
      <c r="AH52" s="46"/>
      <c r="AI52" s="44">
        <f>IF(ISNUMBER(U52),U52,0)+IF(ISNUMBER(Z52),Z52,0)</f>
        <v>0</v>
      </c>
      <c r="AJ52" s="45"/>
      <c r="AK52" s="45"/>
      <c r="AL52" s="45"/>
      <c r="AM52" s="46"/>
      <c r="AN52" s="44">
        <v>0</v>
      </c>
      <c r="AO52" s="45"/>
      <c r="AP52" s="45"/>
      <c r="AQ52" s="45"/>
      <c r="AR52" s="46"/>
      <c r="AS52" s="44">
        <v>0</v>
      </c>
      <c r="AT52" s="45"/>
      <c r="AU52" s="45"/>
      <c r="AV52" s="45"/>
      <c r="AW52" s="46"/>
      <c r="AX52" s="44">
        <v>0</v>
      </c>
      <c r="AY52" s="45"/>
      <c r="AZ52" s="45"/>
      <c r="BA52" s="46"/>
      <c r="BB52" s="44">
        <f>IF(ISNUMBER(AN52),AN52,0)+IF(ISNUMBER(AS52),AS52,0)</f>
        <v>0</v>
      </c>
      <c r="BC52" s="45"/>
      <c r="BD52" s="45"/>
      <c r="BE52" s="45"/>
      <c r="BF52" s="46"/>
      <c r="BG52" s="44">
        <v>320000</v>
      </c>
      <c r="BH52" s="45"/>
      <c r="BI52" s="45"/>
      <c r="BJ52" s="45"/>
      <c r="BK52" s="46"/>
      <c r="BL52" s="44">
        <v>0</v>
      </c>
      <c r="BM52" s="45"/>
      <c r="BN52" s="45"/>
      <c r="BO52" s="45"/>
      <c r="BP52" s="46"/>
      <c r="BQ52" s="44">
        <v>0</v>
      </c>
      <c r="BR52" s="45"/>
      <c r="BS52" s="45"/>
      <c r="BT52" s="46"/>
      <c r="BU52" s="44">
        <f>IF(ISNUMBER(BG52),BG52,0)+IF(ISNUMBER(BL52),BL52,0)</f>
        <v>320000</v>
      </c>
      <c r="BV52" s="45"/>
      <c r="BW52" s="45"/>
      <c r="BX52" s="45"/>
      <c r="BY52" s="46"/>
    </row>
    <row r="54" spans="1:79" ht="14.25" customHeight="1" x14ac:dyDescent="0.2">
      <c r="A54" s="64" t="s">
        <v>226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</row>
    <row r="55" spans="1:79" ht="15" customHeight="1" x14ac:dyDescent="0.2">
      <c r="A55" s="79" t="s">
        <v>212</v>
      </c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</row>
    <row r="56" spans="1:79" ht="23.1" customHeight="1" x14ac:dyDescent="0.2">
      <c r="A56" s="105" t="s">
        <v>119</v>
      </c>
      <c r="B56" s="106"/>
      <c r="C56" s="106"/>
      <c r="D56" s="106"/>
      <c r="E56" s="107"/>
      <c r="F56" s="39" t="s">
        <v>19</v>
      </c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76" t="s">
        <v>213</v>
      </c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8"/>
      <c r="AN56" s="76" t="s">
        <v>216</v>
      </c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8"/>
      <c r="BG56" s="76" t="s">
        <v>224</v>
      </c>
      <c r="BH56" s="77"/>
      <c r="BI56" s="77"/>
      <c r="BJ56" s="77"/>
      <c r="BK56" s="77"/>
      <c r="BL56" s="77"/>
      <c r="BM56" s="77"/>
      <c r="BN56" s="77"/>
      <c r="BO56" s="77"/>
      <c r="BP56" s="77"/>
      <c r="BQ56" s="77"/>
      <c r="BR56" s="77"/>
      <c r="BS56" s="77"/>
      <c r="BT56" s="77"/>
      <c r="BU56" s="77"/>
      <c r="BV56" s="77"/>
      <c r="BW56" s="77"/>
      <c r="BX56" s="77"/>
      <c r="BY56" s="78"/>
    </row>
    <row r="57" spans="1:79" ht="51.75" customHeight="1" x14ac:dyDescent="0.2">
      <c r="A57" s="108"/>
      <c r="B57" s="109"/>
      <c r="C57" s="109"/>
      <c r="D57" s="109"/>
      <c r="E57" s="110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76" t="s">
        <v>4</v>
      </c>
      <c r="V57" s="77"/>
      <c r="W57" s="77"/>
      <c r="X57" s="77"/>
      <c r="Y57" s="78"/>
      <c r="Z57" s="76" t="s">
        <v>3</v>
      </c>
      <c r="AA57" s="77"/>
      <c r="AB57" s="77"/>
      <c r="AC57" s="77"/>
      <c r="AD57" s="78"/>
      <c r="AE57" s="99" t="s">
        <v>116</v>
      </c>
      <c r="AF57" s="100"/>
      <c r="AG57" s="100"/>
      <c r="AH57" s="101"/>
      <c r="AI57" s="76" t="s">
        <v>5</v>
      </c>
      <c r="AJ57" s="77"/>
      <c r="AK57" s="77"/>
      <c r="AL57" s="77"/>
      <c r="AM57" s="78"/>
      <c r="AN57" s="76" t="s">
        <v>4</v>
      </c>
      <c r="AO57" s="77"/>
      <c r="AP57" s="77"/>
      <c r="AQ57" s="77"/>
      <c r="AR57" s="78"/>
      <c r="AS57" s="76" t="s">
        <v>3</v>
      </c>
      <c r="AT57" s="77"/>
      <c r="AU57" s="77"/>
      <c r="AV57" s="77"/>
      <c r="AW57" s="78"/>
      <c r="AX57" s="99" t="s">
        <v>116</v>
      </c>
      <c r="AY57" s="100"/>
      <c r="AZ57" s="100"/>
      <c r="BA57" s="101"/>
      <c r="BB57" s="76" t="s">
        <v>96</v>
      </c>
      <c r="BC57" s="77"/>
      <c r="BD57" s="77"/>
      <c r="BE57" s="77"/>
      <c r="BF57" s="78"/>
      <c r="BG57" s="76" t="s">
        <v>4</v>
      </c>
      <c r="BH57" s="77"/>
      <c r="BI57" s="77"/>
      <c r="BJ57" s="77"/>
      <c r="BK57" s="78"/>
      <c r="BL57" s="76" t="s">
        <v>3</v>
      </c>
      <c r="BM57" s="77"/>
      <c r="BN57" s="77"/>
      <c r="BO57" s="77"/>
      <c r="BP57" s="78"/>
      <c r="BQ57" s="99" t="s">
        <v>116</v>
      </c>
      <c r="BR57" s="100"/>
      <c r="BS57" s="100"/>
      <c r="BT57" s="101"/>
      <c r="BU57" s="39" t="s">
        <v>97</v>
      </c>
      <c r="BV57" s="39"/>
      <c r="BW57" s="39"/>
      <c r="BX57" s="39"/>
      <c r="BY57" s="39"/>
    </row>
    <row r="58" spans="1:79" ht="15" customHeight="1" x14ac:dyDescent="0.2">
      <c r="A58" s="76">
        <v>1</v>
      </c>
      <c r="B58" s="77"/>
      <c r="C58" s="77"/>
      <c r="D58" s="77"/>
      <c r="E58" s="78"/>
      <c r="F58" s="76">
        <v>2</v>
      </c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8"/>
      <c r="U58" s="76">
        <v>3</v>
      </c>
      <c r="V58" s="77"/>
      <c r="W58" s="77"/>
      <c r="X58" s="77"/>
      <c r="Y58" s="78"/>
      <c r="Z58" s="76">
        <v>4</v>
      </c>
      <c r="AA58" s="77"/>
      <c r="AB58" s="77"/>
      <c r="AC58" s="77"/>
      <c r="AD58" s="78"/>
      <c r="AE58" s="76">
        <v>5</v>
      </c>
      <c r="AF58" s="77"/>
      <c r="AG58" s="77"/>
      <c r="AH58" s="78"/>
      <c r="AI58" s="76">
        <v>6</v>
      </c>
      <c r="AJ58" s="77"/>
      <c r="AK58" s="77"/>
      <c r="AL58" s="77"/>
      <c r="AM58" s="78"/>
      <c r="AN58" s="76">
        <v>7</v>
      </c>
      <c r="AO58" s="77"/>
      <c r="AP58" s="77"/>
      <c r="AQ58" s="77"/>
      <c r="AR58" s="78"/>
      <c r="AS58" s="76">
        <v>8</v>
      </c>
      <c r="AT58" s="77"/>
      <c r="AU58" s="77"/>
      <c r="AV58" s="77"/>
      <c r="AW58" s="78"/>
      <c r="AX58" s="76">
        <v>9</v>
      </c>
      <c r="AY58" s="77"/>
      <c r="AZ58" s="77"/>
      <c r="BA58" s="78"/>
      <c r="BB58" s="76">
        <v>10</v>
      </c>
      <c r="BC58" s="77"/>
      <c r="BD58" s="77"/>
      <c r="BE58" s="77"/>
      <c r="BF58" s="78"/>
      <c r="BG58" s="76">
        <v>11</v>
      </c>
      <c r="BH58" s="77"/>
      <c r="BI58" s="77"/>
      <c r="BJ58" s="77"/>
      <c r="BK58" s="78"/>
      <c r="BL58" s="76">
        <v>12</v>
      </c>
      <c r="BM58" s="77"/>
      <c r="BN58" s="77"/>
      <c r="BO58" s="77"/>
      <c r="BP58" s="78"/>
      <c r="BQ58" s="76">
        <v>13</v>
      </c>
      <c r="BR58" s="77"/>
      <c r="BS58" s="77"/>
      <c r="BT58" s="78"/>
      <c r="BU58" s="39">
        <v>14</v>
      </c>
      <c r="BV58" s="39"/>
      <c r="BW58" s="39"/>
      <c r="BX58" s="39"/>
      <c r="BY58" s="39"/>
    </row>
    <row r="59" spans="1:79" s="1" customFormat="1" ht="13.5" hidden="1" customHeight="1" x14ac:dyDescent="0.2">
      <c r="A59" s="90" t="s">
        <v>64</v>
      </c>
      <c r="B59" s="91"/>
      <c r="C59" s="91"/>
      <c r="D59" s="91"/>
      <c r="E59" s="92"/>
      <c r="F59" s="90" t="s">
        <v>57</v>
      </c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2"/>
      <c r="U59" s="90" t="s">
        <v>65</v>
      </c>
      <c r="V59" s="91"/>
      <c r="W59" s="91"/>
      <c r="X59" s="91"/>
      <c r="Y59" s="92"/>
      <c r="Z59" s="90" t="s">
        <v>66</v>
      </c>
      <c r="AA59" s="91"/>
      <c r="AB59" s="91"/>
      <c r="AC59" s="91"/>
      <c r="AD59" s="92"/>
      <c r="AE59" s="90" t="s">
        <v>91</v>
      </c>
      <c r="AF59" s="91"/>
      <c r="AG59" s="91"/>
      <c r="AH59" s="92"/>
      <c r="AI59" s="96" t="s">
        <v>169</v>
      </c>
      <c r="AJ59" s="97"/>
      <c r="AK59" s="97"/>
      <c r="AL59" s="97"/>
      <c r="AM59" s="98"/>
      <c r="AN59" s="90" t="s">
        <v>67</v>
      </c>
      <c r="AO59" s="91"/>
      <c r="AP59" s="91"/>
      <c r="AQ59" s="91"/>
      <c r="AR59" s="92"/>
      <c r="AS59" s="90" t="s">
        <v>68</v>
      </c>
      <c r="AT59" s="91"/>
      <c r="AU59" s="91"/>
      <c r="AV59" s="91"/>
      <c r="AW59" s="92"/>
      <c r="AX59" s="90" t="s">
        <v>92</v>
      </c>
      <c r="AY59" s="91"/>
      <c r="AZ59" s="91"/>
      <c r="BA59" s="92"/>
      <c r="BB59" s="96" t="s">
        <v>169</v>
      </c>
      <c r="BC59" s="97"/>
      <c r="BD59" s="97"/>
      <c r="BE59" s="97"/>
      <c r="BF59" s="98"/>
      <c r="BG59" s="90" t="s">
        <v>58</v>
      </c>
      <c r="BH59" s="91"/>
      <c r="BI59" s="91"/>
      <c r="BJ59" s="91"/>
      <c r="BK59" s="92"/>
      <c r="BL59" s="90" t="s">
        <v>59</v>
      </c>
      <c r="BM59" s="91"/>
      <c r="BN59" s="91"/>
      <c r="BO59" s="91"/>
      <c r="BP59" s="92"/>
      <c r="BQ59" s="90" t="s">
        <v>93</v>
      </c>
      <c r="BR59" s="91"/>
      <c r="BS59" s="91"/>
      <c r="BT59" s="92"/>
      <c r="BU59" s="86" t="s">
        <v>169</v>
      </c>
      <c r="BV59" s="86"/>
      <c r="BW59" s="86"/>
      <c r="BX59" s="86"/>
      <c r="BY59" s="86"/>
      <c r="CA59" t="s">
        <v>27</v>
      </c>
    </row>
    <row r="60" spans="1:79" s="6" customFormat="1" ht="12.75" customHeight="1" x14ac:dyDescent="0.2">
      <c r="A60" s="40"/>
      <c r="B60" s="41"/>
      <c r="C60" s="41"/>
      <c r="D60" s="41"/>
      <c r="E60" s="53"/>
      <c r="F60" s="40" t="s">
        <v>147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53"/>
      <c r="U60" s="44"/>
      <c r="V60" s="45"/>
      <c r="W60" s="45"/>
      <c r="X60" s="45"/>
      <c r="Y60" s="46"/>
      <c r="Z60" s="44"/>
      <c r="AA60" s="45"/>
      <c r="AB60" s="45"/>
      <c r="AC60" s="45"/>
      <c r="AD60" s="46"/>
      <c r="AE60" s="44"/>
      <c r="AF60" s="45"/>
      <c r="AG60" s="45"/>
      <c r="AH60" s="46"/>
      <c r="AI60" s="44">
        <f>IF(ISNUMBER(U60),U60,0)+IF(ISNUMBER(Z60),Z60,0)</f>
        <v>0</v>
      </c>
      <c r="AJ60" s="45"/>
      <c r="AK60" s="45"/>
      <c r="AL60" s="45"/>
      <c r="AM60" s="46"/>
      <c r="AN60" s="44"/>
      <c r="AO60" s="45"/>
      <c r="AP60" s="45"/>
      <c r="AQ60" s="45"/>
      <c r="AR60" s="46"/>
      <c r="AS60" s="44"/>
      <c r="AT60" s="45"/>
      <c r="AU60" s="45"/>
      <c r="AV60" s="45"/>
      <c r="AW60" s="46"/>
      <c r="AX60" s="44"/>
      <c r="AY60" s="45"/>
      <c r="AZ60" s="45"/>
      <c r="BA60" s="46"/>
      <c r="BB60" s="44">
        <f>IF(ISNUMBER(AN60),AN60,0)+IF(ISNUMBER(AS60),AS60,0)</f>
        <v>0</v>
      </c>
      <c r="BC60" s="45"/>
      <c r="BD60" s="45"/>
      <c r="BE60" s="45"/>
      <c r="BF60" s="46"/>
      <c r="BG60" s="44"/>
      <c r="BH60" s="45"/>
      <c r="BI60" s="45"/>
      <c r="BJ60" s="45"/>
      <c r="BK60" s="46"/>
      <c r="BL60" s="44"/>
      <c r="BM60" s="45"/>
      <c r="BN60" s="45"/>
      <c r="BO60" s="45"/>
      <c r="BP60" s="46"/>
      <c r="BQ60" s="44"/>
      <c r="BR60" s="45"/>
      <c r="BS60" s="45"/>
      <c r="BT60" s="46"/>
      <c r="BU60" s="44">
        <f>IF(ISNUMBER(BG60),BG60,0)+IF(ISNUMBER(BL60),BL60,0)</f>
        <v>0</v>
      </c>
      <c r="BV60" s="45"/>
      <c r="BW60" s="45"/>
      <c r="BX60" s="45"/>
      <c r="BY60" s="46"/>
      <c r="CA60" s="6" t="s">
        <v>28</v>
      </c>
    </row>
    <row r="62" spans="1:79" ht="14.25" customHeight="1" x14ac:dyDescent="0.2">
      <c r="A62" s="64" t="s">
        <v>240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</row>
    <row r="63" spans="1:79" ht="15" customHeight="1" x14ac:dyDescent="0.2">
      <c r="A63" s="79" t="s">
        <v>212</v>
      </c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</row>
    <row r="64" spans="1:79" ht="23.1" customHeight="1" x14ac:dyDescent="0.2">
      <c r="A64" s="105" t="s">
        <v>118</v>
      </c>
      <c r="B64" s="106"/>
      <c r="C64" s="106"/>
      <c r="D64" s="107"/>
      <c r="E64" s="80" t="s">
        <v>19</v>
      </c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2"/>
      <c r="X64" s="76" t="s">
        <v>234</v>
      </c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8"/>
      <c r="AR64" s="39" t="s">
        <v>239</v>
      </c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</row>
    <row r="65" spans="1:79" ht="48.75" customHeight="1" x14ac:dyDescent="0.2">
      <c r="A65" s="108"/>
      <c r="B65" s="109"/>
      <c r="C65" s="109"/>
      <c r="D65" s="110"/>
      <c r="E65" s="83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5"/>
      <c r="X65" s="80" t="s">
        <v>4</v>
      </c>
      <c r="Y65" s="81"/>
      <c r="Z65" s="81"/>
      <c r="AA65" s="81"/>
      <c r="AB65" s="82"/>
      <c r="AC65" s="80" t="s">
        <v>3</v>
      </c>
      <c r="AD65" s="81"/>
      <c r="AE65" s="81"/>
      <c r="AF65" s="81"/>
      <c r="AG65" s="82"/>
      <c r="AH65" s="99" t="s">
        <v>116</v>
      </c>
      <c r="AI65" s="100"/>
      <c r="AJ65" s="100"/>
      <c r="AK65" s="100"/>
      <c r="AL65" s="101"/>
      <c r="AM65" s="76" t="s">
        <v>5</v>
      </c>
      <c r="AN65" s="77"/>
      <c r="AO65" s="77"/>
      <c r="AP65" s="77"/>
      <c r="AQ65" s="78"/>
      <c r="AR65" s="76" t="s">
        <v>4</v>
      </c>
      <c r="AS65" s="77"/>
      <c r="AT65" s="77"/>
      <c r="AU65" s="77"/>
      <c r="AV65" s="78"/>
      <c r="AW65" s="76" t="s">
        <v>3</v>
      </c>
      <c r="AX65" s="77"/>
      <c r="AY65" s="77"/>
      <c r="AZ65" s="77"/>
      <c r="BA65" s="78"/>
      <c r="BB65" s="99" t="s">
        <v>116</v>
      </c>
      <c r="BC65" s="100"/>
      <c r="BD65" s="100"/>
      <c r="BE65" s="100"/>
      <c r="BF65" s="101"/>
      <c r="BG65" s="76" t="s">
        <v>96</v>
      </c>
      <c r="BH65" s="77"/>
      <c r="BI65" s="77"/>
      <c r="BJ65" s="77"/>
      <c r="BK65" s="78"/>
    </row>
    <row r="66" spans="1:79" ht="12.75" customHeight="1" x14ac:dyDescent="0.2">
      <c r="A66" s="76">
        <v>1</v>
      </c>
      <c r="B66" s="77"/>
      <c r="C66" s="77"/>
      <c r="D66" s="78"/>
      <c r="E66" s="76">
        <v>2</v>
      </c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8"/>
      <c r="X66" s="76">
        <v>3</v>
      </c>
      <c r="Y66" s="77"/>
      <c r="Z66" s="77"/>
      <c r="AA66" s="77"/>
      <c r="AB66" s="78"/>
      <c r="AC66" s="76">
        <v>4</v>
      </c>
      <c r="AD66" s="77"/>
      <c r="AE66" s="77"/>
      <c r="AF66" s="77"/>
      <c r="AG66" s="78"/>
      <c r="AH66" s="76">
        <v>5</v>
      </c>
      <c r="AI66" s="77"/>
      <c r="AJ66" s="77"/>
      <c r="AK66" s="77"/>
      <c r="AL66" s="78"/>
      <c r="AM66" s="76">
        <v>6</v>
      </c>
      <c r="AN66" s="77"/>
      <c r="AO66" s="77"/>
      <c r="AP66" s="77"/>
      <c r="AQ66" s="78"/>
      <c r="AR66" s="76">
        <v>7</v>
      </c>
      <c r="AS66" s="77"/>
      <c r="AT66" s="77"/>
      <c r="AU66" s="77"/>
      <c r="AV66" s="78"/>
      <c r="AW66" s="76">
        <v>8</v>
      </c>
      <c r="AX66" s="77"/>
      <c r="AY66" s="77"/>
      <c r="AZ66" s="77"/>
      <c r="BA66" s="78"/>
      <c r="BB66" s="76">
        <v>9</v>
      </c>
      <c r="BC66" s="77"/>
      <c r="BD66" s="77"/>
      <c r="BE66" s="77"/>
      <c r="BF66" s="78"/>
      <c r="BG66" s="76">
        <v>10</v>
      </c>
      <c r="BH66" s="77"/>
      <c r="BI66" s="77"/>
      <c r="BJ66" s="77"/>
      <c r="BK66" s="78"/>
    </row>
    <row r="67" spans="1:79" s="1" customFormat="1" ht="12.75" hidden="1" customHeight="1" x14ac:dyDescent="0.2">
      <c r="A67" s="90" t="s">
        <v>64</v>
      </c>
      <c r="B67" s="91"/>
      <c r="C67" s="91"/>
      <c r="D67" s="92"/>
      <c r="E67" s="90" t="s">
        <v>57</v>
      </c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2"/>
      <c r="X67" s="111" t="s">
        <v>60</v>
      </c>
      <c r="Y67" s="112"/>
      <c r="Z67" s="112"/>
      <c r="AA67" s="112"/>
      <c r="AB67" s="113"/>
      <c r="AC67" s="111" t="s">
        <v>61</v>
      </c>
      <c r="AD67" s="112"/>
      <c r="AE67" s="112"/>
      <c r="AF67" s="112"/>
      <c r="AG67" s="113"/>
      <c r="AH67" s="90" t="s">
        <v>94</v>
      </c>
      <c r="AI67" s="91"/>
      <c r="AJ67" s="91"/>
      <c r="AK67" s="91"/>
      <c r="AL67" s="92"/>
      <c r="AM67" s="96" t="s">
        <v>170</v>
      </c>
      <c r="AN67" s="97"/>
      <c r="AO67" s="97"/>
      <c r="AP67" s="97"/>
      <c r="AQ67" s="98"/>
      <c r="AR67" s="90" t="s">
        <v>62</v>
      </c>
      <c r="AS67" s="91"/>
      <c r="AT67" s="91"/>
      <c r="AU67" s="91"/>
      <c r="AV67" s="92"/>
      <c r="AW67" s="90" t="s">
        <v>63</v>
      </c>
      <c r="AX67" s="91"/>
      <c r="AY67" s="91"/>
      <c r="AZ67" s="91"/>
      <c r="BA67" s="92"/>
      <c r="BB67" s="90" t="s">
        <v>95</v>
      </c>
      <c r="BC67" s="91"/>
      <c r="BD67" s="91"/>
      <c r="BE67" s="91"/>
      <c r="BF67" s="92"/>
      <c r="BG67" s="96" t="s">
        <v>170</v>
      </c>
      <c r="BH67" s="97"/>
      <c r="BI67" s="97"/>
      <c r="BJ67" s="97"/>
      <c r="BK67" s="98"/>
      <c r="CA67" t="s">
        <v>29</v>
      </c>
    </row>
    <row r="68" spans="1:79" s="4" customFormat="1" ht="12.75" customHeight="1" x14ac:dyDescent="0.2">
      <c r="A68" s="35">
        <v>2240</v>
      </c>
      <c r="B68" s="36"/>
      <c r="C68" s="36"/>
      <c r="D68" s="52"/>
      <c r="E68" s="30" t="s">
        <v>174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2"/>
      <c r="X68" s="48">
        <v>87920</v>
      </c>
      <c r="Y68" s="49"/>
      <c r="Z68" s="49"/>
      <c r="AA68" s="49"/>
      <c r="AB68" s="50"/>
      <c r="AC68" s="48">
        <v>0</v>
      </c>
      <c r="AD68" s="49"/>
      <c r="AE68" s="49"/>
      <c r="AF68" s="49"/>
      <c r="AG68" s="50"/>
      <c r="AH68" s="48">
        <v>0</v>
      </c>
      <c r="AI68" s="49"/>
      <c r="AJ68" s="49"/>
      <c r="AK68" s="49"/>
      <c r="AL68" s="50"/>
      <c r="AM68" s="48">
        <f>IF(ISNUMBER(X68),X68,0)+IF(ISNUMBER(AC68),AC68,0)</f>
        <v>87920</v>
      </c>
      <c r="AN68" s="49"/>
      <c r="AO68" s="49"/>
      <c r="AP68" s="49"/>
      <c r="AQ68" s="50"/>
      <c r="AR68" s="48">
        <v>94954</v>
      </c>
      <c r="AS68" s="49"/>
      <c r="AT68" s="49"/>
      <c r="AU68" s="49"/>
      <c r="AV68" s="50"/>
      <c r="AW68" s="48">
        <v>0</v>
      </c>
      <c r="AX68" s="49"/>
      <c r="AY68" s="49"/>
      <c r="AZ68" s="49"/>
      <c r="BA68" s="50"/>
      <c r="BB68" s="48">
        <v>0</v>
      </c>
      <c r="BC68" s="49"/>
      <c r="BD68" s="49"/>
      <c r="BE68" s="49"/>
      <c r="BF68" s="50"/>
      <c r="BG68" s="51">
        <f>IF(ISNUMBER(AR68),AR68,0)+IF(ISNUMBER(AW68),AW68,0)</f>
        <v>94954</v>
      </c>
      <c r="BH68" s="51"/>
      <c r="BI68" s="51"/>
      <c r="BJ68" s="51"/>
      <c r="BK68" s="51"/>
      <c r="CA68" s="4" t="s">
        <v>30</v>
      </c>
    </row>
    <row r="69" spans="1:79" s="4" customFormat="1" ht="12.75" customHeight="1" x14ac:dyDescent="0.2">
      <c r="A69" s="35">
        <v>2730</v>
      </c>
      <c r="B69" s="36"/>
      <c r="C69" s="36"/>
      <c r="D69" s="52"/>
      <c r="E69" s="30" t="s">
        <v>175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2"/>
      <c r="X69" s="48">
        <v>263760</v>
      </c>
      <c r="Y69" s="49"/>
      <c r="Z69" s="49"/>
      <c r="AA69" s="49"/>
      <c r="AB69" s="50"/>
      <c r="AC69" s="48">
        <v>0</v>
      </c>
      <c r="AD69" s="49"/>
      <c r="AE69" s="49"/>
      <c r="AF69" s="49"/>
      <c r="AG69" s="50"/>
      <c r="AH69" s="48">
        <v>0</v>
      </c>
      <c r="AI69" s="49"/>
      <c r="AJ69" s="49"/>
      <c r="AK69" s="49"/>
      <c r="AL69" s="50"/>
      <c r="AM69" s="48">
        <f>IF(ISNUMBER(X69),X69,0)+IF(ISNUMBER(AC69),AC69,0)</f>
        <v>263760</v>
      </c>
      <c r="AN69" s="49"/>
      <c r="AO69" s="49"/>
      <c r="AP69" s="49"/>
      <c r="AQ69" s="50"/>
      <c r="AR69" s="48">
        <v>284861</v>
      </c>
      <c r="AS69" s="49"/>
      <c r="AT69" s="49"/>
      <c r="AU69" s="49"/>
      <c r="AV69" s="50"/>
      <c r="AW69" s="48">
        <v>0</v>
      </c>
      <c r="AX69" s="49"/>
      <c r="AY69" s="49"/>
      <c r="AZ69" s="49"/>
      <c r="BA69" s="50"/>
      <c r="BB69" s="48">
        <v>0</v>
      </c>
      <c r="BC69" s="49"/>
      <c r="BD69" s="49"/>
      <c r="BE69" s="49"/>
      <c r="BF69" s="50"/>
      <c r="BG69" s="51">
        <f>IF(ISNUMBER(AR69),AR69,0)+IF(ISNUMBER(AW69),AW69,0)</f>
        <v>284861</v>
      </c>
      <c r="BH69" s="51"/>
      <c r="BI69" s="51"/>
      <c r="BJ69" s="51"/>
      <c r="BK69" s="51"/>
    </row>
    <row r="70" spans="1:79" s="6" customFormat="1" ht="12.75" customHeight="1" x14ac:dyDescent="0.2">
      <c r="A70" s="40"/>
      <c r="B70" s="41"/>
      <c r="C70" s="41"/>
      <c r="D70" s="53"/>
      <c r="E70" s="25" t="s">
        <v>147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7"/>
      <c r="X70" s="44">
        <v>351680</v>
      </c>
      <c r="Y70" s="45"/>
      <c r="Z70" s="45"/>
      <c r="AA70" s="45"/>
      <c r="AB70" s="46"/>
      <c r="AC70" s="44">
        <v>0</v>
      </c>
      <c r="AD70" s="45"/>
      <c r="AE70" s="45"/>
      <c r="AF70" s="45"/>
      <c r="AG70" s="46"/>
      <c r="AH70" s="44">
        <v>0</v>
      </c>
      <c r="AI70" s="45"/>
      <c r="AJ70" s="45"/>
      <c r="AK70" s="45"/>
      <c r="AL70" s="46"/>
      <c r="AM70" s="44">
        <f>IF(ISNUMBER(X70),X70,0)+IF(ISNUMBER(AC70),AC70,0)</f>
        <v>351680</v>
      </c>
      <c r="AN70" s="45"/>
      <c r="AO70" s="45"/>
      <c r="AP70" s="45"/>
      <c r="AQ70" s="46"/>
      <c r="AR70" s="44">
        <v>379815</v>
      </c>
      <c r="AS70" s="45"/>
      <c r="AT70" s="45"/>
      <c r="AU70" s="45"/>
      <c r="AV70" s="46"/>
      <c r="AW70" s="44">
        <v>0</v>
      </c>
      <c r="AX70" s="45"/>
      <c r="AY70" s="45"/>
      <c r="AZ70" s="45"/>
      <c r="BA70" s="46"/>
      <c r="BB70" s="44">
        <v>0</v>
      </c>
      <c r="BC70" s="45"/>
      <c r="BD70" s="45"/>
      <c r="BE70" s="45"/>
      <c r="BF70" s="46"/>
      <c r="BG70" s="47">
        <f>IF(ISNUMBER(AR70),AR70,0)+IF(ISNUMBER(AW70),AW70,0)</f>
        <v>379815</v>
      </c>
      <c r="BH70" s="47"/>
      <c r="BI70" s="47"/>
      <c r="BJ70" s="47"/>
      <c r="BK70" s="47"/>
    </row>
    <row r="72" spans="1:79" ht="14.25" customHeight="1" x14ac:dyDescent="0.2">
      <c r="A72" s="64" t="s">
        <v>241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</row>
    <row r="73" spans="1:79" ht="15" customHeight="1" x14ac:dyDescent="0.2">
      <c r="A73" s="79" t="s">
        <v>212</v>
      </c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</row>
    <row r="74" spans="1:79" ht="23.1" customHeight="1" x14ac:dyDescent="0.2">
      <c r="A74" s="105" t="s">
        <v>119</v>
      </c>
      <c r="B74" s="106"/>
      <c r="C74" s="106"/>
      <c r="D74" s="106"/>
      <c r="E74" s="107"/>
      <c r="F74" s="80" t="s">
        <v>19</v>
      </c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2"/>
      <c r="X74" s="39" t="s">
        <v>234</v>
      </c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76" t="s">
        <v>239</v>
      </c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8"/>
    </row>
    <row r="75" spans="1:79" ht="53.25" customHeight="1" x14ac:dyDescent="0.2">
      <c r="A75" s="108"/>
      <c r="B75" s="109"/>
      <c r="C75" s="109"/>
      <c r="D75" s="109"/>
      <c r="E75" s="110"/>
      <c r="F75" s="83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5"/>
      <c r="X75" s="76" t="s">
        <v>4</v>
      </c>
      <c r="Y75" s="77"/>
      <c r="Z75" s="77"/>
      <c r="AA75" s="77"/>
      <c r="AB75" s="78"/>
      <c r="AC75" s="76" t="s">
        <v>3</v>
      </c>
      <c r="AD75" s="77"/>
      <c r="AE75" s="77"/>
      <c r="AF75" s="77"/>
      <c r="AG75" s="78"/>
      <c r="AH75" s="99" t="s">
        <v>116</v>
      </c>
      <c r="AI75" s="100"/>
      <c r="AJ75" s="100"/>
      <c r="AK75" s="100"/>
      <c r="AL75" s="101"/>
      <c r="AM75" s="76" t="s">
        <v>5</v>
      </c>
      <c r="AN75" s="77"/>
      <c r="AO75" s="77"/>
      <c r="AP75" s="77"/>
      <c r="AQ75" s="78"/>
      <c r="AR75" s="76" t="s">
        <v>4</v>
      </c>
      <c r="AS75" s="77"/>
      <c r="AT75" s="77"/>
      <c r="AU75" s="77"/>
      <c r="AV75" s="78"/>
      <c r="AW75" s="76" t="s">
        <v>3</v>
      </c>
      <c r="AX75" s="77"/>
      <c r="AY75" s="77"/>
      <c r="AZ75" s="77"/>
      <c r="BA75" s="78"/>
      <c r="BB75" s="70" t="s">
        <v>116</v>
      </c>
      <c r="BC75" s="70"/>
      <c r="BD75" s="70"/>
      <c r="BE75" s="70"/>
      <c r="BF75" s="70"/>
      <c r="BG75" s="76" t="s">
        <v>96</v>
      </c>
      <c r="BH75" s="77"/>
      <c r="BI75" s="77"/>
      <c r="BJ75" s="77"/>
      <c r="BK75" s="78"/>
    </row>
    <row r="76" spans="1:79" ht="15" customHeight="1" x14ac:dyDescent="0.2">
      <c r="A76" s="76">
        <v>1</v>
      </c>
      <c r="B76" s="77"/>
      <c r="C76" s="77"/>
      <c r="D76" s="77"/>
      <c r="E76" s="78"/>
      <c r="F76" s="76">
        <v>2</v>
      </c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8"/>
      <c r="X76" s="76">
        <v>3</v>
      </c>
      <c r="Y76" s="77"/>
      <c r="Z76" s="77"/>
      <c r="AA76" s="77"/>
      <c r="AB76" s="78"/>
      <c r="AC76" s="76">
        <v>4</v>
      </c>
      <c r="AD76" s="77"/>
      <c r="AE76" s="77"/>
      <c r="AF76" s="77"/>
      <c r="AG76" s="78"/>
      <c r="AH76" s="76">
        <v>5</v>
      </c>
      <c r="AI76" s="77"/>
      <c r="AJ76" s="77"/>
      <c r="AK76" s="77"/>
      <c r="AL76" s="78"/>
      <c r="AM76" s="76">
        <v>6</v>
      </c>
      <c r="AN76" s="77"/>
      <c r="AO76" s="77"/>
      <c r="AP76" s="77"/>
      <c r="AQ76" s="78"/>
      <c r="AR76" s="76">
        <v>7</v>
      </c>
      <c r="AS76" s="77"/>
      <c r="AT76" s="77"/>
      <c r="AU76" s="77"/>
      <c r="AV76" s="78"/>
      <c r="AW76" s="76">
        <v>8</v>
      </c>
      <c r="AX76" s="77"/>
      <c r="AY76" s="77"/>
      <c r="AZ76" s="77"/>
      <c r="BA76" s="78"/>
      <c r="BB76" s="76">
        <v>9</v>
      </c>
      <c r="BC76" s="77"/>
      <c r="BD76" s="77"/>
      <c r="BE76" s="77"/>
      <c r="BF76" s="78"/>
      <c r="BG76" s="76">
        <v>10</v>
      </c>
      <c r="BH76" s="77"/>
      <c r="BI76" s="77"/>
      <c r="BJ76" s="77"/>
      <c r="BK76" s="78"/>
    </row>
    <row r="77" spans="1:79" s="1" customFormat="1" ht="15" hidden="1" customHeight="1" x14ac:dyDescent="0.2">
      <c r="A77" s="90" t="s">
        <v>64</v>
      </c>
      <c r="B77" s="91"/>
      <c r="C77" s="91"/>
      <c r="D77" s="91"/>
      <c r="E77" s="92"/>
      <c r="F77" s="90" t="s">
        <v>57</v>
      </c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2"/>
      <c r="X77" s="90" t="s">
        <v>60</v>
      </c>
      <c r="Y77" s="91"/>
      <c r="Z77" s="91"/>
      <c r="AA77" s="91"/>
      <c r="AB77" s="92"/>
      <c r="AC77" s="90" t="s">
        <v>61</v>
      </c>
      <c r="AD77" s="91"/>
      <c r="AE77" s="91"/>
      <c r="AF77" s="91"/>
      <c r="AG77" s="92"/>
      <c r="AH77" s="90" t="s">
        <v>94</v>
      </c>
      <c r="AI77" s="91"/>
      <c r="AJ77" s="91"/>
      <c r="AK77" s="91"/>
      <c r="AL77" s="92"/>
      <c r="AM77" s="96" t="s">
        <v>170</v>
      </c>
      <c r="AN77" s="97"/>
      <c r="AO77" s="97"/>
      <c r="AP77" s="97"/>
      <c r="AQ77" s="98"/>
      <c r="AR77" s="90" t="s">
        <v>62</v>
      </c>
      <c r="AS77" s="91"/>
      <c r="AT77" s="91"/>
      <c r="AU77" s="91"/>
      <c r="AV77" s="92"/>
      <c r="AW77" s="90" t="s">
        <v>63</v>
      </c>
      <c r="AX77" s="91"/>
      <c r="AY77" s="91"/>
      <c r="AZ77" s="91"/>
      <c r="BA77" s="92"/>
      <c r="BB77" s="90" t="s">
        <v>95</v>
      </c>
      <c r="BC77" s="91"/>
      <c r="BD77" s="91"/>
      <c r="BE77" s="91"/>
      <c r="BF77" s="92"/>
      <c r="BG77" s="96" t="s">
        <v>170</v>
      </c>
      <c r="BH77" s="97"/>
      <c r="BI77" s="97"/>
      <c r="BJ77" s="97"/>
      <c r="BK77" s="98"/>
      <c r="CA77" t="s">
        <v>31</v>
      </c>
    </row>
    <row r="78" spans="1:79" s="6" customFormat="1" ht="12.75" customHeight="1" x14ac:dyDescent="0.2">
      <c r="A78" s="40"/>
      <c r="B78" s="41"/>
      <c r="C78" s="41"/>
      <c r="D78" s="41"/>
      <c r="E78" s="53"/>
      <c r="F78" s="40" t="s">
        <v>147</v>
      </c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53"/>
      <c r="X78" s="102"/>
      <c r="Y78" s="103"/>
      <c r="Z78" s="103"/>
      <c r="AA78" s="103"/>
      <c r="AB78" s="104"/>
      <c r="AC78" s="102"/>
      <c r="AD78" s="103"/>
      <c r="AE78" s="103"/>
      <c r="AF78" s="103"/>
      <c r="AG78" s="104"/>
      <c r="AH78" s="47"/>
      <c r="AI78" s="47"/>
      <c r="AJ78" s="47"/>
      <c r="AK78" s="47"/>
      <c r="AL78" s="47"/>
      <c r="AM78" s="47">
        <f>IF(ISNUMBER(X78),X78,0)+IF(ISNUMBER(AC78),AC78,0)</f>
        <v>0</v>
      </c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>
        <f>IF(ISNUMBER(AR78),AR78,0)+IF(ISNUMBER(AW78),AW78,0)</f>
        <v>0</v>
      </c>
      <c r="BH78" s="47"/>
      <c r="BI78" s="47"/>
      <c r="BJ78" s="47"/>
      <c r="BK78" s="47"/>
      <c r="CA78" s="6" t="s">
        <v>32</v>
      </c>
    </row>
    <row r="81" spans="1:79" ht="14.25" customHeight="1" x14ac:dyDescent="0.2">
      <c r="A81" s="64" t="s">
        <v>120</v>
      </c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</row>
    <row r="82" spans="1:79" ht="14.25" customHeight="1" x14ac:dyDescent="0.2">
      <c r="A82" s="64" t="s">
        <v>227</v>
      </c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</row>
    <row r="83" spans="1:79" ht="15" customHeight="1" x14ac:dyDescent="0.2">
      <c r="A83" s="79" t="s">
        <v>212</v>
      </c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  <c r="AY83" s="79"/>
      <c r="AZ83" s="79"/>
      <c r="BA83" s="79"/>
      <c r="BB83" s="79"/>
      <c r="BC83" s="79"/>
      <c r="BD83" s="79"/>
      <c r="BE83" s="79"/>
      <c r="BF83" s="79"/>
      <c r="BG83" s="79"/>
      <c r="BH83" s="79"/>
      <c r="BI83" s="79"/>
      <c r="BJ83" s="79"/>
      <c r="BK83" s="79"/>
      <c r="BL83" s="79"/>
      <c r="BM83" s="79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</row>
    <row r="84" spans="1:79" ht="23.1" customHeight="1" x14ac:dyDescent="0.2">
      <c r="A84" s="80" t="s">
        <v>6</v>
      </c>
      <c r="B84" s="81"/>
      <c r="C84" s="81"/>
      <c r="D84" s="80" t="s">
        <v>121</v>
      </c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2"/>
      <c r="U84" s="76" t="s">
        <v>213</v>
      </c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8"/>
      <c r="AN84" s="76" t="s">
        <v>216</v>
      </c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77"/>
      <c r="BE84" s="77"/>
      <c r="BF84" s="78"/>
      <c r="BG84" s="39" t="s">
        <v>224</v>
      </c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</row>
    <row r="85" spans="1:79" ht="52.5" customHeight="1" x14ac:dyDescent="0.2">
      <c r="A85" s="83"/>
      <c r="B85" s="84"/>
      <c r="C85" s="84"/>
      <c r="D85" s="83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5"/>
      <c r="U85" s="76" t="s">
        <v>4</v>
      </c>
      <c r="V85" s="77"/>
      <c r="W85" s="77"/>
      <c r="X85" s="77"/>
      <c r="Y85" s="78"/>
      <c r="Z85" s="76" t="s">
        <v>3</v>
      </c>
      <c r="AA85" s="77"/>
      <c r="AB85" s="77"/>
      <c r="AC85" s="77"/>
      <c r="AD85" s="78"/>
      <c r="AE85" s="99" t="s">
        <v>116</v>
      </c>
      <c r="AF85" s="100"/>
      <c r="AG85" s="100"/>
      <c r="AH85" s="101"/>
      <c r="AI85" s="76" t="s">
        <v>5</v>
      </c>
      <c r="AJ85" s="77"/>
      <c r="AK85" s="77"/>
      <c r="AL85" s="77"/>
      <c r="AM85" s="78"/>
      <c r="AN85" s="76" t="s">
        <v>4</v>
      </c>
      <c r="AO85" s="77"/>
      <c r="AP85" s="77"/>
      <c r="AQ85" s="77"/>
      <c r="AR85" s="78"/>
      <c r="AS85" s="76" t="s">
        <v>3</v>
      </c>
      <c r="AT85" s="77"/>
      <c r="AU85" s="77"/>
      <c r="AV85" s="77"/>
      <c r="AW85" s="78"/>
      <c r="AX85" s="99" t="s">
        <v>116</v>
      </c>
      <c r="AY85" s="100"/>
      <c r="AZ85" s="100"/>
      <c r="BA85" s="101"/>
      <c r="BB85" s="76" t="s">
        <v>96</v>
      </c>
      <c r="BC85" s="77"/>
      <c r="BD85" s="77"/>
      <c r="BE85" s="77"/>
      <c r="BF85" s="78"/>
      <c r="BG85" s="76" t="s">
        <v>4</v>
      </c>
      <c r="BH85" s="77"/>
      <c r="BI85" s="77"/>
      <c r="BJ85" s="77"/>
      <c r="BK85" s="78"/>
      <c r="BL85" s="39" t="s">
        <v>3</v>
      </c>
      <c r="BM85" s="39"/>
      <c r="BN85" s="39"/>
      <c r="BO85" s="39"/>
      <c r="BP85" s="39"/>
      <c r="BQ85" s="70" t="s">
        <v>116</v>
      </c>
      <c r="BR85" s="70"/>
      <c r="BS85" s="70"/>
      <c r="BT85" s="70"/>
      <c r="BU85" s="76" t="s">
        <v>97</v>
      </c>
      <c r="BV85" s="77"/>
      <c r="BW85" s="77"/>
      <c r="BX85" s="77"/>
      <c r="BY85" s="78"/>
    </row>
    <row r="86" spans="1:79" ht="15" customHeight="1" x14ac:dyDescent="0.2">
      <c r="A86" s="76">
        <v>1</v>
      </c>
      <c r="B86" s="77"/>
      <c r="C86" s="77"/>
      <c r="D86" s="76">
        <v>2</v>
      </c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8"/>
      <c r="U86" s="76">
        <v>3</v>
      </c>
      <c r="V86" s="77"/>
      <c r="W86" s="77"/>
      <c r="X86" s="77"/>
      <c r="Y86" s="78"/>
      <c r="Z86" s="76">
        <v>4</v>
      </c>
      <c r="AA86" s="77"/>
      <c r="AB86" s="77"/>
      <c r="AC86" s="77"/>
      <c r="AD86" s="78"/>
      <c r="AE86" s="76">
        <v>5</v>
      </c>
      <c r="AF86" s="77"/>
      <c r="AG86" s="77"/>
      <c r="AH86" s="78"/>
      <c r="AI86" s="76">
        <v>6</v>
      </c>
      <c r="AJ86" s="77"/>
      <c r="AK86" s="77"/>
      <c r="AL86" s="77"/>
      <c r="AM86" s="78"/>
      <c r="AN86" s="76">
        <v>7</v>
      </c>
      <c r="AO86" s="77"/>
      <c r="AP86" s="77"/>
      <c r="AQ86" s="77"/>
      <c r="AR86" s="78"/>
      <c r="AS86" s="76">
        <v>8</v>
      </c>
      <c r="AT86" s="77"/>
      <c r="AU86" s="77"/>
      <c r="AV86" s="77"/>
      <c r="AW86" s="78"/>
      <c r="AX86" s="39">
        <v>9</v>
      </c>
      <c r="AY86" s="39"/>
      <c r="AZ86" s="39"/>
      <c r="BA86" s="39"/>
      <c r="BB86" s="76">
        <v>10</v>
      </c>
      <c r="BC86" s="77"/>
      <c r="BD86" s="77"/>
      <c r="BE86" s="77"/>
      <c r="BF86" s="78"/>
      <c r="BG86" s="76">
        <v>11</v>
      </c>
      <c r="BH86" s="77"/>
      <c r="BI86" s="77"/>
      <c r="BJ86" s="77"/>
      <c r="BK86" s="78"/>
      <c r="BL86" s="39">
        <v>12</v>
      </c>
      <c r="BM86" s="39"/>
      <c r="BN86" s="39"/>
      <c r="BO86" s="39"/>
      <c r="BP86" s="39"/>
      <c r="BQ86" s="76">
        <v>13</v>
      </c>
      <c r="BR86" s="77"/>
      <c r="BS86" s="77"/>
      <c r="BT86" s="78"/>
      <c r="BU86" s="76">
        <v>14</v>
      </c>
      <c r="BV86" s="77"/>
      <c r="BW86" s="77"/>
      <c r="BX86" s="77"/>
      <c r="BY86" s="78"/>
    </row>
    <row r="87" spans="1:79" s="1" customFormat="1" ht="14.25" hidden="1" customHeight="1" x14ac:dyDescent="0.2">
      <c r="A87" s="90" t="s">
        <v>69</v>
      </c>
      <c r="B87" s="91"/>
      <c r="C87" s="91"/>
      <c r="D87" s="90" t="s">
        <v>57</v>
      </c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2"/>
      <c r="U87" s="68" t="s">
        <v>65</v>
      </c>
      <c r="V87" s="68"/>
      <c r="W87" s="68"/>
      <c r="X87" s="68"/>
      <c r="Y87" s="68"/>
      <c r="Z87" s="68" t="s">
        <v>66</v>
      </c>
      <c r="AA87" s="68"/>
      <c r="AB87" s="68"/>
      <c r="AC87" s="68"/>
      <c r="AD87" s="68"/>
      <c r="AE87" s="68" t="s">
        <v>91</v>
      </c>
      <c r="AF87" s="68"/>
      <c r="AG87" s="68"/>
      <c r="AH87" s="68"/>
      <c r="AI87" s="86" t="s">
        <v>169</v>
      </c>
      <c r="AJ87" s="86"/>
      <c r="AK87" s="86"/>
      <c r="AL87" s="86"/>
      <c r="AM87" s="86"/>
      <c r="AN87" s="68" t="s">
        <v>67</v>
      </c>
      <c r="AO87" s="68"/>
      <c r="AP87" s="68"/>
      <c r="AQ87" s="68"/>
      <c r="AR87" s="68"/>
      <c r="AS87" s="68" t="s">
        <v>68</v>
      </c>
      <c r="AT87" s="68"/>
      <c r="AU87" s="68"/>
      <c r="AV87" s="68"/>
      <c r="AW87" s="68"/>
      <c r="AX87" s="68" t="s">
        <v>92</v>
      </c>
      <c r="AY87" s="68"/>
      <c r="AZ87" s="68"/>
      <c r="BA87" s="68"/>
      <c r="BB87" s="86" t="s">
        <v>169</v>
      </c>
      <c r="BC87" s="86"/>
      <c r="BD87" s="86"/>
      <c r="BE87" s="86"/>
      <c r="BF87" s="86"/>
      <c r="BG87" s="68" t="s">
        <v>58</v>
      </c>
      <c r="BH87" s="68"/>
      <c r="BI87" s="68"/>
      <c r="BJ87" s="68"/>
      <c r="BK87" s="68"/>
      <c r="BL87" s="68" t="s">
        <v>59</v>
      </c>
      <c r="BM87" s="68"/>
      <c r="BN87" s="68"/>
      <c r="BO87" s="68"/>
      <c r="BP87" s="68"/>
      <c r="BQ87" s="68" t="s">
        <v>93</v>
      </c>
      <c r="BR87" s="68"/>
      <c r="BS87" s="68"/>
      <c r="BT87" s="68"/>
      <c r="BU87" s="86" t="s">
        <v>169</v>
      </c>
      <c r="BV87" s="86"/>
      <c r="BW87" s="86"/>
      <c r="BX87" s="86"/>
      <c r="BY87" s="86"/>
      <c r="CA87" t="s">
        <v>33</v>
      </c>
    </row>
    <row r="88" spans="1:79" s="4" customFormat="1" ht="12.75" customHeight="1" x14ac:dyDescent="0.2">
      <c r="A88" s="35">
        <v>1</v>
      </c>
      <c r="B88" s="36"/>
      <c r="C88" s="36"/>
      <c r="D88" s="30" t="s">
        <v>176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2"/>
      <c r="U88" s="48">
        <v>0</v>
      </c>
      <c r="V88" s="49"/>
      <c r="W88" s="49"/>
      <c r="X88" s="49"/>
      <c r="Y88" s="50"/>
      <c r="Z88" s="48">
        <v>0</v>
      </c>
      <c r="AA88" s="49"/>
      <c r="AB88" s="49"/>
      <c r="AC88" s="49"/>
      <c r="AD88" s="50"/>
      <c r="AE88" s="48">
        <v>0</v>
      </c>
      <c r="AF88" s="49"/>
      <c r="AG88" s="49"/>
      <c r="AH88" s="50"/>
      <c r="AI88" s="48">
        <f>IF(ISNUMBER(U88),U88,0)+IF(ISNUMBER(Z88),Z88,0)</f>
        <v>0</v>
      </c>
      <c r="AJ88" s="49"/>
      <c r="AK88" s="49"/>
      <c r="AL88" s="49"/>
      <c r="AM88" s="50"/>
      <c r="AN88" s="48">
        <v>0</v>
      </c>
      <c r="AO88" s="49"/>
      <c r="AP88" s="49"/>
      <c r="AQ88" s="49"/>
      <c r="AR88" s="50"/>
      <c r="AS88" s="48">
        <v>0</v>
      </c>
      <c r="AT88" s="49"/>
      <c r="AU88" s="49"/>
      <c r="AV88" s="49"/>
      <c r="AW88" s="50"/>
      <c r="AX88" s="48">
        <v>0</v>
      </c>
      <c r="AY88" s="49"/>
      <c r="AZ88" s="49"/>
      <c r="BA88" s="50"/>
      <c r="BB88" s="48">
        <f>IF(ISNUMBER(AN88),AN88,0)+IF(ISNUMBER(AS88),AS88,0)</f>
        <v>0</v>
      </c>
      <c r="BC88" s="49"/>
      <c r="BD88" s="49"/>
      <c r="BE88" s="49"/>
      <c r="BF88" s="50"/>
      <c r="BG88" s="48">
        <v>80000</v>
      </c>
      <c r="BH88" s="49"/>
      <c r="BI88" s="49"/>
      <c r="BJ88" s="49"/>
      <c r="BK88" s="50"/>
      <c r="BL88" s="48">
        <v>0</v>
      </c>
      <c r="BM88" s="49"/>
      <c r="BN88" s="49"/>
      <c r="BO88" s="49"/>
      <c r="BP88" s="50"/>
      <c r="BQ88" s="48">
        <v>0</v>
      </c>
      <c r="BR88" s="49"/>
      <c r="BS88" s="49"/>
      <c r="BT88" s="50"/>
      <c r="BU88" s="48">
        <f>IF(ISNUMBER(BG88),BG88,0)+IF(ISNUMBER(BL88),BL88,0)</f>
        <v>80000</v>
      </c>
      <c r="BV88" s="49"/>
      <c r="BW88" s="49"/>
      <c r="BX88" s="49"/>
      <c r="BY88" s="50"/>
      <c r="CA88" s="4" t="s">
        <v>34</v>
      </c>
    </row>
    <row r="89" spans="1:79" s="4" customFormat="1" ht="12.75" customHeight="1" x14ac:dyDescent="0.2">
      <c r="A89" s="35">
        <v>2</v>
      </c>
      <c r="B89" s="36"/>
      <c r="C89" s="36"/>
      <c r="D89" s="30" t="s">
        <v>177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2"/>
      <c r="U89" s="48">
        <v>0</v>
      </c>
      <c r="V89" s="49"/>
      <c r="W89" s="49"/>
      <c r="X89" s="49"/>
      <c r="Y89" s="50"/>
      <c r="Z89" s="48">
        <v>0</v>
      </c>
      <c r="AA89" s="49"/>
      <c r="AB89" s="49"/>
      <c r="AC89" s="49"/>
      <c r="AD89" s="50"/>
      <c r="AE89" s="48">
        <v>0</v>
      </c>
      <c r="AF89" s="49"/>
      <c r="AG89" s="49"/>
      <c r="AH89" s="50"/>
      <c r="AI89" s="48">
        <f>IF(ISNUMBER(U89),U89,0)+IF(ISNUMBER(Z89),Z89,0)</f>
        <v>0</v>
      </c>
      <c r="AJ89" s="49"/>
      <c r="AK89" s="49"/>
      <c r="AL89" s="49"/>
      <c r="AM89" s="50"/>
      <c r="AN89" s="48">
        <v>0</v>
      </c>
      <c r="AO89" s="49"/>
      <c r="AP89" s="49"/>
      <c r="AQ89" s="49"/>
      <c r="AR89" s="50"/>
      <c r="AS89" s="48">
        <v>0</v>
      </c>
      <c r="AT89" s="49"/>
      <c r="AU89" s="49"/>
      <c r="AV89" s="49"/>
      <c r="AW89" s="50"/>
      <c r="AX89" s="48">
        <v>0</v>
      </c>
      <c r="AY89" s="49"/>
      <c r="AZ89" s="49"/>
      <c r="BA89" s="50"/>
      <c r="BB89" s="48">
        <f>IF(ISNUMBER(AN89),AN89,0)+IF(ISNUMBER(AS89),AS89,0)</f>
        <v>0</v>
      </c>
      <c r="BC89" s="49"/>
      <c r="BD89" s="49"/>
      <c r="BE89" s="49"/>
      <c r="BF89" s="50"/>
      <c r="BG89" s="48">
        <v>240000</v>
      </c>
      <c r="BH89" s="49"/>
      <c r="BI89" s="49"/>
      <c r="BJ89" s="49"/>
      <c r="BK89" s="50"/>
      <c r="BL89" s="48">
        <v>0</v>
      </c>
      <c r="BM89" s="49"/>
      <c r="BN89" s="49"/>
      <c r="BO89" s="49"/>
      <c r="BP89" s="50"/>
      <c r="BQ89" s="48">
        <v>0</v>
      </c>
      <c r="BR89" s="49"/>
      <c r="BS89" s="49"/>
      <c r="BT89" s="50"/>
      <c r="BU89" s="48">
        <f>IF(ISNUMBER(BG89),BG89,0)+IF(ISNUMBER(BL89),BL89,0)</f>
        <v>240000</v>
      </c>
      <c r="BV89" s="49"/>
      <c r="BW89" s="49"/>
      <c r="BX89" s="49"/>
      <c r="BY89" s="50"/>
    </row>
    <row r="90" spans="1:79" s="6" customFormat="1" ht="12.75" customHeight="1" x14ac:dyDescent="0.2">
      <c r="A90" s="40"/>
      <c r="B90" s="41"/>
      <c r="C90" s="41"/>
      <c r="D90" s="25" t="s">
        <v>147</v>
      </c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7"/>
      <c r="U90" s="44">
        <v>0</v>
      </c>
      <c r="V90" s="45"/>
      <c r="W90" s="45"/>
      <c r="X90" s="45"/>
      <c r="Y90" s="46"/>
      <c r="Z90" s="44">
        <v>0</v>
      </c>
      <c r="AA90" s="45"/>
      <c r="AB90" s="45"/>
      <c r="AC90" s="45"/>
      <c r="AD90" s="46"/>
      <c r="AE90" s="44">
        <v>0</v>
      </c>
      <c r="AF90" s="45"/>
      <c r="AG90" s="45"/>
      <c r="AH90" s="46"/>
      <c r="AI90" s="44">
        <f>IF(ISNUMBER(U90),U90,0)+IF(ISNUMBER(Z90),Z90,0)</f>
        <v>0</v>
      </c>
      <c r="AJ90" s="45"/>
      <c r="AK90" s="45"/>
      <c r="AL90" s="45"/>
      <c r="AM90" s="46"/>
      <c r="AN90" s="44">
        <v>0</v>
      </c>
      <c r="AO90" s="45"/>
      <c r="AP90" s="45"/>
      <c r="AQ90" s="45"/>
      <c r="AR90" s="46"/>
      <c r="AS90" s="44">
        <v>0</v>
      </c>
      <c r="AT90" s="45"/>
      <c r="AU90" s="45"/>
      <c r="AV90" s="45"/>
      <c r="AW90" s="46"/>
      <c r="AX90" s="44">
        <v>0</v>
      </c>
      <c r="AY90" s="45"/>
      <c r="AZ90" s="45"/>
      <c r="BA90" s="46"/>
      <c r="BB90" s="44">
        <f>IF(ISNUMBER(AN90),AN90,0)+IF(ISNUMBER(AS90),AS90,0)</f>
        <v>0</v>
      </c>
      <c r="BC90" s="45"/>
      <c r="BD90" s="45"/>
      <c r="BE90" s="45"/>
      <c r="BF90" s="46"/>
      <c r="BG90" s="44">
        <v>320000</v>
      </c>
      <c r="BH90" s="45"/>
      <c r="BI90" s="45"/>
      <c r="BJ90" s="45"/>
      <c r="BK90" s="46"/>
      <c r="BL90" s="44">
        <v>0</v>
      </c>
      <c r="BM90" s="45"/>
      <c r="BN90" s="45"/>
      <c r="BO90" s="45"/>
      <c r="BP90" s="46"/>
      <c r="BQ90" s="44">
        <v>0</v>
      </c>
      <c r="BR90" s="45"/>
      <c r="BS90" s="45"/>
      <c r="BT90" s="46"/>
      <c r="BU90" s="44">
        <f>IF(ISNUMBER(BG90),BG90,0)+IF(ISNUMBER(BL90),BL90,0)</f>
        <v>320000</v>
      </c>
      <c r="BV90" s="45"/>
      <c r="BW90" s="45"/>
      <c r="BX90" s="45"/>
      <c r="BY90" s="46"/>
    </row>
    <row r="92" spans="1:79" ht="14.25" customHeight="1" x14ac:dyDescent="0.2">
      <c r="A92" s="64" t="s">
        <v>242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</row>
    <row r="93" spans="1:79" ht="15" customHeight="1" x14ac:dyDescent="0.2">
      <c r="A93" s="69" t="s">
        <v>212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</row>
    <row r="94" spans="1:79" ht="23.1" customHeight="1" x14ac:dyDescent="0.2">
      <c r="A94" s="80" t="s">
        <v>6</v>
      </c>
      <c r="B94" s="81"/>
      <c r="C94" s="81"/>
      <c r="D94" s="80" t="s">
        <v>121</v>
      </c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2"/>
      <c r="U94" s="39" t="s">
        <v>234</v>
      </c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 t="s">
        <v>239</v>
      </c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</row>
    <row r="95" spans="1:79" ht="54" customHeight="1" x14ac:dyDescent="0.2">
      <c r="A95" s="83"/>
      <c r="B95" s="84"/>
      <c r="C95" s="84"/>
      <c r="D95" s="83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5"/>
      <c r="U95" s="76" t="s">
        <v>4</v>
      </c>
      <c r="V95" s="77"/>
      <c r="W95" s="77"/>
      <c r="X95" s="77"/>
      <c r="Y95" s="78"/>
      <c r="Z95" s="76" t="s">
        <v>3</v>
      </c>
      <c r="AA95" s="77"/>
      <c r="AB95" s="77"/>
      <c r="AC95" s="77"/>
      <c r="AD95" s="78"/>
      <c r="AE95" s="99" t="s">
        <v>116</v>
      </c>
      <c r="AF95" s="100"/>
      <c r="AG95" s="100"/>
      <c r="AH95" s="100"/>
      <c r="AI95" s="101"/>
      <c r="AJ95" s="76" t="s">
        <v>5</v>
      </c>
      <c r="AK95" s="77"/>
      <c r="AL95" s="77"/>
      <c r="AM95" s="77"/>
      <c r="AN95" s="78"/>
      <c r="AO95" s="76" t="s">
        <v>4</v>
      </c>
      <c r="AP95" s="77"/>
      <c r="AQ95" s="77"/>
      <c r="AR95" s="77"/>
      <c r="AS95" s="78"/>
      <c r="AT95" s="76" t="s">
        <v>3</v>
      </c>
      <c r="AU95" s="77"/>
      <c r="AV95" s="77"/>
      <c r="AW95" s="77"/>
      <c r="AX95" s="78"/>
      <c r="AY95" s="99" t="s">
        <v>116</v>
      </c>
      <c r="AZ95" s="100"/>
      <c r="BA95" s="100"/>
      <c r="BB95" s="100"/>
      <c r="BC95" s="101"/>
      <c r="BD95" s="39" t="s">
        <v>96</v>
      </c>
      <c r="BE95" s="39"/>
      <c r="BF95" s="39"/>
      <c r="BG95" s="39"/>
      <c r="BH95" s="39"/>
    </row>
    <row r="96" spans="1:79" ht="15" customHeight="1" x14ac:dyDescent="0.2">
      <c r="A96" s="76" t="s">
        <v>168</v>
      </c>
      <c r="B96" s="77"/>
      <c r="C96" s="77"/>
      <c r="D96" s="76">
        <v>2</v>
      </c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8"/>
      <c r="U96" s="76">
        <v>3</v>
      </c>
      <c r="V96" s="77"/>
      <c r="W96" s="77"/>
      <c r="X96" s="77"/>
      <c r="Y96" s="78"/>
      <c r="Z96" s="76">
        <v>4</v>
      </c>
      <c r="AA96" s="77"/>
      <c r="AB96" s="77"/>
      <c r="AC96" s="77"/>
      <c r="AD96" s="78"/>
      <c r="AE96" s="76">
        <v>5</v>
      </c>
      <c r="AF96" s="77"/>
      <c r="AG96" s="77"/>
      <c r="AH96" s="77"/>
      <c r="AI96" s="78"/>
      <c r="AJ96" s="76">
        <v>6</v>
      </c>
      <c r="AK96" s="77"/>
      <c r="AL96" s="77"/>
      <c r="AM96" s="77"/>
      <c r="AN96" s="78"/>
      <c r="AO96" s="76">
        <v>7</v>
      </c>
      <c r="AP96" s="77"/>
      <c r="AQ96" s="77"/>
      <c r="AR96" s="77"/>
      <c r="AS96" s="78"/>
      <c r="AT96" s="76">
        <v>8</v>
      </c>
      <c r="AU96" s="77"/>
      <c r="AV96" s="77"/>
      <c r="AW96" s="77"/>
      <c r="AX96" s="78"/>
      <c r="AY96" s="76">
        <v>9</v>
      </c>
      <c r="AZ96" s="77"/>
      <c r="BA96" s="77"/>
      <c r="BB96" s="77"/>
      <c r="BC96" s="78"/>
      <c r="BD96" s="76">
        <v>10</v>
      </c>
      <c r="BE96" s="77"/>
      <c r="BF96" s="77"/>
      <c r="BG96" s="77"/>
      <c r="BH96" s="78"/>
    </row>
    <row r="97" spans="1:79" s="1" customFormat="1" ht="12.75" hidden="1" customHeight="1" x14ac:dyDescent="0.2">
      <c r="A97" s="90" t="s">
        <v>69</v>
      </c>
      <c r="B97" s="91"/>
      <c r="C97" s="91"/>
      <c r="D97" s="90" t="s">
        <v>57</v>
      </c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2"/>
      <c r="U97" s="90" t="s">
        <v>60</v>
      </c>
      <c r="V97" s="91"/>
      <c r="W97" s="91"/>
      <c r="X97" s="91"/>
      <c r="Y97" s="92"/>
      <c r="Z97" s="90" t="s">
        <v>61</v>
      </c>
      <c r="AA97" s="91"/>
      <c r="AB97" s="91"/>
      <c r="AC97" s="91"/>
      <c r="AD97" s="92"/>
      <c r="AE97" s="90" t="s">
        <v>94</v>
      </c>
      <c r="AF97" s="91"/>
      <c r="AG97" s="91"/>
      <c r="AH97" s="91"/>
      <c r="AI97" s="92"/>
      <c r="AJ97" s="96" t="s">
        <v>170</v>
      </c>
      <c r="AK97" s="97"/>
      <c r="AL97" s="97"/>
      <c r="AM97" s="97"/>
      <c r="AN97" s="98"/>
      <c r="AO97" s="90" t="s">
        <v>62</v>
      </c>
      <c r="AP97" s="91"/>
      <c r="AQ97" s="91"/>
      <c r="AR97" s="91"/>
      <c r="AS97" s="92"/>
      <c r="AT97" s="90" t="s">
        <v>63</v>
      </c>
      <c r="AU97" s="91"/>
      <c r="AV97" s="91"/>
      <c r="AW97" s="91"/>
      <c r="AX97" s="92"/>
      <c r="AY97" s="90" t="s">
        <v>95</v>
      </c>
      <c r="AZ97" s="91"/>
      <c r="BA97" s="91"/>
      <c r="BB97" s="91"/>
      <c r="BC97" s="92"/>
      <c r="BD97" s="86" t="s">
        <v>170</v>
      </c>
      <c r="BE97" s="86"/>
      <c r="BF97" s="86"/>
      <c r="BG97" s="86"/>
      <c r="BH97" s="86"/>
      <c r="CA97" s="1" t="s">
        <v>35</v>
      </c>
    </row>
    <row r="98" spans="1:79" s="4" customFormat="1" ht="12.75" customHeight="1" x14ac:dyDescent="0.2">
      <c r="A98" s="35">
        <v>1</v>
      </c>
      <c r="B98" s="36"/>
      <c r="C98" s="36"/>
      <c r="D98" s="30" t="s">
        <v>176</v>
      </c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2"/>
      <c r="U98" s="48">
        <v>87920</v>
      </c>
      <c r="V98" s="49"/>
      <c r="W98" s="49"/>
      <c r="X98" s="49"/>
      <c r="Y98" s="50"/>
      <c r="Z98" s="48">
        <v>0</v>
      </c>
      <c r="AA98" s="49"/>
      <c r="AB98" s="49"/>
      <c r="AC98" s="49"/>
      <c r="AD98" s="50"/>
      <c r="AE98" s="51">
        <v>0</v>
      </c>
      <c r="AF98" s="51"/>
      <c r="AG98" s="51"/>
      <c r="AH98" s="51"/>
      <c r="AI98" s="51"/>
      <c r="AJ98" s="29">
        <f>IF(ISNUMBER(U98),U98,0)+IF(ISNUMBER(Z98),Z98,0)</f>
        <v>87920</v>
      </c>
      <c r="AK98" s="29"/>
      <c r="AL98" s="29"/>
      <c r="AM98" s="29"/>
      <c r="AN98" s="29"/>
      <c r="AO98" s="51">
        <v>94954</v>
      </c>
      <c r="AP98" s="51"/>
      <c r="AQ98" s="51"/>
      <c r="AR98" s="51"/>
      <c r="AS98" s="51"/>
      <c r="AT98" s="29">
        <v>0</v>
      </c>
      <c r="AU98" s="29"/>
      <c r="AV98" s="29"/>
      <c r="AW98" s="29"/>
      <c r="AX98" s="29"/>
      <c r="AY98" s="51">
        <v>0</v>
      </c>
      <c r="AZ98" s="51"/>
      <c r="BA98" s="51"/>
      <c r="BB98" s="51"/>
      <c r="BC98" s="51"/>
      <c r="BD98" s="29">
        <f>IF(ISNUMBER(AO98),AO98,0)+IF(ISNUMBER(AT98),AT98,0)</f>
        <v>94954</v>
      </c>
      <c r="BE98" s="29"/>
      <c r="BF98" s="29"/>
      <c r="BG98" s="29"/>
      <c r="BH98" s="29"/>
      <c r="CA98" s="4" t="s">
        <v>36</v>
      </c>
    </row>
    <row r="99" spans="1:79" s="4" customFormat="1" ht="12.75" customHeight="1" x14ac:dyDescent="0.2">
      <c r="A99" s="35">
        <v>2</v>
      </c>
      <c r="B99" s="36"/>
      <c r="C99" s="36"/>
      <c r="D99" s="30" t="s">
        <v>177</v>
      </c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2"/>
      <c r="U99" s="48">
        <v>263760</v>
      </c>
      <c r="V99" s="49"/>
      <c r="W99" s="49"/>
      <c r="X99" s="49"/>
      <c r="Y99" s="50"/>
      <c r="Z99" s="48">
        <v>0</v>
      </c>
      <c r="AA99" s="49"/>
      <c r="AB99" s="49"/>
      <c r="AC99" s="49"/>
      <c r="AD99" s="50"/>
      <c r="AE99" s="51">
        <v>0</v>
      </c>
      <c r="AF99" s="51"/>
      <c r="AG99" s="51"/>
      <c r="AH99" s="51"/>
      <c r="AI99" s="51"/>
      <c r="AJ99" s="29">
        <f>IF(ISNUMBER(U99),U99,0)+IF(ISNUMBER(Z99),Z99,0)</f>
        <v>263760</v>
      </c>
      <c r="AK99" s="29"/>
      <c r="AL99" s="29"/>
      <c r="AM99" s="29"/>
      <c r="AN99" s="29"/>
      <c r="AO99" s="51">
        <v>284860</v>
      </c>
      <c r="AP99" s="51"/>
      <c r="AQ99" s="51"/>
      <c r="AR99" s="51"/>
      <c r="AS99" s="51"/>
      <c r="AT99" s="29">
        <v>0</v>
      </c>
      <c r="AU99" s="29"/>
      <c r="AV99" s="29"/>
      <c r="AW99" s="29"/>
      <c r="AX99" s="29"/>
      <c r="AY99" s="51">
        <v>0</v>
      </c>
      <c r="AZ99" s="51"/>
      <c r="BA99" s="51"/>
      <c r="BB99" s="51"/>
      <c r="BC99" s="51"/>
      <c r="BD99" s="29">
        <f>IF(ISNUMBER(AO99),AO99,0)+IF(ISNUMBER(AT99),AT99,0)</f>
        <v>284860</v>
      </c>
      <c r="BE99" s="29"/>
      <c r="BF99" s="29"/>
      <c r="BG99" s="29"/>
      <c r="BH99" s="29"/>
    </row>
    <row r="100" spans="1:79" s="6" customFormat="1" ht="12.75" customHeight="1" x14ac:dyDescent="0.2">
      <c r="A100" s="40"/>
      <c r="B100" s="41"/>
      <c r="C100" s="41"/>
      <c r="D100" s="25" t="s">
        <v>147</v>
      </c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7"/>
      <c r="U100" s="44">
        <v>351680</v>
      </c>
      <c r="V100" s="45"/>
      <c r="W100" s="45"/>
      <c r="X100" s="45"/>
      <c r="Y100" s="46"/>
      <c r="Z100" s="44">
        <v>0</v>
      </c>
      <c r="AA100" s="45"/>
      <c r="AB100" s="45"/>
      <c r="AC100" s="45"/>
      <c r="AD100" s="46"/>
      <c r="AE100" s="47">
        <v>0</v>
      </c>
      <c r="AF100" s="47"/>
      <c r="AG100" s="47"/>
      <c r="AH100" s="47"/>
      <c r="AI100" s="47"/>
      <c r="AJ100" s="24">
        <f>IF(ISNUMBER(U100),U100,0)+IF(ISNUMBER(Z100),Z100,0)</f>
        <v>351680</v>
      </c>
      <c r="AK100" s="24"/>
      <c r="AL100" s="24"/>
      <c r="AM100" s="24"/>
      <c r="AN100" s="24"/>
      <c r="AO100" s="47">
        <v>379814</v>
      </c>
      <c r="AP100" s="47"/>
      <c r="AQ100" s="47"/>
      <c r="AR100" s="47"/>
      <c r="AS100" s="47"/>
      <c r="AT100" s="24">
        <v>0</v>
      </c>
      <c r="AU100" s="24"/>
      <c r="AV100" s="24"/>
      <c r="AW100" s="24"/>
      <c r="AX100" s="24"/>
      <c r="AY100" s="47">
        <v>0</v>
      </c>
      <c r="AZ100" s="47"/>
      <c r="BA100" s="47"/>
      <c r="BB100" s="47"/>
      <c r="BC100" s="47"/>
      <c r="BD100" s="24">
        <f>IF(ISNUMBER(AO100),AO100,0)+IF(ISNUMBER(AT100),AT100,0)</f>
        <v>379814</v>
      </c>
      <c r="BE100" s="24"/>
      <c r="BF100" s="24"/>
      <c r="BG100" s="24"/>
      <c r="BH100" s="24"/>
    </row>
    <row r="101" spans="1:79" s="5" customFormat="1" ht="12.75" customHeight="1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</row>
    <row r="103" spans="1:79" ht="14.25" customHeight="1" x14ac:dyDescent="0.2">
      <c r="A103" s="64" t="s">
        <v>152</v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</row>
    <row r="104" spans="1:79" ht="14.25" customHeight="1" x14ac:dyDescent="0.2">
      <c r="A104" s="64" t="s">
        <v>228</v>
      </c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</row>
    <row r="105" spans="1:79" ht="23.1" customHeight="1" x14ac:dyDescent="0.2">
      <c r="A105" s="80" t="s">
        <v>6</v>
      </c>
      <c r="B105" s="81"/>
      <c r="C105" s="81"/>
      <c r="D105" s="39" t="s">
        <v>9</v>
      </c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 t="s">
        <v>8</v>
      </c>
      <c r="R105" s="39"/>
      <c r="S105" s="39"/>
      <c r="T105" s="39"/>
      <c r="U105" s="39"/>
      <c r="V105" s="39" t="s">
        <v>7</v>
      </c>
      <c r="W105" s="39"/>
      <c r="X105" s="39"/>
      <c r="Y105" s="39"/>
      <c r="Z105" s="39"/>
      <c r="AA105" s="39"/>
      <c r="AB105" s="39"/>
      <c r="AC105" s="39"/>
      <c r="AD105" s="39"/>
      <c r="AE105" s="39"/>
      <c r="AF105" s="76" t="s">
        <v>213</v>
      </c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8"/>
      <c r="AU105" s="76" t="s">
        <v>216</v>
      </c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  <c r="BG105" s="77"/>
      <c r="BH105" s="77"/>
      <c r="BI105" s="78"/>
      <c r="BJ105" s="76" t="s">
        <v>224</v>
      </c>
      <c r="BK105" s="77"/>
      <c r="BL105" s="77"/>
      <c r="BM105" s="77"/>
      <c r="BN105" s="77"/>
      <c r="BO105" s="77"/>
      <c r="BP105" s="77"/>
      <c r="BQ105" s="77"/>
      <c r="BR105" s="77"/>
      <c r="BS105" s="77"/>
      <c r="BT105" s="77"/>
      <c r="BU105" s="77"/>
      <c r="BV105" s="77"/>
      <c r="BW105" s="77"/>
      <c r="BX105" s="78"/>
    </row>
    <row r="106" spans="1:79" ht="32.25" customHeight="1" x14ac:dyDescent="0.2">
      <c r="A106" s="83"/>
      <c r="B106" s="84"/>
      <c r="C106" s="84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 t="s">
        <v>4</v>
      </c>
      <c r="AG106" s="39"/>
      <c r="AH106" s="39"/>
      <c r="AI106" s="39"/>
      <c r="AJ106" s="39"/>
      <c r="AK106" s="39" t="s">
        <v>3</v>
      </c>
      <c r="AL106" s="39"/>
      <c r="AM106" s="39"/>
      <c r="AN106" s="39"/>
      <c r="AO106" s="39"/>
      <c r="AP106" s="39" t="s">
        <v>123</v>
      </c>
      <c r="AQ106" s="39"/>
      <c r="AR106" s="39"/>
      <c r="AS106" s="39"/>
      <c r="AT106" s="39"/>
      <c r="AU106" s="39" t="s">
        <v>4</v>
      </c>
      <c r="AV106" s="39"/>
      <c r="AW106" s="39"/>
      <c r="AX106" s="39"/>
      <c r="AY106" s="39"/>
      <c r="AZ106" s="39" t="s">
        <v>3</v>
      </c>
      <c r="BA106" s="39"/>
      <c r="BB106" s="39"/>
      <c r="BC106" s="39"/>
      <c r="BD106" s="39"/>
      <c r="BE106" s="39" t="s">
        <v>90</v>
      </c>
      <c r="BF106" s="39"/>
      <c r="BG106" s="39"/>
      <c r="BH106" s="39"/>
      <c r="BI106" s="39"/>
      <c r="BJ106" s="39" t="s">
        <v>4</v>
      </c>
      <c r="BK106" s="39"/>
      <c r="BL106" s="39"/>
      <c r="BM106" s="39"/>
      <c r="BN106" s="39"/>
      <c r="BO106" s="39" t="s">
        <v>3</v>
      </c>
      <c r="BP106" s="39"/>
      <c r="BQ106" s="39"/>
      <c r="BR106" s="39"/>
      <c r="BS106" s="39"/>
      <c r="BT106" s="39" t="s">
        <v>97</v>
      </c>
      <c r="BU106" s="39"/>
      <c r="BV106" s="39"/>
      <c r="BW106" s="39"/>
      <c r="BX106" s="39"/>
    </row>
    <row r="107" spans="1:79" ht="15" customHeight="1" x14ac:dyDescent="0.2">
      <c r="A107" s="76">
        <v>1</v>
      </c>
      <c r="B107" s="77"/>
      <c r="C107" s="77"/>
      <c r="D107" s="39">
        <v>2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>
        <v>3</v>
      </c>
      <c r="R107" s="39"/>
      <c r="S107" s="39"/>
      <c r="T107" s="39"/>
      <c r="U107" s="39"/>
      <c r="V107" s="39">
        <v>4</v>
      </c>
      <c r="W107" s="39"/>
      <c r="X107" s="39"/>
      <c r="Y107" s="39"/>
      <c r="Z107" s="39"/>
      <c r="AA107" s="39"/>
      <c r="AB107" s="39"/>
      <c r="AC107" s="39"/>
      <c r="AD107" s="39"/>
      <c r="AE107" s="39"/>
      <c r="AF107" s="39">
        <v>5</v>
      </c>
      <c r="AG107" s="39"/>
      <c r="AH107" s="39"/>
      <c r="AI107" s="39"/>
      <c r="AJ107" s="39"/>
      <c r="AK107" s="39">
        <v>6</v>
      </c>
      <c r="AL107" s="39"/>
      <c r="AM107" s="39"/>
      <c r="AN107" s="39"/>
      <c r="AO107" s="39"/>
      <c r="AP107" s="39">
        <v>7</v>
      </c>
      <c r="AQ107" s="39"/>
      <c r="AR107" s="39"/>
      <c r="AS107" s="39"/>
      <c r="AT107" s="39"/>
      <c r="AU107" s="39">
        <v>8</v>
      </c>
      <c r="AV107" s="39"/>
      <c r="AW107" s="39"/>
      <c r="AX107" s="39"/>
      <c r="AY107" s="39"/>
      <c r="AZ107" s="39">
        <v>9</v>
      </c>
      <c r="BA107" s="39"/>
      <c r="BB107" s="39"/>
      <c r="BC107" s="39"/>
      <c r="BD107" s="39"/>
      <c r="BE107" s="39">
        <v>10</v>
      </c>
      <c r="BF107" s="39"/>
      <c r="BG107" s="39"/>
      <c r="BH107" s="39"/>
      <c r="BI107" s="39"/>
      <c r="BJ107" s="39">
        <v>11</v>
      </c>
      <c r="BK107" s="39"/>
      <c r="BL107" s="39"/>
      <c r="BM107" s="39"/>
      <c r="BN107" s="39"/>
      <c r="BO107" s="39">
        <v>12</v>
      </c>
      <c r="BP107" s="39"/>
      <c r="BQ107" s="39"/>
      <c r="BR107" s="39"/>
      <c r="BS107" s="39"/>
      <c r="BT107" s="39">
        <v>13</v>
      </c>
      <c r="BU107" s="39"/>
      <c r="BV107" s="39"/>
      <c r="BW107" s="39"/>
      <c r="BX107" s="39"/>
    </row>
    <row r="108" spans="1:79" ht="10.5" hidden="1" customHeight="1" x14ac:dyDescent="0.2">
      <c r="A108" s="90" t="s">
        <v>154</v>
      </c>
      <c r="B108" s="91"/>
      <c r="C108" s="91"/>
      <c r="D108" s="39" t="s">
        <v>57</v>
      </c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 t="s">
        <v>70</v>
      </c>
      <c r="R108" s="39"/>
      <c r="S108" s="39"/>
      <c r="T108" s="39"/>
      <c r="U108" s="39"/>
      <c r="V108" s="39" t="s">
        <v>71</v>
      </c>
      <c r="W108" s="39"/>
      <c r="X108" s="39"/>
      <c r="Y108" s="39"/>
      <c r="Z108" s="39"/>
      <c r="AA108" s="39"/>
      <c r="AB108" s="39"/>
      <c r="AC108" s="39"/>
      <c r="AD108" s="39"/>
      <c r="AE108" s="39"/>
      <c r="AF108" s="68" t="s">
        <v>111</v>
      </c>
      <c r="AG108" s="68"/>
      <c r="AH108" s="68"/>
      <c r="AI108" s="68"/>
      <c r="AJ108" s="68"/>
      <c r="AK108" s="66" t="s">
        <v>112</v>
      </c>
      <c r="AL108" s="66"/>
      <c r="AM108" s="66"/>
      <c r="AN108" s="66"/>
      <c r="AO108" s="66"/>
      <c r="AP108" s="86" t="s">
        <v>179</v>
      </c>
      <c r="AQ108" s="86"/>
      <c r="AR108" s="86"/>
      <c r="AS108" s="86"/>
      <c r="AT108" s="86"/>
      <c r="AU108" s="68" t="s">
        <v>113</v>
      </c>
      <c r="AV108" s="68"/>
      <c r="AW108" s="68"/>
      <c r="AX108" s="68"/>
      <c r="AY108" s="68"/>
      <c r="AZ108" s="66" t="s">
        <v>114</v>
      </c>
      <c r="BA108" s="66"/>
      <c r="BB108" s="66"/>
      <c r="BC108" s="66"/>
      <c r="BD108" s="66"/>
      <c r="BE108" s="86" t="s">
        <v>179</v>
      </c>
      <c r="BF108" s="86"/>
      <c r="BG108" s="86"/>
      <c r="BH108" s="86"/>
      <c r="BI108" s="86"/>
      <c r="BJ108" s="68" t="s">
        <v>105</v>
      </c>
      <c r="BK108" s="68"/>
      <c r="BL108" s="68"/>
      <c r="BM108" s="68"/>
      <c r="BN108" s="68"/>
      <c r="BO108" s="66" t="s">
        <v>106</v>
      </c>
      <c r="BP108" s="66"/>
      <c r="BQ108" s="66"/>
      <c r="BR108" s="66"/>
      <c r="BS108" s="66"/>
      <c r="BT108" s="86" t="s">
        <v>179</v>
      </c>
      <c r="BU108" s="86"/>
      <c r="BV108" s="86"/>
      <c r="BW108" s="86"/>
      <c r="BX108" s="86"/>
      <c r="CA108" t="s">
        <v>37</v>
      </c>
    </row>
    <row r="109" spans="1:79" s="6" customFormat="1" ht="15" customHeight="1" x14ac:dyDescent="0.2">
      <c r="A109" s="40">
        <v>0</v>
      </c>
      <c r="B109" s="41"/>
      <c r="C109" s="41"/>
      <c r="D109" s="43" t="s">
        <v>178</v>
      </c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CA109" s="6" t="s">
        <v>38</v>
      </c>
    </row>
    <row r="110" spans="1:79" s="4" customFormat="1" ht="28.5" customHeight="1" x14ac:dyDescent="0.2">
      <c r="A110" s="35">
        <v>1</v>
      </c>
      <c r="B110" s="36"/>
      <c r="C110" s="36"/>
      <c r="D110" s="38" t="s">
        <v>180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2"/>
      <c r="Q110" s="39" t="s">
        <v>181</v>
      </c>
      <c r="R110" s="39"/>
      <c r="S110" s="39"/>
      <c r="T110" s="39"/>
      <c r="U110" s="39"/>
      <c r="V110" s="39" t="s">
        <v>182</v>
      </c>
      <c r="W110" s="39"/>
      <c r="X110" s="39"/>
      <c r="Y110" s="39"/>
      <c r="Z110" s="39"/>
      <c r="AA110" s="39"/>
      <c r="AB110" s="39"/>
      <c r="AC110" s="39"/>
      <c r="AD110" s="39"/>
      <c r="AE110" s="39"/>
      <c r="AF110" s="34">
        <v>0</v>
      </c>
      <c r="AG110" s="34"/>
      <c r="AH110" s="34"/>
      <c r="AI110" s="34"/>
      <c r="AJ110" s="34"/>
      <c r="AK110" s="34">
        <v>0</v>
      </c>
      <c r="AL110" s="34"/>
      <c r="AM110" s="34"/>
      <c r="AN110" s="34"/>
      <c r="AO110" s="34"/>
      <c r="AP110" s="34">
        <v>0</v>
      </c>
      <c r="AQ110" s="34"/>
      <c r="AR110" s="34"/>
      <c r="AS110" s="34"/>
      <c r="AT110" s="34"/>
      <c r="AU110" s="34">
        <v>0</v>
      </c>
      <c r="AV110" s="34"/>
      <c r="AW110" s="34"/>
      <c r="AX110" s="34"/>
      <c r="AY110" s="34"/>
      <c r="AZ110" s="34">
        <v>0</v>
      </c>
      <c r="BA110" s="34"/>
      <c r="BB110" s="34"/>
      <c r="BC110" s="34"/>
      <c r="BD110" s="34"/>
      <c r="BE110" s="34">
        <v>0</v>
      </c>
      <c r="BF110" s="34"/>
      <c r="BG110" s="34"/>
      <c r="BH110" s="34"/>
      <c r="BI110" s="34"/>
      <c r="BJ110" s="34">
        <v>240000</v>
      </c>
      <c r="BK110" s="34"/>
      <c r="BL110" s="34"/>
      <c r="BM110" s="34"/>
      <c r="BN110" s="34"/>
      <c r="BO110" s="34">
        <v>0</v>
      </c>
      <c r="BP110" s="34"/>
      <c r="BQ110" s="34"/>
      <c r="BR110" s="34"/>
      <c r="BS110" s="34"/>
      <c r="BT110" s="34">
        <v>240000</v>
      </c>
      <c r="BU110" s="34"/>
      <c r="BV110" s="34"/>
      <c r="BW110" s="34"/>
      <c r="BX110" s="34"/>
    </row>
    <row r="111" spans="1:79" s="4" customFormat="1" ht="30" customHeight="1" x14ac:dyDescent="0.2">
      <c r="A111" s="35">
        <v>2</v>
      </c>
      <c r="B111" s="36"/>
      <c r="C111" s="36"/>
      <c r="D111" s="38" t="s">
        <v>183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2"/>
      <c r="Q111" s="39" t="s">
        <v>181</v>
      </c>
      <c r="R111" s="39"/>
      <c r="S111" s="39"/>
      <c r="T111" s="39"/>
      <c r="U111" s="39"/>
      <c r="V111" s="39" t="s">
        <v>182</v>
      </c>
      <c r="W111" s="39"/>
      <c r="X111" s="39"/>
      <c r="Y111" s="39"/>
      <c r="Z111" s="39"/>
      <c r="AA111" s="39"/>
      <c r="AB111" s="39"/>
      <c r="AC111" s="39"/>
      <c r="AD111" s="39"/>
      <c r="AE111" s="39"/>
      <c r="AF111" s="34">
        <v>0</v>
      </c>
      <c r="AG111" s="34"/>
      <c r="AH111" s="34"/>
      <c r="AI111" s="34"/>
      <c r="AJ111" s="34"/>
      <c r="AK111" s="34">
        <v>0</v>
      </c>
      <c r="AL111" s="34"/>
      <c r="AM111" s="34"/>
      <c r="AN111" s="34"/>
      <c r="AO111" s="34"/>
      <c r="AP111" s="34">
        <v>0</v>
      </c>
      <c r="AQ111" s="34"/>
      <c r="AR111" s="34"/>
      <c r="AS111" s="34"/>
      <c r="AT111" s="34"/>
      <c r="AU111" s="34">
        <v>0</v>
      </c>
      <c r="AV111" s="34"/>
      <c r="AW111" s="34"/>
      <c r="AX111" s="34"/>
      <c r="AY111" s="34"/>
      <c r="AZ111" s="34">
        <v>0</v>
      </c>
      <c r="BA111" s="34"/>
      <c r="BB111" s="34"/>
      <c r="BC111" s="34"/>
      <c r="BD111" s="34"/>
      <c r="BE111" s="34">
        <v>0</v>
      </c>
      <c r="BF111" s="34"/>
      <c r="BG111" s="34"/>
      <c r="BH111" s="34"/>
      <c r="BI111" s="34"/>
      <c r="BJ111" s="34">
        <v>80000</v>
      </c>
      <c r="BK111" s="34"/>
      <c r="BL111" s="34"/>
      <c r="BM111" s="34"/>
      <c r="BN111" s="34"/>
      <c r="BO111" s="34">
        <v>0</v>
      </c>
      <c r="BP111" s="34"/>
      <c r="BQ111" s="34"/>
      <c r="BR111" s="34"/>
      <c r="BS111" s="34"/>
      <c r="BT111" s="34">
        <v>80000</v>
      </c>
      <c r="BU111" s="34"/>
      <c r="BV111" s="34"/>
      <c r="BW111" s="34"/>
      <c r="BX111" s="34"/>
    </row>
    <row r="112" spans="1:79" s="6" customFormat="1" ht="15" customHeight="1" x14ac:dyDescent="0.2">
      <c r="A112" s="40">
        <v>0</v>
      </c>
      <c r="B112" s="41"/>
      <c r="C112" s="41"/>
      <c r="D112" s="42" t="s">
        <v>184</v>
      </c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7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</row>
    <row r="113" spans="1:76" s="6" customFormat="1" ht="28.5" customHeight="1" x14ac:dyDescent="0.2">
      <c r="A113" s="40">
        <v>0</v>
      </c>
      <c r="B113" s="41"/>
      <c r="C113" s="41"/>
      <c r="D113" s="42" t="s">
        <v>185</v>
      </c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7"/>
      <c r="Q113" s="43" t="s">
        <v>186</v>
      </c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37">
        <v>0</v>
      </c>
      <c r="AG113" s="37"/>
      <c r="AH113" s="37"/>
      <c r="AI113" s="37"/>
      <c r="AJ113" s="37"/>
      <c r="AK113" s="37">
        <v>0</v>
      </c>
      <c r="AL113" s="37"/>
      <c r="AM113" s="37"/>
      <c r="AN113" s="37"/>
      <c r="AO113" s="37"/>
      <c r="AP113" s="37">
        <v>0</v>
      </c>
      <c r="AQ113" s="37"/>
      <c r="AR113" s="37"/>
      <c r="AS113" s="37"/>
      <c r="AT113" s="37"/>
      <c r="AU113" s="37">
        <v>0</v>
      </c>
      <c r="AV113" s="37"/>
      <c r="AW113" s="37"/>
      <c r="AX113" s="37"/>
      <c r="AY113" s="37"/>
      <c r="AZ113" s="37">
        <v>0</v>
      </c>
      <c r="BA113" s="37"/>
      <c r="BB113" s="37"/>
      <c r="BC113" s="37"/>
      <c r="BD113" s="37"/>
      <c r="BE113" s="37">
        <v>0</v>
      </c>
      <c r="BF113" s="37"/>
      <c r="BG113" s="37"/>
      <c r="BH113" s="37"/>
      <c r="BI113" s="37"/>
      <c r="BJ113" s="37">
        <v>20</v>
      </c>
      <c r="BK113" s="37"/>
      <c r="BL113" s="37"/>
      <c r="BM113" s="37"/>
      <c r="BN113" s="37"/>
      <c r="BO113" s="37">
        <v>0</v>
      </c>
      <c r="BP113" s="37"/>
      <c r="BQ113" s="37"/>
      <c r="BR113" s="37"/>
      <c r="BS113" s="37"/>
      <c r="BT113" s="37">
        <v>20</v>
      </c>
      <c r="BU113" s="37"/>
      <c r="BV113" s="37"/>
      <c r="BW113" s="37"/>
      <c r="BX113" s="37"/>
    </row>
    <row r="114" spans="1:76" s="4" customFormat="1" ht="15" customHeight="1" x14ac:dyDescent="0.2">
      <c r="A114" s="35">
        <v>2</v>
      </c>
      <c r="B114" s="36"/>
      <c r="C114" s="36"/>
      <c r="D114" s="38" t="s">
        <v>187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2"/>
      <c r="Q114" s="39" t="s">
        <v>186</v>
      </c>
      <c r="R114" s="39"/>
      <c r="S114" s="39"/>
      <c r="T114" s="39"/>
      <c r="U114" s="39"/>
      <c r="V114" s="39" t="s">
        <v>188</v>
      </c>
      <c r="W114" s="39"/>
      <c r="X114" s="39"/>
      <c r="Y114" s="39"/>
      <c r="Z114" s="39"/>
      <c r="AA114" s="39"/>
      <c r="AB114" s="39"/>
      <c r="AC114" s="39"/>
      <c r="AD114" s="39"/>
      <c r="AE114" s="39"/>
      <c r="AF114" s="34">
        <v>0</v>
      </c>
      <c r="AG114" s="34"/>
      <c r="AH114" s="34"/>
      <c r="AI114" s="34"/>
      <c r="AJ114" s="34"/>
      <c r="AK114" s="34">
        <v>0</v>
      </c>
      <c r="AL114" s="34"/>
      <c r="AM114" s="34"/>
      <c r="AN114" s="34"/>
      <c r="AO114" s="34"/>
      <c r="AP114" s="34">
        <v>0</v>
      </c>
      <c r="AQ114" s="34"/>
      <c r="AR114" s="34"/>
      <c r="AS114" s="34"/>
      <c r="AT114" s="34"/>
      <c r="AU114" s="34">
        <v>0</v>
      </c>
      <c r="AV114" s="34"/>
      <c r="AW114" s="34"/>
      <c r="AX114" s="34"/>
      <c r="AY114" s="34"/>
      <c r="AZ114" s="34">
        <v>0</v>
      </c>
      <c r="BA114" s="34"/>
      <c r="BB114" s="34"/>
      <c r="BC114" s="34"/>
      <c r="BD114" s="34"/>
      <c r="BE114" s="34">
        <v>0</v>
      </c>
      <c r="BF114" s="34"/>
      <c r="BG114" s="34"/>
      <c r="BH114" s="34"/>
      <c r="BI114" s="34"/>
      <c r="BJ114" s="34">
        <v>10</v>
      </c>
      <c r="BK114" s="34"/>
      <c r="BL114" s="34"/>
      <c r="BM114" s="34"/>
      <c r="BN114" s="34"/>
      <c r="BO114" s="34">
        <v>0</v>
      </c>
      <c r="BP114" s="34"/>
      <c r="BQ114" s="34"/>
      <c r="BR114" s="34"/>
      <c r="BS114" s="34"/>
      <c r="BT114" s="34">
        <v>10</v>
      </c>
      <c r="BU114" s="34"/>
      <c r="BV114" s="34"/>
      <c r="BW114" s="34"/>
      <c r="BX114" s="34"/>
    </row>
    <row r="115" spans="1:76" s="4" customFormat="1" ht="15" customHeight="1" x14ac:dyDescent="0.2">
      <c r="A115" s="35">
        <v>2</v>
      </c>
      <c r="B115" s="36"/>
      <c r="C115" s="36"/>
      <c r="D115" s="38" t="s">
        <v>189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2"/>
      <c r="Q115" s="39" t="s">
        <v>186</v>
      </c>
      <c r="R115" s="39"/>
      <c r="S115" s="39"/>
      <c r="T115" s="39"/>
      <c r="U115" s="39"/>
      <c r="V115" s="39" t="s">
        <v>188</v>
      </c>
      <c r="W115" s="39"/>
      <c r="X115" s="39"/>
      <c r="Y115" s="39"/>
      <c r="Z115" s="39"/>
      <c r="AA115" s="39"/>
      <c r="AB115" s="39"/>
      <c r="AC115" s="39"/>
      <c r="AD115" s="39"/>
      <c r="AE115" s="39"/>
      <c r="AF115" s="34">
        <v>0</v>
      </c>
      <c r="AG115" s="34"/>
      <c r="AH115" s="34"/>
      <c r="AI115" s="34"/>
      <c r="AJ115" s="34"/>
      <c r="AK115" s="34">
        <v>0</v>
      </c>
      <c r="AL115" s="34"/>
      <c r="AM115" s="34"/>
      <c r="AN115" s="34"/>
      <c r="AO115" s="34"/>
      <c r="AP115" s="34">
        <v>0</v>
      </c>
      <c r="AQ115" s="34"/>
      <c r="AR115" s="34"/>
      <c r="AS115" s="34"/>
      <c r="AT115" s="34"/>
      <c r="AU115" s="34">
        <v>0</v>
      </c>
      <c r="AV115" s="34"/>
      <c r="AW115" s="34"/>
      <c r="AX115" s="34"/>
      <c r="AY115" s="34"/>
      <c r="AZ115" s="34">
        <v>0</v>
      </c>
      <c r="BA115" s="34"/>
      <c r="BB115" s="34"/>
      <c r="BC115" s="34"/>
      <c r="BD115" s="34"/>
      <c r="BE115" s="34">
        <v>0</v>
      </c>
      <c r="BF115" s="34"/>
      <c r="BG115" s="34"/>
      <c r="BH115" s="34"/>
      <c r="BI115" s="34"/>
      <c r="BJ115" s="34">
        <v>10</v>
      </c>
      <c r="BK115" s="34"/>
      <c r="BL115" s="34"/>
      <c r="BM115" s="34"/>
      <c r="BN115" s="34"/>
      <c r="BO115" s="34">
        <v>0</v>
      </c>
      <c r="BP115" s="34"/>
      <c r="BQ115" s="34"/>
      <c r="BR115" s="34"/>
      <c r="BS115" s="34"/>
      <c r="BT115" s="34">
        <v>10</v>
      </c>
      <c r="BU115" s="34"/>
      <c r="BV115" s="34"/>
      <c r="BW115" s="34"/>
      <c r="BX115" s="34"/>
    </row>
    <row r="116" spans="1:76" s="4" customFormat="1" ht="30" customHeight="1" x14ac:dyDescent="0.2">
      <c r="A116" s="35">
        <v>3</v>
      </c>
      <c r="B116" s="36"/>
      <c r="C116" s="36"/>
      <c r="D116" s="38" t="s">
        <v>190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2"/>
      <c r="Q116" s="39" t="s">
        <v>191</v>
      </c>
      <c r="R116" s="39"/>
      <c r="S116" s="39"/>
      <c r="T116" s="39"/>
      <c r="U116" s="39"/>
      <c r="V116" s="39" t="s">
        <v>188</v>
      </c>
      <c r="W116" s="39"/>
      <c r="X116" s="39"/>
      <c r="Y116" s="39"/>
      <c r="Z116" s="39"/>
      <c r="AA116" s="39"/>
      <c r="AB116" s="39"/>
      <c r="AC116" s="39"/>
      <c r="AD116" s="39"/>
      <c r="AE116" s="39"/>
      <c r="AF116" s="34">
        <v>0</v>
      </c>
      <c r="AG116" s="34"/>
      <c r="AH116" s="34"/>
      <c r="AI116" s="34"/>
      <c r="AJ116" s="34"/>
      <c r="AK116" s="34">
        <v>0</v>
      </c>
      <c r="AL116" s="34"/>
      <c r="AM116" s="34"/>
      <c r="AN116" s="34"/>
      <c r="AO116" s="34"/>
      <c r="AP116" s="34">
        <v>0</v>
      </c>
      <c r="AQ116" s="34"/>
      <c r="AR116" s="34"/>
      <c r="AS116" s="34"/>
      <c r="AT116" s="34"/>
      <c r="AU116" s="34">
        <v>0</v>
      </c>
      <c r="AV116" s="34"/>
      <c r="AW116" s="34"/>
      <c r="AX116" s="34"/>
      <c r="AY116" s="34"/>
      <c r="AZ116" s="34">
        <v>0</v>
      </c>
      <c r="BA116" s="34"/>
      <c r="BB116" s="34"/>
      <c r="BC116" s="34"/>
      <c r="BD116" s="34"/>
      <c r="BE116" s="34">
        <v>0</v>
      </c>
      <c r="BF116" s="34"/>
      <c r="BG116" s="34"/>
      <c r="BH116" s="34"/>
      <c r="BI116" s="34"/>
      <c r="BJ116" s="34">
        <v>4</v>
      </c>
      <c r="BK116" s="34"/>
      <c r="BL116" s="34"/>
      <c r="BM116" s="34"/>
      <c r="BN116" s="34"/>
      <c r="BO116" s="34">
        <v>0</v>
      </c>
      <c r="BP116" s="34"/>
      <c r="BQ116" s="34"/>
      <c r="BR116" s="34"/>
      <c r="BS116" s="34"/>
      <c r="BT116" s="34">
        <v>4</v>
      </c>
      <c r="BU116" s="34"/>
      <c r="BV116" s="34"/>
      <c r="BW116" s="34"/>
      <c r="BX116" s="34"/>
    </row>
    <row r="117" spans="1:76" s="6" customFormat="1" ht="15" customHeight="1" x14ac:dyDescent="0.2">
      <c r="A117" s="40">
        <v>0</v>
      </c>
      <c r="B117" s="41"/>
      <c r="C117" s="41"/>
      <c r="D117" s="42" t="s">
        <v>192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7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</row>
    <row r="118" spans="1:76" s="6" customFormat="1" ht="28.5" customHeight="1" x14ac:dyDescent="0.2">
      <c r="A118" s="40">
        <v>0</v>
      </c>
      <c r="B118" s="41"/>
      <c r="C118" s="41"/>
      <c r="D118" s="42" t="s">
        <v>193</v>
      </c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7"/>
      <c r="Q118" s="43" t="s">
        <v>181</v>
      </c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37">
        <v>0</v>
      </c>
      <c r="AG118" s="37"/>
      <c r="AH118" s="37"/>
      <c r="AI118" s="37"/>
      <c r="AJ118" s="37"/>
      <c r="AK118" s="37">
        <v>0</v>
      </c>
      <c r="AL118" s="37"/>
      <c r="AM118" s="37"/>
      <c r="AN118" s="37"/>
      <c r="AO118" s="37"/>
      <c r="AP118" s="37">
        <v>0</v>
      </c>
      <c r="AQ118" s="37"/>
      <c r="AR118" s="37"/>
      <c r="AS118" s="37"/>
      <c r="AT118" s="37"/>
      <c r="AU118" s="37">
        <v>0</v>
      </c>
      <c r="AV118" s="37"/>
      <c r="AW118" s="37"/>
      <c r="AX118" s="37"/>
      <c r="AY118" s="37"/>
      <c r="AZ118" s="37">
        <v>0</v>
      </c>
      <c r="BA118" s="37"/>
      <c r="BB118" s="37"/>
      <c r="BC118" s="37"/>
      <c r="BD118" s="37"/>
      <c r="BE118" s="37">
        <v>0</v>
      </c>
      <c r="BF118" s="37"/>
      <c r="BG118" s="37"/>
      <c r="BH118" s="37"/>
      <c r="BI118" s="37"/>
      <c r="BJ118" s="37">
        <v>24000</v>
      </c>
      <c r="BK118" s="37"/>
      <c r="BL118" s="37"/>
      <c r="BM118" s="37"/>
      <c r="BN118" s="37"/>
      <c r="BO118" s="37">
        <v>0</v>
      </c>
      <c r="BP118" s="37"/>
      <c r="BQ118" s="37"/>
      <c r="BR118" s="37"/>
      <c r="BS118" s="37"/>
      <c r="BT118" s="37">
        <v>24000</v>
      </c>
      <c r="BU118" s="37"/>
      <c r="BV118" s="37"/>
      <c r="BW118" s="37"/>
      <c r="BX118" s="37"/>
    </row>
    <row r="119" spans="1:76" s="4" customFormat="1" ht="15" customHeight="1" x14ac:dyDescent="0.2">
      <c r="A119" s="35">
        <v>1</v>
      </c>
      <c r="B119" s="36"/>
      <c r="C119" s="36"/>
      <c r="D119" s="38" t="s">
        <v>189</v>
      </c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2"/>
      <c r="Q119" s="39" t="s">
        <v>181</v>
      </c>
      <c r="R119" s="39"/>
      <c r="S119" s="39"/>
      <c r="T119" s="39"/>
      <c r="U119" s="39"/>
      <c r="V119" s="38" t="s">
        <v>194</v>
      </c>
      <c r="W119" s="31"/>
      <c r="X119" s="31"/>
      <c r="Y119" s="31"/>
      <c r="Z119" s="31"/>
      <c r="AA119" s="31"/>
      <c r="AB119" s="31"/>
      <c r="AC119" s="31"/>
      <c r="AD119" s="31"/>
      <c r="AE119" s="32"/>
      <c r="AF119" s="34">
        <v>0</v>
      </c>
      <c r="AG119" s="34"/>
      <c r="AH119" s="34"/>
      <c r="AI119" s="34"/>
      <c r="AJ119" s="34"/>
      <c r="AK119" s="34">
        <v>0</v>
      </c>
      <c r="AL119" s="34"/>
      <c r="AM119" s="34"/>
      <c r="AN119" s="34"/>
      <c r="AO119" s="34"/>
      <c r="AP119" s="34">
        <v>0</v>
      </c>
      <c r="AQ119" s="34"/>
      <c r="AR119" s="34"/>
      <c r="AS119" s="34"/>
      <c r="AT119" s="34"/>
      <c r="AU119" s="34">
        <v>0</v>
      </c>
      <c r="AV119" s="34"/>
      <c r="AW119" s="34"/>
      <c r="AX119" s="34"/>
      <c r="AY119" s="34"/>
      <c r="AZ119" s="34">
        <v>0</v>
      </c>
      <c r="BA119" s="34"/>
      <c r="BB119" s="34"/>
      <c r="BC119" s="34"/>
      <c r="BD119" s="34"/>
      <c r="BE119" s="34">
        <v>0</v>
      </c>
      <c r="BF119" s="34"/>
      <c r="BG119" s="34"/>
      <c r="BH119" s="34"/>
      <c r="BI119" s="34"/>
      <c r="BJ119" s="34">
        <v>12000</v>
      </c>
      <c r="BK119" s="34"/>
      <c r="BL119" s="34"/>
      <c r="BM119" s="34"/>
      <c r="BN119" s="34"/>
      <c r="BO119" s="34">
        <v>0</v>
      </c>
      <c r="BP119" s="34"/>
      <c r="BQ119" s="34"/>
      <c r="BR119" s="34"/>
      <c r="BS119" s="34"/>
      <c r="BT119" s="34">
        <v>12000</v>
      </c>
      <c r="BU119" s="34"/>
      <c r="BV119" s="34"/>
      <c r="BW119" s="34"/>
      <c r="BX119" s="34"/>
    </row>
    <row r="120" spans="1:76" s="6" customFormat="1" ht="30" customHeight="1" x14ac:dyDescent="0.2">
      <c r="A120" s="40">
        <v>0</v>
      </c>
      <c r="B120" s="41"/>
      <c r="C120" s="41"/>
      <c r="D120" s="42" t="s">
        <v>193</v>
      </c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7"/>
      <c r="Q120" s="43" t="s">
        <v>181</v>
      </c>
      <c r="R120" s="43"/>
      <c r="S120" s="43"/>
      <c r="T120" s="43"/>
      <c r="U120" s="43"/>
      <c r="V120" s="42"/>
      <c r="W120" s="26"/>
      <c r="X120" s="26"/>
      <c r="Y120" s="26"/>
      <c r="Z120" s="26"/>
      <c r="AA120" s="26"/>
      <c r="AB120" s="26"/>
      <c r="AC120" s="26"/>
      <c r="AD120" s="26"/>
      <c r="AE120" s="27"/>
      <c r="AF120" s="37">
        <v>0</v>
      </c>
      <c r="AG120" s="37"/>
      <c r="AH120" s="37"/>
      <c r="AI120" s="37"/>
      <c r="AJ120" s="37"/>
      <c r="AK120" s="37">
        <v>0</v>
      </c>
      <c r="AL120" s="37"/>
      <c r="AM120" s="37"/>
      <c r="AN120" s="37"/>
      <c r="AO120" s="37"/>
      <c r="AP120" s="37">
        <v>0</v>
      </c>
      <c r="AQ120" s="37"/>
      <c r="AR120" s="37"/>
      <c r="AS120" s="37"/>
      <c r="AT120" s="37"/>
      <c r="AU120" s="37">
        <v>0</v>
      </c>
      <c r="AV120" s="37"/>
      <c r="AW120" s="37"/>
      <c r="AX120" s="37"/>
      <c r="AY120" s="37"/>
      <c r="AZ120" s="37">
        <v>0</v>
      </c>
      <c r="BA120" s="37"/>
      <c r="BB120" s="37"/>
      <c r="BC120" s="37"/>
      <c r="BD120" s="37"/>
      <c r="BE120" s="37">
        <v>0</v>
      </c>
      <c r="BF120" s="37"/>
      <c r="BG120" s="37"/>
      <c r="BH120" s="37"/>
      <c r="BI120" s="37"/>
      <c r="BJ120" s="37">
        <v>24000</v>
      </c>
      <c r="BK120" s="37"/>
      <c r="BL120" s="37"/>
      <c r="BM120" s="37"/>
      <c r="BN120" s="37"/>
      <c r="BO120" s="37">
        <v>0</v>
      </c>
      <c r="BP120" s="37"/>
      <c r="BQ120" s="37"/>
      <c r="BR120" s="37"/>
      <c r="BS120" s="37"/>
      <c r="BT120" s="37">
        <v>24000</v>
      </c>
      <c r="BU120" s="37"/>
      <c r="BV120" s="37"/>
      <c r="BW120" s="37"/>
      <c r="BX120" s="37"/>
    </row>
    <row r="121" spans="1:76" s="4" customFormat="1" ht="15" customHeight="1" x14ac:dyDescent="0.2">
      <c r="A121" s="35">
        <v>2</v>
      </c>
      <c r="B121" s="36"/>
      <c r="C121" s="36"/>
      <c r="D121" s="38" t="s">
        <v>187</v>
      </c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2"/>
      <c r="Q121" s="39" t="s">
        <v>181</v>
      </c>
      <c r="R121" s="39"/>
      <c r="S121" s="39"/>
      <c r="T121" s="39"/>
      <c r="U121" s="39"/>
      <c r="V121" s="38" t="s">
        <v>194</v>
      </c>
      <c r="W121" s="31"/>
      <c r="X121" s="31"/>
      <c r="Y121" s="31"/>
      <c r="Z121" s="31"/>
      <c r="AA121" s="31"/>
      <c r="AB121" s="31"/>
      <c r="AC121" s="31"/>
      <c r="AD121" s="31"/>
      <c r="AE121" s="32"/>
      <c r="AF121" s="34">
        <v>0</v>
      </c>
      <c r="AG121" s="34"/>
      <c r="AH121" s="34"/>
      <c r="AI121" s="34"/>
      <c r="AJ121" s="34"/>
      <c r="AK121" s="34">
        <v>0</v>
      </c>
      <c r="AL121" s="34"/>
      <c r="AM121" s="34"/>
      <c r="AN121" s="34"/>
      <c r="AO121" s="34"/>
      <c r="AP121" s="34">
        <v>0</v>
      </c>
      <c r="AQ121" s="34"/>
      <c r="AR121" s="34"/>
      <c r="AS121" s="34"/>
      <c r="AT121" s="34"/>
      <c r="AU121" s="34">
        <v>0</v>
      </c>
      <c r="AV121" s="34"/>
      <c r="AW121" s="34"/>
      <c r="AX121" s="34"/>
      <c r="AY121" s="34"/>
      <c r="AZ121" s="34">
        <v>0</v>
      </c>
      <c r="BA121" s="34"/>
      <c r="BB121" s="34"/>
      <c r="BC121" s="34"/>
      <c r="BD121" s="34"/>
      <c r="BE121" s="34">
        <v>0</v>
      </c>
      <c r="BF121" s="34"/>
      <c r="BG121" s="34"/>
      <c r="BH121" s="34"/>
      <c r="BI121" s="34"/>
      <c r="BJ121" s="34">
        <v>12000</v>
      </c>
      <c r="BK121" s="34"/>
      <c r="BL121" s="34"/>
      <c r="BM121" s="34"/>
      <c r="BN121" s="34"/>
      <c r="BO121" s="34">
        <v>0</v>
      </c>
      <c r="BP121" s="34"/>
      <c r="BQ121" s="34"/>
      <c r="BR121" s="34"/>
      <c r="BS121" s="34"/>
      <c r="BT121" s="34">
        <v>12000</v>
      </c>
      <c r="BU121" s="34"/>
      <c r="BV121" s="34"/>
      <c r="BW121" s="34"/>
      <c r="BX121" s="34"/>
    </row>
    <row r="122" spans="1:76" s="4" customFormat="1" ht="30" customHeight="1" x14ac:dyDescent="0.2">
      <c r="A122" s="35">
        <v>3</v>
      </c>
      <c r="B122" s="36"/>
      <c r="C122" s="36"/>
      <c r="D122" s="38" t="s">
        <v>195</v>
      </c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2"/>
      <c r="Q122" s="39" t="s">
        <v>181</v>
      </c>
      <c r="R122" s="39"/>
      <c r="S122" s="39"/>
      <c r="T122" s="39"/>
      <c r="U122" s="39"/>
      <c r="V122" s="38" t="s">
        <v>194</v>
      </c>
      <c r="W122" s="31"/>
      <c r="X122" s="31"/>
      <c r="Y122" s="31"/>
      <c r="Z122" s="31"/>
      <c r="AA122" s="31"/>
      <c r="AB122" s="31"/>
      <c r="AC122" s="31"/>
      <c r="AD122" s="31"/>
      <c r="AE122" s="32"/>
      <c r="AF122" s="34">
        <v>0</v>
      </c>
      <c r="AG122" s="34"/>
      <c r="AH122" s="34"/>
      <c r="AI122" s="34"/>
      <c r="AJ122" s="34"/>
      <c r="AK122" s="34">
        <v>0</v>
      </c>
      <c r="AL122" s="34"/>
      <c r="AM122" s="34"/>
      <c r="AN122" s="34"/>
      <c r="AO122" s="34"/>
      <c r="AP122" s="34">
        <v>0</v>
      </c>
      <c r="AQ122" s="34"/>
      <c r="AR122" s="34"/>
      <c r="AS122" s="34"/>
      <c r="AT122" s="34"/>
      <c r="AU122" s="34">
        <v>0</v>
      </c>
      <c r="AV122" s="34"/>
      <c r="AW122" s="34"/>
      <c r="AX122" s="34"/>
      <c r="AY122" s="34"/>
      <c r="AZ122" s="34">
        <v>0</v>
      </c>
      <c r="BA122" s="34"/>
      <c r="BB122" s="34"/>
      <c r="BC122" s="34"/>
      <c r="BD122" s="34"/>
      <c r="BE122" s="34">
        <v>0</v>
      </c>
      <c r="BF122" s="34"/>
      <c r="BG122" s="34"/>
      <c r="BH122" s="34"/>
      <c r="BI122" s="34"/>
      <c r="BJ122" s="34">
        <v>20000</v>
      </c>
      <c r="BK122" s="34"/>
      <c r="BL122" s="34"/>
      <c r="BM122" s="34"/>
      <c r="BN122" s="34"/>
      <c r="BO122" s="34">
        <v>0</v>
      </c>
      <c r="BP122" s="34"/>
      <c r="BQ122" s="34"/>
      <c r="BR122" s="34"/>
      <c r="BS122" s="34"/>
      <c r="BT122" s="34">
        <v>20000</v>
      </c>
      <c r="BU122" s="34"/>
      <c r="BV122" s="34"/>
      <c r="BW122" s="34"/>
      <c r="BX122" s="34"/>
    </row>
    <row r="123" spans="1:76" s="6" customFormat="1" ht="15" customHeight="1" x14ac:dyDescent="0.2">
      <c r="A123" s="40">
        <v>0</v>
      </c>
      <c r="B123" s="41"/>
      <c r="C123" s="41"/>
      <c r="D123" s="42" t="s">
        <v>196</v>
      </c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7"/>
      <c r="Q123" s="43"/>
      <c r="R123" s="43"/>
      <c r="S123" s="43"/>
      <c r="T123" s="43"/>
      <c r="U123" s="43"/>
      <c r="V123" s="42"/>
      <c r="W123" s="26"/>
      <c r="X123" s="26"/>
      <c r="Y123" s="26"/>
      <c r="Z123" s="26"/>
      <c r="AA123" s="26"/>
      <c r="AB123" s="26"/>
      <c r="AC123" s="26"/>
      <c r="AD123" s="26"/>
      <c r="AE123" s="2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</row>
    <row r="124" spans="1:76" s="4" customFormat="1" ht="28.5" customHeight="1" x14ac:dyDescent="0.2">
      <c r="A124" s="35">
        <v>1</v>
      </c>
      <c r="B124" s="36"/>
      <c r="C124" s="36"/>
      <c r="D124" s="38" t="s">
        <v>197</v>
      </c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2"/>
      <c r="Q124" s="39" t="s">
        <v>198</v>
      </c>
      <c r="R124" s="39"/>
      <c r="S124" s="39"/>
      <c r="T124" s="39"/>
      <c r="U124" s="39"/>
      <c r="V124" s="38" t="s">
        <v>188</v>
      </c>
      <c r="W124" s="31"/>
      <c r="X124" s="31"/>
      <c r="Y124" s="31"/>
      <c r="Z124" s="31"/>
      <c r="AA124" s="31"/>
      <c r="AB124" s="31"/>
      <c r="AC124" s="31"/>
      <c r="AD124" s="31"/>
      <c r="AE124" s="32"/>
      <c r="AF124" s="34">
        <v>0</v>
      </c>
      <c r="AG124" s="34"/>
      <c r="AH124" s="34"/>
      <c r="AI124" s="34"/>
      <c r="AJ124" s="34"/>
      <c r="AK124" s="34">
        <v>0</v>
      </c>
      <c r="AL124" s="34"/>
      <c r="AM124" s="34"/>
      <c r="AN124" s="34"/>
      <c r="AO124" s="34"/>
      <c r="AP124" s="34">
        <v>0</v>
      </c>
      <c r="AQ124" s="34"/>
      <c r="AR124" s="34"/>
      <c r="AS124" s="34"/>
      <c r="AT124" s="34"/>
      <c r="AU124" s="34">
        <v>0</v>
      </c>
      <c r="AV124" s="34"/>
      <c r="AW124" s="34"/>
      <c r="AX124" s="34"/>
      <c r="AY124" s="34"/>
      <c r="AZ124" s="34">
        <v>0</v>
      </c>
      <c r="BA124" s="34"/>
      <c r="BB124" s="34"/>
      <c r="BC124" s="34"/>
      <c r="BD124" s="34"/>
      <c r="BE124" s="34">
        <v>0</v>
      </c>
      <c r="BF124" s="34"/>
      <c r="BG124" s="34"/>
      <c r="BH124" s="34"/>
      <c r="BI124" s="34"/>
      <c r="BJ124" s="34">
        <v>0.2</v>
      </c>
      <c r="BK124" s="34"/>
      <c r="BL124" s="34"/>
      <c r="BM124" s="34"/>
      <c r="BN124" s="34"/>
      <c r="BO124" s="34">
        <v>0</v>
      </c>
      <c r="BP124" s="34"/>
      <c r="BQ124" s="34"/>
      <c r="BR124" s="34"/>
      <c r="BS124" s="34"/>
      <c r="BT124" s="34">
        <v>0.2</v>
      </c>
      <c r="BU124" s="34"/>
      <c r="BV124" s="34"/>
      <c r="BW124" s="34"/>
      <c r="BX124" s="34"/>
    </row>
    <row r="126" spans="1:76" ht="14.25" customHeight="1" x14ac:dyDescent="0.2">
      <c r="A126" s="64" t="s">
        <v>243</v>
      </c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</row>
    <row r="127" spans="1:76" ht="23.1" customHeight="1" x14ac:dyDescent="0.2">
      <c r="A127" s="80" t="s">
        <v>6</v>
      </c>
      <c r="B127" s="81"/>
      <c r="C127" s="81"/>
      <c r="D127" s="39" t="s">
        <v>9</v>
      </c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 t="s">
        <v>8</v>
      </c>
      <c r="R127" s="39"/>
      <c r="S127" s="39"/>
      <c r="T127" s="39"/>
      <c r="U127" s="39"/>
      <c r="V127" s="39" t="s">
        <v>7</v>
      </c>
      <c r="W127" s="39"/>
      <c r="X127" s="39"/>
      <c r="Y127" s="39"/>
      <c r="Z127" s="39"/>
      <c r="AA127" s="39"/>
      <c r="AB127" s="39"/>
      <c r="AC127" s="39"/>
      <c r="AD127" s="39"/>
      <c r="AE127" s="39"/>
      <c r="AF127" s="76" t="s">
        <v>234</v>
      </c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8"/>
      <c r="AU127" s="76" t="s">
        <v>239</v>
      </c>
      <c r="AV127" s="77"/>
      <c r="AW127" s="77"/>
      <c r="AX127" s="77"/>
      <c r="AY127" s="77"/>
      <c r="AZ127" s="77"/>
      <c r="BA127" s="77"/>
      <c r="BB127" s="77"/>
      <c r="BC127" s="77"/>
      <c r="BD127" s="77"/>
      <c r="BE127" s="77"/>
      <c r="BF127" s="77"/>
      <c r="BG127" s="77"/>
      <c r="BH127" s="77"/>
      <c r="BI127" s="78"/>
    </row>
    <row r="128" spans="1:76" ht="28.5" customHeight="1" x14ac:dyDescent="0.2">
      <c r="A128" s="83"/>
      <c r="B128" s="84"/>
      <c r="C128" s="84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 t="s">
        <v>4</v>
      </c>
      <c r="AG128" s="39"/>
      <c r="AH128" s="39"/>
      <c r="AI128" s="39"/>
      <c r="AJ128" s="39"/>
      <c r="AK128" s="39" t="s">
        <v>3</v>
      </c>
      <c r="AL128" s="39"/>
      <c r="AM128" s="39"/>
      <c r="AN128" s="39"/>
      <c r="AO128" s="39"/>
      <c r="AP128" s="39" t="s">
        <v>123</v>
      </c>
      <c r="AQ128" s="39"/>
      <c r="AR128" s="39"/>
      <c r="AS128" s="39"/>
      <c r="AT128" s="39"/>
      <c r="AU128" s="39" t="s">
        <v>4</v>
      </c>
      <c r="AV128" s="39"/>
      <c r="AW128" s="39"/>
      <c r="AX128" s="39"/>
      <c r="AY128" s="39"/>
      <c r="AZ128" s="39" t="s">
        <v>3</v>
      </c>
      <c r="BA128" s="39"/>
      <c r="BB128" s="39"/>
      <c r="BC128" s="39"/>
      <c r="BD128" s="39"/>
      <c r="BE128" s="39" t="s">
        <v>90</v>
      </c>
      <c r="BF128" s="39"/>
      <c r="BG128" s="39"/>
      <c r="BH128" s="39"/>
      <c r="BI128" s="39"/>
    </row>
    <row r="129" spans="1:79" ht="15" customHeight="1" x14ac:dyDescent="0.2">
      <c r="A129" s="76">
        <v>1</v>
      </c>
      <c r="B129" s="77"/>
      <c r="C129" s="77"/>
      <c r="D129" s="39">
        <v>2</v>
      </c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>
        <v>3</v>
      </c>
      <c r="R129" s="39"/>
      <c r="S129" s="39"/>
      <c r="T129" s="39"/>
      <c r="U129" s="39"/>
      <c r="V129" s="39">
        <v>4</v>
      </c>
      <c r="W129" s="39"/>
      <c r="X129" s="39"/>
      <c r="Y129" s="39"/>
      <c r="Z129" s="39"/>
      <c r="AA129" s="39"/>
      <c r="AB129" s="39"/>
      <c r="AC129" s="39"/>
      <c r="AD129" s="39"/>
      <c r="AE129" s="39"/>
      <c r="AF129" s="39">
        <v>5</v>
      </c>
      <c r="AG129" s="39"/>
      <c r="AH129" s="39"/>
      <c r="AI129" s="39"/>
      <c r="AJ129" s="39"/>
      <c r="AK129" s="39">
        <v>6</v>
      </c>
      <c r="AL129" s="39"/>
      <c r="AM129" s="39"/>
      <c r="AN129" s="39"/>
      <c r="AO129" s="39"/>
      <c r="AP129" s="39">
        <v>7</v>
      </c>
      <c r="AQ129" s="39"/>
      <c r="AR129" s="39"/>
      <c r="AS129" s="39"/>
      <c r="AT129" s="39"/>
      <c r="AU129" s="39">
        <v>8</v>
      </c>
      <c r="AV129" s="39"/>
      <c r="AW129" s="39"/>
      <c r="AX129" s="39"/>
      <c r="AY129" s="39"/>
      <c r="AZ129" s="39">
        <v>9</v>
      </c>
      <c r="BA129" s="39"/>
      <c r="BB129" s="39"/>
      <c r="BC129" s="39"/>
      <c r="BD129" s="39"/>
      <c r="BE129" s="39">
        <v>10</v>
      </c>
      <c r="BF129" s="39"/>
      <c r="BG129" s="39"/>
      <c r="BH129" s="39"/>
      <c r="BI129" s="39"/>
    </row>
    <row r="130" spans="1:79" ht="15.75" hidden="1" customHeight="1" x14ac:dyDescent="0.2">
      <c r="A130" s="90" t="s">
        <v>154</v>
      </c>
      <c r="B130" s="91"/>
      <c r="C130" s="91"/>
      <c r="D130" s="39" t="s">
        <v>57</v>
      </c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 t="s">
        <v>70</v>
      </c>
      <c r="R130" s="39"/>
      <c r="S130" s="39"/>
      <c r="T130" s="39"/>
      <c r="U130" s="39"/>
      <c r="V130" s="39" t="s">
        <v>71</v>
      </c>
      <c r="W130" s="39"/>
      <c r="X130" s="39"/>
      <c r="Y130" s="39"/>
      <c r="Z130" s="39"/>
      <c r="AA130" s="39"/>
      <c r="AB130" s="39"/>
      <c r="AC130" s="39"/>
      <c r="AD130" s="39"/>
      <c r="AE130" s="39"/>
      <c r="AF130" s="68" t="s">
        <v>107</v>
      </c>
      <c r="AG130" s="68"/>
      <c r="AH130" s="68"/>
      <c r="AI130" s="68"/>
      <c r="AJ130" s="68"/>
      <c r="AK130" s="66" t="s">
        <v>108</v>
      </c>
      <c r="AL130" s="66"/>
      <c r="AM130" s="66"/>
      <c r="AN130" s="66"/>
      <c r="AO130" s="66"/>
      <c r="AP130" s="86" t="s">
        <v>179</v>
      </c>
      <c r="AQ130" s="86"/>
      <c r="AR130" s="86"/>
      <c r="AS130" s="86"/>
      <c r="AT130" s="86"/>
      <c r="AU130" s="68" t="s">
        <v>109</v>
      </c>
      <c r="AV130" s="68"/>
      <c r="AW130" s="68"/>
      <c r="AX130" s="68"/>
      <c r="AY130" s="68"/>
      <c r="AZ130" s="66" t="s">
        <v>110</v>
      </c>
      <c r="BA130" s="66"/>
      <c r="BB130" s="66"/>
      <c r="BC130" s="66"/>
      <c r="BD130" s="66"/>
      <c r="BE130" s="86" t="s">
        <v>179</v>
      </c>
      <c r="BF130" s="86"/>
      <c r="BG130" s="86"/>
      <c r="BH130" s="86"/>
      <c r="BI130" s="86"/>
      <c r="CA130" t="s">
        <v>39</v>
      </c>
    </row>
    <row r="131" spans="1:79" s="6" customFormat="1" ht="14.25" x14ac:dyDescent="0.2">
      <c r="A131" s="40">
        <v>0</v>
      </c>
      <c r="B131" s="41"/>
      <c r="C131" s="41"/>
      <c r="D131" s="43" t="s">
        <v>178</v>
      </c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CA131" s="6" t="s">
        <v>40</v>
      </c>
    </row>
    <row r="132" spans="1:79" s="4" customFormat="1" ht="28.5" customHeight="1" x14ac:dyDescent="0.2">
      <c r="A132" s="35">
        <v>1</v>
      </c>
      <c r="B132" s="36"/>
      <c r="C132" s="36"/>
      <c r="D132" s="38" t="s">
        <v>180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2"/>
      <c r="Q132" s="39" t="s">
        <v>181</v>
      </c>
      <c r="R132" s="39"/>
      <c r="S132" s="39"/>
      <c r="T132" s="39"/>
      <c r="U132" s="39"/>
      <c r="V132" s="39" t="s">
        <v>182</v>
      </c>
      <c r="W132" s="39"/>
      <c r="X132" s="39"/>
      <c r="Y132" s="39"/>
      <c r="Z132" s="39"/>
      <c r="AA132" s="39"/>
      <c r="AB132" s="39"/>
      <c r="AC132" s="39"/>
      <c r="AD132" s="39"/>
      <c r="AE132" s="39"/>
      <c r="AF132" s="34">
        <v>263760</v>
      </c>
      <c r="AG132" s="34"/>
      <c r="AH132" s="34"/>
      <c r="AI132" s="34"/>
      <c r="AJ132" s="34"/>
      <c r="AK132" s="34">
        <v>0</v>
      </c>
      <c r="AL132" s="34"/>
      <c r="AM132" s="34"/>
      <c r="AN132" s="34"/>
      <c r="AO132" s="34"/>
      <c r="AP132" s="34">
        <v>263760</v>
      </c>
      <c r="AQ132" s="34"/>
      <c r="AR132" s="34"/>
      <c r="AS132" s="34"/>
      <c r="AT132" s="34"/>
      <c r="AU132" s="34">
        <v>284860</v>
      </c>
      <c r="AV132" s="34"/>
      <c r="AW132" s="34"/>
      <c r="AX132" s="34"/>
      <c r="AY132" s="34"/>
      <c r="AZ132" s="34">
        <v>0</v>
      </c>
      <c r="BA132" s="34"/>
      <c r="BB132" s="34"/>
      <c r="BC132" s="34"/>
      <c r="BD132" s="34"/>
      <c r="BE132" s="34">
        <v>284860</v>
      </c>
      <c r="BF132" s="34"/>
      <c r="BG132" s="34"/>
      <c r="BH132" s="34"/>
      <c r="BI132" s="34"/>
    </row>
    <row r="133" spans="1:79" s="4" customFormat="1" ht="30" customHeight="1" x14ac:dyDescent="0.2">
      <c r="A133" s="35">
        <v>2</v>
      </c>
      <c r="B133" s="36"/>
      <c r="C133" s="36"/>
      <c r="D133" s="38" t="s">
        <v>183</v>
      </c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2"/>
      <c r="Q133" s="39" t="s">
        <v>181</v>
      </c>
      <c r="R133" s="39"/>
      <c r="S133" s="39"/>
      <c r="T133" s="39"/>
      <c r="U133" s="39"/>
      <c r="V133" s="39" t="s">
        <v>182</v>
      </c>
      <c r="W133" s="39"/>
      <c r="X133" s="39"/>
      <c r="Y133" s="39"/>
      <c r="Z133" s="39"/>
      <c r="AA133" s="39"/>
      <c r="AB133" s="39"/>
      <c r="AC133" s="39"/>
      <c r="AD133" s="39"/>
      <c r="AE133" s="39"/>
      <c r="AF133" s="34">
        <v>87920</v>
      </c>
      <c r="AG133" s="34"/>
      <c r="AH133" s="34"/>
      <c r="AI133" s="34"/>
      <c r="AJ133" s="34"/>
      <c r="AK133" s="34">
        <v>0</v>
      </c>
      <c r="AL133" s="34"/>
      <c r="AM133" s="34"/>
      <c r="AN133" s="34"/>
      <c r="AO133" s="34"/>
      <c r="AP133" s="34">
        <v>87920</v>
      </c>
      <c r="AQ133" s="34"/>
      <c r="AR133" s="34"/>
      <c r="AS133" s="34"/>
      <c r="AT133" s="34"/>
      <c r="AU133" s="34">
        <v>94954</v>
      </c>
      <c r="AV133" s="34"/>
      <c r="AW133" s="34"/>
      <c r="AX133" s="34"/>
      <c r="AY133" s="34"/>
      <c r="AZ133" s="34">
        <v>0</v>
      </c>
      <c r="BA133" s="34"/>
      <c r="BB133" s="34"/>
      <c r="BC133" s="34"/>
      <c r="BD133" s="34"/>
      <c r="BE133" s="34">
        <v>94954</v>
      </c>
      <c r="BF133" s="34"/>
      <c r="BG133" s="34"/>
      <c r="BH133" s="34"/>
      <c r="BI133" s="34"/>
    </row>
    <row r="134" spans="1:79" s="6" customFormat="1" ht="14.25" x14ac:dyDescent="0.2">
      <c r="A134" s="40">
        <v>0</v>
      </c>
      <c r="B134" s="41"/>
      <c r="C134" s="41"/>
      <c r="D134" s="42" t="s">
        <v>184</v>
      </c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7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</row>
    <row r="135" spans="1:79" s="6" customFormat="1" ht="28.5" customHeight="1" x14ac:dyDescent="0.2">
      <c r="A135" s="40">
        <v>0</v>
      </c>
      <c r="B135" s="41"/>
      <c r="C135" s="41"/>
      <c r="D135" s="42" t="s">
        <v>185</v>
      </c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7"/>
      <c r="Q135" s="43" t="s">
        <v>186</v>
      </c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37">
        <v>20</v>
      </c>
      <c r="AG135" s="37"/>
      <c r="AH135" s="37"/>
      <c r="AI135" s="37"/>
      <c r="AJ135" s="37"/>
      <c r="AK135" s="37">
        <v>0</v>
      </c>
      <c r="AL135" s="37"/>
      <c r="AM135" s="37"/>
      <c r="AN135" s="37"/>
      <c r="AO135" s="37"/>
      <c r="AP135" s="37">
        <v>20</v>
      </c>
      <c r="AQ135" s="37"/>
      <c r="AR135" s="37"/>
      <c r="AS135" s="37"/>
      <c r="AT135" s="37"/>
      <c r="AU135" s="37">
        <v>20</v>
      </c>
      <c r="AV135" s="37"/>
      <c r="AW135" s="37"/>
      <c r="AX135" s="37"/>
      <c r="AY135" s="37"/>
      <c r="AZ135" s="37">
        <v>0</v>
      </c>
      <c r="BA135" s="37"/>
      <c r="BB135" s="37"/>
      <c r="BC135" s="37"/>
      <c r="BD135" s="37"/>
      <c r="BE135" s="37">
        <v>20</v>
      </c>
      <c r="BF135" s="37"/>
      <c r="BG135" s="37"/>
      <c r="BH135" s="37"/>
      <c r="BI135" s="37"/>
    </row>
    <row r="136" spans="1:79" s="4" customFormat="1" ht="15" x14ac:dyDescent="0.2">
      <c r="A136" s="35">
        <v>2</v>
      </c>
      <c r="B136" s="36"/>
      <c r="C136" s="36"/>
      <c r="D136" s="38" t="s">
        <v>187</v>
      </c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2"/>
      <c r="Q136" s="39" t="s">
        <v>186</v>
      </c>
      <c r="R136" s="39"/>
      <c r="S136" s="39"/>
      <c r="T136" s="39"/>
      <c r="U136" s="39"/>
      <c r="V136" s="39" t="s">
        <v>188</v>
      </c>
      <c r="W136" s="39"/>
      <c r="X136" s="39"/>
      <c r="Y136" s="39"/>
      <c r="Z136" s="39"/>
      <c r="AA136" s="39"/>
      <c r="AB136" s="39"/>
      <c r="AC136" s="39"/>
      <c r="AD136" s="39"/>
      <c r="AE136" s="39"/>
      <c r="AF136" s="34">
        <v>10</v>
      </c>
      <c r="AG136" s="34"/>
      <c r="AH136" s="34"/>
      <c r="AI136" s="34"/>
      <c r="AJ136" s="34"/>
      <c r="AK136" s="34">
        <v>0</v>
      </c>
      <c r="AL136" s="34"/>
      <c r="AM136" s="34"/>
      <c r="AN136" s="34"/>
      <c r="AO136" s="34"/>
      <c r="AP136" s="34">
        <v>10</v>
      </c>
      <c r="AQ136" s="34"/>
      <c r="AR136" s="34"/>
      <c r="AS136" s="34"/>
      <c r="AT136" s="34"/>
      <c r="AU136" s="34">
        <v>10</v>
      </c>
      <c r="AV136" s="34"/>
      <c r="AW136" s="34"/>
      <c r="AX136" s="34"/>
      <c r="AY136" s="34"/>
      <c r="AZ136" s="34">
        <v>0</v>
      </c>
      <c r="BA136" s="34"/>
      <c r="BB136" s="34"/>
      <c r="BC136" s="34"/>
      <c r="BD136" s="34"/>
      <c r="BE136" s="34">
        <v>10</v>
      </c>
      <c r="BF136" s="34"/>
      <c r="BG136" s="34"/>
      <c r="BH136" s="34"/>
      <c r="BI136" s="34"/>
    </row>
    <row r="137" spans="1:79" s="4" customFormat="1" ht="15" x14ac:dyDescent="0.2">
      <c r="A137" s="35">
        <v>2</v>
      </c>
      <c r="B137" s="36"/>
      <c r="C137" s="36"/>
      <c r="D137" s="38" t="s">
        <v>189</v>
      </c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2"/>
      <c r="Q137" s="39" t="s">
        <v>186</v>
      </c>
      <c r="R137" s="39"/>
      <c r="S137" s="39"/>
      <c r="T137" s="39"/>
      <c r="U137" s="39"/>
      <c r="V137" s="39" t="s">
        <v>188</v>
      </c>
      <c r="W137" s="39"/>
      <c r="X137" s="39"/>
      <c r="Y137" s="39"/>
      <c r="Z137" s="39"/>
      <c r="AA137" s="39"/>
      <c r="AB137" s="39"/>
      <c r="AC137" s="39"/>
      <c r="AD137" s="39"/>
      <c r="AE137" s="39"/>
      <c r="AF137" s="34">
        <v>10</v>
      </c>
      <c r="AG137" s="34"/>
      <c r="AH137" s="34"/>
      <c r="AI137" s="34"/>
      <c r="AJ137" s="34"/>
      <c r="AK137" s="34">
        <v>0</v>
      </c>
      <c r="AL137" s="34"/>
      <c r="AM137" s="34"/>
      <c r="AN137" s="34"/>
      <c r="AO137" s="34"/>
      <c r="AP137" s="34">
        <v>10</v>
      </c>
      <c r="AQ137" s="34"/>
      <c r="AR137" s="34"/>
      <c r="AS137" s="34"/>
      <c r="AT137" s="34"/>
      <c r="AU137" s="34">
        <v>10</v>
      </c>
      <c r="AV137" s="34"/>
      <c r="AW137" s="34"/>
      <c r="AX137" s="34"/>
      <c r="AY137" s="34"/>
      <c r="AZ137" s="34">
        <v>0</v>
      </c>
      <c r="BA137" s="34"/>
      <c r="BB137" s="34"/>
      <c r="BC137" s="34"/>
      <c r="BD137" s="34"/>
      <c r="BE137" s="34">
        <v>10</v>
      </c>
      <c r="BF137" s="34"/>
      <c r="BG137" s="34"/>
      <c r="BH137" s="34"/>
      <c r="BI137" s="34"/>
    </row>
    <row r="138" spans="1:79" s="4" customFormat="1" ht="30" customHeight="1" x14ac:dyDescent="0.2">
      <c r="A138" s="35">
        <v>3</v>
      </c>
      <c r="B138" s="36"/>
      <c r="C138" s="36"/>
      <c r="D138" s="38" t="s">
        <v>190</v>
      </c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2"/>
      <c r="Q138" s="39" t="s">
        <v>191</v>
      </c>
      <c r="R138" s="39"/>
      <c r="S138" s="39"/>
      <c r="T138" s="39"/>
      <c r="U138" s="39"/>
      <c r="V138" s="39" t="s">
        <v>188</v>
      </c>
      <c r="W138" s="39"/>
      <c r="X138" s="39"/>
      <c r="Y138" s="39"/>
      <c r="Z138" s="39"/>
      <c r="AA138" s="39"/>
      <c r="AB138" s="39"/>
      <c r="AC138" s="39"/>
      <c r="AD138" s="39"/>
      <c r="AE138" s="39"/>
      <c r="AF138" s="34">
        <v>4</v>
      </c>
      <c r="AG138" s="34"/>
      <c r="AH138" s="34"/>
      <c r="AI138" s="34"/>
      <c r="AJ138" s="34"/>
      <c r="AK138" s="34">
        <v>0</v>
      </c>
      <c r="AL138" s="34"/>
      <c r="AM138" s="34"/>
      <c r="AN138" s="34"/>
      <c r="AO138" s="34"/>
      <c r="AP138" s="34">
        <v>4</v>
      </c>
      <c r="AQ138" s="34"/>
      <c r="AR138" s="34"/>
      <c r="AS138" s="34"/>
      <c r="AT138" s="34"/>
      <c r="AU138" s="34">
        <v>4</v>
      </c>
      <c r="AV138" s="34"/>
      <c r="AW138" s="34"/>
      <c r="AX138" s="34"/>
      <c r="AY138" s="34"/>
      <c r="AZ138" s="34">
        <v>0</v>
      </c>
      <c r="BA138" s="34"/>
      <c r="BB138" s="34"/>
      <c r="BC138" s="34"/>
      <c r="BD138" s="34"/>
      <c r="BE138" s="34">
        <v>4</v>
      </c>
      <c r="BF138" s="34"/>
      <c r="BG138" s="34"/>
      <c r="BH138" s="34"/>
      <c r="BI138" s="34"/>
    </row>
    <row r="139" spans="1:79" s="6" customFormat="1" ht="14.25" x14ac:dyDescent="0.2">
      <c r="A139" s="40">
        <v>0</v>
      </c>
      <c r="B139" s="41"/>
      <c r="C139" s="41"/>
      <c r="D139" s="42" t="s">
        <v>192</v>
      </c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7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</row>
    <row r="140" spans="1:79" s="6" customFormat="1" ht="28.5" customHeight="1" x14ac:dyDescent="0.2">
      <c r="A140" s="40">
        <v>0</v>
      </c>
      <c r="B140" s="41"/>
      <c r="C140" s="41"/>
      <c r="D140" s="42" t="s">
        <v>193</v>
      </c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7"/>
      <c r="Q140" s="43" t="s">
        <v>181</v>
      </c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37">
        <v>25188</v>
      </c>
      <c r="AG140" s="37"/>
      <c r="AH140" s="37"/>
      <c r="AI140" s="37"/>
      <c r="AJ140" s="37"/>
      <c r="AK140" s="37">
        <v>0</v>
      </c>
      <c r="AL140" s="37"/>
      <c r="AM140" s="37"/>
      <c r="AN140" s="37"/>
      <c r="AO140" s="37"/>
      <c r="AP140" s="37">
        <v>25188</v>
      </c>
      <c r="AQ140" s="37"/>
      <c r="AR140" s="37"/>
      <c r="AS140" s="37"/>
      <c r="AT140" s="37"/>
      <c r="AU140" s="37">
        <v>26243</v>
      </c>
      <c r="AV140" s="37"/>
      <c r="AW140" s="37"/>
      <c r="AX140" s="37"/>
      <c r="AY140" s="37"/>
      <c r="AZ140" s="37">
        <v>0</v>
      </c>
      <c r="BA140" s="37"/>
      <c r="BB140" s="37"/>
      <c r="BC140" s="37"/>
      <c r="BD140" s="37"/>
      <c r="BE140" s="37">
        <v>26243</v>
      </c>
      <c r="BF140" s="37"/>
      <c r="BG140" s="37"/>
      <c r="BH140" s="37"/>
      <c r="BI140" s="37"/>
    </row>
    <row r="141" spans="1:79" s="4" customFormat="1" ht="14.25" customHeight="1" x14ac:dyDescent="0.2">
      <c r="A141" s="35">
        <v>1</v>
      </c>
      <c r="B141" s="36"/>
      <c r="C141" s="36"/>
      <c r="D141" s="38" t="s">
        <v>189</v>
      </c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2"/>
      <c r="Q141" s="39" t="s">
        <v>181</v>
      </c>
      <c r="R141" s="39"/>
      <c r="S141" s="39"/>
      <c r="T141" s="39"/>
      <c r="U141" s="39"/>
      <c r="V141" s="38" t="s">
        <v>194</v>
      </c>
      <c r="W141" s="31"/>
      <c r="X141" s="31"/>
      <c r="Y141" s="31"/>
      <c r="Z141" s="31"/>
      <c r="AA141" s="31"/>
      <c r="AB141" s="31"/>
      <c r="AC141" s="31"/>
      <c r="AD141" s="31"/>
      <c r="AE141" s="32"/>
      <c r="AF141" s="34">
        <v>12000</v>
      </c>
      <c r="AG141" s="34"/>
      <c r="AH141" s="34"/>
      <c r="AI141" s="34"/>
      <c r="AJ141" s="34"/>
      <c r="AK141" s="34">
        <v>0</v>
      </c>
      <c r="AL141" s="34"/>
      <c r="AM141" s="34"/>
      <c r="AN141" s="34"/>
      <c r="AO141" s="34"/>
      <c r="AP141" s="34">
        <v>12000</v>
      </c>
      <c r="AQ141" s="34"/>
      <c r="AR141" s="34"/>
      <c r="AS141" s="34"/>
      <c r="AT141" s="34"/>
      <c r="AU141" s="34">
        <v>12000</v>
      </c>
      <c r="AV141" s="34"/>
      <c r="AW141" s="34"/>
      <c r="AX141" s="34"/>
      <c r="AY141" s="34"/>
      <c r="AZ141" s="34">
        <v>0</v>
      </c>
      <c r="BA141" s="34"/>
      <c r="BB141" s="34"/>
      <c r="BC141" s="34"/>
      <c r="BD141" s="34"/>
      <c r="BE141" s="34">
        <v>12000</v>
      </c>
      <c r="BF141" s="34"/>
      <c r="BG141" s="34"/>
      <c r="BH141" s="34"/>
      <c r="BI141" s="34"/>
    </row>
    <row r="142" spans="1:79" s="6" customFormat="1" ht="30" customHeight="1" x14ac:dyDescent="0.2">
      <c r="A142" s="40">
        <v>0</v>
      </c>
      <c r="B142" s="41"/>
      <c r="C142" s="41"/>
      <c r="D142" s="42" t="s">
        <v>193</v>
      </c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7"/>
      <c r="Q142" s="43" t="s">
        <v>181</v>
      </c>
      <c r="R142" s="43"/>
      <c r="S142" s="43"/>
      <c r="T142" s="43"/>
      <c r="U142" s="43"/>
      <c r="V142" s="42"/>
      <c r="W142" s="26"/>
      <c r="X142" s="26"/>
      <c r="Y142" s="26"/>
      <c r="Z142" s="26"/>
      <c r="AA142" s="26"/>
      <c r="AB142" s="26"/>
      <c r="AC142" s="26"/>
      <c r="AD142" s="26"/>
      <c r="AE142" s="27"/>
      <c r="AF142" s="37">
        <v>25188</v>
      </c>
      <c r="AG142" s="37"/>
      <c r="AH142" s="37"/>
      <c r="AI142" s="37"/>
      <c r="AJ142" s="37"/>
      <c r="AK142" s="37">
        <v>0</v>
      </c>
      <c r="AL142" s="37"/>
      <c r="AM142" s="37"/>
      <c r="AN142" s="37"/>
      <c r="AO142" s="37"/>
      <c r="AP142" s="37">
        <v>25188</v>
      </c>
      <c r="AQ142" s="37"/>
      <c r="AR142" s="37"/>
      <c r="AS142" s="37"/>
      <c r="AT142" s="37"/>
      <c r="AU142" s="37">
        <v>26243</v>
      </c>
      <c r="AV142" s="37"/>
      <c r="AW142" s="37"/>
      <c r="AX142" s="37"/>
      <c r="AY142" s="37"/>
      <c r="AZ142" s="37">
        <v>0</v>
      </c>
      <c r="BA142" s="37"/>
      <c r="BB142" s="37"/>
      <c r="BC142" s="37"/>
      <c r="BD142" s="37"/>
      <c r="BE142" s="37">
        <v>26243</v>
      </c>
      <c r="BF142" s="37"/>
      <c r="BG142" s="37"/>
      <c r="BH142" s="37"/>
      <c r="BI142" s="37"/>
    </row>
    <row r="143" spans="1:79" s="4" customFormat="1" ht="14.25" customHeight="1" x14ac:dyDescent="0.2">
      <c r="A143" s="35">
        <v>2</v>
      </c>
      <c r="B143" s="36"/>
      <c r="C143" s="36"/>
      <c r="D143" s="38" t="s">
        <v>187</v>
      </c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2"/>
      <c r="Q143" s="39" t="s">
        <v>181</v>
      </c>
      <c r="R143" s="39"/>
      <c r="S143" s="39"/>
      <c r="T143" s="39"/>
      <c r="U143" s="39"/>
      <c r="V143" s="38" t="s">
        <v>194</v>
      </c>
      <c r="W143" s="31"/>
      <c r="X143" s="31"/>
      <c r="Y143" s="31"/>
      <c r="Z143" s="31"/>
      <c r="AA143" s="31"/>
      <c r="AB143" s="31"/>
      <c r="AC143" s="31"/>
      <c r="AD143" s="31"/>
      <c r="AE143" s="32"/>
      <c r="AF143" s="34">
        <v>13188</v>
      </c>
      <c r="AG143" s="34"/>
      <c r="AH143" s="34"/>
      <c r="AI143" s="34"/>
      <c r="AJ143" s="34"/>
      <c r="AK143" s="34">
        <v>0</v>
      </c>
      <c r="AL143" s="34"/>
      <c r="AM143" s="34"/>
      <c r="AN143" s="34"/>
      <c r="AO143" s="34"/>
      <c r="AP143" s="34">
        <v>13188</v>
      </c>
      <c r="AQ143" s="34"/>
      <c r="AR143" s="34"/>
      <c r="AS143" s="34"/>
      <c r="AT143" s="34"/>
      <c r="AU143" s="34">
        <v>14243</v>
      </c>
      <c r="AV143" s="34"/>
      <c r="AW143" s="34"/>
      <c r="AX143" s="34"/>
      <c r="AY143" s="34"/>
      <c r="AZ143" s="34">
        <v>0</v>
      </c>
      <c r="BA143" s="34"/>
      <c r="BB143" s="34"/>
      <c r="BC143" s="34"/>
      <c r="BD143" s="34"/>
      <c r="BE143" s="34">
        <v>14243</v>
      </c>
      <c r="BF143" s="34"/>
      <c r="BG143" s="34"/>
      <c r="BH143" s="34"/>
      <c r="BI143" s="34"/>
    </row>
    <row r="144" spans="1:79" s="4" customFormat="1" ht="30" customHeight="1" x14ac:dyDescent="0.2">
      <c r="A144" s="35">
        <v>3</v>
      </c>
      <c r="B144" s="36"/>
      <c r="C144" s="36"/>
      <c r="D144" s="38" t="s">
        <v>195</v>
      </c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2"/>
      <c r="Q144" s="39" t="s">
        <v>181</v>
      </c>
      <c r="R144" s="39"/>
      <c r="S144" s="39"/>
      <c r="T144" s="39"/>
      <c r="U144" s="39"/>
      <c r="V144" s="38" t="s">
        <v>194</v>
      </c>
      <c r="W144" s="31"/>
      <c r="X144" s="31"/>
      <c r="Y144" s="31"/>
      <c r="Z144" s="31"/>
      <c r="AA144" s="31"/>
      <c r="AB144" s="31"/>
      <c r="AC144" s="31"/>
      <c r="AD144" s="31"/>
      <c r="AE144" s="32"/>
      <c r="AF144" s="34">
        <v>21980</v>
      </c>
      <c r="AG144" s="34"/>
      <c r="AH144" s="34"/>
      <c r="AI144" s="34"/>
      <c r="AJ144" s="34"/>
      <c r="AK144" s="34">
        <v>0</v>
      </c>
      <c r="AL144" s="34"/>
      <c r="AM144" s="34"/>
      <c r="AN144" s="34"/>
      <c r="AO144" s="34"/>
      <c r="AP144" s="34">
        <v>21980</v>
      </c>
      <c r="AQ144" s="34"/>
      <c r="AR144" s="34"/>
      <c r="AS144" s="34"/>
      <c r="AT144" s="34"/>
      <c r="AU144" s="34">
        <v>23738</v>
      </c>
      <c r="AV144" s="34"/>
      <c r="AW144" s="34"/>
      <c r="AX144" s="34"/>
      <c r="AY144" s="34"/>
      <c r="AZ144" s="34">
        <v>0</v>
      </c>
      <c r="BA144" s="34"/>
      <c r="BB144" s="34"/>
      <c r="BC144" s="34"/>
      <c r="BD144" s="34"/>
      <c r="BE144" s="34">
        <v>23738</v>
      </c>
      <c r="BF144" s="34"/>
      <c r="BG144" s="34"/>
      <c r="BH144" s="34"/>
      <c r="BI144" s="34"/>
    </row>
    <row r="145" spans="1:79" s="6" customFormat="1" ht="14.25" x14ac:dyDescent="0.2">
      <c r="A145" s="40">
        <v>0</v>
      </c>
      <c r="B145" s="41"/>
      <c r="C145" s="41"/>
      <c r="D145" s="42" t="s">
        <v>196</v>
      </c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7"/>
      <c r="Q145" s="43"/>
      <c r="R145" s="43"/>
      <c r="S145" s="43"/>
      <c r="T145" s="43"/>
      <c r="U145" s="43"/>
      <c r="V145" s="42"/>
      <c r="W145" s="26"/>
      <c r="X145" s="26"/>
      <c r="Y145" s="26"/>
      <c r="Z145" s="26"/>
      <c r="AA145" s="26"/>
      <c r="AB145" s="26"/>
      <c r="AC145" s="26"/>
      <c r="AD145" s="26"/>
      <c r="AE145" s="2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</row>
    <row r="146" spans="1:79" s="4" customFormat="1" ht="28.5" customHeight="1" x14ac:dyDescent="0.2">
      <c r="A146" s="35">
        <v>1</v>
      </c>
      <c r="B146" s="36"/>
      <c r="C146" s="36"/>
      <c r="D146" s="38" t="s">
        <v>197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2"/>
      <c r="Q146" s="39" t="s">
        <v>198</v>
      </c>
      <c r="R146" s="39"/>
      <c r="S146" s="39"/>
      <c r="T146" s="39"/>
      <c r="U146" s="39"/>
      <c r="V146" s="38" t="s">
        <v>188</v>
      </c>
      <c r="W146" s="31"/>
      <c r="X146" s="31"/>
      <c r="Y146" s="31"/>
      <c r="Z146" s="31"/>
      <c r="AA146" s="31"/>
      <c r="AB146" s="31"/>
      <c r="AC146" s="31"/>
      <c r="AD146" s="31"/>
      <c r="AE146" s="32"/>
      <c r="AF146" s="34">
        <v>0.2</v>
      </c>
      <c r="AG146" s="34"/>
      <c r="AH146" s="34"/>
      <c r="AI146" s="34"/>
      <c r="AJ146" s="34"/>
      <c r="AK146" s="34">
        <v>0</v>
      </c>
      <c r="AL146" s="34"/>
      <c r="AM146" s="34"/>
      <c r="AN146" s="34"/>
      <c r="AO146" s="34"/>
      <c r="AP146" s="34">
        <v>0.2</v>
      </c>
      <c r="AQ146" s="34"/>
      <c r="AR146" s="34"/>
      <c r="AS146" s="34"/>
      <c r="AT146" s="34"/>
      <c r="AU146" s="34">
        <v>0.2</v>
      </c>
      <c r="AV146" s="34"/>
      <c r="AW146" s="34"/>
      <c r="AX146" s="34"/>
      <c r="AY146" s="34"/>
      <c r="AZ146" s="34">
        <v>0</v>
      </c>
      <c r="BA146" s="34"/>
      <c r="BB146" s="34"/>
      <c r="BC146" s="34"/>
      <c r="BD146" s="34"/>
      <c r="BE146" s="34">
        <v>0.2</v>
      </c>
      <c r="BF146" s="34"/>
      <c r="BG146" s="34"/>
      <c r="BH146" s="34"/>
      <c r="BI146" s="34"/>
    </row>
    <row r="148" spans="1:79" ht="14.25" customHeight="1" x14ac:dyDescent="0.2">
      <c r="A148" s="64" t="s">
        <v>124</v>
      </c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</row>
    <row r="149" spans="1:79" ht="15" customHeight="1" x14ac:dyDescent="0.2">
      <c r="A149" s="79" t="s">
        <v>212</v>
      </c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  <c r="AZ149" s="79"/>
      <c r="BA149" s="79"/>
      <c r="BB149" s="79"/>
      <c r="BC149" s="79"/>
      <c r="BD149" s="79"/>
      <c r="BE149" s="79"/>
      <c r="BF149" s="79"/>
      <c r="BG149" s="79"/>
      <c r="BH149" s="79"/>
      <c r="BI149" s="79"/>
      <c r="BJ149" s="79"/>
      <c r="BK149" s="79"/>
      <c r="BL149" s="79"/>
      <c r="BM149" s="79"/>
      <c r="BN149" s="79"/>
      <c r="BO149" s="79"/>
      <c r="BP149" s="79"/>
      <c r="BQ149" s="79"/>
      <c r="BR149" s="79"/>
    </row>
    <row r="150" spans="1:79" ht="12.95" customHeight="1" x14ac:dyDescent="0.2">
      <c r="A150" s="80" t="s">
        <v>19</v>
      </c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2"/>
      <c r="U150" s="39" t="s">
        <v>213</v>
      </c>
      <c r="V150" s="39"/>
      <c r="W150" s="39"/>
      <c r="X150" s="39"/>
      <c r="Y150" s="39"/>
      <c r="Z150" s="39"/>
      <c r="AA150" s="39"/>
      <c r="AB150" s="39"/>
      <c r="AC150" s="39"/>
      <c r="AD150" s="39"/>
      <c r="AE150" s="39" t="s">
        <v>216</v>
      </c>
      <c r="AF150" s="39"/>
      <c r="AG150" s="39"/>
      <c r="AH150" s="39"/>
      <c r="AI150" s="39"/>
      <c r="AJ150" s="39"/>
      <c r="AK150" s="39"/>
      <c r="AL150" s="39"/>
      <c r="AM150" s="39"/>
      <c r="AN150" s="39"/>
      <c r="AO150" s="39" t="s">
        <v>224</v>
      </c>
      <c r="AP150" s="39"/>
      <c r="AQ150" s="39"/>
      <c r="AR150" s="39"/>
      <c r="AS150" s="39"/>
      <c r="AT150" s="39"/>
      <c r="AU150" s="39"/>
      <c r="AV150" s="39"/>
      <c r="AW150" s="39"/>
      <c r="AX150" s="39"/>
      <c r="AY150" s="39" t="s">
        <v>234</v>
      </c>
      <c r="AZ150" s="39"/>
      <c r="BA150" s="39"/>
      <c r="BB150" s="39"/>
      <c r="BC150" s="39"/>
      <c r="BD150" s="39"/>
      <c r="BE150" s="39"/>
      <c r="BF150" s="39"/>
      <c r="BG150" s="39"/>
      <c r="BH150" s="39"/>
      <c r="BI150" s="39" t="s">
        <v>239</v>
      </c>
      <c r="BJ150" s="39"/>
      <c r="BK150" s="39"/>
      <c r="BL150" s="39"/>
      <c r="BM150" s="39"/>
      <c r="BN150" s="39"/>
      <c r="BO150" s="39"/>
      <c r="BP150" s="39"/>
      <c r="BQ150" s="39"/>
      <c r="BR150" s="39"/>
    </row>
    <row r="151" spans="1:79" ht="30" customHeight="1" x14ac:dyDescent="0.2">
      <c r="A151" s="83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5"/>
      <c r="U151" s="39" t="s">
        <v>4</v>
      </c>
      <c r="V151" s="39"/>
      <c r="W151" s="39"/>
      <c r="X151" s="39"/>
      <c r="Y151" s="39"/>
      <c r="Z151" s="39" t="s">
        <v>3</v>
      </c>
      <c r="AA151" s="39"/>
      <c r="AB151" s="39"/>
      <c r="AC151" s="39"/>
      <c r="AD151" s="39"/>
      <c r="AE151" s="39" t="s">
        <v>4</v>
      </c>
      <c r="AF151" s="39"/>
      <c r="AG151" s="39"/>
      <c r="AH151" s="39"/>
      <c r="AI151" s="39"/>
      <c r="AJ151" s="39" t="s">
        <v>3</v>
      </c>
      <c r="AK151" s="39"/>
      <c r="AL151" s="39"/>
      <c r="AM151" s="39"/>
      <c r="AN151" s="39"/>
      <c r="AO151" s="39" t="s">
        <v>4</v>
      </c>
      <c r="AP151" s="39"/>
      <c r="AQ151" s="39"/>
      <c r="AR151" s="39"/>
      <c r="AS151" s="39"/>
      <c r="AT151" s="39" t="s">
        <v>3</v>
      </c>
      <c r="AU151" s="39"/>
      <c r="AV151" s="39"/>
      <c r="AW151" s="39"/>
      <c r="AX151" s="39"/>
      <c r="AY151" s="39" t="s">
        <v>4</v>
      </c>
      <c r="AZ151" s="39"/>
      <c r="BA151" s="39"/>
      <c r="BB151" s="39"/>
      <c r="BC151" s="39"/>
      <c r="BD151" s="39" t="s">
        <v>3</v>
      </c>
      <c r="BE151" s="39"/>
      <c r="BF151" s="39"/>
      <c r="BG151" s="39"/>
      <c r="BH151" s="39"/>
      <c r="BI151" s="39" t="s">
        <v>4</v>
      </c>
      <c r="BJ151" s="39"/>
      <c r="BK151" s="39"/>
      <c r="BL151" s="39"/>
      <c r="BM151" s="39"/>
      <c r="BN151" s="39" t="s">
        <v>3</v>
      </c>
      <c r="BO151" s="39"/>
      <c r="BP151" s="39"/>
      <c r="BQ151" s="39"/>
      <c r="BR151" s="39"/>
    </row>
    <row r="152" spans="1:79" ht="15" customHeight="1" x14ac:dyDescent="0.2">
      <c r="A152" s="76">
        <v>1</v>
      </c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8"/>
      <c r="U152" s="39">
        <v>2</v>
      </c>
      <c r="V152" s="39"/>
      <c r="W152" s="39"/>
      <c r="X152" s="39"/>
      <c r="Y152" s="39"/>
      <c r="Z152" s="39">
        <v>3</v>
      </c>
      <c r="AA152" s="39"/>
      <c r="AB152" s="39"/>
      <c r="AC152" s="39"/>
      <c r="AD152" s="39"/>
      <c r="AE152" s="39">
        <v>4</v>
      </c>
      <c r="AF152" s="39"/>
      <c r="AG152" s="39"/>
      <c r="AH152" s="39"/>
      <c r="AI152" s="39"/>
      <c r="AJ152" s="39">
        <v>5</v>
      </c>
      <c r="AK152" s="39"/>
      <c r="AL152" s="39"/>
      <c r="AM152" s="39"/>
      <c r="AN152" s="39"/>
      <c r="AO152" s="39">
        <v>6</v>
      </c>
      <c r="AP152" s="39"/>
      <c r="AQ152" s="39"/>
      <c r="AR152" s="39"/>
      <c r="AS152" s="39"/>
      <c r="AT152" s="39">
        <v>7</v>
      </c>
      <c r="AU152" s="39"/>
      <c r="AV152" s="39"/>
      <c r="AW152" s="39"/>
      <c r="AX152" s="39"/>
      <c r="AY152" s="39">
        <v>8</v>
      </c>
      <c r="AZ152" s="39"/>
      <c r="BA152" s="39"/>
      <c r="BB152" s="39"/>
      <c r="BC152" s="39"/>
      <c r="BD152" s="39">
        <v>9</v>
      </c>
      <c r="BE152" s="39"/>
      <c r="BF152" s="39"/>
      <c r="BG152" s="39"/>
      <c r="BH152" s="39"/>
      <c r="BI152" s="39">
        <v>10</v>
      </c>
      <c r="BJ152" s="39"/>
      <c r="BK152" s="39"/>
      <c r="BL152" s="39"/>
      <c r="BM152" s="39"/>
      <c r="BN152" s="39">
        <v>11</v>
      </c>
      <c r="BO152" s="39"/>
      <c r="BP152" s="39"/>
      <c r="BQ152" s="39"/>
      <c r="BR152" s="39"/>
    </row>
    <row r="153" spans="1:79" s="1" customFormat="1" ht="15.75" hidden="1" customHeight="1" x14ac:dyDescent="0.2">
      <c r="A153" s="90" t="s">
        <v>57</v>
      </c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2"/>
      <c r="U153" s="68" t="s">
        <v>65</v>
      </c>
      <c r="V153" s="68"/>
      <c r="W153" s="68"/>
      <c r="X153" s="68"/>
      <c r="Y153" s="68"/>
      <c r="Z153" s="66" t="s">
        <v>66</v>
      </c>
      <c r="AA153" s="66"/>
      <c r="AB153" s="66"/>
      <c r="AC153" s="66"/>
      <c r="AD153" s="66"/>
      <c r="AE153" s="68" t="s">
        <v>67</v>
      </c>
      <c r="AF153" s="68"/>
      <c r="AG153" s="68"/>
      <c r="AH153" s="68"/>
      <c r="AI153" s="68"/>
      <c r="AJ153" s="66" t="s">
        <v>68</v>
      </c>
      <c r="AK153" s="66"/>
      <c r="AL153" s="66"/>
      <c r="AM153" s="66"/>
      <c r="AN153" s="66"/>
      <c r="AO153" s="68" t="s">
        <v>58</v>
      </c>
      <c r="AP153" s="68"/>
      <c r="AQ153" s="68"/>
      <c r="AR153" s="68"/>
      <c r="AS153" s="68"/>
      <c r="AT153" s="66" t="s">
        <v>59</v>
      </c>
      <c r="AU153" s="66"/>
      <c r="AV153" s="66"/>
      <c r="AW153" s="66"/>
      <c r="AX153" s="66"/>
      <c r="AY153" s="68" t="s">
        <v>60</v>
      </c>
      <c r="AZ153" s="68"/>
      <c r="BA153" s="68"/>
      <c r="BB153" s="68"/>
      <c r="BC153" s="68"/>
      <c r="BD153" s="66" t="s">
        <v>61</v>
      </c>
      <c r="BE153" s="66"/>
      <c r="BF153" s="66"/>
      <c r="BG153" s="66"/>
      <c r="BH153" s="66"/>
      <c r="BI153" s="68" t="s">
        <v>62</v>
      </c>
      <c r="BJ153" s="68"/>
      <c r="BK153" s="68"/>
      <c r="BL153" s="68"/>
      <c r="BM153" s="68"/>
      <c r="BN153" s="66" t="s">
        <v>63</v>
      </c>
      <c r="BO153" s="66"/>
      <c r="BP153" s="66"/>
      <c r="BQ153" s="66"/>
      <c r="BR153" s="66"/>
      <c r="CA153" t="s">
        <v>41</v>
      </c>
    </row>
    <row r="154" spans="1:79" s="6" customFormat="1" ht="12.75" customHeight="1" x14ac:dyDescent="0.2">
      <c r="A154" s="40" t="s">
        <v>147</v>
      </c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5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CA154" s="6" t="s">
        <v>42</v>
      </c>
    </row>
    <row r="155" spans="1:79" s="4" customFormat="1" ht="38.25" customHeight="1" x14ac:dyDescent="0.2">
      <c r="A155" s="30" t="s">
        <v>199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2"/>
      <c r="U155" s="28" t="s">
        <v>173</v>
      </c>
      <c r="V155" s="28"/>
      <c r="W155" s="28"/>
      <c r="X155" s="28"/>
      <c r="Y155" s="28"/>
      <c r="Z155" s="28"/>
      <c r="AA155" s="28"/>
      <c r="AB155" s="28"/>
      <c r="AC155" s="28"/>
      <c r="AD155" s="28"/>
      <c r="AE155" s="28" t="s">
        <v>173</v>
      </c>
      <c r="AF155" s="28"/>
      <c r="AG155" s="28"/>
      <c r="AH155" s="28"/>
      <c r="AI155" s="28"/>
      <c r="AJ155" s="28"/>
      <c r="AK155" s="28"/>
      <c r="AL155" s="28"/>
      <c r="AM155" s="28"/>
      <c r="AN155" s="28"/>
      <c r="AO155" s="28" t="s">
        <v>173</v>
      </c>
      <c r="AP155" s="28"/>
      <c r="AQ155" s="28"/>
      <c r="AR155" s="28"/>
      <c r="AS155" s="28"/>
      <c r="AT155" s="28"/>
      <c r="AU155" s="28"/>
      <c r="AV155" s="28"/>
      <c r="AW155" s="28"/>
      <c r="AX155" s="28"/>
      <c r="AY155" s="28" t="s">
        <v>173</v>
      </c>
      <c r="AZ155" s="28"/>
      <c r="BA155" s="28"/>
      <c r="BB155" s="28"/>
      <c r="BC155" s="28"/>
      <c r="BD155" s="28"/>
      <c r="BE155" s="28"/>
      <c r="BF155" s="28"/>
      <c r="BG155" s="28"/>
      <c r="BH155" s="28"/>
      <c r="BI155" s="28" t="s">
        <v>173</v>
      </c>
      <c r="BJ155" s="28"/>
      <c r="BK155" s="28"/>
      <c r="BL155" s="28"/>
      <c r="BM155" s="28"/>
      <c r="BN155" s="28"/>
      <c r="BO155" s="28"/>
      <c r="BP155" s="28"/>
      <c r="BQ155" s="28"/>
      <c r="BR155" s="28"/>
    </row>
    <row r="158" spans="1:79" ht="14.25" customHeight="1" x14ac:dyDescent="0.2">
      <c r="A158" s="64" t="s">
        <v>125</v>
      </c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</row>
    <row r="159" spans="1:79" ht="15" customHeight="1" x14ac:dyDescent="0.2">
      <c r="A159" s="80" t="s">
        <v>6</v>
      </c>
      <c r="B159" s="81"/>
      <c r="C159" s="81"/>
      <c r="D159" s="80" t="s">
        <v>10</v>
      </c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2"/>
      <c r="W159" s="39" t="s">
        <v>213</v>
      </c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 t="s">
        <v>217</v>
      </c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 t="s">
        <v>229</v>
      </c>
      <c r="AV159" s="39"/>
      <c r="AW159" s="39"/>
      <c r="AX159" s="39"/>
      <c r="AY159" s="39"/>
      <c r="AZ159" s="39"/>
      <c r="BA159" s="39" t="s">
        <v>235</v>
      </c>
      <c r="BB159" s="39"/>
      <c r="BC159" s="39"/>
      <c r="BD159" s="39"/>
      <c r="BE159" s="39"/>
      <c r="BF159" s="39"/>
      <c r="BG159" s="39" t="s">
        <v>244</v>
      </c>
      <c r="BH159" s="39"/>
      <c r="BI159" s="39"/>
      <c r="BJ159" s="39"/>
      <c r="BK159" s="39"/>
      <c r="BL159" s="39"/>
    </row>
    <row r="160" spans="1:79" ht="15" customHeight="1" x14ac:dyDescent="0.2">
      <c r="A160" s="93"/>
      <c r="B160" s="94"/>
      <c r="C160" s="94"/>
      <c r="D160" s="93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5"/>
      <c r="W160" s="39" t="s">
        <v>4</v>
      </c>
      <c r="X160" s="39"/>
      <c r="Y160" s="39"/>
      <c r="Z160" s="39"/>
      <c r="AA160" s="39"/>
      <c r="AB160" s="39"/>
      <c r="AC160" s="39" t="s">
        <v>3</v>
      </c>
      <c r="AD160" s="39"/>
      <c r="AE160" s="39"/>
      <c r="AF160" s="39"/>
      <c r="AG160" s="39"/>
      <c r="AH160" s="39"/>
      <c r="AI160" s="39" t="s">
        <v>4</v>
      </c>
      <c r="AJ160" s="39"/>
      <c r="AK160" s="39"/>
      <c r="AL160" s="39"/>
      <c r="AM160" s="39"/>
      <c r="AN160" s="39"/>
      <c r="AO160" s="39" t="s">
        <v>3</v>
      </c>
      <c r="AP160" s="39"/>
      <c r="AQ160" s="39"/>
      <c r="AR160" s="39"/>
      <c r="AS160" s="39"/>
      <c r="AT160" s="39"/>
      <c r="AU160" s="70" t="s">
        <v>4</v>
      </c>
      <c r="AV160" s="70"/>
      <c r="AW160" s="70"/>
      <c r="AX160" s="70" t="s">
        <v>3</v>
      </c>
      <c r="AY160" s="70"/>
      <c r="AZ160" s="70"/>
      <c r="BA160" s="70" t="s">
        <v>4</v>
      </c>
      <c r="BB160" s="70"/>
      <c r="BC160" s="70"/>
      <c r="BD160" s="70" t="s">
        <v>3</v>
      </c>
      <c r="BE160" s="70"/>
      <c r="BF160" s="70"/>
      <c r="BG160" s="70" t="s">
        <v>4</v>
      </c>
      <c r="BH160" s="70"/>
      <c r="BI160" s="70"/>
      <c r="BJ160" s="70" t="s">
        <v>3</v>
      </c>
      <c r="BK160" s="70"/>
      <c r="BL160" s="70"/>
    </row>
    <row r="161" spans="1:79" ht="57" customHeight="1" x14ac:dyDescent="0.2">
      <c r="A161" s="83"/>
      <c r="B161" s="84"/>
      <c r="C161" s="84"/>
      <c r="D161" s="83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5"/>
      <c r="W161" s="39" t="s">
        <v>12</v>
      </c>
      <c r="X161" s="39"/>
      <c r="Y161" s="39"/>
      <c r="Z161" s="39" t="s">
        <v>11</v>
      </c>
      <c r="AA161" s="39"/>
      <c r="AB161" s="39"/>
      <c r="AC161" s="39" t="s">
        <v>12</v>
      </c>
      <c r="AD161" s="39"/>
      <c r="AE161" s="39"/>
      <c r="AF161" s="39" t="s">
        <v>11</v>
      </c>
      <c r="AG161" s="39"/>
      <c r="AH161" s="39"/>
      <c r="AI161" s="39" t="s">
        <v>12</v>
      </c>
      <c r="AJ161" s="39"/>
      <c r="AK161" s="39"/>
      <c r="AL161" s="39" t="s">
        <v>11</v>
      </c>
      <c r="AM161" s="39"/>
      <c r="AN161" s="39"/>
      <c r="AO161" s="39" t="s">
        <v>12</v>
      </c>
      <c r="AP161" s="39"/>
      <c r="AQ161" s="39"/>
      <c r="AR161" s="39" t="s">
        <v>11</v>
      </c>
      <c r="AS161" s="39"/>
      <c r="AT161" s="39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  <c r="BK161" s="70"/>
      <c r="BL161" s="70"/>
    </row>
    <row r="162" spans="1:79" ht="15" customHeight="1" x14ac:dyDescent="0.2">
      <c r="A162" s="76">
        <v>1</v>
      </c>
      <c r="B162" s="77"/>
      <c r="C162" s="77"/>
      <c r="D162" s="76">
        <v>2</v>
      </c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8"/>
      <c r="W162" s="39">
        <v>3</v>
      </c>
      <c r="X162" s="39"/>
      <c r="Y162" s="39"/>
      <c r="Z162" s="39">
        <v>4</v>
      </c>
      <c r="AA162" s="39"/>
      <c r="AB162" s="39"/>
      <c r="AC162" s="39">
        <v>5</v>
      </c>
      <c r="AD162" s="39"/>
      <c r="AE162" s="39"/>
      <c r="AF162" s="39">
        <v>6</v>
      </c>
      <c r="AG162" s="39"/>
      <c r="AH162" s="39"/>
      <c r="AI162" s="39">
        <v>7</v>
      </c>
      <c r="AJ162" s="39"/>
      <c r="AK162" s="39"/>
      <c r="AL162" s="39">
        <v>8</v>
      </c>
      <c r="AM162" s="39"/>
      <c r="AN162" s="39"/>
      <c r="AO162" s="39">
        <v>9</v>
      </c>
      <c r="AP162" s="39"/>
      <c r="AQ162" s="39"/>
      <c r="AR162" s="39">
        <v>10</v>
      </c>
      <c r="AS162" s="39"/>
      <c r="AT162" s="39"/>
      <c r="AU162" s="39">
        <v>11</v>
      </c>
      <c r="AV162" s="39"/>
      <c r="AW162" s="39"/>
      <c r="AX162" s="39">
        <v>12</v>
      </c>
      <c r="AY162" s="39"/>
      <c r="AZ162" s="39"/>
      <c r="BA162" s="39">
        <v>13</v>
      </c>
      <c r="BB162" s="39"/>
      <c r="BC162" s="39"/>
      <c r="BD162" s="39">
        <v>14</v>
      </c>
      <c r="BE162" s="39"/>
      <c r="BF162" s="39"/>
      <c r="BG162" s="39">
        <v>15</v>
      </c>
      <c r="BH162" s="39"/>
      <c r="BI162" s="39"/>
      <c r="BJ162" s="39">
        <v>16</v>
      </c>
      <c r="BK162" s="39"/>
      <c r="BL162" s="39"/>
    </row>
    <row r="163" spans="1:79" s="1" customFormat="1" ht="12.75" hidden="1" customHeight="1" x14ac:dyDescent="0.2">
      <c r="A163" s="90" t="s">
        <v>69</v>
      </c>
      <c r="B163" s="91"/>
      <c r="C163" s="91"/>
      <c r="D163" s="90" t="s">
        <v>57</v>
      </c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2"/>
      <c r="W163" s="68" t="s">
        <v>72</v>
      </c>
      <c r="X163" s="68"/>
      <c r="Y163" s="68"/>
      <c r="Z163" s="68" t="s">
        <v>73</v>
      </c>
      <c r="AA163" s="68"/>
      <c r="AB163" s="68"/>
      <c r="AC163" s="66" t="s">
        <v>74</v>
      </c>
      <c r="AD163" s="66"/>
      <c r="AE163" s="66"/>
      <c r="AF163" s="66" t="s">
        <v>75</v>
      </c>
      <c r="AG163" s="66"/>
      <c r="AH163" s="66"/>
      <c r="AI163" s="68" t="s">
        <v>76</v>
      </c>
      <c r="AJ163" s="68"/>
      <c r="AK163" s="68"/>
      <c r="AL163" s="68" t="s">
        <v>77</v>
      </c>
      <c r="AM163" s="68"/>
      <c r="AN163" s="68"/>
      <c r="AO163" s="66" t="s">
        <v>104</v>
      </c>
      <c r="AP163" s="66"/>
      <c r="AQ163" s="66"/>
      <c r="AR163" s="66" t="s">
        <v>78</v>
      </c>
      <c r="AS163" s="66"/>
      <c r="AT163" s="66"/>
      <c r="AU163" s="68" t="s">
        <v>105</v>
      </c>
      <c r="AV163" s="68"/>
      <c r="AW163" s="68"/>
      <c r="AX163" s="66" t="s">
        <v>106</v>
      </c>
      <c r="AY163" s="66"/>
      <c r="AZ163" s="66"/>
      <c r="BA163" s="68" t="s">
        <v>107</v>
      </c>
      <c r="BB163" s="68"/>
      <c r="BC163" s="68"/>
      <c r="BD163" s="66" t="s">
        <v>108</v>
      </c>
      <c r="BE163" s="66"/>
      <c r="BF163" s="66"/>
      <c r="BG163" s="68" t="s">
        <v>109</v>
      </c>
      <c r="BH163" s="68"/>
      <c r="BI163" s="68"/>
      <c r="BJ163" s="66" t="s">
        <v>110</v>
      </c>
      <c r="BK163" s="66"/>
      <c r="BL163" s="66"/>
      <c r="CA163" s="1" t="s">
        <v>103</v>
      </c>
    </row>
    <row r="164" spans="1:79" s="6" customFormat="1" ht="12.75" customHeight="1" x14ac:dyDescent="0.2">
      <c r="A164" s="40">
        <v>1</v>
      </c>
      <c r="B164" s="41"/>
      <c r="C164" s="41"/>
      <c r="D164" s="25" t="s">
        <v>200</v>
      </c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CA164" s="6" t="s">
        <v>43</v>
      </c>
    </row>
    <row r="165" spans="1:79" s="4" customFormat="1" ht="25.5" customHeight="1" x14ac:dyDescent="0.2">
      <c r="A165" s="35">
        <v>2</v>
      </c>
      <c r="B165" s="36"/>
      <c r="C165" s="36"/>
      <c r="D165" s="30" t="s">
        <v>201</v>
      </c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2"/>
      <c r="W165" s="34" t="s">
        <v>173</v>
      </c>
      <c r="X165" s="34"/>
      <c r="Y165" s="34"/>
      <c r="Z165" s="34" t="s">
        <v>173</v>
      </c>
      <c r="AA165" s="34"/>
      <c r="AB165" s="34"/>
      <c r="AC165" s="34"/>
      <c r="AD165" s="34"/>
      <c r="AE165" s="34"/>
      <c r="AF165" s="34"/>
      <c r="AG165" s="34"/>
      <c r="AH165" s="34"/>
      <c r="AI165" s="34" t="s">
        <v>173</v>
      </c>
      <c r="AJ165" s="34"/>
      <c r="AK165" s="34"/>
      <c r="AL165" s="34" t="s">
        <v>173</v>
      </c>
      <c r="AM165" s="34"/>
      <c r="AN165" s="34"/>
      <c r="AO165" s="34"/>
      <c r="AP165" s="34"/>
      <c r="AQ165" s="34"/>
      <c r="AR165" s="34"/>
      <c r="AS165" s="34"/>
      <c r="AT165" s="34"/>
      <c r="AU165" s="34" t="s">
        <v>173</v>
      </c>
      <c r="AV165" s="34"/>
      <c r="AW165" s="34"/>
      <c r="AX165" s="34"/>
      <c r="AY165" s="34"/>
      <c r="AZ165" s="34"/>
      <c r="BA165" s="34" t="s">
        <v>173</v>
      </c>
      <c r="BB165" s="34"/>
      <c r="BC165" s="34"/>
      <c r="BD165" s="34"/>
      <c r="BE165" s="34"/>
      <c r="BF165" s="34"/>
      <c r="BG165" s="34" t="s">
        <v>173</v>
      </c>
      <c r="BH165" s="34"/>
      <c r="BI165" s="34"/>
      <c r="BJ165" s="34"/>
      <c r="BK165" s="34"/>
      <c r="BL165" s="34"/>
    </row>
    <row r="168" spans="1:79" ht="14.25" customHeight="1" x14ac:dyDescent="0.2">
      <c r="A168" s="64" t="s">
        <v>153</v>
      </c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</row>
    <row r="169" spans="1:79" ht="14.25" customHeight="1" x14ac:dyDescent="0.2">
      <c r="A169" s="64" t="s">
        <v>230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</row>
    <row r="170" spans="1:79" ht="15" customHeight="1" x14ac:dyDescent="0.2">
      <c r="A170" s="69" t="s">
        <v>212</v>
      </c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</row>
    <row r="171" spans="1:79" ht="15" customHeight="1" x14ac:dyDescent="0.2">
      <c r="A171" s="39" t="s">
        <v>6</v>
      </c>
      <c r="B171" s="39"/>
      <c r="C171" s="39"/>
      <c r="D171" s="39"/>
      <c r="E171" s="39"/>
      <c r="F171" s="39"/>
      <c r="G171" s="39" t="s">
        <v>126</v>
      </c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 t="s">
        <v>13</v>
      </c>
      <c r="U171" s="39"/>
      <c r="V171" s="39"/>
      <c r="W171" s="39"/>
      <c r="X171" s="39"/>
      <c r="Y171" s="39"/>
      <c r="Z171" s="39"/>
      <c r="AA171" s="76" t="s">
        <v>213</v>
      </c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9"/>
      <c r="AP171" s="76" t="s">
        <v>216</v>
      </c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  <c r="BD171" s="78"/>
      <c r="BE171" s="76" t="s">
        <v>224</v>
      </c>
      <c r="BF171" s="77"/>
      <c r="BG171" s="77"/>
      <c r="BH171" s="77"/>
      <c r="BI171" s="77"/>
      <c r="BJ171" s="77"/>
      <c r="BK171" s="77"/>
      <c r="BL171" s="77"/>
      <c r="BM171" s="77"/>
      <c r="BN171" s="77"/>
      <c r="BO171" s="77"/>
      <c r="BP171" s="77"/>
      <c r="BQ171" s="77"/>
      <c r="BR171" s="77"/>
      <c r="BS171" s="78"/>
    </row>
    <row r="172" spans="1:79" ht="32.1" customHeight="1" x14ac:dyDescent="0.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 t="s">
        <v>4</v>
      </c>
      <c r="AB172" s="39"/>
      <c r="AC172" s="39"/>
      <c r="AD172" s="39"/>
      <c r="AE172" s="39"/>
      <c r="AF172" s="39" t="s">
        <v>3</v>
      </c>
      <c r="AG172" s="39"/>
      <c r="AH172" s="39"/>
      <c r="AI172" s="39"/>
      <c r="AJ172" s="39"/>
      <c r="AK172" s="39" t="s">
        <v>89</v>
      </c>
      <c r="AL172" s="39"/>
      <c r="AM172" s="39"/>
      <c r="AN172" s="39"/>
      <c r="AO172" s="39"/>
      <c r="AP172" s="39" t="s">
        <v>4</v>
      </c>
      <c r="AQ172" s="39"/>
      <c r="AR172" s="39"/>
      <c r="AS172" s="39"/>
      <c r="AT172" s="39"/>
      <c r="AU172" s="39" t="s">
        <v>3</v>
      </c>
      <c r="AV172" s="39"/>
      <c r="AW172" s="39"/>
      <c r="AX172" s="39"/>
      <c r="AY172" s="39"/>
      <c r="AZ172" s="39" t="s">
        <v>96</v>
      </c>
      <c r="BA172" s="39"/>
      <c r="BB172" s="39"/>
      <c r="BC172" s="39"/>
      <c r="BD172" s="39"/>
      <c r="BE172" s="39" t="s">
        <v>4</v>
      </c>
      <c r="BF172" s="39"/>
      <c r="BG172" s="39"/>
      <c r="BH172" s="39"/>
      <c r="BI172" s="39"/>
      <c r="BJ172" s="39" t="s">
        <v>3</v>
      </c>
      <c r="BK172" s="39"/>
      <c r="BL172" s="39"/>
      <c r="BM172" s="39"/>
      <c r="BN172" s="39"/>
      <c r="BO172" s="39" t="s">
        <v>127</v>
      </c>
      <c r="BP172" s="39"/>
      <c r="BQ172" s="39"/>
      <c r="BR172" s="39"/>
      <c r="BS172" s="39"/>
    </row>
    <row r="173" spans="1:79" ht="15" customHeight="1" x14ac:dyDescent="0.2">
      <c r="A173" s="39">
        <v>1</v>
      </c>
      <c r="B173" s="39"/>
      <c r="C173" s="39"/>
      <c r="D173" s="39"/>
      <c r="E173" s="39"/>
      <c r="F173" s="39"/>
      <c r="G173" s="39">
        <v>2</v>
      </c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>
        <v>3</v>
      </c>
      <c r="U173" s="39"/>
      <c r="V173" s="39"/>
      <c r="W173" s="39"/>
      <c r="X173" s="39"/>
      <c r="Y173" s="39"/>
      <c r="Z173" s="39"/>
      <c r="AA173" s="39">
        <v>4</v>
      </c>
      <c r="AB173" s="39"/>
      <c r="AC173" s="39"/>
      <c r="AD173" s="39"/>
      <c r="AE173" s="39"/>
      <c r="AF173" s="39">
        <v>5</v>
      </c>
      <c r="AG173" s="39"/>
      <c r="AH173" s="39"/>
      <c r="AI173" s="39"/>
      <c r="AJ173" s="39"/>
      <c r="AK173" s="39">
        <v>6</v>
      </c>
      <c r="AL173" s="39"/>
      <c r="AM173" s="39"/>
      <c r="AN173" s="39"/>
      <c r="AO173" s="39"/>
      <c r="AP173" s="39">
        <v>7</v>
      </c>
      <c r="AQ173" s="39"/>
      <c r="AR173" s="39"/>
      <c r="AS173" s="39"/>
      <c r="AT173" s="39"/>
      <c r="AU173" s="39">
        <v>8</v>
      </c>
      <c r="AV173" s="39"/>
      <c r="AW173" s="39"/>
      <c r="AX173" s="39"/>
      <c r="AY173" s="39"/>
      <c r="AZ173" s="39">
        <v>9</v>
      </c>
      <c r="BA173" s="39"/>
      <c r="BB173" s="39"/>
      <c r="BC173" s="39"/>
      <c r="BD173" s="39"/>
      <c r="BE173" s="39">
        <v>10</v>
      </c>
      <c r="BF173" s="39"/>
      <c r="BG173" s="39"/>
      <c r="BH173" s="39"/>
      <c r="BI173" s="39"/>
      <c r="BJ173" s="39">
        <v>11</v>
      </c>
      <c r="BK173" s="39"/>
      <c r="BL173" s="39"/>
      <c r="BM173" s="39"/>
      <c r="BN173" s="39"/>
      <c r="BO173" s="39">
        <v>12</v>
      </c>
      <c r="BP173" s="39"/>
      <c r="BQ173" s="39"/>
      <c r="BR173" s="39"/>
      <c r="BS173" s="39"/>
    </row>
    <row r="174" spans="1:79" s="1" customFormat="1" ht="15" hidden="1" customHeight="1" x14ac:dyDescent="0.2">
      <c r="A174" s="68" t="s">
        <v>69</v>
      </c>
      <c r="B174" s="68"/>
      <c r="C174" s="68"/>
      <c r="D174" s="68"/>
      <c r="E174" s="68"/>
      <c r="F174" s="68"/>
      <c r="G174" s="67" t="s">
        <v>57</v>
      </c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 t="s">
        <v>79</v>
      </c>
      <c r="U174" s="67"/>
      <c r="V174" s="67"/>
      <c r="W174" s="67"/>
      <c r="X174" s="67"/>
      <c r="Y174" s="67"/>
      <c r="Z174" s="67"/>
      <c r="AA174" s="66" t="s">
        <v>65</v>
      </c>
      <c r="AB174" s="66"/>
      <c r="AC174" s="66"/>
      <c r="AD174" s="66"/>
      <c r="AE174" s="66"/>
      <c r="AF174" s="66" t="s">
        <v>66</v>
      </c>
      <c r="AG174" s="66"/>
      <c r="AH174" s="66"/>
      <c r="AI174" s="66"/>
      <c r="AJ174" s="66"/>
      <c r="AK174" s="86" t="s">
        <v>122</v>
      </c>
      <c r="AL174" s="86"/>
      <c r="AM174" s="86"/>
      <c r="AN174" s="86"/>
      <c r="AO174" s="86"/>
      <c r="AP174" s="66" t="s">
        <v>67</v>
      </c>
      <c r="AQ174" s="66"/>
      <c r="AR174" s="66"/>
      <c r="AS174" s="66"/>
      <c r="AT174" s="66"/>
      <c r="AU174" s="66" t="s">
        <v>68</v>
      </c>
      <c r="AV174" s="66"/>
      <c r="AW174" s="66"/>
      <c r="AX174" s="66"/>
      <c r="AY174" s="66"/>
      <c r="AZ174" s="86" t="s">
        <v>122</v>
      </c>
      <c r="BA174" s="86"/>
      <c r="BB174" s="86"/>
      <c r="BC174" s="86"/>
      <c r="BD174" s="86"/>
      <c r="BE174" s="66" t="s">
        <v>58</v>
      </c>
      <c r="BF174" s="66"/>
      <c r="BG174" s="66"/>
      <c r="BH174" s="66"/>
      <c r="BI174" s="66"/>
      <c r="BJ174" s="66" t="s">
        <v>59</v>
      </c>
      <c r="BK174" s="66"/>
      <c r="BL174" s="66"/>
      <c r="BM174" s="66"/>
      <c r="BN174" s="66"/>
      <c r="BO174" s="86" t="s">
        <v>122</v>
      </c>
      <c r="BP174" s="86"/>
      <c r="BQ174" s="86"/>
      <c r="BR174" s="86"/>
      <c r="BS174" s="86"/>
      <c r="CA174" s="1" t="s">
        <v>44</v>
      </c>
    </row>
    <row r="175" spans="1:79" s="4" customFormat="1" ht="63.75" customHeight="1" x14ac:dyDescent="0.2">
      <c r="A175" s="29">
        <v>1</v>
      </c>
      <c r="B175" s="29"/>
      <c r="C175" s="29"/>
      <c r="D175" s="29"/>
      <c r="E175" s="29"/>
      <c r="F175" s="29"/>
      <c r="G175" s="30" t="s">
        <v>202</v>
      </c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2"/>
      <c r="T175" s="87" t="s">
        <v>203</v>
      </c>
      <c r="U175" s="31"/>
      <c r="V175" s="31"/>
      <c r="W175" s="31"/>
      <c r="X175" s="31"/>
      <c r="Y175" s="31"/>
      <c r="Z175" s="32"/>
      <c r="AA175" s="28">
        <v>0</v>
      </c>
      <c r="AB175" s="28"/>
      <c r="AC175" s="28"/>
      <c r="AD175" s="28"/>
      <c r="AE175" s="28"/>
      <c r="AF175" s="28">
        <v>0</v>
      </c>
      <c r="AG175" s="28"/>
      <c r="AH175" s="28"/>
      <c r="AI175" s="28"/>
      <c r="AJ175" s="28"/>
      <c r="AK175" s="28">
        <f>IF(ISNUMBER(AA175),AA175,0)+IF(ISNUMBER(AF175),AF175,0)</f>
        <v>0</v>
      </c>
      <c r="AL175" s="28"/>
      <c r="AM175" s="28"/>
      <c r="AN175" s="28"/>
      <c r="AO175" s="28"/>
      <c r="AP175" s="28">
        <v>0</v>
      </c>
      <c r="AQ175" s="28"/>
      <c r="AR175" s="28"/>
      <c r="AS175" s="28"/>
      <c r="AT175" s="28"/>
      <c r="AU175" s="28">
        <v>0</v>
      </c>
      <c r="AV175" s="28"/>
      <c r="AW175" s="28"/>
      <c r="AX175" s="28"/>
      <c r="AY175" s="28"/>
      <c r="AZ175" s="28">
        <f>IF(ISNUMBER(AP175),AP175,0)+IF(ISNUMBER(AU175),AU175,0)</f>
        <v>0</v>
      </c>
      <c r="BA175" s="28"/>
      <c r="BB175" s="28"/>
      <c r="BC175" s="28"/>
      <c r="BD175" s="28"/>
      <c r="BE175" s="28">
        <v>320000</v>
      </c>
      <c r="BF175" s="28"/>
      <c r="BG175" s="28"/>
      <c r="BH175" s="28"/>
      <c r="BI175" s="28"/>
      <c r="BJ175" s="28">
        <v>0</v>
      </c>
      <c r="BK175" s="28"/>
      <c r="BL175" s="28"/>
      <c r="BM175" s="28"/>
      <c r="BN175" s="28"/>
      <c r="BO175" s="28">
        <f>IF(ISNUMBER(BE175),BE175,0)+IF(ISNUMBER(BJ175),BJ175,0)</f>
        <v>320000</v>
      </c>
      <c r="BP175" s="28"/>
      <c r="BQ175" s="28"/>
      <c r="BR175" s="28"/>
      <c r="BS175" s="28"/>
      <c r="CA175" s="4" t="s">
        <v>45</v>
      </c>
    </row>
    <row r="176" spans="1:79" s="6" customFormat="1" ht="12.75" customHeight="1" x14ac:dyDescent="0.2">
      <c r="A176" s="24"/>
      <c r="B176" s="24"/>
      <c r="C176" s="24"/>
      <c r="D176" s="24"/>
      <c r="E176" s="24"/>
      <c r="F176" s="24"/>
      <c r="G176" s="25" t="s">
        <v>147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7"/>
      <c r="T176" s="33"/>
      <c r="U176" s="26"/>
      <c r="V176" s="26"/>
      <c r="W176" s="26"/>
      <c r="X176" s="26"/>
      <c r="Y176" s="26"/>
      <c r="Z176" s="27"/>
      <c r="AA176" s="23">
        <v>0</v>
      </c>
      <c r="AB176" s="23"/>
      <c r="AC176" s="23"/>
      <c r="AD176" s="23"/>
      <c r="AE176" s="23"/>
      <c r="AF176" s="23">
        <v>0</v>
      </c>
      <c r="AG176" s="23"/>
      <c r="AH176" s="23"/>
      <c r="AI176" s="23"/>
      <c r="AJ176" s="23"/>
      <c r="AK176" s="23">
        <f>IF(ISNUMBER(AA176),AA176,0)+IF(ISNUMBER(AF176),AF176,0)</f>
        <v>0</v>
      </c>
      <c r="AL176" s="23"/>
      <c r="AM176" s="23"/>
      <c r="AN176" s="23"/>
      <c r="AO176" s="23"/>
      <c r="AP176" s="23">
        <v>0</v>
      </c>
      <c r="AQ176" s="23"/>
      <c r="AR176" s="23"/>
      <c r="AS176" s="23"/>
      <c r="AT176" s="23"/>
      <c r="AU176" s="23">
        <v>0</v>
      </c>
      <c r="AV176" s="23"/>
      <c r="AW176" s="23"/>
      <c r="AX176" s="23"/>
      <c r="AY176" s="23"/>
      <c r="AZ176" s="23">
        <f>IF(ISNUMBER(AP176),AP176,0)+IF(ISNUMBER(AU176),AU176,0)</f>
        <v>0</v>
      </c>
      <c r="BA176" s="23"/>
      <c r="BB176" s="23"/>
      <c r="BC176" s="23"/>
      <c r="BD176" s="23"/>
      <c r="BE176" s="23">
        <v>320000</v>
      </c>
      <c r="BF176" s="23"/>
      <c r="BG176" s="23"/>
      <c r="BH176" s="23"/>
      <c r="BI176" s="23"/>
      <c r="BJ176" s="23">
        <v>0</v>
      </c>
      <c r="BK176" s="23"/>
      <c r="BL176" s="23"/>
      <c r="BM176" s="23"/>
      <c r="BN176" s="23"/>
      <c r="BO176" s="23">
        <f>IF(ISNUMBER(BE176),BE176,0)+IF(ISNUMBER(BJ176),BJ176,0)</f>
        <v>320000</v>
      </c>
      <c r="BP176" s="23"/>
      <c r="BQ176" s="23"/>
      <c r="BR176" s="23"/>
      <c r="BS176" s="23"/>
    </row>
    <row r="178" spans="1:79" ht="13.5" customHeight="1" x14ac:dyDescent="0.2">
      <c r="A178" s="64" t="s">
        <v>245</v>
      </c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</row>
    <row r="179" spans="1:79" ht="15" customHeight="1" x14ac:dyDescent="0.2">
      <c r="A179" s="79" t="s">
        <v>212</v>
      </c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  <c r="AZ179" s="79"/>
      <c r="BA179" s="79"/>
      <c r="BB179" s="79"/>
      <c r="BC179" s="79"/>
      <c r="BD179" s="79"/>
    </row>
    <row r="180" spans="1:79" ht="15" customHeight="1" x14ac:dyDescent="0.2">
      <c r="A180" s="39" t="s">
        <v>6</v>
      </c>
      <c r="B180" s="39"/>
      <c r="C180" s="39"/>
      <c r="D180" s="39"/>
      <c r="E180" s="39"/>
      <c r="F180" s="39"/>
      <c r="G180" s="39" t="s">
        <v>126</v>
      </c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 t="s">
        <v>13</v>
      </c>
      <c r="U180" s="39"/>
      <c r="V180" s="39"/>
      <c r="W180" s="39"/>
      <c r="X180" s="39"/>
      <c r="Y180" s="39"/>
      <c r="Z180" s="39"/>
      <c r="AA180" s="76" t="s">
        <v>234</v>
      </c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9"/>
      <c r="AP180" s="76" t="s">
        <v>239</v>
      </c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8"/>
    </row>
    <row r="181" spans="1:79" ht="32.1" customHeight="1" x14ac:dyDescent="0.2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 t="s">
        <v>4</v>
      </c>
      <c r="AB181" s="39"/>
      <c r="AC181" s="39"/>
      <c r="AD181" s="39"/>
      <c r="AE181" s="39"/>
      <c r="AF181" s="39" t="s">
        <v>3</v>
      </c>
      <c r="AG181" s="39"/>
      <c r="AH181" s="39"/>
      <c r="AI181" s="39"/>
      <c r="AJ181" s="39"/>
      <c r="AK181" s="39" t="s">
        <v>89</v>
      </c>
      <c r="AL181" s="39"/>
      <c r="AM181" s="39"/>
      <c r="AN181" s="39"/>
      <c r="AO181" s="39"/>
      <c r="AP181" s="39" t="s">
        <v>4</v>
      </c>
      <c r="AQ181" s="39"/>
      <c r="AR181" s="39"/>
      <c r="AS181" s="39"/>
      <c r="AT181" s="39"/>
      <c r="AU181" s="39" t="s">
        <v>3</v>
      </c>
      <c r="AV181" s="39"/>
      <c r="AW181" s="39"/>
      <c r="AX181" s="39"/>
      <c r="AY181" s="39"/>
      <c r="AZ181" s="39" t="s">
        <v>96</v>
      </c>
      <c r="BA181" s="39"/>
      <c r="BB181" s="39"/>
      <c r="BC181" s="39"/>
      <c r="BD181" s="39"/>
    </row>
    <row r="182" spans="1:79" ht="15" customHeight="1" x14ac:dyDescent="0.2">
      <c r="A182" s="39">
        <v>1</v>
      </c>
      <c r="B182" s="39"/>
      <c r="C182" s="39"/>
      <c r="D182" s="39"/>
      <c r="E182" s="39"/>
      <c r="F182" s="39"/>
      <c r="G182" s="39">
        <v>2</v>
      </c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>
        <v>3</v>
      </c>
      <c r="U182" s="39"/>
      <c r="V182" s="39"/>
      <c r="W182" s="39"/>
      <c r="X182" s="39"/>
      <c r="Y182" s="39"/>
      <c r="Z182" s="39"/>
      <c r="AA182" s="39">
        <v>4</v>
      </c>
      <c r="AB182" s="39"/>
      <c r="AC182" s="39"/>
      <c r="AD182" s="39"/>
      <c r="AE182" s="39"/>
      <c r="AF182" s="39">
        <v>5</v>
      </c>
      <c r="AG182" s="39"/>
      <c r="AH182" s="39"/>
      <c r="AI182" s="39"/>
      <c r="AJ182" s="39"/>
      <c r="AK182" s="39">
        <v>6</v>
      </c>
      <c r="AL182" s="39"/>
      <c r="AM182" s="39"/>
      <c r="AN182" s="39"/>
      <c r="AO182" s="39"/>
      <c r="AP182" s="39">
        <v>7</v>
      </c>
      <c r="AQ182" s="39"/>
      <c r="AR182" s="39"/>
      <c r="AS182" s="39"/>
      <c r="AT182" s="39"/>
      <c r="AU182" s="39">
        <v>8</v>
      </c>
      <c r="AV182" s="39"/>
      <c r="AW182" s="39"/>
      <c r="AX182" s="39"/>
      <c r="AY182" s="39"/>
      <c r="AZ182" s="39">
        <v>9</v>
      </c>
      <c r="BA182" s="39"/>
      <c r="BB182" s="39"/>
      <c r="BC182" s="39"/>
      <c r="BD182" s="39"/>
    </row>
    <row r="183" spans="1:79" s="1" customFormat="1" ht="12" hidden="1" customHeight="1" x14ac:dyDescent="0.2">
      <c r="A183" s="68" t="s">
        <v>69</v>
      </c>
      <c r="B183" s="68"/>
      <c r="C183" s="68"/>
      <c r="D183" s="68"/>
      <c r="E183" s="68"/>
      <c r="F183" s="68"/>
      <c r="G183" s="67" t="s">
        <v>57</v>
      </c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 t="s">
        <v>79</v>
      </c>
      <c r="U183" s="67"/>
      <c r="V183" s="67"/>
      <c r="W183" s="67"/>
      <c r="X183" s="67"/>
      <c r="Y183" s="67"/>
      <c r="Z183" s="67"/>
      <c r="AA183" s="66" t="s">
        <v>60</v>
      </c>
      <c r="AB183" s="66"/>
      <c r="AC183" s="66"/>
      <c r="AD183" s="66"/>
      <c r="AE183" s="66"/>
      <c r="AF183" s="66" t="s">
        <v>61</v>
      </c>
      <c r="AG183" s="66"/>
      <c r="AH183" s="66"/>
      <c r="AI183" s="66"/>
      <c r="AJ183" s="66"/>
      <c r="AK183" s="86" t="s">
        <v>122</v>
      </c>
      <c r="AL183" s="86"/>
      <c r="AM183" s="86"/>
      <c r="AN183" s="86"/>
      <c r="AO183" s="86"/>
      <c r="AP183" s="66" t="s">
        <v>62</v>
      </c>
      <c r="AQ183" s="66"/>
      <c r="AR183" s="66"/>
      <c r="AS183" s="66"/>
      <c r="AT183" s="66"/>
      <c r="AU183" s="66" t="s">
        <v>63</v>
      </c>
      <c r="AV183" s="66"/>
      <c r="AW183" s="66"/>
      <c r="AX183" s="66"/>
      <c r="AY183" s="66"/>
      <c r="AZ183" s="86" t="s">
        <v>122</v>
      </c>
      <c r="BA183" s="86"/>
      <c r="BB183" s="86"/>
      <c r="BC183" s="86"/>
      <c r="BD183" s="86"/>
      <c r="CA183" s="1" t="s">
        <v>46</v>
      </c>
    </row>
    <row r="184" spans="1:79" s="4" customFormat="1" ht="63.75" customHeight="1" x14ac:dyDescent="0.2">
      <c r="A184" s="29">
        <v>1</v>
      </c>
      <c r="B184" s="29"/>
      <c r="C184" s="29"/>
      <c r="D184" s="29"/>
      <c r="E184" s="29"/>
      <c r="F184" s="29"/>
      <c r="G184" s="30" t="s">
        <v>202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2"/>
      <c r="T184" s="87" t="s">
        <v>203</v>
      </c>
      <c r="U184" s="31"/>
      <c r="V184" s="31"/>
      <c r="W184" s="31"/>
      <c r="X184" s="31"/>
      <c r="Y184" s="31"/>
      <c r="Z184" s="32"/>
      <c r="AA184" s="28">
        <v>351680</v>
      </c>
      <c r="AB184" s="28"/>
      <c r="AC184" s="28"/>
      <c r="AD184" s="28"/>
      <c r="AE184" s="28"/>
      <c r="AF184" s="28">
        <v>0</v>
      </c>
      <c r="AG184" s="28"/>
      <c r="AH184" s="28"/>
      <c r="AI184" s="28"/>
      <c r="AJ184" s="28"/>
      <c r="AK184" s="28">
        <f>IF(ISNUMBER(AA184),AA184,0)+IF(ISNUMBER(AF184),AF184,0)</f>
        <v>351680</v>
      </c>
      <c r="AL184" s="28"/>
      <c r="AM184" s="28"/>
      <c r="AN184" s="28"/>
      <c r="AO184" s="28"/>
      <c r="AP184" s="28">
        <v>379814</v>
      </c>
      <c r="AQ184" s="28"/>
      <c r="AR184" s="28"/>
      <c r="AS184" s="28"/>
      <c r="AT184" s="28"/>
      <c r="AU184" s="28">
        <v>0</v>
      </c>
      <c r="AV184" s="28"/>
      <c r="AW184" s="28"/>
      <c r="AX184" s="28"/>
      <c r="AY184" s="28"/>
      <c r="AZ184" s="28">
        <f>IF(ISNUMBER(AP184),AP184,0)+IF(ISNUMBER(AU184),AU184,0)</f>
        <v>379814</v>
      </c>
      <c r="BA184" s="28"/>
      <c r="BB184" s="28"/>
      <c r="BC184" s="28"/>
      <c r="BD184" s="28"/>
      <c r="CA184" s="4" t="s">
        <v>47</v>
      </c>
    </row>
    <row r="185" spans="1:79" s="6" customFormat="1" x14ac:dyDescent="0.2">
      <c r="A185" s="24"/>
      <c r="B185" s="24"/>
      <c r="C185" s="24"/>
      <c r="D185" s="24"/>
      <c r="E185" s="24"/>
      <c r="F185" s="24"/>
      <c r="G185" s="25" t="s">
        <v>147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7"/>
      <c r="T185" s="33"/>
      <c r="U185" s="26"/>
      <c r="V185" s="26"/>
      <c r="W185" s="26"/>
      <c r="X185" s="26"/>
      <c r="Y185" s="26"/>
      <c r="Z185" s="27"/>
      <c r="AA185" s="23">
        <v>351680</v>
      </c>
      <c r="AB185" s="23"/>
      <c r="AC185" s="23"/>
      <c r="AD185" s="23"/>
      <c r="AE185" s="23"/>
      <c r="AF185" s="23">
        <v>0</v>
      </c>
      <c r="AG185" s="23"/>
      <c r="AH185" s="23"/>
      <c r="AI185" s="23"/>
      <c r="AJ185" s="23"/>
      <c r="AK185" s="23">
        <f>IF(ISNUMBER(AA185),AA185,0)+IF(ISNUMBER(AF185),AF185,0)</f>
        <v>351680</v>
      </c>
      <c r="AL185" s="23"/>
      <c r="AM185" s="23"/>
      <c r="AN185" s="23"/>
      <c r="AO185" s="23"/>
      <c r="AP185" s="23">
        <v>379814</v>
      </c>
      <c r="AQ185" s="23"/>
      <c r="AR185" s="23"/>
      <c r="AS185" s="23"/>
      <c r="AT185" s="23"/>
      <c r="AU185" s="23">
        <v>0</v>
      </c>
      <c r="AV185" s="23"/>
      <c r="AW185" s="23"/>
      <c r="AX185" s="23"/>
      <c r="AY185" s="23"/>
      <c r="AZ185" s="23">
        <f>IF(ISNUMBER(AP185),AP185,0)+IF(ISNUMBER(AU185),AU185,0)</f>
        <v>379814</v>
      </c>
      <c r="BA185" s="23"/>
      <c r="BB185" s="23"/>
      <c r="BC185" s="23"/>
      <c r="BD185" s="23"/>
    </row>
    <row r="188" spans="1:79" ht="14.25" customHeight="1" x14ac:dyDescent="0.2">
      <c r="A188" s="64" t="s">
        <v>246</v>
      </c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</row>
    <row r="189" spans="1:79" ht="15" customHeight="1" x14ac:dyDescent="0.2">
      <c r="A189" s="79" t="s">
        <v>212</v>
      </c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</row>
    <row r="190" spans="1:79" ht="23.1" customHeight="1" x14ac:dyDescent="0.2">
      <c r="A190" s="39" t="s">
        <v>128</v>
      </c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80" t="s">
        <v>129</v>
      </c>
      <c r="O190" s="81"/>
      <c r="P190" s="81"/>
      <c r="Q190" s="81"/>
      <c r="R190" s="81"/>
      <c r="S190" s="81"/>
      <c r="T190" s="81"/>
      <c r="U190" s="82"/>
      <c r="V190" s="80" t="s">
        <v>130</v>
      </c>
      <c r="W190" s="81"/>
      <c r="X190" s="81"/>
      <c r="Y190" s="81"/>
      <c r="Z190" s="82"/>
      <c r="AA190" s="39" t="s">
        <v>213</v>
      </c>
      <c r="AB190" s="39"/>
      <c r="AC190" s="39"/>
      <c r="AD190" s="39"/>
      <c r="AE190" s="39"/>
      <c r="AF190" s="39"/>
      <c r="AG190" s="39"/>
      <c r="AH190" s="39"/>
      <c r="AI190" s="39"/>
      <c r="AJ190" s="39" t="s">
        <v>216</v>
      </c>
      <c r="AK190" s="39"/>
      <c r="AL190" s="39"/>
      <c r="AM190" s="39"/>
      <c r="AN190" s="39"/>
      <c r="AO190" s="39"/>
      <c r="AP190" s="39"/>
      <c r="AQ190" s="39"/>
      <c r="AR190" s="39"/>
      <c r="AS190" s="39" t="s">
        <v>224</v>
      </c>
      <c r="AT190" s="39"/>
      <c r="AU190" s="39"/>
      <c r="AV190" s="39"/>
      <c r="AW190" s="39"/>
      <c r="AX190" s="39"/>
      <c r="AY190" s="39"/>
      <c r="AZ190" s="39"/>
      <c r="BA190" s="39"/>
      <c r="BB190" s="39" t="s">
        <v>234</v>
      </c>
      <c r="BC190" s="39"/>
      <c r="BD190" s="39"/>
      <c r="BE190" s="39"/>
      <c r="BF190" s="39"/>
      <c r="BG190" s="39"/>
      <c r="BH190" s="39"/>
      <c r="BI190" s="39"/>
      <c r="BJ190" s="39"/>
      <c r="BK190" s="39" t="s">
        <v>239</v>
      </c>
      <c r="BL190" s="39"/>
      <c r="BM190" s="39"/>
      <c r="BN190" s="39"/>
      <c r="BO190" s="39"/>
      <c r="BP190" s="39"/>
      <c r="BQ190" s="39"/>
      <c r="BR190" s="39"/>
      <c r="BS190" s="39"/>
    </row>
    <row r="191" spans="1:79" ht="95.25" customHeight="1" x14ac:dyDescent="0.2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83"/>
      <c r="O191" s="84"/>
      <c r="P191" s="84"/>
      <c r="Q191" s="84"/>
      <c r="R191" s="84"/>
      <c r="S191" s="84"/>
      <c r="T191" s="84"/>
      <c r="U191" s="85"/>
      <c r="V191" s="83"/>
      <c r="W191" s="84"/>
      <c r="X191" s="84"/>
      <c r="Y191" s="84"/>
      <c r="Z191" s="85"/>
      <c r="AA191" s="70" t="s">
        <v>133</v>
      </c>
      <c r="AB191" s="70"/>
      <c r="AC191" s="70"/>
      <c r="AD191" s="70"/>
      <c r="AE191" s="70"/>
      <c r="AF191" s="70" t="s">
        <v>134</v>
      </c>
      <c r="AG191" s="70"/>
      <c r="AH191" s="70"/>
      <c r="AI191" s="70"/>
      <c r="AJ191" s="70" t="s">
        <v>133</v>
      </c>
      <c r="AK191" s="70"/>
      <c r="AL191" s="70"/>
      <c r="AM191" s="70"/>
      <c r="AN191" s="70"/>
      <c r="AO191" s="70" t="s">
        <v>134</v>
      </c>
      <c r="AP191" s="70"/>
      <c r="AQ191" s="70"/>
      <c r="AR191" s="70"/>
      <c r="AS191" s="70" t="s">
        <v>133</v>
      </c>
      <c r="AT191" s="70"/>
      <c r="AU191" s="70"/>
      <c r="AV191" s="70"/>
      <c r="AW191" s="70"/>
      <c r="AX191" s="70" t="s">
        <v>134</v>
      </c>
      <c r="AY191" s="70"/>
      <c r="AZ191" s="70"/>
      <c r="BA191" s="70"/>
      <c r="BB191" s="70" t="s">
        <v>133</v>
      </c>
      <c r="BC191" s="70"/>
      <c r="BD191" s="70"/>
      <c r="BE191" s="70"/>
      <c r="BF191" s="70"/>
      <c r="BG191" s="70" t="s">
        <v>134</v>
      </c>
      <c r="BH191" s="70"/>
      <c r="BI191" s="70"/>
      <c r="BJ191" s="70"/>
      <c r="BK191" s="70" t="s">
        <v>133</v>
      </c>
      <c r="BL191" s="70"/>
      <c r="BM191" s="70"/>
      <c r="BN191" s="70"/>
      <c r="BO191" s="70"/>
      <c r="BP191" s="70" t="s">
        <v>134</v>
      </c>
      <c r="BQ191" s="70"/>
      <c r="BR191" s="70"/>
      <c r="BS191" s="70"/>
    </row>
    <row r="192" spans="1:79" ht="15" customHeight="1" x14ac:dyDescent="0.2">
      <c r="A192" s="39">
        <v>1</v>
      </c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76">
        <v>2</v>
      </c>
      <c r="O192" s="77"/>
      <c r="P192" s="77"/>
      <c r="Q192" s="77"/>
      <c r="R192" s="77"/>
      <c r="S192" s="77"/>
      <c r="T192" s="77"/>
      <c r="U192" s="78"/>
      <c r="V192" s="39">
        <v>3</v>
      </c>
      <c r="W192" s="39"/>
      <c r="X192" s="39"/>
      <c r="Y192" s="39"/>
      <c r="Z192" s="39"/>
      <c r="AA192" s="39">
        <v>4</v>
      </c>
      <c r="AB192" s="39"/>
      <c r="AC192" s="39"/>
      <c r="AD192" s="39"/>
      <c r="AE192" s="39"/>
      <c r="AF192" s="39">
        <v>5</v>
      </c>
      <c r="AG192" s="39"/>
      <c r="AH192" s="39"/>
      <c r="AI192" s="39"/>
      <c r="AJ192" s="39">
        <v>6</v>
      </c>
      <c r="AK192" s="39"/>
      <c r="AL192" s="39"/>
      <c r="AM192" s="39"/>
      <c r="AN192" s="39"/>
      <c r="AO192" s="39">
        <v>7</v>
      </c>
      <c r="AP192" s="39"/>
      <c r="AQ192" s="39"/>
      <c r="AR192" s="39"/>
      <c r="AS192" s="39">
        <v>8</v>
      </c>
      <c r="AT192" s="39"/>
      <c r="AU192" s="39"/>
      <c r="AV192" s="39"/>
      <c r="AW192" s="39"/>
      <c r="AX192" s="39">
        <v>9</v>
      </c>
      <c r="AY192" s="39"/>
      <c r="AZ192" s="39"/>
      <c r="BA192" s="39"/>
      <c r="BB192" s="39">
        <v>10</v>
      </c>
      <c r="BC192" s="39"/>
      <c r="BD192" s="39"/>
      <c r="BE192" s="39"/>
      <c r="BF192" s="39"/>
      <c r="BG192" s="39">
        <v>11</v>
      </c>
      <c r="BH192" s="39"/>
      <c r="BI192" s="39"/>
      <c r="BJ192" s="39"/>
      <c r="BK192" s="39">
        <v>12</v>
      </c>
      <c r="BL192" s="39"/>
      <c r="BM192" s="39"/>
      <c r="BN192" s="39"/>
      <c r="BO192" s="39"/>
      <c r="BP192" s="39">
        <v>13</v>
      </c>
      <c r="BQ192" s="39"/>
      <c r="BR192" s="39"/>
      <c r="BS192" s="39"/>
    </row>
    <row r="193" spans="1:79" s="1" customFormat="1" ht="12" hidden="1" customHeight="1" x14ac:dyDescent="0.2">
      <c r="A193" s="67" t="s">
        <v>146</v>
      </c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8" t="s">
        <v>131</v>
      </c>
      <c r="O193" s="68"/>
      <c r="P193" s="68"/>
      <c r="Q193" s="68"/>
      <c r="R193" s="68"/>
      <c r="S193" s="68"/>
      <c r="T193" s="68"/>
      <c r="U193" s="68"/>
      <c r="V193" s="68" t="s">
        <v>132</v>
      </c>
      <c r="W193" s="68"/>
      <c r="X193" s="68"/>
      <c r="Y193" s="68"/>
      <c r="Z193" s="68"/>
      <c r="AA193" s="66" t="s">
        <v>65</v>
      </c>
      <c r="AB193" s="66"/>
      <c r="AC193" s="66"/>
      <c r="AD193" s="66"/>
      <c r="AE193" s="66"/>
      <c r="AF193" s="66" t="s">
        <v>66</v>
      </c>
      <c r="AG193" s="66"/>
      <c r="AH193" s="66"/>
      <c r="AI193" s="66"/>
      <c r="AJ193" s="66" t="s">
        <v>67</v>
      </c>
      <c r="AK193" s="66"/>
      <c r="AL193" s="66"/>
      <c r="AM193" s="66"/>
      <c r="AN193" s="66"/>
      <c r="AO193" s="66" t="s">
        <v>68</v>
      </c>
      <c r="AP193" s="66"/>
      <c r="AQ193" s="66"/>
      <c r="AR193" s="66"/>
      <c r="AS193" s="66" t="s">
        <v>58</v>
      </c>
      <c r="AT193" s="66"/>
      <c r="AU193" s="66"/>
      <c r="AV193" s="66"/>
      <c r="AW193" s="66"/>
      <c r="AX193" s="66" t="s">
        <v>59</v>
      </c>
      <c r="AY193" s="66"/>
      <c r="AZ193" s="66"/>
      <c r="BA193" s="66"/>
      <c r="BB193" s="66" t="s">
        <v>60</v>
      </c>
      <c r="BC193" s="66"/>
      <c r="BD193" s="66"/>
      <c r="BE193" s="66"/>
      <c r="BF193" s="66"/>
      <c r="BG193" s="66" t="s">
        <v>61</v>
      </c>
      <c r="BH193" s="66"/>
      <c r="BI193" s="66"/>
      <c r="BJ193" s="66"/>
      <c r="BK193" s="66" t="s">
        <v>62</v>
      </c>
      <c r="BL193" s="66"/>
      <c r="BM193" s="66"/>
      <c r="BN193" s="66"/>
      <c r="BO193" s="66"/>
      <c r="BP193" s="66" t="s">
        <v>63</v>
      </c>
      <c r="BQ193" s="66"/>
      <c r="BR193" s="66"/>
      <c r="BS193" s="66"/>
      <c r="CA193" s="1" t="s">
        <v>48</v>
      </c>
    </row>
    <row r="194" spans="1:79" s="6" customFormat="1" ht="12.75" customHeight="1" x14ac:dyDescent="0.2">
      <c r="A194" s="63" t="s">
        <v>147</v>
      </c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40"/>
      <c r="O194" s="41"/>
      <c r="P194" s="41"/>
      <c r="Q194" s="41"/>
      <c r="R194" s="41"/>
      <c r="S194" s="41"/>
      <c r="T194" s="41"/>
      <c r="U194" s="53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75"/>
      <c r="AX194" s="75"/>
      <c r="AY194" s="75"/>
      <c r="AZ194" s="75"/>
      <c r="BA194" s="75"/>
      <c r="BB194" s="75"/>
      <c r="BC194" s="75"/>
      <c r="BD194" s="75"/>
      <c r="BE194" s="75"/>
      <c r="BF194" s="75"/>
      <c r="BG194" s="75"/>
      <c r="BH194" s="75"/>
      <c r="BI194" s="75"/>
      <c r="BJ194" s="75"/>
      <c r="BK194" s="75"/>
      <c r="BL194" s="75"/>
      <c r="BM194" s="75"/>
      <c r="BN194" s="75"/>
      <c r="BO194" s="75"/>
      <c r="BP194" s="71"/>
      <c r="BQ194" s="72"/>
      <c r="BR194" s="72"/>
      <c r="BS194" s="73"/>
      <c r="CA194" s="6" t="s">
        <v>49</v>
      </c>
    </row>
    <row r="197" spans="1:79" ht="35.25" customHeight="1" x14ac:dyDescent="0.2">
      <c r="A197" s="64" t="s">
        <v>247</v>
      </c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</row>
    <row r="198" spans="1:79" ht="15" x14ac:dyDescent="0.2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</row>
    <row r="199" spans="1:79" ht="1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1" spans="1:79" ht="28.5" customHeight="1" x14ac:dyDescent="0.2">
      <c r="A201" s="74" t="s">
        <v>231</v>
      </c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</row>
    <row r="202" spans="1:79" ht="14.25" customHeight="1" x14ac:dyDescent="0.2">
      <c r="A202" s="64" t="s">
        <v>214</v>
      </c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</row>
    <row r="203" spans="1:79" ht="15" customHeight="1" x14ac:dyDescent="0.2">
      <c r="A203" s="69" t="s">
        <v>212</v>
      </c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</row>
    <row r="204" spans="1:79" ht="42.95" customHeight="1" x14ac:dyDescent="0.2">
      <c r="A204" s="70" t="s">
        <v>135</v>
      </c>
      <c r="B204" s="70"/>
      <c r="C204" s="70"/>
      <c r="D204" s="70"/>
      <c r="E204" s="70"/>
      <c r="F204" s="70"/>
      <c r="G204" s="39" t="s">
        <v>19</v>
      </c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 t="s">
        <v>15</v>
      </c>
      <c r="U204" s="39"/>
      <c r="V204" s="39"/>
      <c r="W204" s="39"/>
      <c r="X204" s="39"/>
      <c r="Y204" s="39"/>
      <c r="Z204" s="39" t="s">
        <v>14</v>
      </c>
      <c r="AA204" s="39"/>
      <c r="AB204" s="39"/>
      <c r="AC204" s="39"/>
      <c r="AD204" s="39"/>
      <c r="AE204" s="39" t="s">
        <v>136</v>
      </c>
      <c r="AF204" s="39"/>
      <c r="AG204" s="39"/>
      <c r="AH204" s="39"/>
      <c r="AI204" s="39"/>
      <c r="AJ204" s="39"/>
      <c r="AK204" s="39" t="s">
        <v>137</v>
      </c>
      <c r="AL204" s="39"/>
      <c r="AM204" s="39"/>
      <c r="AN204" s="39"/>
      <c r="AO204" s="39"/>
      <c r="AP204" s="39"/>
      <c r="AQ204" s="39" t="s">
        <v>138</v>
      </c>
      <c r="AR204" s="39"/>
      <c r="AS204" s="39"/>
      <c r="AT204" s="39"/>
      <c r="AU204" s="39"/>
      <c r="AV204" s="39"/>
      <c r="AW204" s="39" t="s">
        <v>98</v>
      </c>
      <c r="AX204" s="39"/>
      <c r="AY204" s="39"/>
      <c r="AZ204" s="39"/>
      <c r="BA204" s="39"/>
      <c r="BB204" s="39"/>
      <c r="BC204" s="39"/>
      <c r="BD204" s="39"/>
      <c r="BE204" s="39"/>
      <c r="BF204" s="39"/>
      <c r="BG204" s="39" t="s">
        <v>139</v>
      </c>
      <c r="BH204" s="39"/>
      <c r="BI204" s="39"/>
      <c r="BJ204" s="39"/>
      <c r="BK204" s="39"/>
      <c r="BL204" s="39"/>
    </row>
    <row r="205" spans="1:79" ht="39.950000000000003" customHeight="1" x14ac:dyDescent="0.2">
      <c r="A205" s="70"/>
      <c r="B205" s="70"/>
      <c r="C205" s="70"/>
      <c r="D205" s="70"/>
      <c r="E205" s="70"/>
      <c r="F205" s="70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 t="s">
        <v>17</v>
      </c>
      <c r="AX205" s="39"/>
      <c r="AY205" s="39"/>
      <c r="AZ205" s="39"/>
      <c r="BA205" s="39"/>
      <c r="BB205" s="39" t="s">
        <v>16</v>
      </c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</row>
    <row r="206" spans="1:79" ht="15" customHeight="1" x14ac:dyDescent="0.2">
      <c r="A206" s="39">
        <v>1</v>
      </c>
      <c r="B206" s="39"/>
      <c r="C206" s="39"/>
      <c r="D206" s="39"/>
      <c r="E206" s="39"/>
      <c r="F206" s="39"/>
      <c r="G206" s="39">
        <v>2</v>
      </c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>
        <v>3</v>
      </c>
      <c r="U206" s="39"/>
      <c r="V206" s="39"/>
      <c r="W206" s="39"/>
      <c r="X206" s="39"/>
      <c r="Y206" s="39"/>
      <c r="Z206" s="39">
        <v>4</v>
      </c>
      <c r="AA206" s="39"/>
      <c r="AB206" s="39"/>
      <c r="AC206" s="39"/>
      <c r="AD206" s="39"/>
      <c r="AE206" s="39">
        <v>5</v>
      </c>
      <c r="AF206" s="39"/>
      <c r="AG206" s="39"/>
      <c r="AH206" s="39"/>
      <c r="AI206" s="39"/>
      <c r="AJ206" s="39"/>
      <c r="AK206" s="39">
        <v>6</v>
      </c>
      <c r="AL206" s="39"/>
      <c r="AM206" s="39"/>
      <c r="AN206" s="39"/>
      <c r="AO206" s="39"/>
      <c r="AP206" s="39"/>
      <c r="AQ206" s="39">
        <v>7</v>
      </c>
      <c r="AR206" s="39"/>
      <c r="AS206" s="39"/>
      <c r="AT206" s="39"/>
      <c r="AU206" s="39"/>
      <c r="AV206" s="39"/>
      <c r="AW206" s="39">
        <v>8</v>
      </c>
      <c r="AX206" s="39"/>
      <c r="AY206" s="39"/>
      <c r="AZ206" s="39"/>
      <c r="BA206" s="39"/>
      <c r="BB206" s="39">
        <v>9</v>
      </c>
      <c r="BC206" s="39"/>
      <c r="BD206" s="39"/>
      <c r="BE206" s="39"/>
      <c r="BF206" s="39"/>
      <c r="BG206" s="39">
        <v>10</v>
      </c>
      <c r="BH206" s="39"/>
      <c r="BI206" s="39"/>
      <c r="BJ206" s="39"/>
      <c r="BK206" s="39"/>
      <c r="BL206" s="39"/>
    </row>
    <row r="207" spans="1:79" s="1" customFormat="1" ht="12" hidden="1" customHeight="1" x14ac:dyDescent="0.2">
      <c r="A207" s="68" t="s">
        <v>64</v>
      </c>
      <c r="B207" s="68"/>
      <c r="C207" s="68"/>
      <c r="D207" s="68"/>
      <c r="E207" s="68"/>
      <c r="F207" s="68"/>
      <c r="G207" s="67" t="s">
        <v>57</v>
      </c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6" t="s">
        <v>80</v>
      </c>
      <c r="U207" s="66"/>
      <c r="V207" s="66"/>
      <c r="W207" s="66"/>
      <c r="X207" s="66"/>
      <c r="Y207" s="66"/>
      <c r="Z207" s="66" t="s">
        <v>81</v>
      </c>
      <c r="AA207" s="66"/>
      <c r="AB207" s="66"/>
      <c r="AC207" s="66"/>
      <c r="AD207" s="66"/>
      <c r="AE207" s="66" t="s">
        <v>82</v>
      </c>
      <c r="AF207" s="66"/>
      <c r="AG207" s="66"/>
      <c r="AH207" s="66"/>
      <c r="AI207" s="66"/>
      <c r="AJ207" s="66"/>
      <c r="AK207" s="66" t="s">
        <v>83</v>
      </c>
      <c r="AL207" s="66"/>
      <c r="AM207" s="66"/>
      <c r="AN207" s="66"/>
      <c r="AO207" s="66"/>
      <c r="AP207" s="66"/>
      <c r="AQ207" s="68" t="s">
        <v>99</v>
      </c>
      <c r="AR207" s="66"/>
      <c r="AS207" s="66"/>
      <c r="AT207" s="66"/>
      <c r="AU207" s="66"/>
      <c r="AV207" s="66"/>
      <c r="AW207" s="66" t="s">
        <v>84</v>
      </c>
      <c r="AX207" s="66"/>
      <c r="AY207" s="66"/>
      <c r="AZ207" s="66"/>
      <c r="BA207" s="66"/>
      <c r="BB207" s="66" t="s">
        <v>85</v>
      </c>
      <c r="BC207" s="66"/>
      <c r="BD207" s="66"/>
      <c r="BE207" s="66"/>
      <c r="BF207" s="66"/>
      <c r="BG207" s="68" t="s">
        <v>100</v>
      </c>
      <c r="BH207" s="66"/>
      <c r="BI207" s="66"/>
      <c r="BJ207" s="66"/>
      <c r="BK207" s="66"/>
      <c r="BL207" s="66"/>
      <c r="CA207" s="1" t="s">
        <v>50</v>
      </c>
    </row>
    <row r="208" spans="1:79" s="6" customFormat="1" ht="12.75" customHeight="1" x14ac:dyDescent="0.2">
      <c r="A208" s="24"/>
      <c r="B208" s="24"/>
      <c r="C208" s="24"/>
      <c r="D208" s="24"/>
      <c r="E208" s="24"/>
      <c r="F208" s="24"/>
      <c r="G208" s="63" t="s">
        <v>147</v>
      </c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>
        <f>IF(ISNUMBER(AK208),AK208,0)-IF(ISNUMBER(AE208),AE208,0)</f>
        <v>0</v>
      </c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>
        <f>IF(ISNUMBER(Z208),Z208,0)+IF(ISNUMBER(AK208),AK208,0)</f>
        <v>0</v>
      </c>
      <c r="BH208" s="23"/>
      <c r="BI208" s="23"/>
      <c r="BJ208" s="23"/>
      <c r="BK208" s="23"/>
      <c r="BL208" s="23"/>
      <c r="CA208" s="6" t="s">
        <v>51</v>
      </c>
    </row>
    <row r="210" spans="1:79" ht="14.25" customHeight="1" x14ac:dyDescent="0.2">
      <c r="A210" s="64" t="s">
        <v>232</v>
      </c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</row>
    <row r="211" spans="1:79" ht="15" customHeight="1" x14ac:dyDescent="0.2">
      <c r="A211" s="69" t="s">
        <v>212</v>
      </c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</row>
    <row r="212" spans="1:79" ht="18" customHeight="1" x14ac:dyDescent="0.2">
      <c r="A212" s="39" t="s">
        <v>135</v>
      </c>
      <c r="B212" s="39"/>
      <c r="C212" s="39"/>
      <c r="D212" s="39"/>
      <c r="E212" s="39"/>
      <c r="F212" s="39"/>
      <c r="G212" s="39" t="s">
        <v>19</v>
      </c>
      <c r="H212" s="39"/>
      <c r="I212" s="39"/>
      <c r="J212" s="39"/>
      <c r="K212" s="39"/>
      <c r="L212" s="39"/>
      <c r="M212" s="39"/>
      <c r="N212" s="39"/>
      <c r="O212" s="39"/>
      <c r="P212" s="39"/>
      <c r="Q212" s="39" t="s">
        <v>218</v>
      </c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 t="s">
        <v>229</v>
      </c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</row>
    <row r="213" spans="1:79" ht="42.95" customHeight="1" x14ac:dyDescent="0.2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 t="s">
        <v>140</v>
      </c>
      <c r="R213" s="39"/>
      <c r="S213" s="39"/>
      <c r="T213" s="39"/>
      <c r="U213" s="39"/>
      <c r="V213" s="70" t="s">
        <v>141</v>
      </c>
      <c r="W213" s="70"/>
      <c r="X213" s="70"/>
      <c r="Y213" s="70"/>
      <c r="Z213" s="39" t="s">
        <v>142</v>
      </c>
      <c r="AA213" s="39"/>
      <c r="AB213" s="39"/>
      <c r="AC213" s="39"/>
      <c r="AD213" s="39"/>
      <c r="AE213" s="39"/>
      <c r="AF213" s="39"/>
      <c r="AG213" s="39"/>
      <c r="AH213" s="39"/>
      <c r="AI213" s="39"/>
      <c r="AJ213" s="39" t="s">
        <v>143</v>
      </c>
      <c r="AK213" s="39"/>
      <c r="AL213" s="39"/>
      <c r="AM213" s="39"/>
      <c r="AN213" s="39"/>
      <c r="AO213" s="39" t="s">
        <v>20</v>
      </c>
      <c r="AP213" s="39"/>
      <c r="AQ213" s="39"/>
      <c r="AR213" s="39"/>
      <c r="AS213" s="39"/>
      <c r="AT213" s="70" t="s">
        <v>144</v>
      </c>
      <c r="AU213" s="70"/>
      <c r="AV213" s="70"/>
      <c r="AW213" s="70"/>
      <c r="AX213" s="39" t="s">
        <v>142</v>
      </c>
      <c r="AY213" s="39"/>
      <c r="AZ213" s="39"/>
      <c r="BA213" s="39"/>
      <c r="BB213" s="39"/>
      <c r="BC213" s="39"/>
      <c r="BD213" s="39"/>
      <c r="BE213" s="39"/>
      <c r="BF213" s="39"/>
      <c r="BG213" s="39"/>
      <c r="BH213" s="39" t="s">
        <v>145</v>
      </c>
      <c r="BI213" s="39"/>
      <c r="BJ213" s="39"/>
      <c r="BK213" s="39"/>
      <c r="BL213" s="39"/>
    </row>
    <row r="214" spans="1:79" ht="63" customHeight="1" x14ac:dyDescent="0.2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70"/>
      <c r="W214" s="70"/>
      <c r="X214" s="70"/>
      <c r="Y214" s="70"/>
      <c r="Z214" s="39" t="s">
        <v>17</v>
      </c>
      <c r="AA214" s="39"/>
      <c r="AB214" s="39"/>
      <c r="AC214" s="39"/>
      <c r="AD214" s="39"/>
      <c r="AE214" s="39" t="s">
        <v>16</v>
      </c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70"/>
      <c r="AU214" s="70"/>
      <c r="AV214" s="70"/>
      <c r="AW214" s="70"/>
      <c r="AX214" s="39" t="s">
        <v>17</v>
      </c>
      <c r="AY214" s="39"/>
      <c r="AZ214" s="39"/>
      <c r="BA214" s="39"/>
      <c r="BB214" s="39"/>
      <c r="BC214" s="39" t="s">
        <v>16</v>
      </c>
      <c r="BD214" s="39"/>
      <c r="BE214" s="39"/>
      <c r="BF214" s="39"/>
      <c r="BG214" s="39"/>
      <c r="BH214" s="39"/>
      <c r="BI214" s="39"/>
      <c r="BJ214" s="39"/>
      <c r="BK214" s="39"/>
      <c r="BL214" s="39"/>
    </row>
    <row r="215" spans="1:79" ht="15" customHeight="1" x14ac:dyDescent="0.2">
      <c r="A215" s="39">
        <v>1</v>
      </c>
      <c r="B215" s="39"/>
      <c r="C215" s="39"/>
      <c r="D215" s="39"/>
      <c r="E215" s="39"/>
      <c r="F215" s="39"/>
      <c r="G215" s="39">
        <v>2</v>
      </c>
      <c r="H215" s="39"/>
      <c r="I215" s="39"/>
      <c r="J215" s="39"/>
      <c r="K215" s="39"/>
      <c r="L215" s="39"/>
      <c r="M215" s="39"/>
      <c r="N215" s="39"/>
      <c r="O215" s="39"/>
      <c r="P215" s="39"/>
      <c r="Q215" s="39">
        <v>3</v>
      </c>
      <c r="R215" s="39"/>
      <c r="S215" s="39"/>
      <c r="T215" s="39"/>
      <c r="U215" s="39"/>
      <c r="V215" s="39">
        <v>4</v>
      </c>
      <c r="W215" s="39"/>
      <c r="X215" s="39"/>
      <c r="Y215" s="39"/>
      <c r="Z215" s="39">
        <v>5</v>
      </c>
      <c r="AA215" s="39"/>
      <c r="AB215" s="39"/>
      <c r="AC215" s="39"/>
      <c r="AD215" s="39"/>
      <c r="AE215" s="39">
        <v>6</v>
      </c>
      <c r="AF215" s="39"/>
      <c r="AG215" s="39"/>
      <c r="AH215" s="39"/>
      <c r="AI215" s="39"/>
      <c r="AJ215" s="39">
        <v>7</v>
      </c>
      <c r="AK215" s="39"/>
      <c r="AL215" s="39"/>
      <c r="AM215" s="39"/>
      <c r="AN215" s="39"/>
      <c r="AO215" s="39">
        <v>8</v>
      </c>
      <c r="AP215" s="39"/>
      <c r="AQ215" s="39"/>
      <c r="AR215" s="39"/>
      <c r="AS215" s="39"/>
      <c r="AT215" s="39">
        <v>9</v>
      </c>
      <c r="AU215" s="39"/>
      <c r="AV215" s="39"/>
      <c r="AW215" s="39"/>
      <c r="AX215" s="39">
        <v>10</v>
      </c>
      <c r="AY215" s="39"/>
      <c r="AZ215" s="39"/>
      <c r="BA215" s="39"/>
      <c r="BB215" s="39"/>
      <c r="BC215" s="39">
        <v>11</v>
      </c>
      <c r="BD215" s="39"/>
      <c r="BE215" s="39"/>
      <c r="BF215" s="39"/>
      <c r="BG215" s="39"/>
      <c r="BH215" s="39">
        <v>12</v>
      </c>
      <c r="BI215" s="39"/>
      <c r="BJ215" s="39"/>
      <c r="BK215" s="39"/>
      <c r="BL215" s="39"/>
    </row>
    <row r="216" spans="1:79" s="1" customFormat="1" ht="12" hidden="1" customHeight="1" x14ac:dyDescent="0.2">
      <c r="A216" s="68" t="s">
        <v>64</v>
      </c>
      <c r="B216" s="68"/>
      <c r="C216" s="68"/>
      <c r="D216" s="68"/>
      <c r="E216" s="68"/>
      <c r="F216" s="68"/>
      <c r="G216" s="67" t="s">
        <v>57</v>
      </c>
      <c r="H216" s="67"/>
      <c r="I216" s="67"/>
      <c r="J216" s="67"/>
      <c r="K216" s="67"/>
      <c r="L216" s="67"/>
      <c r="M216" s="67"/>
      <c r="N216" s="67"/>
      <c r="O216" s="67"/>
      <c r="P216" s="67"/>
      <c r="Q216" s="66" t="s">
        <v>80</v>
      </c>
      <c r="R216" s="66"/>
      <c r="S216" s="66"/>
      <c r="T216" s="66"/>
      <c r="U216" s="66"/>
      <c r="V216" s="66" t="s">
        <v>81</v>
      </c>
      <c r="W216" s="66"/>
      <c r="X216" s="66"/>
      <c r="Y216" s="66"/>
      <c r="Z216" s="66" t="s">
        <v>82</v>
      </c>
      <c r="AA216" s="66"/>
      <c r="AB216" s="66"/>
      <c r="AC216" s="66"/>
      <c r="AD216" s="66"/>
      <c r="AE216" s="66" t="s">
        <v>83</v>
      </c>
      <c r="AF216" s="66"/>
      <c r="AG216" s="66"/>
      <c r="AH216" s="66"/>
      <c r="AI216" s="66"/>
      <c r="AJ216" s="68" t="s">
        <v>101</v>
      </c>
      <c r="AK216" s="66"/>
      <c r="AL216" s="66"/>
      <c r="AM216" s="66"/>
      <c r="AN216" s="66"/>
      <c r="AO216" s="66" t="s">
        <v>84</v>
      </c>
      <c r="AP216" s="66"/>
      <c r="AQ216" s="66"/>
      <c r="AR216" s="66"/>
      <c r="AS216" s="66"/>
      <c r="AT216" s="68" t="s">
        <v>102</v>
      </c>
      <c r="AU216" s="66"/>
      <c r="AV216" s="66"/>
      <c r="AW216" s="66"/>
      <c r="AX216" s="66" t="s">
        <v>85</v>
      </c>
      <c r="AY216" s="66"/>
      <c r="AZ216" s="66"/>
      <c r="BA216" s="66"/>
      <c r="BB216" s="66"/>
      <c r="BC216" s="66" t="s">
        <v>86</v>
      </c>
      <c r="BD216" s="66"/>
      <c r="BE216" s="66"/>
      <c r="BF216" s="66"/>
      <c r="BG216" s="66"/>
      <c r="BH216" s="68" t="s">
        <v>101</v>
      </c>
      <c r="BI216" s="66"/>
      <c r="BJ216" s="66"/>
      <c r="BK216" s="66"/>
      <c r="BL216" s="66"/>
      <c r="CA216" s="1" t="s">
        <v>52</v>
      </c>
    </row>
    <row r="217" spans="1:79" s="4" customFormat="1" ht="25.5" customHeight="1" x14ac:dyDescent="0.2">
      <c r="A217" s="29">
        <v>2240</v>
      </c>
      <c r="B217" s="29"/>
      <c r="C217" s="29"/>
      <c r="D217" s="29"/>
      <c r="E217" s="29"/>
      <c r="F217" s="29"/>
      <c r="G217" s="30" t="s">
        <v>174</v>
      </c>
      <c r="H217" s="31"/>
      <c r="I217" s="31"/>
      <c r="J217" s="31"/>
      <c r="K217" s="31"/>
      <c r="L217" s="31"/>
      <c r="M217" s="31"/>
      <c r="N217" s="31"/>
      <c r="O217" s="31"/>
      <c r="P217" s="32"/>
      <c r="Q217" s="28">
        <v>0</v>
      </c>
      <c r="R217" s="28"/>
      <c r="S217" s="28"/>
      <c r="T217" s="28"/>
      <c r="U217" s="28"/>
      <c r="V217" s="28">
        <v>0</v>
      </c>
      <c r="W217" s="28"/>
      <c r="X217" s="28"/>
      <c r="Y217" s="28"/>
      <c r="Z217" s="28">
        <v>0</v>
      </c>
      <c r="AA217" s="28"/>
      <c r="AB217" s="28"/>
      <c r="AC217" s="28"/>
      <c r="AD217" s="28"/>
      <c r="AE217" s="28">
        <v>0</v>
      </c>
      <c r="AF217" s="28"/>
      <c r="AG217" s="28"/>
      <c r="AH217" s="28"/>
      <c r="AI217" s="28"/>
      <c r="AJ217" s="28">
        <f>IF(ISNUMBER(Q217),Q217,0)-IF(ISNUMBER(Z217),Z217,0)</f>
        <v>0</v>
      </c>
      <c r="AK217" s="28"/>
      <c r="AL217" s="28"/>
      <c r="AM217" s="28"/>
      <c r="AN217" s="28"/>
      <c r="AO217" s="28">
        <v>80000</v>
      </c>
      <c r="AP217" s="28"/>
      <c r="AQ217" s="28"/>
      <c r="AR217" s="28"/>
      <c r="AS217" s="28"/>
      <c r="AT217" s="28">
        <f>IF(ISNUMBER(V217),V217,0)-IF(ISNUMBER(Z217),Z217,0)-IF(ISNUMBER(AE217),AE217,0)</f>
        <v>0</v>
      </c>
      <c r="AU217" s="28"/>
      <c r="AV217" s="28"/>
      <c r="AW217" s="28"/>
      <c r="AX217" s="28">
        <v>0</v>
      </c>
      <c r="AY217" s="28"/>
      <c r="AZ217" s="28"/>
      <c r="BA217" s="28"/>
      <c r="BB217" s="28"/>
      <c r="BC217" s="28">
        <v>0</v>
      </c>
      <c r="BD217" s="28"/>
      <c r="BE217" s="28"/>
      <c r="BF217" s="28"/>
      <c r="BG217" s="28"/>
      <c r="BH217" s="28">
        <f>IF(ISNUMBER(AO217),AO217,0)-IF(ISNUMBER(AX217),AX217,0)</f>
        <v>80000</v>
      </c>
      <c r="BI217" s="28"/>
      <c r="BJ217" s="28"/>
      <c r="BK217" s="28"/>
      <c r="BL217" s="28"/>
      <c r="CA217" s="4" t="s">
        <v>53</v>
      </c>
    </row>
    <row r="218" spans="1:79" s="4" customFormat="1" ht="12.75" customHeight="1" x14ac:dyDescent="0.2">
      <c r="A218" s="29">
        <v>2730</v>
      </c>
      <c r="B218" s="29"/>
      <c r="C218" s="29"/>
      <c r="D218" s="29"/>
      <c r="E218" s="29"/>
      <c r="F218" s="29"/>
      <c r="G218" s="30" t="s">
        <v>175</v>
      </c>
      <c r="H218" s="31"/>
      <c r="I218" s="31"/>
      <c r="J218" s="31"/>
      <c r="K218" s="31"/>
      <c r="L218" s="31"/>
      <c r="M218" s="31"/>
      <c r="N218" s="31"/>
      <c r="O218" s="31"/>
      <c r="P218" s="32"/>
      <c r="Q218" s="28">
        <v>0</v>
      </c>
      <c r="R218" s="28"/>
      <c r="S218" s="28"/>
      <c r="T218" s="28"/>
      <c r="U218" s="28"/>
      <c r="V218" s="28">
        <v>0</v>
      </c>
      <c r="W218" s="28"/>
      <c r="X218" s="28"/>
      <c r="Y218" s="28"/>
      <c r="Z218" s="28">
        <v>0</v>
      </c>
      <c r="AA218" s="28"/>
      <c r="AB218" s="28"/>
      <c r="AC218" s="28"/>
      <c r="AD218" s="28"/>
      <c r="AE218" s="28">
        <v>0</v>
      </c>
      <c r="AF218" s="28"/>
      <c r="AG218" s="28"/>
      <c r="AH218" s="28"/>
      <c r="AI218" s="28"/>
      <c r="AJ218" s="28">
        <f>IF(ISNUMBER(Q218),Q218,0)-IF(ISNUMBER(Z218),Z218,0)</f>
        <v>0</v>
      </c>
      <c r="AK218" s="28"/>
      <c r="AL218" s="28"/>
      <c r="AM218" s="28"/>
      <c r="AN218" s="28"/>
      <c r="AO218" s="28">
        <v>240000</v>
      </c>
      <c r="AP218" s="28"/>
      <c r="AQ218" s="28"/>
      <c r="AR218" s="28"/>
      <c r="AS218" s="28"/>
      <c r="AT218" s="28">
        <f>IF(ISNUMBER(V218),V218,0)-IF(ISNUMBER(Z218),Z218,0)-IF(ISNUMBER(AE218),AE218,0)</f>
        <v>0</v>
      </c>
      <c r="AU218" s="28"/>
      <c r="AV218" s="28"/>
      <c r="AW218" s="28"/>
      <c r="AX218" s="28">
        <v>0</v>
      </c>
      <c r="AY218" s="28"/>
      <c r="AZ218" s="28"/>
      <c r="BA218" s="28"/>
      <c r="BB218" s="28"/>
      <c r="BC218" s="28">
        <v>0</v>
      </c>
      <c r="BD218" s="28"/>
      <c r="BE218" s="28"/>
      <c r="BF218" s="28"/>
      <c r="BG218" s="28"/>
      <c r="BH218" s="28">
        <f>IF(ISNUMBER(AO218),AO218,0)-IF(ISNUMBER(AX218),AX218,0)</f>
        <v>240000</v>
      </c>
      <c r="BI218" s="28"/>
      <c r="BJ218" s="28"/>
      <c r="BK218" s="28"/>
      <c r="BL218" s="28"/>
    </row>
    <row r="219" spans="1:79" s="6" customFormat="1" ht="12.75" customHeight="1" x14ac:dyDescent="0.2">
      <c r="A219" s="24"/>
      <c r="B219" s="24"/>
      <c r="C219" s="24"/>
      <c r="D219" s="24"/>
      <c r="E219" s="24"/>
      <c r="F219" s="24"/>
      <c r="G219" s="25" t="s">
        <v>147</v>
      </c>
      <c r="H219" s="26"/>
      <c r="I219" s="26"/>
      <c r="J219" s="26"/>
      <c r="K219" s="26"/>
      <c r="L219" s="26"/>
      <c r="M219" s="26"/>
      <c r="N219" s="26"/>
      <c r="O219" s="26"/>
      <c r="P219" s="27"/>
      <c r="Q219" s="23">
        <v>0</v>
      </c>
      <c r="R219" s="23"/>
      <c r="S219" s="23"/>
      <c r="T219" s="23"/>
      <c r="U219" s="23"/>
      <c r="V219" s="23">
        <v>0</v>
      </c>
      <c r="W219" s="23"/>
      <c r="X219" s="23"/>
      <c r="Y219" s="23"/>
      <c r="Z219" s="23">
        <v>0</v>
      </c>
      <c r="AA219" s="23"/>
      <c r="AB219" s="23"/>
      <c r="AC219" s="23"/>
      <c r="AD219" s="23"/>
      <c r="AE219" s="23">
        <v>0</v>
      </c>
      <c r="AF219" s="23"/>
      <c r="AG219" s="23"/>
      <c r="AH219" s="23"/>
      <c r="AI219" s="23"/>
      <c r="AJ219" s="23">
        <f>IF(ISNUMBER(Q219),Q219,0)-IF(ISNUMBER(Z219),Z219,0)</f>
        <v>0</v>
      </c>
      <c r="AK219" s="23"/>
      <c r="AL219" s="23"/>
      <c r="AM219" s="23"/>
      <c r="AN219" s="23"/>
      <c r="AO219" s="23">
        <v>320000</v>
      </c>
      <c r="AP219" s="23"/>
      <c r="AQ219" s="23"/>
      <c r="AR219" s="23"/>
      <c r="AS219" s="23"/>
      <c r="AT219" s="23">
        <f>IF(ISNUMBER(V219),V219,0)-IF(ISNUMBER(Z219),Z219,0)-IF(ISNUMBER(AE219),AE219,0)</f>
        <v>0</v>
      </c>
      <c r="AU219" s="23"/>
      <c r="AV219" s="23"/>
      <c r="AW219" s="23"/>
      <c r="AX219" s="23">
        <v>0</v>
      </c>
      <c r="AY219" s="23"/>
      <c r="AZ219" s="23"/>
      <c r="BA219" s="23"/>
      <c r="BB219" s="23"/>
      <c r="BC219" s="23">
        <v>0</v>
      </c>
      <c r="BD219" s="23"/>
      <c r="BE219" s="23"/>
      <c r="BF219" s="23"/>
      <c r="BG219" s="23"/>
      <c r="BH219" s="23">
        <f>IF(ISNUMBER(AO219),AO219,0)-IF(ISNUMBER(AX219),AX219,0)</f>
        <v>320000</v>
      </c>
      <c r="BI219" s="23"/>
      <c r="BJ219" s="23"/>
      <c r="BK219" s="23"/>
      <c r="BL219" s="23"/>
    </row>
    <row r="221" spans="1:79" ht="14.25" customHeight="1" x14ac:dyDescent="0.2">
      <c r="A221" s="64" t="s">
        <v>219</v>
      </c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</row>
    <row r="222" spans="1:79" ht="15" customHeight="1" x14ac:dyDescent="0.2">
      <c r="A222" s="69" t="s">
        <v>212</v>
      </c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</row>
    <row r="223" spans="1:79" ht="42.95" customHeight="1" x14ac:dyDescent="0.2">
      <c r="A223" s="70" t="s">
        <v>135</v>
      </c>
      <c r="B223" s="70"/>
      <c r="C223" s="70"/>
      <c r="D223" s="70"/>
      <c r="E223" s="70"/>
      <c r="F223" s="70"/>
      <c r="G223" s="39" t="s">
        <v>19</v>
      </c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 t="s">
        <v>15</v>
      </c>
      <c r="U223" s="39"/>
      <c r="V223" s="39"/>
      <c r="W223" s="39"/>
      <c r="X223" s="39"/>
      <c r="Y223" s="39"/>
      <c r="Z223" s="39" t="s">
        <v>14</v>
      </c>
      <c r="AA223" s="39"/>
      <c r="AB223" s="39"/>
      <c r="AC223" s="39"/>
      <c r="AD223" s="39"/>
      <c r="AE223" s="39" t="s">
        <v>215</v>
      </c>
      <c r="AF223" s="39"/>
      <c r="AG223" s="39"/>
      <c r="AH223" s="39"/>
      <c r="AI223" s="39"/>
      <c r="AJ223" s="39"/>
      <c r="AK223" s="39" t="s">
        <v>220</v>
      </c>
      <c r="AL223" s="39"/>
      <c r="AM223" s="39"/>
      <c r="AN223" s="39"/>
      <c r="AO223" s="39"/>
      <c r="AP223" s="39"/>
      <c r="AQ223" s="39" t="s">
        <v>233</v>
      </c>
      <c r="AR223" s="39"/>
      <c r="AS223" s="39"/>
      <c r="AT223" s="39"/>
      <c r="AU223" s="39"/>
      <c r="AV223" s="39"/>
      <c r="AW223" s="39" t="s">
        <v>18</v>
      </c>
      <c r="AX223" s="39"/>
      <c r="AY223" s="39"/>
      <c r="AZ223" s="39"/>
      <c r="BA223" s="39"/>
      <c r="BB223" s="39"/>
      <c r="BC223" s="39"/>
      <c r="BD223" s="39"/>
      <c r="BE223" s="39" t="s">
        <v>156</v>
      </c>
      <c r="BF223" s="39"/>
      <c r="BG223" s="39"/>
      <c r="BH223" s="39"/>
      <c r="BI223" s="39"/>
      <c r="BJ223" s="39"/>
      <c r="BK223" s="39"/>
      <c r="BL223" s="39"/>
    </row>
    <row r="224" spans="1:79" ht="21.75" customHeight="1" x14ac:dyDescent="0.2">
      <c r="A224" s="70"/>
      <c r="B224" s="70"/>
      <c r="C224" s="70"/>
      <c r="D224" s="70"/>
      <c r="E224" s="70"/>
      <c r="F224" s="70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</row>
    <row r="225" spans="1:79" ht="15" customHeight="1" x14ac:dyDescent="0.2">
      <c r="A225" s="39">
        <v>1</v>
      </c>
      <c r="B225" s="39"/>
      <c r="C225" s="39"/>
      <c r="D225" s="39"/>
      <c r="E225" s="39"/>
      <c r="F225" s="39"/>
      <c r="G225" s="39">
        <v>2</v>
      </c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>
        <v>3</v>
      </c>
      <c r="U225" s="39"/>
      <c r="V225" s="39"/>
      <c r="W225" s="39"/>
      <c r="X225" s="39"/>
      <c r="Y225" s="39"/>
      <c r="Z225" s="39">
        <v>4</v>
      </c>
      <c r="AA225" s="39"/>
      <c r="AB225" s="39"/>
      <c r="AC225" s="39"/>
      <c r="AD225" s="39"/>
      <c r="AE225" s="39">
        <v>5</v>
      </c>
      <c r="AF225" s="39"/>
      <c r="AG225" s="39"/>
      <c r="AH225" s="39"/>
      <c r="AI225" s="39"/>
      <c r="AJ225" s="39"/>
      <c r="AK225" s="39">
        <v>6</v>
      </c>
      <c r="AL225" s="39"/>
      <c r="AM225" s="39"/>
      <c r="AN225" s="39"/>
      <c r="AO225" s="39"/>
      <c r="AP225" s="39"/>
      <c r="AQ225" s="39">
        <v>7</v>
      </c>
      <c r="AR225" s="39"/>
      <c r="AS225" s="39"/>
      <c r="AT225" s="39"/>
      <c r="AU225" s="39"/>
      <c r="AV225" s="39"/>
      <c r="AW225" s="68">
        <v>8</v>
      </c>
      <c r="AX225" s="68"/>
      <c r="AY225" s="68"/>
      <c r="AZ225" s="68"/>
      <c r="BA225" s="68"/>
      <c r="BB225" s="68"/>
      <c r="BC225" s="68"/>
      <c r="BD225" s="68"/>
      <c r="BE225" s="68">
        <v>9</v>
      </c>
      <c r="BF225" s="68"/>
      <c r="BG225" s="68"/>
      <c r="BH225" s="68"/>
      <c r="BI225" s="68"/>
      <c r="BJ225" s="68"/>
      <c r="BK225" s="68"/>
      <c r="BL225" s="68"/>
    </row>
    <row r="226" spans="1:79" s="1" customFormat="1" ht="18.75" hidden="1" customHeight="1" x14ac:dyDescent="0.2">
      <c r="A226" s="68" t="s">
        <v>64</v>
      </c>
      <c r="B226" s="68"/>
      <c r="C226" s="68"/>
      <c r="D226" s="68"/>
      <c r="E226" s="68"/>
      <c r="F226" s="68"/>
      <c r="G226" s="67" t="s">
        <v>57</v>
      </c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6" t="s">
        <v>80</v>
      </c>
      <c r="U226" s="66"/>
      <c r="V226" s="66"/>
      <c r="W226" s="66"/>
      <c r="X226" s="66"/>
      <c r="Y226" s="66"/>
      <c r="Z226" s="66" t="s">
        <v>81</v>
      </c>
      <c r="AA226" s="66"/>
      <c r="AB226" s="66"/>
      <c r="AC226" s="66"/>
      <c r="AD226" s="66"/>
      <c r="AE226" s="66" t="s">
        <v>82</v>
      </c>
      <c r="AF226" s="66"/>
      <c r="AG226" s="66"/>
      <c r="AH226" s="66"/>
      <c r="AI226" s="66"/>
      <c r="AJ226" s="66"/>
      <c r="AK226" s="66" t="s">
        <v>83</v>
      </c>
      <c r="AL226" s="66"/>
      <c r="AM226" s="66"/>
      <c r="AN226" s="66"/>
      <c r="AO226" s="66"/>
      <c r="AP226" s="66"/>
      <c r="AQ226" s="66" t="s">
        <v>84</v>
      </c>
      <c r="AR226" s="66"/>
      <c r="AS226" s="66"/>
      <c r="AT226" s="66"/>
      <c r="AU226" s="66"/>
      <c r="AV226" s="66"/>
      <c r="AW226" s="67" t="s">
        <v>87</v>
      </c>
      <c r="AX226" s="67"/>
      <c r="AY226" s="67"/>
      <c r="AZ226" s="67"/>
      <c r="BA226" s="67"/>
      <c r="BB226" s="67"/>
      <c r="BC226" s="67"/>
      <c r="BD226" s="67"/>
      <c r="BE226" s="67" t="s">
        <v>88</v>
      </c>
      <c r="BF226" s="67"/>
      <c r="BG226" s="67"/>
      <c r="BH226" s="67"/>
      <c r="BI226" s="67"/>
      <c r="BJ226" s="67"/>
      <c r="BK226" s="67"/>
      <c r="BL226" s="67"/>
      <c r="CA226" s="1" t="s">
        <v>54</v>
      </c>
    </row>
    <row r="227" spans="1:79" s="6" customFormat="1" ht="12.75" customHeight="1" x14ac:dyDescent="0.2">
      <c r="A227" s="24"/>
      <c r="B227" s="24"/>
      <c r="C227" s="24"/>
      <c r="D227" s="24"/>
      <c r="E227" s="24"/>
      <c r="F227" s="24"/>
      <c r="G227" s="63" t="s">
        <v>147</v>
      </c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CA227" s="6" t="s">
        <v>55</v>
      </c>
    </row>
    <row r="229" spans="1:79" ht="14.25" customHeight="1" x14ac:dyDescent="0.2">
      <c r="A229" s="64" t="s">
        <v>221</v>
      </c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</row>
    <row r="230" spans="1:79" ht="30" customHeight="1" x14ac:dyDescent="0.2">
      <c r="A230" s="65" t="s">
        <v>207</v>
      </c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</row>
    <row r="231" spans="1:79" ht="1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3" spans="1:79" ht="14.25" x14ac:dyDescent="0.2">
      <c r="A233" s="64" t="s">
        <v>248</v>
      </c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</row>
    <row r="234" spans="1:79" ht="14.25" x14ac:dyDescent="0.2">
      <c r="A234" s="64" t="s">
        <v>222</v>
      </c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</row>
    <row r="235" spans="1:79" ht="15" customHeight="1" x14ac:dyDescent="0.2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</row>
    <row r="236" spans="1:79" ht="18.95" customHeight="1" x14ac:dyDescent="0.2">
      <c r="A236" s="54" t="s">
        <v>255</v>
      </c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20"/>
      <c r="AC236" s="20"/>
      <c r="AD236" s="20"/>
      <c r="AE236" s="20"/>
      <c r="AF236" s="20"/>
      <c r="AG236" s="20"/>
      <c r="AH236" s="61"/>
      <c r="AI236" s="61"/>
      <c r="AJ236" s="61"/>
      <c r="AK236" s="61"/>
      <c r="AL236" s="61"/>
      <c r="AM236" s="61"/>
      <c r="AN236" s="61"/>
      <c r="AO236" s="61"/>
      <c r="AP236" s="61"/>
      <c r="AQ236" s="20"/>
      <c r="AR236" s="20"/>
      <c r="AS236" s="20"/>
      <c r="AT236" s="20"/>
      <c r="AU236" s="62" t="s">
        <v>256</v>
      </c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</row>
    <row r="237" spans="1:79" ht="12.75" customHeight="1" x14ac:dyDescent="0.2">
      <c r="AB237" s="21"/>
      <c r="AC237" s="21"/>
      <c r="AD237" s="21"/>
      <c r="AE237" s="21"/>
      <c r="AF237" s="21"/>
      <c r="AG237" s="21"/>
      <c r="AH237" s="59" t="s">
        <v>1</v>
      </c>
      <c r="AI237" s="59"/>
      <c r="AJ237" s="59"/>
      <c r="AK237" s="59"/>
      <c r="AL237" s="59"/>
      <c r="AM237" s="59"/>
      <c r="AN237" s="59"/>
      <c r="AO237" s="59"/>
      <c r="AP237" s="59"/>
      <c r="AQ237" s="21"/>
      <c r="AR237" s="21"/>
      <c r="AS237" s="21"/>
      <c r="AT237" s="21"/>
      <c r="AU237" s="59" t="s">
        <v>171</v>
      </c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</row>
    <row r="238" spans="1:79" ht="15" x14ac:dyDescent="0.2">
      <c r="AB238" s="21"/>
      <c r="AC238" s="21"/>
      <c r="AD238" s="21"/>
      <c r="AE238" s="21"/>
      <c r="AF238" s="21"/>
      <c r="AG238" s="21"/>
      <c r="AH238" s="22"/>
      <c r="AI238" s="22"/>
      <c r="AJ238" s="22"/>
      <c r="AK238" s="22"/>
      <c r="AL238" s="22"/>
      <c r="AM238" s="22"/>
      <c r="AN238" s="22"/>
      <c r="AO238" s="22"/>
      <c r="AP238" s="22"/>
      <c r="AQ238" s="21"/>
      <c r="AR238" s="21"/>
      <c r="AS238" s="21"/>
      <c r="AT238" s="21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</row>
    <row r="239" spans="1:79" ht="18" customHeight="1" x14ac:dyDescent="0.2">
      <c r="A239" s="54" t="s">
        <v>257</v>
      </c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21"/>
      <c r="AC239" s="21"/>
      <c r="AD239" s="21"/>
      <c r="AE239" s="21"/>
      <c r="AF239" s="21"/>
      <c r="AG239" s="21"/>
      <c r="AH239" s="56"/>
      <c r="AI239" s="56"/>
      <c r="AJ239" s="56"/>
      <c r="AK239" s="56"/>
      <c r="AL239" s="56"/>
      <c r="AM239" s="56"/>
      <c r="AN239" s="56"/>
      <c r="AO239" s="56"/>
      <c r="AP239" s="56"/>
      <c r="AQ239" s="21"/>
      <c r="AR239" s="21"/>
      <c r="AS239" s="21"/>
      <c r="AT239" s="21"/>
      <c r="AU239" s="57" t="s">
        <v>258</v>
      </c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</row>
    <row r="240" spans="1:79" ht="12" customHeight="1" x14ac:dyDescent="0.2">
      <c r="AB240" s="21"/>
      <c r="AC240" s="21"/>
      <c r="AD240" s="21"/>
      <c r="AE240" s="21"/>
      <c r="AF240" s="21"/>
      <c r="AG240" s="21"/>
      <c r="AH240" s="59" t="s">
        <v>1</v>
      </c>
      <c r="AI240" s="59"/>
      <c r="AJ240" s="59"/>
      <c r="AK240" s="59"/>
      <c r="AL240" s="59"/>
      <c r="AM240" s="59"/>
      <c r="AN240" s="59"/>
      <c r="AO240" s="59"/>
      <c r="AP240" s="59"/>
      <c r="AQ240" s="21"/>
      <c r="AR240" s="21"/>
      <c r="AS240" s="21"/>
      <c r="AT240" s="21"/>
      <c r="AU240" s="59" t="s">
        <v>171</v>
      </c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</row>
  </sheetData>
  <mergeCells count="1522">
    <mergeCell ref="BN1:BZ1"/>
    <mergeCell ref="A2:BZ2"/>
    <mergeCell ref="B4:AF4"/>
    <mergeCell ref="AH4:AR4"/>
    <mergeCell ref="AT4:BA4"/>
    <mergeCell ref="A5:AF5"/>
    <mergeCell ref="AH5:AR5"/>
    <mergeCell ref="AT5:BA5"/>
    <mergeCell ref="A13:BY13"/>
    <mergeCell ref="A14:BY14"/>
    <mergeCell ref="A15:BY15"/>
    <mergeCell ref="A17:BY17"/>
    <mergeCell ref="A18:BY18"/>
    <mergeCell ref="A20:BY20"/>
    <mergeCell ref="B10:L10"/>
    <mergeCell ref="N10:Y10"/>
    <mergeCell ref="AA10:AI10"/>
    <mergeCell ref="AK10:BJ10"/>
    <mergeCell ref="BL10:BS10"/>
    <mergeCell ref="B11:L11"/>
    <mergeCell ref="N11:Y11"/>
    <mergeCell ref="AA11:AI11"/>
    <mergeCell ref="AK11:BJ11"/>
    <mergeCell ref="BL11:BS11"/>
    <mergeCell ref="B7:AF7"/>
    <mergeCell ref="AH7:BA7"/>
    <mergeCell ref="BC7:BJ7"/>
    <mergeCell ref="A8:AF8"/>
    <mergeCell ref="AH8:BA8"/>
    <mergeCell ref="BC8:BJ8"/>
    <mergeCell ref="BB27:BF27"/>
    <mergeCell ref="BG27:BK27"/>
    <mergeCell ref="BL27:BP27"/>
    <mergeCell ref="BQ27:BT27"/>
    <mergeCell ref="BU27:BY27"/>
    <mergeCell ref="A28:D28"/>
    <mergeCell ref="E28:T28"/>
    <mergeCell ref="U28:Y28"/>
    <mergeCell ref="Z28:AD28"/>
    <mergeCell ref="AE28:AH28"/>
    <mergeCell ref="Z27:AD27"/>
    <mergeCell ref="AE27:AH27"/>
    <mergeCell ref="AI27:AM27"/>
    <mergeCell ref="AN27:AR27"/>
    <mergeCell ref="AS27:AW27"/>
    <mergeCell ref="AX27:BA27"/>
    <mergeCell ref="A21:BY21"/>
    <mergeCell ref="A23:BY23"/>
    <mergeCell ref="A24:BY24"/>
    <mergeCell ref="A25:BY25"/>
    <mergeCell ref="A26:D27"/>
    <mergeCell ref="E26:T27"/>
    <mergeCell ref="U26:AM26"/>
    <mergeCell ref="AN26:BF26"/>
    <mergeCell ref="BG26:BY26"/>
    <mergeCell ref="U27:Y27"/>
    <mergeCell ref="BU29:BY29"/>
    <mergeCell ref="A30:D30"/>
    <mergeCell ref="E30:T30"/>
    <mergeCell ref="U30:Y30"/>
    <mergeCell ref="Z30:AD30"/>
    <mergeCell ref="AE30:AH30"/>
    <mergeCell ref="AI30:AM30"/>
    <mergeCell ref="AN30:AR30"/>
    <mergeCell ref="AS30:AW30"/>
    <mergeCell ref="AX30:BA30"/>
    <mergeCell ref="AS29:AW29"/>
    <mergeCell ref="AX29:BA29"/>
    <mergeCell ref="BB29:BF29"/>
    <mergeCell ref="BG29:BK29"/>
    <mergeCell ref="BL29:BP29"/>
    <mergeCell ref="BQ29:BT29"/>
    <mergeCell ref="BL28:BP28"/>
    <mergeCell ref="BQ28:BT28"/>
    <mergeCell ref="BU28:BY28"/>
    <mergeCell ref="A29:D29"/>
    <mergeCell ref="E29:T29"/>
    <mergeCell ref="U29:Y29"/>
    <mergeCell ref="Z29:AD29"/>
    <mergeCell ref="AE29:AH29"/>
    <mergeCell ref="AI29:AM29"/>
    <mergeCell ref="AN29:AR29"/>
    <mergeCell ref="AI28:AM28"/>
    <mergeCell ref="AN28:AR28"/>
    <mergeCell ref="AS28:AW28"/>
    <mergeCell ref="AX28:BA28"/>
    <mergeCell ref="BB28:BF28"/>
    <mergeCell ref="BG28:BK28"/>
    <mergeCell ref="A34:BK34"/>
    <mergeCell ref="A35:D36"/>
    <mergeCell ref="E35:W36"/>
    <mergeCell ref="X35:AQ35"/>
    <mergeCell ref="AR35:BK35"/>
    <mergeCell ref="X36:AB36"/>
    <mergeCell ref="AC36:AG36"/>
    <mergeCell ref="AH36:AL36"/>
    <mergeCell ref="AM36:AQ36"/>
    <mergeCell ref="AR36:AV36"/>
    <mergeCell ref="BB30:BF30"/>
    <mergeCell ref="BG30:BK30"/>
    <mergeCell ref="BL30:BP30"/>
    <mergeCell ref="BQ30:BT30"/>
    <mergeCell ref="BU30:BY30"/>
    <mergeCell ref="A33:BL33"/>
    <mergeCell ref="AI31:AM31"/>
    <mergeCell ref="AN31:AR31"/>
    <mergeCell ref="AS31:AW31"/>
    <mergeCell ref="AX31:BA31"/>
    <mergeCell ref="AW37:BA37"/>
    <mergeCell ref="BB37:BF37"/>
    <mergeCell ref="BG37:BK37"/>
    <mergeCell ref="A38:D38"/>
    <mergeCell ref="E38:W38"/>
    <mergeCell ref="X38:AB38"/>
    <mergeCell ref="AC38:AG38"/>
    <mergeCell ref="AH38:AL38"/>
    <mergeCell ref="AM38:AQ38"/>
    <mergeCell ref="AR38:AV38"/>
    <mergeCell ref="AW36:BA36"/>
    <mergeCell ref="BB36:BF36"/>
    <mergeCell ref="BG36:BK36"/>
    <mergeCell ref="A37:D37"/>
    <mergeCell ref="E37:W37"/>
    <mergeCell ref="X37:AB37"/>
    <mergeCell ref="AC37:AG37"/>
    <mergeCell ref="AH37:AL37"/>
    <mergeCell ref="AM37:AQ37"/>
    <mergeCell ref="AR37:AV37"/>
    <mergeCell ref="AW39:BA39"/>
    <mergeCell ref="BB39:BF39"/>
    <mergeCell ref="BG39:BK39"/>
    <mergeCell ref="A43:BY43"/>
    <mergeCell ref="A44:BY44"/>
    <mergeCell ref="A45:BY45"/>
    <mergeCell ref="AW40:BA40"/>
    <mergeCell ref="BB40:BF40"/>
    <mergeCell ref="BG40:BK40"/>
    <mergeCell ref="AW38:BA38"/>
    <mergeCell ref="BB38:BF38"/>
    <mergeCell ref="BG38:BK38"/>
    <mergeCell ref="A39:D39"/>
    <mergeCell ref="E39:W39"/>
    <mergeCell ref="X39:AB39"/>
    <mergeCell ref="AC39:AG39"/>
    <mergeCell ref="AH39:AL39"/>
    <mergeCell ref="AM39:AQ39"/>
    <mergeCell ref="AR39:AV39"/>
    <mergeCell ref="BU47:BY47"/>
    <mergeCell ref="A48:D48"/>
    <mergeCell ref="E48:T48"/>
    <mergeCell ref="U48:Y48"/>
    <mergeCell ref="Z48:AD48"/>
    <mergeCell ref="AE48:AH48"/>
    <mergeCell ref="AI48:AM48"/>
    <mergeCell ref="AN48:AR48"/>
    <mergeCell ref="AS48:AW48"/>
    <mergeCell ref="AX48:BA48"/>
    <mergeCell ref="AS47:AW47"/>
    <mergeCell ref="AX47:BA47"/>
    <mergeCell ref="BB47:BF47"/>
    <mergeCell ref="BG47:BK47"/>
    <mergeCell ref="BL47:BP47"/>
    <mergeCell ref="BQ47:BT47"/>
    <mergeCell ref="A46:D47"/>
    <mergeCell ref="E46:T47"/>
    <mergeCell ref="U46:AM46"/>
    <mergeCell ref="AN46:BF46"/>
    <mergeCell ref="BG46:BY46"/>
    <mergeCell ref="U47:Y47"/>
    <mergeCell ref="Z47:AD47"/>
    <mergeCell ref="AE47:AH47"/>
    <mergeCell ref="AI47:AM47"/>
    <mergeCell ref="AN47:AR47"/>
    <mergeCell ref="BL49:BP49"/>
    <mergeCell ref="BQ49:BT49"/>
    <mergeCell ref="BU49:BY49"/>
    <mergeCell ref="A50:D50"/>
    <mergeCell ref="E50:T50"/>
    <mergeCell ref="U50:Y50"/>
    <mergeCell ref="Z50:AD50"/>
    <mergeCell ref="AE50:AH50"/>
    <mergeCell ref="AI50:AM50"/>
    <mergeCell ref="AN50:AR50"/>
    <mergeCell ref="AI49:AM49"/>
    <mergeCell ref="AN49:AR49"/>
    <mergeCell ref="AS49:AW49"/>
    <mergeCell ref="AX49:BA49"/>
    <mergeCell ref="BB49:BF49"/>
    <mergeCell ref="BG49:BK49"/>
    <mergeCell ref="BB48:BF48"/>
    <mergeCell ref="BG48:BK48"/>
    <mergeCell ref="BL48:BP48"/>
    <mergeCell ref="BQ48:BT48"/>
    <mergeCell ref="BU48:BY48"/>
    <mergeCell ref="A49:D49"/>
    <mergeCell ref="E49:T49"/>
    <mergeCell ref="U49:Y49"/>
    <mergeCell ref="Z49:AD49"/>
    <mergeCell ref="AE49:AH49"/>
    <mergeCell ref="BL57:BP57"/>
    <mergeCell ref="BQ57:BT57"/>
    <mergeCell ref="BU57:BY57"/>
    <mergeCell ref="A58:E58"/>
    <mergeCell ref="F58:T58"/>
    <mergeCell ref="U58:Y58"/>
    <mergeCell ref="Z58:AD58"/>
    <mergeCell ref="AE58:AH58"/>
    <mergeCell ref="AI58:AM58"/>
    <mergeCell ref="AE57:AH57"/>
    <mergeCell ref="AI57:AM57"/>
    <mergeCell ref="AN57:AR57"/>
    <mergeCell ref="AS57:AW57"/>
    <mergeCell ref="AX57:BA57"/>
    <mergeCell ref="BB57:BF57"/>
    <mergeCell ref="BU50:BY50"/>
    <mergeCell ref="A54:BL54"/>
    <mergeCell ref="A55:BY55"/>
    <mergeCell ref="A56:E57"/>
    <mergeCell ref="F56:T57"/>
    <mergeCell ref="U56:AM56"/>
    <mergeCell ref="AN56:BF56"/>
    <mergeCell ref="BG56:BY56"/>
    <mergeCell ref="U57:Y57"/>
    <mergeCell ref="Z57:AD57"/>
    <mergeCell ref="AS50:AW50"/>
    <mergeCell ref="AX50:BA50"/>
    <mergeCell ref="BB50:BF50"/>
    <mergeCell ref="BG50:BK50"/>
    <mergeCell ref="BL50:BP50"/>
    <mergeCell ref="BQ50:BT50"/>
    <mergeCell ref="BL59:BP59"/>
    <mergeCell ref="BQ59:BT59"/>
    <mergeCell ref="BU59:BY59"/>
    <mergeCell ref="BQ58:BT58"/>
    <mergeCell ref="BU58:BY58"/>
    <mergeCell ref="A59:E59"/>
    <mergeCell ref="F59:T59"/>
    <mergeCell ref="U59:Y59"/>
    <mergeCell ref="Z59:AD59"/>
    <mergeCell ref="AE59:AH59"/>
    <mergeCell ref="AI59:AM59"/>
    <mergeCell ref="AN59:AR59"/>
    <mergeCell ref="AS59:AW59"/>
    <mergeCell ref="AN58:AR58"/>
    <mergeCell ref="AS58:AW58"/>
    <mergeCell ref="AX58:BA58"/>
    <mergeCell ref="BB58:BF58"/>
    <mergeCell ref="BG58:BK58"/>
    <mergeCell ref="BL58:BP58"/>
    <mergeCell ref="BQ60:BT60"/>
    <mergeCell ref="BU60:BY60"/>
    <mergeCell ref="A62:BL62"/>
    <mergeCell ref="A63:BK63"/>
    <mergeCell ref="A64:D65"/>
    <mergeCell ref="E64:W65"/>
    <mergeCell ref="X64:AQ64"/>
    <mergeCell ref="AR64:BK64"/>
    <mergeCell ref="X65:AB65"/>
    <mergeCell ref="AC65:AG65"/>
    <mergeCell ref="AN60:AR60"/>
    <mergeCell ref="AS60:AW60"/>
    <mergeCell ref="AX60:BA60"/>
    <mergeCell ref="BB60:BF60"/>
    <mergeCell ref="BG60:BK60"/>
    <mergeCell ref="BL60:BP60"/>
    <mergeCell ref="A60:E60"/>
    <mergeCell ref="F60:T60"/>
    <mergeCell ref="U60:Y60"/>
    <mergeCell ref="Z60:AD60"/>
    <mergeCell ref="AE60:AH60"/>
    <mergeCell ref="AI60:AM60"/>
    <mergeCell ref="A72:BL72"/>
    <mergeCell ref="A73:BK73"/>
    <mergeCell ref="BG69:BK69"/>
    <mergeCell ref="A70:D70"/>
    <mergeCell ref="E70:W70"/>
    <mergeCell ref="X70:AB70"/>
    <mergeCell ref="AR67:AV67"/>
    <mergeCell ref="AW67:BA67"/>
    <mergeCell ref="BB67:BF67"/>
    <mergeCell ref="BG67:BK67"/>
    <mergeCell ref="A68:D68"/>
    <mergeCell ref="E68:W68"/>
    <mergeCell ref="X68:AB68"/>
    <mergeCell ref="AC68:AG68"/>
    <mergeCell ref="AH68:AL68"/>
    <mergeCell ref="AM68:AQ68"/>
    <mergeCell ref="AR66:AV66"/>
    <mergeCell ref="AW66:BA66"/>
    <mergeCell ref="BB66:BF66"/>
    <mergeCell ref="BG66:BK66"/>
    <mergeCell ref="A67:D67"/>
    <mergeCell ref="E67:W67"/>
    <mergeCell ref="X67:AB67"/>
    <mergeCell ref="AC67:AG67"/>
    <mergeCell ref="AH67:AL67"/>
    <mergeCell ref="AM67:AQ67"/>
    <mergeCell ref="A66:D66"/>
    <mergeCell ref="E66:W66"/>
    <mergeCell ref="X66:AB66"/>
    <mergeCell ref="AC66:AG66"/>
    <mergeCell ref="AH66:AL66"/>
    <mergeCell ref="AM66:AQ66"/>
    <mergeCell ref="BB75:BF75"/>
    <mergeCell ref="BG75:BK75"/>
    <mergeCell ref="A76:E76"/>
    <mergeCell ref="F76:W76"/>
    <mergeCell ref="X76:AB76"/>
    <mergeCell ref="AC76:AG76"/>
    <mergeCell ref="AH76:AL76"/>
    <mergeCell ref="AM76:AQ76"/>
    <mergeCell ref="AR76:AV76"/>
    <mergeCell ref="AW76:BA76"/>
    <mergeCell ref="A74:E75"/>
    <mergeCell ref="F74:W75"/>
    <mergeCell ref="X74:AQ74"/>
    <mergeCell ref="AR74:BK74"/>
    <mergeCell ref="X75:AB75"/>
    <mergeCell ref="AC75:AG75"/>
    <mergeCell ref="AH75:AL75"/>
    <mergeCell ref="AM75:AQ75"/>
    <mergeCell ref="AR75:AV75"/>
    <mergeCell ref="AW75:BA75"/>
    <mergeCell ref="BB77:BF77"/>
    <mergeCell ref="BG77:BK77"/>
    <mergeCell ref="A78:E78"/>
    <mergeCell ref="F78:W78"/>
    <mergeCell ref="X78:AB78"/>
    <mergeCell ref="AC78:AG78"/>
    <mergeCell ref="AH78:AL78"/>
    <mergeCell ref="AM78:AQ78"/>
    <mergeCell ref="AR78:AV78"/>
    <mergeCell ref="AW78:BA78"/>
    <mergeCell ref="BB76:BF76"/>
    <mergeCell ref="BG76:BK76"/>
    <mergeCell ref="A77:E77"/>
    <mergeCell ref="F77:W77"/>
    <mergeCell ref="X77:AB77"/>
    <mergeCell ref="AC77:AG77"/>
    <mergeCell ref="AH77:AL77"/>
    <mergeCell ref="AM77:AQ77"/>
    <mergeCell ref="AR77:AV77"/>
    <mergeCell ref="AW77:BA77"/>
    <mergeCell ref="AX85:BA85"/>
    <mergeCell ref="BB85:BF85"/>
    <mergeCell ref="BG85:BK85"/>
    <mergeCell ref="BL85:BP85"/>
    <mergeCell ref="BQ85:BT85"/>
    <mergeCell ref="BU85:BY85"/>
    <mergeCell ref="U85:Y85"/>
    <mergeCell ref="Z85:AD85"/>
    <mergeCell ref="AE85:AH85"/>
    <mergeCell ref="AI85:AM85"/>
    <mergeCell ref="AN85:AR85"/>
    <mergeCell ref="AS85:AW85"/>
    <mergeCell ref="BB78:BF78"/>
    <mergeCell ref="BG78:BK78"/>
    <mergeCell ref="A81:BL81"/>
    <mergeCell ref="A82:BL82"/>
    <mergeCell ref="A83:BY83"/>
    <mergeCell ref="A84:C85"/>
    <mergeCell ref="D84:T85"/>
    <mergeCell ref="U84:AM84"/>
    <mergeCell ref="AN84:BF84"/>
    <mergeCell ref="BG84:BY84"/>
    <mergeCell ref="AI88:AM88"/>
    <mergeCell ref="AX87:BA87"/>
    <mergeCell ref="BB87:BF87"/>
    <mergeCell ref="BG87:BK87"/>
    <mergeCell ref="BL87:BP87"/>
    <mergeCell ref="BQ87:BT87"/>
    <mergeCell ref="BU87:BY87"/>
    <mergeCell ref="BQ86:BT86"/>
    <mergeCell ref="BU86:BY86"/>
    <mergeCell ref="A87:C87"/>
    <mergeCell ref="D87:T87"/>
    <mergeCell ref="U87:Y87"/>
    <mergeCell ref="Z87:AD87"/>
    <mergeCell ref="AE87:AH87"/>
    <mergeCell ref="AI87:AM87"/>
    <mergeCell ref="AN87:AR87"/>
    <mergeCell ref="AS87:AW87"/>
    <mergeCell ref="AN86:AR86"/>
    <mergeCell ref="AS86:AW86"/>
    <mergeCell ref="AX86:BA86"/>
    <mergeCell ref="BB86:BF86"/>
    <mergeCell ref="BG86:BK86"/>
    <mergeCell ref="BL86:BP86"/>
    <mergeCell ref="A86:C86"/>
    <mergeCell ref="D86:T86"/>
    <mergeCell ref="U86:Y86"/>
    <mergeCell ref="Z86:AD86"/>
    <mergeCell ref="AE86:AH86"/>
    <mergeCell ref="AI86:AM86"/>
    <mergeCell ref="D96:T96"/>
    <mergeCell ref="U96:Y96"/>
    <mergeCell ref="Z96:AD96"/>
    <mergeCell ref="AE96:AI96"/>
    <mergeCell ref="AJ96:AN96"/>
    <mergeCell ref="AE95:AI95"/>
    <mergeCell ref="AJ95:AN95"/>
    <mergeCell ref="AO95:AS95"/>
    <mergeCell ref="AT95:AX95"/>
    <mergeCell ref="AY95:BC95"/>
    <mergeCell ref="BD95:BH95"/>
    <mergeCell ref="BQ88:BT88"/>
    <mergeCell ref="BU88:BY88"/>
    <mergeCell ref="A92:BL92"/>
    <mergeCell ref="A93:BH93"/>
    <mergeCell ref="A94:C95"/>
    <mergeCell ref="D94:T95"/>
    <mergeCell ref="U94:AN94"/>
    <mergeCell ref="AO94:BH94"/>
    <mergeCell ref="U95:Y95"/>
    <mergeCell ref="Z95:AD95"/>
    <mergeCell ref="AN88:AR88"/>
    <mergeCell ref="AS88:AW88"/>
    <mergeCell ref="AX88:BA88"/>
    <mergeCell ref="BB88:BF88"/>
    <mergeCell ref="BG88:BK88"/>
    <mergeCell ref="BL88:BP88"/>
    <mergeCell ref="A88:C88"/>
    <mergeCell ref="D88:T88"/>
    <mergeCell ref="U88:Y88"/>
    <mergeCell ref="Z88:AD88"/>
    <mergeCell ref="AE88:AH88"/>
    <mergeCell ref="BJ105:BX105"/>
    <mergeCell ref="AF106:AJ106"/>
    <mergeCell ref="AK106:AO106"/>
    <mergeCell ref="AP106:AT106"/>
    <mergeCell ref="AU106:AY106"/>
    <mergeCell ref="AZ106:BD106"/>
    <mergeCell ref="BE106:BI106"/>
    <mergeCell ref="BJ106:BN106"/>
    <mergeCell ref="BO106:BS106"/>
    <mergeCell ref="BT106:BX106"/>
    <mergeCell ref="A105:C106"/>
    <mergeCell ref="D105:P106"/>
    <mergeCell ref="Q105:U106"/>
    <mergeCell ref="V105:AE106"/>
    <mergeCell ref="AF105:AT105"/>
    <mergeCell ref="AU105:BI105"/>
    <mergeCell ref="AO98:AS98"/>
    <mergeCell ref="AT98:AX98"/>
    <mergeCell ref="AY98:BC98"/>
    <mergeCell ref="BD98:BH98"/>
    <mergeCell ref="A103:BL103"/>
    <mergeCell ref="A104:BL104"/>
    <mergeCell ref="BD99:BH99"/>
    <mergeCell ref="A100:C100"/>
    <mergeCell ref="D100:T100"/>
    <mergeCell ref="U100:Y100"/>
    <mergeCell ref="A98:C98"/>
    <mergeCell ref="D98:T98"/>
    <mergeCell ref="U98:Y98"/>
    <mergeCell ref="Z98:AD98"/>
    <mergeCell ref="AE98:AI98"/>
    <mergeCell ref="AJ98:AN98"/>
    <mergeCell ref="BE108:BI108"/>
    <mergeCell ref="BJ108:BN108"/>
    <mergeCell ref="BO108:BS108"/>
    <mergeCell ref="BT108:BX108"/>
    <mergeCell ref="A109:C109"/>
    <mergeCell ref="D109:P109"/>
    <mergeCell ref="Q109:U109"/>
    <mergeCell ref="V109:AE109"/>
    <mergeCell ref="AF109:AJ109"/>
    <mergeCell ref="AK109:AO109"/>
    <mergeCell ref="BT107:BX107"/>
    <mergeCell ref="A108:C108"/>
    <mergeCell ref="D108:P108"/>
    <mergeCell ref="Q108:U108"/>
    <mergeCell ref="V108:AE108"/>
    <mergeCell ref="AF108:AJ108"/>
    <mergeCell ref="AK108:AO108"/>
    <mergeCell ref="AP108:AT108"/>
    <mergeCell ref="AU108:AY108"/>
    <mergeCell ref="AZ108:BD108"/>
    <mergeCell ref="AP107:AT107"/>
    <mergeCell ref="AU107:AY107"/>
    <mergeCell ref="AZ107:BD107"/>
    <mergeCell ref="BE107:BI107"/>
    <mergeCell ref="BJ107:BN107"/>
    <mergeCell ref="BO107:BS107"/>
    <mergeCell ref="A107:C107"/>
    <mergeCell ref="D107:P107"/>
    <mergeCell ref="Q107:U107"/>
    <mergeCell ref="V107:AE107"/>
    <mergeCell ref="AF107:AJ107"/>
    <mergeCell ref="AK107:AO107"/>
    <mergeCell ref="AP128:AT128"/>
    <mergeCell ref="AU128:AY128"/>
    <mergeCell ref="AZ128:BD128"/>
    <mergeCell ref="BE128:BI128"/>
    <mergeCell ref="A129:C129"/>
    <mergeCell ref="D129:P129"/>
    <mergeCell ref="Q129:U129"/>
    <mergeCell ref="V129:AE129"/>
    <mergeCell ref="AF129:AJ129"/>
    <mergeCell ref="AK129:AO129"/>
    <mergeCell ref="BT109:BX109"/>
    <mergeCell ref="A126:BL126"/>
    <mergeCell ref="A127:C128"/>
    <mergeCell ref="D127:P128"/>
    <mergeCell ref="Q127:U128"/>
    <mergeCell ref="V127:AE128"/>
    <mergeCell ref="AF127:AT127"/>
    <mergeCell ref="AU127:BI127"/>
    <mergeCell ref="AF128:AJ128"/>
    <mergeCell ref="AK128:AO128"/>
    <mergeCell ref="AP109:AT109"/>
    <mergeCell ref="AU109:AY109"/>
    <mergeCell ref="AZ109:BD109"/>
    <mergeCell ref="BE109:BI109"/>
    <mergeCell ref="BJ109:BN109"/>
    <mergeCell ref="BO109:BS109"/>
    <mergeCell ref="AP130:AT130"/>
    <mergeCell ref="AU130:AY130"/>
    <mergeCell ref="AZ130:BD130"/>
    <mergeCell ref="BE130:BI130"/>
    <mergeCell ref="A131:C131"/>
    <mergeCell ref="D131:P131"/>
    <mergeCell ref="Q131:U131"/>
    <mergeCell ref="V131:AE131"/>
    <mergeCell ref="AF131:AJ131"/>
    <mergeCell ref="AK131:AO131"/>
    <mergeCell ref="AP129:AT129"/>
    <mergeCell ref="AU129:AY129"/>
    <mergeCell ref="AZ129:BD129"/>
    <mergeCell ref="BE129:BI129"/>
    <mergeCell ref="A130:C130"/>
    <mergeCell ref="D130:P130"/>
    <mergeCell ref="Q130:U130"/>
    <mergeCell ref="V130:AE130"/>
    <mergeCell ref="AF130:AJ130"/>
    <mergeCell ref="AK130:AO130"/>
    <mergeCell ref="AO151:AS151"/>
    <mergeCell ref="AT151:AX151"/>
    <mergeCell ref="AY151:BC151"/>
    <mergeCell ref="BD151:BH151"/>
    <mergeCell ref="BI151:BM151"/>
    <mergeCell ref="BN151:BR151"/>
    <mergeCell ref="A150:T151"/>
    <mergeCell ref="U150:AD150"/>
    <mergeCell ref="AE150:AN150"/>
    <mergeCell ref="AO150:AX150"/>
    <mergeCell ref="AY150:BH150"/>
    <mergeCell ref="BI150:BR150"/>
    <mergeCell ref="U151:Y151"/>
    <mergeCell ref="Z151:AD151"/>
    <mergeCell ref="AE151:AI151"/>
    <mergeCell ref="AJ151:AN151"/>
    <mergeCell ref="AP131:AT131"/>
    <mergeCell ref="AU131:AY131"/>
    <mergeCell ref="AZ131:BD131"/>
    <mergeCell ref="BE131:BI131"/>
    <mergeCell ref="A148:BL148"/>
    <mergeCell ref="A149:BR149"/>
    <mergeCell ref="BE132:BI132"/>
    <mergeCell ref="A133:C133"/>
    <mergeCell ref="D133:P133"/>
    <mergeCell ref="Q133:U133"/>
    <mergeCell ref="AO153:AS153"/>
    <mergeCell ref="AT153:AX153"/>
    <mergeCell ref="AY153:BC153"/>
    <mergeCell ref="BD153:BH153"/>
    <mergeCell ref="BI153:BM153"/>
    <mergeCell ref="BN153:BR153"/>
    <mergeCell ref="AT152:AX152"/>
    <mergeCell ref="AY152:BC152"/>
    <mergeCell ref="BD152:BH152"/>
    <mergeCell ref="BI152:BM152"/>
    <mergeCell ref="BN152:BR152"/>
    <mergeCell ref="A153:T153"/>
    <mergeCell ref="U153:Y153"/>
    <mergeCell ref="Z153:AD153"/>
    <mergeCell ref="AE153:AI153"/>
    <mergeCell ref="AJ153:AN153"/>
    <mergeCell ref="A152:T152"/>
    <mergeCell ref="U152:Y152"/>
    <mergeCell ref="Z152:AD152"/>
    <mergeCell ref="AE152:AI152"/>
    <mergeCell ref="AJ152:AN152"/>
    <mergeCell ref="AO152:AS152"/>
    <mergeCell ref="A159:C161"/>
    <mergeCell ref="D159:V161"/>
    <mergeCell ref="W159:AH159"/>
    <mergeCell ref="AI159:AT159"/>
    <mergeCell ref="AU159:AZ159"/>
    <mergeCell ref="BA159:BF159"/>
    <mergeCell ref="AT154:AX154"/>
    <mergeCell ref="AY154:BC154"/>
    <mergeCell ref="BD154:BH154"/>
    <mergeCell ref="BI154:BM154"/>
    <mergeCell ref="BN154:BR154"/>
    <mergeCell ref="A158:BL158"/>
    <mergeCell ref="BI155:BM155"/>
    <mergeCell ref="BN155:BR155"/>
    <mergeCell ref="A154:T154"/>
    <mergeCell ref="U154:Y154"/>
    <mergeCell ref="Z154:AD154"/>
    <mergeCell ref="AE154:AI154"/>
    <mergeCell ref="AJ154:AN154"/>
    <mergeCell ref="AO154:AS154"/>
    <mergeCell ref="BJ160:BL161"/>
    <mergeCell ref="W161:Y161"/>
    <mergeCell ref="Z161:AB161"/>
    <mergeCell ref="AC161:AE161"/>
    <mergeCell ref="AF161:AH161"/>
    <mergeCell ref="AI161:AK161"/>
    <mergeCell ref="AL161:AN161"/>
    <mergeCell ref="AO161:AQ161"/>
    <mergeCell ref="AR161:AT161"/>
    <mergeCell ref="BG159:BL159"/>
    <mergeCell ref="W160:AB160"/>
    <mergeCell ref="AC160:AH160"/>
    <mergeCell ref="AI160:AN160"/>
    <mergeCell ref="AO160:AT160"/>
    <mergeCell ref="AU160:AW161"/>
    <mergeCell ref="AX160:AZ161"/>
    <mergeCell ref="BA160:BC161"/>
    <mergeCell ref="BD160:BF161"/>
    <mergeCell ref="BG160:BI161"/>
    <mergeCell ref="AL163:AN163"/>
    <mergeCell ref="AO163:AQ163"/>
    <mergeCell ref="AR163:AT163"/>
    <mergeCell ref="AU163:AW163"/>
    <mergeCell ref="AX163:AZ163"/>
    <mergeCell ref="BA162:BC162"/>
    <mergeCell ref="BD162:BF162"/>
    <mergeCell ref="BG162:BI162"/>
    <mergeCell ref="BJ162:BL162"/>
    <mergeCell ref="A163:C163"/>
    <mergeCell ref="D163:V163"/>
    <mergeCell ref="W163:Y163"/>
    <mergeCell ref="Z163:AB163"/>
    <mergeCell ref="AC163:AE163"/>
    <mergeCell ref="AF163:AH163"/>
    <mergeCell ref="AI162:AK162"/>
    <mergeCell ref="AL162:AN162"/>
    <mergeCell ref="AO162:AQ162"/>
    <mergeCell ref="AR162:AT162"/>
    <mergeCell ref="AU162:AW162"/>
    <mergeCell ref="AX162:AZ162"/>
    <mergeCell ref="A162:C162"/>
    <mergeCell ref="D162:V162"/>
    <mergeCell ref="W162:Y162"/>
    <mergeCell ref="Z162:AB162"/>
    <mergeCell ref="AC162:AE162"/>
    <mergeCell ref="AF162:AH162"/>
    <mergeCell ref="AP172:AT172"/>
    <mergeCell ref="AU172:AY172"/>
    <mergeCell ref="AZ172:BD172"/>
    <mergeCell ref="BE172:BI172"/>
    <mergeCell ref="BJ172:BN172"/>
    <mergeCell ref="BO172:BS172"/>
    <mergeCell ref="A170:BS170"/>
    <mergeCell ref="A171:F172"/>
    <mergeCell ref="G171:S172"/>
    <mergeCell ref="T171:Z172"/>
    <mergeCell ref="AA171:AO171"/>
    <mergeCell ref="AP171:BD171"/>
    <mergeCell ref="BE171:BS171"/>
    <mergeCell ref="AA172:AE172"/>
    <mergeCell ref="AF172:AJ172"/>
    <mergeCell ref="AK172:AO172"/>
    <mergeCell ref="BA164:BC164"/>
    <mergeCell ref="BD164:BF164"/>
    <mergeCell ref="BG164:BI164"/>
    <mergeCell ref="BJ164:BL164"/>
    <mergeCell ref="A168:BL168"/>
    <mergeCell ref="A169:BS169"/>
    <mergeCell ref="AL165:AN165"/>
    <mergeCell ref="AO165:AQ165"/>
    <mergeCell ref="AR165:AT165"/>
    <mergeCell ref="AU165:AW165"/>
    <mergeCell ref="AI164:AK164"/>
    <mergeCell ref="AL164:AN164"/>
    <mergeCell ref="AO164:AQ164"/>
    <mergeCell ref="AR164:AT164"/>
    <mergeCell ref="AU164:AW164"/>
    <mergeCell ref="AX164:AZ164"/>
    <mergeCell ref="AP174:AT174"/>
    <mergeCell ref="AU174:AY174"/>
    <mergeCell ref="AZ174:BD174"/>
    <mergeCell ref="BE174:BI174"/>
    <mergeCell ref="BJ174:BN174"/>
    <mergeCell ref="BO174:BS174"/>
    <mergeCell ref="A174:F174"/>
    <mergeCell ref="G174:S174"/>
    <mergeCell ref="T174:Z174"/>
    <mergeCell ref="AA174:AE174"/>
    <mergeCell ref="AF174:AJ174"/>
    <mergeCell ref="AK174:AO174"/>
    <mergeCell ref="AP173:AT173"/>
    <mergeCell ref="AU173:AY173"/>
    <mergeCell ref="AZ173:BD173"/>
    <mergeCell ref="BE173:BI173"/>
    <mergeCell ref="BJ173:BN173"/>
    <mergeCell ref="BO173:BS173"/>
    <mergeCell ref="A173:F173"/>
    <mergeCell ref="G173:S173"/>
    <mergeCell ref="T173:Z173"/>
    <mergeCell ref="AA173:AE173"/>
    <mergeCell ref="AF173:AJ173"/>
    <mergeCell ref="AK173:AO173"/>
    <mergeCell ref="AP182:AT182"/>
    <mergeCell ref="A178:BL178"/>
    <mergeCell ref="A179:BD179"/>
    <mergeCell ref="A180:F181"/>
    <mergeCell ref="G180:S181"/>
    <mergeCell ref="T180:Z181"/>
    <mergeCell ref="AA180:AO180"/>
    <mergeCell ref="AP180:BD180"/>
    <mergeCell ref="AA181:AE181"/>
    <mergeCell ref="AF181:AJ181"/>
    <mergeCell ref="AK181:AO181"/>
    <mergeCell ref="AP175:AT175"/>
    <mergeCell ref="AU175:AY175"/>
    <mergeCell ref="AZ175:BD175"/>
    <mergeCell ref="BE175:BI175"/>
    <mergeCell ref="BJ175:BN175"/>
    <mergeCell ref="BO175:BS175"/>
    <mergeCell ref="A175:F175"/>
    <mergeCell ref="G175:S175"/>
    <mergeCell ref="T175:Z175"/>
    <mergeCell ref="AA175:AE175"/>
    <mergeCell ref="AF175:AJ175"/>
    <mergeCell ref="AK175:AO175"/>
    <mergeCell ref="A188:BL188"/>
    <mergeCell ref="A189:BM189"/>
    <mergeCell ref="A190:M191"/>
    <mergeCell ref="N190:U191"/>
    <mergeCell ref="V190:Z191"/>
    <mergeCell ref="AA190:AI190"/>
    <mergeCell ref="AJ190:AR190"/>
    <mergeCell ref="AS190:BA190"/>
    <mergeCell ref="BB190:BJ190"/>
    <mergeCell ref="BK190:BS190"/>
    <mergeCell ref="AZ183:BD183"/>
    <mergeCell ref="A184:F184"/>
    <mergeCell ref="G184:S184"/>
    <mergeCell ref="T184:Z184"/>
    <mergeCell ref="AA184:AE184"/>
    <mergeCell ref="AF184:AJ184"/>
    <mergeCell ref="AK184:AO184"/>
    <mergeCell ref="AP184:AT184"/>
    <mergeCell ref="AU184:AY184"/>
    <mergeCell ref="AZ184:BD184"/>
    <mergeCell ref="A183:F183"/>
    <mergeCell ref="G183:S183"/>
    <mergeCell ref="T183:Z183"/>
    <mergeCell ref="AA183:AE183"/>
    <mergeCell ref="AF183:AJ183"/>
    <mergeCell ref="AK183:AO183"/>
    <mergeCell ref="AP183:AT183"/>
    <mergeCell ref="AU183:AY183"/>
    <mergeCell ref="BP192:BS192"/>
    <mergeCell ref="A193:M193"/>
    <mergeCell ref="N193:U193"/>
    <mergeCell ref="V193:Z193"/>
    <mergeCell ref="AA193:AE193"/>
    <mergeCell ref="AF193:AI193"/>
    <mergeCell ref="AJ193:AN193"/>
    <mergeCell ref="AO193:AR193"/>
    <mergeCell ref="AS193:AW193"/>
    <mergeCell ref="AX193:BA193"/>
    <mergeCell ref="AO192:AR192"/>
    <mergeCell ref="AS192:AW192"/>
    <mergeCell ref="AX192:BA192"/>
    <mergeCell ref="BB192:BF192"/>
    <mergeCell ref="BG192:BJ192"/>
    <mergeCell ref="BK192:BO192"/>
    <mergeCell ref="BB191:BF191"/>
    <mergeCell ref="BG191:BJ191"/>
    <mergeCell ref="BK191:BO191"/>
    <mergeCell ref="BP191:BS191"/>
    <mergeCell ref="A192:M192"/>
    <mergeCell ref="N192:U192"/>
    <mergeCell ref="V192:Z192"/>
    <mergeCell ref="AA192:AE192"/>
    <mergeCell ref="AF192:AI192"/>
    <mergeCell ref="AJ192:AN192"/>
    <mergeCell ref="AA191:AE191"/>
    <mergeCell ref="AF191:AI191"/>
    <mergeCell ref="AJ191:AN191"/>
    <mergeCell ref="AO191:AR191"/>
    <mergeCell ref="AS191:AW191"/>
    <mergeCell ref="AX191:BA191"/>
    <mergeCell ref="BP194:BS194"/>
    <mergeCell ref="A197:BL197"/>
    <mergeCell ref="A198:BL198"/>
    <mergeCell ref="A201:BL201"/>
    <mergeCell ref="A202:BL202"/>
    <mergeCell ref="A203:BL203"/>
    <mergeCell ref="AO194:AR194"/>
    <mergeCell ref="AS194:AW194"/>
    <mergeCell ref="AX194:BA194"/>
    <mergeCell ref="BB194:BF194"/>
    <mergeCell ref="BG194:BJ194"/>
    <mergeCell ref="BK194:BO194"/>
    <mergeCell ref="BB193:BF193"/>
    <mergeCell ref="BG193:BJ193"/>
    <mergeCell ref="BK193:BO193"/>
    <mergeCell ref="BP193:BS193"/>
    <mergeCell ref="A194:M194"/>
    <mergeCell ref="N194:U194"/>
    <mergeCell ref="V194:Z194"/>
    <mergeCell ref="AA194:AE194"/>
    <mergeCell ref="AF194:AI194"/>
    <mergeCell ref="AJ194:AN194"/>
    <mergeCell ref="AK206:AP206"/>
    <mergeCell ref="AQ206:AV206"/>
    <mergeCell ref="AW206:BA206"/>
    <mergeCell ref="BB206:BF206"/>
    <mergeCell ref="BG206:BL206"/>
    <mergeCell ref="A207:F207"/>
    <mergeCell ref="G207:S207"/>
    <mergeCell ref="T207:Y207"/>
    <mergeCell ref="Z207:AD207"/>
    <mergeCell ref="AE207:AJ207"/>
    <mergeCell ref="AQ204:AV205"/>
    <mergeCell ref="AW204:BF204"/>
    <mergeCell ref="BG204:BL205"/>
    <mergeCell ref="AW205:BA205"/>
    <mergeCell ref="BB205:BF205"/>
    <mergeCell ref="A206:F206"/>
    <mergeCell ref="G206:S206"/>
    <mergeCell ref="T206:Y206"/>
    <mergeCell ref="Z206:AD206"/>
    <mergeCell ref="AE206:AJ206"/>
    <mergeCell ref="A204:F205"/>
    <mergeCell ref="G204:S205"/>
    <mergeCell ref="T204:Y205"/>
    <mergeCell ref="Z204:AD205"/>
    <mergeCell ref="AE204:AJ205"/>
    <mergeCell ref="AK204:AP205"/>
    <mergeCell ref="A211:BL211"/>
    <mergeCell ref="A212:F214"/>
    <mergeCell ref="G212:P214"/>
    <mergeCell ref="Q212:AN212"/>
    <mergeCell ref="AO212:BL212"/>
    <mergeCell ref="Q213:U214"/>
    <mergeCell ref="V213:Y214"/>
    <mergeCell ref="Z213:AI213"/>
    <mergeCell ref="AJ213:AN214"/>
    <mergeCell ref="AO213:AS214"/>
    <mergeCell ref="AK208:AP208"/>
    <mergeCell ref="AQ208:AV208"/>
    <mergeCell ref="AW208:BA208"/>
    <mergeCell ref="BB208:BF208"/>
    <mergeCell ref="BG208:BL208"/>
    <mergeCell ref="A210:BL210"/>
    <mergeCell ref="AK207:AP207"/>
    <mergeCell ref="AQ207:AV207"/>
    <mergeCell ref="AW207:BA207"/>
    <mergeCell ref="BB207:BF207"/>
    <mergeCell ref="BG207:BL207"/>
    <mergeCell ref="A208:F208"/>
    <mergeCell ref="G208:S208"/>
    <mergeCell ref="T208:Y208"/>
    <mergeCell ref="Z208:AD208"/>
    <mergeCell ref="AE208:AJ208"/>
    <mergeCell ref="AJ215:AN215"/>
    <mergeCell ref="AO215:AS215"/>
    <mergeCell ref="AT215:AW215"/>
    <mergeCell ref="AX215:BB215"/>
    <mergeCell ref="BC215:BG215"/>
    <mergeCell ref="BH215:BL215"/>
    <mergeCell ref="A215:F215"/>
    <mergeCell ref="G215:P215"/>
    <mergeCell ref="Q215:U215"/>
    <mergeCell ref="V215:Y215"/>
    <mergeCell ref="Z215:AD215"/>
    <mergeCell ref="AE215:AI215"/>
    <mergeCell ref="AT213:AW214"/>
    <mergeCell ref="AX213:BG213"/>
    <mergeCell ref="BH213:BL214"/>
    <mergeCell ref="Z214:AD214"/>
    <mergeCell ref="AE214:AI214"/>
    <mergeCell ref="AX214:BB214"/>
    <mergeCell ref="BC214:BG214"/>
    <mergeCell ref="AJ217:AN217"/>
    <mergeCell ref="AO217:AS217"/>
    <mergeCell ref="AT217:AW217"/>
    <mergeCell ref="AX217:BB217"/>
    <mergeCell ref="BC217:BG217"/>
    <mergeCell ref="BH217:BL217"/>
    <mergeCell ref="A217:F217"/>
    <mergeCell ref="G217:P217"/>
    <mergeCell ref="Q217:U217"/>
    <mergeCell ref="V217:Y217"/>
    <mergeCell ref="Z217:AD217"/>
    <mergeCell ref="AE217:AI217"/>
    <mergeCell ref="AJ216:AN216"/>
    <mergeCell ref="AO216:AS216"/>
    <mergeCell ref="AT216:AW216"/>
    <mergeCell ref="AX216:BB216"/>
    <mergeCell ref="BC216:BG216"/>
    <mergeCell ref="BH216:BL216"/>
    <mergeCell ref="A216:F216"/>
    <mergeCell ref="G216:P216"/>
    <mergeCell ref="Q216:U216"/>
    <mergeCell ref="V216:Y216"/>
    <mergeCell ref="Z216:AD216"/>
    <mergeCell ref="AE216:AI216"/>
    <mergeCell ref="BE223:BL224"/>
    <mergeCell ref="A225:F225"/>
    <mergeCell ref="G225:S225"/>
    <mergeCell ref="T225:Y225"/>
    <mergeCell ref="Z225:AD225"/>
    <mergeCell ref="AE225:AJ225"/>
    <mergeCell ref="AK225:AP225"/>
    <mergeCell ref="AQ225:AV225"/>
    <mergeCell ref="AW225:BD225"/>
    <mergeCell ref="BE225:BL225"/>
    <mergeCell ref="A221:BL221"/>
    <mergeCell ref="A222:BL222"/>
    <mergeCell ref="A223:F224"/>
    <mergeCell ref="G223:S224"/>
    <mergeCell ref="T223:Y224"/>
    <mergeCell ref="Z223:AD224"/>
    <mergeCell ref="AE223:AJ224"/>
    <mergeCell ref="AK223:AP224"/>
    <mergeCell ref="AQ223:AV224"/>
    <mergeCell ref="AW223:BD224"/>
    <mergeCell ref="A233:BL233"/>
    <mergeCell ref="A234:BL234"/>
    <mergeCell ref="AQ226:AV226"/>
    <mergeCell ref="AW226:BD226"/>
    <mergeCell ref="BE226:BL226"/>
    <mergeCell ref="A227:F227"/>
    <mergeCell ref="G227:S227"/>
    <mergeCell ref="T227:Y227"/>
    <mergeCell ref="Z227:AD227"/>
    <mergeCell ref="AE227:AJ227"/>
    <mergeCell ref="AK227:AP227"/>
    <mergeCell ref="AQ227:AV227"/>
    <mergeCell ref="A226:F226"/>
    <mergeCell ref="G226:S226"/>
    <mergeCell ref="T226:Y226"/>
    <mergeCell ref="Z226:AD226"/>
    <mergeCell ref="AE226:AJ226"/>
    <mergeCell ref="AK226:AP226"/>
    <mergeCell ref="A40:D40"/>
    <mergeCell ref="E40:W40"/>
    <mergeCell ref="X40:AB40"/>
    <mergeCell ref="AC40:AG40"/>
    <mergeCell ref="AH40:AL40"/>
    <mergeCell ref="AM40:AQ40"/>
    <mergeCell ref="AR40:AV40"/>
    <mergeCell ref="BB31:BF31"/>
    <mergeCell ref="BG31:BK31"/>
    <mergeCell ref="BL31:BP31"/>
    <mergeCell ref="BQ31:BT31"/>
    <mergeCell ref="BU31:BY31"/>
    <mergeCell ref="A239:AA239"/>
    <mergeCell ref="AH239:AP239"/>
    <mergeCell ref="AU239:BF239"/>
    <mergeCell ref="AH240:AP240"/>
    <mergeCell ref="AU240:BF240"/>
    <mergeCell ref="A31:D31"/>
    <mergeCell ref="E31:T31"/>
    <mergeCell ref="U31:Y31"/>
    <mergeCell ref="Z31:AD31"/>
    <mergeCell ref="AE31:AH31"/>
    <mergeCell ref="A235:BL235"/>
    <mergeCell ref="A236:AA236"/>
    <mergeCell ref="AH236:AP236"/>
    <mergeCell ref="AU236:BF236"/>
    <mergeCell ref="AH237:AP237"/>
    <mergeCell ref="AU237:BF237"/>
    <mergeCell ref="AW227:BD227"/>
    <mergeCell ref="BE227:BL227"/>
    <mergeCell ref="A229:BL229"/>
    <mergeCell ref="A230:BL230"/>
    <mergeCell ref="BL52:BP52"/>
    <mergeCell ref="BQ52:BT52"/>
    <mergeCell ref="BU52:BY52"/>
    <mergeCell ref="BU51:BY51"/>
    <mergeCell ref="A52:D52"/>
    <mergeCell ref="E52:T52"/>
    <mergeCell ref="U52:Y52"/>
    <mergeCell ref="Z52:AD52"/>
    <mergeCell ref="AE52:AH52"/>
    <mergeCell ref="AI52:AM52"/>
    <mergeCell ref="AN52:AR52"/>
    <mergeCell ref="AS52:AW52"/>
    <mergeCell ref="AX52:BA52"/>
    <mergeCell ref="AS51:AW51"/>
    <mergeCell ref="AX51:BA51"/>
    <mergeCell ref="BB51:BF51"/>
    <mergeCell ref="BG51:BK51"/>
    <mergeCell ref="BL51:BP51"/>
    <mergeCell ref="BQ51:BT51"/>
    <mergeCell ref="A51:D51"/>
    <mergeCell ref="E51:T51"/>
    <mergeCell ref="U51:Y51"/>
    <mergeCell ref="Z51:AD51"/>
    <mergeCell ref="AE51:AH51"/>
    <mergeCell ref="AI51:AM51"/>
    <mergeCell ref="AN51:AR51"/>
    <mergeCell ref="BG70:BK70"/>
    <mergeCell ref="AC70:AG70"/>
    <mergeCell ref="AH70:AL70"/>
    <mergeCell ref="AM70:AQ70"/>
    <mergeCell ref="AR70:AV70"/>
    <mergeCell ref="AW70:BA70"/>
    <mergeCell ref="BB70:BF70"/>
    <mergeCell ref="A69:D69"/>
    <mergeCell ref="E69:W69"/>
    <mergeCell ref="X69:AB69"/>
    <mergeCell ref="AC69:AG69"/>
    <mergeCell ref="AH69:AL69"/>
    <mergeCell ref="AM69:AQ69"/>
    <mergeCell ref="AR69:AV69"/>
    <mergeCell ref="AW69:BA69"/>
    <mergeCell ref="BB69:BF69"/>
    <mergeCell ref="BB52:BF52"/>
    <mergeCell ref="BG52:BK52"/>
    <mergeCell ref="AR68:AV68"/>
    <mergeCell ref="AW68:BA68"/>
    <mergeCell ref="BB68:BF68"/>
    <mergeCell ref="BG68:BK68"/>
    <mergeCell ref="AH65:AL65"/>
    <mergeCell ref="AM65:AQ65"/>
    <mergeCell ref="AR65:AV65"/>
    <mergeCell ref="AW65:BA65"/>
    <mergeCell ref="BB65:BF65"/>
    <mergeCell ref="BG65:BK65"/>
    <mergeCell ref="AX59:BA59"/>
    <mergeCell ref="BB59:BF59"/>
    <mergeCell ref="BG59:BK59"/>
    <mergeCell ref="BG57:BK57"/>
    <mergeCell ref="BQ90:BT90"/>
    <mergeCell ref="BU90:BY90"/>
    <mergeCell ref="AI90:AM90"/>
    <mergeCell ref="AN90:AR90"/>
    <mergeCell ref="AS90:AW90"/>
    <mergeCell ref="AX90:BA90"/>
    <mergeCell ref="BB90:BF90"/>
    <mergeCell ref="BG90:BK90"/>
    <mergeCell ref="BB89:BF89"/>
    <mergeCell ref="BG89:BK89"/>
    <mergeCell ref="BL89:BP89"/>
    <mergeCell ref="BQ89:BT89"/>
    <mergeCell ref="BU89:BY89"/>
    <mergeCell ref="A90:C90"/>
    <mergeCell ref="D90:T90"/>
    <mergeCell ref="U90:Y90"/>
    <mergeCell ref="Z90:AD90"/>
    <mergeCell ref="AE90:AH90"/>
    <mergeCell ref="A89:C89"/>
    <mergeCell ref="D89:T89"/>
    <mergeCell ref="U89:Y89"/>
    <mergeCell ref="Z89:AD89"/>
    <mergeCell ref="AE89:AH89"/>
    <mergeCell ref="AI89:AM89"/>
    <mergeCell ref="AN89:AR89"/>
    <mergeCell ref="AS89:AW89"/>
    <mergeCell ref="AX89:BA89"/>
    <mergeCell ref="BD100:BH100"/>
    <mergeCell ref="Z100:AD100"/>
    <mergeCell ref="AE100:AI100"/>
    <mergeCell ref="AJ100:AN100"/>
    <mergeCell ref="AO100:AS100"/>
    <mergeCell ref="AT100:AX100"/>
    <mergeCell ref="AY100:BC100"/>
    <mergeCell ref="A99:C99"/>
    <mergeCell ref="D99:T99"/>
    <mergeCell ref="U99:Y99"/>
    <mergeCell ref="Z99:AD99"/>
    <mergeCell ref="AE99:AI99"/>
    <mergeCell ref="AJ99:AN99"/>
    <mergeCell ref="AO99:AS99"/>
    <mergeCell ref="AT99:AX99"/>
    <mergeCell ref="AY99:BC99"/>
    <mergeCell ref="BL90:BP90"/>
    <mergeCell ref="AO97:AS97"/>
    <mergeCell ref="AT97:AX97"/>
    <mergeCell ref="AY97:BC97"/>
    <mergeCell ref="BD97:BH97"/>
    <mergeCell ref="AO96:AS96"/>
    <mergeCell ref="AT96:AX96"/>
    <mergeCell ref="AY96:BC96"/>
    <mergeCell ref="BD96:BH96"/>
    <mergeCell ref="A97:C97"/>
    <mergeCell ref="D97:T97"/>
    <mergeCell ref="U97:Y97"/>
    <mergeCell ref="Z97:AD97"/>
    <mergeCell ref="AE97:AI97"/>
    <mergeCell ref="AJ97:AN97"/>
    <mergeCell ref="A96:C96"/>
    <mergeCell ref="BE110:BI110"/>
    <mergeCell ref="BJ110:BN110"/>
    <mergeCell ref="BO110:BS110"/>
    <mergeCell ref="BT110:BX110"/>
    <mergeCell ref="A111:C111"/>
    <mergeCell ref="D111:P111"/>
    <mergeCell ref="Q111:U111"/>
    <mergeCell ref="V111:AE111"/>
    <mergeCell ref="AF111:AJ111"/>
    <mergeCell ref="AK111:AO111"/>
    <mergeCell ref="A110:C110"/>
    <mergeCell ref="D110:P110"/>
    <mergeCell ref="Q110:U110"/>
    <mergeCell ref="V110:AE110"/>
    <mergeCell ref="AF110:AJ110"/>
    <mergeCell ref="AK110:AO110"/>
    <mergeCell ref="AP110:AT110"/>
    <mergeCell ref="AU110:AY110"/>
    <mergeCell ref="AZ110:BD110"/>
    <mergeCell ref="BE112:BI112"/>
    <mergeCell ref="BJ112:BN112"/>
    <mergeCell ref="BO112:BS112"/>
    <mergeCell ref="BT112:BX112"/>
    <mergeCell ref="A113:C113"/>
    <mergeCell ref="D113:P113"/>
    <mergeCell ref="Q113:U113"/>
    <mergeCell ref="V113:AE113"/>
    <mergeCell ref="AF113:AJ113"/>
    <mergeCell ref="AK113:AO113"/>
    <mergeCell ref="BT111:BX111"/>
    <mergeCell ref="A112:C112"/>
    <mergeCell ref="D112:P112"/>
    <mergeCell ref="Q112:U112"/>
    <mergeCell ref="V112:AE112"/>
    <mergeCell ref="AF112:AJ112"/>
    <mergeCell ref="AK112:AO112"/>
    <mergeCell ref="AP112:AT112"/>
    <mergeCell ref="AU112:AY112"/>
    <mergeCell ref="AZ112:BD112"/>
    <mergeCell ref="AP111:AT111"/>
    <mergeCell ref="AU111:AY111"/>
    <mergeCell ref="AZ111:BD111"/>
    <mergeCell ref="BE111:BI111"/>
    <mergeCell ref="BJ111:BN111"/>
    <mergeCell ref="BO111:BS111"/>
    <mergeCell ref="BE114:BI114"/>
    <mergeCell ref="BJ114:BN114"/>
    <mergeCell ref="BO114:BS114"/>
    <mergeCell ref="BT114:BX114"/>
    <mergeCell ref="A115:C115"/>
    <mergeCell ref="D115:P115"/>
    <mergeCell ref="Q115:U115"/>
    <mergeCell ref="V115:AE115"/>
    <mergeCell ref="AF115:AJ115"/>
    <mergeCell ref="AK115:AO115"/>
    <mergeCell ref="BT113:BX113"/>
    <mergeCell ref="A114:C114"/>
    <mergeCell ref="D114:P114"/>
    <mergeCell ref="Q114:U114"/>
    <mergeCell ref="V114:AE114"/>
    <mergeCell ref="AF114:AJ114"/>
    <mergeCell ref="AK114:AO114"/>
    <mergeCell ref="AP114:AT114"/>
    <mergeCell ref="AU114:AY114"/>
    <mergeCell ref="AZ114:BD114"/>
    <mergeCell ref="AP113:AT113"/>
    <mergeCell ref="AU113:AY113"/>
    <mergeCell ref="AZ113:BD113"/>
    <mergeCell ref="BE113:BI113"/>
    <mergeCell ref="BJ113:BN113"/>
    <mergeCell ref="BO113:BS113"/>
    <mergeCell ref="BE116:BI116"/>
    <mergeCell ref="BJ116:BN116"/>
    <mergeCell ref="BO116:BS116"/>
    <mergeCell ref="BT116:BX116"/>
    <mergeCell ref="A117:C117"/>
    <mergeCell ref="D117:P117"/>
    <mergeCell ref="Q117:U117"/>
    <mergeCell ref="V117:AE117"/>
    <mergeCell ref="AF117:AJ117"/>
    <mergeCell ref="AK117:AO117"/>
    <mergeCell ref="BT115:BX115"/>
    <mergeCell ref="A116:C116"/>
    <mergeCell ref="D116:P116"/>
    <mergeCell ref="Q116:U116"/>
    <mergeCell ref="V116:AE116"/>
    <mergeCell ref="AF116:AJ116"/>
    <mergeCell ref="AK116:AO116"/>
    <mergeCell ref="AP116:AT116"/>
    <mergeCell ref="AU116:AY116"/>
    <mergeCell ref="AZ116:BD116"/>
    <mergeCell ref="AP115:AT115"/>
    <mergeCell ref="AU115:AY115"/>
    <mergeCell ref="AZ115:BD115"/>
    <mergeCell ref="BE115:BI115"/>
    <mergeCell ref="BJ115:BN115"/>
    <mergeCell ref="BO115:BS115"/>
    <mergeCell ref="BE118:BI118"/>
    <mergeCell ref="BJ118:BN118"/>
    <mergeCell ref="BO118:BS118"/>
    <mergeCell ref="BT118:BX118"/>
    <mergeCell ref="A119:C119"/>
    <mergeCell ref="D119:P119"/>
    <mergeCell ref="Q119:U119"/>
    <mergeCell ref="V119:AE119"/>
    <mergeCell ref="AF119:AJ119"/>
    <mergeCell ref="AK119:AO119"/>
    <mergeCell ref="BT117:BX117"/>
    <mergeCell ref="A118:C118"/>
    <mergeCell ref="D118:P118"/>
    <mergeCell ref="Q118:U118"/>
    <mergeCell ref="V118:AE118"/>
    <mergeCell ref="AF118:AJ118"/>
    <mergeCell ref="AK118:AO118"/>
    <mergeCell ref="AP118:AT118"/>
    <mergeCell ref="AU118:AY118"/>
    <mergeCell ref="AZ118:BD118"/>
    <mergeCell ref="AP117:AT117"/>
    <mergeCell ref="AU117:AY117"/>
    <mergeCell ref="AZ117:BD117"/>
    <mergeCell ref="BE117:BI117"/>
    <mergeCell ref="BJ117:BN117"/>
    <mergeCell ref="BO117:BS117"/>
    <mergeCell ref="BE120:BI120"/>
    <mergeCell ref="BJ120:BN120"/>
    <mergeCell ref="BO120:BS120"/>
    <mergeCell ref="BT120:BX120"/>
    <mergeCell ref="A121:C121"/>
    <mergeCell ref="D121:P121"/>
    <mergeCell ref="Q121:U121"/>
    <mergeCell ref="V121:AE121"/>
    <mergeCell ref="AF121:AJ121"/>
    <mergeCell ref="AK121:AO121"/>
    <mergeCell ref="BT119:BX119"/>
    <mergeCell ref="A120:C120"/>
    <mergeCell ref="D120:P120"/>
    <mergeCell ref="Q120:U120"/>
    <mergeCell ref="V120:AE120"/>
    <mergeCell ref="AF120:AJ120"/>
    <mergeCell ref="AK120:AO120"/>
    <mergeCell ref="AP120:AT120"/>
    <mergeCell ref="AU120:AY120"/>
    <mergeCell ref="AZ120:BD120"/>
    <mergeCell ref="AP119:AT119"/>
    <mergeCell ref="AU119:AY119"/>
    <mergeCell ref="AZ119:BD119"/>
    <mergeCell ref="BE119:BI119"/>
    <mergeCell ref="BJ119:BN119"/>
    <mergeCell ref="BO119:BS119"/>
    <mergeCell ref="BE122:BI122"/>
    <mergeCell ref="BJ122:BN122"/>
    <mergeCell ref="BO122:BS122"/>
    <mergeCell ref="BT122:BX122"/>
    <mergeCell ref="A123:C123"/>
    <mergeCell ref="D123:P123"/>
    <mergeCell ref="Q123:U123"/>
    <mergeCell ref="V123:AE123"/>
    <mergeCell ref="AF123:AJ123"/>
    <mergeCell ref="AK123:AO123"/>
    <mergeCell ref="BT121:BX121"/>
    <mergeCell ref="A122:C122"/>
    <mergeCell ref="D122:P122"/>
    <mergeCell ref="Q122:U122"/>
    <mergeCell ref="V122:AE122"/>
    <mergeCell ref="AF122:AJ122"/>
    <mergeCell ref="AK122:AO122"/>
    <mergeCell ref="AP122:AT122"/>
    <mergeCell ref="AU122:AY122"/>
    <mergeCell ref="AZ122:BD122"/>
    <mergeCell ref="AP121:AT121"/>
    <mergeCell ref="AU121:AY121"/>
    <mergeCell ref="AZ121:BD121"/>
    <mergeCell ref="BE121:BI121"/>
    <mergeCell ref="BJ121:BN121"/>
    <mergeCell ref="BO121:BS121"/>
    <mergeCell ref="BE124:BI124"/>
    <mergeCell ref="BJ124:BN124"/>
    <mergeCell ref="BO124:BS124"/>
    <mergeCell ref="BT124:BX124"/>
    <mergeCell ref="BT123:BX123"/>
    <mergeCell ref="A124:C124"/>
    <mergeCell ref="D124:P124"/>
    <mergeCell ref="Q124:U124"/>
    <mergeCell ref="V124:AE124"/>
    <mergeCell ref="AF124:AJ124"/>
    <mergeCell ref="AK124:AO124"/>
    <mergeCell ref="AP124:AT124"/>
    <mergeCell ref="AU124:AY124"/>
    <mergeCell ref="AZ124:BD124"/>
    <mergeCell ref="AP123:AT123"/>
    <mergeCell ref="AU123:AY123"/>
    <mergeCell ref="AZ123:BD123"/>
    <mergeCell ref="BE123:BI123"/>
    <mergeCell ref="BJ123:BN123"/>
    <mergeCell ref="BO123:BS123"/>
    <mergeCell ref="BE133:BI133"/>
    <mergeCell ref="A134:C134"/>
    <mergeCell ref="D134:P134"/>
    <mergeCell ref="Q134:U134"/>
    <mergeCell ref="V134:AE134"/>
    <mergeCell ref="AF134:AJ134"/>
    <mergeCell ref="AK134:AO134"/>
    <mergeCell ref="AP134:AT134"/>
    <mergeCell ref="AU134:AY134"/>
    <mergeCell ref="AZ134:BD134"/>
    <mergeCell ref="V133:AE133"/>
    <mergeCell ref="AF133:AJ133"/>
    <mergeCell ref="AK133:AO133"/>
    <mergeCell ref="AP133:AT133"/>
    <mergeCell ref="AU133:AY133"/>
    <mergeCell ref="AZ133:BD133"/>
    <mergeCell ref="A132:C132"/>
    <mergeCell ref="D132:P132"/>
    <mergeCell ref="Q132:U132"/>
    <mergeCell ref="V132:AE132"/>
    <mergeCell ref="AF132:AJ132"/>
    <mergeCell ref="AK132:AO132"/>
    <mergeCell ref="AP132:AT132"/>
    <mergeCell ref="AU132:AY132"/>
    <mergeCell ref="AZ132:BD132"/>
    <mergeCell ref="BE135:BI135"/>
    <mergeCell ref="A136:C136"/>
    <mergeCell ref="D136:P136"/>
    <mergeCell ref="Q136:U136"/>
    <mergeCell ref="V136:AE136"/>
    <mergeCell ref="AF136:AJ136"/>
    <mergeCell ref="AK136:AO136"/>
    <mergeCell ref="AP136:AT136"/>
    <mergeCell ref="AU136:AY136"/>
    <mergeCell ref="AZ136:BD136"/>
    <mergeCell ref="BE134:BI134"/>
    <mergeCell ref="A135:C135"/>
    <mergeCell ref="D135:P135"/>
    <mergeCell ref="Q135:U135"/>
    <mergeCell ref="V135:AE135"/>
    <mergeCell ref="AF135:AJ135"/>
    <mergeCell ref="AK135:AO135"/>
    <mergeCell ref="AP135:AT135"/>
    <mergeCell ref="AU135:AY135"/>
    <mergeCell ref="AZ135:BD135"/>
    <mergeCell ref="BE137:BI137"/>
    <mergeCell ref="A138:C138"/>
    <mergeCell ref="D138:P138"/>
    <mergeCell ref="Q138:U138"/>
    <mergeCell ref="V138:AE138"/>
    <mergeCell ref="AF138:AJ138"/>
    <mergeCell ref="AK138:AO138"/>
    <mergeCell ref="AP138:AT138"/>
    <mergeCell ref="AU138:AY138"/>
    <mergeCell ref="AZ138:BD138"/>
    <mergeCell ref="BE136:BI136"/>
    <mergeCell ref="A137:C137"/>
    <mergeCell ref="D137:P137"/>
    <mergeCell ref="Q137:U137"/>
    <mergeCell ref="V137:AE137"/>
    <mergeCell ref="AF137:AJ137"/>
    <mergeCell ref="AK137:AO137"/>
    <mergeCell ref="AP137:AT137"/>
    <mergeCell ref="AU137:AY137"/>
    <mergeCell ref="AZ137:BD137"/>
    <mergeCell ref="BE139:BI139"/>
    <mergeCell ref="A140:C140"/>
    <mergeCell ref="D140:P140"/>
    <mergeCell ref="Q140:U140"/>
    <mergeCell ref="V140:AE140"/>
    <mergeCell ref="AF140:AJ140"/>
    <mergeCell ref="AK140:AO140"/>
    <mergeCell ref="AP140:AT140"/>
    <mergeCell ref="AU140:AY140"/>
    <mergeCell ref="AZ140:BD140"/>
    <mergeCell ref="BE138:BI138"/>
    <mergeCell ref="A139:C139"/>
    <mergeCell ref="D139:P139"/>
    <mergeCell ref="Q139:U139"/>
    <mergeCell ref="V139:AE139"/>
    <mergeCell ref="AF139:AJ139"/>
    <mergeCell ref="AK139:AO139"/>
    <mergeCell ref="AP139:AT139"/>
    <mergeCell ref="AU139:AY139"/>
    <mergeCell ref="AZ139:BD139"/>
    <mergeCell ref="BE141:BI141"/>
    <mergeCell ref="A142:C142"/>
    <mergeCell ref="D142:P142"/>
    <mergeCell ref="Q142:U142"/>
    <mergeCell ref="V142:AE142"/>
    <mergeCell ref="AF142:AJ142"/>
    <mergeCell ref="AK142:AO142"/>
    <mergeCell ref="AP142:AT142"/>
    <mergeCell ref="AU142:AY142"/>
    <mergeCell ref="AZ142:BD142"/>
    <mergeCell ref="BE140:BI140"/>
    <mergeCell ref="A141:C141"/>
    <mergeCell ref="D141:P141"/>
    <mergeCell ref="Q141:U141"/>
    <mergeCell ref="V141:AE141"/>
    <mergeCell ref="AF141:AJ141"/>
    <mergeCell ref="AK141:AO141"/>
    <mergeCell ref="AP141:AT141"/>
    <mergeCell ref="AU141:AY141"/>
    <mergeCell ref="AZ141:BD141"/>
    <mergeCell ref="BE143:BI143"/>
    <mergeCell ref="A144:C144"/>
    <mergeCell ref="D144:P144"/>
    <mergeCell ref="Q144:U144"/>
    <mergeCell ref="V144:AE144"/>
    <mergeCell ref="AF144:AJ144"/>
    <mergeCell ref="AK144:AO144"/>
    <mergeCell ref="AP144:AT144"/>
    <mergeCell ref="AU144:AY144"/>
    <mergeCell ref="AZ144:BD144"/>
    <mergeCell ref="BE142:BI142"/>
    <mergeCell ref="A143:C143"/>
    <mergeCell ref="D143:P143"/>
    <mergeCell ref="Q143:U143"/>
    <mergeCell ref="V143:AE143"/>
    <mergeCell ref="AF143:AJ143"/>
    <mergeCell ref="AK143:AO143"/>
    <mergeCell ref="AP143:AT143"/>
    <mergeCell ref="AU143:AY143"/>
    <mergeCell ref="AZ143:BD143"/>
    <mergeCell ref="BE146:BI146"/>
    <mergeCell ref="BE145:BI145"/>
    <mergeCell ref="A146:C146"/>
    <mergeCell ref="D146:P146"/>
    <mergeCell ref="Q146:U146"/>
    <mergeCell ref="V146:AE146"/>
    <mergeCell ref="AF146:AJ146"/>
    <mergeCell ref="AK146:AO146"/>
    <mergeCell ref="AP146:AT146"/>
    <mergeCell ref="AU146:AY146"/>
    <mergeCell ref="AZ146:BD146"/>
    <mergeCell ref="BE144:BI144"/>
    <mergeCell ref="A145:C145"/>
    <mergeCell ref="D145:P145"/>
    <mergeCell ref="Q145:U145"/>
    <mergeCell ref="V145:AE145"/>
    <mergeCell ref="AF145:AJ145"/>
    <mergeCell ref="AK145:AO145"/>
    <mergeCell ref="AP145:AT145"/>
    <mergeCell ref="AU145:AY145"/>
    <mergeCell ref="AZ145:BD145"/>
    <mergeCell ref="AX165:AZ165"/>
    <mergeCell ref="BA165:BC165"/>
    <mergeCell ref="BD165:BF165"/>
    <mergeCell ref="BG165:BI165"/>
    <mergeCell ref="BJ165:BL165"/>
    <mergeCell ref="A165:C165"/>
    <mergeCell ref="D165:V165"/>
    <mergeCell ref="W165:Y165"/>
    <mergeCell ref="Z165:AB165"/>
    <mergeCell ref="AC165:AE165"/>
    <mergeCell ref="AF165:AH165"/>
    <mergeCell ref="AI165:AK165"/>
    <mergeCell ref="A155:T155"/>
    <mergeCell ref="U155:Y155"/>
    <mergeCell ref="Z155:AD155"/>
    <mergeCell ref="AE155:AI155"/>
    <mergeCell ref="AJ155:AN155"/>
    <mergeCell ref="AO155:AS155"/>
    <mergeCell ref="AT155:AX155"/>
    <mergeCell ref="AY155:BC155"/>
    <mergeCell ref="BD155:BH155"/>
    <mergeCell ref="BA163:BC163"/>
    <mergeCell ref="BD163:BF163"/>
    <mergeCell ref="BG163:BI163"/>
    <mergeCell ref="BJ163:BL163"/>
    <mergeCell ref="A164:C164"/>
    <mergeCell ref="D164:V164"/>
    <mergeCell ref="W164:Y164"/>
    <mergeCell ref="Z164:AB164"/>
    <mergeCell ref="AC164:AE164"/>
    <mergeCell ref="AF164:AH164"/>
    <mergeCell ref="AI163:AK163"/>
    <mergeCell ref="AU185:AY185"/>
    <mergeCell ref="AZ185:BD185"/>
    <mergeCell ref="A185:F185"/>
    <mergeCell ref="G185:S185"/>
    <mergeCell ref="T185:Z185"/>
    <mergeCell ref="AA185:AE185"/>
    <mergeCell ref="AF185:AJ185"/>
    <mergeCell ref="AK185:AO185"/>
    <mergeCell ref="AP185:AT185"/>
    <mergeCell ref="BO176:BS176"/>
    <mergeCell ref="AK176:AO176"/>
    <mergeCell ref="AP176:AT176"/>
    <mergeCell ref="AU176:AY176"/>
    <mergeCell ref="AZ176:BD176"/>
    <mergeCell ref="BE176:BI176"/>
    <mergeCell ref="BJ176:BN176"/>
    <mergeCell ref="A176:F176"/>
    <mergeCell ref="G176:S176"/>
    <mergeCell ref="T176:Z176"/>
    <mergeCell ref="AA176:AE176"/>
    <mergeCell ref="AF176:AJ176"/>
    <mergeCell ref="AU182:AY182"/>
    <mergeCell ref="AZ182:BD182"/>
    <mergeCell ref="AP181:AT181"/>
    <mergeCell ref="AU181:AY181"/>
    <mergeCell ref="AZ181:BD181"/>
    <mergeCell ref="A182:F182"/>
    <mergeCell ref="G182:S182"/>
    <mergeCell ref="T182:Z182"/>
    <mergeCell ref="AA182:AE182"/>
    <mergeCell ref="AF182:AJ182"/>
    <mergeCell ref="AK182:AO182"/>
    <mergeCell ref="AJ219:AN219"/>
    <mergeCell ref="AO219:AS219"/>
    <mergeCell ref="AT219:AW219"/>
    <mergeCell ref="AX219:BB219"/>
    <mergeCell ref="BC219:BG219"/>
    <mergeCell ref="BH219:BL219"/>
    <mergeCell ref="A219:F219"/>
    <mergeCell ref="G219:P219"/>
    <mergeCell ref="Q219:U219"/>
    <mergeCell ref="V219:Y219"/>
    <mergeCell ref="Z219:AD219"/>
    <mergeCell ref="AE219:AI219"/>
    <mergeCell ref="AJ218:AN218"/>
    <mergeCell ref="AO218:AS218"/>
    <mergeCell ref="AT218:AW218"/>
    <mergeCell ref="AX218:BB218"/>
    <mergeCell ref="BC218:BG218"/>
    <mergeCell ref="BH218:BL218"/>
    <mergeCell ref="A218:F218"/>
    <mergeCell ref="G218:P218"/>
    <mergeCell ref="Q218:U218"/>
    <mergeCell ref="V218:Y218"/>
    <mergeCell ref="Z218:AD218"/>
    <mergeCell ref="AE218:AI218"/>
  </mergeCells>
  <conditionalFormatting sqref="A88 A164 A98">
    <cfRule type="cellIs" dxfId="68" priority="73" stopIfTrue="1" operator="equal">
      <formula>A87</formula>
    </cfRule>
  </conditionalFormatting>
  <conditionalFormatting sqref="A109:C109 A131:C131">
    <cfRule type="cellIs" dxfId="67" priority="74" stopIfTrue="1" operator="equal">
      <formula>A108</formula>
    </cfRule>
    <cfRule type="cellIs" dxfId="66" priority="75" stopIfTrue="1" operator="equal">
      <formula>0</formula>
    </cfRule>
  </conditionalFormatting>
  <conditionalFormatting sqref="A89">
    <cfRule type="cellIs" dxfId="65" priority="72" stopIfTrue="1" operator="equal">
      <formula>A88</formula>
    </cfRule>
  </conditionalFormatting>
  <conditionalFormatting sqref="A90">
    <cfRule type="cellIs" dxfId="64" priority="71" stopIfTrue="1" operator="equal">
      <formula>A89</formula>
    </cfRule>
  </conditionalFormatting>
  <conditionalFormatting sqref="A101">
    <cfRule type="cellIs" dxfId="63" priority="77" stopIfTrue="1" operator="equal">
      <formula>A98</formula>
    </cfRule>
  </conditionalFormatting>
  <conditionalFormatting sqref="A99">
    <cfRule type="cellIs" dxfId="62" priority="69" stopIfTrue="1" operator="equal">
      <formula>A98</formula>
    </cfRule>
  </conditionalFormatting>
  <conditionalFormatting sqref="A100">
    <cfRule type="cellIs" dxfId="61" priority="68" stopIfTrue="1" operator="equal">
      <formula>A99</formula>
    </cfRule>
  </conditionalFormatting>
  <conditionalFormatting sqref="A165">
    <cfRule type="cellIs" dxfId="60" priority="2" stopIfTrue="1" operator="equal">
      <formula>A164</formula>
    </cfRule>
  </conditionalFormatting>
  <conditionalFormatting sqref="A110:C110">
    <cfRule type="cellIs" dxfId="59" priority="65" stopIfTrue="1" operator="equal">
      <formula>A109</formula>
    </cfRule>
    <cfRule type="cellIs" dxfId="58" priority="66" stopIfTrue="1" operator="equal">
      <formula>0</formula>
    </cfRule>
  </conditionalFormatting>
  <conditionalFormatting sqref="A111:C111">
    <cfRule type="cellIs" dxfId="57" priority="63" stopIfTrue="1" operator="equal">
      <formula>A110</formula>
    </cfRule>
    <cfRule type="cellIs" dxfId="56" priority="64" stopIfTrue="1" operator="equal">
      <formula>0</formula>
    </cfRule>
  </conditionalFormatting>
  <conditionalFormatting sqref="A112:C112">
    <cfRule type="cellIs" dxfId="55" priority="61" stopIfTrue="1" operator="equal">
      <formula>A111</formula>
    </cfRule>
    <cfRule type="cellIs" dxfId="54" priority="62" stopIfTrue="1" operator="equal">
      <formula>0</formula>
    </cfRule>
  </conditionalFormatting>
  <conditionalFormatting sqref="A113:C113">
    <cfRule type="cellIs" dxfId="53" priority="59" stopIfTrue="1" operator="equal">
      <formula>A112</formula>
    </cfRule>
    <cfRule type="cellIs" dxfId="52" priority="60" stopIfTrue="1" operator="equal">
      <formula>0</formula>
    </cfRule>
  </conditionalFormatting>
  <conditionalFormatting sqref="A114:C114">
    <cfRule type="cellIs" dxfId="51" priority="57" stopIfTrue="1" operator="equal">
      <formula>A113</formula>
    </cfRule>
    <cfRule type="cellIs" dxfId="50" priority="58" stopIfTrue="1" operator="equal">
      <formula>0</formula>
    </cfRule>
  </conditionalFormatting>
  <conditionalFormatting sqref="A115:C115">
    <cfRule type="cellIs" dxfId="49" priority="55" stopIfTrue="1" operator="equal">
      <formula>A114</formula>
    </cfRule>
    <cfRule type="cellIs" dxfId="48" priority="56" stopIfTrue="1" operator="equal">
      <formula>0</formula>
    </cfRule>
  </conditionalFormatting>
  <conditionalFormatting sqref="A116:C116">
    <cfRule type="cellIs" dxfId="47" priority="53" stopIfTrue="1" operator="equal">
      <formula>A115</formula>
    </cfRule>
    <cfRule type="cellIs" dxfId="46" priority="54" stopIfTrue="1" operator="equal">
      <formula>0</formula>
    </cfRule>
  </conditionalFormatting>
  <conditionalFormatting sqref="A117:C117">
    <cfRule type="cellIs" dxfId="45" priority="51" stopIfTrue="1" operator="equal">
      <formula>A116</formula>
    </cfRule>
    <cfRule type="cellIs" dxfId="44" priority="52" stopIfTrue="1" operator="equal">
      <formula>0</formula>
    </cfRule>
  </conditionalFormatting>
  <conditionalFormatting sqref="A118:C118">
    <cfRule type="cellIs" dxfId="43" priority="49" stopIfTrue="1" operator="equal">
      <formula>A117</formula>
    </cfRule>
    <cfRule type="cellIs" dxfId="42" priority="50" stopIfTrue="1" operator="equal">
      <formula>0</formula>
    </cfRule>
  </conditionalFormatting>
  <conditionalFormatting sqref="A119:C119">
    <cfRule type="cellIs" dxfId="41" priority="47" stopIfTrue="1" operator="equal">
      <formula>A118</formula>
    </cfRule>
    <cfRule type="cellIs" dxfId="40" priority="48" stopIfTrue="1" operator="equal">
      <formula>0</formula>
    </cfRule>
  </conditionalFormatting>
  <conditionalFormatting sqref="A120:C120">
    <cfRule type="cellIs" dxfId="39" priority="45" stopIfTrue="1" operator="equal">
      <formula>A119</formula>
    </cfRule>
    <cfRule type="cellIs" dxfId="38" priority="46" stopIfTrue="1" operator="equal">
      <formula>0</formula>
    </cfRule>
  </conditionalFormatting>
  <conditionalFormatting sqref="A121:C121">
    <cfRule type="cellIs" dxfId="37" priority="43" stopIfTrue="1" operator="equal">
      <formula>A120</formula>
    </cfRule>
    <cfRule type="cellIs" dxfId="36" priority="44" stopIfTrue="1" operator="equal">
      <formula>0</formula>
    </cfRule>
  </conditionalFormatting>
  <conditionalFormatting sqref="A122:C122">
    <cfRule type="cellIs" dxfId="35" priority="41" stopIfTrue="1" operator="equal">
      <formula>A121</formula>
    </cfRule>
    <cfRule type="cellIs" dxfId="34" priority="42" stopIfTrue="1" operator="equal">
      <formula>0</formula>
    </cfRule>
  </conditionalFormatting>
  <conditionalFormatting sqref="A123:C123">
    <cfRule type="cellIs" dxfId="33" priority="39" stopIfTrue="1" operator="equal">
      <formula>A122</formula>
    </cfRule>
    <cfRule type="cellIs" dxfId="32" priority="40" stopIfTrue="1" operator="equal">
      <formula>0</formula>
    </cfRule>
  </conditionalFormatting>
  <conditionalFormatting sqref="A124:C124">
    <cfRule type="cellIs" dxfId="31" priority="37" stopIfTrue="1" operator="equal">
      <formula>A123</formula>
    </cfRule>
    <cfRule type="cellIs" dxfId="30" priority="38" stopIfTrue="1" operator="equal">
      <formula>0</formula>
    </cfRule>
  </conditionalFormatting>
  <conditionalFormatting sqref="A132:C132">
    <cfRule type="cellIs" dxfId="29" priority="33" stopIfTrue="1" operator="equal">
      <formula>A131</formula>
    </cfRule>
    <cfRule type="cellIs" dxfId="28" priority="34" stopIfTrue="1" operator="equal">
      <formula>0</formula>
    </cfRule>
  </conditionalFormatting>
  <conditionalFormatting sqref="A133:C133">
    <cfRule type="cellIs" dxfId="27" priority="31" stopIfTrue="1" operator="equal">
      <formula>A132</formula>
    </cfRule>
    <cfRule type="cellIs" dxfId="26" priority="32" stopIfTrue="1" operator="equal">
      <formula>0</formula>
    </cfRule>
  </conditionalFormatting>
  <conditionalFormatting sqref="A134:C134">
    <cfRule type="cellIs" dxfId="25" priority="29" stopIfTrue="1" operator="equal">
      <formula>A133</formula>
    </cfRule>
    <cfRule type="cellIs" dxfId="24" priority="30" stopIfTrue="1" operator="equal">
      <formula>0</formula>
    </cfRule>
  </conditionalFormatting>
  <conditionalFormatting sqref="A135:C135">
    <cfRule type="cellIs" dxfId="23" priority="27" stopIfTrue="1" operator="equal">
      <formula>A134</formula>
    </cfRule>
    <cfRule type="cellIs" dxfId="22" priority="28" stopIfTrue="1" operator="equal">
      <formula>0</formula>
    </cfRule>
  </conditionalFormatting>
  <conditionalFormatting sqref="A136:C136">
    <cfRule type="cellIs" dxfId="21" priority="25" stopIfTrue="1" operator="equal">
      <formula>A135</formula>
    </cfRule>
    <cfRule type="cellIs" dxfId="20" priority="26" stopIfTrue="1" operator="equal">
      <formula>0</formula>
    </cfRule>
  </conditionalFormatting>
  <conditionalFormatting sqref="A137:C137">
    <cfRule type="cellIs" dxfId="19" priority="23" stopIfTrue="1" operator="equal">
      <formula>A136</formula>
    </cfRule>
    <cfRule type="cellIs" dxfId="18" priority="24" stopIfTrue="1" operator="equal">
      <formula>0</formula>
    </cfRule>
  </conditionalFormatting>
  <conditionalFormatting sqref="A138:C138">
    <cfRule type="cellIs" dxfId="17" priority="21" stopIfTrue="1" operator="equal">
      <formula>A137</formula>
    </cfRule>
    <cfRule type="cellIs" dxfId="16" priority="22" stopIfTrue="1" operator="equal">
      <formula>0</formula>
    </cfRule>
  </conditionalFormatting>
  <conditionalFormatting sqref="A139:C139">
    <cfRule type="cellIs" dxfId="15" priority="19" stopIfTrue="1" operator="equal">
      <formula>A138</formula>
    </cfRule>
    <cfRule type="cellIs" dxfId="14" priority="20" stopIfTrue="1" operator="equal">
      <formula>0</formula>
    </cfRule>
  </conditionalFormatting>
  <conditionalFormatting sqref="A140:C140">
    <cfRule type="cellIs" dxfId="13" priority="17" stopIfTrue="1" operator="equal">
      <formula>A139</formula>
    </cfRule>
    <cfRule type="cellIs" dxfId="12" priority="18" stopIfTrue="1" operator="equal">
      <formula>0</formula>
    </cfRule>
  </conditionalFormatting>
  <conditionalFormatting sqref="A141:C141">
    <cfRule type="cellIs" dxfId="11" priority="15" stopIfTrue="1" operator="equal">
      <formula>A140</formula>
    </cfRule>
    <cfRule type="cellIs" dxfId="10" priority="16" stopIfTrue="1" operator="equal">
      <formula>0</formula>
    </cfRule>
  </conditionalFormatting>
  <conditionalFormatting sqref="A142:C142">
    <cfRule type="cellIs" dxfId="9" priority="13" stopIfTrue="1" operator="equal">
      <formula>A141</formula>
    </cfRule>
    <cfRule type="cellIs" dxfId="8" priority="14" stopIfTrue="1" operator="equal">
      <formula>0</formula>
    </cfRule>
  </conditionalFormatting>
  <conditionalFormatting sqref="A143:C143">
    <cfRule type="cellIs" dxfId="7" priority="11" stopIfTrue="1" operator="equal">
      <formula>A142</formula>
    </cfRule>
    <cfRule type="cellIs" dxfId="6" priority="12" stopIfTrue="1" operator="equal">
      <formula>0</formula>
    </cfRule>
  </conditionalFormatting>
  <conditionalFormatting sqref="A144:C144">
    <cfRule type="cellIs" dxfId="5" priority="9" stopIfTrue="1" operator="equal">
      <formula>A143</formula>
    </cfRule>
    <cfRule type="cellIs" dxfId="4" priority="10" stopIfTrue="1" operator="equal">
      <formula>0</formula>
    </cfRule>
  </conditionalFormatting>
  <conditionalFormatting sqref="A145:C145">
    <cfRule type="cellIs" dxfId="3" priority="7" stopIfTrue="1" operator="equal">
      <formula>A144</formula>
    </cfRule>
    <cfRule type="cellIs" dxfId="2" priority="8" stopIfTrue="1" operator="equal">
      <formula>0</formula>
    </cfRule>
  </conditionalFormatting>
  <conditionalFormatting sqref="A146:C146">
    <cfRule type="cellIs" dxfId="1" priority="5" stopIfTrue="1" operator="equal">
      <formula>A145</formula>
    </cfRule>
    <cfRule type="cellIs" dxfId="0" priority="6" stopIfTrue="1" operator="equal">
      <formula>0</formula>
    </cfRule>
  </conditionalFormatting>
  <pageMargins left="0.32" right="0.33" top="0.39370078740157499" bottom="0.39370078740157499" header="0" footer="0"/>
  <pageSetup paperSize="9" scale="65" fitToHeight="500" orientation="landscape" r:id="rId1"/>
  <headerFooter alignWithMargins="0"/>
  <colBreaks count="1" manualBreakCount="1">
    <brk id="7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Додаток2 КПК0113140</vt:lpstr>
      <vt:lpstr>'Додаток2 КПК0113140'!Область_печати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2025-01-14T12:48:53Z</cp:lastPrinted>
  <dcterms:created xsi:type="dcterms:W3CDTF">2016-07-02T12:27:50Z</dcterms:created>
  <dcterms:modified xsi:type="dcterms:W3CDTF">2025-01-14T12:50:27Z</dcterms:modified>
</cp:coreProperties>
</file>