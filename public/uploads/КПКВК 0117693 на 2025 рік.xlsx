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Бюджетні запити\на 2025 рік\"/>
    </mc:Choice>
  </mc:AlternateContent>
  <xr:revisionPtr revIDLastSave="0" documentId="13_ncr:1_{34588745-4C11-481D-BD4F-DD04ABE7D120}" xr6:coauthVersionLast="46" xr6:coauthVersionMax="46" xr10:uidLastSave="{00000000-0000-0000-0000-000000000000}"/>
  <bookViews>
    <workbookView xWindow="-120" yWindow="-120" windowWidth="29040" windowHeight="15840" tabRatio="522" xr2:uid="{00000000-000D-0000-FFFF-FFFF00000000}"/>
  </bookViews>
  <sheets>
    <sheet name="Додаток2 КПК0117693" sheetId="6" r:id="rId1"/>
  </sheets>
  <definedNames>
    <definedName name="_xlnm.Print_Area" localSheetId="0">'Додаток2 КПК0117693'!$A$1:$BY$287</definedName>
  </definedNames>
  <calcPr calcId="191029"/>
</workbook>
</file>

<file path=xl/calcChain.xml><?xml version="1.0" encoding="utf-8"?>
<calcChain xmlns="http://schemas.openxmlformats.org/spreadsheetml/2006/main">
  <c r="BH266" i="6" l="1"/>
  <c r="AT266" i="6"/>
  <c r="AJ266" i="6"/>
  <c r="BH265" i="6"/>
  <c r="AT265" i="6"/>
  <c r="AJ265" i="6"/>
  <c r="BG256" i="6"/>
  <c r="AQ256" i="6"/>
  <c r="BG255" i="6"/>
  <c r="AQ255" i="6"/>
  <c r="BG254" i="6"/>
  <c r="AQ254" i="6"/>
  <c r="AZ234" i="6"/>
  <c r="AK234" i="6"/>
  <c r="AZ233" i="6"/>
  <c r="AK233" i="6"/>
  <c r="BO225" i="6"/>
  <c r="AZ225" i="6"/>
  <c r="AK225" i="6"/>
  <c r="BO224" i="6"/>
  <c r="AZ224" i="6"/>
  <c r="AK224" i="6"/>
  <c r="BD150" i="6"/>
  <c r="AJ150" i="6"/>
  <c r="BD149" i="6"/>
  <c r="AJ149" i="6"/>
  <c r="BD148" i="6"/>
  <c r="AJ148" i="6"/>
  <c r="BD147" i="6"/>
  <c r="AJ147" i="6"/>
  <c r="BD146" i="6"/>
  <c r="AJ146" i="6"/>
  <c r="BD145" i="6"/>
  <c r="AJ145" i="6"/>
  <c r="BD144" i="6"/>
  <c r="AJ144" i="6"/>
  <c r="BD143" i="6"/>
  <c r="AJ143" i="6"/>
  <c r="BD142" i="6"/>
  <c r="AJ142" i="6"/>
  <c r="BD141" i="6"/>
  <c r="AJ141" i="6"/>
  <c r="BD140" i="6"/>
  <c r="AJ140" i="6"/>
  <c r="BD139" i="6"/>
  <c r="AJ139" i="6"/>
  <c r="BD138" i="6"/>
  <c r="AJ138" i="6"/>
  <c r="BD137" i="6"/>
  <c r="AJ137" i="6"/>
  <c r="BD136" i="6"/>
  <c r="AJ136" i="6"/>
  <c r="BD135" i="6"/>
  <c r="AJ135" i="6"/>
  <c r="BD134" i="6"/>
  <c r="AJ134" i="6"/>
  <c r="BD133" i="6"/>
  <c r="AJ133" i="6"/>
  <c r="BD132" i="6"/>
  <c r="AJ132" i="6"/>
  <c r="BD131" i="6"/>
  <c r="AJ131" i="6"/>
  <c r="BD130" i="6"/>
  <c r="AJ130" i="6"/>
  <c r="BD129" i="6"/>
  <c r="AJ129" i="6"/>
  <c r="BD128" i="6"/>
  <c r="AJ128" i="6"/>
  <c r="BD127" i="6"/>
  <c r="AJ127" i="6"/>
  <c r="BD126" i="6"/>
  <c r="AJ126" i="6"/>
  <c r="BD125" i="6"/>
  <c r="AJ125" i="6"/>
  <c r="BD124" i="6"/>
  <c r="AJ124" i="6"/>
  <c r="BU116" i="6"/>
  <c r="BB116" i="6"/>
  <c r="AI116" i="6"/>
  <c r="BU115" i="6"/>
  <c r="BB115" i="6"/>
  <c r="AI115" i="6"/>
  <c r="BU114" i="6"/>
  <c r="BB114" i="6"/>
  <c r="AI114" i="6"/>
  <c r="BU113" i="6"/>
  <c r="BB113" i="6"/>
  <c r="AI113" i="6"/>
  <c r="BU112" i="6"/>
  <c r="BB112" i="6"/>
  <c r="AI112" i="6"/>
  <c r="BU111" i="6"/>
  <c r="BB111" i="6"/>
  <c r="AI111" i="6"/>
  <c r="BU110" i="6"/>
  <c r="BB110" i="6"/>
  <c r="AI110" i="6"/>
  <c r="BU109" i="6"/>
  <c r="BB109" i="6"/>
  <c r="AI109" i="6"/>
  <c r="BU108" i="6"/>
  <c r="BB108" i="6"/>
  <c r="AI108" i="6"/>
  <c r="BU107" i="6"/>
  <c r="BB107" i="6"/>
  <c r="AI107" i="6"/>
  <c r="BU106" i="6"/>
  <c r="BB106" i="6"/>
  <c r="AI106" i="6"/>
  <c r="BU105" i="6"/>
  <c r="BB105" i="6"/>
  <c r="AI105" i="6"/>
  <c r="BU104" i="6"/>
  <c r="BB104" i="6"/>
  <c r="AI104" i="6"/>
  <c r="BU103" i="6"/>
  <c r="BB103" i="6"/>
  <c r="AI103" i="6"/>
  <c r="BU102" i="6"/>
  <c r="BB102" i="6"/>
  <c r="AI102" i="6"/>
  <c r="BU101" i="6"/>
  <c r="BB101" i="6"/>
  <c r="AI101" i="6"/>
  <c r="BU100" i="6"/>
  <c r="BB100" i="6"/>
  <c r="AI100" i="6"/>
  <c r="BU99" i="6"/>
  <c r="BB99" i="6"/>
  <c r="AI99" i="6"/>
  <c r="BU98" i="6"/>
  <c r="BB98" i="6"/>
  <c r="AI98" i="6"/>
  <c r="BU97" i="6"/>
  <c r="BB97" i="6"/>
  <c r="AI97" i="6"/>
  <c r="BU96" i="6"/>
  <c r="BB96" i="6"/>
  <c r="AI96" i="6"/>
  <c r="BU95" i="6"/>
  <c r="BB95" i="6"/>
  <c r="AI95" i="6"/>
  <c r="BU94" i="6"/>
  <c r="BB94" i="6"/>
  <c r="AI94" i="6"/>
  <c r="BU93" i="6"/>
  <c r="BB93" i="6"/>
  <c r="AI93" i="6"/>
  <c r="BU92" i="6"/>
  <c r="BB92" i="6"/>
  <c r="AI92" i="6"/>
  <c r="BU91" i="6"/>
  <c r="BB91" i="6"/>
  <c r="AI91" i="6"/>
  <c r="BU90" i="6"/>
  <c r="BB90" i="6"/>
  <c r="AI90" i="6"/>
  <c r="BG81" i="6"/>
  <c r="AM81" i="6"/>
  <c r="BG73" i="6"/>
  <c r="AM73" i="6"/>
  <c r="BG72" i="6"/>
  <c r="AM72" i="6"/>
  <c r="BG71" i="6"/>
  <c r="AM71" i="6"/>
  <c r="BU63" i="6"/>
  <c r="BB63" i="6"/>
  <c r="AI63" i="6"/>
  <c r="BU55" i="6"/>
  <c r="BB55" i="6"/>
  <c r="AI55" i="6"/>
  <c r="BU54" i="6"/>
  <c r="BB54" i="6"/>
  <c r="AI54" i="6"/>
  <c r="BU53" i="6"/>
  <c r="BB53" i="6"/>
  <c r="AI53" i="6"/>
  <c r="BG44" i="6"/>
  <c r="AM44" i="6"/>
  <c r="BG43" i="6"/>
  <c r="AM43" i="6"/>
  <c r="BG42" i="6"/>
  <c r="AM42" i="6"/>
  <c r="BG41" i="6"/>
  <c r="AM41" i="6"/>
  <c r="BU33" i="6"/>
  <c r="BB33" i="6"/>
  <c r="AI33" i="6"/>
  <c r="BU32" i="6"/>
  <c r="BB32" i="6"/>
  <c r="AI32" i="6"/>
  <c r="BU31" i="6"/>
  <c r="BB31" i="6"/>
  <c r="AI31" i="6"/>
  <c r="BU30" i="6"/>
  <c r="BB30" i="6"/>
  <c r="AI30" i="6"/>
</calcChain>
</file>

<file path=xl/sharedStrings.xml><?xml version="1.0" encoding="utf-8"?>
<sst xmlns="http://schemas.openxmlformats.org/spreadsheetml/2006/main" count="787" uniqueCount="294">
  <si>
    <t xml:space="preserve">                (найменування головного розпорядника коштів місцевого бюджету)                        </t>
  </si>
  <si>
    <t xml:space="preserve"> (підпис)</t>
  </si>
  <si>
    <t>Код</t>
  </si>
  <si>
    <t>спеціальний фонд</t>
  </si>
  <si>
    <t>загальний фонд</t>
  </si>
  <si>
    <t xml:space="preserve">разом (3+4) </t>
  </si>
  <si>
    <t>№ з/п</t>
  </si>
  <si>
    <t>Джерело інформації</t>
  </si>
  <si>
    <t>Одиниця виміру</t>
  </si>
  <si>
    <t>Показники</t>
  </si>
  <si>
    <t>Категорії працівників</t>
  </si>
  <si>
    <t>фактич но зайняті</t>
  </si>
  <si>
    <t>затверджено</t>
  </si>
  <si>
    <t>Коли та яким документом затверджена</t>
  </si>
  <si>
    <t>Касові видатки/ надання кредитів</t>
  </si>
  <si>
    <t>Затверджено з урахуванням змін</t>
  </si>
  <si>
    <t>спеціального фонду</t>
  </si>
  <si>
    <t>загального фонду</t>
  </si>
  <si>
    <t>Причини виникнення заборгованості</t>
  </si>
  <si>
    <t>Найменування</t>
  </si>
  <si>
    <t>граничний обсяг</t>
  </si>
  <si>
    <t>p2.5.1</t>
  </si>
  <si>
    <t>s2.5.1</t>
  </si>
  <si>
    <t>p2.5.2</t>
  </si>
  <si>
    <t>s2.5.2</t>
  </si>
  <si>
    <t>p2.6.1</t>
  </si>
  <si>
    <t>s2.6.1</t>
  </si>
  <si>
    <t>p2.6.2</t>
  </si>
  <si>
    <t>s2.6.2</t>
  </si>
  <si>
    <t>p2.6.3</t>
  </si>
  <si>
    <t>s2.6.3</t>
  </si>
  <si>
    <t>p2.6.4</t>
  </si>
  <si>
    <t>s2.6.4</t>
  </si>
  <si>
    <t>p2.7.1</t>
  </si>
  <si>
    <t>s2.7.1</t>
  </si>
  <si>
    <t>p2.7.2</t>
  </si>
  <si>
    <t>s2.7.2</t>
  </si>
  <si>
    <t>p2.8.1</t>
  </si>
  <si>
    <t>s2.8.1</t>
  </si>
  <si>
    <t>p2.8.2</t>
  </si>
  <si>
    <t>s2.8.2</t>
  </si>
  <si>
    <t>p2.9</t>
  </si>
  <si>
    <t>s2.9</t>
  </si>
  <si>
    <t>s2.10</t>
  </si>
  <si>
    <t>p2.11.1</t>
  </si>
  <si>
    <t>s2.11.1</t>
  </si>
  <si>
    <t>p2.11.2</t>
  </si>
  <si>
    <t>s2.11.2</t>
  </si>
  <si>
    <t>p2.12.1</t>
  </si>
  <si>
    <t>s2.12.1</t>
  </si>
  <si>
    <t>p2.13.1</t>
  </si>
  <si>
    <t>s2.13.1</t>
  </si>
  <si>
    <t>p2.13.2</t>
  </si>
  <si>
    <t>s2.13.2</t>
  </si>
  <si>
    <t>p2.13.3</t>
  </si>
  <si>
    <t>s2.13.3</t>
  </si>
  <si>
    <t>dcode</t>
  </si>
  <si>
    <t>name</t>
  </si>
  <si>
    <t>z3</t>
  </si>
  <si>
    <t>s3</t>
  </si>
  <si>
    <t>z4</t>
  </si>
  <si>
    <t>s4</t>
  </si>
  <si>
    <t>z5</t>
  </si>
  <si>
    <t>s5</t>
  </si>
  <si>
    <t>ecode</t>
  </si>
  <si>
    <t>z1</t>
  </si>
  <si>
    <t>s1</t>
  </si>
  <si>
    <t>z2</t>
  </si>
  <si>
    <t>s2</t>
  </si>
  <si>
    <t>npp</t>
  </si>
  <si>
    <t>od_vim</t>
  </si>
  <si>
    <t>dger_inf</t>
  </si>
  <si>
    <t>zz1</t>
  </si>
  <si>
    <t>zf1</t>
  </si>
  <si>
    <t>sz1</t>
  </si>
  <si>
    <t>sf1</t>
  </si>
  <si>
    <t>zz2</t>
  </si>
  <si>
    <t>zf2</t>
  </si>
  <si>
    <t>sf2</t>
  </si>
  <si>
    <t>pidstava</t>
  </si>
  <si>
    <t>st1</t>
  </si>
  <si>
    <t>st2</t>
  </si>
  <si>
    <t>st3</t>
  </si>
  <si>
    <t>st4</t>
  </si>
  <si>
    <t>st5</t>
  </si>
  <si>
    <t>st6</t>
  </si>
  <si>
    <t>st7</t>
  </si>
  <si>
    <t>prich</t>
  </si>
  <si>
    <t>zahodi</t>
  </si>
  <si>
    <t xml:space="preserve">разом (4+5) </t>
  </si>
  <si>
    <t xml:space="preserve">разом (8+9) </t>
  </si>
  <si>
    <t>br1</t>
  </si>
  <si>
    <t>br2</t>
  </si>
  <si>
    <t>br3</t>
  </si>
  <si>
    <t>br4</t>
  </si>
  <si>
    <t>br5</t>
  </si>
  <si>
    <t xml:space="preserve">разом (7+8) </t>
  </si>
  <si>
    <t xml:space="preserve">разом (11+12) </t>
  </si>
  <si>
    <t>Погашено кредиторську заборгованість за рахунок коштів</t>
  </si>
  <si>
    <t>formula=IF(ISNUMBER(RC[-6]),RC[-6],0)-IF(ISNUMBER(RC[-12]),RC[-12],0)</t>
  </si>
  <si>
    <t>formula=IF(ISNUMBER(RC[-33]),RC[-33],0)+IF(ISNUMBER(RC[-22]),RC[-22],0)</t>
  </si>
  <si>
    <t>formula=IF(ISNUMBER(RC[-19]),RC[-19],0)-IF(ISNUMBER(RC[-10]),RC[-10],0)</t>
  </si>
  <si>
    <t>formula=IF(ISNUMBER(RC[-24]),RC[-24],0)-IF(ISNUMBER(RC[-20]),RC[-20],0)-IF(ISNUMBER(RC[-15]),RC[-15],0)</t>
  </si>
  <si>
    <t>p2.10</t>
  </si>
  <si>
    <t>sz2</t>
  </si>
  <si>
    <t>zp3</t>
  </si>
  <si>
    <t>sp3</t>
  </si>
  <si>
    <t>zp4</t>
  </si>
  <si>
    <t>sp4</t>
  </si>
  <si>
    <t>zp5</t>
  </si>
  <si>
    <t>sp5</t>
  </si>
  <si>
    <t>zp1</t>
  </si>
  <si>
    <t>sp1</t>
  </si>
  <si>
    <t>zp2</t>
  </si>
  <si>
    <t>sp2</t>
  </si>
  <si>
    <t xml:space="preserve">ЗАТВЕРДЖЕНО
Наказ Міністерства фінансів України
від 17 липня 2015 року № 648
(у редакції наказу Міністерства фінансів України
 від 17 липня 2018 року № 617)                                                  </t>
  </si>
  <si>
    <t>у тому числі бюджет розвитку</t>
  </si>
  <si>
    <t>6. Витрати за кодами Економічної класифікації видатків / Класифікації кредитування бюджету:</t>
  </si>
  <si>
    <t>Код Економічної класифікації видатків бюджету</t>
  </si>
  <si>
    <t>Код Класифікації кредитування бюджету</t>
  </si>
  <si>
    <t>7. Витрати за напрямами використання бюджетних коштів:</t>
  </si>
  <si>
    <t>Напрями використання бюджетних коштів</t>
  </si>
  <si>
    <t>formula=IF(ISNUMBER(RC[-10]),RC[-10],0)+IF(ISNUMBER(RC[-5]),RC[-5],0)</t>
  </si>
  <si>
    <t xml:space="preserve">разом (5+6) </t>
  </si>
  <si>
    <t>9. Структура видатків на оплату праці:</t>
  </si>
  <si>
    <t>10. Чисельність зайнятих у бюджетних установах:</t>
  </si>
  <si>
    <t>Найменування місцевої/ регіональної програми</t>
  </si>
  <si>
    <t xml:space="preserve">разом (10+11) </t>
  </si>
  <si>
    <t>Найменування об’єкта відповідно до проектно-кошторисної документації</t>
  </si>
  <si>
    <t>Строк реалізації об’єкта (рік початку і завершення)</t>
  </si>
  <si>
    <t>Загальна вартість об’єкта</t>
  </si>
  <si>
    <t>strok</t>
  </si>
  <si>
    <t>vartist</t>
  </si>
  <si>
    <t xml:space="preserve">спеціальний фонд
(бюджет розвитку)
</t>
  </si>
  <si>
    <t>рівень будівельної  готовності об’єкта на кінець бюджетного періоду, %</t>
  </si>
  <si>
    <t>Код Економічної класифікації видатків бюджету / код Класифікації кредитування бюджету</t>
  </si>
  <si>
    <t xml:space="preserve">Кредиторська заборгованість на початок минулого бюджетного періоду </t>
  </si>
  <si>
    <t>Кредиторська заборгованість на кінець минулого бюджетного періоду</t>
  </si>
  <si>
    <t>Зміна кредиторської заборгованості (6-5)</t>
  </si>
  <si>
    <t>Бюджетні зобов’язання (4+6)</t>
  </si>
  <si>
    <t>затверджені призначення</t>
  </si>
  <si>
    <t xml:space="preserve">кредиторська заборгованість на початок поточного  бюджетного періоду  </t>
  </si>
  <si>
    <t>планується погасити кредиторської заборгованості за рахунок коштів</t>
  </si>
  <si>
    <t xml:space="preserve">очікуваний обсяг взяття поточних зобов'язань
(3 – 5)
</t>
  </si>
  <si>
    <t>можлива кредиторська
заборгованість на початок планового  бюджетного періоду (4 – 5 – 6)</t>
  </si>
  <si>
    <t>очікуваний обсяг взяття поточних зобов’язань (8-10)</t>
  </si>
  <si>
    <t>invest_pr</t>
  </si>
  <si>
    <t>УСЬОГО</t>
  </si>
  <si>
    <t>1) мета бюджетної програми, строки її реалізації;</t>
  </si>
  <si>
    <t xml:space="preserve">2) завдання бюджетної програми; </t>
  </si>
  <si>
    <t>3) підстави реалізації бюджетної програми.</t>
  </si>
  <si>
    <t>5. Надходження для виконання бюджетної програми:</t>
  </si>
  <si>
    <t>8. Результативні показники бюджетної програми:</t>
  </si>
  <si>
    <t>11. Місцеві/регіональні програми, які виконуються в межах бюджетної програми:</t>
  </si>
  <si>
    <t>zp</t>
  </si>
  <si>
    <t xml:space="preserve">                            (найменування відповідального виконавця )               </t>
  </si>
  <si>
    <t>Вжиті заходи щодо погашення заборгованості</t>
  </si>
  <si>
    <t>(код за ЄДРПОУ)</t>
  </si>
  <si>
    <t>(код бюджету)</t>
  </si>
  <si>
    <t>1.</t>
  </si>
  <si>
    <t>(код Типової відомчої класифікації видатків та кредитування місцевого бюджету)</t>
  </si>
  <si>
    <t>2.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</si>
  <si>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</si>
  <si>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3.</t>
  </si>
  <si>
    <t>(код Програмної класифікації видатків та кредитування місцевого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</si>
  <si>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</si>
  <si>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</si>
  <si>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</si>
  <si>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  </t>
  </si>
  <si>
    <t>formula=IF(ISNUMBER(RC[-14]),RC[-14],0)+IF(ISNUMBER(RC[-9]),RC[-9],0)</t>
  </si>
  <si>
    <t>formula=IF(ISNUMBER(RC[-15]),RC[-15],0)+IF(ISNUMBER(RC[-10]),RC[-10],0)</t>
  </si>
  <si>
    <t>(прізвище та ініціали)</t>
  </si>
  <si>
    <t>Надходження із загального фонду бюджету</t>
  </si>
  <si>
    <t>X</t>
  </si>
  <si>
    <t>Інші надходження спеціального фонду (розписати за видами надходжень)</t>
  </si>
  <si>
    <t>Кошти, що передаються із загального фонду бюджету до бюджету розвитку (спеціального фонду)</t>
  </si>
  <si>
    <t>Субсидії та поточні трансферти підприємствам (установам, організаціям)</t>
  </si>
  <si>
    <t>Капітальні трансферти підприємствам (установам, організаціям)</t>
  </si>
  <si>
    <t>Видатки на відрядження</t>
  </si>
  <si>
    <t>Друк газети "Широківська громада інформує"</t>
  </si>
  <si>
    <t>За навчання з питань пожежної безпеки та охорони праці</t>
  </si>
  <si>
    <t>Заробітна плата</t>
  </si>
  <si>
    <t>Нарахування на оплату праці</t>
  </si>
  <si>
    <t>Оплата послуг з адміністрування програмного забезпечення</t>
  </si>
  <si>
    <t>Оплата послуг з перезарядки картриджів, тонерів</t>
  </si>
  <si>
    <t>Оплата послуг з технічного обслуговування оргтехніки</t>
  </si>
  <si>
    <t>Оплата послуг зі створення та розміщення рекламної та інформаційної продукції</t>
  </si>
  <si>
    <t>Плата за адміністративні послуги</t>
  </si>
  <si>
    <t>Послуги з технічного обслуговування та поточного ремонту транспортних засобів</t>
  </si>
  <si>
    <t>Послуги із страхування транспортних засобів</t>
  </si>
  <si>
    <t>Придбання матеріалів для господарської діяльності</t>
  </si>
  <si>
    <t>Придбання канцелярських предметів та приладдя</t>
  </si>
  <si>
    <t>Придбання ноутбуку</t>
  </si>
  <si>
    <t>Придбання пально-мастильних матеріалів</t>
  </si>
  <si>
    <t>Придбання та виготовлення бланків грамот, рекламних буклетів, мап, плакатів</t>
  </si>
  <si>
    <t>Оплата за навчання з питань охорони праці посадових осіб і спеціалістів у відповідності до "Типового положення про порядок проведення навчання і перевірки знань з питань охорони праці" з видачею посвідчень</t>
  </si>
  <si>
    <t>Послуги з технічної підтримки веб-сайту Широківської громади та Ігвестиційного сайту Широківської громади</t>
  </si>
  <si>
    <t>Оплата послуг медичних закладів</t>
  </si>
  <si>
    <t>Оплата за дозвіл на використання систем (субліцензії) "Економічний профайл"</t>
  </si>
  <si>
    <t>Підтримка, матеріально-технічне забезпечення та розвиток функціональності інформаційно-обчислювальної системи ДКСУ (заходи з інформатизації)</t>
  </si>
  <si>
    <t>Оплата послуг з розробки електронно-інформаційного ресурсу та додаткових модулів електронно-інформаційного ресурсу (веб-сайту Широківської громади)</t>
  </si>
  <si>
    <t>Оплата послуг з розробки електронно-інформаційного ресурсу та додаткових модулів електронно-інформаційного ресурсу (веб-сайту "Інвестиційний сайт Широківської громади")</t>
  </si>
  <si>
    <t>Придбання та виготовлення жалюзі</t>
  </si>
  <si>
    <t>Придбання зимових шин для транспортного засобу</t>
  </si>
  <si>
    <t>затрат</t>
  </si>
  <si>
    <t xml:space="preserve">formula=RC[-16]+RC[-8]                          </t>
  </si>
  <si>
    <t>кількість штатних одиниць</t>
  </si>
  <si>
    <t>од.</t>
  </si>
  <si>
    <t>штатний розпис</t>
  </si>
  <si>
    <t>продукту</t>
  </si>
  <si>
    <t>кількість  соціологічних досліджень, опитувань, які необхідно провести</t>
  </si>
  <si>
    <t>план роботи</t>
  </si>
  <si>
    <t>кількість заявок для фінансування проектів, які необхідно розробити та подати до донорських організацій</t>
  </si>
  <si>
    <t>ефективності</t>
  </si>
  <si>
    <t>кількість соціологічних досліджень, опитувань, які планується провести</t>
  </si>
  <si>
    <t>кількість заявок для фінансування проектів, які планується розробити та подати до донорських організацій</t>
  </si>
  <si>
    <t>якості</t>
  </si>
  <si>
    <t>витрати на утримання однієї штатної одиниці</t>
  </si>
  <si>
    <t>грн/рік</t>
  </si>
  <si>
    <t>розрахунковий показник</t>
  </si>
  <si>
    <t>кількість розроблених та поданих до донорських організацій заявок для фінансування проектів</t>
  </si>
  <si>
    <t>звітність</t>
  </si>
  <si>
    <t>кількість проведених соціологічних досліджень, опитувань</t>
  </si>
  <si>
    <t>Обов’язкові виплати, у тому числі:</t>
  </si>
  <si>
    <t>посадовий оклад</t>
  </si>
  <si>
    <t>надбавки</t>
  </si>
  <si>
    <t>Премії</t>
  </si>
  <si>
    <t>Матеріальна допомога, у тому числі:</t>
  </si>
  <si>
    <t>на оздоровлення при наданні щорічної відпустки</t>
  </si>
  <si>
    <t>Інші виплати</t>
  </si>
  <si>
    <t>у тому числі оплата праці  штатних одиниць за загальним фондом, що враховані також у спеціальному фонді</t>
  </si>
  <si>
    <t>010 - Керівники</t>
  </si>
  <si>
    <t>030 - Спеціалісти</t>
  </si>
  <si>
    <t>040 - Інші спеціалісти</t>
  </si>
  <si>
    <t>УСЬОГО штатних одиниць</t>
  </si>
  <si>
    <t>з них штатні одиниці за загальним фондом, що враховані також у спеціальному фонді</t>
  </si>
  <si>
    <t>Програма організації підтримки і реалізації стратегічних ініціатив та підготовки проєктів розвитку Широківської територіальної громади Запорізького району Запорізької області на 2022-2026 роки</t>
  </si>
  <si>
    <t>рішення сесії від 21.12 2021 №9</t>
  </si>
  <si>
    <t>Розробка та здійснення комплексу заходів організаційного, фінансового, економічного характеру щодо розвитку громади</t>
  </si>
  <si>
    <t>Розробка та здійснення комплексу заходів  організаційного, фінансового, економічного характеру щодо розвитку громади</t>
  </si>
  <si>
    <t>Конституція України (із змінами)_x000D_
Бюджетний кодекс України (зі змінами)_x000D_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змінами)_x000D_
Програма організації підтримки і реалізації стратегічних ініціатив та підготовки проєктів розвитку Широківської територіальної громади Запорізького району Запорізької області на 2022-2026 роки_x000D_
Програма висвітлення діяльності Широківської сільської ради Запорізького району Запорізької області та її виконавчих органів друкованими засобами масової інформації на 2022-2026 роки</t>
  </si>
  <si>
    <t>Діяльність КУ "Агенція розвитку Широківської громади" спрямована на розробку та здійснення комплексу заходів організаційного, фінансового, економічного характеру щодо розвитку громади._x000D_
_x000D_
Розрахунок видатків, затверджених на 2023 рік забезпечує діяльність КУ "Агенція розвитку Широківської громади" необхідними  ресурсами та надає можливість виконувати повноваження в повному обсязі. _x000D_
_x000D_
З метою реалізації бюджетної програми необхідно продовжувати її фінансування в 2024 році для виконання визначених бюджетною програмою мети та завдань згідно до напрямків діяльності. _x000D_
_x000D_
На 2025 рік результативні показники обраховано відповідно до фактичних даних попереднього та поточного бюджетних періодів, очікуваного виконання в поточному, враховуючи зміни до нормативних положень законодавства.</t>
  </si>
  <si>
    <t>Станом на 01.01.2023 кредиторська заборгованість відсутня. _x000D_
_x000D_
Станом на 01.01.2024 кредиторська заборгованість відсутня._x000D_
_x000D_
Відповідно до положень статті 48 Бюджетного кодексу України із змінами КУ "Агенція розвитку Широківської громади" реєструються бюджетні зобов’язання та здійснюються платежі тільки в межах бюджетних асигнувань, затверджених планом використання на 2024 рік. Бюджетні зобов’язання реєструються в Управлінні Державної казначейської служби України у Запорізькому районі відповідно до вимог чинного бюджетного законодавства.</t>
  </si>
  <si>
    <t>(0)(1)</t>
  </si>
  <si>
    <t>Широкiвська сiльська рада Запорiзького району Запорiзької областi</t>
  </si>
  <si>
    <t>26013402</t>
  </si>
  <si>
    <t>0852300000</t>
  </si>
  <si>
    <t>(грн)</t>
  </si>
  <si>
    <t>2023 рік (звіт)</t>
  </si>
  <si>
    <t>1) кредиторська заборгованість місцевого бюджету у 2023 році:</t>
  </si>
  <si>
    <t>Дебіторська заборгованість на 01.01.2023</t>
  </si>
  <si>
    <t>2024 рік (затверджено)</t>
  </si>
  <si>
    <t>2024 рік (план)</t>
  </si>
  <si>
    <t>2024 рік</t>
  </si>
  <si>
    <t>3) дебіторська заборгованість у 2023 - 2024 роках:</t>
  </si>
  <si>
    <t>Дебіторська заборгованість на 01.01.2024</t>
  </si>
  <si>
    <t>4) аналіз управління бюджетними зобов'язаннями та пропозиції щодо упорядкування бюджетних зобов'язань у 2024 році.</t>
  </si>
  <si>
    <t>внаслідок використання коштів спеціального фонду бюджету у 2023 році, та очікувані результати у 2024 році.</t>
  </si>
  <si>
    <t>1) надходження для виконання бюджетної програми у 2023 - 2025 роках:</t>
  </si>
  <si>
    <t>2025 рік (проект)</t>
  </si>
  <si>
    <t>1) видатки за кодами Економічної класифікації видатків бюджету у 2023 - 2025 роках:</t>
  </si>
  <si>
    <t>2) надання кредитів за кодами Класифікації кредитування бюджету у 2023 - 2025 роках:</t>
  </si>
  <si>
    <t>1) витрати за напрямами використання бюджетних коштів у 2023 - 2025 роках:</t>
  </si>
  <si>
    <t>1) результативні показники бюджетної програми у 2023 - 2025 роках:</t>
  </si>
  <si>
    <t>2025 рік</t>
  </si>
  <si>
    <t>1) місцеві/регіональні програми, які виконуються в межах бюджетної програми у 2023 - 2025 роках:</t>
  </si>
  <si>
    <t>14. Бюджетні зобов’язання у 2023 - 2025 роках:</t>
  </si>
  <si>
    <t xml:space="preserve">2) кредиторська заборгованість місцевого бюджету у 2024 - 2025 роках: </t>
  </si>
  <si>
    <t>Очікувана дебіторська заборгованость  на 01.01.2025</t>
  </si>
  <si>
    <t>2026 рік (прогноз)</t>
  </si>
  <si>
    <t>2026 рік</t>
  </si>
  <si>
    <t>БЮДЖЕТНИЙ ЗАПИТ НА 2025-2027 РОКИ індивідуальний (Форма 2025-2)</t>
  </si>
  <si>
    <t>4. Мета та завдання бюджетної програми на 2025 - 2027 роки</t>
  </si>
  <si>
    <t>2) надходження для виконання бюджетної програми  у 2026 - 2027 роках:</t>
  </si>
  <si>
    <t>2027 рік (прогноз)</t>
  </si>
  <si>
    <t>3) видатки за кодами Економічної класифікації видатків бюджету у 2026 - 2027 роках:</t>
  </si>
  <si>
    <t>4) надання кредитів за кодами Класифікації кредитування бюджету у 2026 - 2027 роках:</t>
  </si>
  <si>
    <t>2) витрати за напрямами використання бюджетних коштів у 2026 - 2027 роках:</t>
  </si>
  <si>
    <t>2) результативні показники бюджетної програми у 2026 - 2027 роках:</t>
  </si>
  <si>
    <t xml:space="preserve">2027 рік </t>
  </si>
  <si>
    <t>2) місцеві/регіональні програми, які виконуються в межах бюджетної програми у 2026 - 2027 роках:</t>
  </si>
  <si>
    <t>12. Об’єкти, які виконуються в межах бюджетної програми за рахунок коштів бюджету розвитку у 2023 - 2027 роках:</t>
  </si>
  <si>
    <t>13. Аналіз результатів, досягнутих внаслідок використання коштів загального фонду бюджету у 2023 році, очікувані результати у 
2024 році, обґрунтування необхідності передбачення витрат кредитів на 2025 - 2027 роки</t>
  </si>
  <si>
    <t xml:space="preserve"> 15. Підстави та обґрунтування видатків спеціального фонду на 2025 рік та на 2026 - 2027 роки за рахунок надходжень до спеціального фонду, аналіз результатів, досягнутих </t>
  </si>
  <si>
    <t>(0)(1)(1)(7)(6)(9)(3)</t>
  </si>
  <si>
    <t>(7)(6)(9)(3)</t>
  </si>
  <si>
    <t>(0)(4)(9)(0)</t>
  </si>
  <si>
    <t>Інші заходи, пов`язані з економічною діяльністю</t>
  </si>
  <si>
    <t>Широківська сільська рада Запорізького району Запорізької області</t>
  </si>
  <si>
    <t>(0)(1)(1)</t>
  </si>
  <si>
    <t>Сільський голова</t>
  </si>
  <si>
    <t>Денис КОРОТЕНКО</t>
  </si>
  <si>
    <t>Начальник відділу бухгалтерського обліку та звітності - головний бухгалтер</t>
  </si>
  <si>
    <t>Одарка СВІРІНА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</si>
</sst>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"/>
      <name val="Arial Cyr"/>
      <charset val="204"/>
    </font>
    <font>
      <sz val="8"/>
      <name val="Arial CYR"/>
      <charset val="204"/>
    </font>
    <font>
      <sz val="8"/>
      <name val="Times New Roman"/>
      <family val="1"/>
      <charset val="204"/>
    </font>
    <font>
      <sz val="8"/>
      <name val="Times New Roman CYR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u/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11"/>
      <name val="Times New Roman"/>
      <family val="1"/>
    </font>
    <font>
      <sz val="10"/>
      <name val="Arial Cyr"/>
      <charset val="204"/>
    </font>
    <font>
      <sz val="11"/>
      <name val="Times New Roman CYR"/>
      <family val="1"/>
      <charset val="204"/>
    </font>
    <font>
      <sz val="8"/>
      <name val="Times New Roman"/>
      <family val="1"/>
    </font>
    <font>
      <b/>
      <sz val="8"/>
      <name val="Arial Cyr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14" fillId="0" borderId="0" xfId="0" applyFont="1"/>
    <xf numFmtId="0" fontId="1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3" fontId="4" fillId="0" borderId="5" xfId="0" applyNumberFormat="1" applyFont="1" applyBorder="1" applyAlignment="1">
      <alignment horizontal="righ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3" fontId="0" fillId="0" borderId="5" xfId="0" applyNumberFormat="1" applyBorder="1" applyAlignment="1">
      <alignment horizontal="right" vertical="center" wrapText="1"/>
    </xf>
    <xf numFmtId="0" fontId="17" fillId="0" borderId="1" xfId="0" applyFont="1" applyBorder="1" applyAlignment="1">
      <alignment horizontal="center" vertical="top" wrapText="1"/>
    </xf>
    <xf numFmtId="0" fontId="0" fillId="0" borderId="5" xfId="0" applyBorder="1" applyAlignment="1">
      <alignment horizontal="right" vertical="center" wrapText="1"/>
    </xf>
    <xf numFmtId="0" fontId="4" fillId="0" borderId="5" xfId="0" applyFont="1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 wrapText="1"/>
    </xf>
    <xf numFmtId="3" fontId="4" fillId="0" borderId="5" xfId="0" applyNumberFormat="1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3" fontId="0" fillId="0" borderId="2" xfId="0" applyNumberFormat="1" applyBorder="1" applyAlignment="1">
      <alignment horizontal="center" vertical="center" wrapText="1"/>
    </xf>
    <xf numFmtId="3" fontId="0" fillId="0" borderId="3" xfId="0" applyNumberFormat="1" applyBorder="1" applyAlignment="1">
      <alignment horizontal="center" vertical="center" wrapText="1"/>
    </xf>
    <xf numFmtId="3" fontId="0" fillId="0" borderId="5" xfId="0" applyNumberForma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6" xfId="0" applyFont="1" applyBorder="1" applyAlignment="1">
      <alignment horizontal="center" vertical="center"/>
    </xf>
    <xf numFmtId="0" fontId="13" fillId="0" borderId="6" xfId="0" quotePrefix="1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6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" fillId="0" borderId="6" xfId="0" applyFont="1" applyBorder="1" applyAlignment="1">
      <alignment horizontal="center" vertical="center"/>
    </xf>
    <xf numFmtId="0" fontId="15" fillId="0" borderId="6" xfId="0" quotePrefix="1" applyFont="1" applyBorder="1" applyAlignment="1">
      <alignment horizontal="left" vertical="top" wrapText="1"/>
    </xf>
    <xf numFmtId="0" fontId="0" fillId="0" borderId="5" xfId="0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quotePrefix="1" applyFont="1" applyAlignment="1">
      <alignment horizontal="left" vertical="top" wrapText="1"/>
    </xf>
    <xf numFmtId="164" fontId="1" fillId="0" borderId="5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9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1" fontId="4" fillId="0" borderId="5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righ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right" vertical="center" wrapText="1"/>
    </xf>
    <xf numFmtId="3" fontId="4" fillId="0" borderId="2" xfId="0" applyNumberFormat="1" applyFont="1" applyBorder="1" applyAlignment="1">
      <alignment horizontal="right" vertical="center" wrapText="1"/>
    </xf>
    <xf numFmtId="3" fontId="4" fillId="0" borderId="3" xfId="0" applyNumberFormat="1" applyFont="1" applyBorder="1" applyAlignment="1">
      <alignment horizontal="right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11" fillId="0" borderId="6" xfId="0" applyFont="1" applyBorder="1" applyAlignment="1">
      <alignment horizontal="center" vertical="center" wrapText="1"/>
    </xf>
    <xf numFmtId="0" fontId="11" fillId="0" borderId="6" xfId="0" quotePrefix="1" applyFont="1" applyBorder="1" applyAlignment="1">
      <alignment horizontal="left" vertical="top" wrapText="1"/>
    </xf>
    <xf numFmtId="0" fontId="11" fillId="0" borderId="6" xfId="0" quotePrefix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center" wrapText="1"/>
    </xf>
    <xf numFmtId="0" fontId="12" fillId="0" borderId="6" xfId="0" quotePrefix="1" applyFont="1" applyBorder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10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288"/>
  <sheetViews>
    <sheetView tabSelected="1" topLeftCell="A266" zoomScaleNormal="100" workbookViewId="0">
      <selection activeCell="AU288" sqref="AU288:BF288"/>
    </sheetView>
  </sheetViews>
  <sheetFormatPr defaultRowHeight="12.75" x14ac:dyDescent="0.2"/>
  <cols>
    <col min="1" max="78" width="2.85546875" customWidth="1"/>
    <col min="79" max="79" width="4" hidden="1" customWidth="1"/>
  </cols>
  <sheetData>
    <row r="1" spans="1:79" ht="57.75" customHeight="1" x14ac:dyDescent="0.2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121" t="s">
        <v>115</v>
      </c>
      <c r="BO1" s="121"/>
      <c r="BP1" s="121"/>
      <c r="BQ1" s="121"/>
      <c r="BR1" s="121"/>
      <c r="BS1" s="121"/>
      <c r="BT1" s="121"/>
      <c r="BU1" s="121"/>
      <c r="BV1" s="121"/>
      <c r="BW1" s="121"/>
      <c r="BX1" s="121"/>
      <c r="BY1" s="121"/>
      <c r="BZ1" s="121"/>
    </row>
    <row r="2" spans="1:79" ht="14.25" customHeight="1" x14ac:dyDescent="0.2">
      <c r="A2" s="122" t="s">
        <v>271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122"/>
      <c r="AN2" s="122"/>
      <c r="AO2" s="122"/>
      <c r="AP2" s="122"/>
      <c r="AQ2" s="122"/>
      <c r="AR2" s="122"/>
      <c r="AS2" s="122"/>
      <c r="AT2" s="122"/>
      <c r="AU2" s="122"/>
      <c r="AV2" s="122"/>
      <c r="AW2" s="122"/>
      <c r="AX2" s="122"/>
      <c r="AY2" s="122"/>
      <c r="AZ2" s="122"/>
      <c r="BA2" s="122"/>
      <c r="BB2" s="122"/>
      <c r="BC2" s="122"/>
      <c r="BD2" s="122"/>
      <c r="BE2" s="122"/>
      <c r="BF2" s="122"/>
      <c r="BG2" s="122"/>
      <c r="BH2" s="122"/>
      <c r="BI2" s="122"/>
      <c r="BJ2" s="122"/>
      <c r="BK2" s="122"/>
      <c r="BL2" s="122"/>
      <c r="BM2" s="122"/>
      <c r="BN2" s="122"/>
      <c r="BO2" s="122"/>
      <c r="BP2" s="122"/>
      <c r="BQ2" s="122"/>
      <c r="BR2" s="122"/>
      <c r="BS2" s="122"/>
      <c r="BT2" s="122"/>
      <c r="BU2" s="122"/>
      <c r="BV2" s="122"/>
      <c r="BW2" s="122"/>
      <c r="BX2" s="122"/>
      <c r="BY2" s="122"/>
      <c r="BZ2" s="122"/>
    </row>
    <row r="4" spans="1:79" ht="15" customHeight="1" x14ac:dyDescent="0.2">
      <c r="A4" s="10" t="s">
        <v>159</v>
      </c>
      <c r="B4" s="119" t="s">
        <v>244</v>
      </c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7"/>
      <c r="AH4" s="113" t="s">
        <v>243</v>
      </c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7"/>
      <c r="AT4" s="115" t="s">
        <v>245</v>
      </c>
      <c r="AU4" s="113"/>
      <c r="AV4" s="113"/>
      <c r="AW4" s="113"/>
      <c r="AX4" s="113"/>
      <c r="AY4" s="113"/>
      <c r="AZ4" s="113"/>
      <c r="BA4" s="113"/>
      <c r="BB4" s="14"/>
      <c r="BC4" s="7"/>
      <c r="BD4" s="7"/>
      <c r="BE4" s="11"/>
      <c r="BF4" s="11"/>
      <c r="BG4" s="11"/>
      <c r="BH4" s="11"/>
      <c r="BI4" s="11"/>
      <c r="BJ4" s="11"/>
      <c r="BK4" s="11"/>
      <c r="BL4" s="11"/>
    </row>
    <row r="5" spans="1:79" ht="24" customHeight="1" x14ac:dyDescent="0.2">
      <c r="A5" s="120" t="s">
        <v>0</v>
      </c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6"/>
      <c r="AH5" s="116" t="s">
        <v>160</v>
      </c>
      <c r="AI5" s="116"/>
      <c r="AJ5" s="116"/>
      <c r="AK5" s="116"/>
      <c r="AL5" s="116"/>
      <c r="AM5" s="116"/>
      <c r="AN5" s="116"/>
      <c r="AO5" s="116"/>
      <c r="AP5" s="116"/>
      <c r="AQ5" s="116"/>
      <c r="AR5" s="116"/>
      <c r="AS5" s="6"/>
      <c r="AT5" s="116" t="s">
        <v>157</v>
      </c>
      <c r="AU5" s="116"/>
      <c r="AV5" s="116"/>
      <c r="AW5" s="116"/>
      <c r="AX5" s="116"/>
      <c r="AY5" s="116"/>
      <c r="AZ5" s="116"/>
      <c r="BA5" s="116"/>
      <c r="BB5" s="12"/>
      <c r="BC5" s="6"/>
      <c r="BD5" s="6"/>
      <c r="BE5" s="12"/>
      <c r="BF5" s="12"/>
      <c r="BG5" s="12"/>
      <c r="BH5" s="12"/>
      <c r="BI5" s="12"/>
      <c r="BJ5" s="12"/>
      <c r="BK5" s="12"/>
      <c r="BL5" s="12"/>
    </row>
    <row r="6" spans="1:79" x14ac:dyDescent="0.2">
      <c r="BE6" s="13"/>
      <c r="BF6" s="13"/>
      <c r="BG6" s="13"/>
      <c r="BH6" s="13"/>
      <c r="BI6" s="13"/>
      <c r="BJ6" s="13"/>
      <c r="BK6" s="13"/>
      <c r="BL6" s="13"/>
    </row>
    <row r="7" spans="1:79" ht="15" customHeight="1" x14ac:dyDescent="0.2">
      <c r="A7" s="10" t="s">
        <v>161</v>
      </c>
      <c r="B7" s="119" t="s">
        <v>288</v>
      </c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7"/>
      <c r="AH7" s="113" t="s">
        <v>289</v>
      </c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  <c r="AX7" s="113"/>
      <c r="AY7" s="113"/>
      <c r="AZ7" s="113"/>
      <c r="BA7" s="113"/>
      <c r="BB7" s="14"/>
      <c r="BC7" s="115" t="s">
        <v>245</v>
      </c>
      <c r="BD7" s="113"/>
      <c r="BE7" s="113"/>
      <c r="BF7" s="113"/>
      <c r="BG7" s="113"/>
      <c r="BH7" s="113"/>
      <c r="BI7" s="113"/>
      <c r="BJ7" s="113"/>
      <c r="BK7" s="14"/>
      <c r="BL7" s="11"/>
      <c r="BP7" s="14"/>
      <c r="BQ7" s="14"/>
      <c r="BR7" s="14"/>
      <c r="BS7" s="14"/>
      <c r="BT7" s="14"/>
      <c r="BU7" s="14"/>
      <c r="BV7" s="14"/>
      <c r="BW7" s="14"/>
    </row>
    <row r="8" spans="1:79" ht="24" customHeight="1" x14ac:dyDescent="0.2">
      <c r="A8" s="120" t="s">
        <v>155</v>
      </c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6"/>
      <c r="AH8" s="116" t="s">
        <v>162</v>
      </c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6"/>
      <c r="AT8" s="116"/>
      <c r="AU8" s="116"/>
      <c r="AV8" s="116"/>
      <c r="AW8" s="116"/>
      <c r="AX8" s="116"/>
      <c r="AY8" s="116"/>
      <c r="AZ8" s="116"/>
      <c r="BA8" s="116"/>
      <c r="BB8" s="12"/>
      <c r="BC8" s="116" t="s">
        <v>157</v>
      </c>
      <c r="BD8" s="116"/>
      <c r="BE8" s="116"/>
      <c r="BF8" s="116"/>
      <c r="BG8" s="116"/>
      <c r="BH8" s="116"/>
      <c r="BI8" s="116"/>
      <c r="BJ8" s="116"/>
      <c r="BK8" s="12"/>
      <c r="BL8" s="12"/>
      <c r="BP8" s="12"/>
      <c r="BQ8" s="12"/>
      <c r="BR8" s="12"/>
      <c r="BS8" s="12"/>
      <c r="BT8" s="12"/>
      <c r="BU8" s="12"/>
      <c r="BV8" s="12"/>
      <c r="BW8" s="12"/>
    </row>
    <row r="10" spans="1:79" ht="14.25" customHeight="1" x14ac:dyDescent="0.2">
      <c r="A10" s="10" t="s">
        <v>163</v>
      </c>
      <c r="B10" s="113" t="s">
        <v>284</v>
      </c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N10" s="113" t="s">
        <v>285</v>
      </c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4"/>
      <c r="AA10" s="113" t="s">
        <v>286</v>
      </c>
      <c r="AB10" s="113"/>
      <c r="AC10" s="113"/>
      <c r="AD10" s="113"/>
      <c r="AE10" s="113"/>
      <c r="AF10" s="113"/>
      <c r="AG10" s="113"/>
      <c r="AH10" s="113"/>
      <c r="AI10" s="113"/>
      <c r="AJ10" s="14"/>
      <c r="AK10" s="114" t="s">
        <v>287</v>
      </c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16"/>
      <c r="BL10" s="115" t="s">
        <v>246</v>
      </c>
      <c r="BM10" s="113"/>
      <c r="BN10" s="113"/>
      <c r="BO10" s="113"/>
      <c r="BP10" s="113"/>
      <c r="BQ10" s="113"/>
      <c r="BR10" s="113"/>
      <c r="BS10" s="113"/>
      <c r="BT10" s="14"/>
      <c r="BU10" s="14"/>
      <c r="BV10" s="14"/>
      <c r="BW10" s="14"/>
      <c r="BX10" s="14"/>
      <c r="BY10" s="14"/>
      <c r="BZ10" s="14"/>
      <c r="CA10" s="14"/>
    </row>
    <row r="11" spans="1:79" ht="25.5" customHeight="1" x14ac:dyDescent="0.2">
      <c r="B11" s="116" t="s">
        <v>164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N11" s="116" t="s">
        <v>166</v>
      </c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2"/>
      <c r="AA11" s="117" t="s">
        <v>167</v>
      </c>
      <c r="AB11" s="117"/>
      <c r="AC11" s="117"/>
      <c r="AD11" s="117"/>
      <c r="AE11" s="117"/>
      <c r="AF11" s="117"/>
      <c r="AG11" s="117"/>
      <c r="AH11" s="117"/>
      <c r="AI11" s="117"/>
      <c r="AJ11" s="12"/>
      <c r="AK11" s="118" t="s">
        <v>165</v>
      </c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/>
      <c r="AZ11" s="118"/>
      <c r="BA11" s="118"/>
      <c r="BB11" s="118"/>
      <c r="BC11" s="118"/>
      <c r="BD11" s="118"/>
      <c r="BE11" s="118"/>
      <c r="BF11" s="118"/>
      <c r="BG11" s="118"/>
      <c r="BH11" s="118"/>
      <c r="BI11" s="118"/>
      <c r="BJ11" s="118"/>
      <c r="BK11" s="15"/>
      <c r="BL11" s="116" t="s">
        <v>158</v>
      </c>
      <c r="BM11" s="116"/>
      <c r="BN11" s="116"/>
      <c r="BO11" s="116"/>
      <c r="BP11" s="116"/>
      <c r="BQ11" s="116"/>
      <c r="BR11" s="116"/>
      <c r="BS11" s="116"/>
      <c r="BT11" s="12"/>
      <c r="BU11" s="12"/>
      <c r="BV11" s="12"/>
      <c r="BW11" s="12"/>
      <c r="BX11" s="12"/>
      <c r="BY11" s="12"/>
      <c r="BZ11" s="12"/>
      <c r="CA11" s="12"/>
    </row>
    <row r="13" spans="1:79" ht="14.25" customHeight="1" x14ac:dyDescent="0.2">
      <c r="A13" s="62" t="s">
        <v>272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</row>
    <row r="14" spans="1:79" ht="14.25" customHeight="1" x14ac:dyDescent="0.2">
      <c r="A14" s="62" t="s">
        <v>148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</row>
    <row r="15" spans="1:79" ht="15" customHeight="1" x14ac:dyDescent="0.2">
      <c r="A15" s="63" t="s">
        <v>238</v>
      </c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  <c r="BN15" s="53"/>
      <c r="BO15" s="53"/>
      <c r="BP15" s="53"/>
      <c r="BQ15" s="53"/>
      <c r="BR15" s="53"/>
      <c r="BS15" s="53"/>
      <c r="BT15" s="53"/>
      <c r="BU15" s="53"/>
      <c r="BV15" s="53"/>
      <c r="BW15" s="53"/>
      <c r="BX15" s="53"/>
      <c r="BY15" s="53"/>
    </row>
    <row r="16" spans="1:79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</row>
    <row r="17" spans="1:79" ht="15" customHeight="1" x14ac:dyDescent="0.25">
      <c r="A17" s="112" t="s">
        <v>149</v>
      </c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2"/>
      <c r="AQ17" s="112"/>
      <c r="AR17" s="112"/>
      <c r="AS17" s="112"/>
      <c r="AT17" s="112"/>
      <c r="AU17" s="112"/>
      <c r="AV17" s="112"/>
      <c r="AW17" s="112"/>
      <c r="AX17" s="112"/>
      <c r="AY17" s="112"/>
      <c r="AZ17" s="112"/>
      <c r="BA17" s="112"/>
      <c r="BB17" s="112"/>
      <c r="BC17" s="112"/>
      <c r="BD17" s="112"/>
      <c r="BE17" s="112"/>
      <c r="BF17" s="112"/>
      <c r="BG17" s="112"/>
      <c r="BH17" s="112"/>
      <c r="BI17" s="112"/>
      <c r="BJ17" s="112"/>
      <c r="BK17" s="112"/>
      <c r="BL17" s="112"/>
      <c r="BM17" s="112"/>
      <c r="BN17" s="112"/>
      <c r="BO17" s="112"/>
      <c r="BP17" s="112"/>
      <c r="BQ17" s="112"/>
      <c r="BR17" s="112"/>
      <c r="BS17" s="112"/>
      <c r="BT17" s="112"/>
      <c r="BU17" s="112"/>
      <c r="BV17" s="112"/>
      <c r="BW17" s="112"/>
      <c r="BX17" s="112"/>
      <c r="BY17" s="112"/>
    </row>
    <row r="18" spans="1:79" ht="15" customHeight="1" x14ac:dyDescent="0.2">
      <c r="A18" s="63" t="s">
        <v>239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  <c r="BN18" s="53"/>
      <c r="BO18" s="53"/>
      <c r="BP18" s="53"/>
      <c r="BQ18" s="53"/>
      <c r="BR18" s="53"/>
      <c r="BS18" s="53"/>
      <c r="BT18" s="53"/>
      <c r="BU18" s="53"/>
      <c r="BV18" s="53"/>
      <c r="BW18" s="53"/>
      <c r="BX18" s="53"/>
      <c r="BY18" s="53"/>
    </row>
    <row r="19" spans="1:79" ht="1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</row>
    <row r="20" spans="1:79" ht="14.25" customHeight="1" x14ac:dyDescent="0.2">
      <c r="A20" s="62" t="s">
        <v>150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  <c r="BX20" s="62"/>
      <c r="BY20" s="62"/>
    </row>
    <row r="21" spans="1:79" ht="135" customHeight="1" x14ac:dyDescent="0.2">
      <c r="A21" s="63" t="s">
        <v>240</v>
      </c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53"/>
      <c r="BR21" s="53"/>
      <c r="BS21" s="53"/>
      <c r="BT21" s="53"/>
      <c r="BU21" s="53"/>
      <c r="BV21" s="53"/>
      <c r="BW21" s="53"/>
      <c r="BX21" s="53"/>
      <c r="BY21" s="53"/>
    </row>
    <row r="22" spans="1:79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</row>
    <row r="23" spans="1:79" ht="14.25" customHeight="1" x14ac:dyDescent="0.2">
      <c r="A23" s="62" t="s">
        <v>151</v>
      </c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2"/>
      <c r="BF23" s="62"/>
      <c r="BG23" s="62"/>
      <c r="BH23" s="62"/>
      <c r="BI23" s="62"/>
      <c r="BJ23" s="62"/>
      <c r="BK23" s="62"/>
      <c r="BL23" s="62"/>
      <c r="BM23" s="62"/>
      <c r="BN23" s="62"/>
      <c r="BO23" s="62"/>
      <c r="BP23" s="62"/>
      <c r="BQ23" s="62"/>
      <c r="BR23" s="62"/>
      <c r="BS23" s="62"/>
      <c r="BT23" s="62"/>
      <c r="BU23" s="62"/>
      <c r="BV23" s="62"/>
      <c r="BW23" s="62"/>
      <c r="BX23" s="62"/>
      <c r="BY23" s="62"/>
    </row>
    <row r="24" spans="1:79" ht="14.25" customHeight="1" x14ac:dyDescent="0.2">
      <c r="A24" s="62" t="s">
        <v>258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2"/>
      <c r="BF24" s="62"/>
      <c r="BG24" s="62"/>
      <c r="BH24" s="62"/>
      <c r="BI24" s="62"/>
      <c r="BJ24" s="62"/>
      <c r="BK24" s="62"/>
      <c r="BL24" s="62"/>
      <c r="BM24" s="62"/>
      <c r="BN24" s="62"/>
      <c r="BO24" s="62"/>
      <c r="BP24" s="62"/>
      <c r="BQ24" s="62"/>
      <c r="BR24" s="62"/>
      <c r="BS24" s="62"/>
      <c r="BT24" s="62"/>
      <c r="BU24" s="62"/>
      <c r="BV24" s="62"/>
      <c r="BW24" s="62"/>
      <c r="BX24" s="62"/>
      <c r="BY24" s="62"/>
    </row>
    <row r="25" spans="1:79" ht="15" customHeight="1" x14ac:dyDescent="0.2">
      <c r="A25" s="67" t="s">
        <v>247</v>
      </c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  <c r="AQ25" s="67"/>
      <c r="AR25" s="67"/>
      <c r="AS25" s="67"/>
      <c r="AT25" s="67"/>
      <c r="AU25" s="67"/>
      <c r="AV25" s="67"/>
      <c r="AW25" s="67"/>
      <c r="AX25" s="67"/>
      <c r="AY25" s="67"/>
      <c r="AZ25" s="67"/>
      <c r="BA25" s="67"/>
      <c r="BB25" s="67"/>
      <c r="BC25" s="67"/>
      <c r="BD25" s="67"/>
      <c r="BE25" s="67"/>
      <c r="BF25" s="67"/>
      <c r="BG25" s="67"/>
      <c r="BH25" s="67"/>
      <c r="BI25" s="67"/>
      <c r="BJ25" s="67"/>
      <c r="BK25" s="67"/>
      <c r="BL25" s="67"/>
      <c r="BM25" s="67"/>
      <c r="BN25" s="67"/>
      <c r="BO25" s="67"/>
      <c r="BP25" s="67"/>
      <c r="BQ25" s="67"/>
      <c r="BR25" s="67"/>
      <c r="BS25" s="67"/>
      <c r="BT25" s="67"/>
      <c r="BU25" s="67"/>
      <c r="BV25" s="67"/>
      <c r="BW25" s="67"/>
      <c r="BX25" s="67"/>
      <c r="BY25" s="67"/>
    </row>
    <row r="26" spans="1:79" ht="23.1" customHeight="1" x14ac:dyDescent="0.2">
      <c r="A26" s="78" t="s">
        <v>2</v>
      </c>
      <c r="B26" s="79"/>
      <c r="C26" s="79"/>
      <c r="D26" s="80"/>
      <c r="E26" s="78" t="s">
        <v>19</v>
      </c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39" t="s">
        <v>248</v>
      </c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 t="s">
        <v>251</v>
      </c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 t="s">
        <v>259</v>
      </c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</row>
    <row r="27" spans="1:79" ht="54.75" customHeight="1" x14ac:dyDescent="0.2">
      <c r="A27" s="81"/>
      <c r="B27" s="82"/>
      <c r="C27" s="82"/>
      <c r="D27" s="83"/>
      <c r="E27" s="81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74" t="s">
        <v>4</v>
      </c>
      <c r="V27" s="75"/>
      <c r="W27" s="75"/>
      <c r="X27" s="75"/>
      <c r="Y27" s="76"/>
      <c r="Z27" s="74" t="s">
        <v>3</v>
      </c>
      <c r="AA27" s="75"/>
      <c r="AB27" s="75"/>
      <c r="AC27" s="75"/>
      <c r="AD27" s="76"/>
      <c r="AE27" s="97" t="s">
        <v>116</v>
      </c>
      <c r="AF27" s="98"/>
      <c r="AG27" s="98"/>
      <c r="AH27" s="99"/>
      <c r="AI27" s="74" t="s">
        <v>5</v>
      </c>
      <c r="AJ27" s="75"/>
      <c r="AK27" s="75"/>
      <c r="AL27" s="75"/>
      <c r="AM27" s="76"/>
      <c r="AN27" s="74" t="s">
        <v>4</v>
      </c>
      <c r="AO27" s="75"/>
      <c r="AP27" s="75"/>
      <c r="AQ27" s="75"/>
      <c r="AR27" s="76"/>
      <c r="AS27" s="74" t="s">
        <v>3</v>
      </c>
      <c r="AT27" s="75"/>
      <c r="AU27" s="75"/>
      <c r="AV27" s="75"/>
      <c r="AW27" s="76"/>
      <c r="AX27" s="97" t="s">
        <v>116</v>
      </c>
      <c r="AY27" s="98"/>
      <c r="AZ27" s="98"/>
      <c r="BA27" s="99"/>
      <c r="BB27" s="74" t="s">
        <v>96</v>
      </c>
      <c r="BC27" s="75"/>
      <c r="BD27" s="75"/>
      <c r="BE27" s="75"/>
      <c r="BF27" s="76"/>
      <c r="BG27" s="74" t="s">
        <v>4</v>
      </c>
      <c r="BH27" s="75"/>
      <c r="BI27" s="75"/>
      <c r="BJ27" s="75"/>
      <c r="BK27" s="76"/>
      <c r="BL27" s="74" t="s">
        <v>3</v>
      </c>
      <c r="BM27" s="75"/>
      <c r="BN27" s="75"/>
      <c r="BO27" s="75"/>
      <c r="BP27" s="76"/>
      <c r="BQ27" s="97" t="s">
        <v>116</v>
      </c>
      <c r="BR27" s="98"/>
      <c r="BS27" s="98"/>
      <c r="BT27" s="99"/>
      <c r="BU27" s="74" t="s">
        <v>97</v>
      </c>
      <c r="BV27" s="75"/>
      <c r="BW27" s="75"/>
      <c r="BX27" s="75"/>
      <c r="BY27" s="76"/>
    </row>
    <row r="28" spans="1:79" ht="15" customHeight="1" x14ac:dyDescent="0.2">
      <c r="A28" s="74">
        <v>1</v>
      </c>
      <c r="B28" s="75"/>
      <c r="C28" s="75"/>
      <c r="D28" s="76"/>
      <c r="E28" s="74">
        <v>2</v>
      </c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4">
        <v>3</v>
      </c>
      <c r="V28" s="75"/>
      <c r="W28" s="75"/>
      <c r="X28" s="75"/>
      <c r="Y28" s="76"/>
      <c r="Z28" s="74">
        <v>4</v>
      </c>
      <c r="AA28" s="75"/>
      <c r="AB28" s="75"/>
      <c r="AC28" s="75"/>
      <c r="AD28" s="76"/>
      <c r="AE28" s="74">
        <v>5</v>
      </c>
      <c r="AF28" s="75"/>
      <c r="AG28" s="75"/>
      <c r="AH28" s="76"/>
      <c r="AI28" s="74">
        <v>6</v>
      </c>
      <c r="AJ28" s="75"/>
      <c r="AK28" s="75"/>
      <c r="AL28" s="75"/>
      <c r="AM28" s="76"/>
      <c r="AN28" s="74">
        <v>7</v>
      </c>
      <c r="AO28" s="75"/>
      <c r="AP28" s="75"/>
      <c r="AQ28" s="75"/>
      <c r="AR28" s="76"/>
      <c r="AS28" s="74">
        <v>8</v>
      </c>
      <c r="AT28" s="75"/>
      <c r="AU28" s="75"/>
      <c r="AV28" s="75"/>
      <c r="AW28" s="76"/>
      <c r="AX28" s="74">
        <v>9</v>
      </c>
      <c r="AY28" s="75"/>
      <c r="AZ28" s="75"/>
      <c r="BA28" s="76"/>
      <c r="BB28" s="74">
        <v>10</v>
      </c>
      <c r="BC28" s="75"/>
      <c r="BD28" s="75"/>
      <c r="BE28" s="75"/>
      <c r="BF28" s="76"/>
      <c r="BG28" s="74">
        <v>11</v>
      </c>
      <c r="BH28" s="75"/>
      <c r="BI28" s="75"/>
      <c r="BJ28" s="75"/>
      <c r="BK28" s="76"/>
      <c r="BL28" s="74">
        <v>12</v>
      </c>
      <c r="BM28" s="75"/>
      <c r="BN28" s="75"/>
      <c r="BO28" s="75"/>
      <c r="BP28" s="76"/>
      <c r="BQ28" s="74">
        <v>13</v>
      </c>
      <c r="BR28" s="75"/>
      <c r="BS28" s="75"/>
      <c r="BT28" s="76"/>
      <c r="BU28" s="74">
        <v>14</v>
      </c>
      <c r="BV28" s="75"/>
      <c r="BW28" s="75"/>
      <c r="BX28" s="75"/>
      <c r="BY28" s="76"/>
    </row>
    <row r="29" spans="1:79" ht="13.5" hidden="1" customHeight="1" x14ac:dyDescent="0.2">
      <c r="A29" s="88" t="s">
        <v>56</v>
      </c>
      <c r="B29" s="89"/>
      <c r="C29" s="89"/>
      <c r="D29" s="90"/>
      <c r="E29" s="88" t="s">
        <v>57</v>
      </c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8" t="s">
        <v>65</v>
      </c>
      <c r="V29" s="89"/>
      <c r="W29" s="89"/>
      <c r="X29" s="89"/>
      <c r="Y29" s="90"/>
      <c r="Z29" s="88" t="s">
        <v>66</v>
      </c>
      <c r="AA29" s="89"/>
      <c r="AB29" s="89"/>
      <c r="AC29" s="89"/>
      <c r="AD29" s="90"/>
      <c r="AE29" s="88" t="s">
        <v>91</v>
      </c>
      <c r="AF29" s="89"/>
      <c r="AG29" s="89"/>
      <c r="AH29" s="90"/>
      <c r="AI29" s="94" t="s">
        <v>169</v>
      </c>
      <c r="AJ29" s="95"/>
      <c r="AK29" s="95"/>
      <c r="AL29" s="95"/>
      <c r="AM29" s="96"/>
      <c r="AN29" s="88" t="s">
        <v>67</v>
      </c>
      <c r="AO29" s="89"/>
      <c r="AP29" s="89"/>
      <c r="AQ29" s="89"/>
      <c r="AR29" s="90"/>
      <c r="AS29" s="88" t="s">
        <v>68</v>
      </c>
      <c r="AT29" s="89"/>
      <c r="AU29" s="89"/>
      <c r="AV29" s="89"/>
      <c r="AW29" s="90"/>
      <c r="AX29" s="88" t="s">
        <v>92</v>
      </c>
      <c r="AY29" s="89"/>
      <c r="AZ29" s="89"/>
      <c r="BA29" s="90"/>
      <c r="BB29" s="94" t="s">
        <v>169</v>
      </c>
      <c r="BC29" s="95"/>
      <c r="BD29" s="95"/>
      <c r="BE29" s="95"/>
      <c r="BF29" s="96"/>
      <c r="BG29" s="88" t="s">
        <v>58</v>
      </c>
      <c r="BH29" s="89"/>
      <c r="BI29" s="89"/>
      <c r="BJ29" s="89"/>
      <c r="BK29" s="90"/>
      <c r="BL29" s="88" t="s">
        <v>59</v>
      </c>
      <c r="BM29" s="89"/>
      <c r="BN29" s="89"/>
      <c r="BO29" s="89"/>
      <c r="BP29" s="90"/>
      <c r="BQ29" s="88" t="s">
        <v>93</v>
      </c>
      <c r="BR29" s="89"/>
      <c r="BS29" s="89"/>
      <c r="BT29" s="90"/>
      <c r="BU29" s="94" t="s">
        <v>169</v>
      </c>
      <c r="BV29" s="95"/>
      <c r="BW29" s="95"/>
      <c r="BX29" s="95"/>
      <c r="BY29" s="96"/>
      <c r="CA29" t="s">
        <v>21</v>
      </c>
    </row>
    <row r="30" spans="1:79" s="4" customFormat="1" ht="12.75" customHeight="1" x14ac:dyDescent="0.2">
      <c r="A30" s="34"/>
      <c r="B30" s="35"/>
      <c r="C30" s="35"/>
      <c r="D30" s="51"/>
      <c r="E30" s="27" t="s">
        <v>172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9"/>
      <c r="U30" s="49">
        <v>3249017</v>
      </c>
      <c r="V30" s="49"/>
      <c r="W30" s="49"/>
      <c r="X30" s="49"/>
      <c r="Y30" s="49"/>
      <c r="Z30" s="49" t="s">
        <v>173</v>
      </c>
      <c r="AA30" s="49"/>
      <c r="AB30" s="49"/>
      <c r="AC30" s="49"/>
      <c r="AD30" s="49"/>
      <c r="AE30" s="46" t="s">
        <v>173</v>
      </c>
      <c r="AF30" s="47"/>
      <c r="AG30" s="47"/>
      <c r="AH30" s="48"/>
      <c r="AI30" s="46">
        <f>IF(ISNUMBER(U30),U30,0)+IF(ISNUMBER(Z30),Z30,0)</f>
        <v>3249017</v>
      </c>
      <c r="AJ30" s="47"/>
      <c r="AK30" s="47"/>
      <c r="AL30" s="47"/>
      <c r="AM30" s="48"/>
      <c r="AN30" s="46">
        <v>4127990</v>
      </c>
      <c r="AO30" s="47"/>
      <c r="AP30" s="47"/>
      <c r="AQ30" s="47"/>
      <c r="AR30" s="48"/>
      <c r="AS30" s="46" t="s">
        <v>173</v>
      </c>
      <c r="AT30" s="47"/>
      <c r="AU30" s="47"/>
      <c r="AV30" s="47"/>
      <c r="AW30" s="48"/>
      <c r="AX30" s="46" t="s">
        <v>173</v>
      </c>
      <c r="AY30" s="47"/>
      <c r="AZ30" s="47"/>
      <c r="BA30" s="48"/>
      <c r="BB30" s="46">
        <f>IF(ISNUMBER(AN30),AN30,0)+IF(ISNUMBER(AS30),AS30,0)</f>
        <v>4127990</v>
      </c>
      <c r="BC30" s="47"/>
      <c r="BD30" s="47"/>
      <c r="BE30" s="47"/>
      <c r="BF30" s="48"/>
      <c r="BG30" s="46">
        <v>4857097</v>
      </c>
      <c r="BH30" s="47"/>
      <c r="BI30" s="47"/>
      <c r="BJ30" s="47"/>
      <c r="BK30" s="48"/>
      <c r="BL30" s="46" t="s">
        <v>173</v>
      </c>
      <c r="BM30" s="47"/>
      <c r="BN30" s="47"/>
      <c r="BO30" s="47"/>
      <c r="BP30" s="48"/>
      <c r="BQ30" s="46" t="s">
        <v>173</v>
      </c>
      <c r="BR30" s="47"/>
      <c r="BS30" s="47"/>
      <c r="BT30" s="48"/>
      <c r="BU30" s="46">
        <f>IF(ISNUMBER(BG30),BG30,0)+IF(ISNUMBER(BL30),BL30,0)</f>
        <v>4857097</v>
      </c>
      <c r="BV30" s="47"/>
      <c r="BW30" s="47"/>
      <c r="BX30" s="47"/>
      <c r="BY30" s="48"/>
      <c r="CA30" s="4" t="s">
        <v>22</v>
      </c>
    </row>
    <row r="31" spans="1:79" s="4" customFormat="1" ht="25.5" customHeight="1" x14ac:dyDescent="0.2">
      <c r="A31" s="34"/>
      <c r="B31" s="35"/>
      <c r="C31" s="35"/>
      <c r="D31" s="51"/>
      <c r="E31" s="27" t="s">
        <v>174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9"/>
      <c r="U31" s="49" t="s">
        <v>173</v>
      </c>
      <c r="V31" s="49"/>
      <c r="W31" s="49"/>
      <c r="X31" s="49"/>
      <c r="Y31" s="49"/>
      <c r="Z31" s="49">
        <v>23596</v>
      </c>
      <c r="AA31" s="49"/>
      <c r="AB31" s="49"/>
      <c r="AC31" s="49"/>
      <c r="AD31" s="49"/>
      <c r="AE31" s="46">
        <v>23596</v>
      </c>
      <c r="AF31" s="47"/>
      <c r="AG31" s="47"/>
      <c r="AH31" s="48"/>
      <c r="AI31" s="46">
        <f>IF(ISNUMBER(U31),U31,0)+IF(ISNUMBER(Z31),Z31,0)</f>
        <v>23596</v>
      </c>
      <c r="AJ31" s="47"/>
      <c r="AK31" s="47"/>
      <c r="AL31" s="47"/>
      <c r="AM31" s="48"/>
      <c r="AN31" s="46" t="s">
        <v>173</v>
      </c>
      <c r="AO31" s="47"/>
      <c r="AP31" s="47"/>
      <c r="AQ31" s="47"/>
      <c r="AR31" s="48"/>
      <c r="AS31" s="46">
        <v>0</v>
      </c>
      <c r="AT31" s="47"/>
      <c r="AU31" s="47"/>
      <c r="AV31" s="47"/>
      <c r="AW31" s="48"/>
      <c r="AX31" s="46">
        <v>0</v>
      </c>
      <c r="AY31" s="47"/>
      <c r="AZ31" s="47"/>
      <c r="BA31" s="48"/>
      <c r="BB31" s="46">
        <f>IF(ISNUMBER(AN31),AN31,0)+IF(ISNUMBER(AS31),AS31,0)</f>
        <v>0</v>
      </c>
      <c r="BC31" s="47"/>
      <c r="BD31" s="47"/>
      <c r="BE31" s="47"/>
      <c r="BF31" s="48"/>
      <c r="BG31" s="46" t="s">
        <v>173</v>
      </c>
      <c r="BH31" s="47"/>
      <c r="BI31" s="47"/>
      <c r="BJ31" s="47"/>
      <c r="BK31" s="48"/>
      <c r="BL31" s="46">
        <v>0</v>
      </c>
      <c r="BM31" s="47"/>
      <c r="BN31" s="47"/>
      <c r="BO31" s="47"/>
      <c r="BP31" s="48"/>
      <c r="BQ31" s="46">
        <v>0</v>
      </c>
      <c r="BR31" s="47"/>
      <c r="BS31" s="47"/>
      <c r="BT31" s="48"/>
      <c r="BU31" s="46">
        <f>IF(ISNUMBER(BG31),BG31,0)+IF(ISNUMBER(BL31),BL31,0)</f>
        <v>0</v>
      </c>
      <c r="BV31" s="47"/>
      <c r="BW31" s="47"/>
      <c r="BX31" s="47"/>
      <c r="BY31" s="48"/>
    </row>
    <row r="32" spans="1:79" s="4" customFormat="1" ht="38.25" customHeight="1" x14ac:dyDescent="0.2">
      <c r="A32" s="34">
        <v>208400</v>
      </c>
      <c r="B32" s="35"/>
      <c r="C32" s="35"/>
      <c r="D32" s="51"/>
      <c r="E32" s="27" t="s">
        <v>175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9"/>
      <c r="U32" s="49" t="s">
        <v>173</v>
      </c>
      <c r="V32" s="49"/>
      <c r="W32" s="49"/>
      <c r="X32" s="49"/>
      <c r="Y32" s="49"/>
      <c r="Z32" s="49">
        <v>23596</v>
      </c>
      <c r="AA32" s="49"/>
      <c r="AB32" s="49"/>
      <c r="AC32" s="49"/>
      <c r="AD32" s="49"/>
      <c r="AE32" s="46">
        <v>23596</v>
      </c>
      <c r="AF32" s="47"/>
      <c r="AG32" s="47"/>
      <c r="AH32" s="48"/>
      <c r="AI32" s="46">
        <f>IF(ISNUMBER(U32),U32,0)+IF(ISNUMBER(Z32),Z32,0)</f>
        <v>23596</v>
      </c>
      <c r="AJ32" s="47"/>
      <c r="AK32" s="47"/>
      <c r="AL32" s="47"/>
      <c r="AM32" s="48"/>
      <c r="AN32" s="46" t="s">
        <v>173</v>
      </c>
      <c r="AO32" s="47"/>
      <c r="AP32" s="47"/>
      <c r="AQ32" s="47"/>
      <c r="AR32" s="48"/>
      <c r="AS32" s="46">
        <v>0</v>
      </c>
      <c r="AT32" s="47"/>
      <c r="AU32" s="47"/>
      <c r="AV32" s="47"/>
      <c r="AW32" s="48"/>
      <c r="AX32" s="46">
        <v>0</v>
      </c>
      <c r="AY32" s="47"/>
      <c r="AZ32" s="47"/>
      <c r="BA32" s="48"/>
      <c r="BB32" s="46">
        <f>IF(ISNUMBER(AN32),AN32,0)+IF(ISNUMBER(AS32),AS32,0)</f>
        <v>0</v>
      </c>
      <c r="BC32" s="47"/>
      <c r="BD32" s="47"/>
      <c r="BE32" s="47"/>
      <c r="BF32" s="48"/>
      <c r="BG32" s="46" t="s">
        <v>173</v>
      </c>
      <c r="BH32" s="47"/>
      <c r="BI32" s="47"/>
      <c r="BJ32" s="47"/>
      <c r="BK32" s="48"/>
      <c r="BL32" s="46">
        <v>0</v>
      </c>
      <c r="BM32" s="47"/>
      <c r="BN32" s="47"/>
      <c r="BO32" s="47"/>
      <c r="BP32" s="48"/>
      <c r="BQ32" s="46">
        <v>0</v>
      </c>
      <c r="BR32" s="47"/>
      <c r="BS32" s="47"/>
      <c r="BT32" s="48"/>
      <c r="BU32" s="46">
        <f>IF(ISNUMBER(BG32),BG32,0)+IF(ISNUMBER(BL32),BL32,0)</f>
        <v>0</v>
      </c>
      <c r="BV32" s="47"/>
      <c r="BW32" s="47"/>
      <c r="BX32" s="47"/>
      <c r="BY32" s="48"/>
    </row>
    <row r="33" spans="1:79" s="5" customFormat="1" ht="12.75" customHeight="1" x14ac:dyDescent="0.2">
      <c r="A33" s="36"/>
      <c r="B33" s="37"/>
      <c r="C33" s="37"/>
      <c r="D33" s="50"/>
      <c r="E33" s="23" t="s">
        <v>147</v>
      </c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5"/>
      <c r="U33" s="45">
        <v>3249017</v>
      </c>
      <c r="V33" s="45"/>
      <c r="W33" s="45"/>
      <c r="X33" s="45"/>
      <c r="Y33" s="45"/>
      <c r="Z33" s="45">
        <v>23596</v>
      </c>
      <c r="AA33" s="45"/>
      <c r="AB33" s="45"/>
      <c r="AC33" s="45"/>
      <c r="AD33" s="45"/>
      <c r="AE33" s="42">
        <v>23596</v>
      </c>
      <c r="AF33" s="43"/>
      <c r="AG33" s="43"/>
      <c r="AH33" s="44"/>
      <c r="AI33" s="42">
        <f>IF(ISNUMBER(U33),U33,0)+IF(ISNUMBER(Z33),Z33,0)</f>
        <v>3272613</v>
      </c>
      <c r="AJ33" s="43"/>
      <c r="AK33" s="43"/>
      <c r="AL33" s="43"/>
      <c r="AM33" s="44"/>
      <c r="AN33" s="42">
        <v>4127990</v>
      </c>
      <c r="AO33" s="43"/>
      <c r="AP33" s="43"/>
      <c r="AQ33" s="43"/>
      <c r="AR33" s="44"/>
      <c r="AS33" s="42">
        <v>0</v>
      </c>
      <c r="AT33" s="43"/>
      <c r="AU33" s="43"/>
      <c r="AV33" s="43"/>
      <c r="AW33" s="44"/>
      <c r="AX33" s="42">
        <v>0</v>
      </c>
      <c r="AY33" s="43"/>
      <c r="AZ33" s="43"/>
      <c r="BA33" s="44"/>
      <c r="BB33" s="42">
        <f>IF(ISNUMBER(AN33),AN33,0)+IF(ISNUMBER(AS33),AS33,0)</f>
        <v>4127990</v>
      </c>
      <c r="BC33" s="43"/>
      <c r="BD33" s="43"/>
      <c r="BE33" s="43"/>
      <c r="BF33" s="44"/>
      <c r="BG33" s="42">
        <v>4857097</v>
      </c>
      <c r="BH33" s="43"/>
      <c r="BI33" s="43"/>
      <c r="BJ33" s="43"/>
      <c r="BK33" s="44"/>
      <c r="BL33" s="42">
        <v>0</v>
      </c>
      <c r="BM33" s="43"/>
      <c r="BN33" s="43"/>
      <c r="BO33" s="43"/>
      <c r="BP33" s="44"/>
      <c r="BQ33" s="42">
        <v>0</v>
      </c>
      <c r="BR33" s="43"/>
      <c r="BS33" s="43"/>
      <c r="BT33" s="44"/>
      <c r="BU33" s="42">
        <f>IF(ISNUMBER(BG33),BG33,0)+IF(ISNUMBER(BL33),BL33,0)</f>
        <v>4857097</v>
      </c>
      <c r="BV33" s="43"/>
      <c r="BW33" s="43"/>
      <c r="BX33" s="43"/>
      <c r="BY33" s="44"/>
    </row>
    <row r="35" spans="1:79" ht="14.25" customHeight="1" x14ac:dyDescent="0.2">
      <c r="A35" s="62" t="s">
        <v>273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2"/>
      <c r="AQ35" s="62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2"/>
      <c r="BD35" s="62"/>
      <c r="BE35" s="62"/>
      <c r="BF35" s="62"/>
      <c r="BG35" s="62"/>
      <c r="BH35" s="62"/>
      <c r="BI35" s="62"/>
      <c r="BJ35" s="62"/>
      <c r="BK35" s="62"/>
      <c r="BL35" s="62"/>
    </row>
    <row r="36" spans="1:79" ht="15" customHeight="1" x14ac:dyDescent="0.2">
      <c r="A36" s="77" t="s">
        <v>247</v>
      </c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</row>
    <row r="37" spans="1:79" ht="22.5" customHeight="1" x14ac:dyDescent="0.2">
      <c r="A37" s="78" t="s">
        <v>2</v>
      </c>
      <c r="B37" s="79"/>
      <c r="C37" s="79"/>
      <c r="D37" s="80"/>
      <c r="E37" s="78" t="s">
        <v>19</v>
      </c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80"/>
      <c r="X37" s="74" t="s">
        <v>269</v>
      </c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6"/>
      <c r="AR37" s="39" t="s">
        <v>274</v>
      </c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</row>
    <row r="38" spans="1:79" ht="36" customHeight="1" x14ac:dyDescent="0.2">
      <c r="A38" s="81"/>
      <c r="B38" s="82"/>
      <c r="C38" s="82"/>
      <c r="D38" s="83"/>
      <c r="E38" s="81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3"/>
      <c r="X38" s="39" t="s">
        <v>4</v>
      </c>
      <c r="Y38" s="39"/>
      <c r="Z38" s="39"/>
      <c r="AA38" s="39"/>
      <c r="AB38" s="39"/>
      <c r="AC38" s="39" t="s">
        <v>3</v>
      </c>
      <c r="AD38" s="39"/>
      <c r="AE38" s="39"/>
      <c r="AF38" s="39"/>
      <c r="AG38" s="39"/>
      <c r="AH38" s="97" t="s">
        <v>116</v>
      </c>
      <c r="AI38" s="98"/>
      <c r="AJ38" s="98"/>
      <c r="AK38" s="98"/>
      <c r="AL38" s="99"/>
      <c r="AM38" s="74" t="s">
        <v>5</v>
      </c>
      <c r="AN38" s="75"/>
      <c r="AO38" s="75"/>
      <c r="AP38" s="75"/>
      <c r="AQ38" s="76"/>
      <c r="AR38" s="74" t="s">
        <v>4</v>
      </c>
      <c r="AS38" s="75"/>
      <c r="AT38" s="75"/>
      <c r="AU38" s="75"/>
      <c r="AV38" s="76"/>
      <c r="AW38" s="74" t="s">
        <v>3</v>
      </c>
      <c r="AX38" s="75"/>
      <c r="AY38" s="75"/>
      <c r="AZ38" s="75"/>
      <c r="BA38" s="76"/>
      <c r="BB38" s="97" t="s">
        <v>116</v>
      </c>
      <c r="BC38" s="98"/>
      <c r="BD38" s="98"/>
      <c r="BE38" s="98"/>
      <c r="BF38" s="99"/>
      <c r="BG38" s="74" t="s">
        <v>96</v>
      </c>
      <c r="BH38" s="75"/>
      <c r="BI38" s="75"/>
      <c r="BJ38" s="75"/>
      <c r="BK38" s="76"/>
    </row>
    <row r="39" spans="1:79" ht="15" customHeight="1" x14ac:dyDescent="0.2">
      <c r="A39" s="74">
        <v>1</v>
      </c>
      <c r="B39" s="75"/>
      <c r="C39" s="75"/>
      <c r="D39" s="76"/>
      <c r="E39" s="74">
        <v>2</v>
      </c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6"/>
      <c r="X39" s="39">
        <v>3</v>
      </c>
      <c r="Y39" s="39"/>
      <c r="Z39" s="39"/>
      <c r="AA39" s="39"/>
      <c r="AB39" s="39"/>
      <c r="AC39" s="39">
        <v>4</v>
      </c>
      <c r="AD39" s="39"/>
      <c r="AE39" s="39"/>
      <c r="AF39" s="39"/>
      <c r="AG39" s="39"/>
      <c r="AH39" s="39">
        <v>5</v>
      </c>
      <c r="AI39" s="39"/>
      <c r="AJ39" s="39"/>
      <c r="AK39" s="39"/>
      <c r="AL39" s="39"/>
      <c r="AM39" s="39">
        <v>6</v>
      </c>
      <c r="AN39" s="39"/>
      <c r="AO39" s="39"/>
      <c r="AP39" s="39"/>
      <c r="AQ39" s="39"/>
      <c r="AR39" s="74">
        <v>7</v>
      </c>
      <c r="AS39" s="75"/>
      <c r="AT39" s="75"/>
      <c r="AU39" s="75"/>
      <c r="AV39" s="76"/>
      <c r="AW39" s="74">
        <v>8</v>
      </c>
      <c r="AX39" s="75"/>
      <c r="AY39" s="75"/>
      <c r="AZ39" s="75"/>
      <c r="BA39" s="76"/>
      <c r="BB39" s="74">
        <v>9</v>
      </c>
      <c r="BC39" s="75"/>
      <c r="BD39" s="75"/>
      <c r="BE39" s="75"/>
      <c r="BF39" s="76"/>
      <c r="BG39" s="74">
        <v>10</v>
      </c>
      <c r="BH39" s="75"/>
      <c r="BI39" s="75"/>
      <c r="BJ39" s="75"/>
      <c r="BK39" s="76"/>
    </row>
    <row r="40" spans="1:79" ht="20.25" hidden="1" customHeight="1" x14ac:dyDescent="0.2">
      <c r="A40" s="88" t="s">
        <v>56</v>
      </c>
      <c r="B40" s="89"/>
      <c r="C40" s="89"/>
      <c r="D40" s="90"/>
      <c r="E40" s="88" t="s">
        <v>57</v>
      </c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90"/>
      <c r="X40" s="66" t="s">
        <v>60</v>
      </c>
      <c r="Y40" s="66"/>
      <c r="Z40" s="66"/>
      <c r="AA40" s="66"/>
      <c r="AB40" s="66"/>
      <c r="AC40" s="66" t="s">
        <v>61</v>
      </c>
      <c r="AD40" s="66"/>
      <c r="AE40" s="66"/>
      <c r="AF40" s="66"/>
      <c r="AG40" s="66"/>
      <c r="AH40" s="88" t="s">
        <v>94</v>
      </c>
      <c r="AI40" s="89"/>
      <c r="AJ40" s="89"/>
      <c r="AK40" s="89"/>
      <c r="AL40" s="90"/>
      <c r="AM40" s="94" t="s">
        <v>170</v>
      </c>
      <c r="AN40" s="95"/>
      <c r="AO40" s="95"/>
      <c r="AP40" s="95"/>
      <c r="AQ40" s="96"/>
      <c r="AR40" s="88" t="s">
        <v>62</v>
      </c>
      <c r="AS40" s="89"/>
      <c r="AT40" s="89"/>
      <c r="AU40" s="89"/>
      <c r="AV40" s="90"/>
      <c r="AW40" s="88" t="s">
        <v>63</v>
      </c>
      <c r="AX40" s="89"/>
      <c r="AY40" s="89"/>
      <c r="AZ40" s="89"/>
      <c r="BA40" s="90"/>
      <c r="BB40" s="88" t="s">
        <v>95</v>
      </c>
      <c r="BC40" s="89"/>
      <c r="BD40" s="89"/>
      <c r="BE40" s="89"/>
      <c r="BF40" s="90"/>
      <c r="BG40" s="94" t="s">
        <v>170</v>
      </c>
      <c r="BH40" s="95"/>
      <c r="BI40" s="95"/>
      <c r="BJ40" s="95"/>
      <c r="BK40" s="96"/>
      <c r="CA40" t="s">
        <v>23</v>
      </c>
    </row>
    <row r="41" spans="1:79" s="4" customFormat="1" ht="12.75" customHeight="1" x14ac:dyDescent="0.2">
      <c r="A41" s="34"/>
      <c r="B41" s="35"/>
      <c r="C41" s="35"/>
      <c r="D41" s="51"/>
      <c r="E41" s="27" t="s">
        <v>172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9"/>
      <c r="X41" s="46">
        <v>5337950</v>
      </c>
      <c r="Y41" s="47"/>
      <c r="Z41" s="47"/>
      <c r="AA41" s="47"/>
      <c r="AB41" s="48"/>
      <c r="AC41" s="46" t="s">
        <v>173</v>
      </c>
      <c r="AD41" s="47"/>
      <c r="AE41" s="47"/>
      <c r="AF41" s="47"/>
      <c r="AG41" s="48"/>
      <c r="AH41" s="46" t="s">
        <v>173</v>
      </c>
      <c r="AI41" s="47"/>
      <c r="AJ41" s="47"/>
      <c r="AK41" s="47"/>
      <c r="AL41" s="48"/>
      <c r="AM41" s="46">
        <f>IF(ISNUMBER(X41),X41,0)+IF(ISNUMBER(AC41),AC41,0)</f>
        <v>5337950</v>
      </c>
      <c r="AN41" s="47"/>
      <c r="AO41" s="47"/>
      <c r="AP41" s="47"/>
      <c r="AQ41" s="48"/>
      <c r="AR41" s="46">
        <v>5764986</v>
      </c>
      <c r="AS41" s="47"/>
      <c r="AT41" s="47"/>
      <c r="AU41" s="47"/>
      <c r="AV41" s="48"/>
      <c r="AW41" s="46" t="s">
        <v>173</v>
      </c>
      <c r="AX41" s="47"/>
      <c r="AY41" s="47"/>
      <c r="AZ41" s="47"/>
      <c r="BA41" s="48"/>
      <c r="BB41" s="46" t="s">
        <v>173</v>
      </c>
      <c r="BC41" s="47"/>
      <c r="BD41" s="47"/>
      <c r="BE41" s="47"/>
      <c r="BF41" s="48"/>
      <c r="BG41" s="49">
        <f>IF(ISNUMBER(AR41),AR41,0)+IF(ISNUMBER(AW41),AW41,0)</f>
        <v>5764986</v>
      </c>
      <c r="BH41" s="49"/>
      <c r="BI41" s="49"/>
      <c r="BJ41" s="49"/>
      <c r="BK41" s="49"/>
      <c r="CA41" s="4" t="s">
        <v>24</v>
      </c>
    </row>
    <row r="42" spans="1:79" s="4" customFormat="1" ht="25.5" customHeight="1" x14ac:dyDescent="0.2">
      <c r="A42" s="34"/>
      <c r="B42" s="35"/>
      <c r="C42" s="35"/>
      <c r="D42" s="51"/>
      <c r="E42" s="27" t="s">
        <v>174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9"/>
      <c r="X42" s="46" t="s">
        <v>173</v>
      </c>
      <c r="Y42" s="47"/>
      <c r="Z42" s="47"/>
      <c r="AA42" s="47"/>
      <c r="AB42" s="48"/>
      <c r="AC42" s="46">
        <v>0</v>
      </c>
      <c r="AD42" s="47"/>
      <c r="AE42" s="47"/>
      <c r="AF42" s="47"/>
      <c r="AG42" s="48"/>
      <c r="AH42" s="46">
        <v>0</v>
      </c>
      <c r="AI42" s="47"/>
      <c r="AJ42" s="47"/>
      <c r="AK42" s="47"/>
      <c r="AL42" s="48"/>
      <c r="AM42" s="46">
        <f>IF(ISNUMBER(X42),X42,0)+IF(ISNUMBER(AC42),AC42,0)</f>
        <v>0</v>
      </c>
      <c r="AN42" s="47"/>
      <c r="AO42" s="47"/>
      <c r="AP42" s="47"/>
      <c r="AQ42" s="48"/>
      <c r="AR42" s="46" t="s">
        <v>173</v>
      </c>
      <c r="AS42" s="47"/>
      <c r="AT42" s="47"/>
      <c r="AU42" s="47"/>
      <c r="AV42" s="48"/>
      <c r="AW42" s="46">
        <v>0</v>
      </c>
      <c r="AX42" s="47"/>
      <c r="AY42" s="47"/>
      <c r="AZ42" s="47"/>
      <c r="BA42" s="48"/>
      <c r="BB42" s="46">
        <v>0</v>
      </c>
      <c r="BC42" s="47"/>
      <c r="BD42" s="47"/>
      <c r="BE42" s="47"/>
      <c r="BF42" s="48"/>
      <c r="BG42" s="49">
        <f>IF(ISNUMBER(AR42),AR42,0)+IF(ISNUMBER(AW42),AW42,0)</f>
        <v>0</v>
      </c>
      <c r="BH42" s="49"/>
      <c r="BI42" s="49"/>
      <c r="BJ42" s="49"/>
      <c r="BK42" s="49"/>
    </row>
    <row r="43" spans="1:79" s="4" customFormat="1" ht="25.5" customHeight="1" x14ac:dyDescent="0.2">
      <c r="A43" s="34">
        <v>208400</v>
      </c>
      <c r="B43" s="35"/>
      <c r="C43" s="35"/>
      <c r="D43" s="51"/>
      <c r="E43" s="27" t="s">
        <v>175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9"/>
      <c r="X43" s="46" t="s">
        <v>173</v>
      </c>
      <c r="Y43" s="47"/>
      <c r="Z43" s="47"/>
      <c r="AA43" s="47"/>
      <c r="AB43" s="48"/>
      <c r="AC43" s="46">
        <v>0</v>
      </c>
      <c r="AD43" s="47"/>
      <c r="AE43" s="47"/>
      <c r="AF43" s="47"/>
      <c r="AG43" s="48"/>
      <c r="AH43" s="46">
        <v>0</v>
      </c>
      <c r="AI43" s="47"/>
      <c r="AJ43" s="47"/>
      <c r="AK43" s="47"/>
      <c r="AL43" s="48"/>
      <c r="AM43" s="46">
        <f>IF(ISNUMBER(X43),X43,0)+IF(ISNUMBER(AC43),AC43,0)</f>
        <v>0</v>
      </c>
      <c r="AN43" s="47"/>
      <c r="AO43" s="47"/>
      <c r="AP43" s="47"/>
      <c r="AQ43" s="48"/>
      <c r="AR43" s="46" t="s">
        <v>173</v>
      </c>
      <c r="AS43" s="47"/>
      <c r="AT43" s="47"/>
      <c r="AU43" s="47"/>
      <c r="AV43" s="48"/>
      <c r="AW43" s="46">
        <v>0</v>
      </c>
      <c r="AX43" s="47"/>
      <c r="AY43" s="47"/>
      <c r="AZ43" s="47"/>
      <c r="BA43" s="48"/>
      <c r="BB43" s="46">
        <v>0</v>
      </c>
      <c r="BC43" s="47"/>
      <c r="BD43" s="47"/>
      <c r="BE43" s="47"/>
      <c r="BF43" s="48"/>
      <c r="BG43" s="49">
        <f>IF(ISNUMBER(AR43),AR43,0)+IF(ISNUMBER(AW43),AW43,0)</f>
        <v>0</v>
      </c>
      <c r="BH43" s="49"/>
      <c r="BI43" s="49"/>
      <c r="BJ43" s="49"/>
      <c r="BK43" s="49"/>
    </row>
    <row r="44" spans="1:79" s="5" customFormat="1" ht="12.75" customHeight="1" x14ac:dyDescent="0.2">
      <c r="A44" s="36"/>
      <c r="B44" s="37"/>
      <c r="C44" s="37"/>
      <c r="D44" s="50"/>
      <c r="E44" s="23" t="s">
        <v>147</v>
      </c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5"/>
      <c r="X44" s="42">
        <v>5337950</v>
      </c>
      <c r="Y44" s="43"/>
      <c r="Z44" s="43"/>
      <c r="AA44" s="43"/>
      <c r="AB44" s="44"/>
      <c r="AC44" s="42">
        <v>0</v>
      </c>
      <c r="AD44" s="43"/>
      <c r="AE44" s="43"/>
      <c r="AF44" s="43"/>
      <c r="AG44" s="44"/>
      <c r="AH44" s="42">
        <v>0</v>
      </c>
      <c r="AI44" s="43"/>
      <c r="AJ44" s="43"/>
      <c r="AK44" s="43"/>
      <c r="AL44" s="44"/>
      <c r="AM44" s="42">
        <f>IF(ISNUMBER(X44),X44,0)+IF(ISNUMBER(AC44),AC44,0)</f>
        <v>5337950</v>
      </c>
      <c r="AN44" s="43"/>
      <c r="AO44" s="43"/>
      <c r="AP44" s="43"/>
      <c r="AQ44" s="44"/>
      <c r="AR44" s="42">
        <v>5764986</v>
      </c>
      <c r="AS44" s="43"/>
      <c r="AT44" s="43"/>
      <c r="AU44" s="43"/>
      <c r="AV44" s="44"/>
      <c r="AW44" s="42">
        <v>0</v>
      </c>
      <c r="AX44" s="43"/>
      <c r="AY44" s="43"/>
      <c r="AZ44" s="43"/>
      <c r="BA44" s="44"/>
      <c r="BB44" s="42">
        <v>0</v>
      </c>
      <c r="BC44" s="43"/>
      <c r="BD44" s="43"/>
      <c r="BE44" s="43"/>
      <c r="BF44" s="44"/>
      <c r="BG44" s="45">
        <f>IF(ISNUMBER(AR44),AR44,0)+IF(ISNUMBER(AW44),AW44,0)</f>
        <v>5764986</v>
      </c>
      <c r="BH44" s="45"/>
      <c r="BI44" s="45"/>
      <c r="BJ44" s="45"/>
      <c r="BK44" s="45"/>
    </row>
    <row r="46" spans="1:79" s="3" customFormat="1" ht="14.25" customHeight="1" x14ac:dyDescent="0.2">
      <c r="A46" s="62" t="s">
        <v>117</v>
      </c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R46" s="62"/>
      <c r="AS46" s="62"/>
      <c r="AT46" s="62"/>
      <c r="AU46" s="62"/>
      <c r="AV46" s="62"/>
      <c r="AW46" s="62"/>
      <c r="AX46" s="62"/>
      <c r="AY46" s="62"/>
      <c r="AZ46" s="62"/>
      <c r="BA46" s="62"/>
      <c r="BB46" s="62"/>
      <c r="BC46" s="62"/>
      <c r="BD46" s="62"/>
      <c r="BE46" s="62"/>
      <c r="BF46" s="62"/>
      <c r="BG46" s="62"/>
      <c r="BH46" s="62"/>
      <c r="BI46" s="62"/>
      <c r="BJ46" s="62"/>
      <c r="BK46" s="62"/>
      <c r="BL46" s="62"/>
      <c r="BM46" s="62"/>
      <c r="BN46" s="62"/>
      <c r="BO46" s="62"/>
      <c r="BP46" s="62"/>
      <c r="BQ46" s="62"/>
      <c r="BR46" s="62"/>
      <c r="BS46" s="62"/>
      <c r="BT46" s="62"/>
      <c r="BU46" s="62"/>
      <c r="BV46" s="62"/>
      <c r="BW46" s="62"/>
      <c r="BX46" s="62"/>
      <c r="BY46" s="62"/>
      <c r="BZ46" s="8"/>
    </row>
    <row r="47" spans="1:79" ht="14.25" customHeight="1" x14ac:dyDescent="0.2">
      <c r="A47" s="62" t="s">
        <v>260</v>
      </c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  <c r="AO47" s="62"/>
      <c r="AP47" s="62"/>
      <c r="AQ47" s="62"/>
      <c r="AR47" s="62"/>
      <c r="AS47" s="62"/>
      <c r="AT47" s="62"/>
      <c r="AU47" s="62"/>
      <c r="AV47" s="62"/>
      <c r="AW47" s="62"/>
      <c r="AX47" s="62"/>
      <c r="AY47" s="62"/>
      <c r="AZ47" s="62"/>
      <c r="BA47" s="62"/>
      <c r="BB47" s="62"/>
      <c r="BC47" s="62"/>
      <c r="BD47" s="62"/>
      <c r="BE47" s="62"/>
      <c r="BF47" s="62"/>
      <c r="BG47" s="62"/>
      <c r="BH47" s="62"/>
      <c r="BI47" s="62"/>
      <c r="BJ47" s="62"/>
      <c r="BK47" s="62"/>
      <c r="BL47" s="62"/>
      <c r="BM47" s="62"/>
      <c r="BN47" s="62"/>
      <c r="BO47" s="62"/>
      <c r="BP47" s="62"/>
      <c r="BQ47" s="62"/>
      <c r="BR47" s="62"/>
      <c r="BS47" s="62"/>
      <c r="BT47" s="62"/>
      <c r="BU47" s="62"/>
      <c r="BV47" s="62"/>
      <c r="BW47" s="62"/>
      <c r="BX47" s="62"/>
      <c r="BY47" s="62"/>
    </row>
    <row r="48" spans="1:79" ht="15" customHeight="1" x14ac:dyDescent="0.2">
      <c r="A48" s="67" t="s">
        <v>247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67"/>
      <c r="AL48" s="67"/>
      <c r="AM48" s="67"/>
      <c r="AN48" s="67"/>
      <c r="AO48" s="67"/>
      <c r="AP48" s="67"/>
      <c r="AQ48" s="67"/>
      <c r="AR48" s="67"/>
      <c r="AS48" s="67"/>
      <c r="AT48" s="67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  <c r="BM48" s="67"/>
      <c r="BN48" s="67"/>
      <c r="BO48" s="67"/>
      <c r="BP48" s="67"/>
      <c r="BQ48" s="67"/>
      <c r="BR48" s="67"/>
      <c r="BS48" s="67"/>
      <c r="BT48" s="67"/>
      <c r="BU48" s="67"/>
      <c r="BV48" s="67"/>
      <c r="BW48" s="67"/>
      <c r="BX48" s="67"/>
      <c r="BY48" s="67"/>
    </row>
    <row r="49" spans="1:79" ht="23.1" customHeight="1" x14ac:dyDescent="0.2">
      <c r="A49" s="103" t="s">
        <v>118</v>
      </c>
      <c r="B49" s="104"/>
      <c r="C49" s="104"/>
      <c r="D49" s="105"/>
      <c r="E49" s="39" t="s">
        <v>19</v>
      </c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74" t="s">
        <v>248</v>
      </c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6"/>
      <c r="AN49" s="74" t="s">
        <v>251</v>
      </c>
      <c r="AO49" s="75"/>
      <c r="AP49" s="75"/>
      <c r="AQ49" s="75"/>
      <c r="AR49" s="75"/>
      <c r="AS49" s="75"/>
      <c r="AT49" s="75"/>
      <c r="AU49" s="75"/>
      <c r="AV49" s="75"/>
      <c r="AW49" s="75"/>
      <c r="AX49" s="75"/>
      <c r="AY49" s="75"/>
      <c r="AZ49" s="75"/>
      <c r="BA49" s="75"/>
      <c r="BB49" s="75"/>
      <c r="BC49" s="75"/>
      <c r="BD49" s="75"/>
      <c r="BE49" s="75"/>
      <c r="BF49" s="76"/>
      <c r="BG49" s="74" t="s">
        <v>259</v>
      </c>
      <c r="BH49" s="75"/>
      <c r="BI49" s="75"/>
      <c r="BJ49" s="75"/>
      <c r="BK49" s="75"/>
      <c r="BL49" s="75"/>
      <c r="BM49" s="75"/>
      <c r="BN49" s="75"/>
      <c r="BO49" s="75"/>
      <c r="BP49" s="75"/>
      <c r="BQ49" s="75"/>
      <c r="BR49" s="75"/>
      <c r="BS49" s="75"/>
      <c r="BT49" s="75"/>
      <c r="BU49" s="75"/>
      <c r="BV49" s="75"/>
      <c r="BW49" s="75"/>
      <c r="BX49" s="75"/>
      <c r="BY49" s="76"/>
    </row>
    <row r="50" spans="1:79" ht="48.75" customHeight="1" x14ac:dyDescent="0.2">
      <c r="A50" s="106"/>
      <c r="B50" s="107"/>
      <c r="C50" s="107"/>
      <c r="D50" s="108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74" t="s">
        <v>4</v>
      </c>
      <c r="V50" s="75"/>
      <c r="W50" s="75"/>
      <c r="X50" s="75"/>
      <c r="Y50" s="76"/>
      <c r="Z50" s="74" t="s">
        <v>3</v>
      </c>
      <c r="AA50" s="75"/>
      <c r="AB50" s="75"/>
      <c r="AC50" s="75"/>
      <c r="AD50" s="76"/>
      <c r="AE50" s="97" t="s">
        <v>116</v>
      </c>
      <c r="AF50" s="98"/>
      <c r="AG50" s="98"/>
      <c r="AH50" s="99"/>
      <c r="AI50" s="74" t="s">
        <v>5</v>
      </c>
      <c r="AJ50" s="75"/>
      <c r="AK50" s="75"/>
      <c r="AL50" s="75"/>
      <c r="AM50" s="76"/>
      <c r="AN50" s="74" t="s">
        <v>4</v>
      </c>
      <c r="AO50" s="75"/>
      <c r="AP50" s="75"/>
      <c r="AQ50" s="75"/>
      <c r="AR50" s="76"/>
      <c r="AS50" s="74" t="s">
        <v>3</v>
      </c>
      <c r="AT50" s="75"/>
      <c r="AU50" s="75"/>
      <c r="AV50" s="75"/>
      <c r="AW50" s="76"/>
      <c r="AX50" s="97" t="s">
        <v>116</v>
      </c>
      <c r="AY50" s="98"/>
      <c r="AZ50" s="98"/>
      <c r="BA50" s="99"/>
      <c r="BB50" s="74" t="s">
        <v>96</v>
      </c>
      <c r="BC50" s="75"/>
      <c r="BD50" s="75"/>
      <c r="BE50" s="75"/>
      <c r="BF50" s="76"/>
      <c r="BG50" s="74" t="s">
        <v>4</v>
      </c>
      <c r="BH50" s="75"/>
      <c r="BI50" s="75"/>
      <c r="BJ50" s="75"/>
      <c r="BK50" s="76"/>
      <c r="BL50" s="74" t="s">
        <v>3</v>
      </c>
      <c r="BM50" s="75"/>
      <c r="BN50" s="75"/>
      <c r="BO50" s="75"/>
      <c r="BP50" s="76"/>
      <c r="BQ50" s="97" t="s">
        <v>116</v>
      </c>
      <c r="BR50" s="98"/>
      <c r="BS50" s="98"/>
      <c r="BT50" s="99"/>
      <c r="BU50" s="74" t="s">
        <v>97</v>
      </c>
      <c r="BV50" s="75"/>
      <c r="BW50" s="75"/>
      <c r="BX50" s="75"/>
      <c r="BY50" s="76"/>
    </row>
    <row r="51" spans="1:79" ht="15" customHeight="1" x14ac:dyDescent="0.2">
      <c r="A51" s="74">
        <v>1</v>
      </c>
      <c r="B51" s="75"/>
      <c r="C51" s="75"/>
      <c r="D51" s="76"/>
      <c r="E51" s="74">
        <v>2</v>
      </c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6"/>
      <c r="U51" s="74">
        <v>3</v>
      </c>
      <c r="V51" s="75"/>
      <c r="W51" s="75"/>
      <c r="X51" s="75"/>
      <c r="Y51" s="76"/>
      <c r="Z51" s="74">
        <v>4</v>
      </c>
      <c r="AA51" s="75"/>
      <c r="AB51" s="75"/>
      <c r="AC51" s="75"/>
      <c r="AD51" s="76"/>
      <c r="AE51" s="74">
        <v>5</v>
      </c>
      <c r="AF51" s="75"/>
      <c r="AG51" s="75"/>
      <c r="AH51" s="76"/>
      <c r="AI51" s="74">
        <v>6</v>
      </c>
      <c r="AJ51" s="75"/>
      <c r="AK51" s="75"/>
      <c r="AL51" s="75"/>
      <c r="AM51" s="76"/>
      <c r="AN51" s="74">
        <v>7</v>
      </c>
      <c r="AO51" s="75"/>
      <c r="AP51" s="75"/>
      <c r="AQ51" s="75"/>
      <c r="AR51" s="76"/>
      <c r="AS51" s="74">
        <v>8</v>
      </c>
      <c r="AT51" s="75"/>
      <c r="AU51" s="75"/>
      <c r="AV51" s="75"/>
      <c r="AW51" s="76"/>
      <c r="AX51" s="74">
        <v>9</v>
      </c>
      <c r="AY51" s="75"/>
      <c r="AZ51" s="75"/>
      <c r="BA51" s="76"/>
      <c r="BB51" s="74">
        <v>10</v>
      </c>
      <c r="BC51" s="75"/>
      <c r="BD51" s="75"/>
      <c r="BE51" s="75"/>
      <c r="BF51" s="76"/>
      <c r="BG51" s="74">
        <v>11</v>
      </c>
      <c r="BH51" s="75"/>
      <c r="BI51" s="75"/>
      <c r="BJ51" s="75"/>
      <c r="BK51" s="76"/>
      <c r="BL51" s="74">
        <v>12</v>
      </c>
      <c r="BM51" s="75"/>
      <c r="BN51" s="75"/>
      <c r="BO51" s="75"/>
      <c r="BP51" s="76"/>
      <c r="BQ51" s="74">
        <v>13</v>
      </c>
      <c r="BR51" s="75"/>
      <c r="BS51" s="75"/>
      <c r="BT51" s="76"/>
      <c r="BU51" s="74">
        <v>14</v>
      </c>
      <c r="BV51" s="75"/>
      <c r="BW51" s="75"/>
      <c r="BX51" s="75"/>
      <c r="BY51" s="76"/>
    </row>
    <row r="52" spans="1:79" s="1" customFormat="1" ht="12.75" hidden="1" customHeight="1" x14ac:dyDescent="0.2">
      <c r="A52" s="88" t="s">
        <v>64</v>
      </c>
      <c r="B52" s="89"/>
      <c r="C52" s="89"/>
      <c r="D52" s="90"/>
      <c r="E52" s="88" t="s">
        <v>57</v>
      </c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90"/>
      <c r="U52" s="88" t="s">
        <v>65</v>
      </c>
      <c r="V52" s="89"/>
      <c r="W52" s="89"/>
      <c r="X52" s="89"/>
      <c r="Y52" s="90"/>
      <c r="Z52" s="88" t="s">
        <v>66</v>
      </c>
      <c r="AA52" s="89"/>
      <c r="AB52" s="89"/>
      <c r="AC52" s="89"/>
      <c r="AD52" s="90"/>
      <c r="AE52" s="88" t="s">
        <v>91</v>
      </c>
      <c r="AF52" s="89"/>
      <c r="AG52" s="89"/>
      <c r="AH52" s="90"/>
      <c r="AI52" s="94" t="s">
        <v>169</v>
      </c>
      <c r="AJ52" s="95"/>
      <c r="AK52" s="95"/>
      <c r="AL52" s="95"/>
      <c r="AM52" s="96"/>
      <c r="AN52" s="88" t="s">
        <v>67</v>
      </c>
      <c r="AO52" s="89"/>
      <c r="AP52" s="89"/>
      <c r="AQ52" s="89"/>
      <c r="AR52" s="90"/>
      <c r="AS52" s="88" t="s">
        <v>68</v>
      </c>
      <c r="AT52" s="89"/>
      <c r="AU52" s="89"/>
      <c r="AV52" s="89"/>
      <c r="AW52" s="90"/>
      <c r="AX52" s="88" t="s">
        <v>92</v>
      </c>
      <c r="AY52" s="89"/>
      <c r="AZ52" s="89"/>
      <c r="BA52" s="90"/>
      <c r="BB52" s="94" t="s">
        <v>169</v>
      </c>
      <c r="BC52" s="95"/>
      <c r="BD52" s="95"/>
      <c r="BE52" s="95"/>
      <c r="BF52" s="96"/>
      <c r="BG52" s="88" t="s">
        <v>58</v>
      </c>
      <c r="BH52" s="89"/>
      <c r="BI52" s="89"/>
      <c r="BJ52" s="89"/>
      <c r="BK52" s="90"/>
      <c r="BL52" s="88" t="s">
        <v>59</v>
      </c>
      <c r="BM52" s="89"/>
      <c r="BN52" s="89"/>
      <c r="BO52" s="89"/>
      <c r="BP52" s="90"/>
      <c r="BQ52" s="88" t="s">
        <v>93</v>
      </c>
      <c r="BR52" s="89"/>
      <c r="BS52" s="89"/>
      <c r="BT52" s="90"/>
      <c r="BU52" s="94" t="s">
        <v>169</v>
      </c>
      <c r="BV52" s="95"/>
      <c r="BW52" s="95"/>
      <c r="BX52" s="95"/>
      <c r="BY52" s="96"/>
      <c r="CA52" t="s">
        <v>25</v>
      </c>
    </row>
    <row r="53" spans="1:79" s="4" customFormat="1" ht="25.5" customHeight="1" x14ac:dyDescent="0.2">
      <c r="A53" s="34">
        <v>2610</v>
      </c>
      <c r="B53" s="35"/>
      <c r="C53" s="35"/>
      <c r="D53" s="51"/>
      <c r="E53" s="27" t="s">
        <v>176</v>
      </c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9"/>
      <c r="U53" s="46">
        <v>3249017</v>
      </c>
      <c r="V53" s="47"/>
      <c r="W53" s="47"/>
      <c r="X53" s="47"/>
      <c r="Y53" s="48"/>
      <c r="Z53" s="46">
        <v>0</v>
      </c>
      <c r="AA53" s="47"/>
      <c r="AB53" s="47"/>
      <c r="AC53" s="47"/>
      <c r="AD53" s="48"/>
      <c r="AE53" s="46">
        <v>0</v>
      </c>
      <c r="AF53" s="47"/>
      <c r="AG53" s="47"/>
      <c r="AH53" s="48"/>
      <c r="AI53" s="46">
        <f>IF(ISNUMBER(U53),U53,0)+IF(ISNUMBER(Z53),Z53,0)</f>
        <v>3249017</v>
      </c>
      <c r="AJ53" s="47"/>
      <c r="AK53" s="47"/>
      <c r="AL53" s="47"/>
      <c r="AM53" s="48"/>
      <c r="AN53" s="46">
        <v>4127990</v>
      </c>
      <c r="AO53" s="47"/>
      <c r="AP53" s="47"/>
      <c r="AQ53" s="47"/>
      <c r="AR53" s="48"/>
      <c r="AS53" s="46">
        <v>0</v>
      </c>
      <c r="AT53" s="47"/>
      <c r="AU53" s="47"/>
      <c r="AV53" s="47"/>
      <c r="AW53" s="48"/>
      <c r="AX53" s="46">
        <v>0</v>
      </c>
      <c r="AY53" s="47"/>
      <c r="AZ53" s="47"/>
      <c r="BA53" s="48"/>
      <c r="BB53" s="46">
        <f>IF(ISNUMBER(AN53),AN53,0)+IF(ISNUMBER(AS53),AS53,0)</f>
        <v>4127990</v>
      </c>
      <c r="BC53" s="47"/>
      <c r="BD53" s="47"/>
      <c r="BE53" s="47"/>
      <c r="BF53" s="48"/>
      <c r="BG53" s="46">
        <v>4857097</v>
      </c>
      <c r="BH53" s="47"/>
      <c r="BI53" s="47"/>
      <c r="BJ53" s="47"/>
      <c r="BK53" s="48"/>
      <c r="BL53" s="46">
        <v>0</v>
      </c>
      <c r="BM53" s="47"/>
      <c r="BN53" s="47"/>
      <c r="BO53" s="47"/>
      <c r="BP53" s="48"/>
      <c r="BQ53" s="46">
        <v>0</v>
      </c>
      <c r="BR53" s="47"/>
      <c r="BS53" s="47"/>
      <c r="BT53" s="48"/>
      <c r="BU53" s="46">
        <f>IF(ISNUMBER(BG53),BG53,0)+IF(ISNUMBER(BL53),BL53,0)</f>
        <v>4857097</v>
      </c>
      <c r="BV53" s="47"/>
      <c r="BW53" s="47"/>
      <c r="BX53" s="47"/>
      <c r="BY53" s="48"/>
      <c r="CA53" s="4" t="s">
        <v>26</v>
      </c>
    </row>
    <row r="54" spans="1:79" s="4" customFormat="1" ht="25.5" customHeight="1" x14ac:dyDescent="0.2">
      <c r="A54" s="34">
        <v>3210</v>
      </c>
      <c r="B54" s="35"/>
      <c r="C54" s="35"/>
      <c r="D54" s="51"/>
      <c r="E54" s="27" t="s">
        <v>177</v>
      </c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9"/>
      <c r="U54" s="46">
        <v>0</v>
      </c>
      <c r="V54" s="47"/>
      <c r="W54" s="47"/>
      <c r="X54" s="47"/>
      <c r="Y54" s="48"/>
      <c r="Z54" s="46">
        <v>23596</v>
      </c>
      <c r="AA54" s="47"/>
      <c r="AB54" s="47"/>
      <c r="AC54" s="47"/>
      <c r="AD54" s="48"/>
      <c r="AE54" s="46">
        <v>23596</v>
      </c>
      <c r="AF54" s="47"/>
      <c r="AG54" s="47"/>
      <c r="AH54" s="48"/>
      <c r="AI54" s="46">
        <f>IF(ISNUMBER(U54),U54,0)+IF(ISNUMBER(Z54),Z54,0)</f>
        <v>23596</v>
      </c>
      <c r="AJ54" s="47"/>
      <c r="AK54" s="47"/>
      <c r="AL54" s="47"/>
      <c r="AM54" s="48"/>
      <c r="AN54" s="46">
        <v>0</v>
      </c>
      <c r="AO54" s="47"/>
      <c r="AP54" s="47"/>
      <c r="AQ54" s="47"/>
      <c r="AR54" s="48"/>
      <c r="AS54" s="46">
        <v>0</v>
      </c>
      <c r="AT54" s="47"/>
      <c r="AU54" s="47"/>
      <c r="AV54" s="47"/>
      <c r="AW54" s="48"/>
      <c r="AX54" s="46">
        <v>0</v>
      </c>
      <c r="AY54" s="47"/>
      <c r="AZ54" s="47"/>
      <c r="BA54" s="48"/>
      <c r="BB54" s="46">
        <f>IF(ISNUMBER(AN54),AN54,0)+IF(ISNUMBER(AS54),AS54,0)</f>
        <v>0</v>
      </c>
      <c r="BC54" s="47"/>
      <c r="BD54" s="47"/>
      <c r="BE54" s="47"/>
      <c r="BF54" s="48"/>
      <c r="BG54" s="46">
        <v>0</v>
      </c>
      <c r="BH54" s="47"/>
      <c r="BI54" s="47"/>
      <c r="BJ54" s="47"/>
      <c r="BK54" s="48"/>
      <c r="BL54" s="46">
        <v>0</v>
      </c>
      <c r="BM54" s="47"/>
      <c r="BN54" s="47"/>
      <c r="BO54" s="47"/>
      <c r="BP54" s="48"/>
      <c r="BQ54" s="46">
        <v>0</v>
      </c>
      <c r="BR54" s="47"/>
      <c r="BS54" s="47"/>
      <c r="BT54" s="48"/>
      <c r="BU54" s="46">
        <f>IF(ISNUMBER(BG54),BG54,0)+IF(ISNUMBER(BL54),BL54,0)</f>
        <v>0</v>
      </c>
      <c r="BV54" s="47"/>
      <c r="BW54" s="47"/>
      <c r="BX54" s="47"/>
      <c r="BY54" s="48"/>
    </row>
    <row r="55" spans="1:79" s="5" customFormat="1" ht="12.75" customHeight="1" x14ac:dyDescent="0.2">
      <c r="A55" s="36"/>
      <c r="B55" s="37"/>
      <c r="C55" s="37"/>
      <c r="D55" s="50"/>
      <c r="E55" s="23" t="s">
        <v>147</v>
      </c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5"/>
      <c r="U55" s="42">
        <v>3249017</v>
      </c>
      <c r="V55" s="43"/>
      <c r="W55" s="43"/>
      <c r="X55" s="43"/>
      <c r="Y55" s="44"/>
      <c r="Z55" s="42">
        <v>23596</v>
      </c>
      <c r="AA55" s="43"/>
      <c r="AB55" s="43"/>
      <c r="AC55" s="43"/>
      <c r="AD55" s="44"/>
      <c r="AE55" s="42">
        <v>23596</v>
      </c>
      <c r="AF55" s="43"/>
      <c r="AG55" s="43"/>
      <c r="AH55" s="44"/>
      <c r="AI55" s="42">
        <f>IF(ISNUMBER(U55),U55,0)+IF(ISNUMBER(Z55),Z55,0)</f>
        <v>3272613</v>
      </c>
      <c r="AJ55" s="43"/>
      <c r="AK55" s="43"/>
      <c r="AL55" s="43"/>
      <c r="AM55" s="44"/>
      <c r="AN55" s="42">
        <v>4127990</v>
      </c>
      <c r="AO55" s="43"/>
      <c r="AP55" s="43"/>
      <c r="AQ55" s="43"/>
      <c r="AR55" s="44"/>
      <c r="AS55" s="42">
        <v>0</v>
      </c>
      <c r="AT55" s="43"/>
      <c r="AU55" s="43"/>
      <c r="AV55" s="43"/>
      <c r="AW55" s="44"/>
      <c r="AX55" s="42">
        <v>0</v>
      </c>
      <c r="AY55" s="43"/>
      <c r="AZ55" s="43"/>
      <c r="BA55" s="44"/>
      <c r="BB55" s="42">
        <f>IF(ISNUMBER(AN55),AN55,0)+IF(ISNUMBER(AS55),AS55,0)</f>
        <v>4127990</v>
      </c>
      <c r="BC55" s="43"/>
      <c r="BD55" s="43"/>
      <c r="BE55" s="43"/>
      <c r="BF55" s="44"/>
      <c r="BG55" s="42">
        <v>4857097</v>
      </c>
      <c r="BH55" s="43"/>
      <c r="BI55" s="43"/>
      <c r="BJ55" s="43"/>
      <c r="BK55" s="44"/>
      <c r="BL55" s="42">
        <v>0</v>
      </c>
      <c r="BM55" s="43"/>
      <c r="BN55" s="43"/>
      <c r="BO55" s="43"/>
      <c r="BP55" s="44"/>
      <c r="BQ55" s="42">
        <v>0</v>
      </c>
      <c r="BR55" s="43"/>
      <c r="BS55" s="43"/>
      <c r="BT55" s="44"/>
      <c r="BU55" s="42">
        <f>IF(ISNUMBER(BG55),BG55,0)+IF(ISNUMBER(BL55),BL55,0)</f>
        <v>4857097</v>
      </c>
      <c r="BV55" s="43"/>
      <c r="BW55" s="43"/>
      <c r="BX55" s="43"/>
      <c r="BY55" s="44"/>
    </row>
    <row r="57" spans="1:79" ht="14.25" customHeight="1" x14ac:dyDescent="0.2">
      <c r="A57" s="62" t="s">
        <v>261</v>
      </c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</row>
    <row r="58" spans="1:79" ht="15" customHeight="1" x14ac:dyDescent="0.2">
      <c r="A58" s="77" t="s">
        <v>247</v>
      </c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7"/>
      <c r="AL58" s="77"/>
      <c r="AM58" s="77"/>
      <c r="AN58" s="77"/>
      <c r="AO58" s="77"/>
      <c r="AP58" s="77"/>
      <c r="AQ58" s="77"/>
      <c r="AR58" s="77"/>
      <c r="AS58" s="77"/>
      <c r="AT58" s="77"/>
      <c r="AU58" s="77"/>
      <c r="AV58" s="77"/>
      <c r="AW58" s="77"/>
      <c r="AX58" s="77"/>
      <c r="AY58" s="77"/>
      <c r="AZ58" s="77"/>
      <c r="BA58" s="77"/>
      <c r="BB58" s="77"/>
      <c r="BC58" s="77"/>
      <c r="BD58" s="77"/>
      <c r="BE58" s="77"/>
      <c r="BF58" s="77"/>
      <c r="BG58" s="77"/>
      <c r="BH58" s="77"/>
      <c r="BI58" s="77"/>
      <c r="BJ58" s="77"/>
      <c r="BK58" s="77"/>
      <c r="BL58" s="77"/>
      <c r="BM58" s="77"/>
      <c r="BN58" s="77"/>
      <c r="BO58" s="77"/>
      <c r="BP58" s="77"/>
      <c r="BQ58" s="77"/>
      <c r="BR58" s="77"/>
      <c r="BS58" s="77"/>
      <c r="BT58" s="77"/>
      <c r="BU58" s="77"/>
      <c r="BV58" s="77"/>
      <c r="BW58" s="77"/>
      <c r="BX58" s="77"/>
      <c r="BY58" s="77"/>
    </row>
    <row r="59" spans="1:79" ht="23.1" customHeight="1" x14ac:dyDescent="0.2">
      <c r="A59" s="103" t="s">
        <v>119</v>
      </c>
      <c r="B59" s="104"/>
      <c r="C59" s="104"/>
      <c r="D59" s="104"/>
      <c r="E59" s="105"/>
      <c r="F59" s="39" t="s">
        <v>19</v>
      </c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74" t="s">
        <v>248</v>
      </c>
      <c r="V59" s="75"/>
      <c r="W59" s="75"/>
      <c r="X59" s="75"/>
      <c r="Y59" s="75"/>
      <c r="Z59" s="75"/>
      <c r="AA59" s="75"/>
      <c r="AB59" s="75"/>
      <c r="AC59" s="75"/>
      <c r="AD59" s="75"/>
      <c r="AE59" s="75"/>
      <c r="AF59" s="75"/>
      <c r="AG59" s="75"/>
      <c r="AH59" s="75"/>
      <c r="AI59" s="75"/>
      <c r="AJ59" s="75"/>
      <c r="AK59" s="75"/>
      <c r="AL59" s="75"/>
      <c r="AM59" s="76"/>
      <c r="AN59" s="74" t="s">
        <v>251</v>
      </c>
      <c r="AO59" s="75"/>
      <c r="AP59" s="75"/>
      <c r="AQ59" s="75"/>
      <c r="AR59" s="75"/>
      <c r="AS59" s="75"/>
      <c r="AT59" s="75"/>
      <c r="AU59" s="75"/>
      <c r="AV59" s="75"/>
      <c r="AW59" s="75"/>
      <c r="AX59" s="75"/>
      <c r="AY59" s="75"/>
      <c r="AZ59" s="75"/>
      <c r="BA59" s="75"/>
      <c r="BB59" s="75"/>
      <c r="BC59" s="75"/>
      <c r="BD59" s="75"/>
      <c r="BE59" s="75"/>
      <c r="BF59" s="76"/>
      <c r="BG59" s="74" t="s">
        <v>259</v>
      </c>
      <c r="BH59" s="75"/>
      <c r="BI59" s="75"/>
      <c r="BJ59" s="75"/>
      <c r="BK59" s="75"/>
      <c r="BL59" s="75"/>
      <c r="BM59" s="75"/>
      <c r="BN59" s="75"/>
      <c r="BO59" s="75"/>
      <c r="BP59" s="75"/>
      <c r="BQ59" s="75"/>
      <c r="BR59" s="75"/>
      <c r="BS59" s="75"/>
      <c r="BT59" s="75"/>
      <c r="BU59" s="75"/>
      <c r="BV59" s="75"/>
      <c r="BW59" s="75"/>
      <c r="BX59" s="75"/>
      <c r="BY59" s="76"/>
    </row>
    <row r="60" spans="1:79" ht="51.75" customHeight="1" x14ac:dyDescent="0.2">
      <c r="A60" s="106"/>
      <c r="B60" s="107"/>
      <c r="C60" s="107"/>
      <c r="D60" s="107"/>
      <c r="E60" s="108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74" t="s">
        <v>4</v>
      </c>
      <c r="V60" s="75"/>
      <c r="W60" s="75"/>
      <c r="X60" s="75"/>
      <c r="Y60" s="76"/>
      <c r="Z60" s="74" t="s">
        <v>3</v>
      </c>
      <c r="AA60" s="75"/>
      <c r="AB60" s="75"/>
      <c r="AC60" s="75"/>
      <c r="AD60" s="76"/>
      <c r="AE60" s="97" t="s">
        <v>116</v>
      </c>
      <c r="AF60" s="98"/>
      <c r="AG60" s="98"/>
      <c r="AH60" s="99"/>
      <c r="AI60" s="74" t="s">
        <v>5</v>
      </c>
      <c r="AJ60" s="75"/>
      <c r="AK60" s="75"/>
      <c r="AL60" s="75"/>
      <c r="AM60" s="76"/>
      <c r="AN60" s="74" t="s">
        <v>4</v>
      </c>
      <c r="AO60" s="75"/>
      <c r="AP60" s="75"/>
      <c r="AQ60" s="75"/>
      <c r="AR60" s="76"/>
      <c r="AS60" s="74" t="s">
        <v>3</v>
      </c>
      <c r="AT60" s="75"/>
      <c r="AU60" s="75"/>
      <c r="AV60" s="75"/>
      <c r="AW60" s="76"/>
      <c r="AX60" s="97" t="s">
        <v>116</v>
      </c>
      <c r="AY60" s="98"/>
      <c r="AZ60" s="98"/>
      <c r="BA60" s="99"/>
      <c r="BB60" s="74" t="s">
        <v>96</v>
      </c>
      <c r="BC60" s="75"/>
      <c r="BD60" s="75"/>
      <c r="BE60" s="75"/>
      <c r="BF60" s="76"/>
      <c r="BG60" s="74" t="s">
        <v>4</v>
      </c>
      <c r="BH60" s="75"/>
      <c r="BI60" s="75"/>
      <c r="BJ60" s="75"/>
      <c r="BK60" s="76"/>
      <c r="BL60" s="74" t="s">
        <v>3</v>
      </c>
      <c r="BM60" s="75"/>
      <c r="BN60" s="75"/>
      <c r="BO60" s="75"/>
      <c r="BP60" s="76"/>
      <c r="BQ60" s="97" t="s">
        <v>116</v>
      </c>
      <c r="BR60" s="98"/>
      <c r="BS60" s="98"/>
      <c r="BT60" s="99"/>
      <c r="BU60" s="39" t="s">
        <v>97</v>
      </c>
      <c r="BV60" s="39"/>
      <c r="BW60" s="39"/>
      <c r="BX60" s="39"/>
      <c r="BY60" s="39"/>
    </row>
    <row r="61" spans="1:79" ht="15" customHeight="1" x14ac:dyDescent="0.2">
      <c r="A61" s="74">
        <v>1</v>
      </c>
      <c r="B61" s="75"/>
      <c r="C61" s="75"/>
      <c r="D61" s="75"/>
      <c r="E61" s="76"/>
      <c r="F61" s="74">
        <v>2</v>
      </c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6"/>
      <c r="U61" s="74">
        <v>3</v>
      </c>
      <c r="V61" s="75"/>
      <c r="W61" s="75"/>
      <c r="X61" s="75"/>
      <c r="Y61" s="76"/>
      <c r="Z61" s="74">
        <v>4</v>
      </c>
      <c r="AA61" s="75"/>
      <c r="AB61" s="75"/>
      <c r="AC61" s="75"/>
      <c r="AD61" s="76"/>
      <c r="AE61" s="74">
        <v>5</v>
      </c>
      <c r="AF61" s="75"/>
      <c r="AG61" s="75"/>
      <c r="AH61" s="76"/>
      <c r="AI61" s="74">
        <v>6</v>
      </c>
      <c r="AJ61" s="75"/>
      <c r="AK61" s="75"/>
      <c r="AL61" s="75"/>
      <c r="AM61" s="76"/>
      <c r="AN61" s="74">
        <v>7</v>
      </c>
      <c r="AO61" s="75"/>
      <c r="AP61" s="75"/>
      <c r="AQ61" s="75"/>
      <c r="AR61" s="76"/>
      <c r="AS61" s="74">
        <v>8</v>
      </c>
      <c r="AT61" s="75"/>
      <c r="AU61" s="75"/>
      <c r="AV61" s="75"/>
      <c r="AW61" s="76"/>
      <c r="AX61" s="74">
        <v>9</v>
      </c>
      <c r="AY61" s="75"/>
      <c r="AZ61" s="75"/>
      <c r="BA61" s="76"/>
      <c r="BB61" s="74">
        <v>10</v>
      </c>
      <c r="BC61" s="75"/>
      <c r="BD61" s="75"/>
      <c r="BE61" s="75"/>
      <c r="BF61" s="76"/>
      <c r="BG61" s="74">
        <v>11</v>
      </c>
      <c r="BH61" s="75"/>
      <c r="BI61" s="75"/>
      <c r="BJ61" s="75"/>
      <c r="BK61" s="76"/>
      <c r="BL61" s="74">
        <v>12</v>
      </c>
      <c r="BM61" s="75"/>
      <c r="BN61" s="75"/>
      <c r="BO61" s="75"/>
      <c r="BP61" s="76"/>
      <c r="BQ61" s="74">
        <v>13</v>
      </c>
      <c r="BR61" s="75"/>
      <c r="BS61" s="75"/>
      <c r="BT61" s="76"/>
      <c r="BU61" s="39">
        <v>14</v>
      </c>
      <c r="BV61" s="39"/>
      <c r="BW61" s="39"/>
      <c r="BX61" s="39"/>
      <c r="BY61" s="39"/>
    </row>
    <row r="62" spans="1:79" s="1" customFormat="1" ht="13.5" hidden="1" customHeight="1" x14ac:dyDescent="0.2">
      <c r="A62" s="88" t="s">
        <v>64</v>
      </c>
      <c r="B62" s="89"/>
      <c r="C62" s="89"/>
      <c r="D62" s="89"/>
      <c r="E62" s="90"/>
      <c r="F62" s="88" t="s">
        <v>57</v>
      </c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90"/>
      <c r="U62" s="88" t="s">
        <v>65</v>
      </c>
      <c r="V62" s="89"/>
      <c r="W62" s="89"/>
      <c r="X62" s="89"/>
      <c r="Y62" s="90"/>
      <c r="Z62" s="88" t="s">
        <v>66</v>
      </c>
      <c r="AA62" s="89"/>
      <c r="AB62" s="89"/>
      <c r="AC62" s="89"/>
      <c r="AD62" s="90"/>
      <c r="AE62" s="88" t="s">
        <v>91</v>
      </c>
      <c r="AF62" s="89"/>
      <c r="AG62" s="89"/>
      <c r="AH62" s="90"/>
      <c r="AI62" s="94" t="s">
        <v>169</v>
      </c>
      <c r="AJ62" s="95"/>
      <c r="AK62" s="95"/>
      <c r="AL62" s="95"/>
      <c r="AM62" s="96"/>
      <c r="AN62" s="88" t="s">
        <v>67</v>
      </c>
      <c r="AO62" s="89"/>
      <c r="AP62" s="89"/>
      <c r="AQ62" s="89"/>
      <c r="AR62" s="90"/>
      <c r="AS62" s="88" t="s">
        <v>68</v>
      </c>
      <c r="AT62" s="89"/>
      <c r="AU62" s="89"/>
      <c r="AV62" s="89"/>
      <c r="AW62" s="90"/>
      <c r="AX62" s="88" t="s">
        <v>92</v>
      </c>
      <c r="AY62" s="89"/>
      <c r="AZ62" s="89"/>
      <c r="BA62" s="90"/>
      <c r="BB62" s="94" t="s">
        <v>169</v>
      </c>
      <c r="BC62" s="95"/>
      <c r="BD62" s="95"/>
      <c r="BE62" s="95"/>
      <c r="BF62" s="96"/>
      <c r="BG62" s="88" t="s">
        <v>58</v>
      </c>
      <c r="BH62" s="89"/>
      <c r="BI62" s="89"/>
      <c r="BJ62" s="89"/>
      <c r="BK62" s="90"/>
      <c r="BL62" s="88" t="s">
        <v>59</v>
      </c>
      <c r="BM62" s="89"/>
      <c r="BN62" s="89"/>
      <c r="BO62" s="89"/>
      <c r="BP62" s="90"/>
      <c r="BQ62" s="88" t="s">
        <v>93</v>
      </c>
      <c r="BR62" s="89"/>
      <c r="BS62" s="89"/>
      <c r="BT62" s="90"/>
      <c r="BU62" s="84" t="s">
        <v>169</v>
      </c>
      <c r="BV62" s="84"/>
      <c r="BW62" s="84"/>
      <c r="BX62" s="84"/>
      <c r="BY62" s="84"/>
      <c r="CA62" t="s">
        <v>27</v>
      </c>
    </row>
    <row r="63" spans="1:79" s="5" customFormat="1" ht="12.75" customHeight="1" x14ac:dyDescent="0.2">
      <c r="A63" s="36"/>
      <c r="B63" s="37"/>
      <c r="C63" s="37"/>
      <c r="D63" s="37"/>
      <c r="E63" s="50"/>
      <c r="F63" s="36" t="s">
        <v>147</v>
      </c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50"/>
      <c r="U63" s="42"/>
      <c r="V63" s="43"/>
      <c r="W63" s="43"/>
      <c r="X63" s="43"/>
      <c r="Y63" s="44"/>
      <c r="Z63" s="42"/>
      <c r="AA63" s="43"/>
      <c r="AB63" s="43"/>
      <c r="AC63" s="43"/>
      <c r="AD63" s="44"/>
      <c r="AE63" s="42"/>
      <c r="AF63" s="43"/>
      <c r="AG63" s="43"/>
      <c r="AH63" s="44"/>
      <c r="AI63" s="42">
        <f>IF(ISNUMBER(U63),U63,0)+IF(ISNUMBER(Z63),Z63,0)</f>
        <v>0</v>
      </c>
      <c r="AJ63" s="43"/>
      <c r="AK63" s="43"/>
      <c r="AL63" s="43"/>
      <c r="AM63" s="44"/>
      <c r="AN63" s="42"/>
      <c r="AO63" s="43"/>
      <c r="AP63" s="43"/>
      <c r="AQ63" s="43"/>
      <c r="AR63" s="44"/>
      <c r="AS63" s="42"/>
      <c r="AT63" s="43"/>
      <c r="AU63" s="43"/>
      <c r="AV63" s="43"/>
      <c r="AW63" s="44"/>
      <c r="AX63" s="42"/>
      <c r="AY63" s="43"/>
      <c r="AZ63" s="43"/>
      <c r="BA63" s="44"/>
      <c r="BB63" s="42">
        <f>IF(ISNUMBER(AN63),AN63,0)+IF(ISNUMBER(AS63),AS63,0)</f>
        <v>0</v>
      </c>
      <c r="BC63" s="43"/>
      <c r="BD63" s="43"/>
      <c r="BE63" s="43"/>
      <c r="BF63" s="44"/>
      <c r="BG63" s="42"/>
      <c r="BH63" s="43"/>
      <c r="BI63" s="43"/>
      <c r="BJ63" s="43"/>
      <c r="BK63" s="44"/>
      <c r="BL63" s="42"/>
      <c r="BM63" s="43"/>
      <c r="BN63" s="43"/>
      <c r="BO63" s="43"/>
      <c r="BP63" s="44"/>
      <c r="BQ63" s="42"/>
      <c r="BR63" s="43"/>
      <c r="BS63" s="43"/>
      <c r="BT63" s="44"/>
      <c r="BU63" s="42">
        <f>IF(ISNUMBER(BG63),BG63,0)+IF(ISNUMBER(BL63),BL63,0)</f>
        <v>0</v>
      </c>
      <c r="BV63" s="43"/>
      <c r="BW63" s="43"/>
      <c r="BX63" s="43"/>
      <c r="BY63" s="44"/>
      <c r="CA63" s="5" t="s">
        <v>28</v>
      </c>
    </row>
    <row r="65" spans="1:79" ht="14.25" customHeight="1" x14ac:dyDescent="0.2">
      <c r="A65" s="62" t="s">
        <v>275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P65" s="62"/>
      <c r="AQ65" s="62"/>
      <c r="AR65" s="62"/>
      <c r="AS65" s="62"/>
      <c r="AT65" s="62"/>
      <c r="AU65" s="62"/>
      <c r="AV65" s="62"/>
      <c r="AW65" s="62"/>
      <c r="AX65" s="62"/>
      <c r="AY65" s="62"/>
      <c r="AZ65" s="62"/>
      <c r="BA65" s="62"/>
      <c r="BB65" s="62"/>
      <c r="BC65" s="62"/>
      <c r="BD65" s="62"/>
      <c r="BE65" s="62"/>
      <c r="BF65" s="62"/>
      <c r="BG65" s="62"/>
      <c r="BH65" s="62"/>
      <c r="BI65" s="62"/>
      <c r="BJ65" s="62"/>
      <c r="BK65" s="62"/>
      <c r="BL65" s="62"/>
    </row>
    <row r="66" spans="1:79" ht="15" customHeight="1" x14ac:dyDescent="0.2">
      <c r="A66" s="77" t="s">
        <v>247</v>
      </c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7"/>
      <c r="AG66" s="77"/>
      <c r="AH66" s="77"/>
      <c r="AI66" s="77"/>
      <c r="AJ66" s="77"/>
      <c r="AK66" s="77"/>
      <c r="AL66" s="77"/>
      <c r="AM66" s="77"/>
      <c r="AN66" s="77"/>
      <c r="AO66" s="77"/>
      <c r="AP66" s="77"/>
      <c r="AQ66" s="77"/>
      <c r="AR66" s="77"/>
      <c r="AS66" s="77"/>
      <c r="AT66" s="77"/>
      <c r="AU66" s="77"/>
      <c r="AV66" s="77"/>
      <c r="AW66" s="77"/>
      <c r="AX66" s="77"/>
      <c r="AY66" s="77"/>
      <c r="AZ66" s="77"/>
      <c r="BA66" s="77"/>
      <c r="BB66" s="77"/>
      <c r="BC66" s="77"/>
      <c r="BD66" s="77"/>
      <c r="BE66" s="77"/>
      <c r="BF66" s="77"/>
      <c r="BG66" s="77"/>
      <c r="BH66" s="77"/>
      <c r="BI66" s="77"/>
      <c r="BJ66" s="77"/>
      <c r="BK66" s="77"/>
    </row>
    <row r="67" spans="1:79" ht="23.1" customHeight="1" x14ac:dyDescent="0.2">
      <c r="A67" s="103" t="s">
        <v>118</v>
      </c>
      <c r="B67" s="104"/>
      <c r="C67" s="104"/>
      <c r="D67" s="105"/>
      <c r="E67" s="78" t="s">
        <v>19</v>
      </c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80"/>
      <c r="X67" s="74" t="s">
        <v>269</v>
      </c>
      <c r="Y67" s="75"/>
      <c r="Z67" s="75"/>
      <c r="AA67" s="75"/>
      <c r="AB67" s="75"/>
      <c r="AC67" s="75"/>
      <c r="AD67" s="75"/>
      <c r="AE67" s="75"/>
      <c r="AF67" s="75"/>
      <c r="AG67" s="75"/>
      <c r="AH67" s="75"/>
      <c r="AI67" s="75"/>
      <c r="AJ67" s="75"/>
      <c r="AK67" s="75"/>
      <c r="AL67" s="75"/>
      <c r="AM67" s="75"/>
      <c r="AN67" s="75"/>
      <c r="AO67" s="75"/>
      <c r="AP67" s="75"/>
      <c r="AQ67" s="76"/>
      <c r="AR67" s="39" t="s">
        <v>274</v>
      </c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BH67" s="39"/>
      <c r="BI67" s="39"/>
      <c r="BJ67" s="39"/>
      <c r="BK67" s="39"/>
    </row>
    <row r="68" spans="1:79" ht="48.75" customHeight="1" x14ac:dyDescent="0.2">
      <c r="A68" s="106"/>
      <c r="B68" s="107"/>
      <c r="C68" s="107"/>
      <c r="D68" s="108"/>
      <c r="E68" s="81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3"/>
      <c r="X68" s="78" t="s">
        <v>4</v>
      </c>
      <c r="Y68" s="79"/>
      <c r="Z68" s="79"/>
      <c r="AA68" s="79"/>
      <c r="AB68" s="80"/>
      <c r="AC68" s="78" t="s">
        <v>3</v>
      </c>
      <c r="AD68" s="79"/>
      <c r="AE68" s="79"/>
      <c r="AF68" s="79"/>
      <c r="AG68" s="80"/>
      <c r="AH68" s="97" t="s">
        <v>116</v>
      </c>
      <c r="AI68" s="98"/>
      <c r="AJ68" s="98"/>
      <c r="AK68" s="98"/>
      <c r="AL68" s="99"/>
      <c r="AM68" s="74" t="s">
        <v>5</v>
      </c>
      <c r="AN68" s="75"/>
      <c r="AO68" s="75"/>
      <c r="AP68" s="75"/>
      <c r="AQ68" s="76"/>
      <c r="AR68" s="74" t="s">
        <v>4</v>
      </c>
      <c r="AS68" s="75"/>
      <c r="AT68" s="75"/>
      <c r="AU68" s="75"/>
      <c r="AV68" s="76"/>
      <c r="AW68" s="74" t="s">
        <v>3</v>
      </c>
      <c r="AX68" s="75"/>
      <c r="AY68" s="75"/>
      <c r="AZ68" s="75"/>
      <c r="BA68" s="76"/>
      <c r="BB68" s="97" t="s">
        <v>116</v>
      </c>
      <c r="BC68" s="98"/>
      <c r="BD68" s="98"/>
      <c r="BE68" s="98"/>
      <c r="BF68" s="99"/>
      <c r="BG68" s="74" t="s">
        <v>96</v>
      </c>
      <c r="BH68" s="75"/>
      <c r="BI68" s="75"/>
      <c r="BJ68" s="75"/>
      <c r="BK68" s="76"/>
    </row>
    <row r="69" spans="1:79" ht="12.75" customHeight="1" x14ac:dyDescent="0.2">
      <c r="A69" s="74">
        <v>1</v>
      </c>
      <c r="B69" s="75"/>
      <c r="C69" s="75"/>
      <c r="D69" s="76"/>
      <c r="E69" s="74">
        <v>2</v>
      </c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6"/>
      <c r="X69" s="74">
        <v>3</v>
      </c>
      <c r="Y69" s="75"/>
      <c r="Z69" s="75"/>
      <c r="AA69" s="75"/>
      <c r="AB69" s="76"/>
      <c r="AC69" s="74">
        <v>4</v>
      </c>
      <c r="AD69" s="75"/>
      <c r="AE69" s="75"/>
      <c r="AF69" s="75"/>
      <c r="AG69" s="76"/>
      <c r="AH69" s="74">
        <v>5</v>
      </c>
      <c r="AI69" s="75"/>
      <c r="AJ69" s="75"/>
      <c r="AK69" s="75"/>
      <c r="AL69" s="76"/>
      <c r="AM69" s="74">
        <v>6</v>
      </c>
      <c r="AN69" s="75"/>
      <c r="AO69" s="75"/>
      <c r="AP69" s="75"/>
      <c r="AQ69" s="76"/>
      <c r="AR69" s="74">
        <v>7</v>
      </c>
      <c r="AS69" s="75"/>
      <c r="AT69" s="75"/>
      <c r="AU69" s="75"/>
      <c r="AV69" s="76"/>
      <c r="AW69" s="74">
        <v>8</v>
      </c>
      <c r="AX69" s="75"/>
      <c r="AY69" s="75"/>
      <c r="AZ69" s="75"/>
      <c r="BA69" s="76"/>
      <c r="BB69" s="74">
        <v>9</v>
      </c>
      <c r="BC69" s="75"/>
      <c r="BD69" s="75"/>
      <c r="BE69" s="75"/>
      <c r="BF69" s="76"/>
      <c r="BG69" s="74">
        <v>10</v>
      </c>
      <c r="BH69" s="75"/>
      <c r="BI69" s="75"/>
      <c r="BJ69" s="75"/>
      <c r="BK69" s="76"/>
    </row>
    <row r="70" spans="1:79" s="1" customFormat="1" ht="12.75" hidden="1" customHeight="1" x14ac:dyDescent="0.2">
      <c r="A70" s="88" t="s">
        <v>64</v>
      </c>
      <c r="B70" s="89"/>
      <c r="C70" s="89"/>
      <c r="D70" s="90"/>
      <c r="E70" s="88" t="s">
        <v>57</v>
      </c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90"/>
      <c r="X70" s="109" t="s">
        <v>60</v>
      </c>
      <c r="Y70" s="110"/>
      <c r="Z70" s="110"/>
      <c r="AA70" s="110"/>
      <c r="AB70" s="111"/>
      <c r="AC70" s="109" t="s">
        <v>61</v>
      </c>
      <c r="AD70" s="110"/>
      <c r="AE70" s="110"/>
      <c r="AF70" s="110"/>
      <c r="AG70" s="111"/>
      <c r="AH70" s="88" t="s">
        <v>94</v>
      </c>
      <c r="AI70" s="89"/>
      <c r="AJ70" s="89"/>
      <c r="AK70" s="89"/>
      <c r="AL70" s="90"/>
      <c r="AM70" s="94" t="s">
        <v>170</v>
      </c>
      <c r="AN70" s="95"/>
      <c r="AO70" s="95"/>
      <c r="AP70" s="95"/>
      <c r="AQ70" s="96"/>
      <c r="AR70" s="88" t="s">
        <v>62</v>
      </c>
      <c r="AS70" s="89"/>
      <c r="AT70" s="89"/>
      <c r="AU70" s="89"/>
      <c r="AV70" s="90"/>
      <c r="AW70" s="88" t="s">
        <v>63</v>
      </c>
      <c r="AX70" s="89"/>
      <c r="AY70" s="89"/>
      <c r="AZ70" s="89"/>
      <c r="BA70" s="90"/>
      <c r="BB70" s="88" t="s">
        <v>95</v>
      </c>
      <c r="BC70" s="89"/>
      <c r="BD70" s="89"/>
      <c r="BE70" s="89"/>
      <c r="BF70" s="90"/>
      <c r="BG70" s="94" t="s">
        <v>170</v>
      </c>
      <c r="BH70" s="95"/>
      <c r="BI70" s="95"/>
      <c r="BJ70" s="95"/>
      <c r="BK70" s="96"/>
      <c r="CA70" t="s">
        <v>29</v>
      </c>
    </row>
    <row r="71" spans="1:79" s="4" customFormat="1" ht="25.5" customHeight="1" x14ac:dyDescent="0.2">
      <c r="A71" s="34">
        <v>2610</v>
      </c>
      <c r="B71" s="35"/>
      <c r="C71" s="35"/>
      <c r="D71" s="51"/>
      <c r="E71" s="27" t="s">
        <v>176</v>
      </c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9"/>
      <c r="X71" s="46">
        <v>5337950</v>
      </c>
      <c r="Y71" s="47"/>
      <c r="Z71" s="47"/>
      <c r="AA71" s="47"/>
      <c r="AB71" s="48"/>
      <c r="AC71" s="46">
        <v>0</v>
      </c>
      <c r="AD71" s="47"/>
      <c r="AE71" s="47"/>
      <c r="AF71" s="47"/>
      <c r="AG71" s="48"/>
      <c r="AH71" s="46">
        <v>0</v>
      </c>
      <c r="AI71" s="47"/>
      <c r="AJ71" s="47"/>
      <c r="AK71" s="47"/>
      <c r="AL71" s="48"/>
      <c r="AM71" s="46">
        <f>IF(ISNUMBER(X71),X71,0)+IF(ISNUMBER(AC71),AC71,0)</f>
        <v>5337950</v>
      </c>
      <c r="AN71" s="47"/>
      <c r="AO71" s="47"/>
      <c r="AP71" s="47"/>
      <c r="AQ71" s="48"/>
      <c r="AR71" s="46">
        <v>5764986</v>
      </c>
      <c r="AS71" s="47"/>
      <c r="AT71" s="47"/>
      <c r="AU71" s="47"/>
      <c r="AV71" s="48"/>
      <c r="AW71" s="46">
        <v>0</v>
      </c>
      <c r="AX71" s="47"/>
      <c r="AY71" s="47"/>
      <c r="AZ71" s="47"/>
      <c r="BA71" s="48"/>
      <c r="BB71" s="46">
        <v>0</v>
      </c>
      <c r="BC71" s="47"/>
      <c r="BD71" s="47"/>
      <c r="BE71" s="47"/>
      <c r="BF71" s="48"/>
      <c r="BG71" s="49">
        <f>IF(ISNUMBER(AR71),AR71,0)+IF(ISNUMBER(AW71),AW71,0)</f>
        <v>5764986</v>
      </c>
      <c r="BH71" s="49"/>
      <c r="BI71" s="49"/>
      <c r="BJ71" s="49"/>
      <c r="BK71" s="49"/>
      <c r="CA71" s="4" t="s">
        <v>30</v>
      </c>
    </row>
    <row r="72" spans="1:79" s="4" customFormat="1" ht="25.5" customHeight="1" x14ac:dyDescent="0.2">
      <c r="A72" s="34">
        <v>3210</v>
      </c>
      <c r="B72" s="35"/>
      <c r="C72" s="35"/>
      <c r="D72" s="51"/>
      <c r="E72" s="27" t="s">
        <v>177</v>
      </c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9"/>
      <c r="X72" s="46">
        <v>0</v>
      </c>
      <c r="Y72" s="47"/>
      <c r="Z72" s="47"/>
      <c r="AA72" s="47"/>
      <c r="AB72" s="48"/>
      <c r="AC72" s="46">
        <v>0</v>
      </c>
      <c r="AD72" s="47"/>
      <c r="AE72" s="47"/>
      <c r="AF72" s="47"/>
      <c r="AG72" s="48"/>
      <c r="AH72" s="46">
        <v>0</v>
      </c>
      <c r="AI72" s="47"/>
      <c r="AJ72" s="47"/>
      <c r="AK72" s="47"/>
      <c r="AL72" s="48"/>
      <c r="AM72" s="46">
        <f>IF(ISNUMBER(X72),X72,0)+IF(ISNUMBER(AC72),AC72,0)</f>
        <v>0</v>
      </c>
      <c r="AN72" s="47"/>
      <c r="AO72" s="47"/>
      <c r="AP72" s="47"/>
      <c r="AQ72" s="48"/>
      <c r="AR72" s="46">
        <v>0</v>
      </c>
      <c r="AS72" s="47"/>
      <c r="AT72" s="47"/>
      <c r="AU72" s="47"/>
      <c r="AV72" s="48"/>
      <c r="AW72" s="46">
        <v>0</v>
      </c>
      <c r="AX72" s="47"/>
      <c r="AY72" s="47"/>
      <c r="AZ72" s="47"/>
      <c r="BA72" s="48"/>
      <c r="BB72" s="46">
        <v>0</v>
      </c>
      <c r="BC72" s="47"/>
      <c r="BD72" s="47"/>
      <c r="BE72" s="47"/>
      <c r="BF72" s="48"/>
      <c r="BG72" s="49">
        <f>IF(ISNUMBER(AR72),AR72,0)+IF(ISNUMBER(AW72),AW72,0)</f>
        <v>0</v>
      </c>
      <c r="BH72" s="49"/>
      <c r="BI72" s="49"/>
      <c r="BJ72" s="49"/>
      <c r="BK72" s="49"/>
    </row>
    <row r="73" spans="1:79" s="5" customFormat="1" ht="12.75" customHeight="1" x14ac:dyDescent="0.2">
      <c r="A73" s="36"/>
      <c r="B73" s="37"/>
      <c r="C73" s="37"/>
      <c r="D73" s="50"/>
      <c r="E73" s="23" t="s">
        <v>147</v>
      </c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5"/>
      <c r="X73" s="42">
        <v>5337950</v>
      </c>
      <c r="Y73" s="43"/>
      <c r="Z73" s="43"/>
      <c r="AA73" s="43"/>
      <c r="AB73" s="44"/>
      <c r="AC73" s="42">
        <v>0</v>
      </c>
      <c r="AD73" s="43"/>
      <c r="AE73" s="43"/>
      <c r="AF73" s="43"/>
      <c r="AG73" s="44"/>
      <c r="AH73" s="42">
        <v>0</v>
      </c>
      <c r="AI73" s="43"/>
      <c r="AJ73" s="43"/>
      <c r="AK73" s="43"/>
      <c r="AL73" s="44"/>
      <c r="AM73" s="42">
        <f>IF(ISNUMBER(X73),X73,0)+IF(ISNUMBER(AC73),AC73,0)</f>
        <v>5337950</v>
      </c>
      <c r="AN73" s="43"/>
      <c r="AO73" s="43"/>
      <c r="AP73" s="43"/>
      <c r="AQ73" s="44"/>
      <c r="AR73" s="42">
        <v>5764986</v>
      </c>
      <c r="AS73" s="43"/>
      <c r="AT73" s="43"/>
      <c r="AU73" s="43"/>
      <c r="AV73" s="44"/>
      <c r="AW73" s="42">
        <v>0</v>
      </c>
      <c r="AX73" s="43"/>
      <c r="AY73" s="43"/>
      <c r="AZ73" s="43"/>
      <c r="BA73" s="44"/>
      <c r="BB73" s="42">
        <v>0</v>
      </c>
      <c r="BC73" s="43"/>
      <c r="BD73" s="43"/>
      <c r="BE73" s="43"/>
      <c r="BF73" s="44"/>
      <c r="BG73" s="45">
        <f>IF(ISNUMBER(AR73),AR73,0)+IF(ISNUMBER(AW73),AW73,0)</f>
        <v>5764986</v>
      </c>
      <c r="BH73" s="45"/>
      <c r="BI73" s="45"/>
      <c r="BJ73" s="45"/>
      <c r="BK73" s="45"/>
    </row>
    <row r="75" spans="1:79" ht="14.25" customHeight="1" x14ac:dyDescent="0.2">
      <c r="A75" s="62" t="s">
        <v>276</v>
      </c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Q75" s="62"/>
      <c r="AR75" s="62"/>
      <c r="AS75" s="62"/>
      <c r="AT75" s="62"/>
      <c r="AU75" s="62"/>
      <c r="AV75" s="62"/>
      <c r="AW75" s="62"/>
      <c r="AX75" s="62"/>
      <c r="AY75" s="62"/>
      <c r="AZ75" s="62"/>
      <c r="BA75" s="62"/>
      <c r="BB75" s="62"/>
      <c r="BC75" s="62"/>
      <c r="BD75" s="62"/>
      <c r="BE75" s="62"/>
      <c r="BF75" s="62"/>
      <c r="BG75" s="62"/>
      <c r="BH75" s="62"/>
      <c r="BI75" s="62"/>
      <c r="BJ75" s="62"/>
      <c r="BK75" s="62"/>
      <c r="BL75" s="62"/>
    </row>
    <row r="76" spans="1:79" ht="15" customHeight="1" x14ac:dyDescent="0.2">
      <c r="A76" s="77" t="s">
        <v>247</v>
      </c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7"/>
      <c r="AL76" s="77"/>
      <c r="AM76" s="77"/>
      <c r="AN76" s="77"/>
      <c r="AO76" s="77"/>
      <c r="AP76" s="77"/>
      <c r="AQ76" s="77"/>
      <c r="AR76" s="77"/>
      <c r="AS76" s="77"/>
      <c r="AT76" s="77"/>
      <c r="AU76" s="77"/>
      <c r="AV76" s="77"/>
      <c r="AW76" s="77"/>
      <c r="AX76" s="77"/>
      <c r="AY76" s="77"/>
      <c r="AZ76" s="77"/>
      <c r="BA76" s="77"/>
      <c r="BB76" s="77"/>
      <c r="BC76" s="77"/>
      <c r="BD76" s="77"/>
      <c r="BE76" s="77"/>
      <c r="BF76" s="77"/>
      <c r="BG76" s="77"/>
      <c r="BH76" s="77"/>
      <c r="BI76" s="77"/>
      <c r="BJ76" s="77"/>
      <c r="BK76" s="77"/>
    </row>
    <row r="77" spans="1:79" ht="23.1" customHeight="1" x14ac:dyDescent="0.2">
      <c r="A77" s="103" t="s">
        <v>119</v>
      </c>
      <c r="B77" s="104"/>
      <c r="C77" s="104"/>
      <c r="D77" s="104"/>
      <c r="E77" s="105"/>
      <c r="F77" s="78" t="s">
        <v>19</v>
      </c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80"/>
      <c r="X77" s="39" t="s">
        <v>269</v>
      </c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74" t="s">
        <v>274</v>
      </c>
      <c r="AS77" s="75"/>
      <c r="AT77" s="75"/>
      <c r="AU77" s="75"/>
      <c r="AV77" s="75"/>
      <c r="AW77" s="75"/>
      <c r="AX77" s="75"/>
      <c r="AY77" s="75"/>
      <c r="AZ77" s="75"/>
      <c r="BA77" s="75"/>
      <c r="BB77" s="75"/>
      <c r="BC77" s="75"/>
      <c r="BD77" s="75"/>
      <c r="BE77" s="75"/>
      <c r="BF77" s="75"/>
      <c r="BG77" s="75"/>
      <c r="BH77" s="75"/>
      <c r="BI77" s="75"/>
      <c r="BJ77" s="75"/>
      <c r="BK77" s="76"/>
    </row>
    <row r="78" spans="1:79" ht="53.25" customHeight="1" x14ac:dyDescent="0.2">
      <c r="A78" s="106"/>
      <c r="B78" s="107"/>
      <c r="C78" s="107"/>
      <c r="D78" s="107"/>
      <c r="E78" s="108"/>
      <c r="F78" s="81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3"/>
      <c r="X78" s="74" t="s">
        <v>4</v>
      </c>
      <c r="Y78" s="75"/>
      <c r="Z78" s="75"/>
      <c r="AA78" s="75"/>
      <c r="AB78" s="76"/>
      <c r="AC78" s="74" t="s">
        <v>3</v>
      </c>
      <c r="AD78" s="75"/>
      <c r="AE78" s="75"/>
      <c r="AF78" s="75"/>
      <c r="AG78" s="76"/>
      <c r="AH78" s="97" t="s">
        <v>116</v>
      </c>
      <c r="AI78" s="98"/>
      <c r="AJ78" s="98"/>
      <c r="AK78" s="98"/>
      <c r="AL78" s="99"/>
      <c r="AM78" s="74" t="s">
        <v>5</v>
      </c>
      <c r="AN78" s="75"/>
      <c r="AO78" s="75"/>
      <c r="AP78" s="75"/>
      <c r="AQ78" s="76"/>
      <c r="AR78" s="74" t="s">
        <v>4</v>
      </c>
      <c r="AS78" s="75"/>
      <c r="AT78" s="75"/>
      <c r="AU78" s="75"/>
      <c r="AV78" s="76"/>
      <c r="AW78" s="74" t="s">
        <v>3</v>
      </c>
      <c r="AX78" s="75"/>
      <c r="AY78" s="75"/>
      <c r="AZ78" s="75"/>
      <c r="BA78" s="76"/>
      <c r="BB78" s="68" t="s">
        <v>116</v>
      </c>
      <c r="BC78" s="68"/>
      <c r="BD78" s="68"/>
      <c r="BE78" s="68"/>
      <c r="BF78" s="68"/>
      <c r="BG78" s="74" t="s">
        <v>96</v>
      </c>
      <c r="BH78" s="75"/>
      <c r="BI78" s="75"/>
      <c r="BJ78" s="75"/>
      <c r="BK78" s="76"/>
    </row>
    <row r="79" spans="1:79" ht="15" customHeight="1" x14ac:dyDescent="0.2">
      <c r="A79" s="74">
        <v>1</v>
      </c>
      <c r="B79" s="75"/>
      <c r="C79" s="75"/>
      <c r="D79" s="75"/>
      <c r="E79" s="76"/>
      <c r="F79" s="74">
        <v>2</v>
      </c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6"/>
      <c r="X79" s="74">
        <v>3</v>
      </c>
      <c r="Y79" s="75"/>
      <c r="Z79" s="75"/>
      <c r="AA79" s="75"/>
      <c r="AB79" s="76"/>
      <c r="AC79" s="74">
        <v>4</v>
      </c>
      <c r="AD79" s="75"/>
      <c r="AE79" s="75"/>
      <c r="AF79" s="75"/>
      <c r="AG79" s="76"/>
      <c r="AH79" s="74">
        <v>5</v>
      </c>
      <c r="AI79" s="75"/>
      <c r="AJ79" s="75"/>
      <c r="AK79" s="75"/>
      <c r="AL79" s="76"/>
      <c r="AM79" s="74">
        <v>6</v>
      </c>
      <c r="AN79" s="75"/>
      <c r="AO79" s="75"/>
      <c r="AP79" s="75"/>
      <c r="AQ79" s="76"/>
      <c r="AR79" s="74">
        <v>7</v>
      </c>
      <c r="AS79" s="75"/>
      <c r="AT79" s="75"/>
      <c r="AU79" s="75"/>
      <c r="AV79" s="76"/>
      <c r="AW79" s="74">
        <v>8</v>
      </c>
      <c r="AX79" s="75"/>
      <c r="AY79" s="75"/>
      <c r="AZ79" s="75"/>
      <c r="BA79" s="76"/>
      <c r="BB79" s="74">
        <v>9</v>
      </c>
      <c r="BC79" s="75"/>
      <c r="BD79" s="75"/>
      <c r="BE79" s="75"/>
      <c r="BF79" s="76"/>
      <c r="BG79" s="74">
        <v>10</v>
      </c>
      <c r="BH79" s="75"/>
      <c r="BI79" s="75"/>
      <c r="BJ79" s="75"/>
      <c r="BK79" s="76"/>
    </row>
    <row r="80" spans="1:79" s="1" customFormat="1" ht="15" hidden="1" customHeight="1" x14ac:dyDescent="0.2">
      <c r="A80" s="88" t="s">
        <v>64</v>
      </c>
      <c r="B80" s="89"/>
      <c r="C80" s="89"/>
      <c r="D80" s="89"/>
      <c r="E80" s="90"/>
      <c r="F80" s="88" t="s">
        <v>57</v>
      </c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90"/>
      <c r="X80" s="88" t="s">
        <v>60</v>
      </c>
      <c r="Y80" s="89"/>
      <c r="Z80" s="89"/>
      <c r="AA80" s="89"/>
      <c r="AB80" s="90"/>
      <c r="AC80" s="88" t="s">
        <v>61</v>
      </c>
      <c r="AD80" s="89"/>
      <c r="AE80" s="89"/>
      <c r="AF80" s="89"/>
      <c r="AG80" s="90"/>
      <c r="AH80" s="88" t="s">
        <v>94</v>
      </c>
      <c r="AI80" s="89"/>
      <c r="AJ80" s="89"/>
      <c r="AK80" s="89"/>
      <c r="AL80" s="90"/>
      <c r="AM80" s="94" t="s">
        <v>170</v>
      </c>
      <c r="AN80" s="95"/>
      <c r="AO80" s="95"/>
      <c r="AP80" s="95"/>
      <c r="AQ80" s="96"/>
      <c r="AR80" s="88" t="s">
        <v>62</v>
      </c>
      <c r="AS80" s="89"/>
      <c r="AT80" s="89"/>
      <c r="AU80" s="89"/>
      <c r="AV80" s="90"/>
      <c r="AW80" s="88" t="s">
        <v>63</v>
      </c>
      <c r="AX80" s="89"/>
      <c r="AY80" s="89"/>
      <c r="AZ80" s="89"/>
      <c r="BA80" s="90"/>
      <c r="BB80" s="88" t="s">
        <v>95</v>
      </c>
      <c r="BC80" s="89"/>
      <c r="BD80" s="89"/>
      <c r="BE80" s="89"/>
      <c r="BF80" s="90"/>
      <c r="BG80" s="94" t="s">
        <v>170</v>
      </c>
      <c r="BH80" s="95"/>
      <c r="BI80" s="95"/>
      <c r="BJ80" s="95"/>
      <c r="BK80" s="96"/>
      <c r="CA80" t="s">
        <v>31</v>
      </c>
    </row>
    <row r="81" spans="1:79" s="5" customFormat="1" ht="12.75" customHeight="1" x14ac:dyDescent="0.2">
      <c r="A81" s="36"/>
      <c r="B81" s="37"/>
      <c r="C81" s="37"/>
      <c r="D81" s="37"/>
      <c r="E81" s="50"/>
      <c r="F81" s="36" t="s">
        <v>147</v>
      </c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50"/>
      <c r="X81" s="100"/>
      <c r="Y81" s="101"/>
      <c r="Z81" s="101"/>
      <c r="AA81" s="101"/>
      <c r="AB81" s="102"/>
      <c r="AC81" s="100"/>
      <c r="AD81" s="101"/>
      <c r="AE81" s="101"/>
      <c r="AF81" s="101"/>
      <c r="AG81" s="102"/>
      <c r="AH81" s="45"/>
      <c r="AI81" s="45"/>
      <c r="AJ81" s="45"/>
      <c r="AK81" s="45"/>
      <c r="AL81" s="45"/>
      <c r="AM81" s="45">
        <f>IF(ISNUMBER(X81),X81,0)+IF(ISNUMBER(AC81),AC81,0)</f>
        <v>0</v>
      </c>
      <c r="AN81" s="45"/>
      <c r="AO81" s="45"/>
      <c r="AP81" s="45"/>
      <c r="AQ81" s="45"/>
      <c r="AR81" s="45"/>
      <c r="AS81" s="45"/>
      <c r="AT81" s="45"/>
      <c r="AU81" s="45"/>
      <c r="AV81" s="45"/>
      <c r="AW81" s="45"/>
      <c r="AX81" s="45"/>
      <c r="AY81" s="45"/>
      <c r="AZ81" s="45"/>
      <c r="BA81" s="45"/>
      <c r="BB81" s="45"/>
      <c r="BC81" s="45"/>
      <c r="BD81" s="45"/>
      <c r="BE81" s="45"/>
      <c r="BF81" s="45"/>
      <c r="BG81" s="45">
        <f>IF(ISNUMBER(AR81),AR81,0)+IF(ISNUMBER(AW81),AW81,0)</f>
        <v>0</v>
      </c>
      <c r="BH81" s="45"/>
      <c r="BI81" s="45"/>
      <c r="BJ81" s="45"/>
      <c r="BK81" s="45"/>
      <c r="CA81" s="5" t="s">
        <v>32</v>
      </c>
    </row>
    <row r="83" spans="1:79" ht="14.25" customHeight="1" x14ac:dyDescent="0.2">
      <c r="A83" s="62" t="s">
        <v>120</v>
      </c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2"/>
      <c r="BJ83" s="62"/>
      <c r="BK83" s="62"/>
      <c r="BL83" s="62"/>
    </row>
    <row r="84" spans="1:79" ht="14.25" customHeight="1" x14ac:dyDescent="0.2">
      <c r="A84" s="62" t="s">
        <v>262</v>
      </c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  <c r="AP84" s="62"/>
      <c r="AQ84" s="62"/>
      <c r="AR84" s="62"/>
      <c r="AS84" s="62"/>
      <c r="AT84" s="62"/>
      <c r="AU84" s="62"/>
      <c r="AV84" s="62"/>
      <c r="AW84" s="62"/>
      <c r="AX84" s="62"/>
      <c r="AY84" s="62"/>
      <c r="AZ84" s="62"/>
      <c r="BA84" s="62"/>
      <c r="BB84" s="62"/>
      <c r="BC84" s="62"/>
      <c r="BD84" s="62"/>
      <c r="BE84" s="62"/>
      <c r="BF84" s="62"/>
      <c r="BG84" s="62"/>
      <c r="BH84" s="62"/>
      <c r="BI84" s="62"/>
      <c r="BJ84" s="62"/>
      <c r="BK84" s="62"/>
      <c r="BL84" s="62"/>
    </row>
    <row r="85" spans="1:79" ht="15" customHeight="1" x14ac:dyDescent="0.2">
      <c r="A85" s="77" t="s">
        <v>247</v>
      </c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  <c r="AE85" s="77"/>
      <c r="AF85" s="77"/>
      <c r="AG85" s="77"/>
      <c r="AH85" s="77"/>
      <c r="AI85" s="77"/>
      <c r="AJ85" s="77"/>
      <c r="AK85" s="77"/>
      <c r="AL85" s="77"/>
      <c r="AM85" s="77"/>
      <c r="AN85" s="77"/>
      <c r="AO85" s="77"/>
      <c r="AP85" s="77"/>
      <c r="AQ85" s="77"/>
      <c r="AR85" s="77"/>
      <c r="AS85" s="77"/>
      <c r="AT85" s="77"/>
      <c r="AU85" s="77"/>
      <c r="AV85" s="77"/>
      <c r="AW85" s="77"/>
      <c r="AX85" s="77"/>
      <c r="AY85" s="77"/>
      <c r="AZ85" s="77"/>
      <c r="BA85" s="77"/>
      <c r="BB85" s="77"/>
      <c r="BC85" s="77"/>
      <c r="BD85" s="77"/>
      <c r="BE85" s="77"/>
      <c r="BF85" s="77"/>
      <c r="BG85" s="77"/>
      <c r="BH85" s="77"/>
      <c r="BI85" s="77"/>
      <c r="BJ85" s="77"/>
      <c r="BK85" s="77"/>
      <c r="BL85" s="77"/>
      <c r="BM85" s="77"/>
      <c r="BN85" s="77"/>
      <c r="BO85" s="77"/>
      <c r="BP85" s="77"/>
      <c r="BQ85" s="77"/>
      <c r="BR85" s="77"/>
      <c r="BS85" s="77"/>
      <c r="BT85" s="77"/>
      <c r="BU85" s="77"/>
      <c r="BV85" s="77"/>
      <c r="BW85" s="77"/>
      <c r="BX85" s="77"/>
      <c r="BY85" s="77"/>
    </row>
    <row r="86" spans="1:79" ht="23.1" customHeight="1" x14ac:dyDescent="0.2">
      <c r="A86" s="78" t="s">
        <v>6</v>
      </c>
      <c r="B86" s="79"/>
      <c r="C86" s="79"/>
      <c r="D86" s="78" t="s">
        <v>121</v>
      </c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80"/>
      <c r="U86" s="74" t="s">
        <v>248</v>
      </c>
      <c r="V86" s="75"/>
      <c r="W86" s="75"/>
      <c r="X86" s="75"/>
      <c r="Y86" s="75"/>
      <c r="Z86" s="75"/>
      <c r="AA86" s="75"/>
      <c r="AB86" s="75"/>
      <c r="AC86" s="75"/>
      <c r="AD86" s="75"/>
      <c r="AE86" s="75"/>
      <c r="AF86" s="75"/>
      <c r="AG86" s="75"/>
      <c r="AH86" s="75"/>
      <c r="AI86" s="75"/>
      <c r="AJ86" s="75"/>
      <c r="AK86" s="75"/>
      <c r="AL86" s="75"/>
      <c r="AM86" s="76"/>
      <c r="AN86" s="74" t="s">
        <v>251</v>
      </c>
      <c r="AO86" s="75"/>
      <c r="AP86" s="75"/>
      <c r="AQ86" s="75"/>
      <c r="AR86" s="75"/>
      <c r="AS86" s="75"/>
      <c r="AT86" s="75"/>
      <c r="AU86" s="75"/>
      <c r="AV86" s="75"/>
      <c r="AW86" s="75"/>
      <c r="AX86" s="75"/>
      <c r="AY86" s="75"/>
      <c r="AZ86" s="75"/>
      <c r="BA86" s="75"/>
      <c r="BB86" s="75"/>
      <c r="BC86" s="75"/>
      <c r="BD86" s="75"/>
      <c r="BE86" s="75"/>
      <c r="BF86" s="76"/>
      <c r="BG86" s="39" t="s">
        <v>259</v>
      </c>
      <c r="BH86" s="39"/>
      <c r="BI86" s="39"/>
      <c r="BJ86" s="39"/>
      <c r="BK86" s="39"/>
      <c r="BL86" s="39"/>
      <c r="BM86" s="39"/>
      <c r="BN86" s="39"/>
      <c r="BO86" s="39"/>
      <c r="BP86" s="39"/>
      <c r="BQ86" s="39"/>
      <c r="BR86" s="39"/>
      <c r="BS86" s="39"/>
      <c r="BT86" s="39"/>
      <c r="BU86" s="39"/>
      <c r="BV86" s="39"/>
      <c r="BW86" s="39"/>
      <c r="BX86" s="39"/>
      <c r="BY86" s="39"/>
    </row>
    <row r="87" spans="1:79" ht="52.5" customHeight="1" x14ac:dyDescent="0.2">
      <c r="A87" s="81"/>
      <c r="B87" s="82"/>
      <c r="C87" s="82"/>
      <c r="D87" s="81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3"/>
      <c r="U87" s="74" t="s">
        <v>4</v>
      </c>
      <c r="V87" s="75"/>
      <c r="W87" s="75"/>
      <c r="X87" s="75"/>
      <c r="Y87" s="76"/>
      <c r="Z87" s="74" t="s">
        <v>3</v>
      </c>
      <c r="AA87" s="75"/>
      <c r="AB87" s="75"/>
      <c r="AC87" s="75"/>
      <c r="AD87" s="76"/>
      <c r="AE87" s="97" t="s">
        <v>116</v>
      </c>
      <c r="AF87" s="98"/>
      <c r="AG87" s="98"/>
      <c r="AH87" s="99"/>
      <c r="AI87" s="74" t="s">
        <v>5</v>
      </c>
      <c r="AJ87" s="75"/>
      <c r="AK87" s="75"/>
      <c r="AL87" s="75"/>
      <c r="AM87" s="76"/>
      <c r="AN87" s="74" t="s">
        <v>4</v>
      </c>
      <c r="AO87" s="75"/>
      <c r="AP87" s="75"/>
      <c r="AQ87" s="75"/>
      <c r="AR87" s="76"/>
      <c r="AS87" s="74" t="s">
        <v>3</v>
      </c>
      <c r="AT87" s="75"/>
      <c r="AU87" s="75"/>
      <c r="AV87" s="75"/>
      <c r="AW87" s="76"/>
      <c r="AX87" s="97" t="s">
        <v>116</v>
      </c>
      <c r="AY87" s="98"/>
      <c r="AZ87" s="98"/>
      <c r="BA87" s="99"/>
      <c r="BB87" s="74" t="s">
        <v>96</v>
      </c>
      <c r="BC87" s="75"/>
      <c r="BD87" s="75"/>
      <c r="BE87" s="75"/>
      <c r="BF87" s="76"/>
      <c r="BG87" s="74" t="s">
        <v>4</v>
      </c>
      <c r="BH87" s="75"/>
      <c r="BI87" s="75"/>
      <c r="BJ87" s="75"/>
      <c r="BK87" s="76"/>
      <c r="BL87" s="39" t="s">
        <v>3</v>
      </c>
      <c r="BM87" s="39"/>
      <c r="BN87" s="39"/>
      <c r="BO87" s="39"/>
      <c r="BP87" s="39"/>
      <c r="BQ87" s="68" t="s">
        <v>116</v>
      </c>
      <c r="BR87" s="68"/>
      <c r="BS87" s="68"/>
      <c r="BT87" s="68"/>
      <c r="BU87" s="74" t="s">
        <v>97</v>
      </c>
      <c r="BV87" s="75"/>
      <c r="BW87" s="75"/>
      <c r="BX87" s="75"/>
      <c r="BY87" s="76"/>
    </row>
    <row r="88" spans="1:79" ht="15" customHeight="1" x14ac:dyDescent="0.2">
      <c r="A88" s="74">
        <v>1</v>
      </c>
      <c r="B88" s="75"/>
      <c r="C88" s="75"/>
      <c r="D88" s="74">
        <v>2</v>
      </c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6"/>
      <c r="U88" s="74">
        <v>3</v>
      </c>
      <c r="V88" s="75"/>
      <c r="W88" s="75"/>
      <c r="X88" s="75"/>
      <c r="Y88" s="76"/>
      <c r="Z88" s="74">
        <v>4</v>
      </c>
      <c r="AA88" s="75"/>
      <c r="AB88" s="75"/>
      <c r="AC88" s="75"/>
      <c r="AD88" s="76"/>
      <c r="AE88" s="74">
        <v>5</v>
      </c>
      <c r="AF88" s="75"/>
      <c r="AG88" s="75"/>
      <c r="AH88" s="76"/>
      <c r="AI88" s="74">
        <v>6</v>
      </c>
      <c r="AJ88" s="75"/>
      <c r="AK88" s="75"/>
      <c r="AL88" s="75"/>
      <c r="AM88" s="76"/>
      <c r="AN88" s="74">
        <v>7</v>
      </c>
      <c r="AO88" s="75"/>
      <c r="AP88" s="75"/>
      <c r="AQ88" s="75"/>
      <c r="AR88" s="76"/>
      <c r="AS88" s="74">
        <v>8</v>
      </c>
      <c r="AT88" s="75"/>
      <c r="AU88" s="75"/>
      <c r="AV88" s="75"/>
      <c r="AW88" s="76"/>
      <c r="AX88" s="39">
        <v>9</v>
      </c>
      <c r="AY88" s="39"/>
      <c r="AZ88" s="39"/>
      <c r="BA88" s="39"/>
      <c r="BB88" s="74">
        <v>10</v>
      </c>
      <c r="BC88" s="75"/>
      <c r="BD88" s="75"/>
      <c r="BE88" s="75"/>
      <c r="BF88" s="76"/>
      <c r="BG88" s="74">
        <v>11</v>
      </c>
      <c r="BH88" s="75"/>
      <c r="BI88" s="75"/>
      <c r="BJ88" s="75"/>
      <c r="BK88" s="76"/>
      <c r="BL88" s="39">
        <v>12</v>
      </c>
      <c r="BM88" s="39"/>
      <c r="BN88" s="39"/>
      <c r="BO88" s="39"/>
      <c r="BP88" s="39"/>
      <c r="BQ88" s="74">
        <v>13</v>
      </c>
      <c r="BR88" s="75"/>
      <c r="BS88" s="75"/>
      <c r="BT88" s="76"/>
      <c r="BU88" s="74">
        <v>14</v>
      </c>
      <c r="BV88" s="75"/>
      <c r="BW88" s="75"/>
      <c r="BX88" s="75"/>
      <c r="BY88" s="76"/>
    </row>
    <row r="89" spans="1:79" s="1" customFormat="1" ht="14.25" hidden="1" customHeight="1" x14ac:dyDescent="0.2">
      <c r="A89" s="88" t="s">
        <v>69</v>
      </c>
      <c r="B89" s="89"/>
      <c r="C89" s="89"/>
      <c r="D89" s="88" t="s">
        <v>57</v>
      </c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90"/>
      <c r="U89" s="66" t="s">
        <v>65</v>
      </c>
      <c r="V89" s="66"/>
      <c r="W89" s="66"/>
      <c r="X89" s="66"/>
      <c r="Y89" s="66"/>
      <c r="Z89" s="66" t="s">
        <v>66</v>
      </c>
      <c r="AA89" s="66"/>
      <c r="AB89" s="66"/>
      <c r="AC89" s="66"/>
      <c r="AD89" s="66"/>
      <c r="AE89" s="66" t="s">
        <v>91</v>
      </c>
      <c r="AF89" s="66"/>
      <c r="AG89" s="66"/>
      <c r="AH89" s="66"/>
      <c r="AI89" s="84" t="s">
        <v>169</v>
      </c>
      <c r="AJ89" s="84"/>
      <c r="AK89" s="84"/>
      <c r="AL89" s="84"/>
      <c r="AM89" s="84"/>
      <c r="AN89" s="66" t="s">
        <v>67</v>
      </c>
      <c r="AO89" s="66"/>
      <c r="AP89" s="66"/>
      <c r="AQ89" s="66"/>
      <c r="AR89" s="66"/>
      <c r="AS89" s="66" t="s">
        <v>68</v>
      </c>
      <c r="AT89" s="66"/>
      <c r="AU89" s="66"/>
      <c r="AV89" s="66"/>
      <c r="AW89" s="66"/>
      <c r="AX89" s="66" t="s">
        <v>92</v>
      </c>
      <c r="AY89" s="66"/>
      <c r="AZ89" s="66"/>
      <c r="BA89" s="66"/>
      <c r="BB89" s="84" t="s">
        <v>169</v>
      </c>
      <c r="BC89" s="84"/>
      <c r="BD89" s="84"/>
      <c r="BE89" s="84"/>
      <c r="BF89" s="84"/>
      <c r="BG89" s="66" t="s">
        <v>58</v>
      </c>
      <c r="BH89" s="66"/>
      <c r="BI89" s="66"/>
      <c r="BJ89" s="66"/>
      <c r="BK89" s="66"/>
      <c r="BL89" s="66" t="s">
        <v>59</v>
      </c>
      <c r="BM89" s="66"/>
      <c r="BN89" s="66"/>
      <c r="BO89" s="66"/>
      <c r="BP89" s="66"/>
      <c r="BQ89" s="66" t="s">
        <v>93</v>
      </c>
      <c r="BR89" s="66"/>
      <c r="BS89" s="66"/>
      <c r="BT89" s="66"/>
      <c r="BU89" s="84" t="s">
        <v>169</v>
      </c>
      <c r="BV89" s="84"/>
      <c r="BW89" s="84"/>
      <c r="BX89" s="84"/>
      <c r="BY89" s="84"/>
      <c r="CA89" t="s">
        <v>33</v>
      </c>
    </row>
    <row r="90" spans="1:79" s="4" customFormat="1" ht="12.75" customHeight="1" x14ac:dyDescent="0.2">
      <c r="A90" s="34">
        <v>1</v>
      </c>
      <c r="B90" s="35"/>
      <c r="C90" s="35"/>
      <c r="D90" s="27" t="s">
        <v>178</v>
      </c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9"/>
      <c r="U90" s="46">
        <v>24805</v>
      </c>
      <c r="V90" s="47"/>
      <c r="W90" s="47"/>
      <c r="X90" s="47"/>
      <c r="Y90" s="48"/>
      <c r="Z90" s="46">
        <v>0</v>
      </c>
      <c r="AA90" s="47"/>
      <c r="AB90" s="47"/>
      <c r="AC90" s="47"/>
      <c r="AD90" s="48"/>
      <c r="AE90" s="46">
        <v>0</v>
      </c>
      <c r="AF90" s="47"/>
      <c r="AG90" s="47"/>
      <c r="AH90" s="48"/>
      <c r="AI90" s="46">
        <f t="shared" ref="AI90:AI116" si="0">IF(ISNUMBER(U90),U90,0)+IF(ISNUMBER(Z90),Z90,0)</f>
        <v>24805</v>
      </c>
      <c r="AJ90" s="47"/>
      <c r="AK90" s="47"/>
      <c r="AL90" s="47"/>
      <c r="AM90" s="48"/>
      <c r="AN90" s="46">
        <v>50000</v>
      </c>
      <c r="AO90" s="47"/>
      <c r="AP90" s="47"/>
      <c r="AQ90" s="47"/>
      <c r="AR90" s="48"/>
      <c r="AS90" s="46">
        <v>0</v>
      </c>
      <c r="AT90" s="47"/>
      <c r="AU90" s="47"/>
      <c r="AV90" s="47"/>
      <c r="AW90" s="48"/>
      <c r="AX90" s="46">
        <v>0</v>
      </c>
      <c r="AY90" s="47"/>
      <c r="AZ90" s="47"/>
      <c r="BA90" s="48"/>
      <c r="BB90" s="46">
        <f t="shared" ref="BB90:BB116" si="1">IF(ISNUMBER(AN90),AN90,0)+IF(ISNUMBER(AS90),AS90,0)</f>
        <v>50000</v>
      </c>
      <c r="BC90" s="47"/>
      <c r="BD90" s="47"/>
      <c r="BE90" s="47"/>
      <c r="BF90" s="48"/>
      <c r="BG90" s="46">
        <v>250000</v>
      </c>
      <c r="BH90" s="47"/>
      <c r="BI90" s="47"/>
      <c r="BJ90" s="47"/>
      <c r="BK90" s="48"/>
      <c r="BL90" s="46">
        <v>0</v>
      </c>
      <c r="BM90" s="47"/>
      <c r="BN90" s="47"/>
      <c r="BO90" s="47"/>
      <c r="BP90" s="48"/>
      <c r="BQ90" s="46">
        <v>0</v>
      </c>
      <c r="BR90" s="47"/>
      <c r="BS90" s="47"/>
      <c r="BT90" s="48"/>
      <c r="BU90" s="46">
        <f t="shared" ref="BU90:BU116" si="2">IF(ISNUMBER(BG90),BG90,0)+IF(ISNUMBER(BL90),BL90,0)</f>
        <v>250000</v>
      </c>
      <c r="BV90" s="47"/>
      <c r="BW90" s="47"/>
      <c r="BX90" s="47"/>
      <c r="BY90" s="48"/>
      <c r="CA90" s="4" t="s">
        <v>34</v>
      </c>
    </row>
    <row r="91" spans="1:79" s="4" customFormat="1" ht="12.75" customHeight="1" x14ac:dyDescent="0.2">
      <c r="A91" s="34">
        <v>2</v>
      </c>
      <c r="B91" s="35"/>
      <c r="C91" s="35"/>
      <c r="D91" s="27" t="s">
        <v>179</v>
      </c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9"/>
      <c r="U91" s="46">
        <v>227011</v>
      </c>
      <c r="V91" s="47"/>
      <c r="W91" s="47"/>
      <c r="X91" s="47"/>
      <c r="Y91" s="48"/>
      <c r="Z91" s="46">
        <v>0</v>
      </c>
      <c r="AA91" s="47"/>
      <c r="AB91" s="47"/>
      <c r="AC91" s="47"/>
      <c r="AD91" s="48"/>
      <c r="AE91" s="46">
        <v>0</v>
      </c>
      <c r="AF91" s="47"/>
      <c r="AG91" s="47"/>
      <c r="AH91" s="48"/>
      <c r="AI91" s="46">
        <f t="shared" si="0"/>
        <v>227011</v>
      </c>
      <c r="AJ91" s="47"/>
      <c r="AK91" s="47"/>
      <c r="AL91" s="47"/>
      <c r="AM91" s="48"/>
      <c r="AN91" s="46">
        <v>0</v>
      </c>
      <c r="AO91" s="47"/>
      <c r="AP91" s="47"/>
      <c r="AQ91" s="47"/>
      <c r="AR91" s="48"/>
      <c r="AS91" s="46">
        <v>0</v>
      </c>
      <c r="AT91" s="47"/>
      <c r="AU91" s="47"/>
      <c r="AV91" s="47"/>
      <c r="AW91" s="48"/>
      <c r="AX91" s="46">
        <v>0</v>
      </c>
      <c r="AY91" s="47"/>
      <c r="AZ91" s="47"/>
      <c r="BA91" s="48"/>
      <c r="BB91" s="46">
        <f t="shared" si="1"/>
        <v>0</v>
      </c>
      <c r="BC91" s="47"/>
      <c r="BD91" s="47"/>
      <c r="BE91" s="47"/>
      <c r="BF91" s="48"/>
      <c r="BG91" s="46">
        <v>0</v>
      </c>
      <c r="BH91" s="47"/>
      <c r="BI91" s="47"/>
      <c r="BJ91" s="47"/>
      <c r="BK91" s="48"/>
      <c r="BL91" s="46">
        <v>0</v>
      </c>
      <c r="BM91" s="47"/>
      <c r="BN91" s="47"/>
      <c r="BO91" s="47"/>
      <c r="BP91" s="48"/>
      <c r="BQ91" s="46">
        <v>0</v>
      </c>
      <c r="BR91" s="47"/>
      <c r="BS91" s="47"/>
      <c r="BT91" s="48"/>
      <c r="BU91" s="46">
        <f t="shared" si="2"/>
        <v>0</v>
      </c>
      <c r="BV91" s="47"/>
      <c r="BW91" s="47"/>
      <c r="BX91" s="47"/>
      <c r="BY91" s="48"/>
    </row>
    <row r="92" spans="1:79" s="4" customFormat="1" ht="25.5" customHeight="1" x14ac:dyDescent="0.2">
      <c r="A92" s="34">
        <v>3</v>
      </c>
      <c r="B92" s="35"/>
      <c r="C92" s="35"/>
      <c r="D92" s="27" t="s">
        <v>180</v>
      </c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9"/>
      <c r="U92" s="46">
        <v>0</v>
      </c>
      <c r="V92" s="47"/>
      <c r="W92" s="47"/>
      <c r="X92" s="47"/>
      <c r="Y92" s="48"/>
      <c r="Z92" s="46">
        <v>0</v>
      </c>
      <c r="AA92" s="47"/>
      <c r="AB92" s="47"/>
      <c r="AC92" s="47"/>
      <c r="AD92" s="48"/>
      <c r="AE92" s="46">
        <v>0</v>
      </c>
      <c r="AF92" s="47"/>
      <c r="AG92" s="47"/>
      <c r="AH92" s="48"/>
      <c r="AI92" s="46">
        <f t="shared" si="0"/>
        <v>0</v>
      </c>
      <c r="AJ92" s="47"/>
      <c r="AK92" s="47"/>
      <c r="AL92" s="47"/>
      <c r="AM92" s="48"/>
      <c r="AN92" s="46">
        <v>450</v>
      </c>
      <c r="AO92" s="47"/>
      <c r="AP92" s="47"/>
      <c r="AQ92" s="47"/>
      <c r="AR92" s="48"/>
      <c r="AS92" s="46">
        <v>0</v>
      </c>
      <c r="AT92" s="47"/>
      <c r="AU92" s="47"/>
      <c r="AV92" s="47"/>
      <c r="AW92" s="48"/>
      <c r="AX92" s="46">
        <v>0</v>
      </c>
      <c r="AY92" s="47"/>
      <c r="AZ92" s="47"/>
      <c r="BA92" s="48"/>
      <c r="BB92" s="46">
        <f t="shared" si="1"/>
        <v>450</v>
      </c>
      <c r="BC92" s="47"/>
      <c r="BD92" s="47"/>
      <c r="BE92" s="47"/>
      <c r="BF92" s="48"/>
      <c r="BG92" s="46">
        <v>450</v>
      </c>
      <c r="BH92" s="47"/>
      <c r="BI92" s="47"/>
      <c r="BJ92" s="47"/>
      <c r="BK92" s="48"/>
      <c r="BL92" s="46">
        <v>0</v>
      </c>
      <c r="BM92" s="47"/>
      <c r="BN92" s="47"/>
      <c r="BO92" s="47"/>
      <c r="BP92" s="48"/>
      <c r="BQ92" s="46">
        <v>0</v>
      </c>
      <c r="BR92" s="47"/>
      <c r="BS92" s="47"/>
      <c r="BT92" s="48"/>
      <c r="BU92" s="46">
        <f t="shared" si="2"/>
        <v>450</v>
      </c>
      <c r="BV92" s="47"/>
      <c r="BW92" s="47"/>
      <c r="BX92" s="47"/>
      <c r="BY92" s="48"/>
    </row>
    <row r="93" spans="1:79" s="4" customFormat="1" ht="12.75" customHeight="1" x14ac:dyDescent="0.2">
      <c r="A93" s="34">
        <v>4</v>
      </c>
      <c r="B93" s="35"/>
      <c r="C93" s="35"/>
      <c r="D93" s="27" t="s">
        <v>181</v>
      </c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9"/>
      <c r="U93" s="46">
        <v>1782030</v>
      </c>
      <c r="V93" s="47"/>
      <c r="W93" s="47"/>
      <c r="X93" s="47"/>
      <c r="Y93" s="48"/>
      <c r="Z93" s="46">
        <v>0</v>
      </c>
      <c r="AA93" s="47"/>
      <c r="AB93" s="47"/>
      <c r="AC93" s="47"/>
      <c r="AD93" s="48"/>
      <c r="AE93" s="46">
        <v>0</v>
      </c>
      <c r="AF93" s="47"/>
      <c r="AG93" s="47"/>
      <c r="AH93" s="48"/>
      <c r="AI93" s="46">
        <f t="shared" si="0"/>
        <v>1782030</v>
      </c>
      <c r="AJ93" s="47"/>
      <c r="AK93" s="47"/>
      <c r="AL93" s="47"/>
      <c r="AM93" s="48"/>
      <c r="AN93" s="46">
        <v>2888601</v>
      </c>
      <c r="AO93" s="47"/>
      <c r="AP93" s="47"/>
      <c r="AQ93" s="47"/>
      <c r="AR93" s="48"/>
      <c r="AS93" s="46">
        <v>0</v>
      </c>
      <c r="AT93" s="47"/>
      <c r="AU93" s="47"/>
      <c r="AV93" s="47"/>
      <c r="AW93" s="48"/>
      <c r="AX93" s="46">
        <v>0</v>
      </c>
      <c r="AY93" s="47"/>
      <c r="AZ93" s="47"/>
      <c r="BA93" s="48"/>
      <c r="BB93" s="46">
        <f t="shared" si="1"/>
        <v>2888601</v>
      </c>
      <c r="BC93" s="47"/>
      <c r="BD93" s="47"/>
      <c r="BE93" s="47"/>
      <c r="BF93" s="48"/>
      <c r="BG93" s="46">
        <v>3331206</v>
      </c>
      <c r="BH93" s="47"/>
      <c r="BI93" s="47"/>
      <c r="BJ93" s="47"/>
      <c r="BK93" s="48"/>
      <c r="BL93" s="46">
        <v>0</v>
      </c>
      <c r="BM93" s="47"/>
      <c r="BN93" s="47"/>
      <c r="BO93" s="47"/>
      <c r="BP93" s="48"/>
      <c r="BQ93" s="46">
        <v>0</v>
      </c>
      <c r="BR93" s="47"/>
      <c r="BS93" s="47"/>
      <c r="BT93" s="48"/>
      <c r="BU93" s="46">
        <f t="shared" si="2"/>
        <v>3331206</v>
      </c>
      <c r="BV93" s="47"/>
      <c r="BW93" s="47"/>
      <c r="BX93" s="47"/>
      <c r="BY93" s="48"/>
    </row>
    <row r="94" spans="1:79" s="4" customFormat="1" ht="12.75" customHeight="1" x14ac:dyDescent="0.2">
      <c r="A94" s="34">
        <v>5</v>
      </c>
      <c r="B94" s="35"/>
      <c r="C94" s="35"/>
      <c r="D94" s="27" t="s">
        <v>182</v>
      </c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9"/>
      <c r="U94" s="46">
        <v>393716</v>
      </c>
      <c r="V94" s="47"/>
      <c r="W94" s="47"/>
      <c r="X94" s="47"/>
      <c r="Y94" s="48"/>
      <c r="Z94" s="46">
        <v>0</v>
      </c>
      <c r="AA94" s="47"/>
      <c r="AB94" s="47"/>
      <c r="AC94" s="47"/>
      <c r="AD94" s="48"/>
      <c r="AE94" s="46">
        <v>0</v>
      </c>
      <c r="AF94" s="47"/>
      <c r="AG94" s="47"/>
      <c r="AH94" s="48"/>
      <c r="AI94" s="46">
        <f t="shared" si="0"/>
        <v>393716</v>
      </c>
      <c r="AJ94" s="47"/>
      <c r="AK94" s="47"/>
      <c r="AL94" s="47"/>
      <c r="AM94" s="48"/>
      <c r="AN94" s="46">
        <v>635491</v>
      </c>
      <c r="AO94" s="47"/>
      <c r="AP94" s="47"/>
      <c r="AQ94" s="47"/>
      <c r="AR94" s="48"/>
      <c r="AS94" s="46">
        <v>0</v>
      </c>
      <c r="AT94" s="47"/>
      <c r="AU94" s="47"/>
      <c r="AV94" s="47"/>
      <c r="AW94" s="48"/>
      <c r="AX94" s="46">
        <v>0</v>
      </c>
      <c r="AY94" s="47"/>
      <c r="AZ94" s="47"/>
      <c r="BA94" s="48"/>
      <c r="BB94" s="46">
        <f t="shared" si="1"/>
        <v>635491</v>
      </c>
      <c r="BC94" s="47"/>
      <c r="BD94" s="47"/>
      <c r="BE94" s="47"/>
      <c r="BF94" s="48"/>
      <c r="BG94" s="46">
        <v>732866</v>
      </c>
      <c r="BH94" s="47"/>
      <c r="BI94" s="47"/>
      <c r="BJ94" s="47"/>
      <c r="BK94" s="48"/>
      <c r="BL94" s="46">
        <v>0</v>
      </c>
      <c r="BM94" s="47"/>
      <c r="BN94" s="47"/>
      <c r="BO94" s="47"/>
      <c r="BP94" s="48"/>
      <c r="BQ94" s="46">
        <v>0</v>
      </c>
      <c r="BR94" s="47"/>
      <c r="BS94" s="47"/>
      <c r="BT94" s="48"/>
      <c r="BU94" s="46">
        <f t="shared" si="2"/>
        <v>732866</v>
      </c>
      <c r="BV94" s="47"/>
      <c r="BW94" s="47"/>
      <c r="BX94" s="47"/>
      <c r="BY94" s="48"/>
    </row>
    <row r="95" spans="1:79" s="4" customFormat="1" ht="25.5" customHeight="1" x14ac:dyDescent="0.2">
      <c r="A95" s="34">
        <v>6</v>
      </c>
      <c r="B95" s="35"/>
      <c r="C95" s="35"/>
      <c r="D95" s="27" t="s">
        <v>183</v>
      </c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9"/>
      <c r="U95" s="46">
        <v>0</v>
      </c>
      <c r="V95" s="47"/>
      <c r="W95" s="47"/>
      <c r="X95" s="47"/>
      <c r="Y95" s="48"/>
      <c r="Z95" s="46">
        <v>0</v>
      </c>
      <c r="AA95" s="47"/>
      <c r="AB95" s="47"/>
      <c r="AC95" s="47"/>
      <c r="AD95" s="48"/>
      <c r="AE95" s="46">
        <v>0</v>
      </c>
      <c r="AF95" s="47"/>
      <c r="AG95" s="47"/>
      <c r="AH95" s="48"/>
      <c r="AI95" s="46">
        <f t="shared" si="0"/>
        <v>0</v>
      </c>
      <c r="AJ95" s="47"/>
      <c r="AK95" s="47"/>
      <c r="AL95" s="47"/>
      <c r="AM95" s="48"/>
      <c r="AN95" s="46">
        <v>60200</v>
      </c>
      <c r="AO95" s="47"/>
      <c r="AP95" s="47"/>
      <c r="AQ95" s="47"/>
      <c r="AR95" s="48"/>
      <c r="AS95" s="46">
        <v>0</v>
      </c>
      <c r="AT95" s="47"/>
      <c r="AU95" s="47"/>
      <c r="AV95" s="47"/>
      <c r="AW95" s="48"/>
      <c r="AX95" s="46">
        <v>0</v>
      </c>
      <c r="AY95" s="47"/>
      <c r="AZ95" s="47"/>
      <c r="BA95" s="48"/>
      <c r="BB95" s="46">
        <f t="shared" si="1"/>
        <v>60200</v>
      </c>
      <c r="BC95" s="47"/>
      <c r="BD95" s="47"/>
      <c r="BE95" s="47"/>
      <c r="BF95" s="48"/>
      <c r="BG95" s="46">
        <v>87200</v>
      </c>
      <c r="BH95" s="47"/>
      <c r="BI95" s="47"/>
      <c r="BJ95" s="47"/>
      <c r="BK95" s="48"/>
      <c r="BL95" s="46">
        <v>0</v>
      </c>
      <c r="BM95" s="47"/>
      <c r="BN95" s="47"/>
      <c r="BO95" s="47"/>
      <c r="BP95" s="48"/>
      <c r="BQ95" s="46">
        <v>0</v>
      </c>
      <c r="BR95" s="47"/>
      <c r="BS95" s="47"/>
      <c r="BT95" s="48"/>
      <c r="BU95" s="46">
        <f t="shared" si="2"/>
        <v>87200</v>
      </c>
      <c r="BV95" s="47"/>
      <c r="BW95" s="47"/>
      <c r="BX95" s="47"/>
      <c r="BY95" s="48"/>
    </row>
    <row r="96" spans="1:79" s="4" customFormat="1" ht="12.75" customHeight="1" x14ac:dyDescent="0.2">
      <c r="A96" s="34">
        <v>7</v>
      </c>
      <c r="B96" s="35"/>
      <c r="C96" s="35"/>
      <c r="D96" s="27" t="s">
        <v>184</v>
      </c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9"/>
      <c r="U96" s="46">
        <v>0</v>
      </c>
      <c r="V96" s="47"/>
      <c r="W96" s="47"/>
      <c r="X96" s="47"/>
      <c r="Y96" s="48"/>
      <c r="Z96" s="46">
        <v>0</v>
      </c>
      <c r="AA96" s="47"/>
      <c r="AB96" s="47"/>
      <c r="AC96" s="47"/>
      <c r="AD96" s="48"/>
      <c r="AE96" s="46">
        <v>0</v>
      </c>
      <c r="AF96" s="47"/>
      <c r="AG96" s="47"/>
      <c r="AH96" s="48"/>
      <c r="AI96" s="46">
        <f t="shared" si="0"/>
        <v>0</v>
      </c>
      <c r="AJ96" s="47"/>
      <c r="AK96" s="47"/>
      <c r="AL96" s="47"/>
      <c r="AM96" s="48"/>
      <c r="AN96" s="46">
        <v>12000</v>
      </c>
      <c r="AO96" s="47"/>
      <c r="AP96" s="47"/>
      <c r="AQ96" s="47"/>
      <c r="AR96" s="48"/>
      <c r="AS96" s="46">
        <v>0</v>
      </c>
      <c r="AT96" s="47"/>
      <c r="AU96" s="47"/>
      <c r="AV96" s="47"/>
      <c r="AW96" s="48"/>
      <c r="AX96" s="46">
        <v>0</v>
      </c>
      <c r="AY96" s="47"/>
      <c r="AZ96" s="47"/>
      <c r="BA96" s="48"/>
      <c r="BB96" s="46">
        <f t="shared" si="1"/>
        <v>12000</v>
      </c>
      <c r="BC96" s="47"/>
      <c r="BD96" s="47"/>
      <c r="BE96" s="47"/>
      <c r="BF96" s="48"/>
      <c r="BG96" s="46">
        <v>15000</v>
      </c>
      <c r="BH96" s="47"/>
      <c r="BI96" s="47"/>
      <c r="BJ96" s="47"/>
      <c r="BK96" s="48"/>
      <c r="BL96" s="46">
        <v>0</v>
      </c>
      <c r="BM96" s="47"/>
      <c r="BN96" s="47"/>
      <c r="BO96" s="47"/>
      <c r="BP96" s="48"/>
      <c r="BQ96" s="46">
        <v>0</v>
      </c>
      <c r="BR96" s="47"/>
      <c r="BS96" s="47"/>
      <c r="BT96" s="48"/>
      <c r="BU96" s="46">
        <f t="shared" si="2"/>
        <v>15000</v>
      </c>
      <c r="BV96" s="47"/>
      <c r="BW96" s="47"/>
      <c r="BX96" s="47"/>
      <c r="BY96" s="48"/>
    </row>
    <row r="97" spans="1:77" s="4" customFormat="1" ht="14.25" customHeight="1" x14ac:dyDescent="0.2">
      <c r="A97" s="34">
        <v>8</v>
      </c>
      <c r="B97" s="35"/>
      <c r="C97" s="35"/>
      <c r="D97" s="27" t="s">
        <v>185</v>
      </c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9"/>
      <c r="U97" s="46">
        <v>0</v>
      </c>
      <c r="V97" s="47"/>
      <c r="W97" s="47"/>
      <c r="X97" s="47"/>
      <c r="Y97" s="48"/>
      <c r="Z97" s="46">
        <v>0</v>
      </c>
      <c r="AA97" s="47"/>
      <c r="AB97" s="47"/>
      <c r="AC97" s="47"/>
      <c r="AD97" s="48"/>
      <c r="AE97" s="46">
        <v>0</v>
      </c>
      <c r="AF97" s="47"/>
      <c r="AG97" s="47"/>
      <c r="AH97" s="48"/>
      <c r="AI97" s="46">
        <f t="shared" si="0"/>
        <v>0</v>
      </c>
      <c r="AJ97" s="47"/>
      <c r="AK97" s="47"/>
      <c r="AL97" s="47"/>
      <c r="AM97" s="48"/>
      <c r="AN97" s="46">
        <v>12000</v>
      </c>
      <c r="AO97" s="47"/>
      <c r="AP97" s="47"/>
      <c r="AQ97" s="47"/>
      <c r="AR97" s="48"/>
      <c r="AS97" s="46">
        <v>0</v>
      </c>
      <c r="AT97" s="47"/>
      <c r="AU97" s="47"/>
      <c r="AV97" s="47"/>
      <c r="AW97" s="48"/>
      <c r="AX97" s="46">
        <v>0</v>
      </c>
      <c r="AY97" s="47"/>
      <c r="AZ97" s="47"/>
      <c r="BA97" s="48"/>
      <c r="BB97" s="46">
        <f t="shared" si="1"/>
        <v>12000</v>
      </c>
      <c r="BC97" s="47"/>
      <c r="BD97" s="47"/>
      <c r="BE97" s="47"/>
      <c r="BF97" s="48"/>
      <c r="BG97" s="46">
        <v>24000</v>
      </c>
      <c r="BH97" s="47"/>
      <c r="BI97" s="47"/>
      <c r="BJ97" s="47"/>
      <c r="BK97" s="48"/>
      <c r="BL97" s="46">
        <v>0</v>
      </c>
      <c r="BM97" s="47"/>
      <c r="BN97" s="47"/>
      <c r="BO97" s="47"/>
      <c r="BP97" s="48"/>
      <c r="BQ97" s="46">
        <v>0</v>
      </c>
      <c r="BR97" s="47"/>
      <c r="BS97" s="47"/>
      <c r="BT97" s="48"/>
      <c r="BU97" s="46">
        <f t="shared" si="2"/>
        <v>24000</v>
      </c>
      <c r="BV97" s="47"/>
      <c r="BW97" s="47"/>
      <c r="BX97" s="47"/>
      <c r="BY97" s="48"/>
    </row>
    <row r="98" spans="1:77" s="4" customFormat="1" ht="25.5" customHeight="1" x14ac:dyDescent="0.2">
      <c r="A98" s="34">
        <v>9</v>
      </c>
      <c r="B98" s="35"/>
      <c r="C98" s="35"/>
      <c r="D98" s="27" t="s">
        <v>186</v>
      </c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9"/>
      <c r="U98" s="46">
        <v>99545</v>
      </c>
      <c r="V98" s="47"/>
      <c r="W98" s="47"/>
      <c r="X98" s="47"/>
      <c r="Y98" s="48"/>
      <c r="Z98" s="46">
        <v>0</v>
      </c>
      <c r="AA98" s="47"/>
      <c r="AB98" s="47"/>
      <c r="AC98" s="47"/>
      <c r="AD98" s="48"/>
      <c r="AE98" s="46">
        <v>0</v>
      </c>
      <c r="AF98" s="47"/>
      <c r="AG98" s="47"/>
      <c r="AH98" s="48"/>
      <c r="AI98" s="46">
        <f t="shared" si="0"/>
        <v>99545</v>
      </c>
      <c r="AJ98" s="47"/>
      <c r="AK98" s="47"/>
      <c r="AL98" s="47"/>
      <c r="AM98" s="48"/>
      <c r="AN98" s="46">
        <v>99875</v>
      </c>
      <c r="AO98" s="47"/>
      <c r="AP98" s="47"/>
      <c r="AQ98" s="47"/>
      <c r="AR98" s="48"/>
      <c r="AS98" s="46">
        <v>0</v>
      </c>
      <c r="AT98" s="47"/>
      <c r="AU98" s="47"/>
      <c r="AV98" s="47"/>
      <c r="AW98" s="48"/>
      <c r="AX98" s="46">
        <v>0</v>
      </c>
      <c r="AY98" s="47"/>
      <c r="AZ98" s="47"/>
      <c r="BA98" s="48"/>
      <c r="BB98" s="46">
        <f t="shared" si="1"/>
        <v>99875</v>
      </c>
      <c r="BC98" s="47"/>
      <c r="BD98" s="47"/>
      <c r="BE98" s="47"/>
      <c r="BF98" s="48"/>
      <c r="BG98" s="46">
        <v>99875</v>
      </c>
      <c r="BH98" s="47"/>
      <c r="BI98" s="47"/>
      <c r="BJ98" s="47"/>
      <c r="BK98" s="48"/>
      <c r="BL98" s="46">
        <v>0</v>
      </c>
      <c r="BM98" s="47"/>
      <c r="BN98" s="47"/>
      <c r="BO98" s="47"/>
      <c r="BP98" s="48"/>
      <c r="BQ98" s="46">
        <v>0</v>
      </c>
      <c r="BR98" s="47"/>
      <c r="BS98" s="47"/>
      <c r="BT98" s="48"/>
      <c r="BU98" s="46">
        <f t="shared" si="2"/>
        <v>99875</v>
      </c>
      <c r="BV98" s="47"/>
      <c r="BW98" s="47"/>
      <c r="BX98" s="47"/>
      <c r="BY98" s="48"/>
    </row>
    <row r="99" spans="1:77" s="4" customFormat="1" ht="12.75" customHeight="1" x14ac:dyDescent="0.2">
      <c r="A99" s="34">
        <v>10</v>
      </c>
      <c r="B99" s="35"/>
      <c r="C99" s="35"/>
      <c r="D99" s="27" t="s">
        <v>187</v>
      </c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9"/>
      <c r="U99" s="46">
        <v>0</v>
      </c>
      <c r="V99" s="47"/>
      <c r="W99" s="47"/>
      <c r="X99" s="47"/>
      <c r="Y99" s="48"/>
      <c r="Z99" s="46">
        <v>0</v>
      </c>
      <c r="AA99" s="47"/>
      <c r="AB99" s="47"/>
      <c r="AC99" s="47"/>
      <c r="AD99" s="48"/>
      <c r="AE99" s="46">
        <v>0</v>
      </c>
      <c r="AF99" s="47"/>
      <c r="AG99" s="47"/>
      <c r="AH99" s="48"/>
      <c r="AI99" s="46">
        <f t="shared" si="0"/>
        <v>0</v>
      </c>
      <c r="AJ99" s="47"/>
      <c r="AK99" s="47"/>
      <c r="AL99" s="47"/>
      <c r="AM99" s="48"/>
      <c r="AN99" s="46">
        <v>2000</v>
      </c>
      <c r="AO99" s="47"/>
      <c r="AP99" s="47"/>
      <c r="AQ99" s="47"/>
      <c r="AR99" s="48"/>
      <c r="AS99" s="46">
        <v>0</v>
      </c>
      <c r="AT99" s="47"/>
      <c r="AU99" s="47"/>
      <c r="AV99" s="47"/>
      <c r="AW99" s="48"/>
      <c r="AX99" s="46">
        <v>0</v>
      </c>
      <c r="AY99" s="47"/>
      <c r="AZ99" s="47"/>
      <c r="BA99" s="48"/>
      <c r="BB99" s="46">
        <f t="shared" si="1"/>
        <v>2000</v>
      </c>
      <c r="BC99" s="47"/>
      <c r="BD99" s="47"/>
      <c r="BE99" s="47"/>
      <c r="BF99" s="48"/>
      <c r="BG99" s="46">
        <v>2000</v>
      </c>
      <c r="BH99" s="47"/>
      <c r="BI99" s="47"/>
      <c r="BJ99" s="47"/>
      <c r="BK99" s="48"/>
      <c r="BL99" s="46">
        <v>0</v>
      </c>
      <c r="BM99" s="47"/>
      <c r="BN99" s="47"/>
      <c r="BO99" s="47"/>
      <c r="BP99" s="48"/>
      <c r="BQ99" s="46">
        <v>0</v>
      </c>
      <c r="BR99" s="47"/>
      <c r="BS99" s="47"/>
      <c r="BT99" s="48"/>
      <c r="BU99" s="46">
        <f t="shared" si="2"/>
        <v>2000</v>
      </c>
      <c r="BV99" s="47"/>
      <c r="BW99" s="47"/>
      <c r="BX99" s="47"/>
      <c r="BY99" s="48"/>
    </row>
    <row r="100" spans="1:77" s="4" customFormat="1" ht="25.5" customHeight="1" x14ac:dyDescent="0.2">
      <c r="A100" s="34">
        <v>11</v>
      </c>
      <c r="B100" s="35"/>
      <c r="C100" s="35"/>
      <c r="D100" s="27" t="s">
        <v>188</v>
      </c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9"/>
      <c r="U100" s="46">
        <v>0</v>
      </c>
      <c r="V100" s="47"/>
      <c r="W100" s="47"/>
      <c r="X100" s="47"/>
      <c r="Y100" s="48"/>
      <c r="Z100" s="46">
        <v>0</v>
      </c>
      <c r="AA100" s="47"/>
      <c r="AB100" s="47"/>
      <c r="AC100" s="47"/>
      <c r="AD100" s="48"/>
      <c r="AE100" s="46">
        <v>0</v>
      </c>
      <c r="AF100" s="47"/>
      <c r="AG100" s="47"/>
      <c r="AH100" s="48"/>
      <c r="AI100" s="46">
        <f t="shared" si="0"/>
        <v>0</v>
      </c>
      <c r="AJ100" s="47"/>
      <c r="AK100" s="47"/>
      <c r="AL100" s="47"/>
      <c r="AM100" s="48"/>
      <c r="AN100" s="46">
        <v>52000</v>
      </c>
      <c r="AO100" s="47"/>
      <c r="AP100" s="47"/>
      <c r="AQ100" s="47"/>
      <c r="AR100" s="48"/>
      <c r="AS100" s="46">
        <v>0</v>
      </c>
      <c r="AT100" s="47"/>
      <c r="AU100" s="47"/>
      <c r="AV100" s="47"/>
      <c r="AW100" s="48"/>
      <c r="AX100" s="46">
        <v>0</v>
      </c>
      <c r="AY100" s="47"/>
      <c r="AZ100" s="47"/>
      <c r="BA100" s="48"/>
      <c r="BB100" s="46">
        <f t="shared" si="1"/>
        <v>52000</v>
      </c>
      <c r="BC100" s="47"/>
      <c r="BD100" s="47"/>
      <c r="BE100" s="47"/>
      <c r="BF100" s="48"/>
      <c r="BG100" s="46">
        <v>52000</v>
      </c>
      <c r="BH100" s="47"/>
      <c r="BI100" s="47"/>
      <c r="BJ100" s="47"/>
      <c r="BK100" s="48"/>
      <c r="BL100" s="46">
        <v>0</v>
      </c>
      <c r="BM100" s="47"/>
      <c r="BN100" s="47"/>
      <c r="BO100" s="47"/>
      <c r="BP100" s="48"/>
      <c r="BQ100" s="46">
        <v>0</v>
      </c>
      <c r="BR100" s="47"/>
      <c r="BS100" s="47"/>
      <c r="BT100" s="48"/>
      <c r="BU100" s="46">
        <f t="shared" si="2"/>
        <v>52000</v>
      </c>
      <c r="BV100" s="47"/>
      <c r="BW100" s="47"/>
      <c r="BX100" s="47"/>
      <c r="BY100" s="48"/>
    </row>
    <row r="101" spans="1:77" s="4" customFormat="1" ht="12.75" customHeight="1" x14ac:dyDescent="0.2">
      <c r="A101" s="34">
        <v>12</v>
      </c>
      <c r="B101" s="35"/>
      <c r="C101" s="35"/>
      <c r="D101" s="27" t="s">
        <v>189</v>
      </c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9"/>
      <c r="U101" s="46">
        <v>0</v>
      </c>
      <c r="V101" s="47"/>
      <c r="W101" s="47"/>
      <c r="X101" s="47"/>
      <c r="Y101" s="48"/>
      <c r="Z101" s="46">
        <v>0</v>
      </c>
      <c r="AA101" s="47"/>
      <c r="AB101" s="47"/>
      <c r="AC101" s="47"/>
      <c r="AD101" s="48"/>
      <c r="AE101" s="46">
        <v>0</v>
      </c>
      <c r="AF101" s="47"/>
      <c r="AG101" s="47"/>
      <c r="AH101" s="48"/>
      <c r="AI101" s="46">
        <f t="shared" si="0"/>
        <v>0</v>
      </c>
      <c r="AJ101" s="47"/>
      <c r="AK101" s="47"/>
      <c r="AL101" s="47"/>
      <c r="AM101" s="48"/>
      <c r="AN101" s="46">
        <v>42000</v>
      </c>
      <c r="AO101" s="47"/>
      <c r="AP101" s="47"/>
      <c r="AQ101" s="47"/>
      <c r="AR101" s="48"/>
      <c r="AS101" s="46">
        <v>0</v>
      </c>
      <c r="AT101" s="47"/>
      <c r="AU101" s="47"/>
      <c r="AV101" s="47"/>
      <c r="AW101" s="48"/>
      <c r="AX101" s="46">
        <v>0</v>
      </c>
      <c r="AY101" s="47"/>
      <c r="AZ101" s="47"/>
      <c r="BA101" s="48"/>
      <c r="BB101" s="46">
        <f t="shared" si="1"/>
        <v>42000</v>
      </c>
      <c r="BC101" s="47"/>
      <c r="BD101" s="47"/>
      <c r="BE101" s="47"/>
      <c r="BF101" s="48"/>
      <c r="BG101" s="46">
        <v>43300</v>
      </c>
      <c r="BH101" s="47"/>
      <c r="BI101" s="47"/>
      <c r="BJ101" s="47"/>
      <c r="BK101" s="48"/>
      <c r="BL101" s="46">
        <v>0</v>
      </c>
      <c r="BM101" s="47"/>
      <c r="BN101" s="47"/>
      <c r="BO101" s="47"/>
      <c r="BP101" s="48"/>
      <c r="BQ101" s="46">
        <v>0</v>
      </c>
      <c r="BR101" s="47"/>
      <c r="BS101" s="47"/>
      <c r="BT101" s="48"/>
      <c r="BU101" s="46">
        <f t="shared" si="2"/>
        <v>43300</v>
      </c>
      <c r="BV101" s="47"/>
      <c r="BW101" s="47"/>
      <c r="BX101" s="47"/>
      <c r="BY101" s="48"/>
    </row>
    <row r="102" spans="1:77" s="4" customFormat="1" ht="12.75" customHeight="1" x14ac:dyDescent="0.2">
      <c r="A102" s="34">
        <v>13</v>
      </c>
      <c r="B102" s="35"/>
      <c r="C102" s="35"/>
      <c r="D102" s="27" t="s">
        <v>190</v>
      </c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9"/>
      <c r="U102" s="46">
        <v>0</v>
      </c>
      <c r="V102" s="47"/>
      <c r="W102" s="47"/>
      <c r="X102" s="47"/>
      <c r="Y102" s="48"/>
      <c r="Z102" s="46">
        <v>0</v>
      </c>
      <c r="AA102" s="47"/>
      <c r="AB102" s="47"/>
      <c r="AC102" s="47"/>
      <c r="AD102" s="48"/>
      <c r="AE102" s="46">
        <v>0</v>
      </c>
      <c r="AF102" s="47"/>
      <c r="AG102" s="47"/>
      <c r="AH102" s="48"/>
      <c r="AI102" s="46">
        <f t="shared" si="0"/>
        <v>0</v>
      </c>
      <c r="AJ102" s="47"/>
      <c r="AK102" s="47"/>
      <c r="AL102" s="47"/>
      <c r="AM102" s="48"/>
      <c r="AN102" s="46">
        <v>15690</v>
      </c>
      <c r="AO102" s="47"/>
      <c r="AP102" s="47"/>
      <c r="AQ102" s="47"/>
      <c r="AR102" s="48"/>
      <c r="AS102" s="46">
        <v>0</v>
      </c>
      <c r="AT102" s="47"/>
      <c r="AU102" s="47"/>
      <c r="AV102" s="47"/>
      <c r="AW102" s="48"/>
      <c r="AX102" s="46">
        <v>0</v>
      </c>
      <c r="AY102" s="47"/>
      <c r="AZ102" s="47"/>
      <c r="BA102" s="48"/>
      <c r="BB102" s="46">
        <f t="shared" si="1"/>
        <v>15690</v>
      </c>
      <c r="BC102" s="47"/>
      <c r="BD102" s="47"/>
      <c r="BE102" s="47"/>
      <c r="BF102" s="48"/>
      <c r="BG102" s="46">
        <v>15690</v>
      </c>
      <c r="BH102" s="47"/>
      <c r="BI102" s="47"/>
      <c r="BJ102" s="47"/>
      <c r="BK102" s="48"/>
      <c r="BL102" s="46">
        <v>0</v>
      </c>
      <c r="BM102" s="47"/>
      <c r="BN102" s="47"/>
      <c r="BO102" s="47"/>
      <c r="BP102" s="48"/>
      <c r="BQ102" s="46">
        <v>0</v>
      </c>
      <c r="BR102" s="47"/>
      <c r="BS102" s="47"/>
      <c r="BT102" s="48"/>
      <c r="BU102" s="46">
        <f t="shared" si="2"/>
        <v>15690</v>
      </c>
      <c r="BV102" s="47"/>
      <c r="BW102" s="47"/>
      <c r="BX102" s="47"/>
      <c r="BY102" s="48"/>
    </row>
    <row r="103" spans="1:77" s="4" customFormat="1" ht="12.75" customHeight="1" x14ac:dyDescent="0.2">
      <c r="A103" s="34">
        <v>14</v>
      </c>
      <c r="B103" s="35"/>
      <c r="C103" s="35"/>
      <c r="D103" s="27" t="s">
        <v>191</v>
      </c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9"/>
      <c r="U103" s="46">
        <v>148866</v>
      </c>
      <c r="V103" s="47"/>
      <c r="W103" s="47"/>
      <c r="X103" s="47"/>
      <c r="Y103" s="48"/>
      <c r="Z103" s="46">
        <v>0</v>
      </c>
      <c r="AA103" s="47"/>
      <c r="AB103" s="47"/>
      <c r="AC103" s="47"/>
      <c r="AD103" s="48"/>
      <c r="AE103" s="46">
        <v>0</v>
      </c>
      <c r="AF103" s="47"/>
      <c r="AG103" s="47"/>
      <c r="AH103" s="48"/>
      <c r="AI103" s="46">
        <f t="shared" si="0"/>
        <v>148866</v>
      </c>
      <c r="AJ103" s="47"/>
      <c r="AK103" s="47"/>
      <c r="AL103" s="47"/>
      <c r="AM103" s="48"/>
      <c r="AN103" s="46">
        <v>53641</v>
      </c>
      <c r="AO103" s="47"/>
      <c r="AP103" s="47"/>
      <c r="AQ103" s="47"/>
      <c r="AR103" s="48"/>
      <c r="AS103" s="46">
        <v>0</v>
      </c>
      <c r="AT103" s="47"/>
      <c r="AU103" s="47"/>
      <c r="AV103" s="47"/>
      <c r="AW103" s="48"/>
      <c r="AX103" s="46">
        <v>0</v>
      </c>
      <c r="AY103" s="47"/>
      <c r="AZ103" s="47"/>
      <c r="BA103" s="48"/>
      <c r="BB103" s="46">
        <f t="shared" si="1"/>
        <v>53641</v>
      </c>
      <c r="BC103" s="47"/>
      <c r="BD103" s="47"/>
      <c r="BE103" s="47"/>
      <c r="BF103" s="48"/>
      <c r="BG103" s="46">
        <v>54100</v>
      </c>
      <c r="BH103" s="47"/>
      <c r="BI103" s="47"/>
      <c r="BJ103" s="47"/>
      <c r="BK103" s="48"/>
      <c r="BL103" s="46">
        <v>0</v>
      </c>
      <c r="BM103" s="47"/>
      <c r="BN103" s="47"/>
      <c r="BO103" s="47"/>
      <c r="BP103" s="48"/>
      <c r="BQ103" s="46">
        <v>0</v>
      </c>
      <c r="BR103" s="47"/>
      <c r="BS103" s="47"/>
      <c r="BT103" s="48"/>
      <c r="BU103" s="46">
        <f t="shared" si="2"/>
        <v>54100</v>
      </c>
      <c r="BV103" s="47"/>
      <c r="BW103" s="47"/>
      <c r="BX103" s="47"/>
      <c r="BY103" s="48"/>
    </row>
    <row r="104" spans="1:77" s="4" customFormat="1" ht="12.75" customHeight="1" x14ac:dyDescent="0.2">
      <c r="A104" s="34">
        <v>15</v>
      </c>
      <c r="B104" s="35"/>
      <c r="C104" s="35"/>
      <c r="D104" s="27" t="s">
        <v>192</v>
      </c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9"/>
      <c r="U104" s="46">
        <v>0</v>
      </c>
      <c r="V104" s="47"/>
      <c r="W104" s="47"/>
      <c r="X104" s="47"/>
      <c r="Y104" s="48"/>
      <c r="Z104" s="46">
        <v>23596</v>
      </c>
      <c r="AA104" s="47"/>
      <c r="AB104" s="47"/>
      <c r="AC104" s="47"/>
      <c r="AD104" s="48"/>
      <c r="AE104" s="46">
        <v>23596</v>
      </c>
      <c r="AF104" s="47"/>
      <c r="AG104" s="47"/>
      <c r="AH104" s="48"/>
      <c r="AI104" s="46">
        <f t="shared" si="0"/>
        <v>23596</v>
      </c>
      <c r="AJ104" s="47"/>
      <c r="AK104" s="47"/>
      <c r="AL104" s="47"/>
      <c r="AM104" s="48"/>
      <c r="AN104" s="46">
        <v>0</v>
      </c>
      <c r="AO104" s="47"/>
      <c r="AP104" s="47"/>
      <c r="AQ104" s="47"/>
      <c r="AR104" s="48"/>
      <c r="AS104" s="46">
        <v>0</v>
      </c>
      <c r="AT104" s="47"/>
      <c r="AU104" s="47"/>
      <c r="AV104" s="47"/>
      <c r="AW104" s="48"/>
      <c r="AX104" s="46">
        <v>0</v>
      </c>
      <c r="AY104" s="47"/>
      <c r="AZ104" s="47"/>
      <c r="BA104" s="48"/>
      <c r="BB104" s="46">
        <f t="shared" si="1"/>
        <v>0</v>
      </c>
      <c r="BC104" s="47"/>
      <c r="BD104" s="47"/>
      <c r="BE104" s="47"/>
      <c r="BF104" s="48"/>
      <c r="BG104" s="46">
        <v>0</v>
      </c>
      <c r="BH104" s="47"/>
      <c r="BI104" s="47"/>
      <c r="BJ104" s="47"/>
      <c r="BK104" s="48"/>
      <c r="BL104" s="46">
        <v>0</v>
      </c>
      <c r="BM104" s="47"/>
      <c r="BN104" s="47"/>
      <c r="BO104" s="47"/>
      <c r="BP104" s="48"/>
      <c r="BQ104" s="46">
        <v>0</v>
      </c>
      <c r="BR104" s="47"/>
      <c r="BS104" s="47"/>
      <c r="BT104" s="48"/>
      <c r="BU104" s="46">
        <f t="shared" si="2"/>
        <v>0</v>
      </c>
      <c r="BV104" s="47"/>
      <c r="BW104" s="47"/>
      <c r="BX104" s="47"/>
      <c r="BY104" s="48"/>
    </row>
    <row r="105" spans="1:77" s="4" customFormat="1" ht="12.75" customHeight="1" x14ac:dyDescent="0.2">
      <c r="A105" s="34">
        <v>16</v>
      </c>
      <c r="B105" s="35"/>
      <c r="C105" s="35"/>
      <c r="D105" s="27" t="s">
        <v>193</v>
      </c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9"/>
      <c r="U105" s="46">
        <v>39509</v>
      </c>
      <c r="V105" s="47"/>
      <c r="W105" s="47"/>
      <c r="X105" s="47"/>
      <c r="Y105" s="48"/>
      <c r="Z105" s="46">
        <v>0</v>
      </c>
      <c r="AA105" s="47"/>
      <c r="AB105" s="47"/>
      <c r="AC105" s="47"/>
      <c r="AD105" s="48"/>
      <c r="AE105" s="46">
        <v>0</v>
      </c>
      <c r="AF105" s="47"/>
      <c r="AG105" s="47"/>
      <c r="AH105" s="48"/>
      <c r="AI105" s="46">
        <f t="shared" si="0"/>
        <v>39509</v>
      </c>
      <c r="AJ105" s="47"/>
      <c r="AK105" s="47"/>
      <c r="AL105" s="47"/>
      <c r="AM105" s="48"/>
      <c r="AN105" s="46">
        <v>60000</v>
      </c>
      <c r="AO105" s="47"/>
      <c r="AP105" s="47"/>
      <c r="AQ105" s="47"/>
      <c r="AR105" s="48"/>
      <c r="AS105" s="46">
        <v>0</v>
      </c>
      <c r="AT105" s="47"/>
      <c r="AU105" s="47"/>
      <c r="AV105" s="47"/>
      <c r="AW105" s="48"/>
      <c r="AX105" s="46">
        <v>0</v>
      </c>
      <c r="AY105" s="47"/>
      <c r="AZ105" s="47"/>
      <c r="BA105" s="48"/>
      <c r="BB105" s="46">
        <f t="shared" si="1"/>
        <v>60000</v>
      </c>
      <c r="BC105" s="47"/>
      <c r="BD105" s="47"/>
      <c r="BE105" s="47"/>
      <c r="BF105" s="48"/>
      <c r="BG105" s="46">
        <v>99000</v>
      </c>
      <c r="BH105" s="47"/>
      <c r="BI105" s="47"/>
      <c r="BJ105" s="47"/>
      <c r="BK105" s="48"/>
      <c r="BL105" s="46">
        <v>0</v>
      </c>
      <c r="BM105" s="47"/>
      <c r="BN105" s="47"/>
      <c r="BO105" s="47"/>
      <c r="BP105" s="48"/>
      <c r="BQ105" s="46">
        <v>0</v>
      </c>
      <c r="BR105" s="47"/>
      <c r="BS105" s="47"/>
      <c r="BT105" s="48"/>
      <c r="BU105" s="46">
        <f t="shared" si="2"/>
        <v>99000</v>
      </c>
      <c r="BV105" s="47"/>
      <c r="BW105" s="47"/>
      <c r="BX105" s="47"/>
      <c r="BY105" s="48"/>
    </row>
    <row r="106" spans="1:77" s="4" customFormat="1" ht="25.5" customHeight="1" x14ac:dyDescent="0.2">
      <c r="A106" s="34">
        <v>17</v>
      </c>
      <c r="B106" s="35"/>
      <c r="C106" s="35"/>
      <c r="D106" s="27" t="s">
        <v>194</v>
      </c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9"/>
      <c r="U106" s="46">
        <v>0</v>
      </c>
      <c r="V106" s="47"/>
      <c r="W106" s="47"/>
      <c r="X106" s="47"/>
      <c r="Y106" s="48"/>
      <c r="Z106" s="46">
        <v>0</v>
      </c>
      <c r="AA106" s="47"/>
      <c r="AB106" s="47"/>
      <c r="AC106" s="47"/>
      <c r="AD106" s="48"/>
      <c r="AE106" s="46">
        <v>0</v>
      </c>
      <c r="AF106" s="47"/>
      <c r="AG106" s="47"/>
      <c r="AH106" s="48"/>
      <c r="AI106" s="46">
        <f t="shared" si="0"/>
        <v>0</v>
      </c>
      <c r="AJ106" s="47"/>
      <c r="AK106" s="47"/>
      <c r="AL106" s="47"/>
      <c r="AM106" s="48"/>
      <c r="AN106" s="46">
        <v>49910</v>
      </c>
      <c r="AO106" s="47"/>
      <c r="AP106" s="47"/>
      <c r="AQ106" s="47"/>
      <c r="AR106" s="48"/>
      <c r="AS106" s="46">
        <v>0</v>
      </c>
      <c r="AT106" s="47"/>
      <c r="AU106" s="47"/>
      <c r="AV106" s="47"/>
      <c r="AW106" s="48"/>
      <c r="AX106" s="46">
        <v>0</v>
      </c>
      <c r="AY106" s="47"/>
      <c r="AZ106" s="47"/>
      <c r="BA106" s="48"/>
      <c r="BB106" s="46">
        <f t="shared" si="1"/>
        <v>49910</v>
      </c>
      <c r="BC106" s="47"/>
      <c r="BD106" s="47"/>
      <c r="BE106" s="47"/>
      <c r="BF106" s="48"/>
      <c r="BG106" s="46">
        <v>49910</v>
      </c>
      <c r="BH106" s="47"/>
      <c r="BI106" s="47"/>
      <c r="BJ106" s="47"/>
      <c r="BK106" s="48"/>
      <c r="BL106" s="46">
        <v>0</v>
      </c>
      <c r="BM106" s="47"/>
      <c r="BN106" s="47"/>
      <c r="BO106" s="47"/>
      <c r="BP106" s="48"/>
      <c r="BQ106" s="46">
        <v>0</v>
      </c>
      <c r="BR106" s="47"/>
      <c r="BS106" s="47"/>
      <c r="BT106" s="48"/>
      <c r="BU106" s="46">
        <f t="shared" si="2"/>
        <v>49910</v>
      </c>
      <c r="BV106" s="47"/>
      <c r="BW106" s="47"/>
      <c r="BX106" s="47"/>
      <c r="BY106" s="48"/>
    </row>
    <row r="107" spans="1:77" s="4" customFormat="1" ht="63.75" customHeight="1" x14ac:dyDescent="0.2">
      <c r="A107" s="34">
        <v>18</v>
      </c>
      <c r="B107" s="35"/>
      <c r="C107" s="35"/>
      <c r="D107" s="27" t="s">
        <v>195</v>
      </c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9"/>
      <c r="U107" s="46">
        <v>0</v>
      </c>
      <c r="V107" s="47"/>
      <c r="W107" s="47"/>
      <c r="X107" s="47"/>
      <c r="Y107" s="48"/>
      <c r="Z107" s="46">
        <v>0</v>
      </c>
      <c r="AA107" s="47"/>
      <c r="AB107" s="47"/>
      <c r="AC107" s="47"/>
      <c r="AD107" s="48"/>
      <c r="AE107" s="46">
        <v>0</v>
      </c>
      <c r="AF107" s="47"/>
      <c r="AG107" s="47"/>
      <c r="AH107" s="48"/>
      <c r="AI107" s="46">
        <f t="shared" si="0"/>
        <v>0</v>
      </c>
      <c r="AJ107" s="47"/>
      <c r="AK107" s="47"/>
      <c r="AL107" s="47"/>
      <c r="AM107" s="48"/>
      <c r="AN107" s="46">
        <v>500</v>
      </c>
      <c r="AO107" s="47"/>
      <c r="AP107" s="47"/>
      <c r="AQ107" s="47"/>
      <c r="AR107" s="48"/>
      <c r="AS107" s="46">
        <v>0</v>
      </c>
      <c r="AT107" s="47"/>
      <c r="AU107" s="47"/>
      <c r="AV107" s="47"/>
      <c r="AW107" s="48"/>
      <c r="AX107" s="46">
        <v>0</v>
      </c>
      <c r="AY107" s="47"/>
      <c r="AZ107" s="47"/>
      <c r="BA107" s="48"/>
      <c r="BB107" s="46">
        <f t="shared" si="1"/>
        <v>500</v>
      </c>
      <c r="BC107" s="47"/>
      <c r="BD107" s="47"/>
      <c r="BE107" s="47"/>
      <c r="BF107" s="48"/>
      <c r="BG107" s="46">
        <v>500</v>
      </c>
      <c r="BH107" s="47"/>
      <c r="BI107" s="47"/>
      <c r="BJ107" s="47"/>
      <c r="BK107" s="48"/>
      <c r="BL107" s="46">
        <v>0</v>
      </c>
      <c r="BM107" s="47"/>
      <c r="BN107" s="47"/>
      <c r="BO107" s="47"/>
      <c r="BP107" s="48"/>
      <c r="BQ107" s="46">
        <v>0</v>
      </c>
      <c r="BR107" s="47"/>
      <c r="BS107" s="47"/>
      <c r="BT107" s="48"/>
      <c r="BU107" s="46">
        <f t="shared" si="2"/>
        <v>500</v>
      </c>
      <c r="BV107" s="47"/>
      <c r="BW107" s="47"/>
      <c r="BX107" s="47"/>
      <c r="BY107" s="48"/>
    </row>
    <row r="108" spans="1:77" s="4" customFormat="1" ht="27" customHeight="1" x14ac:dyDescent="0.2">
      <c r="A108" s="34">
        <v>19</v>
      </c>
      <c r="B108" s="35"/>
      <c r="C108" s="35"/>
      <c r="D108" s="27" t="s">
        <v>196</v>
      </c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9"/>
      <c r="U108" s="46">
        <v>0</v>
      </c>
      <c r="V108" s="47"/>
      <c r="W108" s="47"/>
      <c r="X108" s="47"/>
      <c r="Y108" s="48"/>
      <c r="Z108" s="46">
        <v>0</v>
      </c>
      <c r="AA108" s="47"/>
      <c r="AB108" s="47"/>
      <c r="AC108" s="47"/>
      <c r="AD108" s="48"/>
      <c r="AE108" s="46">
        <v>0</v>
      </c>
      <c r="AF108" s="47"/>
      <c r="AG108" s="47"/>
      <c r="AH108" s="48"/>
      <c r="AI108" s="46">
        <f t="shared" si="0"/>
        <v>0</v>
      </c>
      <c r="AJ108" s="47"/>
      <c r="AK108" s="47"/>
      <c r="AL108" s="47"/>
      <c r="AM108" s="48"/>
      <c r="AN108" s="46">
        <v>90000</v>
      </c>
      <c r="AO108" s="47"/>
      <c r="AP108" s="47"/>
      <c r="AQ108" s="47"/>
      <c r="AR108" s="48"/>
      <c r="AS108" s="46">
        <v>0</v>
      </c>
      <c r="AT108" s="47"/>
      <c r="AU108" s="47"/>
      <c r="AV108" s="47"/>
      <c r="AW108" s="48"/>
      <c r="AX108" s="46">
        <v>0</v>
      </c>
      <c r="AY108" s="47"/>
      <c r="AZ108" s="47"/>
      <c r="BA108" s="48"/>
      <c r="BB108" s="46">
        <f t="shared" si="1"/>
        <v>90000</v>
      </c>
      <c r="BC108" s="47"/>
      <c r="BD108" s="47"/>
      <c r="BE108" s="47"/>
      <c r="BF108" s="48"/>
      <c r="BG108" s="46">
        <v>0</v>
      </c>
      <c r="BH108" s="47"/>
      <c r="BI108" s="47"/>
      <c r="BJ108" s="47"/>
      <c r="BK108" s="48"/>
      <c r="BL108" s="46">
        <v>0</v>
      </c>
      <c r="BM108" s="47"/>
      <c r="BN108" s="47"/>
      <c r="BO108" s="47"/>
      <c r="BP108" s="48"/>
      <c r="BQ108" s="46">
        <v>0</v>
      </c>
      <c r="BR108" s="47"/>
      <c r="BS108" s="47"/>
      <c r="BT108" s="48"/>
      <c r="BU108" s="46">
        <f t="shared" si="2"/>
        <v>0</v>
      </c>
      <c r="BV108" s="47"/>
      <c r="BW108" s="47"/>
      <c r="BX108" s="47"/>
      <c r="BY108" s="48"/>
    </row>
    <row r="109" spans="1:77" s="4" customFormat="1" ht="12.75" customHeight="1" x14ac:dyDescent="0.2">
      <c r="A109" s="34">
        <v>20</v>
      </c>
      <c r="B109" s="35"/>
      <c r="C109" s="35"/>
      <c r="D109" s="27" t="s">
        <v>197</v>
      </c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9"/>
      <c r="U109" s="46">
        <v>0</v>
      </c>
      <c r="V109" s="47"/>
      <c r="W109" s="47"/>
      <c r="X109" s="47"/>
      <c r="Y109" s="48"/>
      <c r="Z109" s="46">
        <v>0</v>
      </c>
      <c r="AA109" s="47"/>
      <c r="AB109" s="47"/>
      <c r="AC109" s="47"/>
      <c r="AD109" s="48"/>
      <c r="AE109" s="46">
        <v>0</v>
      </c>
      <c r="AF109" s="47"/>
      <c r="AG109" s="47"/>
      <c r="AH109" s="48"/>
      <c r="AI109" s="46">
        <f t="shared" si="0"/>
        <v>0</v>
      </c>
      <c r="AJ109" s="47"/>
      <c r="AK109" s="47"/>
      <c r="AL109" s="47"/>
      <c r="AM109" s="48"/>
      <c r="AN109" s="46">
        <v>3632</v>
      </c>
      <c r="AO109" s="47"/>
      <c r="AP109" s="47"/>
      <c r="AQ109" s="47"/>
      <c r="AR109" s="48"/>
      <c r="AS109" s="46">
        <v>0</v>
      </c>
      <c r="AT109" s="47"/>
      <c r="AU109" s="47"/>
      <c r="AV109" s="47"/>
      <c r="AW109" s="48"/>
      <c r="AX109" s="46">
        <v>0</v>
      </c>
      <c r="AY109" s="47"/>
      <c r="AZ109" s="47"/>
      <c r="BA109" s="48"/>
      <c r="BB109" s="46">
        <f t="shared" si="1"/>
        <v>3632</v>
      </c>
      <c r="BC109" s="47"/>
      <c r="BD109" s="47"/>
      <c r="BE109" s="47"/>
      <c r="BF109" s="48"/>
      <c r="BG109" s="46">
        <v>0</v>
      </c>
      <c r="BH109" s="47"/>
      <c r="BI109" s="47"/>
      <c r="BJ109" s="47"/>
      <c r="BK109" s="48"/>
      <c r="BL109" s="46">
        <v>0</v>
      </c>
      <c r="BM109" s="47"/>
      <c r="BN109" s="47"/>
      <c r="BO109" s="47"/>
      <c r="BP109" s="48"/>
      <c r="BQ109" s="46">
        <v>0</v>
      </c>
      <c r="BR109" s="47"/>
      <c r="BS109" s="47"/>
      <c r="BT109" s="48"/>
      <c r="BU109" s="46">
        <f t="shared" si="2"/>
        <v>0</v>
      </c>
      <c r="BV109" s="47"/>
      <c r="BW109" s="47"/>
      <c r="BX109" s="47"/>
      <c r="BY109" s="48"/>
    </row>
    <row r="110" spans="1:77" s="4" customFormat="1" ht="25.5" customHeight="1" x14ac:dyDescent="0.2">
      <c r="A110" s="34">
        <v>21</v>
      </c>
      <c r="B110" s="35"/>
      <c r="C110" s="35"/>
      <c r="D110" s="27" t="s">
        <v>198</v>
      </c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9"/>
      <c r="U110" s="46">
        <v>40000</v>
      </c>
      <c r="V110" s="47"/>
      <c r="W110" s="47"/>
      <c r="X110" s="47"/>
      <c r="Y110" s="48"/>
      <c r="Z110" s="46">
        <v>0</v>
      </c>
      <c r="AA110" s="47"/>
      <c r="AB110" s="47"/>
      <c r="AC110" s="47"/>
      <c r="AD110" s="48"/>
      <c r="AE110" s="46">
        <v>0</v>
      </c>
      <c r="AF110" s="47"/>
      <c r="AG110" s="47"/>
      <c r="AH110" s="48"/>
      <c r="AI110" s="46">
        <f t="shared" si="0"/>
        <v>40000</v>
      </c>
      <c r="AJ110" s="47"/>
      <c r="AK110" s="47"/>
      <c r="AL110" s="47"/>
      <c r="AM110" s="48"/>
      <c r="AN110" s="46">
        <v>0</v>
      </c>
      <c r="AO110" s="47"/>
      <c r="AP110" s="47"/>
      <c r="AQ110" s="47"/>
      <c r="AR110" s="48"/>
      <c r="AS110" s="46">
        <v>0</v>
      </c>
      <c r="AT110" s="47"/>
      <c r="AU110" s="47"/>
      <c r="AV110" s="47"/>
      <c r="AW110" s="48"/>
      <c r="AX110" s="46">
        <v>0</v>
      </c>
      <c r="AY110" s="47"/>
      <c r="AZ110" s="47"/>
      <c r="BA110" s="48"/>
      <c r="BB110" s="46">
        <f t="shared" si="1"/>
        <v>0</v>
      </c>
      <c r="BC110" s="47"/>
      <c r="BD110" s="47"/>
      <c r="BE110" s="47"/>
      <c r="BF110" s="48"/>
      <c r="BG110" s="46">
        <v>0</v>
      </c>
      <c r="BH110" s="47"/>
      <c r="BI110" s="47"/>
      <c r="BJ110" s="47"/>
      <c r="BK110" s="48"/>
      <c r="BL110" s="46">
        <v>0</v>
      </c>
      <c r="BM110" s="47"/>
      <c r="BN110" s="47"/>
      <c r="BO110" s="47"/>
      <c r="BP110" s="48"/>
      <c r="BQ110" s="46">
        <v>0</v>
      </c>
      <c r="BR110" s="47"/>
      <c r="BS110" s="47"/>
      <c r="BT110" s="48"/>
      <c r="BU110" s="46">
        <f t="shared" si="2"/>
        <v>0</v>
      </c>
      <c r="BV110" s="47"/>
      <c r="BW110" s="47"/>
      <c r="BX110" s="47"/>
      <c r="BY110" s="48"/>
    </row>
    <row r="111" spans="1:77" s="4" customFormat="1" ht="51" customHeight="1" x14ac:dyDescent="0.2">
      <c r="A111" s="34">
        <v>22</v>
      </c>
      <c r="B111" s="35"/>
      <c r="C111" s="35"/>
      <c r="D111" s="27" t="s">
        <v>199</v>
      </c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9"/>
      <c r="U111" s="46">
        <v>38390</v>
      </c>
      <c r="V111" s="47"/>
      <c r="W111" s="47"/>
      <c r="X111" s="47"/>
      <c r="Y111" s="48"/>
      <c r="Z111" s="46">
        <v>0</v>
      </c>
      <c r="AA111" s="47"/>
      <c r="AB111" s="47"/>
      <c r="AC111" s="47"/>
      <c r="AD111" s="48"/>
      <c r="AE111" s="46">
        <v>0</v>
      </c>
      <c r="AF111" s="47"/>
      <c r="AG111" s="47"/>
      <c r="AH111" s="48"/>
      <c r="AI111" s="46">
        <f t="shared" si="0"/>
        <v>38390</v>
      </c>
      <c r="AJ111" s="47"/>
      <c r="AK111" s="47"/>
      <c r="AL111" s="47"/>
      <c r="AM111" s="48"/>
      <c r="AN111" s="46">
        <v>0</v>
      </c>
      <c r="AO111" s="47"/>
      <c r="AP111" s="47"/>
      <c r="AQ111" s="47"/>
      <c r="AR111" s="48"/>
      <c r="AS111" s="46">
        <v>0</v>
      </c>
      <c r="AT111" s="47"/>
      <c r="AU111" s="47"/>
      <c r="AV111" s="47"/>
      <c r="AW111" s="48"/>
      <c r="AX111" s="46">
        <v>0</v>
      </c>
      <c r="AY111" s="47"/>
      <c r="AZ111" s="47"/>
      <c r="BA111" s="48"/>
      <c r="BB111" s="46">
        <f t="shared" si="1"/>
        <v>0</v>
      </c>
      <c r="BC111" s="47"/>
      <c r="BD111" s="47"/>
      <c r="BE111" s="47"/>
      <c r="BF111" s="48"/>
      <c r="BG111" s="46">
        <v>0</v>
      </c>
      <c r="BH111" s="47"/>
      <c r="BI111" s="47"/>
      <c r="BJ111" s="47"/>
      <c r="BK111" s="48"/>
      <c r="BL111" s="46">
        <v>0</v>
      </c>
      <c r="BM111" s="47"/>
      <c r="BN111" s="47"/>
      <c r="BO111" s="47"/>
      <c r="BP111" s="48"/>
      <c r="BQ111" s="46">
        <v>0</v>
      </c>
      <c r="BR111" s="47"/>
      <c r="BS111" s="47"/>
      <c r="BT111" s="48"/>
      <c r="BU111" s="46">
        <f t="shared" si="2"/>
        <v>0</v>
      </c>
      <c r="BV111" s="47"/>
      <c r="BW111" s="47"/>
      <c r="BX111" s="47"/>
      <c r="BY111" s="48"/>
    </row>
    <row r="112" spans="1:77" s="4" customFormat="1" ht="51" customHeight="1" x14ac:dyDescent="0.2">
      <c r="A112" s="34">
        <v>23</v>
      </c>
      <c r="B112" s="35"/>
      <c r="C112" s="35"/>
      <c r="D112" s="27" t="s">
        <v>200</v>
      </c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9"/>
      <c r="U112" s="46">
        <v>199000</v>
      </c>
      <c r="V112" s="47"/>
      <c r="W112" s="47"/>
      <c r="X112" s="47"/>
      <c r="Y112" s="48"/>
      <c r="Z112" s="46">
        <v>0</v>
      </c>
      <c r="AA112" s="47"/>
      <c r="AB112" s="47"/>
      <c r="AC112" s="47"/>
      <c r="AD112" s="48"/>
      <c r="AE112" s="46">
        <v>0</v>
      </c>
      <c r="AF112" s="47"/>
      <c r="AG112" s="47"/>
      <c r="AH112" s="48"/>
      <c r="AI112" s="46">
        <f t="shared" si="0"/>
        <v>199000</v>
      </c>
      <c r="AJ112" s="47"/>
      <c r="AK112" s="47"/>
      <c r="AL112" s="47"/>
      <c r="AM112" s="48"/>
      <c r="AN112" s="46">
        <v>0</v>
      </c>
      <c r="AO112" s="47"/>
      <c r="AP112" s="47"/>
      <c r="AQ112" s="47"/>
      <c r="AR112" s="48"/>
      <c r="AS112" s="46">
        <v>0</v>
      </c>
      <c r="AT112" s="47"/>
      <c r="AU112" s="47"/>
      <c r="AV112" s="47"/>
      <c r="AW112" s="48"/>
      <c r="AX112" s="46">
        <v>0</v>
      </c>
      <c r="AY112" s="47"/>
      <c r="AZ112" s="47"/>
      <c r="BA112" s="48"/>
      <c r="BB112" s="46">
        <f t="shared" si="1"/>
        <v>0</v>
      </c>
      <c r="BC112" s="47"/>
      <c r="BD112" s="47"/>
      <c r="BE112" s="47"/>
      <c r="BF112" s="48"/>
      <c r="BG112" s="46">
        <v>0</v>
      </c>
      <c r="BH112" s="47"/>
      <c r="BI112" s="47"/>
      <c r="BJ112" s="47"/>
      <c r="BK112" s="48"/>
      <c r="BL112" s="46">
        <v>0</v>
      </c>
      <c r="BM112" s="47"/>
      <c r="BN112" s="47"/>
      <c r="BO112" s="47"/>
      <c r="BP112" s="48"/>
      <c r="BQ112" s="46">
        <v>0</v>
      </c>
      <c r="BR112" s="47"/>
      <c r="BS112" s="47"/>
      <c r="BT112" s="48"/>
      <c r="BU112" s="46">
        <f t="shared" si="2"/>
        <v>0</v>
      </c>
      <c r="BV112" s="47"/>
      <c r="BW112" s="47"/>
      <c r="BX112" s="47"/>
      <c r="BY112" s="48"/>
    </row>
    <row r="113" spans="1:79" s="4" customFormat="1" ht="51" customHeight="1" x14ac:dyDescent="0.2">
      <c r="A113" s="34">
        <v>24</v>
      </c>
      <c r="B113" s="35"/>
      <c r="C113" s="35"/>
      <c r="D113" s="27" t="s">
        <v>201</v>
      </c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9"/>
      <c r="U113" s="46">
        <v>220900</v>
      </c>
      <c r="V113" s="47"/>
      <c r="W113" s="47"/>
      <c r="X113" s="47"/>
      <c r="Y113" s="48"/>
      <c r="Z113" s="46">
        <v>0</v>
      </c>
      <c r="AA113" s="47"/>
      <c r="AB113" s="47"/>
      <c r="AC113" s="47"/>
      <c r="AD113" s="48"/>
      <c r="AE113" s="46">
        <v>0</v>
      </c>
      <c r="AF113" s="47"/>
      <c r="AG113" s="47"/>
      <c r="AH113" s="48"/>
      <c r="AI113" s="46">
        <f t="shared" si="0"/>
        <v>220900</v>
      </c>
      <c r="AJ113" s="47"/>
      <c r="AK113" s="47"/>
      <c r="AL113" s="47"/>
      <c r="AM113" s="48"/>
      <c r="AN113" s="46">
        <v>0</v>
      </c>
      <c r="AO113" s="47"/>
      <c r="AP113" s="47"/>
      <c r="AQ113" s="47"/>
      <c r="AR113" s="48"/>
      <c r="AS113" s="46">
        <v>0</v>
      </c>
      <c r="AT113" s="47"/>
      <c r="AU113" s="47"/>
      <c r="AV113" s="47"/>
      <c r="AW113" s="48"/>
      <c r="AX113" s="46">
        <v>0</v>
      </c>
      <c r="AY113" s="47"/>
      <c r="AZ113" s="47"/>
      <c r="BA113" s="48"/>
      <c r="BB113" s="46">
        <f t="shared" si="1"/>
        <v>0</v>
      </c>
      <c r="BC113" s="47"/>
      <c r="BD113" s="47"/>
      <c r="BE113" s="47"/>
      <c r="BF113" s="48"/>
      <c r="BG113" s="46">
        <v>0</v>
      </c>
      <c r="BH113" s="47"/>
      <c r="BI113" s="47"/>
      <c r="BJ113" s="47"/>
      <c r="BK113" s="48"/>
      <c r="BL113" s="46">
        <v>0</v>
      </c>
      <c r="BM113" s="47"/>
      <c r="BN113" s="47"/>
      <c r="BO113" s="47"/>
      <c r="BP113" s="48"/>
      <c r="BQ113" s="46">
        <v>0</v>
      </c>
      <c r="BR113" s="47"/>
      <c r="BS113" s="47"/>
      <c r="BT113" s="48"/>
      <c r="BU113" s="46">
        <f t="shared" si="2"/>
        <v>0</v>
      </c>
      <c r="BV113" s="47"/>
      <c r="BW113" s="47"/>
      <c r="BX113" s="47"/>
      <c r="BY113" s="48"/>
    </row>
    <row r="114" spans="1:79" s="4" customFormat="1" ht="12.75" customHeight="1" x14ac:dyDescent="0.2">
      <c r="A114" s="34">
        <v>25</v>
      </c>
      <c r="B114" s="35"/>
      <c r="C114" s="35"/>
      <c r="D114" s="27" t="s">
        <v>202</v>
      </c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9"/>
      <c r="U114" s="46">
        <v>15637</v>
      </c>
      <c r="V114" s="47"/>
      <c r="W114" s="47"/>
      <c r="X114" s="47"/>
      <c r="Y114" s="48"/>
      <c r="Z114" s="46">
        <v>0</v>
      </c>
      <c r="AA114" s="47"/>
      <c r="AB114" s="47"/>
      <c r="AC114" s="47"/>
      <c r="AD114" s="48"/>
      <c r="AE114" s="46">
        <v>0</v>
      </c>
      <c r="AF114" s="47"/>
      <c r="AG114" s="47"/>
      <c r="AH114" s="48"/>
      <c r="AI114" s="46">
        <f t="shared" si="0"/>
        <v>15637</v>
      </c>
      <c r="AJ114" s="47"/>
      <c r="AK114" s="47"/>
      <c r="AL114" s="47"/>
      <c r="AM114" s="48"/>
      <c r="AN114" s="46">
        <v>0</v>
      </c>
      <c r="AO114" s="47"/>
      <c r="AP114" s="47"/>
      <c r="AQ114" s="47"/>
      <c r="AR114" s="48"/>
      <c r="AS114" s="46">
        <v>0</v>
      </c>
      <c r="AT114" s="47"/>
      <c r="AU114" s="47"/>
      <c r="AV114" s="47"/>
      <c r="AW114" s="48"/>
      <c r="AX114" s="46">
        <v>0</v>
      </c>
      <c r="AY114" s="47"/>
      <c r="AZ114" s="47"/>
      <c r="BA114" s="48"/>
      <c r="BB114" s="46">
        <f t="shared" si="1"/>
        <v>0</v>
      </c>
      <c r="BC114" s="47"/>
      <c r="BD114" s="47"/>
      <c r="BE114" s="47"/>
      <c r="BF114" s="48"/>
      <c r="BG114" s="46">
        <v>0</v>
      </c>
      <c r="BH114" s="47"/>
      <c r="BI114" s="47"/>
      <c r="BJ114" s="47"/>
      <c r="BK114" s="48"/>
      <c r="BL114" s="46">
        <v>0</v>
      </c>
      <c r="BM114" s="47"/>
      <c r="BN114" s="47"/>
      <c r="BO114" s="47"/>
      <c r="BP114" s="48"/>
      <c r="BQ114" s="46">
        <v>0</v>
      </c>
      <c r="BR114" s="47"/>
      <c r="BS114" s="47"/>
      <c r="BT114" s="48"/>
      <c r="BU114" s="46">
        <f t="shared" si="2"/>
        <v>0</v>
      </c>
      <c r="BV114" s="47"/>
      <c r="BW114" s="47"/>
      <c r="BX114" s="47"/>
      <c r="BY114" s="48"/>
    </row>
    <row r="115" spans="1:79" s="4" customFormat="1" ht="12.75" customHeight="1" x14ac:dyDescent="0.2">
      <c r="A115" s="34">
        <v>26</v>
      </c>
      <c r="B115" s="35"/>
      <c r="C115" s="35"/>
      <c r="D115" s="27" t="s">
        <v>203</v>
      </c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9"/>
      <c r="U115" s="46">
        <v>19608</v>
      </c>
      <c r="V115" s="47"/>
      <c r="W115" s="47"/>
      <c r="X115" s="47"/>
      <c r="Y115" s="48"/>
      <c r="Z115" s="46">
        <v>0</v>
      </c>
      <c r="AA115" s="47"/>
      <c r="AB115" s="47"/>
      <c r="AC115" s="47"/>
      <c r="AD115" s="48"/>
      <c r="AE115" s="46">
        <v>0</v>
      </c>
      <c r="AF115" s="47"/>
      <c r="AG115" s="47"/>
      <c r="AH115" s="48"/>
      <c r="AI115" s="46">
        <f t="shared" si="0"/>
        <v>19608</v>
      </c>
      <c r="AJ115" s="47"/>
      <c r="AK115" s="47"/>
      <c r="AL115" s="47"/>
      <c r="AM115" s="48"/>
      <c r="AN115" s="46">
        <v>0</v>
      </c>
      <c r="AO115" s="47"/>
      <c r="AP115" s="47"/>
      <c r="AQ115" s="47"/>
      <c r="AR115" s="48"/>
      <c r="AS115" s="46">
        <v>0</v>
      </c>
      <c r="AT115" s="47"/>
      <c r="AU115" s="47"/>
      <c r="AV115" s="47"/>
      <c r="AW115" s="48"/>
      <c r="AX115" s="46">
        <v>0</v>
      </c>
      <c r="AY115" s="47"/>
      <c r="AZ115" s="47"/>
      <c r="BA115" s="48"/>
      <c r="BB115" s="46">
        <f t="shared" si="1"/>
        <v>0</v>
      </c>
      <c r="BC115" s="47"/>
      <c r="BD115" s="47"/>
      <c r="BE115" s="47"/>
      <c r="BF115" s="48"/>
      <c r="BG115" s="46">
        <v>0</v>
      </c>
      <c r="BH115" s="47"/>
      <c r="BI115" s="47"/>
      <c r="BJ115" s="47"/>
      <c r="BK115" s="48"/>
      <c r="BL115" s="46">
        <v>0</v>
      </c>
      <c r="BM115" s="47"/>
      <c r="BN115" s="47"/>
      <c r="BO115" s="47"/>
      <c r="BP115" s="48"/>
      <c r="BQ115" s="46">
        <v>0</v>
      </c>
      <c r="BR115" s="47"/>
      <c r="BS115" s="47"/>
      <c r="BT115" s="48"/>
      <c r="BU115" s="46">
        <f t="shared" si="2"/>
        <v>0</v>
      </c>
      <c r="BV115" s="47"/>
      <c r="BW115" s="47"/>
      <c r="BX115" s="47"/>
      <c r="BY115" s="48"/>
    </row>
    <row r="116" spans="1:79" s="5" customFormat="1" ht="12.75" customHeight="1" x14ac:dyDescent="0.2">
      <c r="A116" s="36"/>
      <c r="B116" s="37"/>
      <c r="C116" s="37"/>
      <c r="D116" s="23" t="s">
        <v>147</v>
      </c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5"/>
      <c r="U116" s="42">
        <v>3249017</v>
      </c>
      <c r="V116" s="43"/>
      <c r="W116" s="43"/>
      <c r="X116" s="43"/>
      <c r="Y116" s="44"/>
      <c r="Z116" s="42">
        <v>23596</v>
      </c>
      <c r="AA116" s="43"/>
      <c r="AB116" s="43"/>
      <c r="AC116" s="43"/>
      <c r="AD116" s="44"/>
      <c r="AE116" s="42">
        <v>23596</v>
      </c>
      <c r="AF116" s="43"/>
      <c r="AG116" s="43"/>
      <c r="AH116" s="44"/>
      <c r="AI116" s="42">
        <f t="shared" si="0"/>
        <v>3272613</v>
      </c>
      <c r="AJ116" s="43"/>
      <c r="AK116" s="43"/>
      <c r="AL116" s="43"/>
      <c r="AM116" s="44"/>
      <c r="AN116" s="42">
        <v>4127990</v>
      </c>
      <c r="AO116" s="43"/>
      <c r="AP116" s="43"/>
      <c r="AQ116" s="43"/>
      <c r="AR116" s="44"/>
      <c r="AS116" s="42">
        <v>0</v>
      </c>
      <c r="AT116" s="43"/>
      <c r="AU116" s="43"/>
      <c r="AV116" s="43"/>
      <c r="AW116" s="44"/>
      <c r="AX116" s="42">
        <v>0</v>
      </c>
      <c r="AY116" s="43"/>
      <c r="AZ116" s="43"/>
      <c r="BA116" s="44"/>
      <c r="BB116" s="42">
        <f t="shared" si="1"/>
        <v>4127990</v>
      </c>
      <c r="BC116" s="43"/>
      <c r="BD116" s="43"/>
      <c r="BE116" s="43"/>
      <c r="BF116" s="44"/>
      <c r="BG116" s="42">
        <v>4857097</v>
      </c>
      <c r="BH116" s="43"/>
      <c r="BI116" s="43"/>
      <c r="BJ116" s="43"/>
      <c r="BK116" s="44"/>
      <c r="BL116" s="42">
        <v>0</v>
      </c>
      <c r="BM116" s="43"/>
      <c r="BN116" s="43"/>
      <c r="BO116" s="43"/>
      <c r="BP116" s="44"/>
      <c r="BQ116" s="42">
        <v>0</v>
      </c>
      <c r="BR116" s="43"/>
      <c r="BS116" s="43"/>
      <c r="BT116" s="44"/>
      <c r="BU116" s="42">
        <f t="shared" si="2"/>
        <v>4857097</v>
      </c>
      <c r="BV116" s="43"/>
      <c r="BW116" s="43"/>
      <c r="BX116" s="43"/>
      <c r="BY116" s="44"/>
    </row>
    <row r="118" spans="1:79" ht="14.25" customHeight="1" x14ac:dyDescent="0.2">
      <c r="A118" s="62" t="s">
        <v>277</v>
      </c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62"/>
      <c r="AN118" s="62"/>
      <c r="AO118" s="62"/>
      <c r="AP118" s="62"/>
      <c r="AQ118" s="62"/>
      <c r="AR118" s="62"/>
      <c r="AS118" s="62"/>
      <c r="AT118" s="62"/>
      <c r="AU118" s="62"/>
      <c r="AV118" s="62"/>
      <c r="AW118" s="62"/>
      <c r="AX118" s="62"/>
      <c r="AY118" s="62"/>
      <c r="AZ118" s="62"/>
      <c r="BA118" s="62"/>
      <c r="BB118" s="62"/>
      <c r="BC118" s="62"/>
      <c r="BD118" s="62"/>
      <c r="BE118" s="62"/>
      <c r="BF118" s="62"/>
      <c r="BG118" s="62"/>
      <c r="BH118" s="62"/>
      <c r="BI118" s="62"/>
      <c r="BJ118" s="62"/>
      <c r="BK118" s="62"/>
      <c r="BL118" s="62"/>
    </row>
    <row r="119" spans="1:79" ht="15" customHeight="1" x14ac:dyDescent="0.2">
      <c r="A119" s="67" t="s">
        <v>247</v>
      </c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  <c r="AI119" s="67"/>
      <c r="AJ119" s="67"/>
      <c r="AK119" s="67"/>
      <c r="AL119" s="67"/>
      <c r="AM119" s="67"/>
      <c r="AN119" s="67"/>
      <c r="AO119" s="67"/>
      <c r="AP119" s="67"/>
      <c r="AQ119" s="67"/>
      <c r="AR119" s="67"/>
      <c r="AS119" s="67"/>
      <c r="AT119" s="67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</row>
    <row r="120" spans="1:79" ht="23.1" customHeight="1" x14ac:dyDescent="0.2">
      <c r="A120" s="78" t="s">
        <v>6</v>
      </c>
      <c r="B120" s="79"/>
      <c r="C120" s="79"/>
      <c r="D120" s="78" t="s">
        <v>121</v>
      </c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80"/>
      <c r="U120" s="39" t="s">
        <v>269</v>
      </c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 t="s">
        <v>274</v>
      </c>
      <c r="AP120" s="39"/>
      <c r="AQ120" s="39"/>
      <c r="AR120" s="39"/>
      <c r="AS120" s="39"/>
      <c r="AT120" s="39"/>
      <c r="AU120" s="39"/>
      <c r="AV120" s="39"/>
      <c r="AW120" s="39"/>
      <c r="AX120" s="39"/>
      <c r="AY120" s="39"/>
      <c r="AZ120" s="39"/>
      <c r="BA120" s="39"/>
      <c r="BB120" s="39"/>
      <c r="BC120" s="39"/>
      <c r="BD120" s="39"/>
      <c r="BE120" s="39"/>
      <c r="BF120" s="39"/>
      <c r="BG120" s="39"/>
      <c r="BH120" s="39"/>
    </row>
    <row r="121" spans="1:79" ht="54" customHeight="1" x14ac:dyDescent="0.2">
      <c r="A121" s="81"/>
      <c r="B121" s="82"/>
      <c r="C121" s="82"/>
      <c r="D121" s="81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3"/>
      <c r="U121" s="74" t="s">
        <v>4</v>
      </c>
      <c r="V121" s="75"/>
      <c r="W121" s="75"/>
      <c r="X121" s="75"/>
      <c r="Y121" s="76"/>
      <c r="Z121" s="74" t="s">
        <v>3</v>
      </c>
      <c r="AA121" s="75"/>
      <c r="AB121" s="75"/>
      <c r="AC121" s="75"/>
      <c r="AD121" s="76"/>
      <c r="AE121" s="97" t="s">
        <v>116</v>
      </c>
      <c r="AF121" s="98"/>
      <c r="AG121" s="98"/>
      <c r="AH121" s="98"/>
      <c r="AI121" s="99"/>
      <c r="AJ121" s="74" t="s">
        <v>5</v>
      </c>
      <c r="AK121" s="75"/>
      <c r="AL121" s="75"/>
      <c r="AM121" s="75"/>
      <c r="AN121" s="76"/>
      <c r="AO121" s="74" t="s">
        <v>4</v>
      </c>
      <c r="AP121" s="75"/>
      <c r="AQ121" s="75"/>
      <c r="AR121" s="75"/>
      <c r="AS121" s="76"/>
      <c r="AT121" s="74" t="s">
        <v>3</v>
      </c>
      <c r="AU121" s="75"/>
      <c r="AV121" s="75"/>
      <c r="AW121" s="75"/>
      <c r="AX121" s="76"/>
      <c r="AY121" s="97" t="s">
        <v>116</v>
      </c>
      <c r="AZ121" s="98"/>
      <c r="BA121" s="98"/>
      <c r="BB121" s="98"/>
      <c r="BC121" s="99"/>
      <c r="BD121" s="39" t="s">
        <v>96</v>
      </c>
      <c r="BE121" s="39"/>
      <c r="BF121" s="39"/>
      <c r="BG121" s="39"/>
      <c r="BH121" s="39"/>
    </row>
    <row r="122" spans="1:79" ht="15" customHeight="1" x14ac:dyDescent="0.2">
      <c r="A122" s="74" t="s">
        <v>168</v>
      </c>
      <c r="B122" s="75"/>
      <c r="C122" s="75"/>
      <c r="D122" s="74">
        <v>2</v>
      </c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6"/>
      <c r="U122" s="74">
        <v>3</v>
      </c>
      <c r="V122" s="75"/>
      <c r="W122" s="75"/>
      <c r="X122" s="75"/>
      <c r="Y122" s="76"/>
      <c r="Z122" s="74">
        <v>4</v>
      </c>
      <c r="AA122" s="75"/>
      <c r="AB122" s="75"/>
      <c r="AC122" s="75"/>
      <c r="AD122" s="76"/>
      <c r="AE122" s="74">
        <v>5</v>
      </c>
      <c r="AF122" s="75"/>
      <c r="AG122" s="75"/>
      <c r="AH122" s="75"/>
      <c r="AI122" s="76"/>
      <c r="AJ122" s="74">
        <v>6</v>
      </c>
      <c r="AK122" s="75"/>
      <c r="AL122" s="75"/>
      <c r="AM122" s="75"/>
      <c r="AN122" s="76"/>
      <c r="AO122" s="74">
        <v>7</v>
      </c>
      <c r="AP122" s="75"/>
      <c r="AQ122" s="75"/>
      <c r="AR122" s="75"/>
      <c r="AS122" s="76"/>
      <c r="AT122" s="74">
        <v>8</v>
      </c>
      <c r="AU122" s="75"/>
      <c r="AV122" s="75"/>
      <c r="AW122" s="75"/>
      <c r="AX122" s="76"/>
      <c r="AY122" s="74">
        <v>9</v>
      </c>
      <c r="AZ122" s="75"/>
      <c r="BA122" s="75"/>
      <c r="BB122" s="75"/>
      <c r="BC122" s="76"/>
      <c r="BD122" s="74">
        <v>10</v>
      </c>
      <c r="BE122" s="75"/>
      <c r="BF122" s="75"/>
      <c r="BG122" s="75"/>
      <c r="BH122" s="76"/>
    </row>
    <row r="123" spans="1:79" s="1" customFormat="1" ht="12.75" hidden="1" customHeight="1" x14ac:dyDescent="0.2">
      <c r="A123" s="88" t="s">
        <v>69</v>
      </c>
      <c r="B123" s="89"/>
      <c r="C123" s="89"/>
      <c r="D123" s="88" t="s">
        <v>57</v>
      </c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90"/>
      <c r="U123" s="88" t="s">
        <v>60</v>
      </c>
      <c r="V123" s="89"/>
      <c r="W123" s="89"/>
      <c r="X123" s="89"/>
      <c r="Y123" s="90"/>
      <c r="Z123" s="88" t="s">
        <v>61</v>
      </c>
      <c r="AA123" s="89"/>
      <c r="AB123" s="89"/>
      <c r="AC123" s="89"/>
      <c r="AD123" s="90"/>
      <c r="AE123" s="88" t="s">
        <v>94</v>
      </c>
      <c r="AF123" s="89"/>
      <c r="AG123" s="89"/>
      <c r="AH123" s="89"/>
      <c r="AI123" s="90"/>
      <c r="AJ123" s="94" t="s">
        <v>170</v>
      </c>
      <c r="AK123" s="95"/>
      <c r="AL123" s="95"/>
      <c r="AM123" s="95"/>
      <c r="AN123" s="96"/>
      <c r="AO123" s="88" t="s">
        <v>62</v>
      </c>
      <c r="AP123" s="89"/>
      <c r="AQ123" s="89"/>
      <c r="AR123" s="89"/>
      <c r="AS123" s="90"/>
      <c r="AT123" s="88" t="s">
        <v>63</v>
      </c>
      <c r="AU123" s="89"/>
      <c r="AV123" s="89"/>
      <c r="AW123" s="89"/>
      <c r="AX123" s="90"/>
      <c r="AY123" s="88" t="s">
        <v>95</v>
      </c>
      <c r="AZ123" s="89"/>
      <c r="BA123" s="89"/>
      <c r="BB123" s="89"/>
      <c r="BC123" s="90"/>
      <c r="BD123" s="84" t="s">
        <v>170</v>
      </c>
      <c r="BE123" s="84"/>
      <c r="BF123" s="84"/>
      <c r="BG123" s="84"/>
      <c r="BH123" s="84"/>
      <c r="CA123" s="1" t="s">
        <v>35</v>
      </c>
    </row>
    <row r="124" spans="1:79" s="4" customFormat="1" ht="12.75" customHeight="1" x14ac:dyDescent="0.2">
      <c r="A124" s="34">
        <v>1</v>
      </c>
      <c r="B124" s="35"/>
      <c r="C124" s="35"/>
      <c r="D124" s="27" t="s">
        <v>178</v>
      </c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9"/>
      <c r="U124" s="46">
        <v>274750</v>
      </c>
      <c r="V124" s="47"/>
      <c r="W124" s="47"/>
      <c r="X124" s="47"/>
      <c r="Y124" s="48"/>
      <c r="Z124" s="46">
        <v>0</v>
      </c>
      <c r="AA124" s="47"/>
      <c r="AB124" s="47"/>
      <c r="AC124" s="47"/>
      <c r="AD124" s="48"/>
      <c r="AE124" s="49">
        <v>0</v>
      </c>
      <c r="AF124" s="49"/>
      <c r="AG124" s="49"/>
      <c r="AH124" s="49"/>
      <c r="AI124" s="49"/>
      <c r="AJ124" s="26">
        <f t="shared" ref="AJ124:AJ150" si="3">IF(ISNUMBER(U124),U124,0)+IF(ISNUMBER(Z124),Z124,0)</f>
        <v>274750</v>
      </c>
      <c r="AK124" s="26"/>
      <c r="AL124" s="26"/>
      <c r="AM124" s="26"/>
      <c r="AN124" s="26"/>
      <c r="AO124" s="49">
        <v>296730</v>
      </c>
      <c r="AP124" s="49"/>
      <c r="AQ124" s="49"/>
      <c r="AR124" s="49"/>
      <c r="AS124" s="49"/>
      <c r="AT124" s="26">
        <v>0</v>
      </c>
      <c r="AU124" s="26"/>
      <c r="AV124" s="26"/>
      <c r="AW124" s="26"/>
      <c r="AX124" s="26"/>
      <c r="AY124" s="49">
        <v>0</v>
      </c>
      <c r="AZ124" s="49"/>
      <c r="BA124" s="49"/>
      <c r="BB124" s="49"/>
      <c r="BC124" s="49"/>
      <c r="BD124" s="26">
        <f t="shared" ref="BD124:BD150" si="4">IF(ISNUMBER(AO124),AO124,0)+IF(ISNUMBER(AT124),AT124,0)</f>
        <v>296730</v>
      </c>
      <c r="BE124" s="26"/>
      <c r="BF124" s="26"/>
      <c r="BG124" s="26"/>
      <c r="BH124" s="26"/>
      <c r="CA124" s="4" t="s">
        <v>36</v>
      </c>
    </row>
    <row r="125" spans="1:79" s="4" customFormat="1" ht="12.75" customHeight="1" x14ac:dyDescent="0.2">
      <c r="A125" s="34">
        <v>2</v>
      </c>
      <c r="B125" s="35"/>
      <c r="C125" s="35"/>
      <c r="D125" s="27" t="s">
        <v>179</v>
      </c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9"/>
      <c r="U125" s="46">
        <v>0</v>
      </c>
      <c r="V125" s="47"/>
      <c r="W125" s="47"/>
      <c r="X125" s="47"/>
      <c r="Y125" s="48"/>
      <c r="Z125" s="46">
        <v>0</v>
      </c>
      <c r="AA125" s="47"/>
      <c r="AB125" s="47"/>
      <c r="AC125" s="47"/>
      <c r="AD125" s="48"/>
      <c r="AE125" s="49">
        <v>0</v>
      </c>
      <c r="AF125" s="49"/>
      <c r="AG125" s="49"/>
      <c r="AH125" s="49"/>
      <c r="AI125" s="49"/>
      <c r="AJ125" s="26">
        <f t="shared" si="3"/>
        <v>0</v>
      </c>
      <c r="AK125" s="26"/>
      <c r="AL125" s="26"/>
      <c r="AM125" s="26"/>
      <c r="AN125" s="26"/>
      <c r="AO125" s="49">
        <v>0</v>
      </c>
      <c r="AP125" s="49"/>
      <c r="AQ125" s="49"/>
      <c r="AR125" s="49"/>
      <c r="AS125" s="49"/>
      <c r="AT125" s="26">
        <v>0</v>
      </c>
      <c r="AU125" s="26"/>
      <c r="AV125" s="26"/>
      <c r="AW125" s="26"/>
      <c r="AX125" s="26"/>
      <c r="AY125" s="49">
        <v>0</v>
      </c>
      <c r="AZ125" s="49"/>
      <c r="BA125" s="49"/>
      <c r="BB125" s="49"/>
      <c r="BC125" s="49"/>
      <c r="BD125" s="26">
        <f t="shared" si="4"/>
        <v>0</v>
      </c>
      <c r="BE125" s="26"/>
      <c r="BF125" s="26"/>
      <c r="BG125" s="26"/>
      <c r="BH125" s="26"/>
    </row>
    <row r="126" spans="1:79" s="4" customFormat="1" ht="25.5" customHeight="1" x14ac:dyDescent="0.2">
      <c r="A126" s="34">
        <v>3</v>
      </c>
      <c r="B126" s="35"/>
      <c r="C126" s="35"/>
      <c r="D126" s="27" t="s">
        <v>180</v>
      </c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9"/>
      <c r="U126" s="46">
        <v>495</v>
      </c>
      <c r="V126" s="47"/>
      <c r="W126" s="47"/>
      <c r="X126" s="47"/>
      <c r="Y126" s="48"/>
      <c r="Z126" s="46">
        <v>0</v>
      </c>
      <c r="AA126" s="47"/>
      <c r="AB126" s="47"/>
      <c r="AC126" s="47"/>
      <c r="AD126" s="48"/>
      <c r="AE126" s="49">
        <v>0</v>
      </c>
      <c r="AF126" s="49"/>
      <c r="AG126" s="49"/>
      <c r="AH126" s="49"/>
      <c r="AI126" s="49"/>
      <c r="AJ126" s="26">
        <f t="shared" si="3"/>
        <v>495</v>
      </c>
      <c r="AK126" s="26"/>
      <c r="AL126" s="26"/>
      <c r="AM126" s="26"/>
      <c r="AN126" s="26"/>
      <c r="AO126" s="49">
        <v>534</v>
      </c>
      <c r="AP126" s="49"/>
      <c r="AQ126" s="49"/>
      <c r="AR126" s="49"/>
      <c r="AS126" s="49"/>
      <c r="AT126" s="26">
        <v>0</v>
      </c>
      <c r="AU126" s="26"/>
      <c r="AV126" s="26"/>
      <c r="AW126" s="26"/>
      <c r="AX126" s="26"/>
      <c r="AY126" s="49">
        <v>0</v>
      </c>
      <c r="AZ126" s="49"/>
      <c r="BA126" s="49"/>
      <c r="BB126" s="49"/>
      <c r="BC126" s="49"/>
      <c r="BD126" s="26">
        <f t="shared" si="4"/>
        <v>534</v>
      </c>
      <c r="BE126" s="26"/>
      <c r="BF126" s="26"/>
      <c r="BG126" s="26"/>
      <c r="BH126" s="26"/>
    </row>
    <row r="127" spans="1:79" s="4" customFormat="1" ht="12.75" customHeight="1" x14ac:dyDescent="0.2">
      <c r="A127" s="34">
        <v>4</v>
      </c>
      <c r="B127" s="35"/>
      <c r="C127" s="35"/>
      <c r="D127" s="27" t="s">
        <v>181</v>
      </c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9"/>
      <c r="U127" s="46">
        <v>3660995</v>
      </c>
      <c r="V127" s="47"/>
      <c r="W127" s="47"/>
      <c r="X127" s="47"/>
      <c r="Y127" s="48"/>
      <c r="Z127" s="46">
        <v>0</v>
      </c>
      <c r="AA127" s="47"/>
      <c r="AB127" s="47"/>
      <c r="AC127" s="47"/>
      <c r="AD127" s="48"/>
      <c r="AE127" s="49">
        <v>0</v>
      </c>
      <c r="AF127" s="49"/>
      <c r="AG127" s="49"/>
      <c r="AH127" s="49"/>
      <c r="AI127" s="49"/>
      <c r="AJ127" s="26">
        <f t="shared" si="3"/>
        <v>3660995</v>
      </c>
      <c r="AK127" s="26"/>
      <c r="AL127" s="26"/>
      <c r="AM127" s="26"/>
      <c r="AN127" s="26"/>
      <c r="AO127" s="49">
        <v>3953875</v>
      </c>
      <c r="AP127" s="49"/>
      <c r="AQ127" s="49"/>
      <c r="AR127" s="49"/>
      <c r="AS127" s="49"/>
      <c r="AT127" s="26">
        <v>0</v>
      </c>
      <c r="AU127" s="26"/>
      <c r="AV127" s="26"/>
      <c r="AW127" s="26"/>
      <c r="AX127" s="26"/>
      <c r="AY127" s="49">
        <v>0</v>
      </c>
      <c r="AZ127" s="49"/>
      <c r="BA127" s="49"/>
      <c r="BB127" s="49"/>
      <c r="BC127" s="49"/>
      <c r="BD127" s="26">
        <f t="shared" si="4"/>
        <v>3953875</v>
      </c>
      <c r="BE127" s="26"/>
      <c r="BF127" s="26"/>
      <c r="BG127" s="26"/>
      <c r="BH127" s="26"/>
    </row>
    <row r="128" spans="1:79" s="4" customFormat="1" ht="12.75" customHeight="1" x14ac:dyDescent="0.2">
      <c r="A128" s="34">
        <v>5</v>
      </c>
      <c r="B128" s="35"/>
      <c r="C128" s="35"/>
      <c r="D128" s="27" t="s">
        <v>182</v>
      </c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9"/>
      <c r="U128" s="46">
        <v>805420</v>
      </c>
      <c r="V128" s="47"/>
      <c r="W128" s="47"/>
      <c r="X128" s="47"/>
      <c r="Y128" s="48"/>
      <c r="Z128" s="46">
        <v>0</v>
      </c>
      <c r="AA128" s="47"/>
      <c r="AB128" s="47"/>
      <c r="AC128" s="47"/>
      <c r="AD128" s="48"/>
      <c r="AE128" s="49">
        <v>0</v>
      </c>
      <c r="AF128" s="49"/>
      <c r="AG128" s="49"/>
      <c r="AH128" s="49"/>
      <c r="AI128" s="49"/>
      <c r="AJ128" s="26">
        <f t="shared" si="3"/>
        <v>805420</v>
      </c>
      <c r="AK128" s="26"/>
      <c r="AL128" s="26"/>
      <c r="AM128" s="26"/>
      <c r="AN128" s="26"/>
      <c r="AO128" s="49">
        <v>869853</v>
      </c>
      <c r="AP128" s="49"/>
      <c r="AQ128" s="49"/>
      <c r="AR128" s="49"/>
      <c r="AS128" s="49"/>
      <c r="AT128" s="26">
        <v>0</v>
      </c>
      <c r="AU128" s="26"/>
      <c r="AV128" s="26"/>
      <c r="AW128" s="26"/>
      <c r="AX128" s="26"/>
      <c r="AY128" s="49">
        <v>0</v>
      </c>
      <c r="AZ128" s="49"/>
      <c r="BA128" s="49"/>
      <c r="BB128" s="49"/>
      <c r="BC128" s="49"/>
      <c r="BD128" s="26">
        <f t="shared" si="4"/>
        <v>869853</v>
      </c>
      <c r="BE128" s="26"/>
      <c r="BF128" s="26"/>
      <c r="BG128" s="26"/>
      <c r="BH128" s="26"/>
    </row>
    <row r="129" spans="1:60" s="4" customFormat="1" ht="25.5" customHeight="1" x14ac:dyDescent="0.2">
      <c r="A129" s="34">
        <v>6</v>
      </c>
      <c r="B129" s="35"/>
      <c r="C129" s="35"/>
      <c r="D129" s="27" t="s">
        <v>183</v>
      </c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9"/>
      <c r="U129" s="46">
        <v>95833</v>
      </c>
      <c r="V129" s="47"/>
      <c r="W129" s="47"/>
      <c r="X129" s="47"/>
      <c r="Y129" s="48"/>
      <c r="Z129" s="46">
        <v>0</v>
      </c>
      <c r="AA129" s="47"/>
      <c r="AB129" s="47"/>
      <c r="AC129" s="47"/>
      <c r="AD129" s="48"/>
      <c r="AE129" s="49">
        <v>0</v>
      </c>
      <c r="AF129" s="49"/>
      <c r="AG129" s="49"/>
      <c r="AH129" s="49"/>
      <c r="AI129" s="49"/>
      <c r="AJ129" s="26">
        <f t="shared" si="3"/>
        <v>95833</v>
      </c>
      <c r="AK129" s="26"/>
      <c r="AL129" s="26"/>
      <c r="AM129" s="26"/>
      <c r="AN129" s="26"/>
      <c r="AO129" s="49">
        <v>103499</v>
      </c>
      <c r="AP129" s="49"/>
      <c r="AQ129" s="49"/>
      <c r="AR129" s="49"/>
      <c r="AS129" s="49"/>
      <c r="AT129" s="26">
        <v>0</v>
      </c>
      <c r="AU129" s="26"/>
      <c r="AV129" s="26"/>
      <c r="AW129" s="26"/>
      <c r="AX129" s="26"/>
      <c r="AY129" s="49">
        <v>0</v>
      </c>
      <c r="AZ129" s="49"/>
      <c r="BA129" s="49"/>
      <c r="BB129" s="49"/>
      <c r="BC129" s="49"/>
      <c r="BD129" s="26">
        <f t="shared" si="4"/>
        <v>103499</v>
      </c>
      <c r="BE129" s="26"/>
      <c r="BF129" s="26"/>
      <c r="BG129" s="26"/>
      <c r="BH129" s="26"/>
    </row>
    <row r="130" spans="1:60" s="4" customFormat="1" ht="12.75" customHeight="1" x14ac:dyDescent="0.2">
      <c r="A130" s="34">
        <v>7</v>
      </c>
      <c r="B130" s="35"/>
      <c r="C130" s="35"/>
      <c r="D130" s="27" t="s">
        <v>184</v>
      </c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9"/>
      <c r="U130" s="46">
        <v>16485</v>
      </c>
      <c r="V130" s="47"/>
      <c r="W130" s="47"/>
      <c r="X130" s="47"/>
      <c r="Y130" s="48"/>
      <c r="Z130" s="46">
        <v>0</v>
      </c>
      <c r="AA130" s="47"/>
      <c r="AB130" s="47"/>
      <c r="AC130" s="47"/>
      <c r="AD130" s="48"/>
      <c r="AE130" s="49">
        <v>0</v>
      </c>
      <c r="AF130" s="49"/>
      <c r="AG130" s="49"/>
      <c r="AH130" s="49"/>
      <c r="AI130" s="49"/>
      <c r="AJ130" s="26">
        <f t="shared" si="3"/>
        <v>16485</v>
      </c>
      <c r="AK130" s="26"/>
      <c r="AL130" s="26"/>
      <c r="AM130" s="26"/>
      <c r="AN130" s="26"/>
      <c r="AO130" s="49">
        <v>17804</v>
      </c>
      <c r="AP130" s="49"/>
      <c r="AQ130" s="49"/>
      <c r="AR130" s="49"/>
      <c r="AS130" s="49"/>
      <c r="AT130" s="26">
        <v>0</v>
      </c>
      <c r="AU130" s="26"/>
      <c r="AV130" s="26"/>
      <c r="AW130" s="26"/>
      <c r="AX130" s="26"/>
      <c r="AY130" s="49">
        <v>0</v>
      </c>
      <c r="AZ130" s="49"/>
      <c r="BA130" s="49"/>
      <c r="BB130" s="49"/>
      <c r="BC130" s="49"/>
      <c r="BD130" s="26">
        <f t="shared" si="4"/>
        <v>17804</v>
      </c>
      <c r="BE130" s="26"/>
      <c r="BF130" s="26"/>
      <c r="BG130" s="26"/>
      <c r="BH130" s="26"/>
    </row>
    <row r="131" spans="1:60" s="4" customFormat="1" ht="15" customHeight="1" x14ac:dyDescent="0.2">
      <c r="A131" s="34">
        <v>8</v>
      </c>
      <c r="B131" s="35"/>
      <c r="C131" s="35"/>
      <c r="D131" s="27" t="s">
        <v>185</v>
      </c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9"/>
      <c r="U131" s="46">
        <v>26376</v>
      </c>
      <c r="V131" s="47"/>
      <c r="W131" s="47"/>
      <c r="X131" s="47"/>
      <c r="Y131" s="48"/>
      <c r="Z131" s="46">
        <v>0</v>
      </c>
      <c r="AA131" s="47"/>
      <c r="AB131" s="47"/>
      <c r="AC131" s="47"/>
      <c r="AD131" s="48"/>
      <c r="AE131" s="49">
        <v>0</v>
      </c>
      <c r="AF131" s="49"/>
      <c r="AG131" s="49"/>
      <c r="AH131" s="49"/>
      <c r="AI131" s="49"/>
      <c r="AJ131" s="26">
        <f t="shared" si="3"/>
        <v>26376</v>
      </c>
      <c r="AK131" s="26"/>
      <c r="AL131" s="26"/>
      <c r="AM131" s="26"/>
      <c r="AN131" s="26"/>
      <c r="AO131" s="49">
        <v>28486</v>
      </c>
      <c r="AP131" s="49"/>
      <c r="AQ131" s="49"/>
      <c r="AR131" s="49"/>
      <c r="AS131" s="49"/>
      <c r="AT131" s="26">
        <v>0</v>
      </c>
      <c r="AU131" s="26"/>
      <c r="AV131" s="26"/>
      <c r="AW131" s="26"/>
      <c r="AX131" s="26"/>
      <c r="AY131" s="49">
        <v>0</v>
      </c>
      <c r="AZ131" s="49"/>
      <c r="BA131" s="49"/>
      <c r="BB131" s="49"/>
      <c r="BC131" s="49"/>
      <c r="BD131" s="26">
        <f t="shared" si="4"/>
        <v>28486</v>
      </c>
      <c r="BE131" s="26"/>
      <c r="BF131" s="26"/>
      <c r="BG131" s="26"/>
      <c r="BH131" s="26"/>
    </row>
    <row r="132" spans="1:60" s="4" customFormat="1" ht="25.5" customHeight="1" x14ac:dyDescent="0.2">
      <c r="A132" s="34">
        <v>9</v>
      </c>
      <c r="B132" s="35"/>
      <c r="C132" s="35"/>
      <c r="D132" s="27" t="s">
        <v>186</v>
      </c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9"/>
      <c r="U132" s="46">
        <v>109763</v>
      </c>
      <c r="V132" s="47"/>
      <c r="W132" s="47"/>
      <c r="X132" s="47"/>
      <c r="Y132" s="48"/>
      <c r="Z132" s="46">
        <v>0</v>
      </c>
      <c r="AA132" s="47"/>
      <c r="AB132" s="47"/>
      <c r="AC132" s="47"/>
      <c r="AD132" s="48"/>
      <c r="AE132" s="49">
        <v>0</v>
      </c>
      <c r="AF132" s="49"/>
      <c r="AG132" s="49"/>
      <c r="AH132" s="49"/>
      <c r="AI132" s="49"/>
      <c r="AJ132" s="26">
        <f t="shared" si="3"/>
        <v>109763</v>
      </c>
      <c r="AK132" s="26"/>
      <c r="AL132" s="26"/>
      <c r="AM132" s="26"/>
      <c r="AN132" s="26"/>
      <c r="AO132" s="49">
        <v>118544</v>
      </c>
      <c r="AP132" s="49"/>
      <c r="AQ132" s="49"/>
      <c r="AR132" s="49"/>
      <c r="AS132" s="49"/>
      <c r="AT132" s="26">
        <v>0</v>
      </c>
      <c r="AU132" s="26"/>
      <c r="AV132" s="26"/>
      <c r="AW132" s="26"/>
      <c r="AX132" s="26"/>
      <c r="AY132" s="49">
        <v>0</v>
      </c>
      <c r="AZ132" s="49"/>
      <c r="BA132" s="49"/>
      <c r="BB132" s="49"/>
      <c r="BC132" s="49"/>
      <c r="BD132" s="26">
        <f t="shared" si="4"/>
        <v>118544</v>
      </c>
      <c r="BE132" s="26"/>
      <c r="BF132" s="26"/>
      <c r="BG132" s="26"/>
      <c r="BH132" s="26"/>
    </row>
    <row r="133" spans="1:60" s="4" customFormat="1" ht="12.75" customHeight="1" x14ac:dyDescent="0.2">
      <c r="A133" s="34">
        <v>10</v>
      </c>
      <c r="B133" s="35"/>
      <c r="C133" s="35"/>
      <c r="D133" s="27" t="s">
        <v>187</v>
      </c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9"/>
      <c r="U133" s="46">
        <v>2198</v>
      </c>
      <c r="V133" s="47"/>
      <c r="W133" s="47"/>
      <c r="X133" s="47"/>
      <c r="Y133" s="48"/>
      <c r="Z133" s="46">
        <v>0</v>
      </c>
      <c r="AA133" s="47"/>
      <c r="AB133" s="47"/>
      <c r="AC133" s="47"/>
      <c r="AD133" s="48"/>
      <c r="AE133" s="49">
        <v>0</v>
      </c>
      <c r="AF133" s="49"/>
      <c r="AG133" s="49"/>
      <c r="AH133" s="49"/>
      <c r="AI133" s="49"/>
      <c r="AJ133" s="26">
        <f t="shared" si="3"/>
        <v>2198</v>
      </c>
      <c r="AK133" s="26"/>
      <c r="AL133" s="26"/>
      <c r="AM133" s="26"/>
      <c r="AN133" s="26"/>
      <c r="AO133" s="49">
        <v>2375</v>
      </c>
      <c r="AP133" s="49"/>
      <c r="AQ133" s="49"/>
      <c r="AR133" s="49"/>
      <c r="AS133" s="49"/>
      <c r="AT133" s="26">
        <v>0</v>
      </c>
      <c r="AU133" s="26"/>
      <c r="AV133" s="26"/>
      <c r="AW133" s="26"/>
      <c r="AX133" s="26"/>
      <c r="AY133" s="49">
        <v>0</v>
      </c>
      <c r="AZ133" s="49"/>
      <c r="BA133" s="49"/>
      <c r="BB133" s="49"/>
      <c r="BC133" s="49"/>
      <c r="BD133" s="26">
        <f t="shared" si="4"/>
        <v>2375</v>
      </c>
      <c r="BE133" s="26"/>
      <c r="BF133" s="26"/>
      <c r="BG133" s="26"/>
      <c r="BH133" s="26"/>
    </row>
    <row r="134" spans="1:60" s="4" customFormat="1" ht="25.5" customHeight="1" x14ac:dyDescent="0.2">
      <c r="A134" s="34">
        <v>11</v>
      </c>
      <c r="B134" s="35"/>
      <c r="C134" s="35"/>
      <c r="D134" s="27" t="s">
        <v>188</v>
      </c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9"/>
      <c r="U134" s="46">
        <v>57148</v>
      </c>
      <c r="V134" s="47"/>
      <c r="W134" s="47"/>
      <c r="X134" s="47"/>
      <c r="Y134" s="48"/>
      <c r="Z134" s="46">
        <v>0</v>
      </c>
      <c r="AA134" s="47"/>
      <c r="AB134" s="47"/>
      <c r="AC134" s="47"/>
      <c r="AD134" s="48"/>
      <c r="AE134" s="49">
        <v>0</v>
      </c>
      <c r="AF134" s="49"/>
      <c r="AG134" s="49"/>
      <c r="AH134" s="49"/>
      <c r="AI134" s="49"/>
      <c r="AJ134" s="26">
        <f t="shared" si="3"/>
        <v>57148</v>
      </c>
      <c r="AK134" s="26"/>
      <c r="AL134" s="26"/>
      <c r="AM134" s="26"/>
      <c r="AN134" s="26"/>
      <c r="AO134" s="49">
        <v>61720</v>
      </c>
      <c r="AP134" s="49"/>
      <c r="AQ134" s="49"/>
      <c r="AR134" s="49"/>
      <c r="AS134" s="49"/>
      <c r="AT134" s="26">
        <v>0</v>
      </c>
      <c r="AU134" s="26"/>
      <c r="AV134" s="26"/>
      <c r="AW134" s="26"/>
      <c r="AX134" s="26"/>
      <c r="AY134" s="49">
        <v>0</v>
      </c>
      <c r="AZ134" s="49"/>
      <c r="BA134" s="49"/>
      <c r="BB134" s="49"/>
      <c r="BC134" s="49"/>
      <c r="BD134" s="26">
        <f t="shared" si="4"/>
        <v>61720</v>
      </c>
      <c r="BE134" s="26"/>
      <c r="BF134" s="26"/>
      <c r="BG134" s="26"/>
      <c r="BH134" s="26"/>
    </row>
    <row r="135" spans="1:60" s="4" customFormat="1" ht="12.75" customHeight="1" x14ac:dyDescent="0.2">
      <c r="A135" s="34">
        <v>12</v>
      </c>
      <c r="B135" s="35"/>
      <c r="C135" s="35"/>
      <c r="D135" s="27" t="s">
        <v>189</v>
      </c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9"/>
      <c r="U135" s="46">
        <v>47587</v>
      </c>
      <c r="V135" s="47"/>
      <c r="W135" s="47"/>
      <c r="X135" s="47"/>
      <c r="Y135" s="48"/>
      <c r="Z135" s="46">
        <v>0</v>
      </c>
      <c r="AA135" s="47"/>
      <c r="AB135" s="47"/>
      <c r="AC135" s="47"/>
      <c r="AD135" s="48"/>
      <c r="AE135" s="49">
        <v>0</v>
      </c>
      <c r="AF135" s="49"/>
      <c r="AG135" s="49"/>
      <c r="AH135" s="49"/>
      <c r="AI135" s="49"/>
      <c r="AJ135" s="26">
        <f t="shared" si="3"/>
        <v>47587</v>
      </c>
      <c r="AK135" s="26"/>
      <c r="AL135" s="26"/>
      <c r="AM135" s="26"/>
      <c r="AN135" s="26"/>
      <c r="AO135" s="49">
        <v>51394</v>
      </c>
      <c r="AP135" s="49"/>
      <c r="AQ135" s="49"/>
      <c r="AR135" s="49"/>
      <c r="AS135" s="49"/>
      <c r="AT135" s="26">
        <v>0</v>
      </c>
      <c r="AU135" s="26"/>
      <c r="AV135" s="26"/>
      <c r="AW135" s="26"/>
      <c r="AX135" s="26"/>
      <c r="AY135" s="49">
        <v>0</v>
      </c>
      <c r="AZ135" s="49"/>
      <c r="BA135" s="49"/>
      <c r="BB135" s="49"/>
      <c r="BC135" s="49"/>
      <c r="BD135" s="26">
        <f t="shared" si="4"/>
        <v>51394</v>
      </c>
      <c r="BE135" s="26"/>
      <c r="BF135" s="26"/>
      <c r="BG135" s="26"/>
      <c r="BH135" s="26"/>
    </row>
    <row r="136" spans="1:60" s="4" customFormat="1" ht="12.75" customHeight="1" x14ac:dyDescent="0.2">
      <c r="A136" s="34">
        <v>13</v>
      </c>
      <c r="B136" s="35"/>
      <c r="C136" s="35"/>
      <c r="D136" s="27" t="s">
        <v>190</v>
      </c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9"/>
      <c r="U136" s="46">
        <v>17243</v>
      </c>
      <c r="V136" s="47"/>
      <c r="W136" s="47"/>
      <c r="X136" s="47"/>
      <c r="Y136" s="48"/>
      <c r="Z136" s="46">
        <v>0</v>
      </c>
      <c r="AA136" s="47"/>
      <c r="AB136" s="47"/>
      <c r="AC136" s="47"/>
      <c r="AD136" s="48"/>
      <c r="AE136" s="49">
        <v>0</v>
      </c>
      <c r="AF136" s="49"/>
      <c r="AG136" s="49"/>
      <c r="AH136" s="49"/>
      <c r="AI136" s="49"/>
      <c r="AJ136" s="26">
        <f t="shared" si="3"/>
        <v>17243</v>
      </c>
      <c r="AK136" s="26"/>
      <c r="AL136" s="26"/>
      <c r="AM136" s="26"/>
      <c r="AN136" s="26"/>
      <c r="AO136" s="49">
        <v>18623</v>
      </c>
      <c r="AP136" s="49"/>
      <c r="AQ136" s="49"/>
      <c r="AR136" s="49"/>
      <c r="AS136" s="49"/>
      <c r="AT136" s="26">
        <v>0</v>
      </c>
      <c r="AU136" s="26"/>
      <c r="AV136" s="26"/>
      <c r="AW136" s="26"/>
      <c r="AX136" s="26"/>
      <c r="AY136" s="49">
        <v>0</v>
      </c>
      <c r="AZ136" s="49"/>
      <c r="BA136" s="49"/>
      <c r="BB136" s="49"/>
      <c r="BC136" s="49"/>
      <c r="BD136" s="26">
        <f t="shared" si="4"/>
        <v>18623</v>
      </c>
      <c r="BE136" s="26"/>
      <c r="BF136" s="26"/>
      <c r="BG136" s="26"/>
      <c r="BH136" s="26"/>
    </row>
    <row r="137" spans="1:60" s="4" customFormat="1" ht="12.75" customHeight="1" x14ac:dyDescent="0.2">
      <c r="A137" s="34">
        <v>14</v>
      </c>
      <c r="B137" s="35"/>
      <c r="C137" s="35"/>
      <c r="D137" s="27" t="s">
        <v>191</v>
      </c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9"/>
      <c r="U137" s="46">
        <v>59456</v>
      </c>
      <c r="V137" s="47"/>
      <c r="W137" s="47"/>
      <c r="X137" s="47"/>
      <c r="Y137" s="48"/>
      <c r="Z137" s="46">
        <v>0</v>
      </c>
      <c r="AA137" s="47"/>
      <c r="AB137" s="47"/>
      <c r="AC137" s="47"/>
      <c r="AD137" s="48"/>
      <c r="AE137" s="49">
        <v>0</v>
      </c>
      <c r="AF137" s="49"/>
      <c r="AG137" s="49"/>
      <c r="AH137" s="49"/>
      <c r="AI137" s="49"/>
      <c r="AJ137" s="26">
        <f t="shared" si="3"/>
        <v>59456</v>
      </c>
      <c r="AK137" s="26"/>
      <c r="AL137" s="26"/>
      <c r="AM137" s="26"/>
      <c r="AN137" s="26"/>
      <c r="AO137" s="49">
        <v>64212</v>
      </c>
      <c r="AP137" s="49"/>
      <c r="AQ137" s="49"/>
      <c r="AR137" s="49"/>
      <c r="AS137" s="49"/>
      <c r="AT137" s="26">
        <v>0</v>
      </c>
      <c r="AU137" s="26"/>
      <c r="AV137" s="26"/>
      <c r="AW137" s="26"/>
      <c r="AX137" s="26"/>
      <c r="AY137" s="49">
        <v>0</v>
      </c>
      <c r="AZ137" s="49"/>
      <c r="BA137" s="49"/>
      <c r="BB137" s="49"/>
      <c r="BC137" s="49"/>
      <c r="BD137" s="26">
        <f t="shared" si="4"/>
        <v>64212</v>
      </c>
      <c r="BE137" s="26"/>
      <c r="BF137" s="26"/>
      <c r="BG137" s="26"/>
      <c r="BH137" s="26"/>
    </row>
    <row r="138" spans="1:60" s="4" customFormat="1" ht="12.75" customHeight="1" x14ac:dyDescent="0.2">
      <c r="A138" s="34">
        <v>15</v>
      </c>
      <c r="B138" s="35"/>
      <c r="C138" s="35"/>
      <c r="D138" s="27" t="s">
        <v>192</v>
      </c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9"/>
      <c r="U138" s="46">
        <v>0</v>
      </c>
      <c r="V138" s="47"/>
      <c r="W138" s="47"/>
      <c r="X138" s="47"/>
      <c r="Y138" s="48"/>
      <c r="Z138" s="46">
        <v>0</v>
      </c>
      <c r="AA138" s="47"/>
      <c r="AB138" s="47"/>
      <c r="AC138" s="47"/>
      <c r="AD138" s="48"/>
      <c r="AE138" s="49">
        <v>0</v>
      </c>
      <c r="AF138" s="49"/>
      <c r="AG138" s="49"/>
      <c r="AH138" s="49"/>
      <c r="AI138" s="49"/>
      <c r="AJ138" s="26">
        <f t="shared" si="3"/>
        <v>0</v>
      </c>
      <c r="AK138" s="26"/>
      <c r="AL138" s="26"/>
      <c r="AM138" s="26"/>
      <c r="AN138" s="26"/>
      <c r="AO138" s="49">
        <v>0</v>
      </c>
      <c r="AP138" s="49"/>
      <c r="AQ138" s="49"/>
      <c r="AR138" s="49"/>
      <c r="AS138" s="49"/>
      <c r="AT138" s="26">
        <v>0</v>
      </c>
      <c r="AU138" s="26"/>
      <c r="AV138" s="26"/>
      <c r="AW138" s="26"/>
      <c r="AX138" s="26"/>
      <c r="AY138" s="49">
        <v>0</v>
      </c>
      <c r="AZ138" s="49"/>
      <c r="BA138" s="49"/>
      <c r="BB138" s="49"/>
      <c r="BC138" s="49"/>
      <c r="BD138" s="26">
        <f t="shared" si="4"/>
        <v>0</v>
      </c>
      <c r="BE138" s="26"/>
      <c r="BF138" s="26"/>
      <c r="BG138" s="26"/>
      <c r="BH138" s="26"/>
    </row>
    <row r="139" spans="1:60" s="4" customFormat="1" ht="12.75" customHeight="1" x14ac:dyDescent="0.2">
      <c r="A139" s="34">
        <v>16</v>
      </c>
      <c r="B139" s="35"/>
      <c r="C139" s="35"/>
      <c r="D139" s="27" t="s">
        <v>193</v>
      </c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9"/>
      <c r="U139" s="46">
        <v>108801</v>
      </c>
      <c r="V139" s="47"/>
      <c r="W139" s="47"/>
      <c r="X139" s="47"/>
      <c r="Y139" s="48"/>
      <c r="Z139" s="46">
        <v>0</v>
      </c>
      <c r="AA139" s="47"/>
      <c r="AB139" s="47"/>
      <c r="AC139" s="47"/>
      <c r="AD139" s="48"/>
      <c r="AE139" s="49">
        <v>0</v>
      </c>
      <c r="AF139" s="49"/>
      <c r="AG139" s="49"/>
      <c r="AH139" s="49"/>
      <c r="AI139" s="49"/>
      <c r="AJ139" s="26">
        <f t="shared" si="3"/>
        <v>108801</v>
      </c>
      <c r="AK139" s="26"/>
      <c r="AL139" s="26"/>
      <c r="AM139" s="26"/>
      <c r="AN139" s="26"/>
      <c r="AO139" s="49">
        <v>117505</v>
      </c>
      <c r="AP139" s="49"/>
      <c r="AQ139" s="49"/>
      <c r="AR139" s="49"/>
      <c r="AS139" s="49"/>
      <c r="AT139" s="26">
        <v>0</v>
      </c>
      <c r="AU139" s="26"/>
      <c r="AV139" s="26"/>
      <c r="AW139" s="26"/>
      <c r="AX139" s="26"/>
      <c r="AY139" s="49">
        <v>0</v>
      </c>
      <c r="AZ139" s="49"/>
      <c r="BA139" s="49"/>
      <c r="BB139" s="49"/>
      <c r="BC139" s="49"/>
      <c r="BD139" s="26">
        <f t="shared" si="4"/>
        <v>117505</v>
      </c>
      <c r="BE139" s="26"/>
      <c r="BF139" s="26"/>
      <c r="BG139" s="26"/>
      <c r="BH139" s="26"/>
    </row>
    <row r="140" spans="1:60" s="4" customFormat="1" ht="25.5" customHeight="1" x14ac:dyDescent="0.2">
      <c r="A140" s="34">
        <v>17</v>
      </c>
      <c r="B140" s="35"/>
      <c r="C140" s="35"/>
      <c r="D140" s="27" t="s">
        <v>194</v>
      </c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9"/>
      <c r="U140" s="46">
        <v>54851</v>
      </c>
      <c r="V140" s="47"/>
      <c r="W140" s="47"/>
      <c r="X140" s="47"/>
      <c r="Y140" s="48"/>
      <c r="Z140" s="46">
        <v>0</v>
      </c>
      <c r="AA140" s="47"/>
      <c r="AB140" s="47"/>
      <c r="AC140" s="47"/>
      <c r="AD140" s="48"/>
      <c r="AE140" s="49">
        <v>0</v>
      </c>
      <c r="AF140" s="49"/>
      <c r="AG140" s="49"/>
      <c r="AH140" s="49"/>
      <c r="AI140" s="49"/>
      <c r="AJ140" s="26">
        <f t="shared" si="3"/>
        <v>54851</v>
      </c>
      <c r="AK140" s="26"/>
      <c r="AL140" s="26"/>
      <c r="AM140" s="26"/>
      <c r="AN140" s="26"/>
      <c r="AO140" s="49">
        <v>59239</v>
      </c>
      <c r="AP140" s="49"/>
      <c r="AQ140" s="49"/>
      <c r="AR140" s="49"/>
      <c r="AS140" s="49"/>
      <c r="AT140" s="26">
        <v>0</v>
      </c>
      <c r="AU140" s="26"/>
      <c r="AV140" s="26"/>
      <c r="AW140" s="26"/>
      <c r="AX140" s="26"/>
      <c r="AY140" s="49">
        <v>0</v>
      </c>
      <c r="AZ140" s="49"/>
      <c r="BA140" s="49"/>
      <c r="BB140" s="49"/>
      <c r="BC140" s="49"/>
      <c r="BD140" s="26">
        <f t="shared" si="4"/>
        <v>59239</v>
      </c>
      <c r="BE140" s="26"/>
      <c r="BF140" s="26"/>
      <c r="BG140" s="26"/>
      <c r="BH140" s="26"/>
    </row>
    <row r="141" spans="1:60" s="4" customFormat="1" ht="63.75" customHeight="1" x14ac:dyDescent="0.2">
      <c r="A141" s="34">
        <v>18</v>
      </c>
      <c r="B141" s="35"/>
      <c r="C141" s="35"/>
      <c r="D141" s="27" t="s">
        <v>195</v>
      </c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9"/>
      <c r="U141" s="46">
        <v>549</v>
      </c>
      <c r="V141" s="47"/>
      <c r="W141" s="47"/>
      <c r="X141" s="47"/>
      <c r="Y141" s="48"/>
      <c r="Z141" s="46">
        <v>0</v>
      </c>
      <c r="AA141" s="47"/>
      <c r="AB141" s="47"/>
      <c r="AC141" s="47"/>
      <c r="AD141" s="48"/>
      <c r="AE141" s="49">
        <v>0</v>
      </c>
      <c r="AF141" s="49"/>
      <c r="AG141" s="49"/>
      <c r="AH141" s="49"/>
      <c r="AI141" s="49"/>
      <c r="AJ141" s="26">
        <f t="shared" si="3"/>
        <v>549</v>
      </c>
      <c r="AK141" s="26"/>
      <c r="AL141" s="26"/>
      <c r="AM141" s="26"/>
      <c r="AN141" s="26"/>
      <c r="AO141" s="49">
        <v>593</v>
      </c>
      <c r="AP141" s="49"/>
      <c r="AQ141" s="49"/>
      <c r="AR141" s="49"/>
      <c r="AS141" s="49"/>
      <c r="AT141" s="26">
        <v>0</v>
      </c>
      <c r="AU141" s="26"/>
      <c r="AV141" s="26"/>
      <c r="AW141" s="26"/>
      <c r="AX141" s="26"/>
      <c r="AY141" s="49">
        <v>0</v>
      </c>
      <c r="AZ141" s="49"/>
      <c r="BA141" s="49"/>
      <c r="BB141" s="49"/>
      <c r="BC141" s="49"/>
      <c r="BD141" s="26">
        <f t="shared" si="4"/>
        <v>593</v>
      </c>
      <c r="BE141" s="26"/>
      <c r="BF141" s="26"/>
      <c r="BG141" s="26"/>
      <c r="BH141" s="26"/>
    </row>
    <row r="142" spans="1:60" s="4" customFormat="1" ht="27.75" customHeight="1" x14ac:dyDescent="0.2">
      <c r="A142" s="34">
        <v>19</v>
      </c>
      <c r="B142" s="35"/>
      <c r="C142" s="35"/>
      <c r="D142" s="27" t="s">
        <v>196</v>
      </c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9"/>
      <c r="U142" s="46">
        <v>0</v>
      </c>
      <c r="V142" s="47"/>
      <c r="W142" s="47"/>
      <c r="X142" s="47"/>
      <c r="Y142" s="48"/>
      <c r="Z142" s="46">
        <v>0</v>
      </c>
      <c r="AA142" s="47"/>
      <c r="AB142" s="47"/>
      <c r="AC142" s="47"/>
      <c r="AD142" s="48"/>
      <c r="AE142" s="49">
        <v>0</v>
      </c>
      <c r="AF142" s="49"/>
      <c r="AG142" s="49"/>
      <c r="AH142" s="49"/>
      <c r="AI142" s="49"/>
      <c r="AJ142" s="26">
        <f t="shared" si="3"/>
        <v>0</v>
      </c>
      <c r="AK142" s="26"/>
      <c r="AL142" s="26"/>
      <c r="AM142" s="26"/>
      <c r="AN142" s="26"/>
      <c r="AO142" s="49">
        <v>0</v>
      </c>
      <c r="AP142" s="49"/>
      <c r="AQ142" s="49"/>
      <c r="AR142" s="49"/>
      <c r="AS142" s="49"/>
      <c r="AT142" s="26">
        <v>0</v>
      </c>
      <c r="AU142" s="26"/>
      <c r="AV142" s="26"/>
      <c r="AW142" s="26"/>
      <c r="AX142" s="26"/>
      <c r="AY142" s="49">
        <v>0</v>
      </c>
      <c r="AZ142" s="49"/>
      <c r="BA142" s="49"/>
      <c r="BB142" s="49"/>
      <c r="BC142" s="49"/>
      <c r="BD142" s="26">
        <f t="shared" si="4"/>
        <v>0</v>
      </c>
      <c r="BE142" s="26"/>
      <c r="BF142" s="26"/>
      <c r="BG142" s="26"/>
      <c r="BH142" s="26"/>
    </row>
    <row r="143" spans="1:60" s="4" customFormat="1" ht="12.75" customHeight="1" x14ac:dyDescent="0.2">
      <c r="A143" s="34">
        <v>20</v>
      </c>
      <c r="B143" s="35"/>
      <c r="C143" s="35"/>
      <c r="D143" s="27" t="s">
        <v>197</v>
      </c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9"/>
      <c r="U143" s="46">
        <v>0</v>
      </c>
      <c r="V143" s="47"/>
      <c r="W143" s="47"/>
      <c r="X143" s="47"/>
      <c r="Y143" s="48"/>
      <c r="Z143" s="46">
        <v>0</v>
      </c>
      <c r="AA143" s="47"/>
      <c r="AB143" s="47"/>
      <c r="AC143" s="47"/>
      <c r="AD143" s="48"/>
      <c r="AE143" s="49">
        <v>0</v>
      </c>
      <c r="AF143" s="49"/>
      <c r="AG143" s="49"/>
      <c r="AH143" s="49"/>
      <c r="AI143" s="49"/>
      <c r="AJ143" s="26">
        <f t="shared" si="3"/>
        <v>0</v>
      </c>
      <c r="AK143" s="26"/>
      <c r="AL143" s="26"/>
      <c r="AM143" s="26"/>
      <c r="AN143" s="26"/>
      <c r="AO143" s="49">
        <v>0</v>
      </c>
      <c r="AP143" s="49"/>
      <c r="AQ143" s="49"/>
      <c r="AR143" s="49"/>
      <c r="AS143" s="49"/>
      <c r="AT143" s="26">
        <v>0</v>
      </c>
      <c r="AU143" s="26"/>
      <c r="AV143" s="26"/>
      <c r="AW143" s="26"/>
      <c r="AX143" s="26"/>
      <c r="AY143" s="49">
        <v>0</v>
      </c>
      <c r="AZ143" s="49"/>
      <c r="BA143" s="49"/>
      <c r="BB143" s="49"/>
      <c r="BC143" s="49"/>
      <c r="BD143" s="26">
        <f t="shared" si="4"/>
        <v>0</v>
      </c>
      <c r="BE143" s="26"/>
      <c r="BF143" s="26"/>
      <c r="BG143" s="26"/>
      <c r="BH143" s="26"/>
    </row>
    <row r="144" spans="1:60" s="4" customFormat="1" ht="25.5" customHeight="1" x14ac:dyDescent="0.2">
      <c r="A144" s="34">
        <v>21</v>
      </c>
      <c r="B144" s="35"/>
      <c r="C144" s="35"/>
      <c r="D144" s="27" t="s">
        <v>198</v>
      </c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9"/>
      <c r="U144" s="46">
        <v>0</v>
      </c>
      <c r="V144" s="47"/>
      <c r="W144" s="47"/>
      <c r="X144" s="47"/>
      <c r="Y144" s="48"/>
      <c r="Z144" s="46">
        <v>0</v>
      </c>
      <c r="AA144" s="47"/>
      <c r="AB144" s="47"/>
      <c r="AC144" s="47"/>
      <c r="AD144" s="48"/>
      <c r="AE144" s="49">
        <v>0</v>
      </c>
      <c r="AF144" s="49"/>
      <c r="AG144" s="49"/>
      <c r="AH144" s="49"/>
      <c r="AI144" s="49"/>
      <c r="AJ144" s="26">
        <f t="shared" si="3"/>
        <v>0</v>
      </c>
      <c r="AK144" s="26"/>
      <c r="AL144" s="26"/>
      <c r="AM144" s="26"/>
      <c r="AN144" s="26"/>
      <c r="AO144" s="49">
        <v>0</v>
      </c>
      <c r="AP144" s="49"/>
      <c r="AQ144" s="49"/>
      <c r="AR144" s="49"/>
      <c r="AS144" s="49"/>
      <c r="AT144" s="26">
        <v>0</v>
      </c>
      <c r="AU144" s="26"/>
      <c r="AV144" s="26"/>
      <c r="AW144" s="26"/>
      <c r="AX144" s="26"/>
      <c r="AY144" s="49">
        <v>0</v>
      </c>
      <c r="AZ144" s="49"/>
      <c r="BA144" s="49"/>
      <c r="BB144" s="49"/>
      <c r="BC144" s="49"/>
      <c r="BD144" s="26">
        <f t="shared" si="4"/>
        <v>0</v>
      </c>
      <c r="BE144" s="26"/>
      <c r="BF144" s="26"/>
      <c r="BG144" s="26"/>
      <c r="BH144" s="26"/>
    </row>
    <row r="145" spans="1:79" s="4" customFormat="1" ht="51" customHeight="1" x14ac:dyDescent="0.2">
      <c r="A145" s="34">
        <v>22</v>
      </c>
      <c r="B145" s="35"/>
      <c r="C145" s="35"/>
      <c r="D145" s="27" t="s">
        <v>199</v>
      </c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9"/>
      <c r="U145" s="46">
        <v>0</v>
      </c>
      <c r="V145" s="47"/>
      <c r="W145" s="47"/>
      <c r="X145" s="47"/>
      <c r="Y145" s="48"/>
      <c r="Z145" s="46">
        <v>0</v>
      </c>
      <c r="AA145" s="47"/>
      <c r="AB145" s="47"/>
      <c r="AC145" s="47"/>
      <c r="AD145" s="48"/>
      <c r="AE145" s="49">
        <v>0</v>
      </c>
      <c r="AF145" s="49"/>
      <c r="AG145" s="49"/>
      <c r="AH145" s="49"/>
      <c r="AI145" s="49"/>
      <c r="AJ145" s="26">
        <f t="shared" si="3"/>
        <v>0</v>
      </c>
      <c r="AK145" s="26"/>
      <c r="AL145" s="26"/>
      <c r="AM145" s="26"/>
      <c r="AN145" s="26"/>
      <c r="AO145" s="49">
        <v>0</v>
      </c>
      <c r="AP145" s="49"/>
      <c r="AQ145" s="49"/>
      <c r="AR145" s="49"/>
      <c r="AS145" s="49"/>
      <c r="AT145" s="26">
        <v>0</v>
      </c>
      <c r="AU145" s="26"/>
      <c r="AV145" s="26"/>
      <c r="AW145" s="26"/>
      <c r="AX145" s="26"/>
      <c r="AY145" s="49">
        <v>0</v>
      </c>
      <c r="AZ145" s="49"/>
      <c r="BA145" s="49"/>
      <c r="BB145" s="49"/>
      <c r="BC145" s="49"/>
      <c r="BD145" s="26">
        <f t="shared" si="4"/>
        <v>0</v>
      </c>
      <c r="BE145" s="26"/>
      <c r="BF145" s="26"/>
      <c r="BG145" s="26"/>
      <c r="BH145" s="26"/>
    </row>
    <row r="146" spans="1:79" s="4" customFormat="1" ht="51" customHeight="1" x14ac:dyDescent="0.2">
      <c r="A146" s="34">
        <v>23</v>
      </c>
      <c r="B146" s="35"/>
      <c r="C146" s="35"/>
      <c r="D146" s="27" t="s">
        <v>200</v>
      </c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9"/>
      <c r="U146" s="46">
        <v>0</v>
      </c>
      <c r="V146" s="47"/>
      <c r="W146" s="47"/>
      <c r="X146" s="47"/>
      <c r="Y146" s="48"/>
      <c r="Z146" s="46">
        <v>0</v>
      </c>
      <c r="AA146" s="47"/>
      <c r="AB146" s="47"/>
      <c r="AC146" s="47"/>
      <c r="AD146" s="48"/>
      <c r="AE146" s="49">
        <v>0</v>
      </c>
      <c r="AF146" s="49"/>
      <c r="AG146" s="49"/>
      <c r="AH146" s="49"/>
      <c r="AI146" s="49"/>
      <c r="AJ146" s="26">
        <f t="shared" si="3"/>
        <v>0</v>
      </c>
      <c r="AK146" s="26"/>
      <c r="AL146" s="26"/>
      <c r="AM146" s="26"/>
      <c r="AN146" s="26"/>
      <c r="AO146" s="49">
        <v>0</v>
      </c>
      <c r="AP146" s="49"/>
      <c r="AQ146" s="49"/>
      <c r="AR146" s="49"/>
      <c r="AS146" s="49"/>
      <c r="AT146" s="26">
        <v>0</v>
      </c>
      <c r="AU146" s="26"/>
      <c r="AV146" s="26"/>
      <c r="AW146" s="26"/>
      <c r="AX146" s="26"/>
      <c r="AY146" s="49">
        <v>0</v>
      </c>
      <c r="AZ146" s="49"/>
      <c r="BA146" s="49"/>
      <c r="BB146" s="49"/>
      <c r="BC146" s="49"/>
      <c r="BD146" s="26">
        <f t="shared" si="4"/>
        <v>0</v>
      </c>
      <c r="BE146" s="26"/>
      <c r="BF146" s="26"/>
      <c r="BG146" s="26"/>
      <c r="BH146" s="26"/>
    </row>
    <row r="147" spans="1:79" s="4" customFormat="1" ht="51" customHeight="1" x14ac:dyDescent="0.2">
      <c r="A147" s="34">
        <v>24</v>
      </c>
      <c r="B147" s="35"/>
      <c r="C147" s="35"/>
      <c r="D147" s="27" t="s">
        <v>201</v>
      </c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9"/>
      <c r="U147" s="46">
        <v>0</v>
      </c>
      <c r="V147" s="47"/>
      <c r="W147" s="47"/>
      <c r="X147" s="47"/>
      <c r="Y147" s="48"/>
      <c r="Z147" s="46">
        <v>0</v>
      </c>
      <c r="AA147" s="47"/>
      <c r="AB147" s="47"/>
      <c r="AC147" s="47"/>
      <c r="AD147" s="48"/>
      <c r="AE147" s="49">
        <v>0</v>
      </c>
      <c r="AF147" s="49"/>
      <c r="AG147" s="49"/>
      <c r="AH147" s="49"/>
      <c r="AI147" s="49"/>
      <c r="AJ147" s="26">
        <f t="shared" si="3"/>
        <v>0</v>
      </c>
      <c r="AK147" s="26"/>
      <c r="AL147" s="26"/>
      <c r="AM147" s="26"/>
      <c r="AN147" s="26"/>
      <c r="AO147" s="49">
        <v>0</v>
      </c>
      <c r="AP147" s="49"/>
      <c r="AQ147" s="49"/>
      <c r="AR147" s="49"/>
      <c r="AS147" s="49"/>
      <c r="AT147" s="26">
        <v>0</v>
      </c>
      <c r="AU147" s="26"/>
      <c r="AV147" s="26"/>
      <c r="AW147" s="26"/>
      <c r="AX147" s="26"/>
      <c r="AY147" s="49">
        <v>0</v>
      </c>
      <c r="AZ147" s="49"/>
      <c r="BA147" s="49"/>
      <c r="BB147" s="49"/>
      <c r="BC147" s="49"/>
      <c r="BD147" s="26">
        <f t="shared" si="4"/>
        <v>0</v>
      </c>
      <c r="BE147" s="26"/>
      <c r="BF147" s="26"/>
      <c r="BG147" s="26"/>
      <c r="BH147" s="26"/>
    </row>
    <row r="148" spans="1:79" s="4" customFormat="1" ht="12.75" customHeight="1" x14ac:dyDescent="0.2">
      <c r="A148" s="34">
        <v>25</v>
      </c>
      <c r="B148" s="35"/>
      <c r="C148" s="35"/>
      <c r="D148" s="27" t="s">
        <v>202</v>
      </c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9"/>
      <c r="U148" s="46">
        <v>0</v>
      </c>
      <c r="V148" s="47"/>
      <c r="W148" s="47"/>
      <c r="X148" s="47"/>
      <c r="Y148" s="48"/>
      <c r="Z148" s="46">
        <v>0</v>
      </c>
      <c r="AA148" s="47"/>
      <c r="AB148" s="47"/>
      <c r="AC148" s="47"/>
      <c r="AD148" s="48"/>
      <c r="AE148" s="49">
        <v>0</v>
      </c>
      <c r="AF148" s="49"/>
      <c r="AG148" s="49"/>
      <c r="AH148" s="49"/>
      <c r="AI148" s="49"/>
      <c r="AJ148" s="26">
        <f t="shared" si="3"/>
        <v>0</v>
      </c>
      <c r="AK148" s="26"/>
      <c r="AL148" s="26"/>
      <c r="AM148" s="26"/>
      <c r="AN148" s="26"/>
      <c r="AO148" s="49">
        <v>0</v>
      </c>
      <c r="AP148" s="49"/>
      <c r="AQ148" s="49"/>
      <c r="AR148" s="49"/>
      <c r="AS148" s="49"/>
      <c r="AT148" s="26">
        <v>0</v>
      </c>
      <c r="AU148" s="26"/>
      <c r="AV148" s="26"/>
      <c r="AW148" s="26"/>
      <c r="AX148" s="26"/>
      <c r="AY148" s="49">
        <v>0</v>
      </c>
      <c r="AZ148" s="49"/>
      <c r="BA148" s="49"/>
      <c r="BB148" s="49"/>
      <c r="BC148" s="49"/>
      <c r="BD148" s="26">
        <f t="shared" si="4"/>
        <v>0</v>
      </c>
      <c r="BE148" s="26"/>
      <c r="BF148" s="26"/>
      <c r="BG148" s="26"/>
      <c r="BH148" s="26"/>
    </row>
    <row r="149" spans="1:79" s="4" customFormat="1" ht="12.75" customHeight="1" x14ac:dyDescent="0.2">
      <c r="A149" s="34">
        <v>26</v>
      </c>
      <c r="B149" s="35"/>
      <c r="C149" s="35"/>
      <c r="D149" s="27" t="s">
        <v>203</v>
      </c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9"/>
      <c r="U149" s="46">
        <v>0</v>
      </c>
      <c r="V149" s="47"/>
      <c r="W149" s="47"/>
      <c r="X149" s="47"/>
      <c r="Y149" s="48"/>
      <c r="Z149" s="46">
        <v>0</v>
      </c>
      <c r="AA149" s="47"/>
      <c r="AB149" s="47"/>
      <c r="AC149" s="47"/>
      <c r="AD149" s="48"/>
      <c r="AE149" s="49">
        <v>0</v>
      </c>
      <c r="AF149" s="49"/>
      <c r="AG149" s="49"/>
      <c r="AH149" s="49"/>
      <c r="AI149" s="49"/>
      <c r="AJ149" s="26">
        <f t="shared" si="3"/>
        <v>0</v>
      </c>
      <c r="AK149" s="26"/>
      <c r="AL149" s="26"/>
      <c r="AM149" s="26"/>
      <c r="AN149" s="26"/>
      <c r="AO149" s="49">
        <v>0</v>
      </c>
      <c r="AP149" s="49"/>
      <c r="AQ149" s="49"/>
      <c r="AR149" s="49"/>
      <c r="AS149" s="49"/>
      <c r="AT149" s="26">
        <v>0</v>
      </c>
      <c r="AU149" s="26"/>
      <c r="AV149" s="26"/>
      <c r="AW149" s="26"/>
      <c r="AX149" s="26"/>
      <c r="AY149" s="49">
        <v>0</v>
      </c>
      <c r="AZ149" s="49"/>
      <c r="BA149" s="49"/>
      <c r="BB149" s="49"/>
      <c r="BC149" s="49"/>
      <c r="BD149" s="26">
        <f t="shared" si="4"/>
        <v>0</v>
      </c>
      <c r="BE149" s="26"/>
      <c r="BF149" s="26"/>
      <c r="BG149" s="26"/>
      <c r="BH149" s="26"/>
    </row>
    <row r="150" spans="1:79" s="5" customFormat="1" ht="12.75" customHeight="1" x14ac:dyDescent="0.2">
      <c r="A150" s="36"/>
      <c r="B150" s="37"/>
      <c r="C150" s="37"/>
      <c r="D150" s="23" t="s">
        <v>147</v>
      </c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5"/>
      <c r="U150" s="42">
        <v>5337950</v>
      </c>
      <c r="V150" s="43"/>
      <c r="W150" s="43"/>
      <c r="X150" s="43"/>
      <c r="Y150" s="44"/>
      <c r="Z150" s="42">
        <v>0</v>
      </c>
      <c r="AA150" s="43"/>
      <c r="AB150" s="43"/>
      <c r="AC150" s="43"/>
      <c r="AD150" s="44"/>
      <c r="AE150" s="45">
        <v>0</v>
      </c>
      <c r="AF150" s="45"/>
      <c r="AG150" s="45"/>
      <c r="AH150" s="45"/>
      <c r="AI150" s="45"/>
      <c r="AJ150" s="22">
        <f t="shared" si="3"/>
        <v>5337950</v>
      </c>
      <c r="AK150" s="22"/>
      <c r="AL150" s="22"/>
      <c r="AM150" s="22"/>
      <c r="AN150" s="22"/>
      <c r="AO150" s="45">
        <v>5764986</v>
      </c>
      <c r="AP150" s="45"/>
      <c r="AQ150" s="45"/>
      <c r="AR150" s="45"/>
      <c r="AS150" s="45"/>
      <c r="AT150" s="22">
        <v>0</v>
      </c>
      <c r="AU150" s="22"/>
      <c r="AV150" s="22"/>
      <c r="AW150" s="22"/>
      <c r="AX150" s="22"/>
      <c r="AY150" s="45">
        <v>0</v>
      </c>
      <c r="AZ150" s="45"/>
      <c r="BA150" s="45"/>
      <c r="BB150" s="45"/>
      <c r="BC150" s="45"/>
      <c r="BD150" s="22">
        <f t="shared" si="4"/>
        <v>5764986</v>
      </c>
      <c r="BE150" s="22"/>
      <c r="BF150" s="22"/>
      <c r="BG150" s="22"/>
      <c r="BH150" s="22"/>
    </row>
    <row r="152" spans="1:79" ht="14.25" customHeight="1" x14ac:dyDescent="0.2">
      <c r="A152" s="62" t="s">
        <v>152</v>
      </c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  <c r="AN152" s="62"/>
      <c r="AO152" s="62"/>
      <c r="AP152" s="62"/>
      <c r="AQ152" s="62"/>
      <c r="AR152" s="62"/>
      <c r="AS152" s="62"/>
      <c r="AT152" s="62"/>
      <c r="AU152" s="62"/>
      <c r="AV152" s="62"/>
      <c r="AW152" s="62"/>
      <c r="AX152" s="62"/>
      <c r="AY152" s="62"/>
      <c r="AZ152" s="62"/>
      <c r="BA152" s="62"/>
      <c r="BB152" s="62"/>
      <c r="BC152" s="62"/>
      <c r="BD152" s="62"/>
      <c r="BE152" s="62"/>
      <c r="BF152" s="62"/>
      <c r="BG152" s="62"/>
      <c r="BH152" s="62"/>
      <c r="BI152" s="62"/>
      <c r="BJ152" s="62"/>
      <c r="BK152" s="62"/>
      <c r="BL152" s="62"/>
    </row>
    <row r="153" spans="1:79" ht="14.25" customHeight="1" x14ac:dyDescent="0.2">
      <c r="A153" s="62" t="s">
        <v>263</v>
      </c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  <c r="AN153" s="62"/>
      <c r="AO153" s="62"/>
      <c r="AP153" s="62"/>
      <c r="AQ153" s="62"/>
      <c r="AR153" s="62"/>
      <c r="AS153" s="62"/>
      <c r="AT153" s="62"/>
      <c r="AU153" s="62"/>
      <c r="AV153" s="62"/>
      <c r="AW153" s="62"/>
      <c r="AX153" s="62"/>
      <c r="AY153" s="62"/>
      <c r="AZ153" s="62"/>
      <c r="BA153" s="62"/>
      <c r="BB153" s="62"/>
      <c r="BC153" s="62"/>
      <c r="BD153" s="62"/>
      <c r="BE153" s="62"/>
      <c r="BF153" s="62"/>
      <c r="BG153" s="62"/>
      <c r="BH153" s="62"/>
      <c r="BI153" s="62"/>
      <c r="BJ153" s="62"/>
      <c r="BK153" s="62"/>
      <c r="BL153" s="62"/>
    </row>
    <row r="154" spans="1:79" ht="23.1" customHeight="1" x14ac:dyDescent="0.2">
      <c r="A154" s="78" t="s">
        <v>6</v>
      </c>
      <c r="B154" s="79"/>
      <c r="C154" s="79"/>
      <c r="D154" s="39" t="s">
        <v>9</v>
      </c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 t="s">
        <v>8</v>
      </c>
      <c r="R154" s="39"/>
      <c r="S154" s="39"/>
      <c r="T154" s="39"/>
      <c r="U154" s="39"/>
      <c r="V154" s="39" t="s">
        <v>7</v>
      </c>
      <c r="W154" s="39"/>
      <c r="X154" s="39"/>
      <c r="Y154" s="39"/>
      <c r="Z154" s="39"/>
      <c r="AA154" s="39"/>
      <c r="AB154" s="39"/>
      <c r="AC154" s="39"/>
      <c r="AD154" s="39"/>
      <c r="AE154" s="39"/>
      <c r="AF154" s="74" t="s">
        <v>248</v>
      </c>
      <c r="AG154" s="75"/>
      <c r="AH154" s="75"/>
      <c r="AI154" s="75"/>
      <c r="AJ154" s="75"/>
      <c r="AK154" s="75"/>
      <c r="AL154" s="75"/>
      <c r="AM154" s="75"/>
      <c r="AN154" s="75"/>
      <c r="AO154" s="75"/>
      <c r="AP154" s="75"/>
      <c r="AQ154" s="75"/>
      <c r="AR154" s="75"/>
      <c r="AS154" s="75"/>
      <c r="AT154" s="76"/>
      <c r="AU154" s="74" t="s">
        <v>251</v>
      </c>
      <c r="AV154" s="75"/>
      <c r="AW154" s="75"/>
      <c r="AX154" s="75"/>
      <c r="AY154" s="75"/>
      <c r="AZ154" s="75"/>
      <c r="BA154" s="75"/>
      <c r="BB154" s="75"/>
      <c r="BC154" s="75"/>
      <c r="BD154" s="75"/>
      <c r="BE154" s="75"/>
      <c r="BF154" s="75"/>
      <c r="BG154" s="75"/>
      <c r="BH154" s="75"/>
      <c r="BI154" s="76"/>
      <c r="BJ154" s="74" t="s">
        <v>259</v>
      </c>
      <c r="BK154" s="75"/>
      <c r="BL154" s="75"/>
      <c r="BM154" s="75"/>
      <c r="BN154" s="75"/>
      <c r="BO154" s="75"/>
      <c r="BP154" s="75"/>
      <c r="BQ154" s="75"/>
      <c r="BR154" s="75"/>
      <c r="BS154" s="75"/>
      <c r="BT154" s="75"/>
      <c r="BU154" s="75"/>
      <c r="BV154" s="75"/>
      <c r="BW154" s="75"/>
      <c r="BX154" s="76"/>
    </row>
    <row r="155" spans="1:79" ht="32.25" customHeight="1" x14ac:dyDescent="0.2">
      <c r="A155" s="81"/>
      <c r="B155" s="82"/>
      <c r="C155" s="82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 t="s">
        <v>4</v>
      </c>
      <c r="AG155" s="39"/>
      <c r="AH155" s="39"/>
      <c r="AI155" s="39"/>
      <c r="AJ155" s="39"/>
      <c r="AK155" s="39" t="s">
        <v>3</v>
      </c>
      <c r="AL155" s="39"/>
      <c r="AM155" s="39"/>
      <c r="AN155" s="39"/>
      <c r="AO155" s="39"/>
      <c r="AP155" s="39" t="s">
        <v>123</v>
      </c>
      <c r="AQ155" s="39"/>
      <c r="AR155" s="39"/>
      <c r="AS155" s="39"/>
      <c r="AT155" s="39"/>
      <c r="AU155" s="39" t="s">
        <v>4</v>
      </c>
      <c r="AV155" s="39"/>
      <c r="AW155" s="39"/>
      <c r="AX155" s="39"/>
      <c r="AY155" s="39"/>
      <c r="AZ155" s="39" t="s">
        <v>3</v>
      </c>
      <c r="BA155" s="39"/>
      <c r="BB155" s="39"/>
      <c r="BC155" s="39"/>
      <c r="BD155" s="39"/>
      <c r="BE155" s="39" t="s">
        <v>90</v>
      </c>
      <c r="BF155" s="39"/>
      <c r="BG155" s="39"/>
      <c r="BH155" s="39"/>
      <c r="BI155" s="39"/>
      <c r="BJ155" s="39" t="s">
        <v>4</v>
      </c>
      <c r="BK155" s="39"/>
      <c r="BL155" s="39"/>
      <c r="BM155" s="39"/>
      <c r="BN155" s="39"/>
      <c r="BO155" s="39" t="s">
        <v>3</v>
      </c>
      <c r="BP155" s="39"/>
      <c r="BQ155" s="39"/>
      <c r="BR155" s="39"/>
      <c r="BS155" s="39"/>
      <c r="BT155" s="39" t="s">
        <v>97</v>
      </c>
      <c r="BU155" s="39"/>
      <c r="BV155" s="39"/>
      <c r="BW155" s="39"/>
      <c r="BX155" s="39"/>
    </row>
    <row r="156" spans="1:79" ht="15" customHeight="1" x14ac:dyDescent="0.2">
      <c r="A156" s="74">
        <v>1</v>
      </c>
      <c r="B156" s="75"/>
      <c r="C156" s="75"/>
      <c r="D156" s="39">
        <v>2</v>
      </c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>
        <v>3</v>
      </c>
      <c r="R156" s="39"/>
      <c r="S156" s="39"/>
      <c r="T156" s="39"/>
      <c r="U156" s="39"/>
      <c r="V156" s="39">
        <v>4</v>
      </c>
      <c r="W156" s="39"/>
      <c r="X156" s="39"/>
      <c r="Y156" s="39"/>
      <c r="Z156" s="39"/>
      <c r="AA156" s="39"/>
      <c r="AB156" s="39"/>
      <c r="AC156" s="39"/>
      <c r="AD156" s="39"/>
      <c r="AE156" s="39"/>
      <c r="AF156" s="39">
        <v>5</v>
      </c>
      <c r="AG156" s="39"/>
      <c r="AH156" s="39"/>
      <c r="AI156" s="39"/>
      <c r="AJ156" s="39"/>
      <c r="AK156" s="39">
        <v>6</v>
      </c>
      <c r="AL156" s="39"/>
      <c r="AM156" s="39"/>
      <c r="AN156" s="39"/>
      <c r="AO156" s="39"/>
      <c r="AP156" s="39">
        <v>7</v>
      </c>
      <c r="AQ156" s="39"/>
      <c r="AR156" s="39"/>
      <c r="AS156" s="39"/>
      <c r="AT156" s="39"/>
      <c r="AU156" s="39">
        <v>8</v>
      </c>
      <c r="AV156" s="39"/>
      <c r="AW156" s="39"/>
      <c r="AX156" s="39"/>
      <c r="AY156" s="39"/>
      <c r="AZ156" s="39">
        <v>9</v>
      </c>
      <c r="BA156" s="39"/>
      <c r="BB156" s="39"/>
      <c r="BC156" s="39"/>
      <c r="BD156" s="39"/>
      <c r="BE156" s="39">
        <v>10</v>
      </c>
      <c r="BF156" s="39"/>
      <c r="BG156" s="39"/>
      <c r="BH156" s="39"/>
      <c r="BI156" s="39"/>
      <c r="BJ156" s="39">
        <v>11</v>
      </c>
      <c r="BK156" s="39"/>
      <c r="BL156" s="39"/>
      <c r="BM156" s="39"/>
      <c r="BN156" s="39"/>
      <c r="BO156" s="39">
        <v>12</v>
      </c>
      <c r="BP156" s="39"/>
      <c r="BQ156" s="39"/>
      <c r="BR156" s="39"/>
      <c r="BS156" s="39"/>
      <c r="BT156" s="39">
        <v>13</v>
      </c>
      <c r="BU156" s="39"/>
      <c r="BV156" s="39"/>
      <c r="BW156" s="39"/>
      <c r="BX156" s="39"/>
    </row>
    <row r="157" spans="1:79" ht="10.5" hidden="1" customHeight="1" x14ac:dyDescent="0.2">
      <c r="A157" s="88" t="s">
        <v>154</v>
      </c>
      <c r="B157" s="89"/>
      <c r="C157" s="89"/>
      <c r="D157" s="39" t="s">
        <v>57</v>
      </c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 t="s">
        <v>70</v>
      </c>
      <c r="R157" s="39"/>
      <c r="S157" s="39"/>
      <c r="T157" s="39"/>
      <c r="U157" s="39"/>
      <c r="V157" s="39" t="s">
        <v>71</v>
      </c>
      <c r="W157" s="39"/>
      <c r="X157" s="39"/>
      <c r="Y157" s="39"/>
      <c r="Z157" s="39"/>
      <c r="AA157" s="39"/>
      <c r="AB157" s="39"/>
      <c r="AC157" s="39"/>
      <c r="AD157" s="39"/>
      <c r="AE157" s="39"/>
      <c r="AF157" s="66" t="s">
        <v>111</v>
      </c>
      <c r="AG157" s="66"/>
      <c r="AH157" s="66"/>
      <c r="AI157" s="66"/>
      <c r="AJ157" s="66"/>
      <c r="AK157" s="64" t="s">
        <v>112</v>
      </c>
      <c r="AL157" s="64"/>
      <c r="AM157" s="64"/>
      <c r="AN157" s="64"/>
      <c r="AO157" s="64"/>
      <c r="AP157" s="84" t="s">
        <v>205</v>
      </c>
      <c r="AQ157" s="84"/>
      <c r="AR157" s="84"/>
      <c r="AS157" s="84"/>
      <c r="AT157" s="84"/>
      <c r="AU157" s="66" t="s">
        <v>113</v>
      </c>
      <c r="AV157" s="66"/>
      <c r="AW157" s="66"/>
      <c r="AX157" s="66"/>
      <c r="AY157" s="66"/>
      <c r="AZ157" s="64" t="s">
        <v>114</v>
      </c>
      <c r="BA157" s="64"/>
      <c r="BB157" s="64"/>
      <c r="BC157" s="64"/>
      <c r="BD157" s="64"/>
      <c r="BE157" s="84" t="s">
        <v>205</v>
      </c>
      <c r="BF157" s="84"/>
      <c r="BG157" s="84"/>
      <c r="BH157" s="84"/>
      <c r="BI157" s="84"/>
      <c r="BJ157" s="66" t="s">
        <v>105</v>
      </c>
      <c r="BK157" s="66"/>
      <c r="BL157" s="66"/>
      <c r="BM157" s="66"/>
      <c r="BN157" s="66"/>
      <c r="BO157" s="64" t="s">
        <v>106</v>
      </c>
      <c r="BP157" s="64"/>
      <c r="BQ157" s="64"/>
      <c r="BR157" s="64"/>
      <c r="BS157" s="64"/>
      <c r="BT157" s="84" t="s">
        <v>205</v>
      </c>
      <c r="BU157" s="84"/>
      <c r="BV157" s="84"/>
      <c r="BW157" s="84"/>
      <c r="BX157" s="84"/>
      <c r="CA157" t="s">
        <v>37</v>
      </c>
    </row>
    <row r="158" spans="1:79" s="5" customFormat="1" ht="15" customHeight="1" x14ac:dyDescent="0.2">
      <c r="A158" s="36">
        <v>0</v>
      </c>
      <c r="B158" s="37"/>
      <c r="C158" s="37"/>
      <c r="D158" s="41" t="s">
        <v>204</v>
      </c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  <c r="BH158" s="33"/>
      <c r="BI158" s="33"/>
      <c r="BJ158" s="33"/>
      <c r="BK158" s="33"/>
      <c r="BL158" s="33"/>
      <c r="BM158" s="33"/>
      <c r="BN158" s="33"/>
      <c r="BO158" s="33"/>
      <c r="BP158" s="33"/>
      <c r="BQ158" s="33"/>
      <c r="BR158" s="33"/>
      <c r="BS158" s="33"/>
      <c r="BT158" s="33"/>
      <c r="BU158" s="33"/>
      <c r="BV158" s="33"/>
      <c r="BW158" s="33"/>
      <c r="BX158" s="33"/>
      <c r="CA158" s="5" t="s">
        <v>38</v>
      </c>
    </row>
    <row r="159" spans="1:79" s="4" customFormat="1" ht="15" customHeight="1" x14ac:dyDescent="0.2">
      <c r="A159" s="34">
        <v>1</v>
      </c>
      <c r="B159" s="35"/>
      <c r="C159" s="35"/>
      <c r="D159" s="38" t="s">
        <v>206</v>
      </c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9"/>
      <c r="Q159" s="39" t="s">
        <v>207</v>
      </c>
      <c r="R159" s="39"/>
      <c r="S159" s="39"/>
      <c r="T159" s="39"/>
      <c r="U159" s="39"/>
      <c r="V159" s="39" t="s">
        <v>208</v>
      </c>
      <c r="W159" s="39"/>
      <c r="X159" s="39"/>
      <c r="Y159" s="39"/>
      <c r="Z159" s="39"/>
      <c r="AA159" s="39"/>
      <c r="AB159" s="39"/>
      <c r="AC159" s="39"/>
      <c r="AD159" s="39"/>
      <c r="AE159" s="39"/>
      <c r="AF159" s="32">
        <v>8.5</v>
      </c>
      <c r="AG159" s="32"/>
      <c r="AH159" s="32"/>
      <c r="AI159" s="32"/>
      <c r="AJ159" s="32"/>
      <c r="AK159" s="32">
        <v>0</v>
      </c>
      <c r="AL159" s="32"/>
      <c r="AM159" s="32"/>
      <c r="AN159" s="32"/>
      <c r="AO159" s="32"/>
      <c r="AP159" s="32">
        <v>8.5</v>
      </c>
      <c r="AQ159" s="32"/>
      <c r="AR159" s="32"/>
      <c r="AS159" s="32"/>
      <c r="AT159" s="32"/>
      <c r="AU159" s="32">
        <v>8.5</v>
      </c>
      <c r="AV159" s="32"/>
      <c r="AW159" s="32"/>
      <c r="AX159" s="32"/>
      <c r="AY159" s="32"/>
      <c r="AZ159" s="32">
        <v>0</v>
      </c>
      <c r="BA159" s="32"/>
      <c r="BB159" s="32"/>
      <c r="BC159" s="32"/>
      <c r="BD159" s="32"/>
      <c r="BE159" s="32">
        <v>8.5</v>
      </c>
      <c r="BF159" s="32"/>
      <c r="BG159" s="32"/>
      <c r="BH159" s="32"/>
      <c r="BI159" s="32"/>
      <c r="BJ159" s="32">
        <v>8.5</v>
      </c>
      <c r="BK159" s="32"/>
      <c r="BL159" s="32"/>
      <c r="BM159" s="32"/>
      <c r="BN159" s="32"/>
      <c r="BO159" s="32">
        <v>0</v>
      </c>
      <c r="BP159" s="32"/>
      <c r="BQ159" s="32"/>
      <c r="BR159" s="32"/>
      <c r="BS159" s="32"/>
      <c r="BT159" s="32">
        <v>8.5</v>
      </c>
      <c r="BU159" s="32"/>
      <c r="BV159" s="32"/>
      <c r="BW159" s="32"/>
      <c r="BX159" s="32"/>
    </row>
    <row r="160" spans="1:79" s="5" customFormat="1" ht="15" customHeight="1" x14ac:dyDescent="0.2">
      <c r="A160" s="36">
        <v>0</v>
      </c>
      <c r="B160" s="37"/>
      <c r="C160" s="37"/>
      <c r="D160" s="40" t="s">
        <v>209</v>
      </c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5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  <c r="BH160" s="33"/>
      <c r="BI160" s="33"/>
      <c r="BJ160" s="33"/>
      <c r="BK160" s="33"/>
      <c r="BL160" s="33"/>
      <c r="BM160" s="33"/>
      <c r="BN160" s="33"/>
      <c r="BO160" s="33"/>
      <c r="BP160" s="33"/>
      <c r="BQ160" s="33"/>
      <c r="BR160" s="33"/>
      <c r="BS160" s="33"/>
      <c r="BT160" s="33"/>
      <c r="BU160" s="33"/>
      <c r="BV160" s="33"/>
      <c r="BW160" s="33"/>
      <c r="BX160" s="33"/>
    </row>
    <row r="161" spans="1:79" s="4" customFormat="1" ht="42.75" customHeight="1" x14ac:dyDescent="0.2">
      <c r="A161" s="34">
        <v>1</v>
      </c>
      <c r="B161" s="35"/>
      <c r="C161" s="35"/>
      <c r="D161" s="38" t="s">
        <v>210</v>
      </c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9"/>
      <c r="Q161" s="39" t="s">
        <v>207</v>
      </c>
      <c r="R161" s="39"/>
      <c r="S161" s="39"/>
      <c r="T161" s="39"/>
      <c r="U161" s="39"/>
      <c r="V161" s="39" t="s">
        <v>211</v>
      </c>
      <c r="W161" s="39"/>
      <c r="X161" s="39"/>
      <c r="Y161" s="39"/>
      <c r="Z161" s="39"/>
      <c r="AA161" s="39"/>
      <c r="AB161" s="39"/>
      <c r="AC161" s="39"/>
      <c r="AD161" s="39"/>
      <c r="AE161" s="39"/>
      <c r="AF161" s="32">
        <v>2</v>
      </c>
      <c r="AG161" s="32"/>
      <c r="AH161" s="32"/>
      <c r="AI161" s="32"/>
      <c r="AJ161" s="32"/>
      <c r="AK161" s="32">
        <v>0</v>
      </c>
      <c r="AL161" s="32"/>
      <c r="AM161" s="32"/>
      <c r="AN161" s="32"/>
      <c r="AO161" s="32"/>
      <c r="AP161" s="32">
        <v>2</v>
      </c>
      <c r="AQ161" s="32"/>
      <c r="AR161" s="32"/>
      <c r="AS161" s="32"/>
      <c r="AT161" s="32"/>
      <c r="AU161" s="32">
        <v>2</v>
      </c>
      <c r="AV161" s="32"/>
      <c r="AW161" s="32"/>
      <c r="AX161" s="32"/>
      <c r="AY161" s="32"/>
      <c r="AZ161" s="32">
        <v>0</v>
      </c>
      <c r="BA161" s="32"/>
      <c r="BB161" s="32"/>
      <c r="BC161" s="32"/>
      <c r="BD161" s="32"/>
      <c r="BE161" s="32">
        <v>2</v>
      </c>
      <c r="BF161" s="32"/>
      <c r="BG161" s="32"/>
      <c r="BH161" s="32"/>
      <c r="BI161" s="32"/>
      <c r="BJ161" s="32">
        <v>2</v>
      </c>
      <c r="BK161" s="32"/>
      <c r="BL161" s="32"/>
      <c r="BM161" s="32"/>
      <c r="BN161" s="32"/>
      <c r="BO161" s="32">
        <v>0</v>
      </c>
      <c r="BP161" s="32"/>
      <c r="BQ161" s="32"/>
      <c r="BR161" s="32"/>
      <c r="BS161" s="32"/>
      <c r="BT161" s="32">
        <v>2</v>
      </c>
      <c r="BU161" s="32"/>
      <c r="BV161" s="32"/>
      <c r="BW161" s="32"/>
      <c r="BX161" s="32"/>
    </row>
    <row r="162" spans="1:79" s="4" customFormat="1" ht="45" customHeight="1" x14ac:dyDescent="0.2">
      <c r="A162" s="34">
        <v>2</v>
      </c>
      <c r="B162" s="35"/>
      <c r="C162" s="35"/>
      <c r="D162" s="38" t="s">
        <v>212</v>
      </c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9"/>
      <c r="Q162" s="39" t="s">
        <v>207</v>
      </c>
      <c r="R162" s="39"/>
      <c r="S162" s="39"/>
      <c r="T162" s="39"/>
      <c r="U162" s="39"/>
      <c r="V162" s="39" t="s">
        <v>211</v>
      </c>
      <c r="W162" s="39"/>
      <c r="X162" s="39"/>
      <c r="Y162" s="39"/>
      <c r="Z162" s="39"/>
      <c r="AA162" s="39"/>
      <c r="AB162" s="39"/>
      <c r="AC162" s="39"/>
      <c r="AD162" s="39"/>
      <c r="AE162" s="39"/>
      <c r="AF162" s="32">
        <v>50</v>
      </c>
      <c r="AG162" s="32"/>
      <c r="AH162" s="32"/>
      <c r="AI162" s="32"/>
      <c r="AJ162" s="32"/>
      <c r="AK162" s="32">
        <v>0</v>
      </c>
      <c r="AL162" s="32"/>
      <c r="AM162" s="32"/>
      <c r="AN162" s="32"/>
      <c r="AO162" s="32"/>
      <c r="AP162" s="32">
        <v>50</v>
      </c>
      <c r="AQ162" s="32"/>
      <c r="AR162" s="32"/>
      <c r="AS162" s="32"/>
      <c r="AT162" s="32"/>
      <c r="AU162" s="32">
        <v>50</v>
      </c>
      <c r="AV162" s="32"/>
      <c r="AW162" s="32"/>
      <c r="AX162" s="32"/>
      <c r="AY162" s="32"/>
      <c r="AZ162" s="32">
        <v>0</v>
      </c>
      <c r="BA162" s="32"/>
      <c r="BB162" s="32"/>
      <c r="BC162" s="32"/>
      <c r="BD162" s="32"/>
      <c r="BE162" s="32">
        <v>50</v>
      </c>
      <c r="BF162" s="32"/>
      <c r="BG162" s="32"/>
      <c r="BH162" s="32"/>
      <c r="BI162" s="32"/>
      <c r="BJ162" s="32">
        <v>50</v>
      </c>
      <c r="BK162" s="32"/>
      <c r="BL162" s="32"/>
      <c r="BM162" s="32"/>
      <c r="BN162" s="32"/>
      <c r="BO162" s="32">
        <v>0</v>
      </c>
      <c r="BP162" s="32"/>
      <c r="BQ162" s="32"/>
      <c r="BR162" s="32"/>
      <c r="BS162" s="32"/>
      <c r="BT162" s="32">
        <v>50</v>
      </c>
      <c r="BU162" s="32"/>
      <c r="BV162" s="32"/>
      <c r="BW162" s="32"/>
      <c r="BX162" s="32"/>
    </row>
    <row r="163" spans="1:79" s="5" customFormat="1" ht="15" customHeight="1" x14ac:dyDescent="0.2">
      <c r="A163" s="36">
        <v>0</v>
      </c>
      <c r="B163" s="37"/>
      <c r="C163" s="37"/>
      <c r="D163" s="40" t="s">
        <v>213</v>
      </c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5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  <c r="BI163" s="33"/>
      <c r="BJ163" s="33"/>
      <c r="BK163" s="33"/>
      <c r="BL163" s="33"/>
      <c r="BM163" s="33"/>
      <c r="BN163" s="33"/>
      <c r="BO163" s="33"/>
      <c r="BP163" s="33"/>
      <c r="BQ163" s="33"/>
      <c r="BR163" s="33"/>
      <c r="BS163" s="33"/>
      <c r="BT163" s="33"/>
      <c r="BU163" s="33"/>
      <c r="BV163" s="33"/>
      <c r="BW163" s="33"/>
      <c r="BX163" s="33"/>
    </row>
    <row r="164" spans="1:79" s="4" customFormat="1" ht="42.75" customHeight="1" x14ac:dyDescent="0.2">
      <c r="A164" s="34">
        <v>1</v>
      </c>
      <c r="B164" s="35"/>
      <c r="C164" s="35"/>
      <c r="D164" s="38" t="s">
        <v>214</v>
      </c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9"/>
      <c r="Q164" s="39" t="s">
        <v>207</v>
      </c>
      <c r="R164" s="39"/>
      <c r="S164" s="39"/>
      <c r="T164" s="39"/>
      <c r="U164" s="39"/>
      <c r="V164" s="39" t="s">
        <v>211</v>
      </c>
      <c r="W164" s="39"/>
      <c r="X164" s="39"/>
      <c r="Y164" s="39"/>
      <c r="Z164" s="39"/>
      <c r="AA164" s="39"/>
      <c r="AB164" s="39"/>
      <c r="AC164" s="39"/>
      <c r="AD164" s="39"/>
      <c r="AE164" s="39"/>
      <c r="AF164" s="32">
        <v>2</v>
      </c>
      <c r="AG164" s="32"/>
      <c r="AH164" s="32"/>
      <c r="AI164" s="32"/>
      <c r="AJ164" s="32"/>
      <c r="AK164" s="32">
        <v>0</v>
      </c>
      <c r="AL164" s="32"/>
      <c r="AM164" s="32"/>
      <c r="AN164" s="32"/>
      <c r="AO164" s="32"/>
      <c r="AP164" s="32">
        <v>2</v>
      </c>
      <c r="AQ164" s="32"/>
      <c r="AR164" s="32"/>
      <c r="AS164" s="32"/>
      <c r="AT164" s="32"/>
      <c r="AU164" s="32">
        <v>2</v>
      </c>
      <c r="AV164" s="32"/>
      <c r="AW164" s="32"/>
      <c r="AX164" s="32"/>
      <c r="AY164" s="32"/>
      <c r="AZ164" s="32">
        <v>0</v>
      </c>
      <c r="BA164" s="32"/>
      <c r="BB164" s="32"/>
      <c r="BC164" s="32"/>
      <c r="BD164" s="32"/>
      <c r="BE164" s="32">
        <v>2</v>
      </c>
      <c r="BF164" s="32"/>
      <c r="BG164" s="32"/>
      <c r="BH164" s="32"/>
      <c r="BI164" s="32"/>
      <c r="BJ164" s="32">
        <v>2</v>
      </c>
      <c r="BK164" s="32"/>
      <c r="BL164" s="32"/>
      <c r="BM164" s="32"/>
      <c r="BN164" s="32"/>
      <c r="BO164" s="32">
        <v>0</v>
      </c>
      <c r="BP164" s="32"/>
      <c r="BQ164" s="32"/>
      <c r="BR164" s="32"/>
      <c r="BS164" s="32"/>
      <c r="BT164" s="32">
        <v>2</v>
      </c>
      <c r="BU164" s="32"/>
      <c r="BV164" s="32"/>
      <c r="BW164" s="32"/>
      <c r="BX164" s="32"/>
    </row>
    <row r="165" spans="1:79" s="4" customFormat="1" ht="45" customHeight="1" x14ac:dyDescent="0.2">
      <c r="A165" s="34">
        <v>3</v>
      </c>
      <c r="B165" s="35"/>
      <c r="C165" s="35"/>
      <c r="D165" s="38" t="s">
        <v>215</v>
      </c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9"/>
      <c r="Q165" s="39" t="s">
        <v>207</v>
      </c>
      <c r="R165" s="39"/>
      <c r="S165" s="39"/>
      <c r="T165" s="39"/>
      <c r="U165" s="39"/>
      <c r="V165" s="39" t="s">
        <v>211</v>
      </c>
      <c r="W165" s="39"/>
      <c r="X165" s="39"/>
      <c r="Y165" s="39"/>
      <c r="Z165" s="39"/>
      <c r="AA165" s="39"/>
      <c r="AB165" s="39"/>
      <c r="AC165" s="39"/>
      <c r="AD165" s="39"/>
      <c r="AE165" s="39"/>
      <c r="AF165" s="32">
        <v>50</v>
      </c>
      <c r="AG165" s="32"/>
      <c r="AH165" s="32"/>
      <c r="AI165" s="32"/>
      <c r="AJ165" s="32"/>
      <c r="AK165" s="32">
        <v>0</v>
      </c>
      <c r="AL165" s="32"/>
      <c r="AM165" s="32"/>
      <c r="AN165" s="32"/>
      <c r="AO165" s="32"/>
      <c r="AP165" s="32">
        <v>50</v>
      </c>
      <c r="AQ165" s="32"/>
      <c r="AR165" s="32"/>
      <c r="AS165" s="32"/>
      <c r="AT165" s="32"/>
      <c r="AU165" s="32">
        <v>50</v>
      </c>
      <c r="AV165" s="32"/>
      <c r="AW165" s="32"/>
      <c r="AX165" s="32"/>
      <c r="AY165" s="32"/>
      <c r="AZ165" s="32">
        <v>0</v>
      </c>
      <c r="BA165" s="32"/>
      <c r="BB165" s="32"/>
      <c r="BC165" s="32"/>
      <c r="BD165" s="32"/>
      <c r="BE165" s="32">
        <v>50</v>
      </c>
      <c r="BF165" s="32"/>
      <c r="BG165" s="32"/>
      <c r="BH165" s="32"/>
      <c r="BI165" s="32"/>
      <c r="BJ165" s="32">
        <v>50</v>
      </c>
      <c r="BK165" s="32"/>
      <c r="BL165" s="32"/>
      <c r="BM165" s="32"/>
      <c r="BN165" s="32"/>
      <c r="BO165" s="32">
        <v>0</v>
      </c>
      <c r="BP165" s="32"/>
      <c r="BQ165" s="32"/>
      <c r="BR165" s="32"/>
      <c r="BS165" s="32"/>
      <c r="BT165" s="32">
        <v>50</v>
      </c>
      <c r="BU165" s="32"/>
      <c r="BV165" s="32"/>
      <c r="BW165" s="32"/>
      <c r="BX165" s="32"/>
    </row>
    <row r="166" spans="1:79" s="5" customFormat="1" ht="15" customHeight="1" x14ac:dyDescent="0.2">
      <c r="A166" s="36">
        <v>0</v>
      </c>
      <c r="B166" s="37"/>
      <c r="C166" s="37"/>
      <c r="D166" s="40" t="s">
        <v>216</v>
      </c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5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  <c r="BD166" s="33"/>
      <c r="BE166" s="33"/>
      <c r="BF166" s="33"/>
      <c r="BG166" s="33"/>
      <c r="BH166" s="33"/>
      <c r="BI166" s="33"/>
      <c r="BJ166" s="33"/>
      <c r="BK166" s="33"/>
      <c r="BL166" s="33"/>
      <c r="BM166" s="33"/>
      <c r="BN166" s="33"/>
      <c r="BO166" s="33"/>
      <c r="BP166" s="33"/>
      <c r="BQ166" s="33"/>
      <c r="BR166" s="33"/>
      <c r="BS166" s="33"/>
      <c r="BT166" s="33"/>
      <c r="BU166" s="33"/>
      <c r="BV166" s="33"/>
      <c r="BW166" s="33"/>
      <c r="BX166" s="33"/>
    </row>
    <row r="167" spans="1:79" s="4" customFormat="1" ht="28.5" customHeight="1" x14ac:dyDescent="0.2">
      <c r="A167" s="34">
        <v>1</v>
      </c>
      <c r="B167" s="35"/>
      <c r="C167" s="35"/>
      <c r="D167" s="38" t="s">
        <v>217</v>
      </c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9"/>
      <c r="Q167" s="39" t="s">
        <v>218</v>
      </c>
      <c r="R167" s="39"/>
      <c r="S167" s="39"/>
      <c r="T167" s="39"/>
      <c r="U167" s="39"/>
      <c r="V167" s="38" t="s">
        <v>219</v>
      </c>
      <c r="W167" s="28"/>
      <c r="X167" s="28"/>
      <c r="Y167" s="28"/>
      <c r="Z167" s="28"/>
      <c r="AA167" s="28"/>
      <c r="AB167" s="28"/>
      <c r="AC167" s="28"/>
      <c r="AD167" s="28"/>
      <c r="AE167" s="29"/>
      <c r="AF167" s="32">
        <v>298782</v>
      </c>
      <c r="AG167" s="32"/>
      <c r="AH167" s="32"/>
      <c r="AI167" s="32"/>
      <c r="AJ167" s="32"/>
      <c r="AK167" s="32">
        <v>0</v>
      </c>
      <c r="AL167" s="32"/>
      <c r="AM167" s="32"/>
      <c r="AN167" s="32"/>
      <c r="AO167" s="32"/>
      <c r="AP167" s="32">
        <v>298782</v>
      </c>
      <c r="AQ167" s="32"/>
      <c r="AR167" s="32"/>
      <c r="AS167" s="32"/>
      <c r="AT167" s="32"/>
      <c r="AU167" s="32">
        <v>359122</v>
      </c>
      <c r="AV167" s="32"/>
      <c r="AW167" s="32"/>
      <c r="AX167" s="32"/>
      <c r="AY167" s="32"/>
      <c r="AZ167" s="32">
        <v>0</v>
      </c>
      <c r="BA167" s="32"/>
      <c r="BB167" s="32"/>
      <c r="BC167" s="32"/>
      <c r="BD167" s="32"/>
      <c r="BE167" s="32">
        <v>359122</v>
      </c>
      <c r="BF167" s="32"/>
      <c r="BG167" s="32"/>
      <c r="BH167" s="32"/>
      <c r="BI167" s="32"/>
      <c r="BJ167" s="32">
        <v>359122</v>
      </c>
      <c r="BK167" s="32"/>
      <c r="BL167" s="32"/>
      <c r="BM167" s="32"/>
      <c r="BN167" s="32"/>
      <c r="BO167" s="32">
        <v>0</v>
      </c>
      <c r="BP167" s="32"/>
      <c r="BQ167" s="32"/>
      <c r="BR167" s="32"/>
      <c r="BS167" s="32"/>
      <c r="BT167" s="32">
        <v>359122</v>
      </c>
      <c r="BU167" s="32"/>
      <c r="BV167" s="32"/>
      <c r="BW167" s="32"/>
      <c r="BX167" s="32"/>
    </row>
    <row r="168" spans="1:79" s="4" customFormat="1" ht="45" customHeight="1" x14ac:dyDescent="0.2">
      <c r="A168" s="34">
        <v>2</v>
      </c>
      <c r="B168" s="35"/>
      <c r="C168" s="35"/>
      <c r="D168" s="38" t="s">
        <v>220</v>
      </c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9"/>
      <c r="Q168" s="39" t="s">
        <v>207</v>
      </c>
      <c r="R168" s="39"/>
      <c r="S168" s="39"/>
      <c r="T168" s="39"/>
      <c r="U168" s="39"/>
      <c r="V168" s="38" t="s">
        <v>221</v>
      </c>
      <c r="W168" s="28"/>
      <c r="X168" s="28"/>
      <c r="Y168" s="28"/>
      <c r="Z168" s="28"/>
      <c r="AA168" s="28"/>
      <c r="AB168" s="28"/>
      <c r="AC168" s="28"/>
      <c r="AD168" s="28"/>
      <c r="AE168" s="29"/>
      <c r="AF168" s="32">
        <v>50</v>
      </c>
      <c r="AG168" s="32"/>
      <c r="AH168" s="32"/>
      <c r="AI168" s="32"/>
      <c r="AJ168" s="32"/>
      <c r="AK168" s="32">
        <v>0</v>
      </c>
      <c r="AL168" s="32"/>
      <c r="AM168" s="32"/>
      <c r="AN168" s="32"/>
      <c r="AO168" s="32"/>
      <c r="AP168" s="32">
        <v>50</v>
      </c>
      <c r="AQ168" s="32"/>
      <c r="AR168" s="32"/>
      <c r="AS168" s="32"/>
      <c r="AT168" s="32"/>
      <c r="AU168" s="32">
        <v>50</v>
      </c>
      <c r="AV168" s="32"/>
      <c r="AW168" s="32"/>
      <c r="AX168" s="32"/>
      <c r="AY168" s="32"/>
      <c r="AZ168" s="32">
        <v>0</v>
      </c>
      <c r="BA168" s="32"/>
      <c r="BB168" s="32"/>
      <c r="BC168" s="32"/>
      <c r="BD168" s="32"/>
      <c r="BE168" s="32">
        <v>50</v>
      </c>
      <c r="BF168" s="32"/>
      <c r="BG168" s="32"/>
      <c r="BH168" s="32"/>
      <c r="BI168" s="32"/>
      <c r="BJ168" s="32">
        <v>50</v>
      </c>
      <c r="BK168" s="32"/>
      <c r="BL168" s="32"/>
      <c r="BM168" s="32"/>
      <c r="BN168" s="32"/>
      <c r="BO168" s="32">
        <v>0</v>
      </c>
      <c r="BP168" s="32"/>
      <c r="BQ168" s="32"/>
      <c r="BR168" s="32"/>
      <c r="BS168" s="32"/>
      <c r="BT168" s="32">
        <v>50</v>
      </c>
      <c r="BU168" s="32"/>
      <c r="BV168" s="32"/>
      <c r="BW168" s="32"/>
      <c r="BX168" s="32"/>
    </row>
    <row r="169" spans="1:79" s="4" customFormat="1" ht="30" customHeight="1" x14ac:dyDescent="0.2">
      <c r="A169" s="34">
        <v>3</v>
      </c>
      <c r="B169" s="35"/>
      <c r="C169" s="35"/>
      <c r="D169" s="38" t="s">
        <v>222</v>
      </c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9"/>
      <c r="Q169" s="39" t="s">
        <v>207</v>
      </c>
      <c r="R169" s="39"/>
      <c r="S169" s="39"/>
      <c r="T169" s="39"/>
      <c r="U169" s="39"/>
      <c r="V169" s="38" t="s">
        <v>221</v>
      </c>
      <c r="W169" s="28"/>
      <c r="X169" s="28"/>
      <c r="Y169" s="28"/>
      <c r="Z169" s="28"/>
      <c r="AA169" s="28"/>
      <c r="AB169" s="28"/>
      <c r="AC169" s="28"/>
      <c r="AD169" s="28"/>
      <c r="AE169" s="29"/>
      <c r="AF169" s="32">
        <v>2</v>
      </c>
      <c r="AG169" s="32"/>
      <c r="AH169" s="32"/>
      <c r="AI169" s="32"/>
      <c r="AJ169" s="32"/>
      <c r="AK169" s="32">
        <v>0</v>
      </c>
      <c r="AL169" s="32"/>
      <c r="AM169" s="32"/>
      <c r="AN169" s="32"/>
      <c r="AO169" s="32"/>
      <c r="AP169" s="32">
        <v>2</v>
      </c>
      <c r="AQ169" s="32"/>
      <c r="AR169" s="32"/>
      <c r="AS169" s="32"/>
      <c r="AT169" s="32"/>
      <c r="AU169" s="32">
        <v>2</v>
      </c>
      <c r="AV169" s="32"/>
      <c r="AW169" s="32"/>
      <c r="AX169" s="32"/>
      <c r="AY169" s="32"/>
      <c r="AZ169" s="32">
        <v>0</v>
      </c>
      <c r="BA169" s="32"/>
      <c r="BB169" s="32"/>
      <c r="BC169" s="32"/>
      <c r="BD169" s="32"/>
      <c r="BE169" s="32">
        <v>2</v>
      </c>
      <c r="BF169" s="32"/>
      <c r="BG169" s="32"/>
      <c r="BH169" s="32"/>
      <c r="BI169" s="32"/>
      <c r="BJ169" s="32">
        <v>0</v>
      </c>
      <c r="BK169" s="32"/>
      <c r="BL169" s="32"/>
      <c r="BM169" s="32"/>
      <c r="BN169" s="32"/>
      <c r="BO169" s="32">
        <v>0</v>
      </c>
      <c r="BP169" s="32"/>
      <c r="BQ169" s="32"/>
      <c r="BR169" s="32"/>
      <c r="BS169" s="32"/>
      <c r="BT169" s="32">
        <v>0</v>
      </c>
      <c r="BU169" s="32"/>
      <c r="BV169" s="32"/>
      <c r="BW169" s="32"/>
      <c r="BX169" s="32"/>
    </row>
    <row r="171" spans="1:79" ht="14.25" customHeight="1" x14ac:dyDescent="0.2">
      <c r="A171" s="62" t="s">
        <v>278</v>
      </c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</row>
    <row r="172" spans="1:79" ht="23.1" customHeight="1" x14ac:dyDescent="0.2">
      <c r="A172" s="78" t="s">
        <v>6</v>
      </c>
      <c r="B172" s="79"/>
      <c r="C172" s="79"/>
      <c r="D172" s="39" t="s">
        <v>9</v>
      </c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 t="s">
        <v>8</v>
      </c>
      <c r="R172" s="39"/>
      <c r="S172" s="39"/>
      <c r="T172" s="39"/>
      <c r="U172" s="39"/>
      <c r="V172" s="39" t="s">
        <v>7</v>
      </c>
      <c r="W172" s="39"/>
      <c r="X172" s="39"/>
      <c r="Y172" s="39"/>
      <c r="Z172" s="39"/>
      <c r="AA172" s="39"/>
      <c r="AB172" s="39"/>
      <c r="AC172" s="39"/>
      <c r="AD172" s="39"/>
      <c r="AE172" s="39"/>
      <c r="AF172" s="74" t="s">
        <v>269</v>
      </c>
      <c r="AG172" s="75"/>
      <c r="AH172" s="75"/>
      <c r="AI172" s="75"/>
      <c r="AJ172" s="75"/>
      <c r="AK172" s="75"/>
      <c r="AL172" s="75"/>
      <c r="AM172" s="75"/>
      <c r="AN172" s="75"/>
      <c r="AO172" s="75"/>
      <c r="AP172" s="75"/>
      <c r="AQ172" s="75"/>
      <c r="AR172" s="75"/>
      <c r="AS172" s="75"/>
      <c r="AT172" s="76"/>
      <c r="AU172" s="74" t="s">
        <v>274</v>
      </c>
      <c r="AV172" s="75"/>
      <c r="AW172" s="75"/>
      <c r="AX172" s="75"/>
      <c r="AY172" s="75"/>
      <c r="AZ172" s="75"/>
      <c r="BA172" s="75"/>
      <c r="BB172" s="75"/>
      <c r="BC172" s="75"/>
      <c r="BD172" s="75"/>
      <c r="BE172" s="75"/>
      <c r="BF172" s="75"/>
      <c r="BG172" s="75"/>
      <c r="BH172" s="75"/>
      <c r="BI172" s="76"/>
    </row>
    <row r="173" spans="1:79" ht="28.5" customHeight="1" x14ac:dyDescent="0.2">
      <c r="A173" s="81"/>
      <c r="B173" s="82"/>
      <c r="C173" s="82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 t="s">
        <v>4</v>
      </c>
      <c r="AG173" s="39"/>
      <c r="AH173" s="39"/>
      <c r="AI173" s="39"/>
      <c r="AJ173" s="39"/>
      <c r="AK173" s="39" t="s">
        <v>3</v>
      </c>
      <c r="AL173" s="39"/>
      <c r="AM173" s="39"/>
      <c r="AN173" s="39"/>
      <c r="AO173" s="39"/>
      <c r="AP173" s="39" t="s">
        <v>123</v>
      </c>
      <c r="AQ173" s="39"/>
      <c r="AR173" s="39"/>
      <c r="AS173" s="39"/>
      <c r="AT173" s="39"/>
      <c r="AU173" s="39" t="s">
        <v>4</v>
      </c>
      <c r="AV173" s="39"/>
      <c r="AW173" s="39"/>
      <c r="AX173" s="39"/>
      <c r="AY173" s="39"/>
      <c r="AZ173" s="39" t="s">
        <v>3</v>
      </c>
      <c r="BA173" s="39"/>
      <c r="BB173" s="39"/>
      <c r="BC173" s="39"/>
      <c r="BD173" s="39"/>
      <c r="BE173" s="39" t="s">
        <v>90</v>
      </c>
      <c r="BF173" s="39"/>
      <c r="BG173" s="39"/>
      <c r="BH173" s="39"/>
      <c r="BI173" s="39"/>
    </row>
    <row r="174" spans="1:79" ht="15" customHeight="1" x14ac:dyDescent="0.2">
      <c r="A174" s="74">
        <v>1</v>
      </c>
      <c r="B174" s="75"/>
      <c r="C174" s="75"/>
      <c r="D174" s="39">
        <v>2</v>
      </c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>
        <v>3</v>
      </c>
      <c r="R174" s="39"/>
      <c r="S174" s="39"/>
      <c r="T174" s="39"/>
      <c r="U174" s="39"/>
      <c r="V174" s="39">
        <v>4</v>
      </c>
      <c r="W174" s="39"/>
      <c r="X174" s="39"/>
      <c r="Y174" s="39"/>
      <c r="Z174" s="39"/>
      <c r="AA174" s="39"/>
      <c r="AB174" s="39"/>
      <c r="AC174" s="39"/>
      <c r="AD174" s="39"/>
      <c r="AE174" s="39"/>
      <c r="AF174" s="39">
        <v>5</v>
      </c>
      <c r="AG174" s="39"/>
      <c r="AH174" s="39"/>
      <c r="AI174" s="39"/>
      <c r="AJ174" s="39"/>
      <c r="AK174" s="39">
        <v>6</v>
      </c>
      <c r="AL174" s="39"/>
      <c r="AM174" s="39"/>
      <c r="AN174" s="39"/>
      <c r="AO174" s="39"/>
      <c r="AP174" s="39">
        <v>7</v>
      </c>
      <c r="AQ174" s="39"/>
      <c r="AR174" s="39"/>
      <c r="AS174" s="39"/>
      <c r="AT174" s="39"/>
      <c r="AU174" s="39">
        <v>8</v>
      </c>
      <c r="AV174" s="39"/>
      <c r="AW174" s="39"/>
      <c r="AX174" s="39"/>
      <c r="AY174" s="39"/>
      <c r="AZ174" s="39">
        <v>9</v>
      </c>
      <c r="BA174" s="39"/>
      <c r="BB174" s="39"/>
      <c r="BC174" s="39"/>
      <c r="BD174" s="39"/>
      <c r="BE174" s="39">
        <v>10</v>
      </c>
      <c r="BF174" s="39"/>
      <c r="BG174" s="39"/>
      <c r="BH174" s="39"/>
      <c r="BI174" s="39"/>
    </row>
    <row r="175" spans="1:79" ht="15.75" hidden="1" customHeight="1" x14ac:dyDescent="0.2">
      <c r="A175" s="88" t="s">
        <v>154</v>
      </c>
      <c r="B175" s="89"/>
      <c r="C175" s="89"/>
      <c r="D175" s="39" t="s">
        <v>57</v>
      </c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 t="s">
        <v>70</v>
      </c>
      <c r="R175" s="39"/>
      <c r="S175" s="39"/>
      <c r="T175" s="39"/>
      <c r="U175" s="39"/>
      <c r="V175" s="39" t="s">
        <v>71</v>
      </c>
      <c r="W175" s="39"/>
      <c r="X175" s="39"/>
      <c r="Y175" s="39"/>
      <c r="Z175" s="39"/>
      <c r="AA175" s="39"/>
      <c r="AB175" s="39"/>
      <c r="AC175" s="39"/>
      <c r="AD175" s="39"/>
      <c r="AE175" s="39"/>
      <c r="AF175" s="66" t="s">
        <v>107</v>
      </c>
      <c r="AG175" s="66"/>
      <c r="AH175" s="66"/>
      <c r="AI175" s="66"/>
      <c r="AJ175" s="66"/>
      <c r="AK175" s="64" t="s">
        <v>108</v>
      </c>
      <c r="AL175" s="64"/>
      <c r="AM175" s="64"/>
      <c r="AN175" s="64"/>
      <c r="AO175" s="64"/>
      <c r="AP175" s="84" t="s">
        <v>205</v>
      </c>
      <c r="AQ175" s="84"/>
      <c r="AR175" s="84"/>
      <c r="AS175" s="84"/>
      <c r="AT175" s="84"/>
      <c r="AU175" s="66" t="s">
        <v>109</v>
      </c>
      <c r="AV175" s="66"/>
      <c r="AW175" s="66"/>
      <c r="AX175" s="66"/>
      <c r="AY175" s="66"/>
      <c r="AZ175" s="64" t="s">
        <v>110</v>
      </c>
      <c r="BA175" s="64"/>
      <c r="BB175" s="64"/>
      <c r="BC175" s="64"/>
      <c r="BD175" s="64"/>
      <c r="BE175" s="84" t="s">
        <v>205</v>
      </c>
      <c r="BF175" s="84"/>
      <c r="BG175" s="84"/>
      <c r="BH175" s="84"/>
      <c r="BI175" s="84"/>
      <c r="CA175" t="s">
        <v>39</v>
      </c>
    </row>
    <row r="176" spans="1:79" s="5" customFormat="1" ht="14.25" x14ac:dyDescent="0.2">
      <c r="A176" s="36">
        <v>0</v>
      </c>
      <c r="B176" s="37"/>
      <c r="C176" s="37"/>
      <c r="D176" s="41" t="s">
        <v>204</v>
      </c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  <c r="BD176" s="33"/>
      <c r="BE176" s="33"/>
      <c r="BF176" s="33"/>
      <c r="BG176" s="33"/>
      <c r="BH176" s="33"/>
      <c r="BI176" s="33"/>
      <c r="CA176" s="5" t="s">
        <v>40</v>
      </c>
    </row>
    <row r="177" spans="1:70" s="4" customFormat="1" ht="14.25" customHeight="1" x14ac:dyDescent="0.2">
      <c r="A177" s="34">
        <v>1</v>
      </c>
      <c r="B177" s="35"/>
      <c r="C177" s="35"/>
      <c r="D177" s="38" t="s">
        <v>206</v>
      </c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9"/>
      <c r="Q177" s="39" t="s">
        <v>207</v>
      </c>
      <c r="R177" s="39"/>
      <c r="S177" s="39"/>
      <c r="T177" s="39"/>
      <c r="U177" s="39"/>
      <c r="V177" s="39" t="s">
        <v>208</v>
      </c>
      <c r="W177" s="39"/>
      <c r="X177" s="39"/>
      <c r="Y177" s="39"/>
      <c r="Z177" s="39"/>
      <c r="AA177" s="39"/>
      <c r="AB177" s="39"/>
      <c r="AC177" s="39"/>
      <c r="AD177" s="39"/>
      <c r="AE177" s="39"/>
      <c r="AF177" s="32">
        <v>8.5</v>
      </c>
      <c r="AG177" s="32"/>
      <c r="AH177" s="32"/>
      <c r="AI177" s="32"/>
      <c r="AJ177" s="32"/>
      <c r="AK177" s="32">
        <v>0</v>
      </c>
      <c r="AL177" s="32"/>
      <c r="AM177" s="32"/>
      <c r="AN177" s="32"/>
      <c r="AO177" s="32"/>
      <c r="AP177" s="32">
        <v>8.5</v>
      </c>
      <c r="AQ177" s="32"/>
      <c r="AR177" s="32"/>
      <c r="AS177" s="32"/>
      <c r="AT177" s="32"/>
      <c r="AU177" s="32">
        <v>8.5</v>
      </c>
      <c r="AV177" s="32"/>
      <c r="AW177" s="32"/>
      <c r="AX177" s="32"/>
      <c r="AY177" s="32"/>
      <c r="AZ177" s="32">
        <v>0</v>
      </c>
      <c r="BA177" s="32"/>
      <c r="BB177" s="32"/>
      <c r="BC177" s="32"/>
      <c r="BD177" s="32"/>
      <c r="BE177" s="32">
        <v>8.5</v>
      </c>
      <c r="BF177" s="32"/>
      <c r="BG177" s="32"/>
      <c r="BH177" s="32"/>
      <c r="BI177" s="32"/>
    </row>
    <row r="178" spans="1:70" s="5" customFormat="1" ht="14.25" x14ac:dyDescent="0.2">
      <c r="A178" s="36">
        <v>0</v>
      </c>
      <c r="B178" s="37"/>
      <c r="C178" s="37"/>
      <c r="D178" s="40" t="s">
        <v>209</v>
      </c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5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  <c r="BD178" s="33"/>
      <c r="BE178" s="33"/>
      <c r="BF178" s="33"/>
      <c r="BG178" s="33"/>
      <c r="BH178" s="33"/>
      <c r="BI178" s="33"/>
    </row>
    <row r="179" spans="1:70" s="4" customFormat="1" ht="42.75" customHeight="1" x14ac:dyDescent="0.2">
      <c r="A179" s="34">
        <v>1</v>
      </c>
      <c r="B179" s="35"/>
      <c r="C179" s="35"/>
      <c r="D179" s="38" t="s">
        <v>210</v>
      </c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9"/>
      <c r="Q179" s="39" t="s">
        <v>207</v>
      </c>
      <c r="R179" s="39"/>
      <c r="S179" s="39"/>
      <c r="T179" s="39"/>
      <c r="U179" s="39"/>
      <c r="V179" s="39" t="s">
        <v>211</v>
      </c>
      <c r="W179" s="39"/>
      <c r="X179" s="39"/>
      <c r="Y179" s="39"/>
      <c r="Z179" s="39"/>
      <c r="AA179" s="39"/>
      <c r="AB179" s="39"/>
      <c r="AC179" s="39"/>
      <c r="AD179" s="39"/>
      <c r="AE179" s="39"/>
      <c r="AF179" s="32">
        <v>2</v>
      </c>
      <c r="AG179" s="32"/>
      <c r="AH179" s="32"/>
      <c r="AI179" s="32"/>
      <c r="AJ179" s="32"/>
      <c r="AK179" s="32">
        <v>0</v>
      </c>
      <c r="AL179" s="32"/>
      <c r="AM179" s="32"/>
      <c r="AN179" s="32"/>
      <c r="AO179" s="32"/>
      <c r="AP179" s="32">
        <v>2</v>
      </c>
      <c r="AQ179" s="32"/>
      <c r="AR179" s="32"/>
      <c r="AS179" s="32"/>
      <c r="AT179" s="32"/>
      <c r="AU179" s="32">
        <v>2</v>
      </c>
      <c r="AV179" s="32"/>
      <c r="AW179" s="32"/>
      <c r="AX179" s="32"/>
      <c r="AY179" s="32"/>
      <c r="AZ179" s="32">
        <v>0</v>
      </c>
      <c r="BA179" s="32"/>
      <c r="BB179" s="32"/>
      <c r="BC179" s="32"/>
      <c r="BD179" s="32"/>
      <c r="BE179" s="32">
        <v>2</v>
      </c>
      <c r="BF179" s="32"/>
      <c r="BG179" s="32"/>
      <c r="BH179" s="32"/>
      <c r="BI179" s="32"/>
    </row>
    <row r="180" spans="1:70" s="4" customFormat="1" ht="45" customHeight="1" x14ac:dyDescent="0.2">
      <c r="A180" s="34">
        <v>2</v>
      </c>
      <c r="B180" s="35"/>
      <c r="C180" s="35"/>
      <c r="D180" s="38" t="s">
        <v>212</v>
      </c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9"/>
      <c r="Q180" s="39" t="s">
        <v>207</v>
      </c>
      <c r="R180" s="39"/>
      <c r="S180" s="39"/>
      <c r="T180" s="39"/>
      <c r="U180" s="39"/>
      <c r="V180" s="39" t="s">
        <v>211</v>
      </c>
      <c r="W180" s="39"/>
      <c r="X180" s="39"/>
      <c r="Y180" s="39"/>
      <c r="Z180" s="39"/>
      <c r="AA180" s="39"/>
      <c r="AB180" s="39"/>
      <c r="AC180" s="39"/>
      <c r="AD180" s="39"/>
      <c r="AE180" s="39"/>
      <c r="AF180" s="32">
        <v>50</v>
      </c>
      <c r="AG180" s="32"/>
      <c r="AH180" s="32"/>
      <c r="AI180" s="32"/>
      <c r="AJ180" s="32"/>
      <c r="AK180" s="32">
        <v>0</v>
      </c>
      <c r="AL180" s="32"/>
      <c r="AM180" s="32"/>
      <c r="AN180" s="32"/>
      <c r="AO180" s="32"/>
      <c r="AP180" s="32">
        <v>50</v>
      </c>
      <c r="AQ180" s="32"/>
      <c r="AR180" s="32"/>
      <c r="AS180" s="32"/>
      <c r="AT180" s="32"/>
      <c r="AU180" s="32">
        <v>50</v>
      </c>
      <c r="AV180" s="32"/>
      <c r="AW180" s="32"/>
      <c r="AX180" s="32"/>
      <c r="AY180" s="32"/>
      <c r="AZ180" s="32">
        <v>0</v>
      </c>
      <c r="BA180" s="32"/>
      <c r="BB180" s="32"/>
      <c r="BC180" s="32"/>
      <c r="BD180" s="32"/>
      <c r="BE180" s="32">
        <v>50</v>
      </c>
      <c r="BF180" s="32"/>
      <c r="BG180" s="32"/>
      <c r="BH180" s="32"/>
      <c r="BI180" s="32"/>
    </row>
    <row r="181" spans="1:70" s="5" customFormat="1" ht="14.25" x14ac:dyDescent="0.2">
      <c r="A181" s="36">
        <v>0</v>
      </c>
      <c r="B181" s="37"/>
      <c r="C181" s="37"/>
      <c r="D181" s="40" t="s">
        <v>213</v>
      </c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5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3"/>
      <c r="BE181" s="33"/>
      <c r="BF181" s="33"/>
      <c r="BG181" s="33"/>
      <c r="BH181" s="33"/>
      <c r="BI181" s="33"/>
    </row>
    <row r="182" spans="1:70" s="4" customFormat="1" ht="42.75" customHeight="1" x14ac:dyDescent="0.2">
      <c r="A182" s="34">
        <v>1</v>
      </c>
      <c r="B182" s="35"/>
      <c r="C182" s="35"/>
      <c r="D182" s="38" t="s">
        <v>214</v>
      </c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9"/>
      <c r="Q182" s="39" t="s">
        <v>207</v>
      </c>
      <c r="R182" s="39"/>
      <c r="S182" s="39"/>
      <c r="T182" s="39"/>
      <c r="U182" s="39"/>
      <c r="V182" s="39" t="s">
        <v>211</v>
      </c>
      <c r="W182" s="39"/>
      <c r="X182" s="39"/>
      <c r="Y182" s="39"/>
      <c r="Z182" s="39"/>
      <c r="AA182" s="39"/>
      <c r="AB182" s="39"/>
      <c r="AC182" s="39"/>
      <c r="AD182" s="39"/>
      <c r="AE182" s="39"/>
      <c r="AF182" s="32">
        <v>2</v>
      </c>
      <c r="AG182" s="32"/>
      <c r="AH182" s="32"/>
      <c r="AI182" s="32"/>
      <c r="AJ182" s="32"/>
      <c r="AK182" s="32">
        <v>0</v>
      </c>
      <c r="AL182" s="32"/>
      <c r="AM182" s="32"/>
      <c r="AN182" s="32"/>
      <c r="AO182" s="32"/>
      <c r="AP182" s="32">
        <v>2</v>
      </c>
      <c r="AQ182" s="32"/>
      <c r="AR182" s="32"/>
      <c r="AS182" s="32"/>
      <c r="AT182" s="32"/>
      <c r="AU182" s="32">
        <v>2</v>
      </c>
      <c r="AV182" s="32"/>
      <c r="AW182" s="32"/>
      <c r="AX182" s="32"/>
      <c r="AY182" s="32"/>
      <c r="AZ182" s="32">
        <v>0</v>
      </c>
      <c r="BA182" s="32"/>
      <c r="BB182" s="32"/>
      <c r="BC182" s="32"/>
      <c r="BD182" s="32"/>
      <c r="BE182" s="32">
        <v>2</v>
      </c>
      <c r="BF182" s="32"/>
      <c r="BG182" s="32"/>
      <c r="BH182" s="32"/>
      <c r="BI182" s="32"/>
    </row>
    <row r="183" spans="1:70" s="4" customFormat="1" ht="45" customHeight="1" x14ac:dyDescent="0.2">
      <c r="A183" s="34">
        <v>3</v>
      </c>
      <c r="B183" s="35"/>
      <c r="C183" s="35"/>
      <c r="D183" s="38" t="s">
        <v>215</v>
      </c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9"/>
      <c r="Q183" s="39" t="s">
        <v>207</v>
      </c>
      <c r="R183" s="39"/>
      <c r="S183" s="39"/>
      <c r="T183" s="39"/>
      <c r="U183" s="39"/>
      <c r="V183" s="39" t="s">
        <v>211</v>
      </c>
      <c r="W183" s="39"/>
      <c r="X183" s="39"/>
      <c r="Y183" s="39"/>
      <c r="Z183" s="39"/>
      <c r="AA183" s="39"/>
      <c r="AB183" s="39"/>
      <c r="AC183" s="39"/>
      <c r="AD183" s="39"/>
      <c r="AE183" s="39"/>
      <c r="AF183" s="32">
        <v>50</v>
      </c>
      <c r="AG183" s="32"/>
      <c r="AH183" s="32"/>
      <c r="AI183" s="32"/>
      <c r="AJ183" s="32"/>
      <c r="AK183" s="32">
        <v>0</v>
      </c>
      <c r="AL183" s="32"/>
      <c r="AM183" s="32"/>
      <c r="AN183" s="32"/>
      <c r="AO183" s="32"/>
      <c r="AP183" s="32">
        <v>50</v>
      </c>
      <c r="AQ183" s="32"/>
      <c r="AR183" s="32"/>
      <c r="AS183" s="32"/>
      <c r="AT183" s="32"/>
      <c r="AU183" s="32">
        <v>50</v>
      </c>
      <c r="AV183" s="32"/>
      <c r="AW183" s="32"/>
      <c r="AX183" s="32"/>
      <c r="AY183" s="32"/>
      <c r="AZ183" s="32">
        <v>0</v>
      </c>
      <c r="BA183" s="32"/>
      <c r="BB183" s="32"/>
      <c r="BC183" s="32"/>
      <c r="BD183" s="32"/>
      <c r="BE183" s="32">
        <v>50</v>
      </c>
      <c r="BF183" s="32"/>
      <c r="BG183" s="32"/>
      <c r="BH183" s="32"/>
      <c r="BI183" s="32"/>
    </row>
    <row r="184" spans="1:70" s="5" customFormat="1" ht="14.25" x14ac:dyDescent="0.2">
      <c r="A184" s="36">
        <v>0</v>
      </c>
      <c r="B184" s="37"/>
      <c r="C184" s="37"/>
      <c r="D184" s="40" t="s">
        <v>216</v>
      </c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5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  <c r="BD184" s="33"/>
      <c r="BE184" s="33"/>
      <c r="BF184" s="33"/>
      <c r="BG184" s="33"/>
      <c r="BH184" s="33"/>
      <c r="BI184" s="33"/>
    </row>
    <row r="185" spans="1:70" s="4" customFormat="1" ht="28.5" customHeight="1" x14ac:dyDescent="0.2">
      <c r="A185" s="34">
        <v>1</v>
      </c>
      <c r="B185" s="35"/>
      <c r="C185" s="35"/>
      <c r="D185" s="38" t="s">
        <v>217</v>
      </c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9"/>
      <c r="Q185" s="39" t="s">
        <v>218</v>
      </c>
      <c r="R185" s="39"/>
      <c r="S185" s="39"/>
      <c r="T185" s="39"/>
      <c r="U185" s="39"/>
      <c r="V185" s="38" t="s">
        <v>219</v>
      </c>
      <c r="W185" s="28"/>
      <c r="X185" s="28"/>
      <c r="Y185" s="28"/>
      <c r="Z185" s="28"/>
      <c r="AA185" s="28"/>
      <c r="AB185" s="28"/>
      <c r="AC185" s="28"/>
      <c r="AD185" s="28"/>
      <c r="AE185" s="29"/>
      <c r="AF185" s="32">
        <v>394675</v>
      </c>
      <c r="AG185" s="32"/>
      <c r="AH185" s="32"/>
      <c r="AI185" s="32"/>
      <c r="AJ185" s="32"/>
      <c r="AK185" s="32">
        <v>0</v>
      </c>
      <c r="AL185" s="32"/>
      <c r="AM185" s="32"/>
      <c r="AN185" s="32"/>
      <c r="AO185" s="32"/>
      <c r="AP185" s="32">
        <v>394675</v>
      </c>
      <c r="AQ185" s="32"/>
      <c r="AR185" s="32"/>
      <c r="AS185" s="32"/>
      <c r="AT185" s="32"/>
      <c r="AU185" s="32">
        <v>426249</v>
      </c>
      <c r="AV185" s="32"/>
      <c r="AW185" s="32"/>
      <c r="AX185" s="32"/>
      <c r="AY185" s="32"/>
      <c r="AZ185" s="32">
        <v>0</v>
      </c>
      <c r="BA185" s="32"/>
      <c r="BB185" s="32"/>
      <c r="BC185" s="32"/>
      <c r="BD185" s="32"/>
      <c r="BE185" s="32">
        <v>426249</v>
      </c>
      <c r="BF185" s="32"/>
      <c r="BG185" s="32"/>
      <c r="BH185" s="32"/>
      <c r="BI185" s="32"/>
    </row>
    <row r="186" spans="1:70" s="4" customFormat="1" ht="45" customHeight="1" x14ac:dyDescent="0.2">
      <c r="A186" s="34">
        <v>2</v>
      </c>
      <c r="B186" s="35"/>
      <c r="C186" s="35"/>
      <c r="D186" s="38" t="s">
        <v>220</v>
      </c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9"/>
      <c r="Q186" s="39" t="s">
        <v>207</v>
      </c>
      <c r="R186" s="39"/>
      <c r="S186" s="39"/>
      <c r="T186" s="39"/>
      <c r="U186" s="39"/>
      <c r="V186" s="38" t="s">
        <v>221</v>
      </c>
      <c r="W186" s="28"/>
      <c r="X186" s="28"/>
      <c r="Y186" s="28"/>
      <c r="Z186" s="28"/>
      <c r="AA186" s="28"/>
      <c r="AB186" s="28"/>
      <c r="AC186" s="28"/>
      <c r="AD186" s="28"/>
      <c r="AE186" s="29"/>
      <c r="AF186" s="32">
        <v>0</v>
      </c>
      <c r="AG186" s="32"/>
      <c r="AH186" s="32"/>
      <c r="AI186" s="32"/>
      <c r="AJ186" s="32"/>
      <c r="AK186" s="32">
        <v>0</v>
      </c>
      <c r="AL186" s="32"/>
      <c r="AM186" s="32"/>
      <c r="AN186" s="32"/>
      <c r="AO186" s="32"/>
      <c r="AP186" s="32">
        <v>0</v>
      </c>
      <c r="AQ186" s="32"/>
      <c r="AR186" s="32"/>
      <c r="AS186" s="32"/>
      <c r="AT186" s="32"/>
      <c r="AU186" s="32">
        <v>0</v>
      </c>
      <c r="AV186" s="32"/>
      <c r="AW186" s="32"/>
      <c r="AX186" s="32"/>
      <c r="AY186" s="32"/>
      <c r="AZ186" s="32">
        <v>0</v>
      </c>
      <c r="BA186" s="32"/>
      <c r="BB186" s="32"/>
      <c r="BC186" s="32"/>
      <c r="BD186" s="32"/>
      <c r="BE186" s="32">
        <v>0</v>
      </c>
      <c r="BF186" s="32"/>
      <c r="BG186" s="32"/>
      <c r="BH186" s="32"/>
      <c r="BI186" s="32"/>
    </row>
    <row r="187" spans="1:70" s="4" customFormat="1" ht="30" customHeight="1" x14ac:dyDescent="0.2">
      <c r="A187" s="34">
        <v>3</v>
      </c>
      <c r="B187" s="35"/>
      <c r="C187" s="35"/>
      <c r="D187" s="38" t="s">
        <v>222</v>
      </c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9"/>
      <c r="Q187" s="39" t="s">
        <v>207</v>
      </c>
      <c r="R187" s="39"/>
      <c r="S187" s="39"/>
      <c r="T187" s="39"/>
      <c r="U187" s="39"/>
      <c r="V187" s="38" t="s">
        <v>221</v>
      </c>
      <c r="W187" s="28"/>
      <c r="X187" s="28"/>
      <c r="Y187" s="28"/>
      <c r="Z187" s="28"/>
      <c r="AA187" s="28"/>
      <c r="AB187" s="28"/>
      <c r="AC187" s="28"/>
      <c r="AD187" s="28"/>
      <c r="AE187" s="29"/>
      <c r="AF187" s="32">
        <v>0</v>
      </c>
      <c r="AG187" s="32"/>
      <c r="AH187" s="32"/>
      <c r="AI187" s="32"/>
      <c r="AJ187" s="32"/>
      <c r="AK187" s="32">
        <v>0</v>
      </c>
      <c r="AL187" s="32"/>
      <c r="AM187" s="32"/>
      <c r="AN187" s="32"/>
      <c r="AO187" s="32"/>
      <c r="AP187" s="32">
        <v>0</v>
      </c>
      <c r="AQ187" s="32"/>
      <c r="AR187" s="32"/>
      <c r="AS187" s="32"/>
      <c r="AT187" s="32"/>
      <c r="AU187" s="32">
        <v>0</v>
      </c>
      <c r="AV187" s="32"/>
      <c r="AW187" s="32"/>
      <c r="AX187" s="32"/>
      <c r="AY187" s="32"/>
      <c r="AZ187" s="32">
        <v>0</v>
      </c>
      <c r="BA187" s="32"/>
      <c r="BB187" s="32"/>
      <c r="BC187" s="32"/>
      <c r="BD187" s="32"/>
      <c r="BE187" s="32">
        <v>0</v>
      </c>
      <c r="BF187" s="32"/>
      <c r="BG187" s="32"/>
      <c r="BH187" s="32"/>
      <c r="BI187" s="32"/>
    </row>
    <row r="189" spans="1:70" ht="14.25" customHeight="1" x14ac:dyDescent="0.2">
      <c r="A189" s="62" t="s">
        <v>124</v>
      </c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  <c r="AN189" s="62"/>
      <c r="AO189" s="62"/>
      <c r="AP189" s="62"/>
      <c r="AQ189" s="62"/>
      <c r="AR189" s="62"/>
      <c r="AS189" s="62"/>
      <c r="AT189" s="62"/>
      <c r="AU189" s="62"/>
      <c r="AV189" s="62"/>
      <c r="AW189" s="62"/>
      <c r="AX189" s="62"/>
      <c r="AY189" s="62"/>
      <c r="AZ189" s="62"/>
      <c r="BA189" s="62"/>
      <c r="BB189" s="62"/>
      <c r="BC189" s="62"/>
      <c r="BD189" s="62"/>
      <c r="BE189" s="62"/>
      <c r="BF189" s="62"/>
      <c r="BG189" s="62"/>
      <c r="BH189" s="62"/>
      <c r="BI189" s="62"/>
      <c r="BJ189" s="62"/>
      <c r="BK189" s="62"/>
      <c r="BL189" s="62"/>
    </row>
    <row r="190" spans="1:70" ht="15" customHeight="1" x14ac:dyDescent="0.2">
      <c r="A190" s="77" t="s">
        <v>247</v>
      </c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77"/>
      <c r="AD190" s="77"/>
      <c r="AE190" s="77"/>
      <c r="AF190" s="77"/>
      <c r="AG190" s="77"/>
      <c r="AH190" s="77"/>
      <c r="AI190" s="77"/>
      <c r="AJ190" s="77"/>
      <c r="AK190" s="77"/>
      <c r="AL190" s="77"/>
      <c r="AM190" s="77"/>
      <c r="AN190" s="77"/>
      <c r="AO190" s="77"/>
      <c r="AP190" s="77"/>
      <c r="AQ190" s="77"/>
      <c r="AR190" s="77"/>
      <c r="AS190" s="77"/>
      <c r="AT190" s="77"/>
      <c r="AU190" s="77"/>
      <c r="AV190" s="77"/>
      <c r="AW190" s="77"/>
      <c r="AX190" s="77"/>
      <c r="AY190" s="77"/>
      <c r="AZ190" s="77"/>
      <c r="BA190" s="77"/>
      <c r="BB190" s="77"/>
      <c r="BC190" s="77"/>
      <c r="BD190" s="77"/>
      <c r="BE190" s="77"/>
      <c r="BF190" s="77"/>
      <c r="BG190" s="77"/>
      <c r="BH190" s="77"/>
      <c r="BI190" s="77"/>
      <c r="BJ190" s="77"/>
      <c r="BK190" s="77"/>
      <c r="BL190" s="77"/>
      <c r="BM190" s="77"/>
      <c r="BN190" s="77"/>
      <c r="BO190" s="77"/>
      <c r="BP190" s="77"/>
      <c r="BQ190" s="77"/>
      <c r="BR190" s="77"/>
    </row>
    <row r="191" spans="1:70" ht="12.95" customHeight="1" x14ac:dyDescent="0.2">
      <c r="A191" s="78" t="s">
        <v>19</v>
      </c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80"/>
      <c r="U191" s="39" t="s">
        <v>248</v>
      </c>
      <c r="V191" s="39"/>
      <c r="W191" s="39"/>
      <c r="X191" s="39"/>
      <c r="Y191" s="39"/>
      <c r="Z191" s="39"/>
      <c r="AA191" s="39"/>
      <c r="AB191" s="39"/>
      <c r="AC191" s="39"/>
      <c r="AD191" s="39"/>
      <c r="AE191" s="39" t="s">
        <v>251</v>
      </c>
      <c r="AF191" s="39"/>
      <c r="AG191" s="39"/>
      <c r="AH191" s="39"/>
      <c r="AI191" s="39"/>
      <c r="AJ191" s="39"/>
      <c r="AK191" s="39"/>
      <c r="AL191" s="39"/>
      <c r="AM191" s="39"/>
      <c r="AN191" s="39"/>
      <c r="AO191" s="39" t="s">
        <v>259</v>
      </c>
      <c r="AP191" s="39"/>
      <c r="AQ191" s="39"/>
      <c r="AR191" s="39"/>
      <c r="AS191" s="39"/>
      <c r="AT191" s="39"/>
      <c r="AU191" s="39"/>
      <c r="AV191" s="39"/>
      <c r="AW191" s="39"/>
      <c r="AX191" s="39"/>
      <c r="AY191" s="39" t="s">
        <v>269</v>
      </c>
      <c r="AZ191" s="39"/>
      <c r="BA191" s="39"/>
      <c r="BB191" s="39"/>
      <c r="BC191" s="39"/>
      <c r="BD191" s="39"/>
      <c r="BE191" s="39"/>
      <c r="BF191" s="39"/>
      <c r="BG191" s="39"/>
      <c r="BH191" s="39"/>
      <c r="BI191" s="39" t="s">
        <v>274</v>
      </c>
      <c r="BJ191" s="39"/>
      <c r="BK191" s="39"/>
      <c r="BL191" s="39"/>
      <c r="BM191" s="39"/>
      <c r="BN191" s="39"/>
      <c r="BO191" s="39"/>
      <c r="BP191" s="39"/>
      <c r="BQ191" s="39"/>
      <c r="BR191" s="39"/>
    </row>
    <row r="192" spans="1:70" ht="30" customHeight="1" x14ac:dyDescent="0.2">
      <c r="A192" s="81"/>
      <c r="B192" s="82"/>
      <c r="C192" s="82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3"/>
      <c r="U192" s="39" t="s">
        <v>4</v>
      </c>
      <c r="V192" s="39"/>
      <c r="W192" s="39"/>
      <c r="X192" s="39"/>
      <c r="Y192" s="39"/>
      <c r="Z192" s="39" t="s">
        <v>3</v>
      </c>
      <c r="AA192" s="39"/>
      <c r="AB192" s="39"/>
      <c r="AC192" s="39"/>
      <c r="AD192" s="39"/>
      <c r="AE192" s="39" t="s">
        <v>4</v>
      </c>
      <c r="AF192" s="39"/>
      <c r="AG192" s="39"/>
      <c r="AH192" s="39"/>
      <c r="AI192" s="39"/>
      <c r="AJ192" s="39" t="s">
        <v>3</v>
      </c>
      <c r="AK192" s="39"/>
      <c r="AL192" s="39"/>
      <c r="AM192" s="39"/>
      <c r="AN192" s="39"/>
      <c r="AO192" s="39" t="s">
        <v>4</v>
      </c>
      <c r="AP192" s="39"/>
      <c r="AQ192" s="39"/>
      <c r="AR192" s="39"/>
      <c r="AS192" s="39"/>
      <c r="AT192" s="39" t="s">
        <v>3</v>
      </c>
      <c r="AU192" s="39"/>
      <c r="AV192" s="39"/>
      <c r="AW192" s="39"/>
      <c r="AX192" s="39"/>
      <c r="AY192" s="39" t="s">
        <v>4</v>
      </c>
      <c r="AZ192" s="39"/>
      <c r="BA192" s="39"/>
      <c r="BB192" s="39"/>
      <c r="BC192" s="39"/>
      <c r="BD192" s="39" t="s">
        <v>3</v>
      </c>
      <c r="BE192" s="39"/>
      <c r="BF192" s="39"/>
      <c r="BG192" s="39"/>
      <c r="BH192" s="39"/>
      <c r="BI192" s="39" t="s">
        <v>4</v>
      </c>
      <c r="BJ192" s="39"/>
      <c r="BK192" s="39"/>
      <c r="BL192" s="39"/>
      <c r="BM192" s="39"/>
      <c r="BN192" s="39" t="s">
        <v>3</v>
      </c>
      <c r="BO192" s="39"/>
      <c r="BP192" s="39"/>
      <c r="BQ192" s="39"/>
      <c r="BR192" s="39"/>
    </row>
    <row r="193" spans="1:79" ht="15" customHeight="1" x14ac:dyDescent="0.2">
      <c r="A193" s="74">
        <v>1</v>
      </c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6"/>
      <c r="U193" s="39">
        <v>2</v>
      </c>
      <c r="V193" s="39"/>
      <c r="W193" s="39"/>
      <c r="X193" s="39"/>
      <c r="Y193" s="39"/>
      <c r="Z193" s="39">
        <v>3</v>
      </c>
      <c r="AA193" s="39"/>
      <c r="AB193" s="39"/>
      <c r="AC193" s="39"/>
      <c r="AD193" s="39"/>
      <c r="AE193" s="39">
        <v>4</v>
      </c>
      <c r="AF193" s="39"/>
      <c r="AG193" s="39"/>
      <c r="AH193" s="39"/>
      <c r="AI193" s="39"/>
      <c r="AJ193" s="39">
        <v>5</v>
      </c>
      <c r="AK193" s="39"/>
      <c r="AL193" s="39"/>
      <c r="AM193" s="39"/>
      <c r="AN193" s="39"/>
      <c r="AO193" s="39">
        <v>6</v>
      </c>
      <c r="AP193" s="39"/>
      <c r="AQ193" s="39"/>
      <c r="AR193" s="39"/>
      <c r="AS193" s="39"/>
      <c r="AT193" s="39">
        <v>7</v>
      </c>
      <c r="AU193" s="39"/>
      <c r="AV193" s="39"/>
      <c r="AW193" s="39"/>
      <c r="AX193" s="39"/>
      <c r="AY193" s="39">
        <v>8</v>
      </c>
      <c r="AZ193" s="39"/>
      <c r="BA193" s="39"/>
      <c r="BB193" s="39"/>
      <c r="BC193" s="39"/>
      <c r="BD193" s="39">
        <v>9</v>
      </c>
      <c r="BE193" s="39"/>
      <c r="BF193" s="39"/>
      <c r="BG193" s="39"/>
      <c r="BH193" s="39"/>
      <c r="BI193" s="39">
        <v>10</v>
      </c>
      <c r="BJ193" s="39"/>
      <c r="BK193" s="39"/>
      <c r="BL193" s="39"/>
      <c r="BM193" s="39"/>
      <c r="BN193" s="39">
        <v>11</v>
      </c>
      <c r="BO193" s="39"/>
      <c r="BP193" s="39"/>
      <c r="BQ193" s="39"/>
      <c r="BR193" s="39"/>
    </row>
    <row r="194" spans="1:79" s="1" customFormat="1" ht="15.75" hidden="1" customHeight="1" x14ac:dyDescent="0.2">
      <c r="A194" s="88" t="s">
        <v>57</v>
      </c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90"/>
      <c r="U194" s="66" t="s">
        <v>65</v>
      </c>
      <c r="V194" s="66"/>
      <c r="W194" s="66"/>
      <c r="X194" s="66"/>
      <c r="Y194" s="66"/>
      <c r="Z194" s="64" t="s">
        <v>66</v>
      </c>
      <c r="AA194" s="64"/>
      <c r="AB194" s="64"/>
      <c r="AC194" s="64"/>
      <c r="AD194" s="64"/>
      <c r="AE194" s="66" t="s">
        <v>67</v>
      </c>
      <c r="AF194" s="66"/>
      <c r="AG194" s="66"/>
      <c r="AH194" s="66"/>
      <c r="AI194" s="66"/>
      <c r="AJ194" s="64" t="s">
        <v>68</v>
      </c>
      <c r="AK194" s="64"/>
      <c r="AL194" s="64"/>
      <c r="AM194" s="64"/>
      <c r="AN194" s="64"/>
      <c r="AO194" s="66" t="s">
        <v>58</v>
      </c>
      <c r="AP194" s="66"/>
      <c r="AQ194" s="66"/>
      <c r="AR194" s="66"/>
      <c r="AS194" s="66"/>
      <c r="AT194" s="64" t="s">
        <v>59</v>
      </c>
      <c r="AU194" s="64"/>
      <c r="AV194" s="64"/>
      <c r="AW194" s="64"/>
      <c r="AX194" s="64"/>
      <c r="AY194" s="66" t="s">
        <v>60</v>
      </c>
      <c r="AZ194" s="66"/>
      <c r="BA194" s="66"/>
      <c r="BB194" s="66"/>
      <c r="BC194" s="66"/>
      <c r="BD194" s="64" t="s">
        <v>61</v>
      </c>
      <c r="BE194" s="64"/>
      <c r="BF194" s="64"/>
      <c r="BG194" s="64"/>
      <c r="BH194" s="64"/>
      <c r="BI194" s="66" t="s">
        <v>62</v>
      </c>
      <c r="BJ194" s="66"/>
      <c r="BK194" s="66"/>
      <c r="BL194" s="66"/>
      <c r="BM194" s="66"/>
      <c r="BN194" s="64" t="s">
        <v>63</v>
      </c>
      <c r="BO194" s="64"/>
      <c r="BP194" s="64"/>
      <c r="BQ194" s="64"/>
      <c r="BR194" s="64"/>
      <c r="CA194" t="s">
        <v>41</v>
      </c>
    </row>
    <row r="195" spans="1:79" s="5" customFormat="1" ht="12.75" customHeight="1" x14ac:dyDescent="0.2">
      <c r="A195" s="23" t="s">
        <v>223</v>
      </c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5"/>
      <c r="U195" s="20">
        <v>1311111</v>
      </c>
      <c r="V195" s="20"/>
      <c r="W195" s="20"/>
      <c r="X195" s="20"/>
      <c r="Y195" s="20"/>
      <c r="Z195" s="20">
        <v>0</v>
      </c>
      <c r="AA195" s="20"/>
      <c r="AB195" s="20"/>
      <c r="AC195" s="20"/>
      <c r="AD195" s="20"/>
      <c r="AE195" s="20">
        <v>1586433</v>
      </c>
      <c r="AF195" s="20"/>
      <c r="AG195" s="20"/>
      <c r="AH195" s="20"/>
      <c r="AI195" s="20"/>
      <c r="AJ195" s="20">
        <v>0</v>
      </c>
      <c r="AK195" s="20"/>
      <c r="AL195" s="20"/>
      <c r="AM195" s="20"/>
      <c r="AN195" s="20"/>
      <c r="AO195" s="20">
        <v>1448704</v>
      </c>
      <c r="AP195" s="20"/>
      <c r="AQ195" s="20"/>
      <c r="AR195" s="20"/>
      <c r="AS195" s="20"/>
      <c r="AT195" s="20">
        <v>0</v>
      </c>
      <c r="AU195" s="20"/>
      <c r="AV195" s="20"/>
      <c r="AW195" s="20"/>
      <c r="AX195" s="20"/>
      <c r="AY195" s="20">
        <v>1592126</v>
      </c>
      <c r="AZ195" s="20"/>
      <c r="BA195" s="20"/>
      <c r="BB195" s="20"/>
      <c r="BC195" s="20"/>
      <c r="BD195" s="20">
        <v>0</v>
      </c>
      <c r="BE195" s="20"/>
      <c r="BF195" s="20"/>
      <c r="BG195" s="20"/>
      <c r="BH195" s="20"/>
      <c r="BI195" s="20">
        <v>1719496</v>
      </c>
      <c r="BJ195" s="20"/>
      <c r="BK195" s="20"/>
      <c r="BL195" s="20"/>
      <c r="BM195" s="20"/>
      <c r="BN195" s="20">
        <v>0</v>
      </c>
      <c r="BO195" s="20"/>
      <c r="BP195" s="20"/>
      <c r="BQ195" s="20"/>
      <c r="BR195" s="20"/>
      <c r="CA195" s="5" t="s">
        <v>42</v>
      </c>
    </row>
    <row r="196" spans="1:79" s="4" customFormat="1" ht="12.75" customHeight="1" x14ac:dyDescent="0.2">
      <c r="A196" s="27" t="s">
        <v>224</v>
      </c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9"/>
      <c r="U196" s="30">
        <v>892823</v>
      </c>
      <c r="V196" s="30"/>
      <c r="W196" s="30"/>
      <c r="X196" s="30"/>
      <c r="Y196" s="30"/>
      <c r="Z196" s="30">
        <v>0</v>
      </c>
      <c r="AA196" s="30"/>
      <c r="AB196" s="30"/>
      <c r="AC196" s="30"/>
      <c r="AD196" s="30"/>
      <c r="AE196" s="30">
        <v>1104718</v>
      </c>
      <c r="AF196" s="30"/>
      <c r="AG196" s="30"/>
      <c r="AH196" s="30"/>
      <c r="AI196" s="30"/>
      <c r="AJ196" s="30">
        <v>0</v>
      </c>
      <c r="AK196" s="30"/>
      <c r="AL196" s="30"/>
      <c r="AM196" s="30"/>
      <c r="AN196" s="30"/>
      <c r="AO196" s="30">
        <v>1008810</v>
      </c>
      <c r="AP196" s="30"/>
      <c r="AQ196" s="30"/>
      <c r="AR196" s="30"/>
      <c r="AS196" s="30"/>
      <c r="AT196" s="30">
        <v>0</v>
      </c>
      <c r="AU196" s="30"/>
      <c r="AV196" s="30"/>
      <c r="AW196" s="30"/>
      <c r="AX196" s="30"/>
      <c r="AY196" s="30">
        <v>1108682</v>
      </c>
      <c r="AZ196" s="30"/>
      <c r="BA196" s="30"/>
      <c r="BB196" s="30"/>
      <c r="BC196" s="30"/>
      <c r="BD196" s="30">
        <v>0</v>
      </c>
      <c r="BE196" s="30"/>
      <c r="BF196" s="30"/>
      <c r="BG196" s="30"/>
      <c r="BH196" s="30"/>
      <c r="BI196" s="30">
        <v>1197377</v>
      </c>
      <c r="BJ196" s="30"/>
      <c r="BK196" s="30"/>
      <c r="BL196" s="30"/>
      <c r="BM196" s="30"/>
      <c r="BN196" s="30">
        <v>0</v>
      </c>
      <c r="BO196" s="30"/>
      <c r="BP196" s="30"/>
      <c r="BQ196" s="30"/>
      <c r="BR196" s="30"/>
    </row>
    <row r="197" spans="1:79" s="4" customFormat="1" ht="12.75" customHeight="1" x14ac:dyDescent="0.2">
      <c r="A197" s="27" t="s">
        <v>225</v>
      </c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9"/>
      <c r="U197" s="30">
        <v>418288</v>
      </c>
      <c r="V197" s="30"/>
      <c r="W197" s="30"/>
      <c r="X197" s="30"/>
      <c r="Y197" s="30"/>
      <c r="Z197" s="30">
        <v>0</v>
      </c>
      <c r="AA197" s="30"/>
      <c r="AB197" s="30"/>
      <c r="AC197" s="30"/>
      <c r="AD197" s="30"/>
      <c r="AE197" s="30">
        <v>481715</v>
      </c>
      <c r="AF197" s="30"/>
      <c r="AG197" s="30"/>
      <c r="AH197" s="30"/>
      <c r="AI197" s="30"/>
      <c r="AJ197" s="30">
        <v>0</v>
      </c>
      <c r="AK197" s="30"/>
      <c r="AL197" s="30"/>
      <c r="AM197" s="30"/>
      <c r="AN197" s="30"/>
      <c r="AO197" s="30">
        <v>439894</v>
      </c>
      <c r="AP197" s="30"/>
      <c r="AQ197" s="30"/>
      <c r="AR197" s="30"/>
      <c r="AS197" s="30"/>
      <c r="AT197" s="30">
        <v>0</v>
      </c>
      <c r="AU197" s="30"/>
      <c r="AV197" s="30"/>
      <c r="AW197" s="30"/>
      <c r="AX197" s="30"/>
      <c r="AY197" s="30">
        <v>483444</v>
      </c>
      <c r="AZ197" s="30"/>
      <c r="BA197" s="30"/>
      <c r="BB197" s="30"/>
      <c r="BC197" s="30"/>
      <c r="BD197" s="30">
        <v>0</v>
      </c>
      <c r="BE197" s="30"/>
      <c r="BF197" s="30"/>
      <c r="BG197" s="30"/>
      <c r="BH197" s="30"/>
      <c r="BI197" s="30">
        <v>522119</v>
      </c>
      <c r="BJ197" s="30"/>
      <c r="BK197" s="30"/>
      <c r="BL197" s="30"/>
      <c r="BM197" s="30"/>
      <c r="BN197" s="30">
        <v>0</v>
      </c>
      <c r="BO197" s="30"/>
      <c r="BP197" s="30"/>
      <c r="BQ197" s="30"/>
      <c r="BR197" s="30"/>
    </row>
    <row r="198" spans="1:79" s="4" customFormat="1" ht="12.75" customHeight="1" x14ac:dyDescent="0.2">
      <c r="A198" s="27" t="s">
        <v>226</v>
      </c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9"/>
      <c r="U198" s="30">
        <v>394796</v>
      </c>
      <c r="V198" s="30"/>
      <c r="W198" s="30"/>
      <c r="X198" s="30"/>
      <c r="Y198" s="30"/>
      <c r="Z198" s="30">
        <v>0</v>
      </c>
      <c r="AA198" s="30"/>
      <c r="AB198" s="30"/>
      <c r="AC198" s="30"/>
      <c r="AD198" s="30"/>
      <c r="AE198" s="30">
        <v>1207444</v>
      </c>
      <c r="AF198" s="30"/>
      <c r="AG198" s="30"/>
      <c r="AH198" s="30"/>
      <c r="AI198" s="30"/>
      <c r="AJ198" s="30">
        <v>0</v>
      </c>
      <c r="AK198" s="30"/>
      <c r="AL198" s="30"/>
      <c r="AM198" s="30"/>
      <c r="AN198" s="30"/>
      <c r="AO198" s="30">
        <v>1377199</v>
      </c>
      <c r="AP198" s="30"/>
      <c r="AQ198" s="30"/>
      <c r="AR198" s="30"/>
      <c r="AS198" s="30"/>
      <c r="AT198" s="30">
        <v>0</v>
      </c>
      <c r="AU198" s="30"/>
      <c r="AV198" s="30"/>
      <c r="AW198" s="30"/>
      <c r="AX198" s="30"/>
      <c r="AY198" s="30">
        <v>1513542</v>
      </c>
      <c r="AZ198" s="30"/>
      <c r="BA198" s="30"/>
      <c r="BB198" s="30"/>
      <c r="BC198" s="30"/>
      <c r="BD198" s="30">
        <v>0</v>
      </c>
      <c r="BE198" s="30"/>
      <c r="BF198" s="30"/>
      <c r="BG198" s="30"/>
      <c r="BH198" s="30"/>
      <c r="BI198" s="30">
        <v>1634625</v>
      </c>
      <c r="BJ198" s="30"/>
      <c r="BK198" s="30"/>
      <c r="BL198" s="30"/>
      <c r="BM198" s="30"/>
      <c r="BN198" s="30">
        <v>0</v>
      </c>
      <c r="BO198" s="30"/>
      <c r="BP198" s="30"/>
      <c r="BQ198" s="30"/>
      <c r="BR198" s="30"/>
    </row>
    <row r="199" spans="1:79" s="5" customFormat="1" ht="12.75" customHeight="1" x14ac:dyDescent="0.2">
      <c r="A199" s="23" t="s">
        <v>227</v>
      </c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5"/>
      <c r="U199" s="20">
        <v>76123</v>
      </c>
      <c r="V199" s="20"/>
      <c r="W199" s="20"/>
      <c r="X199" s="20"/>
      <c r="Y199" s="20"/>
      <c r="Z199" s="20">
        <v>0</v>
      </c>
      <c r="AA199" s="20"/>
      <c r="AB199" s="20"/>
      <c r="AC199" s="20"/>
      <c r="AD199" s="20"/>
      <c r="AE199" s="20">
        <v>94724</v>
      </c>
      <c r="AF199" s="20"/>
      <c r="AG199" s="20"/>
      <c r="AH199" s="20"/>
      <c r="AI199" s="20"/>
      <c r="AJ199" s="20">
        <v>0</v>
      </c>
      <c r="AK199" s="20"/>
      <c r="AL199" s="20"/>
      <c r="AM199" s="20"/>
      <c r="AN199" s="20"/>
      <c r="AO199" s="20">
        <v>84965</v>
      </c>
      <c r="AP199" s="20"/>
      <c r="AQ199" s="20"/>
      <c r="AR199" s="20"/>
      <c r="AS199" s="20"/>
      <c r="AT199" s="20">
        <v>0</v>
      </c>
      <c r="AU199" s="20"/>
      <c r="AV199" s="20"/>
      <c r="AW199" s="20"/>
      <c r="AX199" s="20"/>
      <c r="AY199" s="20">
        <v>93377</v>
      </c>
      <c r="AZ199" s="20"/>
      <c r="BA199" s="20"/>
      <c r="BB199" s="20"/>
      <c r="BC199" s="20"/>
      <c r="BD199" s="20">
        <v>0</v>
      </c>
      <c r="BE199" s="20"/>
      <c r="BF199" s="20"/>
      <c r="BG199" s="20"/>
      <c r="BH199" s="20"/>
      <c r="BI199" s="20">
        <v>100847</v>
      </c>
      <c r="BJ199" s="20"/>
      <c r="BK199" s="20"/>
      <c r="BL199" s="20"/>
      <c r="BM199" s="20"/>
      <c r="BN199" s="20">
        <v>0</v>
      </c>
      <c r="BO199" s="20"/>
      <c r="BP199" s="20"/>
      <c r="BQ199" s="20"/>
      <c r="BR199" s="20"/>
    </row>
    <row r="200" spans="1:79" s="4" customFormat="1" ht="12.75" customHeight="1" x14ac:dyDescent="0.2">
      <c r="A200" s="27" t="s">
        <v>228</v>
      </c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9"/>
      <c r="U200" s="30">
        <v>76123</v>
      </c>
      <c r="V200" s="30"/>
      <c r="W200" s="30"/>
      <c r="X200" s="30"/>
      <c r="Y200" s="30"/>
      <c r="Z200" s="30">
        <v>0</v>
      </c>
      <c r="AA200" s="30"/>
      <c r="AB200" s="30"/>
      <c r="AC200" s="30"/>
      <c r="AD200" s="30"/>
      <c r="AE200" s="30">
        <v>94724</v>
      </c>
      <c r="AF200" s="30"/>
      <c r="AG200" s="30"/>
      <c r="AH200" s="30"/>
      <c r="AI200" s="30"/>
      <c r="AJ200" s="30">
        <v>0</v>
      </c>
      <c r="AK200" s="30"/>
      <c r="AL200" s="30"/>
      <c r="AM200" s="30"/>
      <c r="AN200" s="30"/>
      <c r="AO200" s="30">
        <v>84965</v>
      </c>
      <c r="AP200" s="30"/>
      <c r="AQ200" s="30"/>
      <c r="AR200" s="30"/>
      <c r="AS200" s="30"/>
      <c r="AT200" s="30">
        <v>0</v>
      </c>
      <c r="AU200" s="30"/>
      <c r="AV200" s="30"/>
      <c r="AW200" s="30"/>
      <c r="AX200" s="30"/>
      <c r="AY200" s="30">
        <v>93377</v>
      </c>
      <c r="AZ200" s="30"/>
      <c r="BA200" s="30"/>
      <c r="BB200" s="30"/>
      <c r="BC200" s="30"/>
      <c r="BD200" s="30">
        <v>0</v>
      </c>
      <c r="BE200" s="30"/>
      <c r="BF200" s="30"/>
      <c r="BG200" s="30"/>
      <c r="BH200" s="30"/>
      <c r="BI200" s="30">
        <v>100847</v>
      </c>
      <c r="BJ200" s="30"/>
      <c r="BK200" s="30"/>
      <c r="BL200" s="30"/>
      <c r="BM200" s="30"/>
      <c r="BN200" s="30">
        <v>0</v>
      </c>
      <c r="BO200" s="30"/>
      <c r="BP200" s="30"/>
      <c r="BQ200" s="30"/>
      <c r="BR200" s="30"/>
    </row>
    <row r="201" spans="1:79" s="4" customFormat="1" ht="12.75" customHeight="1" x14ac:dyDescent="0.2">
      <c r="A201" s="27" t="s">
        <v>229</v>
      </c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9"/>
      <c r="U201" s="30">
        <v>0</v>
      </c>
      <c r="V201" s="30"/>
      <c r="W201" s="30"/>
      <c r="X201" s="30"/>
      <c r="Y201" s="30"/>
      <c r="Z201" s="30">
        <v>0</v>
      </c>
      <c r="AA201" s="30"/>
      <c r="AB201" s="30"/>
      <c r="AC201" s="30"/>
      <c r="AD201" s="30"/>
      <c r="AE201" s="30">
        <v>0</v>
      </c>
      <c r="AF201" s="30"/>
      <c r="AG201" s="30"/>
      <c r="AH201" s="30"/>
      <c r="AI201" s="30"/>
      <c r="AJ201" s="30">
        <v>0</v>
      </c>
      <c r="AK201" s="30"/>
      <c r="AL201" s="30"/>
      <c r="AM201" s="30"/>
      <c r="AN201" s="30"/>
      <c r="AO201" s="30">
        <v>420338</v>
      </c>
      <c r="AP201" s="30"/>
      <c r="AQ201" s="30"/>
      <c r="AR201" s="30"/>
      <c r="AS201" s="30"/>
      <c r="AT201" s="30">
        <v>0</v>
      </c>
      <c r="AU201" s="30"/>
      <c r="AV201" s="30"/>
      <c r="AW201" s="30"/>
      <c r="AX201" s="30"/>
      <c r="AY201" s="30">
        <v>461951</v>
      </c>
      <c r="AZ201" s="30"/>
      <c r="BA201" s="30"/>
      <c r="BB201" s="30"/>
      <c r="BC201" s="30"/>
      <c r="BD201" s="30">
        <v>0</v>
      </c>
      <c r="BE201" s="30"/>
      <c r="BF201" s="30"/>
      <c r="BG201" s="30"/>
      <c r="BH201" s="30"/>
      <c r="BI201" s="30">
        <v>498907</v>
      </c>
      <c r="BJ201" s="30"/>
      <c r="BK201" s="30"/>
      <c r="BL201" s="30"/>
      <c r="BM201" s="30"/>
      <c r="BN201" s="30">
        <v>0</v>
      </c>
      <c r="BO201" s="30"/>
      <c r="BP201" s="30"/>
      <c r="BQ201" s="30"/>
      <c r="BR201" s="30"/>
    </row>
    <row r="202" spans="1:79" s="5" customFormat="1" ht="12.75" customHeight="1" x14ac:dyDescent="0.2">
      <c r="A202" s="23" t="s">
        <v>147</v>
      </c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5"/>
      <c r="U202" s="20">
        <v>1782030</v>
      </c>
      <c r="V202" s="20"/>
      <c r="W202" s="20"/>
      <c r="X202" s="20"/>
      <c r="Y202" s="20"/>
      <c r="Z202" s="20">
        <v>0</v>
      </c>
      <c r="AA202" s="20"/>
      <c r="AB202" s="20"/>
      <c r="AC202" s="20"/>
      <c r="AD202" s="20"/>
      <c r="AE202" s="20">
        <v>2888601</v>
      </c>
      <c r="AF202" s="20"/>
      <c r="AG202" s="20"/>
      <c r="AH202" s="20"/>
      <c r="AI202" s="20"/>
      <c r="AJ202" s="20">
        <v>0</v>
      </c>
      <c r="AK202" s="20"/>
      <c r="AL202" s="20"/>
      <c r="AM202" s="20"/>
      <c r="AN202" s="20"/>
      <c r="AO202" s="20">
        <v>3331206</v>
      </c>
      <c r="AP202" s="20"/>
      <c r="AQ202" s="20"/>
      <c r="AR202" s="20"/>
      <c r="AS202" s="20"/>
      <c r="AT202" s="20">
        <v>0</v>
      </c>
      <c r="AU202" s="20"/>
      <c r="AV202" s="20"/>
      <c r="AW202" s="20"/>
      <c r="AX202" s="20"/>
      <c r="AY202" s="20">
        <v>3660996</v>
      </c>
      <c r="AZ202" s="20"/>
      <c r="BA202" s="20"/>
      <c r="BB202" s="20"/>
      <c r="BC202" s="20"/>
      <c r="BD202" s="20">
        <v>0</v>
      </c>
      <c r="BE202" s="20"/>
      <c r="BF202" s="20"/>
      <c r="BG202" s="20"/>
      <c r="BH202" s="20"/>
      <c r="BI202" s="20">
        <v>3953875</v>
      </c>
      <c r="BJ202" s="20"/>
      <c r="BK202" s="20"/>
      <c r="BL202" s="20"/>
      <c r="BM202" s="20"/>
      <c r="BN202" s="20">
        <v>0</v>
      </c>
      <c r="BO202" s="20"/>
      <c r="BP202" s="20"/>
      <c r="BQ202" s="20"/>
      <c r="BR202" s="20"/>
    </row>
    <row r="203" spans="1:79" s="4" customFormat="1" ht="38.25" customHeight="1" x14ac:dyDescent="0.2">
      <c r="A203" s="27" t="s">
        <v>230</v>
      </c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9"/>
      <c r="U203" s="30" t="s">
        <v>173</v>
      </c>
      <c r="V203" s="30"/>
      <c r="W203" s="30"/>
      <c r="X203" s="30"/>
      <c r="Y203" s="30"/>
      <c r="Z203" s="30"/>
      <c r="AA203" s="30"/>
      <c r="AB203" s="30"/>
      <c r="AC203" s="30"/>
      <c r="AD203" s="30"/>
      <c r="AE203" s="30" t="s">
        <v>173</v>
      </c>
      <c r="AF203" s="30"/>
      <c r="AG203" s="30"/>
      <c r="AH203" s="30"/>
      <c r="AI203" s="30"/>
      <c r="AJ203" s="30"/>
      <c r="AK203" s="30"/>
      <c r="AL203" s="30"/>
      <c r="AM203" s="30"/>
      <c r="AN203" s="30"/>
      <c r="AO203" s="30" t="s">
        <v>173</v>
      </c>
      <c r="AP203" s="30"/>
      <c r="AQ203" s="30"/>
      <c r="AR203" s="30"/>
      <c r="AS203" s="30"/>
      <c r="AT203" s="30"/>
      <c r="AU203" s="30"/>
      <c r="AV203" s="30"/>
      <c r="AW203" s="30"/>
      <c r="AX203" s="30"/>
      <c r="AY203" s="30" t="s">
        <v>173</v>
      </c>
      <c r="AZ203" s="30"/>
      <c r="BA203" s="30"/>
      <c r="BB203" s="30"/>
      <c r="BC203" s="30"/>
      <c r="BD203" s="30"/>
      <c r="BE203" s="30"/>
      <c r="BF203" s="30"/>
      <c r="BG203" s="30"/>
      <c r="BH203" s="30"/>
      <c r="BI203" s="30" t="s">
        <v>173</v>
      </c>
      <c r="BJ203" s="30"/>
      <c r="BK203" s="30"/>
      <c r="BL203" s="30"/>
      <c r="BM203" s="30"/>
      <c r="BN203" s="30"/>
      <c r="BO203" s="30"/>
      <c r="BP203" s="30"/>
      <c r="BQ203" s="30"/>
      <c r="BR203" s="30"/>
    </row>
    <row r="205" spans="1:79" ht="14.25" customHeight="1" x14ac:dyDescent="0.2">
      <c r="A205" s="62" t="s">
        <v>125</v>
      </c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</row>
    <row r="206" spans="1:79" ht="15" customHeight="1" x14ac:dyDescent="0.2">
      <c r="A206" s="78" t="s">
        <v>6</v>
      </c>
      <c r="B206" s="79"/>
      <c r="C206" s="79"/>
      <c r="D206" s="78" t="s">
        <v>10</v>
      </c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80"/>
      <c r="W206" s="39" t="s">
        <v>248</v>
      </c>
      <c r="X206" s="39"/>
      <c r="Y206" s="39"/>
      <c r="Z206" s="39"/>
      <c r="AA206" s="39"/>
      <c r="AB206" s="39"/>
      <c r="AC206" s="39"/>
      <c r="AD206" s="39"/>
      <c r="AE206" s="39"/>
      <c r="AF206" s="39"/>
      <c r="AG206" s="39"/>
      <c r="AH206" s="39"/>
      <c r="AI206" s="39" t="s">
        <v>252</v>
      </c>
      <c r="AJ206" s="39"/>
      <c r="AK206" s="39"/>
      <c r="AL206" s="39"/>
      <c r="AM206" s="39"/>
      <c r="AN206" s="39"/>
      <c r="AO206" s="39"/>
      <c r="AP206" s="39"/>
      <c r="AQ206" s="39"/>
      <c r="AR206" s="39"/>
      <c r="AS206" s="39"/>
      <c r="AT206" s="39"/>
      <c r="AU206" s="39" t="s">
        <v>264</v>
      </c>
      <c r="AV206" s="39"/>
      <c r="AW206" s="39"/>
      <c r="AX206" s="39"/>
      <c r="AY206" s="39"/>
      <c r="AZ206" s="39"/>
      <c r="BA206" s="39" t="s">
        <v>270</v>
      </c>
      <c r="BB206" s="39"/>
      <c r="BC206" s="39"/>
      <c r="BD206" s="39"/>
      <c r="BE206" s="39"/>
      <c r="BF206" s="39"/>
      <c r="BG206" s="39" t="s">
        <v>279</v>
      </c>
      <c r="BH206" s="39"/>
      <c r="BI206" s="39"/>
      <c r="BJ206" s="39"/>
      <c r="BK206" s="39"/>
      <c r="BL206" s="39"/>
    </row>
    <row r="207" spans="1:79" ht="15" customHeight="1" x14ac:dyDescent="0.2">
      <c r="A207" s="91"/>
      <c r="B207" s="92"/>
      <c r="C207" s="92"/>
      <c r="D207" s="91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3"/>
      <c r="W207" s="39" t="s">
        <v>4</v>
      </c>
      <c r="X207" s="39"/>
      <c r="Y207" s="39"/>
      <c r="Z207" s="39"/>
      <c r="AA207" s="39"/>
      <c r="AB207" s="39"/>
      <c r="AC207" s="39" t="s">
        <v>3</v>
      </c>
      <c r="AD207" s="39"/>
      <c r="AE207" s="39"/>
      <c r="AF207" s="39"/>
      <c r="AG207" s="39"/>
      <c r="AH207" s="39"/>
      <c r="AI207" s="39" t="s">
        <v>4</v>
      </c>
      <c r="AJ207" s="39"/>
      <c r="AK207" s="39"/>
      <c r="AL207" s="39"/>
      <c r="AM207" s="39"/>
      <c r="AN207" s="39"/>
      <c r="AO207" s="39" t="s">
        <v>3</v>
      </c>
      <c r="AP207" s="39"/>
      <c r="AQ207" s="39"/>
      <c r="AR207" s="39"/>
      <c r="AS207" s="39"/>
      <c r="AT207" s="39"/>
      <c r="AU207" s="68" t="s">
        <v>4</v>
      </c>
      <c r="AV207" s="68"/>
      <c r="AW207" s="68"/>
      <c r="AX207" s="68" t="s">
        <v>3</v>
      </c>
      <c r="AY207" s="68"/>
      <c r="AZ207" s="68"/>
      <c r="BA207" s="68" t="s">
        <v>4</v>
      </c>
      <c r="BB207" s="68"/>
      <c r="BC207" s="68"/>
      <c r="BD207" s="68" t="s">
        <v>3</v>
      </c>
      <c r="BE207" s="68"/>
      <c r="BF207" s="68"/>
      <c r="BG207" s="68" t="s">
        <v>4</v>
      </c>
      <c r="BH207" s="68"/>
      <c r="BI207" s="68"/>
      <c r="BJ207" s="68" t="s">
        <v>3</v>
      </c>
      <c r="BK207" s="68"/>
      <c r="BL207" s="68"/>
    </row>
    <row r="208" spans="1:79" ht="57" customHeight="1" x14ac:dyDescent="0.2">
      <c r="A208" s="81"/>
      <c r="B208" s="82"/>
      <c r="C208" s="82"/>
      <c r="D208" s="81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3"/>
      <c r="W208" s="39" t="s">
        <v>12</v>
      </c>
      <c r="X208" s="39"/>
      <c r="Y208" s="39"/>
      <c r="Z208" s="39" t="s">
        <v>11</v>
      </c>
      <c r="AA208" s="39"/>
      <c r="AB208" s="39"/>
      <c r="AC208" s="39" t="s">
        <v>12</v>
      </c>
      <c r="AD208" s="39"/>
      <c r="AE208" s="39"/>
      <c r="AF208" s="39" t="s">
        <v>11</v>
      </c>
      <c r="AG208" s="39"/>
      <c r="AH208" s="39"/>
      <c r="AI208" s="39" t="s">
        <v>12</v>
      </c>
      <c r="AJ208" s="39"/>
      <c r="AK208" s="39"/>
      <c r="AL208" s="39" t="s">
        <v>11</v>
      </c>
      <c r="AM208" s="39"/>
      <c r="AN208" s="39"/>
      <c r="AO208" s="39" t="s">
        <v>12</v>
      </c>
      <c r="AP208" s="39"/>
      <c r="AQ208" s="39"/>
      <c r="AR208" s="39" t="s">
        <v>11</v>
      </c>
      <c r="AS208" s="39"/>
      <c r="AT208" s="39"/>
      <c r="AU208" s="68"/>
      <c r="AV208" s="68"/>
      <c r="AW208" s="68"/>
      <c r="AX208" s="68"/>
      <c r="AY208" s="68"/>
      <c r="AZ208" s="68"/>
      <c r="BA208" s="68"/>
      <c r="BB208" s="68"/>
      <c r="BC208" s="68"/>
      <c r="BD208" s="68"/>
      <c r="BE208" s="68"/>
      <c r="BF208" s="68"/>
      <c r="BG208" s="68"/>
      <c r="BH208" s="68"/>
      <c r="BI208" s="68"/>
      <c r="BJ208" s="68"/>
      <c r="BK208" s="68"/>
      <c r="BL208" s="68"/>
    </row>
    <row r="209" spans="1:79" ht="15" customHeight="1" x14ac:dyDescent="0.2">
      <c r="A209" s="74">
        <v>1</v>
      </c>
      <c r="B209" s="75"/>
      <c r="C209" s="75"/>
      <c r="D209" s="74">
        <v>2</v>
      </c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6"/>
      <c r="W209" s="39">
        <v>3</v>
      </c>
      <c r="X209" s="39"/>
      <c r="Y209" s="39"/>
      <c r="Z209" s="39">
        <v>4</v>
      </c>
      <c r="AA209" s="39"/>
      <c r="AB209" s="39"/>
      <c r="AC209" s="39">
        <v>5</v>
      </c>
      <c r="AD209" s="39"/>
      <c r="AE209" s="39"/>
      <c r="AF209" s="39">
        <v>6</v>
      </c>
      <c r="AG209" s="39"/>
      <c r="AH209" s="39"/>
      <c r="AI209" s="39">
        <v>7</v>
      </c>
      <c r="AJ209" s="39"/>
      <c r="AK209" s="39"/>
      <c r="AL209" s="39">
        <v>8</v>
      </c>
      <c r="AM209" s="39"/>
      <c r="AN209" s="39"/>
      <c r="AO209" s="39">
        <v>9</v>
      </c>
      <c r="AP209" s="39"/>
      <c r="AQ209" s="39"/>
      <c r="AR209" s="39">
        <v>10</v>
      </c>
      <c r="AS209" s="39"/>
      <c r="AT209" s="39"/>
      <c r="AU209" s="39">
        <v>11</v>
      </c>
      <c r="AV209" s="39"/>
      <c r="AW209" s="39"/>
      <c r="AX209" s="39">
        <v>12</v>
      </c>
      <c r="AY209" s="39"/>
      <c r="AZ209" s="39"/>
      <c r="BA209" s="39">
        <v>13</v>
      </c>
      <c r="BB209" s="39"/>
      <c r="BC209" s="39"/>
      <c r="BD209" s="39">
        <v>14</v>
      </c>
      <c r="BE209" s="39"/>
      <c r="BF209" s="39"/>
      <c r="BG209" s="39">
        <v>15</v>
      </c>
      <c r="BH209" s="39"/>
      <c r="BI209" s="39"/>
      <c r="BJ209" s="39">
        <v>16</v>
      </c>
      <c r="BK209" s="39"/>
      <c r="BL209" s="39"/>
    </row>
    <row r="210" spans="1:79" s="1" customFormat="1" ht="12.75" hidden="1" customHeight="1" x14ac:dyDescent="0.2">
      <c r="A210" s="88" t="s">
        <v>69</v>
      </c>
      <c r="B210" s="89"/>
      <c r="C210" s="89"/>
      <c r="D210" s="88" t="s">
        <v>57</v>
      </c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90"/>
      <c r="W210" s="66" t="s">
        <v>72</v>
      </c>
      <c r="X210" s="66"/>
      <c r="Y210" s="66"/>
      <c r="Z210" s="66" t="s">
        <v>73</v>
      </c>
      <c r="AA210" s="66"/>
      <c r="AB210" s="66"/>
      <c r="AC210" s="64" t="s">
        <v>74</v>
      </c>
      <c r="AD210" s="64"/>
      <c r="AE210" s="64"/>
      <c r="AF210" s="64" t="s">
        <v>75</v>
      </c>
      <c r="AG210" s="64"/>
      <c r="AH210" s="64"/>
      <c r="AI210" s="66" t="s">
        <v>76</v>
      </c>
      <c r="AJ210" s="66"/>
      <c r="AK210" s="66"/>
      <c r="AL210" s="66" t="s">
        <v>77</v>
      </c>
      <c r="AM210" s="66"/>
      <c r="AN210" s="66"/>
      <c r="AO210" s="64" t="s">
        <v>104</v>
      </c>
      <c r="AP210" s="64"/>
      <c r="AQ210" s="64"/>
      <c r="AR210" s="64" t="s">
        <v>78</v>
      </c>
      <c r="AS210" s="64"/>
      <c r="AT210" s="64"/>
      <c r="AU210" s="66" t="s">
        <v>105</v>
      </c>
      <c r="AV210" s="66"/>
      <c r="AW210" s="66"/>
      <c r="AX210" s="64" t="s">
        <v>106</v>
      </c>
      <c r="AY210" s="64"/>
      <c r="AZ210" s="64"/>
      <c r="BA210" s="66" t="s">
        <v>107</v>
      </c>
      <c r="BB210" s="66"/>
      <c r="BC210" s="66"/>
      <c r="BD210" s="64" t="s">
        <v>108</v>
      </c>
      <c r="BE210" s="64"/>
      <c r="BF210" s="64"/>
      <c r="BG210" s="66" t="s">
        <v>109</v>
      </c>
      <c r="BH210" s="66"/>
      <c r="BI210" s="66"/>
      <c r="BJ210" s="64" t="s">
        <v>110</v>
      </c>
      <c r="BK210" s="64"/>
      <c r="BL210" s="64"/>
      <c r="CA210" s="1" t="s">
        <v>103</v>
      </c>
    </row>
    <row r="211" spans="1:79" s="4" customFormat="1" ht="12.75" customHeight="1" x14ac:dyDescent="0.2">
      <c r="A211" s="34">
        <v>1</v>
      </c>
      <c r="B211" s="35"/>
      <c r="C211" s="35"/>
      <c r="D211" s="27" t="s">
        <v>231</v>
      </c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9"/>
      <c r="W211" s="32">
        <v>1</v>
      </c>
      <c r="X211" s="32"/>
      <c r="Y211" s="32"/>
      <c r="Z211" s="32">
        <v>0</v>
      </c>
      <c r="AA211" s="32"/>
      <c r="AB211" s="32"/>
      <c r="AC211" s="32">
        <v>0</v>
      </c>
      <c r="AD211" s="32"/>
      <c r="AE211" s="32"/>
      <c r="AF211" s="32">
        <v>0</v>
      </c>
      <c r="AG211" s="32"/>
      <c r="AH211" s="32"/>
      <c r="AI211" s="32">
        <v>1</v>
      </c>
      <c r="AJ211" s="32"/>
      <c r="AK211" s="32"/>
      <c r="AL211" s="32">
        <v>0</v>
      </c>
      <c r="AM211" s="32"/>
      <c r="AN211" s="32"/>
      <c r="AO211" s="32">
        <v>0</v>
      </c>
      <c r="AP211" s="32"/>
      <c r="AQ211" s="32"/>
      <c r="AR211" s="32">
        <v>0</v>
      </c>
      <c r="AS211" s="32"/>
      <c r="AT211" s="32"/>
      <c r="AU211" s="32">
        <v>1</v>
      </c>
      <c r="AV211" s="32"/>
      <c r="AW211" s="32"/>
      <c r="AX211" s="32">
        <v>0</v>
      </c>
      <c r="AY211" s="32"/>
      <c r="AZ211" s="32"/>
      <c r="BA211" s="32">
        <v>1</v>
      </c>
      <c r="BB211" s="32"/>
      <c r="BC211" s="32"/>
      <c r="BD211" s="32">
        <v>0</v>
      </c>
      <c r="BE211" s="32"/>
      <c r="BF211" s="32"/>
      <c r="BG211" s="32">
        <v>0</v>
      </c>
      <c r="BH211" s="32"/>
      <c r="BI211" s="32"/>
      <c r="BJ211" s="32">
        <v>0</v>
      </c>
      <c r="BK211" s="32"/>
      <c r="BL211" s="32"/>
      <c r="CA211" s="4" t="s">
        <v>43</v>
      </c>
    </row>
    <row r="212" spans="1:79" s="4" customFormat="1" ht="12.75" customHeight="1" x14ac:dyDescent="0.2">
      <c r="A212" s="34">
        <v>2</v>
      </c>
      <c r="B212" s="35"/>
      <c r="C212" s="35"/>
      <c r="D212" s="27" t="s">
        <v>232</v>
      </c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9"/>
      <c r="W212" s="32">
        <v>4</v>
      </c>
      <c r="X212" s="32"/>
      <c r="Y212" s="32"/>
      <c r="Z212" s="32">
        <v>0</v>
      </c>
      <c r="AA212" s="32"/>
      <c r="AB212" s="32"/>
      <c r="AC212" s="32">
        <v>0</v>
      </c>
      <c r="AD212" s="32"/>
      <c r="AE212" s="32"/>
      <c r="AF212" s="32">
        <v>0</v>
      </c>
      <c r="AG212" s="32"/>
      <c r="AH212" s="32"/>
      <c r="AI212" s="32">
        <v>4</v>
      </c>
      <c r="AJ212" s="32"/>
      <c r="AK212" s="32"/>
      <c r="AL212" s="32">
        <v>0</v>
      </c>
      <c r="AM212" s="32"/>
      <c r="AN212" s="32"/>
      <c r="AO212" s="32">
        <v>0</v>
      </c>
      <c r="AP212" s="32"/>
      <c r="AQ212" s="32"/>
      <c r="AR212" s="32">
        <v>0</v>
      </c>
      <c r="AS212" s="32"/>
      <c r="AT212" s="32"/>
      <c r="AU212" s="32">
        <v>4</v>
      </c>
      <c r="AV212" s="32"/>
      <c r="AW212" s="32"/>
      <c r="AX212" s="32">
        <v>0</v>
      </c>
      <c r="AY212" s="32"/>
      <c r="AZ212" s="32"/>
      <c r="BA212" s="32">
        <v>4</v>
      </c>
      <c r="BB212" s="32"/>
      <c r="BC212" s="32"/>
      <c r="BD212" s="32">
        <v>0</v>
      </c>
      <c r="BE212" s="32"/>
      <c r="BF212" s="32"/>
      <c r="BG212" s="32">
        <v>0</v>
      </c>
      <c r="BH212" s="32"/>
      <c r="BI212" s="32"/>
      <c r="BJ212" s="32">
        <v>0</v>
      </c>
      <c r="BK212" s="32"/>
      <c r="BL212" s="32"/>
    </row>
    <row r="213" spans="1:79" s="4" customFormat="1" ht="12.75" customHeight="1" x14ac:dyDescent="0.2">
      <c r="A213" s="34">
        <v>3</v>
      </c>
      <c r="B213" s="35"/>
      <c r="C213" s="35"/>
      <c r="D213" s="27" t="s">
        <v>233</v>
      </c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9"/>
      <c r="W213" s="32">
        <v>3.5</v>
      </c>
      <c r="X213" s="32"/>
      <c r="Y213" s="32"/>
      <c r="Z213" s="32">
        <v>0</v>
      </c>
      <c r="AA213" s="32"/>
      <c r="AB213" s="32"/>
      <c r="AC213" s="32">
        <v>0</v>
      </c>
      <c r="AD213" s="32"/>
      <c r="AE213" s="32"/>
      <c r="AF213" s="32">
        <v>0</v>
      </c>
      <c r="AG213" s="32"/>
      <c r="AH213" s="32"/>
      <c r="AI213" s="32">
        <v>3.5</v>
      </c>
      <c r="AJ213" s="32"/>
      <c r="AK213" s="32"/>
      <c r="AL213" s="32">
        <v>0</v>
      </c>
      <c r="AM213" s="32"/>
      <c r="AN213" s="32"/>
      <c r="AO213" s="32">
        <v>0</v>
      </c>
      <c r="AP213" s="32"/>
      <c r="AQ213" s="32"/>
      <c r="AR213" s="32">
        <v>0</v>
      </c>
      <c r="AS213" s="32"/>
      <c r="AT213" s="32"/>
      <c r="AU213" s="32">
        <v>3.5</v>
      </c>
      <c r="AV213" s="32"/>
      <c r="AW213" s="32"/>
      <c r="AX213" s="32">
        <v>0</v>
      </c>
      <c r="AY213" s="32"/>
      <c r="AZ213" s="32"/>
      <c r="BA213" s="32">
        <v>3.5</v>
      </c>
      <c r="BB213" s="32"/>
      <c r="BC213" s="32"/>
      <c r="BD213" s="32">
        <v>0</v>
      </c>
      <c r="BE213" s="32"/>
      <c r="BF213" s="32"/>
      <c r="BG213" s="32">
        <v>0</v>
      </c>
      <c r="BH213" s="32"/>
      <c r="BI213" s="32"/>
      <c r="BJ213" s="32">
        <v>0</v>
      </c>
      <c r="BK213" s="32"/>
      <c r="BL213" s="32"/>
    </row>
    <row r="214" spans="1:79" s="5" customFormat="1" ht="12.75" customHeight="1" x14ac:dyDescent="0.2">
      <c r="A214" s="36">
        <v>4</v>
      </c>
      <c r="B214" s="37"/>
      <c r="C214" s="37"/>
      <c r="D214" s="23" t="s">
        <v>234</v>
      </c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5"/>
      <c r="W214" s="33">
        <v>8.5</v>
      </c>
      <c r="X214" s="33"/>
      <c r="Y214" s="33"/>
      <c r="Z214" s="33">
        <v>0</v>
      </c>
      <c r="AA214" s="33"/>
      <c r="AB214" s="33"/>
      <c r="AC214" s="33">
        <v>0</v>
      </c>
      <c r="AD214" s="33"/>
      <c r="AE214" s="33"/>
      <c r="AF214" s="33">
        <v>0</v>
      </c>
      <c r="AG214" s="33"/>
      <c r="AH214" s="33"/>
      <c r="AI214" s="33">
        <v>8.5</v>
      </c>
      <c r="AJ214" s="33"/>
      <c r="AK214" s="33"/>
      <c r="AL214" s="33">
        <v>0</v>
      </c>
      <c r="AM214" s="33"/>
      <c r="AN214" s="33"/>
      <c r="AO214" s="33">
        <v>0</v>
      </c>
      <c r="AP214" s="33"/>
      <c r="AQ214" s="33"/>
      <c r="AR214" s="33">
        <v>0</v>
      </c>
      <c r="AS214" s="33"/>
      <c r="AT214" s="33"/>
      <c r="AU214" s="33">
        <v>8.5</v>
      </c>
      <c r="AV214" s="33"/>
      <c r="AW214" s="33"/>
      <c r="AX214" s="33">
        <v>0</v>
      </c>
      <c r="AY214" s="33"/>
      <c r="AZ214" s="33"/>
      <c r="BA214" s="33">
        <v>8.5</v>
      </c>
      <c r="BB214" s="33"/>
      <c r="BC214" s="33"/>
      <c r="BD214" s="33">
        <v>0</v>
      </c>
      <c r="BE214" s="33"/>
      <c r="BF214" s="33"/>
      <c r="BG214" s="33">
        <v>0</v>
      </c>
      <c r="BH214" s="33"/>
      <c r="BI214" s="33"/>
      <c r="BJ214" s="33">
        <v>0</v>
      </c>
      <c r="BK214" s="33"/>
      <c r="BL214" s="33"/>
    </row>
    <row r="215" spans="1:79" s="4" customFormat="1" ht="25.5" customHeight="1" x14ac:dyDescent="0.2">
      <c r="A215" s="34">
        <v>5</v>
      </c>
      <c r="B215" s="35"/>
      <c r="C215" s="35"/>
      <c r="D215" s="27" t="s">
        <v>235</v>
      </c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9"/>
      <c r="W215" s="32" t="s">
        <v>173</v>
      </c>
      <c r="X215" s="32"/>
      <c r="Y215" s="32"/>
      <c r="Z215" s="32" t="s">
        <v>173</v>
      </c>
      <c r="AA215" s="32"/>
      <c r="AB215" s="32"/>
      <c r="AC215" s="32"/>
      <c r="AD215" s="32"/>
      <c r="AE215" s="32"/>
      <c r="AF215" s="32"/>
      <c r="AG215" s="32"/>
      <c r="AH215" s="32"/>
      <c r="AI215" s="32" t="s">
        <v>173</v>
      </c>
      <c r="AJ215" s="32"/>
      <c r="AK215" s="32"/>
      <c r="AL215" s="32" t="s">
        <v>173</v>
      </c>
      <c r="AM215" s="32"/>
      <c r="AN215" s="32"/>
      <c r="AO215" s="32"/>
      <c r="AP215" s="32"/>
      <c r="AQ215" s="32"/>
      <c r="AR215" s="32"/>
      <c r="AS215" s="32"/>
      <c r="AT215" s="32"/>
      <c r="AU215" s="32" t="s">
        <v>173</v>
      </c>
      <c r="AV215" s="32"/>
      <c r="AW215" s="32"/>
      <c r="AX215" s="32"/>
      <c r="AY215" s="32"/>
      <c r="AZ215" s="32"/>
      <c r="BA215" s="32" t="s">
        <v>173</v>
      </c>
      <c r="BB215" s="32"/>
      <c r="BC215" s="32"/>
      <c r="BD215" s="32"/>
      <c r="BE215" s="32"/>
      <c r="BF215" s="32"/>
      <c r="BG215" s="32" t="s">
        <v>173</v>
      </c>
      <c r="BH215" s="32"/>
      <c r="BI215" s="32"/>
      <c r="BJ215" s="32"/>
      <c r="BK215" s="32"/>
      <c r="BL215" s="32"/>
    </row>
    <row r="217" spans="1:79" ht="14.25" customHeight="1" x14ac:dyDescent="0.2">
      <c r="A217" s="62" t="s">
        <v>153</v>
      </c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  <c r="AL217" s="62"/>
      <c r="AM217" s="62"/>
      <c r="AN217" s="62"/>
      <c r="AO217" s="62"/>
      <c r="AP217" s="62"/>
      <c r="AQ217" s="62"/>
      <c r="AR217" s="62"/>
      <c r="AS217" s="62"/>
      <c r="AT217" s="62"/>
      <c r="AU217" s="62"/>
      <c r="AV217" s="62"/>
      <c r="AW217" s="62"/>
      <c r="AX217" s="62"/>
      <c r="AY217" s="62"/>
      <c r="AZ217" s="62"/>
      <c r="BA217" s="62"/>
      <c r="BB217" s="62"/>
      <c r="BC217" s="62"/>
      <c r="BD217" s="62"/>
      <c r="BE217" s="62"/>
      <c r="BF217" s="62"/>
      <c r="BG217" s="62"/>
      <c r="BH217" s="62"/>
      <c r="BI217" s="62"/>
      <c r="BJ217" s="62"/>
      <c r="BK217" s="62"/>
      <c r="BL217" s="62"/>
    </row>
    <row r="218" spans="1:79" ht="14.25" customHeight="1" x14ac:dyDescent="0.2">
      <c r="A218" s="62" t="s">
        <v>265</v>
      </c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  <c r="AM218" s="62"/>
      <c r="AN218" s="62"/>
      <c r="AO218" s="62"/>
      <c r="AP218" s="62"/>
      <c r="AQ218" s="62"/>
      <c r="AR218" s="62"/>
      <c r="AS218" s="62"/>
      <c r="AT218" s="62"/>
      <c r="AU218" s="62"/>
      <c r="AV218" s="62"/>
      <c r="AW218" s="62"/>
      <c r="AX218" s="62"/>
      <c r="AY218" s="62"/>
      <c r="AZ218" s="62"/>
      <c r="BA218" s="62"/>
      <c r="BB218" s="62"/>
      <c r="BC218" s="62"/>
      <c r="BD218" s="62"/>
      <c r="BE218" s="62"/>
      <c r="BF218" s="62"/>
      <c r="BG218" s="62"/>
      <c r="BH218" s="62"/>
      <c r="BI218" s="62"/>
      <c r="BJ218" s="62"/>
      <c r="BK218" s="62"/>
      <c r="BL218" s="62"/>
      <c r="BM218" s="62"/>
      <c r="BN218" s="62"/>
      <c r="BO218" s="62"/>
      <c r="BP218" s="62"/>
      <c r="BQ218" s="62"/>
      <c r="BR218" s="62"/>
      <c r="BS218" s="62"/>
    </row>
    <row r="219" spans="1:79" ht="15" customHeight="1" x14ac:dyDescent="0.2">
      <c r="A219" s="67" t="s">
        <v>247</v>
      </c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67"/>
      <c r="AD219" s="67"/>
      <c r="AE219" s="67"/>
      <c r="AF219" s="67"/>
      <c r="AG219" s="67"/>
      <c r="AH219" s="67"/>
      <c r="AI219" s="67"/>
      <c r="AJ219" s="67"/>
      <c r="AK219" s="67"/>
      <c r="AL219" s="67"/>
      <c r="AM219" s="67"/>
      <c r="AN219" s="67"/>
      <c r="AO219" s="67"/>
      <c r="AP219" s="67"/>
      <c r="AQ219" s="67"/>
      <c r="AR219" s="67"/>
      <c r="AS219" s="67"/>
      <c r="AT219" s="67"/>
      <c r="AU219" s="67"/>
      <c r="AV219" s="67"/>
      <c r="AW219" s="67"/>
      <c r="AX219" s="67"/>
      <c r="AY219" s="67"/>
      <c r="AZ219" s="67"/>
      <c r="BA219" s="67"/>
      <c r="BB219" s="67"/>
      <c r="BC219" s="67"/>
      <c r="BD219" s="67"/>
      <c r="BE219" s="67"/>
      <c r="BF219" s="67"/>
      <c r="BG219" s="67"/>
      <c r="BH219" s="67"/>
      <c r="BI219" s="67"/>
      <c r="BJ219" s="67"/>
      <c r="BK219" s="67"/>
      <c r="BL219" s="67"/>
      <c r="BM219" s="67"/>
      <c r="BN219" s="67"/>
      <c r="BO219" s="67"/>
      <c r="BP219" s="67"/>
      <c r="BQ219" s="67"/>
      <c r="BR219" s="67"/>
      <c r="BS219" s="67"/>
    </row>
    <row r="220" spans="1:79" ht="15" customHeight="1" x14ac:dyDescent="0.2">
      <c r="A220" s="39" t="s">
        <v>6</v>
      </c>
      <c r="B220" s="39"/>
      <c r="C220" s="39"/>
      <c r="D220" s="39"/>
      <c r="E220" s="39"/>
      <c r="F220" s="39"/>
      <c r="G220" s="39" t="s">
        <v>126</v>
      </c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 t="s">
        <v>13</v>
      </c>
      <c r="U220" s="39"/>
      <c r="V220" s="39"/>
      <c r="W220" s="39"/>
      <c r="X220" s="39"/>
      <c r="Y220" s="39"/>
      <c r="Z220" s="39"/>
      <c r="AA220" s="74" t="s">
        <v>248</v>
      </c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7"/>
      <c r="AP220" s="74" t="s">
        <v>251</v>
      </c>
      <c r="AQ220" s="75"/>
      <c r="AR220" s="75"/>
      <c r="AS220" s="75"/>
      <c r="AT220" s="75"/>
      <c r="AU220" s="75"/>
      <c r="AV220" s="75"/>
      <c r="AW220" s="75"/>
      <c r="AX220" s="75"/>
      <c r="AY220" s="75"/>
      <c r="AZ220" s="75"/>
      <c r="BA220" s="75"/>
      <c r="BB220" s="75"/>
      <c r="BC220" s="75"/>
      <c r="BD220" s="76"/>
      <c r="BE220" s="74" t="s">
        <v>259</v>
      </c>
      <c r="BF220" s="75"/>
      <c r="BG220" s="75"/>
      <c r="BH220" s="75"/>
      <c r="BI220" s="75"/>
      <c r="BJ220" s="75"/>
      <c r="BK220" s="75"/>
      <c r="BL220" s="75"/>
      <c r="BM220" s="75"/>
      <c r="BN220" s="75"/>
      <c r="BO220" s="75"/>
      <c r="BP220" s="75"/>
      <c r="BQ220" s="75"/>
      <c r="BR220" s="75"/>
      <c r="BS220" s="76"/>
    </row>
    <row r="221" spans="1:79" ht="32.1" customHeight="1" x14ac:dyDescent="0.2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 t="s">
        <v>4</v>
      </c>
      <c r="AB221" s="39"/>
      <c r="AC221" s="39"/>
      <c r="AD221" s="39"/>
      <c r="AE221" s="39"/>
      <c r="AF221" s="39" t="s">
        <v>3</v>
      </c>
      <c r="AG221" s="39"/>
      <c r="AH221" s="39"/>
      <c r="AI221" s="39"/>
      <c r="AJ221" s="39"/>
      <c r="AK221" s="39" t="s">
        <v>89</v>
      </c>
      <c r="AL221" s="39"/>
      <c r="AM221" s="39"/>
      <c r="AN221" s="39"/>
      <c r="AO221" s="39"/>
      <c r="AP221" s="39" t="s">
        <v>4</v>
      </c>
      <c r="AQ221" s="39"/>
      <c r="AR221" s="39"/>
      <c r="AS221" s="39"/>
      <c r="AT221" s="39"/>
      <c r="AU221" s="39" t="s">
        <v>3</v>
      </c>
      <c r="AV221" s="39"/>
      <c r="AW221" s="39"/>
      <c r="AX221" s="39"/>
      <c r="AY221" s="39"/>
      <c r="AZ221" s="39" t="s">
        <v>96</v>
      </c>
      <c r="BA221" s="39"/>
      <c r="BB221" s="39"/>
      <c r="BC221" s="39"/>
      <c r="BD221" s="39"/>
      <c r="BE221" s="39" t="s">
        <v>4</v>
      </c>
      <c r="BF221" s="39"/>
      <c r="BG221" s="39"/>
      <c r="BH221" s="39"/>
      <c r="BI221" s="39"/>
      <c r="BJ221" s="39" t="s">
        <v>3</v>
      </c>
      <c r="BK221" s="39"/>
      <c r="BL221" s="39"/>
      <c r="BM221" s="39"/>
      <c r="BN221" s="39"/>
      <c r="BO221" s="39" t="s">
        <v>127</v>
      </c>
      <c r="BP221" s="39"/>
      <c r="BQ221" s="39"/>
      <c r="BR221" s="39"/>
      <c r="BS221" s="39"/>
    </row>
    <row r="222" spans="1:79" ht="15" customHeight="1" x14ac:dyDescent="0.2">
      <c r="A222" s="39">
        <v>1</v>
      </c>
      <c r="B222" s="39"/>
      <c r="C222" s="39"/>
      <c r="D222" s="39"/>
      <c r="E222" s="39"/>
      <c r="F222" s="39"/>
      <c r="G222" s="39">
        <v>2</v>
      </c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>
        <v>3</v>
      </c>
      <c r="U222" s="39"/>
      <c r="V222" s="39"/>
      <c r="W222" s="39"/>
      <c r="X222" s="39"/>
      <c r="Y222" s="39"/>
      <c r="Z222" s="39"/>
      <c r="AA222" s="39">
        <v>4</v>
      </c>
      <c r="AB222" s="39"/>
      <c r="AC222" s="39"/>
      <c r="AD222" s="39"/>
      <c r="AE222" s="39"/>
      <c r="AF222" s="39">
        <v>5</v>
      </c>
      <c r="AG222" s="39"/>
      <c r="AH222" s="39"/>
      <c r="AI222" s="39"/>
      <c r="AJ222" s="39"/>
      <c r="AK222" s="39">
        <v>6</v>
      </c>
      <c r="AL222" s="39"/>
      <c r="AM222" s="39"/>
      <c r="AN222" s="39"/>
      <c r="AO222" s="39"/>
      <c r="AP222" s="39">
        <v>7</v>
      </c>
      <c r="AQ222" s="39"/>
      <c r="AR222" s="39"/>
      <c r="AS222" s="39"/>
      <c r="AT222" s="39"/>
      <c r="AU222" s="39">
        <v>8</v>
      </c>
      <c r="AV222" s="39"/>
      <c r="AW222" s="39"/>
      <c r="AX222" s="39"/>
      <c r="AY222" s="39"/>
      <c r="AZ222" s="39">
        <v>9</v>
      </c>
      <c r="BA222" s="39"/>
      <c r="BB222" s="39"/>
      <c r="BC222" s="39"/>
      <c r="BD222" s="39"/>
      <c r="BE222" s="39">
        <v>10</v>
      </c>
      <c r="BF222" s="39"/>
      <c r="BG222" s="39"/>
      <c r="BH222" s="39"/>
      <c r="BI222" s="39"/>
      <c r="BJ222" s="39">
        <v>11</v>
      </c>
      <c r="BK222" s="39"/>
      <c r="BL222" s="39"/>
      <c r="BM222" s="39"/>
      <c r="BN222" s="39"/>
      <c r="BO222" s="39">
        <v>12</v>
      </c>
      <c r="BP222" s="39"/>
      <c r="BQ222" s="39"/>
      <c r="BR222" s="39"/>
      <c r="BS222" s="39"/>
    </row>
    <row r="223" spans="1:79" s="1" customFormat="1" ht="15" hidden="1" customHeight="1" x14ac:dyDescent="0.2">
      <c r="A223" s="66" t="s">
        <v>69</v>
      </c>
      <c r="B223" s="66"/>
      <c r="C223" s="66"/>
      <c r="D223" s="66"/>
      <c r="E223" s="66"/>
      <c r="F223" s="66"/>
      <c r="G223" s="65" t="s">
        <v>57</v>
      </c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 t="s">
        <v>79</v>
      </c>
      <c r="U223" s="65"/>
      <c r="V223" s="65"/>
      <c r="W223" s="65"/>
      <c r="X223" s="65"/>
      <c r="Y223" s="65"/>
      <c r="Z223" s="65"/>
      <c r="AA223" s="64" t="s">
        <v>65</v>
      </c>
      <c r="AB223" s="64"/>
      <c r="AC223" s="64"/>
      <c r="AD223" s="64"/>
      <c r="AE223" s="64"/>
      <c r="AF223" s="64" t="s">
        <v>66</v>
      </c>
      <c r="AG223" s="64"/>
      <c r="AH223" s="64"/>
      <c r="AI223" s="64"/>
      <c r="AJ223" s="64"/>
      <c r="AK223" s="84" t="s">
        <v>122</v>
      </c>
      <c r="AL223" s="84"/>
      <c r="AM223" s="84"/>
      <c r="AN223" s="84"/>
      <c r="AO223" s="84"/>
      <c r="AP223" s="64" t="s">
        <v>67</v>
      </c>
      <c r="AQ223" s="64"/>
      <c r="AR223" s="64"/>
      <c r="AS223" s="64"/>
      <c r="AT223" s="64"/>
      <c r="AU223" s="64" t="s">
        <v>68</v>
      </c>
      <c r="AV223" s="64"/>
      <c r="AW223" s="64"/>
      <c r="AX223" s="64"/>
      <c r="AY223" s="64"/>
      <c r="AZ223" s="84" t="s">
        <v>122</v>
      </c>
      <c r="BA223" s="84"/>
      <c r="BB223" s="84"/>
      <c r="BC223" s="84"/>
      <c r="BD223" s="84"/>
      <c r="BE223" s="64" t="s">
        <v>58</v>
      </c>
      <c r="BF223" s="64"/>
      <c r="BG223" s="64"/>
      <c r="BH223" s="64"/>
      <c r="BI223" s="64"/>
      <c r="BJ223" s="64" t="s">
        <v>59</v>
      </c>
      <c r="BK223" s="64"/>
      <c r="BL223" s="64"/>
      <c r="BM223" s="64"/>
      <c r="BN223" s="64"/>
      <c r="BO223" s="84" t="s">
        <v>122</v>
      </c>
      <c r="BP223" s="84"/>
      <c r="BQ223" s="84"/>
      <c r="BR223" s="84"/>
      <c r="BS223" s="84"/>
      <c r="CA223" s="1" t="s">
        <v>44</v>
      </c>
    </row>
    <row r="224" spans="1:79" s="4" customFormat="1" ht="76.5" customHeight="1" x14ac:dyDescent="0.2">
      <c r="A224" s="26">
        <v>1</v>
      </c>
      <c r="B224" s="26"/>
      <c r="C224" s="26"/>
      <c r="D224" s="26"/>
      <c r="E224" s="26"/>
      <c r="F224" s="26"/>
      <c r="G224" s="27" t="s">
        <v>236</v>
      </c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9"/>
      <c r="T224" s="85" t="s">
        <v>237</v>
      </c>
      <c r="U224" s="28"/>
      <c r="V224" s="28"/>
      <c r="W224" s="28"/>
      <c r="X224" s="28"/>
      <c r="Y224" s="28"/>
      <c r="Z224" s="29"/>
      <c r="AA224" s="30">
        <v>3249017</v>
      </c>
      <c r="AB224" s="30"/>
      <c r="AC224" s="30"/>
      <c r="AD224" s="30"/>
      <c r="AE224" s="30"/>
      <c r="AF224" s="30">
        <v>23596</v>
      </c>
      <c r="AG224" s="30"/>
      <c r="AH224" s="30"/>
      <c r="AI224" s="30"/>
      <c r="AJ224" s="30"/>
      <c r="AK224" s="30">
        <f>IF(ISNUMBER(AA224),AA224,0)+IF(ISNUMBER(AF224),AF224,0)</f>
        <v>3272613</v>
      </c>
      <c r="AL224" s="30"/>
      <c r="AM224" s="30"/>
      <c r="AN224" s="30"/>
      <c r="AO224" s="30"/>
      <c r="AP224" s="30">
        <v>4127990</v>
      </c>
      <c r="AQ224" s="30"/>
      <c r="AR224" s="30"/>
      <c r="AS224" s="30"/>
      <c r="AT224" s="30"/>
      <c r="AU224" s="30">
        <v>0</v>
      </c>
      <c r="AV224" s="30"/>
      <c r="AW224" s="30"/>
      <c r="AX224" s="30"/>
      <c r="AY224" s="30"/>
      <c r="AZ224" s="30">
        <f>IF(ISNUMBER(AP224),AP224,0)+IF(ISNUMBER(AU224),AU224,0)</f>
        <v>4127990</v>
      </c>
      <c r="BA224" s="30"/>
      <c r="BB224" s="30"/>
      <c r="BC224" s="30"/>
      <c r="BD224" s="30"/>
      <c r="BE224" s="30">
        <v>4857097</v>
      </c>
      <c r="BF224" s="30"/>
      <c r="BG224" s="30"/>
      <c r="BH224" s="30"/>
      <c r="BI224" s="30"/>
      <c r="BJ224" s="30">
        <v>0</v>
      </c>
      <c r="BK224" s="30"/>
      <c r="BL224" s="30"/>
      <c r="BM224" s="30"/>
      <c r="BN224" s="30"/>
      <c r="BO224" s="30">
        <f>IF(ISNUMBER(BE224),BE224,0)+IF(ISNUMBER(BJ224),BJ224,0)</f>
        <v>4857097</v>
      </c>
      <c r="BP224" s="30"/>
      <c r="BQ224" s="30"/>
      <c r="BR224" s="30"/>
      <c r="BS224" s="30"/>
      <c r="CA224" s="4" t="s">
        <v>45</v>
      </c>
    </row>
    <row r="225" spans="1:79" s="5" customFormat="1" ht="12.75" customHeight="1" x14ac:dyDescent="0.2">
      <c r="A225" s="22"/>
      <c r="B225" s="22"/>
      <c r="C225" s="22"/>
      <c r="D225" s="22"/>
      <c r="E225" s="22"/>
      <c r="F225" s="22"/>
      <c r="G225" s="23" t="s">
        <v>147</v>
      </c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5"/>
      <c r="T225" s="31"/>
      <c r="U225" s="24"/>
      <c r="V225" s="24"/>
      <c r="W225" s="24"/>
      <c r="X225" s="24"/>
      <c r="Y225" s="24"/>
      <c r="Z225" s="25"/>
      <c r="AA225" s="20">
        <v>3249017</v>
      </c>
      <c r="AB225" s="20"/>
      <c r="AC225" s="20"/>
      <c r="AD225" s="20"/>
      <c r="AE225" s="20"/>
      <c r="AF225" s="20">
        <v>23596</v>
      </c>
      <c r="AG225" s="20"/>
      <c r="AH225" s="20"/>
      <c r="AI225" s="20"/>
      <c r="AJ225" s="20"/>
      <c r="AK225" s="20">
        <f>IF(ISNUMBER(AA225),AA225,0)+IF(ISNUMBER(AF225),AF225,0)</f>
        <v>3272613</v>
      </c>
      <c r="AL225" s="20"/>
      <c r="AM225" s="20"/>
      <c r="AN225" s="20"/>
      <c r="AO225" s="20"/>
      <c r="AP225" s="20">
        <v>4127990</v>
      </c>
      <c r="AQ225" s="20"/>
      <c r="AR225" s="20"/>
      <c r="AS225" s="20"/>
      <c r="AT225" s="20"/>
      <c r="AU225" s="20">
        <v>0</v>
      </c>
      <c r="AV225" s="20"/>
      <c r="AW225" s="20"/>
      <c r="AX225" s="20"/>
      <c r="AY225" s="20"/>
      <c r="AZ225" s="20">
        <f>IF(ISNUMBER(AP225),AP225,0)+IF(ISNUMBER(AU225),AU225,0)</f>
        <v>4127990</v>
      </c>
      <c r="BA225" s="20"/>
      <c r="BB225" s="20"/>
      <c r="BC225" s="20"/>
      <c r="BD225" s="20"/>
      <c r="BE225" s="20">
        <v>4857097</v>
      </c>
      <c r="BF225" s="20"/>
      <c r="BG225" s="20"/>
      <c r="BH225" s="20"/>
      <c r="BI225" s="20"/>
      <c r="BJ225" s="20">
        <v>0</v>
      </c>
      <c r="BK225" s="20"/>
      <c r="BL225" s="20"/>
      <c r="BM225" s="20"/>
      <c r="BN225" s="20"/>
      <c r="BO225" s="20">
        <f>IF(ISNUMBER(BE225),BE225,0)+IF(ISNUMBER(BJ225),BJ225,0)</f>
        <v>4857097</v>
      </c>
      <c r="BP225" s="20"/>
      <c r="BQ225" s="20"/>
      <c r="BR225" s="20"/>
      <c r="BS225" s="20"/>
    </row>
    <row r="227" spans="1:79" ht="13.5" customHeight="1" x14ac:dyDescent="0.2">
      <c r="A227" s="62" t="s">
        <v>280</v>
      </c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  <c r="AF227" s="62"/>
      <c r="AG227" s="62"/>
      <c r="AH227" s="62"/>
      <c r="AI227" s="62"/>
      <c r="AJ227" s="62"/>
      <c r="AK227" s="62"/>
      <c r="AL227" s="62"/>
      <c r="AM227" s="62"/>
      <c r="AN227" s="62"/>
      <c r="AO227" s="62"/>
      <c r="AP227" s="62"/>
      <c r="AQ227" s="62"/>
      <c r="AR227" s="62"/>
      <c r="AS227" s="62"/>
      <c r="AT227" s="62"/>
      <c r="AU227" s="62"/>
      <c r="AV227" s="62"/>
      <c r="AW227" s="62"/>
      <c r="AX227" s="62"/>
      <c r="AY227" s="62"/>
      <c r="AZ227" s="62"/>
      <c r="BA227" s="62"/>
      <c r="BB227" s="62"/>
      <c r="BC227" s="62"/>
      <c r="BD227" s="62"/>
      <c r="BE227" s="62"/>
      <c r="BF227" s="62"/>
      <c r="BG227" s="62"/>
      <c r="BH227" s="62"/>
      <c r="BI227" s="62"/>
      <c r="BJ227" s="62"/>
      <c r="BK227" s="62"/>
      <c r="BL227" s="62"/>
    </row>
    <row r="228" spans="1:79" ht="15" customHeight="1" x14ac:dyDescent="0.2">
      <c r="A228" s="77" t="s">
        <v>247</v>
      </c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  <c r="AC228" s="77"/>
      <c r="AD228" s="77"/>
      <c r="AE228" s="77"/>
      <c r="AF228" s="77"/>
      <c r="AG228" s="77"/>
      <c r="AH228" s="77"/>
      <c r="AI228" s="77"/>
      <c r="AJ228" s="77"/>
      <c r="AK228" s="77"/>
      <c r="AL228" s="77"/>
      <c r="AM228" s="77"/>
      <c r="AN228" s="77"/>
      <c r="AO228" s="77"/>
      <c r="AP228" s="77"/>
      <c r="AQ228" s="77"/>
      <c r="AR228" s="77"/>
      <c r="AS228" s="77"/>
      <c r="AT228" s="77"/>
      <c r="AU228" s="77"/>
      <c r="AV228" s="77"/>
      <c r="AW228" s="77"/>
      <c r="AX228" s="77"/>
      <c r="AY228" s="77"/>
      <c r="AZ228" s="77"/>
      <c r="BA228" s="77"/>
      <c r="BB228" s="77"/>
      <c r="BC228" s="77"/>
      <c r="BD228" s="77"/>
    </row>
    <row r="229" spans="1:79" ht="15" customHeight="1" x14ac:dyDescent="0.2">
      <c r="A229" s="39" t="s">
        <v>6</v>
      </c>
      <c r="B229" s="39"/>
      <c r="C229" s="39"/>
      <c r="D229" s="39"/>
      <c r="E229" s="39"/>
      <c r="F229" s="39"/>
      <c r="G229" s="39" t="s">
        <v>126</v>
      </c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 t="s">
        <v>13</v>
      </c>
      <c r="U229" s="39"/>
      <c r="V229" s="39"/>
      <c r="W229" s="39"/>
      <c r="X229" s="39"/>
      <c r="Y229" s="39"/>
      <c r="Z229" s="39"/>
      <c r="AA229" s="74" t="s">
        <v>269</v>
      </c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7"/>
      <c r="AP229" s="74" t="s">
        <v>274</v>
      </c>
      <c r="AQ229" s="75"/>
      <c r="AR229" s="75"/>
      <c r="AS229" s="75"/>
      <c r="AT229" s="75"/>
      <c r="AU229" s="75"/>
      <c r="AV229" s="75"/>
      <c r="AW229" s="75"/>
      <c r="AX229" s="75"/>
      <c r="AY229" s="75"/>
      <c r="AZ229" s="75"/>
      <c r="BA229" s="75"/>
      <c r="BB229" s="75"/>
      <c r="BC229" s="75"/>
      <c r="BD229" s="76"/>
    </row>
    <row r="230" spans="1:79" ht="32.1" customHeight="1" x14ac:dyDescent="0.2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 t="s">
        <v>4</v>
      </c>
      <c r="AB230" s="39"/>
      <c r="AC230" s="39"/>
      <c r="AD230" s="39"/>
      <c r="AE230" s="39"/>
      <c r="AF230" s="39" t="s">
        <v>3</v>
      </c>
      <c r="AG230" s="39"/>
      <c r="AH230" s="39"/>
      <c r="AI230" s="39"/>
      <c r="AJ230" s="39"/>
      <c r="AK230" s="39" t="s">
        <v>89</v>
      </c>
      <c r="AL230" s="39"/>
      <c r="AM230" s="39"/>
      <c r="AN230" s="39"/>
      <c r="AO230" s="39"/>
      <c r="AP230" s="39" t="s">
        <v>4</v>
      </c>
      <c r="AQ230" s="39"/>
      <c r="AR230" s="39"/>
      <c r="AS230" s="39"/>
      <c r="AT230" s="39"/>
      <c r="AU230" s="39" t="s">
        <v>3</v>
      </c>
      <c r="AV230" s="39"/>
      <c r="AW230" s="39"/>
      <c r="AX230" s="39"/>
      <c r="AY230" s="39"/>
      <c r="AZ230" s="39" t="s">
        <v>96</v>
      </c>
      <c r="BA230" s="39"/>
      <c r="BB230" s="39"/>
      <c r="BC230" s="39"/>
      <c r="BD230" s="39"/>
    </row>
    <row r="231" spans="1:79" ht="15" customHeight="1" x14ac:dyDescent="0.2">
      <c r="A231" s="39">
        <v>1</v>
      </c>
      <c r="B231" s="39"/>
      <c r="C231" s="39"/>
      <c r="D231" s="39"/>
      <c r="E231" s="39"/>
      <c r="F231" s="39"/>
      <c r="G231" s="39">
        <v>2</v>
      </c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>
        <v>3</v>
      </c>
      <c r="U231" s="39"/>
      <c r="V231" s="39"/>
      <c r="W231" s="39"/>
      <c r="X231" s="39"/>
      <c r="Y231" s="39"/>
      <c r="Z231" s="39"/>
      <c r="AA231" s="39">
        <v>4</v>
      </c>
      <c r="AB231" s="39"/>
      <c r="AC231" s="39"/>
      <c r="AD231" s="39"/>
      <c r="AE231" s="39"/>
      <c r="AF231" s="39">
        <v>5</v>
      </c>
      <c r="AG231" s="39"/>
      <c r="AH231" s="39"/>
      <c r="AI231" s="39"/>
      <c r="AJ231" s="39"/>
      <c r="AK231" s="39">
        <v>6</v>
      </c>
      <c r="AL231" s="39"/>
      <c r="AM231" s="39"/>
      <c r="AN231" s="39"/>
      <c r="AO231" s="39"/>
      <c r="AP231" s="39">
        <v>7</v>
      </c>
      <c r="AQ231" s="39"/>
      <c r="AR231" s="39"/>
      <c r="AS231" s="39"/>
      <c r="AT231" s="39"/>
      <c r="AU231" s="39">
        <v>8</v>
      </c>
      <c r="AV231" s="39"/>
      <c r="AW231" s="39"/>
      <c r="AX231" s="39"/>
      <c r="AY231" s="39"/>
      <c r="AZ231" s="39">
        <v>9</v>
      </c>
      <c r="BA231" s="39"/>
      <c r="BB231" s="39"/>
      <c r="BC231" s="39"/>
      <c r="BD231" s="39"/>
    </row>
    <row r="232" spans="1:79" s="1" customFormat="1" ht="12" hidden="1" customHeight="1" x14ac:dyDescent="0.2">
      <c r="A232" s="66" t="s">
        <v>69</v>
      </c>
      <c r="B232" s="66"/>
      <c r="C232" s="66"/>
      <c r="D232" s="66"/>
      <c r="E232" s="66"/>
      <c r="F232" s="66"/>
      <c r="G232" s="65" t="s">
        <v>57</v>
      </c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 t="s">
        <v>79</v>
      </c>
      <c r="U232" s="65"/>
      <c r="V232" s="65"/>
      <c r="W232" s="65"/>
      <c r="X232" s="65"/>
      <c r="Y232" s="65"/>
      <c r="Z232" s="65"/>
      <c r="AA232" s="64" t="s">
        <v>60</v>
      </c>
      <c r="AB232" s="64"/>
      <c r="AC232" s="64"/>
      <c r="AD232" s="64"/>
      <c r="AE232" s="64"/>
      <c r="AF232" s="64" t="s">
        <v>61</v>
      </c>
      <c r="AG232" s="64"/>
      <c r="AH232" s="64"/>
      <c r="AI232" s="64"/>
      <c r="AJ232" s="64"/>
      <c r="AK232" s="84" t="s">
        <v>122</v>
      </c>
      <c r="AL232" s="84"/>
      <c r="AM232" s="84"/>
      <c r="AN232" s="84"/>
      <c r="AO232" s="84"/>
      <c r="AP232" s="64" t="s">
        <v>62</v>
      </c>
      <c r="AQ232" s="64"/>
      <c r="AR232" s="64"/>
      <c r="AS232" s="64"/>
      <c r="AT232" s="64"/>
      <c r="AU232" s="64" t="s">
        <v>63</v>
      </c>
      <c r="AV232" s="64"/>
      <c r="AW232" s="64"/>
      <c r="AX232" s="64"/>
      <c r="AY232" s="64"/>
      <c r="AZ232" s="84" t="s">
        <v>122</v>
      </c>
      <c r="BA232" s="84"/>
      <c r="BB232" s="84"/>
      <c r="BC232" s="84"/>
      <c r="BD232" s="84"/>
      <c r="CA232" s="1" t="s">
        <v>46</v>
      </c>
    </row>
    <row r="233" spans="1:79" s="4" customFormat="1" ht="76.5" customHeight="1" x14ac:dyDescent="0.2">
      <c r="A233" s="26">
        <v>1</v>
      </c>
      <c r="B233" s="26"/>
      <c r="C233" s="26"/>
      <c r="D233" s="26"/>
      <c r="E233" s="26"/>
      <c r="F233" s="26"/>
      <c r="G233" s="27" t="s">
        <v>236</v>
      </c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9"/>
      <c r="T233" s="85" t="s">
        <v>237</v>
      </c>
      <c r="U233" s="28"/>
      <c r="V233" s="28"/>
      <c r="W233" s="28"/>
      <c r="X233" s="28"/>
      <c r="Y233" s="28"/>
      <c r="Z233" s="29"/>
      <c r="AA233" s="30">
        <v>5337950</v>
      </c>
      <c r="AB233" s="30"/>
      <c r="AC233" s="30"/>
      <c r="AD233" s="30"/>
      <c r="AE233" s="30"/>
      <c r="AF233" s="30">
        <v>0</v>
      </c>
      <c r="AG233" s="30"/>
      <c r="AH233" s="30"/>
      <c r="AI233" s="30"/>
      <c r="AJ233" s="30"/>
      <c r="AK233" s="30">
        <f>IF(ISNUMBER(AA233),AA233,0)+IF(ISNUMBER(AF233),AF233,0)</f>
        <v>5337950</v>
      </c>
      <c r="AL233" s="30"/>
      <c r="AM233" s="30"/>
      <c r="AN233" s="30"/>
      <c r="AO233" s="30"/>
      <c r="AP233" s="30">
        <v>5764986</v>
      </c>
      <c r="AQ233" s="30"/>
      <c r="AR233" s="30"/>
      <c r="AS233" s="30"/>
      <c r="AT233" s="30"/>
      <c r="AU233" s="30">
        <v>0</v>
      </c>
      <c r="AV233" s="30"/>
      <c r="AW233" s="30"/>
      <c r="AX233" s="30"/>
      <c r="AY233" s="30"/>
      <c r="AZ233" s="30">
        <f>IF(ISNUMBER(AP233),AP233,0)+IF(ISNUMBER(AU233),AU233,0)</f>
        <v>5764986</v>
      </c>
      <c r="BA233" s="30"/>
      <c r="BB233" s="30"/>
      <c r="BC233" s="30"/>
      <c r="BD233" s="30"/>
      <c r="CA233" s="4" t="s">
        <v>47</v>
      </c>
    </row>
    <row r="234" spans="1:79" s="5" customFormat="1" x14ac:dyDescent="0.2">
      <c r="A234" s="22"/>
      <c r="B234" s="22"/>
      <c r="C234" s="22"/>
      <c r="D234" s="22"/>
      <c r="E234" s="22"/>
      <c r="F234" s="22"/>
      <c r="G234" s="23" t="s">
        <v>147</v>
      </c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5"/>
      <c r="T234" s="31"/>
      <c r="U234" s="24"/>
      <c r="V234" s="24"/>
      <c r="W234" s="24"/>
      <c r="X234" s="24"/>
      <c r="Y234" s="24"/>
      <c r="Z234" s="25"/>
      <c r="AA234" s="20">
        <v>5337950</v>
      </c>
      <c r="AB234" s="20"/>
      <c r="AC234" s="20"/>
      <c r="AD234" s="20"/>
      <c r="AE234" s="20"/>
      <c r="AF234" s="20">
        <v>0</v>
      </c>
      <c r="AG234" s="20"/>
      <c r="AH234" s="20"/>
      <c r="AI234" s="20"/>
      <c r="AJ234" s="20"/>
      <c r="AK234" s="20">
        <f>IF(ISNUMBER(AA234),AA234,0)+IF(ISNUMBER(AF234),AF234,0)</f>
        <v>5337950</v>
      </c>
      <c r="AL234" s="20"/>
      <c r="AM234" s="20"/>
      <c r="AN234" s="20"/>
      <c r="AO234" s="20"/>
      <c r="AP234" s="20">
        <v>5764986</v>
      </c>
      <c r="AQ234" s="20"/>
      <c r="AR234" s="20"/>
      <c r="AS234" s="20"/>
      <c r="AT234" s="20"/>
      <c r="AU234" s="20">
        <v>0</v>
      </c>
      <c r="AV234" s="20"/>
      <c r="AW234" s="20"/>
      <c r="AX234" s="20"/>
      <c r="AY234" s="20"/>
      <c r="AZ234" s="20">
        <f>IF(ISNUMBER(AP234),AP234,0)+IF(ISNUMBER(AU234),AU234,0)</f>
        <v>5764986</v>
      </c>
      <c r="BA234" s="20"/>
      <c r="BB234" s="20"/>
      <c r="BC234" s="20"/>
      <c r="BD234" s="20"/>
    </row>
    <row r="236" spans="1:79" ht="14.25" customHeight="1" x14ac:dyDescent="0.2">
      <c r="A236" s="62" t="s">
        <v>281</v>
      </c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  <c r="AM236" s="62"/>
      <c r="AN236" s="62"/>
      <c r="AO236" s="62"/>
      <c r="AP236" s="62"/>
      <c r="AQ236" s="62"/>
      <c r="AR236" s="62"/>
      <c r="AS236" s="62"/>
      <c r="AT236" s="62"/>
      <c r="AU236" s="62"/>
      <c r="AV236" s="62"/>
      <c r="AW236" s="62"/>
      <c r="AX236" s="62"/>
      <c r="AY236" s="62"/>
      <c r="AZ236" s="62"/>
      <c r="BA236" s="62"/>
      <c r="BB236" s="62"/>
      <c r="BC236" s="62"/>
      <c r="BD236" s="62"/>
      <c r="BE236" s="62"/>
      <c r="BF236" s="62"/>
      <c r="BG236" s="62"/>
      <c r="BH236" s="62"/>
      <c r="BI236" s="62"/>
      <c r="BJ236" s="62"/>
      <c r="BK236" s="62"/>
      <c r="BL236" s="62"/>
    </row>
    <row r="237" spans="1:79" ht="15" customHeight="1" x14ac:dyDescent="0.2">
      <c r="A237" s="77" t="s">
        <v>247</v>
      </c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67"/>
      <c r="AB237" s="67"/>
      <c r="AC237" s="67"/>
      <c r="AD237" s="67"/>
      <c r="AE237" s="67"/>
      <c r="AF237" s="67"/>
      <c r="AG237" s="67"/>
      <c r="AH237" s="67"/>
      <c r="AI237" s="67"/>
      <c r="AJ237" s="67"/>
      <c r="AK237" s="67"/>
      <c r="AL237" s="67"/>
      <c r="AM237" s="67"/>
      <c r="AN237" s="67"/>
      <c r="AO237" s="67"/>
      <c r="AP237" s="67"/>
      <c r="AQ237" s="67"/>
      <c r="AR237" s="67"/>
      <c r="AS237" s="67"/>
      <c r="AT237" s="67"/>
      <c r="AU237" s="67"/>
      <c r="AV237" s="67"/>
      <c r="AW237" s="67"/>
      <c r="AX237" s="67"/>
      <c r="AY237" s="67"/>
      <c r="AZ237" s="67"/>
      <c r="BA237" s="67"/>
      <c r="BB237" s="67"/>
      <c r="BC237" s="67"/>
      <c r="BD237" s="67"/>
      <c r="BE237" s="67"/>
      <c r="BF237" s="67"/>
      <c r="BG237" s="67"/>
      <c r="BH237" s="67"/>
      <c r="BI237" s="67"/>
      <c r="BJ237" s="67"/>
      <c r="BK237" s="67"/>
      <c r="BL237" s="67"/>
      <c r="BM237" s="67"/>
    </row>
    <row r="238" spans="1:79" ht="23.1" customHeight="1" x14ac:dyDescent="0.2">
      <c r="A238" s="39" t="s">
        <v>128</v>
      </c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78" t="s">
        <v>129</v>
      </c>
      <c r="O238" s="79"/>
      <c r="P238" s="79"/>
      <c r="Q238" s="79"/>
      <c r="R238" s="79"/>
      <c r="S238" s="79"/>
      <c r="T238" s="79"/>
      <c r="U238" s="80"/>
      <c r="V238" s="78" t="s">
        <v>130</v>
      </c>
      <c r="W238" s="79"/>
      <c r="X238" s="79"/>
      <c r="Y238" s="79"/>
      <c r="Z238" s="80"/>
      <c r="AA238" s="39" t="s">
        <v>248</v>
      </c>
      <c r="AB238" s="39"/>
      <c r="AC238" s="39"/>
      <c r="AD238" s="39"/>
      <c r="AE238" s="39"/>
      <c r="AF238" s="39"/>
      <c r="AG238" s="39"/>
      <c r="AH238" s="39"/>
      <c r="AI238" s="39"/>
      <c r="AJ238" s="39" t="s">
        <v>251</v>
      </c>
      <c r="AK238" s="39"/>
      <c r="AL238" s="39"/>
      <c r="AM238" s="39"/>
      <c r="AN238" s="39"/>
      <c r="AO238" s="39"/>
      <c r="AP238" s="39"/>
      <c r="AQ238" s="39"/>
      <c r="AR238" s="39"/>
      <c r="AS238" s="39" t="s">
        <v>259</v>
      </c>
      <c r="AT238" s="39"/>
      <c r="AU238" s="39"/>
      <c r="AV238" s="39"/>
      <c r="AW238" s="39"/>
      <c r="AX238" s="39"/>
      <c r="AY238" s="39"/>
      <c r="AZ238" s="39"/>
      <c r="BA238" s="39"/>
      <c r="BB238" s="39" t="s">
        <v>269</v>
      </c>
      <c r="BC238" s="39"/>
      <c r="BD238" s="39"/>
      <c r="BE238" s="39"/>
      <c r="BF238" s="39"/>
      <c r="BG238" s="39"/>
      <c r="BH238" s="39"/>
      <c r="BI238" s="39"/>
      <c r="BJ238" s="39"/>
      <c r="BK238" s="39" t="s">
        <v>274</v>
      </c>
      <c r="BL238" s="39"/>
      <c r="BM238" s="39"/>
      <c r="BN238" s="39"/>
      <c r="BO238" s="39"/>
      <c r="BP238" s="39"/>
      <c r="BQ238" s="39"/>
      <c r="BR238" s="39"/>
      <c r="BS238" s="39"/>
    </row>
    <row r="239" spans="1:79" ht="95.25" customHeight="1" x14ac:dyDescent="0.2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81"/>
      <c r="O239" s="82"/>
      <c r="P239" s="82"/>
      <c r="Q239" s="82"/>
      <c r="R239" s="82"/>
      <c r="S239" s="82"/>
      <c r="T239" s="82"/>
      <c r="U239" s="83"/>
      <c r="V239" s="81"/>
      <c r="W239" s="82"/>
      <c r="X239" s="82"/>
      <c r="Y239" s="82"/>
      <c r="Z239" s="83"/>
      <c r="AA239" s="68" t="s">
        <v>133</v>
      </c>
      <c r="AB239" s="68"/>
      <c r="AC239" s="68"/>
      <c r="AD239" s="68"/>
      <c r="AE239" s="68"/>
      <c r="AF239" s="68" t="s">
        <v>134</v>
      </c>
      <c r="AG239" s="68"/>
      <c r="AH239" s="68"/>
      <c r="AI239" s="68"/>
      <c r="AJ239" s="68" t="s">
        <v>133</v>
      </c>
      <c r="AK239" s="68"/>
      <c r="AL239" s="68"/>
      <c r="AM239" s="68"/>
      <c r="AN239" s="68"/>
      <c r="AO239" s="68" t="s">
        <v>134</v>
      </c>
      <c r="AP239" s="68"/>
      <c r="AQ239" s="68"/>
      <c r="AR239" s="68"/>
      <c r="AS239" s="68" t="s">
        <v>133</v>
      </c>
      <c r="AT239" s="68"/>
      <c r="AU239" s="68"/>
      <c r="AV239" s="68"/>
      <c r="AW239" s="68"/>
      <c r="AX239" s="68" t="s">
        <v>134</v>
      </c>
      <c r="AY239" s="68"/>
      <c r="AZ239" s="68"/>
      <c r="BA239" s="68"/>
      <c r="BB239" s="68" t="s">
        <v>133</v>
      </c>
      <c r="BC239" s="68"/>
      <c r="BD239" s="68"/>
      <c r="BE239" s="68"/>
      <c r="BF239" s="68"/>
      <c r="BG239" s="68" t="s">
        <v>134</v>
      </c>
      <c r="BH239" s="68"/>
      <c r="BI239" s="68"/>
      <c r="BJ239" s="68"/>
      <c r="BK239" s="68" t="s">
        <v>133</v>
      </c>
      <c r="BL239" s="68"/>
      <c r="BM239" s="68"/>
      <c r="BN239" s="68"/>
      <c r="BO239" s="68"/>
      <c r="BP239" s="68" t="s">
        <v>134</v>
      </c>
      <c r="BQ239" s="68"/>
      <c r="BR239" s="68"/>
      <c r="BS239" s="68"/>
    </row>
    <row r="240" spans="1:79" ht="15" customHeight="1" x14ac:dyDescent="0.2">
      <c r="A240" s="39">
        <v>1</v>
      </c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74">
        <v>2</v>
      </c>
      <c r="O240" s="75"/>
      <c r="P240" s="75"/>
      <c r="Q240" s="75"/>
      <c r="R240" s="75"/>
      <c r="S240" s="75"/>
      <c r="T240" s="75"/>
      <c r="U240" s="76"/>
      <c r="V240" s="39">
        <v>3</v>
      </c>
      <c r="W240" s="39"/>
      <c r="X240" s="39"/>
      <c r="Y240" s="39"/>
      <c r="Z240" s="39"/>
      <c r="AA240" s="39">
        <v>4</v>
      </c>
      <c r="AB240" s="39"/>
      <c r="AC240" s="39"/>
      <c r="AD240" s="39"/>
      <c r="AE240" s="39"/>
      <c r="AF240" s="39">
        <v>5</v>
      </c>
      <c r="AG240" s="39"/>
      <c r="AH240" s="39"/>
      <c r="AI240" s="39"/>
      <c r="AJ240" s="39">
        <v>6</v>
      </c>
      <c r="AK240" s="39"/>
      <c r="AL240" s="39"/>
      <c r="AM240" s="39"/>
      <c r="AN240" s="39"/>
      <c r="AO240" s="39">
        <v>7</v>
      </c>
      <c r="AP240" s="39"/>
      <c r="AQ240" s="39"/>
      <c r="AR240" s="39"/>
      <c r="AS240" s="39">
        <v>8</v>
      </c>
      <c r="AT240" s="39"/>
      <c r="AU240" s="39"/>
      <c r="AV240" s="39"/>
      <c r="AW240" s="39"/>
      <c r="AX240" s="39">
        <v>9</v>
      </c>
      <c r="AY240" s="39"/>
      <c r="AZ240" s="39"/>
      <c r="BA240" s="39"/>
      <c r="BB240" s="39">
        <v>10</v>
      </c>
      <c r="BC240" s="39"/>
      <c r="BD240" s="39"/>
      <c r="BE240" s="39"/>
      <c r="BF240" s="39"/>
      <c r="BG240" s="39">
        <v>11</v>
      </c>
      <c r="BH240" s="39"/>
      <c r="BI240" s="39"/>
      <c r="BJ240" s="39"/>
      <c r="BK240" s="39">
        <v>12</v>
      </c>
      <c r="BL240" s="39"/>
      <c r="BM240" s="39"/>
      <c r="BN240" s="39"/>
      <c r="BO240" s="39"/>
      <c r="BP240" s="39">
        <v>13</v>
      </c>
      <c r="BQ240" s="39"/>
      <c r="BR240" s="39"/>
      <c r="BS240" s="39"/>
    </row>
    <row r="241" spans="1:79" s="1" customFormat="1" ht="12" hidden="1" customHeight="1" x14ac:dyDescent="0.2">
      <c r="A241" s="65" t="s">
        <v>146</v>
      </c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6" t="s">
        <v>131</v>
      </c>
      <c r="O241" s="66"/>
      <c r="P241" s="66"/>
      <c r="Q241" s="66"/>
      <c r="R241" s="66"/>
      <c r="S241" s="66"/>
      <c r="T241" s="66"/>
      <c r="U241" s="66"/>
      <c r="V241" s="66" t="s">
        <v>132</v>
      </c>
      <c r="W241" s="66"/>
      <c r="X241" s="66"/>
      <c r="Y241" s="66"/>
      <c r="Z241" s="66"/>
      <c r="AA241" s="64" t="s">
        <v>65</v>
      </c>
      <c r="AB241" s="64"/>
      <c r="AC241" s="64"/>
      <c r="AD241" s="64"/>
      <c r="AE241" s="64"/>
      <c r="AF241" s="64" t="s">
        <v>66</v>
      </c>
      <c r="AG241" s="64"/>
      <c r="AH241" s="64"/>
      <c r="AI241" s="64"/>
      <c r="AJ241" s="64" t="s">
        <v>67</v>
      </c>
      <c r="AK241" s="64"/>
      <c r="AL241" s="64"/>
      <c r="AM241" s="64"/>
      <c r="AN241" s="64"/>
      <c r="AO241" s="64" t="s">
        <v>68</v>
      </c>
      <c r="AP241" s="64"/>
      <c r="AQ241" s="64"/>
      <c r="AR241" s="64"/>
      <c r="AS241" s="64" t="s">
        <v>58</v>
      </c>
      <c r="AT241" s="64"/>
      <c r="AU241" s="64"/>
      <c r="AV241" s="64"/>
      <c r="AW241" s="64"/>
      <c r="AX241" s="64" t="s">
        <v>59</v>
      </c>
      <c r="AY241" s="64"/>
      <c r="AZ241" s="64"/>
      <c r="BA241" s="64"/>
      <c r="BB241" s="64" t="s">
        <v>60</v>
      </c>
      <c r="BC241" s="64"/>
      <c r="BD241" s="64"/>
      <c r="BE241" s="64"/>
      <c r="BF241" s="64"/>
      <c r="BG241" s="64" t="s">
        <v>61</v>
      </c>
      <c r="BH241" s="64"/>
      <c r="BI241" s="64"/>
      <c r="BJ241" s="64"/>
      <c r="BK241" s="64" t="s">
        <v>62</v>
      </c>
      <c r="BL241" s="64"/>
      <c r="BM241" s="64"/>
      <c r="BN241" s="64"/>
      <c r="BO241" s="64"/>
      <c r="BP241" s="64" t="s">
        <v>63</v>
      </c>
      <c r="BQ241" s="64"/>
      <c r="BR241" s="64"/>
      <c r="BS241" s="64"/>
      <c r="CA241" s="1" t="s">
        <v>48</v>
      </c>
    </row>
    <row r="242" spans="1:79" s="5" customFormat="1" ht="12.75" customHeight="1" x14ac:dyDescent="0.2">
      <c r="A242" s="21" t="s">
        <v>147</v>
      </c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36"/>
      <c r="O242" s="37"/>
      <c r="P242" s="37"/>
      <c r="Q242" s="37"/>
      <c r="R242" s="37"/>
      <c r="S242" s="37"/>
      <c r="T242" s="37"/>
      <c r="U242" s="50"/>
      <c r="V242" s="73"/>
      <c r="W242" s="73"/>
      <c r="X242" s="73"/>
      <c r="Y242" s="73"/>
      <c r="Z242" s="73"/>
      <c r="AA242" s="73"/>
      <c r="AB242" s="73"/>
      <c r="AC242" s="73"/>
      <c r="AD242" s="73"/>
      <c r="AE242" s="73"/>
      <c r="AF242" s="73"/>
      <c r="AG242" s="73"/>
      <c r="AH242" s="73"/>
      <c r="AI242" s="73"/>
      <c r="AJ242" s="73"/>
      <c r="AK242" s="73"/>
      <c r="AL242" s="73"/>
      <c r="AM242" s="73"/>
      <c r="AN242" s="73"/>
      <c r="AO242" s="73"/>
      <c r="AP242" s="73"/>
      <c r="AQ242" s="73"/>
      <c r="AR242" s="73"/>
      <c r="AS242" s="73"/>
      <c r="AT242" s="73"/>
      <c r="AU242" s="73"/>
      <c r="AV242" s="73"/>
      <c r="AW242" s="73"/>
      <c r="AX242" s="73"/>
      <c r="AY242" s="73"/>
      <c r="AZ242" s="73"/>
      <c r="BA242" s="73"/>
      <c r="BB242" s="73"/>
      <c r="BC242" s="73"/>
      <c r="BD242" s="73"/>
      <c r="BE242" s="73"/>
      <c r="BF242" s="73"/>
      <c r="BG242" s="73"/>
      <c r="BH242" s="73"/>
      <c r="BI242" s="73"/>
      <c r="BJ242" s="73"/>
      <c r="BK242" s="73"/>
      <c r="BL242" s="73"/>
      <c r="BM242" s="73"/>
      <c r="BN242" s="73"/>
      <c r="BO242" s="73"/>
      <c r="BP242" s="69"/>
      <c r="BQ242" s="70"/>
      <c r="BR242" s="70"/>
      <c r="BS242" s="71"/>
      <c r="CA242" s="5" t="s">
        <v>49</v>
      </c>
    </row>
    <row r="244" spans="1:79" ht="35.25" customHeight="1" x14ac:dyDescent="0.2">
      <c r="A244" s="62" t="s">
        <v>282</v>
      </c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</row>
    <row r="245" spans="1:79" ht="135" customHeight="1" x14ac:dyDescent="0.2">
      <c r="A245" s="63" t="s">
        <v>241</v>
      </c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3"/>
      <c r="BD245" s="53"/>
      <c r="BE245" s="53"/>
      <c r="BF245" s="53"/>
      <c r="BG245" s="53"/>
      <c r="BH245" s="53"/>
      <c r="BI245" s="53"/>
      <c r="BJ245" s="53"/>
      <c r="BK245" s="53"/>
      <c r="BL245" s="53"/>
    </row>
    <row r="247" spans="1:79" ht="28.5" customHeight="1" x14ac:dyDescent="0.2">
      <c r="A247" s="72" t="s">
        <v>266</v>
      </c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  <c r="AQ247" s="72"/>
      <c r="AR247" s="72"/>
      <c r="AS247" s="72"/>
      <c r="AT247" s="72"/>
      <c r="AU247" s="72"/>
      <c r="AV247" s="72"/>
      <c r="AW247" s="72"/>
      <c r="AX247" s="72"/>
      <c r="AY247" s="72"/>
      <c r="AZ247" s="72"/>
      <c r="BA247" s="72"/>
      <c r="BB247" s="72"/>
      <c r="BC247" s="72"/>
      <c r="BD247" s="72"/>
      <c r="BE247" s="72"/>
      <c r="BF247" s="72"/>
      <c r="BG247" s="72"/>
      <c r="BH247" s="72"/>
      <c r="BI247" s="72"/>
      <c r="BJ247" s="72"/>
      <c r="BK247" s="72"/>
      <c r="BL247" s="72"/>
    </row>
    <row r="248" spans="1:79" ht="14.25" customHeight="1" x14ac:dyDescent="0.2">
      <c r="A248" s="62" t="s">
        <v>249</v>
      </c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  <c r="AN248" s="62"/>
      <c r="AO248" s="62"/>
      <c r="AP248" s="62"/>
      <c r="AQ248" s="62"/>
      <c r="AR248" s="62"/>
      <c r="AS248" s="62"/>
      <c r="AT248" s="62"/>
      <c r="AU248" s="62"/>
      <c r="AV248" s="62"/>
      <c r="AW248" s="62"/>
      <c r="AX248" s="62"/>
      <c r="AY248" s="62"/>
      <c r="AZ248" s="62"/>
      <c r="BA248" s="62"/>
      <c r="BB248" s="62"/>
      <c r="BC248" s="62"/>
      <c r="BD248" s="62"/>
      <c r="BE248" s="62"/>
      <c r="BF248" s="62"/>
      <c r="BG248" s="62"/>
      <c r="BH248" s="62"/>
      <c r="BI248" s="62"/>
      <c r="BJ248" s="62"/>
      <c r="BK248" s="62"/>
      <c r="BL248" s="62"/>
    </row>
    <row r="249" spans="1:79" ht="15" customHeight="1" x14ac:dyDescent="0.2">
      <c r="A249" s="67" t="s">
        <v>247</v>
      </c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67"/>
      <c r="AD249" s="67"/>
      <c r="AE249" s="67"/>
      <c r="AF249" s="67"/>
      <c r="AG249" s="67"/>
      <c r="AH249" s="67"/>
      <c r="AI249" s="67"/>
      <c r="AJ249" s="67"/>
      <c r="AK249" s="67"/>
      <c r="AL249" s="67"/>
      <c r="AM249" s="67"/>
      <c r="AN249" s="67"/>
      <c r="AO249" s="67"/>
      <c r="AP249" s="67"/>
      <c r="AQ249" s="67"/>
      <c r="AR249" s="67"/>
      <c r="AS249" s="67"/>
      <c r="AT249" s="67"/>
      <c r="AU249" s="67"/>
      <c r="AV249" s="67"/>
      <c r="AW249" s="67"/>
      <c r="AX249" s="67"/>
      <c r="AY249" s="67"/>
      <c r="AZ249" s="67"/>
      <c r="BA249" s="67"/>
      <c r="BB249" s="67"/>
      <c r="BC249" s="67"/>
      <c r="BD249" s="67"/>
      <c r="BE249" s="67"/>
      <c r="BF249" s="67"/>
      <c r="BG249" s="67"/>
      <c r="BH249" s="67"/>
      <c r="BI249" s="67"/>
      <c r="BJ249" s="67"/>
      <c r="BK249" s="67"/>
      <c r="BL249" s="67"/>
    </row>
    <row r="250" spans="1:79" ht="42.95" customHeight="1" x14ac:dyDescent="0.2">
      <c r="A250" s="68" t="s">
        <v>135</v>
      </c>
      <c r="B250" s="68"/>
      <c r="C250" s="68"/>
      <c r="D250" s="68"/>
      <c r="E250" s="68"/>
      <c r="F250" s="68"/>
      <c r="G250" s="39" t="s">
        <v>19</v>
      </c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 t="s">
        <v>15</v>
      </c>
      <c r="U250" s="39"/>
      <c r="V250" s="39"/>
      <c r="W250" s="39"/>
      <c r="X250" s="39"/>
      <c r="Y250" s="39"/>
      <c r="Z250" s="39" t="s">
        <v>14</v>
      </c>
      <c r="AA250" s="39"/>
      <c r="AB250" s="39"/>
      <c r="AC250" s="39"/>
      <c r="AD250" s="39"/>
      <c r="AE250" s="39" t="s">
        <v>136</v>
      </c>
      <c r="AF250" s="39"/>
      <c r="AG250" s="39"/>
      <c r="AH250" s="39"/>
      <c r="AI250" s="39"/>
      <c r="AJ250" s="39"/>
      <c r="AK250" s="39" t="s">
        <v>137</v>
      </c>
      <c r="AL250" s="39"/>
      <c r="AM250" s="39"/>
      <c r="AN250" s="39"/>
      <c r="AO250" s="39"/>
      <c r="AP250" s="39"/>
      <c r="AQ250" s="39" t="s">
        <v>138</v>
      </c>
      <c r="AR250" s="39"/>
      <c r="AS250" s="39"/>
      <c r="AT250" s="39"/>
      <c r="AU250" s="39"/>
      <c r="AV250" s="39"/>
      <c r="AW250" s="39" t="s">
        <v>98</v>
      </c>
      <c r="AX250" s="39"/>
      <c r="AY250" s="39"/>
      <c r="AZ250" s="39"/>
      <c r="BA250" s="39"/>
      <c r="BB250" s="39"/>
      <c r="BC250" s="39"/>
      <c r="BD250" s="39"/>
      <c r="BE250" s="39"/>
      <c r="BF250" s="39"/>
      <c r="BG250" s="39" t="s">
        <v>139</v>
      </c>
      <c r="BH250" s="39"/>
      <c r="BI250" s="39"/>
      <c r="BJ250" s="39"/>
      <c r="BK250" s="39"/>
      <c r="BL250" s="39"/>
    </row>
    <row r="251" spans="1:79" ht="39.950000000000003" customHeight="1" x14ac:dyDescent="0.2">
      <c r="A251" s="68"/>
      <c r="B251" s="68"/>
      <c r="C251" s="68"/>
      <c r="D251" s="68"/>
      <c r="E251" s="68"/>
      <c r="F251" s="68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9"/>
      <c r="AN251" s="39"/>
      <c r="AO251" s="39"/>
      <c r="AP251" s="39"/>
      <c r="AQ251" s="39"/>
      <c r="AR251" s="39"/>
      <c r="AS251" s="39"/>
      <c r="AT251" s="39"/>
      <c r="AU251" s="39"/>
      <c r="AV251" s="39"/>
      <c r="AW251" s="39" t="s">
        <v>17</v>
      </c>
      <c r="AX251" s="39"/>
      <c r="AY251" s="39"/>
      <c r="AZ251" s="39"/>
      <c r="BA251" s="39"/>
      <c r="BB251" s="39" t="s">
        <v>16</v>
      </c>
      <c r="BC251" s="39"/>
      <c r="BD251" s="39"/>
      <c r="BE251" s="39"/>
      <c r="BF251" s="39"/>
      <c r="BG251" s="39"/>
      <c r="BH251" s="39"/>
      <c r="BI251" s="39"/>
      <c r="BJ251" s="39"/>
      <c r="BK251" s="39"/>
      <c r="BL251" s="39"/>
    </row>
    <row r="252" spans="1:79" ht="15" customHeight="1" x14ac:dyDescent="0.2">
      <c r="A252" s="39">
        <v>1</v>
      </c>
      <c r="B252" s="39"/>
      <c r="C252" s="39"/>
      <c r="D252" s="39"/>
      <c r="E252" s="39"/>
      <c r="F252" s="39"/>
      <c r="G252" s="39">
        <v>2</v>
      </c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>
        <v>3</v>
      </c>
      <c r="U252" s="39"/>
      <c r="V252" s="39"/>
      <c r="W252" s="39"/>
      <c r="X252" s="39"/>
      <c r="Y252" s="39"/>
      <c r="Z252" s="39">
        <v>4</v>
      </c>
      <c r="AA252" s="39"/>
      <c r="AB252" s="39"/>
      <c r="AC252" s="39"/>
      <c r="AD252" s="39"/>
      <c r="AE252" s="39">
        <v>5</v>
      </c>
      <c r="AF252" s="39"/>
      <c r="AG252" s="39"/>
      <c r="AH252" s="39"/>
      <c r="AI252" s="39"/>
      <c r="AJ252" s="39"/>
      <c r="AK252" s="39">
        <v>6</v>
      </c>
      <c r="AL252" s="39"/>
      <c r="AM252" s="39"/>
      <c r="AN252" s="39"/>
      <c r="AO252" s="39"/>
      <c r="AP252" s="39"/>
      <c r="AQ252" s="39">
        <v>7</v>
      </c>
      <c r="AR252" s="39"/>
      <c r="AS252" s="39"/>
      <c r="AT252" s="39"/>
      <c r="AU252" s="39"/>
      <c r="AV252" s="39"/>
      <c r="AW252" s="39">
        <v>8</v>
      </c>
      <c r="AX252" s="39"/>
      <c r="AY252" s="39"/>
      <c r="AZ252" s="39"/>
      <c r="BA252" s="39"/>
      <c r="BB252" s="39">
        <v>9</v>
      </c>
      <c r="BC252" s="39"/>
      <c r="BD252" s="39"/>
      <c r="BE252" s="39"/>
      <c r="BF252" s="39"/>
      <c r="BG252" s="39">
        <v>10</v>
      </c>
      <c r="BH252" s="39"/>
      <c r="BI252" s="39"/>
      <c r="BJ252" s="39"/>
      <c r="BK252" s="39"/>
      <c r="BL252" s="39"/>
    </row>
    <row r="253" spans="1:79" s="1" customFormat="1" ht="12" hidden="1" customHeight="1" x14ac:dyDescent="0.2">
      <c r="A253" s="66" t="s">
        <v>64</v>
      </c>
      <c r="B253" s="66"/>
      <c r="C253" s="66"/>
      <c r="D253" s="66"/>
      <c r="E253" s="66"/>
      <c r="F253" s="66"/>
      <c r="G253" s="65" t="s">
        <v>57</v>
      </c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4" t="s">
        <v>80</v>
      </c>
      <c r="U253" s="64"/>
      <c r="V253" s="64"/>
      <c r="W253" s="64"/>
      <c r="X253" s="64"/>
      <c r="Y253" s="64"/>
      <c r="Z253" s="64" t="s">
        <v>81</v>
      </c>
      <c r="AA253" s="64"/>
      <c r="AB253" s="64"/>
      <c r="AC253" s="64"/>
      <c r="AD253" s="64"/>
      <c r="AE253" s="64" t="s">
        <v>82</v>
      </c>
      <c r="AF253" s="64"/>
      <c r="AG253" s="64"/>
      <c r="AH253" s="64"/>
      <c r="AI253" s="64"/>
      <c r="AJ253" s="64"/>
      <c r="AK253" s="64" t="s">
        <v>83</v>
      </c>
      <c r="AL253" s="64"/>
      <c r="AM253" s="64"/>
      <c r="AN253" s="64"/>
      <c r="AO253" s="64"/>
      <c r="AP253" s="64"/>
      <c r="AQ253" s="66" t="s">
        <v>99</v>
      </c>
      <c r="AR253" s="64"/>
      <c r="AS253" s="64"/>
      <c r="AT253" s="64"/>
      <c r="AU253" s="64"/>
      <c r="AV253" s="64"/>
      <c r="AW253" s="64" t="s">
        <v>84</v>
      </c>
      <c r="AX253" s="64"/>
      <c r="AY253" s="64"/>
      <c r="AZ253" s="64"/>
      <c r="BA253" s="64"/>
      <c r="BB253" s="64" t="s">
        <v>85</v>
      </c>
      <c r="BC253" s="64"/>
      <c r="BD253" s="64"/>
      <c r="BE253" s="64"/>
      <c r="BF253" s="64"/>
      <c r="BG253" s="66" t="s">
        <v>100</v>
      </c>
      <c r="BH253" s="64"/>
      <c r="BI253" s="64"/>
      <c r="BJ253" s="64"/>
      <c r="BK253" s="64"/>
      <c r="BL253" s="64"/>
      <c r="CA253" s="1" t="s">
        <v>50</v>
      </c>
    </row>
    <row r="254" spans="1:79" s="4" customFormat="1" ht="38.25" customHeight="1" x14ac:dyDescent="0.2">
      <c r="A254" s="26">
        <v>2610</v>
      </c>
      <c r="B254" s="26"/>
      <c r="C254" s="26"/>
      <c r="D254" s="26"/>
      <c r="E254" s="26"/>
      <c r="F254" s="26"/>
      <c r="G254" s="27" t="s">
        <v>176</v>
      </c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9"/>
      <c r="T254" s="30">
        <v>3564705</v>
      </c>
      <c r="U254" s="30"/>
      <c r="V254" s="30"/>
      <c r="W254" s="30"/>
      <c r="X254" s="30"/>
      <c r="Y254" s="30"/>
      <c r="Z254" s="30">
        <v>3249017</v>
      </c>
      <c r="AA254" s="30"/>
      <c r="AB254" s="30"/>
      <c r="AC254" s="30"/>
      <c r="AD254" s="30"/>
      <c r="AE254" s="30">
        <v>0</v>
      </c>
      <c r="AF254" s="30"/>
      <c r="AG254" s="30"/>
      <c r="AH254" s="30"/>
      <c r="AI254" s="30"/>
      <c r="AJ254" s="30"/>
      <c r="AK254" s="30">
        <v>0</v>
      </c>
      <c r="AL254" s="30"/>
      <c r="AM254" s="30"/>
      <c r="AN254" s="30"/>
      <c r="AO254" s="30"/>
      <c r="AP254" s="30"/>
      <c r="AQ254" s="30">
        <f>IF(ISNUMBER(AK254),AK254,0)-IF(ISNUMBER(AE254),AE254,0)</f>
        <v>0</v>
      </c>
      <c r="AR254" s="30"/>
      <c r="AS254" s="30"/>
      <c r="AT254" s="30"/>
      <c r="AU254" s="30"/>
      <c r="AV254" s="30"/>
      <c r="AW254" s="30">
        <v>0</v>
      </c>
      <c r="AX254" s="30"/>
      <c r="AY254" s="30"/>
      <c r="AZ254" s="30"/>
      <c r="BA254" s="30"/>
      <c r="BB254" s="30">
        <v>0</v>
      </c>
      <c r="BC254" s="30"/>
      <c r="BD254" s="30"/>
      <c r="BE254" s="30"/>
      <c r="BF254" s="30"/>
      <c r="BG254" s="30">
        <f>IF(ISNUMBER(Z254),Z254,0)+IF(ISNUMBER(AK254),AK254,0)</f>
        <v>3249017</v>
      </c>
      <c r="BH254" s="30"/>
      <c r="BI254" s="30"/>
      <c r="BJ254" s="30"/>
      <c r="BK254" s="30"/>
      <c r="BL254" s="30"/>
      <c r="CA254" s="4" t="s">
        <v>51</v>
      </c>
    </row>
    <row r="255" spans="1:79" s="4" customFormat="1" ht="25.5" customHeight="1" x14ac:dyDescent="0.2">
      <c r="A255" s="26">
        <v>3210</v>
      </c>
      <c r="B255" s="26"/>
      <c r="C255" s="26"/>
      <c r="D255" s="26"/>
      <c r="E255" s="26"/>
      <c r="F255" s="26"/>
      <c r="G255" s="27" t="s">
        <v>177</v>
      </c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9"/>
      <c r="T255" s="30">
        <v>25000</v>
      </c>
      <c r="U255" s="30"/>
      <c r="V255" s="30"/>
      <c r="W255" s="30"/>
      <c r="X255" s="30"/>
      <c r="Y255" s="30"/>
      <c r="Z255" s="30">
        <v>23596</v>
      </c>
      <c r="AA255" s="30"/>
      <c r="AB255" s="30"/>
      <c r="AC255" s="30"/>
      <c r="AD255" s="30"/>
      <c r="AE255" s="30">
        <v>0</v>
      </c>
      <c r="AF255" s="30"/>
      <c r="AG255" s="30"/>
      <c r="AH255" s="30"/>
      <c r="AI255" s="30"/>
      <c r="AJ255" s="30"/>
      <c r="AK255" s="30">
        <v>0</v>
      </c>
      <c r="AL255" s="30"/>
      <c r="AM255" s="30"/>
      <c r="AN255" s="30"/>
      <c r="AO255" s="30"/>
      <c r="AP255" s="30"/>
      <c r="AQ255" s="30">
        <f>IF(ISNUMBER(AK255),AK255,0)-IF(ISNUMBER(AE255),AE255,0)</f>
        <v>0</v>
      </c>
      <c r="AR255" s="30"/>
      <c r="AS255" s="30"/>
      <c r="AT255" s="30"/>
      <c r="AU255" s="30"/>
      <c r="AV255" s="30"/>
      <c r="AW255" s="30">
        <v>0</v>
      </c>
      <c r="AX255" s="30"/>
      <c r="AY255" s="30"/>
      <c r="AZ255" s="30"/>
      <c r="BA255" s="30"/>
      <c r="BB255" s="30">
        <v>0</v>
      </c>
      <c r="BC255" s="30"/>
      <c r="BD255" s="30"/>
      <c r="BE255" s="30"/>
      <c r="BF255" s="30"/>
      <c r="BG255" s="30">
        <f>IF(ISNUMBER(Z255),Z255,0)+IF(ISNUMBER(AK255),AK255,0)</f>
        <v>23596</v>
      </c>
      <c r="BH255" s="30"/>
      <c r="BI255" s="30"/>
      <c r="BJ255" s="30"/>
      <c r="BK255" s="30"/>
      <c r="BL255" s="30"/>
    </row>
    <row r="256" spans="1:79" s="5" customFormat="1" ht="12.75" customHeight="1" x14ac:dyDescent="0.2">
      <c r="A256" s="22"/>
      <c r="B256" s="22"/>
      <c r="C256" s="22"/>
      <c r="D256" s="22"/>
      <c r="E256" s="22"/>
      <c r="F256" s="22"/>
      <c r="G256" s="23" t="s">
        <v>147</v>
      </c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5"/>
      <c r="T256" s="20">
        <v>3589705</v>
      </c>
      <c r="U256" s="20"/>
      <c r="V256" s="20"/>
      <c r="W256" s="20"/>
      <c r="X256" s="20"/>
      <c r="Y256" s="20"/>
      <c r="Z256" s="20">
        <v>3272613</v>
      </c>
      <c r="AA256" s="20"/>
      <c r="AB256" s="20"/>
      <c r="AC256" s="20"/>
      <c r="AD256" s="20"/>
      <c r="AE256" s="20">
        <v>0</v>
      </c>
      <c r="AF256" s="20"/>
      <c r="AG256" s="20"/>
      <c r="AH256" s="20"/>
      <c r="AI256" s="20"/>
      <c r="AJ256" s="20"/>
      <c r="AK256" s="20">
        <v>0</v>
      </c>
      <c r="AL256" s="20"/>
      <c r="AM256" s="20"/>
      <c r="AN256" s="20"/>
      <c r="AO256" s="20"/>
      <c r="AP256" s="20"/>
      <c r="AQ256" s="20">
        <f>IF(ISNUMBER(AK256),AK256,0)-IF(ISNUMBER(AE256),AE256,0)</f>
        <v>0</v>
      </c>
      <c r="AR256" s="20"/>
      <c r="AS256" s="20"/>
      <c r="AT256" s="20"/>
      <c r="AU256" s="20"/>
      <c r="AV256" s="20"/>
      <c r="AW256" s="20">
        <v>0</v>
      </c>
      <c r="AX256" s="20"/>
      <c r="AY256" s="20"/>
      <c r="AZ256" s="20"/>
      <c r="BA256" s="20"/>
      <c r="BB256" s="20">
        <v>0</v>
      </c>
      <c r="BC256" s="20"/>
      <c r="BD256" s="20"/>
      <c r="BE256" s="20"/>
      <c r="BF256" s="20"/>
      <c r="BG256" s="20">
        <f>IF(ISNUMBER(Z256),Z256,0)+IF(ISNUMBER(AK256),AK256,0)</f>
        <v>3272613</v>
      </c>
      <c r="BH256" s="20"/>
      <c r="BI256" s="20"/>
      <c r="BJ256" s="20"/>
      <c r="BK256" s="20"/>
      <c r="BL256" s="20"/>
    </row>
    <row r="258" spans="1:79" ht="14.25" customHeight="1" x14ac:dyDescent="0.2">
      <c r="A258" s="62" t="s">
        <v>267</v>
      </c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  <c r="AF258" s="62"/>
      <c r="AG258" s="62"/>
      <c r="AH258" s="62"/>
      <c r="AI258" s="62"/>
      <c r="AJ258" s="62"/>
      <c r="AK258" s="62"/>
      <c r="AL258" s="62"/>
      <c r="AM258" s="62"/>
      <c r="AN258" s="62"/>
      <c r="AO258" s="62"/>
      <c r="AP258" s="62"/>
      <c r="AQ258" s="62"/>
      <c r="AR258" s="62"/>
      <c r="AS258" s="62"/>
      <c r="AT258" s="62"/>
      <c r="AU258" s="62"/>
      <c r="AV258" s="62"/>
      <c r="AW258" s="62"/>
      <c r="AX258" s="62"/>
      <c r="AY258" s="62"/>
      <c r="AZ258" s="62"/>
      <c r="BA258" s="62"/>
      <c r="BB258" s="62"/>
      <c r="BC258" s="62"/>
      <c r="BD258" s="62"/>
      <c r="BE258" s="62"/>
      <c r="BF258" s="62"/>
      <c r="BG258" s="62"/>
      <c r="BH258" s="62"/>
      <c r="BI258" s="62"/>
      <c r="BJ258" s="62"/>
      <c r="BK258" s="62"/>
      <c r="BL258" s="62"/>
    </row>
    <row r="259" spans="1:79" ht="15" customHeight="1" x14ac:dyDescent="0.2">
      <c r="A259" s="67" t="s">
        <v>247</v>
      </c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67"/>
      <c r="AD259" s="67"/>
      <c r="AE259" s="67"/>
      <c r="AF259" s="67"/>
      <c r="AG259" s="67"/>
      <c r="AH259" s="67"/>
      <c r="AI259" s="67"/>
      <c r="AJ259" s="67"/>
      <c r="AK259" s="67"/>
      <c r="AL259" s="67"/>
      <c r="AM259" s="67"/>
      <c r="AN259" s="67"/>
      <c r="AO259" s="67"/>
      <c r="AP259" s="67"/>
      <c r="AQ259" s="67"/>
      <c r="AR259" s="67"/>
      <c r="AS259" s="67"/>
      <c r="AT259" s="67"/>
      <c r="AU259" s="67"/>
      <c r="AV259" s="67"/>
      <c r="AW259" s="67"/>
      <c r="AX259" s="67"/>
      <c r="AY259" s="67"/>
      <c r="AZ259" s="67"/>
      <c r="BA259" s="67"/>
      <c r="BB259" s="67"/>
      <c r="BC259" s="67"/>
      <c r="BD259" s="67"/>
      <c r="BE259" s="67"/>
      <c r="BF259" s="67"/>
      <c r="BG259" s="67"/>
      <c r="BH259" s="67"/>
      <c r="BI259" s="67"/>
      <c r="BJ259" s="67"/>
      <c r="BK259" s="67"/>
      <c r="BL259" s="67"/>
    </row>
    <row r="260" spans="1:79" ht="18" customHeight="1" x14ac:dyDescent="0.2">
      <c r="A260" s="39" t="s">
        <v>135</v>
      </c>
      <c r="B260" s="39"/>
      <c r="C260" s="39"/>
      <c r="D260" s="39"/>
      <c r="E260" s="39"/>
      <c r="F260" s="39"/>
      <c r="G260" s="39" t="s">
        <v>19</v>
      </c>
      <c r="H260" s="39"/>
      <c r="I260" s="39"/>
      <c r="J260" s="39"/>
      <c r="K260" s="39"/>
      <c r="L260" s="39"/>
      <c r="M260" s="39"/>
      <c r="N260" s="39"/>
      <c r="O260" s="39"/>
      <c r="P260" s="39"/>
      <c r="Q260" s="39" t="s">
        <v>253</v>
      </c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  <c r="AM260" s="39"/>
      <c r="AN260" s="39"/>
      <c r="AO260" s="39" t="s">
        <v>264</v>
      </c>
      <c r="AP260" s="39"/>
      <c r="AQ260" s="39"/>
      <c r="AR260" s="39"/>
      <c r="AS260" s="39"/>
      <c r="AT260" s="39"/>
      <c r="AU260" s="39"/>
      <c r="AV260" s="39"/>
      <c r="AW260" s="39"/>
      <c r="AX260" s="39"/>
      <c r="AY260" s="39"/>
      <c r="AZ260" s="39"/>
      <c r="BA260" s="39"/>
      <c r="BB260" s="39"/>
      <c r="BC260" s="39"/>
      <c r="BD260" s="39"/>
      <c r="BE260" s="39"/>
      <c r="BF260" s="39"/>
      <c r="BG260" s="39"/>
      <c r="BH260" s="39"/>
      <c r="BI260" s="39"/>
      <c r="BJ260" s="39"/>
      <c r="BK260" s="39"/>
      <c r="BL260" s="39"/>
    </row>
    <row r="261" spans="1:79" ht="42.95" customHeight="1" x14ac:dyDescent="0.2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 t="s">
        <v>140</v>
      </c>
      <c r="R261" s="39"/>
      <c r="S261" s="39"/>
      <c r="T261" s="39"/>
      <c r="U261" s="39"/>
      <c r="V261" s="68" t="s">
        <v>141</v>
      </c>
      <c r="W261" s="68"/>
      <c r="X261" s="68"/>
      <c r="Y261" s="68"/>
      <c r="Z261" s="39" t="s">
        <v>142</v>
      </c>
      <c r="AA261" s="39"/>
      <c r="AB261" s="39"/>
      <c r="AC261" s="39"/>
      <c r="AD261" s="39"/>
      <c r="AE261" s="39"/>
      <c r="AF261" s="39"/>
      <c r="AG261" s="39"/>
      <c r="AH261" s="39"/>
      <c r="AI261" s="39"/>
      <c r="AJ261" s="39" t="s">
        <v>143</v>
      </c>
      <c r="AK261" s="39"/>
      <c r="AL261" s="39"/>
      <c r="AM261" s="39"/>
      <c r="AN261" s="39"/>
      <c r="AO261" s="39" t="s">
        <v>20</v>
      </c>
      <c r="AP261" s="39"/>
      <c r="AQ261" s="39"/>
      <c r="AR261" s="39"/>
      <c r="AS261" s="39"/>
      <c r="AT261" s="68" t="s">
        <v>144</v>
      </c>
      <c r="AU261" s="68"/>
      <c r="AV261" s="68"/>
      <c r="AW261" s="68"/>
      <c r="AX261" s="39" t="s">
        <v>142</v>
      </c>
      <c r="AY261" s="39"/>
      <c r="AZ261" s="39"/>
      <c r="BA261" s="39"/>
      <c r="BB261" s="39"/>
      <c r="BC261" s="39"/>
      <c r="BD261" s="39"/>
      <c r="BE261" s="39"/>
      <c r="BF261" s="39"/>
      <c r="BG261" s="39"/>
      <c r="BH261" s="39" t="s">
        <v>145</v>
      </c>
      <c r="BI261" s="39"/>
      <c r="BJ261" s="39"/>
      <c r="BK261" s="39"/>
      <c r="BL261" s="39"/>
    </row>
    <row r="262" spans="1:79" ht="63" customHeight="1" x14ac:dyDescent="0.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68"/>
      <c r="W262" s="68"/>
      <c r="X262" s="68"/>
      <c r="Y262" s="68"/>
      <c r="Z262" s="39" t="s">
        <v>17</v>
      </c>
      <c r="AA262" s="39"/>
      <c r="AB262" s="39"/>
      <c r="AC262" s="39"/>
      <c r="AD262" s="39"/>
      <c r="AE262" s="39" t="s">
        <v>16</v>
      </c>
      <c r="AF262" s="39"/>
      <c r="AG262" s="39"/>
      <c r="AH262" s="39"/>
      <c r="AI262" s="39"/>
      <c r="AJ262" s="39"/>
      <c r="AK262" s="39"/>
      <c r="AL262" s="39"/>
      <c r="AM262" s="39"/>
      <c r="AN262" s="39"/>
      <c r="AO262" s="39"/>
      <c r="AP262" s="39"/>
      <c r="AQ262" s="39"/>
      <c r="AR262" s="39"/>
      <c r="AS262" s="39"/>
      <c r="AT262" s="68"/>
      <c r="AU262" s="68"/>
      <c r="AV262" s="68"/>
      <c r="AW262" s="68"/>
      <c r="AX262" s="39" t="s">
        <v>17</v>
      </c>
      <c r="AY262" s="39"/>
      <c r="AZ262" s="39"/>
      <c r="BA262" s="39"/>
      <c r="BB262" s="39"/>
      <c r="BC262" s="39" t="s">
        <v>16</v>
      </c>
      <c r="BD262" s="39"/>
      <c r="BE262" s="39"/>
      <c r="BF262" s="39"/>
      <c r="BG262" s="39"/>
      <c r="BH262" s="39"/>
      <c r="BI262" s="39"/>
      <c r="BJ262" s="39"/>
      <c r="BK262" s="39"/>
      <c r="BL262" s="39"/>
    </row>
    <row r="263" spans="1:79" ht="15" customHeight="1" x14ac:dyDescent="0.2">
      <c r="A263" s="39">
        <v>1</v>
      </c>
      <c r="B263" s="39"/>
      <c r="C263" s="39"/>
      <c r="D263" s="39"/>
      <c r="E263" s="39"/>
      <c r="F263" s="39"/>
      <c r="G263" s="39">
        <v>2</v>
      </c>
      <c r="H263" s="39"/>
      <c r="I263" s="39"/>
      <c r="J263" s="39"/>
      <c r="K263" s="39"/>
      <c r="L263" s="39"/>
      <c r="M263" s="39"/>
      <c r="N263" s="39"/>
      <c r="O263" s="39"/>
      <c r="P263" s="39"/>
      <c r="Q263" s="39">
        <v>3</v>
      </c>
      <c r="R263" s="39"/>
      <c r="S263" s="39"/>
      <c r="T263" s="39"/>
      <c r="U263" s="39"/>
      <c r="V263" s="39">
        <v>4</v>
      </c>
      <c r="W263" s="39"/>
      <c r="X263" s="39"/>
      <c r="Y263" s="39"/>
      <c r="Z263" s="39">
        <v>5</v>
      </c>
      <c r="AA263" s="39"/>
      <c r="AB263" s="39"/>
      <c r="AC263" s="39"/>
      <c r="AD263" s="39"/>
      <c r="AE263" s="39">
        <v>6</v>
      </c>
      <c r="AF263" s="39"/>
      <c r="AG263" s="39"/>
      <c r="AH263" s="39"/>
      <c r="AI263" s="39"/>
      <c r="AJ263" s="39">
        <v>7</v>
      </c>
      <c r="AK263" s="39"/>
      <c r="AL263" s="39"/>
      <c r="AM263" s="39"/>
      <c r="AN263" s="39"/>
      <c r="AO263" s="39">
        <v>8</v>
      </c>
      <c r="AP263" s="39"/>
      <c r="AQ263" s="39"/>
      <c r="AR263" s="39"/>
      <c r="AS263" s="39"/>
      <c r="AT263" s="39">
        <v>9</v>
      </c>
      <c r="AU263" s="39"/>
      <c r="AV263" s="39"/>
      <c r="AW263" s="39"/>
      <c r="AX263" s="39">
        <v>10</v>
      </c>
      <c r="AY263" s="39"/>
      <c r="AZ263" s="39"/>
      <c r="BA263" s="39"/>
      <c r="BB263" s="39"/>
      <c r="BC263" s="39">
        <v>11</v>
      </c>
      <c r="BD263" s="39"/>
      <c r="BE263" s="39"/>
      <c r="BF263" s="39"/>
      <c r="BG263" s="39"/>
      <c r="BH263" s="39">
        <v>12</v>
      </c>
      <c r="BI263" s="39"/>
      <c r="BJ263" s="39"/>
      <c r="BK263" s="39"/>
      <c r="BL263" s="39"/>
    </row>
    <row r="264" spans="1:79" s="1" customFormat="1" ht="12" hidden="1" customHeight="1" x14ac:dyDescent="0.2">
      <c r="A264" s="66" t="s">
        <v>64</v>
      </c>
      <c r="B264" s="66"/>
      <c r="C264" s="66"/>
      <c r="D264" s="66"/>
      <c r="E264" s="66"/>
      <c r="F264" s="66"/>
      <c r="G264" s="65" t="s">
        <v>57</v>
      </c>
      <c r="H264" s="65"/>
      <c r="I264" s="65"/>
      <c r="J264" s="65"/>
      <c r="K264" s="65"/>
      <c r="L264" s="65"/>
      <c r="M264" s="65"/>
      <c r="N264" s="65"/>
      <c r="O264" s="65"/>
      <c r="P264" s="65"/>
      <c r="Q264" s="64" t="s">
        <v>80</v>
      </c>
      <c r="R264" s="64"/>
      <c r="S264" s="64"/>
      <c r="T264" s="64"/>
      <c r="U264" s="64"/>
      <c r="V264" s="64" t="s">
        <v>81</v>
      </c>
      <c r="W264" s="64"/>
      <c r="X264" s="64"/>
      <c r="Y264" s="64"/>
      <c r="Z264" s="64" t="s">
        <v>82</v>
      </c>
      <c r="AA264" s="64"/>
      <c r="AB264" s="64"/>
      <c r="AC264" s="64"/>
      <c r="AD264" s="64"/>
      <c r="AE264" s="64" t="s">
        <v>83</v>
      </c>
      <c r="AF264" s="64"/>
      <c r="AG264" s="64"/>
      <c r="AH264" s="64"/>
      <c r="AI264" s="64"/>
      <c r="AJ264" s="66" t="s">
        <v>101</v>
      </c>
      <c r="AK264" s="64"/>
      <c r="AL264" s="64"/>
      <c r="AM264" s="64"/>
      <c r="AN264" s="64"/>
      <c r="AO264" s="64" t="s">
        <v>84</v>
      </c>
      <c r="AP264" s="64"/>
      <c r="AQ264" s="64"/>
      <c r="AR264" s="64"/>
      <c r="AS264" s="64"/>
      <c r="AT264" s="66" t="s">
        <v>102</v>
      </c>
      <c r="AU264" s="64"/>
      <c r="AV264" s="64"/>
      <c r="AW264" s="64"/>
      <c r="AX264" s="64" t="s">
        <v>85</v>
      </c>
      <c r="AY264" s="64"/>
      <c r="AZ264" s="64"/>
      <c r="BA264" s="64"/>
      <c r="BB264" s="64"/>
      <c r="BC264" s="64" t="s">
        <v>86</v>
      </c>
      <c r="BD264" s="64"/>
      <c r="BE264" s="64"/>
      <c r="BF264" s="64"/>
      <c r="BG264" s="64"/>
      <c r="BH264" s="66" t="s">
        <v>101</v>
      </c>
      <c r="BI264" s="64"/>
      <c r="BJ264" s="64"/>
      <c r="BK264" s="64"/>
      <c r="BL264" s="64"/>
      <c r="CA264" s="1" t="s">
        <v>52</v>
      </c>
    </row>
    <row r="265" spans="1:79" s="4" customFormat="1" ht="38.25" customHeight="1" x14ac:dyDescent="0.2">
      <c r="A265" s="26">
        <v>2610</v>
      </c>
      <c r="B265" s="26"/>
      <c r="C265" s="26"/>
      <c r="D265" s="26"/>
      <c r="E265" s="26"/>
      <c r="F265" s="26"/>
      <c r="G265" s="27" t="s">
        <v>176</v>
      </c>
      <c r="H265" s="28"/>
      <c r="I265" s="28"/>
      <c r="J265" s="28"/>
      <c r="K265" s="28"/>
      <c r="L265" s="28"/>
      <c r="M265" s="28"/>
      <c r="N265" s="28"/>
      <c r="O265" s="28"/>
      <c r="P265" s="29"/>
      <c r="Q265" s="30">
        <v>4127990</v>
      </c>
      <c r="R265" s="30"/>
      <c r="S265" s="30"/>
      <c r="T265" s="30"/>
      <c r="U265" s="30"/>
      <c r="V265" s="30">
        <v>0</v>
      </c>
      <c r="W265" s="30"/>
      <c r="X265" s="30"/>
      <c r="Y265" s="30"/>
      <c r="Z265" s="30">
        <v>0</v>
      </c>
      <c r="AA265" s="30"/>
      <c r="AB265" s="30"/>
      <c r="AC265" s="30"/>
      <c r="AD265" s="30"/>
      <c r="AE265" s="30">
        <v>0</v>
      </c>
      <c r="AF265" s="30"/>
      <c r="AG265" s="30"/>
      <c r="AH265" s="30"/>
      <c r="AI265" s="30"/>
      <c r="AJ265" s="30">
        <f>IF(ISNUMBER(Q265),Q265,0)-IF(ISNUMBER(Z265),Z265,0)</f>
        <v>4127990</v>
      </c>
      <c r="AK265" s="30"/>
      <c r="AL265" s="30"/>
      <c r="AM265" s="30"/>
      <c r="AN265" s="30"/>
      <c r="AO265" s="30">
        <v>4857097</v>
      </c>
      <c r="AP265" s="30"/>
      <c r="AQ265" s="30"/>
      <c r="AR265" s="30"/>
      <c r="AS265" s="30"/>
      <c r="AT265" s="30">
        <f>IF(ISNUMBER(V265),V265,0)-IF(ISNUMBER(Z265),Z265,0)-IF(ISNUMBER(AE265),AE265,0)</f>
        <v>0</v>
      </c>
      <c r="AU265" s="30"/>
      <c r="AV265" s="30"/>
      <c r="AW265" s="30"/>
      <c r="AX265" s="30">
        <v>0</v>
      </c>
      <c r="AY265" s="30"/>
      <c r="AZ265" s="30"/>
      <c r="BA265" s="30"/>
      <c r="BB265" s="30"/>
      <c r="BC265" s="30">
        <v>0</v>
      </c>
      <c r="BD265" s="30"/>
      <c r="BE265" s="30"/>
      <c r="BF265" s="30"/>
      <c r="BG265" s="30"/>
      <c r="BH265" s="30">
        <f>IF(ISNUMBER(AO265),AO265,0)-IF(ISNUMBER(AX265),AX265,0)</f>
        <v>4857097</v>
      </c>
      <c r="BI265" s="30"/>
      <c r="BJ265" s="30"/>
      <c r="BK265" s="30"/>
      <c r="BL265" s="30"/>
      <c r="CA265" s="4" t="s">
        <v>53</v>
      </c>
    </row>
    <row r="266" spans="1:79" s="5" customFormat="1" ht="12.75" customHeight="1" x14ac:dyDescent="0.2">
      <c r="A266" s="22"/>
      <c r="B266" s="22"/>
      <c r="C266" s="22"/>
      <c r="D266" s="22"/>
      <c r="E266" s="22"/>
      <c r="F266" s="22"/>
      <c r="G266" s="23" t="s">
        <v>147</v>
      </c>
      <c r="H266" s="24"/>
      <c r="I266" s="24"/>
      <c r="J266" s="24"/>
      <c r="K266" s="24"/>
      <c r="L266" s="24"/>
      <c r="M266" s="24"/>
      <c r="N266" s="24"/>
      <c r="O266" s="24"/>
      <c r="P266" s="25"/>
      <c r="Q266" s="20">
        <v>4127990</v>
      </c>
      <c r="R266" s="20"/>
      <c r="S266" s="20"/>
      <c r="T266" s="20"/>
      <c r="U266" s="20"/>
      <c r="V266" s="20">
        <v>0</v>
      </c>
      <c r="W266" s="20"/>
      <c r="X266" s="20"/>
      <c r="Y266" s="20"/>
      <c r="Z266" s="20">
        <v>0</v>
      </c>
      <c r="AA266" s="20"/>
      <c r="AB266" s="20"/>
      <c r="AC266" s="20"/>
      <c r="AD266" s="20"/>
      <c r="AE266" s="20">
        <v>0</v>
      </c>
      <c r="AF266" s="20"/>
      <c r="AG266" s="20"/>
      <c r="AH266" s="20"/>
      <c r="AI266" s="20"/>
      <c r="AJ266" s="20">
        <f>IF(ISNUMBER(Q266),Q266,0)-IF(ISNUMBER(Z266),Z266,0)</f>
        <v>4127990</v>
      </c>
      <c r="AK266" s="20"/>
      <c r="AL266" s="20"/>
      <c r="AM266" s="20"/>
      <c r="AN266" s="20"/>
      <c r="AO266" s="20">
        <v>4857097</v>
      </c>
      <c r="AP266" s="20"/>
      <c r="AQ266" s="20"/>
      <c r="AR266" s="20"/>
      <c r="AS266" s="20"/>
      <c r="AT266" s="20">
        <f>IF(ISNUMBER(V266),V266,0)-IF(ISNUMBER(Z266),Z266,0)-IF(ISNUMBER(AE266),AE266,0)</f>
        <v>0</v>
      </c>
      <c r="AU266" s="20"/>
      <c r="AV266" s="20"/>
      <c r="AW266" s="20"/>
      <c r="AX266" s="20">
        <v>0</v>
      </c>
      <c r="AY266" s="20"/>
      <c r="AZ266" s="20"/>
      <c r="BA266" s="20"/>
      <c r="BB266" s="20"/>
      <c r="BC266" s="20">
        <v>0</v>
      </c>
      <c r="BD266" s="20"/>
      <c r="BE266" s="20"/>
      <c r="BF266" s="20"/>
      <c r="BG266" s="20"/>
      <c r="BH266" s="20">
        <f>IF(ISNUMBER(AO266),AO266,0)-IF(ISNUMBER(AX266),AX266,0)</f>
        <v>4857097</v>
      </c>
      <c r="BI266" s="20"/>
      <c r="BJ266" s="20"/>
      <c r="BK266" s="20"/>
      <c r="BL266" s="20"/>
    </row>
    <row r="268" spans="1:79" ht="14.25" customHeight="1" x14ac:dyDescent="0.2">
      <c r="A268" s="62" t="s">
        <v>254</v>
      </c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  <c r="AG268" s="62"/>
      <c r="AH268" s="62"/>
      <c r="AI268" s="62"/>
      <c r="AJ268" s="62"/>
      <c r="AK268" s="62"/>
      <c r="AL268" s="62"/>
      <c r="AM268" s="62"/>
      <c r="AN268" s="62"/>
      <c r="AO268" s="62"/>
      <c r="AP268" s="62"/>
      <c r="AQ268" s="62"/>
      <c r="AR268" s="62"/>
      <c r="AS268" s="62"/>
      <c r="AT268" s="62"/>
      <c r="AU268" s="62"/>
      <c r="AV268" s="62"/>
      <c r="AW268" s="62"/>
      <c r="AX268" s="62"/>
      <c r="AY268" s="62"/>
      <c r="AZ268" s="62"/>
      <c r="BA268" s="62"/>
      <c r="BB268" s="62"/>
      <c r="BC268" s="62"/>
      <c r="BD268" s="62"/>
      <c r="BE268" s="62"/>
      <c r="BF268" s="62"/>
      <c r="BG268" s="62"/>
      <c r="BH268" s="62"/>
      <c r="BI268" s="62"/>
      <c r="BJ268" s="62"/>
      <c r="BK268" s="62"/>
      <c r="BL268" s="62"/>
    </row>
    <row r="269" spans="1:79" ht="15" customHeight="1" x14ac:dyDescent="0.2">
      <c r="A269" s="67" t="s">
        <v>247</v>
      </c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  <c r="AA269" s="67"/>
      <c r="AB269" s="67"/>
      <c r="AC269" s="67"/>
      <c r="AD269" s="67"/>
      <c r="AE269" s="67"/>
      <c r="AF269" s="67"/>
      <c r="AG269" s="67"/>
      <c r="AH269" s="67"/>
      <c r="AI269" s="67"/>
      <c r="AJ269" s="67"/>
      <c r="AK269" s="67"/>
      <c r="AL269" s="67"/>
      <c r="AM269" s="67"/>
      <c r="AN269" s="67"/>
      <c r="AO269" s="67"/>
      <c r="AP269" s="67"/>
      <c r="AQ269" s="67"/>
      <c r="AR269" s="67"/>
      <c r="AS269" s="67"/>
      <c r="AT269" s="67"/>
      <c r="AU269" s="67"/>
      <c r="AV269" s="67"/>
      <c r="AW269" s="67"/>
      <c r="AX269" s="67"/>
      <c r="AY269" s="67"/>
      <c r="AZ269" s="67"/>
      <c r="BA269" s="67"/>
      <c r="BB269" s="67"/>
      <c r="BC269" s="67"/>
      <c r="BD269" s="67"/>
      <c r="BE269" s="67"/>
      <c r="BF269" s="67"/>
      <c r="BG269" s="67"/>
      <c r="BH269" s="67"/>
      <c r="BI269" s="67"/>
      <c r="BJ269" s="67"/>
      <c r="BK269" s="67"/>
      <c r="BL269" s="67"/>
    </row>
    <row r="270" spans="1:79" ht="42.95" customHeight="1" x14ac:dyDescent="0.2">
      <c r="A270" s="68" t="s">
        <v>135</v>
      </c>
      <c r="B270" s="68"/>
      <c r="C270" s="68"/>
      <c r="D270" s="68"/>
      <c r="E270" s="68"/>
      <c r="F270" s="68"/>
      <c r="G270" s="39" t="s">
        <v>19</v>
      </c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 t="s">
        <v>15</v>
      </c>
      <c r="U270" s="39"/>
      <c r="V270" s="39"/>
      <c r="W270" s="39"/>
      <c r="X270" s="39"/>
      <c r="Y270" s="39"/>
      <c r="Z270" s="39" t="s">
        <v>14</v>
      </c>
      <c r="AA270" s="39"/>
      <c r="AB270" s="39"/>
      <c r="AC270" s="39"/>
      <c r="AD270" s="39"/>
      <c r="AE270" s="39" t="s">
        <v>250</v>
      </c>
      <c r="AF270" s="39"/>
      <c r="AG270" s="39"/>
      <c r="AH270" s="39"/>
      <c r="AI270" s="39"/>
      <c r="AJ270" s="39"/>
      <c r="AK270" s="39" t="s">
        <v>255</v>
      </c>
      <c r="AL270" s="39"/>
      <c r="AM270" s="39"/>
      <c r="AN270" s="39"/>
      <c r="AO270" s="39"/>
      <c r="AP270" s="39"/>
      <c r="AQ270" s="39" t="s">
        <v>268</v>
      </c>
      <c r="AR270" s="39"/>
      <c r="AS270" s="39"/>
      <c r="AT270" s="39"/>
      <c r="AU270" s="39"/>
      <c r="AV270" s="39"/>
      <c r="AW270" s="39" t="s">
        <v>18</v>
      </c>
      <c r="AX270" s="39"/>
      <c r="AY270" s="39"/>
      <c r="AZ270" s="39"/>
      <c r="BA270" s="39"/>
      <c r="BB270" s="39"/>
      <c r="BC270" s="39"/>
      <c r="BD270" s="39"/>
      <c r="BE270" s="39" t="s">
        <v>156</v>
      </c>
      <c r="BF270" s="39"/>
      <c r="BG270" s="39"/>
      <c r="BH270" s="39"/>
      <c r="BI270" s="39"/>
      <c r="BJ270" s="39"/>
      <c r="BK270" s="39"/>
      <c r="BL270" s="39"/>
    </row>
    <row r="271" spans="1:79" ht="21.75" customHeight="1" x14ac:dyDescent="0.2">
      <c r="A271" s="68"/>
      <c r="B271" s="68"/>
      <c r="C271" s="68"/>
      <c r="D271" s="68"/>
      <c r="E271" s="68"/>
      <c r="F271" s="68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  <c r="AK271" s="39"/>
      <c r="AL271" s="39"/>
      <c r="AM271" s="39"/>
      <c r="AN271" s="39"/>
      <c r="AO271" s="39"/>
      <c r="AP271" s="39"/>
      <c r="AQ271" s="39"/>
      <c r="AR271" s="39"/>
      <c r="AS271" s="39"/>
      <c r="AT271" s="39"/>
      <c r="AU271" s="39"/>
      <c r="AV271" s="39"/>
      <c r="AW271" s="39"/>
      <c r="AX271" s="39"/>
      <c r="AY271" s="39"/>
      <c r="AZ271" s="39"/>
      <c r="BA271" s="39"/>
      <c r="BB271" s="39"/>
      <c r="BC271" s="39"/>
      <c r="BD271" s="39"/>
      <c r="BE271" s="39"/>
      <c r="BF271" s="39"/>
      <c r="BG271" s="39"/>
      <c r="BH271" s="39"/>
      <c r="BI271" s="39"/>
      <c r="BJ271" s="39"/>
      <c r="BK271" s="39"/>
      <c r="BL271" s="39"/>
    </row>
    <row r="272" spans="1:79" ht="15" customHeight="1" x14ac:dyDescent="0.2">
      <c r="A272" s="39">
        <v>1</v>
      </c>
      <c r="B272" s="39"/>
      <c r="C272" s="39"/>
      <c r="D272" s="39"/>
      <c r="E272" s="39"/>
      <c r="F272" s="39"/>
      <c r="G272" s="39">
        <v>2</v>
      </c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>
        <v>3</v>
      </c>
      <c r="U272" s="39"/>
      <c r="V272" s="39"/>
      <c r="W272" s="39"/>
      <c r="X272" s="39"/>
      <c r="Y272" s="39"/>
      <c r="Z272" s="39">
        <v>4</v>
      </c>
      <c r="AA272" s="39"/>
      <c r="AB272" s="39"/>
      <c r="AC272" s="39"/>
      <c r="AD272" s="39"/>
      <c r="AE272" s="39">
        <v>5</v>
      </c>
      <c r="AF272" s="39"/>
      <c r="AG272" s="39"/>
      <c r="AH272" s="39"/>
      <c r="AI272" s="39"/>
      <c r="AJ272" s="39"/>
      <c r="AK272" s="39">
        <v>6</v>
      </c>
      <c r="AL272" s="39"/>
      <c r="AM272" s="39"/>
      <c r="AN272" s="39"/>
      <c r="AO272" s="39"/>
      <c r="AP272" s="39"/>
      <c r="AQ272" s="39">
        <v>7</v>
      </c>
      <c r="AR272" s="39"/>
      <c r="AS272" s="39"/>
      <c r="AT272" s="39"/>
      <c r="AU272" s="39"/>
      <c r="AV272" s="39"/>
      <c r="AW272" s="66">
        <v>8</v>
      </c>
      <c r="AX272" s="66"/>
      <c r="AY272" s="66"/>
      <c r="AZ272" s="66"/>
      <c r="BA272" s="66"/>
      <c r="BB272" s="66"/>
      <c r="BC272" s="66"/>
      <c r="BD272" s="66"/>
      <c r="BE272" s="66">
        <v>9</v>
      </c>
      <c r="BF272" s="66"/>
      <c r="BG272" s="66"/>
      <c r="BH272" s="66"/>
      <c r="BI272" s="66"/>
      <c r="BJ272" s="66"/>
      <c r="BK272" s="66"/>
      <c r="BL272" s="66"/>
    </row>
    <row r="273" spans="1:79" s="1" customFormat="1" ht="18.75" hidden="1" customHeight="1" x14ac:dyDescent="0.2">
      <c r="A273" s="66" t="s">
        <v>64</v>
      </c>
      <c r="B273" s="66"/>
      <c r="C273" s="66"/>
      <c r="D273" s="66"/>
      <c r="E273" s="66"/>
      <c r="F273" s="66"/>
      <c r="G273" s="65" t="s">
        <v>57</v>
      </c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4" t="s">
        <v>80</v>
      </c>
      <c r="U273" s="64"/>
      <c r="V273" s="64"/>
      <c r="W273" s="64"/>
      <c r="X273" s="64"/>
      <c r="Y273" s="64"/>
      <c r="Z273" s="64" t="s">
        <v>81</v>
      </c>
      <c r="AA273" s="64"/>
      <c r="AB273" s="64"/>
      <c r="AC273" s="64"/>
      <c r="AD273" s="64"/>
      <c r="AE273" s="64" t="s">
        <v>82</v>
      </c>
      <c r="AF273" s="64"/>
      <c r="AG273" s="64"/>
      <c r="AH273" s="64"/>
      <c r="AI273" s="64"/>
      <c r="AJ273" s="64"/>
      <c r="AK273" s="64" t="s">
        <v>83</v>
      </c>
      <c r="AL273" s="64"/>
      <c r="AM273" s="64"/>
      <c r="AN273" s="64"/>
      <c r="AO273" s="64"/>
      <c r="AP273" s="64"/>
      <c r="AQ273" s="64" t="s">
        <v>84</v>
      </c>
      <c r="AR273" s="64"/>
      <c r="AS273" s="64"/>
      <c r="AT273" s="64"/>
      <c r="AU273" s="64"/>
      <c r="AV273" s="64"/>
      <c r="AW273" s="65" t="s">
        <v>87</v>
      </c>
      <c r="AX273" s="65"/>
      <c r="AY273" s="65"/>
      <c r="AZ273" s="65"/>
      <c r="BA273" s="65"/>
      <c r="BB273" s="65"/>
      <c r="BC273" s="65"/>
      <c r="BD273" s="65"/>
      <c r="BE273" s="65" t="s">
        <v>88</v>
      </c>
      <c r="BF273" s="65"/>
      <c r="BG273" s="65"/>
      <c r="BH273" s="65"/>
      <c r="BI273" s="65"/>
      <c r="BJ273" s="65"/>
      <c r="BK273" s="65"/>
      <c r="BL273" s="65"/>
      <c r="CA273" s="1" t="s">
        <v>54</v>
      </c>
    </row>
    <row r="274" spans="1:79" s="4" customFormat="1" ht="38.25" customHeight="1" x14ac:dyDescent="0.2">
      <c r="A274" s="26">
        <v>2610</v>
      </c>
      <c r="B274" s="26"/>
      <c r="C274" s="26"/>
      <c r="D274" s="26"/>
      <c r="E274" s="26"/>
      <c r="F274" s="26"/>
      <c r="G274" s="27" t="s">
        <v>176</v>
      </c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9"/>
      <c r="T274" s="30">
        <v>3564705</v>
      </c>
      <c r="U274" s="30"/>
      <c r="V274" s="30"/>
      <c r="W274" s="30"/>
      <c r="X274" s="30"/>
      <c r="Y274" s="30"/>
      <c r="Z274" s="30">
        <v>3249017</v>
      </c>
      <c r="AA274" s="30"/>
      <c r="AB274" s="30"/>
      <c r="AC274" s="30"/>
      <c r="AD274" s="30"/>
      <c r="AE274" s="30">
        <v>0</v>
      </c>
      <c r="AF274" s="30"/>
      <c r="AG274" s="30"/>
      <c r="AH274" s="30"/>
      <c r="AI274" s="30"/>
      <c r="AJ274" s="30"/>
      <c r="AK274" s="30">
        <v>0</v>
      </c>
      <c r="AL274" s="30"/>
      <c r="AM274" s="30"/>
      <c r="AN274" s="30"/>
      <c r="AO274" s="30"/>
      <c r="AP274" s="30"/>
      <c r="AQ274" s="30">
        <v>0</v>
      </c>
      <c r="AR274" s="30"/>
      <c r="AS274" s="30"/>
      <c r="AT274" s="30"/>
      <c r="AU274" s="30"/>
      <c r="AV274" s="30"/>
      <c r="AW274" s="61"/>
      <c r="AX274" s="61"/>
      <c r="AY274" s="61"/>
      <c r="AZ274" s="61"/>
      <c r="BA274" s="61"/>
      <c r="BB274" s="61"/>
      <c r="BC274" s="61"/>
      <c r="BD274" s="61"/>
      <c r="BE274" s="61"/>
      <c r="BF274" s="61"/>
      <c r="BG274" s="61"/>
      <c r="BH274" s="61"/>
      <c r="BI274" s="61"/>
      <c r="BJ274" s="61"/>
      <c r="BK274" s="61"/>
      <c r="BL274" s="61"/>
      <c r="CA274" s="4" t="s">
        <v>55</v>
      </c>
    </row>
    <row r="275" spans="1:79" s="4" customFormat="1" ht="25.5" customHeight="1" x14ac:dyDescent="0.2">
      <c r="A275" s="26">
        <v>3210</v>
      </c>
      <c r="B275" s="26"/>
      <c r="C275" s="26"/>
      <c r="D275" s="26"/>
      <c r="E275" s="26"/>
      <c r="F275" s="26"/>
      <c r="G275" s="27" t="s">
        <v>177</v>
      </c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9"/>
      <c r="T275" s="30">
        <v>25000</v>
      </c>
      <c r="U275" s="30"/>
      <c r="V275" s="30"/>
      <c r="W275" s="30"/>
      <c r="X275" s="30"/>
      <c r="Y275" s="30"/>
      <c r="Z275" s="30">
        <v>23596</v>
      </c>
      <c r="AA275" s="30"/>
      <c r="AB275" s="30"/>
      <c r="AC275" s="30"/>
      <c r="AD275" s="30"/>
      <c r="AE275" s="30">
        <v>0</v>
      </c>
      <c r="AF275" s="30"/>
      <c r="AG275" s="30"/>
      <c r="AH275" s="30"/>
      <c r="AI275" s="30"/>
      <c r="AJ275" s="30"/>
      <c r="AK275" s="30">
        <v>0</v>
      </c>
      <c r="AL275" s="30"/>
      <c r="AM275" s="30"/>
      <c r="AN275" s="30"/>
      <c r="AO275" s="30"/>
      <c r="AP275" s="30"/>
      <c r="AQ275" s="30">
        <v>0</v>
      </c>
      <c r="AR275" s="30"/>
      <c r="AS275" s="30"/>
      <c r="AT275" s="30"/>
      <c r="AU275" s="30"/>
      <c r="AV275" s="30"/>
      <c r="AW275" s="61"/>
      <c r="AX275" s="61"/>
      <c r="AY275" s="61"/>
      <c r="AZ275" s="61"/>
      <c r="BA275" s="61"/>
      <c r="BB275" s="61"/>
      <c r="BC275" s="61"/>
      <c r="BD275" s="61"/>
      <c r="BE275" s="61"/>
      <c r="BF275" s="61"/>
      <c r="BG275" s="61"/>
      <c r="BH275" s="61"/>
      <c r="BI275" s="61"/>
      <c r="BJ275" s="61"/>
      <c r="BK275" s="61"/>
      <c r="BL275" s="61"/>
    </row>
    <row r="276" spans="1:79" s="5" customFormat="1" ht="12.75" customHeight="1" x14ac:dyDescent="0.2">
      <c r="A276" s="22"/>
      <c r="B276" s="22"/>
      <c r="C276" s="22"/>
      <c r="D276" s="22"/>
      <c r="E276" s="22"/>
      <c r="F276" s="22"/>
      <c r="G276" s="23" t="s">
        <v>147</v>
      </c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5"/>
      <c r="T276" s="20">
        <v>3589705</v>
      </c>
      <c r="U276" s="20"/>
      <c r="V276" s="20"/>
      <c r="W276" s="20"/>
      <c r="X276" s="20"/>
      <c r="Y276" s="20"/>
      <c r="Z276" s="20">
        <v>3272613</v>
      </c>
      <c r="AA276" s="20"/>
      <c r="AB276" s="20"/>
      <c r="AC276" s="20"/>
      <c r="AD276" s="20"/>
      <c r="AE276" s="20">
        <v>0</v>
      </c>
      <c r="AF276" s="20"/>
      <c r="AG276" s="20"/>
      <c r="AH276" s="20"/>
      <c r="AI276" s="20"/>
      <c r="AJ276" s="20"/>
      <c r="AK276" s="20">
        <v>0</v>
      </c>
      <c r="AL276" s="20"/>
      <c r="AM276" s="20"/>
      <c r="AN276" s="20"/>
      <c r="AO276" s="20"/>
      <c r="AP276" s="20"/>
      <c r="AQ276" s="20">
        <v>0</v>
      </c>
      <c r="AR276" s="20"/>
      <c r="AS276" s="20"/>
      <c r="AT276" s="20"/>
      <c r="AU276" s="20"/>
      <c r="AV276" s="20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</row>
    <row r="278" spans="1:79" ht="14.25" customHeight="1" x14ac:dyDescent="0.2">
      <c r="A278" s="62" t="s">
        <v>256</v>
      </c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</row>
    <row r="279" spans="1:79" ht="105" customHeight="1" x14ac:dyDescent="0.2">
      <c r="A279" s="63" t="s">
        <v>242</v>
      </c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  <c r="BA279" s="53"/>
      <c r="BB279" s="53"/>
      <c r="BC279" s="53"/>
      <c r="BD279" s="53"/>
      <c r="BE279" s="53"/>
      <c r="BF279" s="53"/>
      <c r="BG279" s="53"/>
      <c r="BH279" s="53"/>
      <c r="BI279" s="53"/>
      <c r="BJ279" s="53"/>
      <c r="BK279" s="53"/>
      <c r="BL279" s="53"/>
    </row>
    <row r="281" spans="1:79" ht="14.25" x14ac:dyDescent="0.2">
      <c r="A281" s="62" t="s">
        <v>283</v>
      </c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</row>
    <row r="282" spans="1:79" ht="14.25" x14ac:dyDescent="0.2">
      <c r="A282" s="62" t="s">
        <v>257</v>
      </c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</row>
    <row r="283" spans="1:79" ht="15" customHeight="1" x14ac:dyDescent="0.2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8"/>
      <c r="AL283" s="58"/>
      <c r="AM283" s="58"/>
      <c r="AN283" s="58"/>
      <c r="AO283" s="58"/>
      <c r="AP283" s="58"/>
      <c r="AQ283" s="58"/>
      <c r="AR283" s="58"/>
      <c r="AS283" s="58"/>
      <c r="AT283" s="58"/>
      <c r="AU283" s="58"/>
      <c r="AV283" s="58"/>
      <c r="AW283" s="58"/>
      <c r="AX283" s="58"/>
      <c r="AY283" s="58"/>
      <c r="AZ283" s="58"/>
      <c r="BA283" s="58"/>
      <c r="BB283" s="58"/>
      <c r="BC283" s="58"/>
      <c r="BD283" s="58"/>
      <c r="BE283" s="58"/>
      <c r="BF283" s="58"/>
      <c r="BG283" s="58"/>
      <c r="BH283" s="58"/>
      <c r="BI283" s="58"/>
      <c r="BJ283" s="58"/>
      <c r="BK283" s="58"/>
      <c r="BL283" s="58"/>
    </row>
    <row r="284" spans="1:79" ht="18.95" customHeight="1" x14ac:dyDescent="0.2">
      <c r="A284" s="52" t="s">
        <v>290</v>
      </c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17"/>
      <c r="AC284" s="17"/>
      <c r="AD284" s="17"/>
      <c r="AE284" s="17"/>
      <c r="AF284" s="17"/>
      <c r="AG284" s="17"/>
      <c r="AH284" s="59"/>
      <c r="AI284" s="59"/>
      <c r="AJ284" s="59"/>
      <c r="AK284" s="59"/>
      <c r="AL284" s="59"/>
      <c r="AM284" s="59"/>
      <c r="AN284" s="59"/>
      <c r="AO284" s="59"/>
      <c r="AP284" s="59"/>
      <c r="AQ284" s="17"/>
      <c r="AR284" s="17"/>
      <c r="AS284" s="17"/>
      <c r="AT284" s="17"/>
      <c r="AU284" s="60" t="s">
        <v>291</v>
      </c>
      <c r="AV284" s="56"/>
      <c r="AW284" s="56"/>
      <c r="AX284" s="56"/>
      <c r="AY284" s="56"/>
      <c r="AZ284" s="56"/>
      <c r="BA284" s="56"/>
      <c r="BB284" s="56"/>
      <c r="BC284" s="56"/>
      <c r="BD284" s="56"/>
      <c r="BE284" s="56"/>
      <c r="BF284" s="56"/>
    </row>
    <row r="285" spans="1:79" ht="12.75" customHeight="1" x14ac:dyDescent="0.2">
      <c r="AB285" s="18"/>
      <c r="AC285" s="18"/>
      <c r="AD285" s="18"/>
      <c r="AE285" s="18"/>
      <c r="AF285" s="18"/>
      <c r="AG285" s="18"/>
      <c r="AH285" s="57" t="s">
        <v>1</v>
      </c>
      <c r="AI285" s="57"/>
      <c r="AJ285" s="57"/>
      <c r="AK285" s="57"/>
      <c r="AL285" s="57"/>
      <c r="AM285" s="57"/>
      <c r="AN285" s="57"/>
      <c r="AO285" s="57"/>
      <c r="AP285" s="57"/>
      <c r="AQ285" s="18"/>
      <c r="AR285" s="18"/>
      <c r="AS285" s="18"/>
      <c r="AT285" s="18"/>
      <c r="AU285" s="57" t="s">
        <v>171</v>
      </c>
      <c r="AV285" s="57"/>
      <c r="AW285" s="57"/>
      <c r="AX285" s="57"/>
      <c r="AY285" s="57"/>
      <c r="AZ285" s="57"/>
      <c r="BA285" s="57"/>
      <c r="BB285" s="57"/>
      <c r="BC285" s="57"/>
      <c r="BD285" s="57"/>
      <c r="BE285" s="57"/>
      <c r="BF285" s="57"/>
    </row>
    <row r="286" spans="1:79" ht="15" x14ac:dyDescent="0.2">
      <c r="AB286" s="18"/>
      <c r="AC286" s="18"/>
      <c r="AD286" s="18"/>
      <c r="AE286" s="18"/>
      <c r="AF286" s="18"/>
      <c r="AG286" s="18"/>
      <c r="AH286" s="19"/>
      <c r="AI286" s="19"/>
      <c r="AJ286" s="19"/>
      <c r="AK286" s="19"/>
      <c r="AL286" s="19"/>
      <c r="AM286" s="19"/>
      <c r="AN286" s="19"/>
      <c r="AO286" s="19"/>
      <c r="AP286" s="19"/>
      <c r="AQ286" s="18"/>
      <c r="AR286" s="18"/>
      <c r="AS286" s="18"/>
      <c r="AT286" s="18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</row>
    <row r="287" spans="1:79" ht="18" customHeight="1" x14ac:dyDescent="0.2">
      <c r="A287" s="52" t="s">
        <v>292</v>
      </c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18"/>
      <c r="AC287" s="18"/>
      <c r="AD287" s="18"/>
      <c r="AE287" s="18"/>
      <c r="AF287" s="18"/>
      <c r="AG287" s="18"/>
      <c r="AH287" s="54"/>
      <c r="AI287" s="54"/>
      <c r="AJ287" s="54"/>
      <c r="AK287" s="54"/>
      <c r="AL287" s="54"/>
      <c r="AM287" s="54"/>
      <c r="AN287" s="54"/>
      <c r="AO287" s="54"/>
      <c r="AP287" s="54"/>
      <c r="AQ287" s="18"/>
      <c r="AR287" s="18"/>
      <c r="AS287" s="18"/>
      <c r="AT287" s="18"/>
      <c r="AU287" s="55" t="s">
        <v>293</v>
      </c>
      <c r="AV287" s="56"/>
      <c r="AW287" s="56"/>
      <c r="AX287" s="56"/>
      <c r="AY287" s="56"/>
      <c r="AZ287" s="56"/>
      <c r="BA287" s="56"/>
      <c r="BB287" s="56"/>
      <c r="BC287" s="56"/>
      <c r="BD287" s="56"/>
      <c r="BE287" s="56"/>
      <c r="BF287" s="56"/>
    </row>
    <row r="288" spans="1:79" ht="12" customHeight="1" x14ac:dyDescent="0.2">
      <c r="AB288" s="18"/>
      <c r="AC288" s="18"/>
      <c r="AD288" s="18"/>
      <c r="AE288" s="18"/>
      <c r="AF288" s="18"/>
      <c r="AG288" s="18"/>
      <c r="AH288" s="57" t="s">
        <v>1</v>
      </c>
      <c r="AI288" s="57"/>
      <c r="AJ288" s="57"/>
      <c r="AK288" s="57"/>
      <c r="AL288" s="57"/>
      <c r="AM288" s="57"/>
      <c r="AN288" s="57"/>
      <c r="AO288" s="57"/>
      <c r="AP288" s="57"/>
      <c r="AQ288" s="18"/>
      <c r="AR288" s="18"/>
      <c r="AS288" s="18"/>
      <c r="AT288" s="18"/>
      <c r="AU288" s="57" t="s">
        <v>171</v>
      </c>
      <c r="AV288" s="57"/>
      <c r="AW288" s="57"/>
      <c r="AX288" s="57"/>
      <c r="AY288" s="57"/>
      <c r="AZ288" s="57"/>
      <c r="BA288" s="57"/>
      <c r="BB288" s="57"/>
      <c r="BC288" s="57"/>
      <c r="BD288" s="57"/>
      <c r="BE288" s="57"/>
      <c r="BF288" s="57"/>
    </row>
  </sheetData>
  <mergeCells count="2205">
    <mergeCell ref="BN1:BZ1"/>
    <mergeCell ref="A2:BZ2"/>
    <mergeCell ref="B4:AF4"/>
    <mergeCell ref="AH4:AR4"/>
    <mergeCell ref="AT4:BA4"/>
    <mergeCell ref="A5:AF5"/>
    <mergeCell ref="AH5:AR5"/>
    <mergeCell ref="AT5:BA5"/>
    <mergeCell ref="A13:BY13"/>
    <mergeCell ref="A14:BY14"/>
    <mergeCell ref="A15:BY15"/>
    <mergeCell ref="A17:BY17"/>
    <mergeCell ref="A18:BY18"/>
    <mergeCell ref="A20:BY20"/>
    <mergeCell ref="B10:L10"/>
    <mergeCell ref="N10:Y10"/>
    <mergeCell ref="AA10:AI10"/>
    <mergeCell ref="AK10:BJ10"/>
    <mergeCell ref="BL10:BS10"/>
    <mergeCell ref="B11:L11"/>
    <mergeCell ref="N11:Y11"/>
    <mergeCell ref="AA11:AI11"/>
    <mergeCell ref="AK11:BJ11"/>
    <mergeCell ref="BL11:BS11"/>
    <mergeCell ref="B7:AF7"/>
    <mergeCell ref="AH7:BA7"/>
    <mergeCell ref="BC7:BJ7"/>
    <mergeCell ref="A8:AF8"/>
    <mergeCell ref="AH8:BA8"/>
    <mergeCell ref="BC8:BJ8"/>
    <mergeCell ref="BB27:BF27"/>
    <mergeCell ref="BG27:BK27"/>
    <mergeCell ref="BL27:BP27"/>
    <mergeCell ref="BQ27:BT27"/>
    <mergeCell ref="BU27:BY27"/>
    <mergeCell ref="A28:D28"/>
    <mergeCell ref="E28:T28"/>
    <mergeCell ref="U28:Y28"/>
    <mergeCell ref="Z28:AD28"/>
    <mergeCell ref="AE28:AH28"/>
    <mergeCell ref="Z27:AD27"/>
    <mergeCell ref="AE27:AH27"/>
    <mergeCell ref="AI27:AM27"/>
    <mergeCell ref="AN27:AR27"/>
    <mergeCell ref="AS27:AW27"/>
    <mergeCell ref="AX27:BA27"/>
    <mergeCell ref="A21:BY21"/>
    <mergeCell ref="A23:BY23"/>
    <mergeCell ref="A24:BY24"/>
    <mergeCell ref="A25:BY25"/>
    <mergeCell ref="A26:D27"/>
    <mergeCell ref="E26:T27"/>
    <mergeCell ref="U26:AM26"/>
    <mergeCell ref="AN26:BF26"/>
    <mergeCell ref="BG26:BY26"/>
    <mergeCell ref="U27:Y27"/>
    <mergeCell ref="BU29:BY29"/>
    <mergeCell ref="A30:D30"/>
    <mergeCell ref="E30:T30"/>
    <mergeCell ref="U30:Y30"/>
    <mergeCell ref="Z30:AD30"/>
    <mergeCell ref="AE30:AH30"/>
    <mergeCell ref="AI30:AM30"/>
    <mergeCell ref="AN30:AR30"/>
    <mergeCell ref="AS30:AW30"/>
    <mergeCell ref="AX30:BA30"/>
    <mergeCell ref="AS29:AW29"/>
    <mergeCell ref="AX29:BA29"/>
    <mergeCell ref="BB29:BF29"/>
    <mergeCell ref="BG29:BK29"/>
    <mergeCell ref="BL29:BP29"/>
    <mergeCell ref="BQ29:BT29"/>
    <mergeCell ref="BL28:BP28"/>
    <mergeCell ref="BQ28:BT28"/>
    <mergeCell ref="BU28:BY28"/>
    <mergeCell ref="A29:D29"/>
    <mergeCell ref="E29:T29"/>
    <mergeCell ref="U29:Y29"/>
    <mergeCell ref="Z29:AD29"/>
    <mergeCell ref="AE29:AH29"/>
    <mergeCell ref="AI29:AM29"/>
    <mergeCell ref="AN29:AR29"/>
    <mergeCell ref="AI28:AM28"/>
    <mergeCell ref="AN28:AR28"/>
    <mergeCell ref="AS28:AW28"/>
    <mergeCell ref="AX28:BA28"/>
    <mergeCell ref="BB28:BF28"/>
    <mergeCell ref="BG28:BK28"/>
    <mergeCell ref="A36:BK36"/>
    <mergeCell ref="A37:D38"/>
    <mergeCell ref="E37:W38"/>
    <mergeCell ref="X37:AQ37"/>
    <mergeCell ref="AR37:BK37"/>
    <mergeCell ref="X38:AB38"/>
    <mergeCell ref="AC38:AG38"/>
    <mergeCell ref="AH38:AL38"/>
    <mergeCell ref="AM38:AQ38"/>
    <mergeCell ref="AR38:AV38"/>
    <mergeCell ref="BB30:BF30"/>
    <mergeCell ref="BG30:BK30"/>
    <mergeCell ref="BL30:BP30"/>
    <mergeCell ref="BQ30:BT30"/>
    <mergeCell ref="BU30:BY30"/>
    <mergeCell ref="A35:BL35"/>
    <mergeCell ref="AI31:AM31"/>
    <mergeCell ref="AN31:AR31"/>
    <mergeCell ref="AS31:AW31"/>
    <mergeCell ref="AX31:BA31"/>
    <mergeCell ref="AW39:BA39"/>
    <mergeCell ref="BB39:BF39"/>
    <mergeCell ref="BG39:BK39"/>
    <mergeCell ref="A40:D40"/>
    <mergeCell ref="E40:W40"/>
    <mergeCell ref="X40:AB40"/>
    <mergeCell ref="AC40:AG40"/>
    <mergeCell ref="AH40:AL40"/>
    <mergeCell ref="AM40:AQ40"/>
    <mergeCell ref="AR40:AV40"/>
    <mergeCell ref="AW38:BA38"/>
    <mergeCell ref="BB38:BF38"/>
    <mergeCell ref="BG38:BK38"/>
    <mergeCell ref="A39:D39"/>
    <mergeCell ref="E39:W39"/>
    <mergeCell ref="X39:AB39"/>
    <mergeCell ref="AC39:AG39"/>
    <mergeCell ref="AH39:AL39"/>
    <mergeCell ref="AM39:AQ39"/>
    <mergeCell ref="AR39:AV39"/>
    <mergeCell ref="AW41:BA41"/>
    <mergeCell ref="BB41:BF41"/>
    <mergeCell ref="BG41:BK41"/>
    <mergeCell ref="A46:BY46"/>
    <mergeCell ref="A47:BY47"/>
    <mergeCell ref="A48:BY48"/>
    <mergeCell ref="AM42:AQ42"/>
    <mergeCell ref="AR42:AV42"/>
    <mergeCell ref="AW42:BA42"/>
    <mergeCell ref="BB42:BF42"/>
    <mergeCell ref="AW40:BA40"/>
    <mergeCell ref="BB40:BF40"/>
    <mergeCell ref="BG40:BK40"/>
    <mergeCell ref="A41:D41"/>
    <mergeCell ref="E41:W41"/>
    <mergeCell ref="X41:AB41"/>
    <mergeCell ref="AC41:AG41"/>
    <mergeCell ref="AH41:AL41"/>
    <mergeCell ref="AM41:AQ41"/>
    <mergeCell ref="AR41:AV41"/>
    <mergeCell ref="BU50:BY50"/>
    <mergeCell ref="A51:D51"/>
    <mergeCell ref="E51:T51"/>
    <mergeCell ref="U51:Y51"/>
    <mergeCell ref="Z51:AD51"/>
    <mergeCell ref="AE51:AH51"/>
    <mergeCell ref="AI51:AM51"/>
    <mergeCell ref="AN51:AR51"/>
    <mergeCell ref="AS51:AW51"/>
    <mergeCell ref="AX51:BA51"/>
    <mergeCell ref="AS50:AW50"/>
    <mergeCell ref="AX50:BA50"/>
    <mergeCell ref="BB50:BF50"/>
    <mergeCell ref="BG50:BK50"/>
    <mergeCell ref="BL50:BP50"/>
    <mergeCell ref="BQ50:BT50"/>
    <mergeCell ref="A49:D50"/>
    <mergeCell ref="E49:T50"/>
    <mergeCell ref="U49:AM49"/>
    <mergeCell ref="AN49:BF49"/>
    <mergeCell ref="BG49:BY49"/>
    <mergeCell ref="U50:Y50"/>
    <mergeCell ref="Z50:AD50"/>
    <mergeCell ref="AE50:AH50"/>
    <mergeCell ref="AI50:AM50"/>
    <mergeCell ref="AN50:AR50"/>
    <mergeCell ref="BL52:BP52"/>
    <mergeCell ref="BQ52:BT52"/>
    <mergeCell ref="BU52:BY52"/>
    <mergeCell ref="A53:D53"/>
    <mergeCell ref="E53:T53"/>
    <mergeCell ref="U53:Y53"/>
    <mergeCell ref="Z53:AD53"/>
    <mergeCell ref="AE53:AH53"/>
    <mergeCell ref="AI53:AM53"/>
    <mergeCell ref="AN53:AR53"/>
    <mergeCell ref="AI52:AM52"/>
    <mergeCell ref="AN52:AR52"/>
    <mergeCell ref="AS52:AW52"/>
    <mergeCell ref="AX52:BA52"/>
    <mergeCell ref="BB52:BF52"/>
    <mergeCell ref="BG52:BK52"/>
    <mergeCell ref="BB51:BF51"/>
    <mergeCell ref="BG51:BK51"/>
    <mergeCell ref="BL51:BP51"/>
    <mergeCell ref="BQ51:BT51"/>
    <mergeCell ref="BU51:BY51"/>
    <mergeCell ref="A52:D52"/>
    <mergeCell ref="E52:T52"/>
    <mergeCell ref="U52:Y52"/>
    <mergeCell ref="Z52:AD52"/>
    <mergeCell ref="AE52:AH52"/>
    <mergeCell ref="BL60:BP60"/>
    <mergeCell ref="BQ60:BT60"/>
    <mergeCell ref="BU60:BY60"/>
    <mergeCell ref="A61:E61"/>
    <mergeCell ref="F61:T61"/>
    <mergeCell ref="U61:Y61"/>
    <mergeCell ref="Z61:AD61"/>
    <mergeCell ref="AE61:AH61"/>
    <mergeCell ref="AI61:AM61"/>
    <mergeCell ref="AE60:AH60"/>
    <mergeCell ref="AI60:AM60"/>
    <mergeCell ref="AN60:AR60"/>
    <mergeCell ref="AS60:AW60"/>
    <mergeCell ref="AX60:BA60"/>
    <mergeCell ref="BB60:BF60"/>
    <mergeCell ref="BU53:BY53"/>
    <mergeCell ref="A57:BL57"/>
    <mergeCell ref="A58:BY58"/>
    <mergeCell ref="A59:E60"/>
    <mergeCell ref="F59:T60"/>
    <mergeCell ref="U59:AM59"/>
    <mergeCell ref="AN59:BF59"/>
    <mergeCell ref="BG59:BY59"/>
    <mergeCell ref="U60:Y60"/>
    <mergeCell ref="Z60:AD60"/>
    <mergeCell ref="AS53:AW53"/>
    <mergeCell ref="AX53:BA53"/>
    <mergeCell ref="BB53:BF53"/>
    <mergeCell ref="BG53:BK53"/>
    <mergeCell ref="BL53:BP53"/>
    <mergeCell ref="BQ53:BT53"/>
    <mergeCell ref="BQ62:BT62"/>
    <mergeCell ref="BU62:BY62"/>
    <mergeCell ref="BQ61:BT61"/>
    <mergeCell ref="BU61:BY61"/>
    <mergeCell ref="A62:E62"/>
    <mergeCell ref="F62:T62"/>
    <mergeCell ref="U62:Y62"/>
    <mergeCell ref="Z62:AD62"/>
    <mergeCell ref="AE62:AH62"/>
    <mergeCell ref="AI62:AM62"/>
    <mergeCell ref="AN62:AR62"/>
    <mergeCell ref="AS62:AW62"/>
    <mergeCell ref="AN61:AR61"/>
    <mergeCell ref="AS61:AW61"/>
    <mergeCell ref="AX61:BA61"/>
    <mergeCell ref="BB61:BF61"/>
    <mergeCell ref="BG61:BK61"/>
    <mergeCell ref="BL61:BP61"/>
    <mergeCell ref="BQ63:BT63"/>
    <mergeCell ref="BU63:BY63"/>
    <mergeCell ref="A65:BL65"/>
    <mergeCell ref="A66:BK66"/>
    <mergeCell ref="A67:D68"/>
    <mergeCell ref="E67:W68"/>
    <mergeCell ref="X67:AQ67"/>
    <mergeCell ref="AR67:BK67"/>
    <mergeCell ref="X68:AB68"/>
    <mergeCell ref="AC68:AG68"/>
    <mergeCell ref="AN63:AR63"/>
    <mergeCell ref="AS63:AW63"/>
    <mergeCell ref="AX63:BA63"/>
    <mergeCell ref="BB63:BF63"/>
    <mergeCell ref="BG63:BK63"/>
    <mergeCell ref="BL63:BP63"/>
    <mergeCell ref="A63:E63"/>
    <mergeCell ref="F63:T63"/>
    <mergeCell ref="U63:Y63"/>
    <mergeCell ref="Z63:AD63"/>
    <mergeCell ref="AE63:AH63"/>
    <mergeCell ref="AI63:AM63"/>
    <mergeCell ref="A75:BL75"/>
    <mergeCell ref="A76:BK76"/>
    <mergeCell ref="AM72:AQ72"/>
    <mergeCell ref="AR72:AV72"/>
    <mergeCell ref="AW72:BA72"/>
    <mergeCell ref="BB72:BF72"/>
    <mergeCell ref="AR70:AV70"/>
    <mergeCell ref="AW70:BA70"/>
    <mergeCell ref="BB70:BF70"/>
    <mergeCell ref="BG70:BK70"/>
    <mergeCell ref="A71:D71"/>
    <mergeCell ref="E71:W71"/>
    <mergeCell ref="X71:AB71"/>
    <mergeCell ref="AC71:AG71"/>
    <mergeCell ref="AH71:AL71"/>
    <mergeCell ref="AM71:AQ71"/>
    <mergeCell ref="AR69:AV69"/>
    <mergeCell ref="AW69:BA69"/>
    <mergeCell ref="BB69:BF69"/>
    <mergeCell ref="BG69:BK69"/>
    <mergeCell ref="A70:D70"/>
    <mergeCell ref="E70:W70"/>
    <mergeCell ref="X70:AB70"/>
    <mergeCell ref="AC70:AG70"/>
    <mergeCell ref="AH70:AL70"/>
    <mergeCell ref="AM70:AQ70"/>
    <mergeCell ref="A69:D69"/>
    <mergeCell ref="E69:W69"/>
    <mergeCell ref="X69:AB69"/>
    <mergeCell ref="AC69:AG69"/>
    <mergeCell ref="AH69:AL69"/>
    <mergeCell ref="AM69:AQ69"/>
    <mergeCell ref="BB78:BF78"/>
    <mergeCell ref="BG78:BK78"/>
    <mergeCell ref="A79:E79"/>
    <mergeCell ref="F79:W79"/>
    <mergeCell ref="X79:AB79"/>
    <mergeCell ref="AC79:AG79"/>
    <mergeCell ref="AH79:AL79"/>
    <mergeCell ref="AM79:AQ79"/>
    <mergeCell ref="AR79:AV79"/>
    <mergeCell ref="AW79:BA79"/>
    <mergeCell ref="A77:E78"/>
    <mergeCell ref="F77:W78"/>
    <mergeCell ref="X77:AQ77"/>
    <mergeCell ref="AR77:BK77"/>
    <mergeCell ref="X78:AB78"/>
    <mergeCell ref="AC78:AG78"/>
    <mergeCell ref="AH78:AL78"/>
    <mergeCell ref="AM78:AQ78"/>
    <mergeCell ref="AR78:AV78"/>
    <mergeCell ref="AW78:BA78"/>
    <mergeCell ref="BB80:BF80"/>
    <mergeCell ref="BG80:BK80"/>
    <mergeCell ref="A81:E81"/>
    <mergeCell ref="F81:W81"/>
    <mergeCell ref="X81:AB81"/>
    <mergeCell ref="AC81:AG81"/>
    <mergeCell ref="AH81:AL81"/>
    <mergeCell ref="AM81:AQ81"/>
    <mergeCell ref="AR81:AV81"/>
    <mergeCell ref="AW81:BA81"/>
    <mergeCell ref="BB79:BF79"/>
    <mergeCell ref="BG79:BK79"/>
    <mergeCell ref="A80:E80"/>
    <mergeCell ref="F80:W80"/>
    <mergeCell ref="X80:AB80"/>
    <mergeCell ref="AC80:AG80"/>
    <mergeCell ref="AH80:AL80"/>
    <mergeCell ref="AM80:AQ80"/>
    <mergeCell ref="AR80:AV80"/>
    <mergeCell ref="AW80:BA80"/>
    <mergeCell ref="AX87:BA87"/>
    <mergeCell ref="BB87:BF87"/>
    <mergeCell ref="BG87:BK87"/>
    <mergeCell ref="BL87:BP87"/>
    <mergeCell ref="BQ87:BT87"/>
    <mergeCell ref="BU87:BY87"/>
    <mergeCell ref="U87:Y87"/>
    <mergeCell ref="Z87:AD87"/>
    <mergeCell ref="AE87:AH87"/>
    <mergeCell ref="AI87:AM87"/>
    <mergeCell ref="AN87:AR87"/>
    <mergeCell ref="AS87:AW87"/>
    <mergeCell ref="BB81:BF81"/>
    <mergeCell ref="BG81:BK81"/>
    <mergeCell ref="A83:BL83"/>
    <mergeCell ref="A84:BL84"/>
    <mergeCell ref="A85:BY85"/>
    <mergeCell ref="A86:C87"/>
    <mergeCell ref="D86:T87"/>
    <mergeCell ref="U86:AM86"/>
    <mergeCell ref="AN86:BF86"/>
    <mergeCell ref="BG86:BY86"/>
    <mergeCell ref="AE90:AH90"/>
    <mergeCell ref="AI90:AM90"/>
    <mergeCell ref="AX89:BA89"/>
    <mergeCell ref="BB89:BF89"/>
    <mergeCell ref="BG89:BK89"/>
    <mergeCell ref="BL89:BP89"/>
    <mergeCell ref="BQ89:BT89"/>
    <mergeCell ref="BU89:BY89"/>
    <mergeCell ref="BQ88:BT88"/>
    <mergeCell ref="BU88:BY88"/>
    <mergeCell ref="A89:C89"/>
    <mergeCell ref="D89:T89"/>
    <mergeCell ref="U89:Y89"/>
    <mergeCell ref="Z89:AD89"/>
    <mergeCell ref="AE89:AH89"/>
    <mergeCell ref="AI89:AM89"/>
    <mergeCell ref="AN89:AR89"/>
    <mergeCell ref="AS89:AW89"/>
    <mergeCell ref="AN88:AR88"/>
    <mergeCell ref="AS88:AW88"/>
    <mergeCell ref="AX88:BA88"/>
    <mergeCell ref="BB88:BF88"/>
    <mergeCell ref="BG88:BK88"/>
    <mergeCell ref="BL88:BP88"/>
    <mergeCell ref="A88:C88"/>
    <mergeCell ref="D88:T88"/>
    <mergeCell ref="U88:Y88"/>
    <mergeCell ref="Z88:AD88"/>
    <mergeCell ref="AE88:AH88"/>
    <mergeCell ref="AI88:AM88"/>
    <mergeCell ref="A122:C122"/>
    <mergeCell ref="D122:T122"/>
    <mergeCell ref="U122:Y122"/>
    <mergeCell ref="Z122:AD122"/>
    <mergeCell ref="AE122:AI122"/>
    <mergeCell ref="AJ122:AN122"/>
    <mergeCell ref="AE121:AI121"/>
    <mergeCell ref="AJ121:AN121"/>
    <mergeCell ref="AO121:AS121"/>
    <mergeCell ref="AT121:AX121"/>
    <mergeCell ref="AY121:BC121"/>
    <mergeCell ref="BD121:BH121"/>
    <mergeCell ref="BQ90:BT90"/>
    <mergeCell ref="BU90:BY90"/>
    <mergeCell ref="A118:BL118"/>
    <mergeCell ref="A119:BH119"/>
    <mergeCell ref="A120:C121"/>
    <mergeCell ref="D120:T121"/>
    <mergeCell ref="U120:AN120"/>
    <mergeCell ref="AO120:BH120"/>
    <mergeCell ref="U121:Y121"/>
    <mergeCell ref="Z121:AD121"/>
    <mergeCell ref="AN90:AR90"/>
    <mergeCell ref="AS90:AW90"/>
    <mergeCell ref="AX90:BA90"/>
    <mergeCell ref="BB90:BF90"/>
    <mergeCell ref="BG90:BK90"/>
    <mergeCell ref="BL90:BP90"/>
    <mergeCell ref="A90:C90"/>
    <mergeCell ref="D90:T90"/>
    <mergeCell ref="U90:Y90"/>
    <mergeCell ref="Z90:AD90"/>
    <mergeCell ref="BJ154:BX154"/>
    <mergeCell ref="AF155:AJ155"/>
    <mergeCell ref="AK155:AO155"/>
    <mergeCell ref="AP155:AT155"/>
    <mergeCell ref="AU155:AY155"/>
    <mergeCell ref="AZ155:BD155"/>
    <mergeCell ref="BE155:BI155"/>
    <mergeCell ref="BJ155:BN155"/>
    <mergeCell ref="BO155:BS155"/>
    <mergeCell ref="BT155:BX155"/>
    <mergeCell ref="A154:C155"/>
    <mergeCell ref="D154:P155"/>
    <mergeCell ref="Q154:U155"/>
    <mergeCell ref="V154:AE155"/>
    <mergeCell ref="AF154:AT154"/>
    <mergeCell ref="AU154:BI154"/>
    <mergeCell ref="AO124:AS124"/>
    <mergeCell ref="AT124:AX124"/>
    <mergeCell ref="AY124:BC124"/>
    <mergeCell ref="BD124:BH124"/>
    <mergeCell ref="A152:BL152"/>
    <mergeCell ref="A153:BL153"/>
    <mergeCell ref="BD125:BH125"/>
    <mergeCell ref="A126:C126"/>
    <mergeCell ref="D126:T126"/>
    <mergeCell ref="U126:Y126"/>
    <mergeCell ref="A124:C124"/>
    <mergeCell ref="D124:T124"/>
    <mergeCell ref="U124:Y124"/>
    <mergeCell ref="Z124:AD124"/>
    <mergeCell ref="AE124:AI124"/>
    <mergeCell ref="AJ124:AN124"/>
    <mergeCell ref="BT156:BX156"/>
    <mergeCell ref="A157:C157"/>
    <mergeCell ref="D157:P157"/>
    <mergeCell ref="Q157:U157"/>
    <mergeCell ref="V157:AE157"/>
    <mergeCell ref="AF157:AJ157"/>
    <mergeCell ref="AK157:AO157"/>
    <mergeCell ref="AP157:AT157"/>
    <mergeCell ref="AU157:AY157"/>
    <mergeCell ref="AZ157:BD157"/>
    <mergeCell ref="AP156:AT156"/>
    <mergeCell ref="AU156:AY156"/>
    <mergeCell ref="AZ156:BD156"/>
    <mergeCell ref="BE156:BI156"/>
    <mergeCell ref="BJ156:BN156"/>
    <mergeCell ref="BO156:BS156"/>
    <mergeCell ref="A156:C156"/>
    <mergeCell ref="D156:P156"/>
    <mergeCell ref="Q156:U156"/>
    <mergeCell ref="V156:AE156"/>
    <mergeCell ref="AF156:AJ156"/>
    <mergeCell ref="AK156:AO156"/>
    <mergeCell ref="BT158:BX158"/>
    <mergeCell ref="A171:BL171"/>
    <mergeCell ref="A172:C173"/>
    <mergeCell ref="D172:P173"/>
    <mergeCell ref="Q172:U173"/>
    <mergeCell ref="V172:AE173"/>
    <mergeCell ref="AF172:AT172"/>
    <mergeCell ref="AU172:BI172"/>
    <mergeCell ref="AF173:AJ173"/>
    <mergeCell ref="AK173:AO173"/>
    <mergeCell ref="AP158:AT158"/>
    <mergeCell ref="AU158:AY158"/>
    <mergeCell ref="AZ158:BD158"/>
    <mergeCell ref="BE158:BI158"/>
    <mergeCell ref="BJ158:BN158"/>
    <mergeCell ref="BO158:BS158"/>
    <mergeCell ref="BE157:BI157"/>
    <mergeCell ref="BJ157:BN157"/>
    <mergeCell ref="BO157:BS157"/>
    <mergeCell ref="BT157:BX157"/>
    <mergeCell ref="A158:C158"/>
    <mergeCell ref="D158:P158"/>
    <mergeCell ref="Q158:U158"/>
    <mergeCell ref="V158:AE158"/>
    <mergeCell ref="AF158:AJ158"/>
    <mergeCell ref="AK158:AO158"/>
    <mergeCell ref="AP174:AT174"/>
    <mergeCell ref="AU174:AY174"/>
    <mergeCell ref="AZ174:BD174"/>
    <mergeCell ref="BE174:BI174"/>
    <mergeCell ref="A175:C175"/>
    <mergeCell ref="D175:P175"/>
    <mergeCell ref="Q175:U175"/>
    <mergeCell ref="V175:AE175"/>
    <mergeCell ref="AF175:AJ175"/>
    <mergeCell ref="AK175:AO175"/>
    <mergeCell ref="AP173:AT173"/>
    <mergeCell ref="AU173:AY173"/>
    <mergeCell ref="AZ173:BD173"/>
    <mergeCell ref="BE173:BI173"/>
    <mergeCell ref="A174:C174"/>
    <mergeCell ref="D174:P174"/>
    <mergeCell ref="Q174:U174"/>
    <mergeCell ref="V174:AE174"/>
    <mergeCell ref="AF174:AJ174"/>
    <mergeCell ref="AK174:AO174"/>
    <mergeCell ref="AP176:AT176"/>
    <mergeCell ref="AU176:AY176"/>
    <mergeCell ref="AZ176:BD176"/>
    <mergeCell ref="BE176:BI176"/>
    <mergeCell ref="A189:BL189"/>
    <mergeCell ref="A190:BR190"/>
    <mergeCell ref="BE177:BI177"/>
    <mergeCell ref="A178:C178"/>
    <mergeCell ref="D178:P178"/>
    <mergeCell ref="Q178:U178"/>
    <mergeCell ref="AP175:AT175"/>
    <mergeCell ref="AU175:AY175"/>
    <mergeCell ref="AZ175:BD175"/>
    <mergeCell ref="BE175:BI175"/>
    <mergeCell ref="A176:C176"/>
    <mergeCell ref="D176:P176"/>
    <mergeCell ref="Q176:U176"/>
    <mergeCell ref="V176:AE176"/>
    <mergeCell ref="AF176:AJ176"/>
    <mergeCell ref="AK176:AO176"/>
    <mergeCell ref="AT193:AX193"/>
    <mergeCell ref="AY193:BC193"/>
    <mergeCell ref="BD193:BH193"/>
    <mergeCell ref="BI193:BM193"/>
    <mergeCell ref="BN193:BR193"/>
    <mergeCell ref="A194:T194"/>
    <mergeCell ref="U194:Y194"/>
    <mergeCell ref="Z194:AD194"/>
    <mergeCell ref="AE194:AI194"/>
    <mergeCell ref="AJ194:AN194"/>
    <mergeCell ref="A193:T193"/>
    <mergeCell ref="U193:Y193"/>
    <mergeCell ref="Z193:AD193"/>
    <mergeCell ref="AE193:AI193"/>
    <mergeCell ref="AJ193:AN193"/>
    <mergeCell ref="AO193:AS193"/>
    <mergeCell ref="AO192:AS192"/>
    <mergeCell ref="AT192:AX192"/>
    <mergeCell ref="AY192:BC192"/>
    <mergeCell ref="BD192:BH192"/>
    <mergeCell ref="BI192:BM192"/>
    <mergeCell ref="BN192:BR192"/>
    <mergeCell ref="A191:T192"/>
    <mergeCell ref="U191:AD191"/>
    <mergeCell ref="AE191:AN191"/>
    <mergeCell ref="AO191:AX191"/>
    <mergeCell ref="AY191:BH191"/>
    <mergeCell ref="BI191:BR191"/>
    <mergeCell ref="U192:Y192"/>
    <mergeCell ref="Z192:AD192"/>
    <mergeCell ref="AE192:AI192"/>
    <mergeCell ref="AJ192:AN192"/>
    <mergeCell ref="AT195:AX195"/>
    <mergeCell ref="AY195:BC195"/>
    <mergeCell ref="BD195:BH195"/>
    <mergeCell ref="BI195:BM195"/>
    <mergeCell ref="BN195:BR195"/>
    <mergeCell ref="A205:BL205"/>
    <mergeCell ref="BI196:BM196"/>
    <mergeCell ref="BN196:BR196"/>
    <mergeCell ref="A197:T197"/>
    <mergeCell ref="U197:Y197"/>
    <mergeCell ref="A195:T195"/>
    <mergeCell ref="U195:Y195"/>
    <mergeCell ref="Z195:AD195"/>
    <mergeCell ref="AE195:AI195"/>
    <mergeCell ref="AJ195:AN195"/>
    <mergeCell ref="AO195:AS195"/>
    <mergeCell ref="AO194:AS194"/>
    <mergeCell ref="AT194:AX194"/>
    <mergeCell ref="AY194:BC194"/>
    <mergeCell ref="BD194:BH194"/>
    <mergeCell ref="BI194:BM194"/>
    <mergeCell ref="BN194:BR194"/>
    <mergeCell ref="A209:C209"/>
    <mergeCell ref="D209:V209"/>
    <mergeCell ref="W209:Y209"/>
    <mergeCell ref="Z209:AB209"/>
    <mergeCell ref="AC209:AE209"/>
    <mergeCell ref="AF209:AH209"/>
    <mergeCell ref="BJ207:BL208"/>
    <mergeCell ref="W208:Y208"/>
    <mergeCell ref="Z208:AB208"/>
    <mergeCell ref="AC208:AE208"/>
    <mergeCell ref="AF208:AH208"/>
    <mergeCell ref="AI208:AK208"/>
    <mergeCell ref="AL208:AN208"/>
    <mergeCell ref="AO208:AQ208"/>
    <mergeCell ref="AR208:AT208"/>
    <mergeCell ref="BG206:BL206"/>
    <mergeCell ref="W207:AB207"/>
    <mergeCell ref="AC207:AH207"/>
    <mergeCell ref="AI207:AN207"/>
    <mergeCell ref="AO207:AT207"/>
    <mergeCell ref="AU207:AW208"/>
    <mergeCell ref="AX207:AZ208"/>
    <mergeCell ref="BA207:BC208"/>
    <mergeCell ref="BD207:BF208"/>
    <mergeCell ref="BG207:BI208"/>
    <mergeCell ref="A206:C208"/>
    <mergeCell ref="D206:V208"/>
    <mergeCell ref="W206:AH206"/>
    <mergeCell ref="AI206:AT206"/>
    <mergeCell ref="AU206:AZ206"/>
    <mergeCell ref="BA206:BF206"/>
    <mergeCell ref="BA210:BC210"/>
    <mergeCell ref="BD210:BF210"/>
    <mergeCell ref="BG210:BI210"/>
    <mergeCell ref="BJ210:BL210"/>
    <mergeCell ref="A211:C211"/>
    <mergeCell ref="D211:V211"/>
    <mergeCell ref="W211:Y211"/>
    <mergeCell ref="Z211:AB211"/>
    <mergeCell ref="AC211:AE211"/>
    <mergeCell ref="AF211:AH211"/>
    <mergeCell ref="AI210:AK210"/>
    <mergeCell ref="AL210:AN210"/>
    <mergeCell ref="AO210:AQ210"/>
    <mergeCell ref="AR210:AT210"/>
    <mergeCell ref="AU210:AW210"/>
    <mergeCell ref="AX210:AZ210"/>
    <mergeCell ref="BA209:BC209"/>
    <mergeCell ref="BD209:BF209"/>
    <mergeCell ref="BG209:BI209"/>
    <mergeCell ref="BJ209:BL209"/>
    <mergeCell ref="A210:C210"/>
    <mergeCell ref="D210:V210"/>
    <mergeCell ref="W210:Y210"/>
    <mergeCell ref="Z210:AB210"/>
    <mergeCell ref="AC210:AE210"/>
    <mergeCell ref="AF210:AH210"/>
    <mergeCell ref="AI209:AK209"/>
    <mergeCell ref="AL209:AN209"/>
    <mergeCell ref="AO209:AQ209"/>
    <mergeCell ref="AR209:AT209"/>
    <mergeCell ref="AU209:AW209"/>
    <mergeCell ref="AX209:AZ209"/>
    <mergeCell ref="AP221:AT221"/>
    <mergeCell ref="AU221:AY221"/>
    <mergeCell ref="AZ221:BD221"/>
    <mergeCell ref="BE221:BI221"/>
    <mergeCell ref="BJ221:BN221"/>
    <mergeCell ref="BO221:BS221"/>
    <mergeCell ref="A219:BS219"/>
    <mergeCell ref="A220:F221"/>
    <mergeCell ref="G220:S221"/>
    <mergeCell ref="T220:Z221"/>
    <mergeCell ref="AA220:AO220"/>
    <mergeCell ref="AP220:BD220"/>
    <mergeCell ref="BE220:BS220"/>
    <mergeCell ref="AA221:AE221"/>
    <mergeCell ref="AF221:AJ221"/>
    <mergeCell ref="AK221:AO221"/>
    <mergeCell ref="BA211:BC211"/>
    <mergeCell ref="BD211:BF211"/>
    <mergeCell ref="BG211:BI211"/>
    <mergeCell ref="BJ211:BL211"/>
    <mergeCell ref="A217:BL217"/>
    <mergeCell ref="A218:BS218"/>
    <mergeCell ref="A212:C212"/>
    <mergeCell ref="D212:V212"/>
    <mergeCell ref="W212:Y212"/>
    <mergeCell ref="Z212:AB212"/>
    <mergeCell ref="AI211:AK211"/>
    <mergeCell ref="AL211:AN211"/>
    <mergeCell ref="AO211:AQ211"/>
    <mergeCell ref="AR211:AT211"/>
    <mergeCell ref="AU211:AW211"/>
    <mergeCell ref="AX211:AZ211"/>
    <mergeCell ref="AF224:AJ224"/>
    <mergeCell ref="AK224:AO224"/>
    <mergeCell ref="AP223:AT223"/>
    <mergeCell ref="AU223:AY223"/>
    <mergeCell ref="AZ223:BD223"/>
    <mergeCell ref="BE223:BI223"/>
    <mergeCell ref="BJ223:BN223"/>
    <mergeCell ref="BO223:BS223"/>
    <mergeCell ref="A223:F223"/>
    <mergeCell ref="G223:S223"/>
    <mergeCell ref="T223:Z223"/>
    <mergeCell ref="AA223:AE223"/>
    <mergeCell ref="AF223:AJ223"/>
    <mergeCell ref="AK223:AO223"/>
    <mergeCell ref="AP222:AT222"/>
    <mergeCell ref="AU222:AY222"/>
    <mergeCell ref="AZ222:BD222"/>
    <mergeCell ref="BE222:BI222"/>
    <mergeCell ref="BJ222:BN222"/>
    <mergeCell ref="BO222:BS222"/>
    <mergeCell ref="A222:F222"/>
    <mergeCell ref="G222:S222"/>
    <mergeCell ref="T222:Z222"/>
    <mergeCell ref="AA222:AE222"/>
    <mergeCell ref="AF222:AJ222"/>
    <mergeCell ref="AK222:AO222"/>
    <mergeCell ref="AP230:AT230"/>
    <mergeCell ref="AU230:AY230"/>
    <mergeCell ref="AZ230:BD230"/>
    <mergeCell ref="A231:F231"/>
    <mergeCell ref="G231:S231"/>
    <mergeCell ref="T231:Z231"/>
    <mergeCell ref="AA231:AE231"/>
    <mergeCell ref="AF231:AJ231"/>
    <mergeCell ref="AK231:AO231"/>
    <mergeCell ref="AP231:AT231"/>
    <mergeCell ref="A227:BL227"/>
    <mergeCell ref="A228:BD228"/>
    <mergeCell ref="A229:F230"/>
    <mergeCell ref="G229:S230"/>
    <mergeCell ref="T229:Z230"/>
    <mergeCell ref="AA229:AO229"/>
    <mergeCell ref="AP229:BD229"/>
    <mergeCell ref="AA230:AE230"/>
    <mergeCell ref="AF230:AJ230"/>
    <mergeCell ref="AK230:AO230"/>
    <mergeCell ref="AZ232:BD232"/>
    <mergeCell ref="A233:F233"/>
    <mergeCell ref="G233:S233"/>
    <mergeCell ref="T233:Z233"/>
    <mergeCell ref="AA233:AE233"/>
    <mergeCell ref="AF233:AJ233"/>
    <mergeCell ref="AK233:AO233"/>
    <mergeCell ref="AP233:AT233"/>
    <mergeCell ref="AU233:AY233"/>
    <mergeCell ref="AZ233:BD233"/>
    <mergeCell ref="AU231:AY231"/>
    <mergeCell ref="AZ231:BD231"/>
    <mergeCell ref="A232:F232"/>
    <mergeCell ref="G232:S232"/>
    <mergeCell ref="T232:Z232"/>
    <mergeCell ref="AA232:AE232"/>
    <mergeCell ref="AF232:AJ232"/>
    <mergeCell ref="AK232:AO232"/>
    <mergeCell ref="AP232:AT232"/>
    <mergeCell ref="AU232:AY232"/>
    <mergeCell ref="BB239:BF239"/>
    <mergeCell ref="BG239:BJ239"/>
    <mergeCell ref="BK239:BO239"/>
    <mergeCell ref="BP239:BS239"/>
    <mergeCell ref="A240:M240"/>
    <mergeCell ref="N240:U240"/>
    <mergeCell ref="V240:Z240"/>
    <mergeCell ref="AA240:AE240"/>
    <mergeCell ref="AF240:AI240"/>
    <mergeCell ref="AJ240:AN240"/>
    <mergeCell ref="AA239:AE239"/>
    <mergeCell ref="AF239:AI239"/>
    <mergeCell ref="AJ239:AN239"/>
    <mergeCell ref="AO239:AR239"/>
    <mergeCell ref="AS239:AW239"/>
    <mergeCell ref="AX239:BA239"/>
    <mergeCell ref="A236:BL236"/>
    <mergeCell ref="A237:BM237"/>
    <mergeCell ref="A238:M239"/>
    <mergeCell ref="N238:U239"/>
    <mergeCell ref="V238:Z239"/>
    <mergeCell ref="AA238:AI238"/>
    <mergeCell ref="AJ238:AR238"/>
    <mergeCell ref="AS238:BA238"/>
    <mergeCell ref="BB238:BJ238"/>
    <mergeCell ref="BK238:BS238"/>
    <mergeCell ref="BB241:BF241"/>
    <mergeCell ref="BG241:BJ241"/>
    <mergeCell ref="BK241:BO241"/>
    <mergeCell ref="BP241:BS241"/>
    <mergeCell ref="A242:M242"/>
    <mergeCell ref="N242:U242"/>
    <mergeCell ref="V242:Z242"/>
    <mergeCell ref="AA242:AE242"/>
    <mergeCell ref="AF242:AI242"/>
    <mergeCell ref="AJ242:AN242"/>
    <mergeCell ref="BP240:BS240"/>
    <mergeCell ref="A241:M241"/>
    <mergeCell ref="N241:U241"/>
    <mergeCell ref="V241:Z241"/>
    <mergeCell ref="AA241:AE241"/>
    <mergeCell ref="AF241:AI241"/>
    <mergeCell ref="AJ241:AN241"/>
    <mergeCell ref="AO241:AR241"/>
    <mergeCell ref="AS241:AW241"/>
    <mergeCell ref="AX241:BA241"/>
    <mergeCell ref="AO240:AR240"/>
    <mergeCell ref="AS240:AW240"/>
    <mergeCell ref="AX240:BA240"/>
    <mergeCell ref="BB240:BF240"/>
    <mergeCell ref="BG240:BJ240"/>
    <mergeCell ref="BK240:BO240"/>
    <mergeCell ref="BG250:BL251"/>
    <mergeCell ref="AW251:BA251"/>
    <mergeCell ref="BB251:BF251"/>
    <mergeCell ref="A252:F252"/>
    <mergeCell ref="G252:S252"/>
    <mergeCell ref="T252:Y252"/>
    <mergeCell ref="Z252:AD252"/>
    <mergeCell ref="AE252:AJ252"/>
    <mergeCell ref="A250:F251"/>
    <mergeCell ref="G250:S251"/>
    <mergeCell ref="T250:Y251"/>
    <mergeCell ref="Z250:AD251"/>
    <mergeCell ref="AE250:AJ251"/>
    <mergeCell ref="AK250:AP251"/>
    <mergeCell ref="BP242:BS242"/>
    <mergeCell ref="A244:BL244"/>
    <mergeCell ref="A245:BL245"/>
    <mergeCell ref="A247:BL247"/>
    <mergeCell ref="A248:BL248"/>
    <mergeCell ref="A249:BL249"/>
    <mergeCell ref="AO242:AR242"/>
    <mergeCell ref="AS242:AW242"/>
    <mergeCell ref="AX242:BA242"/>
    <mergeCell ref="BB242:BF242"/>
    <mergeCell ref="BG242:BJ242"/>
    <mergeCell ref="BK242:BO242"/>
    <mergeCell ref="A258:BL258"/>
    <mergeCell ref="BG255:BL255"/>
    <mergeCell ref="A256:F256"/>
    <mergeCell ref="G256:S256"/>
    <mergeCell ref="T256:Y256"/>
    <mergeCell ref="AK253:AP253"/>
    <mergeCell ref="AQ253:AV253"/>
    <mergeCell ref="AW253:BA253"/>
    <mergeCell ref="BB253:BF253"/>
    <mergeCell ref="BG253:BL253"/>
    <mergeCell ref="A254:F254"/>
    <mergeCell ref="G254:S254"/>
    <mergeCell ref="T254:Y254"/>
    <mergeCell ref="Z254:AD254"/>
    <mergeCell ref="AE254:AJ254"/>
    <mergeCell ref="AK252:AP252"/>
    <mergeCell ref="AQ252:AV252"/>
    <mergeCell ref="AW252:BA252"/>
    <mergeCell ref="BB252:BF252"/>
    <mergeCell ref="BG252:BL252"/>
    <mergeCell ref="A253:F253"/>
    <mergeCell ref="G253:S253"/>
    <mergeCell ref="T253:Y253"/>
    <mergeCell ref="Z253:AD253"/>
    <mergeCell ref="AE253:AJ253"/>
    <mergeCell ref="AT261:AW262"/>
    <mergeCell ref="AX261:BG261"/>
    <mergeCell ref="BH261:BL262"/>
    <mergeCell ref="Z262:AD262"/>
    <mergeCell ref="AE262:AI262"/>
    <mergeCell ref="AX262:BB262"/>
    <mergeCell ref="BC262:BG262"/>
    <mergeCell ref="A259:BL259"/>
    <mergeCell ref="A260:F262"/>
    <mergeCell ref="G260:P262"/>
    <mergeCell ref="Q260:AN260"/>
    <mergeCell ref="AO260:BL260"/>
    <mergeCell ref="Q261:U262"/>
    <mergeCell ref="V261:Y262"/>
    <mergeCell ref="Z261:AI261"/>
    <mergeCell ref="AJ261:AN262"/>
    <mergeCell ref="AO261:AS262"/>
    <mergeCell ref="AJ264:AN264"/>
    <mergeCell ref="AO264:AS264"/>
    <mergeCell ref="AT264:AW264"/>
    <mergeCell ref="AX264:BB264"/>
    <mergeCell ref="BC264:BG264"/>
    <mergeCell ref="BH264:BL264"/>
    <mergeCell ref="A264:F264"/>
    <mergeCell ref="G264:P264"/>
    <mergeCell ref="Q264:U264"/>
    <mergeCell ref="V264:Y264"/>
    <mergeCell ref="Z264:AD264"/>
    <mergeCell ref="AE264:AI264"/>
    <mergeCell ref="AJ263:AN263"/>
    <mergeCell ref="AO263:AS263"/>
    <mergeCell ref="AT263:AW263"/>
    <mergeCell ref="AX263:BB263"/>
    <mergeCell ref="BC263:BG263"/>
    <mergeCell ref="BH263:BL263"/>
    <mergeCell ref="A263:F263"/>
    <mergeCell ref="G263:P263"/>
    <mergeCell ref="Q263:U263"/>
    <mergeCell ref="V263:Y263"/>
    <mergeCell ref="Z263:AD263"/>
    <mergeCell ref="AE263:AI263"/>
    <mergeCell ref="A268:BL268"/>
    <mergeCell ref="A269:BL269"/>
    <mergeCell ref="A270:F271"/>
    <mergeCell ref="G270:S271"/>
    <mergeCell ref="T270:Y271"/>
    <mergeCell ref="Z270:AD271"/>
    <mergeCell ref="AE270:AJ271"/>
    <mergeCell ref="AK270:AP271"/>
    <mergeCell ref="AQ270:AV271"/>
    <mergeCell ref="AW270:BD271"/>
    <mergeCell ref="AJ265:AN265"/>
    <mergeCell ref="AO265:AS265"/>
    <mergeCell ref="AT265:AW265"/>
    <mergeCell ref="AX265:BB265"/>
    <mergeCell ref="BC265:BG265"/>
    <mergeCell ref="BH265:BL265"/>
    <mergeCell ref="A265:F265"/>
    <mergeCell ref="G265:P265"/>
    <mergeCell ref="Q265:U265"/>
    <mergeCell ref="V265:Y265"/>
    <mergeCell ref="Z265:AD265"/>
    <mergeCell ref="AE265:AI265"/>
    <mergeCell ref="BE273:BL273"/>
    <mergeCell ref="A274:F274"/>
    <mergeCell ref="G274:S274"/>
    <mergeCell ref="T274:Y274"/>
    <mergeCell ref="Z274:AD274"/>
    <mergeCell ref="AE274:AJ274"/>
    <mergeCell ref="AK274:AP274"/>
    <mergeCell ref="AQ274:AV274"/>
    <mergeCell ref="A273:F273"/>
    <mergeCell ref="G273:S273"/>
    <mergeCell ref="T273:Y273"/>
    <mergeCell ref="Z273:AD273"/>
    <mergeCell ref="AE273:AJ273"/>
    <mergeCell ref="AK273:AP273"/>
    <mergeCell ref="BE270:BL271"/>
    <mergeCell ref="A272:F272"/>
    <mergeCell ref="G272:S272"/>
    <mergeCell ref="T272:Y272"/>
    <mergeCell ref="Z272:AD272"/>
    <mergeCell ref="AE272:AJ272"/>
    <mergeCell ref="AK272:AP272"/>
    <mergeCell ref="AQ272:AV272"/>
    <mergeCell ref="AW272:BD272"/>
    <mergeCell ref="BE272:BL272"/>
    <mergeCell ref="BB31:BF31"/>
    <mergeCell ref="BG31:BK31"/>
    <mergeCell ref="BL31:BP31"/>
    <mergeCell ref="BQ31:BT31"/>
    <mergeCell ref="BU31:BY31"/>
    <mergeCell ref="A32:D32"/>
    <mergeCell ref="E32:T32"/>
    <mergeCell ref="U32:Y32"/>
    <mergeCell ref="Z32:AD32"/>
    <mergeCell ref="AE32:AH32"/>
    <mergeCell ref="A287:AA287"/>
    <mergeCell ref="AH287:AP287"/>
    <mergeCell ref="AU287:BF287"/>
    <mergeCell ref="AH288:AP288"/>
    <mergeCell ref="AU288:BF288"/>
    <mergeCell ref="A31:D31"/>
    <mergeCell ref="E31:T31"/>
    <mergeCell ref="U31:Y31"/>
    <mergeCell ref="Z31:AD31"/>
    <mergeCell ref="AE31:AH31"/>
    <mergeCell ref="A283:BL283"/>
    <mergeCell ref="A284:AA284"/>
    <mergeCell ref="AH284:AP284"/>
    <mergeCell ref="AU284:BF284"/>
    <mergeCell ref="AH285:AP285"/>
    <mergeCell ref="AU285:BF285"/>
    <mergeCell ref="AW274:BD274"/>
    <mergeCell ref="BE274:BL274"/>
    <mergeCell ref="A278:BL278"/>
    <mergeCell ref="A279:BL279"/>
    <mergeCell ref="A281:BL281"/>
    <mergeCell ref="A282:BL282"/>
    <mergeCell ref="BU33:BY33"/>
    <mergeCell ref="AS33:AW33"/>
    <mergeCell ref="AX33:BA33"/>
    <mergeCell ref="BB33:BF33"/>
    <mergeCell ref="BG33:BK33"/>
    <mergeCell ref="BL33:BP33"/>
    <mergeCell ref="BQ33:BT33"/>
    <mergeCell ref="BL32:BP32"/>
    <mergeCell ref="BQ32:BT32"/>
    <mergeCell ref="BU32:BY32"/>
    <mergeCell ref="A33:D33"/>
    <mergeCell ref="E33:T33"/>
    <mergeCell ref="U33:Y33"/>
    <mergeCell ref="Z33:AD33"/>
    <mergeCell ref="AE33:AH33"/>
    <mergeCell ref="AI33:AM33"/>
    <mergeCell ref="AN33:AR33"/>
    <mergeCell ref="AI32:AM32"/>
    <mergeCell ref="AN32:AR32"/>
    <mergeCell ref="AS32:AW32"/>
    <mergeCell ref="AX32:BA32"/>
    <mergeCell ref="BB32:BF32"/>
    <mergeCell ref="BG32:BK32"/>
    <mergeCell ref="BG44:BK44"/>
    <mergeCell ref="BG43:BK43"/>
    <mergeCell ref="A44:D44"/>
    <mergeCell ref="E44:W44"/>
    <mergeCell ref="X44:AB44"/>
    <mergeCell ref="AC44:AG44"/>
    <mergeCell ref="AH44:AL44"/>
    <mergeCell ref="AM44:AQ44"/>
    <mergeCell ref="AR44:AV44"/>
    <mergeCell ref="AW44:BA44"/>
    <mergeCell ref="BB44:BF44"/>
    <mergeCell ref="BG42:BK42"/>
    <mergeCell ref="A43:D43"/>
    <mergeCell ref="E43:W43"/>
    <mergeCell ref="X43:AB43"/>
    <mergeCell ref="AC43:AG43"/>
    <mergeCell ref="AH43:AL43"/>
    <mergeCell ref="AM43:AQ43"/>
    <mergeCell ref="AR43:AV43"/>
    <mergeCell ref="AW43:BA43"/>
    <mergeCell ref="BB43:BF43"/>
    <mergeCell ref="A42:D42"/>
    <mergeCell ref="E42:W42"/>
    <mergeCell ref="X42:AB42"/>
    <mergeCell ref="AC42:AG42"/>
    <mergeCell ref="AH42:AL42"/>
    <mergeCell ref="BQ55:BT55"/>
    <mergeCell ref="BU55:BY55"/>
    <mergeCell ref="AI55:AM55"/>
    <mergeCell ref="AN55:AR55"/>
    <mergeCell ref="AS55:AW55"/>
    <mergeCell ref="AX55:BA55"/>
    <mergeCell ref="BB55:BF55"/>
    <mergeCell ref="BG55:BK55"/>
    <mergeCell ref="BB54:BF54"/>
    <mergeCell ref="BG54:BK54"/>
    <mergeCell ref="BL54:BP54"/>
    <mergeCell ref="BQ54:BT54"/>
    <mergeCell ref="BU54:BY54"/>
    <mergeCell ref="A55:D55"/>
    <mergeCell ref="E55:T55"/>
    <mergeCell ref="U55:Y55"/>
    <mergeCell ref="Z55:AD55"/>
    <mergeCell ref="AE55:AH55"/>
    <mergeCell ref="A54:D54"/>
    <mergeCell ref="E54:T54"/>
    <mergeCell ref="U54:Y54"/>
    <mergeCell ref="Z54:AD54"/>
    <mergeCell ref="AE54:AH54"/>
    <mergeCell ref="AI54:AM54"/>
    <mergeCell ref="AN54:AR54"/>
    <mergeCell ref="AS54:AW54"/>
    <mergeCell ref="AX54:BA54"/>
    <mergeCell ref="BG73:BK73"/>
    <mergeCell ref="BG72:BK72"/>
    <mergeCell ref="A73:D73"/>
    <mergeCell ref="E73:W73"/>
    <mergeCell ref="X73:AB73"/>
    <mergeCell ref="AC73:AG73"/>
    <mergeCell ref="AH73:AL73"/>
    <mergeCell ref="AM73:AQ73"/>
    <mergeCell ref="AR73:AV73"/>
    <mergeCell ref="AW73:BA73"/>
    <mergeCell ref="BB73:BF73"/>
    <mergeCell ref="A72:D72"/>
    <mergeCell ref="E72:W72"/>
    <mergeCell ref="X72:AB72"/>
    <mergeCell ref="AC72:AG72"/>
    <mergeCell ref="AH72:AL72"/>
    <mergeCell ref="BL55:BP55"/>
    <mergeCell ref="AR71:AV71"/>
    <mergeCell ref="AW71:BA71"/>
    <mergeCell ref="BB71:BF71"/>
    <mergeCell ref="BG71:BK71"/>
    <mergeCell ref="AH68:AL68"/>
    <mergeCell ref="AM68:AQ68"/>
    <mergeCell ref="AR68:AV68"/>
    <mergeCell ref="AW68:BA68"/>
    <mergeCell ref="BB68:BF68"/>
    <mergeCell ref="BG68:BK68"/>
    <mergeCell ref="AX62:BA62"/>
    <mergeCell ref="BB62:BF62"/>
    <mergeCell ref="BG62:BK62"/>
    <mergeCell ref="BL62:BP62"/>
    <mergeCell ref="BG60:BK60"/>
    <mergeCell ref="BB91:BF91"/>
    <mergeCell ref="BG91:BK91"/>
    <mergeCell ref="BL91:BP91"/>
    <mergeCell ref="BQ91:BT91"/>
    <mergeCell ref="BU91:BY91"/>
    <mergeCell ref="A92:C92"/>
    <mergeCell ref="D92:T92"/>
    <mergeCell ref="U92:Y92"/>
    <mergeCell ref="Z92:AD92"/>
    <mergeCell ref="AE92:AH92"/>
    <mergeCell ref="A91:C91"/>
    <mergeCell ref="D91:T91"/>
    <mergeCell ref="U91:Y91"/>
    <mergeCell ref="Z91:AD91"/>
    <mergeCell ref="AE91:AH91"/>
    <mergeCell ref="AI91:AM91"/>
    <mergeCell ref="AN91:AR91"/>
    <mergeCell ref="AS91:AW91"/>
    <mergeCell ref="AX91:BA91"/>
    <mergeCell ref="BU93:BY93"/>
    <mergeCell ref="A94:C94"/>
    <mergeCell ref="D94:T94"/>
    <mergeCell ref="U94:Y94"/>
    <mergeCell ref="Z94:AD94"/>
    <mergeCell ref="AE94:AH94"/>
    <mergeCell ref="AI94:AM94"/>
    <mergeCell ref="AN94:AR94"/>
    <mergeCell ref="AS94:AW94"/>
    <mergeCell ref="AX94:BA94"/>
    <mergeCell ref="AS93:AW93"/>
    <mergeCell ref="AX93:BA93"/>
    <mergeCell ref="BB93:BF93"/>
    <mergeCell ref="BG93:BK93"/>
    <mergeCell ref="BL93:BP93"/>
    <mergeCell ref="BQ93:BT93"/>
    <mergeCell ref="BL92:BP92"/>
    <mergeCell ref="BQ92:BT92"/>
    <mergeCell ref="BU92:BY92"/>
    <mergeCell ref="A93:C93"/>
    <mergeCell ref="D93:T93"/>
    <mergeCell ref="U93:Y93"/>
    <mergeCell ref="Z93:AD93"/>
    <mergeCell ref="AE93:AH93"/>
    <mergeCell ref="AI93:AM93"/>
    <mergeCell ref="AN93:AR93"/>
    <mergeCell ref="AI92:AM92"/>
    <mergeCell ref="AN92:AR92"/>
    <mergeCell ref="AS92:AW92"/>
    <mergeCell ref="AX92:BA92"/>
    <mergeCell ref="BB92:BF92"/>
    <mergeCell ref="BG92:BK92"/>
    <mergeCell ref="BL95:BP95"/>
    <mergeCell ref="BQ95:BT95"/>
    <mergeCell ref="BU95:BY95"/>
    <mergeCell ref="A96:C96"/>
    <mergeCell ref="D96:T96"/>
    <mergeCell ref="U96:Y96"/>
    <mergeCell ref="Z96:AD96"/>
    <mergeCell ref="AE96:AH96"/>
    <mergeCell ref="AI96:AM96"/>
    <mergeCell ref="AN96:AR96"/>
    <mergeCell ref="AI95:AM95"/>
    <mergeCell ref="AN95:AR95"/>
    <mergeCell ref="AS95:AW95"/>
    <mergeCell ref="AX95:BA95"/>
    <mergeCell ref="BB95:BF95"/>
    <mergeCell ref="BG95:BK95"/>
    <mergeCell ref="BB94:BF94"/>
    <mergeCell ref="BG94:BK94"/>
    <mergeCell ref="BL94:BP94"/>
    <mergeCell ref="BQ94:BT94"/>
    <mergeCell ref="BU94:BY94"/>
    <mergeCell ref="A95:C95"/>
    <mergeCell ref="D95:T95"/>
    <mergeCell ref="U95:Y95"/>
    <mergeCell ref="Z95:AD95"/>
    <mergeCell ref="AE95:AH95"/>
    <mergeCell ref="BB97:BF97"/>
    <mergeCell ref="BG97:BK97"/>
    <mergeCell ref="BL97:BP97"/>
    <mergeCell ref="BQ97:BT97"/>
    <mergeCell ref="BU97:BY97"/>
    <mergeCell ref="A98:C98"/>
    <mergeCell ref="D98:T98"/>
    <mergeCell ref="U98:Y98"/>
    <mergeCell ref="Z98:AD98"/>
    <mergeCell ref="AE98:AH98"/>
    <mergeCell ref="BU96:BY96"/>
    <mergeCell ref="A97:C97"/>
    <mergeCell ref="D97:T97"/>
    <mergeCell ref="U97:Y97"/>
    <mergeCell ref="Z97:AD97"/>
    <mergeCell ref="AE97:AH97"/>
    <mergeCell ref="AI97:AM97"/>
    <mergeCell ref="AN97:AR97"/>
    <mergeCell ref="AS97:AW97"/>
    <mergeCell ref="AX97:BA97"/>
    <mergeCell ref="AS96:AW96"/>
    <mergeCell ref="AX96:BA96"/>
    <mergeCell ref="BB96:BF96"/>
    <mergeCell ref="BG96:BK96"/>
    <mergeCell ref="BL96:BP96"/>
    <mergeCell ref="BQ96:BT96"/>
    <mergeCell ref="BU99:BY99"/>
    <mergeCell ref="A100:C100"/>
    <mergeCell ref="D100:T100"/>
    <mergeCell ref="U100:Y100"/>
    <mergeCell ref="Z100:AD100"/>
    <mergeCell ref="AE100:AH100"/>
    <mergeCell ref="AI100:AM100"/>
    <mergeCell ref="AN100:AR100"/>
    <mergeCell ref="AS100:AW100"/>
    <mergeCell ref="AX100:BA100"/>
    <mergeCell ref="AS99:AW99"/>
    <mergeCell ref="AX99:BA99"/>
    <mergeCell ref="BB99:BF99"/>
    <mergeCell ref="BG99:BK99"/>
    <mergeCell ref="BL99:BP99"/>
    <mergeCell ref="BQ99:BT99"/>
    <mergeCell ref="BL98:BP98"/>
    <mergeCell ref="BQ98:BT98"/>
    <mergeCell ref="BU98:BY98"/>
    <mergeCell ref="A99:C99"/>
    <mergeCell ref="D99:T99"/>
    <mergeCell ref="U99:Y99"/>
    <mergeCell ref="Z99:AD99"/>
    <mergeCell ref="AE99:AH99"/>
    <mergeCell ref="AI99:AM99"/>
    <mergeCell ref="AN99:AR99"/>
    <mergeCell ref="AI98:AM98"/>
    <mergeCell ref="AN98:AR98"/>
    <mergeCell ref="AS98:AW98"/>
    <mergeCell ref="AX98:BA98"/>
    <mergeCell ref="BB98:BF98"/>
    <mergeCell ref="BG98:BK98"/>
    <mergeCell ref="BL101:BP101"/>
    <mergeCell ref="BQ101:BT101"/>
    <mergeCell ref="BU101:BY101"/>
    <mergeCell ref="A102:C102"/>
    <mergeCell ref="D102:T102"/>
    <mergeCell ref="U102:Y102"/>
    <mergeCell ref="Z102:AD102"/>
    <mergeCell ref="AE102:AH102"/>
    <mergeCell ref="AI102:AM102"/>
    <mergeCell ref="AN102:AR102"/>
    <mergeCell ref="AI101:AM101"/>
    <mergeCell ref="AN101:AR101"/>
    <mergeCell ref="AS101:AW101"/>
    <mergeCell ref="AX101:BA101"/>
    <mergeCell ref="BB101:BF101"/>
    <mergeCell ref="BG101:BK101"/>
    <mergeCell ref="BB100:BF100"/>
    <mergeCell ref="BG100:BK100"/>
    <mergeCell ref="BL100:BP100"/>
    <mergeCell ref="BQ100:BT100"/>
    <mergeCell ref="BU100:BY100"/>
    <mergeCell ref="A101:C101"/>
    <mergeCell ref="D101:T101"/>
    <mergeCell ref="U101:Y101"/>
    <mergeCell ref="Z101:AD101"/>
    <mergeCell ref="AE101:AH101"/>
    <mergeCell ref="BB103:BF103"/>
    <mergeCell ref="BG103:BK103"/>
    <mergeCell ref="BL103:BP103"/>
    <mergeCell ref="BQ103:BT103"/>
    <mergeCell ref="BU103:BY103"/>
    <mergeCell ref="A104:C104"/>
    <mergeCell ref="D104:T104"/>
    <mergeCell ref="U104:Y104"/>
    <mergeCell ref="Z104:AD104"/>
    <mergeCell ref="AE104:AH104"/>
    <mergeCell ref="BU102:BY102"/>
    <mergeCell ref="A103:C103"/>
    <mergeCell ref="D103:T103"/>
    <mergeCell ref="U103:Y103"/>
    <mergeCell ref="Z103:AD103"/>
    <mergeCell ref="AE103:AH103"/>
    <mergeCell ref="AI103:AM103"/>
    <mergeCell ref="AN103:AR103"/>
    <mergeCell ref="AS103:AW103"/>
    <mergeCell ref="AX103:BA103"/>
    <mergeCell ref="AS102:AW102"/>
    <mergeCell ref="AX102:BA102"/>
    <mergeCell ref="BB102:BF102"/>
    <mergeCell ref="BG102:BK102"/>
    <mergeCell ref="BL102:BP102"/>
    <mergeCell ref="BQ102:BT102"/>
    <mergeCell ref="BU105:BY105"/>
    <mergeCell ref="A106:C106"/>
    <mergeCell ref="D106:T106"/>
    <mergeCell ref="U106:Y106"/>
    <mergeCell ref="Z106:AD106"/>
    <mergeCell ref="AE106:AH106"/>
    <mergeCell ref="AI106:AM106"/>
    <mergeCell ref="AN106:AR106"/>
    <mergeCell ref="AS106:AW106"/>
    <mergeCell ref="AX106:BA106"/>
    <mergeCell ref="AS105:AW105"/>
    <mergeCell ref="AX105:BA105"/>
    <mergeCell ref="BB105:BF105"/>
    <mergeCell ref="BG105:BK105"/>
    <mergeCell ref="BL105:BP105"/>
    <mergeCell ref="BQ105:BT105"/>
    <mergeCell ref="BL104:BP104"/>
    <mergeCell ref="BQ104:BT104"/>
    <mergeCell ref="BU104:BY104"/>
    <mergeCell ref="A105:C105"/>
    <mergeCell ref="D105:T105"/>
    <mergeCell ref="U105:Y105"/>
    <mergeCell ref="Z105:AD105"/>
    <mergeCell ref="AE105:AH105"/>
    <mergeCell ref="AI105:AM105"/>
    <mergeCell ref="AN105:AR105"/>
    <mergeCell ref="AI104:AM104"/>
    <mergeCell ref="AN104:AR104"/>
    <mergeCell ref="AS104:AW104"/>
    <mergeCell ref="AX104:BA104"/>
    <mergeCell ref="BB104:BF104"/>
    <mergeCell ref="BG104:BK104"/>
    <mergeCell ref="BL107:BP107"/>
    <mergeCell ref="BQ107:BT107"/>
    <mergeCell ref="BU107:BY107"/>
    <mergeCell ref="A108:C108"/>
    <mergeCell ref="D108:T108"/>
    <mergeCell ref="U108:Y108"/>
    <mergeCell ref="Z108:AD108"/>
    <mergeCell ref="AE108:AH108"/>
    <mergeCell ref="AI108:AM108"/>
    <mergeCell ref="AN108:AR108"/>
    <mergeCell ref="AI107:AM107"/>
    <mergeCell ref="AN107:AR107"/>
    <mergeCell ref="AS107:AW107"/>
    <mergeCell ref="AX107:BA107"/>
    <mergeCell ref="BB107:BF107"/>
    <mergeCell ref="BG107:BK107"/>
    <mergeCell ref="BB106:BF106"/>
    <mergeCell ref="BG106:BK106"/>
    <mergeCell ref="BL106:BP106"/>
    <mergeCell ref="BQ106:BT106"/>
    <mergeCell ref="BU106:BY106"/>
    <mergeCell ref="A107:C107"/>
    <mergeCell ref="D107:T107"/>
    <mergeCell ref="U107:Y107"/>
    <mergeCell ref="Z107:AD107"/>
    <mergeCell ref="AE107:AH107"/>
    <mergeCell ref="BB109:BF109"/>
    <mergeCell ref="BG109:BK109"/>
    <mergeCell ref="BL109:BP109"/>
    <mergeCell ref="BQ109:BT109"/>
    <mergeCell ref="BU109:BY109"/>
    <mergeCell ref="A110:C110"/>
    <mergeCell ref="D110:T110"/>
    <mergeCell ref="U110:Y110"/>
    <mergeCell ref="Z110:AD110"/>
    <mergeCell ref="AE110:AH110"/>
    <mergeCell ref="BU108:BY108"/>
    <mergeCell ref="A109:C109"/>
    <mergeCell ref="D109:T109"/>
    <mergeCell ref="U109:Y109"/>
    <mergeCell ref="Z109:AD109"/>
    <mergeCell ref="AE109:AH109"/>
    <mergeCell ref="AI109:AM109"/>
    <mergeCell ref="AN109:AR109"/>
    <mergeCell ref="AS109:AW109"/>
    <mergeCell ref="AX109:BA109"/>
    <mergeCell ref="AS108:AW108"/>
    <mergeCell ref="AX108:BA108"/>
    <mergeCell ref="BB108:BF108"/>
    <mergeCell ref="BG108:BK108"/>
    <mergeCell ref="BL108:BP108"/>
    <mergeCell ref="BQ108:BT108"/>
    <mergeCell ref="BU111:BY111"/>
    <mergeCell ref="A112:C112"/>
    <mergeCell ref="D112:T112"/>
    <mergeCell ref="U112:Y112"/>
    <mergeCell ref="Z112:AD112"/>
    <mergeCell ref="AE112:AH112"/>
    <mergeCell ref="AI112:AM112"/>
    <mergeCell ref="AN112:AR112"/>
    <mergeCell ref="AS112:AW112"/>
    <mergeCell ref="AX112:BA112"/>
    <mergeCell ref="AS111:AW111"/>
    <mergeCell ref="AX111:BA111"/>
    <mergeCell ref="BB111:BF111"/>
    <mergeCell ref="BG111:BK111"/>
    <mergeCell ref="BL111:BP111"/>
    <mergeCell ref="BQ111:BT111"/>
    <mergeCell ref="BL110:BP110"/>
    <mergeCell ref="BQ110:BT110"/>
    <mergeCell ref="BU110:BY110"/>
    <mergeCell ref="A111:C111"/>
    <mergeCell ref="D111:T111"/>
    <mergeCell ref="U111:Y111"/>
    <mergeCell ref="Z111:AD111"/>
    <mergeCell ref="AE111:AH111"/>
    <mergeCell ref="AI111:AM111"/>
    <mergeCell ref="AN111:AR111"/>
    <mergeCell ref="AI110:AM110"/>
    <mergeCell ref="AN110:AR110"/>
    <mergeCell ref="AS110:AW110"/>
    <mergeCell ref="AX110:BA110"/>
    <mergeCell ref="BB110:BF110"/>
    <mergeCell ref="BG110:BK110"/>
    <mergeCell ref="BL113:BP113"/>
    <mergeCell ref="BQ113:BT113"/>
    <mergeCell ref="BU113:BY113"/>
    <mergeCell ref="A114:C114"/>
    <mergeCell ref="D114:T114"/>
    <mergeCell ref="U114:Y114"/>
    <mergeCell ref="Z114:AD114"/>
    <mergeCell ref="AE114:AH114"/>
    <mergeCell ref="AI114:AM114"/>
    <mergeCell ref="AN114:AR114"/>
    <mergeCell ref="AI113:AM113"/>
    <mergeCell ref="AN113:AR113"/>
    <mergeCell ref="AS113:AW113"/>
    <mergeCell ref="AX113:BA113"/>
    <mergeCell ref="BB113:BF113"/>
    <mergeCell ref="BG113:BK113"/>
    <mergeCell ref="BB112:BF112"/>
    <mergeCell ref="BG112:BK112"/>
    <mergeCell ref="BL112:BP112"/>
    <mergeCell ref="BQ112:BT112"/>
    <mergeCell ref="BU112:BY112"/>
    <mergeCell ref="A113:C113"/>
    <mergeCell ref="D113:T113"/>
    <mergeCell ref="U113:Y113"/>
    <mergeCell ref="Z113:AD113"/>
    <mergeCell ref="AE113:AH113"/>
    <mergeCell ref="BB115:BF115"/>
    <mergeCell ref="BG115:BK115"/>
    <mergeCell ref="BL115:BP115"/>
    <mergeCell ref="BQ115:BT115"/>
    <mergeCell ref="BU115:BY115"/>
    <mergeCell ref="A116:C116"/>
    <mergeCell ref="D116:T116"/>
    <mergeCell ref="U116:Y116"/>
    <mergeCell ref="Z116:AD116"/>
    <mergeCell ref="AE116:AH116"/>
    <mergeCell ref="BU114:BY114"/>
    <mergeCell ref="A115:C115"/>
    <mergeCell ref="D115:T115"/>
    <mergeCell ref="U115:Y115"/>
    <mergeCell ref="Z115:AD115"/>
    <mergeCell ref="AE115:AH115"/>
    <mergeCell ref="AI115:AM115"/>
    <mergeCell ref="AN115:AR115"/>
    <mergeCell ref="AS115:AW115"/>
    <mergeCell ref="AX115:BA115"/>
    <mergeCell ref="AS114:AW114"/>
    <mergeCell ref="AX114:BA114"/>
    <mergeCell ref="BB114:BF114"/>
    <mergeCell ref="BG114:BK114"/>
    <mergeCell ref="BL114:BP114"/>
    <mergeCell ref="BQ114:BT114"/>
    <mergeCell ref="A125:C125"/>
    <mergeCell ref="D125:T125"/>
    <mergeCell ref="U125:Y125"/>
    <mergeCell ref="Z125:AD125"/>
    <mergeCell ref="AE125:AI125"/>
    <mergeCell ref="AJ125:AN125"/>
    <mergeCell ref="AO125:AS125"/>
    <mergeCell ref="AT125:AX125"/>
    <mergeCell ref="AY125:BC125"/>
    <mergeCell ref="BL116:BP116"/>
    <mergeCell ref="BQ116:BT116"/>
    <mergeCell ref="BU116:BY116"/>
    <mergeCell ref="AI116:AM116"/>
    <mergeCell ref="AN116:AR116"/>
    <mergeCell ref="AS116:AW116"/>
    <mergeCell ref="AX116:BA116"/>
    <mergeCell ref="BB116:BF116"/>
    <mergeCell ref="BG116:BK116"/>
    <mergeCell ref="AO123:AS123"/>
    <mergeCell ref="AT123:AX123"/>
    <mergeCell ref="AY123:BC123"/>
    <mergeCell ref="BD123:BH123"/>
    <mergeCell ref="AO122:AS122"/>
    <mergeCell ref="AT122:AX122"/>
    <mergeCell ref="AY122:BC122"/>
    <mergeCell ref="BD122:BH122"/>
    <mergeCell ref="A123:C123"/>
    <mergeCell ref="D123:T123"/>
    <mergeCell ref="U123:Y123"/>
    <mergeCell ref="Z123:AD123"/>
    <mergeCell ref="AE123:AI123"/>
    <mergeCell ref="AJ123:AN123"/>
    <mergeCell ref="BD127:BH127"/>
    <mergeCell ref="A128:C128"/>
    <mergeCell ref="D128:T128"/>
    <mergeCell ref="U128:Y128"/>
    <mergeCell ref="Z128:AD128"/>
    <mergeCell ref="AE128:AI128"/>
    <mergeCell ref="AJ128:AN128"/>
    <mergeCell ref="AO128:AS128"/>
    <mergeCell ref="AT128:AX128"/>
    <mergeCell ref="AY128:BC128"/>
    <mergeCell ref="BD126:BH126"/>
    <mergeCell ref="A127:C127"/>
    <mergeCell ref="D127:T127"/>
    <mergeCell ref="U127:Y127"/>
    <mergeCell ref="Z127:AD127"/>
    <mergeCell ref="AE127:AI127"/>
    <mergeCell ref="AJ127:AN127"/>
    <mergeCell ref="AO127:AS127"/>
    <mergeCell ref="AT127:AX127"/>
    <mergeCell ref="AY127:BC127"/>
    <mergeCell ref="Z126:AD126"/>
    <mergeCell ref="AE126:AI126"/>
    <mergeCell ref="AJ126:AN126"/>
    <mergeCell ref="AO126:AS126"/>
    <mergeCell ref="AT126:AX126"/>
    <mergeCell ref="AY126:BC126"/>
    <mergeCell ref="BD129:BH129"/>
    <mergeCell ref="A130:C130"/>
    <mergeCell ref="D130:T130"/>
    <mergeCell ref="U130:Y130"/>
    <mergeCell ref="Z130:AD130"/>
    <mergeCell ref="AE130:AI130"/>
    <mergeCell ref="AJ130:AN130"/>
    <mergeCell ref="AO130:AS130"/>
    <mergeCell ref="AT130:AX130"/>
    <mergeCell ref="AY130:BC130"/>
    <mergeCell ref="BD128:BH128"/>
    <mergeCell ref="A129:C129"/>
    <mergeCell ref="D129:T129"/>
    <mergeCell ref="U129:Y129"/>
    <mergeCell ref="Z129:AD129"/>
    <mergeCell ref="AE129:AI129"/>
    <mergeCell ref="AJ129:AN129"/>
    <mergeCell ref="AO129:AS129"/>
    <mergeCell ref="AT129:AX129"/>
    <mergeCell ref="AY129:BC129"/>
    <mergeCell ref="BD131:BH131"/>
    <mergeCell ref="A132:C132"/>
    <mergeCell ref="D132:T132"/>
    <mergeCell ref="U132:Y132"/>
    <mergeCell ref="Z132:AD132"/>
    <mergeCell ref="AE132:AI132"/>
    <mergeCell ref="AJ132:AN132"/>
    <mergeCell ref="AO132:AS132"/>
    <mergeCell ref="AT132:AX132"/>
    <mergeCell ref="AY132:BC132"/>
    <mergeCell ref="BD130:BH130"/>
    <mergeCell ref="A131:C131"/>
    <mergeCell ref="D131:T131"/>
    <mergeCell ref="U131:Y131"/>
    <mergeCell ref="Z131:AD131"/>
    <mergeCell ref="AE131:AI131"/>
    <mergeCell ref="AJ131:AN131"/>
    <mergeCell ref="AO131:AS131"/>
    <mergeCell ref="AT131:AX131"/>
    <mergeCell ref="AY131:BC131"/>
    <mergeCell ref="BD133:BH133"/>
    <mergeCell ref="A134:C134"/>
    <mergeCell ref="D134:T134"/>
    <mergeCell ref="U134:Y134"/>
    <mergeCell ref="Z134:AD134"/>
    <mergeCell ref="AE134:AI134"/>
    <mergeCell ref="AJ134:AN134"/>
    <mergeCell ref="AO134:AS134"/>
    <mergeCell ref="AT134:AX134"/>
    <mergeCell ref="AY134:BC134"/>
    <mergeCell ref="BD132:BH132"/>
    <mergeCell ref="A133:C133"/>
    <mergeCell ref="D133:T133"/>
    <mergeCell ref="U133:Y133"/>
    <mergeCell ref="Z133:AD133"/>
    <mergeCell ref="AE133:AI133"/>
    <mergeCell ref="AJ133:AN133"/>
    <mergeCell ref="AO133:AS133"/>
    <mergeCell ref="AT133:AX133"/>
    <mergeCell ref="AY133:BC133"/>
    <mergeCell ref="BD135:BH135"/>
    <mergeCell ref="A136:C136"/>
    <mergeCell ref="D136:T136"/>
    <mergeCell ref="U136:Y136"/>
    <mergeCell ref="Z136:AD136"/>
    <mergeCell ref="AE136:AI136"/>
    <mergeCell ref="AJ136:AN136"/>
    <mergeCell ref="AO136:AS136"/>
    <mergeCell ref="AT136:AX136"/>
    <mergeCell ref="AY136:BC136"/>
    <mergeCell ref="BD134:BH134"/>
    <mergeCell ref="A135:C135"/>
    <mergeCell ref="D135:T135"/>
    <mergeCell ref="U135:Y135"/>
    <mergeCell ref="Z135:AD135"/>
    <mergeCell ref="AE135:AI135"/>
    <mergeCell ref="AJ135:AN135"/>
    <mergeCell ref="AO135:AS135"/>
    <mergeCell ref="AT135:AX135"/>
    <mergeCell ref="AY135:BC135"/>
    <mergeCell ref="BD137:BH137"/>
    <mergeCell ref="A138:C138"/>
    <mergeCell ref="D138:T138"/>
    <mergeCell ref="U138:Y138"/>
    <mergeCell ref="Z138:AD138"/>
    <mergeCell ref="AE138:AI138"/>
    <mergeCell ref="AJ138:AN138"/>
    <mergeCell ref="AO138:AS138"/>
    <mergeCell ref="AT138:AX138"/>
    <mergeCell ref="AY138:BC138"/>
    <mergeCell ref="BD136:BH136"/>
    <mergeCell ref="A137:C137"/>
    <mergeCell ref="D137:T137"/>
    <mergeCell ref="U137:Y137"/>
    <mergeCell ref="Z137:AD137"/>
    <mergeCell ref="AE137:AI137"/>
    <mergeCell ref="AJ137:AN137"/>
    <mergeCell ref="AO137:AS137"/>
    <mergeCell ref="AT137:AX137"/>
    <mergeCell ref="AY137:BC137"/>
    <mergeCell ref="BD139:BH139"/>
    <mergeCell ref="A140:C140"/>
    <mergeCell ref="D140:T140"/>
    <mergeCell ref="U140:Y140"/>
    <mergeCell ref="Z140:AD140"/>
    <mergeCell ref="AE140:AI140"/>
    <mergeCell ref="AJ140:AN140"/>
    <mergeCell ref="AO140:AS140"/>
    <mergeCell ref="AT140:AX140"/>
    <mergeCell ref="AY140:BC140"/>
    <mergeCell ref="BD138:BH138"/>
    <mergeCell ref="A139:C139"/>
    <mergeCell ref="D139:T139"/>
    <mergeCell ref="U139:Y139"/>
    <mergeCell ref="Z139:AD139"/>
    <mergeCell ref="AE139:AI139"/>
    <mergeCell ref="AJ139:AN139"/>
    <mergeCell ref="AO139:AS139"/>
    <mergeCell ref="AT139:AX139"/>
    <mergeCell ref="AY139:BC139"/>
    <mergeCell ref="BD141:BH141"/>
    <mergeCell ref="A142:C142"/>
    <mergeCell ref="D142:T142"/>
    <mergeCell ref="U142:Y142"/>
    <mergeCell ref="Z142:AD142"/>
    <mergeCell ref="AE142:AI142"/>
    <mergeCell ref="AJ142:AN142"/>
    <mergeCell ref="AO142:AS142"/>
    <mergeCell ref="AT142:AX142"/>
    <mergeCell ref="AY142:BC142"/>
    <mergeCell ref="BD140:BH140"/>
    <mergeCell ref="A141:C141"/>
    <mergeCell ref="D141:T141"/>
    <mergeCell ref="U141:Y141"/>
    <mergeCell ref="Z141:AD141"/>
    <mergeCell ref="AE141:AI141"/>
    <mergeCell ref="AJ141:AN141"/>
    <mergeCell ref="AO141:AS141"/>
    <mergeCell ref="AT141:AX141"/>
    <mergeCell ref="AY141:BC141"/>
    <mergeCell ref="BD143:BH143"/>
    <mergeCell ref="A144:C144"/>
    <mergeCell ref="D144:T144"/>
    <mergeCell ref="U144:Y144"/>
    <mergeCell ref="Z144:AD144"/>
    <mergeCell ref="AE144:AI144"/>
    <mergeCell ref="AJ144:AN144"/>
    <mergeCell ref="AO144:AS144"/>
    <mergeCell ref="AT144:AX144"/>
    <mergeCell ref="AY144:BC144"/>
    <mergeCell ref="BD142:BH142"/>
    <mergeCell ref="A143:C143"/>
    <mergeCell ref="D143:T143"/>
    <mergeCell ref="U143:Y143"/>
    <mergeCell ref="Z143:AD143"/>
    <mergeCell ref="AE143:AI143"/>
    <mergeCell ref="AJ143:AN143"/>
    <mergeCell ref="AO143:AS143"/>
    <mergeCell ref="AT143:AX143"/>
    <mergeCell ref="AY143:BC143"/>
    <mergeCell ref="BD145:BH145"/>
    <mergeCell ref="A146:C146"/>
    <mergeCell ref="D146:T146"/>
    <mergeCell ref="U146:Y146"/>
    <mergeCell ref="Z146:AD146"/>
    <mergeCell ref="AE146:AI146"/>
    <mergeCell ref="AJ146:AN146"/>
    <mergeCell ref="AO146:AS146"/>
    <mergeCell ref="AT146:AX146"/>
    <mergeCell ref="AY146:BC146"/>
    <mergeCell ref="BD144:BH144"/>
    <mergeCell ref="A145:C145"/>
    <mergeCell ref="D145:T145"/>
    <mergeCell ref="U145:Y145"/>
    <mergeCell ref="Z145:AD145"/>
    <mergeCell ref="AE145:AI145"/>
    <mergeCell ref="AJ145:AN145"/>
    <mergeCell ref="AO145:AS145"/>
    <mergeCell ref="AT145:AX145"/>
    <mergeCell ref="AY145:BC145"/>
    <mergeCell ref="BD147:BH147"/>
    <mergeCell ref="A148:C148"/>
    <mergeCell ref="D148:T148"/>
    <mergeCell ref="U148:Y148"/>
    <mergeCell ref="Z148:AD148"/>
    <mergeCell ref="AE148:AI148"/>
    <mergeCell ref="AJ148:AN148"/>
    <mergeCell ref="AO148:AS148"/>
    <mergeCell ref="AT148:AX148"/>
    <mergeCell ref="AY148:BC148"/>
    <mergeCell ref="BD146:BH146"/>
    <mergeCell ref="A147:C147"/>
    <mergeCell ref="D147:T147"/>
    <mergeCell ref="U147:Y147"/>
    <mergeCell ref="Z147:AD147"/>
    <mergeCell ref="AE147:AI147"/>
    <mergeCell ref="AJ147:AN147"/>
    <mergeCell ref="AO147:AS147"/>
    <mergeCell ref="AT147:AX147"/>
    <mergeCell ref="AY147:BC147"/>
    <mergeCell ref="BD150:BH150"/>
    <mergeCell ref="BD149:BH149"/>
    <mergeCell ref="A150:C150"/>
    <mergeCell ref="D150:T150"/>
    <mergeCell ref="U150:Y150"/>
    <mergeCell ref="Z150:AD150"/>
    <mergeCell ref="AE150:AI150"/>
    <mergeCell ref="AJ150:AN150"/>
    <mergeCell ref="AO150:AS150"/>
    <mergeCell ref="AT150:AX150"/>
    <mergeCell ref="AY150:BC150"/>
    <mergeCell ref="BD148:BH148"/>
    <mergeCell ref="A149:C149"/>
    <mergeCell ref="D149:T149"/>
    <mergeCell ref="U149:Y149"/>
    <mergeCell ref="Z149:AD149"/>
    <mergeCell ref="AE149:AI149"/>
    <mergeCell ref="AJ149:AN149"/>
    <mergeCell ref="AO149:AS149"/>
    <mergeCell ref="AT149:AX149"/>
    <mergeCell ref="AY149:BC149"/>
    <mergeCell ref="BE159:BI159"/>
    <mergeCell ref="BJ159:BN159"/>
    <mergeCell ref="BO159:BS159"/>
    <mergeCell ref="BT159:BX159"/>
    <mergeCell ref="A160:C160"/>
    <mergeCell ref="D160:P160"/>
    <mergeCell ref="Q160:U160"/>
    <mergeCell ref="V160:AE160"/>
    <mergeCell ref="AF160:AJ160"/>
    <mergeCell ref="AK160:AO160"/>
    <mergeCell ref="A159:C159"/>
    <mergeCell ref="D159:P159"/>
    <mergeCell ref="Q159:U159"/>
    <mergeCell ref="V159:AE159"/>
    <mergeCell ref="AF159:AJ159"/>
    <mergeCell ref="AK159:AO159"/>
    <mergeCell ref="AP159:AT159"/>
    <mergeCell ref="AU159:AY159"/>
    <mergeCell ref="AZ159:BD159"/>
    <mergeCell ref="BE161:BI161"/>
    <mergeCell ref="BJ161:BN161"/>
    <mergeCell ref="BO161:BS161"/>
    <mergeCell ref="BT161:BX161"/>
    <mergeCell ref="A162:C162"/>
    <mergeCell ref="D162:P162"/>
    <mergeCell ref="Q162:U162"/>
    <mergeCell ref="V162:AE162"/>
    <mergeCell ref="AF162:AJ162"/>
    <mergeCell ref="AK162:AO162"/>
    <mergeCell ref="BT160:BX160"/>
    <mergeCell ref="A161:C161"/>
    <mergeCell ref="D161:P161"/>
    <mergeCell ref="Q161:U161"/>
    <mergeCell ref="V161:AE161"/>
    <mergeCell ref="AF161:AJ161"/>
    <mergeCell ref="AK161:AO161"/>
    <mergeCell ref="AP161:AT161"/>
    <mergeCell ref="AU161:AY161"/>
    <mergeCell ref="AZ161:BD161"/>
    <mergeCell ref="AP160:AT160"/>
    <mergeCell ref="AU160:AY160"/>
    <mergeCell ref="AZ160:BD160"/>
    <mergeCell ref="BE160:BI160"/>
    <mergeCell ref="BJ160:BN160"/>
    <mergeCell ref="BO160:BS160"/>
    <mergeCell ref="BE163:BI163"/>
    <mergeCell ref="BJ163:BN163"/>
    <mergeCell ref="BO163:BS163"/>
    <mergeCell ref="BT163:BX163"/>
    <mergeCell ref="A164:C164"/>
    <mergeCell ref="D164:P164"/>
    <mergeCell ref="Q164:U164"/>
    <mergeCell ref="V164:AE164"/>
    <mergeCell ref="AF164:AJ164"/>
    <mergeCell ref="AK164:AO164"/>
    <mergeCell ref="BT162:BX162"/>
    <mergeCell ref="A163:C163"/>
    <mergeCell ref="D163:P163"/>
    <mergeCell ref="Q163:U163"/>
    <mergeCell ref="V163:AE163"/>
    <mergeCell ref="AF163:AJ163"/>
    <mergeCell ref="AK163:AO163"/>
    <mergeCell ref="AP163:AT163"/>
    <mergeCell ref="AU163:AY163"/>
    <mergeCell ref="AZ163:BD163"/>
    <mergeCell ref="AP162:AT162"/>
    <mergeCell ref="AU162:AY162"/>
    <mergeCell ref="AZ162:BD162"/>
    <mergeCell ref="BE162:BI162"/>
    <mergeCell ref="BJ162:BN162"/>
    <mergeCell ref="BO162:BS162"/>
    <mergeCell ref="BE165:BI165"/>
    <mergeCell ref="BJ165:BN165"/>
    <mergeCell ref="BO165:BS165"/>
    <mergeCell ref="BT165:BX165"/>
    <mergeCell ref="A166:C166"/>
    <mergeCell ref="D166:P166"/>
    <mergeCell ref="Q166:U166"/>
    <mergeCell ref="V166:AE166"/>
    <mergeCell ref="AF166:AJ166"/>
    <mergeCell ref="AK166:AO166"/>
    <mergeCell ref="BT164:BX164"/>
    <mergeCell ref="A165:C165"/>
    <mergeCell ref="D165:P165"/>
    <mergeCell ref="Q165:U165"/>
    <mergeCell ref="V165:AE165"/>
    <mergeCell ref="AF165:AJ165"/>
    <mergeCell ref="AK165:AO165"/>
    <mergeCell ref="AP165:AT165"/>
    <mergeCell ref="AU165:AY165"/>
    <mergeCell ref="AZ165:BD165"/>
    <mergeCell ref="AP164:AT164"/>
    <mergeCell ref="AU164:AY164"/>
    <mergeCell ref="AZ164:BD164"/>
    <mergeCell ref="BE164:BI164"/>
    <mergeCell ref="BJ164:BN164"/>
    <mergeCell ref="BO164:BS164"/>
    <mergeCell ref="BE167:BI167"/>
    <mergeCell ref="BJ167:BN167"/>
    <mergeCell ref="BO167:BS167"/>
    <mergeCell ref="BT167:BX167"/>
    <mergeCell ref="A168:C168"/>
    <mergeCell ref="D168:P168"/>
    <mergeCell ref="Q168:U168"/>
    <mergeCell ref="V168:AE168"/>
    <mergeCell ref="AF168:AJ168"/>
    <mergeCell ref="AK168:AO168"/>
    <mergeCell ref="BT166:BX166"/>
    <mergeCell ref="A167:C167"/>
    <mergeCell ref="D167:P167"/>
    <mergeCell ref="Q167:U167"/>
    <mergeCell ref="V167:AE167"/>
    <mergeCell ref="AF167:AJ167"/>
    <mergeCell ref="AK167:AO167"/>
    <mergeCell ref="AP167:AT167"/>
    <mergeCell ref="AU167:AY167"/>
    <mergeCell ref="AZ167:BD167"/>
    <mergeCell ref="AP166:AT166"/>
    <mergeCell ref="AU166:AY166"/>
    <mergeCell ref="AZ166:BD166"/>
    <mergeCell ref="BE166:BI166"/>
    <mergeCell ref="BJ166:BN166"/>
    <mergeCell ref="BO166:BS166"/>
    <mergeCell ref="BE169:BI169"/>
    <mergeCell ref="BJ169:BN169"/>
    <mergeCell ref="BO169:BS169"/>
    <mergeCell ref="BT169:BX169"/>
    <mergeCell ref="BT168:BX168"/>
    <mergeCell ref="A169:C169"/>
    <mergeCell ref="D169:P169"/>
    <mergeCell ref="Q169:U169"/>
    <mergeCell ref="V169:AE169"/>
    <mergeCell ref="AF169:AJ169"/>
    <mergeCell ref="AK169:AO169"/>
    <mergeCell ref="AP169:AT169"/>
    <mergeCell ref="AU169:AY169"/>
    <mergeCell ref="AZ169:BD169"/>
    <mergeCell ref="AP168:AT168"/>
    <mergeCell ref="AU168:AY168"/>
    <mergeCell ref="AZ168:BD168"/>
    <mergeCell ref="BE168:BI168"/>
    <mergeCell ref="BJ168:BN168"/>
    <mergeCell ref="BO168:BS168"/>
    <mergeCell ref="BE178:BI178"/>
    <mergeCell ref="A179:C179"/>
    <mergeCell ref="D179:P179"/>
    <mergeCell ref="Q179:U179"/>
    <mergeCell ref="V179:AE179"/>
    <mergeCell ref="AF179:AJ179"/>
    <mergeCell ref="AK179:AO179"/>
    <mergeCell ref="AP179:AT179"/>
    <mergeCell ref="AU179:AY179"/>
    <mergeCell ref="AZ179:BD179"/>
    <mergeCell ref="V178:AE178"/>
    <mergeCell ref="AF178:AJ178"/>
    <mergeCell ref="AK178:AO178"/>
    <mergeCell ref="AP178:AT178"/>
    <mergeCell ref="AU178:AY178"/>
    <mergeCell ref="AZ178:BD178"/>
    <mergeCell ref="A177:C177"/>
    <mergeCell ref="D177:P177"/>
    <mergeCell ref="Q177:U177"/>
    <mergeCell ref="V177:AE177"/>
    <mergeCell ref="AF177:AJ177"/>
    <mergeCell ref="AK177:AO177"/>
    <mergeCell ref="AP177:AT177"/>
    <mergeCell ref="AU177:AY177"/>
    <mergeCell ref="AZ177:BD177"/>
    <mergeCell ref="BE180:BI180"/>
    <mergeCell ref="A181:C181"/>
    <mergeCell ref="D181:P181"/>
    <mergeCell ref="Q181:U181"/>
    <mergeCell ref="V181:AE181"/>
    <mergeCell ref="AF181:AJ181"/>
    <mergeCell ref="AK181:AO181"/>
    <mergeCell ref="AP181:AT181"/>
    <mergeCell ref="AU181:AY181"/>
    <mergeCell ref="AZ181:BD181"/>
    <mergeCell ref="BE179:BI179"/>
    <mergeCell ref="A180:C180"/>
    <mergeCell ref="D180:P180"/>
    <mergeCell ref="Q180:U180"/>
    <mergeCell ref="V180:AE180"/>
    <mergeCell ref="AF180:AJ180"/>
    <mergeCell ref="AK180:AO180"/>
    <mergeCell ref="AP180:AT180"/>
    <mergeCell ref="AU180:AY180"/>
    <mergeCell ref="AZ180:BD180"/>
    <mergeCell ref="BE182:BI182"/>
    <mergeCell ref="A183:C183"/>
    <mergeCell ref="D183:P183"/>
    <mergeCell ref="Q183:U183"/>
    <mergeCell ref="V183:AE183"/>
    <mergeCell ref="AF183:AJ183"/>
    <mergeCell ref="AK183:AO183"/>
    <mergeCell ref="AP183:AT183"/>
    <mergeCell ref="AU183:AY183"/>
    <mergeCell ref="AZ183:BD183"/>
    <mergeCell ref="BE181:BI181"/>
    <mergeCell ref="A182:C182"/>
    <mergeCell ref="D182:P182"/>
    <mergeCell ref="Q182:U182"/>
    <mergeCell ref="V182:AE182"/>
    <mergeCell ref="AF182:AJ182"/>
    <mergeCell ref="AK182:AO182"/>
    <mergeCell ref="AP182:AT182"/>
    <mergeCell ref="AU182:AY182"/>
    <mergeCell ref="AZ182:BD182"/>
    <mergeCell ref="BE184:BI184"/>
    <mergeCell ref="A185:C185"/>
    <mergeCell ref="D185:P185"/>
    <mergeCell ref="Q185:U185"/>
    <mergeCell ref="V185:AE185"/>
    <mergeCell ref="AF185:AJ185"/>
    <mergeCell ref="AK185:AO185"/>
    <mergeCell ref="AP185:AT185"/>
    <mergeCell ref="AU185:AY185"/>
    <mergeCell ref="AZ185:BD185"/>
    <mergeCell ref="BE183:BI183"/>
    <mergeCell ref="A184:C184"/>
    <mergeCell ref="D184:P184"/>
    <mergeCell ref="Q184:U184"/>
    <mergeCell ref="V184:AE184"/>
    <mergeCell ref="AF184:AJ184"/>
    <mergeCell ref="AK184:AO184"/>
    <mergeCell ref="AP184:AT184"/>
    <mergeCell ref="AU184:AY184"/>
    <mergeCell ref="AZ184:BD184"/>
    <mergeCell ref="BE187:BI187"/>
    <mergeCell ref="BE186:BI186"/>
    <mergeCell ref="A187:C187"/>
    <mergeCell ref="D187:P187"/>
    <mergeCell ref="Q187:U187"/>
    <mergeCell ref="V187:AE187"/>
    <mergeCell ref="AF187:AJ187"/>
    <mergeCell ref="AK187:AO187"/>
    <mergeCell ref="AP187:AT187"/>
    <mergeCell ref="AU187:AY187"/>
    <mergeCell ref="AZ187:BD187"/>
    <mergeCell ref="BE185:BI185"/>
    <mergeCell ref="A186:C186"/>
    <mergeCell ref="D186:P186"/>
    <mergeCell ref="Q186:U186"/>
    <mergeCell ref="V186:AE186"/>
    <mergeCell ref="AF186:AJ186"/>
    <mergeCell ref="AK186:AO186"/>
    <mergeCell ref="AP186:AT186"/>
    <mergeCell ref="AU186:AY186"/>
    <mergeCell ref="AZ186:BD186"/>
    <mergeCell ref="BD197:BH197"/>
    <mergeCell ref="BI197:BM197"/>
    <mergeCell ref="BN197:BR197"/>
    <mergeCell ref="A198:T198"/>
    <mergeCell ref="U198:Y198"/>
    <mergeCell ref="Z198:AD198"/>
    <mergeCell ref="AE198:AI198"/>
    <mergeCell ref="AJ198:AN198"/>
    <mergeCell ref="AO198:AS198"/>
    <mergeCell ref="AT198:AX198"/>
    <mergeCell ref="Z197:AD197"/>
    <mergeCell ref="AE197:AI197"/>
    <mergeCell ref="AJ197:AN197"/>
    <mergeCell ref="AO197:AS197"/>
    <mergeCell ref="AT197:AX197"/>
    <mergeCell ref="AY197:BC197"/>
    <mergeCell ref="A196:T196"/>
    <mergeCell ref="U196:Y196"/>
    <mergeCell ref="Z196:AD196"/>
    <mergeCell ref="AE196:AI196"/>
    <mergeCell ref="AJ196:AN196"/>
    <mergeCell ref="AO196:AS196"/>
    <mergeCell ref="AT196:AX196"/>
    <mergeCell ref="AY196:BC196"/>
    <mergeCell ref="BD196:BH196"/>
    <mergeCell ref="AT199:AX199"/>
    <mergeCell ref="AY199:BC199"/>
    <mergeCell ref="BD199:BH199"/>
    <mergeCell ref="BI199:BM199"/>
    <mergeCell ref="BN199:BR199"/>
    <mergeCell ref="A200:T200"/>
    <mergeCell ref="U200:Y200"/>
    <mergeCell ref="Z200:AD200"/>
    <mergeCell ref="AE200:AI200"/>
    <mergeCell ref="AJ200:AN200"/>
    <mergeCell ref="AY198:BC198"/>
    <mergeCell ref="BD198:BH198"/>
    <mergeCell ref="BI198:BM198"/>
    <mergeCell ref="BN198:BR198"/>
    <mergeCell ref="A199:T199"/>
    <mergeCell ref="U199:Y199"/>
    <mergeCell ref="Z199:AD199"/>
    <mergeCell ref="AE199:AI199"/>
    <mergeCell ref="AJ199:AN199"/>
    <mergeCell ref="AO199:AS199"/>
    <mergeCell ref="AT201:AX201"/>
    <mergeCell ref="AY201:BC201"/>
    <mergeCell ref="BD201:BH201"/>
    <mergeCell ref="BI201:BM201"/>
    <mergeCell ref="BN201:BR201"/>
    <mergeCell ref="A202:T202"/>
    <mergeCell ref="U202:Y202"/>
    <mergeCell ref="Z202:AD202"/>
    <mergeCell ref="AE202:AI202"/>
    <mergeCell ref="AJ202:AN202"/>
    <mergeCell ref="A201:T201"/>
    <mergeCell ref="U201:Y201"/>
    <mergeCell ref="Z201:AD201"/>
    <mergeCell ref="AE201:AI201"/>
    <mergeCell ref="AJ201:AN201"/>
    <mergeCell ref="AO201:AS201"/>
    <mergeCell ref="AO200:AS200"/>
    <mergeCell ref="AT200:AX200"/>
    <mergeCell ref="AY200:BC200"/>
    <mergeCell ref="BD200:BH200"/>
    <mergeCell ref="BI200:BM200"/>
    <mergeCell ref="BN200:BR200"/>
    <mergeCell ref="AT203:AX203"/>
    <mergeCell ref="AY203:BC203"/>
    <mergeCell ref="BD203:BH203"/>
    <mergeCell ref="BI203:BM203"/>
    <mergeCell ref="BN203:BR203"/>
    <mergeCell ref="A203:T203"/>
    <mergeCell ref="U203:Y203"/>
    <mergeCell ref="Z203:AD203"/>
    <mergeCell ref="AE203:AI203"/>
    <mergeCell ref="AJ203:AN203"/>
    <mergeCell ref="AO203:AS203"/>
    <mergeCell ref="AO202:AS202"/>
    <mergeCell ref="AT202:AX202"/>
    <mergeCell ref="AY202:BC202"/>
    <mergeCell ref="BD202:BH202"/>
    <mergeCell ref="BI202:BM202"/>
    <mergeCell ref="BN202:BR202"/>
    <mergeCell ref="A213:C213"/>
    <mergeCell ref="D213:V213"/>
    <mergeCell ref="W213:Y213"/>
    <mergeCell ref="Z213:AB213"/>
    <mergeCell ref="AC213:AE213"/>
    <mergeCell ref="AF213:AH213"/>
    <mergeCell ref="AU212:AW212"/>
    <mergeCell ref="AX212:AZ212"/>
    <mergeCell ref="BA212:BC212"/>
    <mergeCell ref="BD212:BF212"/>
    <mergeCell ref="BG212:BI212"/>
    <mergeCell ref="BJ212:BL212"/>
    <mergeCell ref="AC212:AE212"/>
    <mergeCell ref="AF212:AH212"/>
    <mergeCell ref="AI212:AK212"/>
    <mergeCell ref="AL212:AN212"/>
    <mergeCell ref="AO212:AQ212"/>
    <mergeCell ref="AR212:AT212"/>
    <mergeCell ref="BA214:BC214"/>
    <mergeCell ref="BD214:BF214"/>
    <mergeCell ref="BG214:BI214"/>
    <mergeCell ref="BJ214:BL214"/>
    <mergeCell ref="A215:C215"/>
    <mergeCell ref="D215:V215"/>
    <mergeCell ref="W215:Y215"/>
    <mergeCell ref="Z215:AB215"/>
    <mergeCell ref="AC215:AE215"/>
    <mergeCell ref="AF215:AH215"/>
    <mergeCell ref="AI214:AK214"/>
    <mergeCell ref="AL214:AN214"/>
    <mergeCell ref="AO214:AQ214"/>
    <mergeCell ref="AR214:AT214"/>
    <mergeCell ref="AU214:AW214"/>
    <mergeCell ref="AX214:AZ214"/>
    <mergeCell ref="BA213:BC213"/>
    <mergeCell ref="BD213:BF213"/>
    <mergeCell ref="BG213:BI213"/>
    <mergeCell ref="BJ213:BL213"/>
    <mergeCell ref="A214:C214"/>
    <mergeCell ref="D214:V214"/>
    <mergeCell ref="W214:Y214"/>
    <mergeCell ref="Z214:AB214"/>
    <mergeCell ref="AC214:AE214"/>
    <mergeCell ref="AF214:AH214"/>
    <mergeCell ref="AI213:AK213"/>
    <mergeCell ref="AL213:AN213"/>
    <mergeCell ref="AO213:AQ213"/>
    <mergeCell ref="AR213:AT213"/>
    <mergeCell ref="AU213:AW213"/>
    <mergeCell ref="AX213:AZ213"/>
    <mergeCell ref="AP225:AT225"/>
    <mergeCell ref="AU225:AY225"/>
    <mergeCell ref="AZ225:BD225"/>
    <mergeCell ref="BE225:BI225"/>
    <mergeCell ref="BJ225:BN225"/>
    <mergeCell ref="BO225:BS225"/>
    <mergeCell ref="A225:F225"/>
    <mergeCell ref="G225:S225"/>
    <mergeCell ref="T225:Z225"/>
    <mergeCell ref="AA225:AE225"/>
    <mergeCell ref="AF225:AJ225"/>
    <mergeCell ref="AK225:AO225"/>
    <mergeCell ref="BA215:BC215"/>
    <mergeCell ref="BD215:BF215"/>
    <mergeCell ref="BG215:BI215"/>
    <mergeCell ref="BJ215:BL215"/>
    <mergeCell ref="AI215:AK215"/>
    <mergeCell ref="AL215:AN215"/>
    <mergeCell ref="AO215:AQ215"/>
    <mergeCell ref="AR215:AT215"/>
    <mergeCell ref="AU215:AW215"/>
    <mergeCell ref="AX215:AZ215"/>
    <mergeCell ref="AP224:AT224"/>
    <mergeCell ref="AU224:AY224"/>
    <mergeCell ref="AZ224:BD224"/>
    <mergeCell ref="BE224:BI224"/>
    <mergeCell ref="BJ224:BN224"/>
    <mergeCell ref="BO224:BS224"/>
    <mergeCell ref="A224:F224"/>
    <mergeCell ref="G224:S224"/>
    <mergeCell ref="T224:Z224"/>
    <mergeCell ref="AA224:AE224"/>
    <mergeCell ref="BG256:BL256"/>
    <mergeCell ref="Z256:AD256"/>
    <mergeCell ref="AE256:AJ256"/>
    <mergeCell ref="AK256:AP256"/>
    <mergeCell ref="AQ256:AV256"/>
    <mergeCell ref="AW256:BA256"/>
    <mergeCell ref="BB256:BF256"/>
    <mergeCell ref="A255:F255"/>
    <mergeCell ref="G255:S255"/>
    <mergeCell ref="T255:Y255"/>
    <mergeCell ref="Z255:AD255"/>
    <mergeCell ref="AE255:AJ255"/>
    <mergeCell ref="AK255:AP255"/>
    <mergeCell ref="AQ255:AV255"/>
    <mergeCell ref="AW255:BA255"/>
    <mergeCell ref="BB255:BF255"/>
    <mergeCell ref="AP234:AT234"/>
    <mergeCell ref="AU234:AY234"/>
    <mergeCell ref="AZ234:BD234"/>
    <mergeCell ref="A234:F234"/>
    <mergeCell ref="G234:S234"/>
    <mergeCell ref="T234:Z234"/>
    <mergeCell ref="AA234:AE234"/>
    <mergeCell ref="AF234:AJ234"/>
    <mergeCell ref="AK234:AO234"/>
    <mergeCell ref="AK254:AP254"/>
    <mergeCell ref="AQ254:AV254"/>
    <mergeCell ref="AW254:BA254"/>
    <mergeCell ref="BB254:BF254"/>
    <mergeCell ref="BG254:BL254"/>
    <mergeCell ref="AQ250:AV251"/>
    <mergeCell ref="AW250:BF250"/>
    <mergeCell ref="AQ276:AV276"/>
    <mergeCell ref="AW276:BD276"/>
    <mergeCell ref="BE276:BL276"/>
    <mergeCell ref="A276:F276"/>
    <mergeCell ref="G276:S276"/>
    <mergeCell ref="T276:Y276"/>
    <mergeCell ref="Z276:AD276"/>
    <mergeCell ref="AE276:AJ276"/>
    <mergeCell ref="AK276:AP276"/>
    <mergeCell ref="A275:F275"/>
    <mergeCell ref="G275:S275"/>
    <mergeCell ref="T275:Y275"/>
    <mergeCell ref="Z275:AD275"/>
    <mergeCell ref="AE275:AJ275"/>
    <mergeCell ref="AX266:BB266"/>
    <mergeCell ref="BC266:BG266"/>
    <mergeCell ref="BH266:BL266"/>
    <mergeCell ref="A266:F266"/>
    <mergeCell ref="G266:P266"/>
    <mergeCell ref="Q266:U266"/>
    <mergeCell ref="V266:Y266"/>
    <mergeCell ref="Z266:AD266"/>
    <mergeCell ref="AE266:AI266"/>
    <mergeCell ref="AJ266:AN266"/>
    <mergeCell ref="AO266:AS266"/>
    <mergeCell ref="AT266:AW266"/>
    <mergeCell ref="AK275:AP275"/>
    <mergeCell ref="AQ275:AV275"/>
    <mergeCell ref="AW275:BD275"/>
    <mergeCell ref="BE275:BL275"/>
    <mergeCell ref="AQ273:AV273"/>
    <mergeCell ref="AW273:BD273"/>
  </mergeCells>
  <conditionalFormatting sqref="A90 A211 A124">
    <cfRule type="cellIs" dxfId="103" priority="108" stopIfTrue="1" operator="equal">
      <formula>A89</formula>
    </cfRule>
  </conditionalFormatting>
  <conditionalFormatting sqref="A158:C158 A176:C176">
    <cfRule type="cellIs" dxfId="102" priority="109" stopIfTrue="1" operator="equal">
      <formula>A157</formula>
    </cfRule>
    <cfRule type="cellIs" dxfId="101" priority="110" stopIfTrue="1" operator="equal">
      <formula>0</formula>
    </cfRule>
  </conditionalFormatting>
  <conditionalFormatting sqref="A91">
    <cfRule type="cellIs" dxfId="100" priority="107" stopIfTrue="1" operator="equal">
      <formula>A90</formula>
    </cfRule>
  </conditionalFormatting>
  <conditionalFormatting sqref="A92">
    <cfRule type="cellIs" dxfId="99" priority="106" stopIfTrue="1" operator="equal">
      <formula>A91</formula>
    </cfRule>
  </conditionalFormatting>
  <conditionalFormatting sqref="A93">
    <cfRule type="cellIs" dxfId="98" priority="105" stopIfTrue="1" operator="equal">
      <formula>A92</formula>
    </cfRule>
  </conditionalFormatting>
  <conditionalFormatting sqref="A94">
    <cfRule type="cellIs" dxfId="97" priority="104" stopIfTrue="1" operator="equal">
      <formula>A93</formula>
    </cfRule>
  </conditionalFormatting>
  <conditionalFormatting sqref="A95">
    <cfRule type="cellIs" dxfId="96" priority="103" stopIfTrue="1" operator="equal">
      <formula>A94</formula>
    </cfRule>
  </conditionalFormatting>
  <conditionalFormatting sqref="A96">
    <cfRule type="cellIs" dxfId="95" priority="102" stopIfTrue="1" operator="equal">
      <formula>A95</formula>
    </cfRule>
  </conditionalFormatting>
  <conditionalFormatting sqref="A97">
    <cfRule type="cellIs" dxfId="94" priority="101" stopIfTrue="1" operator="equal">
      <formula>A96</formula>
    </cfRule>
  </conditionalFormatting>
  <conditionalFormatting sqref="A98">
    <cfRule type="cellIs" dxfId="93" priority="100" stopIfTrue="1" operator="equal">
      <formula>A97</formula>
    </cfRule>
  </conditionalFormatting>
  <conditionalFormatting sqref="A99">
    <cfRule type="cellIs" dxfId="92" priority="99" stopIfTrue="1" operator="equal">
      <formula>A98</formula>
    </cfRule>
  </conditionalFormatting>
  <conditionalFormatting sqref="A100">
    <cfRule type="cellIs" dxfId="91" priority="98" stopIfTrue="1" operator="equal">
      <formula>A99</formula>
    </cfRule>
  </conditionalFormatting>
  <conditionalFormatting sqref="A101">
    <cfRule type="cellIs" dxfId="90" priority="97" stopIfTrue="1" operator="equal">
      <formula>A100</formula>
    </cfRule>
  </conditionalFormatting>
  <conditionalFormatting sqref="A102">
    <cfRule type="cellIs" dxfId="89" priority="96" stopIfTrue="1" operator="equal">
      <formula>A101</formula>
    </cfRule>
  </conditionalFormatting>
  <conditionalFormatting sqref="A103">
    <cfRule type="cellIs" dxfId="88" priority="95" stopIfTrue="1" operator="equal">
      <formula>A102</formula>
    </cfRule>
  </conditionalFormatting>
  <conditionalFormatting sqref="A104">
    <cfRule type="cellIs" dxfId="87" priority="94" stopIfTrue="1" operator="equal">
      <formula>A103</formula>
    </cfRule>
  </conditionalFormatting>
  <conditionalFormatting sqref="A105">
    <cfRule type="cellIs" dxfId="86" priority="93" stopIfTrue="1" operator="equal">
      <formula>A104</formula>
    </cfRule>
  </conditionalFormatting>
  <conditionalFormatting sqref="A106">
    <cfRule type="cellIs" dxfId="85" priority="92" stopIfTrue="1" operator="equal">
      <formula>A105</formula>
    </cfRule>
  </conditionalFormatting>
  <conditionalFormatting sqref="A107">
    <cfRule type="cellIs" dxfId="84" priority="91" stopIfTrue="1" operator="equal">
      <formula>A106</formula>
    </cfRule>
  </conditionalFormatting>
  <conditionalFormatting sqref="A108">
    <cfRule type="cellIs" dxfId="83" priority="90" stopIfTrue="1" operator="equal">
      <formula>A107</formula>
    </cfRule>
  </conditionalFormatting>
  <conditionalFormatting sqref="A109">
    <cfRule type="cellIs" dxfId="82" priority="89" stopIfTrue="1" operator="equal">
      <formula>A108</formula>
    </cfRule>
  </conditionalFormatting>
  <conditionalFormatting sqref="A110">
    <cfRule type="cellIs" dxfId="81" priority="88" stopIfTrue="1" operator="equal">
      <formula>A109</formula>
    </cfRule>
  </conditionalFormatting>
  <conditionalFormatting sqref="A111">
    <cfRule type="cellIs" dxfId="80" priority="87" stopIfTrue="1" operator="equal">
      <formula>A110</formula>
    </cfRule>
  </conditionalFormatting>
  <conditionalFormatting sqref="A112">
    <cfRule type="cellIs" dxfId="79" priority="86" stopIfTrue="1" operator="equal">
      <formula>A111</formula>
    </cfRule>
  </conditionalFormatting>
  <conditionalFormatting sqref="A113">
    <cfRule type="cellIs" dxfId="78" priority="85" stopIfTrue="1" operator="equal">
      <formula>A112</formula>
    </cfRule>
  </conditionalFormatting>
  <conditionalFormatting sqref="A114">
    <cfRule type="cellIs" dxfId="77" priority="84" stopIfTrue="1" operator="equal">
      <formula>A113</formula>
    </cfRule>
  </conditionalFormatting>
  <conditionalFormatting sqref="A115">
    <cfRule type="cellIs" dxfId="76" priority="83" stopIfTrue="1" operator="equal">
      <formula>A114</formula>
    </cfRule>
  </conditionalFormatting>
  <conditionalFormatting sqref="A116">
    <cfRule type="cellIs" dxfId="75" priority="82" stopIfTrue="1" operator="equal">
      <formula>A115</formula>
    </cfRule>
  </conditionalFormatting>
  <conditionalFormatting sqref="A125">
    <cfRule type="cellIs" dxfId="73" priority="80" stopIfTrue="1" operator="equal">
      <formula>A124</formula>
    </cfRule>
  </conditionalFormatting>
  <conditionalFormatting sqref="A126">
    <cfRule type="cellIs" dxfId="72" priority="79" stopIfTrue="1" operator="equal">
      <formula>A125</formula>
    </cfRule>
  </conditionalFormatting>
  <conditionalFormatting sqref="A127">
    <cfRule type="cellIs" dxfId="71" priority="78" stopIfTrue="1" operator="equal">
      <formula>A126</formula>
    </cfRule>
  </conditionalFormatting>
  <conditionalFormatting sqref="A128">
    <cfRule type="cellIs" dxfId="70" priority="77" stopIfTrue="1" operator="equal">
      <formula>A127</formula>
    </cfRule>
  </conditionalFormatting>
  <conditionalFormatting sqref="A129">
    <cfRule type="cellIs" dxfId="69" priority="76" stopIfTrue="1" operator="equal">
      <formula>A128</formula>
    </cfRule>
  </conditionalFormatting>
  <conditionalFormatting sqref="A130">
    <cfRule type="cellIs" dxfId="68" priority="75" stopIfTrue="1" operator="equal">
      <formula>A129</formula>
    </cfRule>
  </conditionalFormatting>
  <conditionalFormatting sqref="A131">
    <cfRule type="cellIs" dxfId="67" priority="74" stopIfTrue="1" operator="equal">
      <formula>A130</formula>
    </cfRule>
  </conditionalFormatting>
  <conditionalFormatting sqref="A132">
    <cfRule type="cellIs" dxfId="66" priority="73" stopIfTrue="1" operator="equal">
      <formula>A131</formula>
    </cfRule>
  </conditionalFormatting>
  <conditionalFormatting sqref="A133">
    <cfRule type="cellIs" dxfId="65" priority="72" stopIfTrue="1" operator="equal">
      <formula>A132</formula>
    </cfRule>
  </conditionalFormatting>
  <conditionalFormatting sqref="A134">
    <cfRule type="cellIs" dxfId="64" priority="71" stopIfTrue="1" operator="equal">
      <formula>A133</formula>
    </cfRule>
  </conditionalFormatting>
  <conditionalFormatting sqref="A135">
    <cfRule type="cellIs" dxfId="63" priority="70" stopIfTrue="1" operator="equal">
      <formula>A134</formula>
    </cfRule>
  </conditionalFormatting>
  <conditionalFormatting sqref="A136">
    <cfRule type="cellIs" dxfId="62" priority="69" stopIfTrue="1" operator="equal">
      <formula>A135</formula>
    </cfRule>
  </conditionalFormatting>
  <conditionalFormatting sqref="A137">
    <cfRule type="cellIs" dxfId="61" priority="68" stopIfTrue="1" operator="equal">
      <formula>A136</formula>
    </cfRule>
  </conditionalFormatting>
  <conditionalFormatting sqref="A138">
    <cfRule type="cellIs" dxfId="60" priority="67" stopIfTrue="1" operator="equal">
      <formula>A137</formula>
    </cfRule>
  </conditionalFormatting>
  <conditionalFormatting sqref="A139">
    <cfRule type="cellIs" dxfId="59" priority="66" stopIfTrue="1" operator="equal">
      <formula>A138</formula>
    </cfRule>
  </conditionalFormatting>
  <conditionalFormatting sqref="A140">
    <cfRule type="cellIs" dxfId="58" priority="65" stopIfTrue="1" operator="equal">
      <formula>A139</formula>
    </cfRule>
  </conditionalFormatting>
  <conditionalFormatting sqref="A141">
    <cfRule type="cellIs" dxfId="57" priority="64" stopIfTrue="1" operator="equal">
      <formula>A140</formula>
    </cfRule>
  </conditionalFormatting>
  <conditionalFormatting sqref="A142">
    <cfRule type="cellIs" dxfId="56" priority="63" stopIfTrue="1" operator="equal">
      <formula>A141</formula>
    </cfRule>
  </conditionalFormatting>
  <conditionalFormatting sqref="A143">
    <cfRule type="cellIs" dxfId="55" priority="62" stopIfTrue="1" operator="equal">
      <formula>A142</formula>
    </cfRule>
  </conditionalFormatting>
  <conditionalFormatting sqref="A144">
    <cfRule type="cellIs" dxfId="54" priority="61" stopIfTrue="1" operator="equal">
      <formula>A143</formula>
    </cfRule>
  </conditionalFormatting>
  <conditionalFormatting sqref="A145">
    <cfRule type="cellIs" dxfId="53" priority="60" stopIfTrue="1" operator="equal">
      <formula>A144</formula>
    </cfRule>
  </conditionalFormatting>
  <conditionalFormatting sqref="A146">
    <cfRule type="cellIs" dxfId="52" priority="59" stopIfTrue="1" operator="equal">
      <formula>A145</formula>
    </cfRule>
  </conditionalFormatting>
  <conditionalFormatting sqref="A147">
    <cfRule type="cellIs" dxfId="51" priority="58" stopIfTrue="1" operator="equal">
      <formula>A146</formula>
    </cfRule>
  </conditionalFormatting>
  <conditionalFormatting sqref="A148">
    <cfRule type="cellIs" dxfId="50" priority="57" stopIfTrue="1" operator="equal">
      <formula>A147</formula>
    </cfRule>
  </conditionalFormatting>
  <conditionalFormatting sqref="A149">
    <cfRule type="cellIs" dxfId="49" priority="56" stopIfTrue="1" operator="equal">
      <formula>A148</formula>
    </cfRule>
  </conditionalFormatting>
  <conditionalFormatting sqref="A150">
    <cfRule type="cellIs" dxfId="48" priority="55" stopIfTrue="1" operator="equal">
      <formula>A149</formula>
    </cfRule>
  </conditionalFormatting>
  <conditionalFormatting sqref="A212">
    <cfRule type="cellIs" dxfId="47" priority="5" stopIfTrue="1" operator="equal">
      <formula>A211</formula>
    </cfRule>
  </conditionalFormatting>
  <conditionalFormatting sqref="A159:C159">
    <cfRule type="cellIs" dxfId="46" priority="52" stopIfTrue="1" operator="equal">
      <formula>A158</formula>
    </cfRule>
    <cfRule type="cellIs" dxfId="45" priority="53" stopIfTrue="1" operator="equal">
      <formula>0</formula>
    </cfRule>
  </conditionalFormatting>
  <conditionalFormatting sqref="A160:C160">
    <cfRule type="cellIs" dxfId="44" priority="50" stopIfTrue="1" operator="equal">
      <formula>A159</formula>
    </cfRule>
    <cfRule type="cellIs" dxfId="43" priority="51" stopIfTrue="1" operator="equal">
      <formula>0</formula>
    </cfRule>
  </conditionalFormatting>
  <conditionalFormatting sqref="A161:C161">
    <cfRule type="cellIs" dxfId="42" priority="48" stopIfTrue="1" operator="equal">
      <formula>A160</formula>
    </cfRule>
    <cfRule type="cellIs" dxfId="41" priority="49" stopIfTrue="1" operator="equal">
      <formula>0</formula>
    </cfRule>
  </conditionalFormatting>
  <conditionalFormatting sqref="A162:C162">
    <cfRule type="cellIs" dxfId="40" priority="46" stopIfTrue="1" operator="equal">
      <formula>A161</formula>
    </cfRule>
    <cfRule type="cellIs" dxfId="39" priority="47" stopIfTrue="1" operator="equal">
      <formula>0</formula>
    </cfRule>
  </conditionalFormatting>
  <conditionalFormatting sqref="A163:C163">
    <cfRule type="cellIs" dxfId="38" priority="44" stopIfTrue="1" operator="equal">
      <formula>A162</formula>
    </cfRule>
    <cfRule type="cellIs" dxfId="37" priority="45" stopIfTrue="1" operator="equal">
      <formula>0</formula>
    </cfRule>
  </conditionalFormatting>
  <conditionalFormatting sqref="A164:C164">
    <cfRule type="cellIs" dxfId="36" priority="42" stopIfTrue="1" operator="equal">
      <formula>A163</formula>
    </cfRule>
    <cfRule type="cellIs" dxfId="35" priority="43" stopIfTrue="1" operator="equal">
      <formula>0</formula>
    </cfRule>
  </conditionalFormatting>
  <conditionalFormatting sqref="A165:C165">
    <cfRule type="cellIs" dxfId="34" priority="40" stopIfTrue="1" operator="equal">
      <formula>A164</formula>
    </cfRule>
    <cfRule type="cellIs" dxfId="33" priority="41" stopIfTrue="1" operator="equal">
      <formula>0</formula>
    </cfRule>
  </conditionalFormatting>
  <conditionalFormatting sqref="A166:C166">
    <cfRule type="cellIs" dxfId="32" priority="38" stopIfTrue="1" operator="equal">
      <formula>A165</formula>
    </cfRule>
    <cfRule type="cellIs" dxfId="31" priority="39" stopIfTrue="1" operator="equal">
      <formula>0</formula>
    </cfRule>
  </conditionalFormatting>
  <conditionalFormatting sqref="A167:C167">
    <cfRule type="cellIs" dxfId="30" priority="36" stopIfTrue="1" operator="equal">
      <formula>A166</formula>
    </cfRule>
    <cfRule type="cellIs" dxfId="29" priority="37" stopIfTrue="1" operator="equal">
      <formula>0</formula>
    </cfRule>
  </conditionalFormatting>
  <conditionalFormatting sqref="A168:C168">
    <cfRule type="cellIs" dxfId="28" priority="34" stopIfTrue="1" operator="equal">
      <formula>A167</formula>
    </cfRule>
    <cfRule type="cellIs" dxfId="27" priority="35" stopIfTrue="1" operator="equal">
      <formula>0</formula>
    </cfRule>
  </conditionalFormatting>
  <conditionalFormatting sqref="A169:C169">
    <cfRule type="cellIs" dxfId="26" priority="32" stopIfTrue="1" operator="equal">
      <formula>A168</formula>
    </cfRule>
    <cfRule type="cellIs" dxfId="25" priority="33" stopIfTrue="1" operator="equal">
      <formula>0</formula>
    </cfRule>
  </conditionalFormatting>
  <conditionalFormatting sqref="A177:C177">
    <cfRule type="cellIs" dxfId="24" priority="28" stopIfTrue="1" operator="equal">
      <formula>A176</formula>
    </cfRule>
    <cfRule type="cellIs" dxfId="23" priority="29" stopIfTrue="1" operator="equal">
      <formula>0</formula>
    </cfRule>
  </conditionalFormatting>
  <conditionalFormatting sqref="A178:C178">
    <cfRule type="cellIs" dxfId="22" priority="26" stopIfTrue="1" operator="equal">
      <formula>A177</formula>
    </cfRule>
    <cfRule type="cellIs" dxfId="21" priority="27" stopIfTrue="1" operator="equal">
      <formula>0</formula>
    </cfRule>
  </conditionalFormatting>
  <conditionalFormatting sqref="A179:C179">
    <cfRule type="cellIs" dxfId="20" priority="24" stopIfTrue="1" operator="equal">
      <formula>A178</formula>
    </cfRule>
    <cfRule type="cellIs" dxfId="19" priority="25" stopIfTrue="1" operator="equal">
      <formula>0</formula>
    </cfRule>
  </conditionalFormatting>
  <conditionalFormatting sqref="A180:C180">
    <cfRule type="cellIs" dxfId="18" priority="22" stopIfTrue="1" operator="equal">
      <formula>A179</formula>
    </cfRule>
    <cfRule type="cellIs" dxfId="17" priority="23" stopIfTrue="1" operator="equal">
      <formula>0</formula>
    </cfRule>
  </conditionalFormatting>
  <conditionalFormatting sqref="A181:C181">
    <cfRule type="cellIs" dxfId="16" priority="20" stopIfTrue="1" operator="equal">
      <formula>A180</formula>
    </cfRule>
    <cfRule type="cellIs" dxfId="15" priority="21" stopIfTrue="1" operator="equal">
      <formula>0</formula>
    </cfRule>
  </conditionalFormatting>
  <conditionalFormatting sqref="A182:C182">
    <cfRule type="cellIs" dxfId="14" priority="18" stopIfTrue="1" operator="equal">
      <formula>A181</formula>
    </cfRule>
    <cfRule type="cellIs" dxfId="13" priority="19" stopIfTrue="1" operator="equal">
      <formula>0</formula>
    </cfRule>
  </conditionalFormatting>
  <conditionalFormatting sqref="A183:C183">
    <cfRule type="cellIs" dxfId="12" priority="16" stopIfTrue="1" operator="equal">
      <formula>A182</formula>
    </cfRule>
    <cfRule type="cellIs" dxfId="11" priority="17" stopIfTrue="1" operator="equal">
      <formula>0</formula>
    </cfRule>
  </conditionalFormatting>
  <conditionalFormatting sqref="A184:C184">
    <cfRule type="cellIs" dxfId="10" priority="14" stopIfTrue="1" operator="equal">
      <formula>A183</formula>
    </cfRule>
    <cfRule type="cellIs" dxfId="9" priority="15" stopIfTrue="1" operator="equal">
      <formula>0</formula>
    </cfRule>
  </conditionalFormatting>
  <conditionalFormatting sqref="A185:C185">
    <cfRule type="cellIs" dxfId="8" priority="12" stopIfTrue="1" operator="equal">
      <formula>A184</formula>
    </cfRule>
    <cfRule type="cellIs" dxfId="7" priority="13" stopIfTrue="1" operator="equal">
      <formula>0</formula>
    </cfRule>
  </conditionalFormatting>
  <conditionalFormatting sqref="A186:C186">
    <cfRule type="cellIs" dxfId="6" priority="10" stopIfTrue="1" operator="equal">
      <formula>A185</formula>
    </cfRule>
    <cfRule type="cellIs" dxfId="5" priority="11" stopIfTrue="1" operator="equal">
      <formula>0</formula>
    </cfRule>
  </conditionalFormatting>
  <conditionalFormatting sqref="A187:C187">
    <cfRule type="cellIs" dxfId="4" priority="8" stopIfTrue="1" operator="equal">
      <formula>A186</formula>
    </cfRule>
    <cfRule type="cellIs" dxfId="3" priority="9" stopIfTrue="1" operator="equal">
      <formula>0</formula>
    </cfRule>
  </conditionalFormatting>
  <conditionalFormatting sqref="A213">
    <cfRule type="cellIs" dxfId="2" priority="4" stopIfTrue="1" operator="equal">
      <formula>A212</formula>
    </cfRule>
  </conditionalFormatting>
  <conditionalFormatting sqref="A214">
    <cfRule type="cellIs" dxfId="1" priority="3" stopIfTrue="1" operator="equal">
      <formula>A213</formula>
    </cfRule>
  </conditionalFormatting>
  <conditionalFormatting sqref="A215">
    <cfRule type="cellIs" dxfId="0" priority="2" stopIfTrue="1" operator="equal">
      <formula>A214</formula>
    </cfRule>
  </conditionalFormatting>
  <pageMargins left="0.32" right="0.33" top="0.39370078740157499" bottom="0.39370078740157499" header="0" footer="0"/>
  <pageSetup paperSize="9" scale="65" fitToHeight="500" orientation="landscape" r:id="rId1"/>
  <headerFooter alignWithMargins="0"/>
  <colBreaks count="1" manualBreakCount="1">
    <brk id="7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Додаток2 КПК0117693</vt:lpstr>
      <vt:lpstr>'Додаток2 КПК0117693'!Область_печати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Пользователь1</cp:lastModifiedBy>
  <cp:lastPrinted>2025-01-14T13:12:01Z</cp:lastPrinted>
  <dcterms:created xsi:type="dcterms:W3CDTF">2016-07-02T12:27:50Z</dcterms:created>
  <dcterms:modified xsi:type="dcterms:W3CDTF">2025-01-14T13:13:24Z</dcterms:modified>
</cp:coreProperties>
</file>