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14158000-CC99-4FD8-9BE1-C901031C195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241" sheetId="1" r:id="rId1"/>
  </sheets>
  <definedNames>
    <definedName name="_xlnm.Print_Area" localSheetId="0">КПК0113241!$A$1:$BQ$150</definedName>
  </definedNames>
  <calcPr calcId="191029"/>
</workbook>
</file>

<file path=xl/calcChain.xml><?xml version="1.0" encoding="utf-8"?>
<calcChain xmlns="http://schemas.openxmlformats.org/spreadsheetml/2006/main">
  <c r="BH124" i="1" l="1"/>
  <c r="BC124" i="1"/>
  <c r="BH122" i="1"/>
  <c r="BC122" i="1"/>
  <c r="BH121" i="1"/>
  <c r="BC121" i="1"/>
  <c r="BH119" i="1"/>
  <c r="BC119" i="1"/>
  <c r="BH118" i="1"/>
  <c r="BC118" i="1"/>
  <c r="BH116" i="1"/>
  <c r="BC116" i="1"/>
  <c r="BH115" i="1"/>
  <c r="BC115" i="1"/>
  <c r="BH114" i="1"/>
  <c r="BC114" i="1"/>
  <c r="BD104" i="1"/>
  <c r="AY104" i="1"/>
  <c r="AS104" i="1"/>
  <c r="AC104" i="1"/>
  <c r="BI71" i="1"/>
  <c r="BD71" i="1"/>
  <c r="AZ71" i="1"/>
  <c r="AK71" i="1"/>
  <c r="BI70" i="1"/>
  <c r="BD70" i="1"/>
  <c r="AZ70" i="1"/>
  <c r="AK70" i="1"/>
  <c r="BI69" i="1"/>
  <c r="BD69" i="1"/>
  <c r="AZ69" i="1"/>
  <c r="AK69" i="1"/>
  <c r="BI68" i="1"/>
  <c r="BD68" i="1"/>
  <c r="AZ68" i="1"/>
  <c r="AK68" i="1"/>
  <c r="BI67" i="1"/>
  <c r="BD67" i="1"/>
  <c r="AZ67" i="1"/>
  <c r="AK67" i="1"/>
  <c r="BI66" i="1"/>
  <c r="BD66" i="1"/>
  <c r="AZ66" i="1"/>
  <c r="AK66" i="1"/>
  <c r="BI65" i="1"/>
  <c r="BD65" i="1"/>
  <c r="AZ65" i="1"/>
  <c r="AK65" i="1"/>
  <c r="BI64" i="1"/>
  <c r="BD64" i="1"/>
  <c r="AZ64" i="1"/>
  <c r="AK64" i="1"/>
  <c r="BI63" i="1"/>
  <c r="BD63" i="1"/>
  <c r="AZ63" i="1"/>
  <c r="AK63" i="1"/>
  <c r="BI62" i="1"/>
  <c r="BD62" i="1"/>
  <c r="AZ62" i="1"/>
  <c r="AK62" i="1"/>
  <c r="BI61" i="1"/>
  <c r="BD61" i="1"/>
  <c r="AZ61" i="1"/>
  <c r="AK61" i="1"/>
  <c r="BI60" i="1"/>
  <c r="BD60" i="1"/>
  <c r="AZ60" i="1"/>
  <c r="AK60" i="1"/>
  <c r="BI59" i="1"/>
  <c r="BD59" i="1"/>
  <c r="AZ59" i="1"/>
  <c r="AK59" i="1"/>
  <c r="BI58" i="1"/>
  <c r="BD58" i="1"/>
  <c r="AZ58" i="1"/>
  <c r="AK58" i="1"/>
  <c r="BI57" i="1"/>
  <c r="BD57" i="1"/>
  <c r="AZ57" i="1"/>
  <c r="AK57" i="1"/>
  <c r="BI56" i="1"/>
  <c r="BD56" i="1"/>
  <c r="AZ56" i="1"/>
  <c r="AK56" i="1"/>
  <c r="BI55" i="1"/>
  <c r="BD55" i="1"/>
  <c r="AZ55" i="1"/>
  <c r="AK55" i="1"/>
  <c r="BI54" i="1"/>
  <c r="BD54" i="1"/>
  <c r="AZ54" i="1"/>
  <c r="AK54" i="1"/>
  <c r="BI53" i="1"/>
  <c r="BD53" i="1"/>
  <c r="AZ53" i="1"/>
  <c r="AK53" i="1"/>
  <c r="BI52" i="1"/>
  <c r="BD52" i="1"/>
  <c r="AZ52" i="1"/>
  <c r="AK52" i="1"/>
  <c r="BI51" i="1"/>
  <c r="BD51" i="1"/>
  <c r="AZ51" i="1"/>
  <c r="AK51" i="1"/>
  <c r="BI50" i="1"/>
  <c r="BD50" i="1"/>
  <c r="AZ50" i="1"/>
  <c r="AK50" i="1"/>
  <c r="BI49" i="1"/>
  <c r="BD49" i="1"/>
  <c r="AZ49" i="1"/>
  <c r="AK49" i="1"/>
  <c r="BI48" i="1"/>
  <c r="BD48" i="1"/>
  <c r="AZ48" i="1"/>
  <c r="AK48" i="1"/>
  <c r="BI47" i="1"/>
  <c r="BD47" i="1"/>
  <c r="AZ47" i="1"/>
  <c r="AK47" i="1"/>
  <c r="BI46" i="1"/>
  <c r="BD46" i="1"/>
  <c r="AZ46" i="1"/>
  <c r="AK46" i="1"/>
  <c r="BI45" i="1"/>
  <c r="BD45" i="1"/>
  <c r="AZ45" i="1"/>
  <c r="AK45" i="1"/>
  <c r="BI44" i="1"/>
  <c r="BD44" i="1"/>
  <c r="AZ44" i="1"/>
  <c r="AK44" i="1"/>
  <c r="BI43" i="1"/>
  <c r="BD43" i="1"/>
  <c r="AZ43" i="1"/>
  <c r="AK43" i="1"/>
  <c r="BI104" i="1" l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</calcChain>
</file>

<file path=xl/sharedStrings.xml><?xml version="1.0" encoding="utf-8"?>
<sst xmlns="http://schemas.openxmlformats.org/spreadsheetml/2006/main" count="267" uniqueCount="167">
  <si>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</si>
  <si>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</si>
  <si>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</si>
  <si>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</si>
  <si>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</si>
  <si>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</si>
  <si>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</si>
  <si>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</si>
  <si>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</si>
  <si>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</si>
  <si>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</si>
  <si>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</si>
  <si>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</si>
  <si>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</si>
  <si>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</si>
  <si>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</si>
  <si>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</si>
  <si>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</si>
  <si>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</si>
  <si>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</si>
  <si>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</si>
  <si>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</si>
  <si>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</si>
  <si>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</si>
  <si>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</si>
  <si>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</si>
  <si>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</si>
  <si>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</si>
  <si>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</si>
  <si>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</si>
  <si>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</si>
  <si>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</si>
  <si>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</si>
  <si>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</si>
  <si>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</si>
  <si>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</si>
  <si>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</si>
  <si>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</si>
  <si>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</si>
  <si>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</si>
  <si>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</si>
  <si>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</si>
  <si>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</si>
  <si>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</si>
  <si>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</si>
  <si>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</si>
  <si>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</si>
  <si>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</si>
  <si>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</si>
  <si>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</si>
  <si>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</si>
  <si>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</si>
  <si>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</si>
  <si>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</si>
  <si>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</si>
  <si>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</si>
  <si>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</si>
  <si>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</si>
  <si>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</si>
  <si>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</si>
  <si>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</si>
  <si>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</si>
  <si>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</si>
  <si>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</si>
  <si>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</si>
  <si>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</si>
  <si>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</si>
  <si>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</si>
  <si>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</si>
  <si>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</si>
  <si>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</si>
  <si>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</si>
  <si>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</si>
  <si>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</si>
  <si>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</si>
  <si>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</si>
  <si>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</si>
  <si>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</si>
  <si>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Соціальний захист різних соціальних і демографічних груп населення, особливо тих, які перебувають у складних життєвих обставинах</t>
  </si>
  <si>
    <t>Надання соціальних послуг мешканцям територіальної громади, які опинились у складних життєвих обставинах та потребують сторонньої допомоги</t>
  </si>
  <si>
    <t>Заробітна плата</t>
  </si>
  <si>
    <t>Нарахування на оплату праці</t>
  </si>
  <si>
    <t>Придбання канцелярського та письмового приладдя, паперу</t>
  </si>
  <si>
    <t>Придбання пально-мастильних матеріалів (талонів)</t>
  </si>
  <si>
    <t>Придбання запчастин до транспортних засобів</t>
  </si>
  <si>
    <t>Оплата послуг з охорони приміщень</t>
  </si>
  <si>
    <t>Оплата послуг з поточного ремонту та технічного обслуговування комп'ютерної техніки та організаційної техніки</t>
  </si>
  <si>
    <t>Оплата послуг з технічного обслуговування електрообладнання та електричних мереж</t>
  </si>
  <si>
    <t>Оплата послуг з технiчного обслуговування газових приладів</t>
  </si>
  <si>
    <t>Оплата послуг з перезарядки картриджів, тонерів</t>
  </si>
  <si>
    <t>Оплата послуг з адміністрування (обслуговування) програмного забезпечення</t>
  </si>
  <si>
    <t>Оплата за користування програмними або апаратними засобами захисту електронних платіжних документів</t>
  </si>
  <si>
    <t>Оплата послуг Інтернет-провайдерів за користування мережею Інтернет</t>
  </si>
  <si>
    <t>Оплата послуг з технічного обслуговування та поточного ремонту транспортних засобів</t>
  </si>
  <si>
    <t>Оплата послуг із страхування транспортних засобів</t>
  </si>
  <si>
    <t>Оплата послуг лікувальних, медичних закладів, передбачених законодавством</t>
  </si>
  <si>
    <t>Оплата послуг з обстеження димовентиляційних каналів</t>
  </si>
  <si>
    <t>Оплата послуг з промивки системи опалення (приміщення в с. Малишівка)</t>
  </si>
  <si>
    <t>Оплата послуг з ремонту і технічного обслуговування систем центрального опалення</t>
  </si>
  <si>
    <t>Оплата асенізаційних послуг</t>
  </si>
  <si>
    <t>Витрати на відрядження</t>
  </si>
  <si>
    <t>Оплата водопостачання та водовідведення</t>
  </si>
  <si>
    <t>Оплата електроенергії</t>
  </si>
  <si>
    <t>Оплата за природний газ (в т.ч. розподіл та транспортування)</t>
  </si>
  <si>
    <t>Оплата послуг з поводження з відходами</t>
  </si>
  <si>
    <t>Оплата за навчання відповідальних осіб з питань технічної експлуатації газових та теплових установок з видачею посвідчення</t>
  </si>
  <si>
    <t>Оплата поточного ремонту притулку для осіб, які постраждали від домашнього насильства за адресою: с.Привітне, пров.Тихий, 7</t>
  </si>
  <si>
    <t>Оплата експлуатаційних послуг, пов"язаних з утрриманням будинікв і споруд</t>
  </si>
  <si>
    <t>УСЬОГО</t>
  </si>
  <si>
    <t>Наявність вакансій</t>
  </si>
  <si>
    <t>Канцелярське та письмове приладдя, папір закуповувалися за необхідності</t>
  </si>
  <si>
    <t>Вартість запчастин включена в оплату за проведення технічного обслуговування та поточного ремонту транспортного засобу</t>
  </si>
  <si>
    <t>Оплата послуг охорони приміщень проводилася згідно актів виконаних робіт</t>
  </si>
  <si>
    <t>Оплата послуг проводилася згідно наданих актів виконаних робіт</t>
  </si>
  <si>
    <t>Оплата послуг з технічного обслуговування газових приладів проводилася згідно наданих актів</t>
  </si>
  <si>
    <t>Подовження терміну дії одного апаратного засобу захисту електронних платіжних документів</t>
  </si>
  <si>
    <t>Оплата послуг проводилася згідно наданих актів</t>
  </si>
  <si>
    <t>Технічне обслуговування та поточний ремонт транспортного засобу проводилися за необхідності</t>
  </si>
  <si>
    <t>Відсутність необхідності промивки системи опалення</t>
  </si>
  <si>
    <t>Асенізаційні послуги не надавались</t>
  </si>
  <si>
    <t>Участь у конференціях, засіданнях, навчаннях у форматі онлайн; оплата видатків на відрядження за рахунок організаторів заходів</t>
  </si>
  <si>
    <t>Економне споживання</t>
  </si>
  <si>
    <t>Сприятливі погодні умови</t>
  </si>
  <si>
    <t>Продовження терміну дії наявних свідоцтв відповідальних осіб</t>
  </si>
  <si>
    <t>Усього</t>
  </si>
  <si>
    <t>затрат</t>
  </si>
  <si>
    <t/>
  </si>
  <si>
    <t>кількість  центрів  соціальних послуг</t>
  </si>
  <si>
    <t>од.</t>
  </si>
  <si>
    <t>мережа бюджетних установ</t>
  </si>
  <si>
    <t>кількість штатних працівників центру соціальних послуг</t>
  </si>
  <si>
    <t>осіб</t>
  </si>
  <si>
    <t>штатний розпис</t>
  </si>
  <si>
    <t>у т.ч.  фахівців  та робітників, які надають соціальні послуги</t>
  </si>
  <si>
    <t>продукту</t>
  </si>
  <si>
    <t>кількість закладів, що надають соціальні послуги</t>
  </si>
  <si>
    <t>кількість осіб, що потребують соціального обслуговування</t>
  </si>
  <si>
    <t>облікові дані</t>
  </si>
  <si>
    <t>ефективності</t>
  </si>
  <si>
    <t>середні витрати на утримання одного штатного працівника центру</t>
  </si>
  <si>
    <t>грн/рік</t>
  </si>
  <si>
    <t>розрахунковий показник</t>
  </si>
  <si>
    <t>кількість осіб, що потребують соціального обслуговування, на одного робітника, який надає соціальні послуги</t>
  </si>
  <si>
    <t>якості</t>
  </si>
  <si>
    <t>відсоток охоплення осіб соціальним обслуговуванням</t>
  </si>
  <si>
    <t>відс.</t>
  </si>
  <si>
    <t>звітність</t>
  </si>
  <si>
    <t>Збільшення кількості осіб, що потребують соціального обслуговування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</si>
  <si>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 за рахунок можливостей бюджету територіальної громади</t>
  </si>
  <si>
    <t>Мета бюджетної програми виконана в повному обсязі. На території громади працює 6 відділень КУ "Центр соціальних послуг". У 2024 році:_x000D_
- введено посаду "фахівець з супроводу ветеранів війни та демобілізованих осіб";_x000D_
- здійснено 140 виїздів соціального таксі;_x000D_
- 49 осіб скористалися послугою прання 686 разів;_x000D_
- здійснено 129  виїздів мобільної бригади соціально-психологічної допомоги;_x000D_
- на соціальному супроводі знаходяться 65 сімей, в яких виховується 137 дітей і які опинилися в складних життєвих умовах;_x000D_
- діє послуга "Університет третього віку" (скористалися 200 мешканців- відвідали 93 заняття різної тематичної спрямованості (художнє та прикладне мистецтво, соціальне консультування, громадянська освіта));_x000D_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документи.Недофінансування і перевитрати за захищеними та першочерговими статтями видатків загального фонду місцевого бюджету станом на 01.01.2025 року відсутні._x000D_
Прострочена кредиторська та дебіторська заборгованості станом на 01.01.2025 року за загальним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</si>
  <si>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</si>
  <si>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</si>
  <si>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</si>
  <si>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</si>
  <si>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</si>
  <si>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</si>
  <si>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</si>
  <si>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</si>
  <si>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</si>
  <si>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</si>
  <si>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0113241</t>
  </si>
  <si>
    <t>Забезпечення діяльності інших закладів у сфері соціального захисту і соціального забезпечення</t>
  </si>
  <si>
    <t>Широківська сільська рада Запорізького району Запорізької області</t>
  </si>
  <si>
    <t>0110000</t>
  </si>
  <si>
    <t>3241</t>
  </si>
  <si>
    <t>1090</t>
  </si>
  <si>
    <t>Результативні показники бюджетної програми виконані в повному обсязі.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</si>
</sst>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15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4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50"/>
  <sheetViews>
    <sheetView tabSelected="1" topLeftCell="A2" zoomScaleNormal="100" workbookViewId="0">
      <selection activeCell="A149" sqref="A149:V149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4" t="s">
        <v>59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64" ht="9" customHeight="1" x14ac:dyDescent="0.2"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</row>
    <row r="4" spans="1:64" ht="15.75" customHeight="1" x14ac:dyDescent="0.2"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</row>
    <row r="7" spans="1:64" ht="9.75" hidden="1" customHeight="1" x14ac:dyDescent="0.2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</row>
    <row r="8" spans="1:64" ht="9.75" hidden="1" customHeight="1" x14ac:dyDescent="0.2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</row>
    <row r="9" spans="1:64" ht="8.25" hidden="1" customHeight="1" x14ac:dyDescent="0.2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</row>
    <row r="10" spans="1:64" ht="15.75" x14ac:dyDescent="0.2">
      <c r="A10" s="86" t="s">
        <v>18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64" ht="15.75" customHeight="1" x14ac:dyDescent="0.2">
      <c r="A11" s="86" t="s">
        <v>35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64" ht="15.75" customHeight="1" x14ac:dyDescent="0.2">
      <c r="A12" s="86" t="s">
        <v>159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</row>
    <row r="13" spans="1:64" ht="6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">
      <c r="A14" s="13" t="s">
        <v>7</v>
      </c>
      <c r="B14" s="68" t="s">
        <v>150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14"/>
      <c r="N14" s="73" t="s">
        <v>151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15"/>
      <c r="AU14" s="68" t="s">
        <v>156</v>
      </c>
      <c r="AV14" s="69"/>
      <c r="AW14" s="69"/>
      <c r="AX14" s="69"/>
      <c r="AY14" s="69"/>
      <c r="AZ14" s="69"/>
      <c r="BA14" s="69"/>
      <c r="BB14" s="69"/>
      <c r="BC14" s="15"/>
      <c r="BD14" s="15"/>
      <c r="BE14" s="15"/>
      <c r="BF14" s="15"/>
      <c r="BG14" s="15"/>
      <c r="BH14" s="15"/>
      <c r="BI14" s="15"/>
      <c r="BJ14" s="15"/>
      <c r="BK14" s="15"/>
      <c r="BL14" s="15"/>
    </row>
    <row r="15" spans="1:64" ht="21.75" customHeight="1" x14ac:dyDescent="0.2">
      <c r="A15" s="16"/>
      <c r="B15" s="67" t="s">
        <v>51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16"/>
      <c r="N15" s="74" t="s">
        <v>52</v>
      </c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16"/>
      <c r="AU15" s="67" t="s">
        <v>53</v>
      </c>
      <c r="AV15" s="67"/>
      <c r="AW15" s="67"/>
      <c r="AX15" s="67"/>
      <c r="AY15" s="67"/>
      <c r="AZ15" s="67"/>
      <c r="BA15" s="67"/>
      <c r="BB15" s="67"/>
      <c r="BC15" s="16"/>
      <c r="BD15" s="16"/>
      <c r="BE15" s="16"/>
      <c r="BF15" s="16"/>
      <c r="BG15" s="16"/>
      <c r="BH15" s="16"/>
      <c r="BI15" s="16"/>
      <c r="BJ15" s="16"/>
      <c r="BK15" s="16"/>
      <c r="BL15" s="16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7"/>
      <c r="BF16" s="17"/>
      <c r="BG16" s="17"/>
      <c r="BH16" s="17"/>
      <c r="BI16" s="17"/>
      <c r="BJ16" s="17"/>
      <c r="BK16" s="17"/>
      <c r="BL16" s="17"/>
    </row>
    <row r="17" spans="1:79" ht="27.95" customHeight="1" x14ac:dyDescent="0.2">
      <c r="A17" s="15" t="s">
        <v>33</v>
      </c>
      <c r="B17" s="68" t="s">
        <v>163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14"/>
      <c r="N17" s="73" t="s">
        <v>162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15"/>
      <c r="AU17" s="68" t="s">
        <v>156</v>
      </c>
      <c r="AV17" s="69"/>
      <c r="AW17" s="69"/>
      <c r="AX17" s="69"/>
      <c r="AY17" s="69"/>
      <c r="AZ17" s="69"/>
      <c r="BA17" s="69"/>
      <c r="BB17" s="69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">
      <c r="A18" s="16"/>
      <c r="B18" s="67" t="s">
        <v>51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16"/>
      <c r="N18" s="74" t="s">
        <v>54</v>
      </c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16"/>
      <c r="AU18" s="67" t="s">
        <v>53</v>
      </c>
      <c r="AV18" s="67"/>
      <c r="AW18" s="67"/>
      <c r="AX18" s="67"/>
      <c r="AY18" s="67"/>
      <c r="AZ18" s="67"/>
      <c r="BA18" s="67"/>
      <c r="BB18" s="67"/>
      <c r="BC18" s="20"/>
      <c r="BD18" s="20"/>
      <c r="BE18" s="20"/>
      <c r="BF18" s="20"/>
      <c r="BG18" s="20"/>
      <c r="BH18" s="20"/>
      <c r="BI18" s="20"/>
      <c r="BJ18" s="20"/>
      <c r="BK18" s="20"/>
      <c r="BL18" s="20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28.5" customHeight="1" x14ac:dyDescent="0.2">
      <c r="A20" s="13" t="s">
        <v>34</v>
      </c>
      <c r="B20" s="68" t="s">
        <v>160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/>
      <c r="N20" s="68" t="s">
        <v>164</v>
      </c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18"/>
      <c r="AA20" s="68" t="s">
        <v>165</v>
      </c>
      <c r="AB20" s="69"/>
      <c r="AC20" s="69"/>
      <c r="AD20" s="69"/>
      <c r="AE20" s="69"/>
      <c r="AF20" s="69"/>
      <c r="AG20" s="69"/>
      <c r="AH20" s="69"/>
      <c r="AI20" s="69"/>
      <c r="AJ20" s="18"/>
      <c r="AK20" s="70" t="s">
        <v>161</v>
      </c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18"/>
      <c r="BE20" s="68" t="s">
        <v>157</v>
      </c>
      <c r="BF20" s="69"/>
      <c r="BG20" s="69"/>
      <c r="BH20" s="69"/>
      <c r="BI20" s="69"/>
      <c r="BJ20" s="69"/>
      <c r="BK20" s="69"/>
      <c r="BL20" s="69"/>
    </row>
    <row r="21" spans="1:79" ht="23.25" customHeight="1" x14ac:dyDescent="0.2">
      <c r="A21"/>
      <c r="B21" s="67" t="s">
        <v>51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/>
      <c r="N21" s="67" t="s">
        <v>55</v>
      </c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20"/>
      <c r="AA21" s="72" t="s">
        <v>56</v>
      </c>
      <c r="AB21" s="72"/>
      <c r="AC21" s="72"/>
      <c r="AD21" s="72"/>
      <c r="AE21" s="72"/>
      <c r="AF21" s="72"/>
      <c r="AG21" s="72"/>
      <c r="AH21" s="72"/>
      <c r="AI21" s="72"/>
      <c r="AJ21" s="20"/>
      <c r="AK21" s="79" t="s">
        <v>57</v>
      </c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20"/>
      <c r="BE21" s="67" t="s">
        <v>58</v>
      </c>
      <c r="BF21" s="67"/>
      <c r="BG21" s="67"/>
      <c r="BH21" s="67"/>
      <c r="BI21" s="67"/>
      <c r="BJ21" s="67"/>
      <c r="BK21" s="67"/>
      <c r="BL21" s="67"/>
    </row>
    <row r="22" spans="1:79" ht="6.75" customHeight="1" x14ac:dyDescent="0.2"/>
    <row r="23" spans="1:79" ht="15.75" customHeight="1" x14ac:dyDescent="0.2">
      <c r="A23" s="54" t="s">
        <v>77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</row>
    <row r="24" spans="1:79" ht="27.75" customHeight="1" x14ac:dyDescent="0.2">
      <c r="A24" s="75" t="s">
        <v>3</v>
      </c>
      <c r="B24" s="75"/>
      <c r="C24" s="75"/>
      <c r="D24" s="75"/>
      <c r="E24" s="75"/>
      <c r="F24" s="75"/>
      <c r="G24" s="76" t="s">
        <v>38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8"/>
    </row>
    <row r="25" spans="1:79" ht="10.5" hidden="1" customHeight="1" x14ac:dyDescent="0.2">
      <c r="A25" s="38" t="s">
        <v>36</v>
      </c>
      <c r="B25" s="38"/>
      <c r="C25" s="38"/>
      <c r="D25" s="38"/>
      <c r="E25" s="38"/>
      <c r="F25" s="38"/>
      <c r="G25" s="80" t="s">
        <v>14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2"/>
      <c r="CA25" s="1" t="s">
        <v>49</v>
      </c>
    </row>
    <row r="26" spans="1:79" ht="15.75" customHeight="1" x14ac:dyDescent="0.2">
      <c r="A26" s="38">
        <v>1</v>
      </c>
      <c r="B26" s="38"/>
      <c r="C26" s="38"/>
      <c r="D26" s="38"/>
      <c r="E26" s="38"/>
      <c r="F26" s="38"/>
      <c r="G26" s="108" t="s">
        <v>78</v>
      </c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10"/>
      <c r="CA26" s="1" t="s">
        <v>47</v>
      </c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95" customHeight="1" x14ac:dyDescent="0.2">
      <c r="A28" s="54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</row>
    <row r="29" spans="1:79" ht="47.25" customHeight="1" x14ac:dyDescent="0.2">
      <c r="A29" s="113" t="s">
        <v>148</v>
      </c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</row>
    <row r="30" spans="1:79" ht="12.75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1:79" ht="15.75" customHeight="1" x14ac:dyDescent="0.2">
      <c r="A31" s="54" t="s">
        <v>41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</row>
    <row r="32" spans="1:79" ht="27.75" customHeight="1" x14ac:dyDescent="0.2">
      <c r="A32" s="75" t="s">
        <v>3</v>
      </c>
      <c r="B32" s="75"/>
      <c r="C32" s="75"/>
      <c r="D32" s="75"/>
      <c r="E32" s="75"/>
      <c r="F32" s="75"/>
      <c r="G32" s="76" t="s">
        <v>39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8"/>
    </row>
    <row r="33" spans="1:79" ht="10.5" hidden="1" customHeight="1" x14ac:dyDescent="0.2">
      <c r="A33" s="38" t="s">
        <v>13</v>
      </c>
      <c r="B33" s="38"/>
      <c r="C33" s="38"/>
      <c r="D33" s="38"/>
      <c r="E33" s="38"/>
      <c r="F33" s="38"/>
      <c r="G33" s="80" t="s">
        <v>14</v>
      </c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2"/>
      <c r="CA33" s="1" t="s">
        <v>50</v>
      </c>
    </row>
    <row r="34" spans="1:79" ht="15" customHeight="1" x14ac:dyDescent="0.2">
      <c r="A34" s="38">
        <v>1</v>
      </c>
      <c r="B34" s="38"/>
      <c r="C34" s="38"/>
      <c r="D34" s="38"/>
      <c r="E34" s="38"/>
      <c r="F34" s="38"/>
      <c r="G34" s="108" t="s">
        <v>79</v>
      </c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10"/>
      <c r="CA34" s="1" t="s">
        <v>48</v>
      </c>
    </row>
    <row r="36" spans="1:79" ht="15.75" customHeight="1" x14ac:dyDescent="0.2">
      <c r="A36" s="54" t="s">
        <v>72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</row>
    <row r="37" spans="1:79" ht="15.75" customHeight="1" x14ac:dyDescent="0.2">
      <c r="A37" s="54" t="s">
        <v>73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</row>
    <row r="38" spans="1:79" ht="15" customHeight="1" x14ac:dyDescent="0.2">
      <c r="A38" s="97" t="s">
        <v>158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</row>
    <row r="39" spans="1:79" ht="48" customHeight="1" x14ac:dyDescent="0.2">
      <c r="A39" s="60" t="s">
        <v>3</v>
      </c>
      <c r="B39" s="60"/>
      <c r="C39" s="60" t="s">
        <v>67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 t="s">
        <v>25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 t="s">
        <v>44</v>
      </c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 t="s">
        <v>0</v>
      </c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</row>
    <row r="40" spans="1:79" ht="29.1" customHeight="1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 t="s">
        <v>2</v>
      </c>
      <c r="AB40" s="60"/>
      <c r="AC40" s="60"/>
      <c r="AD40" s="60"/>
      <c r="AE40" s="60"/>
      <c r="AF40" s="60" t="s">
        <v>1</v>
      </c>
      <c r="AG40" s="60"/>
      <c r="AH40" s="60"/>
      <c r="AI40" s="60"/>
      <c r="AJ40" s="60"/>
      <c r="AK40" s="60" t="s">
        <v>26</v>
      </c>
      <c r="AL40" s="60"/>
      <c r="AM40" s="60"/>
      <c r="AN40" s="60"/>
      <c r="AO40" s="60"/>
      <c r="AP40" s="60" t="s">
        <v>2</v>
      </c>
      <c r="AQ40" s="60"/>
      <c r="AR40" s="60"/>
      <c r="AS40" s="60"/>
      <c r="AT40" s="60"/>
      <c r="AU40" s="60" t="s">
        <v>1</v>
      </c>
      <c r="AV40" s="60"/>
      <c r="AW40" s="60"/>
      <c r="AX40" s="60"/>
      <c r="AY40" s="60"/>
      <c r="AZ40" s="60" t="s">
        <v>26</v>
      </c>
      <c r="BA40" s="60"/>
      <c r="BB40" s="60"/>
      <c r="BC40" s="60"/>
      <c r="BD40" s="60" t="s">
        <v>2</v>
      </c>
      <c r="BE40" s="60"/>
      <c r="BF40" s="60"/>
      <c r="BG40" s="60"/>
      <c r="BH40" s="60"/>
      <c r="BI40" s="60" t="s">
        <v>1</v>
      </c>
      <c r="BJ40" s="60"/>
      <c r="BK40" s="60"/>
      <c r="BL40" s="60"/>
      <c r="BM40" s="60"/>
      <c r="BN40" s="60" t="s">
        <v>27</v>
      </c>
      <c r="BO40" s="60"/>
      <c r="BP40" s="60"/>
      <c r="BQ40" s="60"/>
    </row>
    <row r="41" spans="1:79" ht="15.95" customHeight="1" x14ac:dyDescent="0.2">
      <c r="A41" s="60">
        <v>1</v>
      </c>
      <c r="B41" s="60"/>
      <c r="C41" s="60">
        <v>2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55">
        <v>3</v>
      </c>
      <c r="AB41" s="61"/>
      <c r="AC41" s="61"/>
      <c r="AD41" s="61"/>
      <c r="AE41" s="62"/>
      <c r="AF41" s="55">
        <v>4</v>
      </c>
      <c r="AG41" s="61"/>
      <c r="AH41" s="61"/>
      <c r="AI41" s="61"/>
      <c r="AJ41" s="62"/>
      <c r="AK41" s="55">
        <v>5</v>
      </c>
      <c r="AL41" s="61"/>
      <c r="AM41" s="61"/>
      <c r="AN41" s="61"/>
      <c r="AO41" s="62"/>
      <c r="AP41" s="55">
        <v>6</v>
      </c>
      <c r="AQ41" s="61"/>
      <c r="AR41" s="61"/>
      <c r="AS41" s="61"/>
      <c r="AT41" s="62"/>
      <c r="AU41" s="55">
        <v>7</v>
      </c>
      <c r="AV41" s="61"/>
      <c r="AW41" s="61"/>
      <c r="AX41" s="61"/>
      <c r="AY41" s="62"/>
      <c r="AZ41" s="55">
        <v>8</v>
      </c>
      <c r="BA41" s="61"/>
      <c r="BB41" s="61"/>
      <c r="BC41" s="62"/>
      <c r="BD41" s="55">
        <v>9</v>
      </c>
      <c r="BE41" s="61"/>
      <c r="BF41" s="61"/>
      <c r="BG41" s="61"/>
      <c r="BH41" s="62"/>
      <c r="BI41" s="60">
        <v>10</v>
      </c>
      <c r="BJ41" s="60"/>
      <c r="BK41" s="60"/>
      <c r="BL41" s="60"/>
      <c r="BM41" s="60"/>
      <c r="BN41" s="60">
        <v>11</v>
      </c>
      <c r="BO41" s="60"/>
      <c r="BP41" s="60"/>
      <c r="BQ41" s="60"/>
    </row>
    <row r="42" spans="1:79" ht="15.75" hidden="1" customHeight="1" x14ac:dyDescent="0.2">
      <c r="A42" s="38" t="s">
        <v>13</v>
      </c>
      <c r="B42" s="38"/>
      <c r="C42" s="107" t="s">
        <v>14</v>
      </c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53"/>
      <c r="AA42" s="63" t="s">
        <v>10</v>
      </c>
      <c r="AB42" s="63"/>
      <c r="AC42" s="63"/>
      <c r="AD42" s="63"/>
      <c r="AE42" s="63"/>
      <c r="AF42" s="63" t="s">
        <v>9</v>
      </c>
      <c r="AG42" s="63"/>
      <c r="AH42" s="63"/>
      <c r="AI42" s="63"/>
      <c r="AJ42" s="63"/>
      <c r="AK42" s="30" t="s">
        <v>16</v>
      </c>
      <c r="AL42" s="30"/>
      <c r="AM42" s="30"/>
      <c r="AN42" s="30"/>
      <c r="AO42" s="30"/>
      <c r="AP42" s="63" t="s">
        <v>11</v>
      </c>
      <c r="AQ42" s="63"/>
      <c r="AR42" s="63"/>
      <c r="AS42" s="63"/>
      <c r="AT42" s="63"/>
      <c r="AU42" s="63" t="s">
        <v>12</v>
      </c>
      <c r="AV42" s="63"/>
      <c r="AW42" s="63"/>
      <c r="AX42" s="63"/>
      <c r="AY42" s="63"/>
      <c r="AZ42" s="30" t="s">
        <v>16</v>
      </c>
      <c r="BA42" s="30"/>
      <c r="BB42" s="30"/>
      <c r="BC42" s="30"/>
      <c r="BD42" s="38" t="s">
        <v>31</v>
      </c>
      <c r="BE42" s="38"/>
      <c r="BF42" s="38"/>
      <c r="BG42" s="38"/>
      <c r="BH42" s="38"/>
      <c r="BI42" s="38" t="s">
        <v>31</v>
      </c>
      <c r="BJ42" s="38"/>
      <c r="BK42" s="38"/>
      <c r="BL42" s="38"/>
      <c r="BM42" s="38"/>
      <c r="BN42" s="106" t="s">
        <v>16</v>
      </c>
      <c r="BO42" s="106"/>
      <c r="BP42" s="106"/>
      <c r="BQ42" s="106"/>
      <c r="CA42" s="1" t="s">
        <v>19</v>
      </c>
    </row>
    <row r="43" spans="1:79" ht="15" customHeight="1" x14ac:dyDescent="0.2">
      <c r="A43" s="38">
        <v>1</v>
      </c>
      <c r="B43" s="38"/>
      <c r="C43" s="39" t="s">
        <v>80</v>
      </c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1"/>
      <c r="AA43" s="46">
        <v>4813095</v>
      </c>
      <c r="AB43" s="46"/>
      <c r="AC43" s="46"/>
      <c r="AD43" s="46"/>
      <c r="AE43" s="46"/>
      <c r="AF43" s="46">
        <v>0</v>
      </c>
      <c r="AG43" s="46"/>
      <c r="AH43" s="46"/>
      <c r="AI43" s="46"/>
      <c r="AJ43" s="46"/>
      <c r="AK43" s="46">
        <f t="shared" ref="AK43:AK71" si="0">AA43+AF43</f>
        <v>4813095</v>
      </c>
      <c r="AL43" s="46"/>
      <c r="AM43" s="46"/>
      <c r="AN43" s="46"/>
      <c r="AO43" s="46"/>
      <c r="AP43" s="46">
        <v>4473488.49</v>
      </c>
      <c r="AQ43" s="46"/>
      <c r="AR43" s="46"/>
      <c r="AS43" s="46"/>
      <c r="AT43" s="46"/>
      <c r="AU43" s="46">
        <v>0</v>
      </c>
      <c r="AV43" s="46"/>
      <c r="AW43" s="46"/>
      <c r="AX43" s="46"/>
      <c r="AY43" s="46"/>
      <c r="AZ43" s="46">
        <f t="shared" ref="AZ43:AZ71" si="1">AP43+AU43</f>
        <v>4473488.49</v>
      </c>
      <c r="BA43" s="46"/>
      <c r="BB43" s="46"/>
      <c r="BC43" s="46"/>
      <c r="BD43" s="46">
        <f t="shared" ref="BD43:BD71" si="2">AP43-AA43</f>
        <v>-339606.50999999978</v>
      </c>
      <c r="BE43" s="46"/>
      <c r="BF43" s="46"/>
      <c r="BG43" s="46"/>
      <c r="BH43" s="46"/>
      <c r="BI43" s="46">
        <f t="shared" ref="BI43:BI71" si="3">AU43-AF43</f>
        <v>0</v>
      </c>
      <c r="BJ43" s="46"/>
      <c r="BK43" s="46"/>
      <c r="BL43" s="46"/>
      <c r="BM43" s="46"/>
      <c r="BN43" s="46">
        <f t="shared" ref="BN43:BN71" si="4">BD43+BI43</f>
        <v>-339606.50999999978</v>
      </c>
      <c r="BO43" s="46"/>
      <c r="BP43" s="46"/>
      <c r="BQ43" s="46"/>
      <c r="CA43" s="1" t="s">
        <v>20</v>
      </c>
    </row>
    <row r="44" spans="1:79" ht="15" customHeight="1" x14ac:dyDescent="0.2">
      <c r="A44" s="38">
        <v>2</v>
      </c>
      <c r="B44" s="38"/>
      <c r="C44" s="39" t="s">
        <v>81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1"/>
      <c r="AA44" s="46">
        <v>1055266</v>
      </c>
      <c r="AB44" s="46"/>
      <c r="AC44" s="46"/>
      <c r="AD44" s="46"/>
      <c r="AE44" s="46"/>
      <c r="AF44" s="46">
        <v>0</v>
      </c>
      <c r="AG44" s="46"/>
      <c r="AH44" s="46"/>
      <c r="AI44" s="46"/>
      <c r="AJ44" s="46"/>
      <c r="AK44" s="46">
        <f t="shared" si="0"/>
        <v>1055266</v>
      </c>
      <c r="AL44" s="46"/>
      <c r="AM44" s="46"/>
      <c r="AN44" s="46"/>
      <c r="AO44" s="46"/>
      <c r="AP44" s="46">
        <v>968266</v>
      </c>
      <c r="AQ44" s="46"/>
      <c r="AR44" s="46"/>
      <c r="AS44" s="46"/>
      <c r="AT44" s="46"/>
      <c r="AU44" s="46">
        <v>0</v>
      </c>
      <c r="AV44" s="46"/>
      <c r="AW44" s="46"/>
      <c r="AX44" s="46"/>
      <c r="AY44" s="46"/>
      <c r="AZ44" s="46">
        <f t="shared" si="1"/>
        <v>968266</v>
      </c>
      <c r="BA44" s="46"/>
      <c r="BB44" s="46"/>
      <c r="BC44" s="46"/>
      <c r="BD44" s="46">
        <f t="shared" si="2"/>
        <v>-87000</v>
      </c>
      <c r="BE44" s="46"/>
      <c r="BF44" s="46"/>
      <c r="BG44" s="46"/>
      <c r="BH44" s="46"/>
      <c r="BI44" s="46">
        <f t="shared" si="3"/>
        <v>0</v>
      </c>
      <c r="BJ44" s="46"/>
      <c r="BK44" s="46"/>
      <c r="BL44" s="46"/>
      <c r="BM44" s="46"/>
      <c r="BN44" s="46">
        <f t="shared" si="4"/>
        <v>-87000</v>
      </c>
      <c r="BO44" s="46"/>
      <c r="BP44" s="46"/>
      <c r="BQ44" s="46"/>
    </row>
    <row r="45" spans="1:79" ht="15" customHeight="1" x14ac:dyDescent="0.2">
      <c r="A45" s="38">
        <v>3</v>
      </c>
      <c r="B45" s="38"/>
      <c r="C45" s="39" t="s">
        <v>82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1"/>
      <c r="AA45" s="46">
        <v>59900</v>
      </c>
      <c r="AB45" s="46"/>
      <c r="AC45" s="46"/>
      <c r="AD45" s="46"/>
      <c r="AE45" s="46"/>
      <c r="AF45" s="46">
        <v>0</v>
      </c>
      <c r="AG45" s="46"/>
      <c r="AH45" s="46"/>
      <c r="AI45" s="46"/>
      <c r="AJ45" s="46"/>
      <c r="AK45" s="46">
        <f t="shared" si="0"/>
        <v>59900</v>
      </c>
      <c r="AL45" s="46"/>
      <c r="AM45" s="46"/>
      <c r="AN45" s="46"/>
      <c r="AO45" s="46"/>
      <c r="AP45" s="46">
        <v>59122</v>
      </c>
      <c r="AQ45" s="46"/>
      <c r="AR45" s="46"/>
      <c r="AS45" s="46"/>
      <c r="AT45" s="46"/>
      <c r="AU45" s="46">
        <v>0</v>
      </c>
      <c r="AV45" s="46"/>
      <c r="AW45" s="46"/>
      <c r="AX45" s="46"/>
      <c r="AY45" s="46"/>
      <c r="AZ45" s="46">
        <f t="shared" si="1"/>
        <v>59122</v>
      </c>
      <c r="BA45" s="46"/>
      <c r="BB45" s="46"/>
      <c r="BC45" s="46"/>
      <c r="BD45" s="46">
        <f t="shared" si="2"/>
        <v>-778</v>
      </c>
      <c r="BE45" s="46"/>
      <c r="BF45" s="46"/>
      <c r="BG45" s="46"/>
      <c r="BH45" s="46"/>
      <c r="BI45" s="46">
        <f t="shared" si="3"/>
        <v>0</v>
      </c>
      <c r="BJ45" s="46"/>
      <c r="BK45" s="46"/>
      <c r="BL45" s="46"/>
      <c r="BM45" s="46"/>
      <c r="BN45" s="46">
        <f t="shared" si="4"/>
        <v>-778</v>
      </c>
      <c r="BO45" s="46"/>
      <c r="BP45" s="46"/>
      <c r="BQ45" s="46"/>
    </row>
    <row r="46" spans="1:79" ht="15" customHeight="1" x14ac:dyDescent="0.2">
      <c r="A46" s="38">
        <v>4</v>
      </c>
      <c r="B46" s="38"/>
      <c r="C46" s="39" t="s">
        <v>83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1"/>
      <c r="AA46" s="46">
        <v>398300</v>
      </c>
      <c r="AB46" s="46"/>
      <c r="AC46" s="46"/>
      <c r="AD46" s="46"/>
      <c r="AE46" s="46"/>
      <c r="AF46" s="46">
        <v>0</v>
      </c>
      <c r="AG46" s="46"/>
      <c r="AH46" s="46"/>
      <c r="AI46" s="46"/>
      <c r="AJ46" s="46"/>
      <c r="AK46" s="46">
        <f t="shared" si="0"/>
        <v>398300</v>
      </c>
      <c r="AL46" s="46"/>
      <c r="AM46" s="46"/>
      <c r="AN46" s="46"/>
      <c r="AO46" s="46"/>
      <c r="AP46" s="46">
        <v>398300</v>
      </c>
      <c r="AQ46" s="46"/>
      <c r="AR46" s="46"/>
      <c r="AS46" s="46"/>
      <c r="AT46" s="46"/>
      <c r="AU46" s="46">
        <v>0</v>
      </c>
      <c r="AV46" s="46"/>
      <c r="AW46" s="46"/>
      <c r="AX46" s="46"/>
      <c r="AY46" s="46"/>
      <c r="AZ46" s="46">
        <f t="shared" si="1"/>
        <v>398300</v>
      </c>
      <c r="BA46" s="46"/>
      <c r="BB46" s="46"/>
      <c r="BC46" s="46"/>
      <c r="BD46" s="46">
        <f t="shared" si="2"/>
        <v>0</v>
      </c>
      <c r="BE46" s="46"/>
      <c r="BF46" s="46"/>
      <c r="BG46" s="46"/>
      <c r="BH46" s="46"/>
      <c r="BI46" s="46">
        <f t="shared" si="3"/>
        <v>0</v>
      </c>
      <c r="BJ46" s="46"/>
      <c r="BK46" s="46"/>
      <c r="BL46" s="46"/>
      <c r="BM46" s="46"/>
      <c r="BN46" s="46">
        <f t="shared" si="4"/>
        <v>0</v>
      </c>
      <c r="BO46" s="46"/>
      <c r="BP46" s="46"/>
      <c r="BQ46" s="46"/>
    </row>
    <row r="47" spans="1:79" ht="15" customHeight="1" x14ac:dyDescent="0.2">
      <c r="A47" s="38">
        <v>5</v>
      </c>
      <c r="B47" s="38"/>
      <c r="C47" s="39" t="s">
        <v>84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1"/>
      <c r="AA47" s="46">
        <v>40000</v>
      </c>
      <c r="AB47" s="46"/>
      <c r="AC47" s="46"/>
      <c r="AD47" s="46"/>
      <c r="AE47" s="46"/>
      <c r="AF47" s="46">
        <v>0</v>
      </c>
      <c r="AG47" s="46"/>
      <c r="AH47" s="46"/>
      <c r="AI47" s="46"/>
      <c r="AJ47" s="46"/>
      <c r="AK47" s="46">
        <f t="shared" si="0"/>
        <v>40000</v>
      </c>
      <c r="AL47" s="46"/>
      <c r="AM47" s="46"/>
      <c r="AN47" s="46"/>
      <c r="AO47" s="46"/>
      <c r="AP47" s="46">
        <v>0</v>
      </c>
      <c r="AQ47" s="46"/>
      <c r="AR47" s="46"/>
      <c r="AS47" s="46"/>
      <c r="AT47" s="46"/>
      <c r="AU47" s="46">
        <v>0</v>
      </c>
      <c r="AV47" s="46"/>
      <c r="AW47" s="46"/>
      <c r="AX47" s="46"/>
      <c r="AY47" s="46"/>
      <c r="AZ47" s="46">
        <f t="shared" si="1"/>
        <v>0</v>
      </c>
      <c r="BA47" s="46"/>
      <c r="BB47" s="46"/>
      <c r="BC47" s="46"/>
      <c r="BD47" s="46">
        <f t="shared" si="2"/>
        <v>-40000</v>
      </c>
      <c r="BE47" s="46"/>
      <c r="BF47" s="46"/>
      <c r="BG47" s="46"/>
      <c r="BH47" s="46"/>
      <c r="BI47" s="46">
        <f t="shared" si="3"/>
        <v>0</v>
      </c>
      <c r="BJ47" s="46"/>
      <c r="BK47" s="46"/>
      <c r="BL47" s="46"/>
      <c r="BM47" s="46"/>
      <c r="BN47" s="46">
        <f t="shared" si="4"/>
        <v>-40000</v>
      </c>
      <c r="BO47" s="46"/>
      <c r="BP47" s="46"/>
      <c r="BQ47" s="46"/>
    </row>
    <row r="48" spans="1:79" ht="15" customHeight="1" x14ac:dyDescent="0.2">
      <c r="A48" s="38">
        <v>6</v>
      </c>
      <c r="B48" s="38"/>
      <c r="C48" s="39" t="s">
        <v>85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1"/>
      <c r="AA48" s="46">
        <v>24084</v>
      </c>
      <c r="AB48" s="46"/>
      <c r="AC48" s="46"/>
      <c r="AD48" s="46"/>
      <c r="AE48" s="46"/>
      <c r="AF48" s="46">
        <v>0</v>
      </c>
      <c r="AG48" s="46"/>
      <c r="AH48" s="46"/>
      <c r="AI48" s="46"/>
      <c r="AJ48" s="46"/>
      <c r="AK48" s="46">
        <f t="shared" si="0"/>
        <v>24084</v>
      </c>
      <c r="AL48" s="46"/>
      <c r="AM48" s="46"/>
      <c r="AN48" s="46"/>
      <c r="AO48" s="46"/>
      <c r="AP48" s="46">
        <v>22735.79</v>
      </c>
      <c r="AQ48" s="46"/>
      <c r="AR48" s="46"/>
      <c r="AS48" s="46"/>
      <c r="AT48" s="46"/>
      <c r="AU48" s="46">
        <v>0</v>
      </c>
      <c r="AV48" s="46"/>
      <c r="AW48" s="46"/>
      <c r="AX48" s="46"/>
      <c r="AY48" s="46"/>
      <c r="AZ48" s="46">
        <f t="shared" si="1"/>
        <v>22735.79</v>
      </c>
      <c r="BA48" s="46"/>
      <c r="BB48" s="46"/>
      <c r="BC48" s="46"/>
      <c r="BD48" s="46">
        <f t="shared" si="2"/>
        <v>-1348.2099999999991</v>
      </c>
      <c r="BE48" s="46"/>
      <c r="BF48" s="46"/>
      <c r="BG48" s="46"/>
      <c r="BH48" s="46"/>
      <c r="BI48" s="46">
        <f t="shared" si="3"/>
        <v>0</v>
      </c>
      <c r="BJ48" s="46"/>
      <c r="BK48" s="46"/>
      <c r="BL48" s="46"/>
      <c r="BM48" s="46"/>
      <c r="BN48" s="46">
        <f t="shared" si="4"/>
        <v>-1348.2099999999991</v>
      </c>
      <c r="BO48" s="46"/>
      <c r="BP48" s="46"/>
      <c r="BQ48" s="46"/>
    </row>
    <row r="49" spans="1:69" ht="25.5" customHeight="1" x14ac:dyDescent="0.2">
      <c r="A49" s="38">
        <v>7</v>
      </c>
      <c r="B49" s="38"/>
      <c r="C49" s="39" t="s">
        <v>86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1"/>
      <c r="AA49" s="46">
        <v>49440</v>
      </c>
      <c r="AB49" s="46"/>
      <c r="AC49" s="46"/>
      <c r="AD49" s="46"/>
      <c r="AE49" s="46"/>
      <c r="AF49" s="46">
        <v>0</v>
      </c>
      <c r="AG49" s="46"/>
      <c r="AH49" s="46"/>
      <c r="AI49" s="46"/>
      <c r="AJ49" s="46"/>
      <c r="AK49" s="46">
        <f t="shared" si="0"/>
        <v>49440</v>
      </c>
      <c r="AL49" s="46"/>
      <c r="AM49" s="46"/>
      <c r="AN49" s="46"/>
      <c r="AO49" s="46"/>
      <c r="AP49" s="46">
        <v>49440</v>
      </c>
      <c r="AQ49" s="46"/>
      <c r="AR49" s="46"/>
      <c r="AS49" s="46"/>
      <c r="AT49" s="46"/>
      <c r="AU49" s="46">
        <v>0</v>
      </c>
      <c r="AV49" s="46"/>
      <c r="AW49" s="46"/>
      <c r="AX49" s="46"/>
      <c r="AY49" s="46"/>
      <c r="AZ49" s="46">
        <f t="shared" si="1"/>
        <v>49440</v>
      </c>
      <c r="BA49" s="46"/>
      <c r="BB49" s="46"/>
      <c r="BC49" s="46"/>
      <c r="BD49" s="46">
        <f t="shared" si="2"/>
        <v>0</v>
      </c>
      <c r="BE49" s="46"/>
      <c r="BF49" s="46"/>
      <c r="BG49" s="46"/>
      <c r="BH49" s="46"/>
      <c r="BI49" s="46">
        <f t="shared" si="3"/>
        <v>0</v>
      </c>
      <c r="BJ49" s="46"/>
      <c r="BK49" s="46"/>
      <c r="BL49" s="46"/>
      <c r="BM49" s="46"/>
      <c r="BN49" s="46">
        <f t="shared" si="4"/>
        <v>0</v>
      </c>
      <c r="BO49" s="46"/>
      <c r="BP49" s="46"/>
      <c r="BQ49" s="46"/>
    </row>
    <row r="50" spans="1:69" ht="25.5" customHeight="1" x14ac:dyDescent="0.2">
      <c r="A50" s="38">
        <v>8</v>
      </c>
      <c r="B50" s="38"/>
      <c r="C50" s="39" t="s">
        <v>87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1"/>
      <c r="AA50" s="46">
        <v>267400</v>
      </c>
      <c r="AB50" s="46"/>
      <c r="AC50" s="46"/>
      <c r="AD50" s="46"/>
      <c r="AE50" s="46"/>
      <c r="AF50" s="46">
        <v>0</v>
      </c>
      <c r="AG50" s="46"/>
      <c r="AH50" s="46"/>
      <c r="AI50" s="46"/>
      <c r="AJ50" s="46"/>
      <c r="AK50" s="46">
        <f t="shared" si="0"/>
        <v>267400</v>
      </c>
      <c r="AL50" s="46"/>
      <c r="AM50" s="46"/>
      <c r="AN50" s="46"/>
      <c r="AO50" s="46"/>
      <c r="AP50" s="46">
        <v>243269.2</v>
      </c>
      <c r="AQ50" s="46"/>
      <c r="AR50" s="46"/>
      <c r="AS50" s="46"/>
      <c r="AT50" s="46"/>
      <c r="AU50" s="46">
        <v>0</v>
      </c>
      <c r="AV50" s="46"/>
      <c r="AW50" s="46"/>
      <c r="AX50" s="46"/>
      <c r="AY50" s="46"/>
      <c r="AZ50" s="46">
        <f t="shared" si="1"/>
        <v>243269.2</v>
      </c>
      <c r="BA50" s="46"/>
      <c r="BB50" s="46"/>
      <c r="BC50" s="46"/>
      <c r="BD50" s="46">
        <f t="shared" si="2"/>
        <v>-24130.799999999988</v>
      </c>
      <c r="BE50" s="46"/>
      <c r="BF50" s="46"/>
      <c r="BG50" s="46"/>
      <c r="BH50" s="46"/>
      <c r="BI50" s="46">
        <f t="shared" si="3"/>
        <v>0</v>
      </c>
      <c r="BJ50" s="46"/>
      <c r="BK50" s="46"/>
      <c r="BL50" s="46"/>
      <c r="BM50" s="46"/>
      <c r="BN50" s="46">
        <f t="shared" si="4"/>
        <v>-24130.799999999988</v>
      </c>
      <c r="BO50" s="46"/>
      <c r="BP50" s="46"/>
      <c r="BQ50" s="46"/>
    </row>
    <row r="51" spans="1:69" ht="15" customHeight="1" x14ac:dyDescent="0.2">
      <c r="A51" s="38">
        <v>9</v>
      </c>
      <c r="B51" s="38"/>
      <c r="C51" s="39" t="s">
        <v>88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1"/>
      <c r="AA51" s="46">
        <v>23000</v>
      </c>
      <c r="AB51" s="46"/>
      <c r="AC51" s="46"/>
      <c r="AD51" s="46"/>
      <c r="AE51" s="46"/>
      <c r="AF51" s="46">
        <v>0</v>
      </c>
      <c r="AG51" s="46"/>
      <c r="AH51" s="46"/>
      <c r="AI51" s="46"/>
      <c r="AJ51" s="46"/>
      <c r="AK51" s="46">
        <f t="shared" si="0"/>
        <v>23000</v>
      </c>
      <c r="AL51" s="46"/>
      <c r="AM51" s="46"/>
      <c r="AN51" s="46"/>
      <c r="AO51" s="46"/>
      <c r="AP51" s="46">
        <v>19166.650000000001</v>
      </c>
      <c r="AQ51" s="46"/>
      <c r="AR51" s="46"/>
      <c r="AS51" s="46"/>
      <c r="AT51" s="46"/>
      <c r="AU51" s="46">
        <v>0</v>
      </c>
      <c r="AV51" s="46"/>
      <c r="AW51" s="46"/>
      <c r="AX51" s="46"/>
      <c r="AY51" s="46"/>
      <c r="AZ51" s="46">
        <f t="shared" si="1"/>
        <v>19166.650000000001</v>
      </c>
      <c r="BA51" s="46"/>
      <c r="BB51" s="46"/>
      <c r="BC51" s="46"/>
      <c r="BD51" s="46">
        <f t="shared" si="2"/>
        <v>-3833.3499999999985</v>
      </c>
      <c r="BE51" s="46"/>
      <c r="BF51" s="46"/>
      <c r="BG51" s="46"/>
      <c r="BH51" s="46"/>
      <c r="BI51" s="46">
        <f t="shared" si="3"/>
        <v>0</v>
      </c>
      <c r="BJ51" s="46"/>
      <c r="BK51" s="46"/>
      <c r="BL51" s="46"/>
      <c r="BM51" s="46"/>
      <c r="BN51" s="46">
        <f t="shared" si="4"/>
        <v>-3833.3499999999985</v>
      </c>
      <c r="BO51" s="46"/>
      <c r="BP51" s="46"/>
      <c r="BQ51" s="46"/>
    </row>
    <row r="52" spans="1:69" ht="15" customHeight="1" x14ac:dyDescent="0.2">
      <c r="A52" s="38">
        <v>10</v>
      </c>
      <c r="B52" s="38"/>
      <c r="C52" s="39" t="s">
        <v>89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1"/>
      <c r="AA52" s="46">
        <v>15000</v>
      </c>
      <c r="AB52" s="46"/>
      <c r="AC52" s="46"/>
      <c r="AD52" s="46"/>
      <c r="AE52" s="46"/>
      <c r="AF52" s="46">
        <v>0</v>
      </c>
      <c r="AG52" s="46"/>
      <c r="AH52" s="46"/>
      <c r="AI52" s="46"/>
      <c r="AJ52" s="46"/>
      <c r="AK52" s="46">
        <f t="shared" si="0"/>
        <v>15000</v>
      </c>
      <c r="AL52" s="46"/>
      <c r="AM52" s="46"/>
      <c r="AN52" s="46"/>
      <c r="AO52" s="46"/>
      <c r="AP52" s="46">
        <v>15000</v>
      </c>
      <c r="AQ52" s="46"/>
      <c r="AR52" s="46"/>
      <c r="AS52" s="46"/>
      <c r="AT52" s="46"/>
      <c r="AU52" s="46">
        <v>0</v>
      </c>
      <c r="AV52" s="46"/>
      <c r="AW52" s="46"/>
      <c r="AX52" s="46"/>
      <c r="AY52" s="46"/>
      <c r="AZ52" s="46">
        <f t="shared" si="1"/>
        <v>15000</v>
      </c>
      <c r="BA52" s="46"/>
      <c r="BB52" s="46"/>
      <c r="BC52" s="46"/>
      <c r="BD52" s="46">
        <f t="shared" si="2"/>
        <v>0</v>
      </c>
      <c r="BE52" s="46"/>
      <c r="BF52" s="46"/>
      <c r="BG52" s="46"/>
      <c r="BH52" s="46"/>
      <c r="BI52" s="46">
        <f t="shared" si="3"/>
        <v>0</v>
      </c>
      <c r="BJ52" s="46"/>
      <c r="BK52" s="46"/>
      <c r="BL52" s="46"/>
      <c r="BM52" s="46"/>
      <c r="BN52" s="46">
        <f t="shared" si="4"/>
        <v>0</v>
      </c>
      <c r="BO52" s="46"/>
      <c r="BP52" s="46"/>
      <c r="BQ52" s="46"/>
    </row>
    <row r="53" spans="1:69" ht="15" customHeight="1" x14ac:dyDescent="0.2">
      <c r="A53" s="38">
        <v>11</v>
      </c>
      <c r="B53" s="38"/>
      <c r="C53" s="39" t="s">
        <v>90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1"/>
      <c r="AA53" s="46">
        <v>16000</v>
      </c>
      <c r="AB53" s="46"/>
      <c r="AC53" s="46"/>
      <c r="AD53" s="46"/>
      <c r="AE53" s="46"/>
      <c r="AF53" s="46">
        <v>0</v>
      </c>
      <c r="AG53" s="46"/>
      <c r="AH53" s="46"/>
      <c r="AI53" s="46"/>
      <c r="AJ53" s="46"/>
      <c r="AK53" s="46">
        <f t="shared" si="0"/>
        <v>16000</v>
      </c>
      <c r="AL53" s="46"/>
      <c r="AM53" s="46"/>
      <c r="AN53" s="46"/>
      <c r="AO53" s="46"/>
      <c r="AP53" s="46">
        <v>16000</v>
      </c>
      <c r="AQ53" s="46"/>
      <c r="AR53" s="46"/>
      <c r="AS53" s="46"/>
      <c r="AT53" s="46"/>
      <c r="AU53" s="46">
        <v>0</v>
      </c>
      <c r="AV53" s="46"/>
      <c r="AW53" s="46"/>
      <c r="AX53" s="46"/>
      <c r="AY53" s="46"/>
      <c r="AZ53" s="46">
        <f t="shared" si="1"/>
        <v>16000</v>
      </c>
      <c r="BA53" s="46"/>
      <c r="BB53" s="46"/>
      <c r="BC53" s="46"/>
      <c r="BD53" s="46">
        <f t="shared" si="2"/>
        <v>0</v>
      </c>
      <c r="BE53" s="46"/>
      <c r="BF53" s="46"/>
      <c r="BG53" s="46"/>
      <c r="BH53" s="46"/>
      <c r="BI53" s="46">
        <f t="shared" si="3"/>
        <v>0</v>
      </c>
      <c r="BJ53" s="46"/>
      <c r="BK53" s="46"/>
      <c r="BL53" s="46"/>
      <c r="BM53" s="46"/>
      <c r="BN53" s="46">
        <f t="shared" si="4"/>
        <v>0</v>
      </c>
      <c r="BO53" s="46"/>
      <c r="BP53" s="46"/>
      <c r="BQ53" s="46"/>
    </row>
    <row r="54" spans="1:69" ht="25.5" customHeight="1" x14ac:dyDescent="0.2">
      <c r="A54" s="38">
        <v>12</v>
      </c>
      <c r="B54" s="38"/>
      <c r="C54" s="39" t="s">
        <v>91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1"/>
      <c r="AA54" s="46">
        <v>500</v>
      </c>
      <c r="AB54" s="46"/>
      <c r="AC54" s="46"/>
      <c r="AD54" s="46"/>
      <c r="AE54" s="46"/>
      <c r="AF54" s="46">
        <v>0</v>
      </c>
      <c r="AG54" s="46"/>
      <c r="AH54" s="46"/>
      <c r="AI54" s="46"/>
      <c r="AJ54" s="46"/>
      <c r="AK54" s="46">
        <f t="shared" si="0"/>
        <v>500</v>
      </c>
      <c r="AL54" s="46"/>
      <c r="AM54" s="46"/>
      <c r="AN54" s="46"/>
      <c r="AO54" s="46"/>
      <c r="AP54" s="46">
        <v>220</v>
      </c>
      <c r="AQ54" s="46"/>
      <c r="AR54" s="46"/>
      <c r="AS54" s="46"/>
      <c r="AT54" s="46"/>
      <c r="AU54" s="46">
        <v>0</v>
      </c>
      <c r="AV54" s="46"/>
      <c r="AW54" s="46"/>
      <c r="AX54" s="46"/>
      <c r="AY54" s="46"/>
      <c r="AZ54" s="46">
        <f t="shared" si="1"/>
        <v>220</v>
      </c>
      <c r="BA54" s="46"/>
      <c r="BB54" s="46"/>
      <c r="BC54" s="46"/>
      <c r="BD54" s="46">
        <f t="shared" si="2"/>
        <v>-280</v>
      </c>
      <c r="BE54" s="46"/>
      <c r="BF54" s="46"/>
      <c r="BG54" s="46"/>
      <c r="BH54" s="46"/>
      <c r="BI54" s="46">
        <f t="shared" si="3"/>
        <v>0</v>
      </c>
      <c r="BJ54" s="46"/>
      <c r="BK54" s="46"/>
      <c r="BL54" s="46"/>
      <c r="BM54" s="46"/>
      <c r="BN54" s="46">
        <f t="shared" si="4"/>
        <v>-280</v>
      </c>
      <c r="BO54" s="46"/>
      <c r="BP54" s="46"/>
      <c r="BQ54" s="46"/>
    </row>
    <row r="55" spans="1:69" ht="15" customHeight="1" x14ac:dyDescent="0.2">
      <c r="A55" s="38">
        <v>13</v>
      </c>
      <c r="B55" s="38"/>
      <c r="C55" s="39" t="s">
        <v>92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1"/>
      <c r="AA55" s="46">
        <v>10000</v>
      </c>
      <c r="AB55" s="46"/>
      <c r="AC55" s="46"/>
      <c r="AD55" s="46"/>
      <c r="AE55" s="46"/>
      <c r="AF55" s="46">
        <v>0</v>
      </c>
      <c r="AG55" s="46"/>
      <c r="AH55" s="46"/>
      <c r="AI55" s="46"/>
      <c r="AJ55" s="46"/>
      <c r="AK55" s="46">
        <f t="shared" si="0"/>
        <v>10000</v>
      </c>
      <c r="AL55" s="46"/>
      <c r="AM55" s="46"/>
      <c r="AN55" s="46"/>
      <c r="AO55" s="46"/>
      <c r="AP55" s="46">
        <v>4345</v>
      </c>
      <c r="AQ55" s="46"/>
      <c r="AR55" s="46"/>
      <c r="AS55" s="46"/>
      <c r="AT55" s="46"/>
      <c r="AU55" s="46">
        <v>0</v>
      </c>
      <c r="AV55" s="46"/>
      <c r="AW55" s="46"/>
      <c r="AX55" s="46"/>
      <c r="AY55" s="46"/>
      <c r="AZ55" s="46">
        <f t="shared" si="1"/>
        <v>4345</v>
      </c>
      <c r="BA55" s="46"/>
      <c r="BB55" s="46"/>
      <c r="BC55" s="46"/>
      <c r="BD55" s="46">
        <f t="shared" si="2"/>
        <v>-5655</v>
      </c>
      <c r="BE55" s="46"/>
      <c r="BF55" s="46"/>
      <c r="BG55" s="46"/>
      <c r="BH55" s="46"/>
      <c r="BI55" s="46">
        <f t="shared" si="3"/>
        <v>0</v>
      </c>
      <c r="BJ55" s="46"/>
      <c r="BK55" s="46"/>
      <c r="BL55" s="46"/>
      <c r="BM55" s="46"/>
      <c r="BN55" s="46">
        <f t="shared" si="4"/>
        <v>-5655</v>
      </c>
      <c r="BO55" s="46"/>
      <c r="BP55" s="46"/>
      <c r="BQ55" s="46"/>
    </row>
    <row r="56" spans="1:69" ht="25.5" customHeight="1" x14ac:dyDescent="0.2">
      <c r="A56" s="38">
        <v>14</v>
      </c>
      <c r="B56" s="38"/>
      <c r="C56" s="39" t="s">
        <v>93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1"/>
      <c r="AA56" s="46">
        <v>191200</v>
      </c>
      <c r="AB56" s="46"/>
      <c r="AC56" s="46"/>
      <c r="AD56" s="46"/>
      <c r="AE56" s="46"/>
      <c r="AF56" s="46">
        <v>0</v>
      </c>
      <c r="AG56" s="46"/>
      <c r="AH56" s="46"/>
      <c r="AI56" s="46"/>
      <c r="AJ56" s="46"/>
      <c r="AK56" s="46">
        <f t="shared" si="0"/>
        <v>191200</v>
      </c>
      <c r="AL56" s="46"/>
      <c r="AM56" s="46"/>
      <c r="AN56" s="46"/>
      <c r="AO56" s="46"/>
      <c r="AP56" s="46">
        <v>122033</v>
      </c>
      <c r="AQ56" s="46"/>
      <c r="AR56" s="46"/>
      <c r="AS56" s="46"/>
      <c r="AT56" s="46"/>
      <c r="AU56" s="46">
        <v>0</v>
      </c>
      <c r="AV56" s="46"/>
      <c r="AW56" s="46"/>
      <c r="AX56" s="46"/>
      <c r="AY56" s="46"/>
      <c r="AZ56" s="46">
        <f t="shared" si="1"/>
        <v>122033</v>
      </c>
      <c r="BA56" s="46"/>
      <c r="BB56" s="46"/>
      <c r="BC56" s="46"/>
      <c r="BD56" s="46">
        <f t="shared" si="2"/>
        <v>-69167</v>
      </c>
      <c r="BE56" s="46"/>
      <c r="BF56" s="46"/>
      <c r="BG56" s="46"/>
      <c r="BH56" s="46"/>
      <c r="BI56" s="46">
        <f t="shared" si="3"/>
        <v>0</v>
      </c>
      <c r="BJ56" s="46"/>
      <c r="BK56" s="46"/>
      <c r="BL56" s="46"/>
      <c r="BM56" s="46"/>
      <c r="BN56" s="46">
        <f t="shared" si="4"/>
        <v>-69167</v>
      </c>
      <c r="BO56" s="46"/>
      <c r="BP56" s="46"/>
      <c r="BQ56" s="46"/>
    </row>
    <row r="57" spans="1:69" ht="15" customHeight="1" x14ac:dyDescent="0.2">
      <c r="A57" s="38">
        <v>15</v>
      </c>
      <c r="B57" s="38"/>
      <c r="C57" s="39" t="s">
        <v>94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1"/>
      <c r="AA57" s="46">
        <v>34380</v>
      </c>
      <c r="AB57" s="46"/>
      <c r="AC57" s="46"/>
      <c r="AD57" s="46"/>
      <c r="AE57" s="46"/>
      <c r="AF57" s="46">
        <v>0</v>
      </c>
      <c r="AG57" s="46"/>
      <c r="AH57" s="46"/>
      <c r="AI57" s="46"/>
      <c r="AJ57" s="46"/>
      <c r="AK57" s="46">
        <f t="shared" si="0"/>
        <v>34380</v>
      </c>
      <c r="AL57" s="46"/>
      <c r="AM57" s="46"/>
      <c r="AN57" s="46"/>
      <c r="AO57" s="46"/>
      <c r="AP57" s="46">
        <v>34380</v>
      </c>
      <c r="AQ57" s="46"/>
      <c r="AR57" s="46"/>
      <c r="AS57" s="46"/>
      <c r="AT57" s="46"/>
      <c r="AU57" s="46">
        <v>0</v>
      </c>
      <c r="AV57" s="46"/>
      <c r="AW57" s="46"/>
      <c r="AX57" s="46"/>
      <c r="AY57" s="46"/>
      <c r="AZ57" s="46">
        <f t="shared" si="1"/>
        <v>34380</v>
      </c>
      <c r="BA57" s="46"/>
      <c r="BB57" s="46"/>
      <c r="BC57" s="46"/>
      <c r="BD57" s="46">
        <f t="shared" si="2"/>
        <v>0</v>
      </c>
      <c r="BE57" s="46"/>
      <c r="BF57" s="46"/>
      <c r="BG57" s="46"/>
      <c r="BH57" s="46"/>
      <c r="BI57" s="46">
        <f t="shared" si="3"/>
        <v>0</v>
      </c>
      <c r="BJ57" s="46"/>
      <c r="BK57" s="46"/>
      <c r="BL57" s="46"/>
      <c r="BM57" s="46"/>
      <c r="BN57" s="46">
        <f t="shared" si="4"/>
        <v>0</v>
      </c>
      <c r="BO57" s="46"/>
      <c r="BP57" s="46"/>
      <c r="BQ57" s="46"/>
    </row>
    <row r="58" spans="1:69" ht="15" customHeight="1" x14ac:dyDescent="0.2">
      <c r="A58" s="38">
        <v>16</v>
      </c>
      <c r="B58" s="38"/>
      <c r="C58" s="39" t="s">
        <v>95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1"/>
      <c r="AA58" s="46">
        <v>10000</v>
      </c>
      <c r="AB58" s="46"/>
      <c r="AC58" s="46"/>
      <c r="AD58" s="46"/>
      <c r="AE58" s="46"/>
      <c r="AF58" s="46">
        <v>0</v>
      </c>
      <c r="AG58" s="46"/>
      <c r="AH58" s="46"/>
      <c r="AI58" s="46"/>
      <c r="AJ58" s="46"/>
      <c r="AK58" s="46">
        <f t="shared" si="0"/>
        <v>10000</v>
      </c>
      <c r="AL58" s="46"/>
      <c r="AM58" s="46"/>
      <c r="AN58" s="46"/>
      <c r="AO58" s="46"/>
      <c r="AP58" s="46">
        <v>9290</v>
      </c>
      <c r="AQ58" s="46"/>
      <c r="AR58" s="46"/>
      <c r="AS58" s="46"/>
      <c r="AT58" s="46"/>
      <c r="AU58" s="46">
        <v>0</v>
      </c>
      <c r="AV58" s="46"/>
      <c r="AW58" s="46"/>
      <c r="AX58" s="46"/>
      <c r="AY58" s="46"/>
      <c r="AZ58" s="46">
        <f t="shared" si="1"/>
        <v>9290</v>
      </c>
      <c r="BA58" s="46"/>
      <c r="BB58" s="46"/>
      <c r="BC58" s="46"/>
      <c r="BD58" s="46">
        <f t="shared" si="2"/>
        <v>-710</v>
      </c>
      <c r="BE58" s="46"/>
      <c r="BF58" s="46"/>
      <c r="BG58" s="46"/>
      <c r="BH58" s="46"/>
      <c r="BI58" s="46">
        <f t="shared" si="3"/>
        <v>0</v>
      </c>
      <c r="BJ58" s="46"/>
      <c r="BK58" s="46"/>
      <c r="BL58" s="46"/>
      <c r="BM58" s="46"/>
      <c r="BN58" s="46">
        <f t="shared" si="4"/>
        <v>-710</v>
      </c>
      <c r="BO58" s="46"/>
      <c r="BP58" s="46"/>
      <c r="BQ58" s="46"/>
    </row>
    <row r="59" spans="1:69" ht="15" customHeight="1" x14ac:dyDescent="0.2">
      <c r="A59" s="38">
        <v>17</v>
      </c>
      <c r="B59" s="38"/>
      <c r="C59" s="39" t="s">
        <v>96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1"/>
      <c r="AA59" s="46">
        <v>2000</v>
      </c>
      <c r="AB59" s="46"/>
      <c r="AC59" s="46"/>
      <c r="AD59" s="46"/>
      <c r="AE59" s="46"/>
      <c r="AF59" s="46">
        <v>0</v>
      </c>
      <c r="AG59" s="46"/>
      <c r="AH59" s="46"/>
      <c r="AI59" s="46"/>
      <c r="AJ59" s="46"/>
      <c r="AK59" s="46">
        <f t="shared" si="0"/>
        <v>2000</v>
      </c>
      <c r="AL59" s="46"/>
      <c r="AM59" s="46"/>
      <c r="AN59" s="46"/>
      <c r="AO59" s="46"/>
      <c r="AP59" s="46">
        <v>2000</v>
      </c>
      <c r="AQ59" s="46"/>
      <c r="AR59" s="46"/>
      <c r="AS59" s="46"/>
      <c r="AT59" s="46"/>
      <c r="AU59" s="46">
        <v>0</v>
      </c>
      <c r="AV59" s="46"/>
      <c r="AW59" s="46"/>
      <c r="AX59" s="46"/>
      <c r="AY59" s="46"/>
      <c r="AZ59" s="46">
        <f t="shared" si="1"/>
        <v>2000</v>
      </c>
      <c r="BA59" s="46"/>
      <c r="BB59" s="46"/>
      <c r="BC59" s="46"/>
      <c r="BD59" s="46">
        <f t="shared" si="2"/>
        <v>0</v>
      </c>
      <c r="BE59" s="46"/>
      <c r="BF59" s="46"/>
      <c r="BG59" s="46"/>
      <c r="BH59" s="46"/>
      <c r="BI59" s="46">
        <f t="shared" si="3"/>
        <v>0</v>
      </c>
      <c r="BJ59" s="46"/>
      <c r="BK59" s="46"/>
      <c r="BL59" s="46"/>
      <c r="BM59" s="46"/>
      <c r="BN59" s="46">
        <f t="shared" si="4"/>
        <v>0</v>
      </c>
      <c r="BO59" s="46"/>
      <c r="BP59" s="46"/>
      <c r="BQ59" s="46"/>
    </row>
    <row r="60" spans="1:69" ht="15" customHeight="1" x14ac:dyDescent="0.2">
      <c r="A60" s="38">
        <v>18</v>
      </c>
      <c r="B60" s="38"/>
      <c r="C60" s="39" t="s">
        <v>97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1"/>
      <c r="AA60" s="46">
        <v>2000</v>
      </c>
      <c r="AB60" s="46"/>
      <c r="AC60" s="46"/>
      <c r="AD60" s="46"/>
      <c r="AE60" s="46"/>
      <c r="AF60" s="46">
        <v>0</v>
      </c>
      <c r="AG60" s="46"/>
      <c r="AH60" s="46"/>
      <c r="AI60" s="46"/>
      <c r="AJ60" s="46"/>
      <c r="AK60" s="46">
        <f t="shared" si="0"/>
        <v>2000</v>
      </c>
      <c r="AL60" s="46"/>
      <c r="AM60" s="46"/>
      <c r="AN60" s="46"/>
      <c r="AO60" s="46"/>
      <c r="AP60" s="46">
        <v>0</v>
      </c>
      <c r="AQ60" s="46"/>
      <c r="AR60" s="46"/>
      <c r="AS60" s="46"/>
      <c r="AT60" s="46"/>
      <c r="AU60" s="46">
        <v>0</v>
      </c>
      <c r="AV60" s="46"/>
      <c r="AW60" s="46"/>
      <c r="AX60" s="46"/>
      <c r="AY60" s="46"/>
      <c r="AZ60" s="46">
        <f t="shared" si="1"/>
        <v>0</v>
      </c>
      <c r="BA60" s="46"/>
      <c r="BB60" s="46"/>
      <c r="BC60" s="46"/>
      <c r="BD60" s="46">
        <f t="shared" si="2"/>
        <v>-2000</v>
      </c>
      <c r="BE60" s="46"/>
      <c r="BF60" s="46"/>
      <c r="BG60" s="46"/>
      <c r="BH60" s="46"/>
      <c r="BI60" s="46">
        <f t="shared" si="3"/>
        <v>0</v>
      </c>
      <c r="BJ60" s="46"/>
      <c r="BK60" s="46"/>
      <c r="BL60" s="46"/>
      <c r="BM60" s="46"/>
      <c r="BN60" s="46">
        <f t="shared" si="4"/>
        <v>-2000</v>
      </c>
      <c r="BO60" s="46"/>
      <c r="BP60" s="46"/>
      <c r="BQ60" s="46"/>
    </row>
    <row r="61" spans="1:69" ht="25.5" customHeight="1" x14ac:dyDescent="0.2">
      <c r="A61" s="38">
        <v>19</v>
      </c>
      <c r="B61" s="38"/>
      <c r="C61" s="39" t="s">
        <v>98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1"/>
      <c r="AA61" s="46">
        <v>5000</v>
      </c>
      <c r="AB61" s="46"/>
      <c r="AC61" s="46"/>
      <c r="AD61" s="46"/>
      <c r="AE61" s="46"/>
      <c r="AF61" s="46">
        <v>0</v>
      </c>
      <c r="AG61" s="46"/>
      <c r="AH61" s="46"/>
      <c r="AI61" s="46"/>
      <c r="AJ61" s="46"/>
      <c r="AK61" s="46">
        <f t="shared" si="0"/>
        <v>5000</v>
      </c>
      <c r="AL61" s="46"/>
      <c r="AM61" s="46"/>
      <c r="AN61" s="46"/>
      <c r="AO61" s="46"/>
      <c r="AP61" s="46">
        <v>5000</v>
      </c>
      <c r="AQ61" s="46"/>
      <c r="AR61" s="46"/>
      <c r="AS61" s="46"/>
      <c r="AT61" s="46"/>
      <c r="AU61" s="46">
        <v>0</v>
      </c>
      <c r="AV61" s="46"/>
      <c r="AW61" s="46"/>
      <c r="AX61" s="46"/>
      <c r="AY61" s="46"/>
      <c r="AZ61" s="46">
        <f t="shared" si="1"/>
        <v>5000</v>
      </c>
      <c r="BA61" s="46"/>
      <c r="BB61" s="46"/>
      <c r="BC61" s="46"/>
      <c r="BD61" s="46">
        <f t="shared" si="2"/>
        <v>0</v>
      </c>
      <c r="BE61" s="46"/>
      <c r="BF61" s="46"/>
      <c r="BG61" s="46"/>
      <c r="BH61" s="46"/>
      <c r="BI61" s="46">
        <f t="shared" si="3"/>
        <v>0</v>
      </c>
      <c r="BJ61" s="46"/>
      <c r="BK61" s="46"/>
      <c r="BL61" s="46"/>
      <c r="BM61" s="46"/>
      <c r="BN61" s="46">
        <f t="shared" si="4"/>
        <v>0</v>
      </c>
      <c r="BO61" s="46"/>
      <c r="BP61" s="46"/>
      <c r="BQ61" s="46"/>
    </row>
    <row r="62" spans="1:69" ht="15" customHeight="1" x14ac:dyDescent="0.2">
      <c r="A62" s="38">
        <v>20</v>
      </c>
      <c r="B62" s="38"/>
      <c r="C62" s="39" t="s">
        <v>99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1"/>
      <c r="AA62" s="46">
        <v>5000</v>
      </c>
      <c r="AB62" s="46"/>
      <c r="AC62" s="46"/>
      <c r="AD62" s="46"/>
      <c r="AE62" s="46"/>
      <c r="AF62" s="46">
        <v>0</v>
      </c>
      <c r="AG62" s="46"/>
      <c r="AH62" s="46"/>
      <c r="AI62" s="46"/>
      <c r="AJ62" s="46"/>
      <c r="AK62" s="46">
        <f t="shared" si="0"/>
        <v>5000</v>
      </c>
      <c r="AL62" s="46"/>
      <c r="AM62" s="46"/>
      <c r="AN62" s="46"/>
      <c r="AO62" s="46"/>
      <c r="AP62" s="46">
        <v>0</v>
      </c>
      <c r="AQ62" s="46"/>
      <c r="AR62" s="46"/>
      <c r="AS62" s="46"/>
      <c r="AT62" s="46"/>
      <c r="AU62" s="46">
        <v>0</v>
      </c>
      <c r="AV62" s="46"/>
      <c r="AW62" s="46"/>
      <c r="AX62" s="46"/>
      <c r="AY62" s="46"/>
      <c r="AZ62" s="46">
        <f t="shared" si="1"/>
        <v>0</v>
      </c>
      <c r="BA62" s="46"/>
      <c r="BB62" s="46"/>
      <c r="BC62" s="46"/>
      <c r="BD62" s="46">
        <f t="shared" si="2"/>
        <v>-5000</v>
      </c>
      <c r="BE62" s="46"/>
      <c r="BF62" s="46"/>
      <c r="BG62" s="46"/>
      <c r="BH62" s="46"/>
      <c r="BI62" s="46">
        <f t="shared" si="3"/>
        <v>0</v>
      </c>
      <c r="BJ62" s="46"/>
      <c r="BK62" s="46"/>
      <c r="BL62" s="46"/>
      <c r="BM62" s="46"/>
      <c r="BN62" s="46">
        <f t="shared" si="4"/>
        <v>-5000</v>
      </c>
      <c r="BO62" s="46"/>
      <c r="BP62" s="46"/>
      <c r="BQ62" s="46"/>
    </row>
    <row r="63" spans="1:69" ht="15" customHeight="1" x14ac:dyDescent="0.2">
      <c r="A63" s="38">
        <v>21</v>
      </c>
      <c r="B63" s="38"/>
      <c r="C63" s="39" t="s">
        <v>100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1"/>
      <c r="AA63" s="46">
        <v>10000</v>
      </c>
      <c r="AB63" s="46"/>
      <c r="AC63" s="46"/>
      <c r="AD63" s="46"/>
      <c r="AE63" s="46"/>
      <c r="AF63" s="46">
        <v>0</v>
      </c>
      <c r="AG63" s="46"/>
      <c r="AH63" s="46"/>
      <c r="AI63" s="46"/>
      <c r="AJ63" s="46"/>
      <c r="AK63" s="46">
        <f t="shared" si="0"/>
        <v>10000</v>
      </c>
      <c r="AL63" s="46"/>
      <c r="AM63" s="46"/>
      <c r="AN63" s="46"/>
      <c r="AO63" s="46"/>
      <c r="AP63" s="46">
        <v>4958.45</v>
      </c>
      <c r="AQ63" s="46"/>
      <c r="AR63" s="46"/>
      <c r="AS63" s="46"/>
      <c r="AT63" s="46"/>
      <c r="AU63" s="46">
        <v>0</v>
      </c>
      <c r="AV63" s="46"/>
      <c r="AW63" s="46"/>
      <c r="AX63" s="46"/>
      <c r="AY63" s="46"/>
      <c r="AZ63" s="46">
        <f t="shared" si="1"/>
        <v>4958.45</v>
      </c>
      <c r="BA63" s="46"/>
      <c r="BB63" s="46"/>
      <c r="BC63" s="46"/>
      <c r="BD63" s="46">
        <f t="shared" si="2"/>
        <v>-5041.55</v>
      </c>
      <c r="BE63" s="46"/>
      <c r="BF63" s="46"/>
      <c r="BG63" s="46"/>
      <c r="BH63" s="46"/>
      <c r="BI63" s="46">
        <f t="shared" si="3"/>
        <v>0</v>
      </c>
      <c r="BJ63" s="46"/>
      <c r="BK63" s="46"/>
      <c r="BL63" s="46"/>
      <c r="BM63" s="46"/>
      <c r="BN63" s="46">
        <f t="shared" si="4"/>
        <v>-5041.55</v>
      </c>
      <c r="BO63" s="46"/>
      <c r="BP63" s="46"/>
      <c r="BQ63" s="46"/>
    </row>
    <row r="64" spans="1:69" ht="15" customHeight="1" x14ac:dyDescent="0.2">
      <c r="A64" s="38">
        <v>22</v>
      </c>
      <c r="B64" s="38"/>
      <c r="C64" s="39" t="s">
        <v>101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1"/>
      <c r="AA64" s="46">
        <v>5000</v>
      </c>
      <c r="AB64" s="46"/>
      <c r="AC64" s="46"/>
      <c r="AD64" s="46"/>
      <c r="AE64" s="46"/>
      <c r="AF64" s="46">
        <v>0</v>
      </c>
      <c r="AG64" s="46"/>
      <c r="AH64" s="46"/>
      <c r="AI64" s="46"/>
      <c r="AJ64" s="46"/>
      <c r="AK64" s="46">
        <f t="shared" si="0"/>
        <v>5000</v>
      </c>
      <c r="AL64" s="46"/>
      <c r="AM64" s="46"/>
      <c r="AN64" s="46"/>
      <c r="AO64" s="46"/>
      <c r="AP64" s="46">
        <v>635.91999999999996</v>
      </c>
      <c r="AQ64" s="46"/>
      <c r="AR64" s="46"/>
      <c r="AS64" s="46"/>
      <c r="AT64" s="46"/>
      <c r="AU64" s="46">
        <v>0</v>
      </c>
      <c r="AV64" s="46"/>
      <c r="AW64" s="46"/>
      <c r="AX64" s="46"/>
      <c r="AY64" s="46"/>
      <c r="AZ64" s="46">
        <f t="shared" si="1"/>
        <v>635.91999999999996</v>
      </c>
      <c r="BA64" s="46"/>
      <c r="BB64" s="46"/>
      <c r="BC64" s="46"/>
      <c r="BD64" s="46">
        <f t="shared" si="2"/>
        <v>-4364.08</v>
      </c>
      <c r="BE64" s="46"/>
      <c r="BF64" s="46"/>
      <c r="BG64" s="46"/>
      <c r="BH64" s="46"/>
      <c r="BI64" s="46">
        <f t="shared" si="3"/>
        <v>0</v>
      </c>
      <c r="BJ64" s="46"/>
      <c r="BK64" s="46"/>
      <c r="BL64" s="46"/>
      <c r="BM64" s="46"/>
      <c r="BN64" s="46">
        <f t="shared" si="4"/>
        <v>-4364.08</v>
      </c>
      <c r="BO64" s="46"/>
      <c r="BP64" s="46"/>
      <c r="BQ64" s="46"/>
    </row>
    <row r="65" spans="1:79" ht="15" customHeight="1" x14ac:dyDescent="0.2">
      <c r="A65" s="38">
        <v>23</v>
      </c>
      <c r="B65" s="38"/>
      <c r="C65" s="39" t="s">
        <v>102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1"/>
      <c r="AA65" s="46">
        <v>44990</v>
      </c>
      <c r="AB65" s="46"/>
      <c r="AC65" s="46"/>
      <c r="AD65" s="46"/>
      <c r="AE65" s="46"/>
      <c r="AF65" s="46">
        <v>0</v>
      </c>
      <c r="AG65" s="46"/>
      <c r="AH65" s="46"/>
      <c r="AI65" s="46"/>
      <c r="AJ65" s="46"/>
      <c r="AK65" s="46">
        <f t="shared" si="0"/>
        <v>44990</v>
      </c>
      <c r="AL65" s="46"/>
      <c r="AM65" s="46"/>
      <c r="AN65" s="46"/>
      <c r="AO65" s="46"/>
      <c r="AP65" s="46">
        <v>17021.560000000001</v>
      </c>
      <c r="AQ65" s="46"/>
      <c r="AR65" s="46"/>
      <c r="AS65" s="46"/>
      <c r="AT65" s="46"/>
      <c r="AU65" s="46">
        <v>0</v>
      </c>
      <c r="AV65" s="46"/>
      <c r="AW65" s="46"/>
      <c r="AX65" s="46"/>
      <c r="AY65" s="46"/>
      <c r="AZ65" s="46">
        <f t="shared" si="1"/>
        <v>17021.560000000001</v>
      </c>
      <c r="BA65" s="46"/>
      <c r="BB65" s="46"/>
      <c r="BC65" s="46"/>
      <c r="BD65" s="46">
        <f t="shared" si="2"/>
        <v>-27968.44</v>
      </c>
      <c r="BE65" s="46"/>
      <c r="BF65" s="46"/>
      <c r="BG65" s="46"/>
      <c r="BH65" s="46"/>
      <c r="BI65" s="46">
        <f t="shared" si="3"/>
        <v>0</v>
      </c>
      <c r="BJ65" s="46"/>
      <c r="BK65" s="46"/>
      <c r="BL65" s="46"/>
      <c r="BM65" s="46"/>
      <c r="BN65" s="46">
        <f t="shared" si="4"/>
        <v>-27968.44</v>
      </c>
      <c r="BO65" s="46"/>
      <c r="BP65" s="46"/>
      <c r="BQ65" s="46"/>
    </row>
    <row r="66" spans="1:79" ht="15" customHeight="1" x14ac:dyDescent="0.2">
      <c r="A66" s="38">
        <v>24</v>
      </c>
      <c r="B66" s="38"/>
      <c r="C66" s="39" t="s">
        <v>103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6">
        <v>45000</v>
      </c>
      <c r="AB66" s="46"/>
      <c r="AC66" s="46"/>
      <c r="AD66" s="46"/>
      <c r="AE66" s="46"/>
      <c r="AF66" s="46">
        <v>0</v>
      </c>
      <c r="AG66" s="46"/>
      <c r="AH66" s="46"/>
      <c r="AI66" s="46"/>
      <c r="AJ66" s="46"/>
      <c r="AK66" s="46">
        <f t="shared" si="0"/>
        <v>45000</v>
      </c>
      <c r="AL66" s="46"/>
      <c r="AM66" s="46"/>
      <c r="AN66" s="46"/>
      <c r="AO66" s="46"/>
      <c r="AP66" s="46">
        <v>27557.8</v>
      </c>
      <c r="AQ66" s="46"/>
      <c r="AR66" s="46"/>
      <c r="AS66" s="46"/>
      <c r="AT66" s="46"/>
      <c r="AU66" s="46">
        <v>0</v>
      </c>
      <c r="AV66" s="46"/>
      <c r="AW66" s="46"/>
      <c r="AX66" s="46"/>
      <c r="AY66" s="46"/>
      <c r="AZ66" s="46">
        <f t="shared" si="1"/>
        <v>27557.8</v>
      </c>
      <c r="BA66" s="46"/>
      <c r="BB66" s="46"/>
      <c r="BC66" s="46"/>
      <c r="BD66" s="46">
        <f t="shared" si="2"/>
        <v>-17442.2</v>
      </c>
      <c r="BE66" s="46"/>
      <c r="BF66" s="46"/>
      <c r="BG66" s="46"/>
      <c r="BH66" s="46"/>
      <c r="BI66" s="46">
        <f t="shared" si="3"/>
        <v>0</v>
      </c>
      <c r="BJ66" s="46"/>
      <c r="BK66" s="46"/>
      <c r="BL66" s="46"/>
      <c r="BM66" s="46"/>
      <c r="BN66" s="46">
        <f t="shared" si="4"/>
        <v>-17442.2</v>
      </c>
      <c r="BO66" s="46"/>
      <c r="BP66" s="46"/>
      <c r="BQ66" s="46"/>
    </row>
    <row r="67" spans="1:79" ht="15" customHeight="1" x14ac:dyDescent="0.2">
      <c r="A67" s="38">
        <v>25</v>
      </c>
      <c r="B67" s="38"/>
      <c r="C67" s="39" t="s">
        <v>104</v>
      </c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1"/>
      <c r="AA67" s="46">
        <v>9000</v>
      </c>
      <c r="AB67" s="46"/>
      <c r="AC67" s="46"/>
      <c r="AD67" s="46"/>
      <c r="AE67" s="46"/>
      <c r="AF67" s="46">
        <v>0</v>
      </c>
      <c r="AG67" s="46"/>
      <c r="AH67" s="46"/>
      <c r="AI67" s="46"/>
      <c r="AJ67" s="46"/>
      <c r="AK67" s="46">
        <f t="shared" si="0"/>
        <v>9000</v>
      </c>
      <c r="AL67" s="46"/>
      <c r="AM67" s="46"/>
      <c r="AN67" s="46"/>
      <c r="AO67" s="46"/>
      <c r="AP67" s="46">
        <v>2695.08</v>
      </c>
      <c r="AQ67" s="46"/>
      <c r="AR67" s="46"/>
      <c r="AS67" s="46"/>
      <c r="AT67" s="46"/>
      <c r="AU67" s="46">
        <v>0</v>
      </c>
      <c r="AV67" s="46"/>
      <c r="AW67" s="46"/>
      <c r="AX67" s="46"/>
      <c r="AY67" s="46"/>
      <c r="AZ67" s="46">
        <f t="shared" si="1"/>
        <v>2695.08</v>
      </c>
      <c r="BA67" s="46"/>
      <c r="BB67" s="46"/>
      <c r="BC67" s="46"/>
      <c r="BD67" s="46">
        <f t="shared" si="2"/>
        <v>-6304.92</v>
      </c>
      <c r="BE67" s="46"/>
      <c r="BF67" s="46"/>
      <c r="BG67" s="46"/>
      <c r="BH67" s="46"/>
      <c r="BI67" s="46">
        <f t="shared" si="3"/>
        <v>0</v>
      </c>
      <c r="BJ67" s="46"/>
      <c r="BK67" s="46"/>
      <c r="BL67" s="46"/>
      <c r="BM67" s="46"/>
      <c r="BN67" s="46">
        <f t="shared" si="4"/>
        <v>-6304.92</v>
      </c>
      <c r="BO67" s="46"/>
      <c r="BP67" s="46"/>
      <c r="BQ67" s="46"/>
    </row>
    <row r="68" spans="1:79" ht="25.5" customHeight="1" x14ac:dyDescent="0.2">
      <c r="A68" s="38">
        <v>26</v>
      </c>
      <c r="B68" s="38"/>
      <c r="C68" s="39" t="s">
        <v>105</v>
      </c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6">
        <v>1000</v>
      </c>
      <c r="AB68" s="46"/>
      <c r="AC68" s="46"/>
      <c r="AD68" s="46"/>
      <c r="AE68" s="46"/>
      <c r="AF68" s="46">
        <v>0</v>
      </c>
      <c r="AG68" s="46"/>
      <c r="AH68" s="46"/>
      <c r="AI68" s="46"/>
      <c r="AJ68" s="46"/>
      <c r="AK68" s="46">
        <f t="shared" si="0"/>
        <v>1000</v>
      </c>
      <c r="AL68" s="46"/>
      <c r="AM68" s="46"/>
      <c r="AN68" s="46"/>
      <c r="AO68" s="46"/>
      <c r="AP68" s="46">
        <v>0</v>
      </c>
      <c r="AQ68" s="46"/>
      <c r="AR68" s="46"/>
      <c r="AS68" s="46"/>
      <c r="AT68" s="46"/>
      <c r="AU68" s="46">
        <v>0</v>
      </c>
      <c r="AV68" s="46"/>
      <c r="AW68" s="46"/>
      <c r="AX68" s="46"/>
      <c r="AY68" s="46"/>
      <c r="AZ68" s="46">
        <f t="shared" si="1"/>
        <v>0</v>
      </c>
      <c r="BA68" s="46"/>
      <c r="BB68" s="46"/>
      <c r="BC68" s="46"/>
      <c r="BD68" s="46">
        <f t="shared" si="2"/>
        <v>-1000</v>
      </c>
      <c r="BE68" s="46"/>
      <c r="BF68" s="46"/>
      <c r="BG68" s="46"/>
      <c r="BH68" s="46"/>
      <c r="BI68" s="46">
        <f t="shared" si="3"/>
        <v>0</v>
      </c>
      <c r="BJ68" s="46"/>
      <c r="BK68" s="46"/>
      <c r="BL68" s="46"/>
      <c r="BM68" s="46"/>
      <c r="BN68" s="46">
        <f t="shared" si="4"/>
        <v>-1000</v>
      </c>
      <c r="BO68" s="46"/>
      <c r="BP68" s="46"/>
      <c r="BQ68" s="46"/>
    </row>
    <row r="69" spans="1:79" ht="25.5" customHeight="1" x14ac:dyDescent="0.2">
      <c r="A69" s="38">
        <v>27</v>
      </c>
      <c r="B69" s="38"/>
      <c r="C69" s="39" t="s">
        <v>106</v>
      </c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1"/>
      <c r="AA69" s="46">
        <v>75000</v>
      </c>
      <c r="AB69" s="46"/>
      <c r="AC69" s="46"/>
      <c r="AD69" s="46"/>
      <c r="AE69" s="46"/>
      <c r="AF69" s="46">
        <v>0</v>
      </c>
      <c r="AG69" s="46"/>
      <c r="AH69" s="46"/>
      <c r="AI69" s="46"/>
      <c r="AJ69" s="46"/>
      <c r="AK69" s="46">
        <f t="shared" si="0"/>
        <v>75000</v>
      </c>
      <c r="AL69" s="46"/>
      <c r="AM69" s="46"/>
      <c r="AN69" s="46"/>
      <c r="AO69" s="46"/>
      <c r="AP69" s="46">
        <v>75000</v>
      </c>
      <c r="AQ69" s="46"/>
      <c r="AR69" s="46"/>
      <c r="AS69" s="46"/>
      <c r="AT69" s="46"/>
      <c r="AU69" s="46">
        <v>0</v>
      </c>
      <c r="AV69" s="46"/>
      <c r="AW69" s="46"/>
      <c r="AX69" s="46"/>
      <c r="AY69" s="46"/>
      <c r="AZ69" s="46">
        <f t="shared" si="1"/>
        <v>75000</v>
      </c>
      <c r="BA69" s="46"/>
      <c r="BB69" s="46"/>
      <c r="BC69" s="46"/>
      <c r="BD69" s="46">
        <f t="shared" si="2"/>
        <v>0</v>
      </c>
      <c r="BE69" s="46"/>
      <c r="BF69" s="46"/>
      <c r="BG69" s="46"/>
      <c r="BH69" s="46"/>
      <c r="BI69" s="46">
        <f t="shared" si="3"/>
        <v>0</v>
      </c>
      <c r="BJ69" s="46"/>
      <c r="BK69" s="46"/>
      <c r="BL69" s="46"/>
      <c r="BM69" s="46"/>
      <c r="BN69" s="46">
        <f t="shared" si="4"/>
        <v>0</v>
      </c>
      <c r="BO69" s="46"/>
      <c r="BP69" s="46"/>
      <c r="BQ69" s="46"/>
    </row>
    <row r="70" spans="1:79" ht="15" customHeight="1" x14ac:dyDescent="0.2">
      <c r="A70" s="38">
        <v>28</v>
      </c>
      <c r="B70" s="38"/>
      <c r="C70" s="39" t="s">
        <v>107</v>
      </c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1"/>
      <c r="AA70" s="46">
        <v>71000</v>
      </c>
      <c r="AB70" s="46"/>
      <c r="AC70" s="46"/>
      <c r="AD70" s="46"/>
      <c r="AE70" s="46"/>
      <c r="AF70" s="46">
        <v>0</v>
      </c>
      <c r="AG70" s="46"/>
      <c r="AH70" s="46"/>
      <c r="AI70" s="46"/>
      <c r="AJ70" s="46"/>
      <c r="AK70" s="46">
        <f t="shared" si="0"/>
        <v>71000</v>
      </c>
      <c r="AL70" s="46"/>
      <c r="AM70" s="46"/>
      <c r="AN70" s="46"/>
      <c r="AO70" s="46"/>
      <c r="AP70" s="46">
        <v>71000</v>
      </c>
      <c r="AQ70" s="46"/>
      <c r="AR70" s="46"/>
      <c r="AS70" s="46"/>
      <c r="AT70" s="46"/>
      <c r="AU70" s="46">
        <v>0</v>
      </c>
      <c r="AV70" s="46"/>
      <c r="AW70" s="46"/>
      <c r="AX70" s="46"/>
      <c r="AY70" s="46"/>
      <c r="AZ70" s="46">
        <f t="shared" si="1"/>
        <v>71000</v>
      </c>
      <c r="BA70" s="46"/>
      <c r="BB70" s="46"/>
      <c r="BC70" s="46"/>
      <c r="BD70" s="46">
        <f t="shared" si="2"/>
        <v>0</v>
      </c>
      <c r="BE70" s="46"/>
      <c r="BF70" s="46"/>
      <c r="BG70" s="46"/>
      <c r="BH70" s="46"/>
      <c r="BI70" s="46">
        <f t="shared" si="3"/>
        <v>0</v>
      </c>
      <c r="BJ70" s="46"/>
      <c r="BK70" s="46"/>
      <c r="BL70" s="46"/>
      <c r="BM70" s="46"/>
      <c r="BN70" s="46">
        <f t="shared" si="4"/>
        <v>0</v>
      </c>
      <c r="BO70" s="46"/>
      <c r="BP70" s="46"/>
      <c r="BQ70" s="46"/>
    </row>
    <row r="71" spans="1:79" s="26" customFormat="1" ht="15" customHeight="1" x14ac:dyDescent="0.2">
      <c r="A71" s="30"/>
      <c r="B71" s="30"/>
      <c r="C71" s="31" t="s">
        <v>108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3"/>
      <c r="AA71" s="47">
        <v>7282555</v>
      </c>
      <c r="AB71" s="47"/>
      <c r="AC71" s="47"/>
      <c r="AD71" s="47"/>
      <c r="AE71" s="47"/>
      <c r="AF71" s="47">
        <v>0</v>
      </c>
      <c r="AG71" s="47"/>
      <c r="AH71" s="47"/>
      <c r="AI71" s="47"/>
      <c r="AJ71" s="47"/>
      <c r="AK71" s="47">
        <f t="shared" si="0"/>
        <v>7282555</v>
      </c>
      <c r="AL71" s="47"/>
      <c r="AM71" s="47"/>
      <c r="AN71" s="47"/>
      <c r="AO71" s="47"/>
      <c r="AP71" s="47">
        <v>6640924.9400000004</v>
      </c>
      <c r="AQ71" s="47"/>
      <c r="AR71" s="47"/>
      <c r="AS71" s="47"/>
      <c r="AT71" s="47"/>
      <c r="AU71" s="47">
        <v>0</v>
      </c>
      <c r="AV71" s="47"/>
      <c r="AW71" s="47"/>
      <c r="AX71" s="47"/>
      <c r="AY71" s="47"/>
      <c r="AZ71" s="47">
        <f t="shared" si="1"/>
        <v>6640924.9400000004</v>
      </c>
      <c r="BA71" s="47"/>
      <c r="BB71" s="47"/>
      <c r="BC71" s="47"/>
      <c r="BD71" s="47">
        <f t="shared" si="2"/>
        <v>-641630.05999999959</v>
      </c>
      <c r="BE71" s="47"/>
      <c r="BF71" s="47"/>
      <c r="BG71" s="47"/>
      <c r="BH71" s="47"/>
      <c r="BI71" s="47">
        <f t="shared" si="3"/>
        <v>0</v>
      </c>
      <c r="BJ71" s="47"/>
      <c r="BK71" s="47"/>
      <c r="BL71" s="47"/>
      <c r="BM71" s="47"/>
      <c r="BN71" s="47">
        <f t="shared" si="4"/>
        <v>-641630.05999999959</v>
      </c>
      <c r="BO71" s="47"/>
      <c r="BP71" s="47"/>
      <c r="BQ71" s="47"/>
    </row>
    <row r="73" spans="1:79" ht="29.25" customHeight="1" x14ac:dyDescent="0.2">
      <c r="A73" s="54" t="s">
        <v>74</v>
      </c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</row>
    <row r="74" spans="1:79" ht="9.75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</row>
    <row r="75" spans="1:79" ht="15.75" customHeight="1" x14ac:dyDescent="0.2">
      <c r="A75" s="60" t="s">
        <v>3</v>
      </c>
      <c r="B75" s="60"/>
      <c r="C75" s="60" t="s">
        <v>60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</row>
    <row r="76" spans="1:79" ht="15.75" x14ac:dyDescent="0.2">
      <c r="A76" s="60">
        <v>1</v>
      </c>
      <c r="B76" s="60"/>
      <c r="C76" s="98">
        <v>2</v>
      </c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</row>
    <row r="77" spans="1:79" hidden="1" x14ac:dyDescent="0.2">
      <c r="A77" s="95" t="s">
        <v>13</v>
      </c>
      <c r="B77" s="96"/>
      <c r="C77" s="99" t="s">
        <v>14</v>
      </c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  <c r="BE77" s="100"/>
      <c r="BF77" s="100"/>
      <c r="BG77" s="100"/>
      <c r="BH77" s="100"/>
      <c r="BI77" s="100"/>
      <c r="BJ77" s="100"/>
      <c r="BK77" s="100"/>
      <c r="BL77" s="100"/>
      <c r="BM77" s="100"/>
      <c r="BN77" s="100"/>
      <c r="BO77" s="100"/>
      <c r="BP77" s="100"/>
      <c r="BQ77" s="101"/>
      <c r="CA77" s="1" t="s">
        <v>68</v>
      </c>
    </row>
    <row r="78" spans="1:79" ht="14.25" customHeight="1" x14ac:dyDescent="0.2">
      <c r="A78" s="52">
        <v>1</v>
      </c>
      <c r="B78" s="53"/>
      <c r="C78" s="39" t="s">
        <v>109</v>
      </c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1"/>
      <c r="CA78" s="1" t="s">
        <v>61</v>
      </c>
    </row>
    <row r="79" spans="1:79" ht="14.25" customHeight="1" x14ac:dyDescent="0.2">
      <c r="A79" s="52">
        <v>2</v>
      </c>
      <c r="B79" s="53"/>
      <c r="C79" s="39" t="s">
        <v>109</v>
      </c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1"/>
    </row>
    <row r="80" spans="1:79" ht="14.25" customHeight="1" x14ac:dyDescent="0.2">
      <c r="A80" s="52">
        <v>3</v>
      </c>
      <c r="B80" s="53"/>
      <c r="C80" s="39" t="s">
        <v>110</v>
      </c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1"/>
    </row>
    <row r="81" spans="1:69" ht="14.25" customHeight="1" x14ac:dyDescent="0.2">
      <c r="A81" s="52">
        <v>5</v>
      </c>
      <c r="B81" s="53"/>
      <c r="C81" s="39" t="s">
        <v>111</v>
      </c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1"/>
    </row>
    <row r="82" spans="1:69" ht="14.25" customHeight="1" x14ac:dyDescent="0.2">
      <c r="A82" s="52">
        <v>6</v>
      </c>
      <c r="B82" s="53"/>
      <c r="C82" s="39" t="s">
        <v>112</v>
      </c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1"/>
    </row>
    <row r="83" spans="1:69" ht="14.25" customHeight="1" x14ac:dyDescent="0.2">
      <c r="A83" s="52">
        <v>8</v>
      </c>
      <c r="B83" s="53"/>
      <c r="C83" s="39" t="s">
        <v>113</v>
      </c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1"/>
    </row>
    <row r="84" spans="1:69" ht="14.25" customHeight="1" x14ac:dyDescent="0.2">
      <c r="A84" s="52">
        <v>9</v>
      </c>
      <c r="B84" s="53"/>
      <c r="C84" s="39" t="s">
        <v>114</v>
      </c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1"/>
    </row>
    <row r="85" spans="1:69" ht="14.25" customHeight="1" x14ac:dyDescent="0.2">
      <c r="A85" s="52">
        <v>12</v>
      </c>
      <c r="B85" s="53"/>
      <c r="C85" s="39" t="s">
        <v>115</v>
      </c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1"/>
    </row>
    <row r="86" spans="1:69" ht="14.25" customHeight="1" x14ac:dyDescent="0.2">
      <c r="A86" s="52">
        <v>13</v>
      </c>
      <c r="B86" s="53"/>
      <c r="C86" s="39" t="s">
        <v>116</v>
      </c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1"/>
    </row>
    <row r="87" spans="1:69" ht="14.25" customHeight="1" x14ac:dyDescent="0.2">
      <c r="A87" s="52">
        <v>14</v>
      </c>
      <c r="B87" s="53"/>
      <c r="C87" s="39" t="s">
        <v>117</v>
      </c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1"/>
    </row>
    <row r="88" spans="1:69" ht="14.25" customHeight="1" x14ac:dyDescent="0.2">
      <c r="A88" s="52">
        <v>16</v>
      </c>
      <c r="B88" s="53"/>
      <c r="C88" s="39" t="s">
        <v>109</v>
      </c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1"/>
    </row>
    <row r="89" spans="1:69" ht="14.25" customHeight="1" x14ac:dyDescent="0.2">
      <c r="A89" s="52">
        <v>18</v>
      </c>
      <c r="B89" s="53"/>
      <c r="C89" s="39" t="s">
        <v>118</v>
      </c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1"/>
    </row>
    <row r="90" spans="1:69" ht="14.25" customHeight="1" x14ac:dyDescent="0.2">
      <c r="A90" s="52">
        <v>20</v>
      </c>
      <c r="B90" s="53"/>
      <c r="C90" s="39" t="s">
        <v>119</v>
      </c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1"/>
    </row>
    <row r="91" spans="1:69" ht="14.25" customHeight="1" x14ac:dyDescent="0.2">
      <c r="A91" s="52">
        <v>21</v>
      </c>
      <c r="B91" s="53"/>
      <c r="C91" s="39" t="s">
        <v>120</v>
      </c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1"/>
    </row>
    <row r="92" spans="1:69" ht="14.25" customHeight="1" x14ac:dyDescent="0.2">
      <c r="A92" s="52">
        <v>22</v>
      </c>
      <c r="B92" s="53"/>
      <c r="C92" s="39" t="s">
        <v>121</v>
      </c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1"/>
    </row>
    <row r="93" spans="1:69" ht="14.25" customHeight="1" x14ac:dyDescent="0.2">
      <c r="A93" s="52">
        <v>23</v>
      </c>
      <c r="B93" s="53"/>
      <c r="C93" s="39" t="s">
        <v>122</v>
      </c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1"/>
    </row>
    <row r="94" spans="1:69" ht="14.25" customHeight="1" x14ac:dyDescent="0.2">
      <c r="A94" s="52">
        <v>24</v>
      </c>
      <c r="B94" s="53"/>
      <c r="C94" s="39" t="s">
        <v>122</v>
      </c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1"/>
    </row>
    <row r="95" spans="1:69" ht="14.25" customHeight="1" x14ac:dyDescent="0.2">
      <c r="A95" s="52">
        <v>25</v>
      </c>
      <c r="B95" s="53"/>
      <c r="C95" s="39" t="s">
        <v>116</v>
      </c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1"/>
    </row>
    <row r="96" spans="1:69" ht="14.25" customHeight="1" x14ac:dyDescent="0.2">
      <c r="A96" s="52">
        <v>26</v>
      </c>
      <c r="B96" s="53"/>
      <c r="C96" s="39" t="s">
        <v>123</v>
      </c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1"/>
    </row>
    <row r="98" spans="1:79" ht="15.75" customHeight="1" x14ac:dyDescent="0.2">
      <c r="A98" s="54" t="s">
        <v>42</v>
      </c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</row>
    <row r="99" spans="1:79" ht="15" customHeight="1" x14ac:dyDescent="0.2">
      <c r="A99" s="97" t="s">
        <v>158</v>
      </c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</row>
    <row r="100" spans="1:79" ht="28.5" customHeight="1" x14ac:dyDescent="0.2">
      <c r="A100" s="64" t="s">
        <v>3</v>
      </c>
      <c r="B100" s="66"/>
      <c r="C100" s="60" t="s">
        <v>28</v>
      </c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 t="s">
        <v>25</v>
      </c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 t="s">
        <v>44</v>
      </c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 t="s">
        <v>0</v>
      </c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2"/>
      <c r="BP100" s="2"/>
      <c r="BQ100" s="2"/>
    </row>
    <row r="101" spans="1:79" ht="29.1" customHeight="1" x14ac:dyDescent="0.2">
      <c r="A101" s="102"/>
      <c r="B101" s="104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 t="s">
        <v>2</v>
      </c>
      <c r="T101" s="60"/>
      <c r="U101" s="60"/>
      <c r="V101" s="60"/>
      <c r="W101" s="60"/>
      <c r="X101" s="60" t="s">
        <v>1</v>
      </c>
      <c r="Y101" s="60"/>
      <c r="Z101" s="60"/>
      <c r="AA101" s="60"/>
      <c r="AB101" s="60"/>
      <c r="AC101" s="60" t="s">
        <v>26</v>
      </c>
      <c r="AD101" s="60"/>
      <c r="AE101" s="60"/>
      <c r="AF101" s="60"/>
      <c r="AG101" s="60"/>
      <c r="AH101" s="60"/>
      <c r="AI101" s="60" t="s">
        <v>2</v>
      </c>
      <c r="AJ101" s="60"/>
      <c r="AK101" s="60"/>
      <c r="AL101" s="60"/>
      <c r="AM101" s="60"/>
      <c r="AN101" s="60" t="s">
        <v>1</v>
      </c>
      <c r="AO101" s="60"/>
      <c r="AP101" s="60"/>
      <c r="AQ101" s="60"/>
      <c r="AR101" s="60"/>
      <c r="AS101" s="60" t="s">
        <v>26</v>
      </c>
      <c r="AT101" s="60"/>
      <c r="AU101" s="60"/>
      <c r="AV101" s="60"/>
      <c r="AW101" s="60"/>
      <c r="AX101" s="60"/>
      <c r="AY101" s="55" t="s">
        <v>2</v>
      </c>
      <c r="AZ101" s="61"/>
      <c r="BA101" s="61"/>
      <c r="BB101" s="61"/>
      <c r="BC101" s="62"/>
      <c r="BD101" s="55" t="s">
        <v>1</v>
      </c>
      <c r="BE101" s="61"/>
      <c r="BF101" s="61"/>
      <c r="BG101" s="61"/>
      <c r="BH101" s="62"/>
      <c r="BI101" s="60" t="s">
        <v>26</v>
      </c>
      <c r="BJ101" s="60"/>
      <c r="BK101" s="60"/>
      <c r="BL101" s="60"/>
      <c r="BM101" s="60"/>
      <c r="BN101" s="60"/>
      <c r="BO101" s="2"/>
      <c r="BP101" s="2"/>
      <c r="BQ101" s="2"/>
    </row>
    <row r="102" spans="1:79" ht="15.95" customHeight="1" x14ac:dyDescent="0.25">
      <c r="A102" s="60">
        <v>1</v>
      </c>
      <c r="B102" s="60"/>
      <c r="C102" s="60">
        <v>2</v>
      </c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>
        <v>3</v>
      </c>
      <c r="T102" s="60"/>
      <c r="U102" s="60"/>
      <c r="V102" s="60"/>
      <c r="W102" s="60"/>
      <c r="X102" s="60">
        <v>4</v>
      </c>
      <c r="Y102" s="60"/>
      <c r="Z102" s="60"/>
      <c r="AA102" s="60"/>
      <c r="AB102" s="60"/>
      <c r="AC102" s="60">
        <v>5</v>
      </c>
      <c r="AD102" s="60"/>
      <c r="AE102" s="60"/>
      <c r="AF102" s="60"/>
      <c r="AG102" s="60"/>
      <c r="AH102" s="60"/>
      <c r="AI102" s="60">
        <v>6</v>
      </c>
      <c r="AJ102" s="60"/>
      <c r="AK102" s="60"/>
      <c r="AL102" s="60"/>
      <c r="AM102" s="60"/>
      <c r="AN102" s="60">
        <v>7</v>
      </c>
      <c r="AO102" s="60"/>
      <c r="AP102" s="60"/>
      <c r="AQ102" s="60"/>
      <c r="AR102" s="60"/>
      <c r="AS102" s="60">
        <v>8</v>
      </c>
      <c r="AT102" s="60"/>
      <c r="AU102" s="60"/>
      <c r="AV102" s="60"/>
      <c r="AW102" s="60"/>
      <c r="AX102" s="60"/>
      <c r="AY102" s="60">
        <v>9</v>
      </c>
      <c r="AZ102" s="60"/>
      <c r="BA102" s="60"/>
      <c r="BB102" s="60"/>
      <c r="BC102" s="60"/>
      <c r="BD102" s="60">
        <v>10</v>
      </c>
      <c r="BE102" s="60"/>
      <c r="BF102" s="60"/>
      <c r="BG102" s="60"/>
      <c r="BH102" s="60"/>
      <c r="BI102" s="55">
        <v>11</v>
      </c>
      <c r="BJ102" s="61"/>
      <c r="BK102" s="61"/>
      <c r="BL102" s="61"/>
      <c r="BM102" s="61"/>
      <c r="BN102" s="62"/>
      <c r="BO102" s="6"/>
      <c r="BP102" s="6"/>
      <c r="BQ102" s="6"/>
    </row>
    <row r="103" spans="1:79" ht="18" hidden="1" customHeight="1" x14ac:dyDescent="0.2">
      <c r="A103" s="38" t="s">
        <v>13</v>
      </c>
      <c r="B103" s="38"/>
      <c r="C103" s="105" t="s">
        <v>14</v>
      </c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63" t="s">
        <v>10</v>
      </c>
      <c r="T103" s="63"/>
      <c r="U103" s="63"/>
      <c r="V103" s="63"/>
      <c r="W103" s="63"/>
      <c r="X103" s="63" t="s">
        <v>9</v>
      </c>
      <c r="Y103" s="63"/>
      <c r="Z103" s="63"/>
      <c r="AA103" s="63"/>
      <c r="AB103" s="63"/>
      <c r="AC103" s="30" t="s">
        <v>16</v>
      </c>
      <c r="AD103" s="106"/>
      <c r="AE103" s="106"/>
      <c r="AF103" s="106"/>
      <c r="AG103" s="106"/>
      <c r="AH103" s="106"/>
      <c r="AI103" s="63" t="s">
        <v>11</v>
      </c>
      <c r="AJ103" s="63"/>
      <c r="AK103" s="63"/>
      <c r="AL103" s="63"/>
      <c r="AM103" s="63"/>
      <c r="AN103" s="63" t="s">
        <v>12</v>
      </c>
      <c r="AO103" s="63"/>
      <c r="AP103" s="63"/>
      <c r="AQ103" s="63"/>
      <c r="AR103" s="63"/>
      <c r="AS103" s="30" t="s">
        <v>16</v>
      </c>
      <c r="AT103" s="106"/>
      <c r="AU103" s="106"/>
      <c r="AV103" s="106"/>
      <c r="AW103" s="106"/>
      <c r="AX103" s="106"/>
      <c r="AY103" s="52" t="s">
        <v>17</v>
      </c>
      <c r="AZ103" s="107"/>
      <c r="BA103" s="107"/>
      <c r="BB103" s="107"/>
      <c r="BC103" s="53"/>
      <c r="BD103" s="52" t="s">
        <v>17</v>
      </c>
      <c r="BE103" s="107"/>
      <c r="BF103" s="107"/>
      <c r="BG103" s="107"/>
      <c r="BH103" s="53"/>
      <c r="BI103" s="106" t="s">
        <v>16</v>
      </c>
      <c r="BJ103" s="106"/>
      <c r="BK103" s="106"/>
      <c r="BL103" s="106"/>
      <c r="BM103" s="106"/>
      <c r="BN103" s="106"/>
      <c r="BO103" s="7"/>
      <c r="BP103" s="7"/>
      <c r="BQ103" s="7"/>
      <c r="CA103" s="1" t="s">
        <v>21</v>
      </c>
    </row>
    <row r="104" spans="1:79" s="26" customFormat="1" ht="15" customHeight="1" x14ac:dyDescent="0.2">
      <c r="A104" s="30"/>
      <c r="B104" s="30"/>
      <c r="C104" s="112" t="s">
        <v>124</v>
      </c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>
        <f>S104+X104</f>
        <v>0</v>
      </c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>
        <f>AI104+AN104</f>
        <v>0</v>
      </c>
      <c r="AT104" s="47"/>
      <c r="AU104" s="47"/>
      <c r="AV104" s="47"/>
      <c r="AW104" s="47"/>
      <c r="AX104" s="47"/>
      <c r="AY104" s="47">
        <f>AI104-S104</f>
        <v>0</v>
      </c>
      <c r="AZ104" s="47"/>
      <c r="BA104" s="47"/>
      <c r="BB104" s="47"/>
      <c r="BC104" s="47"/>
      <c r="BD104" s="111">
        <f>AN104-X104</f>
        <v>0</v>
      </c>
      <c r="BE104" s="111"/>
      <c r="BF104" s="111"/>
      <c r="BG104" s="111"/>
      <c r="BH104" s="111"/>
      <c r="BI104" s="111">
        <f>AY104+BD104</f>
        <v>0</v>
      </c>
      <c r="BJ104" s="111"/>
      <c r="BK104" s="111"/>
      <c r="BL104" s="111"/>
      <c r="BM104" s="111"/>
      <c r="BN104" s="111"/>
      <c r="BO104" s="27"/>
      <c r="BP104" s="27"/>
      <c r="BQ104" s="27"/>
      <c r="CA104" s="26" t="s">
        <v>22</v>
      </c>
    </row>
    <row r="106" spans="1:79" ht="15.75" customHeight="1" x14ac:dyDescent="0.2">
      <c r="A106" s="54" t="s">
        <v>43</v>
      </c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</row>
    <row r="107" spans="1:79" ht="15.75" customHeight="1" x14ac:dyDescent="0.2">
      <c r="A107" s="54" t="s">
        <v>62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</row>
    <row r="108" spans="1:79" ht="8.25" customHeight="1" x14ac:dyDescent="0.2"/>
    <row r="109" spans="1:79" ht="45" customHeight="1" x14ac:dyDescent="0.2">
      <c r="A109" s="64" t="s">
        <v>3</v>
      </c>
      <c r="B109" s="66"/>
      <c r="C109" s="64" t="s">
        <v>6</v>
      </c>
      <c r="D109" s="65"/>
      <c r="E109" s="65"/>
      <c r="F109" s="65"/>
      <c r="G109" s="65"/>
      <c r="H109" s="65"/>
      <c r="I109" s="66"/>
      <c r="J109" s="64" t="s">
        <v>5</v>
      </c>
      <c r="K109" s="65"/>
      <c r="L109" s="65"/>
      <c r="M109" s="65"/>
      <c r="N109" s="66"/>
      <c r="O109" s="64" t="s">
        <v>4</v>
      </c>
      <c r="P109" s="65"/>
      <c r="Q109" s="65"/>
      <c r="R109" s="65"/>
      <c r="S109" s="65"/>
      <c r="T109" s="65"/>
      <c r="U109" s="65"/>
      <c r="V109" s="65"/>
      <c r="W109" s="65"/>
      <c r="X109" s="66"/>
      <c r="Y109" s="60" t="s">
        <v>25</v>
      </c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 t="s">
        <v>45</v>
      </c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83" t="s">
        <v>0</v>
      </c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"/>
      <c r="BS109" s="8"/>
      <c r="BT109" s="8"/>
      <c r="BU109" s="8"/>
      <c r="BV109" s="8"/>
      <c r="BW109" s="8"/>
      <c r="BX109" s="8"/>
      <c r="BY109" s="8"/>
    </row>
    <row r="110" spans="1:79" ht="32.25" customHeight="1" x14ac:dyDescent="0.2">
      <c r="A110" s="102"/>
      <c r="B110" s="104"/>
      <c r="C110" s="102"/>
      <c r="D110" s="103"/>
      <c r="E110" s="103"/>
      <c r="F110" s="103"/>
      <c r="G110" s="103"/>
      <c r="H110" s="103"/>
      <c r="I110" s="104"/>
      <c r="J110" s="102"/>
      <c r="K110" s="103"/>
      <c r="L110" s="103"/>
      <c r="M110" s="103"/>
      <c r="N110" s="104"/>
      <c r="O110" s="102"/>
      <c r="P110" s="103"/>
      <c r="Q110" s="103"/>
      <c r="R110" s="103"/>
      <c r="S110" s="103"/>
      <c r="T110" s="103"/>
      <c r="U110" s="103"/>
      <c r="V110" s="103"/>
      <c r="W110" s="103"/>
      <c r="X110" s="104"/>
      <c r="Y110" s="55" t="s">
        <v>2</v>
      </c>
      <c r="Z110" s="61"/>
      <c r="AA110" s="61"/>
      <c r="AB110" s="61"/>
      <c r="AC110" s="62"/>
      <c r="AD110" s="55" t="s">
        <v>1</v>
      </c>
      <c r="AE110" s="61"/>
      <c r="AF110" s="61"/>
      <c r="AG110" s="61"/>
      <c r="AH110" s="62"/>
      <c r="AI110" s="60" t="s">
        <v>26</v>
      </c>
      <c r="AJ110" s="60"/>
      <c r="AK110" s="60"/>
      <c r="AL110" s="60"/>
      <c r="AM110" s="60"/>
      <c r="AN110" s="60" t="s">
        <v>2</v>
      </c>
      <c r="AO110" s="60"/>
      <c r="AP110" s="60"/>
      <c r="AQ110" s="60"/>
      <c r="AR110" s="60"/>
      <c r="AS110" s="60" t="s">
        <v>1</v>
      </c>
      <c r="AT110" s="60"/>
      <c r="AU110" s="60"/>
      <c r="AV110" s="60"/>
      <c r="AW110" s="60"/>
      <c r="AX110" s="60" t="s">
        <v>26</v>
      </c>
      <c r="AY110" s="60"/>
      <c r="AZ110" s="60"/>
      <c r="BA110" s="60"/>
      <c r="BB110" s="60"/>
      <c r="BC110" s="60" t="s">
        <v>2</v>
      </c>
      <c r="BD110" s="60"/>
      <c r="BE110" s="60"/>
      <c r="BF110" s="60"/>
      <c r="BG110" s="60"/>
      <c r="BH110" s="60" t="s">
        <v>1</v>
      </c>
      <c r="BI110" s="60"/>
      <c r="BJ110" s="60"/>
      <c r="BK110" s="60"/>
      <c r="BL110" s="60"/>
      <c r="BM110" s="60" t="s">
        <v>26</v>
      </c>
      <c r="BN110" s="60"/>
      <c r="BO110" s="60"/>
      <c r="BP110" s="60"/>
      <c r="BQ110" s="60"/>
      <c r="BR110" s="2"/>
      <c r="BS110" s="2"/>
      <c r="BT110" s="2"/>
      <c r="BU110" s="2"/>
      <c r="BV110" s="2"/>
      <c r="BW110" s="2"/>
      <c r="BX110" s="2"/>
      <c r="BY110" s="2"/>
    </row>
    <row r="111" spans="1:79" ht="15.95" customHeight="1" x14ac:dyDescent="0.2">
      <c r="A111" s="60">
        <v>1</v>
      </c>
      <c r="B111" s="60"/>
      <c r="C111" s="60">
        <v>2</v>
      </c>
      <c r="D111" s="60"/>
      <c r="E111" s="60"/>
      <c r="F111" s="60"/>
      <c r="G111" s="60"/>
      <c r="H111" s="60"/>
      <c r="I111" s="60"/>
      <c r="J111" s="60">
        <v>3</v>
      </c>
      <c r="K111" s="60"/>
      <c r="L111" s="60"/>
      <c r="M111" s="60"/>
      <c r="N111" s="60"/>
      <c r="O111" s="60">
        <v>4</v>
      </c>
      <c r="P111" s="60"/>
      <c r="Q111" s="60"/>
      <c r="R111" s="60"/>
      <c r="S111" s="60"/>
      <c r="T111" s="60"/>
      <c r="U111" s="60"/>
      <c r="V111" s="60"/>
      <c r="W111" s="60"/>
      <c r="X111" s="60"/>
      <c r="Y111" s="60">
        <v>5</v>
      </c>
      <c r="Z111" s="60"/>
      <c r="AA111" s="60"/>
      <c r="AB111" s="60"/>
      <c r="AC111" s="60"/>
      <c r="AD111" s="60">
        <v>6</v>
      </c>
      <c r="AE111" s="60"/>
      <c r="AF111" s="60"/>
      <c r="AG111" s="60"/>
      <c r="AH111" s="60"/>
      <c r="AI111" s="60">
        <v>7</v>
      </c>
      <c r="AJ111" s="60"/>
      <c r="AK111" s="60"/>
      <c r="AL111" s="60"/>
      <c r="AM111" s="60"/>
      <c r="AN111" s="55">
        <v>8</v>
      </c>
      <c r="AO111" s="61"/>
      <c r="AP111" s="61"/>
      <c r="AQ111" s="61"/>
      <c r="AR111" s="62"/>
      <c r="AS111" s="55">
        <v>9</v>
      </c>
      <c r="AT111" s="61"/>
      <c r="AU111" s="61"/>
      <c r="AV111" s="61"/>
      <c r="AW111" s="62"/>
      <c r="AX111" s="55">
        <v>10</v>
      </c>
      <c r="AY111" s="61"/>
      <c r="AZ111" s="61"/>
      <c r="BA111" s="61"/>
      <c r="BB111" s="62"/>
      <c r="BC111" s="55">
        <v>11</v>
      </c>
      <c r="BD111" s="61"/>
      <c r="BE111" s="61"/>
      <c r="BF111" s="61"/>
      <c r="BG111" s="62"/>
      <c r="BH111" s="55">
        <v>12</v>
      </c>
      <c r="BI111" s="61"/>
      <c r="BJ111" s="61"/>
      <c r="BK111" s="61"/>
      <c r="BL111" s="62"/>
      <c r="BM111" s="55">
        <v>13</v>
      </c>
      <c r="BN111" s="61"/>
      <c r="BO111" s="61"/>
      <c r="BP111" s="61"/>
      <c r="BQ111" s="62"/>
      <c r="BR111" s="2"/>
      <c r="BS111" s="2"/>
      <c r="BT111" s="2"/>
      <c r="BU111" s="2"/>
      <c r="BV111" s="2"/>
      <c r="BW111" s="2"/>
      <c r="BX111" s="2"/>
      <c r="BY111" s="2"/>
    </row>
    <row r="112" spans="1:79" ht="12.75" hidden="1" customHeight="1" x14ac:dyDescent="0.2">
      <c r="A112" s="38" t="s">
        <v>36</v>
      </c>
      <c r="B112" s="38"/>
      <c r="C112" s="80" t="s">
        <v>14</v>
      </c>
      <c r="D112" s="81"/>
      <c r="E112" s="81"/>
      <c r="F112" s="81"/>
      <c r="G112" s="81"/>
      <c r="H112" s="81"/>
      <c r="I112" s="82"/>
      <c r="J112" s="38" t="s">
        <v>15</v>
      </c>
      <c r="K112" s="38"/>
      <c r="L112" s="38"/>
      <c r="M112" s="38"/>
      <c r="N112" s="38"/>
      <c r="O112" s="105" t="s">
        <v>37</v>
      </c>
      <c r="P112" s="105"/>
      <c r="Q112" s="105"/>
      <c r="R112" s="105"/>
      <c r="S112" s="105"/>
      <c r="T112" s="105"/>
      <c r="U112" s="105"/>
      <c r="V112" s="105"/>
      <c r="W112" s="105"/>
      <c r="X112" s="80"/>
      <c r="Y112" s="63" t="s">
        <v>10</v>
      </c>
      <c r="Z112" s="63"/>
      <c r="AA112" s="63"/>
      <c r="AB112" s="63"/>
      <c r="AC112" s="63"/>
      <c r="AD112" s="63" t="s">
        <v>29</v>
      </c>
      <c r="AE112" s="63"/>
      <c r="AF112" s="63"/>
      <c r="AG112" s="63"/>
      <c r="AH112" s="63"/>
      <c r="AI112" s="63" t="s">
        <v>75</v>
      </c>
      <c r="AJ112" s="63"/>
      <c r="AK112" s="63"/>
      <c r="AL112" s="63"/>
      <c r="AM112" s="63"/>
      <c r="AN112" s="63" t="s">
        <v>30</v>
      </c>
      <c r="AO112" s="63"/>
      <c r="AP112" s="63"/>
      <c r="AQ112" s="63"/>
      <c r="AR112" s="63"/>
      <c r="AS112" s="63" t="s">
        <v>11</v>
      </c>
      <c r="AT112" s="63"/>
      <c r="AU112" s="63"/>
      <c r="AV112" s="63"/>
      <c r="AW112" s="63"/>
      <c r="AX112" s="63" t="s">
        <v>76</v>
      </c>
      <c r="AY112" s="63"/>
      <c r="AZ112" s="63"/>
      <c r="BA112" s="63"/>
      <c r="BB112" s="63"/>
      <c r="BC112" s="63" t="s">
        <v>32</v>
      </c>
      <c r="BD112" s="63"/>
      <c r="BE112" s="63"/>
      <c r="BF112" s="63"/>
      <c r="BG112" s="63"/>
      <c r="BH112" s="63" t="s">
        <v>32</v>
      </c>
      <c r="BI112" s="63"/>
      <c r="BJ112" s="63"/>
      <c r="BK112" s="63"/>
      <c r="BL112" s="63"/>
      <c r="BM112" s="87" t="s">
        <v>16</v>
      </c>
      <c r="BN112" s="87"/>
      <c r="BO112" s="87"/>
      <c r="BP112" s="87"/>
      <c r="BQ112" s="87"/>
      <c r="CA112" s="1" t="s">
        <v>23</v>
      </c>
    </row>
    <row r="113" spans="1:79" s="26" customFormat="1" ht="15.75" x14ac:dyDescent="0.2">
      <c r="A113" s="30">
        <v>0</v>
      </c>
      <c r="B113" s="30"/>
      <c r="C113" s="51" t="s">
        <v>125</v>
      </c>
      <c r="D113" s="51"/>
      <c r="E113" s="51"/>
      <c r="F113" s="51"/>
      <c r="G113" s="51"/>
      <c r="H113" s="51"/>
      <c r="I113" s="51"/>
      <c r="J113" s="51" t="s">
        <v>126</v>
      </c>
      <c r="K113" s="51"/>
      <c r="L113" s="51"/>
      <c r="M113" s="51"/>
      <c r="N113" s="51"/>
      <c r="O113" s="51" t="s">
        <v>126</v>
      </c>
      <c r="P113" s="51"/>
      <c r="Q113" s="51"/>
      <c r="R113" s="51"/>
      <c r="S113" s="51"/>
      <c r="T113" s="51"/>
      <c r="U113" s="51"/>
      <c r="V113" s="51"/>
      <c r="W113" s="51"/>
      <c r="X113" s="51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28"/>
      <c r="BS113" s="28"/>
      <c r="BT113" s="28"/>
      <c r="BU113" s="28"/>
      <c r="BV113" s="28"/>
      <c r="BW113" s="28"/>
      <c r="BX113" s="28"/>
      <c r="BY113" s="28"/>
      <c r="CA113" s="26" t="s">
        <v>24</v>
      </c>
    </row>
    <row r="114" spans="1:79" ht="25.5" customHeight="1" x14ac:dyDescent="0.2">
      <c r="A114" s="38">
        <v>1</v>
      </c>
      <c r="B114" s="38"/>
      <c r="C114" s="48" t="s">
        <v>127</v>
      </c>
      <c r="D114" s="40"/>
      <c r="E114" s="40"/>
      <c r="F114" s="40"/>
      <c r="G114" s="40"/>
      <c r="H114" s="40"/>
      <c r="I114" s="41"/>
      <c r="J114" s="49" t="s">
        <v>128</v>
      </c>
      <c r="K114" s="49"/>
      <c r="L114" s="49"/>
      <c r="M114" s="49"/>
      <c r="N114" s="49"/>
      <c r="O114" s="48" t="s">
        <v>129</v>
      </c>
      <c r="P114" s="40"/>
      <c r="Q114" s="40"/>
      <c r="R114" s="40"/>
      <c r="S114" s="40"/>
      <c r="T114" s="40"/>
      <c r="U114" s="40"/>
      <c r="V114" s="40"/>
      <c r="W114" s="40"/>
      <c r="X114" s="41"/>
      <c r="Y114" s="46">
        <v>1</v>
      </c>
      <c r="Z114" s="46"/>
      <c r="AA114" s="46"/>
      <c r="AB114" s="46"/>
      <c r="AC114" s="46"/>
      <c r="AD114" s="46">
        <v>0</v>
      </c>
      <c r="AE114" s="46"/>
      <c r="AF114" s="46"/>
      <c r="AG114" s="46"/>
      <c r="AH114" s="46"/>
      <c r="AI114" s="46">
        <v>1</v>
      </c>
      <c r="AJ114" s="46"/>
      <c r="AK114" s="46"/>
      <c r="AL114" s="46"/>
      <c r="AM114" s="46"/>
      <c r="AN114" s="46">
        <v>1</v>
      </c>
      <c r="AO114" s="46"/>
      <c r="AP114" s="46"/>
      <c r="AQ114" s="46"/>
      <c r="AR114" s="46"/>
      <c r="AS114" s="46">
        <v>0</v>
      </c>
      <c r="AT114" s="46"/>
      <c r="AU114" s="46"/>
      <c r="AV114" s="46"/>
      <c r="AW114" s="46"/>
      <c r="AX114" s="46">
        <v>1</v>
      </c>
      <c r="AY114" s="46"/>
      <c r="AZ114" s="46"/>
      <c r="BA114" s="46"/>
      <c r="BB114" s="46"/>
      <c r="BC114" s="46">
        <f>AN114-Y114</f>
        <v>0</v>
      </c>
      <c r="BD114" s="46"/>
      <c r="BE114" s="46"/>
      <c r="BF114" s="46"/>
      <c r="BG114" s="46"/>
      <c r="BH114" s="46">
        <f>AS114-AD114</f>
        <v>0</v>
      </c>
      <c r="BI114" s="46"/>
      <c r="BJ114" s="46"/>
      <c r="BK114" s="46"/>
      <c r="BL114" s="46"/>
      <c r="BM114" s="46">
        <v>0</v>
      </c>
      <c r="BN114" s="46"/>
      <c r="BO114" s="46"/>
      <c r="BP114" s="46"/>
      <c r="BQ114" s="46"/>
      <c r="BR114" s="9"/>
      <c r="BS114" s="9"/>
      <c r="BT114" s="9"/>
      <c r="BU114" s="9"/>
      <c r="BV114" s="9"/>
      <c r="BW114" s="9"/>
      <c r="BX114" s="9"/>
      <c r="BY114" s="9"/>
    </row>
    <row r="115" spans="1:79" ht="38.25" customHeight="1" x14ac:dyDescent="0.2">
      <c r="A115" s="38">
        <v>2</v>
      </c>
      <c r="B115" s="38"/>
      <c r="C115" s="48" t="s">
        <v>130</v>
      </c>
      <c r="D115" s="40"/>
      <c r="E115" s="40"/>
      <c r="F115" s="40"/>
      <c r="G115" s="40"/>
      <c r="H115" s="40"/>
      <c r="I115" s="41"/>
      <c r="J115" s="49" t="s">
        <v>131</v>
      </c>
      <c r="K115" s="49"/>
      <c r="L115" s="49"/>
      <c r="M115" s="49"/>
      <c r="N115" s="49"/>
      <c r="O115" s="48" t="s">
        <v>132</v>
      </c>
      <c r="P115" s="40"/>
      <c r="Q115" s="40"/>
      <c r="R115" s="40"/>
      <c r="S115" s="40"/>
      <c r="T115" s="40"/>
      <c r="U115" s="40"/>
      <c r="V115" s="40"/>
      <c r="W115" s="40"/>
      <c r="X115" s="41"/>
      <c r="Y115" s="46">
        <v>32</v>
      </c>
      <c r="Z115" s="46"/>
      <c r="AA115" s="46"/>
      <c r="AB115" s="46"/>
      <c r="AC115" s="46"/>
      <c r="AD115" s="46">
        <v>0</v>
      </c>
      <c r="AE115" s="46"/>
      <c r="AF115" s="46"/>
      <c r="AG115" s="46"/>
      <c r="AH115" s="46"/>
      <c r="AI115" s="46">
        <v>32</v>
      </c>
      <c r="AJ115" s="46"/>
      <c r="AK115" s="46"/>
      <c r="AL115" s="46"/>
      <c r="AM115" s="46"/>
      <c r="AN115" s="46">
        <v>28</v>
      </c>
      <c r="AO115" s="46"/>
      <c r="AP115" s="46"/>
      <c r="AQ115" s="46"/>
      <c r="AR115" s="46"/>
      <c r="AS115" s="46">
        <v>0</v>
      </c>
      <c r="AT115" s="46"/>
      <c r="AU115" s="46"/>
      <c r="AV115" s="46"/>
      <c r="AW115" s="46"/>
      <c r="AX115" s="46">
        <v>28</v>
      </c>
      <c r="AY115" s="46"/>
      <c r="AZ115" s="46"/>
      <c r="BA115" s="46"/>
      <c r="BB115" s="46"/>
      <c r="BC115" s="46">
        <f>AN115-Y115</f>
        <v>-4</v>
      </c>
      <c r="BD115" s="46"/>
      <c r="BE115" s="46"/>
      <c r="BF115" s="46"/>
      <c r="BG115" s="46"/>
      <c r="BH115" s="46">
        <f>AS115-AD115</f>
        <v>0</v>
      </c>
      <c r="BI115" s="46"/>
      <c r="BJ115" s="46"/>
      <c r="BK115" s="46"/>
      <c r="BL115" s="46"/>
      <c r="BM115" s="46">
        <v>-4</v>
      </c>
      <c r="BN115" s="46"/>
      <c r="BO115" s="46"/>
      <c r="BP115" s="46"/>
      <c r="BQ115" s="46"/>
      <c r="BR115" s="9"/>
      <c r="BS115" s="9"/>
      <c r="BT115" s="9"/>
      <c r="BU115" s="9"/>
      <c r="BV115" s="9"/>
      <c r="BW115" s="9"/>
      <c r="BX115" s="9"/>
      <c r="BY115" s="9"/>
    </row>
    <row r="116" spans="1:79" ht="38.25" customHeight="1" x14ac:dyDescent="0.2">
      <c r="A116" s="38">
        <v>3</v>
      </c>
      <c r="B116" s="38"/>
      <c r="C116" s="48" t="s">
        <v>133</v>
      </c>
      <c r="D116" s="40"/>
      <c r="E116" s="40"/>
      <c r="F116" s="40"/>
      <c r="G116" s="40"/>
      <c r="H116" s="40"/>
      <c r="I116" s="41"/>
      <c r="J116" s="49" t="s">
        <v>131</v>
      </c>
      <c r="K116" s="49"/>
      <c r="L116" s="49"/>
      <c r="M116" s="49"/>
      <c r="N116" s="49"/>
      <c r="O116" s="48" t="s">
        <v>132</v>
      </c>
      <c r="P116" s="40"/>
      <c r="Q116" s="40"/>
      <c r="R116" s="40"/>
      <c r="S116" s="40"/>
      <c r="T116" s="40"/>
      <c r="U116" s="40"/>
      <c r="V116" s="40"/>
      <c r="W116" s="40"/>
      <c r="X116" s="41"/>
      <c r="Y116" s="46">
        <v>27</v>
      </c>
      <c r="Z116" s="46"/>
      <c r="AA116" s="46"/>
      <c r="AB116" s="46"/>
      <c r="AC116" s="46"/>
      <c r="AD116" s="46">
        <v>0</v>
      </c>
      <c r="AE116" s="46"/>
      <c r="AF116" s="46"/>
      <c r="AG116" s="46"/>
      <c r="AH116" s="46"/>
      <c r="AI116" s="46">
        <v>27</v>
      </c>
      <c r="AJ116" s="46"/>
      <c r="AK116" s="46"/>
      <c r="AL116" s="46"/>
      <c r="AM116" s="46"/>
      <c r="AN116" s="46">
        <v>26</v>
      </c>
      <c r="AO116" s="46"/>
      <c r="AP116" s="46"/>
      <c r="AQ116" s="46"/>
      <c r="AR116" s="46"/>
      <c r="AS116" s="46">
        <v>0</v>
      </c>
      <c r="AT116" s="46"/>
      <c r="AU116" s="46"/>
      <c r="AV116" s="46"/>
      <c r="AW116" s="46"/>
      <c r="AX116" s="46">
        <v>26</v>
      </c>
      <c r="AY116" s="46"/>
      <c r="AZ116" s="46"/>
      <c r="BA116" s="46"/>
      <c r="BB116" s="46"/>
      <c r="BC116" s="46">
        <f>AN116-Y116</f>
        <v>-1</v>
      </c>
      <c r="BD116" s="46"/>
      <c r="BE116" s="46"/>
      <c r="BF116" s="46"/>
      <c r="BG116" s="46"/>
      <c r="BH116" s="46">
        <f>AS116-AD116</f>
        <v>0</v>
      </c>
      <c r="BI116" s="46"/>
      <c r="BJ116" s="46"/>
      <c r="BK116" s="46"/>
      <c r="BL116" s="46"/>
      <c r="BM116" s="46">
        <v>-1</v>
      </c>
      <c r="BN116" s="46"/>
      <c r="BO116" s="46"/>
      <c r="BP116" s="46"/>
      <c r="BQ116" s="46"/>
      <c r="BR116" s="9"/>
      <c r="BS116" s="9"/>
      <c r="BT116" s="9"/>
      <c r="BU116" s="9"/>
      <c r="BV116" s="9"/>
      <c r="BW116" s="9"/>
      <c r="BX116" s="9"/>
      <c r="BY116" s="9"/>
    </row>
    <row r="117" spans="1:79" s="26" customFormat="1" ht="15.75" x14ac:dyDescent="0.2">
      <c r="A117" s="30">
        <v>0</v>
      </c>
      <c r="B117" s="30"/>
      <c r="C117" s="50" t="s">
        <v>134</v>
      </c>
      <c r="D117" s="32"/>
      <c r="E117" s="32"/>
      <c r="F117" s="32"/>
      <c r="G117" s="32"/>
      <c r="H117" s="32"/>
      <c r="I117" s="33"/>
      <c r="J117" s="51" t="s">
        <v>126</v>
      </c>
      <c r="K117" s="51"/>
      <c r="L117" s="51"/>
      <c r="M117" s="51"/>
      <c r="N117" s="51"/>
      <c r="O117" s="50" t="s">
        <v>126</v>
      </c>
      <c r="P117" s="32"/>
      <c r="Q117" s="32"/>
      <c r="R117" s="32"/>
      <c r="S117" s="32"/>
      <c r="T117" s="32"/>
      <c r="U117" s="32"/>
      <c r="V117" s="32"/>
      <c r="W117" s="32"/>
      <c r="X117" s="33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28"/>
      <c r="BS117" s="28"/>
      <c r="BT117" s="28"/>
      <c r="BU117" s="28"/>
      <c r="BV117" s="28"/>
      <c r="BW117" s="28"/>
      <c r="BX117" s="28"/>
      <c r="BY117" s="28"/>
    </row>
    <row r="118" spans="1:79" ht="38.25" customHeight="1" x14ac:dyDescent="0.2">
      <c r="A118" s="38">
        <v>1</v>
      </c>
      <c r="B118" s="38"/>
      <c r="C118" s="48" t="s">
        <v>135</v>
      </c>
      <c r="D118" s="40"/>
      <c r="E118" s="40"/>
      <c r="F118" s="40"/>
      <c r="G118" s="40"/>
      <c r="H118" s="40"/>
      <c r="I118" s="41"/>
      <c r="J118" s="49" t="s">
        <v>128</v>
      </c>
      <c r="K118" s="49"/>
      <c r="L118" s="49"/>
      <c r="M118" s="49"/>
      <c r="N118" s="49"/>
      <c r="O118" s="48" t="s">
        <v>129</v>
      </c>
      <c r="P118" s="40"/>
      <c r="Q118" s="40"/>
      <c r="R118" s="40"/>
      <c r="S118" s="40"/>
      <c r="T118" s="40"/>
      <c r="U118" s="40"/>
      <c r="V118" s="40"/>
      <c r="W118" s="40"/>
      <c r="X118" s="41"/>
      <c r="Y118" s="46">
        <v>1</v>
      </c>
      <c r="Z118" s="46"/>
      <c r="AA118" s="46"/>
      <c r="AB118" s="46"/>
      <c r="AC118" s="46"/>
      <c r="AD118" s="46">
        <v>0</v>
      </c>
      <c r="AE118" s="46"/>
      <c r="AF118" s="46"/>
      <c r="AG118" s="46"/>
      <c r="AH118" s="46"/>
      <c r="AI118" s="46">
        <v>1</v>
      </c>
      <c r="AJ118" s="46"/>
      <c r="AK118" s="46"/>
      <c r="AL118" s="46"/>
      <c r="AM118" s="46"/>
      <c r="AN118" s="46">
        <v>1</v>
      </c>
      <c r="AO118" s="46"/>
      <c r="AP118" s="46"/>
      <c r="AQ118" s="46"/>
      <c r="AR118" s="46"/>
      <c r="AS118" s="46">
        <v>0</v>
      </c>
      <c r="AT118" s="46"/>
      <c r="AU118" s="46"/>
      <c r="AV118" s="46"/>
      <c r="AW118" s="46"/>
      <c r="AX118" s="46">
        <v>1</v>
      </c>
      <c r="AY118" s="46"/>
      <c r="AZ118" s="46"/>
      <c r="BA118" s="46"/>
      <c r="BB118" s="46"/>
      <c r="BC118" s="46">
        <f>AN118-Y118</f>
        <v>0</v>
      </c>
      <c r="BD118" s="46"/>
      <c r="BE118" s="46"/>
      <c r="BF118" s="46"/>
      <c r="BG118" s="46"/>
      <c r="BH118" s="46">
        <f>AS118-AD118</f>
        <v>0</v>
      </c>
      <c r="BI118" s="46"/>
      <c r="BJ118" s="46"/>
      <c r="BK118" s="46"/>
      <c r="BL118" s="46"/>
      <c r="BM118" s="46">
        <v>0</v>
      </c>
      <c r="BN118" s="46"/>
      <c r="BO118" s="46"/>
      <c r="BP118" s="46"/>
      <c r="BQ118" s="46"/>
      <c r="BR118" s="9"/>
      <c r="BS118" s="9"/>
      <c r="BT118" s="9"/>
      <c r="BU118" s="9"/>
      <c r="BV118" s="9"/>
      <c r="BW118" s="9"/>
      <c r="BX118" s="9"/>
      <c r="BY118" s="9"/>
    </row>
    <row r="119" spans="1:79" ht="51" customHeight="1" x14ac:dyDescent="0.2">
      <c r="A119" s="38">
        <v>2</v>
      </c>
      <c r="B119" s="38"/>
      <c r="C119" s="48" t="s">
        <v>136</v>
      </c>
      <c r="D119" s="40"/>
      <c r="E119" s="40"/>
      <c r="F119" s="40"/>
      <c r="G119" s="40"/>
      <c r="H119" s="40"/>
      <c r="I119" s="41"/>
      <c r="J119" s="49" t="s">
        <v>131</v>
      </c>
      <c r="K119" s="49"/>
      <c r="L119" s="49"/>
      <c r="M119" s="49"/>
      <c r="N119" s="49"/>
      <c r="O119" s="48" t="s">
        <v>137</v>
      </c>
      <c r="P119" s="40"/>
      <c r="Q119" s="40"/>
      <c r="R119" s="40"/>
      <c r="S119" s="40"/>
      <c r="T119" s="40"/>
      <c r="U119" s="40"/>
      <c r="V119" s="40"/>
      <c r="W119" s="40"/>
      <c r="X119" s="41"/>
      <c r="Y119" s="46">
        <v>700</v>
      </c>
      <c r="Z119" s="46"/>
      <c r="AA119" s="46"/>
      <c r="AB119" s="46"/>
      <c r="AC119" s="46"/>
      <c r="AD119" s="46">
        <v>0</v>
      </c>
      <c r="AE119" s="46"/>
      <c r="AF119" s="46"/>
      <c r="AG119" s="46"/>
      <c r="AH119" s="46"/>
      <c r="AI119" s="46">
        <v>700</v>
      </c>
      <c r="AJ119" s="46"/>
      <c r="AK119" s="46"/>
      <c r="AL119" s="46"/>
      <c r="AM119" s="46"/>
      <c r="AN119" s="46">
        <v>1766</v>
      </c>
      <c r="AO119" s="46"/>
      <c r="AP119" s="46"/>
      <c r="AQ119" s="46"/>
      <c r="AR119" s="46"/>
      <c r="AS119" s="46">
        <v>0</v>
      </c>
      <c r="AT119" s="46"/>
      <c r="AU119" s="46"/>
      <c r="AV119" s="46"/>
      <c r="AW119" s="46"/>
      <c r="AX119" s="46">
        <v>1766</v>
      </c>
      <c r="AY119" s="46"/>
      <c r="AZ119" s="46"/>
      <c r="BA119" s="46"/>
      <c r="BB119" s="46"/>
      <c r="BC119" s="46">
        <f>AN119-Y119</f>
        <v>1066</v>
      </c>
      <c r="BD119" s="46"/>
      <c r="BE119" s="46"/>
      <c r="BF119" s="46"/>
      <c r="BG119" s="46"/>
      <c r="BH119" s="46">
        <f>AS119-AD119</f>
        <v>0</v>
      </c>
      <c r="BI119" s="46"/>
      <c r="BJ119" s="46"/>
      <c r="BK119" s="46"/>
      <c r="BL119" s="46"/>
      <c r="BM119" s="46">
        <v>1066</v>
      </c>
      <c r="BN119" s="46"/>
      <c r="BO119" s="46"/>
      <c r="BP119" s="46"/>
      <c r="BQ119" s="46"/>
      <c r="BR119" s="9"/>
      <c r="BS119" s="9"/>
      <c r="BT119" s="9"/>
      <c r="BU119" s="9"/>
      <c r="BV119" s="9"/>
      <c r="BW119" s="9"/>
      <c r="BX119" s="9"/>
      <c r="BY119" s="9"/>
    </row>
    <row r="120" spans="1:79" s="26" customFormat="1" ht="15.75" x14ac:dyDescent="0.2">
      <c r="A120" s="30">
        <v>0</v>
      </c>
      <c r="B120" s="30"/>
      <c r="C120" s="50" t="s">
        <v>138</v>
      </c>
      <c r="D120" s="32"/>
      <c r="E120" s="32"/>
      <c r="F120" s="32"/>
      <c r="G120" s="32"/>
      <c r="H120" s="32"/>
      <c r="I120" s="33"/>
      <c r="J120" s="51" t="s">
        <v>126</v>
      </c>
      <c r="K120" s="51"/>
      <c r="L120" s="51"/>
      <c r="M120" s="51"/>
      <c r="N120" s="51"/>
      <c r="O120" s="50" t="s">
        <v>126</v>
      </c>
      <c r="P120" s="32"/>
      <c r="Q120" s="32"/>
      <c r="R120" s="32"/>
      <c r="S120" s="32"/>
      <c r="T120" s="32"/>
      <c r="U120" s="32"/>
      <c r="V120" s="32"/>
      <c r="W120" s="32"/>
      <c r="X120" s="33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28"/>
      <c r="BS120" s="28"/>
      <c r="BT120" s="28"/>
      <c r="BU120" s="28"/>
      <c r="BV120" s="28"/>
      <c r="BW120" s="28"/>
      <c r="BX120" s="28"/>
      <c r="BY120" s="28"/>
    </row>
    <row r="121" spans="1:79" ht="51" customHeight="1" x14ac:dyDescent="0.2">
      <c r="A121" s="38">
        <v>1</v>
      </c>
      <c r="B121" s="38"/>
      <c r="C121" s="48" t="s">
        <v>139</v>
      </c>
      <c r="D121" s="40"/>
      <c r="E121" s="40"/>
      <c r="F121" s="40"/>
      <c r="G121" s="40"/>
      <c r="H121" s="40"/>
      <c r="I121" s="41"/>
      <c r="J121" s="49" t="s">
        <v>140</v>
      </c>
      <c r="K121" s="49"/>
      <c r="L121" s="49"/>
      <c r="M121" s="49"/>
      <c r="N121" s="49"/>
      <c r="O121" s="48" t="s">
        <v>141</v>
      </c>
      <c r="P121" s="40"/>
      <c r="Q121" s="40"/>
      <c r="R121" s="40"/>
      <c r="S121" s="40"/>
      <c r="T121" s="40"/>
      <c r="U121" s="40"/>
      <c r="V121" s="40"/>
      <c r="W121" s="40"/>
      <c r="X121" s="41"/>
      <c r="Y121" s="46">
        <v>150409</v>
      </c>
      <c r="Z121" s="46"/>
      <c r="AA121" s="46"/>
      <c r="AB121" s="46"/>
      <c r="AC121" s="46"/>
      <c r="AD121" s="46">
        <v>0</v>
      </c>
      <c r="AE121" s="46"/>
      <c r="AF121" s="46"/>
      <c r="AG121" s="46"/>
      <c r="AH121" s="46"/>
      <c r="AI121" s="46">
        <v>150409</v>
      </c>
      <c r="AJ121" s="46"/>
      <c r="AK121" s="46"/>
      <c r="AL121" s="46"/>
      <c r="AM121" s="46"/>
      <c r="AN121" s="46">
        <v>159767</v>
      </c>
      <c r="AO121" s="46"/>
      <c r="AP121" s="46"/>
      <c r="AQ121" s="46"/>
      <c r="AR121" s="46"/>
      <c r="AS121" s="46">
        <v>0</v>
      </c>
      <c r="AT121" s="46"/>
      <c r="AU121" s="46"/>
      <c r="AV121" s="46"/>
      <c r="AW121" s="46"/>
      <c r="AX121" s="46">
        <v>159767</v>
      </c>
      <c r="AY121" s="46"/>
      <c r="AZ121" s="46"/>
      <c r="BA121" s="46"/>
      <c r="BB121" s="46"/>
      <c r="BC121" s="46">
        <f>AN121-Y121</f>
        <v>9358</v>
      </c>
      <c r="BD121" s="46"/>
      <c r="BE121" s="46"/>
      <c r="BF121" s="46"/>
      <c r="BG121" s="46"/>
      <c r="BH121" s="46">
        <f>AS121-AD121</f>
        <v>0</v>
      </c>
      <c r="BI121" s="46"/>
      <c r="BJ121" s="46"/>
      <c r="BK121" s="46"/>
      <c r="BL121" s="46"/>
      <c r="BM121" s="46">
        <v>9358</v>
      </c>
      <c r="BN121" s="46"/>
      <c r="BO121" s="46"/>
      <c r="BP121" s="46"/>
      <c r="BQ121" s="46"/>
      <c r="BR121" s="9"/>
      <c r="BS121" s="9"/>
      <c r="BT121" s="9"/>
      <c r="BU121" s="9"/>
      <c r="BV121" s="9"/>
      <c r="BW121" s="9"/>
      <c r="BX121" s="9"/>
      <c r="BY121" s="9"/>
    </row>
    <row r="122" spans="1:79" ht="89.25" customHeight="1" x14ac:dyDescent="0.2">
      <c r="A122" s="38">
        <v>2</v>
      </c>
      <c r="B122" s="38"/>
      <c r="C122" s="48" t="s">
        <v>142</v>
      </c>
      <c r="D122" s="40"/>
      <c r="E122" s="40"/>
      <c r="F122" s="40"/>
      <c r="G122" s="40"/>
      <c r="H122" s="40"/>
      <c r="I122" s="41"/>
      <c r="J122" s="49" t="s">
        <v>131</v>
      </c>
      <c r="K122" s="49"/>
      <c r="L122" s="49"/>
      <c r="M122" s="49"/>
      <c r="N122" s="49"/>
      <c r="O122" s="48" t="s">
        <v>141</v>
      </c>
      <c r="P122" s="40"/>
      <c r="Q122" s="40"/>
      <c r="R122" s="40"/>
      <c r="S122" s="40"/>
      <c r="T122" s="40"/>
      <c r="U122" s="40"/>
      <c r="V122" s="40"/>
      <c r="W122" s="40"/>
      <c r="X122" s="41"/>
      <c r="Y122" s="46">
        <v>39</v>
      </c>
      <c r="Z122" s="46"/>
      <c r="AA122" s="46"/>
      <c r="AB122" s="46"/>
      <c r="AC122" s="46"/>
      <c r="AD122" s="46">
        <v>0</v>
      </c>
      <c r="AE122" s="46"/>
      <c r="AF122" s="46"/>
      <c r="AG122" s="46"/>
      <c r="AH122" s="46"/>
      <c r="AI122" s="46">
        <v>39</v>
      </c>
      <c r="AJ122" s="46"/>
      <c r="AK122" s="46"/>
      <c r="AL122" s="46"/>
      <c r="AM122" s="46"/>
      <c r="AN122" s="46">
        <v>68</v>
      </c>
      <c r="AO122" s="46"/>
      <c r="AP122" s="46"/>
      <c r="AQ122" s="46"/>
      <c r="AR122" s="46"/>
      <c r="AS122" s="46">
        <v>0</v>
      </c>
      <c r="AT122" s="46"/>
      <c r="AU122" s="46"/>
      <c r="AV122" s="46"/>
      <c r="AW122" s="46"/>
      <c r="AX122" s="46">
        <v>68</v>
      </c>
      <c r="AY122" s="46"/>
      <c r="AZ122" s="46"/>
      <c r="BA122" s="46"/>
      <c r="BB122" s="46"/>
      <c r="BC122" s="46">
        <f>AN122-Y122</f>
        <v>29</v>
      </c>
      <c r="BD122" s="46"/>
      <c r="BE122" s="46"/>
      <c r="BF122" s="46"/>
      <c r="BG122" s="46"/>
      <c r="BH122" s="46">
        <f>AS122-AD122</f>
        <v>0</v>
      </c>
      <c r="BI122" s="46"/>
      <c r="BJ122" s="46"/>
      <c r="BK122" s="46"/>
      <c r="BL122" s="46"/>
      <c r="BM122" s="46">
        <v>29</v>
      </c>
      <c r="BN122" s="46"/>
      <c r="BO122" s="46"/>
      <c r="BP122" s="46"/>
      <c r="BQ122" s="46"/>
      <c r="BR122" s="9"/>
      <c r="BS122" s="9"/>
      <c r="BT122" s="9"/>
      <c r="BU122" s="9"/>
      <c r="BV122" s="9"/>
      <c r="BW122" s="9"/>
      <c r="BX122" s="9"/>
      <c r="BY122" s="9"/>
    </row>
    <row r="123" spans="1:79" s="26" customFormat="1" ht="15.75" x14ac:dyDescent="0.2">
      <c r="A123" s="30">
        <v>0</v>
      </c>
      <c r="B123" s="30"/>
      <c r="C123" s="50" t="s">
        <v>143</v>
      </c>
      <c r="D123" s="32"/>
      <c r="E123" s="32"/>
      <c r="F123" s="32"/>
      <c r="G123" s="32"/>
      <c r="H123" s="32"/>
      <c r="I123" s="33"/>
      <c r="J123" s="51" t="s">
        <v>126</v>
      </c>
      <c r="K123" s="51"/>
      <c r="L123" s="51"/>
      <c r="M123" s="51"/>
      <c r="N123" s="51"/>
      <c r="O123" s="50" t="s">
        <v>126</v>
      </c>
      <c r="P123" s="32"/>
      <c r="Q123" s="32"/>
      <c r="R123" s="32"/>
      <c r="S123" s="32"/>
      <c r="T123" s="32"/>
      <c r="U123" s="32"/>
      <c r="V123" s="32"/>
      <c r="W123" s="32"/>
      <c r="X123" s="33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28"/>
      <c r="BS123" s="28"/>
      <c r="BT123" s="28"/>
      <c r="BU123" s="28"/>
      <c r="BV123" s="28"/>
      <c r="BW123" s="28"/>
      <c r="BX123" s="28"/>
      <c r="BY123" s="28"/>
    </row>
    <row r="124" spans="1:79" ht="38.25" customHeight="1" x14ac:dyDescent="0.2">
      <c r="A124" s="38">
        <v>1</v>
      </c>
      <c r="B124" s="38"/>
      <c r="C124" s="48" t="s">
        <v>144</v>
      </c>
      <c r="D124" s="40"/>
      <c r="E124" s="40"/>
      <c r="F124" s="40"/>
      <c r="G124" s="40"/>
      <c r="H124" s="40"/>
      <c r="I124" s="41"/>
      <c r="J124" s="49" t="s">
        <v>145</v>
      </c>
      <c r="K124" s="49"/>
      <c r="L124" s="49"/>
      <c r="M124" s="49"/>
      <c r="N124" s="49"/>
      <c r="O124" s="48" t="s">
        <v>146</v>
      </c>
      <c r="P124" s="40"/>
      <c r="Q124" s="40"/>
      <c r="R124" s="40"/>
      <c r="S124" s="40"/>
      <c r="T124" s="40"/>
      <c r="U124" s="40"/>
      <c r="V124" s="40"/>
      <c r="W124" s="40"/>
      <c r="X124" s="41"/>
      <c r="Y124" s="46">
        <v>100</v>
      </c>
      <c r="Z124" s="46"/>
      <c r="AA124" s="46"/>
      <c r="AB124" s="46"/>
      <c r="AC124" s="46"/>
      <c r="AD124" s="46">
        <v>0</v>
      </c>
      <c r="AE124" s="46"/>
      <c r="AF124" s="46"/>
      <c r="AG124" s="46"/>
      <c r="AH124" s="46"/>
      <c r="AI124" s="46">
        <v>100</v>
      </c>
      <c r="AJ124" s="46"/>
      <c r="AK124" s="46"/>
      <c r="AL124" s="46"/>
      <c r="AM124" s="46"/>
      <c r="AN124" s="46">
        <v>100</v>
      </c>
      <c r="AO124" s="46"/>
      <c r="AP124" s="46"/>
      <c r="AQ124" s="46"/>
      <c r="AR124" s="46"/>
      <c r="AS124" s="46">
        <v>0</v>
      </c>
      <c r="AT124" s="46"/>
      <c r="AU124" s="46"/>
      <c r="AV124" s="46"/>
      <c r="AW124" s="46"/>
      <c r="AX124" s="46">
        <v>100</v>
      </c>
      <c r="AY124" s="46"/>
      <c r="AZ124" s="46"/>
      <c r="BA124" s="46"/>
      <c r="BB124" s="46"/>
      <c r="BC124" s="46">
        <f>AN124-Y124</f>
        <v>0</v>
      </c>
      <c r="BD124" s="46"/>
      <c r="BE124" s="46"/>
      <c r="BF124" s="46"/>
      <c r="BG124" s="46"/>
      <c r="BH124" s="46">
        <f>AS124-AD124</f>
        <v>0</v>
      </c>
      <c r="BI124" s="46"/>
      <c r="BJ124" s="46"/>
      <c r="BK124" s="46"/>
      <c r="BL124" s="46"/>
      <c r="BM124" s="46">
        <v>0</v>
      </c>
      <c r="BN124" s="46"/>
      <c r="BO124" s="46"/>
      <c r="BP124" s="46"/>
      <c r="BQ124" s="46"/>
      <c r="BR124" s="9"/>
      <c r="BS124" s="9"/>
      <c r="BT124" s="9"/>
      <c r="BU124" s="9"/>
      <c r="BV124" s="9"/>
      <c r="BW124" s="9"/>
      <c r="BX124" s="9"/>
      <c r="BY124" s="9"/>
    </row>
    <row r="125" spans="1:79" ht="15.75" x14ac:dyDescent="0.2">
      <c r="A125" s="22"/>
      <c r="B125" s="22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9"/>
      <c r="BS125" s="9"/>
      <c r="BT125" s="9"/>
      <c r="BU125" s="9"/>
      <c r="BV125" s="9"/>
      <c r="BW125" s="9"/>
      <c r="BX125" s="9"/>
      <c r="BY125" s="9"/>
    </row>
    <row r="126" spans="1:79" ht="15.75" customHeight="1" x14ac:dyDescent="0.2">
      <c r="A126" s="54" t="s">
        <v>63</v>
      </c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</row>
    <row r="127" spans="1:79" ht="9" customHeight="1" x14ac:dyDescent="0.2">
      <c r="A127" s="22"/>
      <c r="B127" s="22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9"/>
      <c r="BS127" s="9"/>
      <c r="BT127" s="9"/>
      <c r="BU127" s="9"/>
      <c r="BV127" s="9"/>
      <c r="BW127" s="9"/>
      <c r="BX127" s="9"/>
      <c r="BY127" s="9"/>
    </row>
    <row r="128" spans="1:79" ht="45" customHeight="1" x14ac:dyDescent="0.2">
      <c r="A128" s="64" t="s">
        <v>3</v>
      </c>
      <c r="B128" s="66"/>
      <c r="C128" s="64" t="s">
        <v>6</v>
      </c>
      <c r="D128" s="65"/>
      <c r="E128" s="65"/>
      <c r="F128" s="65"/>
      <c r="G128" s="65"/>
      <c r="H128" s="65"/>
      <c r="I128" s="66"/>
      <c r="J128" s="64" t="s">
        <v>5</v>
      </c>
      <c r="K128" s="65"/>
      <c r="L128" s="65"/>
      <c r="M128" s="65"/>
      <c r="N128" s="66"/>
      <c r="O128" s="55" t="s">
        <v>64</v>
      </c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7"/>
      <c r="BR128" s="8"/>
      <c r="BS128" s="8"/>
      <c r="BT128" s="8"/>
      <c r="BU128" s="8"/>
      <c r="BV128" s="8"/>
      <c r="BW128" s="8"/>
      <c r="BX128" s="8"/>
      <c r="BY128" s="8"/>
    </row>
    <row r="129" spans="1:79" ht="15.95" customHeight="1" x14ac:dyDescent="0.2">
      <c r="A129" s="60">
        <v>1</v>
      </c>
      <c r="B129" s="60"/>
      <c r="C129" s="60">
        <v>2</v>
      </c>
      <c r="D129" s="60"/>
      <c r="E129" s="60"/>
      <c r="F129" s="60"/>
      <c r="G129" s="60"/>
      <c r="H129" s="60"/>
      <c r="I129" s="60"/>
      <c r="J129" s="60">
        <v>3</v>
      </c>
      <c r="K129" s="60"/>
      <c r="L129" s="60"/>
      <c r="M129" s="60"/>
      <c r="N129" s="60"/>
      <c r="O129" s="55">
        <v>4</v>
      </c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9"/>
      <c r="BR129" s="2"/>
      <c r="BS129" s="2"/>
      <c r="BT129" s="2"/>
      <c r="BU129" s="2"/>
      <c r="BV129" s="2"/>
      <c r="BW129" s="2"/>
      <c r="BX129" s="2"/>
      <c r="BY129" s="2"/>
    </row>
    <row r="130" spans="1:79" ht="12.75" hidden="1" customHeight="1" x14ac:dyDescent="0.2">
      <c r="A130" s="38" t="s">
        <v>36</v>
      </c>
      <c r="B130" s="38"/>
      <c r="C130" s="80" t="s">
        <v>14</v>
      </c>
      <c r="D130" s="81"/>
      <c r="E130" s="81"/>
      <c r="F130" s="81"/>
      <c r="G130" s="81"/>
      <c r="H130" s="81"/>
      <c r="I130" s="82"/>
      <c r="J130" s="38" t="s">
        <v>15</v>
      </c>
      <c r="K130" s="38"/>
      <c r="L130" s="38"/>
      <c r="M130" s="38"/>
      <c r="N130" s="38"/>
      <c r="O130" s="39" t="s">
        <v>70</v>
      </c>
      <c r="P130" s="90"/>
      <c r="Q130" s="90"/>
      <c r="R130" s="90"/>
      <c r="S130" s="90"/>
      <c r="T130" s="90"/>
      <c r="U130" s="90"/>
      <c r="V130" s="90"/>
      <c r="W130" s="90"/>
      <c r="X130" s="90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2"/>
      <c r="CA130" s="1" t="s">
        <v>69</v>
      </c>
    </row>
    <row r="131" spans="1:79" s="26" customFormat="1" ht="15.75" x14ac:dyDescent="0.2">
      <c r="A131" s="30">
        <v>0</v>
      </c>
      <c r="B131" s="30"/>
      <c r="C131" s="30" t="s">
        <v>125</v>
      </c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4"/>
      <c r="P131" s="35"/>
      <c r="Q131" s="35"/>
      <c r="R131" s="35"/>
      <c r="S131" s="35"/>
      <c r="T131" s="35"/>
      <c r="U131" s="35"/>
      <c r="V131" s="35"/>
      <c r="W131" s="35"/>
      <c r="X131" s="35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7"/>
      <c r="BR131" s="29"/>
      <c r="BS131" s="29"/>
      <c r="BT131" s="29"/>
      <c r="BU131" s="29"/>
      <c r="BV131" s="29"/>
      <c r="BW131" s="29"/>
      <c r="BX131" s="29"/>
      <c r="BY131" s="29"/>
      <c r="CA131" s="26" t="s">
        <v>66</v>
      </c>
    </row>
    <row r="132" spans="1:79" ht="38.25" customHeight="1" x14ac:dyDescent="0.2">
      <c r="A132" s="38">
        <v>2</v>
      </c>
      <c r="B132" s="38"/>
      <c r="C132" s="39" t="s">
        <v>130</v>
      </c>
      <c r="D132" s="40"/>
      <c r="E132" s="40"/>
      <c r="F132" s="40"/>
      <c r="G132" s="40"/>
      <c r="H132" s="40"/>
      <c r="I132" s="41"/>
      <c r="J132" s="38" t="s">
        <v>131</v>
      </c>
      <c r="K132" s="38"/>
      <c r="L132" s="38"/>
      <c r="M132" s="38"/>
      <c r="N132" s="38"/>
      <c r="O132" s="42" t="s">
        <v>109</v>
      </c>
      <c r="P132" s="43"/>
      <c r="Q132" s="43"/>
      <c r="R132" s="43"/>
      <c r="S132" s="43"/>
      <c r="T132" s="43"/>
      <c r="U132" s="43"/>
      <c r="V132" s="43"/>
      <c r="W132" s="43"/>
      <c r="X132" s="43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5"/>
      <c r="BR132" s="2"/>
      <c r="BS132" s="2"/>
      <c r="BT132" s="2"/>
      <c r="BU132" s="2"/>
      <c r="BV132" s="2"/>
      <c r="BW132" s="2"/>
      <c r="BX132" s="2"/>
      <c r="BY132" s="2"/>
    </row>
    <row r="133" spans="1:79" ht="38.25" customHeight="1" x14ac:dyDescent="0.2">
      <c r="A133" s="38">
        <v>3</v>
      </c>
      <c r="B133" s="38"/>
      <c r="C133" s="39" t="s">
        <v>133</v>
      </c>
      <c r="D133" s="40"/>
      <c r="E133" s="40"/>
      <c r="F133" s="40"/>
      <c r="G133" s="40"/>
      <c r="H133" s="40"/>
      <c r="I133" s="41"/>
      <c r="J133" s="38" t="s">
        <v>131</v>
      </c>
      <c r="K133" s="38"/>
      <c r="L133" s="38"/>
      <c r="M133" s="38"/>
      <c r="N133" s="38"/>
      <c r="O133" s="42" t="s">
        <v>109</v>
      </c>
      <c r="P133" s="43"/>
      <c r="Q133" s="43"/>
      <c r="R133" s="43"/>
      <c r="S133" s="43"/>
      <c r="T133" s="43"/>
      <c r="U133" s="43"/>
      <c r="V133" s="43"/>
      <c r="W133" s="43"/>
      <c r="X133" s="43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5"/>
      <c r="BR133" s="2"/>
      <c r="BS133" s="2"/>
      <c r="BT133" s="2"/>
      <c r="BU133" s="2"/>
      <c r="BV133" s="2"/>
      <c r="BW133" s="2"/>
      <c r="BX133" s="2"/>
      <c r="BY133" s="2"/>
    </row>
    <row r="134" spans="1:79" s="26" customFormat="1" ht="15.75" x14ac:dyDescent="0.2">
      <c r="A134" s="30">
        <v>0</v>
      </c>
      <c r="B134" s="30"/>
      <c r="C134" s="31" t="s">
        <v>134</v>
      </c>
      <c r="D134" s="32"/>
      <c r="E134" s="32"/>
      <c r="F134" s="32"/>
      <c r="G134" s="32"/>
      <c r="H134" s="32"/>
      <c r="I134" s="33"/>
      <c r="J134" s="30"/>
      <c r="K134" s="30"/>
      <c r="L134" s="30"/>
      <c r="M134" s="30"/>
      <c r="N134" s="30"/>
      <c r="O134" s="34"/>
      <c r="P134" s="35"/>
      <c r="Q134" s="35"/>
      <c r="R134" s="35"/>
      <c r="S134" s="35"/>
      <c r="T134" s="35"/>
      <c r="U134" s="35"/>
      <c r="V134" s="35"/>
      <c r="W134" s="35"/>
      <c r="X134" s="35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7"/>
      <c r="BR134" s="29"/>
      <c r="BS134" s="29"/>
      <c r="BT134" s="29"/>
      <c r="BU134" s="29"/>
      <c r="BV134" s="29"/>
      <c r="BW134" s="29"/>
      <c r="BX134" s="29"/>
      <c r="BY134" s="29"/>
    </row>
    <row r="135" spans="1:79" s="26" customFormat="1" ht="15.75" x14ac:dyDescent="0.2">
      <c r="A135" s="30">
        <v>0</v>
      </c>
      <c r="B135" s="30"/>
      <c r="C135" s="31" t="s">
        <v>138</v>
      </c>
      <c r="D135" s="32"/>
      <c r="E135" s="32"/>
      <c r="F135" s="32"/>
      <c r="G135" s="32"/>
      <c r="H135" s="32"/>
      <c r="I135" s="33"/>
      <c r="J135" s="30"/>
      <c r="K135" s="30"/>
      <c r="L135" s="30"/>
      <c r="M135" s="30"/>
      <c r="N135" s="30"/>
      <c r="O135" s="34"/>
      <c r="P135" s="35"/>
      <c r="Q135" s="35"/>
      <c r="R135" s="35"/>
      <c r="S135" s="35"/>
      <c r="T135" s="35"/>
      <c r="U135" s="35"/>
      <c r="V135" s="35"/>
      <c r="W135" s="35"/>
      <c r="X135" s="35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7"/>
      <c r="BR135" s="29"/>
      <c r="BS135" s="29"/>
      <c r="BT135" s="29"/>
      <c r="BU135" s="29"/>
      <c r="BV135" s="29"/>
      <c r="BW135" s="29"/>
      <c r="BX135" s="29"/>
      <c r="BY135" s="29"/>
    </row>
    <row r="136" spans="1:79" ht="89.25" customHeight="1" x14ac:dyDescent="0.2">
      <c r="A136" s="38">
        <v>2</v>
      </c>
      <c r="B136" s="38"/>
      <c r="C136" s="39" t="s">
        <v>142</v>
      </c>
      <c r="D136" s="40"/>
      <c r="E136" s="40"/>
      <c r="F136" s="40"/>
      <c r="G136" s="40"/>
      <c r="H136" s="40"/>
      <c r="I136" s="41"/>
      <c r="J136" s="38" t="s">
        <v>131</v>
      </c>
      <c r="K136" s="38"/>
      <c r="L136" s="38"/>
      <c r="M136" s="38"/>
      <c r="N136" s="38"/>
      <c r="O136" s="42" t="s">
        <v>147</v>
      </c>
      <c r="P136" s="43"/>
      <c r="Q136" s="43"/>
      <c r="R136" s="43"/>
      <c r="S136" s="43"/>
      <c r="T136" s="43"/>
      <c r="U136" s="43"/>
      <c r="V136" s="43"/>
      <c r="W136" s="43"/>
      <c r="X136" s="43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5"/>
      <c r="BR136" s="2"/>
      <c r="BS136" s="2"/>
      <c r="BT136" s="2"/>
      <c r="BU136" s="2"/>
      <c r="BV136" s="2"/>
      <c r="BW136" s="2"/>
      <c r="BX136" s="2"/>
      <c r="BY136" s="2"/>
    </row>
    <row r="137" spans="1:79" s="26" customFormat="1" ht="15.75" x14ac:dyDescent="0.2">
      <c r="A137" s="30">
        <v>0</v>
      </c>
      <c r="B137" s="30"/>
      <c r="C137" s="31" t="s">
        <v>143</v>
      </c>
      <c r="D137" s="32"/>
      <c r="E137" s="32"/>
      <c r="F137" s="32"/>
      <c r="G137" s="32"/>
      <c r="H137" s="32"/>
      <c r="I137" s="33"/>
      <c r="J137" s="30"/>
      <c r="K137" s="30"/>
      <c r="L137" s="30"/>
      <c r="M137" s="30"/>
      <c r="N137" s="30"/>
      <c r="O137" s="34"/>
      <c r="P137" s="35"/>
      <c r="Q137" s="35"/>
      <c r="R137" s="35"/>
      <c r="S137" s="35"/>
      <c r="T137" s="35"/>
      <c r="U137" s="35"/>
      <c r="V137" s="35"/>
      <c r="W137" s="35"/>
      <c r="X137" s="35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7"/>
      <c r="BR137" s="29"/>
      <c r="BS137" s="29"/>
      <c r="BT137" s="29"/>
      <c r="BU137" s="29"/>
      <c r="BV137" s="29"/>
      <c r="BW137" s="29"/>
      <c r="BX137" s="29"/>
      <c r="BY137" s="29"/>
    </row>
    <row r="138" spans="1:79" ht="15.75" x14ac:dyDescent="0.2">
      <c r="A138" s="22"/>
      <c r="B138" s="22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9"/>
      <c r="BS138" s="9"/>
      <c r="BT138" s="9"/>
      <c r="BU138" s="9"/>
      <c r="BV138" s="9"/>
      <c r="BW138" s="9"/>
      <c r="BX138" s="9"/>
      <c r="BY138" s="9"/>
    </row>
    <row r="139" spans="1:79" ht="15.95" customHeight="1" x14ac:dyDescent="0.2">
      <c r="A139" s="54" t="s">
        <v>65</v>
      </c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</row>
    <row r="140" spans="1:79" ht="15.95" customHeight="1" x14ac:dyDescent="0.2">
      <c r="A140" s="54" t="s">
        <v>166</v>
      </c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</row>
    <row r="141" spans="1:79" ht="15.75" x14ac:dyDescent="0.2">
      <c r="A141" s="22"/>
      <c r="B141" s="22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9"/>
      <c r="BS141" s="9"/>
      <c r="BT141" s="9"/>
      <c r="BU141" s="9"/>
      <c r="BV141" s="9"/>
      <c r="BW141" s="9"/>
      <c r="BX141" s="9"/>
      <c r="BY141" s="9"/>
    </row>
    <row r="142" spans="1:79" ht="15.95" customHeight="1" x14ac:dyDescent="0.2">
      <c r="A142" s="54" t="s">
        <v>46</v>
      </c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</row>
    <row r="143" spans="1:79" ht="191.25" customHeight="1" x14ac:dyDescent="0.2">
      <c r="A143" s="115" t="s">
        <v>149</v>
      </c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  <c r="AT143" s="116"/>
      <c r="AU143" s="116"/>
      <c r="AV143" s="116"/>
      <c r="AW143" s="116"/>
      <c r="AX143" s="116"/>
      <c r="AY143" s="116"/>
      <c r="AZ143" s="116"/>
      <c r="BA143" s="116"/>
      <c r="BB143" s="116"/>
      <c r="BC143" s="116"/>
      <c r="BD143" s="116"/>
      <c r="BE143" s="116"/>
      <c r="BF143" s="116"/>
      <c r="BG143" s="116"/>
      <c r="BH143" s="116"/>
      <c r="BI143" s="116"/>
      <c r="BJ143" s="116"/>
      <c r="BK143" s="116"/>
      <c r="BL143" s="116"/>
    </row>
    <row r="144" spans="1:79" ht="15.95" customHeight="1" x14ac:dyDescent="0.25">
      <c r="A144" s="2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</row>
    <row r="145" spans="1:60" ht="42" customHeight="1" x14ac:dyDescent="0.25">
      <c r="A145" s="115" t="s">
        <v>152</v>
      </c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3"/>
      <c r="AO145" s="3"/>
      <c r="AP145" s="93" t="s">
        <v>154</v>
      </c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4"/>
      <c r="BC145" s="94"/>
      <c r="BD145" s="94"/>
      <c r="BE145" s="94"/>
      <c r="BF145" s="94"/>
      <c r="BG145" s="94"/>
      <c r="BH145" s="94"/>
    </row>
    <row r="146" spans="1:60" x14ac:dyDescent="0.2">
      <c r="W146" s="88" t="s">
        <v>8</v>
      </c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4"/>
      <c r="AO146" s="4"/>
      <c r="AP146" s="88" t="s">
        <v>71</v>
      </c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</row>
    <row r="149" spans="1:60" ht="31.5" customHeight="1" x14ac:dyDescent="0.25">
      <c r="A149" s="115" t="s">
        <v>153</v>
      </c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3"/>
      <c r="AO149" s="3"/>
      <c r="AP149" s="93" t="s">
        <v>155</v>
      </c>
      <c r="AQ149" s="94"/>
      <c r="AR149" s="94"/>
      <c r="AS149" s="94"/>
      <c r="AT149" s="94"/>
      <c r="AU149" s="94"/>
      <c r="AV149" s="94"/>
      <c r="AW149" s="94"/>
      <c r="AX149" s="94"/>
      <c r="AY149" s="94"/>
      <c r="AZ149" s="94"/>
      <c r="BA149" s="94"/>
      <c r="BB149" s="94"/>
      <c r="BC149" s="94"/>
      <c r="BD149" s="94"/>
      <c r="BE149" s="94"/>
      <c r="BF149" s="94"/>
      <c r="BG149" s="94"/>
      <c r="BH149" s="94"/>
    </row>
    <row r="150" spans="1:60" x14ac:dyDescent="0.2">
      <c r="W150" s="88" t="s">
        <v>8</v>
      </c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4"/>
      <c r="AO150" s="4"/>
      <c r="AP150" s="88" t="s">
        <v>71</v>
      </c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</row>
  </sheetData>
  <mergeCells count="752">
    <mergeCell ref="A102:B102"/>
    <mergeCell ref="A103:B103"/>
    <mergeCell ref="A104:B104"/>
    <mergeCell ref="C104:R104"/>
    <mergeCell ref="S104:W104"/>
    <mergeCell ref="BI103:BN103"/>
    <mergeCell ref="BD104:BH104"/>
    <mergeCell ref="BD102:BH102"/>
    <mergeCell ref="BI102:BN102"/>
    <mergeCell ref="BI104:BN104"/>
    <mergeCell ref="BD103:BH103"/>
    <mergeCell ref="X104:AB104"/>
    <mergeCell ref="AC104:AH104"/>
    <mergeCell ref="C103:R103"/>
    <mergeCell ref="S103:W103"/>
    <mergeCell ref="X103:AB103"/>
    <mergeCell ref="AC103:AH103"/>
    <mergeCell ref="AI104:AM104"/>
    <mergeCell ref="AN104:AR104"/>
    <mergeCell ref="AS104:AX104"/>
    <mergeCell ref="AY104:BC104"/>
    <mergeCell ref="AI102:AM102"/>
    <mergeCell ref="AY103:BC103"/>
    <mergeCell ref="AY101:BC101"/>
    <mergeCell ref="BD101:BH101"/>
    <mergeCell ref="AI103:AM103"/>
    <mergeCell ref="AN103:AR103"/>
    <mergeCell ref="AS103:AX103"/>
    <mergeCell ref="AN102:AR102"/>
    <mergeCell ref="AS102:AX102"/>
    <mergeCell ref="AY102:BC102"/>
    <mergeCell ref="C100:R101"/>
    <mergeCell ref="S100:AH100"/>
    <mergeCell ref="AI100:AX100"/>
    <mergeCell ref="AS101:AX101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73:BQ73"/>
    <mergeCell ref="AY100:BN100"/>
    <mergeCell ref="BI101:BN101"/>
    <mergeCell ref="A100:B101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50:BH150"/>
    <mergeCell ref="A149:V149"/>
    <mergeCell ref="W149:AM149"/>
    <mergeCell ref="AP149:BH149"/>
    <mergeCell ref="W150:AM150"/>
    <mergeCell ref="AP146:BH146"/>
    <mergeCell ref="A143:BL143"/>
    <mergeCell ref="A78:B78"/>
    <mergeCell ref="A76:B76"/>
    <mergeCell ref="A77:B77"/>
    <mergeCell ref="A99:BN99"/>
    <mergeCell ref="A98:BN98"/>
    <mergeCell ref="C78:BQ78"/>
    <mergeCell ref="C76:BQ76"/>
    <mergeCell ref="C77:BQ77"/>
    <mergeCell ref="A80:B80"/>
    <mergeCell ref="C80:BQ80"/>
    <mergeCell ref="A106:BQ106"/>
    <mergeCell ref="C111:I111"/>
    <mergeCell ref="J130:N130"/>
    <mergeCell ref="A129:B129"/>
    <mergeCell ref="A112:B112"/>
    <mergeCell ref="O113:X113"/>
    <mergeCell ref="Y113:AC113"/>
    <mergeCell ref="W146:AM146"/>
    <mergeCell ref="A145:V145"/>
    <mergeCell ref="W145:AM145"/>
    <mergeCell ref="A113:B113"/>
    <mergeCell ref="AD113:AH113"/>
    <mergeCell ref="A126:BQ126"/>
    <mergeCell ref="A128:B128"/>
    <mergeCell ref="C128:I128"/>
    <mergeCell ref="BC113:BG113"/>
    <mergeCell ref="J113:N113"/>
    <mergeCell ref="O130:BQ130"/>
    <mergeCell ref="C129:I129"/>
    <mergeCell ref="J129:N129"/>
    <mergeCell ref="AP145:BH145"/>
    <mergeCell ref="C113:I113"/>
    <mergeCell ref="A142:BL142"/>
    <mergeCell ref="BM113:BQ113"/>
    <mergeCell ref="BH113:BL113"/>
    <mergeCell ref="A43:B43"/>
    <mergeCell ref="A75:B75"/>
    <mergeCell ref="AF43:AJ43"/>
    <mergeCell ref="AZ43:BC43"/>
    <mergeCell ref="AU43:AY43"/>
    <mergeCell ref="AA43:AE43"/>
    <mergeCell ref="C43:Z43"/>
    <mergeCell ref="AK43:AO43"/>
    <mergeCell ref="Y112:AC112"/>
    <mergeCell ref="C112:I112"/>
    <mergeCell ref="C109:I110"/>
    <mergeCell ref="J109:N110"/>
    <mergeCell ref="O109:X110"/>
    <mergeCell ref="Y110:AC110"/>
    <mergeCell ref="AN111:AR111"/>
    <mergeCell ref="AN109:BB109"/>
    <mergeCell ref="J112:N112"/>
    <mergeCell ref="O112:X112"/>
    <mergeCell ref="C102:R102"/>
    <mergeCell ref="S102:W102"/>
    <mergeCell ref="X102:AB102"/>
    <mergeCell ref="AC102:AH102"/>
    <mergeCell ref="BC111:BG111"/>
    <mergeCell ref="BC112:BG112"/>
    <mergeCell ref="BC110:BG110"/>
    <mergeCell ref="A107:BQ107"/>
    <mergeCell ref="AD112:AH112"/>
    <mergeCell ref="AI111:AM111"/>
    <mergeCell ref="BH111:BL111"/>
    <mergeCell ref="BM111:BQ111"/>
    <mergeCell ref="BM112:BQ112"/>
    <mergeCell ref="BH112:BL112"/>
    <mergeCell ref="A111:B111"/>
    <mergeCell ref="O111:X111"/>
    <mergeCell ref="Y109:AM109"/>
    <mergeCell ref="J111:N111"/>
    <mergeCell ref="Y111:AC111"/>
    <mergeCell ref="A109:B110"/>
    <mergeCell ref="AD111:AH111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110:AW110"/>
    <mergeCell ref="AN110:AR110"/>
    <mergeCell ref="AI110:AM110"/>
    <mergeCell ref="BC109:BQ109"/>
    <mergeCell ref="BN41:BQ41"/>
    <mergeCell ref="BM110:BQ110"/>
    <mergeCell ref="BH110:BL110"/>
    <mergeCell ref="AD110:AH110"/>
    <mergeCell ref="BI43:BM43"/>
    <mergeCell ref="AZ42:BC42"/>
    <mergeCell ref="AU42:AY42"/>
    <mergeCell ref="S101:W101"/>
    <mergeCell ref="X101:AB101"/>
    <mergeCell ref="AC101:AH101"/>
    <mergeCell ref="AI101:AM101"/>
    <mergeCell ref="AN101:AR101"/>
    <mergeCell ref="C75:BQ75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110:BB110"/>
    <mergeCell ref="AX111:BB111"/>
    <mergeCell ref="AS111:AW111"/>
    <mergeCell ref="AI112:AM112"/>
    <mergeCell ref="AN112:AR112"/>
    <mergeCell ref="AS112:AW112"/>
    <mergeCell ref="AI113:AM113"/>
    <mergeCell ref="AN113:AR113"/>
    <mergeCell ref="AS113:AW113"/>
    <mergeCell ref="AX113:BB113"/>
    <mergeCell ref="AX112:BB112"/>
    <mergeCell ref="A139:BL139"/>
    <mergeCell ref="A140:BL140"/>
    <mergeCell ref="O128:BQ128"/>
    <mergeCell ref="O129:BQ129"/>
    <mergeCell ref="O131:BQ131"/>
    <mergeCell ref="A131:B131"/>
    <mergeCell ref="C131:I131"/>
    <mergeCell ref="J131:N131"/>
    <mergeCell ref="A130:B130"/>
    <mergeCell ref="A133:B133"/>
    <mergeCell ref="J128:N128"/>
    <mergeCell ref="C130:I130"/>
    <mergeCell ref="A45:B45"/>
    <mergeCell ref="C45:Z45"/>
    <mergeCell ref="AA45:AE45"/>
    <mergeCell ref="AF45:AJ45"/>
    <mergeCell ref="AK45:AO45"/>
    <mergeCell ref="A44:B44"/>
    <mergeCell ref="C44:Z44"/>
    <mergeCell ref="AA44:AE44"/>
    <mergeCell ref="AF44:AJ44"/>
    <mergeCell ref="AK44:AO44"/>
    <mergeCell ref="AP45:AT45"/>
    <mergeCell ref="AU45:AY45"/>
    <mergeCell ref="AZ45:BC45"/>
    <mergeCell ref="BD45:BH45"/>
    <mergeCell ref="BI45:BM45"/>
    <mergeCell ref="BN45:BQ45"/>
    <mergeCell ref="AU44:AY44"/>
    <mergeCell ref="AZ44:BC44"/>
    <mergeCell ref="BD44:BH44"/>
    <mergeCell ref="BI44:BM44"/>
    <mergeCell ref="BN44:BQ44"/>
    <mergeCell ref="AP44:AT44"/>
    <mergeCell ref="A47:B47"/>
    <mergeCell ref="C47:Z47"/>
    <mergeCell ref="AA47:AE47"/>
    <mergeCell ref="AF47:AJ47"/>
    <mergeCell ref="AK47:AO47"/>
    <mergeCell ref="A46:B46"/>
    <mergeCell ref="C46:Z46"/>
    <mergeCell ref="AA46:AE46"/>
    <mergeCell ref="AF46:AJ46"/>
    <mergeCell ref="AK46:AO46"/>
    <mergeCell ref="AP47:AT47"/>
    <mergeCell ref="AU47:AY47"/>
    <mergeCell ref="AZ47:BC47"/>
    <mergeCell ref="BD47:BH47"/>
    <mergeCell ref="BI47:BM47"/>
    <mergeCell ref="BN47:BQ47"/>
    <mergeCell ref="AU46:AY46"/>
    <mergeCell ref="AZ46:BC46"/>
    <mergeCell ref="BD46:BH46"/>
    <mergeCell ref="BI46:BM46"/>
    <mergeCell ref="BN46:BQ46"/>
    <mergeCell ref="AP46:AT46"/>
    <mergeCell ref="A49:B49"/>
    <mergeCell ref="C49:Z49"/>
    <mergeCell ref="AA49:AE49"/>
    <mergeCell ref="AF49:AJ49"/>
    <mergeCell ref="AK49:AO49"/>
    <mergeCell ref="A48:B48"/>
    <mergeCell ref="C48:Z48"/>
    <mergeCell ref="AA48:AE48"/>
    <mergeCell ref="AF48:AJ48"/>
    <mergeCell ref="AK48:AO48"/>
    <mergeCell ref="AP49:AT49"/>
    <mergeCell ref="AU49:AY49"/>
    <mergeCell ref="AZ49:BC49"/>
    <mergeCell ref="BD49:BH49"/>
    <mergeCell ref="BI49:BM49"/>
    <mergeCell ref="BN49:BQ49"/>
    <mergeCell ref="AU48:AY48"/>
    <mergeCell ref="AZ48:BC48"/>
    <mergeCell ref="BD48:BH48"/>
    <mergeCell ref="BI48:BM48"/>
    <mergeCell ref="BN48:BQ48"/>
    <mergeCell ref="AP48:AT48"/>
    <mergeCell ref="A51:B51"/>
    <mergeCell ref="C51:Z51"/>
    <mergeCell ref="AA51:AE51"/>
    <mergeCell ref="AF51:AJ51"/>
    <mergeCell ref="AK51:AO51"/>
    <mergeCell ref="A50:B50"/>
    <mergeCell ref="C50:Z50"/>
    <mergeCell ref="AA50:AE50"/>
    <mergeCell ref="AF50:AJ50"/>
    <mergeCell ref="AK50:AO50"/>
    <mergeCell ref="AP51:AT51"/>
    <mergeCell ref="AU51:AY51"/>
    <mergeCell ref="AZ51:BC51"/>
    <mergeCell ref="BD51:BH51"/>
    <mergeCell ref="BI51:BM51"/>
    <mergeCell ref="BN51:BQ51"/>
    <mergeCell ref="AU50:AY50"/>
    <mergeCell ref="AZ50:BC50"/>
    <mergeCell ref="BD50:BH50"/>
    <mergeCell ref="BI50:BM50"/>
    <mergeCell ref="BN50:BQ50"/>
    <mergeCell ref="AP50:AT50"/>
    <mergeCell ref="A53:B53"/>
    <mergeCell ref="C53:Z53"/>
    <mergeCell ref="AA53:AE53"/>
    <mergeCell ref="AF53:AJ53"/>
    <mergeCell ref="AK53:AO53"/>
    <mergeCell ref="A52:B52"/>
    <mergeCell ref="C52:Z52"/>
    <mergeCell ref="AA52:AE52"/>
    <mergeCell ref="AF52:AJ52"/>
    <mergeCell ref="AK52:AO52"/>
    <mergeCell ref="AP53:AT53"/>
    <mergeCell ref="AU53:AY53"/>
    <mergeCell ref="AZ53:BC53"/>
    <mergeCell ref="BD53:BH53"/>
    <mergeCell ref="BI53:BM53"/>
    <mergeCell ref="BN53:BQ53"/>
    <mergeCell ref="AU52:AY52"/>
    <mergeCell ref="AZ52:BC52"/>
    <mergeCell ref="BD52:BH52"/>
    <mergeCell ref="BI52:BM52"/>
    <mergeCell ref="BN52:BQ52"/>
    <mergeCell ref="AP52:AT52"/>
    <mergeCell ref="A55:B55"/>
    <mergeCell ref="C55:Z55"/>
    <mergeCell ref="AA55:AE55"/>
    <mergeCell ref="AF55:AJ55"/>
    <mergeCell ref="AK55:AO55"/>
    <mergeCell ref="A54:B54"/>
    <mergeCell ref="C54:Z54"/>
    <mergeCell ref="AA54:AE54"/>
    <mergeCell ref="AF54:AJ54"/>
    <mergeCell ref="AK54:AO54"/>
    <mergeCell ref="AP55:AT55"/>
    <mergeCell ref="AU55:AY55"/>
    <mergeCell ref="AZ55:BC55"/>
    <mergeCell ref="BD55:BH55"/>
    <mergeCell ref="BI55:BM55"/>
    <mergeCell ref="BN55:BQ55"/>
    <mergeCell ref="AU54:AY54"/>
    <mergeCell ref="AZ54:BC54"/>
    <mergeCell ref="BD54:BH54"/>
    <mergeCell ref="BI54:BM54"/>
    <mergeCell ref="BN54:BQ54"/>
    <mergeCell ref="AP54:AT54"/>
    <mergeCell ref="A57:B57"/>
    <mergeCell ref="C57:Z57"/>
    <mergeCell ref="AA57:AE57"/>
    <mergeCell ref="AF57:AJ57"/>
    <mergeCell ref="AK57:AO57"/>
    <mergeCell ref="A56:B56"/>
    <mergeCell ref="C56:Z56"/>
    <mergeCell ref="AA56:AE56"/>
    <mergeCell ref="AF56:AJ56"/>
    <mergeCell ref="AK56:AO56"/>
    <mergeCell ref="AP57:AT57"/>
    <mergeCell ref="AU57:AY57"/>
    <mergeCell ref="AZ57:BC57"/>
    <mergeCell ref="BD57:BH57"/>
    <mergeCell ref="BI57:BM57"/>
    <mergeCell ref="BN57:BQ57"/>
    <mergeCell ref="AU56:AY56"/>
    <mergeCell ref="AZ56:BC56"/>
    <mergeCell ref="BD56:BH56"/>
    <mergeCell ref="BI56:BM56"/>
    <mergeCell ref="BN56:BQ56"/>
    <mergeCell ref="AP56:AT56"/>
    <mergeCell ref="A59:B59"/>
    <mergeCell ref="C59:Z59"/>
    <mergeCell ref="AA59:AE59"/>
    <mergeCell ref="AF59:AJ59"/>
    <mergeCell ref="AK59:AO59"/>
    <mergeCell ref="A58:B58"/>
    <mergeCell ref="C58:Z58"/>
    <mergeCell ref="AA58:AE58"/>
    <mergeCell ref="AF58:AJ58"/>
    <mergeCell ref="AK58:AO58"/>
    <mergeCell ref="AP59:AT59"/>
    <mergeCell ref="AU59:AY59"/>
    <mergeCell ref="AZ59:BC59"/>
    <mergeCell ref="BD59:BH59"/>
    <mergeCell ref="BI59:BM59"/>
    <mergeCell ref="BN59:BQ59"/>
    <mergeCell ref="AU58:AY58"/>
    <mergeCell ref="AZ58:BC58"/>
    <mergeCell ref="BD58:BH58"/>
    <mergeCell ref="BI58:BM58"/>
    <mergeCell ref="BN58:BQ58"/>
    <mergeCell ref="AP58:AT58"/>
    <mergeCell ref="A61:B61"/>
    <mergeCell ref="C61:Z61"/>
    <mergeCell ref="AA61:AE61"/>
    <mergeCell ref="AF61:AJ61"/>
    <mergeCell ref="AK61:AO61"/>
    <mergeCell ref="A60:B60"/>
    <mergeCell ref="C60:Z60"/>
    <mergeCell ref="AA60:AE60"/>
    <mergeCell ref="AF60:AJ60"/>
    <mergeCell ref="AK60:AO60"/>
    <mergeCell ref="AP61:AT61"/>
    <mergeCell ref="AU61:AY61"/>
    <mergeCell ref="AZ61:BC61"/>
    <mergeCell ref="BD61:BH61"/>
    <mergeCell ref="BI61:BM61"/>
    <mergeCell ref="BN61:BQ61"/>
    <mergeCell ref="AU60:AY60"/>
    <mergeCell ref="AZ60:BC60"/>
    <mergeCell ref="BD60:BH60"/>
    <mergeCell ref="BI60:BM60"/>
    <mergeCell ref="BN60:BQ60"/>
    <mergeCell ref="AP60:AT60"/>
    <mergeCell ref="A63:B63"/>
    <mergeCell ref="C63:Z63"/>
    <mergeCell ref="AA63:AE63"/>
    <mergeCell ref="AF63:AJ63"/>
    <mergeCell ref="AK63:AO63"/>
    <mergeCell ref="A62:B62"/>
    <mergeCell ref="C62:Z62"/>
    <mergeCell ref="AA62:AE62"/>
    <mergeCell ref="AF62:AJ62"/>
    <mergeCell ref="AK62:AO62"/>
    <mergeCell ref="AP63:AT63"/>
    <mergeCell ref="AU63:AY63"/>
    <mergeCell ref="AZ63:BC63"/>
    <mergeCell ref="BD63:BH63"/>
    <mergeCell ref="BI63:BM63"/>
    <mergeCell ref="BN63:BQ63"/>
    <mergeCell ref="AU62:AY62"/>
    <mergeCell ref="AZ62:BC62"/>
    <mergeCell ref="BD62:BH62"/>
    <mergeCell ref="BI62:BM62"/>
    <mergeCell ref="BN62:BQ62"/>
    <mergeCell ref="AP62:AT62"/>
    <mergeCell ref="A65:B65"/>
    <mergeCell ref="C65:Z65"/>
    <mergeCell ref="AA65:AE65"/>
    <mergeCell ref="AF65:AJ65"/>
    <mergeCell ref="AK65:AO65"/>
    <mergeCell ref="A64:B64"/>
    <mergeCell ref="C64:Z64"/>
    <mergeCell ref="AA64:AE64"/>
    <mergeCell ref="AF64:AJ64"/>
    <mergeCell ref="AK64:AO64"/>
    <mergeCell ref="AP65:AT65"/>
    <mergeCell ref="AU65:AY65"/>
    <mergeCell ref="AZ65:BC65"/>
    <mergeCell ref="BD65:BH65"/>
    <mergeCell ref="BI65:BM65"/>
    <mergeCell ref="BN65:BQ65"/>
    <mergeCell ref="AU64:AY64"/>
    <mergeCell ref="AZ64:BC64"/>
    <mergeCell ref="BD64:BH64"/>
    <mergeCell ref="BI64:BM64"/>
    <mergeCell ref="BN64:BQ64"/>
    <mergeCell ref="AP64:AT64"/>
    <mergeCell ref="A67:B67"/>
    <mergeCell ref="C67:Z67"/>
    <mergeCell ref="AA67:AE67"/>
    <mergeCell ref="AF67:AJ67"/>
    <mergeCell ref="AK67:AO67"/>
    <mergeCell ref="A66:B66"/>
    <mergeCell ref="C66:Z66"/>
    <mergeCell ref="AA66:AE66"/>
    <mergeCell ref="AF66:AJ66"/>
    <mergeCell ref="AK66:AO66"/>
    <mergeCell ref="AP67:AT67"/>
    <mergeCell ref="AU67:AY67"/>
    <mergeCell ref="AZ67:BC67"/>
    <mergeCell ref="BD67:BH67"/>
    <mergeCell ref="BI67:BM67"/>
    <mergeCell ref="BN67:BQ67"/>
    <mergeCell ref="AU66:AY66"/>
    <mergeCell ref="AZ66:BC66"/>
    <mergeCell ref="BD66:BH66"/>
    <mergeCell ref="BI66:BM66"/>
    <mergeCell ref="BN66:BQ66"/>
    <mergeCell ref="AP66:AT66"/>
    <mergeCell ref="A69:B69"/>
    <mergeCell ref="C69:Z69"/>
    <mergeCell ref="AA69:AE69"/>
    <mergeCell ref="AF69:AJ69"/>
    <mergeCell ref="AK69:AO69"/>
    <mergeCell ref="A68:B68"/>
    <mergeCell ref="C68:Z68"/>
    <mergeCell ref="AA68:AE68"/>
    <mergeCell ref="AF68:AJ68"/>
    <mergeCell ref="AK68:AO68"/>
    <mergeCell ref="AP69:AT69"/>
    <mergeCell ref="AU69:AY69"/>
    <mergeCell ref="AZ69:BC69"/>
    <mergeCell ref="BD69:BH69"/>
    <mergeCell ref="BI69:BM69"/>
    <mergeCell ref="BN69:BQ69"/>
    <mergeCell ref="AU68:AY68"/>
    <mergeCell ref="AZ68:BC68"/>
    <mergeCell ref="BD68:BH68"/>
    <mergeCell ref="BI68:BM68"/>
    <mergeCell ref="BN68:BQ68"/>
    <mergeCell ref="AP68:AT68"/>
    <mergeCell ref="AU70:AY70"/>
    <mergeCell ref="AZ70:BC70"/>
    <mergeCell ref="BD70:BH70"/>
    <mergeCell ref="BI70:BM70"/>
    <mergeCell ref="BN70:BQ70"/>
    <mergeCell ref="A71:B71"/>
    <mergeCell ref="C71:Z71"/>
    <mergeCell ref="AA71:AE71"/>
    <mergeCell ref="AF71:AJ71"/>
    <mergeCell ref="AK71:AO71"/>
    <mergeCell ref="A70:B70"/>
    <mergeCell ref="C70:Z70"/>
    <mergeCell ref="AA70:AE70"/>
    <mergeCell ref="AF70:AJ70"/>
    <mergeCell ref="AK70:AO70"/>
    <mergeCell ref="AP70:AT70"/>
    <mergeCell ref="A81:B81"/>
    <mergeCell ref="C81:BQ81"/>
    <mergeCell ref="A82:B82"/>
    <mergeCell ref="C82:BQ82"/>
    <mergeCell ref="A83:B83"/>
    <mergeCell ref="C83:BQ83"/>
    <mergeCell ref="A79:B79"/>
    <mergeCell ref="C79:BQ79"/>
    <mergeCell ref="AP71:AT71"/>
    <mergeCell ref="AU71:AY71"/>
    <mergeCell ref="AZ71:BC71"/>
    <mergeCell ref="BD71:BH71"/>
    <mergeCell ref="BI71:BM71"/>
    <mergeCell ref="BN71:BQ71"/>
    <mergeCell ref="A87:B87"/>
    <mergeCell ref="C87:BQ87"/>
    <mergeCell ref="A88:B88"/>
    <mergeCell ref="C88:BQ88"/>
    <mergeCell ref="A89:B89"/>
    <mergeCell ref="C89:BQ89"/>
    <mergeCell ref="A84:B84"/>
    <mergeCell ref="C84:BQ84"/>
    <mergeCell ref="A85:B85"/>
    <mergeCell ref="C85:BQ85"/>
    <mergeCell ref="A86:B86"/>
    <mergeCell ref="C86:BQ86"/>
    <mergeCell ref="A96:B96"/>
    <mergeCell ref="C96:BQ96"/>
    <mergeCell ref="A93:B93"/>
    <mergeCell ref="C93:BQ93"/>
    <mergeCell ref="A94:B94"/>
    <mergeCell ref="C94:BQ94"/>
    <mergeCell ref="A95:B95"/>
    <mergeCell ref="C95:BQ95"/>
    <mergeCell ref="A90:B90"/>
    <mergeCell ref="C90:BQ90"/>
    <mergeCell ref="A91:B91"/>
    <mergeCell ref="C91:BQ91"/>
    <mergeCell ref="A92:B92"/>
    <mergeCell ref="C92:BQ92"/>
    <mergeCell ref="AX114:BB114"/>
    <mergeCell ref="BC114:BG114"/>
    <mergeCell ref="BH114:BL114"/>
    <mergeCell ref="BM114:BQ114"/>
    <mergeCell ref="A115:B115"/>
    <mergeCell ref="C115:I115"/>
    <mergeCell ref="J115:N115"/>
    <mergeCell ref="O115:X115"/>
    <mergeCell ref="Y115:AC115"/>
    <mergeCell ref="AD115:AH115"/>
    <mergeCell ref="A114:B114"/>
    <mergeCell ref="C114:I114"/>
    <mergeCell ref="J114:N114"/>
    <mergeCell ref="O114:X114"/>
    <mergeCell ref="Y114:AC114"/>
    <mergeCell ref="AD114:AH114"/>
    <mergeCell ref="AI114:AM114"/>
    <mergeCell ref="AN114:AR114"/>
    <mergeCell ref="AS114:AW114"/>
    <mergeCell ref="BM115:BQ115"/>
    <mergeCell ref="A116:B116"/>
    <mergeCell ref="C116:I116"/>
    <mergeCell ref="J116:N116"/>
    <mergeCell ref="O116:X116"/>
    <mergeCell ref="Y116:AC116"/>
    <mergeCell ref="AD116:AH116"/>
    <mergeCell ref="AI116:AM116"/>
    <mergeCell ref="AN116:AR116"/>
    <mergeCell ref="AS116:AW116"/>
    <mergeCell ref="AI115:AM115"/>
    <mergeCell ref="AN115:AR115"/>
    <mergeCell ref="AS115:AW115"/>
    <mergeCell ref="AX115:BB115"/>
    <mergeCell ref="BC115:BG115"/>
    <mergeCell ref="BH115:BL115"/>
    <mergeCell ref="AX116:BB116"/>
    <mergeCell ref="BC116:BG116"/>
    <mergeCell ref="BH116:BL116"/>
    <mergeCell ref="BM116:BQ116"/>
    <mergeCell ref="A117:B117"/>
    <mergeCell ref="C117:I117"/>
    <mergeCell ref="J117:N117"/>
    <mergeCell ref="O117:X117"/>
    <mergeCell ref="Y117:AC117"/>
    <mergeCell ref="AD117:AH117"/>
    <mergeCell ref="BM117:BQ117"/>
    <mergeCell ref="A118:B118"/>
    <mergeCell ref="C118:I118"/>
    <mergeCell ref="J118:N118"/>
    <mergeCell ref="O118:X118"/>
    <mergeCell ref="Y118:AC118"/>
    <mergeCell ref="AD118:AH118"/>
    <mergeCell ref="AI118:AM118"/>
    <mergeCell ref="AN118:AR118"/>
    <mergeCell ref="AS118:AW118"/>
    <mergeCell ref="AI117:AM117"/>
    <mergeCell ref="AN117:AR117"/>
    <mergeCell ref="AS117:AW117"/>
    <mergeCell ref="AX117:BB117"/>
    <mergeCell ref="BC117:BG117"/>
    <mergeCell ref="BH117:BL117"/>
    <mergeCell ref="AX118:BB118"/>
    <mergeCell ref="BC118:BG118"/>
    <mergeCell ref="BH118:BL118"/>
    <mergeCell ref="BM118:BQ118"/>
    <mergeCell ref="A119:B119"/>
    <mergeCell ref="C119:I119"/>
    <mergeCell ref="J119:N119"/>
    <mergeCell ref="O119:X119"/>
    <mergeCell ref="Y119:AC119"/>
    <mergeCell ref="AD119:AH119"/>
    <mergeCell ref="BM119:BQ119"/>
    <mergeCell ref="A120:B120"/>
    <mergeCell ref="C120:I120"/>
    <mergeCell ref="J120:N120"/>
    <mergeCell ref="O120:X120"/>
    <mergeCell ref="Y120:AC120"/>
    <mergeCell ref="AD120:AH120"/>
    <mergeCell ref="AI120:AM120"/>
    <mergeCell ref="AN120:AR120"/>
    <mergeCell ref="AS120:AW120"/>
    <mergeCell ref="AI119:AM119"/>
    <mergeCell ref="AN119:AR119"/>
    <mergeCell ref="AS119:AW119"/>
    <mergeCell ref="AX119:BB119"/>
    <mergeCell ref="BC119:BG119"/>
    <mergeCell ref="BH119:BL119"/>
    <mergeCell ref="AX120:BB120"/>
    <mergeCell ref="BC120:BG120"/>
    <mergeCell ref="BH120:BL120"/>
    <mergeCell ref="BM120:BQ120"/>
    <mergeCell ref="A121:B121"/>
    <mergeCell ref="C121:I121"/>
    <mergeCell ref="J121:N121"/>
    <mergeCell ref="O121:X121"/>
    <mergeCell ref="Y121:AC121"/>
    <mergeCell ref="AD121:AH121"/>
    <mergeCell ref="BM121:BQ121"/>
    <mergeCell ref="A122:B122"/>
    <mergeCell ref="C122:I122"/>
    <mergeCell ref="J122:N122"/>
    <mergeCell ref="O122:X122"/>
    <mergeCell ref="Y122:AC122"/>
    <mergeCell ref="AD122:AH122"/>
    <mergeCell ref="AI122:AM122"/>
    <mergeCell ref="AN122:AR122"/>
    <mergeCell ref="AS122:AW122"/>
    <mergeCell ref="AI121:AM121"/>
    <mergeCell ref="AN121:AR121"/>
    <mergeCell ref="AS121:AW121"/>
    <mergeCell ref="AX121:BB121"/>
    <mergeCell ref="BC121:BG121"/>
    <mergeCell ref="BH121:BL121"/>
    <mergeCell ref="AX122:BB122"/>
    <mergeCell ref="BC122:BG122"/>
    <mergeCell ref="BH122:BL122"/>
    <mergeCell ref="BM122:BQ122"/>
    <mergeCell ref="A123:B123"/>
    <mergeCell ref="C123:I123"/>
    <mergeCell ref="J123:N123"/>
    <mergeCell ref="O123:X123"/>
    <mergeCell ref="Y123:AC123"/>
    <mergeCell ref="AD123:AH123"/>
    <mergeCell ref="BM123:BQ123"/>
    <mergeCell ref="A124:B124"/>
    <mergeCell ref="C124:I124"/>
    <mergeCell ref="J124:N124"/>
    <mergeCell ref="O124:X124"/>
    <mergeCell ref="Y124:AC124"/>
    <mergeCell ref="AD124:AH124"/>
    <mergeCell ref="AI124:AM124"/>
    <mergeCell ref="AN124:AR124"/>
    <mergeCell ref="AS124:AW124"/>
    <mergeCell ref="AI123:AM123"/>
    <mergeCell ref="AN123:AR123"/>
    <mergeCell ref="AS123:AW123"/>
    <mergeCell ref="AX123:BB123"/>
    <mergeCell ref="BC123:BG123"/>
    <mergeCell ref="BH123:BL123"/>
    <mergeCell ref="A132:B132"/>
    <mergeCell ref="C132:I132"/>
    <mergeCell ref="J132:N132"/>
    <mergeCell ref="O132:BQ132"/>
    <mergeCell ref="AX124:BB124"/>
    <mergeCell ref="BC124:BG124"/>
    <mergeCell ref="BH124:BL124"/>
    <mergeCell ref="BM124:BQ124"/>
    <mergeCell ref="A135:B135"/>
    <mergeCell ref="C135:I135"/>
    <mergeCell ref="J135:N135"/>
    <mergeCell ref="O135:BQ135"/>
    <mergeCell ref="C133:I133"/>
    <mergeCell ref="J133:N133"/>
    <mergeCell ref="O133:BQ133"/>
    <mergeCell ref="A134:B134"/>
    <mergeCell ref="C134:I134"/>
    <mergeCell ref="J134:N134"/>
    <mergeCell ref="O134:BQ134"/>
    <mergeCell ref="A137:B137"/>
    <mergeCell ref="C137:I137"/>
    <mergeCell ref="J137:N137"/>
    <mergeCell ref="O137:BQ137"/>
    <mergeCell ref="A136:B136"/>
    <mergeCell ref="C136:I136"/>
    <mergeCell ref="J136:N136"/>
    <mergeCell ref="O136:BQ136"/>
  </mergeCells>
  <phoneticPr fontId="0" type="noConversion"/>
  <conditionalFormatting sqref="C127 C141 C113 C131">
    <cfRule type="cellIs" dxfId="45" priority="48" stopIfTrue="1" operator="equal">
      <formula>$C112</formula>
    </cfRule>
  </conditionalFormatting>
  <conditionalFormatting sqref="A113:B113 A127:B127 A131:B131 A141:B141 A104:B104 A125:B125 A138:B138">
    <cfRule type="cellIs" dxfId="44" priority="49" stopIfTrue="1" operator="equal">
      <formula>0</formula>
    </cfRule>
  </conditionalFormatting>
  <conditionalFormatting sqref="C125">
    <cfRule type="cellIs" dxfId="43" priority="51" stopIfTrue="1" operator="equal">
      <formula>$C113</formula>
    </cfRule>
  </conditionalFormatting>
  <conditionalFormatting sqref="C114">
    <cfRule type="cellIs" dxfId="42" priority="45" stopIfTrue="1" operator="equal">
      <formula>$C113</formula>
    </cfRule>
  </conditionalFormatting>
  <conditionalFormatting sqref="A114:B114">
    <cfRule type="cellIs" dxfId="41" priority="46" stopIfTrue="1" operator="equal">
      <formula>0</formula>
    </cfRule>
  </conditionalFormatting>
  <conditionalFormatting sqref="C115">
    <cfRule type="cellIs" dxfId="40" priority="43" stopIfTrue="1" operator="equal">
      <formula>$C114</formula>
    </cfRule>
  </conditionalFormatting>
  <conditionalFormatting sqref="A115:B115">
    <cfRule type="cellIs" dxfId="39" priority="44" stopIfTrue="1" operator="equal">
      <formula>0</formula>
    </cfRule>
  </conditionalFormatting>
  <conditionalFormatting sqref="C116">
    <cfRule type="cellIs" dxfId="38" priority="41" stopIfTrue="1" operator="equal">
      <formula>$C115</formula>
    </cfRule>
  </conditionalFormatting>
  <conditionalFormatting sqref="A116:B116">
    <cfRule type="cellIs" dxfId="37" priority="42" stopIfTrue="1" operator="equal">
      <formula>0</formula>
    </cfRule>
  </conditionalFormatting>
  <conditionalFormatting sqref="C117">
    <cfRule type="cellIs" dxfId="36" priority="39" stopIfTrue="1" operator="equal">
      <formula>$C116</formula>
    </cfRule>
  </conditionalFormatting>
  <conditionalFormatting sqref="A117:B117">
    <cfRule type="cellIs" dxfId="35" priority="40" stopIfTrue="1" operator="equal">
      <formula>0</formula>
    </cfRule>
  </conditionalFormatting>
  <conditionalFormatting sqref="C118">
    <cfRule type="cellIs" dxfId="34" priority="37" stopIfTrue="1" operator="equal">
      <formula>$C117</formula>
    </cfRule>
  </conditionalFormatting>
  <conditionalFormatting sqref="A118:B118">
    <cfRule type="cellIs" dxfId="33" priority="38" stopIfTrue="1" operator="equal">
      <formula>0</formula>
    </cfRule>
  </conditionalFormatting>
  <conditionalFormatting sqref="C119">
    <cfRule type="cellIs" dxfId="32" priority="35" stopIfTrue="1" operator="equal">
      <formula>$C118</formula>
    </cfRule>
  </conditionalFormatting>
  <conditionalFormatting sqref="A119:B119">
    <cfRule type="cellIs" dxfId="31" priority="36" stopIfTrue="1" operator="equal">
      <formula>0</formula>
    </cfRule>
  </conditionalFormatting>
  <conditionalFormatting sqref="C120">
    <cfRule type="cellIs" dxfId="30" priority="33" stopIfTrue="1" operator="equal">
      <formula>$C119</formula>
    </cfRule>
  </conditionalFormatting>
  <conditionalFormatting sqref="A120:B120">
    <cfRule type="cellIs" dxfId="29" priority="34" stopIfTrue="1" operator="equal">
      <formula>0</formula>
    </cfRule>
  </conditionalFormatting>
  <conditionalFormatting sqref="C121">
    <cfRule type="cellIs" dxfId="28" priority="31" stopIfTrue="1" operator="equal">
      <formula>$C120</formula>
    </cfRule>
  </conditionalFormatting>
  <conditionalFormatting sqref="A121:B121">
    <cfRule type="cellIs" dxfId="27" priority="32" stopIfTrue="1" operator="equal">
      <formula>0</formula>
    </cfRule>
  </conditionalFormatting>
  <conditionalFormatting sqref="C122">
    <cfRule type="cellIs" dxfId="26" priority="29" stopIfTrue="1" operator="equal">
      <formula>$C121</formula>
    </cfRule>
  </conditionalFormatting>
  <conditionalFormatting sqref="A122:B122">
    <cfRule type="cellIs" dxfId="25" priority="30" stopIfTrue="1" operator="equal">
      <formula>0</formula>
    </cfRule>
  </conditionalFormatting>
  <conditionalFormatting sqref="C123">
    <cfRule type="cellIs" dxfId="24" priority="27" stopIfTrue="1" operator="equal">
      <formula>$C122</formula>
    </cfRule>
  </conditionalFormatting>
  <conditionalFormatting sqref="A123:B123">
    <cfRule type="cellIs" dxfId="23" priority="28" stopIfTrue="1" operator="equal">
      <formula>0</formula>
    </cfRule>
  </conditionalFormatting>
  <conditionalFormatting sqref="C124">
    <cfRule type="cellIs" dxfId="22" priority="25" stopIfTrue="1" operator="equal">
      <formula>$C123</formula>
    </cfRule>
  </conditionalFormatting>
  <conditionalFormatting sqref="A124:B124">
    <cfRule type="cellIs" dxfId="21" priority="26" stopIfTrue="1" operator="equal">
      <formula>0</formula>
    </cfRule>
  </conditionalFormatting>
  <conditionalFormatting sqref="C138">
    <cfRule type="cellIs" dxfId="20" priority="53" stopIfTrue="1" operator="equal">
      <formula>$C131</formula>
    </cfRule>
  </conditionalFormatting>
  <conditionalFormatting sqref="C132">
    <cfRule type="cellIs" dxfId="17" priority="19" stopIfTrue="1" operator="equal">
      <formula>#REF!</formula>
    </cfRule>
  </conditionalFormatting>
  <conditionalFormatting sqref="A132:B132">
    <cfRule type="cellIs" dxfId="16" priority="20" stopIfTrue="1" operator="equal">
      <formula>0</formula>
    </cfRule>
  </conditionalFormatting>
  <conditionalFormatting sqref="C133">
    <cfRule type="cellIs" dxfId="15" priority="17" stopIfTrue="1" operator="equal">
      <formula>$C132</formula>
    </cfRule>
  </conditionalFormatting>
  <conditionalFormatting sqref="A133:B133">
    <cfRule type="cellIs" dxfId="14" priority="18" stopIfTrue="1" operator="equal">
      <formula>0</formula>
    </cfRule>
  </conditionalFormatting>
  <conditionalFormatting sqref="C134">
    <cfRule type="cellIs" dxfId="13" priority="15" stopIfTrue="1" operator="equal">
      <formula>$C133</formula>
    </cfRule>
  </conditionalFormatting>
  <conditionalFormatting sqref="A134:B134">
    <cfRule type="cellIs" dxfId="12" priority="16" stopIfTrue="1" operator="equal">
      <formula>0</formula>
    </cfRule>
  </conditionalFormatting>
  <conditionalFormatting sqref="C135">
    <cfRule type="cellIs" dxfId="9" priority="11" stopIfTrue="1" operator="equal">
      <formula>#REF!</formula>
    </cfRule>
  </conditionalFormatting>
  <conditionalFormatting sqref="A135:B135">
    <cfRule type="cellIs" dxfId="8" priority="12" stopIfTrue="1" operator="equal">
      <formula>0</formula>
    </cfRule>
  </conditionalFormatting>
  <conditionalFormatting sqref="C136">
    <cfRule type="cellIs" dxfId="5" priority="7" stopIfTrue="1" operator="equal">
      <formula>#REF!</formula>
    </cfRule>
  </conditionalFormatting>
  <conditionalFormatting sqref="A136:B136">
    <cfRule type="cellIs" dxfId="4" priority="8" stopIfTrue="1" operator="equal">
      <formula>0</formula>
    </cfRule>
  </conditionalFormatting>
  <conditionalFormatting sqref="C137">
    <cfRule type="cellIs" dxfId="3" priority="5" stopIfTrue="1" operator="equal">
      <formula>$C136</formula>
    </cfRule>
  </conditionalFormatting>
  <conditionalFormatting sqref="A137:B137">
    <cfRule type="cellIs" dxfId="2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КПК0113241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2025-06-27T08:52:08Z</cp:lastPrinted>
  <dcterms:created xsi:type="dcterms:W3CDTF">2016-08-10T10:53:25Z</dcterms:created>
  <dcterms:modified xsi:type="dcterms:W3CDTF">2025-06-27T08:52:15Z</dcterms:modified>
</cp:coreProperties>
</file>