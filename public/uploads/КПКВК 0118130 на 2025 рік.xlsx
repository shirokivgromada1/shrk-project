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CB886578-8502-4DBC-B5CA-3939BC29E098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8130" sheetId="6" r:id="rId1"/>
  </sheets>
  <definedNames>
    <definedName name="_xlnm.Print_Area" localSheetId="0">'Додаток2 КПК0118130'!$A$1:$BY$288</definedName>
  </definedNames>
  <calcPr calcId="191029"/>
</workbook>
</file>

<file path=xl/calcChain.xml><?xml version="1.0" encoding="utf-8"?>
<calcChain xmlns="http://schemas.openxmlformats.org/spreadsheetml/2006/main">
  <c r="BH268" i="6" l="1"/>
  <c r="AT268" i="6"/>
  <c r="AJ268" i="6"/>
  <c r="BH267" i="6"/>
  <c r="AT267" i="6"/>
  <c r="AJ267" i="6"/>
  <c r="BG258" i="6"/>
  <c r="AQ258" i="6"/>
  <c r="BG257" i="6"/>
  <c r="AQ257" i="6"/>
  <c r="AZ237" i="6"/>
  <c r="AK237" i="6"/>
  <c r="AZ236" i="6"/>
  <c r="AK236" i="6"/>
  <c r="BO228" i="6"/>
  <c r="AZ228" i="6"/>
  <c r="AK228" i="6"/>
  <c r="BO227" i="6"/>
  <c r="AZ227" i="6"/>
  <c r="AK227" i="6"/>
  <c r="BD158" i="6"/>
  <c r="AJ158" i="6"/>
  <c r="BD157" i="6"/>
  <c r="AJ157" i="6"/>
  <c r="BD156" i="6"/>
  <c r="AJ156" i="6"/>
  <c r="BD155" i="6"/>
  <c r="AJ155" i="6"/>
  <c r="BD154" i="6"/>
  <c r="AJ154" i="6"/>
  <c r="BD153" i="6"/>
  <c r="AJ153" i="6"/>
  <c r="BD152" i="6"/>
  <c r="AJ152" i="6"/>
  <c r="BD151" i="6"/>
  <c r="AJ151" i="6"/>
  <c r="BD150" i="6"/>
  <c r="AJ150" i="6"/>
  <c r="BD149" i="6"/>
  <c r="AJ149" i="6"/>
  <c r="BD148" i="6"/>
  <c r="AJ148" i="6"/>
  <c r="BD147" i="6"/>
  <c r="AJ147" i="6"/>
  <c r="BD146" i="6"/>
  <c r="AJ146" i="6"/>
  <c r="BD145" i="6"/>
  <c r="AJ145" i="6"/>
  <c r="BD144" i="6"/>
  <c r="AJ144" i="6"/>
  <c r="BD143" i="6"/>
  <c r="AJ143" i="6"/>
  <c r="BD142" i="6"/>
  <c r="AJ142" i="6"/>
  <c r="BD141" i="6"/>
  <c r="AJ141" i="6"/>
  <c r="BD140" i="6"/>
  <c r="AJ140" i="6"/>
  <c r="BD139" i="6"/>
  <c r="AJ139" i="6"/>
  <c r="BD138" i="6"/>
  <c r="AJ138" i="6"/>
  <c r="BD137" i="6"/>
  <c r="AJ137" i="6"/>
  <c r="BD136" i="6"/>
  <c r="AJ136" i="6"/>
  <c r="BD135" i="6"/>
  <c r="AJ135" i="6"/>
  <c r="BD134" i="6"/>
  <c r="AJ134" i="6"/>
  <c r="BD133" i="6"/>
  <c r="AJ133" i="6"/>
  <c r="BD132" i="6"/>
  <c r="AJ132" i="6"/>
  <c r="BD131" i="6"/>
  <c r="AJ131" i="6"/>
  <c r="BD130" i="6"/>
  <c r="AJ130" i="6"/>
  <c r="BD129" i="6"/>
  <c r="AJ129" i="6"/>
  <c r="BD128" i="6"/>
  <c r="AJ128" i="6"/>
  <c r="BD127" i="6"/>
  <c r="AJ127" i="6"/>
  <c r="BD126" i="6"/>
  <c r="AJ126" i="6"/>
  <c r="BD125" i="6"/>
  <c r="AJ125" i="6"/>
  <c r="BU117" i="6"/>
  <c r="BB117" i="6"/>
  <c r="AI117" i="6"/>
  <c r="BU116" i="6"/>
  <c r="BB116" i="6"/>
  <c r="AI116" i="6"/>
  <c r="BU115" i="6"/>
  <c r="BB115" i="6"/>
  <c r="AI115" i="6"/>
  <c r="BU114" i="6"/>
  <c r="BB114" i="6"/>
  <c r="AI114" i="6"/>
  <c r="BU113" i="6"/>
  <c r="BB113" i="6"/>
  <c r="AI113" i="6"/>
  <c r="BU112" i="6"/>
  <c r="BB112" i="6"/>
  <c r="AI112" i="6"/>
  <c r="BU111" i="6"/>
  <c r="BB111" i="6"/>
  <c r="AI111" i="6"/>
  <c r="BU110" i="6"/>
  <c r="BB110" i="6"/>
  <c r="AI110" i="6"/>
  <c r="BU109" i="6"/>
  <c r="BB109" i="6"/>
  <c r="AI109" i="6"/>
  <c r="BU108" i="6"/>
  <c r="BB108" i="6"/>
  <c r="AI108" i="6"/>
  <c r="BU107" i="6"/>
  <c r="BB107" i="6"/>
  <c r="AI107" i="6"/>
  <c r="BU106" i="6"/>
  <c r="BB106" i="6"/>
  <c r="AI106" i="6"/>
  <c r="BU105" i="6"/>
  <c r="BB105" i="6"/>
  <c r="AI105" i="6"/>
  <c r="BU104" i="6"/>
  <c r="BB104" i="6"/>
  <c r="AI104" i="6"/>
  <c r="BU103" i="6"/>
  <c r="BB103" i="6"/>
  <c r="AI103" i="6"/>
  <c r="BU102" i="6"/>
  <c r="BB102" i="6"/>
  <c r="AI102" i="6"/>
  <c r="BU101" i="6"/>
  <c r="BB101" i="6"/>
  <c r="AI101" i="6"/>
  <c r="BU100" i="6"/>
  <c r="BB100" i="6"/>
  <c r="AI100" i="6"/>
  <c r="BU99" i="6"/>
  <c r="BB99" i="6"/>
  <c r="AI99" i="6"/>
  <c r="BU98" i="6"/>
  <c r="BB98" i="6"/>
  <c r="AI98" i="6"/>
  <c r="BU97" i="6"/>
  <c r="BB97" i="6"/>
  <c r="AI97" i="6"/>
  <c r="BU96" i="6"/>
  <c r="BB96" i="6"/>
  <c r="AI96" i="6"/>
  <c r="BU95" i="6"/>
  <c r="BB95" i="6"/>
  <c r="AI95" i="6"/>
  <c r="BU94" i="6"/>
  <c r="BB94" i="6"/>
  <c r="AI94" i="6"/>
  <c r="BU93" i="6"/>
  <c r="BB93" i="6"/>
  <c r="AI93" i="6"/>
  <c r="BU92" i="6"/>
  <c r="BB92" i="6"/>
  <c r="AI92" i="6"/>
  <c r="BU91" i="6"/>
  <c r="BB91" i="6"/>
  <c r="AI91" i="6"/>
  <c r="BU90" i="6"/>
  <c r="BB90" i="6"/>
  <c r="AI90" i="6"/>
  <c r="BU89" i="6"/>
  <c r="BB89" i="6"/>
  <c r="AI89" i="6"/>
  <c r="BU88" i="6"/>
  <c r="BB88" i="6"/>
  <c r="AI88" i="6"/>
  <c r="BU87" i="6"/>
  <c r="BB87" i="6"/>
  <c r="AI87" i="6"/>
  <c r="BU86" i="6"/>
  <c r="BB86" i="6"/>
  <c r="AI86" i="6"/>
  <c r="BU85" i="6"/>
  <c r="BB85" i="6"/>
  <c r="AI85" i="6"/>
  <c r="BU84" i="6"/>
  <c r="BB84" i="6"/>
  <c r="AI84" i="6"/>
  <c r="BG75" i="6"/>
  <c r="AM75" i="6"/>
  <c r="BG67" i="6"/>
  <c r="AM67" i="6"/>
  <c r="BG66" i="6"/>
  <c r="AM66" i="6"/>
  <c r="BU58" i="6"/>
  <c r="BB58" i="6"/>
  <c r="AI58" i="6"/>
  <c r="BU50" i="6"/>
  <c r="BB50" i="6"/>
  <c r="AI50" i="6"/>
  <c r="BU49" i="6"/>
  <c r="BB49" i="6"/>
  <c r="AI49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<sst xmlns="http://schemas.openxmlformats.org/spreadsheetml/2006/main" count="762" uniqueCount="296">
  <si>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</si>
  <si>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</si>
  <si>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</si>
  <si>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</si>
  <si>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</si>
  <si>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</si>
  <si>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</si>
  <si>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</si>
  <si>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</si>
  <si>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</si>
  <si>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</si>
  <si>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</si>
  <si>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</si>
  <si>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</si>
  <si>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</si>
  <si>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</si>
  <si>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</si>
  <si>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</si>
  <si>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</si>
  <si>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</si>
  <si>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</si>
  <si>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</si>
  <si>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</si>
  <si>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</si>
  <si>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</si>
  <si>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</si>
  <si>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</si>
  <si>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</si>
  <si>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</si>
  <si>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</si>
  <si>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</si>
  <si>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</si>
  <si>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</si>
  <si>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</si>
  <si>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</si>
  <si>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</si>
  <si>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</si>
  <si>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</si>
  <si>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</si>
  <si>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</si>
  <si>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</si>
  <si>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</si>
  <si>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</si>
  <si>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</si>
  <si>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</si>
  <si>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</si>
  <si>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</si>
  <si>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</si>
  <si>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</si>
  <si>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</si>
  <si>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</si>
  <si>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</si>
  <si>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</si>
  <si>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</si>
  <si>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</si>
  <si>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</si>
  <si>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</si>
  <si>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</si>
  <si>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</si>
  <si>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</si>
  <si>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</si>
  <si>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</si>
  <si>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</si>
  <si>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</si>
  <si>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</si>
  <si>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</si>
  <si>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</si>
  <si>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</si>
  <si>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</si>
  <si>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</si>
  <si>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</si>
  <si>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</si>
  <si>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</si>
  <si>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</si>
  <si>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</si>
  <si>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</si>
  <si>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</si>
  <si>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</si>
  <si>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</si>
  <si>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</si>
  <si>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</si>
  <si>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</si>
  <si>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</si>
  <si>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</si>
  <si>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</si>
  <si>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</si>
  <si>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</si>
  <si>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</si>
  <si>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</si>
  <si>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</si>
  <si>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</si>
  <si>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</si>
  <si>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</si>
  <si>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</si>
  <si>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</si>
  <si>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</si>
  <si>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</si>
  <si>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</si>
  <si>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</si>
  <si>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</si>
  <si>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</si>
  <si>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</si>
  <si>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</si>
  <si>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</si>
  <si>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</si>
  <si>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</si>
  <si>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</si>
  <si>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</si>
  <si>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</si>
  <si>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</si>
  <si>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</si>
  <si>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</si>
  <si>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</si>
  <si>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</si>
  <si>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</si>
  <si>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</si>
  <si>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</si>
  <si>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</si>
  <si>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</si>
  <si>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</si>
  <si>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</si>
  <si>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</si>
  <si>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</si>
  <si>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</si>
  <si>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</si>
  <si>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</si>
  <si>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</si>
  <si>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</si>
  <si>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</si>
  <si>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</si>
  <si>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</si>
  <si>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</si>
  <si>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</si>
  <si>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</si>
  <si>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</si>
  <si>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</si>
  <si>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</si>
  <si>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</si>
  <si>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</si>
  <si>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</si>
  <si>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</si>
  <si>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</si>
  <si>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</si>
  <si>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</si>
  <si>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</si>
  <si>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</si>
  <si>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</si>
  <si>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</si>
  <si>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</si>
  <si>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</si>
  <si>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</si>
  <si>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</si>
  <si>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</si>
  <si>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</si>
  <si>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</si>
  <si>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</si>
  <si>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</si>
  <si>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</si>
  <si>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</si>
  <si>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</si>
  <si>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</si>
  <si>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</si>
  <si>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</si>
  <si>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</si>
  <si>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</si>
  <si>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</si>
  <si>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</si>
  <si>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</si>
  <si>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</si>
  <si>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</si>
  <si>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</si>
  <si>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</si>
  <si>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</si>
  <si>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</si>
  <si>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Субсидії та поточні трансферти підприємствам (установам, організаціям)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</si>
  <si>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</si>
  <si>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</si>
  <si>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</si>
  <si>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Оплата еклектроенергії</t>
  </si>
  <si>
    <t>Оплата експлуатаційних послуг з прибирання прилеглих територій</t>
  </si>
  <si>
    <t>Оплата експлуатаційних послуг, пов"язаних з утриманням будинків і споруд</t>
  </si>
  <si>
    <t>Оплата за водопостачання</t>
  </si>
  <si>
    <t>Оплата інших енергоносіїв</t>
  </si>
  <si>
    <t>Оплата навчання посадових осіб з видачею посвідчення</t>
  </si>
  <si>
    <t>Оплата послуг з адміністрування програмного забезпечення</t>
  </si>
  <si>
    <t>Оплата послуг з виготовлення технічних умов</t>
  </si>
  <si>
    <t>Оплата послуг з заправки картриджів, тонерів</t>
  </si>
  <si>
    <t>Оплата послуг з перезарядки вогнегасників</t>
  </si>
  <si>
    <t>Оплата послуг з поточного ремонту оргтехніки</t>
  </si>
  <si>
    <t>Оплата послуг з поточного ремонту траснпортних засобів</t>
  </si>
  <si>
    <t>Оплата послуг з технічного обслуговування електрообладння та електричних мереж</t>
  </si>
  <si>
    <t>Оплата послуг з техогляду та страхуванню машин</t>
  </si>
  <si>
    <t>Оплата послуг за користування мережею Інтернет</t>
  </si>
  <si>
    <t>Оплата послуг медичних закладів</t>
  </si>
  <si>
    <t>Придбання запчастин для поточного ремонту обладнання та машин</t>
  </si>
  <si>
    <t>Придбання засобів індивідуального захисту</t>
  </si>
  <si>
    <t>Придбання канцелярських предемтів та приладдя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</si>
  <si>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</si>
  <si>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</si>
  <si>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Влаштування системи відеоспостереження об'єкту за адресою: вул. Космічна, 2в, село Широке Запорізького району Запорізької області</t>
  </si>
  <si>
    <t>Оплата навчання за фахом "Машиніст насосних установок пожежно-рятувального транспортного засобу" з отриманням посвідчення</t>
  </si>
  <si>
    <t>Видатки на відрядження</t>
  </si>
  <si>
    <t>Оплата за послуги "Інтернет-провайдерів за користування мережою Інтернет</t>
  </si>
  <si>
    <t>Оплата послуг з поводження з побутовими відходами</t>
  </si>
  <si>
    <t>Поточний ремонт приміщень</t>
  </si>
  <si>
    <t>Придбання запчастин для інструменту (для пилок, косарок та ін.)</t>
  </si>
  <si>
    <t>Оплата послуг з поточного ремонту обладнання та інструментів</t>
  </si>
  <si>
    <t>Навчання з питань пожежної безпеки</t>
  </si>
  <si>
    <t>затрат</t>
  </si>
  <si>
    <t xml:space="preserve">formula=RC[-16]+RC[-8]                          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</si>
  <si>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</si>
  <si>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</si>
  <si>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</si>
  <si>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</si>
  <si>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</si>
  <si>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</si>
  <si>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</si>
  <si>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</si>
  <si>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</si>
  <si>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</si>
  <si>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</si>
  <si>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</si>
  <si>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</si>
  <si>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</si>
  <si>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Обов’язкові виплати, у тому числі:</t>
  </si>
  <si>
    <t>посадовий оклад</t>
  </si>
  <si>
    <t>доплати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</si>
  <si>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</si>
  <si>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</si>
  <si>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</si>
  <si>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</si>
  <si>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Виплати, що носять необов’язковий (стимулюючий) характер, у тому числі: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</si>
  <si>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</si>
  <si>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</si>
  <si>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</si>
  <si>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060 - Інші працівники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</si>
  <si>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</si>
  <si>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</si>
  <si>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</si>
  <si>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Рішення сільської ради від 21.12.2023 № 7</t>
  </si>
  <si>
    <t>Підтримка належного рівня пожежної безпеки на об’єктах і в населених пунктах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</si>
  <si>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</si>
  <si>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</si>
  <si>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Станом на 01.01.2024 кредиторська заборгованість відсутня._x000D_
_x000D_
Відповідно до положень статті 48 Бюджетного кодексу України із змінами КНП "Місцева пожежно-рятувальна служба Широківської громади"  реєструються бюджетні зобов’язання та здійснюються платежі тільки в межах бюджетних асигнувань, затверджених планом виклористання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</si>
  <si>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Діяльність КНП "Місцева пожежно-рятувальна служба Широківської громади" спрямована на забезпечення здійснення контролю за дотриманням протипожежних вимог, запобігання пожежам і нещасним випадкам, гасіння пожеж._x000D_
_x000D_
Розрахунок видатків, затверджених на 2024 рік забезпечує діяльність КНП ""Місцева пожежно- рятувальна служба  Широківської громади" необхідними  ресурсами та надає можливість виконувати повноваження в повному обсязі. _x000D_
_x000D_
З метою реалізації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</si>
  <si>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</si>
  <si>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</si>
  <si>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</si>
  <si>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</si>
  <si>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</si>
  <si>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</si>
  <si>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</si>
  <si>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</si>
  <si>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</si>
  <si>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</si>
  <si>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</si>
  <si>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</si>
  <si>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</si>
  <si>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</si>
  <si>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</si>
  <si>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</si>
  <si>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</si>
  <si>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</si>
  <si>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</si>
  <si>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</si>
  <si>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</si>
  <si>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</si>
  <si>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</si>
  <si>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</si>
  <si>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</si>
  <si>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</si>
  <si>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</si>
  <si>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</si>
  <si>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</si>
  <si>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</si>
  <si>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</si>
  <si>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</si>
  <si>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</si>
  <si>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</si>
  <si>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</si>
  <si>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</si>
  <si>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</si>
  <si>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</si>
  <si>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</si>
  <si>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</si>
  <si>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</si>
  <si>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(0)(1)(1)(8)(1)(3)(0)</t>
  </si>
  <si>
    <t>(8)(1)(3)(0)</t>
  </si>
  <si>
    <t>(0)(3)(2)(0)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</si>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</sst>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0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89"/>
  <sheetViews>
    <sheetView tabSelected="1" topLeftCell="A270" zoomScaleNormal="100" workbookViewId="0">
      <selection activeCell="BS286" sqref="BS286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273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246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7"/>
      <c r="AH4" s="113" t="s">
        <v>245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247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290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7"/>
      <c r="AH7" s="113" t="s">
        <v>291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247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14.25" customHeight="1" x14ac:dyDescent="0.2">
      <c r="A10" s="10" t="s">
        <v>163</v>
      </c>
      <c r="B10" s="113" t="s">
        <v>286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287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288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289</v>
      </c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16"/>
      <c r="BL10" s="115" t="s">
        <v>248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60" t="s">
        <v>274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</row>
    <row r="14" spans="1:79" ht="14.25" customHeight="1" x14ac:dyDescent="0.2">
      <c r="A14" s="60" t="s">
        <v>148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</row>
    <row r="15" spans="1:79" ht="15" customHeight="1" x14ac:dyDescent="0.2">
      <c r="A15" s="61" t="s">
        <v>240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15" customHeight="1" x14ac:dyDescent="0.2">
      <c r="A18" s="61" t="s">
        <v>241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60" t="s">
        <v>150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</row>
    <row r="21" spans="1:79" ht="120" customHeight="1" x14ac:dyDescent="0.2">
      <c r="A21" s="61" t="s">
        <v>242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60" t="s">
        <v>151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</row>
    <row r="24" spans="1:79" ht="14.25" customHeight="1" x14ac:dyDescent="0.2">
      <c r="A24" s="60" t="s">
        <v>260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</row>
    <row r="25" spans="1:79" ht="15" customHeight="1" x14ac:dyDescent="0.2">
      <c r="A25" s="66" t="s">
        <v>249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</row>
    <row r="26" spans="1:79" ht="23.1" customHeight="1" x14ac:dyDescent="0.2">
      <c r="A26" s="77" t="s">
        <v>2</v>
      </c>
      <c r="B26" s="78"/>
      <c r="C26" s="78"/>
      <c r="D26" s="79"/>
      <c r="E26" s="77" t="s">
        <v>19</v>
      </c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37" t="s">
        <v>250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 t="s">
        <v>253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 t="s">
        <v>261</v>
      </c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</row>
    <row r="27" spans="1:79" ht="54.75" customHeight="1" x14ac:dyDescent="0.2">
      <c r="A27" s="80"/>
      <c r="B27" s="81"/>
      <c r="C27" s="81"/>
      <c r="D27" s="82"/>
      <c r="E27" s="80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73" t="s">
        <v>4</v>
      </c>
      <c r="V27" s="74"/>
      <c r="W27" s="74"/>
      <c r="X27" s="74"/>
      <c r="Y27" s="75"/>
      <c r="Z27" s="73" t="s">
        <v>3</v>
      </c>
      <c r="AA27" s="74"/>
      <c r="AB27" s="74"/>
      <c r="AC27" s="74"/>
      <c r="AD27" s="75"/>
      <c r="AE27" s="96" t="s">
        <v>116</v>
      </c>
      <c r="AF27" s="97"/>
      <c r="AG27" s="97"/>
      <c r="AH27" s="98"/>
      <c r="AI27" s="73" t="s">
        <v>5</v>
      </c>
      <c r="AJ27" s="74"/>
      <c r="AK27" s="74"/>
      <c r="AL27" s="74"/>
      <c r="AM27" s="75"/>
      <c r="AN27" s="73" t="s">
        <v>4</v>
      </c>
      <c r="AO27" s="74"/>
      <c r="AP27" s="74"/>
      <c r="AQ27" s="74"/>
      <c r="AR27" s="75"/>
      <c r="AS27" s="73" t="s">
        <v>3</v>
      </c>
      <c r="AT27" s="74"/>
      <c r="AU27" s="74"/>
      <c r="AV27" s="74"/>
      <c r="AW27" s="75"/>
      <c r="AX27" s="96" t="s">
        <v>116</v>
      </c>
      <c r="AY27" s="97"/>
      <c r="AZ27" s="97"/>
      <c r="BA27" s="98"/>
      <c r="BB27" s="73" t="s">
        <v>96</v>
      </c>
      <c r="BC27" s="74"/>
      <c r="BD27" s="74"/>
      <c r="BE27" s="74"/>
      <c r="BF27" s="75"/>
      <c r="BG27" s="73" t="s">
        <v>4</v>
      </c>
      <c r="BH27" s="74"/>
      <c r="BI27" s="74"/>
      <c r="BJ27" s="74"/>
      <c r="BK27" s="75"/>
      <c r="BL27" s="73" t="s">
        <v>3</v>
      </c>
      <c r="BM27" s="74"/>
      <c r="BN27" s="74"/>
      <c r="BO27" s="74"/>
      <c r="BP27" s="75"/>
      <c r="BQ27" s="96" t="s">
        <v>116</v>
      </c>
      <c r="BR27" s="97"/>
      <c r="BS27" s="97"/>
      <c r="BT27" s="98"/>
      <c r="BU27" s="73" t="s">
        <v>97</v>
      </c>
      <c r="BV27" s="74"/>
      <c r="BW27" s="74"/>
      <c r="BX27" s="74"/>
      <c r="BY27" s="75"/>
    </row>
    <row r="28" spans="1:79" ht="15" customHeight="1" x14ac:dyDescent="0.2">
      <c r="A28" s="73">
        <v>1</v>
      </c>
      <c r="B28" s="74"/>
      <c r="C28" s="74"/>
      <c r="D28" s="75"/>
      <c r="E28" s="73">
        <v>2</v>
      </c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3">
        <v>3</v>
      </c>
      <c r="V28" s="74"/>
      <c r="W28" s="74"/>
      <c r="X28" s="74"/>
      <c r="Y28" s="75"/>
      <c r="Z28" s="73">
        <v>4</v>
      </c>
      <c r="AA28" s="74"/>
      <c r="AB28" s="74"/>
      <c r="AC28" s="74"/>
      <c r="AD28" s="75"/>
      <c r="AE28" s="73">
        <v>5</v>
      </c>
      <c r="AF28" s="74"/>
      <c r="AG28" s="74"/>
      <c r="AH28" s="75"/>
      <c r="AI28" s="73">
        <v>6</v>
      </c>
      <c r="AJ28" s="74"/>
      <c r="AK28" s="74"/>
      <c r="AL28" s="74"/>
      <c r="AM28" s="75"/>
      <c r="AN28" s="73">
        <v>7</v>
      </c>
      <c r="AO28" s="74"/>
      <c r="AP28" s="74"/>
      <c r="AQ28" s="74"/>
      <c r="AR28" s="75"/>
      <c r="AS28" s="73">
        <v>8</v>
      </c>
      <c r="AT28" s="74"/>
      <c r="AU28" s="74"/>
      <c r="AV28" s="74"/>
      <c r="AW28" s="75"/>
      <c r="AX28" s="73">
        <v>9</v>
      </c>
      <c r="AY28" s="74"/>
      <c r="AZ28" s="74"/>
      <c r="BA28" s="75"/>
      <c r="BB28" s="73">
        <v>10</v>
      </c>
      <c r="BC28" s="74"/>
      <c r="BD28" s="74"/>
      <c r="BE28" s="74"/>
      <c r="BF28" s="75"/>
      <c r="BG28" s="73">
        <v>11</v>
      </c>
      <c r="BH28" s="74"/>
      <c r="BI28" s="74"/>
      <c r="BJ28" s="74"/>
      <c r="BK28" s="75"/>
      <c r="BL28" s="73">
        <v>12</v>
      </c>
      <c r="BM28" s="74"/>
      <c r="BN28" s="74"/>
      <c r="BO28" s="74"/>
      <c r="BP28" s="75"/>
      <c r="BQ28" s="73">
        <v>13</v>
      </c>
      <c r="BR28" s="74"/>
      <c r="BS28" s="74"/>
      <c r="BT28" s="75"/>
      <c r="BU28" s="73">
        <v>14</v>
      </c>
      <c r="BV28" s="74"/>
      <c r="BW28" s="74"/>
      <c r="BX28" s="74"/>
      <c r="BY28" s="75"/>
    </row>
    <row r="29" spans="1:79" ht="13.5" hidden="1" customHeight="1" x14ac:dyDescent="0.2">
      <c r="A29" s="87" t="s">
        <v>56</v>
      </c>
      <c r="B29" s="88"/>
      <c r="C29" s="88"/>
      <c r="D29" s="89"/>
      <c r="E29" s="87" t="s">
        <v>57</v>
      </c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7" t="s">
        <v>65</v>
      </c>
      <c r="V29" s="88"/>
      <c r="W29" s="88"/>
      <c r="X29" s="88"/>
      <c r="Y29" s="89"/>
      <c r="Z29" s="87" t="s">
        <v>66</v>
      </c>
      <c r="AA29" s="88"/>
      <c r="AB29" s="88"/>
      <c r="AC29" s="88"/>
      <c r="AD29" s="89"/>
      <c r="AE29" s="87" t="s">
        <v>91</v>
      </c>
      <c r="AF29" s="88"/>
      <c r="AG29" s="88"/>
      <c r="AH29" s="89"/>
      <c r="AI29" s="93" t="s">
        <v>169</v>
      </c>
      <c r="AJ29" s="94"/>
      <c r="AK29" s="94"/>
      <c r="AL29" s="94"/>
      <c r="AM29" s="95"/>
      <c r="AN29" s="87" t="s">
        <v>67</v>
      </c>
      <c r="AO29" s="88"/>
      <c r="AP29" s="88"/>
      <c r="AQ29" s="88"/>
      <c r="AR29" s="89"/>
      <c r="AS29" s="87" t="s">
        <v>68</v>
      </c>
      <c r="AT29" s="88"/>
      <c r="AU29" s="88"/>
      <c r="AV29" s="88"/>
      <c r="AW29" s="89"/>
      <c r="AX29" s="87" t="s">
        <v>92</v>
      </c>
      <c r="AY29" s="88"/>
      <c r="AZ29" s="88"/>
      <c r="BA29" s="89"/>
      <c r="BB29" s="93" t="s">
        <v>169</v>
      </c>
      <c r="BC29" s="94"/>
      <c r="BD29" s="94"/>
      <c r="BE29" s="94"/>
      <c r="BF29" s="95"/>
      <c r="BG29" s="87" t="s">
        <v>58</v>
      </c>
      <c r="BH29" s="88"/>
      <c r="BI29" s="88"/>
      <c r="BJ29" s="88"/>
      <c r="BK29" s="89"/>
      <c r="BL29" s="87" t="s">
        <v>59</v>
      </c>
      <c r="BM29" s="88"/>
      <c r="BN29" s="88"/>
      <c r="BO29" s="88"/>
      <c r="BP29" s="89"/>
      <c r="BQ29" s="87" t="s">
        <v>93</v>
      </c>
      <c r="BR29" s="88"/>
      <c r="BS29" s="88"/>
      <c r="BT29" s="89"/>
      <c r="BU29" s="93" t="s">
        <v>169</v>
      </c>
      <c r="BV29" s="94"/>
      <c r="BW29" s="94"/>
      <c r="BX29" s="94"/>
      <c r="BY29" s="95"/>
      <c r="CA29" t="s">
        <v>21</v>
      </c>
    </row>
    <row r="30" spans="1:79" s="4" customFormat="1" ht="12.75" customHeight="1" x14ac:dyDescent="0.2">
      <c r="A30" s="28"/>
      <c r="B30" s="29"/>
      <c r="C30" s="29"/>
      <c r="D30" s="108"/>
      <c r="E30" s="30" t="s">
        <v>172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48">
        <v>5252692</v>
      </c>
      <c r="V30" s="48"/>
      <c r="W30" s="48"/>
      <c r="X30" s="48"/>
      <c r="Y30" s="48"/>
      <c r="Z30" s="48" t="s">
        <v>173</v>
      </c>
      <c r="AA30" s="48"/>
      <c r="AB30" s="48"/>
      <c r="AC30" s="48"/>
      <c r="AD30" s="48"/>
      <c r="AE30" s="45" t="s">
        <v>173</v>
      </c>
      <c r="AF30" s="46"/>
      <c r="AG30" s="46"/>
      <c r="AH30" s="47"/>
      <c r="AI30" s="45">
        <f>IF(ISNUMBER(U30),U30,0)+IF(ISNUMBER(Z30),Z30,0)</f>
        <v>5252692</v>
      </c>
      <c r="AJ30" s="46"/>
      <c r="AK30" s="46"/>
      <c r="AL30" s="46"/>
      <c r="AM30" s="47"/>
      <c r="AN30" s="45">
        <v>7018512</v>
      </c>
      <c r="AO30" s="46"/>
      <c r="AP30" s="46"/>
      <c r="AQ30" s="46"/>
      <c r="AR30" s="47"/>
      <c r="AS30" s="45" t="s">
        <v>173</v>
      </c>
      <c r="AT30" s="46"/>
      <c r="AU30" s="46"/>
      <c r="AV30" s="46"/>
      <c r="AW30" s="47"/>
      <c r="AX30" s="45" t="s">
        <v>173</v>
      </c>
      <c r="AY30" s="46"/>
      <c r="AZ30" s="46"/>
      <c r="BA30" s="47"/>
      <c r="BB30" s="45">
        <f>IF(ISNUMBER(AN30),AN30,0)+IF(ISNUMBER(AS30),AS30,0)</f>
        <v>7018512</v>
      </c>
      <c r="BC30" s="46"/>
      <c r="BD30" s="46"/>
      <c r="BE30" s="46"/>
      <c r="BF30" s="47"/>
      <c r="BG30" s="45">
        <v>8165654</v>
      </c>
      <c r="BH30" s="46"/>
      <c r="BI30" s="46"/>
      <c r="BJ30" s="46"/>
      <c r="BK30" s="47"/>
      <c r="BL30" s="45" t="s">
        <v>173</v>
      </c>
      <c r="BM30" s="46"/>
      <c r="BN30" s="46"/>
      <c r="BO30" s="46"/>
      <c r="BP30" s="47"/>
      <c r="BQ30" s="45" t="s">
        <v>173</v>
      </c>
      <c r="BR30" s="46"/>
      <c r="BS30" s="46"/>
      <c r="BT30" s="47"/>
      <c r="BU30" s="45">
        <f>IF(ISNUMBER(BG30),BG30,0)+IF(ISNUMBER(BL30),BL30,0)</f>
        <v>8165654</v>
      </c>
      <c r="BV30" s="46"/>
      <c r="BW30" s="46"/>
      <c r="BX30" s="46"/>
      <c r="BY30" s="47"/>
      <c r="CA30" s="4" t="s">
        <v>22</v>
      </c>
    </row>
    <row r="31" spans="1:79" s="5" customFormat="1" ht="12.75" customHeight="1" x14ac:dyDescent="0.2">
      <c r="A31" s="33"/>
      <c r="B31" s="34"/>
      <c r="C31" s="34"/>
      <c r="D31" s="49"/>
      <c r="E31" s="21" t="s">
        <v>147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44">
        <v>5252692</v>
      </c>
      <c r="V31" s="44"/>
      <c r="W31" s="44"/>
      <c r="X31" s="44"/>
      <c r="Y31" s="44"/>
      <c r="Z31" s="44">
        <v>0</v>
      </c>
      <c r="AA31" s="44"/>
      <c r="AB31" s="44"/>
      <c r="AC31" s="44"/>
      <c r="AD31" s="44"/>
      <c r="AE31" s="41">
        <v>0</v>
      </c>
      <c r="AF31" s="42"/>
      <c r="AG31" s="42"/>
      <c r="AH31" s="43"/>
      <c r="AI31" s="41">
        <f>IF(ISNUMBER(U31),U31,0)+IF(ISNUMBER(Z31),Z31,0)</f>
        <v>5252692</v>
      </c>
      <c r="AJ31" s="42"/>
      <c r="AK31" s="42"/>
      <c r="AL31" s="42"/>
      <c r="AM31" s="43"/>
      <c r="AN31" s="41">
        <v>7018512</v>
      </c>
      <c r="AO31" s="42"/>
      <c r="AP31" s="42"/>
      <c r="AQ31" s="42"/>
      <c r="AR31" s="43"/>
      <c r="AS31" s="41">
        <v>0</v>
      </c>
      <c r="AT31" s="42"/>
      <c r="AU31" s="42"/>
      <c r="AV31" s="42"/>
      <c r="AW31" s="43"/>
      <c r="AX31" s="41">
        <v>0</v>
      </c>
      <c r="AY31" s="42"/>
      <c r="AZ31" s="42"/>
      <c r="BA31" s="43"/>
      <c r="BB31" s="41">
        <f>IF(ISNUMBER(AN31),AN31,0)+IF(ISNUMBER(AS31),AS31,0)</f>
        <v>7018512</v>
      </c>
      <c r="BC31" s="42"/>
      <c r="BD31" s="42"/>
      <c r="BE31" s="42"/>
      <c r="BF31" s="43"/>
      <c r="BG31" s="41">
        <v>8165654</v>
      </c>
      <c r="BH31" s="42"/>
      <c r="BI31" s="42"/>
      <c r="BJ31" s="42"/>
      <c r="BK31" s="43"/>
      <c r="BL31" s="41">
        <v>0</v>
      </c>
      <c r="BM31" s="42"/>
      <c r="BN31" s="42"/>
      <c r="BO31" s="42"/>
      <c r="BP31" s="43"/>
      <c r="BQ31" s="41">
        <v>0</v>
      </c>
      <c r="BR31" s="42"/>
      <c r="BS31" s="42"/>
      <c r="BT31" s="43"/>
      <c r="BU31" s="41">
        <f>IF(ISNUMBER(BG31),BG31,0)+IF(ISNUMBER(BL31),BL31,0)</f>
        <v>8165654</v>
      </c>
      <c r="BV31" s="42"/>
      <c r="BW31" s="42"/>
      <c r="BX31" s="42"/>
      <c r="BY31" s="43"/>
    </row>
    <row r="33" spans="1:79" ht="14.25" customHeight="1" x14ac:dyDescent="0.2">
      <c r="A33" s="60" t="s">
        <v>275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</row>
    <row r="34" spans="1:79" ht="15" customHeight="1" x14ac:dyDescent="0.2">
      <c r="A34" s="76" t="s">
        <v>249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</row>
    <row r="35" spans="1:79" ht="22.5" customHeight="1" x14ac:dyDescent="0.2">
      <c r="A35" s="77" t="s">
        <v>2</v>
      </c>
      <c r="B35" s="78"/>
      <c r="C35" s="78"/>
      <c r="D35" s="79"/>
      <c r="E35" s="77" t="s">
        <v>19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9"/>
      <c r="X35" s="73" t="s">
        <v>271</v>
      </c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5"/>
      <c r="AR35" s="37" t="s">
        <v>276</v>
      </c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79" ht="36" customHeight="1" x14ac:dyDescent="0.2">
      <c r="A36" s="80"/>
      <c r="B36" s="81"/>
      <c r="C36" s="81"/>
      <c r="D36" s="82"/>
      <c r="E36" s="80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37" t="s">
        <v>4</v>
      </c>
      <c r="Y36" s="37"/>
      <c r="Z36" s="37"/>
      <c r="AA36" s="37"/>
      <c r="AB36" s="37"/>
      <c r="AC36" s="37" t="s">
        <v>3</v>
      </c>
      <c r="AD36" s="37"/>
      <c r="AE36" s="37"/>
      <c r="AF36" s="37"/>
      <c r="AG36" s="37"/>
      <c r="AH36" s="96" t="s">
        <v>116</v>
      </c>
      <c r="AI36" s="97"/>
      <c r="AJ36" s="97"/>
      <c r="AK36" s="97"/>
      <c r="AL36" s="98"/>
      <c r="AM36" s="73" t="s">
        <v>5</v>
      </c>
      <c r="AN36" s="74"/>
      <c r="AO36" s="74"/>
      <c r="AP36" s="74"/>
      <c r="AQ36" s="75"/>
      <c r="AR36" s="73" t="s">
        <v>4</v>
      </c>
      <c r="AS36" s="74"/>
      <c r="AT36" s="74"/>
      <c r="AU36" s="74"/>
      <c r="AV36" s="75"/>
      <c r="AW36" s="73" t="s">
        <v>3</v>
      </c>
      <c r="AX36" s="74"/>
      <c r="AY36" s="74"/>
      <c r="AZ36" s="74"/>
      <c r="BA36" s="75"/>
      <c r="BB36" s="96" t="s">
        <v>116</v>
      </c>
      <c r="BC36" s="97"/>
      <c r="BD36" s="97"/>
      <c r="BE36" s="97"/>
      <c r="BF36" s="98"/>
      <c r="BG36" s="73" t="s">
        <v>96</v>
      </c>
      <c r="BH36" s="74"/>
      <c r="BI36" s="74"/>
      <c r="BJ36" s="74"/>
      <c r="BK36" s="75"/>
    </row>
    <row r="37" spans="1:79" ht="15" customHeight="1" x14ac:dyDescent="0.2">
      <c r="A37" s="73">
        <v>1</v>
      </c>
      <c r="B37" s="74"/>
      <c r="C37" s="74"/>
      <c r="D37" s="75"/>
      <c r="E37" s="73">
        <v>2</v>
      </c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5"/>
      <c r="X37" s="37">
        <v>3</v>
      </c>
      <c r="Y37" s="37"/>
      <c r="Z37" s="37"/>
      <c r="AA37" s="37"/>
      <c r="AB37" s="37"/>
      <c r="AC37" s="37">
        <v>4</v>
      </c>
      <c r="AD37" s="37"/>
      <c r="AE37" s="37"/>
      <c r="AF37" s="37"/>
      <c r="AG37" s="37"/>
      <c r="AH37" s="37">
        <v>5</v>
      </c>
      <c r="AI37" s="37"/>
      <c r="AJ37" s="37"/>
      <c r="AK37" s="37"/>
      <c r="AL37" s="37"/>
      <c r="AM37" s="37">
        <v>6</v>
      </c>
      <c r="AN37" s="37"/>
      <c r="AO37" s="37"/>
      <c r="AP37" s="37"/>
      <c r="AQ37" s="37"/>
      <c r="AR37" s="73">
        <v>7</v>
      </c>
      <c r="AS37" s="74"/>
      <c r="AT37" s="74"/>
      <c r="AU37" s="74"/>
      <c r="AV37" s="75"/>
      <c r="AW37" s="73">
        <v>8</v>
      </c>
      <c r="AX37" s="74"/>
      <c r="AY37" s="74"/>
      <c r="AZ37" s="74"/>
      <c r="BA37" s="75"/>
      <c r="BB37" s="73">
        <v>9</v>
      </c>
      <c r="BC37" s="74"/>
      <c r="BD37" s="74"/>
      <c r="BE37" s="74"/>
      <c r="BF37" s="75"/>
      <c r="BG37" s="73">
        <v>10</v>
      </c>
      <c r="BH37" s="74"/>
      <c r="BI37" s="74"/>
      <c r="BJ37" s="74"/>
      <c r="BK37" s="75"/>
    </row>
    <row r="38" spans="1:79" ht="20.25" hidden="1" customHeight="1" x14ac:dyDescent="0.2">
      <c r="A38" s="87" t="s">
        <v>56</v>
      </c>
      <c r="B38" s="88"/>
      <c r="C38" s="88"/>
      <c r="D38" s="89"/>
      <c r="E38" s="87" t="s">
        <v>57</v>
      </c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9"/>
      <c r="X38" s="65" t="s">
        <v>60</v>
      </c>
      <c r="Y38" s="65"/>
      <c r="Z38" s="65"/>
      <c r="AA38" s="65"/>
      <c r="AB38" s="65"/>
      <c r="AC38" s="65" t="s">
        <v>61</v>
      </c>
      <c r="AD38" s="65"/>
      <c r="AE38" s="65"/>
      <c r="AF38" s="65"/>
      <c r="AG38" s="65"/>
      <c r="AH38" s="87" t="s">
        <v>94</v>
      </c>
      <c r="AI38" s="88"/>
      <c r="AJ38" s="88"/>
      <c r="AK38" s="88"/>
      <c r="AL38" s="89"/>
      <c r="AM38" s="93" t="s">
        <v>170</v>
      </c>
      <c r="AN38" s="94"/>
      <c r="AO38" s="94"/>
      <c r="AP38" s="94"/>
      <c r="AQ38" s="95"/>
      <c r="AR38" s="87" t="s">
        <v>62</v>
      </c>
      <c r="AS38" s="88"/>
      <c r="AT38" s="88"/>
      <c r="AU38" s="88"/>
      <c r="AV38" s="89"/>
      <c r="AW38" s="87" t="s">
        <v>63</v>
      </c>
      <c r="AX38" s="88"/>
      <c r="AY38" s="88"/>
      <c r="AZ38" s="88"/>
      <c r="BA38" s="89"/>
      <c r="BB38" s="87" t="s">
        <v>95</v>
      </c>
      <c r="BC38" s="88"/>
      <c r="BD38" s="88"/>
      <c r="BE38" s="88"/>
      <c r="BF38" s="89"/>
      <c r="BG38" s="93" t="s">
        <v>170</v>
      </c>
      <c r="BH38" s="94"/>
      <c r="BI38" s="94"/>
      <c r="BJ38" s="94"/>
      <c r="BK38" s="95"/>
      <c r="CA38" t="s">
        <v>23</v>
      </c>
    </row>
    <row r="39" spans="1:79" s="4" customFormat="1" ht="12.75" customHeight="1" x14ac:dyDescent="0.2">
      <c r="A39" s="28"/>
      <c r="B39" s="29"/>
      <c r="C39" s="29"/>
      <c r="D39" s="108"/>
      <c r="E39" s="30" t="s">
        <v>172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2"/>
      <c r="X39" s="45">
        <v>8974054</v>
      </c>
      <c r="Y39" s="46"/>
      <c r="Z39" s="46"/>
      <c r="AA39" s="46"/>
      <c r="AB39" s="47"/>
      <c r="AC39" s="45" t="s">
        <v>173</v>
      </c>
      <c r="AD39" s="46"/>
      <c r="AE39" s="46"/>
      <c r="AF39" s="46"/>
      <c r="AG39" s="47"/>
      <c r="AH39" s="45" t="s">
        <v>173</v>
      </c>
      <c r="AI39" s="46"/>
      <c r="AJ39" s="46"/>
      <c r="AK39" s="46"/>
      <c r="AL39" s="47"/>
      <c r="AM39" s="45">
        <f>IF(ISNUMBER(X39),X39,0)+IF(ISNUMBER(AC39),AC39,0)</f>
        <v>8974054</v>
      </c>
      <c r="AN39" s="46"/>
      <c r="AO39" s="46"/>
      <c r="AP39" s="46"/>
      <c r="AQ39" s="47"/>
      <c r="AR39" s="45">
        <v>9691978</v>
      </c>
      <c r="AS39" s="46"/>
      <c r="AT39" s="46"/>
      <c r="AU39" s="46"/>
      <c r="AV39" s="47"/>
      <c r="AW39" s="45" t="s">
        <v>173</v>
      </c>
      <c r="AX39" s="46"/>
      <c r="AY39" s="46"/>
      <c r="AZ39" s="46"/>
      <c r="BA39" s="47"/>
      <c r="BB39" s="45" t="s">
        <v>173</v>
      </c>
      <c r="BC39" s="46"/>
      <c r="BD39" s="46"/>
      <c r="BE39" s="46"/>
      <c r="BF39" s="47"/>
      <c r="BG39" s="48">
        <f>IF(ISNUMBER(AR39),AR39,0)+IF(ISNUMBER(AW39),AW39,0)</f>
        <v>9691978</v>
      </c>
      <c r="BH39" s="48"/>
      <c r="BI39" s="48"/>
      <c r="BJ39" s="48"/>
      <c r="BK39" s="48"/>
      <c r="CA39" s="4" t="s">
        <v>24</v>
      </c>
    </row>
    <row r="40" spans="1:79" s="5" customFormat="1" ht="12.75" customHeight="1" x14ac:dyDescent="0.2">
      <c r="A40" s="33"/>
      <c r="B40" s="34"/>
      <c r="C40" s="34"/>
      <c r="D40" s="49"/>
      <c r="E40" s="21" t="s">
        <v>147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3"/>
      <c r="X40" s="41">
        <v>8974054</v>
      </c>
      <c r="Y40" s="42"/>
      <c r="Z40" s="42"/>
      <c r="AA40" s="42"/>
      <c r="AB40" s="43"/>
      <c r="AC40" s="41">
        <v>0</v>
      </c>
      <c r="AD40" s="42"/>
      <c r="AE40" s="42"/>
      <c r="AF40" s="42"/>
      <c r="AG40" s="43"/>
      <c r="AH40" s="41">
        <v>0</v>
      </c>
      <c r="AI40" s="42"/>
      <c r="AJ40" s="42"/>
      <c r="AK40" s="42"/>
      <c r="AL40" s="43"/>
      <c r="AM40" s="41">
        <f>IF(ISNUMBER(X40),X40,0)+IF(ISNUMBER(AC40),AC40,0)</f>
        <v>8974054</v>
      </c>
      <c r="AN40" s="42"/>
      <c r="AO40" s="42"/>
      <c r="AP40" s="42"/>
      <c r="AQ40" s="43"/>
      <c r="AR40" s="41">
        <v>9691978</v>
      </c>
      <c r="AS40" s="42"/>
      <c r="AT40" s="42"/>
      <c r="AU40" s="42"/>
      <c r="AV40" s="43"/>
      <c r="AW40" s="41">
        <v>0</v>
      </c>
      <c r="AX40" s="42"/>
      <c r="AY40" s="42"/>
      <c r="AZ40" s="42"/>
      <c r="BA40" s="43"/>
      <c r="BB40" s="41">
        <v>0</v>
      </c>
      <c r="BC40" s="42"/>
      <c r="BD40" s="42"/>
      <c r="BE40" s="42"/>
      <c r="BF40" s="43"/>
      <c r="BG40" s="44">
        <f>IF(ISNUMBER(AR40),AR40,0)+IF(ISNUMBER(AW40),AW40,0)</f>
        <v>9691978</v>
      </c>
      <c r="BH40" s="44"/>
      <c r="BI40" s="44"/>
      <c r="BJ40" s="44"/>
      <c r="BK40" s="44"/>
    </row>
    <row r="42" spans="1:79" s="3" customFormat="1" ht="14.25" customHeight="1" x14ac:dyDescent="0.2">
      <c r="A42" s="60" t="s">
        <v>117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8"/>
    </row>
    <row r="43" spans="1:79" ht="14.25" customHeight="1" x14ac:dyDescent="0.2">
      <c r="A43" s="60" t="s">
        <v>262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</row>
    <row r="44" spans="1:79" ht="15" customHeight="1" x14ac:dyDescent="0.2">
      <c r="A44" s="66" t="s">
        <v>249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</row>
    <row r="45" spans="1:79" ht="23.1" customHeight="1" x14ac:dyDescent="0.2">
      <c r="A45" s="102" t="s">
        <v>118</v>
      </c>
      <c r="B45" s="103"/>
      <c r="C45" s="103"/>
      <c r="D45" s="104"/>
      <c r="E45" s="37" t="s">
        <v>19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73" t="s">
        <v>250</v>
      </c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5"/>
      <c r="AN45" s="73" t="s">
        <v>253</v>
      </c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5"/>
      <c r="BG45" s="73" t="s">
        <v>261</v>
      </c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5"/>
    </row>
    <row r="46" spans="1:79" ht="48.75" customHeight="1" x14ac:dyDescent="0.2">
      <c r="A46" s="105"/>
      <c r="B46" s="106"/>
      <c r="C46" s="106"/>
      <c r="D46" s="10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73" t="s">
        <v>4</v>
      </c>
      <c r="V46" s="74"/>
      <c r="W46" s="74"/>
      <c r="X46" s="74"/>
      <c r="Y46" s="75"/>
      <c r="Z46" s="73" t="s">
        <v>3</v>
      </c>
      <c r="AA46" s="74"/>
      <c r="AB46" s="74"/>
      <c r="AC46" s="74"/>
      <c r="AD46" s="75"/>
      <c r="AE46" s="96" t="s">
        <v>116</v>
      </c>
      <c r="AF46" s="97"/>
      <c r="AG46" s="97"/>
      <c r="AH46" s="98"/>
      <c r="AI46" s="73" t="s">
        <v>5</v>
      </c>
      <c r="AJ46" s="74"/>
      <c r="AK46" s="74"/>
      <c r="AL46" s="74"/>
      <c r="AM46" s="75"/>
      <c r="AN46" s="73" t="s">
        <v>4</v>
      </c>
      <c r="AO46" s="74"/>
      <c r="AP46" s="74"/>
      <c r="AQ46" s="74"/>
      <c r="AR46" s="75"/>
      <c r="AS46" s="73" t="s">
        <v>3</v>
      </c>
      <c r="AT46" s="74"/>
      <c r="AU46" s="74"/>
      <c r="AV46" s="74"/>
      <c r="AW46" s="75"/>
      <c r="AX46" s="96" t="s">
        <v>116</v>
      </c>
      <c r="AY46" s="97"/>
      <c r="AZ46" s="97"/>
      <c r="BA46" s="98"/>
      <c r="BB46" s="73" t="s">
        <v>96</v>
      </c>
      <c r="BC46" s="74"/>
      <c r="BD46" s="74"/>
      <c r="BE46" s="74"/>
      <c r="BF46" s="75"/>
      <c r="BG46" s="73" t="s">
        <v>4</v>
      </c>
      <c r="BH46" s="74"/>
      <c r="BI46" s="74"/>
      <c r="BJ46" s="74"/>
      <c r="BK46" s="75"/>
      <c r="BL46" s="73" t="s">
        <v>3</v>
      </c>
      <c r="BM46" s="74"/>
      <c r="BN46" s="74"/>
      <c r="BO46" s="74"/>
      <c r="BP46" s="75"/>
      <c r="BQ46" s="96" t="s">
        <v>116</v>
      </c>
      <c r="BR46" s="97"/>
      <c r="BS46" s="97"/>
      <c r="BT46" s="98"/>
      <c r="BU46" s="73" t="s">
        <v>97</v>
      </c>
      <c r="BV46" s="74"/>
      <c r="BW46" s="74"/>
      <c r="BX46" s="74"/>
      <c r="BY46" s="75"/>
    </row>
    <row r="47" spans="1:79" ht="15" customHeight="1" x14ac:dyDescent="0.2">
      <c r="A47" s="73">
        <v>1</v>
      </c>
      <c r="B47" s="74"/>
      <c r="C47" s="74"/>
      <c r="D47" s="75"/>
      <c r="E47" s="73">
        <v>2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5"/>
      <c r="U47" s="73">
        <v>3</v>
      </c>
      <c r="V47" s="74"/>
      <c r="W47" s="74"/>
      <c r="X47" s="74"/>
      <c r="Y47" s="75"/>
      <c r="Z47" s="73">
        <v>4</v>
      </c>
      <c r="AA47" s="74"/>
      <c r="AB47" s="74"/>
      <c r="AC47" s="74"/>
      <c r="AD47" s="75"/>
      <c r="AE47" s="73">
        <v>5</v>
      </c>
      <c r="AF47" s="74"/>
      <c r="AG47" s="74"/>
      <c r="AH47" s="75"/>
      <c r="AI47" s="73">
        <v>6</v>
      </c>
      <c r="AJ47" s="74"/>
      <c r="AK47" s="74"/>
      <c r="AL47" s="74"/>
      <c r="AM47" s="75"/>
      <c r="AN47" s="73">
        <v>7</v>
      </c>
      <c r="AO47" s="74"/>
      <c r="AP47" s="74"/>
      <c r="AQ47" s="74"/>
      <c r="AR47" s="75"/>
      <c r="AS47" s="73">
        <v>8</v>
      </c>
      <c r="AT47" s="74"/>
      <c r="AU47" s="74"/>
      <c r="AV47" s="74"/>
      <c r="AW47" s="75"/>
      <c r="AX47" s="73">
        <v>9</v>
      </c>
      <c r="AY47" s="74"/>
      <c r="AZ47" s="74"/>
      <c r="BA47" s="75"/>
      <c r="BB47" s="73">
        <v>10</v>
      </c>
      <c r="BC47" s="74"/>
      <c r="BD47" s="74"/>
      <c r="BE47" s="74"/>
      <c r="BF47" s="75"/>
      <c r="BG47" s="73">
        <v>11</v>
      </c>
      <c r="BH47" s="74"/>
      <c r="BI47" s="74"/>
      <c r="BJ47" s="74"/>
      <c r="BK47" s="75"/>
      <c r="BL47" s="73">
        <v>12</v>
      </c>
      <c r="BM47" s="74"/>
      <c r="BN47" s="74"/>
      <c r="BO47" s="74"/>
      <c r="BP47" s="75"/>
      <c r="BQ47" s="73">
        <v>13</v>
      </c>
      <c r="BR47" s="74"/>
      <c r="BS47" s="74"/>
      <c r="BT47" s="75"/>
      <c r="BU47" s="73">
        <v>14</v>
      </c>
      <c r="BV47" s="74"/>
      <c r="BW47" s="74"/>
      <c r="BX47" s="74"/>
      <c r="BY47" s="75"/>
    </row>
    <row r="48" spans="1:79" s="1" customFormat="1" ht="12.75" hidden="1" customHeight="1" x14ac:dyDescent="0.2">
      <c r="A48" s="87" t="s">
        <v>64</v>
      </c>
      <c r="B48" s="88"/>
      <c r="C48" s="88"/>
      <c r="D48" s="89"/>
      <c r="E48" s="87" t="s">
        <v>57</v>
      </c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9"/>
      <c r="U48" s="87" t="s">
        <v>65</v>
      </c>
      <c r="V48" s="88"/>
      <c r="W48" s="88"/>
      <c r="X48" s="88"/>
      <c r="Y48" s="89"/>
      <c r="Z48" s="87" t="s">
        <v>66</v>
      </c>
      <c r="AA48" s="88"/>
      <c r="AB48" s="88"/>
      <c r="AC48" s="88"/>
      <c r="AD48" s="89"/>
      <c r="AE48" s="87" t="s">
        <v>91</v>
      </c>
      <c r="AF48" s="88"/>
      <c r="AG48" s="88"/>
      <c r="AH48" s="89"/>
      <c r="AI48" s="93" t="s">
        <v>169</v>
      </c>
      <c r="AJ48" s="94"/>
      <c r="AK48" s="94"/>
      <c r="AL48" s="94"/>
      <c r="AM48" s="95"/>
      <c r="AN48" s="87" t="s">
        <v>67</v>
      </c>
      <c r="AO48" s="88"/>
      <c r="AP48" s="88"/>
      <c r="AQ48" s="88"/>
      <c r="AR48" s="89"/>
      <c r="AS48" s="87" t="s">
        <v>68</v>
      </c>
      <c r="AT48" s="88"/>
      <c r="AU48" s="88"/>
      <c r="AV48" s="88"/>
      <c r="AW48" s="89"/>
      <c r="AX48" s="87" t="s">
        <v>92</v>
      </c>
      <c r="AY48" s="88"/>
      <c r="AZ48" s="88"/>
      <c r="BA48" s="89"/>
      <c r="BB48" s="93" t="s">
        <v>169</v>
      </c>
      <c r="BC48" s="94"/>
      <c r="BD48" s="94"/>
      <c r="BE48" s="94"/>
      <c r="BF48" s="95"/>
      <c r="BG48" s="87" t="s">
        <v>58</v>
      </c>
      <c r="BH48" s="88"/>
      <c r="BI48" s="88"/>
      <c r="BJ48" s="88"/>
      <c r="BK48" s="89"/>
      <c r="BL48" s="87" t="s">
        <v>59</v>
      </c>
      <c r="BM48" s="88"/>
      <c r="BN48" s="88"/>
      <c r="BO48" s="88"/>
      <c r="BP48" s="89"/>
      <c r="BQ48" s="87" t="s">
        <v>93</v>
      </c>
      <c r="BR48" s="88"/>
      <c r="BS48" s="88"/>
      <c r="BT48" s="89"/>
      <c r="BU48" s="93" t="s">
        <v>169</v>
      </c>
      <c r="BV48" s="94"/>
      <c r="BW48" s="94"/>
      <c r="BX48" s="94"/>
      <c r="BY48" s="95"/>
      <c r="CA48" t="s">
        <v>25</v>
      </c>
    </row>
    <row r="49" spans="1:79" s="4" customFormat="1" ht="25.5" customHeight="1" x14ac:dyDescent="0.2">
      <c r="A49" s="28">
        <v>2610</v>
      </c>
      <c r="B49" s="29"/>
      <c r="C49" s="29"/>
      <c r="D49" s="108"/>
      <c r="E49" s="30" t="s">
        <v>174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2"/>
      <c r="U49" s="45">
        <v>5252692</v>
      </c>
      <c r="V49" s="46"/>
      <c r="W49" s="46"/>
      <c r="X49" s="46"/>
      <c r="Y49" s="47"/>
      <c r="Z49" s="45">
        <v>0</v>
      </c>
      <c r="AA49" s="46"/>
      <c r="AB49" s="46"/>
      <c r="AC49" s="46"/>
      <c r="AD49" s="47"/>
      <c r="AE49" s="45">
        <v>0</v>
      </c>
      <c r="AF49" s="46"/>
      <c r="AG49" s="46"/>
      <c r="AH49" s="47"/>
      <c r="AI49" s="45">
        <f>IF(ISNUMBER(U49),U49,0)+IF(ISNUMBER(Z49),Z49,0)</f>
        <v>5252692</v>
      </c>
      <c r="AJ49" s="46"/>
      <c r="AK49" s="46"/>
      <c r="AL49" s="46"/>
      <c r="AM49" s="47"/>
      <c r="AN49" s="45">
        <v>7018512</v>
      </c>
      <c r="AO49" s="46"/>
      <c r="AP49" s="46"/>
      <c r="AQ49" s="46"/>
      <c r="AR49" s="47"/>
      <c r="AS49" s="45">
        <v>0</v>
      </c>
      <c r="AT49" s="46"/>
      <c r="AU49" s="46"/>
      <c r="AV49" s="46"/>
      <c r="AW49" s="47"/>
      <c r="AX49" s="45">
        <v>0</v>
      </c>
      <c r="AY49" s="46"/>
      <c r="AZ49" s="46"/>
      <c r="BA49" s="47"/>
      <c r="BB49" s="45">
        <f>IF(ISNUMBER(AN49),AN49,0)+IF(ISNUMBER(AS49),AS49,0)</f>
        <v>7018512</v>
      </c>
      <c r="BC49" s="46"/>
      <c r="BD49" s="46"/>
      <c r="BE49" s="46"/>
      <c r="BF49" s="47"/>
      <c r="BG49" s="45">
        <v>8165654</v>
      </c>
      <c r="BH49" s="46"/>
      <c r="BI49" s="46"/>
      <c r="BJ49" s="46"/>
      <c r="BK49" s="47"/>
      <c r="BL49" s="45">
        <v>0</v>
      </c>
      <c r="BM49" s="46"/>
      <c r="BN49" s="46"/>
      <c r="BO49" s="46"/>
      <c r="BP49" s="47"/>
      <c r="BQ49" s="45">
        <v>0</v>
      </c>
      <c r="BR49" s="46"/>
      <c r="BS49" s="46"/>
      <c r="BT49" s="47"/>
      <c r="BU49" s="45">
        <f>IF(ISNUMBER(BG49),BG49,0)+IF(ISNUMBER(BL49),BL49,0)</f>
        <v>8165654</v>
      </c>
      <c r="BV49" s="46"/>
      <c r="BW49" s="46"/>
      <c r="BX49" s="46"/>
      <c r="BY49" s="47"/>
      <c r="CA49" s="4" t="s">
        <v>26</v>
      </c>
    </row>
    <row r="50" spans="1:79" s="5" customFormat="1" ht="12.75" customHeight="1" x14ac:dyDescent="0.2">
      <c r="A50" s="33"/>
      <c r="B50" s="34"/>
      <c r="C50" s="34"/>
      <c r="D50" s="49"/>
      <c r="E50" s="21" t="s">
        <v>147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41">
        <v>5252692</v>
      </c>
      <c r="V50" s="42"/>
      <c r="W50" s="42"/>
      <c r="X50" s="42"/>
      <c r="Y50" s="43"/>
      <c r="Z50" s="41">
        <v>0</v>
      </c>
      <c r="AA50" s="42"/>
      <c r="AB50" s="42"/>
      <c r="AC50" s="42"/>
      <c r="AD50" s="43"/>
      <c r="AE50" s="41">
        <v>0</v>
      </c>
      <c r="AF50" s="42"/>
      <c r="AG50" s="42"/>
      <c r="AH50" s="43"/>
      <c r="AI50" s="41">
        <f>IF(ISNUMBER(U50),U50,0)+IF(ISNUMBER(Z50),Z50,0)</f>
        <v>5252692</v>
      </c>
      <c r="AJ50" s="42"/>
      <c r="AK50" s="42"/>
      <c r="AL50" s="42"/>
      <c r="AM50" s="43"/>
      <c r="AN50" s="41">
        <v>7018512</v>
      </c>
      <c r="AO50" s="42"/>
      <c r="AP50" s="42"/>
      <c r="AQ50" s="42"/>
      <c r="AR50" s="43"/>
      <c r="AS50" s="41">
        <v>0</v>
      </c>
      <c r="AT50" s="42"/>
      <c r="AU50" s="42"/>
      <c r="AV50" s="42"/>
      <c r="AW50" s="43"/>
      <c r="AX50" s="41">
        <v>0</v>
      </c>
      <c r="AY50" s="42"/>
      <c r="AZ50" s="42"/>
      <c r="BA50" s="43"/>
      <c r="BB50" s="41">
        <f>IF(ISNUMBER(AN50),AN50,0)+IF(ISNUMBER(AS50),AS50,0)</f>
        <v>7018512</v>
      </c>
      <c r="BC50" s="42"/>
      <c r="BD50" s="42"/>
      <c r="BE50" s="42"/>
      <c r="BF50" s="43"/>
      <c r="BG50" s="41">
        <v>8165654</v>
      </c>
      <c r="BH50" s="42"/>
      <c r="BI50" s="42"/>
      <c r="BJ50" s="42"/>
      <c r="BK50" s="43"/>
      <c r="BL50" s="41">
        <v>0</v>
      </c>
      <c r="BM50" s="42"/>
      <c r="BN50" s="42"/>
      <c r="BO50" s="42"/>
      <c r="BP50" s="43"/>
      <c r="BQ50" s="41">
        <v>0</v>
      </c>
      <c r="BR50" s="42"/>
      <c r="BS50" s="42"/>
      <c r="BT50" s="43"/>
      <c r="BU50" s="41">
        <f>IF(ISNUMBER(BG50),BG50,0)+IF(ISNUMBER(BL50),BL50,0)</f>
        <v>8165654</v>
      </c>
      <c r="BV50" s="42"/>
      <c r="BW50" s="42"/>
      <c r="BX50" s="42"/>
      <c r="BY50" s="43"/>
    </row>
    <row r="52" spans="1:79" ht="14.25" customHeight="1" x14ac:dyDescent="0.2">
      <c r="A52" s="60" t="s">
        <v>263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spans="1:79" ht="15" customHeight="1" x14ac:dyDescent="0.2">
      <c r="A53" s="76" t="s">
        <v>249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</row>
    <row r="54" spans="1:79" ht="23.1" customHeight="1" x14ac:dyDescent="0.2">
      <c r="A54" s="102" t="s">
        <v>119</v>
      </c>
      <c r="B54" s="103"/>
      <c r="C54" s="103"/>
      <c r="D54" s="103"/>
      <c r="E54" s="104"/>
      <c r="F54" s="37" t="s">
        <v>19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73" t="s">
        <v>250</v>
      </c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5"/>
      <c r="AN54" s="73" t="s">
        <v>253</v>
      </c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5"/>
      <c r="BG54" s="73" t="s">
        <v>261</v>
      </c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5"/>
    </row>
    <row r="55" spans="1:79" ht="51.75" customHeight="1" x14ac:dyDescent="0.2">
      <c r="A55" s="105"/>
      <c r="B55" s="106"/>
      <c r="C55" s="106"/>
      <c r="D55" s="106"/>
      <c r="E55" s="10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73" t="s">
        <v>4</v>
      </c>
      <c r="V55" s="74"/>
      <c r="W55" s="74"/>
      <c r="X55" s="74"/>
      <c r="Y55" s="75"/>
      <c r="Z55" s="73" t="s">
        <v>3</v>
      </c>
      <c r="AA55" s="74"/>
      <c r="AB55" s="74"/>
      <c r="AC55" s="74"/>
      <c r="AD55" s="75"/>
      <c r="AE55" s="96" t="s">
        <v>116</v>
      </c>
      <c r="AF55" s="97"/>
      <c r="AG55" s="97"/>
      <c r="AH55" s="98"/>
      <c r="AI55" s="73" t="s">
        <v>5</v>
      </c>
      <c r="AJ55" s="74"/>
      <c r="AK55" s="74"/>
      <c r="AL55" s="74"/>
      <c r="AM55" s="75"/>
      <c r="AN55" s="73" t="s">
        <v>4</v>
      </c>
      <c r="AO55" s="74"/>
      <c r="AP55" s="74"/>
      <c r="AQ55" s="74"/>
      <c r="AR55" s="75"/>
      <c r="AS55" s="73" t="s">
        <v>3</v>
      </c>
      <c r="AT55" s="74"/>
      <c r="AU55" s="74"/>
      <c r="AV55" s="74"/>
      <c r="AW55" s="75"/>
      <c r="AX55" s="96" t="s">
        <v>116</v>
      </c>
      <c r="AY55" s="97"/>
      <c r="AZ55" s="97"/>
      <c r="BA55" s="98"/>
      <c r="BB55" s="73" t="s">
        <v>96</v>
      </c>
      <c r="BC55" s="74"/>
      <c r="BD55" s="74"/>
      <c r="BE55" s="74"/>
      <c r="BF55" s="75"/>
      <c r="BG55" s="73" t="s">
        <v>4</v>
      </c>
      <c r="BH55" s="74"/>
      <c r="BI55" s="74"/>
      <c r="BJ55" s="74"/>
      <c r="BK55" s="75"/>
      <c r="BL55" s="73" t="s">
        <v>3</v>
      </c>
      <c r="BM55" s="74"/>
      <c r="BN55" s="74"/>
      <c r="BO55" s="74"/>
      <c r="BP55" s="75"/>
      <c r="BQ55" s="96" t="s">
        <v>116</v>
      </c>
      <c r="BR55" s="97"/>
      <c r="BS55" s="97"/>
      <c r="BT55" s="98"/>
      <c r="BU55" s="37" t="s">
        <v>97</v>
      </c>
      <c r="BV55" s="37"/>
      <c r="BW55" s="37"/>
      <c r="BX55" s="37"/>
      <c r="BY55" s="37"/>
    </row>
    <row r="56" spans="1:79" ht="15" customHeight="1" x14ac:dyDescent="0.2">
      <c r="A56" s="73">
        <v>1</v>
      </c>
      <c r="B56" s="74"/>
      <c r="C56" s="74"/>
      <c r="D56" s="74"/>
      <c r="E56" s="75"/>
      <c r="F56" s="73">
        <v>2</v>
      </c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5"/>
      <c r="U56" s="73">
        <v>3</v>
      </c>
      <c r="V56" s="74"/>
      <c r="W56" s="74"/>
      <c r="X56" s="74"/>
      <c r="Y56" s="75"/>
      <c r="Z56" s="73">
        <v>4</v>
      </c>
      <c r="AA56" s="74"/>
      <c r="AB56" s="74"/>
      <c r="AC56" s="74"/>
      <c r="AD56" s="75"/>
      <c r="AE56" s="73">
        <v>5</v>
      </c>
      <c r="AF56" s="74"/>
      <c r="AG56" s="74"/>
      <c r="AH56" s="75"/>
      <c r="AI56" s="73">
        <v>6</v>
      </c>
      <c r="AJ56" s="74"/>
      <c r="AK56" s="74"/>
      <c r="AL56" s="74"/>
      <c r="AM56" s="75"/>
      <c r="AN56" s="73">
        <v>7</v>
      </c>
      <c r="AO56" s="74"/>
      <c r="AP56" s="74"/>
      <c r="AQ56" s="74"/>
      <c r="AR56" s="75"/>
      <c r="AS56" s="73">
        <v>8</v>
      </c>
      <c r="AT56" s="74"/>
      <c r="AU56" s="74"/>
      <c r="AV56" s="74"/>
      <c r="AW56" s="75"/>
      <c r="AX56" s="73">
        <v>9</v>
      </c>
      <c r="AY56" s="74"/>
      <c r="AZ56" s="74"/>
      <c r="BA56" s="75"/>
      <c r="BB56" s="73">
        <v>10</v>
      </c>
      <c r="BC56" s="74"/>
      <c r="BD56" s="74"/>
      <c r="BE56" s="74"/>
      <c r="BF56" s="75"/>
      <c r="BG56" s="73">
        <v>11</v>
      </c>
      <c r="BH56" s="74"/>
      <c r="BI56" s="74"/>
      <c r="BJ56" s="74"/>
      <c r="BK56" s="75"/>
      <c r="BL56" s="73">
        <v>12</v>
      </c>
      <c r="BM56" s="74"/>
      <c r="BN56" s="74"/>
      <c r="BO56" s="74"/>
      <c r="BP56" s="75"/>
      <c r="BQ56" s="73">
        <v>13</v>
      </c>
      <c r="BR56" s="74"/>
      <c r="BS56" s="74"/>
      <c r="BT56" s="75"/>
      <c r="BU56" s="37">
        <v>14</v>
      </c>
      <c r="BV56" s="37"/>
      <c r="BW56" s="37"/>
      <c r="BX56" s="37"/>
      <c r="BY56" s="37"/>
    </row>
    <row r="57" spans="1:79" s="1" customFormat="1" ht="13.5" hidden="1" customHeight="1" x14ac:dyDescent="0.2">
      <c r="A57" s="87" t="s">
        <v>64</v>
      </c>
      <c r="B57" s="88"/>
      <c r="C57" s="88"/>
      <c r="D57" s="88"/>
      <c r="E57" s="89"/>
      <c r="F57" s="87" t="s">
        <v>57</v>
      </c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9"/>
      <c r="U57" s="87" t="s">
        <v>65</v>
      </c>
      <c r="V57" s="88"/>
      <c r="W57" s="88"/>
      <c r="X57" s="88"/>
      <c r="Y57" s="89"/>
      <c r="Z57" s="87" t="s">
        <v>66</v>
      </c>
      <c r="AA57" s="88"/>
      <c r="AB57" s="88"/>
      <c r="AC57" s="88"/>
      <c r="AD57" s="89"/>
      <c r="AE57" s="87" t="s">
        <v>91</v>
      </c>
      <c r="AF57" s="88"/>
      <c r="AG57" s="88"/>
      <c r="AH57" s="89"/>
      <c r="AI57" s="93" t="s">
        <v>169</v>
      </c>
      <c r="AJ57" s="94"/>
      <c r="AK57" s="94"/>
      <c r="AL57" s="94"/>
      <c r="AM57" s="95"/>
      <c r="AN57" s="87" t="s">
        <v>67</v>
      </c>
      <c r="AO57" s="88"/>
      <c r="AP57" s="88"/>
      <c r="AQ57" s="88"/>
      <c r="AR57" s="89"/>
      <c r="AS57" s="87" t="s">
        <v>68</v>
      </c>
      <c r="AT57" s="88"/>
      <c r="AU57" s="88"/>
      <c r="AV57" s="88"/>
      <c r="AW57" s="89"/>
      <c r="AX57" s="87" t="s">
        <v>92</v>
      </c>
      <c r="AY57" s="88"/>
      <c r="AZ57" s="88"/>
      <c r="BA57" s="89"/>
      <c r="BB57" s="93" t="s">
        <v>169</v>
      </c>
      <c r="BC57" s="94"/>
      <c r="BD57" s="94"/>
      <c r="BE57" s="94"/>
      <c r="BF57" s="95"/>
      <c r="BG57" s="87" t="s">
        <v>58</v>
      </c>
      <c r="BH57" s="88"/>
      <c r="BI57" s="88"/>
      <c r="BJ57" s="88"/>
      <c r="BK57" s="89"/>
      <c r="BL57" s="87" t="s">
        <v>59</v>
      </c>
      <c r="BM57" s="88"/>
      <c r="BN57" s="88"/>
      <c r="BO57" s="88"/>
      <c r="BP57" s="89"/>
      <c r="BQ57" s="87" t="s">
        <v>93</v>
      </c>
      <c r="BR57" s="88"/>
      <c r="BS57" s="88"/>
      <c r="BT57" s="89"/>
      <c r="BU57" s="83" t="s">
        <v>169</v>
      </c>
      <c r="BV57" s="83"/>
      <c r="BW57" s="83"/>
      <c r="BX57" s="83"/>
      <c r="BY57" s="83"/>
      <c r="CA57" t="s">
        <v>27</v>
      </c>
    </row>
    <row r="58" spans="1:79" s="5" customFormat="1" ht="12.75" customHeight="1" x14ac:dyDescent="0.2">
      <c r="A58" s="33"/>
      <c r="B58" s="34"/>
      <c r="C58" s="34"/>
      <c r="D58" s="34"/>
      <c r="E58" s="49"/>
      <c r="F58" s="33" t="s">
        <v>147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49"/>
      <c r="U58" s="41"/>
      <c r="V58" s="42"/>
      <c r="W58" s="42"/>
      <c r="X58" s="42"/>
      <c r="Y58" s="43"/>
      <c r="Z58" s="41"/>
      <c r="AA58" s="42"/>
      <c r="AB58" s="42"/>
      <c r="AC58" s="42"/>
      <c r="AD58" s="43"/>
      <c r="AE58" s="41"/>
      <c r="AF58" s="42"/>
      <c r="AG58" s="42"/>
      <c r="AH58" s="43"/>
      <c r="AI58" s="41">
        <f>IF(ISNUMBER(U58),U58,0)+IF(ISNUMBER(Z58),Z58,0)</f>
        <v>0</v>
      </c>
      <c r="AJ58" s="42"/>
      <c r="AK58" s="42"/>
      <c r="AL58" s="42"/>
      <c r="AM58" s="43"/>
      <c r="AN58" s="41"/>
      <c r="AO58" s="42"/>
      <c r="AP58" s="42"/>
      <c r="AQ58" s="42"/>
      <c r="AR58" s="43"/>
      <c r="AS58" s="41"/>
      <c r="AT58" s="42"/>
      <c r="AU58" s="42"/>
      <c r="AV58" s="42"/>
      <c r="AW58" s="43"/>
      <c r="AX58" s="41"/>
      <c r="AY58" s="42"/>
      <c r="AZ58" s="42"/>
      <c r="BA58" s="43"/>
      <c r="BB58" s="41">
        <f>IF(ISNUMBER(AN58),AN58,0)+IF(ISNUMBER(AS58),AS58,0)</f>
        <v>0</v>
      </c>
      <c r="BC58" s="42"/>
      <c r="BD58" s="42"/>
      <c r="BE58" s="42"/>
      <c r="BF58" s="43"/>
      <c r="BG58" s="41"/>
      <c r="BH58" s="42"/>
      <c r="BI58" s="42"/>
      <c r="BJ58" s="42"/>
      <c r="BK58" s="43"/>
      <c r="BL58" s="41"/>
      <c r="BM58" s="42"/>
      <c r="BN58" s="42"/>
      <c r="BO58" s="42"/>
      <c r="BP58" s="43"/>
      <c r="BQ58" s="41"/>
      <c r="BR58" s="42"/>
      <c r="BS58" s="42"/>
      <c r="BT58" s="43"/>
      <c r="BU58" s="41">
        <f>IF(ISNUMBER(BG58),BG58,0)+IF(ISNUMBER(BL58),BL58,0)</f>
        <v>0</v>
      </c>
      <c r="BV58" s="42"/>
      <c r="BW58" s="42"/>
      <c r="BX58" s="42"/>
      <c r="BY58" s="43"/>
      <c r="CA58" s="5" t="s">
        <v>28</v>
      </c>
    </row>
    <row r="60" spans="1:79" ht="14.25" customHeight="1" x14ac:dyDescent="0.2">
      <c r="A60" s="60" t="s">
        <v>277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spans="1:79" ht="15" customHeight="1" x14ac:dyDescent="0.2">
      <c r="A61" s="76" t="s">
        <v>249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</row>
    <row r="62" spans="1:79" ht="23.1" customHeight="1" x14ac:dyDescent="0.2">
      <c r="A62" s="102" t="s">
        <v>118</v>
      </c>
      <c r="B62" s="103"/>
      <c r="C62" s="103"/>
      <c r="D62" s="104"/>
      <c r="E62" s="77" t="s">
        <v>19</v>
      </c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9"/>
      <c r="X62" s="73" t="s">
        <v>271</v>
      </c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5"/>
      <c r="AR62" s="37" t="s">
        <v>276</v>
      </c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</row>
    <row r="63" spans="1:79" ht="48.75" customHeight="1" x14ac:dyDescent="0.2">
      <c r="A63" s="105"/>
      <c r="B63" s="106"/>
      <c r="C63" s="106"/>
      <c r="D63" s="107"/>
      <c r="E63" s="80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2"/>
      <c r="X63" s="77" t="s">
        <v>4</v>
      </c>
      <c r="Y63" s="78"/>
      <c r="Z63" s="78"/>
      <c r="AA63" s="78"/>
      <c r="AB63" s="79"/>
      <c r="AC63" s="77" t="s">
        <v>3</v>
      </c>
      <c r="AD63" s="78"/>
      <c r="AE63" s="78"/>
      <c r="AF63" s="78"/>
      <c r="AG63" s="79"/>
      <c r="AH63" s="96" t="s">
        <v>116</v>
      </c>
      <c r="AI63" s="97"/>
      <c r="AJ63" s="97"/>
      <c r="AK63" s="97"/>
      <c r="AL63" s="98"/>
      <c r="AM63" s="73" t="s">
        <v>5</v>
      </c>
      <c r="AN63" s="74"/>
      <c r="AO63" s="74"/>
      <c r="AP63" s="74"/>
      <c r="AQ63" s="75"/>
      <c r="AR63" s="73" t="s">
        <v>4</v>
      </c>
      <c r="AS63" s="74"/>
      <c r="AT63" s="74"/>
      <c r="AU63" s="74"/>
      <c r="AV63" s="75"/>
      <c r="AW63" s="73" t="s">
        <v>3</v>
      </c>
      <c r="AX63" s="74"/>
      <c r="AY63" s="74"/>
      <c r="AZ63" s="74"/>
      <c r="BA63" s="75"/>
      <c r="BB63" s="96" t="s">
        <v>116</v>
      </c>
      <c r="BC63" s="97"/>
      <c r="BD63" s="97"/>
      <c r="BE63" s="97"/>
      <c r="BF63" s="98"/>
      <c r="BG63" s="73" t="s">
        <v>96</v>
      </c>
      <c r="BH63" s="74"/>
      <c r="BI63" s="74"/>
      <c r="BJ63" s="74"/>
      <c r="BK63" s="75"/>
    </row>
    <row r="64" spans="1:79" ht="12.75" customHeight="1" x14ac:dyDescent="0.2">
      <c r="A64" s="73">
        <v>1</v>
      </c>
      <c r="B64" s="74"/>
      <c r="C64" s="74"/>
      <c r="D64" s="75"/>
      <c r="E64" s="73">
        <v>2</v>
      </c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5"/>
      <c r="X64" s="73">
        <v>3</v>
      </c>
      <c r="Y64" s="74"/>
      <c r="Z64" s="74"/>
      <c r="AA64" s="74"/>
      <c r="AB64" s="75"/>
      <c r="AC64" s="73">
        <v>4</v>
      </c>
      <c r="AD64" s="74"/>
      <c r="AE64" s="74"/>
      <c r="AF64" s="74"/>
      <c r="AG64" s="75"/>
      <c r="AH64" s="73">
        <v>5</v>
      </c>
      <c r="AI64" s="74"/>
      <c r="AJ64" s="74"/>
      <c r="AK64" s="74"/>
      <c r="AL64" s="75"/>
      <c r="AM64" s="73">
        <v>6</v>
      </c>
      <c r="AN64" s="74"/>
      <c r="AO64" s="74"/>
      <c r="AP64" s="74"/>
      <c r="AQ64" s="75"/>
      <c r="AR64" s="73">
        <v>7</v>
      </c>
      <c r="AS64" s="74"/>
      <c r="AT64" s="74"/>
      <c r="AU64" s="74"/>
      <c r="AV64" s="75"/>
      <c r="AW64" s="73">
        <v>8</v>
      </c>
      <c r="AX64" s="74"/>
      <c r="AY64" s="74"/>
      <c r="AZ64" s="74"/>
      <c r="BA64" s="75"/>
      <c r="BB64" s="73">
        <v>9</v>
      </c>
      <c r="BC64" s="74"/>
      <c r="BD64" s="74"/>
      <c r="BE64" s="74"/>
      <c r="BF64" s="75"/>
      <c r="BG64" s="73">
        <v>10</v>
      </c>
      <c r="BH64" s="74"/>
      <c r="BI64" s="74"/>
      <c r="BJ64" s="74"/>
      <c r="BK64" s="75"/>
    </row>
    <row r="65" spans="1:79" s="1" customFormat="1" ht="12.75" hidden="1" customHeight="1" x14ac:dyDescent="0.2">
      <c r="A65" s="87" t="s">
        <v>64</v>
      </c>
      <c r="B65" s="88"/>
      <c r="C65" s="88"/>
      <c r="D65" s="89"/>
      <c r="E65" s="87" t="s">
        <v>57</v>
      </c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9"/>
      <c r="X65" s="109" t="s">
        <v>60</v>
      </c>
      <c r="Y65" s="110"/>
      <c r="Z65" s="110"/>
      <c r="AA65" s="110"/>
      <c r="AB65" s="111"/>
      <c r="AC65" s="109" t="s">
        <v>61</v>
      </c>
      <c r="AD65" s="110"/>
      <c r="AE65" s="110"/>
      <c r="AF65" s="110"/>
      <c r="AG65" s="111"/>
      <c r="AH65" s="87" t="s">
        <v>94</v>
      </c>
      <c r="AI65" s="88"/>
      <c r="AJ65" s="88"/>
      <c r="AK65" s="88"/>
      <c r="AL65" s="89"/>
      <c r="AM65" s="93" t="s">
        <v>170</v>
      </c>
      <c r="AN65" s="94"/>
      <c r="AO65" s="94"/>
      <c r="AP65" s="94"/>
      <c r="AQ65" s="95"/>
      <c r="AR65" s="87" t="s">
        <v>62</v>
      </c>
      <c r="AS65" s="88"/>
      <c r="AT65" s="88"/>
      <c r="AU65" s="88"/>
      <c r="AV65" s="89"/>
      <c r="AW65" s="87" t="s">
        <v>63</v>
      </c>
      <c r="AX65" s="88"/>
      <c r="AY65" s="88"/>
      <c r="AZ65" s="88"/>
      <c r="BA65" s="89"/>
      <c r="BB65" s="87" t="s">
        <v>95</v>
      </c>
      <c r="BC65" s="88"/>
      <c r="BD65" s="88"/>
      <c r="BE65" s="88"/>
      <c r="BF65" s="89"/>
      <c r="BG65" s="93" t="s">
        <v>170</v>
      </c>
      <c r="BH65" s="94"/>
      <c r="BI65" s="94"/>
      <c r="BJ65" s="94"/>
      <c r="BK65" s="95"/>
      <c r="CA65" t="s">
        <v>29</v>
      </c>
    </row>
    <row r="66" spans="1:79" s="4" customFormat="1" ht="25.5" customHeight="1" x14ac:dyDescent="0.2">
      <c r="A66" s="28">
        <v>2610</v>
      </c>
      <c r="B66" s="29"/>
      <c r="C66" s="29"/>
      <c r="D66" s="108"/>
      <c r="E66" s="30" t="s">
        <v>174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2"/>
      <c r="X66" s="45">
        <v>8974054</v>
      </c>
      <c r="Y66" s="46"/>
      <c r="Z66" s="46"/>
      <c r="AA66" s="46"/>
      <c r="AB66" s="47"/>
      <c r="AC66" s="45">
        <v>0</v>
      </c>
      <c r="AD66" s="46"/>
      <c r="AE66" s="46"/>
      <c r="AF66" s="46"/>
      <c r="AG66" s="47"/>
      <c r="AH66" s="45">
        <v>0</v>
      </c>
      <c r="AI66" s="46"/>
      <c r="AJ66" s="46"/>
      <c r="AK66" s="46"/>
      <c r="AL66" s="47"/>
      <c r="AM66" s="45">
        <f>IF(ISNUMBER(X66),X66,0)+IF(ISNUMBER(AC66),AC66,0)</f>
        <v>8974054</v>
      </c>
      <c r="AN66" s="46"/>
      <c r="AO66" s="46"/>
      <c r="AP66" s="46"/>
      <c r="AQ66" s="47"/>
      <c r="AR66" s="45">
        <v>9691978</v>
      </c>
      <c r="AS66" s="46"/>
      <c r="AT66" s="46"/>
      <c r="AU66" s="46"/>
      <c r="AV66" s="47"/>
      <c r="AW66" s="45">
        <v>0</v>
      </c>
      <c r="AX66" s="46"/>
      <c r="AY66" s="46"/>
      <c r="AZ66" s="46"/>
      <c r="BA66" s="47"/>
      <c r="BB66" s="45">
        <v>0</v>
      </c>
      <c r="BC66" s="46"/>
      <c r="BD66" s="46"/>
      <c r="BE66" s="46"/>
      <c r="BF66" s="47"/>
      <c r="BG66" s="48">
        <f>IF(ISNUMBER(AR66),AR66,0)+IF(ISNUMBER(AW66),AW66,0)</f>
        <v>9691978</v>
      </c>
      <c r="BH66" s="48"/>
      <c r="BI66" s="48"/>
      <c r="BJ66" s="48"/>
      <c r="BK66" s="48"/>
      <c r="CA66" s="4" t="s">
        <v>30</v>
      </c>
    </row>
    <row r="67" spans="1:79" s="5" customFormat="1" ht="12.75" customHeight="1" x14ac:dyDescent="0.2">
      <c r="A67" s="33"/>
      <c r="B67" s="34"/>
      <c r="C67" s="34"/>
      <c r="D67" s="49"/>
      <c r="E67" s="21" t="s">
        <v>147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  <c r="X67" s="41">
        <v>8974054</v>
      </c>
      <c r="Y67" s="42"/>
      <c r="Z67" s="42"/>
      <c r="AA67" s="42"/>
      <c r="AB67" s="43"/>
      <c r="AC67" s="41">
        <v>0</v>
      </c>
      <c r="AD67" s="42"/>
      <c r="AE67" s="42"/>
      <c r="AF67" s="42"/>
      <c r="AG67" s="43"/>
      <c r="AH67" s="41">
        <v>0</v>
      </c>
      <c r="AI67" s="42"/>
      <c r="AJ67" s="42"/>
      <c r="AK67" s="42"/>
      <c r="AL67" s="43"/>
      <c r="AM67" s="41">
        <f>IF(ISNUMBER(X67),X67,0)+IF(ISNUMBER(AC67),AC67,0)</f>
        <v>8974054</v>
      </c>
      <c r="AN67" s="42"/>
      <c r="AO67" s="42"/>
      <c r="AP67" s="42"/>
      <c r="AQ67" s="43"/>
      <c r="AR67" s="41">
        <v>9691978</v>
      </c>
      <c r="AS67" s="42"/>
      <c r="AT67" s="42"/>
      <c r="AU67" s="42"/>
      <c r="AV67" s="43"/>
      <c r="AW67" s="41">
        <v>0</v>
      </c>
      <c r="AX67" s="42"/>
      <c r="AY67" s="42"/>
      <c r="AZ67" s="42"/>
      <c r="BA67" s="43"/>
      <c r="BB67" s="41">
        <v>0</v>
      </c>
      <c r="BC67" s="42"/>
      <c r="BD67" s="42"/>
      <c r="BE67" s="42"/>
      <c r="BF67" s="43"/>
      <c r="BG67" s="44">
        <f>IF(ISNUMBER(AR67),AR67,0)+IF(ISNUMBER(AW67),AW67,0)</f>
        <v>9691978</v>
      </c>
      <c r="BH67" s="44"/>
      <c r="BI67" s="44"/>
      <c r="BJ67" s="44"/>
      <c r="BK67" s="44"/>
    </row>
    <row r="69" spans="1:79" ht="14.25" customHeight="1" x14ac:dyDescent="0.2">
      <c r="A69" s="60" t="s">
        <v>278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</row>
    <row r="70" spans="1:79" ht="15" customHeight="1" x14ac:dyDescent="0.2">
      <c r="A70" s="76" t="s">
        <v>249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</row>
    <row r="71" spans="1:79" ht="23.1" customHeight="1" x14ac:dyDescent="0.2">
      <c r="A71" s="102" t="s">
        <v>119</v>
      </c>
      <c r="B71" s="103"/>
      <c r="C71" s="103"/>
      <c r="D71" s="103"/>
      <c r="E71" s="104"/>
      <c r="F71" s="77" t="s">
        <v>19</v>
      </c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9"/>
      <c r="X71" s="37" t="s">
        <v>271</v>
      </c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73" t="s">
        <v>276</v>
      </c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5"/>
    </row>
    <row r="72" spans="1:79" ht="53.25" customHeight="1" x14ac:dyDescent="0.2">
      <c r="A72" s="105"/>
      <c r="B72" s="106"/>
      <c r="C72" s="106"/>
      <c r="D72" s="106"/>
      <c r="E72" s="107"/>
      <c r="F72" s="80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2"/>
      <c r="X72" s="73" t="s">
        <v>4</v>
      </c>
      <c r="Y72" s="74"/>
      <c r="Z72" s="74"/>
      <c r="AA72" s="74"/>
      <c r="AB72" s="75"/>
      <c r="AC72" s="73" t="s">
        <v>3</v>
      </c>
      <c r="AD72" s="74"/>
      <c r="AE72" s="74"/>
      <c r="AF72" s="74"/>
      <c r="AG72" s="75"/>
      <c r="AH72" s="96" t="s">
        <v>116</v>
      </c>
      <c r="AI72" s="97"/>
      <c r="AJ72" s="97"/>
      <c r="AK72" s="97"/>
      <c r="AL72" s="98"/>
      <c r="AM72" s="73" t="s">
        <v>5</v>
      </c>
      <c r="AN72" s="74"/>
      <c r="AO72" s="74"/>
      <c r="AP72" s="74"/>
      <c r="AQ72" s="75"/>
      <c r="AR72" s="73" t="s">
        <v>4</v>
      </c>
      <c r="AS72" s="74"/>
      <c r="AT72" s="74"/>
      <c r="AU72" s="74"/>
      <c r="AV72" s="75"/>
      <c r="AW72" s="73" t="s">
        <v>3</v>
      </c>
      <c r="AX72" s="74"/>
      <c r="AY72" s="74"/>
      <c r="AZ72" s="74"/>
      <c r="BA72" s="75"/>
      <c r="BB72" s="67" t="s">
        <v>116</v>
      </c>
      <c r="BC72" s="67"/>
      <c r="BD72" s="67"/>
      <c r="BE72" s="67"/>
      <c r="BF72" s="67"/>
      <c r="BG72" s="73" t="s">
        <v>96</v>
      </c>
      <c r="BH72" s="74"/>
      <c r="BI72" s="74"/>
      <c r="BJ72" s="74"/>
      <c r="BK72" s="75"/>
    </row>
    <row r="73" spans="1:79" ht="15" customHeight="1" x14ac:dyDescent="0.2">
      <c r="A73" s="73">
        <v>1</v>
      </c>
      <c r="B73" s="74"/>
      <c r="C73" s="74"/>
      <c r="D73" s="74"/>
      <c r="E73" s="75"/>
      <c r="F73" s="73">
        <v>2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5"/>
      <c r="X73" s="73">
        <v>3</v>
      </c>
      <c r="Y73" s="74"/>
      <c r="Z73" s="74"/>
      <c r="AA73" s="74"/>
      <c r="AB73" s="75"/>
      <c r="AC73" s="73">
        <v>4</v>
      </c>
      <c r="AD73" s="74"/>
      <c r="AE73" s="74"/>
      <c r="AF73" s="74"/>
      <c r="AG73" s="75"/>
      <c r="AH73" s="73">
        <v>5</v>
      </c>
      <c r="AI73" s="74"/>
      <c r="AJ73" s="74"/>
      <c r="AK73" s="74"/>
      <c r="AL73" s="75"/>
      <c r="AM73" s="73">
        <v>6</v>
      </c>
      <c r="AN73" s="74"/>
      <c r="AO73" s="74"/>
      <c r="AP73" s="74"/>
      <c r="AQ73" s="75"/>
      <c r="AR73" s="73">
        <v>7</v>
      </c>
      <c r="AS73" s="74"/>
      <c r="AT73" s="74"/>
      <c r="AU73" s="74"/>
      <c r="AV73" s="75"/>
      <c r="AW73" s="73">
        <v>8</v>
      </c>
      <c r="AX73" s="74"/>
      <c r="AY73" s="74"/>
      <c r="AZ73" s="74"/>
      <c r="BA73" s="75"/>
      <c r="BB73" s="73">
        <v>9</v>
      </c>
      <c r="BC73" s="74"/>
      <c r="BD73" s="74"/>
      <c r="BE73" s="74"/>
      <c r="BF73" s="75"/>
      <c r="BG73" s="73">
        <v>10</v>
      </c>
      <c r="BH73" s="74"/>
      <c r="BI73" s="74"/>
      <c r="BJ73" s="74"/>
      <c r="BK73" s="75"/>
    </row>
    <row r="74" spans="1:79" s="1" customFormat="1" ht="15" hidden="1" customHeight="1" x14ac:dyDescent="0.2">
      <c r="A74" s="87" t="s">
        <v>64</v>
      </c>
      <c r="B74" s="88"/>
      <c r="C74" s="88"/>
      <c r="D74" s="88"/>
      <c r="E74" s="89"/>
      <c r="F74" s="87" t="s">
        <v>57</v>
      </c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9"/>
      <c r="X74" s="87" t="s">
        <v>60</v>
      </c>
      <c r="Y74" s="88"/>
      <c r="Z74" s="88"/>
      <c r="AA74" s="88"/>
      <c r="AB74" s="89"/>
      <c r="AC74" s="87" t="s">
        <v>61</v>
      </c>
      <c r="AD74" s="88"/>
      <c r="AE74" s="88"/>
      <c r="AF74" s="88"/>
      <c r="AG74" s="89"/>
      <c r="AH74" s="87" t="s">
        <v>94</v>
      </c>
      <c r="AI74" s="88"/>
      <c r="AJ74" s="88"/>
      <c r="AK74" s="88"/>
      <c r="AL74" s="89"/>
      <c r="AM74" s="93" t="s">
        <v>170</v>
      </c>
      <c r="AN74" s="94"/>
      <c r="AO74" s="94"/>
      <c r="AP74" s="94"/>
      <c r="AQ74" s="95"/>
      <c r="AR74" s="87" t="s">
        <v>62</v>
      </c>
      <c r="AS74" s="88"/>
      <c r="AT74" s="88"/>
      <c r="AU74" s="88"/>
      <c r="AV74" s="89"/>
      <c r="AW74" s="87" t="s">
        <v>63</v>
      </c>
      <c r="AX74" s="88"/>
      <c r="AY74" s="88"/>
      <c r="AZ74" s="88"/>
      <c r="BA74" s="89"/>
      <c r="BB74" s="87" t="s">
        <v>95</v>
      </c>
      <c r="BC74" s="88"/>
      <c r="BD74" s="88"/>
      <c r="BE74" s="88"/>
      <c r="BF74" s="89"/>
      <c r="BG74" s="93" t="s">
        <v>170</v>
      </c>
      <c r="BH74" s="94"/>
      <c r="BI74" s="94"/>
      <c r="BJ74" s="94"/>
      <c r="BK74" s="95"/>
      <c r="CA74" t="s">
        <v>31</v>
      </c>
    </row>
    <row r="75" spans="1:79" s="5" customFormat="1" ht="12.75" customHeight="1" x14ac:dyDescent="0.2">
      <c r="A75" s="33"/>
      <c r="B75" s="34"/>
      <c r="C75" s="34"/>
      <c r="D75" s="34"/>
      <c r="E75" s="49"/>
      <c r="F75" s="33" t="s">
        <v>147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49"/>
      <c r="X75" s="99"/>
      <c r="Y75" s="100"/>
      <c r="Z75" s="100"/>
      <c r="AA75" s="100"/>
      <c r="AB75" s="101"/>
      <c r="AC75" s="99"/>
      <c r="AD75" s="100"/>
      <c r="AE75" s="100"/>
      <c r="AF75" s="100"/>
      <c r="AG75" s="101"/>
      <c r="AH75" s="44"/>
      <c r="AI75" s="44"/>
      <c r="AJ75" s="44"/>
      <c r="AK75" s="44"/>
      <c r="AL75" s="44"/>
      <c r="AM75" s="44">
        <f>IF(ISNUMBER(X75),X75,0)+IF(ISNUMBER(AC75),AC75,0)</f>
        <v>0</v>
      </c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>
        <f>IF(ISNUMBER(AR75),AR75,0)+IF(ISNUMBER(AW75),AW75,0)</f>
        <v>0</v>
      </c>
      <c r="BH75" s="44"/>
      <c r="BI75" s="44"/>
      <c r="BJ75" s="44"/>
      <c r="BK75" s="44"/>
      <c r="CA75" s="5" t="s">
        <v>32</v>
      </c>
    </row>
    <row r="77" spans="1:79" ht="14.25" customHeight="1" x14ac:dyDescent="0.2">
      <c r="A77" s="60" t="s">
        <v>120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</row>
    <row r="78" spans="1:79" ht="14.25" customHeight="1" x14ac:dyDescent="0.2">
      <c r="A78" s="60" t="s">
        <v>264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</row>
    <row r="79" spans="1:79" ht="15" customHeight="1" x14ac:dyDescent="0.2">
      <c r="A79" s="76" t="s">
        <v>249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</row>
    <row r="80" spans="1:79" ht="23.1" customHeight="1" x14ac:dyDescent="0.2">
      <c r="A80" s="77" t="s">
        <v>6</v>
      </c>
      <c r="B80" s="78"/>
      <c r="C80" s="78"/>
      <c r="D80" s="77" t="s">
        <v>121</v>
      </c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9"/>
      <c r="U80" s="73" t="s">
        <v>250</v>
      </c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5"/>
      <c r="AN80" s="73" t="s">
        <v>253</v>
      </c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5"/>
      <c r="BG80" s="37" t="s">
        <v>261</v>
      </c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</row>
    <row r="81" spans="1:79" ht="52.5" customHeight="1" x14ac:dyDescent="0.2">
      <c r="A81" s="80"/>
      <c r="B81" s="81"/>
      <c r="C81" s="81"/>
      <c r="D81" s="80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2"/>
      <c r="U81" s="73" t="s">
        <v>4</v>
      </c>
      <c r="V81" s="74"/>
      <c r="W81" s="74"/>
      <c r="X81" s="74"/>
      <c r="Y81" s="75"/>
      <c r="Z81" s="73" t="s">
        <v>3</v>
      </c>
      <c r="AA81" s="74"/>
      <c r="AB81" s="74"/>
      <c r="AC81" s="74"/>
      <c r="AD81" s="75"/>
      <c r="AE81" s="96" t="s">
        <v>116</v>
      </c>
      <c r="AF81" s="97"/>
      <c r="AG81" s="97"/>
      <c r="AH81" s="98"/>
      <c r="AI81" s="73" t="s">
        <v>5</v>
      </c>
      <c r="AJ81" s="74"/>
      <c r="AK81" s="74"/>
      <c r="AL81" s="74"/>
      <c r="AM81" s="75"/>
      <c r="AN81" s="73" t="s">
        <v>4</v>
      </c>
      <c r="AO81" s="74"/>
      <c r="AP81" s="74"/>
      <c r="AQ81" s="74"/>
      <c r="AR81" s="75"/>
      <c r="AS81" s="73" t="s">
        <v>3</v>
      </c>
      <c r="AT81" s="74"/>
      <c r="AU81" s="74"/>
      <c r="AV81" s="74"/>
      <c r="AW81" s="75"/>
      <c r="AX81" s="96" t="s">
        <v>116</v>
      </c>
      <c r="AY81" s="97"/>
      <c r="AZ81" s="97"/>
      <c r="BA81" s="98"/>
      <c r="BB81" s="73" t="s">
        <v>96</v>
      </c>
      <c r="BC81" s="74"/>
      <c r="BD81" s="74"/>
      <c r="BE81" s="74"/>
      <c r="BF81" s="75"/>
      <c r="BG81" s="73" t="s">
        <v>4</v>
      </c>
      <c r="BH81" s="74"/>
      <c r="BI81" s="74"/>
      <c r="BJ81" s="74"/>
      <c r="BK81" s="75"/>
      <c r="BL81" s="37" t="s">
        <v>3</v>
      </c>
      <c r="BM81" s="37"/>
      <c r="BN81" s="37"/>
      <c r="BO81" s="37"/>
      <c r="BP81" s="37"/>
      <c r="BQ81" s="67" t="s">
        <v>116</v>
      </c>
      <c r="BR81" s="67"/>
      <c r="BS81" s="67"/>
      <c r="BT81" s="67"/>
      <c r="BU81" s="73" t="s">
        <v>97</v>
      </c>
      <c r="BV81" s="74"/>
      <c r="BW81" s="74"/>
      <c r="BX81" s="74"/>
      <c r="BY81" s="75"/>
    </row>
    <row r="82" spans="1:79" ht="15" customHeight="1" x14ac:dyDescent="0.2">
      <c r="A82" s="73">
        <v>1</v>
      </c>
      <c r="B82" s="74"/>
      <c r="C82" s="74"/>
      <c r="D82" s="73">
        <v>2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5"/>
      <c r="U82" s="73">
        <v>3</v>
      </c>
      <c r="V82" s="74"/>
      <c r="W82" s="74"/>
      <c r="X82" s="74"/>
      <c r="Y82" s="75"/>
      <c r="Z82" s="73">
        <v>4</v>
      </c>
      <c r="AA82" s="74"/>
      <c r="AB82" s="74"/>
      <c r="AC82" s="74"/>
      <c r="AD82" s="75"/>
      <c r="AE82" s="73">
        <v>5</v>
      </c>
      <c r="AF82" s="74"/>
      <c r="AG82" s="74"/>
      <c r="AH82" s="75"/>
      <c r="AI82" s="73">
        <v>6</v>
      </c>
      <c r="AJ82" s="74"/>
      <c r="AK82" s="74"/>
      <c r="AL82" s="74"/>
      <c r="AM82" s="75"/>
      <c r="AN82" s="73">
        <v>7</v>
      </c>
      <c r="AO82" s="74"/>
      <c r="AP82" s="74"/>
      <c r="AQ82" s="74"/>
      <c r="AR82" s="75"/>
      <c r="AS82" s="73">
        <v>8</v>
      </c>
      <c r="AT82" s="74"/>
      <c r="AU82" s="74"/>
      <c r="AV82" s="74"/>
      <c r="AW82" s="75"/>
      <c r="AX82" s="37">
        <v>9</v>
      </c>
      <c r="AY82" s="37"/>
      <c r="AZ82" s="37"/>
      <c r="BA82" s="37"/>
      <c r="BB82" s="73">
        <v>10</v>
      </c>
      <c r="BC82" s="74"/>
      <c r="BD82" s="74"/>
      <c r="BE82" s="74"/>
      <c r="BF82" s="75"/>
      <c r="BG82" s="73">
        <v>11</v>
      </c>
      <c r="BH82" s="74"/>
      <c r="BI82" s="74"/>
      <c r="BJ82" s="74"/>
      <c r="BK82" s="75"/>
      <c r="BL82" s="37">
        <v>12</v>
      </c>
      <c r="BM82" s="37"/>
      <c r="BN82" s="37"/>
      <c r="BO82" s="37"/>
      <c r="BP82" s="37"/>
      <c r="BQ82" s="73">
        <v>13</v>
      </c>
      <c r="BR82" s="74"/>
      <c r="BS82" s="74"/>
      <c r="BT82" s="75"/>
      <c r="BU82" s="73">
        <v>14</v>
      </c>
      <c r="BV82" s="74"/>
      <c r="BW82" s="74"/>
      <c r="BX82" s="74"/>
      <c r="BY82" s="75"/>
    </row>
    <row r="83" spans="1:79" s="1" customFormat="1" ht="14.25" hidden="1" customHeight="1" x14ac:dyDescent="0.2">
      <c r="A83" s="87" t="s">
        <v>69</v>
      </c>
      <c r="B83" s="88"/>
      <c r="C83" s="88"/>
      <c r="D83" s="87" t="s">
        <v>57</v>
      </c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9"/>
      <c r="U83" s="65" t="s">
        <v>65</v>
      </c>
      <c r="V83" s="65"/>
      <c r="W83" s="65"/>
      <c r="X83" s="65"/>
      <c r="Y83" s="65"/>
      <c r="Z83" s="65" t="s">
        <v>66</v>
      </c>
      <c r="AA83" s="65"/>
      <c r="AB83" s="65"/>
      <c r="AC83" s="65"/>
      <c r="AD83" s="65"/>
      <c r="AE83" s="65" t="s">
        <v>91</v>
      </c>
      <c r="AF83" s="65"/>
      <c r="AG83" s="65"/>
      <c r="AH83" s="65"/>
      <c r="AI83" s="83" t="s">
        <v>169</v>
      </c>
      <c r="AJ83" s="83"/>
      <c r="AK83" s="83"/>
      <c r="AL83" s="83"/>
      <c r="AM83" s="83"/>
      <c r="AN83" s="65" t="s">
        <v>67</v>
      </c>
      <c r="AO83" s="65"/>
      <c r="AP83" s="65"/>
      <c r="AQ83" s="65"/>
      <c r="AR83" s="65"/>
      <c r="AS83" s="65" t="s">
        <v>68</v>
      </c>
      <c r="AT83" s="65"/>
      <c r="AU83" s="65"/>
      <c r="AV83" s="65"/>
      <c r="AW83" s="65"/>
      <c r="AX83" s="65" t="s">
        <v>92</v>
      </c>
      <c r="AY83" s="65"/>
      <c r="AZ83" s="65"/>
      <c r="BA83" s="65"/>
      <c r="BB83" s="83" t="s">
        <v>169</v>
      </c>
      <c r="BC83" s="83"/>
      <c r="BD83" s="83"/>
      <c r="BE83" s="83"/>
      <c r="BF83" s="83"/>
      <c r="BG83" s="65" t="s">
        <v>58</v>
      </c>
      <c r="BH83" s="65"/>
      <c r="BI83" s="65"/>
      <c r="BJ83" s="65"/>
      <c r="BK83" s="65"/>
      <c r="BL83" s="65" t="s">
        <v>59</v>
      </c>
      <c r="BM83" s="65"/>
      <c r="BN83" s="65"/>
      <c r="BO83" s="65"/>
      <c r="BP83" s="65"/>
      <c r="BQ83" s="65" t="s">
        <v>93</v>
      </c>
      <c r="BR83" s="65"/>
      <c r="BS83" s="65"/>
      <c r="BT83" s="65"/>
      <c r="BU83" s="83" t="s">
        <v>169</v>
      </c>
      <c r="BV83" s="83"/>
      <c r="BW83" s="83"/>
      <c r="BX83" s="83"/>
      <c r="BY83" s="83"/>
      <c r="CA83" t="s">
        <v>33</v>
      </c>
    </row>
    <row r="84" spans="1:79" s="4" customFormat="1" ht="12.75" customHeight="1" x14ac:dyDescent="0.2">
      <c r="A84" s="28">
        <v>1</v>
      </c>
      <c r="B84" s="29"/>
      <c r="C84" s="29"/>
      <c r="D84" s="30" t="s">
        <v>175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2"/>
      <c r="U84" s="45">
        <v>3607029</v>
      </c>
      <c r="V84" s="46"/>
      <c r="W84" s="46"/>
      <c r="X84" s="46"/>
      <c r="Y84" s="47"/>
      <c r="Z84" s="45">
        <v>0</v>
      </c>
      <c r="AA84" s="46"/>
      <c r="AB84" s="46"/>
      <c r="AC84" s="46"/>
      <c r="AD84" s="47"/>
      <c r="AE84" s="45">
        <v>0</v>
      </c>
      <c r="AF84" s="46"/>
      <c r="AG84" s="46"/>
      <c r="AH84" s="47"/>
      <c r="AI84" s="45">
        <f t="shared" ref="AI84:AI117" si="0">IF(ISNUMBER(U84),U84,0)+IF(ISNUMBER(Z84),Z84,0)</f>
        <v>3607029</v>
      </c>
      <c r="AJ84" s="46"/>
      <c r="AK84" s="46"/>
      <c r="AL84" s="46"/>
      <c r="AM84" s="47"/>
      <c r="AN84" s="45">
        <v>4772532</v>
      </c>
      <c r="AO84" s="46"/>
      <c r="AP84" s="46"/>
      <c r="AQ84" s="46"/>
      <c r="AR84" s="47"/>
      <c r="AS84" s="45">
        <v>0</v>
      </c>
      <c r="AT84" s="46"/>
      <c r="AU84" s="46"/>
      <c r="AV84" s="46"/>
      <c r="AW84" s="47"/>
      <c r="AX84" s="45">
        <v>0</v>
      </c>
      <c r="AY84" s="46"/>
      <c r="AZ84" s="46"/>
      <c r="BA84" s="47"/>
      <c r="BB84" s="45">
        <f t="shared" ref="BB84:BB117" si="1">IF(ISNUMBER(AN84),AN84,0)+IF(ISNUMBER(AS84),AS84,0)</f>
        <v>4772532</v>
      </c>
      <c r="BC84" s="46"/>
      <c r="BD84" s="46"/>
      <c r="BE84" s="46"/>
      <c r="BF84" s="47"/>
      <c r="BG84" s="45">
        <v>4925393</v>
      </c>
      <c r="BH84" s="46"/>
      <c r="BI84" s="46"/>
      <c r="BJ84" s="46"/>
      <c r="BK84" s="47"/>
      <c r="BL84" s="45">
        <v>0</v>
      </c>
      <c r="BM84" s="46"/>
      <c r="BN84" s="46"/>
      <c r="BO84" s="46"/>
      <c r="BP84" s="47"/>
      <c r="BQ84" s="45">
        <v>0</v>
      </c>
      <c r="BR84" s="46"/>
      <c r="BS84" s="46"/>
      <c r="BT84" s="47"/>
      <c r="BU84" s="45">
        <f t="shared" ref="BU84:BU117" si="2">IF(ISNUMBER(BG84),BG84,0)+IF(ISNUMBER(BL84),BL84,0)</f>
        <v>4925393</v>
      </c>
      <c r="BV84" s="46"/>
      <c r="BW84" s="46"/>
      <c r="BX84" s="46"/>
      <c r="BY84" s="47"/>
      <c r="CA84" s="4" t="s">
        <v>34</v>
      </c>
    </row>
    <row r="85" spans="1:79" s="4" customFormat="1" ht="12.75" customHeight="1" x14ac:dyDescent="0.2">
      <c r="A85" s="28">
        <v>2</v>
      </c>
      <c r="B85" s="29"/>
      <c r="C85" s="29"/>
      <c r="D85" s="30" t="s">
        <v>176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2"/>
      <c r="U85" s="45">
        <v>799435</v>
      </c>
      <c r="V85" s="46"/>
      <c r="W85" s="46"/>
      <c r="X85" s="46"/>
      <c r="Y85" s="47"/>
      <c r="Z85" s="45">
        <v>0</v>
      </c>
      <c r="AA85" s="46"/>
      <c r="AB85" s="46"/>
      <c r="AC85" s="46"/>
      <c r="AD85" s="47"/>
      <c r="AE85" s="45">
        <v>0</v>
      </c>
      <c r="AF85" s="46"/>
      <c r="AG85" s="46"/>
      <c r="AH85" s="47"/>
      <c r="AI85" s="45">
        <f t="shared" si="0"/>
        <v>799435</v>
      </c>
      <c r="AJ85" s="46"/>
      <c r="AK85" s="46"/>
      <c r="AL85" s="46"/>
      <c r="AM85" s="47"/>
      <c r="AN85" s="45">
        <v>1049957</v>
      </c>
      <c r="AO85" s="46"/>
      <c r="AP85" s="46"/>
      <c r="AQ85" s="46"/>
      <c r="AR85" s="47"/>
      <c r="AS85" s="45">
        <v>0</v>
      </c>
      <c r="AT85" s="46"/>
      <c r="AU85" s="46"/>
      <c r="AV85" s="46"/>
      <c r="AW85" s="47"/>
      <c r="AX85" s="45">
        <v>0</v>
      </c>
      <c r="AY85" s="46"/>
      <c r="AZ85" s="46"/>
      <c r="BA85" s="47"/>
      <c r="BB85" s="45">
        <f t="shared" si="1"/>
        <v>1049957</v>
      </c>
      <c r="BC85" s="46"/>
      <c r="BD85" s="46"/>
      <c r="BE85" s="46"/>
      <c r="BF85" s="47"/>
      <c r="BG85" s="45">
        <v>1083586</v>
      </c>
      <c r="BH85" s="46"/>
      <c r="BI85" s="46"/>
      <c r="BJ85" s="46"/>
      <c r="BK85" s="47"/>
      <c r="BL85" s="45">
        <v>0</v>
      </c>
      <c r="BM85" s="46"/>
      <c r="BN85" s="46"/>
      <c r="BO85" s="46"/>
      <c r="BP85" s="47"/>
      <c r="BQ85" s="45">
        <v>0</v>
      </c>
      <c r="BR85" s="46"/>
      <c r="BS85" s="46"/>
      <c r="BT85" s="47"/>
      <c r="BU85" s="45">
        <f t="shared" si="2"/>
        <v>1083586</v>
      </c>
      <c r="BV85" s="46"/>
      <c r="BW85" s="46"/>
      <c r="BX85" s="46"/>
      <c r="BY85" s="47"/>
    </row>
    <row r="86" spans="1:79" s="4" customFormat="1" ht="25.5" customHeight="1" x14ac:dyDescent="0.2">
      <c r="A86" s="28">
        <v>3</v>
      </c>
      <c r="B86" s="29"/>
      <c r="C86" s="29"/>
      <c r="D86" s="30" t="s">
        <v>177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2"/>
      <c r="U86" s="45">
        <v>5700</v>
      </c>
      <c r="V86" s="46"/>
      <c r="W86" s="46"/>
      <c r="X86" s="46"/>
      <c r="Y86" s="47"/>
      <c r="Z86" s="45">
        <v>0</v>
      </c>
      <c r="AA86" s="46"/>
      <c r="AB86" s="46"/>
      <c r="AC86" s="46"/>
      <c r="AD86" s="47"/>
      <c r="AE86" s="45">
        <v>0</v>
      </c>
      <c r="AF86" s="46"/>
      <c r="AG86" s="46"/>
      <c r="AH86" s="47"/>
      <c r="AI86" s="45">
        <f t="shared" si="0"/>
        <v>5700</v>
      </c>
      <c r="AJ86" s="46"/>
      <c r="AK86" s="46"/>
      <c r="AL86" s="46"/>
      <c r="AM86" s="47"/>
      <c r="AN86" s="45">
        <v>6000</v>
      </c>
      <c r="AO86" s="46"/>
      <c r="AP86" s="46"/>
      <c r="AQ86" s="46"/>
      <c r="AR86" s="47"/>
      <c r="AS86" s="45">
        <v>0</v>
      </c>
      <c r="AT86" s="46"/>
      <c r="AU86" s="46"/>
      <c r="AV86" s="46"/>
      <c r="AW86" s="47"/>
      <c r="AX86" s="45">
        <v>0</v>
      </c>
      <c r="AY86" s="46"/>
      <c r="AZ86" s="46"/>
      <c r="BA86" s="47"/>
      <c r="BB86" s="45">
        <f t="shared" si="1"/>
        <v>6000</v>
      </c>
      <c r="BC86" s="46"/>
      <c r="BD86" s="46"/>
      <c r="BE86" s="46"/>
      <c r="BF86" s="47"/>
      <c r="BG86" s="45">
        <v>10000</v>
      </c>
      <c r="BH86" s="46"/>
      <c r="BI86" s="46"/>
      <c r="BJ86" s="46"/>
      <c r="BK86" s="47"/>
      <c r="BL86" s="45">
        <v>0</v>
      </c>
      <c r="BM86" s="46"/>
      <c r="BN86" s="46"/>
      <c r="BO86" s="46"/>
      <c r="BP86" s="47"/>
      <c r="BQ86" s="45">
        <v>0</v>
      </c>
      <c r="BR86" s="46"/>
      <c r="BS86" s="46"/>
      <c r="BT86" s="47"/>
      <c r="BU86" s="45">
        <f t="shared" si="2"/>
        <v>10000</v>
      </c>
      <c r="BV86" s="46"/>
      <c r="BW86" s="46"/>
      <c r="BX86" s="46"/>
      <c r="BY86" s="47"/>
    </row>
    <row r="87" spans="1:79" s="4" customFormat="1" ht="12.75" customHeight="1" x14ac:dyDescent="0.2">
      <c r="A87" s="28">
        <v>4</v>
      </c>
      <c r="B87" s="29"/>
      <c r="C87" s="29"/>
      <c r="D87" s="30" t="s">
        <v>178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2"/>
      <c r="U87" s="45">
        <v>29641</v>
      </c>
      <c r="V87" s="46"/>
      <c r="W87" s="46"/>
      <c r="X87" s="46"/>
      <c r="Y87" s="47"/>
      <c r="Z87" s="45">
        <v>0</v>
      </c>
      <c r="AA87" s="46"/>
      <c r="AB87" s="46"/>
      <c r="AC87" s="46"/>
      <c r="AD87" s="47"/>
      <c r="AE87" s="45">
        <v>0</v>
      </c>
      <c r="AF87" s="46"/>
      <c r="AG87" s="46"/>
      <c r="AH87" s="47"/>
      <c r="AI87" s="45">
        <f t="shared" si="0"/>
        <v>29641</v>
      </c>
      <c r="AJ87" s="46"/>
      <c r="AK87" s="46"/>
      <c r="AL87" s="46"/>
      <c r="AM87" s="47"/>
      <c r="AN87" s="45">
        <v>47000</v>
      </c>
      <c r="AO87" s="46"/>
      <c r="AP87" s="46"/>
      <c r="AQ87" s="46"/>
      <c r="AR87" s="47"/>
      <c r="AS87" s="45">
        <v>0</v>
      </c>
      <c r="AT87" s="46"/>
      <c r="AU87" s="46"/>
      <c r="AV87" s="46"/>
      <c r="AW87" s="47"/>
      <c r="AX87" s="45">
        <v>0</v>
      </c>
      <c r="AY87" s="46"/>
      <c r="AZ87" s="46"/>
      <c r="BA87" s="47"/>
      <c r="BB87" s="45">
        <f t="shared" si="1"/>
        <v>47000</v>
      </c>
      <c r="BC87" s="46"/>
      <c r="BD87" s="46"/>
      <c r="BE87" s="46"/>
      <c r="BF87" s="47"/>
      <c r="BG87" s="45">
        <v>58251</v>
      </c>
      <c r="BH87" s="46"/>
      <c r="BI87" s="46"/>
      <c r="BJ87" s="46"/>
      <c r="BK87" s="47"/>
      <c r="BL87" s="45">
        <v>0</v>
      </c>
      <c r="BM87" s="46"/>
      <c r="BN87" s="46"/>
      <c r="BO87" s="46"/>
      <c r="BP87" s="47"/>
      <c r="BQ87" s="45">
        <v>0</v>
      </c>
      <c r="BR87" s="46"/>
      <c r="BS87" s="46"/>
      <c r="BT87" s="47"/>
      <c r="BU87" s="45">
        <f t="shared" si="2"/>
        <v>58251</v>
      </c>
      <c r="BV87" s="46"/>
      <c r="BW87" s="46"/>
      <c r="BX87" s="46"/>
      <c r="BY87" s="47"/>
    </row>
    <row r="88" spans="1:79" s="4" customFormat="1" ht="25.5" customHeight="1" x14ac:dyDescent="0.2">
      <c r="A88" s="28">
        <v>5</v>
      </c>
      <c r="B88" s="29"/>
      <c r="C88" s="29"/>
      <c r="D88" s="30" t="s">
        <v>179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2"/>
      <c r="U88" s="45">
        <v>49995</v>
      </c>
      <c r="V88" s="46"/>
      <c r="W88" s="46"/>
      <c r="X88" s="46"/>
      <c r="Y88" s="47"/>
      <c r="Z88" s="45">
        <v>0</v>
      </c>
      <c r="AA88" s="46"/>
      <c r="AB88" s="46"/>
      <c r="AC88" s="46"/>
      <c r="AD88" s="47"/>
      <c r="AE88" s="45">
        <v>0</v>
      </c>
      <c r="AF88" s="46"/>
      <c r="AG88" s="46"/>
      <c r="AH88" s="47"/>
      <c r="AI88" s="45">
        <f t="shared" si="0"/>
        <v>49995</v>
      </c>
      <c r="AJ88" s="46"/>
      <c r="AK88" s="46"/>
      <c r="AL88" s="46"/>
      <c r="AM88" s="47"/>
      <c r="AN88" s="45">
        <v>0</v>
      </c>
      <c r="AO88" s="46"/>
      <c r="AP88" s="46"/>
      <c r="AQ88" s="46"/>
      <c r="AR88" s="47"/>
      <c r="AS88" s="45">
        <v>0</v>
      </c>
      <c r="AT88" s="46"/>
      <c r="AU88" s="46"/>
      <c r="AV88" s="46"/>
      <c r="AW88" s="47"/>
      <c r="AX88" s="45">
        <v>0</v>
      </c>
      <c r="AY88" s="46"/>
      <c r="AZ88" s="46"/>
      <c r="BA88" s="47"/>
      <c r="BB88" s="45">
        <f t="shared" si="1"/>
        <v>0</v>
      </c>
      <c r="BC88" s="46"/>
      <c r="BD88" s="46"/>
      <c r="BE88" s="46"/>
      <c r="BF88" s="47"/>
      <c r="BG88" s="45">
        <v>410750</v>
      </c>
      <c r="BH88" s="46"/>
      <c r="BI88" s="46"/>
      <c r="BJ88" s="46"/>
      <c r="BK88" s="47"/>
      <c r="BL88" s="45">
        <v>0</v>
      </c>
      <c r="BM88" s="46"/>
      <c r="BN88" s="46"/>
      <c r="BO88" s="46"/>
      <c r="BP88" s="47"/>
      <c r="BQ88" s="45">
        <v>0</v>
      </c>
      <c r="BR88" s="46"/>
      <c r="BS88" s="46"/>
      <c r="BT88" s="47"/>
      <c r="BU88" s="45">
        <f t="shared" si="2"/>
        <v>410750</v>
      </c>
      <c r="BV88" s="46"/>
      <c r="BW88" s="46"/>
      <c r="BX88" s="46"/>
      <c r="BY88" s="47"/>
    </row>
    <row r="89" spans="1:79" s="4" customFormat="1" ht="25.5" customHeight="1" x14ac:dyDescent="0.2">
      <c r="A89" s="28">
        <v>6</v>
      </c>
      <c r="B89" s="29"/>
      <c r="C89" s="29"/>
      <c r="D89" s="30" t="s">
        <v>180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2"/>
      <c r="U89" s="45">
        <v>66000</v>
      </c>
      <c r="V89" s="46"/>
      <c r="W89" s="46"/>
      <c r="X89" s="46"/>
      <c r="Y89" s="47"/>
      <c r="Z89" s="45">
        <v>0</v>
      </c>
      <c r="AA89" s="46"/>
      <c r="AB89" s="46"/>
      <c r="AC89" s="46"/>
      <c r="AD89" s="47"/>
      <c r="AE89" s="45">
        <v>0</v>
      </c>
      <c r="AF89" s="46"/>
      <c r="AG89" s="46"/>
      <c r="AH89" s="47"/>
      <c r="AI89" s="45">
        <f t="shared" si="0"/>
        <v>66000</v>
      </c>
      <c r="AJ89" s="46"/>
      <c r="AK89" s="46"/>
      <c r="AL89" s="46"/>
      <c r="AM89" s="47"/>
      <c r="AN89" s="45">
        <v>0</v>
      </c>
      <c r="AO89" s="46"/>
      <c r="AP89" s="46"/>
      <c r="AQ89" s="46"/>
      <c r="AR89" s="47"/>
      <c r="AS89" s="45">
        <v>0</v>
      </c>
      <c r="AT89" s="46"/>
      <c r="AU89" s="46"/>
      <c r="AV89" s="46"/>
      <c r="AW89" s="47"/>
      <c r="AX89" s="45">
        <v>0</v>
      </c>
      <c r="AY89" s="46"/>
      <c r="AZ89" s="46"/>
      <c r="BA89" s="47"/>
      <c r="BB89" s="45">
        <f t="shared" si="1"/>
        <v>0</v>
      </c>
      <c r="BC89" s="46"/>
      <c r="BD89" s="46"/>
      <c r="BE89" s="46"/>
      <c r="BF89" s="47"/>
      <c r="BG89" s="45">
        <v>310000</v>
      </c>
      <c r="BH89" s="46"/>
      <c r="BI89" s="46"/>
      <c r="BJ89" s="46"/>
      <c r="BK89" s="47"/>
      <c r="BL89" s="45">
        <v>0</v>
      </c>
      <c r="BM89" s="46"/>
      <c r="BN89" s="46"/>
      <c r="BO89" s="46"/>
      <c r="BP89" s="47"/>
      <c r="BQ89" s="45">
        <v>0</v>
      </c>
      <c r="BR89" s="46"/>
      <c r="BS89" s="46"/>
      <c r="BT89" s="47"/>
      <c r="BU89" s="45">
        <f t="shared" si="2"/>
        <v>310000</v>
      </c>
      <c r="BV89" s="46"/>
      <c r="BW89" s="46"/>
      <c r="BX89" s="46"/>
      <c r="BY89" s="47"/>
    </row>
    <row r="90" spans="1:79" s="4" customFormat="1" ht="12.75" customHeight="1" x14ac:dyDescent="0.2">
      <c r="A90" s="28">
        <v>7</v>
      </c>
      <c r="B90" s="29"/>
      <c r="C90" s="29"/>
      <c r="D90" s="30" t="s">
        <v>181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2"/>
      <c r="U90" s="45">
        <v>0</v>
      </c>
      <c r="V90" s="46"/>
      <c r="W90" s="46"/>
      <c r="X90" s="46"/>
      <c r="Y90" s="47"/>
      <c r="Z90" s="45">
        <v>0</v>
      </c>
      <c r="AA90" s="46"/>
      <c r="AB90" s="46"/>
      <c r="AC90" s="46"/>
      <c r="AD90" s="47"/>
      <c r="AE90" s="45">
        <v>0</v>
      </c>
      <c r="AF90" s="46"/>
      <c r="AG90" s="46"/>
      <c r="AH90" s="47"/>
      <c r="AI90" s="45">
        <f t="shared" si="0"/>
        <v>0</v>
      </c>
      <c r="AJ90" s="46"/>
      <c r="AK90" s="46"/>
      <c r="AL90" s="46"/>
      <c r="AM90" s="47"/>
      <c r="AN90" s="45">
        <v>1080</v>
      </c>
      <c r="AO90" s="46"/>
      <c r="AP90" s="46"/>
      <c r="AQ90" s="46"/>
      <c r="AR90" s="47"/>
      <c r="AS90" s="45">
        <v>0</v>
      </c>
      <c r="AT90" s="46"/>
      <c r="AU90" s="46"/>
      <c r="AV90" s="46"/>
      <c r="AW90" s="47"/>
      <c r="AX90" s="45">
        <v>0</v>
      </c>
      <c r="AY90" s="46"/>
      <c r="AZ90" s="46"/>
      <c r="BA90" s="47"/>
      <c r="BB90" s="45">
        <f t="shared" si="1"/>
        <v>1080</v>
      </c>
      <c r="BC90" s="46"/>
      <c r="BD90" s="46"/>
      <c r="BE90" s="46"/>
      <c r="BF90" s="47"/>
      <c r="BG90" s="45">
        <v>1080</v>
      </c>
      <c r="BH90" s="46"/>
      <c r="BI90" s="46"/>
      <c r="BJ90" s="46"/>
      <c r="BK90" s="47"/>
      <c r="BL90" s="45">
        <v>0</v>
      </c>
      <c r="BM90" s="46"/>
      <c r="BN90" s="46"/>
      <c r="BO90" s="46"/>
      <c r="BP90" s="47"/>
      <c r="BQ90" s="45">
        <v>0</v>
      </c>
      <c r="BR90" s="46"/>
      <c r="BS90" s="46"/>
      <c r="BT90" s="47"/>
      <c r="BU90" s="45">
        <f t="shared" si="2"/>
        <v>1080</v>
      </c>
      <c r="BV90" s="46"/>
      <c r="BW90" s="46"/>
      <c r="BX90" s="46"/>
      <c r="BY90" s="47"/>
    </row>
    <row r="91" spans="1:79" s="4" customFormat="1" ht="12.75" customHeight="1" x14ac:dyDescent="0.2">
      <c r="A91" s="28">
        <v>8</v>
      </c>
      <c r="B91" s="29"/>
      <c r="C91" s="29"/>
      <c r="D91" s="30" t="s">
        <v>182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2"/>
      <c r="U91" s="45">
        <v>5391</v>
      </c>
      <c r="V91" s="46"/>
      <c r="W91" s="46"/>
      <c r="X91" s="46"/>
      <c r="Y91" s="47"/>
      <c r="Z91" s="45">
        <v>0</v>
      </c>
      <c r="AA91" s="46"/>
      <c r="AB91" s="46"/>
      <c r="AC91" s="46"/>
      <c r="AD91" s="47"/>
      <c r="AE91" s="45">
        <v>0</v>
      </c>
      <c r="AF91" s="46"/>
      <c r="AG91" s="46"/>
      <c r="AH91" s="47"/>
      <c r="AI91" s="45">
        <f t="shared" si="0"/>
        <v>5391</v>
      </c>
      <c r="AJ91" s="46"/>
      <c r="AK91" s="46"/>
      <c r="AL91" s="46"/>
      <c r="AM91" s="47"/>
      <c r="AN91" s="45">
        <v>0</v>
      </c>
      <c r="AO91" s="46"/>
      <c r="AP91" s="46"/>
      <c r="AQ91" s="46"/>
      <c r="AR91" s="47"/>
      <c r="AS91" s="45">
        <v>0</v>
      </c>
      <c r="AT91" s="46"/>
      <c r="AU91" s="46"/>
      <c r="AV91" s="46"/>
      <c r="AW91" s="47"/>
      <c r="AX91" s="45">
        <v>0</v>
      </c>
      <c r="AY91" s="46"/>
      <c r="AZ91" s="46"/>
      <c r="BA91" s="47"/>
      <c r="BB91" s="45">
        <f t="shared" si="1"/>
        <v>0</v>
      </c>
      <c r="BC91" s="46"/>
      <c r="BD91" s="46"/>
      <c r="BE91" s="46"/>
      <c r="BF91" s="47"/>
      <c r="BG91" s="45">
        <v>0</v>
      </c>
      <c r="BH91" s="46"/>
      <c r="BI91" s="46"/>
      <c r="BJ91" s="46"/>
      <c r="BK91" s="47"/>
      <c r="BL91" s="45">
        <v>0</v>
      </c>
      <c r="BM91" s="46"/>
      <c r="BN91" s="46"/>
      <c r="BO91" s="46"/>
      <c r="BP91" s="47"/>
      <c r="BQ91" s="45">
        <v>0</v>
      </c>
      <c r="BR91" s="46"/>
      <c r="BS91" s="46"/>
      <c r="BT91" s="47"/>
      <c r="BU91" s="45">
        <f t="shared" si="2"/>
        <v>0</v>
      </c>
      <c r="BV91" s="46"/>
      <c r="BW91" s="46"/>
      <c r="BX91" s="46"/>
      <c r="BY91" s="47"/>
    </row>
    <row r="92" spans="1:79" s="4" customFormat="1" ht="25.5" customHeight="1" x14ac:dyDescent="0.2">
      <c r="A92" s="28">
        <v>9</v>
      </c>
      <c r="B92" s="29"/>
      <c r="C92" s="29"/>
      <c r="D92" s="30" t="s">
        <v>183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2"/>
      <c r="U92" s="45">
        <v>0</v>
      </c>
      <c r="V92" s="46"/>
      <c r="W92" s="46"/>
      <c r="X92" s="46"/>
      <c r="Y92" s="47"/>
      <c r="Z92" s="45">
        <v>0</v>
      </c>
      <c r="AA92" s="46"/>
      <c r="AB92" s="46"/>
      <c r="AC92" s="46"/>
      <c r="AD92" s="47"/>
      <c r="AE92" s="45">
        <v>0</v>
      </c>
      <c r="AF92" s="46"/>
      <c r="AG92" s="46"/>
      <c r="AH92" s="47"/>
      <c r="AI92" s="45">
        <f t="shared" si="0"/>
        <v>0</v>
      </c>
      <c r="AJ92" s="46"/>
      <c r="AK92" s="46"/>
      <c r="AL92" s="46"/>
      <c r="AM92" s="47"/>
      <c r="AN92" s="45">
        <v>0</v>
      </c>
      <c r="AO92" s="46"/>
      <c r="AP92" s="46"/>
      <c r="AQ92" s="46"/>
      <c r="AR92" s="47"/>
      <c r="AS92" s="45">
        <v>0</v>
      </c>
      <c r="AT92" s="46"/>
      <c r="AU92" s="46"/>
      <c r="AV92" s="46"/>
      <c r="AW92" s="47"/>
      <c r="AX92" s="45">
        <v>0</v>
      </c>
      <c r="AY92" s="46"/>
      <c r="AZ92" s="46"/>
      <c r="BA92" s="47"/>
      <c r="BB92" s="45">
        <f t="shared" si="1"/>
        <v>0</v>
      </c>
      <c r="BC92" s="46"/>
      <c r="BD92" s="46"/>
      <c r="BE92" s="46"/>
      <c r="BF92" s="47"/>
      <c r="BG92" s="45">
        <v>0</v>
      </c>
      <c r="BH92" s="46"/>
      <c r="BI92" s="46"/>
      <c r="BJ92" s="46"/>
      <c r="BK92" s="47"/>
      <c r="BL92" s="45">
        <v>0</v>
      </c>
      <c r="BM92" s="46"/>
      <c r="BN92" s="46"/>
      <c r="BO92" s="46"/>
      <c r="BP92" s="47"/>
      <c r="BQ92" s="45">
        <v>0</v>
      </c>
      <c r="BR92" s="46"/>
      <c r="BS92" s="46"/>
      <c r="BT92" s="47"/>
      <c r="BU92" s="45">
        <f t="shared" si="2"/>
        <v>0</v>
      </c>
      <c r="BV92" s="46"/>
      <c r="BW92" s="46"/>
      <c r="BX92" s="46"/>
      <c r="BY92" s="47"/>
    </row>
    <row r="93" spans="1:79" s="4" customFormat="1" ht="25.5" customHeight="1" x14ac:dyDescent="0.2">
      <c r="A93" s="28">
        <v>10</v>
      </c>
      <c r="B93" s="29"/>
      <c r="C93" s="29"/>
      <c r="D93" s="30" t="s">
        <v>184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2"/>
      <c r="U93" s="45">
        <v>17600</v>
      </c>
      <c r="V93" s="46"/>
      <c r="W93" s="46"/>
      <c r="X93" s="46"/>
      <c r="Y93" s="47"/>
      <c r="Z93" s="45">
        <v>0</v>
      </c>
      <c r="AA93" s="46"/>
      <c r="AB93" s="46"/>
      <c r="AC93" s="46"/>
      <c r="AD93" s="47"/>
      <c r="AE93" s="45">
        <v>0</v>
      </c>
      <c r="AF93" s="46"/>
      <c r="AG93" s="46"/>
      <c r="AH93" s="47"/>
      <c r="AI93" s="45">
        <f t="shared" si="0"/>
        <v>17600</v>
      </c>
      <c r="AJ93" s="46"/>
      <c r="AK93" s="46"/>
      <c r="AL93" s="46"/>
      <c r="AM93" s="47"/>
      <c r="AN93" s="45">
        <v>17700</v>
      </c>
      <c r="AO93" s="46"/>
      <c r="AP93" s="46"/>
      <c r="AQ93" s="46"/>
      <c r="AR93" s="47"/>
      <c r="AS93" s="45">
        <v>0</v>
      </c>
      <c r="AT93" s="46"/>
      <c r="AU93" s="46"/>
      <c r="AV93" s="46"/>
      <c r="AW93" s="47"/>
      <c r="AX93" s="45">
        <v>0</v>
      </c>
      <c r="AY93" s="46"/>
      <c r="AZ93" s="46"/>
      <c r="BA93" s="47"/>
      <c r="BB93" s="45">
        <f t="shared" si="1"/>
        <v>17700</v>
      </c>
      <c r="BC93" s="46"/>
      <c r="BD93" s="46"/>
      <c r="BE93" s="46"/>
      <c r="BF93" s="47"/>
      <c r="BG93" s="45">
        <v>19400</v>
      </c>
      <c r="BH93" s="46"/>
      <c r="BI93" s="46"/>
      <c r="BJ93" s="46"/>
      <c r="BK93" s="47"/>
      <c r="BL93" s="45">
        <v>0</v>
      </c>
      <c r="BM93" s="46"/>
      <c r="BN93" s="46"/>
      <c r="BO93" s="46"/>
      <c r="BP93" s="47"/>
      <c r="BQ93" s="45">
        <v>0</v>
      </c>
      <c r="BR93" s="46"/>
      <c r="BS93" s="46"/>
      <c r="BT93" s="47"/>
      <c r="BU93" s="45">
        <f t="shared" si="2"/>
        <v>19400</v>
      </c>
      <c r="BV93" s="46"/>
      <c r="BW93" s="46"/>
      <c r="BX93" s="46"/>
      <c r="BY93" s="47"/>
    </row>
    <row r="94" spans="1:79" s="4" customFormat="1" ht="12.75" customHeight="1" x14ac:dyDescent="0.2">
      <c r="A94" s="28">
        <v>11</v>
      </c>
      <c r="B94" s="29"/>
      <c r="C94" s="29"/>
      <c r="D94" s="30" t="s">
        <v>185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2"/>
      <c r="U94" s="45">
        <v>0</v>
      </c>
      <c r="V94" s="46"/>
      <c r="W94" s="46"/>
      <c r="X94" s="46"/>
      <c r="Y94" s="47"/>
      <c r="Z94" s="45">
        <v>0</v>
      </c>
      <c r="AA94" s="46"/>
      <c r="AB94" s="46"/>
      <c r="AC94" s="46"/>
      <c r="AD94" s="47"/>
      <c r="AE94" s="45">
        <v>0</v>
      </c>
      <c r="AF94" s="46"/>
      <c r="AG94" s="46"/>
      <c r="AH94" s="47"/>
      <c r="AI94" s="45">
        <f t="shared" si="0"/>
        <v>0</v>
      </c>
      <c r="AJ94" s="46"/>
      <c r="AK94" s="46"/>
      <c r="AL94" s="46"/>
      <c r="AM94" s="47"/>
      <c r="AN94" s="45">
        <v>3159</v>
      </c>
      <c r="AO94" s="46"/>
      <c r="AP94" s="46"/>
      <c r="AQ94" s="46"/>
      <c r="AR94" s="47"/>
      <c r="AS94" s="45">
        <v>0</v>
      </c>
      <c r="AT94" s="46"/>
      <c r="AU94" s="46"/>
      <c r="AV94" s="46"/>
      <c r="AW94" s="47"/>
      <c r="AX94" s="45">
        <v>0</v>
      </c>
      <c r="AY94" s="46"/>
      <c r="AZ94" s="46"/>
      <c r="BA94" s="47"/>
      <c r="BB94" s="45">
        <f t="shared" si="1"/>
        <v>3159</v>
      </c>
      <c r="BC94" s="46"/>
      <c r="BD94" s="46"/>
      <c r="BE94" s="46"/>
      <c r="BF94" s="47"/>
      <c r="BG94" s="45">
        <v>3159</v>
      </c>
      <c r="BH94" s="46"/>
      <c r="BI94" s="46"/>
      <c r="BJ94" s="46"/>
      <c r="BK94" s="47"/>
      <c r="BL94" s="45">
        <v>0</v>
      </c>
      <c r="BM94" s="46"/>
      <c r="BN94" s="46"/>
      <c r="BO94" s="46"/>
      <c r="BP94" s="47"/>
      <c r="BQ94" s="45">
        <v>0</v>
      </c>
      <c r="BR94" s="46"/>
      <c r="BS94" s="46"/>
      <c r="BT94" s="47"/>
      <c r="BU94" s="45">
        <f t="shared" si="2"/>
        <v>3159</v>
      </c>
      <c r="BV94" s="46"/>
      <c r="BW94" s="46"/>
      <c r="BX94" s="46"/>
      <c r="BY94" s="47"/>
    </row>
    <row r="95" spans="1:79" s="4" customFormat="1" ht="12.75" customHeight="1" x14ac:dyDescent="0.2">
      <c r="A95" s="28">
        <v>12</v>
      </c>
      <c r="B95" s="29"/>
      <c r="C95" s="29"/>
      <c r="D95" s="30" t="s">
        <v>186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2"/>
      <c r="U95" s="45">
        <v>1050</v>
      </c>
      <c r="V95" s="46"/>
      <c r="W95" s="46"/>
      <c r="X95" s="46"/>
      <c r="Y95" s="47"/>
      <c r="Z95" s="45">
        <v>0</v>
      </c>
      <c r="AA95" s="46"/>
      <c r="AB95" s="46"/>
      <c r="AC95" s="46"/>
      <c r="AD95" s="47"/>
      <c r="AE95" s="45">
        <v>0</v>
      </c>
      <c r="AF95" s="46"/>
      <c r="AG95" s="46"/>
      <c r="AH95" s="47"/>
      <c r="AI95" s="45">
        <f t="shared" si="0"/>
        <v>1050</v>
      </c>
      <c r="AJ95" s="46"/>
      <c r="AK95" s="46"/>
      <c r="AL95" s="46"/>
      <c r="AM95" s="47"/>
      <c r="AN95" s="45">
        <v>1500</v>
      </c>
      <c r="AO95" s="46"/>
      <c r="AP95" s="46"/>
      <c r="AQ95" s="46"/>
      <c r="AR95" s="47"/>
      <c r="AS95" s="45">
        <v>0</v>
      </c>
      <c r="AT95" s="46"/>
      <c r="AU95" s="46"/>
      <c r="AV95" s="46"/>
      <c r="AW95" s="47"/>
      <c r="AX95" s="45">
        <v>0</v>
      </c>
      <c r="AY95" s="46"/>
      <c r="AZ95" s="46"/>
      <c r="BA95" s="47"/>
      <c r="BB95" s="45">
        <f t="shared" si="1"/>
        <v>1500</v>
      </c>
      <c r="BC95" s="46"/>
      <c r="BD95" s="46"/>
      <c r="BE95" s="46"/>
      <c r="BF95" s="47"/>
      <c r="BG95" s="45">
        <v>5000</v>
      </c>
      <c r="BH95" s="46"/>
      <c r="BI95" s="46"/>
      <c r="BJ95" s="46"/>
      <c r="BK95" s="47"/>
      <c r="BL95" s="45">
        <v>0</v>
      </c>
      <c r="BM95" s="46"/>
      <c r="BN95" s="46"/>
      <c r="BO95" s="46"/>
      <c r="BP95" s="47"/>
      <c r="BQ95" s="45">
        <v>0</v>
      </c>
      <c r="BR95" s="46"/>
      <c r="BS95" s="46"/>
      <c r="BT95" s="47"/>
      <c r="BU95" s="45">
        <f t="shared" si="2"/>
        <v>5000</v>
      </c>
      <c r="BV95" s="46"/>
      <c r="BW95" s="46"/>
      <c r="BX95" s="46"/>
      <c r="BY95" s="47"/>
    </row>
    <row r="96" spans="1:79" s="4" customFormat="1" ht="12.75" customHeight="1" x14ac:dyDescent="0.2">
      <c r="A96" s="28">
        <v>13</v>
      </c>
      <c r="B96" s="29"/>
      <c r="C96" s="29"/>
      <c r="D96" s="30" t="s">
        <v>187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2"/>
      <c r="U96" s="45">
        <v>0</v>
      </c>
      <c r="V96" s="46"/>
      <c r="W96" s="46"/>
      <c r="X96" s="46"/>
      <c r="Y96" s="47"/>
      <c r="Z96" s="45">
        <v>0</v>
      </c>
      <c r="AA96" s="46"/>
      <c r="AB96" s="46"/>
      <c r="AC96" s="46"/>
      <c r="AD96" s="47"/>
      <c r="AE96" s="45">
        <v>0</v>
      </c>
      <c r="AF96" s="46"/>
      <c r="AG96" s="46"/>
      <c r="AH96" s="47"/>
      <c r="AI96" s="45">
        <f t="shared" si="0"/>
        <v>0</v>
      </c>
      <c r="AJ96" s="46"/>
      <c r="AK96" s="46"/>
      <c r="AL96" s="46"/>
      <c r="AM96" s="47"/>
      <c r="AN96" s="45">
        <v>2000</v>
      </c>
      <c r="AO96" s="46"/>
      <c r="AP96" s="46"/>
      <c r="AQ96" s="46"/>
      <c r="AR96" s="47"/>
      <c r="AS96" s="45">
        <v>0</v>
      </c>
      <c r="AT96" s="46"/>
      <c r="AU96" s="46"/>
      <c r="AV96" s="46"/>
      <c r="AW96" s="47"/>
      <c r="AX96" s="45">
        <v>0</v>
      </c>
      <c r="AY96" s="46"/>
      <c r="AZ96" s="46"/>
      <c r="BA96" s="47"/>
      <c r="BB96" s="45">
        <f t="shared" si="1"/>
        <v>2000</v>
      </c>
      <c r="BC96" s="46"/>
      <c r="BD96" s="46"/>
      <c r="BE96" s="46"/>
      <c r="BF96" s="47"/>
      <c r="BG96" s="45">
        <v>2500</v>
      </c>
      <c r="BH96" s="46"/>
      <c r="BI96" s="46"/>
      <c r="BJ96" s="46"/>
      <c r="BK96" s="47"/>
      <c r="BL96" s="45">
        <v>0</v>
      </c>
      <c r="BM96" s="46"/>
      <c r="BN96" s="46"/>
      <c r="BO96" s="46"/>
      <c r="BP96" s="47"/>
      <c r="BQ96" s="45">
        <v>0</v>
      </c>
      <c r="BR96" s="46"/>
      <c r="BS96" s="46"/>
      <c r="BT96" s="47"/>
      <c r="BU96" s="45">
        <f t="shared" si="2"/>
        <v>2500</v>
      </c>
      <c r="BV96" s="46"/>
      <c r="BW96" s="46"/>
      <c r="BX96" s="46"/>
      <c r="BY96" s="47"/>
    </row>
    <row r="97" spans="1:77" s="4" customFormat="1" ht="12.75" customHeight="1" x14ac:dyDescent="0.2">
      <c r="A97" s="28">
        <v>14</v>
      </c>
      <c r="B97" s="29"/>
      <c r="C97" s="29"/>
      <c r="D97" s="30" t="s">
        <v>188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2"/>
      <c r="U97" s="45">
        <v>6000</v>
      </c>
      <c r="V97" s="46"/>
      <c r="W97" s="46"/>
      <c r="X97" s="46"/>
      <c r="Y97" s="47"/>
      <c r="Z97" s="45">
        <v>0</v>
      </c>
      <c r="AA97" s="46"/>
      <c r="AB97" s="46"/>
      <c r="AC97" s="46"/>
      <c r="AD97" s="47"/>
      <c r="AE97" s="45">
        <v>0</v>
      </c>
      <c r="AF97" s="46"/>
      <c r="AG97" s="46"/>
      <c r="AH97" s="47"/>
      <c r="AI97" s="45">
        <f t="shared" si="0"/>
        <v>6000</v>
      </c>
      <c r="AJ97" s="46"/>
      <c r="AK97" s="46"/>
      <c r="AL97" s="46"/>
      <c r="AM97" s="47"/>
      <c r="AN97" s="45">
        <v>6000</v>
      </c>
      <c r="AO97" s="46"/>
      <c r="AP97" s="46"/>
      <c r="AQ97" s="46"/>
      <c r="AR97" s="47"/>
      <c r="AS97" s="45">
        <v>0</v>
      </c>
      <c r="AT97" s="46"/>
      <c r="AU97" s="46"/>
      <c r="AV97" s="46"/>
      <c r="AW97" s="47"/>
      <c r="AX97" s="45">
        <v>0</v>
      </c>
      <c r="AY97" s="46"/>
      <c r="AZ97" s="46"/>
      <c r="BA97" s="47"/>
      <c r="BB97" s="45">
        <f t="shared" si="1"/>
        <v>6000</v>
      </c>
      <c r="BC97" s="46"/>
      <c r="BD97" s="46"/>
      <c r="BE97" s="46"/>
      <c r="BF97" s="47"/>
      <c r="BG97" s="45">
        <v>9000</v>
      </c>
      <c r="BH97" s="46"/>
      <c r="BI97" s="46"/>
      <c r="BJ97" s="46"/>
      <c r="BK97" s="47"/>
      <c r="BL97" s="45">
        <v>0</v>
      </c>
      <c r="BM97" s="46"/>
      <c r="BN97" s="46"/>
      <c r="BO97" s="46"/>
      <c r="BP97" s="47"/>
      <c r="BQ97" s="45">
        <v>0</v>
      </c>
      <c r="BR97" s="46"/>
      <c r="BS97" s="46"/>
      <c r="BT97" s="47"/>
      <c r="BU97" s="45">
        <f t="shared" si="2"/>
        <v>9000</v>
      </c>
      <c r="BV97" s="46"/>
      <c r="BW97" s="46"/>
      <c r="BX97" s="46"/>
      <c r="BY97" s="47"/>
    </row>
    <row r="98" spans="1:77" s="4" customFormat="1" ht="25.5" customHeight="1" x14ac:dyDescent="0.2">
      <c r="A98" s="28">
        <v>15</v>
      </c>
      <c r="B98" s="29"/>
      <c r="C98" s="29"/>
      <c r="D98" s="30" t="s">
        <v>189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2"/>
      <c r="U98" s="45">
        <v>3694</v>
      </c>
      <c r="V98" s="46"/>
      <c r="W98" s="46"/>
      <c r="X98" s="46"/>
      <c r="Y98" s="47"/>
      <c r="Z98" s="45">
        <v>0</v>
      </c>
      <c r="AA98" s="46"/>
      <c r="AB98" s="46"/>
      <c r="AC98" s="46"/>
      <c r="AD98" s="47"/>
      <c r="AE98" s="45">
        <v>0</v>
      </c>
      <c r="AF98" s="46"/>
      <c r="AG98" s="46"/>
      <c r="AH98" s="47"/>
      <c r="AI98" s="45">
        <f t="shared" si="0"/>
        <v>3694</v>
      </c>
      <c r="AJ98" s="46"/>
      <c r="AK98" s="46"/>
      <c r="AL98" s="46"/>
      <c r="AM98" s="47"/>
      <c r="AN98" s="45">
        <v>93000</v>
      </c>
      <c r="AO98" s="46"/>
      <c r="AP98" s="46"/>
      <c r="AQ98" s="46"/>
      <c r="AR98" s="47"/>
      <c r="AS98" s="45">
        <v>0</v>
      </c>
      <c r="AT98" s="46"/>
      <c r="AU98" s="46"/>
      <c r="AV98" s="46"/>
      <c r="AW98" s="47"/>
      <c r="AX98" s="45">
        <v>0</v>
      </c>
      <c r="AY98" s="46"/>
      <c r="AZ98" s="46"/>
      <c r="BA98" s="47"/>
      <c r="BB98" s="45">
        <f t="shared" si="1"/>
        <v>93000</v>
      </c>
      <c r="BC98" s="46"/>
      <c r="BD98" s="46"/>
      <c r="BE98" s="46"/>
      <c r="BF98" s="47"/>
      <c r="BG98" s="45">
        <v>95000</v>
      </c>
      <c r="BH98" s="46"/>
      <c r="BI98" s="46"/>
      <c r="BJ98" s="46"/>
      <c r="BK98" s="47"/>
      <c r="BL98" s="45">
        <v>0</v>
      </c>
      <c r="BM98" s="46"/>
      <c r="BN98" s="46"/>
      <c r="BO98" s="46"/>
      <c r="BP98" s="47"/>
      <c r="BQ98" s="45">
        <v>0</v>
      </c>
      <c r="BR98" s="46"/>
      <c r="BS98" s="46"/>
      <c r="BT98" s="47"/>
      <c r="BU98" s="45">
        <f t="shared" si="2"/>
        <v>95000</v>
      </c>
      <c r="BV98" s="46"/>
      <c r="BW98" s="46"/>
      <c r="BX98" s="46"/>
      <c r="BY98" s="47"/>
    </row>
    <row r="99" spans="1:77" s="4" customFormat="1" ht="25.5" customHeight="1" x14ac:dyDescent="0.2">
      <c r="A99" s="28">
        <v>16</v>
      </c>
      <c r="B99" s="29"/>
      <c r="C99" s="29"/>
      <c r="D99" s="30" t="s">
        <v>190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2"/>
      <c r="U99" s="45">
        <v>52521</v>
      </c>
      <c r="V99" s="46"/>
      <c r="W99" s="46"/>
      <c r="X99" s="46"/>
      <c r="Y99" s="47"/>
      <c r="Z99" s="45">
        <v>0</v>
      </c>
      <c r="AA99" s="46"/>
      <c r="AB99" s="46"/>
      <c r="AC99" s="46"/>
      <c r="AD99" s="47"/>
      <c r="AE99" s="45">
        <v>0</v>
      </c>
      <c r="AF99" s="46"/>
      <c r="AG99" s="46"/>
      <c r="AH99" s="47"/>
      <c r="AI99" s="45">
        <f t="shared" si="0"/>
        <v>52521</v>
      </c>
      <c r="AJ99" s="46"/>
      <c r="AK99" s="46"/>
      <c r="AL99" s="46"/>
      <c r="AM99" s="47"/>
      <c r="AN99" s="45">
        <v>92400</v>
      </c>
      <c r="AO99" s="46"/>
      <c r="AP99" s="46"/>
      <c r="AQ99" s="46"/>
      <c r="AR99" s="47"/>
      <c r="AS99" s="45">
        <v>0</v>
      </c>
      <c r="AT99" s="46"/>
      <c r="AU99" s="46"/>
      <c r="AV99" s="46"/>
      <c r="AW99" s="47"/>
      <c r="AX99" s="45">
        <v>0</v>
      </c>
      <c r="AY99" s="46"/>
      <c r="AZ99" s="46"/>
      <c r="BA99" s="47"/>
      <c r="BB99" s="45">
        <f t="shared" si="1"/>
        <v>92400</v>
      </c>
      <c r="BC99" s="46"/>
      <c r="BD99" s="46"/>
      <c r="BE99" s="46"/>
      <c r="BF99" s="47"/>
      <c r="BG99" s="45">
        <v>117600</v>
      </c>
      <c r="BH99" s="46"/>
      <c r="BI99" s="46"/>
      <c r="BJ99" s="46"/>
      <c r="BK99" s="47"/>
      <c r="BL99" s="45">
        <v>0</v>
      </c>
      <c r="BM99" s="46"/>
      <c r="BN99" s="46"/>
      <c r="BO99" s="46"/>
      <c r="BP99" s="47"/>
      <c r="BQ99" s="45">
        <v>0</v>
      </c>
      <c r="BR99" s="46"/>
      <c r="BS99" s="46"/>
      <c r="BT99" s="47"/>
      <c r="BU99" s="45">
        <f t="shared" si="2"/>
        <v>117600</v>
      </c>
      <c r="BV99" s="46"/>
      <c r="BW99" s="46"/>
      <c r="BX99" s="46"/>
      <c r="BY99" s="47"/>
    </row>
    <row r="100" spans="1:77" s="4" customFormat="1" ht="12.75" customHeight="1" x14ac:dyDescent="0.2">
      <c r="A100" s="28">
        <v>17</v>
      </c>
      <c r="B100" s="29"/>
      <c r="C100" s="29"/>
      <c r="D100" s="30" t="s">
        <v>191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2"/>
      <c r="U100" s="45">
        <v>2119</v>
      </c>
      <c r="V100" s="46"/>
      <c r="W100" s="46"/>
      <c r="X100" s="46"/>
      <c r="Y100" s="47"/>
      <c r="Z100" s="45">
        <v>0</v>
      </c>
      <c r="AA100" s="46"/>
      <c r="AB100" s="46"/>
      <c r="AC100" s="46"/>
      <c r="AD100" s="47"/>
      <c r="AE100" s="45">
        <v>0</v>
      </c>
      <c r="AF100" s="46"/>
      <c r="AG100" s="46"/>
      <c r="AH100" s="47"/>
      <c r="AI100" s="45">
        <f t="shared" si="0"/>
        <v>2119</v>
      </c>
      <c r="AJ100" s="46"/>
      <c r="AK100" s="46"/>
      <c r="AL100" s="46"/>
      <c r="AM100" s="47"/>
      <c r="AN100" s="45">
        <v>47906</v>
      </c>
      <c r="AO100" s="46"/>
      <c r="AP100" s="46"/>
      <c r="AQ100" s="46"/>
      <c r="AR100" s="47"/>
      <c r="AS100" s="45">
        <v>0</v>
      </c>
      <c r="AT100" s="46"/>
      <c r="AU100" s="46"/>
      <c r="AV100" s="46"/>
      <c r="AW100" s="47"/>
      <c r="AX100" s="45">
        <v>0</v>
      </c>
      <c r="AY100" s="46"/>
      <c r="AZ100" s="46"/>
      <c r="BA100" s="47"/>
      <c r="BB100" s="45">
        <f t="shared" si="1"/>
        <v>47906</v>
      </c>
      <c r="BC100" s="46"/>
      <c r="BD100" s="46"/>
      <c r="BE100" s="46"/>
      <c r="BF100" s="47"/>
      <c r="BG100" s="45">
        <v>80000</v>
      </c>
      <c r="BH100" s="46"/>
      <c r="BI100" s="46"/>
      <c r="BJ100" s="46"/>
      <c r="BK100" s="47"/>
      <c r="BL100" s="45">
        <v>0</v>
      </c>
      <c r="BM100" s="46"/>
      <c r="BN100" s="46"/>
      <c r="BO100" s="46"/>
      <c r="BP100" s="47"/>
      <c r="BQ100" s="45">
        <v>0</v>
      </c>
      <c r="BR100" s="46"/>
      <c r="BS100" s="46"/>
      <c r="BT100" s="47"/>
      <c r="BU100" s="45">
        <f t="shared" si="2"/>
        <v>80000</v>
      </c>
      <c r="BV100" s="46"/>
      <c r="BW100" s="46"/>
      <c r="BX100" s="46"/>
      <c r="BY100" s="47"/>
    </row>
    <row r="101" spans="1:77" s="4" customFormat="1" ht="12.75" customHeight="1" x14ac:dyDescent="0.2">
      <c r="A101" s="28">
        <v>18</v>
      </c>
      <c r="B101" s="29"/>
      <c r="C101" s="29"/>
      <c r="D101" s="30" t="s">
        <v>192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2"/>
      <c r="U101" s="45">
        <v>1740</v>
      </c>
      <c r="V101" s="46"/>
      <c r="W101" s="46"/>
      <c r="X101" s="46"/>
      <c r="Y101" s="47"/>
      <c r="Z101" s="45">
        <v>0</v>
      </c>
      <c r="AA101" s="46"/>
      <c r="AB101" s="46"/>
      <c r="AC101" s="46"/>
      <c r="AD101" s="47"/>
      <c r="AE101" s="45">
        <v>0</v>
      </c>
      <c r="AF101" s="46"/>
      <c r="AG101" s="46"/>
      <c r="AH101" s="47"/>
      <c r="AI101" s="45">
        <f t="shared" si="0"/>
        <v>1740</v>
      </c>
      <c r="AJ101" s="46"/>
      <c r="AK101" s="46"/>
      <c r="AL101" s="46"/>
      <c r="AM101" s="47"/>
      <c r="AN101" s="45">
        <v>0</v>
      </c>
      <c r="AO101" s="46"/>
      <c r="AP101" s="46"/>
      <c r="AQ101" s="46"/>
      <c r="AR101" s="47"/>
      <c r="AS101" s="45">
        <v>0</v>
      </c>
      <c r="AT101" s="46"/>
      <c r="AU101" s="46"/>
      <c r="AV101" s="46"/>
      <c r="AW101" s="47"/>
      <c r="AX101" s="45">
        <v>0</v>
      </c>
      <c r="AY101" s="46"/>
      <c r="AZ101" s="46"/>
      <c r="BA101" s="47"/>
      <c r="BB101" s="45">
        <f t="shared" si="1"/>
        <v>0</v>
      </c>
      <c r="BC101" s="46"/>
      <c r="BD101" s="46"/>
      <c r="BE101" s="46"/>
      <c r="BF101" s="47"/>
      <c r="BG101" s="45">
        <v>0</v>
      </c>
      <c r="BH101" s="46"/>
      <c r="BI101" s="46"/>
      <c r="BJ101" s="46"/>
      <c r="BK101" s="47"/>
      <c r="BL101" s="45">
        <v>0</v>
      </c>
      <c r="BM101" s="46"/>
      <c r="BN101" s="46"/>
      <c r="BO101" s="46"/>
      <c r="BP101" s="47"/>
      <c r="BQ101" s="45">
        <v>0</v>
      </c>
      <c r="BR101" s="46"/>
      <c r="BS101" s="46"/>
      <c r="BT101" s="47"/>
      <c r="BU101" s="45">
        <f t="shared" si="2"/>
        <v>0</v>
      </c>
      <c r="BV101" s="46"/>
      <c r="BW101" s="46"/>
      <c r="BX101" s="46"/>
      <c r="BY101" s="47"/>
    </row>
    <row r="102" spans="1:77" s="4" customFormat="1" ht="12.75" customHeight="1" x14ac:dyDescent="0.2">
      <c r="A102" s="28">
        <v>19</v>
      </c>
      <c r="B102" s="29"/>
      <c r="C102" s="29"/>
      <c r="D102" s="30" t="s">
        <v>193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2"/>
      <c r="U102" s="45">
        <v>0</v>
      </c>
      <c r="V102" s="46"/>
      <c r="W102" s="46"/>
      <c r="X102" s="46"/>
      <c r="Y102" s="47"/>
      <c r="Z102" s="45">
        <v>0</v>
      </c>
      <c r="AA102" s="46"/>
      <c r="AB102" s="46"/>
      <c r="AC102" s="46"/>
      <c r="AD102" s="47"/>
      <c r="AE102" s="45">
        <v>0</v>
      </c>
      <c r="AF102" s="46"/>
      <c r="AG102" s="46"/>
      <c r="AH102" s="47"/>
      <c r="AI102" s="45">
        <f t="shared" si="0"/>
        <v>0</v>
      </c>
      <c r="AJ102" s="46"/>
      <c r="AK102" s="46"/>
      <c r="AL102" s="46"/>
      <c r="AM102" s="47"/>
      <c r="AN102" s="45">
        <v>10200</v>
      </c>
      <c r="AO102" s="46"/>
      <c r="AP102" s="46"/>
      <c r="AQ102" s="46"/>
      <c r="AR102" s="47"/>
      <c r="AS102" s="45">
        <v>0</v>
      </c>
      <c r="AT102" s="46"/>
      <c r="AU102" s="46"/>
      <c r="AV102" s="46"/>
      <c r="AW102" s="47"/>
      <c r="AX102" s="45">
        <v>0</v>
      </c>
      <c r="AY102" s="46"/>
      <c r="AZ102" s="46"/>
      <c r="BA102" s="47"/>
      <c r="BB102" s="45">
        <f t="shared" si="1"/>
        <v>10200</v>
      </c>
      <c r="BC102" s="46"/>
      <c r="BD102" s="46"/>
      <c r="BE102" s="46"/>
      <c r="BF102" s="47"/>
      <c r="BG102" s="45">
        <v>10200</v>
      </c>
      <c r="BH102" s="46"/>
      <c r="BI102" s="46"/>
      <c r="BJ102" s="46"/>
      <c r="BK102" s="47"/>
      <c r="BL102" s="45">
        <v>0</v>
      </c>
      <c r="BM102" s="46"/>
      <c r="BN102" s="46"/>
      <c r="BO102" s="46"/>
      <c r="BP102" s="47"/>
      <c r="BQ102" s="45">
        <v>0</v>
      </c>
      <c r="BR102" s="46"/>
      <c r="BS102" s="46"/>
      <c r="BT102" s="47"/>
      <c r="BU102" s="45">
        <f t="shared" si="2"/>
        <v>10200</v>
      </c>
      <c r="BV102" s="46"/>
      <c r="BW102" s="46"/>
      <c r="BX102" s="46"/>
      <c r="BY102" s="47"/>
    </row>
    <row r="103" spans="1:77" s="4" customFormat="1" ht="25.5" customHeight="1" x14ac:dyDescent="0.2">
      <c r="A103" s="28">
        <v>20</v>
      </c>
      <c r="B103" s="29"/>
      <c r="C103" s="29"/>
      <c r="D103" s="30" t="s">
        <v>194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2"/>
      <c r="U103" s="45">
        <v>64379</v>
      </c>
      <c r="V103" s="46"/>
      <c r="W103" s="46"/>
      <c r="X103" s="46"/>
      <c r="Y103" s="47"/>
      <c r="Z103" s="45">
        <v>0</v>
      </c>
      <c r="AA103" s="46"/>
      <c r="AB103" s="46"/>
      <c r="AC103" s="46"/>
      <c r="AD103" s="47"/>
      <c r="AE103" s="45">
        <v>0</v>
      </c>
      <c r="AF103" s="46"/>
      <c r="AG103" s="46"/>
      <c r="AH103" s="47"/>
      <c r="AI103" s="45">
        <f t="shared" si="0"/>
        <v>64379</v>
      </c>
      <c r="AJ103" s="46"/>
      <c r="AK103" s="46"/>
      <c r="AL103" s="46"/>
      <c r="AM103" s="47"/>
      <c r="AN103" s="45">
        <v>132000</v>
      </c>
      <c r="AO103" s="46"/>
      <c r="AP103" s="46"/>
      <c r="AQ103" s="46"/>
      <c r="AR103" s="47"/>
      <c r="AS103" s="45">
        <v>0</v>
      </c>
      <c r="AT103" s="46"/>
      <c r="AU103" s="46"/>
      <c r="AV103" s="46"/>
      <c r="AW103" s="47"/>
      <c r="AX103" s="45">
        <v>0</v>
      </c>
      <c r="AY103" s="46"/>
      <c r="AZ103" s="46"/>
      <c r="BA103" s="47"/>
      <c r="BB103" s="45">
        <f t="shared" si="1"/>
        <v>132000</v>
      </c>
      <c r="BC103" s="46"/>
      <c r="BD103" s="46"/>
      <c r="BE103" s="46"/>
      <c r="BF103" s="47"/>
      <c r="BG103" s="45">
        <v>204500</v>
      </c>
      <c r="BH103" s="46"/>
      <c r="BI103" s="46"/>
      <c r="BJ103" s="46"/>
      <c r="BK103" s="47"/>
      <c r="BL103" s="45">
        <v>0</v>
      </c>
      <c r="BM103" s="46"/>
      <c r="BN103" s="46"/>
      <c r="BO103" s="46"/>
      <c r="BP103" s="47"/>
      <c r="BQ103" s="45">
        <v>0</v>
      </c>
      <c r="BR103" s="46"/>
      <c r="BS103" s="46"/>
      <c r="BT103" s="47"/>
      <c r="BU103" s="45">
        <f t="shared" si="2"/>
        <v>204500</v>
      </c>
      <c r="BV103" s="46"/>
      <c r="BW103" s="46"/>
      <c r="BX103" s="46"/>
      <c r="BY103" s="47"/>
    </row>
    <row r="104" spans="1:77" s="4" customFormat="1" ht="12.75" customHeight="1" x14ac:dyDescent="0.2">
      <c r="A104" s="28">
        <v>21</v>
      </c>
      <c r="B104" s="29"/>
      <c r="C104" s="29"/>
      <c r="D104" s="30" t="s">
        <v>195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2"/>
      <c r="U104" s="45">
        <v>26922</v>
      </c>
      <c r="V104" s="46"/>
      <c r="W104" s="46"/>
      <c r="X104" s="46"/>
      <c r="Y104" s="47"/>
      <c r="Z104" s="45">
        <v>0</v>
      </c>
      <c r="AA104" s="46"/>
      <c r="AB104" s="46"/>
      <c r="AC104" s="46"/>
      <c r="AD104" s="47"/>
      <c r="AE104" s="45">
        <v>0</v>
      </c>
      <c r="AF104" s="46"/>
      <c r="AG104" s="46"/>
      <c r="AH104" s="47"/>
      <c r="AI104" s="45">
        <f t="shared" si="0"/>
        <v>26922</v>
      </c>
      <c r="AJ104" s="46"/>
      <c r="AK104" s="46"/>
      <c r="AL104" s="46"/>
      <c r="AM104" s="47"/>
      <c r="AN104" s="45">
        <v>52250</v>
      </c>
      <c r="AO104" s="46"/>
      <c r="AP104" s="46"/>
      <c r="AQ104" s="46"/>
      <c r="AR104" s="47"/>
      <c r="AS104" s="45">
        <v>0</v>
      </c>
      <c r="AT104" s="46"/>
      <c r="AU104" s="46"/>
      <c r="AV104" s="46"/>
      <c r="AW104" s="47"/>
      <c r="AX104" s="45">
        <v>0</v>
      </c>
      <c r="AY104" s="46"/>
      <c r="AZ104" s="46"/>
      <c r="BA104" s="47"/>
      <c r="BB104" s="45">
        <f t="shared" si="1"/>
        <v>52250</v>
      </c>
      <c r="BC104" s="46"/>
      <c r="BD104" s="46"/>
      <c r="BE104" s="46"/>
      <c r="BF104" s="47"/>
      <c r="BG104" s="45">
        <v>255600</v>
      </c>
      <c r="BH104" s="46"/>
      <c r="BI104" s="46"/>
      <c r="BJ104" s="46"/>
      <c r="BK104" s="47"/>
      <c r="BL104" s="45">
        <v>0</v>
      </c>
      <c r="BM104" s="46"/>
      <c r="BN104" s="46"/>
      <c r="BO104" s="46"/>
      <c r="BP104" s="47"/>
      <c r="BQ104" s="45">
        <v>0</v>
      </c>
      <c r="BR104" s="46"/>
      <c r="BS104" s="46"/>
      <c r="BT104" s="47"/>
      <c r="BU104" s="45">
        <f t="shared" si="2"/>
        <v>255600</v>
      </c>
      <c r="BV104" s="46"/>
      <c r="BW104" s="46"/>
      <c r="BX104" s="46"/>
      <c r="BY104" s="47"/>
    </row>
    <row r="105" spans="1:77" s="4" customFormat="1" ht="12.75" customHeight="1" x14ac:dyDescent="0.2">
      <c r="A105" s="28">
        <v>22</v>
      </c>
      <c r="B105" s="29"/>
      <c r="C105" s="29"/>
      <c r="D105" s="30" t="s">
        <v>196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2"/>
      <c r="U105" s="45">
        <v>5733</v>
      </c>
      <c r="V105" s="46"/>
      <c r="W105" s="46"/>
      <c r="X105" s="46"/>
      <c r="Y105" s="47"/>
      <c r="Z105" s="45">
        <v>0</v>
      </c>
      <c r="AA105" s="46"/>
      <c r="AB105" s="46"/>
      <c r="AC105" s="46"/>
      <c r="AD105" s="47"/>
      <c r="AE105" s="45">
        <v>0</v>
      </c>
      <c r="AF105" s="46"/>
      <c r="AG105" s="46"/>
      <c r="AH105" s="47"/>
      <c r="AI105" s="45">
        <f t="shared" si="0"/>
        <v>5733</v>
      </c>
      <c r="AJ105" s="46"/>
      <c r="AK105" s="46"/>
      <c r="AL105" s="46"/>
      <c r="AM105" s="47"/>
      <c r="AN105" s="45">
        <v>4635</v>
      </c>
      <c r="AO105" s="46"/>
      <c r="AP105" s="46"/>
      <c r="AQ105" s="46"/>
      <c r="AR105" s="47"/>
      <c r="AS105" s="45">
        <v>0</v>
      </c>
      <c r="AT105" s="46"/>
      <c r="AU105" s="46"/>
      <c r="AV105" s="46"/>
      <c r="AW105" s="47"/>
      <c r="AX105" s="45">
        <v>0</v>
      </c>
      <c r="AY105" s="46"/>
      <c r="AZ105" s="46"/>
      <c r="BA105" s="47"/>
      <c r="BB105" s="45">
        <f t="shared" si="1"/>
        <v>4635</v>
      </c>
      <c r="BC105" s="46"/>
      <c r="BD105" s="46"/>
      <c r="BE105" s="46"/>
      <c r="BF105" s="47"/>
      <c r="BG105" s="45">
        <v>7500</v>
      </c>
      <c r="BH105" s="46"/>
      <c r="BI105" s="46"/>
      <c r="BJ105" s="46"/>
      <c r="BK105" s="47"/>
      <c r="BL105" s="45">
        <v>0</v>
      </c>
      <c r="BM105" s="46"/>
      <c r="BN105" s="46"/>
      <c r="BO105" s="46"/>
      <c r="BP105" s="47"/>
      <c r="BQ105" s="45">
        <v>0</v>
      </c>
      <c r="BR105" s="46"/>
      <c r="BS105" s="46"/>
      <c r="BT105" s="47"/>
      <c r="BU105" s="45">
        <f t="shared" si="2"/>
        <v>7500</v>
      </c>
      <c r="BV105" s="46"/>
      <c r="BW105" s="46"/>
      <c r="BX105" s="46"/>
      <c r="BY105" s="47"/>
    </row>
    <row r="106" spans="1:77" s="4" customFormat="1" ht="25.5" customHeight="1" x14ac:dyDescent="0.2">
      <c r="A106" s="28">
        <v>23</v>
      </c>
      <c r="B106" s="29"/>
      <c r="C106" s="29"/>
      <c r="D106" s="30" t="s">
        <v>197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2"/>
      <c r="U106" s="45">
        <v>110824</v>
      </c>
      <c r="V106" s="46"/>
      <c r="W106" s="46"/>
      <c r="X106" s="46"/>
      <c r="Y106" s="47"/>
      <c r="Z106" s="45">
        <v>0</v>
      </c>
      <c r="AA106" s="46"/>
      <c r="AB106" s="46"/>
      <c r="AC106" s="46"/>
      <c r="AD106" s="47"/>
      <c r="AE106" s="45">
        <v>0</v>
      </c>
      <c r="AF106" s="46"/>
      <c r="AG106" s="46"/>
      <c r="AH106" s="47"/>
      <c r="AI106" s="45">
        <f t="shared" si="0"/>
        <v>110824</v>
      </c>
      <c r="AJ106" s="46"/>
      <c r="AK106" s="46"/>
      <c r="AL106" s="46"/>
      <c r="AM106" s="47"/>
      <c r="AN106" s="45">
        <v>28662</v>
      </c>
      <c r="AO106" s="46"/>
      <c r="AP106" s="46"/>
      <c r="AQ106" s="46"/>
      <c r="AR106" s="47"/>
      <c r="AS106" s="45">
        <v>0</v>
      </c>
      <c r="AT106" s="46"/>
      <c r="AU106" s="46"/>
      <c r="AV106" s="46"/>
      <c r="AW106" s="47"/>
      <c r="AX106" s="45">
        <v>0</v>
      </c>
      <c r="AY106" s="46"/>
      <c r="AZ106" s="46"/>
      <c r="BA106" s="47"/>
      <c r="BB106" s="45">
        <f t="shared" si="1"/>
        <v>28662</v>
      </c>
      <c r="BC106" s="46"/>
      <c r="BD106" s="46"/>
      <c r="BE106" s="46"/>
      <c r="BF106" s="47"/>
      <c r="BG106" s="45">
        <v>86100</v>
      </c>
      <c r="BH106" s="46"/>
      <c r="BI106" s="46"/>
      <c r="BJ106" s="46"/>
      <c r="BK106" s="47"/>
      <c r="BL106" s="45">
        <v>0</v>
      </c>
      <c r="BM106" s="46"/>
      <c r="BN106" s="46"/>
      <c r="BO106" s="46"/>
      <c r="BP106" s="47"/>
      <c r="BQ106" s="45">
        <v>0</v>
      </c>
      <c r="BR106" s="46"/>
      <c r="BS106" s="46"/>
      <c r="BT106" s="47"/>
      <c r="BU106" s="45">
        <f t="shared" si="2"/>
        <v>86100</v>
      </c>
      <c r="BV106" s="46"/>
      <c r="BW106" s="46"/>
      <c r="BX106" s="46"/>
      <c r="BY106" s="47"/>
    </row>
    <row r="107" spans="1:77" s="4" customFormat="1" ht="12.75" customHeight="1" x14ac:dyDescent="0.2">
      <c r="A107" s="28">
        <v>24</v>
      </c>
      <c r="B107" s="29"/>
      <c r="C107" s="29"/>
      <c r="D107" s="30" t="s">
        <v>198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2"/>
      <c r="U107" s="45">
        <v>358653</v>
      </c>
      <c r="V107" s="46"/>
      <c r="W107" s="46"/>
      <c r="X107" s="46"/>
      <c r="Y107" s="47"/>
      <c r="Z107" s="45">
        <v>0</v>
      </c>
      <c r="AA107" s="46"/>
      <c r="AB107" s="46"/>
      <c r="AC107" s="46"/>
      <c r="AD107" s="47"/>
      <c r="AE107" s="45">
        <v>0</v>
      </c>
      <c r="AF107" s="46"/>
      <c r="AG107" s="46"/>
      <c r="AH107" s="47"/>
      <c r="AI107" s="45">
        <f t="shared" si="0"/>
        <v>358653</v>
      </c>
      <c r="AJ107" s="46"/>
      <c r="AK107" s="46"/>
      <c r="AL107" s="46"/>
      <c r="AM107" s="47"/>
      <c r="AN107" s="45">
        <v>445120</v>
      </c>
      <c r="AO107" s="46"/>
      <c r="AP107" s="46"/>
      <c r="AQ107" s="46"/>
      <c r="AR107" s="47"/>
      <c r="AS107" s="45">
        <v>0</v>
      </c>
      <c r="AT107" s="46"/>
      <c r="AU107" s="46"/>
      <c r="AV107" s="46"/>
      <c r="AW107" s="47"/>
      <c r="AX107" s="45">
        <v>0</v>
      </c>
      <c r="AY107" s="46"/>
      <c r="AZ107" s="46"/>
      <c r="BA107" s="47"/>
      <c r="BB107" s="45">
        <f t="shared" si="1"/>
        <v>445120</v>
      </c>
      <c r="BC107" s="46"/>
      <c r="BD107" s="46"/>
      <c r="BE107" s="46"/>
      <c r="BF107" s="47"/>
      <c r="BG107" s="45">
        <v>159790</v>
      </c>
      <c r="BH107" s="46"/>
      <c r="BI107" s="46"/>
      <c r="BJ107" s="46"/>
      <c r="BK107" s="47"/>
      <c r="BL107" s="45">
        <v>0</v>
      </c>
      <c r="BM107" s="46"/>
      <c r="BN107" s="46"/>
      <c r="BO107" s="46"/>
      <c r="BP107" s="47"/>
      <c r="BQ107" s="45">
        <v>0</v>
      </c>
      <c r="BR107" s="46"/>
      <c r="BS107" s="46"/>
      <c r="BT107" s="47"/>
      <c r="BU107" s="45">
        <f t="shared" si="2"/>
        <v>159790</v>
      </c>
      <c r="BV107" s="46"/>
      <c r="BW107" s="46"/>
      <c r="BX107" s="46"/>
      <c r="BY107" s="47"/>
    </row>
    <row r="108" spans="1:77" s="4" customFormat="1" ht="38.25" customHeight="1" x14ac:dyDescent="0.2">
      <c r="A108" s="28">
        <v>25</v>
      </c>
      <c r="B108" s="29"/>
      <c r="C108" s="29"/>
      <c r="D108" s="30" t="s">
        <v>199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2"/>
      <c r="U108" s="45">
        <v>18260</v>
      </c>
      <c r="V108" s="46"/>
      <c r="W108" s="46"/>
      <c r="X108" s="46"/>
      <c r="Y108" s="47"/>
      <c r="Z108" s="45">
        <v>0</v>
      </c>
      <c r="AA108" s="46"/>
      <c r="AB108" s="46"/>
      <c r="AC108" s="46"/>
      <c r="AD108" s="47"/>
      <c r="AE108" s="45">
        <v>0</v>
      </c>
      <c r="AF108" s="46"/>
      <c r="AG108" s="46"/>
      <c r="AH108" s="47"/>
      <c r="AI108" s="45">
        <f t="shared" si="0"/>
        <v>18260</v>
      </c>
      <c r="AJ108" s="46"/>
      <c r="AK108" s="46"/>
      <c r="AL108" s="46"/>
      <c r="AM108" s="47"/>
      <c r="AN108" s="45">
        <v>0</v>
      </c>
      <c r="AO108" s="46"/>
      <c r="AP108" s="46"/>
      <c r="AQ108" s="46"/>
      <c r="AR108" s="47"/>
      <c r="AS108" s="45">
        <v>0</v>
      </c>
      <c r="AT108" s="46"/>
      <c r="AU108" s="46"/>
      <c r="AV108" s="46"/>
      <c r="AW108" s="47"/>
      <c r="AX108" s="45">
        <v>0</v>
      </c>
      <c r="AY108" s="46"/>
      <c r="AZ108" s="46"/>
      <c r="BA108" s="47"/>
      <c r="BB108" s="45">
        <f t="shared" si="1"/>
        <v>0</v>
      </c>
      <c r="BC108" s="46"/>
      <c r="BD108" s="46"/>
      <c r="BE108" s="46"/>
      <c r="BF108" s="47"/>
      <c r="BG108" s="45">
        <v>0</v>
      </c>
      <c r="BH108" s="46"/>
      <c r="BI108" s="46"/>
      <c r="BJ108" s="46"/>
      <c r="BK108" s="47"/>
      <c r="BL108" s="45">
        <v>0</v>
      </c>
      <c r="BM108" s="46"/>
      <c r="BN108" s="46"/>
      <c r="BO108" s="46"/>
      <c r="BP108" s="47"/>
      <c r="BQ108" s="45">
        <v>0</v>
      </c>
      <c r="BR108" s="46"/>
      <c r="BS108" s="46"/>
      <c r="BT108" s="47"/>
      <c r="BU108" s="45">
        <f t="shared" si="2"/>
        <v>0</v>
      </c>
      <c r="BV108" s="46"/>
      <c r="BW108" s="46"/>
      <c r="BX108" s="46"/>
      <c r="BY108" s="47"/>
    </row>
    <row r="109" spans="1:77" s="4" customFormat="1" ht="38.25" customHeight="1" x14ac:dyDescent="0.2">
      <c r="A109" s="28">
        <v>26</v>
      </c>
      <c r="B109" s="29"/>
      <c r="C109" s="29"/>
      <c r="D109" s="30" t="s">
        <v>200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2"/>
      <c r="U109" s="45">
        <v>18611</v>
      </c>
      <c r="V109" s="46"/>
      <c r="W109" s="46"/>
      <c r="X109" s="46"/>
      <c r="Y109" s="47"/>
      <c r="Z109" s="45">
        <v>0</v>
      </c>
      <c r="AA109" s="46"/>
      <c r="AB109" s="46"/>
      <c r="AC109" s="46"/>
      <c r="AD109" s="47"/>
      <c r="AE109" s="45">
        <v>0</v>
      </c>
      <c r="AF109" s="46"/>
      <c r="AG109" s="46"/>
      <c r="AH109" s="47"/>
      <c r="AI109" s="45">
        <f t="shared" si="0"/>
        <v>18611</v>
      </c>
      <c r="AJ109" s="46"/>
      <c r="AK109" s="46"/>
      <c r="AL109" s="46"/>
      <c r="AM109" s="47"/>
      <c r="AN109" s="45">
        <v>0</v>
      </c>
      <c r="AO109" s="46"/>
      <c r="AP109" s="46"/>
      <c r="AQ109" s="46"/>
      <c r="AR109" s="47"/>
      <c r="AS109" s="45">
        <v>0</v>
      </c>
      <c r="AT109" s="46"/>
      <c r="AU109" s="46"/>
      <c r="AV109" s="46"/>
      <c r="AW109" s="47"/>
      <c r="AX109" s="45">
        <v>0</v>
      </c>
      <c r="AY109" s="46"/>
      <c r="AZ109" s="46"/>
      <c r="BA109" s="47"/>
      <c r="BB109" s="45">
        <f t="shared" si="1"/>
        <v>0</v>
      </c>
      <c r="BC109" s="46"/>
      <c r="BD109" s="46"/>
      <c r="BE109" s="46"/>
      <c r="BF109" s="47"/>
      <c r="BG109" s="45">
        <v>0</v>
      </c>
      <c r="BH109" s="46"/>
      <c r="BI109" s="46"/>
      <c r="BJ109" s="46"/>
      <c r="BK109" s="47"/>
      <c r="BL109" s="45">
        <v>0</v>
      </c>
      <c r="BM109" s="46"/>
      <c r="BN109" s="46"/>
      <c r="BO109" s="46"/>
      <c r="BP109" s="47"/>
      <c r="BQ109" s="45">
        <v>0</v>
      </c>
      <c r="BR109" s="46"/>
      <c r="BS109" s="46"/>
      <c r="BT109" s="47"/>
      <c r="BU109" s="45">
        <f t="shared" si="2"/>
        <v>0</v>
      </c>
      <c r="BV109" s="46"/>
      <c r="BW109" s="46"/>
      <c r="BX109" s="46"/>
      <c r="BY109" s="47"/>
    </row>
    <row r="110" spans="1:77" s="4" customFormat="1" ht="12.75" customHeight="1" x14ac:dyDescent="0.2">
      <c r="A110" s="28">
        <v>27</v>
      </c>
      <c r="B110" s="29"/>
      <c r="C110" s="29"/>
      <c r="D110" s="30" t="s">
        <v>201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2"/>
      <c r="U110" s="45">
        <v>1395</v>
      </c>
      <c r="V110" s="46"/>
      <c r="W110" s="46"/>
      <c r="X110" s="46"/>
      <c r="Y110" s="47"/>
      <c r="Z110" s="45">
        <v>0</v>
      </c>
      <c r="AA110" s="46"/>
      <c r="AB110" s="46"/>
      <c r="AC110" s="46"/>
      <c r="AD110" s="47"/>
      <c r="AE110" s="45">
        <v>0</v>
      </c>
      <c r="AF110" s="46"/>
      <c r="AG110" s="46"/>
      <c r="AH110" s="47"/>
      <c r="AI110" s="45">
        <f t="shared" si="0"/>
        <v>1395</v>
      </c>
      <c r="AJ110" s="46"/>
      <c r="AK110" s="46"/>
      <c r="AL110" s="46"/>
      <c r="AM110" s="47"/>
      <c r="AN110" s="45">
        <v>0</v>
      </c>
      <c r="AO110" s="46"/>
      <c r="AP110" s="46"/>
      <c r="AQ110" s="46"/>
      <c r="AR110" s="47"/>
      <c r="AS110" s="45">
        <v>0</v>
      </c>
      <c r="AT110" s="46"/>
      <c r="AU110" s="46"/>
      <c r="AV110" s="46"/>
      <c r="AW110" s="47"/>
      <c r="AX110" s="45">
        <v>0</v>
      </c>
      <c r="AY110" s="46"/>
      <c r="AZ110" s="46"/>
      <c r="BA110" s="47"/>
      <c r="BB110" s="45">
        <f t="shared" si="1"/>
        <v>0</v>
      </c>
      <c r="BC110" s="46"/>
      <c r="BD110" s="46"/>
      <c r="BE110" s="46"/>
      <c r="BF110" s="47"/>
      <c r="BG110" s="45">
        <v>5000</v>
      </c>
      <c r="BH110" s="46"/>
      <c r="BI110" s="46"/>
      <c r="BJ110" s="46"/>
      <c r="BK110" s="47"/>
      <c r="BL110" s="45">
        <v>0</v>
      </c>
      <c r="BM110" s="46"/>
      <c r="BN110" s="46"/>
      <c r="BO110" s="46"/>
      <c r="BP110" s="47"/>
      <c r="BQ110" s="45">
        <v>0</v>
      </c>
      <c r="BR110" s="46"/>
      <c r="BS110" s="46"/>
      <c r="BT110" s="47"/>
      <c r="BU110" s="45">
        <f t="shared" si="2"/>
        <v>5000</v>
      </c>
      <c r="BV110" s="46"/>
      <c r="BW110" s="46"/>
      <c r="BX110" s="46"/>
      <c r="BY110" s="47"/>
    </row>
    <row r="111" spans="1:77" s="4" customFormat="1" ht="25.5" customHeight="1" x14ac:dyDescent="0.2">
      <c r="A111" s="28">
        <v>28</v>
      </c>
      <c r="B111" s="29"/>
      <c r="C111" s="29"/>
      <c r="D111" s="30" t="s">
        <v>202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2"/>
      <c r="U111" s="45">
        <v>0</v>
      </c>
      <c r="V111" s="46"/>
      <c r="W111" s="46"/>
      <c r="X111" s="46"/>
      <c r="Y111" s="47"/>
      <c r="Z111" s="45">
        <v>0</v>
      </c>
      <c r="AA111" s="46"/>
      <c r="AB111" s="46"/>
      <c r="AC111" s="46"/>
      <c r="AD111" s="47"/>
      <c r="AE111" s="45">
        <v>0</v>
      </c>
      <c r="AF111" s="46"/>
      <c r="AG111" s="46"/>
      <c r="AH111" s="47"/>
      <c r="AI111" s="45">
        <f t="shared" si="0"/>
        <v>0</v>
      </c>
      <c r="AJ111" s="46"/>
      <c r="AK111" s="46"/>
      <c r="AL111" s="46"/>
      <c r="AM111" s="47"/>
      <c r="AN111" s="45">
        <v>1920</v>
      </c>
      <c r="AO111" s="46"/>
      <c r="AP111" s="46"/>
      <c r="AQ111" s="46"/>
      <c r="AR111" s="47"/>
      <c r="AS111" s="45">
        <v>0</v>
      </c>
      <c r="AT111" s="46"/>
      <c r="AU111" s="46"/>
      <c r="AV111" s="46"/>
      <c r="AW111" s="47"/>
      <c r="AX111" s="45">
        <v>0</v>
      </c>
      <c r="AY111" s="46"/>
      <c r="AZ111" s="46"/>
      <c r="BA111" s="47"/>
      <c r="BB111" s="45">
        <f t="shared" si="1"/>
        <v>1920</v>
      </c>
      <c r="BC111" s="46"/>
      <c r="BD111" s="46"/>
      <c r="BE111" s="46"/>
      <c r="BF111" s="47"/>
      <c r="BG111" s="45">
        <v>1920</v>
      </c>
      <c r="BH111" s="46"/>
      <c r="BI111" s="46"/>
      <c r="BJ111" s="46"/>
      <c r="BK111" s="47"/>
      <c r="BL111" s="45">
        <v>0</v>
      </c>
      <c r="BM111" s="46"/>
      <c r="BN111" s="46"/>
      <c r="BO111" s="46"/>
      <c r="BP111" s="47"/>
      <c r="BQ111" s="45">
        <v>0</v>
      </c>
      <c r="BR111" s="46"/>
      <c r="BS111" s="46"/>
      <c r="BT111" s="47"/>
      <c r="BU111" s="45">
        <f t="shared" si="2"/>
        <v>1920</v>
      </c>
      <c r="BV111" s="46"/>
      <c r="BW111" s="46"/>
      <c r="BX111" s="46"/>
      <c r="BY111" s="47"/>
    </row>
    <row r="112" spans="1:77" s="4" customFormat="1" ht="25.5" customHeight="1" x14ac:dyDescent="0.2">
      <c r="A112" s="28">
        <v>29</v>
      </c>
      <c r="B112" s="29"/>
      <c r="C112" s="29"/>
      <c r="D112" s="30" t="s">
        <v>203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2"/>
      <c r="U112" s="45">
        <v>0</v>
      </c>
      <c r="V112" s="46"/>
      <c r="W112" s="46"/>
      <c r="X112" s="46"/>
      <c r="Y112" s="47"/>
      <c r="Z112" s="45">
        <v>0</v>
      </c>
      <c r="AA112" s="46"/>
      <c r="AB112" s="46"/>
      <c r="AC112" s="46"/>
      <c r="AD112" s="47"/>
      <c r="AE112" s="45">
        <v>0</v>
      </c>
      <c r="AF112" s="46"/>
      <c r="AG112" s="46"/>
      <c r="AH112" s="47"/>
      <c r="AI112" s="45">
        <f t="shared" si="0"/>
        <v>0</v>
      </c>
      <c r="AJ112" s="46"/>
      <c r="AK112" s="46"/>
      <c r="AL112" s="46"/>
      <c r="AM112" s="47"/>
      <c r="AN112" s="45">
        <v>5391</v>
      </c>
      <c r="AO112" s="46"/>
      <c r="AP112" s="46"/>
      <c r="AQ112" s="46"/>
      <c r="AR112" s="47"/>
      <c r="AS112" s="45">
        <v>0</v>
      </c>
      <c r="AT112" s="46"/>
      <c r="AU112" s="46"/>
      <c r="AV112" s="46"/>
      <c r="AW112" s="47"/>
      <c r="AX112" s="45">
        <v>0</v>
      </c>
      <c r="AY112" s="46"/>
      <c r="AZ112" s="46"/>
      <c r="BA112" s="47"/>
      <c r="BB112" s="45">
        <f t="shared" si="1"/>
        <v>5391</v>
      </c>
      <c r="BC112" s="46"/>
      <c r="BD112" s="46"/>
      <c r="BE112" s="46"/>
      <c r="BF112" s="47"/>
      <c r="BG112" s="45">
        <v>5391</v>
      </c>
      <c r="BH112" s="46"/>
      <c r="BI112" s="46"/>
      <c r="BJ112" s="46"/>
      <c r="BK112" s="47"/>
      <c r="BL112" s="45">
        <v>0</v>
      </c>
      <c r="BM112" s="46"/>
      <c r="BN112" s="46"/>
      <c r="BO112" s="46"/>
      <c r="BP112" s="47"/>
      <c r="BQ112" s="45">
        <v>0</v>
      </c>
      <c r="BR112" s="46"/>
      <c r="BS112" s="46"/>
      <c r="BT112" s="47"/>
      <c r="BU112" s="45">
        <f t="shared" si="2"/>
        <v>5391</v>
      </c>
      <c r="BV112" s="46"/>
      <c r="BW112" s="46"/>
      <c r="BX112" s="46"/>
      <c r="BY112" s="47"/>
    </row>
    <row r="113" spans="1:79" s="4" customFormat="1" ht="12.75" customHeight="1" x14ac:dyDescent="0.2">
      <c r="A113" s="28">
        <v>30</v>
      </c>
      <c r="B113" s="29"/>
      <c r="C113" s="29"/>
      <c r="D113" s="30" t="s">
        <v>204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2"/>
      <c r="U113" s="45">
        <v>0</v>
      </c>
      <c r="V113" s="46"/>
      <c r="W113" s="46"/>
      <c r="X113" s="46"/>
      <c r="Y113" s="47"/>
      <c r="Z113" s="45">
        <v>0</v>
      </c>
      <c r="AA113" s="46"/>
      <c r="AB113" s="46"/>
      <c r="AC113" s="46"/>
      <c r="AD113" s="47"/>
      <c r="AE113" s="45">
        <v>0</v>
      </c>
      <c r="AF113" s="46"/>
      <c r="AG113" s="46"/>
      <c r="AH113" s="47"/>
      <c r="AI113" s="45">
        <f t="shared" si="0"/>
        <v>0</v>
      </c>
      <c r="AJ113" s="46"/>
      <c r="AK113" s="46"/>
      <c r="AL113" s="46"/>
      <c r="AM113" s="47"/>
      <c r="AN113" s="45">
        <v>198100</v>
      </c>
      <c r="AO113" s="46"/>
      <c r="AP113" s="46"/>
      <c r="AQ113" s="46"/>
      <c r="AR113" s="47"/>
      <c r="AS113" s="45">
        <v>0</v>
      </c>
      <c r="AT113" s="46"/>
      <c r="AU113" s="46"/>
      <c r="AV113" s="46"/>
      <c r="AW113" s="47"/>
      <c r="AX113" s="45">
        <v>0</v>
      </c>
      <c r="AY113" s="46"/>
      <c r="AZ113" s="46"/>
      <c r="BA113" s="47"/>
      <c r="BB113" s="45">
        <f t="shared" si="1"/>
        <v>198100</v>
      </c>
      <c r="BC113" s="46"/>
      <c r="BD113" s="46"/>
      <c r="BE113" s="46"/>
      <c r="BF113" s="47"/>
      <c r="BG113" s="45">
        <v>200000</v>
      </c>
      <c r="BH113" s="46"/>
      <c r="BI113" s="46"/>
      <c r="BJ113" s="46"/>
      <c r="BK113" s="47"/>
      <c r="BL113" s="45">
        <v>0</v>
      </c>
      <c r="BM113" s="46"/>
      <c r="BN113" s="46"/>
      <c r="BO113" s="46"/>
      <c r="BP113" s="47"/>
      <c r="BQ113" s="45">
        <v>0</v>
      </c>
      <c r="BR113" s="46"/>
      <c r="BS113" s="46"/>
      <c r="BT113" s="47"/>
      <c r="BU113" s="45">
        <f t="shared" si="2"/>
        <v>200000</v>
      </c>
      <c r="BV113" s="46"/>
      <c r="BW113" s="46"/>
      <c r="BX113" s="46"/>
      <c r="BY113" s="47"/>
    </row>
    <row r="114" spans="1:79" s="4" customFormat="1" ht="25.5" customHeight="1" x14ac:dyDescent="0.2">
      <c r="A114" s="28">
        <v>31</v>
      </c>
      <c r="B114" s="29"/>
      <c r="C114" s="29"/>
      <c r="D114" s="30" t="s">
        <v>205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2"/>
      <c r="U114" s="45">
        <v>0</v>
      </c>
      <c r="V114" s="46"/>
      <c r="W114" s="46"/>
      <c r="X114" s="46"/>
      <c r="Y114" s="47"/>
      <c r="Z114" s="45">
        <v>0</v>
      </c>
      <c r="AA114" s="46"/>
      <c r="AB114" s="46"/>
      <c r="AC114" s="46"/>
      <c r="AD114" s="47"/>
      <c r="AE114" s="45">
        <v>0</v>
      </c>
      <c r="AF114" s="46"/>
      <c r="AG114" s="46"/>
      <c r="AH114" s="47"/>
      <c r="AI114" s="45">
        <f t="shared" si="0"/>
        <v>0</v>
      </c>
      <c r="AJ114" s="46"/>
      <c r="AK114" s="46"/>
      <c r="AL114" s="46"/>
      <c r="AM114" s="47"/>
      <c r="AN114" s="45">
        <v>0</v>
      </c>
      <c r="AO114" s="46"/>
      <c r="AP114" s="46"/>
      <c r="AQ114" s="46"/>
      <c r="AR114" s="47"/>
      <c r="AS114" s="45">
        <v>0</v>
      </c>
      <c r="AT114" s="46"/>
      <c r="AU114" s="46"/>
      <c r="AV114" s="46"/>
      <c r="AW114" s="47"/>
      <c r="AX114" s="45">
        <v>0</v>
      </c>
      <c r="AY114" s="46"/>
      <c r="AZ114" s="46"/>
      <c r="BA114" s="47"/>
      <c r="BB114" s="45">
        <f t="shared" si="1"/>
        <v>0</v>
      </c>
      <c r="BC114" s="46"/>
      <c r="BD114" s="46"/>
      <c r="BE114" s="46"/>
      <c r="BF114" s="47"/>
      <c r="BG114" s="45">
        <v>28934</v>
      </c>
      <c r="BH114" s="46"/>
      <c r="BI114" s="46"/>
      <c r="BJ114" s="46"/>
      <c r="BK114" s="47"/>
      <c r="BL114" s="45">
        <v>0</v>
      </c>
      <c r="BM114" s="46"/>
      <c r="BN114" s="46"/>
      <c r="BO114" s="46"/>
      <c r="BP114" s="47"/>
      <c r="BQ114" s="45">
        <v>0</v>
      </c>
      <c r="BR114" s="46"/>
      <c r="BS114" s="46"/>
      <c r="BT114" s="47"/>
      <c r="BU114" s="45">
        <f t="shared" si="2"/>
        <v>28934</v>
      </c>
      <c r="BV114" s="46"/>
      <c r="BW114" s="46"/>
      <c r="BX114" s="46"/>
      <c r="BY114" s="47"/>
    </row>
    <row r="115" spans="1:79" s="4" customFormat="1" ht="25.5" customHeight="1" x14ac:dyDescent="0.2">
      <c r="A115" s="28">
        <v>32</v>
      </c>
      <c r="B115" s="29"/>
      <c r="C115" s="29"/>
      <c r="D115" s="30" t="s">
        <v>206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2"/>
      <c r="U115" s="45">
        <v>0</v>
      </c>
      <c r="V115" s="46"/>
      <c r="W115" s="46"/>
      <c r="X115" s="46"/>
      <c r="Y115" s="47"/>
      <c r="Z115" s="45">
        <v>0</v>
      </c>
      <c r="AA115" s="46"/>
      <c r="AB115" s="46"/>
      <c r="AC115" s="46"/>
      <c r="AD115" s="47"/>
      <c r="AE115" s="45">
        <v>0</v>
      </c>
      <c r="AF115" s="46"/>
      <c r="AG115" s="46"/>
      <c r="AH115" s="47"/>
      <c r="AI115" s="45">
        <f t="shared" si="0"/>
        <v>0</v>
      </c>
      <c r="AJ115" s="46"/>
      <c r="AK115" s="46"/>
      <c r="AL115" s="46"/>
      <c r="AM115" s="47"/>
      <c r="AN115" s="45">
        <v>0</v>
      </c>
      <c r="AO115" s="46"/>
      <c r="AP115" s="46"/>
      <c r="AQ115" s="46"/>
      <c r="AR115" s="47"/>
      <c r="AS115" s="45">
        <v>0</v>
      </c>
      <c r="AT115" s="46"/>
      <c r="AU115" s="46"/>
      <c r="AV115" s="46"/>
      <c r="AW115" s="47"/>
      <c r="AX115" s="45">
        <v>0</v>
      </c>
      <c r="AY115" s="46"/>
      <c r="AZ115" s="46"/>
      <c r="BA115" s="47"/>
      <c r="BB115" s="45">
        <f t="shared" si="1"/>
        <v>0</v>
      </c>
      <c r="BC115" s="46"/>
      <c r="BD115" s="46"/>
      <c r="BE115" s="46"/>
      <c r="BF115" s="47"/>
      <c r="BG115" s="45">
        <v>10000</v>
      </c>
      <c r="BH115" s="46"/>
      <c r="BI115" s="46"/>
      <c r="BJ115" s="46"/>
      <c r="BK115" s="47"/>
      <c r="BL115" s="45">
        <v>0</v>
      </c>
      <c r="BM115" s="46"/>
      <c r="BN115" s="46"/>
      <c r="BO115" s="46"/>
      <c r="BP115" s="47"/>
      <c r="BQ115" s="45">
        <v>0</v>
      </c>
      <c r="BR115" s="46"/>
      <c r="BS115" s="46"/>
      <c r="BT115" s="47"/>
      <c r="BU115" s="45">
        <f t="shared" si="2"/>
        <v>10000</v>
      </c>
      <c r="BV115" s="46"/>
      <c r="BW115" s="46"/>
      <c r="BX115" s="46"/>
      <c r="BY115" s="47"/>
    </row>
    <row r="116" spans="1:79" s="4" customFormat="1" ht="12.75" customHeight="1" x14ac:dyDescent="0.2">
      <c r="A116" s="28">
        <v>33</v>
      </c>
      <c r="B116" s="29"/>
      <c r="C116" s="29"/>
      <c r="D116" s="30" t="s">
        <v>207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2"/>
      <c r="U116" s="45">
        <v>0</v>
      </c>
      <c r="V116" s="46"/>
      <c r="W116" s="46"/>
      <c r="X116" s="46"/>
      <c r="Y116" s="47"/>
      <c r="Z116" s="45">
        <v>0</v>
      </c>
      <c r="AA116" s="46"/>
      <c r="AB116" s="46"/>
      <c r="AC116" s="46"/>
      <c r="AD116" s="47"/>
      <c r="AE116" s="45">
        <v>0</v>
      </c>
      <c r="AF116" s="46"/>
      <c r="AG116" s="46"/>
      <c r="AH116" s="47"/>
      <c r="AI116" s="45">
        <f t="shared" si="0"/>
        <v>0</v>
      </c>
      <c r="AJ116" s="46"/>
      <c r="AK116" s="46"/>
      <c r="AL116" s="46"/>
      <c r="AM116" s="47"/>
      <c r="AN116" s="45">
        <v>0</v>
      </c>
      <c r="AO116" s="46"/>
      <c r="AP116" s="46"/>
      <c r="AQ116" s="46"/>
      <c r="AR116" s="47"/>
      <c r="AS116" s="45">
        <v>0</v>
      </c>
      <c r="AT116" s="46"/>
      <c r="AU116" s="46"/>
      <c r="AV116" s="46"/>
      <c r="AW116" s="47"/>
      <c r="AX116" s="45">
        <v>0</v>
      </c>
      <c r="AY116" s="46"/>
      <c r="AZ116" s="46"/>
      <c r="BA116" s="47"/>
      <c r="BB116" s="45">
        <f t="shared" si="1"/>
        <v>0</v>
      </c>
      <c r="BC116" s="46"/>
      <c r="BD116" s="46"/>
      <c r="BE116" s="46"/>
      <c r="BF116" s="47"/>
      <c r="BG116" s="45">
        <v>60000</v>
      </c>
      <c r="BH116" s="46"/>
      <c r="BI116" s="46"/>
      <c r="BJ116" s="46"/>
      <c r="BK116" s="47"/>
      <c r="BL116" s="45">
        <v>0</v>
      </c>
      <c r="BM116" s="46"/>
      <c r="BN116" s="46"/>
      <c r="BO116" s="46"/>
      <c r="BP116" s="47"/>
      <c r="BQ116" s="45">
        <v>0</v>
      </c>
      <c r="BR116" s="46"/>
      <c r="BS116" s="46"/>
      <c r="BT116" s="47"/>
      <c r="BU116" s="45">
        <f t="shared" si="2"/>
        <v>60000</v>
      </c>
      <c r="BV116" s="46"/>
      <c r="BW116" s="46"/>
      <c r="BX116" s="46"/>
      <c r="BY116" s="47"/>
    </row>
    <row r="117" spans="1:79" s="5" customFormat="1" ht="12.75" customHeight="1" x14ac:dyDescent="0.2">
      <c r="A117" s="33"/>
      <c r="B117" s="34"/>
      <c r="C117" s="34"/>
      <c r="D117" s="21" t="s">
        <v>147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41">
        <v>5252692</v>
      </c>
      <c r="V117" s="42"/>
      <c r="W117" s="42"/>
      <c r="X117" s="42"/>
      <c r="Y117" s="43"/>
      <c r="Z117" s="41">
        <v>0</v>
      </c>
      <c r="AA117" s="42"/>
      <c r="AB117" s="42"/>
      <c r="AC117" s="42"/>
      <c r="AD117" s="43"/>
      <c r="AE117" s="41">
        <v>0</v>
      </c>
      <c r="AF117" s="42"/>
      <c r="AG117" s="42"/>
      <c r="AH117" s="43"/>
      <c r="AI117" s="41">
        <f t="shared" si="0"/>
        <v>5252692</v>
      </c>
      <c r="AJ117" s="42"/>
      <c r="AK117" s="42"/>
      <c r="AL117" s="42"/>
      <c r="AM117" s="43"/>
      <c r="AN117" s="41">
        <v>7018512</v>
      </c>
      <c r="AO117" s="42"/>
      <c r="AP117" s="42"/>
      <c r="AQ117" s="42"/>
      <c r="AR117" s="43"/>
      <c r="AS117" s="41">
        <v>0</v>
      </c>
      <c r="AT117" s="42"/>
      <c r="AU117" s="42"/>
      <c r="AV117" s="42"/>
      <c r="AW117" s="43"/>
      <c r="AX117" s="41">
        <v>0</v>
      </c>
      <c r="AY117" s="42"/>
      <c r="AZ117" s="42"/>
      <c r="BA117" s="43"/>
      <c r="BB117" s="41">
        <f t="shared" si="1"/>
        <v>7018512</v>
      </c>
      <c r="BC117" s="42"/>
      <c r="BD117" s="42"/>
      <c r="BE117" s="42"/>
      <c r="BF117" s="43"/>
      <c r="BG117" s="41">
        <v>8165654</v>
      </c>
      <c r="BH117" s="42"/>
      <c r="BI117" s="42"/>
      <c r="BJ117" s="42"/>
      <c r="BK117" s="43"/>
      <c r="BL117" s="41">
        <v>0</v>
      </c>
      <c r="BM117" s="42"/>
      <c r="BN117" s="42"/>
      <c r="BO117" s="42"/>
      <c r="BP117" s="43"/>
      <c r="BQ117" s="41">
        <v>0</v>
      </c>
      <c r="BR117" s="42"/>
      <c r="BS117" s="42"/>
      <c r="BT117" s="43"/>
      <c r="BU117" s="41">
        <f t="shared" si="2"/>
        <v>8165654</v>
      </c>
      <c r="BV117" s="42"/>
      <c r="BW117" s="42"/>
      <c r="BX117" s="42"/>
      <c r="BY117" s="43"/>
    </row>
    <row r="119" spans="1:79" ht="14.25" customHeight="1" x14ac:dyDescent="0.2">
      <c r="A119" s="60" t="s">
        <v>279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</row>
    <row r="120" spans="1:79" ht="15" customHeight="1" x14ac:dyDescent="0.2">
      <c r="A120" s="66" t="s">
        <v>249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</row>
    <row r="121" spans="1:79" ht="23.1" customHeight="1" x14ac:dyDescent="0.2">
      <c r="A121" s="77" t="s">
        <v>6</v>
      </c>
      <c r="B121" s="78"/>
      <c r="C121" s="78"/>
      <c r="D121" s="77" t="s">
        <v>121</v>
      </c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9"/>
      <c r="U121" s="37" t="s">
        <v>271</v>
      </c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 t="s">
        <v>276</v>
      </c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</row>
    <row r="122" spans="1:79" ht="54" customHeight="1" x14ac:dyDescent="0.2">
      <c r="A122" s="80"/>
      <c r="B122" s="81"/>
      <c r="C122" s="81"/>
      <c r="D122" s="80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2"/>
      <c r="U122" s="73" t="s">
        <v>4</v>
      </c>
      <c r="V122" s="74"/>
      <c r="W122" s="74"/>
      <c r="X122" s="74"/>
      <c r="Y122" s="75"/>
      <c r="Z122" s="73" t="s">
        <v>3</v>
      </c>
      <c r="AA122" s="74"/>
      <c r="AB122" s="74"/>
      <c r="AC122" s="74"/>
      <c r="AD122" s="75"/>
      <c r="AE122" s="96" t="s">
        <v>116</v>
      </c>
      <c r="AF122" s="97"/>
      <c r="AG122" s="97"/>
      <c r="AH122" s="97"/>
      <c r="AI122" s="98"/>
      <c r="AJ122" s="73" t="s">
        <v>5</v>
      </c>
      <c r="AK122" s="74"/>
      <c r="AL122" s="74"/>
      <c r="AM122" s="74"/>
      <c r="AN122" s="75"/>
      <c r="AO122" s="73" t="s">
        <v>4</v>
      </c>
      <c r="AP122" s="74"/>
      <c r="AQ122" s="74"/>
      <c r="AR122" s="74"/>
      <c r="AS122" s="75"/>
      <c r="AT122" s="73" t="s">
        <v>3</v>
      </c>
      <c r="AU122" s="74"/>
      <c r="AV122" s="74"/>
      <c r="AW122" s="74"/>
      <c r="AX122" s="75"/>
      <c r="AY122" s="96" t="s">
        <v>116</v>
      </c>
      <c r="AZ122" s="97"/>
      <c r="BA122" s="97"/>
      <c r="BB122" s="97"/>
      <c r="BC122" s="98"/>
      <c r="BD122" s="37" t="s">
        <v>96</v>
      </c>
      <c r="BE122" s="37"/>
      <c r="BF122" s="37"/>
      <c r="BG122" s="37"/>
      <c r="BH122" s="37"/>
    </row>
    <row r="123" spans="1:79" ht="15" customHeight="1" x14ac:dyDescent="0.2">
      <c r="A123" s="73" t="s">
        <v>168</v>
      </c>
      <c r="B123" s="74"/>
      <c r="C123" s="74"/>
      <c r="D123" s="73">
        <v>2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5"/>
      <c r="U123" s="73">
        <v>3</v>
      </c>
      <c r="V123" s="74"/>
      <c r="W123" s="74"/>
      <c r="X123" s="74"/>
      <c r="Y123" s="75"/>
      <c r="Z123" s="73">
        <v>4</v>
      </c>
      <c r="AA123" s="74"/>
      <c r="AB123" s="74"/>
      <c r="AC123" s="74"/>
      <c r="AD123" s="75"/>
      <c r="AE123" s="73">
        <v>5</v>
      </c>
      <c r="AF123" s="74"/>
      <c r="AG123" s="74"/>
      <c r="AH123" s="74"/>
      <c r="AI123" s="75"/>
      <c r="AJ123" s="73">
        <v>6</v>
      </c>
      <c r="AK123" s="74"/>
      <c r="AL123" s="74"/>
      <c r="AM123" s="74"/>
      <c r="AN123" s="75"/>
      <c r="AO123" s="73">
        <v>7</v>
      </c>
      <c r="AP123" s="74"/>
      <c r="AQ123" s="74"/>
      <c r="AR123" s="74"/>
      <c r="AS123" s="75"/>
      <c r="AT123" s="73">
        <v>8</v>
      </c>
      <c r="AU123" s="74"/>
      <c r="AV123" s="74"/>
      <c r="AW123" s="74"/>
      <c r="AX123" s="75"/>
      <c r="AY123" s="73">
        <v>9</v>
      </c>
      <c r="AZ123" s="74"/>
      <c r="BA123" s="74"/>
      <c r="BB123" s="74"/>
      <c r="BC123" s="75"/>
      <c r="BD123" s="73">
        <v>10</v>
      </c>
      <c r="BE123" s="74"/>
      <c r="BF123" s="74"/>
      <c r="BG123" s="74"/>
      <c r="BH123" s="75"/>
    </row>
    <row r="124" spans="1:79" s="1" customFormat="1" ht="12.75" hidden="1" customHeight="1" x14ac:dyDescent="0.2">
      <c r="A124" s="87" t="s">
        <v>69</v>
      </c>
      <c r="B124" s="88"/>
      <c r="C124" s="88"/>
      <c r="D124" s="87" t="s">
        <v>57</v>
      </c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9"/>
      <c r="U124" s="87" t="s">
        <v>60</v>
      </c>
      <c r="V124" s="88"/>
      <c r="W124" s="88"/>
      <c r="X124" s="88"/>
      <c r="Y124" s="89"/>
      <c r="Z124" s="87" t="s">
        <v>61</v>
      </c>
      <c r="AA124" s="88"/>
      <c r="AB124" s="88"/>
      <c r="AC124" s="88"/>
      <c r="AD124" s="89"/>
      <c r="AE124" s="87" t="s">
        <v>94</v>
      </c>
      <c r="AF124" s="88"/>
      <c r="AG124" s="88"/>
      <c r="AH124" s="88"/>
      <c r="AI124" s="89"/>
      <c r="AJ124" s="93" t="s">
        <v>170</v>
      </c>
      <c r="AK124" s="94"/>
      <c r="AL124" s="94"/>
      <c r="AM124" s="94"/>
      <c r="AN124" s="95"/>
      <c r="AO124" s="87" t="s">
        <v>62</v>
      </c>
      <c r="AP124" s="88"/>
      <c r="AQ124" s="88"/>
      <c r="AR124" s="88"/>
      <c r="AS124" s="89"/>
      <c r="AT124" s="87" t="s">
        <v>63</v>
      </c>
      <c r="AU124" s="88"/>
      <c r="AV124" s="88"/>
      <c r="AW124" s="88"/>
      <c r="AX124" s="89"/>
      <c r="AY124" s="87" t="s">
        <v>95</v>
      </c>
      <c r="AZ124" s="88"/>
      <c r="BA124" s="88"/>
      <c r="BB124" s="88"/>
      <c r="BC124" s="89"/>
      <c r="BD124" s="83" t="s">
        <v>170</v>
      </c>
      <c r="BE124" s="83"/>
      <c r="BF124" s="83"/>
      <c r="BG124" s="83"/>
      <c r="BH124" s="83"/>
      <c r="CA124" s="1" t="s">
        <v>35</v>
      </c>
    </row>
    <row r="125" spans="1:79" s="4" customFormat="1" ht="12.75" customHeight="1" x14ac:dyDescent="0.2">
      <c r="A125" s="28">
        <v>1</v>
      </c>
      <c r="B125" s="29"/>
      <c r="C125" s="29"/>
      <c r="D125" s="30" t="s">
        <v>175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2"/>
      <c r="U125" s="45">
        <v>5413007</v>
      </c>
      <c r="V125" s="46"/>
      <c r="W125" s="46"/>
      <c r="X125" s="46"/>
      <c r="Y125" s="47"/>
      <c r="Z125" s="45">
        <v>0</v>
      </c>
      <c r="AA125" s="46"/>
      <c r="AB125" s="46"/>
      <c r="AC125" s="46"/>
      <c r="AD125" s="47"/>
      <c r="AE125" s="48">
        <v>0</v>
      </c>
      <c r="AF125" s="48"/>
      <c r="AG125" s="48"/>
      <c r="AH125" s="48"/>
      <c r="AI125" s="48"/>
      <c r="AJ125" s="40">
        <f t="shared" ref="AJ125:AJ158" si="3">IF(ISNUMBER(U125),U125,0)+IF(ISNUMBER(Z125),Z125,0)</f>
        <v>5413007</v>
      </c>
      <c r="AK125" s="40"/>
      <c r="AL125" s="40"/>
      <c r="AM125" s="40"/>
      <c r="AN125" s="40"/>
      <c r="AO125" s="48">
        <v>5846047</v>
      </c>
      <c r="AP125" s="48"/>
      <c r="AQ125" s="48"/>
      <c r="AR125" s="48"/>
      <c r="AS125" s="48"/>
      <c r="AT125" s="40">
        <v>0</v>
      </c>
      <c r="AU125" s="40"/>
      <c r="AV125" s="40"/>
      <c r="AW125" s="40"/>
      <c r="AX125" s="40"/>
      <c r="AY125" s="48">
        <v>0</v>
      </c>
      <c r="AZ125" s="48"/>
      <c r="BA125" s="48"/>
      <c r="BB125" s="48"/>
      <c r="BC125" s="48"/>
      <c r="BD125" s="40">
        <f t="shared" ref="BD125:BD158" si="4">IF(ISNUMBER(AO125),AO125,0)+IF(ISNUMBER(AT125),AT125,0)</f>
        <v>5846047</v>
      </c>
      <c r="BE125" s="40"/>
      <c r="BF125" s="40"/>
      <c r="BG125" s="40"/>
      <c r="BH125" s="40"/>
      <c r="CA125" s="4" t="s">
        <v>36</v>
      </c>
    </row>
    <row r="126" spans="1:79" s="4" customFormat="1" ht="12.75" customHeight="1" x14ac:dyDescent="0.2">
      <c r="A126" s="28">
        <v>2</v>
      </c>
      <c r="B126" s="29"/>
      <c r="C126" s="29"/>
      <c r="D126" s="30" t="s">
        <v>176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2"/>
      <c r="U126" s="45">
        <v>1190861</v>
      </c>
      <c r="V126" s="46"/>
      <c r="W126" s="46"/>
      <c r="X126" s="46"/>
      <c r="Y126" s="47"/>
      <c r="Z126" s="45">
        <v>0</v>
      </c>
      <c r="AA126" s="46"/>
      <c r="AB126" s="46"/>
      <c r="AC126" s="46"/>
      <c r="AD126" s="47"/>
      <c r="AE126" s="48">
        <v>0</v>
      </c>
      <c r="AF126" s="48"/>
      <c r="AG126" s="48"/>
      <c r="AH126" s="48"/>
      <c r="AI126" s="48"/>
      <c r="AJ126" s="40">
        <f t="shared" si="3"/>
        <v>1190861</v>
      </c>
      <c r="AK126" s="40"/>
      <c r="AL126" s="40"/>
      <c r="AM126" s="40"/>
      <c r="AN126" s="40"/>
      <c r="AO126" s="48">
        <v>1286130</v>
      </c>
      <c r="AP126" s="48"/>
      <c r="AQ126" s="48"/>
      <c r="AR126" s="48"/>
      <c r="AS126" s="48"/>
      <c r="AT126" s="40">
        <v>0</v>
      </c>
      <c r="AU126" s="40"/>
      <c r="AV126" s="40"/>
      <c r="AW126" s="40"/>
      <c r="AX126" s="40"/>
      <c r="AY126" s="48">
        <v>0</v>
      </c>
      <c r="AZ126" s="48"/>
      <c r="BA126" s="48"/>
      <c r="BB126" s="48"/>
      <c r="BC126" s="48"/>
      <c r="BD126" s="40">
        <f t="shared" si="4"/>
        <v>1286130</v>
      </c>
      <c r="BE126" s="40"/>
      <c r="BF126" s="40"/>
      <c r="BG126" s="40"/>
      <c r="BH126" s="40"/>
    </row>
    <row r="127" spans="1:79" s="4" customFormat="1" ht="25.5" customHeight="1" x14ac:dyDescent="0.2">
      <c r="A127" s="28">
        <v>3</v>
      </c>
      <c r="B127" s="29"/>
      <c r="C127" s="29"/>
      <c r="D127" s="30" t="s">
        <v>177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2"/>
      <c r="U127" s="45">
        <v>10990</v>
      </c>
      <c r="V127" s="46"/>
      <c r="W127" s="46"/>
      <c r="X127" s="46"/>
      <c r="Y127" s="47"/>
      <c r="Z127" s="45">
        <v>0</v>
      </c>
      <c r="AA127" s="46"/>
      <c r="AB127" s="46"/>
      <c r="AC127" s="46"/>
      <c r="AD127" s="47"/>
      <c r="AE127" s="48">
        <v>0</v>
      </c>
      <c r="AF127" s="48"/>
      <c r="AG127" s="48"/>
      <c r="AH127" s="48"/>
      <c r="AI127" s="48"/>
      <c r="AJ127" s="40">
        <f t="shared" si="3"/>
        <v>10990</v>
      </c>
      <c r="AK127" s="40"/>
      <c r="AL127" s="40"/>
      <c r="AM127" s="40"/>
      <c r="AN127" s="40"/>
      <c r="AO127" s="48">
        <v>11869</v>
      </c>
      <c r="AP127" s="48"/>
      <c r="AQ127" s="48"/>
      <c r="AR127" s="48"/>
      <c r="AS127" s="48"/>
      <c r="AT127" s="40">
        <v>0</v>
      </c>
      <c r="AU127" s="40"/>
      <c r="AV127" s="40"/>
      <c r="AW127" s="40"/>
      <c r="AX127" s="40"/>
      <c r="AY127" s="48">
        <v>0</v>
      </c>
      <c r="AZ127" s="48"/>
      <c r="BA127" s="48"/>
      <c r="BB127" s="48"/>
      <c r="BC127" s="48"/>
      <c r="BD127" s="40">
        <f t="shared" si="4"/>
        <v>11869</v>
      </c>
      <c r="BE127" s="40"/>
      <c r="BF127" s="40"/>
      <c r="BG127" s="40"/>
      <c r="BH127" s="40"/>
    </row>
    <row r="128" spans="1:79" s="4" customFormat="1" ht="12.75" customHeight="1" x14ac:dyDescent="0.2">
      <c r="A128" s="28">
        <v>4</v>
      </c>
      <c r="B128" s="29"/>
      <c r="C128" s="29"/>
      <c r="D128" s="30" t="s">
        <v>178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2"/>
      <c r="U128" s="45">
        <v>64018</v>
      </c>
      <c r="V128" s="46"/>
      <c r="W128" s="46"/>
      <c r="X128" s="46"/>
      <c r="Y128" s="47"/>
      <c r="Z128" s="45">
        <v>0</v>
      </c>
      <c r="AA128" s="46"/>
      <c r="AB128" s="46"/>
      <c r="AC128" s="46"/>
      <c r="AD128" s="47"/>
      <c r="AE128" s="48">
        <v>0</v>
      </c>
      <c r="AF128" s="48"/>
      <c r="AG128" s="48"/>
      <c r="AH128" s="48"/>
      <c r="AI128" s="48"/>
      <c r="AJ128" s="40">
        <f t="shared" si="3"/>
        <v>64018</v>
      </c>
      <c r="AK128" s="40"/>
      <c r="AL128" s="40"/>
      <c r="AM128" s="40"/>
      <c r="AN128" s="40"/>
      <c r="AO128" s="48">
        <v>69139</v>
      </c>
      <c r="AP128" s="48"/>
      <c r="AQ128" s="48"/>
      <c r="AR128" s="48"/>
      <c r="AS128" s="48"/>
      <c r="AT128" s="40">
        <v>0</v>
      </c>
      <c r="AU128" s="40"/>
      <c r="AV128" s="40"/>
      <c r="AW128" s="40"/>
      <c r="AX128" s="40"/>
      <c r="AY128" s="48">
        <v>0</v>
      </c>
      <c r="AZ128" s="48"/>
      <c r="BA128" s="48"/>
      <c r="BB128" s="48"/>
      <c r="BC128" s="48"/>
      <c r="BD128" s="40">
        <f t="shared" si="4"/>
        <v>69139</v>
      </c>
      <c r="BE128" s="40"/>
      <c r="BF128" s="40"/>
      <c r="BG128" s="40"/>
      <c r="BH128" s="40"/>
    </row>
    <row r="129" spans="1:60" s="4" customFormat="1" ht="25.5" customHeight="1" x14ac:dyDescent="0.2">
      <c r="A129" s="28">
        <v>5</v>
      </c>
      <c r="B129" s="29"/>
      <c r="C129" s="29"/>
      <c r="D129" s="30" t="s">
        <v>179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2"/>
      <c r="U129" s="45">
        <v>451414</v>
      </c>
      <c r="V129" s="46"/>
      <c r="W129" s="46"/>
      <c r="X129" s="46"/>
      <c r="Y129" s="47"/>
      <c r="Z129" s="45">
        <v>0</v>
      </c>
      <c r="AA129" s="46"/>
      <c r="AB129" s="46"/>
      <c r="AC129" s="46"/>
      <c r="AD129" s="47"/>
      <c r="AE129" s="48">
        <v>0</v>
      </c>
      <c r="AF129" s="48"/>
      <c r="AG129" s="48"/>
      <c r="AH129" s="48"/>
      <c r="AI129" s="48"/>
      <c r="AJ129" s="40">
        <f t="shared" si="3"/>
        <v>451414</v>
      </c>
      <c r="AK129" s="40"/>
      <c r="AL129" s="40"/>
      <c r="AM129" s="40"/>
      <c r="AN129" s="40"/>
      <c r="AO129" s="48">
        <v>487527</v>
      </c>
      <c r="AP129" s="48"/>
      <c r="AQ129" s="48"/>
      <c r="AR129" s="48"/>
      <c r="AS129" s="48"/>
      <c r="AT129" s="40">
        <v>0</v>
      </c>
      <c r="AU129" s="40"/>
      <c r="AV129" s="40"/>
      <c r="AW129" s="40"/>
      <c r="AX129" s="40"/>
      <c r="AY129" s="48">
        <v>0</v>
      </c>
      <c r="AZ129" s="48"/>
      <c r="BA129" s="48"/>
      <c r="BB129" s="48"/>
      <c r="BC129" s="48"/>
      <c r="BD129" s="40">
        <f t="shared" si="4"/>
        <v>487527</v>
      </c>
      <c r="BE129" s="40"/>
      <c r="BF129" s="40"/>
      <c r="BG129" s="40"/>
      <c r="BH129" s="40"/>
    </row>
    <row r="130" spans="1:60" s="4" customFormat="1" ht="25.5" customHeight="1" x14ac:dyDescent="0.2">
      <c r="A130" s="28">
        <v>6</v>
      </c>
      <c r="B130" s="29"/>
      <c r="C130" s="29"/>
      <c r="D130" s="30" t="s">
        <v>180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2"/>
      <c r="U130" s="45">
        <v>340690</v>
      </c>
      <c r="V130" s="46"/>
      <c r="W130" s="46"/>
      <c r="X130" s="46"/>
      <c r="Y130" s="47"/>
      <c r="Z130" s="45">
        <v>0</v>
      </c>
      <c r="AA130" s="46"/>
      <c r="AB130" s="46"/>
      <c r="AC130" s="46"/>
      <c r="AD130" s="47"/>
      <c r="AE130" s="48">
        <v>0</v>
      </c>
      <c r="AF130" s="48"/>
      <c r="AG130" s="48"/>
      <c r="AH130" s="48"/>
      <c r="AI130" s="48"/>
      <c r="AJ130" s="40">
        <f t="shared" si="3"/>
        <v>340690</v>
      </c>
      <c r="AK130" s="40"/>
      <c r="AL130" s="40"/>
      <c r="AM130" s="40"/>
      <c r="AN130" s="40"/>
      <c r="AO130" s="48">
        <v>367945</v>
      </c>
      <c r="AP130" s="48"/>
      <c r="AQ130" s="48"/>
      <c r="AR130" s="48"/>
      <c r="AS130" s="48"/>
      <c r="AT130" s="40">
        <v>0</v>
      </c>
      <c r="AU130" s="40"/>
      <c r="AV130" s="40"/>
      <c r="AW130" s="40"/>
      <c r="AX130" s="40"/>
      <c r="AY130" s="48">
        <v>0</v>
      </c>
      <c r="AZ130" s="48"/>
      <c r="BA130" s="48"/>
      <c r="BB130" s="48"/>
      <c r="BC130" s="48"/>
      <c r="BD130" s="40">
        <f t="shared" si="4"/>
        <v>367945</v>
      </c>
      <c r="BE130" s="40"/>
      <c r="BF130" s="40"/>
      <c r="BG130" s="40"/>
      <c r="BH130" s="40"/>
    </row>
    <row r="131" spans="1:60" s="4" customFormat="1" ht="12.75" customHeight="1" x14ac:dyDescent="0.2">
      <c r="A131" s="28">
        <v>7</v>
      </c>
      <c r="B131" s="29"/>
      <c r="C131" s="29"/>
      <c r="D131" s="30" t="s">
        <v>181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2"/>
      <c r="U131" s="45">
        <v>1187</v>
      </c>
      <c r="V131" s="46"/>
      <c r="W131" s="46"/>
      <c r="X131" s="46"/>
      <c r="Y131" s="47"/>
      <c r="Z131" s="45">
        <v>0</v>
      </c>
      <c r="AA131" s="46"/>
      <c r="AB131" s="46"/>
      <c r="AC131" s="46"/>
      <c r="AD131" s="47"/>
      <c r="AE131" s="48">
        <v>0</v>
      </c>
      <c r="AF131" s="48"/>
      <c r="AG131" s="48"/>
      <c r="AH131" s="48"/>
      <c r="AI131" s="48"/>
      <c r="AJ131" s="40">
        <f t="shared" si="3"/>
        <v>1187</v>
      </c>
      <c r="AK131" s="40"/>
      <c r="AL131" s="40"/>
      <c r="AM131" s="40"/>
      <c r="AN131" s="40"/>
      <c r="AO131" s="48">
        <v>1282</v>
      </c>
      <c r="AP131" s="48"/>
      <c r="AQ131" s="48"/>
      <c r="AR131" s="48"/>
      <c r="AS131" s="48"/>
      <c r="AT131" s="40">
        <v>0</v>
      </c>
      <c r="AU131" s="40"/>
      <c r="AV131" s="40"/>
      <c r="AW131" s="40"/>
      <c r="AX131" s="40"/>
      <c r="AY131" s="48">
        <v>0</v>
      </c>
      <c r="AZ131" s="48"/>
      <c r="BA131" s="48"/>
      <c r="BB131" s="48"/>
      <c r="BC131" s="48"/>
      <c r="BD131" s="40">
        <f t="shared" si="4"/>
        <v>1282</v>
      </c>
      <c r="BE131" s="40"/>
      <c r="BF131" s="40"/>
      <c r="BG131" s="40"/>
      <c r="BH131" s="40"/>
    </row>
    <row r="132" spans="1:60" s="4" customFormat="1" ht="12.75" customHeight="1" x14ac:dyDescent="0.2">
      <c r="A132" s="28">
        <v>8</v>
      </c>
      <c r="B132" s="29"/>
      <c r="C132" s="29"/>
      <c r="D132" s="30" t="s">
        <v>182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2"/>
      <c r="U132" s="45">
        <v>0</v>
      </c>
      <c r="V132" s="46"/>
      <c r="W132" s="46"/>
      <c r="X132" s="46"/>
      <c r="Y132" s="47"/>
      <c r="Z132" s="45">
        <v>0</v>
      </c>
      <c r="AA132" s="46"/>
      <c r="AB132" s="46"/>
      <c r="AC132" s="46"/>
      <c r="AD132" s="47"/>
      <c r="AE132" s="48">
        <v>0</v>
      </c>
      <c r="AF132" s="48"/>
      <c r="AG132" s="48"/>
      <c r="AH132" s="48"/>
      <c r="AI132" s="48"/>
      <c r="AJ132" s="40">
        <f t="shared" si="3"/>
        <v>0</v>
      </c>
      <c r="AK132" s="40"/>
      <c r="AL132" s="40"/>
      <c r="AM132" s="40"/>
      <c r="AN132" s="40"/>
      <c r="AO132" s="48">
        <v>0</v>
      </c>
      <c r="AP132" s="48"/>
      <c r="AQ132" s="48"/>
      <c r="AR132" s="48"/>
      <c r="AS132" s="48"/>
      <c r="AT132" s="40">
        <v>0</v>
      </c>
      <c r="AU132" s="40"/>
      <c r="AV132" s="40"/>
      <c r="AW132" s="40"/>
      <c r="AX132" s="40"/>
      <c r="AY132" s="48">
        <v>0</v>
      </c>
      <c r="AZ132" s="48"/>
      <c r="BA132" s="48"/>
      <c r="BB132" s="48"/>
      <c r="BC132" s="48"/>
      <c r="BD132" s="40">
        <f t="shared" si="4"/>
        <v>0</v>
      </c>
      <c r="BE132" s="40"/>
      <c r="BF132" s="40"/>
      <c r="BG132" s="40"/>
      <c r="BH132" s="40"/>
    </row>
    <row r="133" spans="1:60" s="4" customFormat="1" ht="25.5" customHeight="1" x14ac:dyDescent="0.2">
      <c r="A133" s="28">
        <v>9</v>
      </c>
      <c r="B133" s="29"/>
      <c r="C133" s="29"/>
      <c r="D133" s="30" t="s">
        <v>183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2"/>
      <c r="U133" s="45">
        <v>0</v>
      </c>
      <c r="V133" s="46"/>
      <c r="W133" s="46"/>
      <c r="X133" s="46"/>
      <c r="Y133" s="47"/>
      <c r="Z133" s="45">
        <v>0</v>
      </c>
      <c r="AA133" s="46"/>
      <c r="AB133" s="46"/>
      <c r="AC133" s="46"/>
      <c r="AD133" s="47"/>
      <c r="AE133" s="48">
        <v>0</v>
      </c>
      <c r="AF133" s="48"/>
      <c r="AG133" s="48"/>
      <c r="AH133" s="48"/>
      <c r="AI133" s="48"/>
      <c r="AJ133" s="40">
        <f t="shared" si="3"/>
        <v>0</v>
      </c>
      <c r="AK133" s="40"/>
      <c r="AL133" s="40"/>
      <c r="AM133" s="40"/>
      <c r="AN133" s="40"/>
      <c r="AO133" s="48">
        <v>0</v>
      </c>
      <c r="AP133" s="48"/>
      <c r="AQ133" s="48"/>
      <c r="AR133" s="48"/>
      <c r="AS133" s="48"/>
      <c r="AT133" s="40">
        <v>0</v>
      </c>
      <c r="AU133" s="40"/>
      <c r="AV133" s="40"/>
      <c r="AW133" s="40"/>
      <c r="AX133" s="40"/>
      <c r="AY133" s="48">
        <v>0</v>
      </c>
      <c r="AZ133" s="48"/>
      <c r="BA133" s="48"/>
      <c r="BB133" s="48"/>
      <c r="BC133" s="48"/>
      <c r="BD133" s="40">
        <f t="shared" si="4"/>
        <v>0</v>
      </c>
      <c r="BE133" s="40"/>
      <c r="BF133" s="40"/>
      <c r="BG133" s="40"/>
      <c r="BH133" s="40"/>
    </row>
    <row r="134" spans="1:60" s="4" customFormat="1" ht="25.5" customHeight="1" x14ac:dyDescent="0.2">
      <c r="A134" s="28">
        <v>10</v>
      </c>
      <c r="B134" s="29"/>
      <c r="C134" s="29"/>
      <c r="D134" s="30" t="s">
        <v>184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2"/>
      <c r="U134" s="45">
        <v>21321</v>
      </c>
      <c r="V134" s="46"/>
      <c r="W134" s="46"/>
      <c r="X134" s="46"/>
      <c r="Y134" s="47"/>
      <c r="Z134" s="45">
        <v>0</v>
      </c>
      <c r="AA134" s="46"/>
      <c r="AB134" s="46"/>
      <c r="AC134" s="46"/>
      <c r="AD134" s="47"/>
      <c r="AE134" s="48">
        <v>0</v>
      </c>
      <c r="AF134" s="48"/>
      <c r="AG134" s="48"/>
      <c r="AH134" s="48"/>
      <c r="AI134" s="48"/>
      <c r="AJ134" s="40">
        <f t="shared" si="3"/>
        <v>21321</v>
      </c>
      <c r="AK134" s="40"/>
      <c r="AL134" s="40"/>
      <c r="AM134" s="40"/>
      <c r="AN134" s="40"/>
      <c r="AO134" s="48">
        <v>23026</v>
      </c>
      <c r="AP134" s="48"/>
      <c r="AQ134" s="48"/>
      <c r="AR134" s="48"/>
      <c r="AS134" s="48"/>
      <c r="AT134" s="40">
        <v>0</v>
      </c>
      <c r="AU134" s="40"/>
      <c r="AV134" s="40"/>
      <c r="AW134" s="40"/>
      <c r="AX134" s="40"/>
      <c r="AY134" s="48">
        <v>0</v>
      </c>
      <c r="AZ134" s="48"/>
      <c r="BA134" s="48"/>
      <c r="BB134" s="48"/>
      <c r="BC134" s="48"/>
      <c r="BD134" s="40">
        <f t="shared" si="4"/>
        <v>23026</v>
      </c>
      <c r="BE134" s="40"/>
      <c r="BF134" s="40"/>
      <c r="BG134" s="40"/>
      <c r="BH134" s="40"/>
    </row>
    <row r="135" spans="1:60" s="4" customFormat="1" ht="12.75" customHeight="1" x14ac:dyDescent="0.2">
      <c r="A135" s="28">
        <v>11</v>
      </c>
      <c r="B135" s="29"/>
      <c r="C135" s="29"/>
      <c r="D135" s="30" t="s">
        <v>185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2"/>
      <c r="U135" s="45">
        <v>3472</v>
      </c>
      <c r="V135" s="46"/>
      <c r="W135" s="46"/>
      <c r="X135" s="46"/>
      <c r="Y135" s="47"/>
      <c r="Z135" s="45">
        <v>0</v>
      </c>
      <c r="AA135" s="46"/>
      <c r="AB135" s="46"/>
      <c r="AC135" s="46"/>
      <c r="AD135" s="47"/>
      <c r="AE135" s="48">
        <v>0</v>
      </c>
      <c r="AF135" s="48"/>
      <c r="AG135" s="48"/>
      <c r="AH135" s="48"/>
      <c r="AI135" s="48"/>
      <c r="AJ135" s="40">
        <f t="shared" si="3"/>
        <v>3472</v>
      </c>
      <c r="AK135" s="40"/>
      <c r="AL135" s="40"/>
      <c r="AM135" s="40"/>
      <c r="AN135" s="40"/>
      <c r="AO135" s="48">
        <v>3749</v>
      </c>
      <c r="AP135" s="48"/>
      <c r="AQ135" s="48"/>
      <c r="AR135" s="48"/>
      <c r="AS135" s="48"/>
      <c r="AT135" s="40">
        <v>0</v>
      </c>
      <c r="AU135" s="40"/>
      <c r="AV135" s="40"/>
      <c r="AW135" s="40"/>
      <c r="AX135" s="40"/>
      <c r="AY135" s="48">
        <v>0</v>
      </c>
      <c r="AZ135" s="48"/>
      <c r="BA135" s="48"/>
      <c r="BB135" s="48"/>
      <c r="BC135" s="48"/>
      <c r="BD135" s="40">
        <f t="shared" si="4"/>
        <v>3749</v>
      </c>
      <c r="BE135" s="40"/>
      <c r="BF135" s="40"/>
      <c r="BG135" s="40"/>
      <c r="BH135" s="40"/>
    </row>
    <row r="136" spans="1:60" s="4" customFormat="1" ht="12.75" customHeight="1" x14ac:dyDescent="0.2">
      <c r="A136" s="28">
        <v>12</v>
      </c>
      <c r="B136" s="29"/>
      <c r="C136" s="29"/>
      <c r="D136" s="30" t="s">
        <v>186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2"/>
      <c r="U136" s="45">
        <v>5495</v>
      </c>
      <c r="V136" s="46"/>
      <c r="W136" s="46"/>
      <c r="X136" s="46"/>
      <c r="Y136" s="47"/>
      <c r="Z136" s="45">
        <v>0</v>
      </c>
      <c r="AA136" s="46"/>
      <c r="AB136" s="46"/>
      <c r="AC136" s="46"/>
      <c r="AD136" s="47"/>
      <c r="AE136" s="48">
        <v>0</v>
      </c>
      <c r="AF136" s="48"/>
      <c r="AG136" s="48"/>
      <c r="AH136" s="48"/>
      <c r="AI136" s="48"/>
      <c r="AJ136" s="40">
        <f t="shared" si="3"/>
        <v>5495</v>
      </c>
      <c r="AK136" s="40"/>
      <c r="AL136" s="40"/>
      <c r="AM136" s="40"/>
      <c r="AN136" s="40"/>
      <c r="AO136" s="48">
        <v>5935</v>
      </c>
      <c r="AP136" s="48"/>
      <c r="AQ136" s="48"/>
      <c r="AR136" s="48"/>
      <c r="AS136" s="48"/>
      <c r="AT136" s="40">
        <v>0</v>
      </c>
      <c r="AU136" s="40"/>
      <c r="AV136" s="40"/>
      <c r="AW136" s="40"/>
      <c r="AX136" s="40"/>
      <c r="AY136" s="48">
        <v>0</v>
      </c>
      <c r="AZ136" s="48"/>
      <c r="BA136" s="48"/>
      <c r="BB136" s="48"/>
      <c r="BC136" s="48"/>
      <c r="BD136" s="40">
        <f t="shared" si="4"/>
        <v>5935</v>
      </c>
      <c r="BE136" s="40"/>
      <c r="BF136" s="40"/>
      <c r="BG136" s="40"/>
      <c r="BH136" s="40"/>
    </row>
    <row r="137" spans="1:60" s="4" customFormat="1" ht="12.75" customHeight="1" x14ac:dyDescent="0.2">
      <c r="A137" s="28">
        <v>13</v>
      </c>
      <c r="B137" s="29"/>
      <c r="C137" s="29"/>
      <c r="D137" s="30" t="s">
        <v>187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2"/>
      <c r="U137" s="45">
        <v>2748</v>
      </c>
      <c r="V137" s="46"/>
      <c r="W137" s="46"/>
      <c r="X137" s="46"/>
      <c r="Y137" s="47"/>
      <c r="Z137" s="45">
        <v>0</v>
      </c>
      <c r="AA137" s="46"/>
      <c r="AB137" s="46"/>
      <c r="AC137" s="46"/>
      <c r="AD137" s="47"/>
      <c r="AE137" s="48">
        <v>0</v>
      </c>
      <c r="AF137" s="48"/>
      <c r="AG137" s="48"/>
      <c r="AH137" s="48"/>
      <c r="AI137" s="48"/>
      <c r="AJ137" s="40">
        <f t="shared" si="3"/>
        <v>2748</v>
      </c>
      <c r="AK137" s="40"/>
      <c r="AL137" s="40"/>
      <c r="AM137" s="40"/>
      <c r="AN137" s="40"/>
      <c r="AO137" s="48">
        <v>2967</v>
      </c>
      <c r="AP137" s="48"/>
      <c r="AQ137" s="48"/>
      <c r="AR137" s="48"/>
      <c r="AS137" s="48"/>
      <c r="AT137" s="40">
        <v>0</v>
      </c>
      <c r="AU137" s="40"/>
      <c r="AV137" s="40"/>
      <c r="AW137" s="40"/>
      <c r="AX137" s="40"/>
      <c r="AY137" s="48">
        <v>0</v>
      </c>
      <c r="AZ137" s="48"/>
      <c r="BA137" s="48"/>
      <c r="BB137" s="48"/>
      <c r="BC137" s="48"/>
      <c r="BD137" s="40">
        <f t="shared" si="4"/>
        <v>2967</v>
      </c>
      <c r="BE137" s="40"/>
      <c r="BF137" s="40"/>
      <c r="BG137" s="40"/>
      <c r="BH137" s="40"/>
    </row>
    <row r="138" spans="1:60" s="4" customFormat="1" ht="12.75" customHeight="1" x14ac:dyDescent="0.2">
      <c r="A138" s="28">
        <v>14</v>
      </c>
      <c r="B138" s="29"/>
      <c r="C138" s="29"/>
      <c r="D138" s="30" t="s">
        <v>188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2"/>
      <c r="U138" s="45">
        <v>9891</v>
      </c>
      <c r="V138" s="46"/>
      <c r="W138" s="46"/>
      <c r="X138" s="46"/>
      <c r="Y138" s="47"/>
      <c r="Z138" s="45">
        <v>0</v>
      </c>
      <c r="AA138" s="46"/>
      <c r="AB138" s="46"/>
      <c r="AC138" s="46"/>
      <c r="AD138" s="47"/>
      <c r="AE138" s="48">
        <v>0</v>
      </c>
      <c r="AF138" s="48"/>
      <c r="AG138" s="48"/>
      <c r="AH138" s="48"/>
      <c r="AI138" s="48"/>
      <c r="AJ138" s="40">
        <f t="shared" si="3"/>
        <v>9891</v>
      </c>
      <c r="AK138" s="40"/>
      <c r="AL138" s="40"/>
      <c r="AM138" s="40"/>
      <c r="AN138" s="40"/>
      <c r="AO138" s="48">
        <v>10682</v>
      </c>
      <c r="AP138" s="48"/>
      <c r="AQ138" s="48"/>
      <c r="AR138" s="48"/>
      <c r="AS138" s="48"/>
      <c r="AT138" s="40">
        <v>0</v>
      </c>
      <c r="AU138" s="40"/>
      <c r="AV138" s="40"/>
      <c r="AW138" s="40"/>
      <c r="AX138" s="40"/>
      <c r="AY138" s="48">
        <v>0</v>
      </c>
      <c r="AZ138" s="48"/>
      <c r="BA138" s="48"/>
      <c r="BB138" s="48"/>
      <c r="BC138" s="48"/>
      <c r="BD138" s="40">
        <f t="shared" si="4"/>
        <v>10682</v>
      </c>
      <c r="BE138" s="40"/>
      <c r="BF138" s="40"/>
      <c r="BG138" s="40"/>
      <c r="BH138" s="40"/>
    </row>
    <row r="139" spans="1:60" s="4" customFormat="1" ht="25.5" customHeight="1" x14ac:dyDescent="0.2">
      <c r="A139" s="28">
        <v>15</v>
      </c>
      <c r="B139" s="29"/>
      <c r="C139" s="29"/>
      <c r="D139" s="30" t="s">
        <v>189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2"/>
      <c r="U139" s="45">
        <v>104405</v>
      </c>
      <c r="V139" s="46"/>
      <c r="W139" s="46"/>
      <c r="X139" s="46"/>
      <c r="Y139" s="47"/>
      <c r="Z139" s="45">
        <v>0</v>
      </c>
      <c r="AA139" s="46"/>
      <c r="AB139" s="46"/>
      <c r="AC139" s="46"/>
      <c r="AD139" s="47"/>
      <c r="AE139" s="48">
        <v>0</v>
      </c>
      <c r="AF139" s="48"/>
      <c r="AG139" s="48"/>
      <c r="AH139" s="48"/>
      <c r="AI139" s="48"/>
      <c r="AJ139" s="40">
        <f t="shared" si="3"/>
        <v>104405</v>
      </c>
      <c r="AK139" s="40"/>
      <c r="AL139" s="40"/>
      <c r="AM139" s="40"/>
      <c r="AN139" s="40"/>
      <c r="AO139" s="48">
        <v>112757</v>
      </c>
      <c r="AP139" s="48"/>
      <c r="AQ139" s="48"/>
      <c r="AR139" s="48"/>
      <c r="AS139" s="48"/>
      <c r="AT139" s="40">
        <v>0</v>
      </c>
      <c r="AU139" s="40"/>
      <c r="AV139" s="40"/>
      <c r="AW139" s="40"/>
      <c r="AX139" s="40"/>
      <c r="AY139" s="48">
        <v>0</v>
      </c>
      <c r="AZ139" s="48"/>
      <c r="BA139" s="48"/>
      <c r="BB139" s="48"/>
      <c r="BC139" s="48"/>
      <c r="BD139" s="40">
        <f t="shared" si="4"/>
        <v>112757</v>
      </c>
      <c r="BE139" s="40"/>
      <c r="BF139" s="40"/>
      <c r="BG139" s="40"/>
      <c r="BH139" s="40"/>
    </row>
    <row r="140" spans="1:60" s="4" customFormat="1" ht="25.5" customHeight="1" x14ac:dyDescent="0.2">
      <c r="A140" s="28">
        <v>16</v>
      </c>
      <c r="B140" s="29"/>
      <c r="C140" s="29"/>
      <c r="D140" s="30" t="s">
        <v>190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2"/>
      <c r="U140" s="45">
        <v>129243</v>
      </c>
      <c r="V140" s="46"/>
      <c r="W140" s="46"/>
      <c r="X140" s="46"/>
      <c r="Y140" s="47"/>
      <c r="Z140" s="45">
        <v>0</v>
      </c>
      <c r="AA140" s="46"/>
      <c r="AB140" s="46"/>
      <c r="AC140" s="46"/>
      <c r="AD140" s="47"/>
      <c r="AE140" s="48">
        <v>0</v>
      </c>
      <c r="AF140" s="48"/>
      <c r="AG140" s="48"/>
      <c r="AH140" s="48"/>
      <c r="AI140" s="48"/>
      <c r="AJ140" s="40">
        <f t="shared" si="3"/>
        <v>129243</v>
      </c>
      <c r="AK140" s="40"/>
      <c r="AL140" s="40"/>
      <c r="AM140" s="40"/>
      <c r="AN140" s="40"/>
      <c r="AO140" s="48">
        <v>139582</v>
      </c>
      <c r="AP140" s="48"/>
      <c r="AQ140" s="48"/>
      <c r="AR140" s="48"/>
      <c r="AS140" s="48"/>
      <c r="AT140" s="40">
        <v>0</v>
      </c>
      <c r="AU140" s="40"/>
      <c r="AV140" s="40"/>
      <c r="AW140" s="40"/>
      <c r="AX140" s="40"/>
      <c r="AY140" s="48">
        <v>0</v>
      </c>
      <c r="AZ140" s="48"/>
      <c r="BA140" s="48"/>
      <c r="BB140" s="48"/>
      <c r="BC140" s="48"/>
      <c r="BD140" s="40">
        <f t="shared" si="4"/>
        <v>139582</v>
      </c>
      <c r="BE140" s="40"/>
      <c r="BF140" s="40"/>
      <c r="BG140" s="40"/>
      <c r="BH140" s="40"/>
    </row>
    <row r="141" spans="1:60" s="4" customFormat="1" ht="12.75" customHeight="1" x14ac:dyDescent="0.2">
      <c r="A141" s="28">
        <v>17</v>
      </c>
      <c r="B141" s="29"/>
      <c r="C141" s="29"/>
      <c r="D141" s="30" t="s">
        <v>191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2"/>
      <c r="U141" s="45">
        <v>87920</v>
      </c>
      <c r="V141" s="46"/>
      <c r="W141" s="46"/>
      <c r="X141" s="46"/>
      <c r="Y141" s="47"/>
      <c r="Z141" s="45">
        <v>0</v>
      </c>
      <c r="AA141" s="46"/>
      <c r="AB141" s="46"/>
      <c r="AC141" s="46"/>
      <c r="AD141" s="47"/>
      <c r="AE141" s="48">
        <v>0</v>
      </c>
      <c r="AF141" s="48"/>
      <c r="AG141" s="48"/>
      <c r="AH141" s="48"/>
      <c r="AI141" s="48"/>
      <c r="AJ141" s="40">
        <f t="shared" si="3"/>
        <v>87920</v>
      </c>
      <c r="AK141" s="40"/>
      <c r="AL141" s="40"/>
      <c r="AM141" s="40"/>
      <c r="AN141" s="40"/>
      <c r="AO141" s="48">
        <v>94954</v>
      </c>
      <c r="AP141" s="48"/>
      <c r="AQ141" s="48"/>
      <c r="AR141" s="48"/>
      <c r="AS141" s="48"/>
      <c r="AT141" s="40">
        <v>0</v>
      </c>
      <c r="AU141" s="40"/>
      <c r="AV141" s="40"/>
      <c r="AW141" s="40"/>
      <c r="AX141" s="40"/>
      <c r="AY141" s="48">
        <v>0</v>
      </c>
      <c r="AZ141" s="48"/>
      <c r="BA141" s="48"/>
      <c r="BB141" s="48"/>
      <c r="BC141" s="48"/>
      <c r="BD141" s="40">
        <f t="shared" si="4"/>
        <v>94954</v>
      </c>
      <c r="BE141" s="40"/>
      <c r="BF141" s="40"/>
      <c r="BG141" s="40"/>
      <c r="BH141" s="40"/>
    </row>
    <row r="142" spans="1:60" s="4" customFormat="1" ht="12.75" customHeight="1" x14ac:dyDescent="0.2">
      <c r="A142" s="28">
        <v>18</v>
      </c>
      <c r="B142" s="29"/>
      <c r="C142" s="29"/>
      <c r="D142" s="30" t="s">
        <v>192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2"/>
      <c r="U142" s="45">
        <v>0</v>
      </c>
      <c r="V142" s="46"/>
      <c r="W142" s="46"/>
      <c r="X142" s="46"/>
      <c r="Y142" s="47"/>
      <c r="Z142" s="45">
        <v>0</v>
      </c>
      <c r="AA142" s="46"/>
      <c r="AB142" s="46"/>
      <c r="AC142" s="46"/>
      <c r="AD142" s="47"/>
      <c r="AE142" s="48">
        <v>0</v>
      </c>
      <c r="AF142" s="48"/>
      <c r="AG142" s="48"/>
      <c r="AH142" s="48"/>
      <c r="AI142" s="48"/>
      <c r="AJ142" s="40">
        <f t="shared" si="3"/>
        <v>0</v>
      </c>
      <c r="AK142" s="40"/>
      <c r="AL142" s="40"/>
      <c r="AM142" s="40"/>
      <c r="AN142" s="40"/>
      <c r="AO142" s="48">
        <v>0</v>
      </c>
      <c r="AP142" s="48"/>
      <c r="AQ142" s="48"/>
      <c r="AR142" s="48"/>
      <c r="AS142" s="48"/>
      <c r="AT142" s="40">
        <v>0</v>
      </c>
      <c r="AU142" s="40"/>
      <c r="AV142" s="40"/>
      <c r="AW142" s="40"/>
      <c r="AX142" s="40"/>
      <c r="AY142" s="48">
        <v>0</v>
      </c>
      <c r="AZ142" s="48"/>
      <c r="BA142" s="48"/>
      <c r="BB142" s="48"/>
      <c r="BC142" s="48"/>
      <c r="BD142" s="40">
        <f t="shared" si="4"/>
        <v>0</v>
      </c>
      <c r="BE142" s="40"/>
      <c r="BF142" s="40"/>
      <c r="BG142" s="40"/>
      <c r="BH142" s="40"/>
    </row>
    <row r="143" spans="1:60" s="4" customFormat="1" ht="12.75" customHeight="1" x14ac:dyDescent="0.2">
      <c r="A143" s="28">
        <v>19</v>
      </c>
      <c r="B143" s="29"/>
      <c r="C143" s="29"/>
      <c r="D143" s="30" t="s">
        <v>193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2"/>
      <c r="U143" s="45">
        <v>11210</v>
      </c>
      <c r="V143" s="46"/>
      <c r="W143" s="46"/>
      <c r="X143" s="46"/>
      <c r="Y143" s="47"/>
      <c r="Z143" s="45">
        <v>0</v>
      </c>
      <c r="AA143" s="46"/>
      <c r="AB143" s="46"/>
      <c r="AC143" s="46"/>
      <c r="AD143" s="47"/>
      <c r="AE143" s="48">
        <v>0</v>
      </c>
      <c r="AF143" s="48"/>
      <c r="AG143" s="48"/>
      <c r="AH143" s="48"/>
      <c r="AI143" s="48"/>
      <c r="AJ143" s="40">
        <f t="shared" si="3"/>
        <v>11210</v>
      </c>
      <c r="AK143" s="40"/>
      <c r="AL143" s="40"/>
      <c r="AM143" s="40"/>
      <c r="AN143" s="40"/>
      <c r="AO143" s="48">
        <v>12107</v>
      </c>
      <c r="AP143" s="48"/>
      <c r="AQ143" s="48"/>
      <c r="AR143" s="48"/>
      <c r="AS143" s="48"/>
      <c r="AT143" s="40">
        <v>0</v>
      </c>
      <c r="AU143" s="40"/>
      <c r="AV143" s="40"/>
      <c r="AW143" s="40"/>
      <c r="AX143" s="40"/>
      <c r="AY143" s="48">
        <v>0</v>
      </c>
      <c r="AZ143" s="48"/>
      <c r="BA143" s="48"/>
      <c r="BB143" s="48"/>
      <c r="BC143" s="48"/>
      <c r="BD143" s="40">
        <f t="shared" si="4"/>
        <v>12107</v>
      </c>
      <c r="BE143" s="40"/>
      <c r="BF143" s="40"/>
      <c r="BG143" s="40"/>
      <c r="BH143" s="40"/>
    </row>
    <row r="144" spans="1:60" s="4" customFormat="1" ht="25.5" customHeight="1" x14ac:dyDescent="0.2">
      <c r="A144" s="28">
        <v>20</v>
      </c>
      <c r="B144" s="29"/>
      <c r="C144" s="29"/>
      <c r="D144" s="30" t="s">
        <v>194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2"/>
      <c r="U144" s="45">
        <v>224744</v>
      </c>
      <c r="V144" s="46"/>
      <c r="W144" s="46"/>
      <c r="X144" s="46"/>
      <c r="Y144" s="47"/>
      <c r="Z144" s="45">
        <v>0</v>
      </c>
      <c r="AA144" s="46"/>
      <c r="AB144" s="46"/>
      <c r="AC144" s="46"/>
      <c r="AD144" s="47"/>
      <c r="AE144" s="48">
        <v>0</v>
      </c>
      <c r="AF144" s="48"/>
      <c r="AG144" s="48"/>
      <c r="AH144" s="48"/>
      <c r="AI144" s="48"/>
      <c r="AJ144" s="40">
        <f t="shared" si="3"/>
        <v>224744</v>
      </c>
      <c r="AK144" s="40"/>
      <c r="AL144" s="40"/>
      <c r="AM144" s="40"/>
      <c r="AN144" s="40"/>
      <c r="AO144" s="48">
        <v>242725</v>
      </c>
      <c r="AP144" s="48"/>
      <c r="AQ144" s="48"/>
      <c r="AR144" s="48"/>
      <c r="AS144" s="48"/>
      <c r="AT144" s="40">
        <v>0</v>
      </c>
      <c r="AU144" s="40"/>
      <c r="AV144" s="40"/>
      <c r="AW144" s="40"/>
      <c r="AX144" s="40"/>
      <c r="AY144" s="48">
        <v>0</v>
      </c>
      <c r="AZ144" s="48"/>
      <c r="BA144" s="48"/>
      <c r="BB144" s="48"/>
      <c r="BC144" s="48"/>
      <c r="BD144" s="40">
        <f t="shared" si="4"/>
        <v>242725</v>
      </c>
      <c r="BE144" s="40"/>
      <c r="BF144" s="40"/>
      <c r="BG144" s="40"/>
      <c r="BH144" s="40"/>
    </row>
    <row r="145" spans="1:64" s="4" customFormat="1" ht="12.75" customHeight="1" x14ac:dyDescent="0.2">
      <c r="A145" s="28">
        <v>21</v>
      </c>
      <c r="B145" s="29"/>
      <c r="C145" s="29"/>
      <c r="D145" s="30" t="s">
        <v>195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2"/>
      <c r="U145" s="45">
        <v>280904</v>
      </c>
      <c r="V145" s="46"/>
      <c r="W145" s="46"/>
      <c r="X145" s="46"/>
      <c r="Y145" s="47"/>
      <c r="Z145" s="45">
        <v>0</v>
      </c>
      <c r="AA145" s="46"/>
      <c r="AB145" s="46"/>
      <c r="AC145" s="46"/>
      <c r="AD145" s="47"/>
      <c r="AE145" s="48">
        <v>0</v>
      </c>
      <c r="AF145" s="48"/>
      <c r="AG145" s="48"/>
      <c r="AH145" s="48"/>
      <c r="AI145" s="48"/>
      <c r="AJ145" s="40">
        <f t="shared" si="3"/>
        <v>280904</v>
      </c>
      <c r="AK145" s="40"/>
      <c r="AL145" s="40"/>
      <c r="AM145" s="40"/>
      <c r="AN145" s="40"/>
      <c r="AO145" s="48">
        <v>303377</v>
      </c>
      <c r="AP145" s="48"/>
      <c r="AQ145" s="48"/>
      <c r="AR145" s="48"/>
      <c r="AS145" s="48"/>
      <c r="AT145" s="40">
        <v>0</v>
      </c>
      <c r="AU145" s="40"/>
      <c r="AV145" s="40"/>
      <c r="AW145" s="40"/>
      <c r="AX145" s="40"/>
      <c r="AY145" s="48">
        <v>0</v>
      </c>
      <c r="AZ145" s="48"/>
      <c r="BA145" s="48"/>
      <c r="BB145" s="48"/>
      <c r="BC145" s="48"/>
      <c r="BD145" s="40">
        <f t="shared" si="4"/>
        <v>303377</v>
      </c>
      <c r="BE145" s="40"/>
      <c r="BF145" s="40"/>
      <c r="BG145" s="40"/>
      <c r="BH145" s="40"/>
    </row>
    <row r="146" spans="1:64" s="4" customFormat="1" ht="12.75" customHeight="1" x14ac:dyDescent="0.2">
      <c r="A146" s="28">
        <v>22</v>
      </c>
      <c r="B146" s="29"/>
      <c r="C146" s="29"/>
      <c r="D146" s="30" t="s">
        <v>196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2"/>
      <c r="U146" s="45">
        <v>8243</v>
      </c>
      <c r="V146" s="46"/>
      <c r="W146" s="46"/>
      <c r="X146" s="46"/>
      <c r="Y146" s="47"/>
      <c r="Z146" s="45">
        <v>0</v>
      </c>
      <c r="AA146" s="46"/>
      <c r="AB146" s="46"/>
      <c r="AC146" s="46"/>
      <c r="AD146" s="47"/>
      <c r="AE146" s="48">
        <v>0</v>
      </c>
      <c r="AF146" s="48"/>
      <c r="AG146" s="48"/>
      <c r="AH146" s="48"/>
      <c r="AI146" s="48"/>
      <c r="AJ146" s="40">
        <f t="shared" si="3"/>
        <v>8243</v>
      </c>
      <c r="AK146" s="40"/>
      <c r="AL146" s="40"/>
      <c r="AM146" s="40"/>
      <c r="AN146" s="40"/>
      <c r="AO146" s="48">
        <v>8902</v>
      </c>
      <c r="AP146" s="48"/>
      <c r="AQ146" s="48"/>
      <c r="AR146" s="48"/>
      <c r="AS146" s="48"/>
      <c r="AT146" s="40">
        <v>0</v>
      </c>
      <c r="AU146" s="40"/>
      <c r="AV146" s="40"/>
      <c r="AW146" s="40"/>
      <c r="AX146" s="40"/>
      <c r="AY146" s="48">
        <v>0</v>
      </c>
      <c r="AZ146" s="48"/>
      <c r="BA146" s="48"/>
      <c r="BB146" s="48"/>
      <c r="BC146" s="48"/>
      <c r="BD146" s="40">
        <f t="shared" si="4"/>
        <v>8902</v>
      </c>
      <c r="BE146" s="40"/>
      <c r="BF146" s="40"/>
      <c r="BG146" s="40"/>
      <c r="BH146" s="40"/>
    </row>
    <row r="147" spans="1:64" s="4" customFormat="1" ht="25.5" customHeight="1" x14ac:dyDescent="0.2">
      <c r="A147" s="28">
        <v>23</v>
      </c>
      <c r="B147" s="29"/>
      <c r="C147" s="29"/>
      <c r="D147" s="30" t="s">
        <v>197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2"/>
      <c r="U147" s="45">
        <v>94624</v>
      </c>
      <c r="V147" s="46"/>
      <c r="W147" s="46"/>
      <c r="X147" s="46"/>
      <c r="Y147" s="47"/>
      <c r="Z147" s="45">
        <v>0</v>
      </c>
      <c r="AA147" s="46"/>
      <c r="AB147" s="46"/>
      <c r="AC147" s="46"/>
      <c r="AD147" s="47"/>
      <c r="AE147" s="48">
        <v>0</v>
      </c>
      <c r="AF147" s="48"/>
      <c r="AG147" s="48"/>
      <c r="AH147" s="48"/>
      <c r="AI147" s="48"/>
      <c r="AJ147" s="40">
        <f t="shared" si="3"/>
        <v>94624</v>
      </c>
      <c r="AK147" s="40"/>
      <c r="AL147" s="40"/>
      <c r="AM147" s="40"/>
      <c r="AN147" s="40"/>
      <c r="AO147" s="48">
        <v>102194</v>
      </c>
      <c r="AP147" s="48"/>
      <c r="AQ147" s="48"/>
      <c r="AR147" s="48"/>
      <c r="AS147" s="48"/>
      <c r="AT147" s="40">
        <v>0</v>
      </c>
      <c r="AU147" s="40"/>
      <c r="AV147" s="40"/>
      <c r="AW147" s="40"/>
      <c r="AX147" s="40"/>
      <c r="AY147" s="48">
        <v>0</v>
      </c>
      <c r="AZ147" s="48"/>
      <c r="BA147" s="48"/>
      <c r="BB147" s="48"/>
      <c r="BC147" s="48"/>
      <c r="BD147" s="40">
        <f t="shared" si="4"/>
        <v>102194</v>
      </c>
      <c r="BE147" s="40"/>
      <c r="BF147" s="40"/>
      <c r="BG147" s="40"/>
      <c r="BH147" s="40"/>
    </row>
    <row r="148" spans="1:64" s="4" customFormat="1" ht="12.75" customHeight="1" x14ac:dyDescent="0.2">
      <c r="A148" s="28">
        <v>24</v>
      </c>
      <c r="B148" s="29"/>
      <c r="C148" s="29"/>
      <c r="D148" s="30" t="s">
        <v>198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2"/>
      <c r="U148" s="45">
        <v>175609</v>
      </c>
      <c r="V148" s="46"/>
      <c r="W148" s="46"/>
      <c r="X148" s="46"/>
      <c r="Y148" s="47"/>
      <c r="Z148" s="45">
        <v>0</v>
      </c>
      <c r="AA148" s="46"/>
      <c r="AB148" s="46"/>
      <c r="AC148" s="46"/>
      <c r="AD148" s="47"/>
      <c r="AE148" s="48">
        <v>0</v>
      </c>
      <c r="AF148" s="48"/>
      <c r="AG148" s="48"/>
      <c r="AH148" s="48"/>
      <c r="AI148" s="48"/>
      <c r="AJ148" s="40">
        <f t="shared" si="3"/>
        <v>175609</v>
      </c>
      <c r="AK148" s="40"/>
      <c r="AL148" s="40"/>
      <c r="AM148" s="40"/>
      <c r="AN148" s="40"/>
      <c r="AO148" s="48">
        <v>189658</v>
      </c>
      <c r="AP148" s="48"/>
      <c r="AQ148" s="48"/>
      <c r="AR148" s="48"/>
      <c r="AS148" s="48"/>
      <c r="AT148" s="40">
        <v>0</v>
      </c>
      <c r="AU148" s="40"/>
      <c r="AV148" s="40"/>
      <c r="AW148" s="40"/>
      <c r="AX148" s="40"/>
      <c r="AY148" s="48">
        <v>0</v>
      </c>
      <c r="AZ148" s="48"/>
      <c r="BA148" s="48"/>
      <c r="BB148" s="48"/>
      <c r="BC148" s="48"/>
      <c r="BD148" s="40">
        <f t="shared" si="4"/>
        <v>189658</v>
      </c>
      <c r="BE148" s="40"/>
      <c r="BF148" s="40"/>
      <c r="BG148" s="40"/>
      <c r="BH148" s="40"/>
    </row>
    <row r="149" spans="1:64" s="4" customFormat="1" ht="38.25" customHeight="1" x14ac:dyDescent="0.2">
      <c r="A149" s="28">
        <v>25</v>
      </c>
      <c r="B149" s="29"/>
      <c r="C149" s="29"/>
      <c r="D149" s="30" t="s">
        <v>199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2"/>
      <c r="U149" s="45">
        <v>0</v>
      </c>
      <c r="V149" s="46"/>
      <c r="W149" s="46"/>
      <c r="X149" s="46"/>
      <c r="Y149" s="47"/>
      <c r="Z149" s="45">
        <v>0</v>
      </c>
      <c r="AA149" s="46"/>
      <c r="AB149" s="46"/>
      <c r="AC149" s="46"/>
      <c r="AD149" s="47"/>
      <c r="AE149" s="48">
        <v>0</v>
      </c>
      <c r="AF149" s="48"/>
      <c r="AG149" s="48"/>
      <c r="AH149" s="48"/>
      <c r="AI149" s="48"/>
      <c r="AJ149" s="40">
        <f t="shared" si="3"/>
        <v>0</v>
      </c>
      <c r="AK149" s="40"/>
      <c r="AL149" s="40"/>
      <c r="AM149" s="40"/>
      <c r="AN149" s="40"/>
      <c r="AO149" s="48">
        <v>0</v>
      </c>
      <c r="AP149" s="48"/>
      <c r="AQ149" s="48"/>
      <c r="AR149" s="48"/>
      <c r="AS149" s="48"/>
      <c r="AT149" s="40">
        <v>0</v>
      </c>
      <c r="AU149" s="40"/>
      <c r="AV149" s="40"/>
      <c r="AW149" s="40"/>
      <c r="AX149" s="40"/>
      <c r="AY149" s="48">
        <v>0</v>
      </c>
      <c r="AZ149" s="48"/>
      <c r="BA149" s="48"/>
      <c r="BB149" s="48"/>
      <c r="BC149" s="48"/>
      <c r="BD149" s="40">
        <f t="shared" si="4"/>
        <v>0</v>
      </c>
      <c r="BE149" s="40"/>
      <c r="BF149" s="40"/>
      <c r="BG149" s="40"/>
      <c r="BH149" s="40"/>
    </row>
    <row r="150" spans="1:64" s="4" customFormat="1" ht="38.25" customHeight="1" x14ac:dyDescent="0.2">
      <c r="A150" s="28">
        <v>26</v>
      </c>
      <c r="B150" s="29"/>
      <c r="C150" s="29"/>
      <c r="D150" s="30" t="s">
        <v>200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2"/>
      <c r="U150" s="45">
        <v>0</v>
      </c>
      <c r="V150" s="46"/>
      <c r="W150" s="46"/>
      <c r="X150" s="46"/>
      <c r="Y150" s="47"/>
      <c r="Z150" s="45">
        <v>0</v>
      </c>
      <c r="AA150" s="46"/>
      <c r="AB150" s="46"/>
      <c r="AC150" s="46"/>
      <c r="AD150" s="47"/>
      <c r="AE150" s="48">
        <v>0</v>
      </c>
      <c r="AF150" s="48"/>
      <c r="AG150" s="48"/>
      <c r="AH150" s="48"/>
      <c r="AI150" s="48"/>
      <c r="AJ150" s="40">
        <f t="shared" si="3"/>
        <v>0</v>
      </c>
      <c r="AK150" s="40"/>
      <c r="AL150" s="40"/>
      <c r="AM150" s="40"/>
      <c r="AN150" s="40"/>
      <c r="AO150" s="48">
        <v>0</v>
      </c>
      <c r="AP150" s="48"/>
      <c r="AQ150" s="48"/>
      <c r="AR150" s="48"/>
      <c r="AS150" s="48"/>
      <c r="AT150" s="40">
        <v>0</v>
      </c>
      <c r="AU150" s="40"/>
      <c r="AV150" s="40"/>
      <c r="AW150" s="40"/>
      <c r="AX150" s="40"/>
      <c r="AY150" s="48">
        <v>0</v>
      </c>
      <c r="AZ150" s="48"/>
      <c r="BA150" s="48"/>
      <c r="BB150" s="48"/>
      <c r="BC150" s="48"/>
      <c r="BD150" s="40">
        <f t="shared" si="4"/>
        <v>0</v>
      </c>
      <c r="BE150" s="40"/>
      <c r="BF150" s="40"/>
      <c r="BG150" s="40"/>
      <c r="BH150" s="40"/>
    </row>
    <row r="151" spans="1:64" s="4" customFormat="1" ht="12.75" customHeight="1" x14ac:dyDescent="0.2">
      <c r="A151" s="28">
        <v>27</v>
      </c>
      <c r="B151" s="29"/>
      <c r="C151" s="29"/>
      <c r="D151" s="30" t="s">
        <v>201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2"/>
      <c r="U151" s="45">
        <v>5495</v>
      </c>
      <c r="V151" s="46"/>
      <c r="W151" s="46"/>
      <c r="X151" s="46"/>
      <c r="Y151" s="47"/>
      <c r="Z151" s="45">
        <v>0</v>
      </c>
      <c r="AA151" s="46"/>
      <c r="AB151" s="46"/>
      <c r="AC151" s="46"/>
      <c r="AD151" s="47"/>
      <c r="AE151" s="48">
        <v>0</v>
      </c>
      <c r="AF151" s="48"/>
      <c r="AG151" s="48"/>
      <c r="AH151" s="48"/>
      <c r="AI151" s="48"/>
      <c r="AJ151" s="40">
        <f t="shared" si="3"/>
        <v>5495</v>
      </c>
      <c r="AK151" s="40"/>
      <c r="AL151" s="40"/>
      <c r="AM151" s="40"/>
      <c r="AN151" s="40"/>
      <c r="AO151" s="48">
        <v>5935</v>
      </c>
      <c r="AP151" s="48"/>
      <c r="AQ151" s="48"/>
      <c r="AR151" s="48"/>
      <c r="AS151" s="48"/>
      <c r="AT151" s="40">
        <v>0</v>
      </c>
      <c r="AU151" s="40"/>
      <c r="AV151" s="40"/>
      <c r="AW151" s="40"/>
      <c r="AX151" s="40"/>
      <c r="AY151" s="48">
        <v>0</v>
      </c>
      <c r="AZ151" s="48"/>
      <c r="BA151" s="48"/>
      <c r="BB151" s="48"/>
      <c r="BC151" s="48"/>
      <c r="BD151" s="40">
        <f t="shared" si="4"/>
        <v>5935</v>
      </c>
      <c r="BE151" s="40"/>
      <c r="BF151" s="40"/>
      <c r="BG151" s="40"/>
      <c r="BH151" s="40"/>
    </row>
    <row r="152" spans="1:64" s="4" customFormat="1" ht="25.5" customHeight="1" x14ac:dyDescent="0.2">
      <c r="A152" s="28">
        <v>28</v>
      </c>
      <c r="B152" s="29"/>
      <c r="C152" s="29"/>
      <c r="D152" s="30" t="s">
        <v>202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2"/>
      <c r="U152" s="45">
        <v>2110</v>
      </c>
      <c r="V152" s="46"/>
      <c r="W152" s="46"/>
      <c r="X152" s="46"/>
      <c r="Y152" s="47"/>
      <c r="Z152" s="45">
        <v>0</v>
      </c>
      <c r="AA152" s="46"/>
      <c r="AB152" s="46"/>
      <c r="AC152" s="46"/>
      <c r="AD152" s="47"/>
      <c r="AE152" s="48">
        <v>0</v>
      </c>
      <c r="AF152" s="48"/>
      <c r="AG152" s="48"/>
      <c r="AH152" s="48"/>
      <c r="AI152" s="48"/>
      <c r="AJ152" s="40">
        <f t="shared" si="3"/>
        <v>2110</v>
      </c>
      <c r="AK152" s="40"/>
      <c r="AL152" s="40"/>
      <c r="AM152" s="40"/>
      <c r="AN152" s="40"/>
      <c r="AO152" s="48">
        <v>2279</v>
      </c>
      <c r="AP152" s="48"/>
      <c r="AQ152" s="48"/>
      <c r="AR152" s="48"/>
      <c r="AS152" s="48"/>
      <c r="AT152" s="40">
        <v>0</v>
      </c>
      <c r="AU152" s="40"/>
      <c r="AV152" s="40"/>
      <c r="AW152" s="40"/>
      <c r="AX152" s="40"/>
      <c r="AY152" s="48">
        <v>0</v>
      </c>
      <c r="AZ152" s="48"/>
      <c r="BA152" s="48"/>
      <c r="BB152" s="48"/>
      <c r="BC152" s="48"/>
      <c r="BD152" s="40">
        <f t="shared" si="4"/>
        <v>2279</v>
      </c>
      <c r="BE152" s="40"/>
      <c r="BF152" s="40"/>
      <c r="BG152" s="40"/>
      <c r="BH152" s="40"/>
    </row>
    <row r="153" spans="1:64" s="4" customFormat="1" ht="25.5" customHeight="1" x14ac:dyDescent="0.2">
      <c r="A153" s="28">
        <v>29</v>
      </c>
      <c r="B153" s="29"/>
      <c r="C153" s="29"/>
      <c r="D153" s="30" t="s">
        <v>203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2"/>
      <c r="U153" s="45">
        <v>5925</v>
      </c>
      <c r="V153" s="46"/>
      <c r="W153" s="46"/>
      <c r="X153" s="46"/>
      <c r="Y153" s="47"/>
      <c r="Z153" s="45">
        <v>0</v>
      </c>
      <c r="AA153" s="46"/>
      <c r="AB153" s="46"/>
      <c r="AC153" s="46"/>
      <c r="AD153" s="47"/>
      <c r="AE153" s="48">
        <v>0</v>
      </c>
      <c r="AF153" s="48"/>
      <c r="AG153" s="48"/>
      <c r="AH153" s="48"/>
      <c r="AI153" s="48"/>
      <c r="AJ153" s="40">
        <f t="shared" si="3"/>
        <v>5925</v>
      </c>
      <c r="AK153" s="40"/>
      <c r="AL153" s="40"/>
      <c r="AM153" s="40"/>
      <c r="AN153" s="40"/>
      <c r="AO153" s="48">
        <v>6399</v>
      </c>
      <c r="AP153" s="48"/>
      <c r="AQ153" s="48"/>
      <c r="AR153" s="48"/>
      <c r="AS153" s="48"/>
      <c r="AT153" s="40">
        <v>0</v>
      </c>
      <c r="AU153" s="40"/>
      <c r="AV153" s="40"/>
      <c r="AW153" s="40"/>
      <c r="AX153" s="40"/>
      <c r="AY153" s="48">
        <v>0</v>
      </c>
      <c r="AZ153" s="48"/>
      <c r="BA153" s="48"/>
      <c r="BB153" s="48"/>
      <c r="BC153" s="48"/>
      <c r="BD153" s="40">
        <f t="shared" si="4"/>
        <v>6399</v>
      </c>
      <c r="BE153" s="40"/>
      <c r="BF153" s="40"/>
      <c r="BG153" s="40"/>
      <c r="BH153" s="40"/>
    </row>
    <row r="154" spans="1:64" s="4" customFormat="1" ht="12.75" customHeight="1" x14ac:dyDescent="0.2">
      <c r="A154" s="28">
        <v>30</v>
      </c>
      <c r="B154" s="29"/>
      <c r="C154" s="29"/>
      <c r="D154" s="30" t="s">
        <v>204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2"/>
      <c r="U154" s="45">
        <v>219800</v>
      </c>
      <c r="V154" s="46"/>
      <c r="W154" s="46"/>
      <c r="X154" s="46"/>
      <c r="Y154" s="47"/>
      <c r="Z154" s="45">
        <v>0</v>
      </c>
      <c r="AA154" s="46"/>
      <c r="AB154" s="46"/>
      <c r="AC154" s="46"/>
      <c r="AD154" s="47"/>
      <c r="AE154" s="48">
        <v>0</v>
      </c>
      <c r="AF154" s="48"/>
      <c r="AG154" s="48"/>
      <c r="AH154" s="48"/>
      <c r="AI154" s="48"/>
      <c r="AJ154" s="40">
        <f t="shared" si="3"/>
        <v>219800</v>
      </c>
      <c r="AK154" s="40"/>
      <c r="AL154" s="40"/>
      <c r="AM154" s="40"/>
      <c r="AN154" s="40"/>
      <c r="AO154" s="48">
        <v>237384</v>
      </c>
      <c r="AP154" s="48"/>
      <c r="AQ154" s="48"/>
      <c r="AR154" s="48"/>
      <c r="AS154" s="48"/>
      <c r="AT154" s="40">
        <v>0</v>
      </c>
      <c r="AU154" s="40"/>
      <c r="AV154" s="40"/>
      <c r="AW154" s="40"/>
      <c r="AX154" s="40"/>
      <c r="AY154" s="48">
        <v>0</v>
      </c>
      <c r="AZ154" s="48"/>
      <c r="BA154" s="48"/>
      <c r="BB154" s="48"/>
      <c r="BC154" s="48"/>
      <c r="BD154" s="40">
        <f t="shared" si="4"/>
        <v>237384</v>
      </c>
      <c r="BE154" s="40"/>
      <c r="BF154" s="40"/>
      <c r="BG154" s="40"/>
      <c r="BH154" s="40"/>
    </row>
    <row r="155" spans="1:64" s="4" customFormat="1" ht="25.5" customHeight="1" x14ac:dyDescent="0.2">
      <c r="A155" s="28">
        <v>31</v>
      </c>
      <c r="B155" s="29"/>
      <c r="C155" s="29"/>
      <c r="D155" s="30" t="s">
        <v>205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2"/>
      <c r="U155" s="45">
        <v>31798</v>
      </c>
      <c r="V155" s="46"/>
      <c r="W155" s="46"/>
      <c r="X155" s="46"/>
      <c r="Y155" s="47"/>
      <c r="Z155" s="45">
        <v>0</v>
      </c>
      <c r="AA155" s="46"/>
      <c r="AB155" s="46"/>
      <c r="AC155" s="46"/>
      <c r="AD155" s="47"/>
      <c r="AE155" s="48">
        <v>0</v>
      </c>
      <c r="AF155" s="48"/>
      <c r="AG155" s="48"/>
      <c r="AH155" s="48"/>
      <c r="AI155" s="48"/>
      <c r="AJ155" s="40">
        <f t="shared" si="3"/>
        <v>31798</v>
      </c>
      <c r="AK155" s="40"/>
      <c r="AL155" s="40"/>
      <c r="AM155" s="40"/>
      <c r="AN155" s="40"/>
      <c r="AO155" s="48">
        <v>34342</v>
      </c>
      <c r="AP155" s="48"/>
      <c r="AQ155" s="48"/>
      <c r="AR155" s="48"/>
      <c r="AS155" s="48"/>
      <c r="AT155" s="40">
        <v>0</v>
      </c>
      <c r="AU155" s="40"/>
      <c r="AV155" s="40"/>
      <c r="AW155" s="40"/>
      <c r="AX155" s="40"/>
      <c r="AY155" s="48">
        <v>0</v>
      </c>
      <c r="AZ155" s="48"/>
      <c r="BA155" s="48"/>
      <c r="BB155" s="48"/>
      <c r="BC155" s="48"/>
      <c r="BD155" s="40">
        <f t="shared" si="4"/>
        <v>34342</v>
      </c>
      <c r="BE155" s="40"/>
      <c r="BF155" s="40"/>
      <c r="BG155" s="40"/>
      <c r="BH155" s="40"/>
    </row>
    <row r="156" spans="1:64" s="4" customFormat="1" ht="25.5" customHeight="1" x14ac:dyDescent="0.2">
      <c r="A156" s="28">
        <v>32</v>
      </c>
      <c r="B156" s="29"/>
      <c r="C156" s="29"/>
      <c r="D156" s="30" t="s">
        <v>206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2"/>
      <c r="U156" s="45">
        <v>10990</v>
      </c>
      <c r="V156" s="46"/>
      <c r="W156" s="46"/>
      <c r="X156" s="46"/>
      <c r="Y156" s="47"/>
      <c r="Z156" s="45">
        <v>0</v>
      </c>
      <c r="AA156" s="46"/>
      <c r="AB156" s="46"/>
      <c r="AC156" s="46"/>
      <c r="AD156" s="47"/>
      <c r="AE156" s="48">
        <v>0</v>
      </c>
      <c r="AF156" s="48"/>
      <c r="AG156" s="48"/>
      <c r="AH156" s="48"/>
      <c r="AI156" s="48"/>
      <c r="AJ156" s="40">
        <f t="shared" si="3"/>
        <v>10990</v>
      </c>
      <c r="AK156" s="40"/>
      <c r="AL156" s="40"/>
      <c r="AM156" s="40"/>
      <c r="AN156" s="40"/>
      <c r="AO156" s="48">
        <v>11869</v>
      </c>
      <c r="AP156" s="48"/>
      <c r="AQ156" s="48"/>
      <c r="AR156" s="48"/>
      <c r="AS156" s="48"/>
      <c r="AT156" s="40">
        <v>0</v>
      </c>
      <c r="AU156" s="40"/>
      <c r="AV156" s="40"/>
      <c r="AW156" s="40"/>
      <c r="AX156" s="40"/>
      <c r="AY156" s="48">
        <v>0</v>
      </c>
      <c r="AZ156" s="48"/>
      <c r="BA156" s="48"/>
      <c r="BB156" s="48"/>
      <c r="BC156" s="48"/>
      <c r="BD156" s="40">
        <f t="shared" si="4"/>
        <v>11869</v>
      </c>
      <c r="BE156" s="40"/>
      <c r="BF156" s="40"/>
      <c r="BG156" s="40"/>
      <c r="BH156" s="40"/>
    </row>
    <row r="157" spans="1:64" s="4" customFormat="1" ht="12.75" customHeight="1" x14ac:dyDescent="0.2">
      <c r="A157" s="28">
        <v>33</v>
      </c>
      <c r="B157" s="29"/>
      <c r="C157" s="29"/>
      <c r="D157" s="30" t="s">
        <v>207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2"/>
      <c r="U157" s="45">
        <v>65940</v>
      </c>
      <c r="V157" s="46"/>
      <c r="W157" s="46"/>
      <c r="X157" s="46"/>
      <c r="Y157" s="47"/>
      <c r="Z157" s="45">
        <v>0</v>
      </c>
      <c r="AA157" s="46"/>
      <c r="AB157" s="46"/>
      <c r="AC157" s="46"/>
      <c r="AD157" s="47"/>
      <c r="AE157" s="48">
        <v>0</v>
      </c>
      <c r="AF157" s="48"/>
      <c r="AG157" s="48"/>
      <c r="AH157" s="48"/>
      <c r="AI157" s="48"/>
      <c r="AJ157" s="40">
        <f t="shared" si="3"/>
        <v>65940</v>
      </c>
      <c r="AK157" s="40"/>
      <c r="AL157" s="40"/>
      <c r="AM157" s="40"/>
      <c r="AN157" s="40"/>
      <c r="AO157" s="48">
        <v>71216</v>
      </c>
      <c r="AP157" s="48"/>
      <c r="AQ157" s="48"/>
      <c r="AR157" s="48"/>
      <c r="AS157" s="48"/>
      <c r="AT157" s="40">
        <v>0</v>
      </c>
      <c r="AU157" s="40"/>
      <c r="AV157" s="40"/>
      <c r="AW157" s="40"/>
      <c r="AX157" s="40"/>
      <c r="AY157" s="48">
        <v>0</v>
      </c>
      <c r="AZ157" s="48"/>
      <c r="BA157" s="48"/>
      <c r="BB157" s="48"/>
      <c r="BC157" s="48"/>
      <c r="BD157" s="40">
        <f t="shared" si="4"/>
        <v>71216</v>
      </c>
      <c r="BE157" s="40"/>
      <c r="BF157" s="40"/>
      <c r="BG157" s="40"/>
      <c r="BH157" s="40"/>
    </row>
    <row r="158" spans="1:64" s="5" customFormat="1" ht="12.75" customHeight="1" x14ac:dyDescent="0.2">
      <c r="A158" s="33"/>
      <c r="B158" s="34"/>
      <c r="C158" s="34"/>
      <c r="D158" s="21" t="s">
        <v>147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3"/>
      <c r="U158" s="41">
        <v>8974054</v>
      </c>
      <c r="V158" s="42"/>
      <c r="W158" s="42"/>
      <c r="X158" s="42"/>
      <c r="Y158" s="43"/>
      <c r="Z158" s="41">
        <v>0</v>
      </c>
      <c r="AA158" s="42"/>
      <c r="AB158" s="42"/>
      <c r="AC158" s="42"/>
      <c r="AD158" s="43"/>
      <c r="AE158" s="44">
        <v>0</v>
      </c>
      <c r="AF158" s="44"/>
      <c r="AG158" s="44"/>
      <c r="AH158" s="44"/>
      <c r="AI158" s="44"/>
      <c r="AJ158" s="20">
        <f t="shared" si="3"/>
        <v>8974054</v>
      </c>
      <c r="AK158" s="20"/>
      <c r="AL158" s="20"/>
      <c r="AM158" s="20"/>
      <c r="AN158" s="20"/>
      <c r="AO158" s="44">
        <v>9691978</v>
      </c>
      <c r="AP158" s="44"/>
      <c r="AQ158" s="44"/>
      <c r="AR158" s="44"/>
      <c r="AS158" s="44"/>
      <c r="AT158" s="20">
        <v>0</v>
      </c>
      <c r="AU158" s="20"/>
      <c r="AV158" s="20"/>
      <c r="AW158" s="20"/>
      <c r="AX158" s="20"/>
      <c r="AY158" s="44">
        <v>0</v>
      </c>
      <c r="AZ158" s="44"/>
      <c r="BA158" s="44"/>
      <c r="BB158" s="44"/>
      <c r="BC158" s="44"/>
      <c r="BD158" s="20">
        <f t="shared" si="4"/>
        <v>9691978</v>
      </c>
      <c r="BE158" s="20"/>
      <c r="BF158" s="20"/>
      <c r="BG158" s="20"/>
      <c r="BH158" s="20"/>
    </row>
    <row r="160" spans="1:64" ht="14.25" customHeight="1" x14ac:dyDescent="0.2">
      <c r="A160" s="60" t="s">
        <v>152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</row>
    <row r="161" spans="1:79" ht="14.25" customHeight="1" x14ac:dyDescent="0.2">
      <c r="A161" s="60" t="s">
        <v>265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</row>
    <row r="162" spans="1:79" ht="23.1" customHeight="1" x14ac:dyDescent="0.2">
      <c r="A162" s="77" t="s">
        <v>6</v>
      </c>
      <c r="B162" s="78"/>
      <c r="C162" s="78"/>
      <c r="D162" s="37" t="s">
        <v>9</v>
      </c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 t="s">
        <v>8</v>
      </c>
      <c r="R162" s="37"/>
      <c r="S162" s="37"/>
      <c r="T162" s="37"/>
      <c r="U162" s="37"/>
      <c r="V162" s="37" t="s">
        <v>7</v>
      </c>
      <c r="W162" s="37"/>
      <c r="X162" s="37"/>
      <c r="Y162" s="37"/>
      <c r="Z162" s="37"/>
      <c r="AA162" s="37"/>
      <c r="AB162" s="37"/>
      <c r="AC162" s="37"/>
      <c r="AD162" s="37"/>
      <c r="AE162" s="37"/>
      <c r="AF162" s="73" t="s">
        <v>250</v>
      </c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5"/>
      <c r="AU162" s="73" t="s">
        <v>253</v>
      </c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5"/>
      <c r="BJ162" s="73" t="s">
        <v>261</v>
      </c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5"/>
    </row>
    <row r="163" spans="1:79" ht="32.25" customHeight="1" x14ac:dyDescent="0.2">
      <c r="A163" s="80"/>
      <c r="B163" s="81"/>
      <c r="C163" s="81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 t="s">
        <v>4</v>
      </c>
      <c r="AG163" s="37"/>
      <c r="AH163" s="37"/>
      <c r="AI163" s="37"/>
      <c r="AJ163" s="37"/>
      <c r="AK163" s="37" t="s">
        <v>3</v>
      </c>
      <c r="AL163" s="37"/>
      <c r="AM163" s="37"/>
      <c r="AN163" s="37"/>
      <c r="AO163" s="37"/>
      <c r="AP163" s="37" t="s">
        <v>123</v>
      </c>
      <c r="AQ163" s="37"/>
      <c r="AR163" s="37"/>
      <c r="AS163" s="37"/>
      <c r="AT163" s="37"/>
      <c r="AU163" s="37" t="s">
        <v>4</v>
      </c>
      <c r="AV163" s="37"/>
      <c r="AW163" s="37"/>
      <c r="AX163" s="37"/>
      <c r="AY163" s="37"/>
      <c r="AZ163" s="37" t="s">
        <v>3</v>
      </c>
      <c r="BA163" s="37"/>
      <c r="BB163" s="37"/>
      <c r="BC163" s="37"/>
      <c r="BD163" s="37"/>
      <c r="BE163" s="37" t="s">
        <v>90</v>
      </c>
      <c r="BF163" s="37"/>
      <c r="BG163" s="37"/>
      <c r="BH163" s="37"/>
      <c r="BI163" s="37"/>
      <c r="BJ163" s="37" t="s">
        <v>4</v>
      </c>
      <c r="BK163" s="37"/>
      <c r="BL163" s="37"/>
      <c r="BM163" s="37"/>
      <c r="BN163" s="37"/>
      <c r="BO163" s="37" t="s">
        <v>3</v>
      </c>
      <c r="BP163" s="37"/>
      <c r="BQ163" s="37"/>
      <c r="BR163" s="37"/>
      <c r="BS163" s="37"/>
      <c r="BT163" s="37" t="s">
        <v>97</v>
      </c>
      <c r="BU163" s="37"/>
      <c r="BV163" s="37"/>
      <c r="BW163" s="37"/>
      <c r="BX163" s="37"/>
    </row>
    <row r="164" spans="1:79" ht="15" customHeight="1" x14ac:dyDescent="0.2">
      <c r="A164" s="73">
        <v>1</v>
      </c>
      <c r="B164" s="74"/>
      <c r="C164" s="74"/>
      <c r="D164" s="37">
        <v>2</v>
      </c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>
        <v>3</v>
      </c>
      <c r="R164" s="37"/>
      <c r="S164" s="37"/>
      <c r="T164" s="37"/>
      <c r="U164" s="37"/>
      <c r="V164" s="37">
        <v>4</v>
      </c>
      <c r="W164" s="37"/>
      <c r="X164" s="37"/>
      <c r="Y164" s="37"/>
      <c r="Z164" s="37"/>
      <c r="AA164" s="37"/>
      <c r="AB164" s="37"/>
      <c r="AC164" s="37"/>
      <c r="AD164" s="37"/>
      <c r="AE164" s="37"/>
      <c r="AF164" s="37">
        <v>5</v>
      </c>
      <c r="AG164" s="37"/>
      <c r="AH164" s="37"/>
      <c r="AI164" s="37"/>
      <c r="AJ164" s="37"/>
      <c r="AK164" s="37">
        <v>6</v>
      </c>
      <c r="AL164" s="37"/>
      <c r="AM164" s="37"/>
      <c r="AN164" s="37"/>
      <c r="AO164" s="37"/>
      <c r="AP164" s="37">
        <v>7</v>
      </c>
      <c r="AQ164" s="37"/>
      <c r="AR164" s="37"/>
      <c r="AS164" s="37"/>
      <c r="AT164" s="37"/>
      <c r="AU164" s="37">
        <v>8</v>
      </c>
      <c r="AV164" s="37"/>
      <c r="AW164" s="37"/>
      <c r="AX164" s="37"/>
      <c r="AY164" s="37"/>
      <c r="AZ164" s="37">
        <v>9</v>
      </c>
      <c r="BA164" s="37"/>
      <c r="BB164" s="37"/>
      <c r="BC164" s="37"/>
      <c r="BD164" s="37"/>
      <c r="BE164" s="37">
        <v>10</v>
      </c>
      <c r="BF164" s="37"/>
      <c r="BG164" s="37"/>
      <c r="BH164" s="37"/>
      <c r="BI164" s="37"/>
      <c r="BJ164" s="37">
        <v>11</v>
      </c>
      <c r="BK164" s="37"/>
      <c r="BL164" s="37"/>
      <c r="BM164" s="37"/>
      <c r="BN164" s="37"/>
      <c r="BO164" s="37">
        <v>12</v>
      </c>
      <c r="BP164" s="37"/>
      <c r="BQ164" s="37"/>
      <c r="BR164" s="37"/>
      <c r="BS164" s="37"/>
      <c r="BT164" s="37">
        <v>13</v>
      </c>
      <c r="BU164" s="37"/>
      <c r="BV164" s="37"/>
      <c r="BW164" s="37"/>
      <c r="BX164" s="37"/>
    </row>
    <row r="165" spans="1:79" ht="10.5" hidden="1" customHeight="1" x14ac:dyDescent="0.2">
      <c r="A165" s="87" t="s">
        <v>154</v>
      </c>
      <c r="B165" s="88"/>
      <c r="C165" s="88"/>
      <c r="D165" s="37" t="s">
        <v>57</v>
      </c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 t="s">
        <v>70</v>
      </c>
      <c r="R165" s="37"/>
      <c r="S165" s="37"/>
      <c r="T165" s="37"/>
      <c r="U165" s="37"/>
      <c r="V165" s="37" t="s">
        <v>71</v>
      </c>
      <c r="W165" s="37"/>
      <c r="X165" s="37"/>
      <c r="Y165" s="37"/>
      <c r="Z165" s="37"/>
      <c r="AA165" s="37"/>
      <c r="AB165" s="37"/>
      <c r="AC165" s="37"/>
      <c r="AD165" s="37"/>
      <c r="AE165" s="37"/>
      <c r="AF165" s="65" t="s">
        <v>111</v>
      </c>
      <c r="AG165" s="65"/>
      <c r="AH165" s="65"/>
      <c r="AI165" s="65"/>
      <c r="AJ165" s="65"/>
      <c r="AK165" s="63" t="s">
        <v>112</v>
      </c>
      <c r="AL165" s="63"/>
      <c r="AM165" s="63"/>
      <c r="AN165" s="63"/>
      <c r="AO165" s="63"/>
      <c r="AP165" s="83" t="s">
        <v>209</v>
      </c>
      <c r="AQ165" s="83"/>
      <c r="AR165" s="83"/>
      <c r="AS165" s="83"/>
      <c r="AT165" s="83"/>
      <c r="AU165" s="65" t="s">
        <v>113</v>
      </c>
      <c r="AV165" s="65"/>
      <c r="AW165" s="65"/>
      <c r="AX165" s="65"/>
      <c r="AY165" s="65"/>
      <c r="AZ165" s="63" t="s">
        <v>114</v>
      </c>
      <c r="BA165" s="63"/>
      <c r="BB165" s="63"/>
      <c r="BC165" s="63"/>
      <c r="BD165" s="63"/>
      <c r="BE165" s="83" t="s">
        <v>209</v>
      </c>
      <c r="BF165" s="83"/>
      <c r="BG165" s="83"/>
      <c r="BH165" s="83"/>
      <c r="BI165" s="83"/>
      <c r="BJ165" s="65" t="s">
        <v>105</v>
      </c>
      <c r="BK165" s="65"/>
      <c r="BL165" s="65"/>
      <c r="BM165" s="65"/>
      <c r="BN165" s="65"/>
      <c r="BO165" s="63" t="s">
        <v>106</v>
      </c>
      <c r="BP165" s="63"/>
      <c r="BQ165" s="63"/>
      <c r="BR165" s="63"/>
      <c r="BS165" s="63"/>
      <c r="BT165" s="83" t="s">
        <v>209</v>
      </c>
      <c r="BU165" s="83"/>
      <c r="BV165" s="83"/>
      <c r="BW165" s="83"/>
      <c r="BX165" s="83"/>
      <c r="CA165" t="s">
        <v>37</v>
      </c>
    </row>
    <row r="166" spans="1:79" s="5" customFormat="1" ht="15" customHeight="1" x14ac:dyDescent="0.2">
      <c r="A166" s="33">
        <v>0</v>
      </c>
      <c r="B166" s="34"/>
      <c r="C166" s="34"/>
      <c r="D166" s="39" t="s">
        <v>208</v>
      </c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CA166" s="5" t="s">
        <v>38</v>
      </c>
    </row>
    <row r="167" spans="1:79" s="4" customFormat="1" ht="17.25" customHeight="1" x14ac:dyDescent="0.2">
      <c r="A167" s="28">
        <v>1</v>
      </c>
      <c r="B167" s="29"/>
      <c r="C167" s="29"/>
      <c r="D167" s="36" t="s">
        <v>210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2"/>
      <c r="Q167" s="37" t="s">
        <v>211</v>
      </c>
      <c r="R167" s="37"/>
      <c r="S167" s="37"/>
      <c r="T167" s="37"/>
      <c r="U167" s="37"/>
      <c r="V167" s="37" t="s">
        <v>212</v>
      </c>
      <c r="W167" s="37"/>
      <c r="X167" s="37"/>
      <c r="Y167" s="37"/>
      <c r="Z167" s="37"/>
      <c r="AA167" s="37"/>
      <c r="AB167" s="37"/>
      <c r="AC167" s="37"/>
      <c r="AD167" s="37"/>
      <c r="AE167" s="37"/>
      <c r="AF167" s="26">
        <v>20.2</v>
      </c>
      <c r="AG167" s="26"/>
      <c r="AH167" s="26"/>
      <c r="AI167" s="26"/>
      <c r="AJ167" s="26"/>
      <c r="AK167" s="26">
        <v>0</v>
      </c>
      <c r="AL167" s="26"/>
      <c r="AM167" s="26"/>
      <c r="AN167" s="26"/>
      <c r="AO167" s="26"/>
      <c r="AP167" s="26">
        <v>20.2</v>
      </c>
      <c r="AQ167" s="26"/>
      <c r="AR167" s="26"/>
      <c r="AS167" s="26"/>
      <c r="AT167" s="26"/>
      <c r="AU167" s="26">
        <v>24.5</v>
      </c>
      <c r="AV167" s="26"/>
      <c r="AW167" s="26"/>
      <c r="AX167" s="26"/>
      <c r="AY167" s="26"/>
      <c r="AZ167" s="26">
        <v>0</v>
      </c>
      <c r="BA167" s="26"/>
      <c r="BB167" s="26"/>
      <c r="BC167" s="26"/>
      <c r="BD167" s="26"/>
      <c r="BE167" s="26">
        <v>24.5</v>
      </c>
      <c r="BF167" s="26"/>
      <c r="BG167" s="26"/>
      <c r="BH167" s="26"/>
      <c r="BI167" s="26"/>
      <c r="BJ167" s="26">
        <v>24.5</v>
      </c>
      <c r="BK167" s="26"/>
      <c r="BL167" s="26"/>
      <c r="BM167" s="26"/>
      <c r="BN167" s="26"/>
      <c r="BO167" s="26">
        <v>0</v>
      </c>
      <c r="BP167" s="26"/>
      <c r="BQ167" s="26"/>
      <c r="BR167" s="26"/>
      <c r="BS167" s="26"/>
      <c r="BT167" s="26">
        <v>24.5</v>
      </c>
      <c r="BU167" s="26"/>
      <c r="BV167" s="26"/>
      <c r="BW167" s="26"/>
      <c r="BX167" s="26"/>
    </row>
    <row r="168" spans="1:79" s="5" customFormat="1" ht="15" customHeight="1" x14ac:dyDescent="0.2">
      <c r="A168" s="33">
        <v>0</v>
      </c>
      <c r="B168" s="34"/>
      <c r="C168" s="34"/>
      <c r="D168" s="38" t="s">
        <v>213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3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</row>
    <row r="169" spans="1:79" s="4" customFormat="1" ht="28.5" customHeight="1" x14ac:dyDescent="0.2">
      <c r="A169" s="28">
        <v>1</v>
      </c>
      <c r="B169" s="29"/>
      <c r="C169" s="29"/>
      <c r="D169" s="36" t="s">
        <v>214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2"/>
      <c r="Q169" s="37" t="s">
        <v>211</v>
      </c>
      <c r="R169" s="37"/>
      <c r="S169" s="37"/>
      <c r="T169" s="37"/>
      <c r="U169" s="37"/>
      <c r="V169" s="36" t="s">
        <v>215</v>
      </c>
      <c r="W169" s="31"/>
      <c r="X169" s="31"/>
      <c r="Y169" s="31"/>
      <c r="Z169" s="31"/>
      <c r="AA169" s="31"/>
      <c r="AB169" s="31"/>
      <c r="AC169" s="31"/>
      <c r="AD169" s="31"/>
      <c r="AE169" s="32"/>
      <c r="AF169" s="26">
        <v>92</v>
      </c>
      <c r="AG169" s="26"/>
      <c r="AH169" s="26"/>
      <c r="AI169" s="26"/>
      <c r="AJ169" s="26"/>
      <c r="AK169" s="26">
        <v>0</v>
      </c>
      <c r="AL169" s="26"/>
      <c r="AM169" s="26"/>
      <c r="AN169" s="26"/>
      <c r="AO169" s="26"/>
      <c r="AP169" s="26">
        <v>92</v>
      </c>
      <c r="AQ169" s="26"/>
      <c r="AR169" s="26"/>
      <c r="AS169" s="26"/>
      <c r="AT169" s="26"/>
      <c r="AU169" s="26">
        <v>120</v>
      </c>
      <c r="AV169" s="26"/>
      <c r="AW169" s="26"/>
      <c r="AX169" s="26"/>
      <c r="AY169" s="26"/>
      <c r="AZ169" s="26">
        <v>0</v>
      </c>
      <c r="BA169" s="26"/>
      <c r="BB169" s="26"/>
      <c r="BC169" s="26"/>
      <c r="BD169" s="26"/>
      <c r="BE169" s="26">
        <v>120</v>
      </c>
      <c r="BF169" s="26"/>
      <c r="BG169" s="26"/>
      <c r="BH169" s="26"/>
      <c r="BI169" s="26"/>
      <c r="BJ169" s="26">
        <v>120</v>
      </c>
      <c r="BK169" s="26"/>
      <c r="BL169" s="26"/>
      <c r="BM169" s="26"/>
      <c r="BN169" s="26"/>
      <c r="BO169" s="26">
        <v>0</v>
      </c>
      <c r="BP169" s="26"/>
      <c r="BQ169" s="26"/>
      <c r="BR169" s="26"/>
      <c r="BS169" s="26"/>
      <c r="BT169" s="26">
        <v>120</v>
      </c>
      <c r="BU169" s="26"/>
      <c r="BV169" s="26"/>
      <c r="BW169" s="26"/>
      <c r="BX169" s="26"/>
    </row>
    <row r="170" spans="1:79" s="5" customFormat="1" ht="15" customHeight="1" x14ac:dyDescent="0.2">
      <c r="A170" s="33">
        <v>0</v>
      </c>
      <c r="B170" s="34"/>
      <c r="C170" s="34"/>
      <c r="D170" s="38" t="s">
        <v>216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3"/>
      <c r="Q170" s="39"/>
      <c r="R170" s="39"/>
      <c r="S170" s="39"/>
      <c r="T170" s="39"/>
      <c r="U170" s="39"/>
      <c r="V170" s="38"/>
      <c r="W170" s="22"/>
      <c r="X170" s="22"/>
      <c r="Y170" s="22"/>
      <c r="Z170" s="22"/>
      <c r="AA170" s="22"/>
      <c r="AB170" s="22"/>
      <c r="AC170" s="22"/>
      <c r="AD170" s="22"/>
      <c r="AE170" s="23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</row>
    <row r="171" spans="1:79" s="4" customFormat="1" ht="28.5" customHeight="1" x14ac:dyDescent="0.2">
      <c r="A171" s="28">
        <v>1</v>
      </c>
      <c r="B171" s="29"/>
      <c r="C171" s="29"/>
      <c r="D171" s="36" t="s">
        <v>217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2"/>
      <c r="Q171" s="37" t="s">
        <v>218</v>
      </c>
      <c r="R171" s="37"/>
      <c r="S171" s="37"/>
      <c r="T171" s="37"/>
      <c r="U171" s="37"/>
      <c r="V171" s="36" t="s">
        <v>219</v>
      </c>
      <c r="W171" s="31"/>
      <c r="X171" s="31"/>
      <c r="Y171" s="31"/>
      <c r="Z171" s="31"/>
      <c r="AA171" s="31"/>
      <c r="AB171" s="31"/>
      <c r="AC171" s="31"/>
      <c r="AD171" s="31"/>
      <c r="AE171" s="32"/>
      <c r="AF171" s="26">
        <v>14057</v>
      </c>
      <c r="AG171" s="26"/>
      <c r="AH171" s="26"/>
      <c r="AI171" s="26"/>
      <c r="AJ171" s="26"/>
      <c r="AK171" s="26">
        <v>0</v>
      </c>
      <c r="AL171" s="26"/>
      <c r="AM171" s="26"/>
      <c r="AN171" s="26"/>
      <c r="AO171" s="26"/>
      <c r="AP171" s="26">
        <v>14057</v>
      </c>
      <c r="AQ171" s="26"/>
      <c r="AR171" s="26"/>
      <c r="AS171" s="26"/>
      <c r="AT171" s="26"/>
      <c r="AU171" s="26">
        <v>14057</v>
      </c>
      <c r="AV171" s="26"/>
      <c r="AW171" s="26"/>
      <c r="AX171" s="26"/>
      <c r="AY171" s="26"/>
      <c r="AZ171" s="26">
        <v>0</v>
      </c>
      <c r="BA171" s="26"/>
      <c r="BB171" s="26"/>
      <c r="BC171" s="26"/>
      <c r="BD171" s="26"/>
      <c r="BE171" s="26">
        <v>14057</v>
      </c>
      <c r="BF171" s="26"/>
      <c r="BG171" s="26"/>
      <c r="BH171" s="26"/>
      <c r="BI171" s="26"/>
      <c r="BJ171" s="26">
        <v>14057</v>
      </c>
      <c r="BK171" s="26"/>
      <c r="BL171" s="26"/>
      <c r="BM171" s="26"/>
      <c r="BN171" s="26"/>
      <c r="BO171" s="26">
        <v>0</v>
      </c>
      <c r="BP171" s="26"/>
      <c r="BQ171" s="26"/>
      <c r="BR171" s="26"/>
      <c r="BS171" s="26"/>
      <c r="BT171" s="26">
        <v>14057</v>
      </c>
      <c r="BU171" s="26"/>
      <c r="BV171" s="26"/>
      <c r="BW171" s="26"/>
      <c r="BX171" s="26"/>
    </row>
    <row r="172" spans="1:79" s="5" customFormat="1" ht="15" customHeight="1" x14ac:dyDescent="0.2">
      <c r="A172" s="33">
        <v>0</v>
      </c>
      <c r="B172" s="34"/>
      <c r="C172" s="34"/>
      <c r="D172" s="38" t="s">
        <v>220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39"/>
      <c r="R172" s="39"/>
      <c r="S172" s="39"/>
      <c r="T172" s="39"/>
      <c r="U172" s="39"/>
      <c r="V172" s="38"/>
      <c r="W172" s="22"/>
      <c r="X172" s="22"/>
      <c r="Y172" s="22"/>
      <c r="Z172" s="22"/>
      <c r="AA172" s="22"/>
      <c r="AB172" s="22"/>
      <c r="AC172" s="22"/>
      <c r="AD172" s="22"/>
      <c r="AE172" s="23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</row>
    <row r="173" spans="1:79" s="4" customFormat="1" ht="28.5" customHeight="1" x14ac:dyDescent="0.2">
      <c r="A173" s="28">
        <v>1</v>
      </c>
      <c r="B173" s="29"/>
      <c r="C173" s="29"/>
      <c r="D173" s="36" t="s">
        <v>221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2"/>
      <c r="Q173" s="37" t="s">
        <v>222</v>
      </c>
      <c r="R173" s="37"/>
      <c r="S173" s="37"/>
      <c r="T173" s="37"/>
      <c r="U173" s="37"/>
      <c r="V173" s="36" t="s">
        <v>223</v>
      </c>
      <c r="W173" s="31"/>
      <c r="X173" s="31"/>
      <c r="Y173" s="31"/>
      <c r="Z173" s="31"/>
      <c r="AA173" s="31"/>
      <c r="AB173" s="31"/>
      <c r="AC173" s="31"/>
      <c r="AD173" s="31"/>
      <c r="AE173" s="32"/>
      <c r="AF173" s="26">
        <v>77</v>
      </c>
      <c r="AG173" s="26"/>
      <c r="AH173" s="26"/>
      <c r="AI173" s="26"/>
      <c r="AJ173" s="26"/>
      <c r="AK173" s="26">
        <v>0</v>
      </c>
      <c r="AL173" s="26"/>
      <c r="AM173" s="26"/>
      <c r="AN173" s="26"/>
      <c r="AO173" s="26"/>
      <c r="AP173" s="26">
        <v>77</v>
      </c>
      <c r="AQ173" s="26"/>
      <c r="AR173" s="26"/>
      <c r="AS173" s="26"/>
      <c r="AT173" s="26"/>
      <c r="AU173" s="26">
        <v>130</v>
      </c>
      <c r="AV173" s="26"/>
      <c r="AW173" s="26"/>
      <c r="AX173" s="26"/>
      <c r="AY173" s="26"/>
      <c r="AZ173" s="26">
        <v>0</v>
      </c>
      <c r="BA173" s="26"/>
      <c r="BB173" s="26"/>
      <c r="BC173" s="26"/>
      <c r="BD173" s="26"/>
      <c r="BE173" s="26">
        <v>130</v>
      </c>
      <c r="BF173" s="26"/>
      <c r="BG173" s="26"/>
      <c r="BH173" s="26"/>
      <c r="BI173" s="26"/>
      <c r="BJ173" s="26">
        <v>100</v>
      </c>
      <c r="BK173" s="26"/>
      <c r="BL173" s="26"/>
      <c r="BM173" s="26"/>
      <c r="BN173" s="26"/>
      <c r="BO173" s="26">
        <v>0</v>
      </c>
      <c r="BP173" s="26"/>
      <c r="BQ173" s="26"/>
      <c r="BR173" s="26"/>
      <c r="BS173" s="26"/>
      <c r="BT173" s="26">
        <v>100</v>
      </c>
      <c r="BU173" s="26"/>
      <c r="BV173" s="26"/>
      <c r="BW173" s="26"/>
      <c r="BX173" s="26"/>
    </row>
    <row r="175" spans="1:79" ht="14.25" customHeight="1" x14ac:dyDescent="0.2">
      <c r="A175" s="60" t="s">
        <v>280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</row>
    <row r="176" spans="1:79" ht="23.1" customHeight="1" x14ac:dyDescent="0.2">
      <c r="A176" s="77" t="s">
        <v>6</v>
      </c>
      <c r="B176" s="78"/>
      <c r="C176" s="78"/>
      <c r="D176" s="37" t="s">
        <v>9</v>
      </c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 t="s">
        <v>8</v>
      </c>
      <c r="R176" s="37"/>
      <c r="S176" s="37"/>
      <c r="T176" s="37"/>
      <c r="U176" s="37"/>
      <c r="V176" s="37" t="s">
        <v>7</v>
      </c>
      <c r="W176" s="37"/>
      <c r="X176" s="37"/>
      <c r="Y176" s="37"/>
      <c r="Z176" s="37"/>
      <c r="AA176" s="37"/>
      <c r="AB176" s="37"/>
      <c r="AC176" s="37"/>
      <c r="AD176" s="37"/>
      <c r="AE176" s="37"/>
      <c r="AF176" s="73" t="s">
        <v>271</v>
      </c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5"/>
      <c r="AU176" s="73" t="s">
        <v>276</v>
      </c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5"/>
    </row>
    <row r="177" spans="1:79" ht="28.5" customHeight="1" x14ac:dyDescent="0.2">
      <c r="A177" s="80"/>
      <c r="B177" s="81"/>
      <c r="C177" s="81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 t="s">
        <v>4</v>
      </c>
      <c r="AG177" s="37"/>
      <c r="AH177" s="37"/>
      <c r="AI177" s="37"/>
      <c r="AJ177" s="37"/>
      <c r="AK177" s="37" t="s">
        <v>3</v>
      </c>
      <c r="AL177" s="37"/>
      <c r="AM177" s="37"/>
      <c r="AN177" s="37"/>
      <c r="AO177" s="37"/>
      <c r="AP177" s="37" t="s">
        <v>123</v>
      </c>
      <c r="AQ177" s="37"/>
      <c r="AR177" s="37"/>
      <c r="AS177" s="37"/>
      <c r="AT177" s="37"/>
      <c r="AU177" s="37" t="s">
        <v>4</v>
      </c>
      <c r="AV177" s="37"/>
      <c r="AW177" s="37"/>
      <c r="AX177" s="37"/>
      <c r="AY177" s="37"/>
      <c r="AZ177" s="37" t="s">
        <v>3</v>
      </c>
      <c r="BA177" s="37"/>
      <c r="BB177" s="37"/>
      <c r="BC177" s="37"/>
      <c r="BD177" s="37"/>
      <c r="BE177" s="37" t="s">
        <v>90</v>
      </c>
      <c r="BF177" s="37"/>
      <c r="BG177" s="37"/>
      <c r="BH177" s="37"/>
      <c r="BI177" s="37"/>
    </row>
    <row r="178" spans="1:79" ht="15" customHeight="1" x14ac:dyDescent="0.2">
      <c r="A178" s="73">
        <v>1</v>
      </c>
      <c r="B178" s="74"/>
      <c r="C178" s="74"/>
      <c r="D178" s="37">
        <v>2</v>
      </c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>
        <v>3</v>
      </c>
      <c r="R178" s="37"/>
      <c r="S178" s="37"/>
      <c r="T178" s="37"/>
      <c r="U178" s="37"/>
      <c r="V178" s="37">
        <v>4</v>
      </c>
      <c r="W178" s="37"/>
      <c r="X178" s="37"/>
      <c r="Y178" s="37"/>
      <c r="Z178" s="37"/>
      <c r="AA178" s="37"/>
      <c r="AB178" s="37"/>
      <c r="AC178" s="37"/>
      <c r="AD178" s="37"/>
      <c r="AE178" s="37"/>
      <c r="AF178" s="37">
        <v>5</v>
      </c>
      <c r="AG178" s="37"/>
      <c r="AH178" s="37"/>
      <c r="AI178" s="37"/>
      <c r="AJ178" s="37"/>
      <c r="AK178" s="37">
        <v>6</v>
      </c>
      <c r="AL178" s="37"/>
      <c r="AM178" s="37"/>
      <c r="AN178" s="37"/>
      <c r="AO178" s="37"/>
      <c r="AP178" s="37">
        <v>7</v>
      </c>
      <c r="AQ178" s="37"/>
      <c r="AR178" s="37"/>
      <c r="AS178" s="37"/>
      <c r="AT178" s="37"/>
      <c r="AU178" s="37">
        <v>8</v>
      </c>
      <c r="AV178" s="37"/>
      <c r="AW178" s="37"/>
      <c r="AX178" s="37"/>
      <c r="AY178" s="37"/>
      <c r="AZ178" s="37">
        <v>9</v>
      </c>
      <c r="BA178" s="37"/>
      <c r="BB178" s="37"/>
      <c r="BC178" s="37"/>
      <c r="BD178" s="37"/>
      <c r="BE178" s="37">
        <v>10</v>
      </c>
      <c r="BF178" s="37"/>
      <c r="BG178" s="37"/>
      <c r="BH178" s="37"/>
      <c r="BI178" s="37"/>
    </row>
    <row r="179" spans="1:79" ht="15.75" hidden="1" customHeight="1" x14ac:dyDescent="0.2">
      <c r="A179" s="87" t="s">
        <v>154</v>
      </c>
      <c r="B179" s="88"/>
      <c r="C179" s="88"/>
      <c r="D179" s="37" t="s">
        <v>57</v>
      </c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 t="s">
        <v>70</v>
      </c>
      <c r="R179" s="37"/>
      <c r="S179" s="37"/>
      <c r="T179" s="37"/>
      <c r="U179" s="37"/>
      <c r="V179" s="37" t="s">
        <v>71</v>
      </c>
      <c r="W179" s="37"/>
      <c r="X179" s="37"/>
      <c r="Y179" s="37"/>
      <c r="Z179" s="37"/>
      <c r="AA179" s="37"/>
      <c r="AB179" s="37"/>
      <c r="AC179" s="37"/>
      <c r="AD179" s="37"/>
      <c r="AE179" s="37"/>
      <c r="AF179" s="65" t="s">
        <v>107</v>
      </c>
      <c r="AG179" s="65"/>
      <c r="AH179" s="65"/>
      <c r="AI179" s="65"/>
      <c r="AJ179" s="65"/>
      <c r="AK179" s="63" t="s">
        <v>108</v>
      </c>
      <c r="AL179" s="63"/>
      <c r="AM179" s="63"/>
      <c r="AN179" s="63"/>
      <c r="AO179" s="63"/>
      <c r="AP179" s="83" t="s">
        <v>209</v>
      </c>
      <c r="AQ179" s="83"/>
      <c r="AR179" s="83"/>
      <c r="AS179" s="83"/>
      <c r="AT179" s="83"/>
      <c r="AU179" s="65" t="s">
        <v>109</v>
      </c>
      <c r="AV179" s="65"/>
      <c r="AW179" s="65"/>
      <c r="AX179" s="65"/>
      <c r="AY179" s="65"/>
      <c r="AZ179" s="63" t="s">
        <v>110</v>
      </c>
      <c r="BA179" s="63"/>
      <c r="BB179" s="63"/>
      <c r="BC179" s="63"/>
      <c r="BD179" s="63"/>
      <c r="BE179" s="83" t="s">
        <v>209</v>
      </c>
      <c r="BF179" s="83"/>
      <c r="BG179" s="83"/>
      <c r="BH179" s="83"/>
      <c r="BI179" s="83"/>
      <c r="CA179" t="s">
        <v>39</v>
      </c>
    </row>
    <row r="180" spans="1:79" s="5" customFormat="1" ht="14.25" x14ac:dyDescent="0.2">
      <c r="A180" s="33">
        <v>0</v>
      </c>
      <c r="B180" s="34"/>
      <c r="C180" s="34"/>
      <c r="D180" s="39" t="s">
        <v>208</v>
      </c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CA180" s="5" t="s">
        <v>40</v>
      </c>
    </row>
    <row r="181" spans="1:79" s="4" customFormat="1" ht="28.5" customHeight="1" x14ac:dyDescent="0.2">
      <c r="A181" s="28">
        <v>1</v>
      </c>
      <c r="B181" s="29"/>
      <c r="C181" s="29"/>
      <c r="D181" s="36" t="s">
        <v>210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2"/>
      <c r="Q181" s="37" t="s">
        <v>211</v>
      </c>
      <c r="R181" s="37"/>
      <c r="S181" s="37"/>
      <c r="T181" s="37"/>
      <c r="U181" s="37"/>
      <c r="V181" s="37" t="s">
        <v>212</v>
      </c>
      <c r="W181" s="37"/>
      <c r="X181" s="37"/>
      <c r="Y181" s="37"/>
      <c r="Z181" s="37"/>
      <c r="AA181" s="37"/>
      <c r="AB181" s="37"/>
      <c r="AC181" s="37"/>
      <c r="AD181" s="37"/>
      <c r="AE181" s="37"/>
      <c r="AF181" s="26">
        <v>24.5</v>
      </c>
      <c r="AG181" s="26"/>
      <c r="AH181" s="26"/>
      <c r="AI181" s="26"/>
      <c r="AJ181" s="26"/>
      <c r="AK181" s="26">
        <v>0</v>
      </c>
      <c r="AL181" s="26"/>
      <c r="AM181" s="26"/>
      <c r="AN181" s="26"/>
      <c r="AO181" s="26"/>
      <c r="AP181" s="26">
        <v>24.5</v>
      </c>
      <c r="AQ181" s="26"/>
      <c r="AR181" s="26"/>
      <c r="AS181" s="26"/>
      <c r="AT181" s="26"/>
      <c r="AU181" s="26">
        <v>24.5</v>
      </c>
      <c r="AV181" s="26"/>
      <c r="AW181" s="26"/>
      <c r="AX181" s="26"/>
      <c r="AY181" s="26"/>
      <c r="AZ181" s="26">
        <v>0</v>
      </c>
      <c r="BA181" s="26"/>
      <c r="BB181" s="26"/>
      <c r="BC181" s="26"/>
      <c r="BD181" s="26"/>
      <c r="BE181" s="26">
        <v>24.5</v>
      </c>
      <c r="BF181" s="26"/>
      <c r="BG181" s="26"/>
      <c r="BH181" s="26"/>
      <c r="BI181" s="26"/>
    </row>
    <row r="182" spans="1:79" s="5" customFormat="1" ht="14.25" x14ac:dyDescent="0.2">
      <c r="A182" s="33">
        <v>0</v>
      </c>
      <c r="B182" s="34"/>
      <c r="C182" s="34"/>
      <c r="D182" s="38" t="s">
        <v>213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3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</row>
    <row r="183" spans="1:79" s="4" customFormat="1" ht="28.5" customHeight="1" x14ac:dyDescent="0.2">
      <c r="A183" s="28">
        <v>1</v>
      </c>
      <c r="B183" s="29"/>
      <c r="C183" s="29"/>
      <c r="D183" s="36" t="s">
        <v>214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2"/>
      <c r="Q183" s="37" t="s">
        <v>211</v>
      </c>
      <c r="R183" s="37"/>
      <c r="S183" s="37"/>
      <c r="T183" s="37"/>
      <c r="U183" s="37"/>
      <c r="V183" s="36" t="s">
        <v>215</v>
      </c>
      <c r="W183" s="31"/>
      <c r="X183" s="31"/>
      <c r="Y183" s="31"/>
      <c r="Z183" s="31"/>
      <c r="AA183" s="31"/>
      <c r="AB183" s="31"/>
      <c r="AC183" s="31"/>
      <c r="AD183" s="31"/>
      <c r="AE183" s="32"/>
      <c r="AF183" s="26">
        <v>120</v>
      </c>
      <c r="AG183" s="26"/>
      <c r="AH183" s="26"/>
      <c r="AI183" s="26"/>
      <c r="AJ183" s="26"/>
      <c r="AK183" s="26">
        <v>0</v>
      </c>
      <c r="AL183" s="26"/>
      <c r="AM183" s="26"/>
      <c r="AN183" s="26"/>
      <c r="AO183" s="26"/>
      <c r="AP183" s="26">
        <v>120</v>
      </c>
      <c r="AQ183" s="26"/>
      <c r="AR183" s="26"/>
      <c r="AS183" s="26"/>
      <c r="AT183" s="26"/>
      <c r="AU183" s="26">
        <v>120</v>
      </c>
      <c r="AV183" s="26"/>
      <c r="AW183" s="26"/>
      <c r="AX183" s="26"/>
      <c r="AY183" s="26"/>
      <c r="AZ183" s="26">
        <v>0</v>
      </c>
      <c r="BA183" s="26"/>
      <c r="BB183" s="26"/>
      <c r="BC183" s="26"/>
      <c r="BD183" s="26"/>
      <c r="BE183" s="26">
        <v>120</v>
      </c>
      <c r="BF183" s="26"/>
      <c r="BG183" s="26"/>
      <c r="BH183" s="26"/>
      <c r="BI183" s="26"/>
    </row>
    <row r="184" spans="1:79" s="5" customFormat="1" ht="14.25" x14ac:dyDescent="0.2">
      <c r="A184" s="33">
        <v>0</v>
      </c>
      <c r="B184" s="34"/>
      <c r="C184" s="34"/>
      <c r="D184" s="38" t="s">
        <v>216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3"/>
      <c r="Q184" s="39"/>
      <c r="R184" s="39"/>
      <c r="S184" s="39"/>
      <c r="T184" s="39"/>
      <c r="U184" s="39"/>
      <c r="V184" s="38"/>
      <c r="W184" s="22"/>
      <c r="X184" s="22"/>
      <c r="Y184" s="22"/>
      <c r="Z184" s="22"/>
      <c r="AA184" s="22"/>
      <c r="AB184" s="22"/>
      <c r="AC184" s="22"/>
      <c r="AD184" s="22"/>
      <c r="AE184" s="23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</row>
    <row r="185" spans="1:79" s="4" customFormat="1" ht="28.5" customHeight="1" x14ac:dyDescent="0.2">
      <c r="A185" s="28">
        <v>1</v>
      </c>
      <c r="B185" s="29"/>
      <c r="C185" s="29"/>
      <c r="D185" s="36" t="s">
        <v>217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2"/>
      <c r="Q185" s="37" t="s">
        <v>218</v>
      </c>
      <c r="R185" s="37"/>
      <c r="S185" s="37"/>
      <c r="T185" s="37"/>
      <c r="U185" s="37"/>
      <c r="V185" s="36" t="s">
        <v>219</v>
      </c>
      <c r="W185" s="31"/>
      <c r="X185" s="31"/>
      <c r="Y185" s="31"/>
      <c r="Z185" s="31"/>
      <c r="AA185" s="31"/>
      <c r="AB185" s="31"/>
      <c r="AC185" s="31"/>
      <c r="AD185" s="31"/>
      <c r="AE185" s="32"/>
      <c r="AF185" s="26">
        <v>14057</v>
      </c>
      <c r="AG185" s="26"/>
      <c r="AH185" s="26"/>
      <c r="AI185" s="26"/>
      <c r="AJ185" s="26"/>
      <c r="AK185" s="26">
        <v>0</v>
      </c>
      <c r="AL185" s="26"/>
      <c r="AM185" s="26"/>
      <c r="AN185" s="26"/>
      <c r="AO185" s="26"/>
      <c r="AP185" s="26">
        <v>14057</v>
      </c>
      <c r="AQ185" s="26"/>
      <c r="AR185" s="26"/>
      <c r="AS185" s="26"/>
      <c r="AT185" s="26"/>
      <c r="AU185" s="26">
        <v>14057</v>
      </c>
      <c r="AV185" s="26"/>
      <c r="AW185" s="26"/>
      <c r="AX185" s="26"/>
      <c r="AY185" s="26"/>
      <c r="AZ185" s="26">
        <v>0</v>
      </c>
      <c r="BA185" s="26"/>
      <c r="BB185" s="26"/>
      <c r="BC185" s="26"/>
      <c r="BD185" s="26"/>
      <c r="BE185" s="26">
        <v>14057</v>
      </c>
      <c r="BF185" s="26"/>
      <c r="BG185" s="26"/>
      <c r="BH185" s="26"/>
      <c r="BI185" s="26"/>
    </row>
    <row r="186" spans="1:79" s="5" customFormat="1" ht="14.25" x14ac:dyDescent="0.2">
      <c r="A186" s="33">
        <v>0</v>
      </c>
      <c r="B186" s="34"/>
      <c r="C186" s="34"/>
      <c r="D186" s="38" t="s">
        <v>220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3"/>
      <c r="Q186" s="39"/>
      <c r="R186" s="39"/>
      <c r="S186" s="39"/>
      <c r="T186" s="39"/>
      <c r="U186" s="39"/>
      <c r="V186" s="38"/>
      <c r="W186" s="22"/>
      <c r="X186" s="22"/>
      <c r="Y186" s="22"/>
      <c r="Z186" s="22"/>
      <c r="AA186" s="22"/>
      <c r="AB186" s="22"/>
      <c r="AC186" s="22"/>
      <c r="AD186" s="22"/>
      <c r="AE186" s="23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</row>
    <row r="187" spans="1:79" s="4" customFormat="1" ht="28.5" customHeight="1" x14ac:dyDescent="0.2">
      <c r="A187" s="28">
        <v>1</v>
      </c>
      <c r="B187" s="29"/>
      <c r="C187" s="29"/>
      <c r="D187" s="36" t="s">
        <v>221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2"/>
      <c r="Q187" s="37" t="s">
        <v>222</v>
      </c>
      <c r="R187" s="37"/>
      <c r="S187" s="37"/>
      <c r="T187" s="37"/>
      <c r="U187" s="37"/>
      <c r="V187" s="36" t="s">
        <v>223</v>
      </c>
      <c r="W187" s="31"/>
      <c r="X187" s="31"/>
      <c r="Y187" s="31"/>
      <c r="Z187" s="31"/>
      <c r="AA187" s="31"/>
      <c r="AB187" s="31"/>
      <c r="AC187" s="31"/>
      <c r="AD187" s="31"/>
      <c r="AE187" s="32"/>
      <c r="AF187" s="26">
        <v>100</v>
      </c>
      <c r="AG187" s="26"/>
      <c r="AH187" s="26"/>
      <c r="AI187" s="26"/>
      <c r="AJ187" s="26"/>
      <c r="AK187" s="26">
        <v>0</v>
      </c>
      <c r="AL187" s="26"/>
      <c r="AM187" s="26"/>
      <c r="AN187" s="26"/>
      <c r="AO187" s="26"/>
      <c r="AP187" s="26">
        <v>100</v>
      </c>
      <c r="AQ187" s="26"/>
      <c r="AR187" s="26"/>
      <c r="AS187" s="26"/>
      <c r="AT187" s="26"/>
      <c r="AU187" s="26">
        <v>100</v>
      </c>
      <c r="AV187" s="26"/>
      <c r="AW187" s="26"/>
      <c r="AX187" s="26"/>
      <c r="AY187" s="26"/>
      <c r="AZ187" s="26">
        <v>0</v>
      </c>
      <c r="BA187" s="26"/>
      <c r="BB187" s="26"/>
      <c r="BC187" s="26"/>
      <c r="BD187" s="26"/>
      <c r="BE187" s="26">
        <v>100</v>
      </c>
      <c r="BF187" s="26"/>
      <c r="BG187" s="26"/>
      <c r="BH187" s="26"/>
      <c r="BI187" s="26"/>
    </row>
    <row r="189" spans="1:79" ht="14.25" customHeight="1" x14ac:dyDescent="0.2">
      <c r="A189" s="60" t="s">
        <v>124</v>
      </c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</row>
    <row r="190" spans="1:79" ht="15" customHeight="1" x14ac:dyDescent="0.2">
      <c r="A190" s="76" t="s">
        <v>249</v>
      </c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</row>
    <row r="191" spans="1:79" ht="12.95" customHeight="1" x14ac:dyDescent="0.2">
      <c r="A191" s="77" t="s">
        <v>19</v>
      </c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9"/>
      <c r="U191" s="37" t="s">
        <v>250</v>
      </c>
      <c r="V191" s="37"/>
      <c r="W191" s="37"/>
      <c r="X191" s="37"/>
      <c r="Y191" s="37"/>
      <c r="Z191" s="37"/>
      <c r="AA191" s="37"/>
      <c r="AB191" s="37"/>
      <c r="AC191" s="37"/>
      <c r="AD191" s="37"/>
      <c r="AE191" s="37" t="s">
        <v>253</v>
      </c>
      <c r="AF191" s="37"/>
      <c r="AG191" s="37"/>
      <c r="AH191" s="37"/>
      <c r="AI191" s="37"/>
      <c r="AJ191" s="37"/>
      <c r="AK191" s="37"/>
      <c r="AL191" s="37"/>
      <c r="AM191" s="37"/>
      <c r="AN191" s="37"/>
      <c r="AO191" s="37" t="s">
        <v>261</v>
      </c>
      <c r="AP191" s="37"/>
      <c r="AQ191" s="37"/>
      <c r="AR191" s="37"/>
      <c r="AS191" s="37"/>
      <c r="AT191" s="37"/>
      <c r="AU191" s="37"/>
      <c r="AV191" s="37"/>
      <c r="AW191" s="37"/>
      <c r="AX191" s="37"/>
      <c r="AY191" s="37" t="s">
        <v>271</v>
      </c>
      <c r="AZ191" s="37"/>
      <c r="BA191" s="37"/>
      <c r="BB191" s="37"/>
      <c r="BC191" s="37"/>
      <c r="BD191" s="37"/>
      <c r="BE191" s="37"/>
      <c r="BF191" s="37"/>
      <c r="BG191" s="37"/>
      <c r="BH191" s="37"/>
      <c r="BI191" s="37" t="s">
        <v>276</v>
      </c>
      <c r="BJ191" s="37"/>
      <c r="BK191" s="37"/>
      <c r="BL191" s="37"/>
      <c r="BM191" s="37"/>
      <c r="BN191" s="37"/>
      <c r="BO191" s="37"/>
      <c r="BP191" s="37"/>
      <c r="BQ191" s="37"/>
      <c r="BR191" s="37"/>
    </row>
    <row r="192" spans="1:79" ht="30" customHeight="1" x14ac:dyDescent="0.2">
      <c r="A192" s="80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2"/>
      <c r="U192" s="37" t="s">
        <v>4</v>
      </c>
      <c r="V192" s="37"/>
      <c r="W192" s="37"/>
      <c r="X192" s="37"/>
      <c r="Y192" s="37"/>
      <c r="Z192" s="37" t="s">
        <v>3</v>
      </c>
      <c r="AA192" s="37"/>
      <c r="AB192" s="37"/>
      <c r="AC192" s="37"/>
      <c r="AD192" s="37"/>
      <c r="AE192" s="37" t="s">
        <v>4</v>
      </c>
      <c r="AF192" s="37"/>
      <c r="AG192" s="37"/>
      <c r="AH192" s="37"/>
      <c r="AI192" s="37"/>
      <c r="AJ192" s="37" t="s">
        <v>3</v>
      </c>
      <c r="AK192" s="37"/>
      <c r="AL192" s="37"/>
      <c r="AM192" s="37"/>
      <c r="AN192" s="37"/>
      <c r="AO192" s="37" t="s">
        <v>4</v>
      </c>
      <c r="AP192" s="37"/>
      <c r="AQ192" s="37"/>
      <c r="AR192" s="37"/>
      <c r="AS192" s="37"/>
      <c r="AT192" s="37" t="s">
        <v>3</v>
      </c>
      <c r="AU192" s="37"/>
      <c r="AV192" s="37"/>
      <c r="AW192" s="37"/>
      <c r="AX192" s="37"/>
      <c r="AY192" s="37" t="s">
        <v>4</v>
      </c>
      <c r="AZ192" s="37"/>
      <c r="BA192" s="37"/>
      <c r="BB192" s="37"/>
      <c r="BC192" s="37"/>
      <c r="BD192" s="37" t="s">
        <v>3</v>
      </c>
      <c r="BE192" s="37"/>
      <c r="BF192" s="37"/>
      <c r="BG192" s="37"/>
      <c r="BH192" s="37"/>
      <c r="BI192" s="37" t="s">
        <v>4</v>
      </c>
      <c r="BJ192" s="37"/>
      <c r="BK192" s="37"/>
      <c r="BL192" s="37"/>
      <c r="BM192" s="37"/>
      <c r="BN192" s="37" t="s">
        <v>3</v>
      </c>
      <c r="BO192" s="37"/>
      <c r="BP192" s="37"/>
      <c r="BQ192" s="37"/>
      <c r="BR192" s="37"/>
    </row>
    <row r="193" spans="1:79" ht="15" customHeight="1" x14ac:dyDescent="0.2">
      <c r="A193" s="73">
        <v>1</v>
      </c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5"/>
      <c r="U193" s="37">
        <v>2</v>
      </c>
      <c r="V193" s="37"/>
      <c r="W193" s="37"/>
      <c r="X193" s="37"/>
      <c r="Y193" s="37"/>
      <c r="Z193" s="37">
        <v>3</v>
      </c>
      <c r="AA193" s="37"/>
      <c r="AB193" s="37"/>
      <c r="AC193" s="37"/>
      <c r="AD193" s="37"/>
      <c r="AE193" s="37">
        <v>4</v>
      </c>
      <c r="AF193" s="37"/>
      <c r="AG193" s="37"/>
      <c r="AH193" s="37"/>
      <c r="AI193" s="37"/>
      <c r="AJ193" s="37">
        <v>5</v>
      </c>
      <c r="AK193" s="37"/>
      <c r="AL193" s="37"/>
      <c r="AM193" s="37"/>
      <c r="AN193" s="37"/>
      <c r="AO193" s="37">
        <v>6</v>
      </c>
      <c r="AP193" s="37"/>
      <c r="AQ193" s="37"/>
      <c r="AR193" s="37"/>
      <c r="AS193" s="37"/>
      <c r="AT193" s="37">
        <v>7</v>
      </c>
      <c r="AU193" s="37"/>
      <c r="AV193" s="37"/>
      <c r="AW193" s="37"/>
      <c r="AX193" s="37"/>
      <c r="AY193" s="37">
        <v>8</v>
      </c>
      <c r="AZ193" s="37"/>
      <c r="BA193" s="37"/>
      <c r="BB193" s="37"/>
      <c r="BC193" s="37"/>
      <c r="BD193" s="37">
        <v>9</v>
      </c>
      <c r="BE193" s="37"/>
      <c r="BF193" s="37"/>
      <c r="BG193" s="37"/>
      <c r="BH193" s="37"/>
      <c r="BI193" s="37">
        <v>10</v>
      </c>
      <c r="BJ193" s="37"/>
      <c r="BK193" s="37"/>
      <c r="BL193" s="37"/>
      <c r="BM193" s="37"/>
      <c r="BN193" s="37">
        <v>11</v>
      </c>
      <c r="BO193" s="37"/>
      <c r="BP193" s="37"/>
      <c r="BQ193" s="37"/>
      <c r="BR193" s="37"/>
    </row>
    <row r="194" spans="1:79" s="1" customFormat="1" ht="15.75" hidden="1" customHeight="1" x14ac:dyDescent="0.2">
      <c r="A194" s="87" t="s">
        <v>57</v>
      </c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9"/>
      <c r="U194" s="65" t="s">
        <v>65</v>
      </c>
      <c r="V194" s="65"/>
      <c r="W194" s="65"/>
      <c r="X194" s="65"/>
      <c r="Y194" s="65"/>
      <c r="Z194" s="63" t="s">
        <v>66</v>
      </c>
      <c r="AA194" s="63"/>
      <c r="AB194" s="63"/>
      <c r="AC194" s="63"/>
      <c r="AD194" s="63"/>
      <c r="AE194" s="65" t="s">
        <v>67</v>
      </c>
      <c r="AF194" s="65"/>
      <c r="AG194" s="65"/>
      <c r="AH194" s="65"/>
      <c r="AI194" s="65"/>
      <c r="AJ194" s="63" t="s">
        <v>68</v>
      </c>
      <c r="AK194" s="63"/>
      <c r="AL194" s="63"/>
      <c r="AM194" s="63"/>
      <c r="AN194" s="63"/>
      <c r="AO194" s="65" t="s">
        <v>58</v>
      </c>
      <c r="AP194" s="65"/>
      <c r="AQ194" s="65"/>
      <c r="AR194" s="65"/>
      <c r="AS194" s="65"/>
      <c r="AT194" s="63" t="s">
        <v>59</v>
      </c>
      <c r="AU194" s="63"/>
      <c r="AV194" s="63"/>
      <c r="AW194" s="63"/>
      <c r="AX194" s="63"/>
      <c r="AY194" s="65" t="s">
        <v>60</v>
      </c>
      <c r="AZ194" s="65"/>
      <c r="BA194" s="65"/>
      <c r="BB194" s="65"/>
      <c r="BC194" s="65"/>
      <c r="BD194" s="63" t="s">
        <v>61</v>
      </c>
      <c r="BE194" s="63"/>
      <c r="BF194" s="63"/>
      <c r="BG194" s="63"/>
      <c r="BH194" s="63"/>
      <c r="BI194" s="65" t="s">
        <v>62</v>
      </c>
      <c r="BJ194" s="65"/>
      <c r="BK194" s="65"/>
      <c r="BL194" s="65"/>
      <c r="BM194" s="65"/>
      <c r="BN194" s="63" t="s">
        <v>63</v>
      </c>
      <c r="BO194" s="63"/>
      <c r="BP194" s="63"/>
      <c r="BQ194" s="63"/>
      <c r="BR194" s="63"/>
      <c r="CA194" t="s">
        <v>41</v>
      </c>
    </row>
    <row r="195" spans="1:79" s="5" customFormat="1" ht="12.75" customHeight="1" x14ac:dyDescent="0.2">
      <c r="A195" s="21" t="s">
        <v>224</v>
      </c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3"/>
      <c r="U195" s="24">
        <v>1827948</v>
      </c>
      <c r="V195" s="24"/>
      <c r="W195" s="24"/>
      <c r="X195" s="24"/>
      <c r="Y195" s="24"/>
      <c r="Z195" s="24">
        <v>0</v>
      </c>
      <c r="AA195" s="24"/>
      <c r="AB195" s="24"/>
      <c r="AC195" s="24"/>
      <c r="AD195" s="24"/>
      <c r="AE195" s="24">
        <v>2364286</v>
      </c>
      <c r="AF195" s="24"/>
      <c r="AG195" s="24"/>
      <c r="AH195" s="24"/>
      <c r="AI195" s="24"/>
      <c r="AJ195" s="24">
        <v>0</v>
      </c>
      <c r="AK195" s="24"/>
      <c r="AL195" s="24"/>
      <c r="AM195" s="24"/>
      <c r="AN195" s="24"/>
      <c r="AO195" s="24">
        <v>2400293</v>
      </c>
      <c r="AP195" s="24"/>
      <c r="AQ195" s="24"/>
      <c r="AR195" s="24"/>
      <c r="AS195" s="24"/>
      <c r="AT195" s="24">
        <v>0</v>
      </c>
      <c r="AU195" s="24"/>
      <c r="AV195" s="24"/>
      <c r="AW195" s="24"/>
      <c r="AX195" s="24"/>
      <c r="AY195" s="24">
        <v>2637923</v>
      </c>
      <c r="AZ195" s="24"/>
      <c r="BA195" s="24"/>
      <c r="BB195" s="24"/>
      <c r="BC195" s="24"/>
      <c r="BD195" s="24">
        <v>0</v>
      </c>
      <c r="BE195" s="24"/>
      <c r="BF195" s="24"/>
      <c r="BG195" s="24"/>
      <c r="BH195" s="24"/>
      <c r="BI195" s="24">
        <v>2848957</v>
      </c>
      <c r="BJ195" s="24"/>
      <c r="BK195" s="24"/>
      <c r="BL195" s="24"/>
      <c r="BM195" s="24"/>
      <c r="BN195" s="24">
        <v>0</v>
      </c>
      <c r="BO195" s="24"/>
      <c r="BP195" s="24"/>
      <c r="BQ195" s="24"/>
      <c r="BR195" s="24"/>
      <c r="CA195" s="5" t="s">
        <v>42</v>
      </c>
    </row>
    <row r="196" spans="1:79" s="4" customFormat="1" ht="12.75" customHeight="1" x14ac:dyDescent="0.2">
      <c r="A196" s="30" t="s">
        <v>225</v>
      </c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2"/>
      <c r="U196" s="35">
        <v>1004463</v>
      </c>
      <c r="V196" s="35"/>
      <c r="W196" s="35"/>
      <c r="X196" s="35"/>
      <c r="Y196" s="35"/>
      <c r="Z196" s="35">
        <v>0</v>
      </c>
      <c r="AA196" s="35"/>
      <c r="AB196" s="35"/>
      <c r="AC196" s="35"/>
      <c r="AD196" s="35"/>
      <c r="AE196" s="35">
        <v>1304497</v>
      </c>
      <c r="AF196" s="35"/>
      <c r="AG196" s="35"/>
      <c r="AH196" s="35"/>
      <c r="AI196" s="35"/>
      <c r="AJ196" s="35">
        <v>0</v>
      </c>
      <c r="AK196" s="35"/>
      <c r="AL196" s="35"/>
      <c r="AM196" s="35"/>
      <c r="AN196" s="35"/>
      <c r="AO196" s="35">
        <v>1324365</v>
      </c>
      <c r="AP196" s="35"/>
      <c r="AQ196" s="35"/>
      <c r="AR196" s="35"/>
      <c r="AS196" s="35"/>
      <c r="AT196" s="35">
        <v>0</v>
      </c>
      <c r="AU196" s="35"/>
      <c r="AV196" s="35"/>
      <c r="AW196" s="35"/>
      <c r="AX196" s="35"/>
      <c r="AY196" s="35">
        <v>1455474</v>
      </c>
      <c r="AZ196" s="35"/>
      <c r="BA196" s="35"/>
      <c r="BB196" s="35"/>
      <c r="BC196" s="35"/>
      <c r="BD196" s="35">
        <v>0</v>
      </c>
      <c r="BE196" s="35"/>
      <c r="BF196" s="35"/>
      <c r="BG196" s="35"/>
      <c r="BH196" s="35"/>
      <c r="BI196" s="35">
        <v>1571912</v>
      </c>
      <c r="BJ196" s="35"/>
      <c r="BK196" s="35"/>
      <c r="BL196" s="35"/>
      <c r="BM196" s="35"/>
      <c r="BN196" s="35">
        <v>0</v>
      </c>
      <c r="BO196" s="35"/>
      <c r="BP196" s="35"/>
      <c r="BQ196" s="35"/>
      <c r="BR196" s="35"/>
    </row>
    <row r="197" spans="1:79" s="4" customFormat="1" ht="12.75" customHeight="1" x14ac:dyDescent="0.2">
      <c r="A197" s="30" t="s">
        <v>226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2"/>
      <c r="U197" s="35">
        <v>327041</v>
      </c>
      <c r="V197" s="35"/>
      <c r="W197" s="35"/>
      <c r="X197" s="35"/>
      <c r="Y197" s="35"/>
      <c r="Z197" s="35">
        <v>0</v>
      </c>
      <c r="AA197" s="35"/>
      <c r="AB197" s="35"/>
      <c r="AC197" s="35"/>
      <c r="AD197" s="35"/>
      <c r="AE197" s="35">
        <v>424728</v>
      </c>
      <c r="AF197" s="35"/>
      <c r="AG197" s="35"/>
      <c r="AH197" s="35"/>
      <c r="AI197" s="35"/>
      <c r="AJ197" s="35">
        <v>0</v>
      </c>
      <c r="AK197" s="35"/>
      <c r="AL197" s="35"/>
      <c r="AM197" s="35"/>
      <c r="AN197" s="35"/>
      <c r="AO197" s="35">
        <v>431196</v>
      </c>
      <c r="AP197" s="35"/>
      <c r="AQ197" s="35"/>
      <c r="AR197" s="35"/>
      <c r="AS197" s="35"/>
      <c r="AT197" s="35">
        <v>0</v>
      </c>
      <c r="AU197" s="35"/>
      <c r="AV197" s="35"/>
      <c r="AW197" s="35"/>
      <c r="AX197" s="35"/>
      <c r="AY197" s="35">
        <v>473884</v>
      </c>
      <c r="AZ197" s="35"/>
      <c r="BA197" s="35"/>
      <c r="BB197" s="35"/>
      <c r="BC197" s="35"/>
      <c r="BD197" s="35">
        <v>0</v>
      </c>
      <c r="BE197" s="35"/>
      <c r="BF197" s="35"/>
      <c r="BG197" s="35"/>
      <c r="BH197" s="35"/>
      <c r="BI197" s="35">
        <v>511795</v>
      </c>
      <c r="BJ197" s="35"/>
      <c r="BK197" s="35"/>
      <c r="BL197" s="35"/>
      <c r="BM197" s="35"/>
      <c r="BN197" s="35">
        <v>0</v>
      </c>
      <c r="BO197" s="35"/>
      <c r="BP197" s="35"/>
      <c r="BQ197" s="35"/>
      <c r="BR197" s="35"/>
    </row>
    <row r="198" spans="1:79" s="4" customFormat="1" ht="12.75" customHeight="1" x14ac:dyDescent="0.2">
      <c r="A198" s="30" t="s">
        <v>227</v>
      </c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/>
      <c r="U198" s="35">
        <v>496444</v>
      </c>
      <c r="V198" s="35"/>
      <c r="W198" s="35"/>
      <c r="X198" s="35"/>
      <c r="Y198" s="35"/>
      <c r="Z198" s="35">
        <v>0</v>
      </c>
      <c r="AA198" s="35"/>
      <c r="AB198" s="35"/>
      <c r="AC198" s="35"/>
      <c r="AD198" s="35"/>
      <c r="AE198" s="35">
        <v>635061</v>
      </c>
      <c r="AF198" s="35"/>
      <c r="AG198" s="35"/>
      <c r="AH198" s="35"/>
      <c r="AI198" s="35"/>
      <c r="AJ198" s="35">
        <v>0</v>
      </c>
      <c r="AK198" s="35"/>
      <c r="AL198" s="35"/>
      <c r="AM198" s="35"/>
      <c r="AN198" s="35"/>
      <c r="AO198" s="35">
        <v>644732</v>
      </c>
      <c r="AP198" s="35"/>
      <c r="AQ198" s="35"/>
      <c r="AR198" s="35"/>
      <c r="AS198" s="35"/>
      <c r="AT198" s="35">
        <v>0</v>
      </c>
      <c r="AU198" s="35"/>
      <c r="AV198" s="35"/>
      <c r="AW198" s="35"/>
      <c r="AX198" s="35"/>
      <c r="AY198" s="35">
        <v>708565</v>
      </c>
      <c r="AZ198" s="35"/>
      <c r="BA198" s="35"/>
      <c r="BB198" s="35"/>
      <c r="BC198" s="35"/>
      <c r="BD198" s="35">
        <v>0</v>
      </c>
      <c r="BE198" s="35"/>
      <c r="BF198" s="35"/>
      <c r="BG198" s="35"/>
      <c r="BH198" s="35"/>
      <c r="BI198" s="35">
        <v>765250</v>
      </c>
      <c r="BJ198" s="35"/>
      <c r="BK198" s="35"/>
      <c r="BL198" s="35"/>
      <c r="BM198" s="35"/>
      <c r="BN198" s="35">
        <v>0</v>
      </c>
      <c r="BO198" s="35"/>
      <c r="BP198" s="35"/>
      <c r="BQ198" s="35"/>
      <c r="BR198" s="35"/>
    </row>
    <row r="199" spans="1:79" s="4" customFormat="1" ht="12.75" customHeight="1" x14ac:dyDescent="0.2">
      <c r="A199" s="30" t="s">
        <v>228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2"/>
      <c r="U199" s="35">
        <v>1185757</v>
      </c>
      <c r="V199" s="35"/>
      <c r="W199" s="35"/>
      <c r="X199" s="35"/>
      <c r="Y199" s="35"/>
      <c r="Z199" s="35">
        <v>0</v>
      </c>
      <c r="AA199" s="35"/>
      <c r="AB199" s="35"/>
      <c r="AC199" s="35"/>
      <c r="AD199" s="35"/>
      <c r="AE199" s="35">
        <v>1649061</v>
      </c>
      <c r="AF199" s="35"/>
      <c r="AG199" s="35"/>
      <c r="AH199" s="35"/>
      <c r="AI199" s="35"/>
      <c r="AJ199" s="35">
        <v>0</v>
      </c>
      <c r="AK199" s="35"/>
      <c r="AL199" s="35"/>
      <c r="AM199" s="35"/>
      <c r="AN199" s="35"/>
      <c r="AO199" s="35">
        <v>1754352</v>
      </c>
      <c r="AP199" s="35"/>
      <c r="AQ199" s="35"/>
      <c r="AR199" s="35"/>
      <c r="AS199" s="35"/>
      <c r="AT199" s="35">
        <v>0</v>
      </c>
      <c r="AU199" s="35"/>
      <c r="AV199" s="35"/>
      <c r="AW199" s="35"/>
      <c r="AX199" s="35"/>
      <c r="AY199" s="35">
        <v>1928033</v>
      </c>
      <c r="AZ199" s="35"/>
      <c r="BA199" s="35"/>
      <c r="BB199" s="35"/>
      <c r="BC199" s="35"/>
      <c r="BD199" s="35">
        <v>0</v>
      </c>
      <c r="BE199" s="35"/>
      <c r="BF199" s="35"/>
      <c r="BG199" s="35"/>
      <c r="BH199" s="35"/>
      <c r="BI199" s="35">
        <v>2082275</v>
      </c>
      <c r="BJ199" s="35"/>
      <c r="BK199" s="35"/>
      <c r="BL199" s="35"/>
      <c r="BM199" s="35"/>
      <c r="BN199" s="35">
        <v>0</v>
      </c>
      <c r="BO199" s="35"/>
      <c r="BP199" s="35"/>
      <c r="BQ199" s="35"/>
      <c r="BR199" s="35"/>
    </row>
    <row r="200" spans="1:79" s="5" customFormat="1" ht="12.75" customHeight="1" x14ac:dyDescent="0.2">
      <c r="A200" s="21" t="s">
        <v>229</v>
      </c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4">
        <v>82741</v>
      </c>
      <c r="V200" s="24"/>
      <c r="W200" s="24"/>
      <c r="X200" s="24"/>
      <c r="Y200" s="24"/>
      <c r="Z200" s="24">
        <v>0</v>
      </c>
      <c r="AA200" s="24"/>
      <c r="AB200" s="24"/>
      <c r="AC200" s="24"/>
      <c r="AD200" s="24"/>
      <c r="AE200" s="24">
        <v>105844</v>
      </c>
      <c r="AF200" s="24"/>
      <c r="AG200" s="24"/>
      <c r="AH200" s="24"/>
      <c r="AI200" s="24"/>
      <c r="AJ200" s="24">
        <v>0</v>
      </c>
      <c r="AK200" s="24"/>
      <c r="AL200" s="24"/>
      <c r="AM200" s="24"/>
      <c r="AN200" s="24"/>
      <c r="AO200" s="24">
        <v>107456</v>
      </c>
      <c r="AP200" s="24"/>
      <c r="AQ200" s="24"/>
      <c r="AR200" s="24"/>
      <c r="AS200" s="24"/>
      <c r="AT200" s="24">
        <v>0</v>
      </c>
      <c r="AU200" s="24"/>
      <c r="AV200" s="24"/>
      <c r="AW200" s="24"/>
      <c r="AX200" s="24"/>
      <c r="AY200" s="24">
        <v>118094</v>
      </c>
      <c r="AZ200" s="24"/>
      <c r="BA200" s="24"/>
      <c r="BB200" s="24"/>
      <c r="BC200" s="24"/>
      <c r="BD200" s="24">
        <v>0</v>
      </c>
      <c r="BE200" s="24"/>
      <c r="BF200" s="24"/>
      <c r="BG200" s="24"/>
      <c r="BH200" s="24"/>
      <c r="BI200" s="24">
        <v>127542</v>
      </c>
      <c r="BJ200" s="24"/>
      <c r="BK200" s="24"/>
      <c r="BL200" s="24"/>
      <c r="BM200" s="24"/>
      <c r="BN200" s="24">
        <v>0</v>
      </c>
      <c r="BO200" s="24"/>
      <c r="BP200" s="24"/>
      <c r="BQ200" s="24"/>
      <c r="BR200" s="24"/>
    </row>
    <row r="201" spans="1:79" s="4" customFormat="1" ht="12.75" customHeight="1" x14ac:dyDescent="0.2">
      <c r="A201" s="30" t="s">
        <v>230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2"/>
      <c r="U201" s="35">
        <v>82741</v>
      </c>
      <c r="V201" s="35"/>
      <c r="W201" s="35"/>
      <c r="X201" s="35"/>
      <c r="Y201" s="35"/>
      <c r="Z201" s="35">
        <v>0</v>
      </c>
      <c r="AA201" s="35"/>
      <c r="AB201" s="35"/>
      <c r="AC201" s="35"/>
      <c r="AD201" s="35"/>
      <c r="AE201" s="35">
        <v>105844</v>
      </c>
      <c r="AF201" s="35"/>
      <c r="AG201" s="35"/>
      <c r="AH201" s="35"/>
      <c r="AI201" s="35"/>
      <c r="AJ201" s="35">
        <v>0</v>
      </c>
      <c r="AK201" s="35"/>
      <c r="AL201" s="35"/>
      <c r="AM201" s="35"/>
      <c r="AN201" s="35"/>
      <c r="AO201" s="35">
        <v>107456</v>
      </c>
      <c r="AP201" s="35"/>
      <c r="AQ201" s="35"/>
      <c r="AR201" s="35"/>
      <c r="AS201" s="35"/>
      <c r="AT201" s="35">
        <v>0</v>
      </c>
      <c r="AU201" s="35"/>
      <c r="AV201" s="35"/>
      <c r="AW201" s="35"/>
      <c r="AX201" s="35"/>
      <c r="AY201" s="35">
        <v>118094</v>
      </c>
      <c r="AZ201" s="35"/>
      <c r="BA201" s="35"/>
      <c r="BB201" s="35"/>
      <c r="BC201" s="35"/>
      <c r="BD201" s="35">
        <v>0</v>
      </c>
      <c r="BE201" s="35"/>
      <c r="BF201" s="35"/>
      <c r="BG201" s="35"/>
      <c r="BH201" s="35"/>
      <c r="BI201" s="35">
        <v>127542</v>
      </c>
      <c r="BJ201" s="35"/>
      <c r="BK201" s="35"/>
      <c r="BL201" s="35"/>
      <c r="BM201" s="35"/>
      <c r="BN201" s="35">
        <v>0</v>
      </c>
      <c r="BO201" s="35"/>
      <c r="BP201" s="35"/>
      <c r="BQ201" s="35"/>
      <c r="BR201" s="35"/>
    </row>
    <row r="202" spans="1:79" s="5" customFormat="1" ht="25.5" customHeight="1" x14ac:dyDescent="0.2">
      <c r="A202" s="21" t="s">
        <v>231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3"/>
      <c r="U202" s="24">
        <v>85683</v>
      </c>
      <c r="V202" s="24"/>
      <c r="W202" s="24"/>
      <c r="X202" s="24"/>
      <c r="Y202" s="24"/>
      <c r="Z202" s="24">
        <v>0</v>
      </c>
      <c r="AA202" s="24"/>
      <c r="AB202" s="24"/>
      <c r="AC202" s="24"/>
      <c r="AD202" s="24"/>
      <c r="AE202" s="24">
        <v>109801</v>
      </c>
      <c r="AF202" s="24"/>
      <c r="AG202" s="24"/>
      <c r="AH202" s="24"/>
      <c r="AI202" s="24"/>
      <c r="AJ202" s="24">
        <v>0</v>
      </c>
      <c r="AK202" s="24"/>
      <c r="AL202" s="24"/>
      <c r="AM202" s="24"/>
      <c r="AN202" s="24"/>
      <c r="AO202" s="24">
        <v>111474</v>
      </c>
      <c r="AP202" s="24"/>
      <c r="AQ202" s="24"/>
      <c r="AR202" s="24"/>
      <c r="AS202" s="24"/>
      <c r="AT202" s="24">
        <v>0</v>
      </c>
      <c r="AU202" s="24"/>
      <c r="AV202" s="24"/>
      <c r="AW202" s="24"/>
      <c r="AX202" s="24"/>
      <c r="AY202" s="24">
        <v>122509</v>
      </c>
      <c r="AZ202" s="24"/>
      <c r="BA202" s="24"/>
      <c r="BB202" s="24"/>
      <c r="BC202" s="24"/>
      <c r="BD202" s="24">
        <v>0</v>
      </c>
      <c r="BE202" s="24"/>
      <c r="BF202" s="24"/>
      <c r="BG202" s="24"/>
      <c r="BH202" s="24"/>
      <c r="BI202" s="24">
        <v>132309</v>
      </c>
      <c r="BJ202" s="24"/>
      <c r="BK202" s="24"/>
      <c r="BL202" s="24"/>
      <c r="BM202" s="24"/>
      <c r="BN202" s="24">
        <v>0</v>
      </c>
      <c r="BO202" s="24"/>
      <c r="BP202" s="24"/>
      <c r="BQ202" s="24"/>
      <c r="BR202" s="24"/>
    </row>
    <row r="203" spans="1:79" s="4" customFormat="1" ht="12.75" customHeight="1" x14ac:dyDescent="0.2">
      <c r="A203" s="30" t="s">
        <v>226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2"/>
      <c r="U203" s="35">
        <v>9943</v>
      </c>
      <c r="V203" s="35"/>
      <c r="W203" s="35"/>
      <c r="X203" s="35"/>
      <c r="Y203" s="35"/>
      <c r="Z203" s="35">
        <v>0</v>
      </c>
      <c r="AA203" s="35"/>
      <c r="AB203" s="35"/>
      <c r="AC203" s="35"/>
      <c r="AD203" s="35"/>
      <c r="AE203" s="35">
        <v>12913</v>
      </c>
      <c r="AF203" s="35"/>
      <c r="AG203" s="35"/>
      <c r="AH203" s="35"/>
      <c r="AI203" s="35"/>
      <c r="AJ203" s="35">
        <v>0</v>
      </c>
      <c r="AK203" s="35"/>
      <c r="AL203" s="35"/>
      <c r="AM203" s="35"/>
      <c r="AN203" s="35"/>
      <c r="AO203" s="35">
        <v>13110</v>
      </c>
      <c r="AP203" s="35"/>
      <c r="AQ203" s="35"/>
      <c r="AR203" s="35"/>
      <c r="AS203" s="35"/>
      <c r="AT203" s="35">
        <v>0</v>
      </c>
      <c r="AU203" s="35"/>
      <c r="AV203" s="35"/>
      <c r="AW203" s="35"/>
      <c r="AX203" s="35"/>
      <c r="AY203" s="35">
        <v>14407</v>
      </c>
      <c r="AZ203" s="35"/>
      <c r="BA203" s="35"/>
      <c r="BB203" s="35"/>
      <c r="BC203" s="35"/>
      <c r="BD203" s="35">
        <v>0</v>
      </c>
      <c r="BE203" s="35"/>
      <c r="BF203" s="35"/>
      <c r="BG203" s="35"/>
      <c r="BH203" s="35"/>
      <c r="BI203" s="35">
        <v>15559</v>
      </c>
      <c r="BJ203" s="35"/>
      <c r="BK203" s="35"/>
      <c r="BL203" s="35"/>
      <c r="BM203" s="35"/>
      <c r="BN203" s="35">
        <v>0</v>
      </c>
      <c r="BO203" s="35"/>
      <c r="BP203" s="35"/>
      <c r="BQ203" s="35"/>
      <c r="BR203" s="35"/>
    </row>
    <row r="204" spans="1:79" s="4" customFormat="1" ht="12.75" customHeight="1" x14ac:dyDescent="0.2">
      <c r="A204" s="30" t="s">
        <v>227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2"/>
      <c r="U204" s="35">
        <v>75740</v>
      </c>
      <c r="V204" s="35"/>
      <c r="W204" s="35"/>
      <c r="X204" s="35"/>
      <c r="Y204" s="35"/>
      <c r="Z204" s="35">
        <v>0</v>
      </c>
      <c r="AA204" s="35"/>
      <c r="AB204" s="35"/>
      <c r="AC204" s="35"/>
      <c r="AD204" s="35"/>
      <c r="AE204" s="35">
        <v>96888</v>
      </c>
      <c r="AF204" s="35"/>
      <c r="AG204" s="35"/>
      <c r="AH204" s="35"/>
      <c r="AI204" s="35"/>
      <c r="AJ204" s="35">
        <v>0</v>
      </c>
      <c r="AK204" s="35"/>
      <c r="AL204" s="35"/>
      <c r="AM204" s="35"/>
      <c r="AN204" s="35"/>
      <c r="AO204" s="35">
        <v>98364</v>
      </c>
      <c r="AP204" s="35"/>
      <c r="AQ204" s="35"/>
      <c r="AR204" s="35"/>
      <c r="AS204" s="35"/>
      <c r="AT204" s="35">
        <v>0</v>
      </c>
      <c r="AU204" s="35"/>
      <c r="AV204" s="35"/>
      <c r="AW204" s="35"/>
      <c r="AX204" s="35"/>
      <c r="AY204" s="35">
        <v>108102</v>
      </c>
      <c r="AZ204" s="35"/>
      <c r="BA204" s="35"/>
      <c r="BB204" s="35"/>
      <c r="BC204" s="35"/>
      <c r="BD204" s="35">
        <v>0</v>
      </c>
      <c r="BE204" s="35"/>
      <c r="BF204" s="35"/>
      <c r="BG204" s="35"/>
      <c r="BH204" s="35"/>
      <c r="BI204" s="35">
        <v>116750</v>
      </c>
      <c r="BJ204" s="35"/>
      <c r="BK204" s="35"/>
      <c r="BL204" s="35"/>
      <c r="BM204" s="35"/>
      <c r="BN204" s="35">
        <v>0</v>
      </c>
      <c r="BO204" s="35"/>
      <c r="BP204" s="35"/>
      <c r="BQ204" s="35"/>
      <c r="BR204" s="35"/>
    </row>
    <row r="205" spans="1:79" s="4" customFormat="1" ht="12.75" customHeight="1" x14ac:dyDescent="0.2">
      <c r="A205" s="30" t="s">
        <v>232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2"/>
      <c r="U205" s="35">
        <v>424900</v>
      </c>
      <c r="V205" s="35"/>
      <c r="W205" s="35"/>
      <c r="X205" s="35"/>
      <c r="Y205" s="35"/>
      <c r="Z205" s="35">
        <v>0</v>
      </c>
      <c r="AA205" s="35"/>
      <c r="AB205" s="35"/>
      <c r="AC205" s="35"/>
      <c r="AD205" s="35"/>
      <c r="AE205" s="35">
        <v>543540</v>
      </c>
      <c r="AF205" s="35"/>
      <c r="AG205" s="35"/>
      <c r="AH205" s="35"/>
      <c r="AI205" s="35"/>
      <c r="AJ205" s="35">
        <v>0</v>
      </c>
      <c r="AK205" s="35"/>
      <c r="AL205" s="35"/>
      <c r="AM205" s="35"/>
      <c r="AN205" s="35"/>
      <c r="AO205" s="35">
        <v>551818</v>
      </c>
      <c r="AP205" s="35"/>
      <c r="AQ205" s="35"/>
      <c r="AR205" s="35"/>
      <c r="AS205" s="35"/>
      <c r="AT205" s="35">
        <v>0</v>
      </c>
      <c r="AU205" s="35"/>
      <c r="AV205" s="35"/>
      <c r="AW205" s="35"/>
      <c r="AX205" s="35"/>
      <c r="AY205" s="35">
        <v>606448</v>
      </c>
      <c r="AZ205" s="35"/>
      <c r="BA205" s="35"/>
      <c r="BB205" s="35"/>
      <c r="BC205" s="35"/>
      <c r="BD205" s="35">
        <v>0</v>
      </c>
      <c r="BE205" s="35"/>
      <c r="BF205" s="35"/>
      <c r="BG205" s="35"/>
      <c r="BH205" s="35"/>
      <c r="BI205" s="35">
        <v>654964</v>
      </c>
      <c r="BJ205" s="35"/>
      <c r="BK205" s="35"/>
      <c r="BL205" s="35"/>
      <c r="BM205" s="35"/>
      <c r="BN205" s="35">
        <v>0</v>
      </c>
      <c r="BO205" s="35"/>
      <c r="BP205" s="35"/>
      <c r="BQ205" s="35"/>
      <c r="BR205" s="35"/>
    </row>
    <row r="206" spans="1:79" s="5" customFormat="1" ht="12.75" customHeight="1" x14ac:dyDescent="0.2">
      <c r="A206" s="21" t="s">
        <v>147</v>
      </c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3"/>
      <c r="U206" s="24">
        <v>3607029</v>
      </c>
      <c r="V206" s="24"/>
      <c r="W206" s="24"/>
      <c r="X206" s="24"/>
      <c r="Y206" s="24"/>
      <c r="Z206" s="24">
        <v>0</v>
      </c>
      <c r="AA206" s="24"/>
      <c r="AB206" s="24"/>
      <c r="AC206" s="24"/>
      <c r="AD206" s="24"/>
      <c r="AE206" s="24">
        <v>4772532</v>
      </c>
      <c r="AF206" s="24"/>
      <c r="AG206" s="24"/>
      <c r="AH206" s="24"/>
      <c r="AI206" s="24"/>
      <c r="AJ206" s="24">
        <v>0</v>
      </c>
      <c r="AK206" s="24"/>
      <c r="AL206" s="24"/>
      <c r="AM206" s="24"/>
      <c r="AN206" s="24"/>
      <c r="AO206" s="24">
        <v>4925393</v>
      </c>
      <c r="AP206" s="24"/>
      <c r="AQ206" s="24"/>
      <c r="AR206" s="24"/>
      <c r="AS206" s="24"/>
      <c r="AT206" s="24">
        <v>0</v>
      </c>
      <c r="AU206" s="24"/>
      <c r="AV206" s="24"/>
      <c r="AW206" s="24"/>
      <c r="AX206" s="24"/>
      <c r="AY206" s="24">
        <v>5413007</v>
      </c>
      <c r="AZ206" s="24"/>
      <c r="BA206" s="24"/>
      <c r="BB206" s="24"/>
      <c r="BC206" s="24"/>
      <c r="BD206" s="24">
        <v>0</v>
      </c>
      <c r="BE206" s="24"/>
      <c r="BF206" s="24"/>
      <c r="BG206" s="24"/>
      <c r="BH206" s="24"/>
      <c r="BI206" s="24">
        <v>5846047</v>
      </c>
      <c r="BJ206" s="24"/>
      <c r="BK206" s="24"/>
      <c r="BL206" s="24"/>
      <c r="BM206" s="24"/>
      <c r="BN206" s="24">
        <v>0</v>
      </c>
      <c r="BO206" s="24"/>
      <c r="BP206" s="24"/>
      <c r="BQ206" s="24"/>
      <c r="BR206" s="24"/>
    </row>
    <row r="207" spans="1:79" s="4" customFormat="1" ht="38.25" customHeight="1" x14ac:dyDescent="0.2">
      <c r="A207" s="30" t="s">
        <v>233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2"/>
      <c r="U207" s="35" t="s">
        <v>173</v>
      </c>
      <c r="V207" s="35"/>
      <c r="W207" s="35"/>
      <c r="X207" s="35"/>
      <c r="Y207" s="35"/>
      <c r="Z207" s="35"/>
      <c r="AA207" s="35"/>
      <c r="AB207" s="35"/>
      <c r="AC207" s="35"/>
      <c r="AD207" s="35"/>
      <c r="AE207" s="35" t="s">
        <v>173</v>
      </c>
      <c r="AF207" s="35"/>
      <c r="AG207" s="35"/>
      <c r="AH207" s="35"/>
      <c r="AI207" s="35"/>
      <c r="AJ207" s="35"/>
      <c r="AK207" s="35"/>
      <c r="AL207" s="35"/>
      <c r="AM207" s="35"/>
      <c r="AN207" s="35"/>
      <c r="AO207" s="35" t="s">
        <v>173</v>
      </c>
      <c r="AP207" s="35"/>
      <c r="AQ207" s="35"/>
      <c r="AR207" s="35"/>
      <c r="AS207" s="35"/>
      <c r="AT207" s="35"/>
      <c r="AU207" s="35"/>
      <c r="AV207" s="35"/>
      <c r="AW207" s="35"/>
      <c r="AX207" s="35"/>
      <c r="AY207" s="35" t="s">
        <v>173</v>
      </c>
      <c r="AZ207" s="35"/>
      <c r="BA207" s="35"/>
      <c r="BB207" s="35"/>
      <c r="BC207" s="35"/>
      <c r="BD207" s="35"/>
      <c r="BE207" s="35"/>
      <c r="BF207" s="35"/>
      <c r="BG207" s="35"/>
      <c r="BH207" s="35"/>
      <c r="BI207" s="35" t="s">
        <v>173</v>
      </c>
      <c r="BJ207" s="35"/>
      <c r="BK207" s="35"/>
      <c r="BL207" s="35"/>
      <c r="BM207" s="35"/>
      <c r="BN207" s="35"/>
      <c r="BO207" s="35"/>
      <c r="BP207" s="35"/>
      <c r="BQ207" s="35"/>
      <c r="BR207" s="35"/>
    </row>
    <row r="209" spans="1:79" ht="14.25" customHeight="1" x14ac:dyDescent="0.2">
      <c r="A209" s="60" t="s">
        <v>125</v>
      </c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</row>
    <row r="210" spans="1:79" ht="15" customHeight="1" x14ac:dyDescent="0.2">
      <c r="A210" s="77" t="s">
        <v>6</v>
      </c>
      <c r="B210" s="78"/>
      <c r="C210" s="78"/>
      <c r="D210" s="77" t="s">
        <v>10</v>
      </c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9"/>
      <c r="W210" s="37" t="s">
        <v>250</v>
      </c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 t="s">
        <v>254</v>
      </c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 t="s">
        <v>266</v>
      </c>
      <c r="AV210" s="37"/>
      <c r="AW210" s="37"/>
      <c r="AX210" s="37"/>
      <c r="AY210" s="37"/>
      <c r="AZ210" s="37"/>
      <c r="BA210" s="37" t="s">
        <v>272</v>
      </c>
      <c r="BB210" s="37"/>
      <c r="BC210" s="37"/>
      <c r="BD210" s="37"/>
      <c r="BE210" s="37"/>
      <c r="BF210" s="37"/>
      <c r="BG210" s="37" t="s">
        <v>281</v>
      </c>
      <c r="BH210" s="37"/>
      <c r="BI210" s="37"/>
      <c r="BJ210" s="37"/>
      <c r="BK210" s="37"/>
      <c r="BL210" s="37"/>
    </row>
    <row r="211" spans="1:79" ht="15" customHeight="1" x14ac:dyDescent="0.2">
      <c r="A211" s="90"/>
      <c r="B211" s="91"/>
      <c r="C211" s="91"/>
      <c r="D211" s="90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2"/>
      <c r="W211" s="37" t="s">
        <v>4</v>
      </c>
      <c r="X211" s="37"/>
      <c r="Y211" s="37"/>
      <c r="Z211" s="37"/>
      <c r="AA211" s="37"/>
      <c r="AB211" s="37"/>
      <c r="AC211" s="37" t="s">
        <v>3</v>
      </c>
      <c r="AD211" s="37"/>
      <c r="AE211" s="37"/>
      <c r="AF211" s="37"/>
      <c r="AG211" s="37"/>
      <c r="AH211" s="37"/>
      <c r="AI211" s="37" t="s">
        <v>4</v>
      </c>
      <c r="AJ211" s="37"/>
      <c r="AK211" s="37"/>
      <c r="AL211" s="37"/>
      <c r="AM211" s="37"/>
      <c r="AN211" s="37"/>
      <c r="AO211" s="37" t="s">
        <v>3</v>
      </c>
      <c r="AP211" s="37"/>
      <c r="AQ211" s="37"/>
      <c r="AR211" s="37"/>
      <c r="AS211" s="37"/>
      <c r="AT211" s="37"/>
      <c r="AU211" s="67" t="s">
        <v>4</v>
      </c>
      <c r="AV211" s="67"/>
      <c r="AW211" s="67"/>
      <c r="AX211" s="67" t="s">
        <v>3</v>
      </c>
      <c r="AY211" s="67"/>
      <c r="AZ211" s="67"/>
      <c r="BA211" s="67" t="s">
        <v>4</v>
      </c>
      <c r="BB211" s="67"/>
      <c r="BC211" s="67"/>
      <c r="BD211" s="67" t="s">
        <v>3</v>
      </c>
      <c r="BE211" s="67"/>
      <c r="BF211" s="67"/>
      <c r="BG211" s="67" t="s">
        <v>4</v>
      </c>
      <c r="BH211" s="67"/>
      <c r="BI211" s="67"/>
      <c r="BJ211" s="67" t="s">
        <v>3</v>
      </c>
      <c r="BK211" s="67"/>
      <c r="BL211" s="67"/>
    </row>
    <row r="212" spans="1:79" ht="57" customHeight="1" x14ac:dyDescent="0.2">
      <c r="A212" s="80"/>
      <c r="B212" s="81"/>
      <c r="C212" s="81"/>
      <c r="D212" s="80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2"/>
      <c r="W212" s="37" t="s">
        <v>12</v>
      </c>
      <c r="X212" s="37"/>
      <c r="Y212" s="37"/>
      <c r="Z212" s="37" t="s">
        <v>11</v>
      </c>
      <c r="AA212" s="37"/>
      <c r="AB212" s="37"/>
      <c r="AC212" s="37" t="s">
        <v>12</v>
      </c>
      <c r="AD212" s="37"/>
      <c r="AE212" s="37"/>
      <c r="AF212" s="37" t="s">
        <v>11</v>
      </c>
      <c r="AG212" s="37"/>
      <c r="AH212" s="37"/>
      <c r="AI212" s="37" t="s">
        <v>12</v>
      </c>
      <c r="AJ212" s="37"/>
      <c r="AK212" s="37"/>
      <c r="AL212" s="37" t="s">
        <v>11</v>
      </c>
      <c r="AM212" s="37"/>
      <c r="AN212" s="37"/>
      <c r="AO212" s="37" t="s">
        <v>12</v>
      </c>
      <c r="AP212" s="37"/>
      <c r="AQ212" s="37"/>
      <c r="AR212" s="37" t="s">
        <v>11</v>
      </c>
      <c r="AS212" s="37"/>
      <c r="AT212" s="3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</row>
    <row r="213" spans="1:79" ht="15" customHeight="1" x14ac:dyDescent="0.2">
      <c r="A213" s="73">
        <v>1</v>
      </c>
      <c r="B213" s="74"/>
      <c r="C213" s="74"/>
      <c r="D213" s="73">
        <v>2</v>
      </c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5"/>
      <c r="W213" s="37">
        <v>3</v>
      </c>
      <c r="X213" s="37"/>
      <c r="Y213" s="37"/>
      <c r="Z213" s="37">
        <v>4</v>
      </c>
      <c r="AA213" s="37"/>
      <c r="AB213" s="37"/>
      <c r="AC213" s="37">
        <v>5</v>
      </c>
      <c r="AD213" s="37"/>
      <c r="AE213" s="37"/>
      <c r="AF213" s="37">
        <v>6</v>
      </c>
      <c r="AG213" s="37"/>
      <c r="AH213" s="37"/>
      <c r="AI213" s="37">
        <v>7</v>
      </c>
      <c r="AJ213" s="37"/>
      <c r="AK213" s="37"/>
      <c r="AL213" s="37">
        <v>8</v>
      </c>
      <c r="AM213" s="37"/>
      <c r="AN213" s="37"/>
      <c r="AO213" s="37">
        <v>9</v>
      </c>
      <c r="AP213" s="37"/>
      <c r="AQ213" s="37"/>
      <c r="AR213" s="37">
        <v>10</v>
      </c>
      <c r="AS213" s="37"/>
      <c r="AT213" s="37"/>
      <c r="AU213" s="37">
        <v>11</v>
      </c>
      <c r="AV213" s="37"/>
      <c r="AW213" s="37"/>
      <c r="AX213" s="37">
        <v>12</v>
      </c>
      <c r="AY213" s="37"/>
      <c r="AZ213" s="37"/>
      <c r="BA213" s="37">
        <v>13</v>
      </c>
      <c r="BB213" s="37"/>
      <c r="BC213" s="37"/>
      <c r="BD213" s="37">
        <v>14</v>
      </c>
      <c r="BE213" s="37"/>
      <c r="BF213" s="37"/>
      <c r="BG213" s="37">
        <v>15</v>
      </c>
      <c r="BH213" s="37"/>
      <c r="BI213" s="37"/>
      <c r="BJ213" s="37">
        <v>16</v>
      </c>
      <c r="BK213" s="37"/>
      <c r="BL213" s="37"/>
    </row>
    <row r="214" spans="1:79" s="1" customFormat="1" ht="12.75" hidden="1" customHeight="1" x14ac:dyDescent="0.2">
      <c r="A214" s="87" t="s">
        <v>69</v>
      </c>
      <c r="B214" s="88"/>
      <c r="C214" s="88"/>
      <c r="D214" s="87" t="s">
        <v>57</v>
      </c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9"/>
      <c r="W214" s="65" t="s">
        <v>72</v>
      </c>
      <c r="X214" s="65"/>
      <c r="Y214" s="65"/>
      <c r="Z214" s="65" t="s">
        <v>73</v>
      </c>
      <c r="AA214" s="65"/>
      <c r="AB214" s="65"/>
      <c r="AC214" s="63" t="s">
        <v>74</v>
      </c>
      <c r="AD214" s="63"/>
      <c r="AE214" s="63"/>
      <c r="AF214" s="63" t="s">
        <v>75</v>
      </c>
      <c r="AG214" s="63"/>
      <c r="AH214" s="63"/>
      <c r="AI214" s="65" t="s">
        <v>76</v>
      </c>
      <c r="AJ214" s="65"/>
      <c r="AK214" s="65"/>
      <c r="AL214" s="65" t="s">
        <v>77</v>
      </c>
      <c r="AM214" s="65"/>
      <c r="AN214" s="65"/>
      <c r="AO214" s="63" t="s">
        <v>104</v>
      </c>
      <c r="AP214" s="63"/>
      <c r="AQ214" s="63"/>
      <c r="AR214" s="63" t="s">
        <v>78</v>
      </c>
      <c r="AS214" s="63"/>
      <c r="AT214" s="63"/>
      <c r="AU214" s="65" t="s">
        <v>105</v>
      </c>
      <c r="AV214" s="65"/>
      <c r="AW214" s="65"/>
      <c r="AX214" s="63" t="s">
        <v>106</v>
      </c>
      <c r="AY214" s="63"/>
      <c r="AZ214" s="63"/>
      <c r="BA214" s="65" t="s">
        <v>107</v>
      </c>
      <c r="BB214" s="65"/>
      <c r="BC214" s="65"/>
      <c r="BD214" s="63" t="s">
        <v>108</v>
      </c>
      <c r="BE214" s="63"/>
      <c r="BF214" s="63"/>
      <c r="BG214" s="65" t="s">
        <v>109</v>
      </c>
      <c r="BH214" s="65"/>
      <c r="BI214" s="65"/>
      <c r="BJ214" s="63" t="s">
        <v>110</v>
      </c>
      <c r="BK214" s="63"/>
      <c r="BL214" s="63"/>
      <c r="CA214" s="1" t="s">
        <v>103</v>
      </c>
    </row>
    <row r="215" spans="1:79" s="4" customFormat="1" ht="12.75" customHeight="1" x14ac:dyDescent="0.2">
      <c r="A215" s="28">
        <v>1</v>
      </c>
      <c r="B215" s="29"/>
      <c r="C215" s="29"/>
      <c r="D215" s="30" t="s">
        <v>234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2"/>
      <c r="W215" s="26">
        <v>1</v>
      </c>
      <c r="X215" s="26"/>
      <c r="Y215" s="26"/>
      <c r="Z215" s="26">
        <v>1</v>
      </c>
      <c r="AA215" s="26"/>
      <c r="AB215" s="26"/>
      <c r="AC215" s="26">
        <v>0</v>
      </c>
      <c r="AD215" s="26"/>
      <c r="AE215" s="26"/>
      <c r="AF215" s="26">
        <v>0</v>
      </c>
      <c r="AG215" s="26"/>
      <c r="AH215" s="26"/>
      <c r="AI215" s="26">
        <v>1</v>
      </c>
      <c r="AJ215" s="26"/>
      <c r="AK215" s="26"/>
      <c r="AL215" s="26">
        <v>0</v>
      </c>
      <c r="AM215" s="26"/>
      <c r="AN215" s="26"/>
      <c r="AO215" s="26">
        <v>0</v>
      </c>
      <c r="AP215" s="26"/>
      <c r="AQ215" s="26"/>
      <c r="AR215" s="26">
        <v>0</v>
      </c>
      <c r="AS215" s="26"/>
      <c r="AT215" s="26"/>
      <c r="AU215" s="26">
        <v>1</v>
      </c>
      <c r="AV215" s="26"/>
      <c r="AW215" s="26"/>
      <c r="AX215" s="26">
        <v>0</v>
      </c>
      <c r="AY215" s="26"/>
      <c r="AZ215" s="26"/>
      <c r="BA215" s="26">
        <v>1</v>
      </c>
      <c r="BB215" s="26"/>
      <c r="BC215" s="26"/>
      <c r="BD215" s="26">
        <v>0</v>
      </c>
      <c r="BE215" s="26"/>
      <c r="BF215" s="26"/>
      <c r="BG215" s="26">
        <v>1</v>
      </c>
      <c r="BH215" s="26"/>
      <c r="BI215" s="26"/>
      <c r="BJ215" s="26">
        <v>0</v>
      </c>
      <c r="BK215" s="26"/>
      <c r="BL215" s="26"/>
      <c r="CA215" s="4" t="s">
        <v>43</v>
      </c>
    </row>
    <row r="216" spans="1:79" s="4" customFormat="1" ht="12.75" customHeight="1" x14ac:dyDescent="0.2">
      <c r="A216" s="28">
        <v>2</v>
      </c>
      <c r="B216" s="29"/>
      <c r="C216" s="29"/>
      <c r="D216" s="30" t="s">
        <v>235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2"/>
      <c r="W216" s="26">
        <v>20</v>
      </c>
      <c r="X216" s="26"/>
      <c r="Y216" s="26"/>
      <c r="Z216" s="26">
        <v>0</v>
      </c>
      <c r="AA216" s="26"/>
      <c r="AB216" s="26"/>
      <c r="AC216" s="26">
        <v>0</v>
      </c>
      <c r="AD216" s="26"/>
      <c r="AE216" s="26"/>
      <c r="AF216" s="26">
        <v>0</v>
      </c>
      <c r="AG216" s="26"/>
      <c r="AH216" s="26"/>
      <c r="AI216" s="26">
        <v>23.5</v>
      </c>
      <c r="AJ216" s="26"/>
      <c r="AK216" s="26"/>
      <c r="AL216" s="26">
        <v>0</v>
      </c>
      <c r="AM216" s="26"/>
      <c r="AN216" s="26"/>
      <c r="AO216" s="26">
        <v>0</v>
      </c>
      <c r="AP216" s="26"/>
      <c r="AQ216" s="26"/>
      <c r="AR216" s="26">
        <v>0</v>
      </c>
      <c r="AS216" s="26"/>
      <c r="AT216" s="26"/>
      <c r="AU216" s="26">
        <v>23.5</v>
      </c>
      <c r="AV216" s="26"/>
      <c r="AW216" s="26"/>
      <c r="AX216" s="26">
        <v>0</v>
      </c>
      <c r="AY216" s="26"/>
      <c r="AZ216" s="26"/>
      <c r="BA216" s="26">
        <v>23.5</v>
      </c>
      <c r="BB216" s="26"/>
      <c r="BC216" s="26"/>
      <c r="BD216" s="26">
        <v>0</v>
      </c>
      <c r="BE216" s="26"/>
      <c r="BF216" s="26"/>
      <c r="BG216" s="26">
        <v>23.5</v>
      </c>
      <c r="BH216" s="26"/>
      <c r="BI216" s="26"/>
      <c r="BJ216" s="26">
        <v>0</v>
      </c>
      <c r="BK216" s="26"/>
      <c r="BL216" s="26"/>
    </row>
    <row r="217" spans="1:79" s="5" customFormat="1" ht="12.75" customHeight="1" x14ac:dyDescent="0.2">
      <c r="A217" s="33">
        <v>3</v>
      </c>
      <c r="B217" s="34"/>
      <c r="C217" s="34"/>
      <c r="D217" s="21" t="s">
        <v>236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3"/>
      <c r="W217" s="27">
        <v>21</v>
      </c>
      <c r="X217" s="27"/>
      <c r="Y217" s="27"/>
      <c r="Z217" s="27">
        <v>1</v>
      </c>
      <c r="AA217" s="27"/>
      <c r="AB217" s="27"/>
      <c r="AC217" s="27">
        <v>0</v>
      </c>
      <c r="AD217" s="27"/>
      <c r="AE217" s="27"/>
      <c r="AF217" s="27">
        <v>0</v>
      </c>
      <c r="AG217" s="27"/>
      <c r="AH217" s="27"/>
      <c r="AI217" s="27">
        <v>24.5</v>
      </c>
      <c r="AJ217" s="27"/>
      <c r="AK217" s="27"/>
      <c r="AL217" s="27">
        <v>0</v>
      </c>
      <c r="AM217" s="27"/>
      <c r="AN217" s="27"/>
      <c r="AO217" s="27">
        <v>0</v>
      </c>
      <c r="AP217" s="27"/>
      <c r="AQ217" s="27"/>
      <c r="AR217" s="27">
        <v>0</v>
      </c>
      <c r="AS217" s="27"/>
      <c r="AT217" s="27"/>
      <c r="AU217" s="27">
        <v>24.5</v>
      </c>
      <c r="AV217" s="27"/>
      <c r="AW217" s="27"/>
      <c r="AX217" s="27">
        <v>0</v>
      </c>
      <c r="AY217" s="27"/>
      <c r="AZ217" s="27"/>
      <c r="BA217" s="27">
        <v>24.5</v>
      </c>
      <c r="BB217" s="27"/>
      <c r="BC217" s="27"/>
      <c r="BD217" s="27">
        <v>0</v>
      </c>
      <c r="BE217" s="27"/>
      <c r="BF217" s="27"/>
      <c r="BG217" s="27">
        <v>24.5</v>
      </c>
      <c r="BH217" s="27"/>
      <c r="BI217" s="27"/>
      <c r="BJ217" s="27">
        <v>0</v>
      </c>
      <c r="BK217" s="27"/>
      <c r="BL217" s="27"/>
    </row>
    <row r="218" spans="1:79" s="4" customFormat="1" ht="25.5" customHeight="1" x14ac:dyDescent="0.2">
      <c r="A218" s="28">
        <v>4</v>
      </c>
      <c r="B218" s="29"/>
      <c r="C218" s="29"/>
      <c r="D218" s="30" t="s">
        <v>237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26" t="s">
        <v>173</v>
      </c>
      <c r="X218" s="26"/>
      <c r="Y218" s="26"/>
      <c r="Z218" s="26" t="s">
        <v>173</v>
      </c>
      <c r="AA218" s="26"/>
      <c r="AB218" s="26"/>
      <c r="AC218" s="26"/>
      <c r="AD218" s="26"/>
      <c r="AE218" s="26"/>
      <c r="AF218" s="26"/>
      <c r="AG218" s="26"/>
      <c r="AH218" s="26"/>
      <c r="AI218" s="26" t="s">
        <v>173</v>
      </c>
      <c r="AJ218" s="26"/>
      <c r="AK218" s="26"/>
      <c r="AL218" s="26" t="s">
        <v>173</v>
      </c>
      <c r="AM218" s="26"/>
      <c r="AN218" s="26"/>
      <c r="AO218" s="26"/>
      <c r="AP218" s="26"/>
      <c r="AQ218" s="26"/>
      <c r="AR218" s="26"/>
      <c r="AS218" s="26"/>
      <c r="AT218" s="26"/>
      <c r="AU218" s="26" t="s">
        <v>173</v>
      </c>
      <c r="AV218" s="26"/>
      <c r="AW218" s="26"/>
      <c r="AX218" s="26"/>
      <c r="AY218" s="26"/>
      <c r="AZ218" s="26"/>
      <c r="BA218" s="26" t="s">
        <v>173</v>
      </c>
      <c r="BB218" s="26"/>
      <c r="BC218" s="26"/>
      <c r="BD218" s="26"/>
      <c r="BE218" s="26"/>
      <c r="BF218" s="26"/>
      <c r="BG218" s="26" t="s">
        <v>173</v>
      </c>
      <c r="BH218" s="26"/>
      <c r="BI218" s="26"/>
      <c r="BJ218" s="26"/>
      <c r="BK218" s="26"/>
      <c r="BL218" s="26"/>
    </row>
    <row r="220" spans="1:79" ht="14.25" customHeight="1" x14ac:dyDescent="0.2">
      <c r="A220" s="60" t="s">
        <v>153</v>
      </c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</row>
    <row r="221" spans="1:79" ht="14.25" customHeight="1" x14ac:dyDescent="0.2">
      <c r="A221" s="60" t="s">
        <v>267</v>
      </c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</row>
    <row r="222" spans="1:79" ht="15" customHeight="1" x14ac:dyDescent="0.2">
      <c r="A222" s="66" t="s">
        <v>249</v>
      </c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</row>
    <row r="223" spans="1:79" ht="15" customHeight="1" x14ac:dyDescent="0.2">
      <c r="A223" s="37" t="s">
        <v>6</v>
      </c>
      <c r="B223" s="37"/>
      <c r="C223" s="37"/>
      <c r="D223" s="37"/>
      <c r="E223" s="37"/>
      <c r="F223" s="37"/>
      <c r="G223" s="37" t="s">
        <v>126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 t="s">
        <v>13</v>
      </c>
      <c r="U223" s="37"/>
      <c r="V223" s="37"/>
      <c r="W223" s="37"/>
      <c r="X223" s="37"/>
      <c r="Y223" s="37"/>
      <c r="Z223" s="37"/>
      <c r="AA223" s="73" t="s">
        <v>250</v>
      </c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6"/>
      <c r="AP223" s="73" t="s">
        <v>253</v>
      </c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5"/>
      <c r="BE223" s="73" t="s">
        <v>261</v>
      </c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5"/>
    </row>
    <row r="224" spans="1:79" ht="32.1" customHeight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 t="s">
        <v>4</v>
      </c>
      <c r="AB224" s="37"/>
      <c r="AC224" s="37"/>
      <c r="AD224" s="37"/>
      <c r="AE224" s="37"/>
      <c r="AF224" s="37" t="s">
        <v>3</v>
      </c>
      <c r="AG224" s="37"/>
      <c r="AH224" s="37"/>
      <c r="AI224" s="37"/>
      <c r="AJ224" s="37"/>
      <c r="AK224" s="37" t="s">
        <v>89</v>
      </c>
      <c r="AL224" s="37"/>
      <c r="AM224" s="37"/>
      <c r="AN224" s="37"/>
      <c r="AO224" s="37"/>
      <c r="AP224" s="37" t="s">
        <v>4</v>
      </c>
      <c r="AQ224" s="37"/>
      <c r="AR224" s="37"/>
      <c r="AS224" s="37"/>
      <c r="AT224" s="37"/>
      <c r="AU224" s="37" t="s">
        <v>3</v>
      </c>
      <c r="AV224" s="37"/>
      <c r="AW224" s="37"/>
      <c r="AX224" s="37"/>
      <c r="AY224" s="37"/>
      <c r="AZ224" s="37" t="s">
        <v>96</v>
      </c>
      <c r="BA224" s="37"/>
      <c r="BB224" s="37"/>
      <c r="BC224" s="37"/>
      <c r="BD224" s="37"/>
      <c r="BE224" s="37" t="s">
        <v>4</v>
      </c>
      <c r="BF224" s="37"/>
      <c r="BG224" s="37"/>
      <c r="BH224" s="37"/>
      <c r="BI224" s="37"/>
      <c r="BJ224" s="37" t="s">
        <v>3</v>
      </c>
      <c r="BK224" s="37"/>
      <c r="BL224" s="37"/>
      <c r="BM224" s="37"/>
      <c r="BN224" s="37"/>
      <c r="BO224" s="37" t="s">
        <v>127</v>
      </c>
      <c r="BP224" s="37"/>
      <c r="BQ224" s="37"/>
      <c r="BR224" s="37"/>
      <c r="BS224" s="37"/>
    </row>
    <row r="225" spans="1:79" ht="15" customHeight="1" x14ac:dyDescent="0.2">
      <c r="A225" s="37">
        <v>1</v>
      </c>
      <c r="B225" s="37"/>
      <c r="C225" s="37"/>
      <c r="D225" s="37"/>
      <c r="E225" s="37"/>
      <c r="F225" s="37"/>
      <c r="G225" s="37">
        <v>2</v>
      </c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>
        <v>3</v>
      </c>
      <c r="U225" s="37"/>
      <c r="V225" s="37"/>
      <c r="W225" s="37"/>
      <c r="X225" s="37"/>
      <c r="Y225" s="37"/>
      <c r="Z225" s="37"/>
      <c r="AA225" s="37">
        <v>4</v>
      </c>
      <c r="AB225" s="37"/>
      <c r="AC225" s="37"/>
      <c r="AD225" s="37"/>
      <c r="AE225" s="37"/>
      <c r="AF225" s="37">
        <v>5</v>
      </c>
      <c r="AG225" s="37"/>
      <c r="AH225" s="37"/>
      <c r="AI225" s="37"/>
      <c r="AJ225" s="37"/>
      <c r="AK225" s="37">
        <v>6</v>
      </c>
      <c r="AL225" s="37"/>
      <c r="AM225" s="37"/>
      <c r="AN225" s="37"/>
      <c r="AO225" s="37"/>
      <c r="AP225" s="37">
        <v>7</v>
      </c>
      <c r="AQ225" s="37"/>
      <c r="AR225" s="37"/>
      <c r="AS225" s="37"/>
      <c r="AT225" s="37"/>
      <c r="AU225" s="37">
        <v>8</v>
      </c>
      <c r="AV225" s="37"/>
      <c r="AW225" s="37"/>
      <c r="AX225" s="37"/>
      <c r="AY225" s="37"/>
      <c r="AZ225" s="37">
        <v>9</v>
      </c>
      <c r="BA225" s="37"/>
      <c r="BB225" s="37"/>
      <c r="BC225" s="37"/>
      <c r="BD225" s="37"/>
      <c r="BE225" s="37">
        <v>10</v>
      </c>
      <c r="BF225" s="37"/>
      <c r="BG225" s="37"/>
      <c r="BH225" s="37"/>
      <c r="BI225" s="37"/>
      <c r="BJ225" s="37">
        <v>11</v>
      </c>
      <c r="BK225" s="37"/>
      <c r="BL225" s="37"/>
      <c r="BM225" s="37"/>
      <c r="BN225" s="37"/>
      <c r="BO225" s="37">
        <v>12</v>
      </c>
      <c r="BP225" s="37"/>
      <c r="BQ225" s="37"/>
      <c r="BR225" s="37"/>
      <c r="BS225" s="37"/>
    </row>
    <row r="226" spans="1:79" s="1" customFormat="1" ht="15" hidden="1" customHeight="1" x14ac:dyDescent="0.2">
      <c r="A226" s="65" t="s">
        <v>69</v>
      </c>
      <c r="B226" s="65"/>
      <c r="C226" s="65"/>
      <c r="D226" s="65"/>
      <c r="E226" s="65"/>
      <c r="F226" s="65"/>
      <c r="G226" s="64" t="s">
        <v>57</v>
      </c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 t="s">
        <v>79</v>
      </c>
      <c r="U226" s="64"/>
      <c r="V226" s="64"/>
      <c r="W226" s="64"/>
      <c r="X226" s="64"/>
      <c r="Y226" s="64"/>
      <c r="Z226" s="64"/>
      <c r="AA226" s="63" t="s">
        <v>65</v>
      </c>
      <c r="AB226" s="63"/>
      <c r="AC226" s="63"/>
      <c r="AD226" s="63"/>
      <c r="AE226" s="63"/>
      <c r="AF226" s="63" t="s">
        <v>66</v>
      </c>
      <c r="AG226" s="63"/>
      <c r="AH226" s="63"/>
      <c r="AI226" s="63"/>
      <c r="AJ226" s="63"/>
      <c r="AK226" s="83" t="s">
        <v>122</v>
      </c>
      <c r="AL226" s="83"/>
      <c r="AM226" s="83"/>
      <c r="AN226" s="83"/>
      <c r="AO226" s="83"/>
      <c r="AP226" s="63" t="s">
        <v>67</v>
      </c>
      <c r="AQ226" s="63"/>
      <c r="AR226" s="63"/>
      <c r="AS226" s="63"/>
      <c r="AT226" s="63"/>
      <c r="AU226" s="63" t="s">
        <v>68</v>
      </c>
      <c r="AV226" s="63"/>
      <c r="AW226" s="63"/>
      <c r="AX226" s="63"/>
      <c r="AY226" s="63"/>
      <c r="AZ226" s="83" t="s">
        <v>122</v>
      </c>
      <c r="BA226" s="83"/>
      <c r="BB226" s="83"/>
      <c r="BC226" s="83"/>
      <c r="BD226" s="83"/>
      <c r="BE226" s="63" t="s">
        <v>58</v>
      </c>
      <c r="BF226" s="63"/>
      <c r="BG226" s="63"/>
      <c r="BH226" s="63"/>
      <c r="BI226" s="63"/>
      <c r="BJ226" s="63" t="s">
        <v>59</v>
      </c>
      <c r="BK226" s="63"/>
      <c r="BL226" s="63"/>
      <c r="BM226" s="63"/>
      <c r="BN226" s="63"/>
      <c r="BO226" s="83" t="s">
        <v>122</v>
      </c>
      <c r="BP226" s="83"/>
      <c r="BQ226" s="83"/>
      <c r="BR226" s="83"/>
      <c r="BS226" s="83"/>
      <c r="CA226" s="1" t="s">
        <v>44</v>
      </c>
    </row>
    <row r="227" spans="1:79" s="4" customFormat="1" ht="89.25" customHeight="1" x14ac:dyDescent="0.2">
      <c r="A227" s="40">
        <v>1</v>
      </c>
      <c r="B227" s="40"/>
      <c r="C227" s="40"/>
      <c r="D227" s="40"/>
      <c r="E227" s="40"/>
      <c r="F227" s="40"/>
      <c r="G227" s="30" t="s">
        <v>238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84" t="s">
        <v>239</v>
      </c>
      <c r="U227" s="31"/>
      <c r="V227" s="31"/>
      <c r="W227" s="31"/>
      <c r="X227" s="31"/>
      <c r="Y227" s="31"/>
      <c r="Z227" s="32"/>
      <c r="AA227" s="35">
        <v>5252692</v>
      </c>
      <c r="AB227" s="35"/>
      <c r="AC227" s="35"/>
      <c r="AD227" s="35"/>
      <c r="AE227" s="35"/>
      <c r="AF227" s="35">
        <v>0</v>
      </c>
      <c r="AG227" s="35"/>
      <c r="AH227" s="35"/>
      <c r="AI227" s="35"/>
      <c r="AJ227" s="35"/>
      <c r="AK227" s="35">
        <f>IF(ISNUMBER(AA227),AA227,0)+IF(ISNUMBER(AF227),AF227,0)</f>
        <v>5252692</v>
      </c>
      <c r="AL227" s="35"/>
      <c r="AM227" s="35"/>
      <c r="AN227" s="35"/>
      <c r="AO227" s="35"/>
      <c r="AP227" s="35">
        <v>7018512</v>
      </c>
      <c r="AQ227" s="35"/>
      <c r="AR227" s="35"/>
      <c r="AS227" s="35"/>
      <c r="AT227" s="35"/>
      <c r="AU227" s="35">
        <v>0</v>
      </c>
      <c r="AV227" s="35"/>
      <c r="AW227" s="35"/>
      <c r="AX227" s="35"/>
      <c r="AY227" s="35"/>
      <c r="AZ227" s="35">
        <f>IF(ISNUMBER(AP227),AP227,0)+IF(ISNUMBER(AU227),AU227,0)</f>
        <v>7018512</v>
      </c>
      <c r="BA227" s="35"/>
      <c r="BB227" s="35"/>
      <c r="BC227" s="35"/>
      <c r="BD227" s="35"/>
      <c r="BE227" s="35">
        <v>8165654</v>
      </c>
      <c r="BF227" s="35"/>
      <c r="BG227" s="35"/>
      <c r="BH227" s="35"/>
      <c r="BI227" s="35"/>
      <c r="BJ227" s="35">
        <v>0</v>
      </c>
      <c r="BK227" s="35"/>
      <c r="BL227" s="35"/>
      <c r="BM227" s="35"/>
      <c r="BN227" s="35"/>
      <c r="BO227" s="35">
        <f>IF(ISNUMBER(BE227),BE227,0)+IF(ISNUMBER(BJ227),BJ227,0)</f>
        <v>8165654</v>
      </c>
      <c r="BP227" s="35"/>
      <c r="BQ227" s="35"/>
      <c r="BR227" s="35"/>
      <c r="BS227" s="35"/>
      <c r="CA227" s="4" t="s">
        <v>45</v>
      </c>
    </row>
    <row r="228" spans="1:79" s="5" customFormat="1" ht="12.75" customHeight="1" x14ac:dyDescent="0.2">
      <c r="A228" s="20"/>
      <c r="B228" s="20"/>
      <c r="C228" s="20"/>
      <c r="D228" s="20"/>
      <c r="E228" s="20"/>
      <c r="F228" s="20"/>
      <c r="G228" s="21" t="s">
        <v>147</v>
      </c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  <c r="T228" s="25"/>
      <c r="U228" s="22"/>
      <c r="V228" s="22"/>
      <c r="W228" s="22"/>
      <c r="X228" s="22"/>
      <c r="Y228" s="22"/>
      <c r="Z228" s="23"/>
      <c r="AA228" s="24">
        <v>5252692</v>
      </c>
      <c r="AB228" s="24"/>
      <c r="AC228" s="24"/>
      <c r="AD228" s="24"/>
      <c r="AE228" s="24"/>
      <c r="AF228" s="24">
        <v>0</v>
      </c>
      <c r="AG228" s="24"/>
      <c r="AH228" s="24"/>
      <c r="AI228" s="24"/>
      <c r="AJ228" s="24"/>
      <c r="AK228" s="24">
        <f>IF(ISNUMBER(AA228),AA228,0)+IF(ISNUMBER(AF228),AF228,0)</f>
        <v>5252692</v>
      </c>
      <c r="AL228" s="24"/>
      <c r="AM228" s="24"/>
      <c r="AN228" s="24"/>
      <c r="AO228" s="24"/>
      <c r="AP228" s="24">
        <v>7018512</v>
      </c>
      <c r="AQ228" s="24"/>
      <c r="AR228" s="24"/>
      <c r="AS228" s="24"/>
      <c r="AT228" s="24"/>
      <c r="AU228" s="24">
        <v>0</v>
      </c>
      <c r="AV228" s="24"/>
      <c r="AW228" s="24"/>
      <c r="AX228" s="24"/>
      <c r="AY228" s="24"/>
      <c r="AZ228" s="24">
        <f>IF(ISNUMBER(AP228),AP228,0)+IF(ISNUMBER(AU228),AU228,0)</f>
        <v>7018512</v>
      </c>
      <c r="BA228" s="24"/>
      <c r="BB228" s="24"/>
      <c r="BC228" s="24"/>
      <c r="BD228" s="24"/>
      <c r="BE228" s="24">
        <v>8165654</v>
      </c>
      <c r="BF228" s="24"/>
      <c r="BG228" s="24"/>
      <c r="BH228" s="24"/>
      <c r="BI228" s="24"/>
      <c r="BJ228" s="24">
        <v>0</v>
      </c>
      <c r="BK228" s="24"/>
      <c r="BL228" s="24"/>
      <c r="BM228" s="24"/>
      <c r="BN228" s="24"/>
      <c r="BO228" s="24">
        <f>IF(ISNUMBER(BE228),BE228,0)+IF(ISNUMBER(BJ228),BJ228,0)</f>
        <v>8165654</v>
      </c>
      <c r="BP228" s="24"/>
      <c r="BQ228" s="24"/>
      <c r="BR228" s="24"/>
      <c r="BS228" s="24"/>
    </row>
    <row r="230" spans="1:79" ht="13.5" customHeight="1" x14ac:dyDescent="0.2">
      <c r="A230" s="60" t="s">
        <v>282</v>
      </c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</row>
    <row r="231" spans="1:79" ht="15" customHeight="1" x14ac:dyDescent="0.2">
      <c r="A231" s="76" t="s">
        <v>249</v>
      </c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</row>
    <row r="232" spans="1:79" ht="15" customHeight="1" x14ac:dyDescent="0.2">
      <c r="A232" s="37" t="s">
        <v>6</v>
      </c>
      <c r="B232" s="37"/>
      <c r="C232" s="37"/>
      <c r="D232" s="37"/>
      <c r="E232" s="37"/>
      <c r="F232" s="37"/>
      <c r="G232" s="37" t="s">
        <v>126</v>
      </c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 t="s">
        <v>13</v>
      </c>
      <c r="U232" s="37"/>
      <c r="V232" s="37"/>
      <c r="W232" s="37"/>
      <c r="X232" s="37"/>
      <c r="Y232" s="37"/>
      <c r="Z232" s="37"/>
      <c r="AA232" s="73" t="s">
        <v>271</v>
      </c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6"/>
      <c r="AP232" s="73" t="s">
        <v>276</v>
      </c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5"/>
    </row>
    <row r="233" spans="1:79" ht="32.1" customHeight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 t="s">
        <v>4</v>
      </c>
      <c r="AB233" s="37"/>
      <c r="AC233" s="37"/>
      <c r="AD233" s="37"/>
      <c r="AE233" s="37"/>
      <c r="AF233" s="37" t="s">
        <v>3</v>
      </c>
      <c r="AG233" s="37"/>
      <c r="AH233" s="37"/>
      <c r="AI233" s="37"/>
      <c r="AJ233" s="37"/>
      <c r="AK233" s="37" t="s">
        <v>89</v>
      </c>
      <c r="AL233" s="37"/>
      <c r="AM233" s="37"/>
      <c r="AN233" s="37"/>
      <c r="AO233" s="37"/>
      <c r="AP233" s="37" t="s">
        <v>4</v>
      </c>
      <c r="AQ233" s="37"/>
      <c r="AR233" s="37"/>
      <c r="AS233" s="37"/>
      <c r="AT233" s="37"/>
      <c r="AU233" s="37" t="s">
        <v>3</v>
      </c>
      <c r="AV233" s="37"/>
      <c r="AW233" s="37"/>
      <c r="AX233" s="37"/>
      <c r="AY233" s="37"/>
      <c r="AZ233" s="37" t="s">
        <v>96</v>
      </c>
      <c r="BA233" s="37"/>
      <c r="BB233" s="37"/>
      <c r="BC233" s="37"/>
      <c r="BD233" s="37"/>
    </row>
    <row r="234" spans="1:79" ht="15" customHeight="1" x14ac:dyDescent="0.2">
      <c r="A234" s="37">
        <v>1</v>
      </c>
      <c r="B234" s="37"/>
      <c r="C234" s="37"/>
      <c r="D234" s="37"/>
      <c r="E234" s="37"/>
      <c r="F234" s="37"/>
      <c r="G234" s="37">
        <v>2</v>
      </c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>
        <v>3</v>
      </c>
      <c r="U234" s="37"/>
      <c r="V234" s="37"/>
      <c r="W234" s="37"/>
      <c r="X234" s="37"/>
      <c r="Y234" s="37"/>
      <c r="Z234" s="37"/>
      <c r="AA234" s="37">
        <v>4</v>
      </c>
      <c r="AB234" s="37"/>
      <c r="AC234" s="37"/>
      <c r="AD234" s="37"/>
      <c r="AE234" s="37"/>
      <c r="AF234" s="37">
        <v>5</v>
      </c>
      <c r="AG234" s="37"/>
      <c r="AH234" s="37"/>
      <c r="AI234" s="37"/>
      <c r="AJ234" s="37"/>
      <c r="AK234" s="37">
        <v>6</v>
      </c>
      <c r="AL234" s="37"/>
      <c r="AM234" s="37"/>
      <c r="AN234" s="37"/>
      <c r="AO234" s="37"/>
      <c r="AP234" s="37">
        <v>7</v>
      </c>
      <c r="AQ234" s="37"/>
      <c r="AR234" s="37"/>
      <c r="AS234" s="37"/>
      <c r="AT234" s="37"/>
      <c r="AU234" s="37">
        <v>8</v>
      </c>
      <c r="AV234" s="37"/>
      <c r="AW234" s="37"/>
      <c r="AX234" s="37"/>
      <c r="AY234" s="37"/>
      <c r="AZ234" s="37">
        <v>9</v>
      </c>
      <c r="BA234" s="37"/>
      <c r="BB234" s="37"/>
      <c r="BC234" s="37"/>
      <c r="BD234" s="37"/>
    </row>
    <row r="235" spans="1:79" s="1" customFormat="1" ht="12" hidden="1" customHeight="1" x14ac:dyDescent="0.2">
      <c r="A235" s="65" t="s">
        <v>69</v>
      </c>
      <c r="B235" s="65"/>
      <c r="C235" s="65"/>
      <c r="D235" s="65"/>
      <c r="E235" s="65"/>
      <c r="F235" s="65"/>
      <c r="G235" s="64" t="s">
        <v>57</v>
      </c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 t="s">
        <v>79</v>
      </c>
      <c r="U235" s="64"/>
      <c r="V235" s="64"/>
      <c r="W235" s="64"/>
      <c r="X235" s="64"/>
      <c r="Y235" s="64"/>
      <c r="Z235" s="64"/>
      <c r="AA235" s="63" t="s">
        <v>60</v>
      </c>
      <c r="AB235" s="63"/>
      <c r="AC235" s="63"/>
      <c r="AD235" s="63"/>
      <c r="AE235" s="63"/>
      <c r="AF235" s="63" t="s">
        <v>61</v>
      </c>
      <c r="AG235" s="63"/>
      <c r="AH235" s="63"/>
      <c r="AI235" s="63"/>
      <c r="AJ235" s="63"/>
      <c r="AK235" s="83" t="s">
        <v>122</v>
      </c>
      <c r="AL235" s="83"/>
      <c r="AM235" s="83"/>
      <c r="AN235" s="83"/>
      <c r="AO235" s="83"/>
      <c r="AP235" s="63" t="s">
        <v>62</v>
      </c>
      <c r="AQ235" s="63"/>
      <c r="AR235" s="63"/>
      <c r="AS235" s="63"/>
      <c r="AT235" s="63"/>
      <c r="AU235" s="63" t="s">
        <v>63</v>
      </c>
      <c r="AV235" s="63"/>
      <c r="AW235" s="63"/>
      <c r="AX235" s="63"/>
      <c r="AY235" s="63"/>
      <c r="AZ235" s="83" t="s">
        <v>122</v>
      </c>
      <c r="BA235" s="83"/>
      <c r="BB235" s="83"/>
      <c r="BC235" s="83"/>
      <c r="BD235" s="83"/>
      <c r="CA235" s="1" t="s">
        <v>46</v>
      </c>
    </row>
    <row r="236" spans="1:79" s="4" customFormat="1" ht="89.25" customHeight="1" x14ac:dyDescent="0.2">
      <c r="A236" s="40">
        <v>1</v>
      </c>
      <c r="B236" s="40"/>
      <c r="C236" s="40"/>
      <c r="D236" s="40"/>
      <c r="E236" s="40"/>
      <c r="F236" s="40"/>
      <c r="G236" s="30" t="s">
        <v>238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2"/>
      <c r="T236" s="84" t="s">
        <v>239</v>
      </c>
      <c r="U236" s="31"/>
      <c r="V236" s="31"/>
      <c r="W236" s="31"/>
      <c r="X236" s="31"/>
      <c r="Y236" s="31"/>
      <c r="Z236" s="32"/>
      <c r="AA236" s="35">
        <v>8974054</v>
      </c>
      <c r="AB236" s="35"/>
      <c r="AC236" s="35"/>
      <c r="AD236" s="35"/>
      <c r="AE236" s="35"/>
      <c r="AF236" s="35">
        <v>0</v>
      </c>
      <c r="AG236" s="35"/>
      <c r="AH236" s="35"/>
      <c r="AI236" s="35"/>
      <c r="AJ236" s="35"/>
      <c r="AK236" s="35">
        <f>IF(ISNUMBER(AA236),AA236,0)+IF(ISNUMBER(AF236),AF236,0)</f>
        <v>8974054</v>
      </c>
      <c r="AL236" s="35"/>
      <c r="AM236" s="35"/>
      <c r="AN236" s="35"/>
      <c r="AO236" s="35"/>
      <c r="AP236" s="35">
        <v>9691978</v>
      </c>
      <c r="AQ236" s="35"/>
      <c r="AR236" s="35"/>
      <c r="AS236" s="35"/>
      <c r="AT236" s="35"/>
      <c r="AU236" s="35">
        <v>0</v>
      </c>
      <c r="AV236" s="35"/>
      <c r="AW236" s="35"/>
      <c r="AX236" s="35"/>
      <c r="AY236" s="35"/>
      <c r="AZ236" s="35">
        <f>IF(ISNUMBER(AP236),AP236,0)+IF(ISNUMBER(AU236),AU236,0)</f>
        <v>9691978</v>
      </c>
      <c r="BA236" s="35"/>
      <c r="BB236" s="35"/>
      <c r="BC236" s="35"/>
      <c r="BD236" s="35"/>
      <c r="CA236" s="4" t="s">
        <v>47</v>
      </c>
    </row>
    <row r="237" spans="1:79" s="5" customFormat="1" x14ac:dyDescent="0.2">
      <c r="A237" s="20"/>
      <c r="B237" s="20"/>
      <c r="C237" s="20"/>
      <c r="D237" s="20"/>
      <c r="E237" s="20"/>
      <c r="F237" s="20"/>
      <c r="G237" s="21" t="s">
        <v>147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3"/>
      <c r="T237" s="25"/>
      <c r="U237" s="22"/>
      <c r="V237" s="22"/>
      <c r="W237" s="22"/>
      <c r="X237" s="22"/>
      <c r="Y237" s="22"/>
      <c r="Z237" s="23"/>
      <c r="AA237" s="24">
        <v>8974054</v>
      </c>
      <c r="AB237" s="24"/>
      <c r="AC237" s="24"/>
      <c r="AD237" s="24"/>
      <c r="AE237" s="24"/>
      <c r="AF237" s="24">
        <v>0</v>
      </c>
      <c r="AG237" s="24"/>
      <c r="AH237" s="24"/>
      <c r="AI237" s="24"/>
      <c r="AJ237" s="24"/>
      <c r="AK237" s="24">
        <f>IF(ISNUMBER(AA237),AA237,0)+IF(ISNUMBER(AF237),AF237,0)</f>
        <v>8974054</v>
      </c>
      <c r="AL237" s="24"/>
      <c r="AM237" s="24"/>
      <c r="AN237" s="24"/>
      <c r="AO237" s="24"/>
      <c r="AP237" s="24">
        <v>9691978</v>
      </c>
      <c r="AQ237" s="24"/>
      <c r="AR237" s="24"/>
      <c r="AS237" s="24"/>
      <c r="AT237" s="24"/>
      <c r="AU237" s="24">
        <v>0</v>
      </c>
      <c r="AV237" s="24"/>
      <c r="AW237" s="24"/>
      <c r="AX237" s="24"/>
      <c r="AY237" s="24"/>
      <c r="AZ237" s="24">
        <f>IF(ISNUMBER(AP237),AP237,0)+IF(ISNUMBER(AU237),AU237,0)</f>
        <v>9691978</v>
      </c>
      <c r="BA237" s="24"/>
      <c r="BB237" s="24"/>
      <c r="BC237" s="24"/>
      <c r="BD237" s="24"/>
    </row>
    <row r="239" spans="1:79" ht="14.25" customHeight="1" x14ac:dyDescent="0.2">
      <c r="A239" s="60" t="s">
        <v>283</v>
      </c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</row>
    <row r="240" spans="1:79" ht="15" customHeight="1" x14ac:dyDescent="0.2">
      <c r="A240" s="76" t="s">
        <v>249</v>
      </c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</row>
    <row r="241" spans="1:79" ht="23.1" customHeight="1" x14ac:dyDescent="0.2">
      <c r="A241" s="37" t="s">
        <v>128</v>
      </c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77" t="s">
        <v>129</v>
      </c>
      <c r="O241" s="78"/>
      <c r="P241" s="78"/>
      <c r="Q241" s="78"/>
      <c r="R241" s="78"/>
      <c r="S241" s="78"/>
      <c r="T241" s="78"/>
      <c r="U241" s="79"/>
      <c r="V241" s="77" t="s">
        <v>130</v>
      </c>
      <c r="W241" s="78"/>
      <c r="X241" s="78"/>
      <c r="Y241" s="78"/>
      <c r="Z241" s="79"/>
      <c r="AA241" s="37" t="s">
        <v>250</v>
      </c>
      <c r="AB241" s="37"/>
      <c r="AC241" s="37"/>
      <c r="AD241" s="37"/>
      <c r="AE241" s="37"/>
      <c r="AF241" s="37"/>
      <c r="AG241" s="37"/>
      <c r="AH241" s="37"/>
      <c r="AI241" s="37"/>
      <c r="AJ241" s="37" t="s">
        <v>253</v>
      </c>
      <c r="AK241" s="37"/>
      <c r="AL241" s="37"/>
      <c r="AM241" s="37"/>
      <c r="AN241" s="37"/>
      <c r="AO241" s="37"/>
      <c r="AP241" s="37"/>
      <c r="AQ241" s="37"/>
      <c r="AR241" s="37"/>
      <c r="AS241" s="37" t="s">
        <v>261</v>
      </c>
      <c r="AT241" s="37"/>
      <c r="AU241" s="37"/>
      <c r="AV241" s="37"/>
      <c r="AW241" s="37"/>
      <c r="AX241" s="37"/>
      <c r="AY241" s="37"/>
      <c r="AZ241" s="37"/>
      <c r="BA241" s="37"/>
      <c r="BB241" s="37" t="s">
        <v>271</v>
      </c>
      <c r="BC241" s="37"/>
      <c r="BD241" s="37"/>
      <c r="BE241" s="37"/>
      <c r="BF241" s="37"/>
      <c r="BG241" s="37"/>
      <c r="BH241" s="37"/>
      <c r="BI241" s="37"/>
      <c r="BJ241" s="37"/>
      <c r="BK241" s="37" t="s">
        <v>276</v>
      </c>
      <c r="BL241" s="37"/>
      <c r="BM241" s="37"/>
      <c r="BN241" s="37"/>
      <c r="BO241" s="37"/>
      <c r="BP241" s="37"/>
      <c r="BQ241" s="37"/>
      <c r="BR241" s="37"/>
      <c r="BS241" s="37"/>
    </row>
    <row r="242" spans="1:79" ht="95.25" customHeight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80"/>
      <c r="O242" s="81"/>
      <c r="P242" s="81"/>
      <c r="Q242" s="81"/>
      <c r="R242" s="81"/>
      <c r="S242" s="81"/>
      <c r="T242" s="81"/>
      <c r="U242" s="82"/>
      <c r="V242" s="80"/>
      <c r="W242" s="81"/>
      <c r="X242" s="81"/>
      <c r="Y242" s="81"/>
      <c r="Z242" s="82"/>
      <c r="AA242" s="67" t="s">
        <v>133</v>
      </c>
      <c r="AB242" s="67"/>
      <c r="AC242" s="67"/>
      <c r="AD242" s="67"/>
      <c r="AE242" s="67"/>
      <c r="AF242" s="67" t="s">
        <v>134</v>
      </c>
      <c r="AG242" s="67"/>
      <c r="AH242" s="67"/>
      <c r="AI242" s="67"/>
      <c r="AJ242" s="67" t="s">
        <v>133</v>
      </c>
      <c r="AK242" s="67"/>
      <c r="AL242" s="67"/>
      <c r="AM242" s="67"/>
      <c r="AN242" s="67"/>
      <c r="AO242" s="67" t="s">
        <v>134</v>
      </c>
      <c r="AP242" s="67"/>
      <c r="AQ242" s="67"/>
      <c r="AR242" s="67"/>
      <c r="AS242" s="67" t="s">
        <v>133</v>
      </c>
      <c r="AT242" s="67"/>
      <c r="AU242" s="67"/>
      <c r="AV242" s="67"/>
      <c r="AW242" s="67"/>
      <c r="AX242" s="67" t="s">
        <v>134</v>
      </c>
      <c r="AY242" s="67"/>
      <c r="AZ242" s="67"/>
      <c r="BA242" s="67"/>
      <c r="BB242" s="67" t="s">
        <v>133</v>
      </c>
      <c r="BC242" s="67"/>
      <c r="BD242" s="67"/>
      <c r="BE242" s="67"/>
      <c r="BF242" s="67"/>
      <c r="BG242" s="67" t="s">
        <v>134</v>
      </c>
      <c r="BH242" s="67"/>
      <c r="BI242" s="67"/>
      <c r="BJ242" s="67"/>
      <c r="BK242" s="67" t="s">
        <v>133</v>
      </c>
      <c r="BL242" s="67"/>
      <c r="BM242" s="67"/>
      <c r="BN242" s="67"/>
      <c r="BO242" s="67"/>
      <c r="BP242" s="67" t="s">
        <v>134</v>
      </c>
      <c r="BQ242" s="67"/>
      <c r="BR242" s="67"/>
      <c r="BS242" s="67"/>
    </row>
    <row r="243" spans="1:79" ht="15" customHeight="1" x14ac:dyDescent="0.2">
      <c r="A243" s="37">
        <v>1</v>
      </c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73">
        <v>2</v>
      </c>
      <c r="O243" s="74"/>
      <c r="P243" s="74"/>
      <c r="Q243" s="74"/>
      <c r="R243" s="74"/>
      <c r="S243" s="74"/>
      <c r="T243" s="74"/>
      <c r="U243" s="75"/>
      <c r="V243" s="37">
        <v>3</v>
      </c>
      <c r="W243" s="37"/>
      <c r="X243" s="37"/>
      <c r="Y243" s="37"/>
      <c r="Z243" s="37"/>
      <c r="AA243" s="37">
        <v>4</v>
      </c>
      <c r="AB243" s="37"/>
      <c r="AC243" s="37"/>
      <c r="AD243" s="37"/>
      <c r="AE243" s="37"/>
      <c r="AF243" s="37">
        <v>5</v>
      </c>
      <c r="AG243" s="37"/>
      <c r="AH243" s="37"/>
      <c r="AI243" s="37"/>
      <c r="AJ243" s="37">
        <v>6</v>
      </c>
      <c r="AK243" s="37"/>
      <c r="AL243" s="37"/>
      <c r="AM243" s="37"/>
      <c r="AN243" s="37"/>
      <c r="AO243" s="37">
        <v>7</v>
      </c>
      <c r="AP243" s="37"/>
      <c r="AQ243" s="37"/>
      <c r="AR243" s="37"/>
      <c r="AS243" s="37">
        <v>8</v>
      </c>
      <c r="AT243" s="37"/>
      <c r="AU243" s="37"/>
      <c r="AV243" s="37"/>
      <c r="AW243" s="37"/>
      <c r="AX243" s="37">
        <v>9</v>
      </c>
      <c r="AY243" s="37"/>
      <c r="AZ243" s="37"/>
      <c r="BA243" s="37"/>
      <c r="BB243" s="37">
        <v>10</v>
      </c>
      <c r="BC243" s="37"/>
      <c r="BD243" s="37"/>
      <c r="BE243" s="37"/>
      <c r="BF243" s="37"/>
      <c r="BG243" s="37">
        <v>11</v>
      </c>
      <c r="BH243" s="37"/>
      <c r="BI243" s="37"/>
      <c r="BJ243" s="37"/>
      <c r="BK243" s="37">
        <v>12</v>
      </c>
      <c r="BL243" s="37"/>
      <c r="BM243" s="37"/>
      <c r="BN243" s="37"/>
      <c r="BO243" s="37"/>
      <c r="BP243" s="37">
        <v>13</v>
      </c>
      <c r="BQ243" s="37"/>
      <c r="BR243" s="37"/>
      <c r="BS243" s="37"/>
    </row>
    <row r="244" spans="1:79" s="1" customFormat="1" ht="12" hidden="1" customHeight="1" x14ac:dyDescent="0.2">
      <c r="A244" s="64" t="s">
        <v>146</v>
      </c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5" t="s">
        <v>131</v>
      </c>
      <c r="O244" s="65"/>
      <c r="P244" s="65"/>
      <c r="Q244" s="65"/>
      <c r="R244" s="65"/>
      <c r="S244" s="65"/>
      <c r="T244" s="65"/>
      <c r="U244" s="65"/>
      <c r="V244" s="65" t="s">
        <v>132</v>
      </c>
      <c r="W244" s="65"/>
      <c r="X244" s="65"/>
      <c r="Y244" s="65"/>
      <c r="Z244" s="65"/>
      <c r="AA244" s="63" t="s">
        <v>65</v>
      </c>
      <c r="AB244" s="63"/>
      <c r="AC244" s="63"/>
      <c r="AD244" s="63"/>
      <c r="AE244" s="63"/>
      <c r="AF244" s="63" t="s">
        <v>66</v>
      </c>
      <c r="AG244" s="63"/>
      <c r="AH244" s="63"/>
      <c r="AI244" s="63"/>
      <c r="AJ244" s="63" t="s">
        <v>67</v>
      </c>
      <c r="AK244" s="63"/>
      <c r="AL244" s="63"/>
      <c r="AM244" s="63"/>
      <c r="AN244" s="63"/>
      <c r="AO244" s="63" t="s">
        <v>68</v>
      </c>
      <c r="AP244" s="63"/>
      <c r="AQ244" s="63"/>
      <c r="AR244" s="63"/>
      <c r="AS244" s="63" t="s">
        <v>58</v>
      </c>
      <c r="AT244" s="63"/>
      <c r="AU244" s="63"/>
      <c r="AV244" s="63"/>
      <c r="AW244" s="63"/>
      <c r="AX244" s="63" t="s">
        <v>59</v>
      </c>
      <c r="AY244" s="63"/>
      <c r="AZ244" s="63"/>
      <c r="BA244" s="63"/>
      <c r="BB244" s="63" t="s">
        <v>60</v>
      </c>
      <c r="BC244" s="63"/>
      <c r="BD244" s="63"/>
      <c r="BE244" s="63"/>
      <c r="BF244" s="63"/>
      <c r="BG244" s="63" t="s">
        <v>61</v>
      </c>
      <c r="BH244" s="63"/>
      <c r="BI244" s="63"/>
      <c r="BJ244" s="63"/>
      <c r="BK244" s="63" t="s">
        <v>62</v>
      </c>
      <c r="BL244" s="63"/>
      <c r="BM244" s="63"/>
      <c r="BN244" s="63"/>
      <c r="BO244" s="63"/>
      <c r="BP244" s="63" t="s">
        <v>63</v>
      </c>
      <c r="BQ244" s="63"/>
      <c r="BR244" s="63"/>
      <c r="BS244" s="63"/>
      <c r="CA244" s="1" t="s">
        <v>48</v>
      </c>
    </row>
    <row r="245" spans="1:79" s="5" customFormat="1" ht="12.75" customHeight="1" x14ac:dyDescent="0.2">
      <c r="A245" s="62" t="s">
        <v>147</v>
      </c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33"/>
      <c r="O245" s="34"/>
      <c r="P245" s="34"/>
      <c r="Q245" s="34"/>
      <c r="R245" s="34"/>
      <c r="S245" s="34"/>
      <c r="T245" s="34"/>
      <c r="U245" s="49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68"/>
      <c r="BQ245" s="69"/>
      <c r="BR245" s="69"/>
      <c r="BS245" s="70"/>
      <c r="CA245" s="5" t="s">
        <v>49</v>
      </c>
    </row>
    <row r="247" spans="1:79" ht="35.25" customHeight="1" x14ac:dyDescent="0.2">
      <c r="A247" s="60" t="s">
        <v>284</v>
      </c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</row>
    <row r="248" spans="1:79" ht="105" customHeight="1" x14ac:dyDescent="0.2">
      <c r="A248" s="61" t="s">
        <v>244</v>
      </c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</row>
    <row r="250" spans="1:79" ht="28.5" customHeight="1" x14ac:dyDescent="0.2">
      <c r="A250" s="71" t="s">
        <v>268</v>
      </c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</row>
    <row r="251" spans="1:79" ht="14.25" customHeight="1" x14ac:dyDescent="0.2">
      <c r="A251" s="60" t="s">
        <v>251</v>
      </c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</row>
    <row r="252" spans="1:79" ht="15" customHeight="1" x14ac:dyDescent="0.2">
      <c r="A252" s="66" t="s">
        <v>249</v>
      </c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</row>
    <row r="253" spans="1:79" ht="42.95" customHeight="1" x14ac:dyDescent="0.2">
      <c r="A253" s="67" t="s">
        <v>135</v>
      </c>
      <c r="B253" s="67"/>
      <c r="C253" s="67"/>
      <c r="D253" s="67"/>
      <c r="E253" s="67"/>
      <c r="F253" s="67"/>
      <c r="G253" s="37" t="s">
        <v>19</v>
      </c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 t="s">
        <v>15</v>
      </c>
      <c r="U253" s="37"/>
      <c r="V253" s="37"/>
      <c r="W253" s="37"/>
      <c r="X253" s="37"/>
      <c r="Y253" s="37"/>
      <c r="Z253" s="37" t="s">
        <v>14</v>
      </c>
      <c r="AA253" s="37"/>
      <c r="AB253" s="37"/>
      <c r="AC253" s="37"/>
      <c r="AD253" s="37"/>
      <c r="AE253" s="37" t="s">
        <v>136</v>
      </c>
      <c r="AF253" s="37"/>
      <c r="AG253" s="37"/>
      <c r="AH253" s="37"/>
      <c r="AI253" s="37"/>
      <c r="AJ253" s="37"/>
      <c r="AK253" s="37" t="s">
        <v>137</v>
      </c>
      <c r="AL253" s="37"/>
      <c r="AM253" s="37"/>
      <c r="AN253" s="37"/>
      <c r="AO253" s="37"/>
      <c r="AP253" s="37"/>
      <c r="AQ253" s="37" t="s">
        <v>138</v>
      </c>
      <c r="AR253" s="37"/>
      <c r="AS253" s="37"/>
      <c r="AT253" s="37"/>
      <c r="AU253" s="37"/>
      <c r="AV253" s="37"/>
      <c r="AW253" s="37" t="s">
        <v>98</v>
      </c>
      <c r="AX253" s="37"/>
      <c r="AY253" s="37"/>
      <c r="AZ253" s="37"/>
      <c r="BA253" s="37"/>
      <c r="BB253" s="37"/>
      <c r="BC253" s="37"/>
      <c r="BD253" s="37"/>
      <c r="BE253" s="37"/>
      <c r="BF253" s="37"/>
      <c r="BG253" s="37" t="s">
        <v>139</v>
      </c>
      <c r="BH253" s="37"/>
      <c r="BI253" s="37"/>
      <c r="BJ253" s="37"/>
      <c r="BK253" s="37"/>
      <c r="BL253" s="37"/>
    </row>
    <row r="254" spans="1:79" ht="39.950000000000003" customHeight="1" x14ac:dyDescent="0.2">
      <c r="A254" s="67"/>
      <c r="B254" s="67"/>
      <c r="C254" s="67"/>
      <c r="D254" s="67"/>
      <c r="E254" s="67"/>
      <c r="F254" s="6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 t="s">
        <v>17</v>
      </c>
      <c r="AX254" s="37"/>
      <c r="AY254" s="37"/>
      <c r="AZ254" s="37"/>
      <c r="BA254" s="37"/>
      <c r="BB254" s="37" t="s">
        <v>16</v>
      </c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</row>
    <row r="255" spans="1:79" ht="15" customHeight="1" x14ac:dyDescent="0.2">
      <c r="A255" s="37">
        <v>1</v>
      </c>
      <c r="B255" s="37"/>
      <c r="C255" s="37"/>
      <c r="D255" s="37"/>
      <c r="E255" s="37"/>
      <c r="F255" s="37"/>
      <c r="G255" s="37">
        <v>2</v>
      </c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>
        <v>3</v>
      </c>
      <c r="U255" s="37"/>
      <c r="V255" s="37"/>
      <c r="W255" s="37"/>
      <c r="X255" s="37"/>
      <c r="Y255" s="37"/>
      <c r="Z255" s="37">
        <v>4</v>
      </c>
      <c r="AA255" s="37"/>
      <c r="AB255" s="37"/>
      <c r="AC255" s="37"/>
      <c r="AD255" s="37"/>
      <c r="AE255" s="37">
        <v>5</v>
      </c>
      <c r="AF255" s="37"/>
      <c r="AG255" s="37"/>
      <c r="AH255" s="37"/>
      <c r="AI255" s="37"/>
      <c r="AJ255" s="37"/>
      <c r="AK255" s="37">
        <v>6</v>
      </c>
      <c r="AL255" s="37"/>
      <c r="AM255" s="37"/>
      <c r="AN255" s="37"/>
      <c r="AO255" s="37"/>
      <c r="AP255" s="37"/>
      <c r="AQ255" s="37">
        <v>7</v>
      </c>
      <c r="AR255" s="37"/>
      <c r="AS255" s="37"/>
      <c r="AT255" s="37"/>
      <c r="AU255" s="37"/>
      <c r="AV255" s="37"/>
      <c r="AW255" s="37">
        <v>8</v>
      </c>
      <c r="AX255" s="37"/>
      <c r="AY255" s="37"/>
      <c r="AZ255" s="37"/>
      <c r="BA255" s="37"/>
      <c r="BB255" s="37">
        <v>9</v>
      </c>
      <c r="BC255" s="37"/>
      <c r="BD255" s="37"/>
      <c r="BE255" s="37"/>
      <c r="BF255" s="37"/>
      <c r="BG255" s="37">
        <v>10</v>
      </c>
      <c r="BH255" s="37"/>
      <c r="BI255" s="37"/>
      <c r="BJ255" s="37"/>
      <c r="BK255" s="37"/>
      <c r="BL255" s="37"/>
    </row>
    <row r="256" spans="1:79" s="1" customFormat="1" ht="12" hidden="1" customHeight="1" x14ac:dyDescent="0.2">
      <c r="A256" s="65" t="s">
        <v>64</v>
      </c>
      <c r="B256" s="65"/>
      <c r="C256" s="65"/>
      <c r="D256" s="65"/>
      <c r="E256" s="65"/>
      <c r="F256" s="65"/>
      <c r="G256" s="64" t="s">
        <v>57</v>
      </c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3" t="s">
        <v>80</v>
      </c>
      <c r="U256" s="63"/>
      <c r="V256" s="63"/>
      <c r="W256" s="63"/>
      <c r="X256" s="63"/>
      <c r="Y256" s="63"/>
      <c r="Z256" s="63" t="s">
        <v>81</v>
      </c>
      <c r="AA256" s="63"/>
      <c r="AB256" s="63"/>
      <c r="AC256" s="63"/>
      <c r="AD256" s="63"/>
      <c r="AE256" s="63" t="s">
        <v>82</v>
      </c>
      <c r="AF256" s="63"/>
      <c r="AG256" s="63"/>
      <c r="AH256" s="63"/>
      <c r="AI256" s="63"/>
      <c r="AJ256" s="63"/>
      <c r="AK256" s="63" t="s">
        <v>83</v>
      </c>
      <c r="AL256" s="63"/>
      <c r="AM256" s="63"/>
      <c r="AN256" s="63"/>
      <c r="AO256" s="63"/>
      <c r="AP256" s="63"/>
      <c r="AQ256" s="65" t="s">
        <v>99</v>
      </c>
      <c r="AR256" s="63"/>
      <c r="AS256" s="63"/>
      <c r="AT256" s="63"/>
      <c r="AU256" s="63"/>
      <c r="AV256" s="63"/>
      <c r="AW256" s="63" t="s">
        <v>84</v>
      </c>
      <c r="AX256" s="63"/>
      <c r="AY256" s="63"/>
      <c r="AZ256" s="63"/>
      <c r="BA256" s="63"/>
      <c r="BB256" s="63" t="s">
        <v>85</v>
      </c>
      <c r="BC256" s="63"/>
      <c r="BD256" s="63"/>
      <c r="BE256" s="63"/>
      <c r="BF256" s="63"/>
      <c r="BG256" s="65" t="s">
        <v>100</v>
      </c>
      <c r="BH256" s="63"/>
      <c r="BI256" s="63"/>
      <c r="BJ256" s="63"/>
      <c r="BK256" s="63"/>
      <c r="BL256" s="63"/>
      <c r="CA256" s="1" t="s">
        <v>50</v>
      </c>
    </row>
    <row r="257" spans="1:79" s="4" customFormat="1" ht="38.25" customHeight="1" x14ac:dyDescent="0.2">
      <c r="A257" s="40">
        <v>2610</v>
      </c>
      <c r="B257" s="40"/>
      <c r="C257" s="40"/>
      <c r="D257" s="40"/>
      <c r="E257" s="40"/>
      <c r="F257" s="40"/>
      <c r="G257" s="30" t="s">
        <v>174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2"/>
      <c r="T257" s="35">
        <v>5883788</v>
      </c>
      <c r="U257" s="35"/>
      <c r="V257" s="35"/>
      <c r="W257" s="35"/>
      <c r="X257" s="35"/>
      <c r="Y257" s="35"/>
      <c r="Z257" s="35">
        <v>5252692</v>
      </c>
      <c r="AA257" s="35"/>
      <c r="AB257" s="35"/>
      <c r="AC257" s="35"/>
      <c r="AD257" s="35"/>
      <c r="AE257" s="35">
        <v>0</v>
      </c>
      <c r="AF257" s="35"/>
      <c r="AG257" s="35"/>
      <c r="AH257" s="35"/>
      <c r="AI257" s="35"/>
      <c r="AJ257" s="35"/>
      <c r="AK257" s="35">
        <v>0</v>
      </c>
      <c r="AL257" s="35"/>
      <c r="AM257" s="35"/>
      <c r="AN257" s="35"/>
      <c r="AO257" s="35"/>
      <c r="AP257" s="35"/>
      <c r="AQ257" s="35">
        <f>IF(ISNUMBER(AK257),AK257,0)-IF(ISNUMBER(AE257),AE257,0)</f>
        <v>0</v>
      </c>
      <c r="AR257" s="35"/>
      <c r="AS257" s="35"/>
      <c r="AT257" s="35"/>
      <c r="AU257" s="35"/>
      <c r="AV257" s="35"/>
      <c r="AW257" s="35">
        <v>0</v>
      </c>
      <c r="AX257" s="35"/>
      <c r="AY257" s="35"/>
      <c r="AZ257" s="35"/>
      <c r="BA257" s="35"/>
      <c r="BB257" s="35">
        <v>0</v>
      </c>
      <c r="BC257" s="35"/>
      <c r="BD257" s="35"/>
      <c r="BE257" s="35"/>
      <c r="BF257" s="35"/>
      <c r="BG257" s="35">
        <f>IF(ISNUMBER(Z257),Z257,0)+IF(ISNUMBER(AK257),AK257,0)</f>
        <v>5252692</v>
      </c>
      <c r="BH257" s="35"/>
      <c r="BI257" s="35"/>
      <c r="BJ257" s="35"/>
      <c r="BK257" s="35"/>
      <c r="BL257" s="35"/>
      <c r="CA257" s="4" t="s">
        <v>51</v>
      </c>
    </row>
    <row r="258" spans="1:79" s="5" customFormat="1" ht="12.75" customHeight="1" x14ac:dyDescent="0.2">
      <c r="A258" s="20"/>
      <c r="B258" s="20"/>
      <c r="C258" s="20"/>
      <c r="D258" s="20"/>
      <c r="E258" s="20"/>
      <c r="F258" s="20"/>
      <c r="G258" s="21" t="s">
        <v>147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3"/>
      <c r="T258" s="24">
        <v>5883788</v>
      </c>
      <c r="U258" s="24"/>
      <c r="V258" s="24"/>
      <c r="W258" s="24"/>
      <c r="X258" s="24"/>
      <c r="Y258" s="24"/>
      <c r="Z258" s="24">
        <v>5252692</v>
      </c>
      <c r="AA258" s="24"/>
      <c r="AB258" s="24"/>
      <c r="AC258" s="24"/>
      <c r="AD258" s="24"/>
      <c r="AE258" s="24">
        <v>0</v>
      </c>
      <c r="AF258" s="24"/>
      <c r="AG258" s="24"/>
      <c r="AH258" s="24"/>
      <c r="AI258" s="24"/>
      <c r="AJ258" s="24"/>
      <c r="AK258" s="24">
        <v>0</v>
      </c>
      <c r="AL258" s="24"/>
      <c r="AM258" s="24"/>
      <c r="AN258" s="24"/>
      <c r="AO258" s="24"/>
      <c r="AP258" s="24"/>
      <c r="AQ258" s="24">
        <f>IF(ISNUMBER(AK258),AK258,0)-IF(ISNUMBER(AE258),AE258,0)</f>
        <v>0</v>
      </c>
      <c r="AR258" s="24"/>
      <c r="AS258" s="24"/>
      <c r="AT258" s="24"/>
      <c r="AU258" s="24"/>
      <c r="AV258" s="24"/>
      <c r="AW258" s="24">
        <v>0</v>
      </c>
      <c r="AX258" s="24"/>
      <c r="AY258" s="24"/>
      <c r="AZ258" s="24"/>
      <c r="BA258" s="24"/>
      <c r="BB258" s="24">
        <v>0</v>
      </c>
      <c r="BC258" s="24"/>
      <c r="BD258" s="24"/>
      <c r="BE258" s="24"/>
      <c r="BF258" s="24"/>
      <c r="BG258" s="24">
        <f>IF(ISNUMBER(Z258),Z258,0)+IF(ISNUMBER(AK258),AK258,0)</f>
        <v>5252692</v>
      </c>
      <c r="BH258" s="24"/>
      <c r="BI258" s="24"/>
      <c r="BJ258" s="24"/>
      <c r="BK258" s="24"/>
      <c r="BL258" s="24"/>
    </row>
    <row r="260" spans="1:79" ht="14.25" customHeight="1" x14ac:dyDescent="0.2">
      <c r="A260" s="60" t="s">
        <v>269</v>
      </c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</row>
    <row r="261" spans="1:79" ht="15" customHeight="1" x14ac:dyDescent="0.2">
      <c r="A261" s="66" t="s">
        <v>249</v>
      </c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</row>
    <row r="262" spans="1:79" ht="18" customHeight="1" x14ac:dyDescent="0.2">
      <c r="A262" s="37" t="s">
        <v>135</v>
      </c>
      <c r="B262" s="37"/>
      <c r="C262" s="37"/>
      <c r="D262" s="37"/>
      <c r="E262" s="37"/>
      <c r="F262" s="37"/>
      <c r="G262" s="37" t="s">
        <v>19</v>
      </c>
      <c r="H262" s="37"/>
      <c r="I262" s="37"/>
      <c r="J262" s="37"/>
      <c r="K262" s="37"/>
      <c r="L262" s="37"/>
      <c r="M262" s="37"/>
      <c r="N262" s="37"/>
      <c r="O262" s="37"/>
      <c r="P262" s="37"/>
      <c r="Q262" s="37" t="s">
        <v>255</v>
      </c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 t="s">
        <v>266</v>
      </c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</row>
    <row r="263" spans="1:79" ht="42.95" customHeight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 t="s">
        <v>140</v>
      </c>
      <c r="R263" s="37"/>
      <c r="S263" s="37"/>
      <c r="T263" s="37"/>
      <c r="U263" s="37"/>
      <c r="V263" s="67" t="s">
        <v>141</v>
      </c>
      <c r="W263" s="67"/>
      <c r="X263" s="67"/>
      <c r="Y263" s="67"/>
      <c r="Z263" s="37" t="s">
        <v>142</v>
      </c>
      <c r="AA263" s="37"/>
      <c r="AB263" s="37"/>
      <c r="AC263" s="37"/>
      <c r="AD263" s="37"/>
      <c r="AE263" s="37"/>
      <c r="AF263" s="37"/>
      <c r="AG263" s="37"/>
      <c r="AH263" s="37"/>
      <c r="AI263" s="37"/>
      <c r="AJ263" s="37" t="s">
        <v>143</v>
      </c>
      <c r="AK263" s="37"/>
      <c r="AL263" s="37"/>
      <c r="AM263" s="37"/>
      <c r="AN263" s="37"/>
      <c r="AO263" s="37" t="s">
        <v>20</v>
      </c>
      <c r="AP263" s="37"/>
      <c r="AQ263" s="37"/>
      <c r="AR263" s="37"/>
      <c r="AS263" s="37"/>
      <c r="AT263" s="67" t="s">
        <v>144</v>
      </c>
      <c r="AU263" s="67"/>
      <c r="AV263" s="67"/>
      <c r="AW263" s="67"/>
      <c r="AX263" s="37" t="s">
        <v>142</v>
      </c>
      <c r="AY263" s="37"/>
      <c r="AZ263" s="37"/>
      <c r="BA263" s="37"/>
      <c r="BB263" s="37"/>
      <c r="BC263" s="37"/>
      <c r="BD263" s="37"/>
      <c r="BE263" s="37"/>
      <c r="BF263" s="37"/>
      <c r="BG263" s="37"/>
      <c r="BH263" s="37" t="s">
        <v>145</v>
      </c>
      <c r="BI263" s="37"/>
      <c r="BJ263" s="37"/>
      <c r="BK263" s="37"/>
      <c r="BL263" s="37"/>
    </row>
    <row r="264" spans="1:79" ht="63" customHeight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67"/>
      <c r="W264" s="67"/>
      <c r="X264" s="67"/>
      <c r="Y264" s="67"/>
      <c r="Z264" s="37" t="s">
        <v>17</v>
      </c>
      <c r="AA264" s="37"/>
      <c r="AB264" s="37"/>
      <c r="AC264" s="37"/>
      <c r="AD264" s="37"/>
      <c r="AE264" s="37" t="s">
        <v>16</v>
      </c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67"/>
      <c r="AU264" s="67"/>
      <c r="AV264" s="67"/>
      <c r="AW264" s="67"/>
      <c r="AX264" s="37" t="s">
        <v>17</v>
      </c>
      <c r="AY264" s="37"/>
      <c r="AZ264" s="37"/>
      <c r="BA264" s="37"/>
      <c r="BB264" s="37"/>
      <c r="BC264" s="37" t="s">
        <v>16</v>
      </c>
      <c r="BD264" s="37"/>
      <c r="BE264" s="37"/>
      <c r="BF264" s="37"/>
      <c r="BG264" s="37"/>
      <c r="BH264" s="37"/>
      <c r="BI264" s="37"/>
      <c r="BJ264" s="37"/>
      <c r="BK264" s="37"/>
      <c r="BL264" s="37"/>
    </row>
    <row r="265" spans="1:79" ht="15" customHeight="1" x14ac:dyDescent="0.2">
      <c r="A265" s="37">
        <v>1</v>
      </c>
      <c r="B265" s="37"/>
      <c r="C265" s="37"/>
      <c r="D265" s="37"/>
      <c r="E265" s="37"/>
      <c r="F265" s="37"/>
      <c r="G265" s="37">
        <v>2</v>
      </c>
      <c r="H265" s="37"/>
      <c r="I265" s="37"/>
      <c r="J265" s="37"/>
      <c r="K265" s="37"/>
      <c r="L265" s="37"/>
      <c r="M265" s="37"/>
      <c r="N265" s="37"/>
      <c r="O265" s="37"/>
      <c r="P265" s="37"/>
      <c r="Q265" s="37">
        <v>3</v>
      </c>
      <c r="R265" s="37"/>
      <c r="S265" s="37"/>
      <c r="T265" s="37"/>
      <c r="U265" s="37"/>
      <c r="V265" s="37">
        <v>4</v>
      </c>
      <c r="W265" s="37"/>
      <c r="X265" s="37"/>
      <c r="Y265" s="37"/>
      <c r="Z265" s="37">
        <v>5</v>
      </c>
      <c r="AA265" s="37"/>
      <c r="AB265" s="37"/>
      <c r="AC265" s="37"/>
      <c r="AD265" s="37"/>
      <c r="AE265" s="37">
        <v>6</v>
      </c>
      <c r="AF265" s="37"/>
      <c r="AG265" s="37"/>
      <c r="AH265" s="37"/>
      <c r="AI265" s="37"/>
      <c r="AJ265" s="37">
        <v>7</v>
      </c>
      <c r="AK265" s="37"/>
      <c r="AL265" s="37"/>
      <c r="AM265" s="37"/>
      <c r="AN265" s="37"/>
      <c r="AO265" s="37">
        <v>8</v>
      </c>
      <c r="AP265" s="37"/>
      <c r="AQ265" s="37"/>
      <c r="AR265" s="37"/>
      <c r="AS265" s="37"/>
      <c r="AT265" s="37">
        <v>9</v>
      </c>
      <c r="AU265" s="37"/>
      <c r="AV265" s="37"/>
      <c r="AW265" s="37"/>
      <c r="AX265" s="37">
        <v>10</v>
      </c>
      <c r="AY265" s="37"/>
      <c r="AZ265" s="37"/>
      <c r="BA265" s="37"/>
      <c r="BB265" s="37"/>
      <c r="BC265" s="37">
        <v>11</v>
      </c>
      <c r="BD265" s="37"/>
      <c r="BE265" s="37"/>
      <c r="BF265" s="37"/>
      <c r="BG265" s="37"/>
      <c r="BH265" s="37">
        <v>12</v>
      </c>
      <c r="BI265" s="37"/>
      <c r="BJ265" s="37"/>
      <c r="BK265" s="37"/>
      <c r="BL265" s="37"/>
    </row>
    <row r="266" spans="1:79" s="1" customFormat="1" ht="12" hidden="1" customHeight="1" x14ac:dyDescent="0.2">
      <c r="A266" s="65" t="s">
        <v>64</v>
      </c>
      <c r="B266" s="65"/>
      <c r="C266" s="65"/>
      <c r="D266" s="65"/>
      <c r="E266" s="65"/>
      <c r="F266" s="65"/>
      <c r="G266" s="64" t="s">
        <v>57</v>
      </c>
      <c r="H266" s="64"/>
      <c r="I266" s="64"/>
      <c r="J266" s="64"/>
      <c r="K266" s="64"/>
      <c r="L266" s="64"/>
      <c r="M266" s="64"/>
      <c r="N266" s="64"/>
      <c r="O266" s="64"/>
      <c r="P266" s="64"/>
      <c r="Q266" s="63" t="s">
        <v>80</v>
      </c>
      <c r="R266" s="63"/>
      <c r="S266" s="63"/>
      <c r="T266" s="63"/>
      <c r="U266" s="63"/>
      <c r="V266" s="63" t="s">
        <v>81</v>
      </c>
      <c r="W266" s="63"/>
      <c r="X266" s="63"/>
      <c r="Y266" s="63"/>
      <c r="Z266" s="63" t="s">
        <v>82</v>
      </c>
      <c r="AA266" s="63"/>
      <c r="AB266" s="63"/>
      <c r="AC266" s="63"/>
      <c r="AD266" s="63"/>
      <c r="AE266" s="63" t="s">
        <v>83</v>
      </c>
      <c r="AF266" s="63"/>
      <c r="AG266" s="63"/>
      <c r="AH266" s="63"/>
      <c r="AI266" s="63"/>
      <c r="AJ266" s="65" t="s">
        <v>101</v>
      </c>
      <c r="AK266" s="63"/>
      <c r="AL266" s="63"/>
      <c r="AM266" s="63"/>
      <c r="AN266" s="63"/>
      <c r="AO266" s="63" t="s">
        <v>84</v>
      </c>
      <c r="AP266" s="63"/>
      <c r="AQ266" s="63"/>
      <c r="AR266" s="63"/>
      <c r="AS266" s="63"/>
      <c r="AT266" s="65" t="s">
        <v>102</v>
      </c>
      <c r="AU266" s="63"/>
      <c r="AV266" s="63"/>
      <c r="AW266" s="63"/>
      <c r="AX266" s="63" t="s">
        <v>85</v>
      </c>
      <c r="AY266" s="63"/>
      <c r="AZ266" s="63"/>
      <c r="BA266" s="63"/>
      <c r="BB266" s="63"/>
      <c r="BC266" s="63" t="s">
        <v>86</v>
      </c>
      <c r="BD266" s="63"/>
      <c r="BE266" s="63"/>
      <c r="BF266" s="63"/>
      <c r="BG266" s="63"/>
      <c r="BH266" s="65" t="s">
        <v>101</v>
      </c>
      <c r="BI266" s="63"/>
      <c r="BJ266" s="63"/>
      <c r="BK266" s="63"/>
      <c r="BL266" s="63"/>
      <c r="CA266" s="1" t="s">
        <v>52</v>
      </c>
    </row>
    <row r="267" spans="1:79" s="4" customFormat="1" ht="38.25" customHeight="1" x14ac:dyDescent="0.2">
      <c r="A267" s="40">
        <v>2610</v>
      </c>
      <c r="B267" s="40"/>
      <c r="C267" s="40"/>
      <c r="D267" s="40"/>
      <c r="E267" s="40"/>
      <c r="F267" s="40"/>
      <c r="G267" s="30" t="s">
        <v>174</v>
      </c>
      <c r="H267" s="31"/>
      <c r="I267" s="31"/>
      <c r="J267" s="31"/>
      <c r="K267" s="31"/>
      <c r="L267" s="31"/>
      <c r="M267" s="31"/>
      <c r="N267" s="31"/>
      <c r="O267" s="31"/>
      <c r="P267" s="32"/>
      <c r="Q267" s="35">
        <v>7018512</v>
      </c>
      <c r="R267" s="35"/>
      <c r="S267" s="35"/>
      <c r="T267" s="35"/>
      <c r="U267" s="35"/>
      <c r="V267" s="35">
        <v>0</v>
      </c>
      <c r="W267" s="35"/>
      <c r="X267" s="35"/>
      <c r="Y267" s="35"/>
      <c r="Z267" s="35">
        <v>0</v>
      </c>
      <c r="AA267" s="35"/>
      <c r="AB267" s="35"/>
      <c r="AC267" s="35"/>
      <c r="AD267" s="35"/>
      <c r="AE267" s="35">
        <v>0</v>
      </c>
      <c r="AF267" s="35"/>
      <c r="AG267" s="35"/>
      <c r="AH267" s="35"/>
      <c r="AI267" s="35"/>
      <c r="AJ267" s="35">
        <f>IF(ISNUMBER(Q267),Q267,0)-IF(ISNUMBER(Z267),Z267,0)</f>
        <v>7018512</v>
      </c>
      <c r="AK267" s="35"/>
      <c r="AL267" s="35"/>
      <c r="AM267" s="35"/>
      <c r="AN267" s="35"/>
      <c r="AO267" s="35">
        <v>8165654</v>
      </c>
      <c r="AP267" s="35"/>
      <c r="AQ267" s="35"/>
      <c r="AR267" s="35"/>
      <c r="AS267" s="35"/>
      <c r="AT267" s="35">
        <f>IF(ISNUMBER(V267),V267,0)-IF(ISNUMBER(Z267),Z267,0)-IF(ISNUMBER(AE267),AE267,0)</f>
        <v>0</v>
      </c>
      <c r="AU267" s="35"/>
      <c r="AV267" s="35"/>
      <c r="AW267" s="35"/>
      <c r="AX267" s="35">
        <v>0</v>
      </c>
      <c r="AY267" s="35"/>
      <c r="AZ267" s="35"/>
      <c r="BA267" s="35"/>
      <c r="BB267" s="35"/>
      <c r="BC267" s="35">
        <v>0</v>
      </c>
      <c r="BD267" s="35"/>
      <c r="BE267" s="35"/>
      <c r="BF267" s="35"/>
      <c r="BG267" s="35"/>
      <c r="BH267" s="35">
        <f>IF(ISNUMBER(AO267),AO267,0)-IF(ISNUMBER(AX267),AX267,0)</f>
        <v>8165654</v>
      </c>
      <c r="BI267" s="35"/>
      <c r="BJ267" s="35"/>
      <c r="BK267" s="35"/>
      <c r="BL267" s="35"/>
      <c r="CA267" s="4" t="s">
        <v>53</v>
      </c>
    </row>
    <row r="268" spans="1:79" s="5" customFormat="1" ht="12.75" customHeight="1" x14ac:dyDescent="0.2">
      <c r="A268" s="20"/>
      <c r="B268" s="20"/>
      <c r="C268" s="20"/>
      <c r="D268" s="20"/>
      <c r="E268" s="20"/>
      <c r="F268" s="20"/>
      <c r="G268" s="21" t="s">
        <v>147</v>
      </c>
      <c r="H268" s="22"/>
      <c r="I268" s="22"/>
      <c r="J268" s="22"/>
      <c r="K268" s="22"/>
      <c r="L268" s="22"/>
      <c r="M268" s="22"/>
      <c r="N268" s="22"/>
      <c r="O268" s="22"/>
      <c r="P268" s="23"/>
      <c r="Q268" s="24">
        <v>7018512</v>
      </c>
      <c r="R268" s="24"/>
      <c r="S268" s="24"/>
      <c r="T268" s="24"/>
      <c r="U268" s="24"/>
      <c r="V268" s="24">
        <v>0</v>
      </c>
      <c r="W268" s="24"/>
      <c r="X268" s="24"/>
      <c r="Y268" s="24"/>
      <c r="Z268" s="24">
        <v>0</v>
      </c>
      <c r="AA268" s="24"/>
      <c r="AB268" s="24"/>
      <c r="AC268" s="24"/>
      <c r="AD268" s="24"/>
      <c r="AE268" s="24">
        <v>0</v>
      </c>
      <c r="AF268" s="24"/>
      <c r="AG268" s="24"/>
      <c r="AH268" s="24"/>
      <c r="AI268" s="24"/>
      <c r="AJ268" s="24">
        <f>IF(ISNUMBER(Q268),Q268,0)-IF(ISNUMBER(Z268),Z268,0)</f>
        <v>7018512</v>
      </c>
      <c r="AK268" s="24"/>
      <c r="AL268" s="24"/>
      <c r="AM268" s="24"/>
      <c r="AN268" s="24"/>
      <c r="AO268" s="24">
        <v>8165654</v>
      </c>
      <c r="AP268" s="24"/>
      <c r="AQ268" s="24"/>
      <c r="AR268" s="24"/>
      <c r="AS268" s="24"/>
      <c r="AT268" s="24">
        <f>IF(ISNUMBER(V268),V268,0)-IF(ISNUMBER(Z268),Z268,0)-IF(ISNUMBER(AE268),AE268,0)</f>
        <v>0</v>
      </c>
      <c r="AU268" s="24"/>
      <c r="AV268" s="24"/>
      <c r="AW268" s="24"/>
      <c r="AX268" s="24">
        <v>0</v>
      </c>
      <c r="AY268" s="24"/>
      <c r="AZ268" s="24"/>
      <c r="BA268" s="24"/>
      <c r="BB268" s="24"/>
      <c r="BC268" s="24">
        <v>0</v>
      </c>
      <c r="BD268" s="24"/>
      <c r="BE268" s="24"/>
      <c r="BF268" s="24"/>
      <c r="BG268" s="24"/>
      <c r="BH268" s="24">
        <f>IF(ISNUMBER(AO268),AO268,0)-IF(ISNUMBER(AX268),AX268,0)</f>
        <v>8165654</v>
      </c>
      <c r="BI268" s="24"/>
      <c r="BJ268" s="24"/>
      <c r="BK268" s="24"/>
      <c r="BL268" s="24"/>
    </row>
    <row r="270" spans="1:79" ht="14.25" customHeight="1" x14ac:dyDescent="0.2">
      <c r="A270" s="60" t="s">
        <v>256</v>
      </c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</row>
    <row r="271" spans="1:79" ht="15" customHeight="1" x14ac:dyDescent="0.2">
      <c r="A271" s="66" t="s">
        <v>249</v>
      </c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</row>
    <row r="272" spans="1:79" ht="42.95" customHeight="1" x14ac:dyDescent="0.2">
      <c r="A272" s="67" t="s">
        <v>135</v>
      </c>
      <c r="B272" s="67"/>
      <c r="C272" s="67"/>
      <c r="D272" s="67"/>
      <c r="E272" s="67"/>
      <c r="F272" s="67"/>
      <c r="G272" s="37" t="s">
        <v>19</v>
      </c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 t="s">
        <v>15</v>
      </c>
      <c r="U272" s="37"/>
      <c r="V272" s="37"/>
      <c r="W272" s="37"/>
      <c r="X272" s="37"/>
      <c r="Y272" s="37"/>
      <c r="Z272" s="37" t="s">
        <v>14</v>
      </c>
      <c r="AA272" s="37"/>
      <c r="AB272" s="37"/>
      <c r="AC272" s="37"/>
      <c r="AD272" s="37"/>
      <c r="AE272" s="37" t="s">
        <v>252</v>
      </c>
      <c r="AF272" s="37"/>
      <c r="AG272" s="37"/>
      <c r="AH272" s="37"/>
      <c r="AI272" s="37"/>
      <c r="AJ272" s="37"/>
      <c r="AK272" s="37" t="s">
        <v>257</v>
      </c>
      <c r="AL272" s="37"/>
      <c r="AM272" s="37"/>
      <c r="AN272" s="37"/>
      <c r="AO272" s="37"/>
      <c r="AP272" s="37"/>
      <c r="AQ272" s="37" t="s">
        <v>270</v>
      </c>
      <c r="AR272" s="37"/>
      <c r="AS272" s="37"/>
      <c r="AT272" s="37"/>
      <c r="AU272" s="37"/>
      <c r="AV272" s="37"/>
      <c r="AW272" s="37" t="s">
        <v>18</v>
      </c>
      <c r="AX272" s="37"/>
      <c r="AY272" s="37"/>
      <c r="AZ272" s="37"/>
      <c r="BA272" s="37"/>
      <c r="BB272" s="37"/>
      <c r="BC272" s="37"/>
      <c r="BD272" s="37"/>
      <c r="BE272" s="37" t="s">
        <v>156</v>
      </c>
      <c r="BF272" s="37"/>
      <c r="BG272" s="37"/>
      <c r="BH272" s="37"/>
      <c r="BI272" s="37"/>
      <c r="BJ272" s="37"/>
      <c r="BK272" s="37"/>
      <c r="BL272" s="37"/>
    </row>
    <row r="273" spans="1:79" ht="21.75" customHeight="1" x14ac:dyDescent="0.2">
      <c r="A273" s="67"/>
      <c r="B273" s="67"/>
      <c r="C273" s="67"/>
      <c r="D273" s="67"/>
      <c r="E273" s="67"/>
      <c r="F273" s="6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</row>
    <row r="274" spans="1:79" ht="15" customHeight="1" x14ac:dyDescent="0.2">
      <c r="A274" s="37">
        <v>1</v>
      </c>
      <c r="B274" s="37"/>
      <c r="C274" s="37"/>
      <c r="D274" s="37"/>
      <c r="E274" s="37"/>
      <c r="F274" s="37"/>
      <c r="G274" s="37">
        <v>2</v>
      </c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>
        <v>3</v>
      </c>
      <c r="U274" s="37"/>
      <c r="V274" s="37"/>
      <c r="W274" s="37"/>
      <c r="X274" s="37"/>
      <c r="Y274" s="37"/>
      <c r="Z274" s="37">
        <v>4</v>
      </c>
      <c r="AA274" s="37"/>
      <c r="AB274" s="37"/>
      <c r="AC274" s="37"/>
      <c r="AD274" s="37"/>
      <c r="AE274" s="37">
        <v>5</v>
      </c>
      <c r="AF274" s="37"/>
      <c r="AG274" s="37"/>
      <c r="AH274" s="37"/>
      <c r="AI274" s="37"/>
      <c r="AJ274" s="37"/>
      <c r="AK274" s="37">
        <v>6</v>
      </c>
      <c r="AL274" s="37"/>
      <c r="AM274" s="37"/>
      <c r="AN274" s="37"/>
      <c r="AO274" s="37"/>
      <c r="AP274" s="37"/>
      <c r="AQ274" s="37">
        <v>7</v>
      </c>
      <c r="AR274" s="37"/>
      <c r="AS274" s="37"/>
      <c r="AT274" s="37"/>
      <c r="AU274" s="37"/>
      <c r="AV274" s="37"/>
      <c r="AW274" s="65">
        <v>8</v>
      </c>
      <c r="AX274" s="65"/>
      <c r="AY274" s="65"/>
      <c r="AZ274" s="65"/>
      <c r="BA274" s="65"/>
      <c r="BB274" s="65"/>
      <c r="BC274" s="65"/>
      <c r="BD274" s="65"/>
      <c r="BE274" s="65">
        <v>9</v>
      </c>
      <c r="BF274" s="65"/>
      <c r="BG274" s="65"/>
      <c r="BH274" s="65"/>
      <c r="BI274" s="65"/>
      <c r="BJ274" s="65"/>
      <c r="BK274" s="65"/>
      <c r="BL274" s="65"/>
    </row>
    <row r="275" spans="1:79" s="1" customFormat="1" ht="18.75" hidden="1" customHeight="1" x14ac:dyDescent="0.2">
      <c r="A275" s="65" t="s">
        <v>64</v>
      </c>
      <c r="B275" s="65"/>
      <c r="C275" s="65"/>
      <c r="D275" s="65"/>
      <c r="E275" s="65"/>
      <c r="F275" s="65"/>
      <c r="G275" s="64" t="s">
        <v>57</v>
      </c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3" t="s">
        <v>80</v>
      </c>
      <c r="U275" s="63"/>
      <c r="V275" s="63"/>
      <c r="W275" s="63"/>
      <c r="X275" s="63"/>
      <c r="Y275" s="63"/>
      <c r="Z275" s="63" t="s">
        <v>81</v>
      </c>
      <c r="AA275" s="63"/>
      <c r="AB275" s="63"/>
      <c r="AC275" s="63"/>
      <c r="AD275" s="63"/>
      <c r="AE275" s="63" t="s">
        <v>82</v>
      </c>
      <c r="AF275" s="63"/>
      <c r="AG275" s="63"/>
      <c r="AH275" s="63"/>
      <c r="AI275" s="63"/>
      <c r="AJ275" s="63"/>
      <c r="AK275" s="63" t="s">
        <v>83</v>
      </c>
      <c r="AL275" s="63"/>
      <c r="AM275" s="63"/>
      <c r="AN275" s="63"/>
      <c r="AO275" s="63"/>
      <c r="AP275" s="63"/>
      <c r="AQ275" s="63" t="s">
        <v>84</v>
      </c>
      <c r="AR275" s="63"/>
      <c r="AS275" s="63"/>
      <c r="AT275" s="63"/>
      <c r="AU275" s="63"/>
      <c r="AV275" s="63"/>
      <c r="AW275" s="64" t="s">
        <v>87</v>
      </c>
      <c r="AX275" s="64"/>
      <c r="AY275" s="64"/>
      <c r="AZ275" s="64"/>
      <c r="BA275" s="64"/>
      <c r="BB275" s="64"/>
      <c r="BC275" s="64"/>
      <c r="BD275" s="64"/>
      <c r="BE275" s="64" t="s">
        <v>88</v>
      </c>
      <c r="BF275" s="64"/>
      <c r="BG275" s="64"/>
      <c r="BH275" s="64"/>
      <c r="BI275" s="64"/>
      <c r="BJ275" s="64"/>
      <c r="BK275" s="64"/>
      <c r="BL275" s="64"/>
      <c r="CA275" s="1" t="s">
        <v>54</v>
      </c>
    </row>
    <row r="276" spans="1:79" s="4" customFormat="1" ht="38.25" customHeight="1" x14ac:dyDescent="0.2">
      <c r="A276" s="40">
        <v>2610</v>
      </c>
      <c r="B276" s="40"/>
      <c r="C276" s="40"/>
      <c r="D276" s="40"/>
      <c r="E276" s="40"/>
      <c r="F276" s="40"/>
      <c r="G276" s="30" t="s">
        <v>174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2"/>
      <c r="T276" s="35">
        <v>5883788</v>
      </c>
      <c r="U276" s="35"/>
      <c r="V276" s="35"/>
      <c r="W276" s="35"/>
      <c r="X276" s="35"/>
      <c r="Y276" s="35"/>
      <c r="Z276" s="35">
        <v>5252692</v>
      </c>
      <c r="AA276" s="35"/>
      <c r="AB276" s="35"/>
      <c r="AC276" s="35"/>
      <c r="AD276" s="35"/>
      <c r="AE276" s="35">
        <v>0</v>
      </c>
      <c r="AF276" s="35"/>
      <c r="AG276" s="35"/>
      <c r="AH276" s="35"/>
      <c r="AI276" s="35"/>
      <c r="AJ276" s="35"/>
      <c r="AK276" s="35">
        <v>0</v>
      </c>
      <c r="AL276" s="35"/>
      <c r="AM276" s="35"/>
      <c r="AN276" s="35"/>
      <c r="AO276" s="35"/>
      <c r="AP276" s="35"/>
      <c r="AQ276" s="35">
        <v>0</v>
      </c>
      <c r="AR276" s="35"/>
      <c r="AS276" s="35"/>
      <c r="AT276" s="35"/>
      <c r="AU276" s="35"/>
      <c r="AV276" s="35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CA276" s="4" t="s">
        <v>55</v>
      </c>
    </row>
    <row r="277" spans="1:79" s="5" customFormat="1" ht="12.75" customHeight="1" x14ac:dyDescent="0.2">
      <c r="A277" s="20"/>
      <c r="B277" s="20"/>
      <c r="C277" s="20"/>
      <c r="D277" s="20"/>
      <c r="E277" s="20"/>
      <c r="F277" s="20"/>
      <c r="G277" s="21" t="s">
        <v>147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3"/>
      <c r="T277" s="24">
        <v>5883788</v>
      </c>
      <c r="U277" s="24"/>
      <c r="V277" s="24"/>
      <c r="W277" s="24"/>
      <c r="X277" s="24"/>
      <c r="Y277" s="24"/>
      <c r="Z277" s="24">
        <v>5252692</v>
      </c>
      <c r="AA277" s="24"/>
      <c r="AB277" s="24"/>
      <c r="AC277" s="24"/>
      <c r="AD277" s="24"/>
      <c r="AE277" s="24">
        <v>0</v>
      </c>
      <c r="AF277" s="24"/>
      <c r="AG277" s="24"/>
      <c r="AH277" s="24"/>
      <c r="AI277" s="24"/>
      <c r="AJ277" s="24"/>
      <c r="AK277" s="24">
        <v>0</v>
      </c>
      <c r="AL277" s="24"/>
      <c r="AM277" s="24"/>
      <c r="AN277" s="24"/>
      <c r="AO277" s="24"/>
      <c r="AP277" s="24"/>
      <c r="AQ277" s="24">
        <v>0</v>
      </c>
      <c r="AR277" s="24"/>
      <c r="AS277" s="24"/>
      <c r="AT277" s="24"/>
      <c r="AU277" s="24"/>
      <c r="AV277" s="24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</row>
    <row r="279" spans="1:79" ht="14.25" customHeight="1" x14ac:dyDescent="0.2">
      <c r="A279" s="60" t="s">
        <v>258</v>
      </c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</row>
    <row r="280" spans="1:79" ht="75" customHeight="1" x14ac:dyDescent="0.2">
      <c r="A280" s="61" t="s">
        <v>243</v>
      </c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</row>
    <row r="282" spans="1:79" ht="14.25" x14ac:dyDescent="0.2">
      <c r="A282" s="60" t="s">
        <v>285</v>
      </c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</row>
    <row r="283" spans="1:79" ht="14.25" x14ac:dyDescent="0.2">
      <c r="A283" s="60" t="s">
        <v>259</v>
      </c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</row>
    <row r="284" spans="1:79" ht="15" customHeight="1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</row>
    <row r="285" spans="1:79" ht="18.95" customHeight="1" x14ac:dyDescent="0.2">
      <c r="A285" s="50" t="s">
        <v>292</v>
      </c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17"/>
      <c r="AC285" s="17"/>
      <c r="AD285" s="17"/>
      <c r="AE285" s="17"/>
      <c r="AF285" s="17"/>
      <c r="AG285" s="17"/>
      <c r="AH285" s="57"/>
      <c r="AI285" s="57"/>
      <c r="AJ285" s="57"/>
      <c r="AK285" s="57"/>
      <c r="AL285" s="57"/>
      <c r="AM285" s="57"/>
      <c r="AN285" s="57"/>
      <c r="AO285" s="57"/>
      <c r="AP285" s="57"/>
      <c r="AQ285" s="17"/>
      <c r="AR285" s="17"/>
      <c r="AS285" s="17"/>
      <c r="AT285" s="17"/>
      <c r="AU285" s="58" t="s">
        <v>293</v>
      </c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</row>
    <row r="286" spans="1:79" ht="12.75" customHeight="1" x14ac:dyDescent="0.2">
      <c r="AB286" s="18"/>
      <c r="AC286" s="18"/>
      <c r="AD286" s="18"/>
      <c r="AE286" s="18"/>
      <c r="AF286" s="18"/>
      <c r="AG286" s="18"/>
      <c r="AH286" s="55" t="s">
        <v>1</v>
      </c>
      <c r="AI286" s="55"/>
      <c r="AJ286" s="55"/>
      <c r="AK286" s="55"/>
      <c r="AL286" s="55"/>
      <c r="AM286" s="55"/>
      <c r="AN286" s="55"/>
      <c r="AO286" s="55"/>
      <c r="AP286" s="55"/>
      <c r="AQ286" s="18"/>
      <c r="AR286" s="18"/>
      <c r="AS286" s="18"/>
      <c r="AT286" s="18"/>
      <c r="AU286" s="55" t="s">
        <v>171</v>
      </c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</row>
    <row r="287" spans="1:79" ht="15" x14ac:dyDescent="0.2">
      <c r="AB287" s="18"/>
      <c r="AC287" s="18"/>
      <c r="AD287" s="18"/>
      <c r="AE287" s="18"/>
      <c r="AF287" s="18"/>
      <c r="AG287" s="18"/>
      <c r="AH287" s="19"/>
      <c r="AI287" s="19"/>
      <c r="AJ287" s="19"/>
      <c r="AK287" s="19"/>
      <c r="AL287" s="19"/>
      <c r="AM287" s="19"/>
      <c r="AN287" s="19"/>
      <c r="AO287" s="19"/>
      <c r="AP287" s="19"/>
      <c r="AQ287" s="18"/>
      <c r="AR287" s="18"/>
      <c r="AS287" s="18"/>
      <c r="AT287" s="18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</row>
    <row r="288" spans="1:79" ht="18" customHeight="1" x14ac:dyDescent="0.2">
      <c r="A288" s="50" t="s">
        <v>294</v>
      </c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18"/>
      <c r="AC288" s="18"/>
      <c r="AD288" s="18"/>
      <c r="AE288" s="18"/>
      <c r="AF288" s="18"/>
      <c r="AG288" s="18"/>
      <c r="AH288" s="52"/>
      <c r="AI288" s="52"/>
      <c r="AJ288" s="52"/>
      <c r="AK288" s="52"/>
      <c r="AL288" s="52"/>
      <c r="AM288" s="52"/>
      <c r="AN288" s="52"/>
      <c r="AO288" s="52"/>
      <c r="AP288" s="52"/>
      <c r="AQ288" s="18"/>
      <c r="AR288" s="18"/>
      <c r="AS288" s="18"/>
      <c r="AT288" s="18"/>
      <c r="AU288" s="53" t="s">
        <v>295</v>
      </c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</row>
    <row r="289" spans="28:58" ht="12" customHeight="1" x14ac:dyDescent="0.2">
      <c r="AB289" s="18"/>
      <c r="AC289" s="18"/>
      <c r="AD289" s="18"/>
      <c r="AE289" s="18"/>
      <c r="AF289" s="18"/>
      <c r="AG289" s="18"/>
      <c r="AH289" s="55" t="s">
        <v>1</v>
      </c>
      <c r="AI289" s="55"/>
      <c r="AJ289" s="55"/>
      <c r="AK289" s="55"/>
      <c r="AL289" s="55"/>
      <c r="AM289" s="55"/>
      <c r="AN289" s="55"/>
      <c r="AO289" s="55"/>
      <c r="AP289" s="55"/>
      <c r="AQ289" s="18"/>
      <c r="AR289" s="18"/>
      <c r="AS289" s="18"/>
      <c r="AT289" s="18"/>
      <c r="AU289" s="55" t="s">
        <v>171</v>
      </c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</row>
  </sheetData>
  <mergeCells count="2218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2:BY42"/>
    <mergeCell ref="A43:BY43"/>
    <mergeCell ref="A44:BY44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6:BY46"/>
    <mergeCell ref="A47:D47"/>
    <mergeCell ref="E47:T47"/>
    <mergeCell ref="U47:Y47"/>
    <mergeCell ref="Z47:AD47"/>
    <mergeCell ref="AE47:AH47"/>
    <mergeCell ref="AI47:AM47"/>
    <mergeCell ref="AN47:AR47"/>
    <mergeCell ref="AS47:AW47"/>
    <mergeCell ref="AX47:BA47"/>
    <mergeCell ref="AS46:AW46"/>
    <mergeCell ref="AX46:BA46"/>
    <mergeCell ref="BB46:BF46"/>
    <mergeCell ref="BG46:BK46"/>
    <mergeCell ref="BL46:BP46"/>
    <mergeCell ref="BQ46:BT46"/>
    <mergeCell ref="A45:D46"/>
    <mergeCell ref="E45:T46"/>
    <mergeCell ref="U45:AM45"/>
    <mergeCell ref="AN45:BF45"/>
    <mergeCell ref="BG45:BY45"/>
    <mergeCell ref="U46:Y46"/>
    <mergeCell ref="Z46:AD46"/>
    <mergeCell ref="AE46:AH46"/>
    <mergeCell ref="AI46:AM46"/>
    <mergeCell ref="AN46:AR46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BG55:BK55"/>
    <mergeCell ref="BL55:BP55"/>
    <mergeCell ref="BQ55:BT55"/>
    <mergeCell ref="BU55:BY55"/>
    <mergeCell ref="A56:E56"/>
    <mergeCell ref="F56:T56"/>
    <mergeCell ref="U56:Y56"/>
    <mergeCell ref="Z56:AD56"/>
    <mergeCell ref="AE56:AH56"/>
    <mergeCell ref="AI56:AM56"/>
    <mergeCell ref="AE55:AH55"/>
    <mergeCell ref="AI55:AM55"/>
    <mergeCell ref="AN55:AR55"/>
    <mergeCell ref="AS55:AW55"/>
    <mergeCell ref="AX55:BA55"/>
    <mergeCell ref="BB55:BF55"/>
    <mergeCell ref="BU49:BY49"/>
    <mergeCell ref="A52:BL52"/>
    <mergeCell ref="A53:BY53"/>
    <mergeCell ref="A54:E55"/>
    <mergeCell ref="F54:T55"/>
    <mergeCell ref="U54:AM54"/>
    <mergeCell ref="AN54:BF54"/>
    <mergeCell ref="BG54:BY54"/>
    <mergeCell ref="U55:Y55"/>
    <mergeCell ref="Z55:AD55"/>
    <mergeCell ref="AS49:AW49"/>
    <mergeCell ref="AX49:BA49"/>
    <mergeCell ref="BB49:BF49"/>
    <mergeCell ref="BG49:BK49"/>
    <mergeCell ref="BL49:BP49"/>
    <mergeCell ref="BQ49:BT49"/>
    <mergeCell ref="AX57:BA57"/>
    <mergeCell ref="BB57:BF57"/>
    <mergeCell ref="BG57:BK57"/>
    <mergeCell ref="BL57:BP57"/>
    <mergeCell ref="BQ57:BT57"/>
    <mergeCell ref="BU57:BY57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N57:AR57"/>
    <mergeCell ref="AS57:AW57"/>
    <mergeCell ref="AN56:AR56"/>
    <mergeCell ref="AS56:AW56"/>
    <mergeCell ref="AX56:BA56"/>
    <mergeCell ref="BB56:BF56"/>
    <mergeCell ref="BG56:BK56"/>
    <mergeCell ref="BL56:BP56"/>
    <mergeCell ref="BU58:BY58"/>
    <mergeCell ref="A60:BL60"/>
    <mergeCell ref="A61:BK61"/>
    <mergeCell ref="A62:D63"/>
    <mergeCell ref="E62:W63"/>
    <mergeCell ref="X62:AQ62"/>
    <mergeCell ref="AR62:BK62"/>
    <mergeCell ref="X63:AB63"/>
    <mergeCell ref="AC63:AG63"/>
    <mergeCell ref="AN58:AR58"/>
    <mergeCell ref="AS58:AW58"/>
    <mergeCell ref="AX58:BA58"/>
    <mergeCell ref="BB58:BF58"/>
    <mergeCell ref="BG58:BK58"/>
    <mergeCell ref="BL58:BP58"/>
    <mergeCell ref="A58:E58"/>
    <mergeCell ref="F58:T58"/>
    <mergeCell ref="U58:Y58"/>
    <mergeCell ref="Z58:AD58"/>
    <mergeCell ref="AE58:AH58"/>
    <mergeCell ref="AI58:AM58"/>
    <mergeCell ref="A69:BL69"/>
    <mergeCell ref="A70:BK70"/>
    <mergeCell ref="AW67:BA67"/>
    <mergeCell ref="BB67:BF67"/>
    <mergeCell ref="BG67:BK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R64:AV64"/>
    <mergeCell ref="AW64:BA64"/>
    <mergeCell ref="BB64:BF64"/>
    <mergeCell ref="BG64:BK64"/>
    <mergeCell ref="A65:D65"/>
    <mergeCell ref="E65:W65"/>
    <mergeCell ref="X65:AB65"/>
    <mergeCell ref="AC65:AG65"/>
    <mergeCell ref="AH65:AL65"/>
    <mergeCell ref="AM65:AQ65"/>
    <mergeCell ref="A64:D64"/>
    <mergeCell ref="E64:W64"/>
    <mergeCell ref="X64:AB64"/>
    <mergeCell ref="AC64:AG64"/>
    <mergeCell ref="AH64:AL64"/>
    <mergeCell ref="AM64:AQ64"/>
    <mergeCell ref="BB72:BF72"/>
    <mergeCell ref="BG72:BK72"/>
    <mergeCell ref="A73:E73"/>
    <mergeCell ref="F73:W73"/>
    <mergeCell ref="X73:AB73"/>
    <mergeCell ref="AC73:AG73"/>
    <mergeCell ref="AH73:AL73"/>
    <mergeCell ref="AM73:AQ73"/>
    <mergeCell ref="AR73:AV73"/>
    <mergeCell ref="AW73:BA73"/>
    <mergeCell ref="A71:E72"/>
    <mergeCell ref="F71:W72"/>
    <mergeCell ref="X71:AQ71"/>
    <mergeCell ref="AR71:BK71"/>
    <mergeCell ref="X72:AB72"/>
    <mergeCell ref="AC72:AG72"/>
    <mergeCell ref="AH72:AL72"/>
    <mergeCell ref="AM72:AQ72"/>
    <mergeCell ref="AR72:AV72"/>
    <mergeCell ref="AW72:BA72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X81:BA81"/>
    <mergeCell ref="BB81:BF81"/>
    <mergeCell ref="BG81:BK81"/>
    <mergeCell ref="BL81:BP81"/>
    <mergeCell ref="BQ81:BT81"/>
    <mergeCell ref="BU81:BY81"/>
    <mergeCell ref="U81:Y81"/>
    <mergeCell ref="Z81:AD81"/>
    <mergeCell ref="AE81:AH81"/>
    <mergeCell ref="AI81:AM81"/>
    <mergeCell ref="AN81:AR81"/>
    <mergeCell ref="AS81:AW81"/>
    <mergeCell ref="BB75:BF75"/>
    <mergeCell ref="BG75:BK75"/>
    <mergeCell ref="A77:BL77"/>
    <mergeCell ref="A78:BL78"/>
    <mergeCell ref="A79:BY79"/>
    <mergeCell ref="A80:C81"/>
    <mergeCell ref="D80:T81"/>
    <mergeCell ref="U80:AM80"/>
    <mergeCell ref="AN80:BF80"/>
    <mergeCell ref="BG80:BY80"/>
    <mergeCell ref="AX83:BA83"/>
    <mergeCell ref="BB83:BF83"/>
    <mergeCell ref="BG83:BK83"/>
    <mergeCell ref="BL83:BP83"/>
    <mergeCell ref="BQ83:BT83"/>
    <mergeCell ref="BU83:BY83"/>
    <mergeCell ref="BQ82:BT82"/>
    <mergeCell ref="BU82:BY82"/>
    <mergeCell ref="A83:C83"/>
    <mergeCell ref="D83:T83"/>
    <mergeCell ref="U83:Y83"/>
    <mergeCell ref="Z83:AD83"/>
    <mergeCell ref="AE83:AH83"/>
    <mergeCell ref="AI83:AM83"/>
    <mergeCell ref="AN83:AR83"/>
    <mergeCell ref="AS83:AW83"/>
    <mergeCell ref="AN82:AR82"/>
    <mergeCell ref="AS82:AW82"/>
    <mergeCell ref="AX82:BA82"/>
    <mergeCell ref="BB82:BF82"/>
    <mergeCell ref="BG82:BK82"/>
    <mergeCell ref="BL82:BP82"/>
    <mergeCell ref="A82:C82"/>
    <mergeCell ref="D82:T82"/>
    <mergeCell ref="U82:Y82"/>
    <mergeCell ref="Z82:AD82"/>
    <mergeCell ref="AE82:AH82"/>
    <mergeCell ref="AI82:AM82"/>
    <mergeCell ref="AE122:AI122"/>
    <mergeCell ref="AJ122:AN122"/>
    <mergeCell ref="AO122:AS122"/>
    <mergeCell ref="AT122:AX122"/>
    <mergeCell ref="AY122:BC122"/>
    <mergeCell ref="BD122:BH122"/>
    <mergeCell ref="BQ84:BT84"/>
    <mergeCell ref="BU84:BY84"/>
    <mergeCell ref="A119:BL119"/>
    <mergeCell ref="A120:BH120"/>
    <mergeCell ref="A121:C122"/>
    <mergeCell ref="D121:T122"/>
    <mergeCell ref="U121:AN121"/>
    <mergeCell ref="AO121:BH121"/>
    <mergeCell ref="U122:Y122"/>
    <mergeCell ref="Z122:AD122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O124:AS124"/>
    <mergeCell ref="AT124:AX124"/>
    <mergeCell ref="AY124:BC124"/>
    <mergeCell ref="BD124:BH124"/>
    <mergeCell ref="A125:C125"/>
    <mergeCell ref="D125:T125"/>
    <mergeCell ref="U125:Y125"/>
    <mergeCell ref="Z125:AD125"/>
    <mergeCell ref="AE125:AI125"/>
    <mergeCell ref="AJ125:AN125"/>
    <mergeCell ref="AO123:AS123"/>
    <mergeCell ref="AT123:AX123"/>
    <mergeCell ref="AY123:BC123"/>
    <mergeCell ref="BD123:BH123"/>
    <mergeCell ref="A124:C124"/>
    <mergeCell ref="D124:T124"/>
    <mergeCell ref="U124:Y124"/>
    <mergeCell ref="Z124:AD124"/>
    <mergeCell ref="AE124:AI124"/>
    <mergeCell ref="AJ124:AN124"/>
    <mergeCell ref="A123:C123"/>
    <mergeCell ref="D123:T123"/>
    <mergeCell ref="U123:Y123"/>
    <mergeCell ref="Z123:AD123"/>
    <mergeCell ref="AE123:AI123"/>
    <mergeCell ref="AJ123:AN123"/>
    <mergeCell ref="BJ162:BX162"/>
    <mergeCell ref="AF163:AJ163"/>
    <mergeCell ref="AK163:AO163"/>
    <mergeCell ref="AP163:AT163"/>
    <mergeCell ref="AU163:AY163"/>
    <mergeCell ref="AZ163:BD163"/>
    <mergeCell ref="BE163:BI163"/>
    <mergeCell ref="BJ163:BN163"/>
    <mergeCell ref="BO163:BS163"/>
    <mergeCell ref="BT163:BX163"/>
    <mergeCell ref="A162:C163"/>
    <mergeCell ref="D162:P163"/>
    <mergeCell ref="Q162:U163"/>
    <mergeCell ref="V162:AE163"/>
    <mergeCell ref="AF162:AT162"/>
    <mergeCell ref="AU162:BI162"/>
    <mergeCell ref="AO125:AS125"/>
    <mergeCell ref="AT125:AX125"/>
    <mergeCell ref="AY125:BC125"/>
    <mergeCell ref="BD125:BH125"/>
    <mergeCell ref="A160:BL160"/>
    <mergeCell ref="A161:BL161"/>
    <mergeCell ref="BD126:BH126"/>
    <mergeCell ref="A127:C127"/>
    <mergeCell ref="D127:T127"/>
    <mergeCell ref="U127:Y127"/>
    <mergeCell ref="BE165:BI165"/>
    <mergeCell ref="BJ165:BN165"/>
    <mergeCell ref="BO165:BS165"/>
    <mergeCell ref="BT165:BX165"/>
    <mergeCell ref="A166:C166"/>
    <mergeCell ref="D166:P166"/>
    <mergeCell ref="Q166:U166"/>
    <mergeCell ref="V166:AE166"/>
    <mergeCell ref="AF166:AJ166"/>
    <mergeCell ref="AK166:AO166"/>
    <mergeCell ref="BT164:BX164"/>
    <mergeCell ref="A165:C165"/>
    <mergeCell ref="D165:P165"/>
    <mergeCell ref="Q165:U165"/>
    <mergeCell ref="V165:AE165"/>
    <mergeCell ref="AF165:AJ165"/>
    <mergeCell ref="AK165:AO165"/>
    <mergeCell ref="AP165:AT165"/>
    <mergeCell ref="AU165:AY165"/>
    <mergeCell ref="AZ165:BD165"/>
    <mergeCell ref="AP164:AT164"/>
    <mergeCell ref="AU164:AY164"/>
    <mergeCell ref="AZ164:BD164"/>
    <mergeCell ref="BE164:BI164"/>
    <mergeCell ref="BJ164:BN164"/>
    <mergeCell ref="BO164:BS164"/>
    <mergeCell ref="A164:C164"/>
    <mergeCell ref="D164:P164"/>
    <mergeCell ref="Q164:U164"/>
    <mergeCell ref="V164:AE164"/>
    <mergeCell ref="AF164:AJ164"/>
    <mergeCell ref="AK164:AO164"/>
    <mergeCell ref="AP177:AT177"/>
    <mergeCell ref="AU177:AY177"/>
    <mergeCell ref="AZ177:BD177"/>
    <mergeCell ref="BE177:BI177"/>
    <mergeCell ref="A178:C178"/>
    <mergeCell ref="D178:P178"/>
    <mergeCell ref="Q178:U178"/>
    <mergeCell ref="V178:AE178"/>
    <mergeCell ref="AF178:AJ178"/>
    <mergeCell ref="AK178:AO178"/>
    <mergeCell ref="BT166:BX166"/>
    <mergeCell ref="A175:BL175"/>
    <mergeCell ref="A176:C177"/>
    <mergeCell ref="D176:P177"/>
    <mergeCell ref="Q176:U177"/>
    <mergeCell ref="V176:AE177"/>
    <mergeCell ref="AF176:AT176"/>
    <mergeCell ref="AU176:BI176"/>
    <mergeCell ref="AF177:AJ177"/>
    <mergeCell ref="AK177:AO177"/>
    <mergeCell ref="AP166:AT166"/>
    <mergeCell ref="AU166:AY166"/>
    <mergeCell ref="AZ166:BD166"/>
    <mergeCell ref="BE166:BI166"/>
    <mergeCell ref="BJ166:BN166"/>
    <mergeCell ref="BO166:BS166"/>
    <mergeCell ref="AP179:AT179"/>
    <mergeCell ref="AU179:AY179"/>
    <mergeCell ref="AZ179:BD179"/>
    <mergeCell ref="BE179:BI179"/>
    <mergeCell ref="A180:C180"/>
    <mergeCell ref="D180:P180"/>
    <mergeCell ref="Q180:U180"/>
    <mergeCell ref="V180:AE180"/>
    <mergeCell ref="AF180:AJ180"/>
    <mergeCell ref="AK180:AO180"/>
    <mergeCell ref="AP178:AT178"/>
    <mergeCell ref="AU178:AY178"/>
    <mergeCell ref="AZ178:BD178"/>
    <mergeCell ref="BE178:BI178"/>
    <mergeCell ref="A179:C179"/>
    <mergeCell ref="D179:P179"/>
    <mergeCell ref="Q179:U179"/>
    <mergeCell ref="V179:AE179"/>
    <mergeCell ref="AF179:AJ179"/>
    <mergeCell ref="AK179:AO179"/>
    <mergeCell ref="AO192:AS192"/>
    <mergeCell ref="AT192:AX192"/>
    <mergeCell ref="AY192:BC192"/>
    <mergeCell ref="BD192:BH192"/>
    <mergeCell ref="BI192:BM192"/>
    <mergeCell ref="BN192:BR192"/>
    <mergeCell ref="A191:T192"/>
    <mergeCell ref="U191:AD191"/>
    <mergeCell ref="AE191:AN191"/>
    <mergeCell ref="AO191:AX191"/>
    <mergeCell ref="AY191:BH191"/>
    <mergeCell ref="BI191:BR191"/>
    <mergeCell ref="U192:Y192"/>
    <mergeCell ref="Z192:AD192"/>
    <mergeCell ref="AE192:AI192"/>
    <mergeCell ref="AJ192:AN192"/>
    <mergeCell ref="AP180:AT180"/>
    <mergeCell ref="AU180:AY180"/>
    <mergeCell ref="AZ180:BD180"/>
    <mergeCell ref="BE180:BI180"/>
    <mergeCell ref="A189:BL189"/>
    <mergeCell ref="A190:BR190"/>
    <mergeCell ref="BE181:BI181"/>
    <mergeCell ref="A182:C182"/>
    <mergeCell ref="D182:P182"/>
    <mergeCell ref="Q182:U182"/>
    <mergeCell ref="AO194:AS194"/>
    <mergeCell ref="AT194:AX194"/>
    <mergeCell ref="AY194:BC194"/>
    <mergeCell ref="BD194:BH194"/>
    <mergeCell ref="BI194:BM194"/>
    <mergeCell ref="BN194:BR194"/>
    <mergeCell ref="AT193:AX193"/>
    <mergeCell ref="AY193:BC193"/>
    <mergeCell ref="BD193:BH193"/>
    <mergeCell ref="BI193:BM193"/>
    <mergeCell ref="BN193:BR193"/>
    <mergeCell ref="A194:T194"/>
    <mergeCell ref="U194:Y194"/>
    <mergeCell ref="Z194:AD194"/>
    <mergeCell ref="AE194:AI194"/>
    <mergeCell ref="AJ194:AN194"/>
    <mergeCell ref="A193:T193"/>
    <mergeCell ref="U193:Y193"/>
    <mergeCell ref="Z193:AD193"/>
    <mergeCell ref="AE193:AI193"/>
    <mergeCell ref="AJ193:AN193"/>
    <mergeCell ref="AO193:AS193"/>
    <mergeCell ref="A210:C212"/>
    <mergeCell ref="D210:V212"/>
    <mergeCell ref="W210:AH210"/>
    <mergeCell ref="AI210:AT210"/>
    <mergeCell ref="AU210:AZ210"/>
    <mergeCell ref="BA210:BF210"/>
    <mergeCell ref="AT195:AX195"/>
    <mergeCell ref="AY195:BC195"/>
    <mergeCell ref="BD195:BH195"/>
    <mergeCell ref="BI195:BM195"/>
    <mergeCell ref="BN195:BR195"/>
    <mergeCell ref="A209:BL209"/>
    <mergeCell ref="BI196:BM196"/>
    <mergeCell ref="BN196:BR196"/>
    <mergeCell ref="A197:T197"/>
    <mergeCell ref="U197:Y197"/>
    <mergeCell ref="A195:T195"/>
    <mergeCell ref="U195:Y195"/>
    <mergeCell ref="Z195:AD195"/>
    <mergeCell ref="AE195:AI195"/>
    <mergeCell ref="AJ195:AN195"/>
    <mergeCell ref="AO195:AS195"/>
    <mergeCell ref="W212:Y212"/>
    <mergeCell ref="Z212:AB212"/>
    <mergeCell ref="AC212:AE212"/>
    <mergeCell ref="AF212:AH212"/>
    <mergeCell ref="AI212:AK212"/>
    <mergeCell ref="AL212:AN212"/>
    <mergeCell ref="AO212:AQ212"/>
    <mergeCell ref="AR212:AT212"/>
    <mergeCell ref="BG210:BL210"/>
    <mergeCell ref="W211:AB211"/>
    <mergeCell ref="AC211:AH211"/>
    <mergeCell ref="AI211:AN211"/>
    <mergeCell ref="AO211:AT211"/>
    <mergeCell ref="AU211:AW212"/>
    <mergeCell ref="AX211:AZ212"/>
    <mergeCell ref="BA211:BC212"/>
    <mergeCell ref="BD211:BF212"/>
    <mergeCell ref="BG211:BI212"/>
    <mergeCell ref="A215:C215"/>
    <mergeCell ref="D215:V215"/>
    <mergeCell ref="W215:Y215"/>
    <mergeCell ref="Z215:AB215"/>
    <mergeCell ref="AC215:AE215"/>
    <mergeCell ref="AF215:AH215"/>
    <mergeCell ref="AI214:AK214"/>
    <mergeCell ref="AL214:AN214"/>
    <mergeCell ref="AO214:AQ214"/>
    <mergeCell ref="AR214:AT214"/>
    <mergeCell ref="AU214:AW214"/>
    <mergeCell ref="AX214:AZ214"/>
    <mergeCell ref="BA213:BC213"/>
    <mergeCell ref="BD213:BF213"/>
    <mergeCell ref="BG213:BI213"/>
    <mergeCell ref="BJ213:BL213"/>
    <mergeCell ref="A214:C214"/>
    <mergeCell ref="D214:V214"/>
    <mergeCell ref="W214:Y214"/>
    <mergeCell ref="Z214:AB214"/>
    <mergeCell ref="AC214:AE214"/>
    <mergeCell ref="AF214:AH214"/>
    <mergeCell ref="AI213:AK213"/>
    <mergeCell ref="AL213:AN213"/>
    <mergeCell ref="AO213:AQ213"/>
    <mergeCell ref="AR213:AT213"/>
    <mergeCell ref="AU213:AW213"/>
    <mergeCell ref="AX213:AZ213"/>
    <mergeCell ref="A213:C213"/>
    <mergeCell ref="D213:V213"/>
    <mergeCell ref="W213:Y213"/>
    <mergeCell ref="Z213:AB213"/>
    <mergeCell ref="AP224:AT224"/>
    <mergeCell ref="AU224:AY224"/>
    <mergeCell ref="AZ224:BD224"/>
    <mergeCell ref="BE224:BI224"/>
    <mergeCell ref="BJ224:BN224"/>
    <mergeCell ref="BO224:BS224"/>
    <mergeCell ref="A222:BS222"/>
    <mergeCell ref="A223:F224"/>
    <mergeCell ref="G223:S224"/>
    <mergeCell ref="T223:Z224"/>
    <mergeCell ref="AA223:AO223"/>
    <mergeCell ref="AP223:BD223"/>
    <mergeCell ref="BE223:BS223"/>
    <mergeCell ref="AA224:AE224"/>
    <mergeCell ref="AF224:AJ224"/>
    <mergeCell ref="AK224:AO224"/>
    <mergeCell ref="BA215:BC215"/>
    <mergeCell ref="BD215:BF215"/>
    <mergeCell ref="BG215:BI215"/>
    <mergeCell ref="BJ215:BL215"/>
    <mergeCell ref="A220:BL220"/>
    <mergeCell ref="A221:BS221"/>
    <mergeCell ref="A216:C216"/>
    <mergeCell ref="D216:V216"/>
    <mergeCell ref="W216:Y216"/>
    <mergeCell ref="Z216:AB216"/>
    <mergeCell ref="AI215:AK215"/>
    <mergeCell ref="AL215:AN215"/>
    <mergeCell ref="AO215:AQ215"/>
    <mergeCell ref="AR215:AT215"/>
    <mergeCell ref="AU215:AW215"/>
    <mergeCell ref="AX215:AZ215"/>
    <mergeCell ref="AF227:AJ227"/>
    <mergeCell ref="AK227:AO227"/>
    <mergeCell ref="AP226:AT226"/>
    <mergeCell ref="AU226:AY226"/>
    <mergeCell ref="AZ226:BD226"/>
    <mergeCell ref="BE226:BI226"/>
    <mergeCell ref="BJ226:BN226"/>
    <mergeCell ref="BO226:BS226"/>
    <mergeCell ref="A226:F226"/>
    <mergeCell ref="G226:S226"/>
    <mergeCell ref="T226:Z226"/>
    <mergeCell ref="AA226:AE226"/>
    <mergeCell ref="AF226:AJ226"/>
    <mergeCell ref="AK226:AO226"/>
    <mergeCell ref="AP225:AT225"/>
    <mergeCell ref="AU225:AY225"/>
    <mergeCell ref="AZ225:BD225"/>
    <mergeCell ref="BE225:BI225"/>
    <mergeCell ref="BJ225:BN225"/>
    <mergeCell ref="BO225:BS225"/>
    <mergeCell ref="A225:F225"/>
    <mergeCell ref="G225:S225"/>
    <mergeCell ref="T225:Z225"/>
    <mergeCell ref="AA225:AE225"/>
    <mergeCell ref="AF225:AJ225"/>
    <mergeCell ref="AK225:AO225"/>
    <mergeCell ref="AP233:AT233"/>
    <mergeCell ref="AU233:AY233"/>
    <mergeCell ref="AZ233:BD233"/>
    <mergeCell ref="A234:F234"/>
    <mergeCell ref="G234:S234"/>
    <mergeCell ref="T234:Z234"/>
    <mergeCell ref="AA234:AE234"/>
    <mergeCell ref="AF234:AJ234"/>
    <mergeCell ref="AK234:AO234"/>
    <mergeCell ref="AP234:AT234"/>
    <mergeCell ref="A230:BL230"/>
    <mergeCell ref="A231:BD231"/>
    <mergeCell ref="A232:F233"/>
    <mergeCell ref="G232:S233"/>
    <mergeCell ref="T232:Z233"/>
    <mergeCell ref="AA232:AO232"/>
    <mergeCell ref="AP232:BD232"/>
    <mergeCell ref="AA233:AE233"/>
    <mergeCell ref="AF233:AJ233"/>
    <mergeCell ref="AK233:AO233"/>
    <mergeCell ref="AZ235:BD235"/>
    <mergeCell ref="A236:F236"/>
    <mergeCell ref="G236:S236"/>
    <mergeCell ref="T236:Z236"/>
    <mergeCell ref="AA236:AE236"/>
    <mergeCell ref="AF236:AJ236"/>
    <mergeCell ref="AK236:AO236"/>
    <mergeCell ref="AP236:AT236"/>
    <mergeCell ref="AU236:AY236"/>
    <mergeCell ref="AZ236:BD236"/>
    <mergeCell ref="AU234:AY234"/>
    <mergeCell ref="AZ234:BD234"/>
    <mergeCell ref="A235:F235"/>
    <mergeCell ref="G235:S235"/>
    <mergeCell ref="T235:Z235"/>
    <mergeCell ref="AA235:AE235"/>
    <mergeCell ref="AF235:AJ235"/>
    <mergeCell ref="AK235:AO235"/>
    <mergeCell ref="AP235:AT235"/>
    <mergeCell ref="AU235:AY235"/>
    <mergeCell ref="BG242:BJ242"/>
    <mergeCell ref="BK242:BO242"/>
    <mergeCell ref="BP242:BS242"/>
    <mergeCell ref="A243:M243"/>
    <mergeCell ref="N243:U243"/>
    <mergeCell ref="V243:Z243"/>
    <mergeCell ref="AA243:AE243"/>
    <mergeCell ref="AF243:AI243"/>
    <mergeCell ref="AJ243:AN243"/>
    <mergeCell ref="AA242:AE242"/>
    <mergeCell ref="AF242:AI242"/>
    <mergeCell ref="AJ242:AN242"/>
    <mergeCell ref="AO242:AR242"/>
    <mergeCell ref="AS242:AW242"/>
    <mergeCell ref="AX242:BA242"/>
    <mergeCell ref="A239:BL239"/>
    <mergeCell ref="A240:BM240"/>
    <mergeCell ref="A241:M242"/>
    <mergeCell ref="N241:U242"/>
    <mergeCell ref="V241:Z242"/>
    <mergeCell ref="AA241:AI241"/>
    <mergeCell ref="AJ241:AR241"/>
    <mergeCell ref="AS241:BA241"/>
    <mergeCell ref="BB241:BJ241"/>
    <mergeCell ref="BK241:BS241"/>
    <mergeCell ref="BG244:BJ244"/>
    <mergeCell ref="BK244:BO244"/>
    <mergeCell ref="BP244:BS244"/>
    <mergeCell ref="A245:M245"/>
    <mergeCell ref="N245:U245"/>
    <mergeCell ref="V245:Z245"/>
    <mergeCell ref="AA245:AE245"/>
    <mergeCell ref="AF245:AI245"/>
    <mergeCell ref="AJ245:AN245"/>
    <mergeCell ref="BP243:BS243"/>
    <mergeCell ref="A244:M244"/>
    <mergeCell ref="N244:U244"/>
    <mergeCell ref="V244:Z244"/>
    <mergeCell ref="AA244:AE244"/>
    <mergeCell ref="AF244:AI244"/>
    <mergeCell ref="AJ244:AN244"/>
    <mergeCell ref="AO244:AR244"/>
    <mergeCell ref="AS244:AW244"/>
    <mergeCell ref="AX244:BA244"/>
    <mergeCell ref="AO243:AR243"/>
    <mergeCell ref="AS243:AW243"/>
    <mergeCell ref="AX243:BA243"/>
    <mergeCell ref="BB243:BF243"/>
    <mergeCell ref="BG243:BJ243"/>
    <mergeCell ref="BK243:BO243"/>
    <mergeCell ref="BG253:BL254"/>
    <mergeCell ref="AW254:BA254"/>
    <mergeCell ref="BB254:BF254"/>
    <mergeCell ref="A255:F255"/>
    <mergeCell ref="G255:S255"/>
    <mergeCell ref="T255:Y255"/>
    <mergeCell ref="Z255:AD255"/>
    <mergeCell ref="AE255:AJ255"/>
    <mergeCell ref="A253:F254"/>
    <mergeCell ref="G253:S254"/>
    <mergeCell ref="T253:Y254"/>
    <mergeCell ref="Z253:AD254"/>
    <mergeCell ref="AE253:AJ254"/>
    <mergeCell ref="AK253:AP254"/>
    <mergeCell ref="BP245:BS245"/>
    <mergeCell ref="A247:BL247"/>
    <mergeCell ref="A248:BL248"/>
    <mergeCell ref="A250:BL250"/>
    <mergeCell ref="A251:BL251"/>
    <mergeCell ref="A252:BL252"/>
    <mergeCell ref="AO245:AR245"/>
    <mergeCell ref="AS245:AW245"/>
    <mergeCell ref="AX245:BA245"/>
    <mergeCell ref="BB245:BF245"/>
    <mergeCell ref="BG245:BJ245"/>
    <mergeCell ref="BK245:BO245"/>
    <mergeCell ref="BG257:BL257"/>
    <mergeCell ref="A260:BL260"/>
    <mergeCell ref="BG258:BL258"/>
    <mergeCell ref="AK256:AP256"/>
    <mergeCell ref="AQ256:AV256"/>
    <mergeCell ref="AW256:BA256"/>
    <mergeCell ref="BB256:BF256"/>
    <mergeCell ref="BG256:BL256"/>
    <mergeCell ref="A257:F257"/>
    <mergeCell ref="G257:S257"/>
    <mergeCell ref="T257:Y257"/>
    <mergeCell ref="Z257:AD257"/>
    <mergeCell ref="AE257:AJ257"/>
    <mergeCell ref="AK255:AP255"/>
    <mergeCell ref="AQ255:AV255"/>
    <mergeCell ref="AW255:BA255"/>
    <mergeCell ref="BB255:BF255"/>
    <mergeCell ref="BG255:BL255"/>
    <mergeCell ref="A256:F256"/>
    <mergeCell ref="G256:S256"/>
    <mergeCell ref="T256:Y256"/>
    <mergeCell ref="Z256:AD256"/>
    <mergeCell ref="AE256:AJ256"/>
    <mergeCell ref="AT263:AW264"/>
    <mergeCell ref="AX263:BG263"/>
    <mergeCell ref="BH263:BL264"/>
    <mergeCell ref="Z264:AD264"/>
    <mergeCell ref="AE264:AI264"/>
    <mergeCell ref="AX264:BB264"/>
    <mergeCell ref="BC264:BG264"/>
    <mergeCell ref="A261:BL261"/>
    <mergeCell ref="A262:F264"/>
    <mergeCell ref="G262:P264"/>
    <mergeCell ref="Q262:AN262"/>
    <mergeCell ref="AO262:BL262"/>
    <mergeCell ref="Q263:U264"/>
    <mergeCell ref="V263:Y264"/>
    <mergeCell ref="Z263:AI263"/>
    <mergeCell ref="AJ263:AN264"/>
    <mergeCell ref="AO263:AS264"/>
    <mergeCell ref="AJ266:AN266"/>
    <mergeCell ref="AO266:AS266"/>
    <mergeCell ref="AT266:AW266"/>
    <mergeCell ref="AX266:BB266"/>
    <mergeCell ref="BC266:BG266"/>
    <mergeCell ref="BH266:BL266"/>
    <mergeCell ref="A266:F266"/>
    <mergeCell ref="G266:P266"/>
    <mergeCell ref="Q266:U266"/>
    <mergeCell ref="V266:Y266"/>
    <mergeCell ref="Z266:AD266"/>
    <mergeCell ref="AE266:AI266"/>
    <mergeCell ref="AJ265:AN265"/>
    <mergeCell ref="AO265:AS265"/>
    <mergeCell ref="AT265:AW265"/>
    <mergeCell ref="AX265:BB265"/>
    <mergeCell ref="BC265:BG265"/>
    <mergeCell ref="BH265:BL265"/>
    <mergeCell ref="A265:F265"/>
    <mergeCell ref="G265:P265"/>
    <mergeCell ref="Q265:U265"/>
    <mergeCell ref="V265:Y265"/>
    <mergeCell ref="Z265:AD265"/>
    <mergeCell ref="AE265:AI265"/>
    <mergeCell ref="Z272:AD273"/>
    <mergeCell ref="AE272:AJ273"/>
    <mergeCell ref="AK272:AP273"/>
    <mergeCell ref="AQ272:AV273"/>
    <mergeCell ref="AW272:BD273"/>
    <mergeCell ref="AJ267:AN267"/>
    <mergeCell ref="AO267:AS267"/>
    <mergeCell ref="AT267:AW267"/>
    <mergeCell ref="AX267:BB267"/>
    <mergeCell ref="BC267:BG267"/>
    <mergeCell ref="BH267:BL267"/>
    <mergeCell ref="A267:F267"/>
    <mergeCell ref="G267:P267"/>
    <mergeCell ref="Q267:U267"/>
    <mergeCell ref="V267:Y267"/>
    <mergeCell ref="Z267:AD267"/>
    <mergeCell ref="AE267:AI267"/>
    <mergeCell ref="A282:BL282"/>
    <mergeCell ref="A283:BL283"/>
    <mergeCell ref="AK277:AP277"/>
    <mergeCell ref="AQ277:AV277"/>
    <mergeCell ref="AW277:BD277"/>
    <mergeCell ref="BE277:BL277"/>
    <mergeCell ref="AQ275:AV275"/>
    <mergeCell ref="AW275:BD275"/>
    <mergeCell ref="BE275:BL275"/>
    <mergeCell ref="A276:F276"/>
    <mergeCell ref="G276:S276"/>
    <mergeCell ref="T276:Y276"/>
    <mergeCell ref="Z276:AD276"/>
    <mergeCell ref="AE276:AJ276"/>
    <mergeCell ref="AK276:AP276"/>
    <mergeCell ref="AQ276:AV276"/>
    <mergeCell ref="A275:F275"/>
    <mergeCell ref="G275:S275"/>
    <mergeCell ref="T275:Y275"/>
    <mergeCell ref="Z275:AD275"/>
    <mergeCell ref="AE275:AJ275"/>
    <mergeCell ref="AK275:AP275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88:AA288"/>
    <mergeCell ref="AH288:AP288"/>
    <mergeCell ref="AU288:BF288"/>
    <mergeCell ref="AH289:AP289"/>
    <mergeCell ref="AU289:BF289"/>
    <mergeCell ref="A31:D31"/>
    <mergeCell ref="E31:T31"/>
    <mergeCell ref="U31:Y31"/>
    <mergeCell ref="Z31:AD31"/>
    <mergeCell ref="AE31:AH31"/>
    <mergeCell ref="A284:BL284"/>
    <mergeCell ref="A285:AA285"/>
    <mergeCell ref="AH285:AP285"/>
    <mergeCell ref="AU285:BF285"/>
    <mergeCell ref="AH286:AP286"/>
    <mergeCell ref="AU286:BF286"/>
    <mergeCell ref="AW276:BD276"/>
    <mergeCell ref="BE276:BL276"/>
    <mergeCell ref="A279:BL279"/>
    <mergeCell ref="A280:BL280"/>
    <mergeCell ref="A67:D67"/>
    <mergeCell ref="E67:W67"/>
    <mergeCell ref="X67:AB67"/>
    <mergeCell ref="AC67:AG67"/>
    <mergeCell ref="AH67:AL67"/>
    <mergeCell ref="AM67:AQ67"/>
    <mergeCell ref="AR67:AV67"/>
    <mergeCell ref="BU50:BY50"/>
    <mergeCell ref="AS50:AW50"/>
    <mergeCell ref="AX50:BA50"/>
    <mergeCell ref="BB50:BF50"/>
    <mergeCell ref="BG50:BK50"/>
    <mergeCell ref="BL50:BP50"/>
    <mergeCell ref="BQ50:BT50"/>
    <mergeCell ref="A50:D50"/>
    <mergeCell ref="E50:T50"/>
    <mergeCell ref="U50:Y50"/>
    <mergeCell ref="Z50:AD50"/>
    <mergeCell ref="AE50:AH50"/>
    <mergeCell ref="AI50:AM50"/>
    <mergeCell ref="AN50:AR50"/>
    <mergeCell ref="AR66:AV66"/>
    <mergeCell ref="AW66:BA66"/>
    <mergeCell ref="BB66:BF66"/>
    <mergeCell ref="BG66:BK66"/>
    <mergeCell ref="AH63:AL63"/>
    <mergeCell ref="AM63:AQ63"/>
    <mergeCell ref="AR63:AV63"/>
    <mergeCell ref="AW63:BA63"/>
    <mergeCell ref="BB63:BF63"/>
    <mergeCell ref="BG63:BK63"/>
    <mergeCell ref="BQ58:BT58"/>
    <mergeCell ref="BU85:BY85"/>
    <mergeCell ref="A86:C86"/>
    <mergeCell ref="D86:T86"/>
    <mergeCell ref="U86:Y86"/>
    <mergeCell ref="Z86:AD86"/>
    <mergeCell ref="AE86:AH86"/>
    <mergeCell ref="AI86:AM86"/>
    <mergeCell ref="AN86:AR86"/>
    <mergeCell ref="AS86:AW86"/>
    <mergeCell ref="AX86:BA86"/>
    <mergeCell ref="AS85:AW85"/>
    <mergeCell ref="AX85:BA85"/>
    <mergeCell ref="BB85:BF85"/>
    <mergeCell ref="BG85:BK85"/>
    <mergeCell ref="BL85:BP85"/>
    <mergeCell ref="BQ85:BT85"/>
    <mergeCell ref="A85:C85"/>
    <mergeCell ref="D85:T85"/>
    <mergeCell ref="U85:Y85"/>
    <mergeCell ref="Z85:AD85"/>
    <mergeCell ref="AE85:AH85"/>
    <mergeCell ref="AI85:AM85"/>
    <mergeCell ref="AN85:AR85"/>
    <mergeCell ref="BL87:BP87"/>
    <mergeCell ref="BQ87:BT87"/>
    <mergeCell ref="BU87:BY87"/>
    <mergeCell ref="A88:C88"/>
    <mergeCell ref="D88:T88"/>
    <mergeCell ref="U88:Y88"/>
    <mergeCell ref="Z88:AD88"/>
    <mergeCell ref="AE88:AH88"/>
    <mergeCell ref="AI88:AM88"/>
    <mergeCell ref="AN88:AR88"/>
    <mergeCell ref="AI87:AM87"/>
    <mergeCell ref="AN87:AR87"/>
    <mergeCell ref="AS87:AW87"/>
    <mergeCell ref="AX87:BA87"/>
    <mergeCell ref="BB87:BF87"/>
    <mergeCell ref="BG87:BK87"/>
    <mergeCell ref="BB86:BF86"/>
    <mergeCell ref="BG86:BK86"/>
    <mergeCell ref="BL86:BP86"/>
    <mergeCell ref="BQ86:BT86"/>
    <mergeCell ref="BU86:BY86"/>
    <mergeCell ref="A87:C87"/>
    <mergeCell ref="D87:T87"/>
    <mergeCell ref="U87:Y87"/>
    <mergeCell ref="Z87:AD87"/>
    <mergeCell ref="AE87:AH87"/>
    <mergeCell ref="BB89:BF89"/>
    <mergeCell ref="BG89:BK89"/>
    <mergeCell ref="BL89:BP89"/>
    <mergeCell ref="BQ89:BT89"/>
    <mergeCell ref="BU89:BY89"/>
    <mergeCell ref="A90:C90"/>
    <mergeCell ref="D90:T90"/>
    <mergeCell ref="U90:Y90"/>
    <mergeCell ref="Z90:AD90"/>
    <mergeCell ref="AE90:AH90"/>
    <mergeCell ref="BU88:BY88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X89:BA89"/>
    <mergeCell ref="AS88:AW88"/>
    <mergeCell ref="AX88:BA88"/>
    <mergeCell ref="BB88:BF88"/>
    <mergeCell ref="BG88:BK88"/>
    <mergeCell ref="BL88:BP88"/>
    <mergeCell ref="BQ88:BT88"/>
    <mergeCell ref="BU91:BY91"/>
    <mergeCell ref="A92:C92"/>
    <mergeCell ref="D92:T92"/>
    <mergeCell ref="U92:Y92"/>
    <mergeCell ref="Z92:AD92"/>
    <mergeCell ref="AE92:AH92"/>
    <mergeCell ref="AI92:AM92"/>
    <mergeCell ref="AN92:AR92"/>
    <mergeCell ref="AS92:AW92"/>
    <mergeCell ref="AX92:BA92"/>
    <mergeCell ref="AS91:AW91"/>
    <mergeCell ref="AX91:BA91"/>
    <mergeCell ref="BB91:BF91"/>
    <mergeCell ref="BG91:BK91"/>
    <mergeCell ref="BL91:BP91"/>
    <mergeCell ref="BQ91:BT91"/>
    <mergeCell ref="BL90:BP90"/>
    <mergeCell ref="BQ90:BT90"/>
    <mergeCell ref="BU90:BY90"/>
    <mergeCell ref="A91:C91"/>
    <mergeCell ref="D91:T91"/>
    <mergeCell ref="U91:Y91"/>
    <mergeCell ref="Z91:AD91"/>
    <mergeCell ref="AE91:AH91"/>
    <mergeCell ref="AI91:AM91"/>
    <mergeCell ref="AN91:AR91"/>
    <mergeCell ref="AI90:AM90"/>
    <mergeCell ref="AN90:AR90"/>
    <mergeCell ref="AS90:AW90"/>
    <mergeCell ref="AX90:BA90"/>
    <mergeCell ref="BB90:BF90"/>
    <mergeCell ref="BG90:BK90"/>
    <mergeCell ref="BL93:BP93"/>
    <mergeCell ref="BQ93:BT93"/>
    <mergeCell ref="BU93:BY93"/>
    <mergeCell ref="A94:C94"/>
    <mergeCell ref="D94:T94"/>
    <mergeCell ref="U94:Y94"/>
    <mergeCell ref="Z94:AD94"/>
    <mergeCell ref="AE94:AH94"/>
    <mergeCell ref="AI94:AM94"/>
    <mergeCell ref="AN94:AR94"/>
    <mergeCell ref="AI93:AM93"/>
    <mergeCell ref="AN93:AR93"/>
    <mergeCell ref="AS93:AW93"/>
    <mergeCell ref="AX93:BA93"/>
    <mergeCell ref="BB93:BF93"/>
    <mergeCell ref="BG93:BK93"/>
    <mergeCell ref="BB92:BF92"/>
    <mergeCell ref="BG92:BK92"/>
    <mergeCell ref="BL92:BP92"/>
    <mergeCell ref="BQ92:BT92"/>
    <mergeCell ref="BU92:BY92"/>
    <mergeCell ref="A93:C93"/>
    <mergeCell ref="D93:T93"/>
    <mergeCell ref="U93:Y93"/>
    <mergeCell ref="Z93:AD93"/>
    <mergeCell ref="AE93:AH93"/>
    <mergeCell ref="BB95:BF95"/>
    <mergeCell ref="BG95:BK95"/>
    <mergeCell ref="BL95:BP95"/>
    <mergeCell ref="BQ95:BT95"/>
    <mergeCell ref="BU95:BY95"/>
    <mergeCell ref="A96:C96"/>
    <mergeCell ref="D96:T96"/>
    <mergeCell ref="U96:Y96"/>
    <mergeCell ref="Z96:AD96"/>
    <mergeCell ref="AE96:AH96"/>
    <mergeCell ref="BU94:BY94"/>
    <mergeCell ref="A95:C95"/>
    <mergeCell ref="D95:T95"/>
    <mergeCell ref="U95:Y95"/>
    <mergeCell ref="Z95:AD95"/>
    <mergeCell ref="AE95:AH95"/>
    <mergeCell ref="AI95:AM95"/>
    <mergeCell ref="AN95:AR95"/>
    <mergeCell ref="AS95:AW95"/>
    <mergeCell ref="AX95:BA95"/>
    <mergeCell ref="AS94:AW94"/>
    <mergeCell ref="AX94:BA94"/>
    <mergeCell ref="BB94:BF94"/>
    <mergeCell ref="BG94:BK94"/>
    <mergeCell ref="BL94:BP94"/>
    <mergeCell ref="BQ94:BT94"/>
    <mergeCell ref="BU97:BY97"/>
    <mergeCell ref="A98:C98"/>
    <mergeCell ref="D98:T98"/>
    <mergeCell ref="U98:Y98"/>
    <mergeCell ref="Z98:AD98"/>
    <mergeCell ref="AE98:AH98"/>
    <mergeCell ref="AI98:AM98"/>
    <mergeCell ref="AN98:AR98"/>
    <mergeCell ref="AS98:AW98"/>
    <mergeCell ref="AX98:BA98"/>
    <mergeCell ref="AS97:AW97"/>
    <mergeCell ref="AX97:BA97"/>
    <mergeCell ref="BB97:BF97"/>
    <mergeCell ref="BG97:BK97"/>
    <mergeCell ref="BL97:BP97"/>
    <mergeCell ref="BQ97:BT97"/>
    <mergeCell ref="BL96:BP96"/>
    <mergeCell ref="BQ96:BT96"/>
    <mergeCell ref="BU96:BY96"/>
    <mergeCell ref="A97:C97"/>
    <mergeCell ref="D97:T97"/>
    <mergeCell ref="U97:Y97"/>
    <mergeCell ref="Z97:AD97"/>
    <mergeCell ref="AE97:AH97"/>
    <mergeCell ref="AI97:AM97"/>
    <mergeCell ref="AN97:AR97"/>
    <mergeCell ref="AI96:AM96"/>
    <mergeCell ref="AN96:AR96"/>
    <mergeCell ref="AS96:AW96"/>
    <mergeCell ref="AX96:BA96"/>
    <mergeCell ref="BB96:BF96"/>
    <mergeCell ref="BG96:BK96"/>
    <mergeCell ref="BL99:BP99"/>
    <mergeCell ref="BQ99:BT99"/>
    <mergeCell ref="BU99:BY99"/>
    <mergeCell ref="A100:C100"/>
    <mergeCell ref="D100:T100"/>
    <mergeCell ref="U100:Y100"/>
    <mergeCell ref="Z100:AD100"/>
    <mergeCell ref="AE100:AH100"/>
    <mergeCell ref="AI100:AM100"/>
    <mergeCell ref="AN100:AR100"/>
    <mergeCell ref="AI99:AM99"/>
    <mergeCell ref="AN99:AR99"/>
    <mergeCell ref="AS99:AW99"/>
    <mergeCell ref="AX99:BA99"/>
    <mergeCell ref="BB99:BF99"/>
    <mergeCell ref="BG99:BK99"/>
    <mergeCell ref="BB98:BF98"/>
    <mergeCell ref="BG98:BK98"/>
    <mergeCell ref="BL98:BP98"/>
    <mergeCell ref="BQ98:BT98"/>
    <mergeCell ref="BU98:BY98"/>
    <mergeCell ref="A99:C99"/>
    <mergeCell ref="D99:T99"/>
    <mergeCell ref="U99:Y99"/>
    <mergeCell ref="Z99:AD99"/>
    <mergeCell ref="AE99:AH99"/>
    <mergeCell ref="BB101:BF101"/>
    <mergeCell ref="BG101:BK101"/>
    <mergeCell ref="BL101:BP101"/>
    <mergeCell ref="BQ101:BT101"/>
    <mergeCell ref="BU101:BY101"/>
    <mergeCell ref="A102:C102"/>
    <mergeCell ref="D102:T102"/>
    <mergeCell ref="U102:Y102"/>
    <mergeCell ref="Z102:AD102"/>
    <mergeCell ref="AE102:AH102"/>
    <mergeCell ref="BU100:BY100"/>
    <mergeCell ref="A101:C101"/>
    <mergeCell ref="D101:T101"/>
    <mergeCell ref="U101:Y101"/>
    <mergeCell ref="Z101:AD101"/>
    <mergeCell ref="AE101:AH101"/>
    <mergeCell ref="AI101:AM101"/>
    <mergeCell ref="AN101:AR101"/>
    <mergeCell ref="AS101:AW101"/>
    <mergeCell ref="AX101:BA101"/>
    <mergeCell ref="AS100:AW100"/>
    <mergeCell ref="AX100:BA100"/>
    <mergeCell ref="BB100:BF100"/>
    <mergeCell ref="BG100:BK100"/>
    <mergeCell ref="BL100:BP100"/>
    <mergeCell ref="BQ100:BT100"/>
    <mergeCell ref="BU103:BY103"/>
    <mergeCell ref="A104:C104"/>
    <mergeCell ref="D104:T104"/>
    <mergeCell ref="U104:Y104"/>
    <mergeCell ref="Z104:AD104"/>
    <mergeCell ref="AE104:AH104"/>
    <mergeCell ref="AI104:AM104"/>
    <mergeCell ref="AN104:AR104"/>
    <mergeCell ref="AS104:AW104"/>
    <mergeCell ref="AX104:BA104"/>
    <mergeCell ref="AS103:AW103"/>
    <mergeCell ref="AX103:BA103"/>
    <mergeCell ref="BB103:BF103"/>
    <mergeCell ref="BG103:BK103"/>
    <mergeCell ref="BL103:BP103"/>
    <mergeCell ref="BQ103:BT103"/>
    <mergeCell ref="BL102:BP102"/>
    <mergeCell ref="BQ102:BT102"/>
    <mergeCell ref="BU102:BY102"/>
    <mergeCell ref="A103:C103"/>
    <mergeCell ref="D103:T103"/>
    <mergeCell ref="U103:Y103"/>
    <mergeCell ref="Z103:AD103"/>
    <mergeCell ref="AE103:AH103"/>
    <mergeCell ref="AI103:AM103"/>
    <mergeCell ref="AN103:AR103"/>
    <mergeCell ref="AI102:AM102"/>
    <mergeCell ref="AN102:AR102"/>
    <mergeCell ref="AS102:AW102"/>
    <mergeCell ref="AX102:BA102"/>
    <mergeCell ref="BB102:BF102"/>
    <mergeCell ref="BG102:BK102"/>
    <mergeCell ref="BL105:BP105"/>
    <mergeCell ref="BQ105:BT105"/>
    <mergeCell ref="BU105:BY105"/>
    <mergeCell ref="A106:C106"/>
    <mergeCell ref="D106:T106"/>
    <mergeCell ref="U106:Y106"/>
    <mergeCell ref="Z106:AD106"/>
    <mergeCell ref="AE106:AH106"/>
    <mergeCell ref="AI106:AM106"/>
    <mergeCell ref="AN106:AR106"/>
    <mergeCell ref="AI105:AM105"/>
    <mergeCell ref="AN105:AR105"/>
    <mergeCell ref="AS105:AW105"/>
    <mergeCell ref="AX105:BA105"/>
    <mergeCell ref="BB105:BF105"/>
    <mergeCell ref="BG105:BK105"/>
    <mergeCell ref="BB104:BF104"/>
    <mergeCell ref="BG104:BK104"/>
    <mergeCell ref="BL104:BP104"/>
    <mergeCell ref="BQ104:BT104"/>
    <mergeCell ref="BU104:BY104"/>
    <mergeCell ref="A105:C105"/>
    <mergeCell ref="D105:T105"/>
    <mergeCell ref="U105:Y105"/>
    <mergeCell ref="Z105:AD105"/>
    <mergeCell ref="AE105:AH105"/>
    <mergeCell ref="BB107:BF107"/>
    <mergeCell ref="BG107:BK107"/>
    <mergeCell ref="BL107:BP107"/>
    <mergeCell ref="BQ107:BT107"/>
    <mergeCell ref="BU107:BY107"/>
    <mergeCell ref="A108:C108"/>
    <mergeCell ref="D108:T108"/>
    <mergeCell ref="U108:Y108"/>
    <mergeCell ref="Z108:AD108"/>
    <mergeCell ref="AE108:AH108"/>
    <mergeCell ref="BU106:BY106"/>
    <mergeCell ref="A107:C107"/>
    <mergeCell ref="D107:T107"/>
    <mergeCell ref="U107:Y107"/>
    <mergeCell ref="Z107:AD107"/>
    <mergeCell ref="AE107:AH107"/>
    <mergeCell ref="AI107:AM107"/>
    <mergeCell ref="AN107:AR107"/>
    <mergeCell ref="AS107:AW107"/>
    <mergeCell ref="AX107:BA107"/>
    <mergeCell ref="AS106:AW106"/>
    <mergeCell ref="AX106:BA106"/>
    <mergeCell ref="BB106:BF106"/>
    <mergeCell ref="BG106:BK106"/>
    <mergeCell ref="BL106:BP106"/>
    <mergeCell ref="BQ106:BT106"/>
    <mergeCell ref="BU109:BY109"/>
    <mergeCell ref="A110:C110"/>
    <mergeCell ref="D110:T110"/>
    <mergeCell ref="U110:Y110"/>
    <mergeCell ref="Z110:AD110"/>
    <mergeCell ref="AE110:AH110"/>
    <mergeCell ref="AI110:AM110"/>
    <mergeCell ref="AN110:AR110"/>
    <mergeCell ref="AS110:AW110"/>
    <mergeCell ref="AX110:BA110"/>
    <mergeCell ref="AS109:AW109"/>
    <mergeCell ref="AX109:BA109"/>
    <mergeCell ref="BB109:BF109"/>
    <mergeCell ref="BG109:BK109"/>
    <mergeCell ref="BL109:BP109"/>
    <mergeCell ref="BQ109:BT109"/>
    <mergeCell ref="BL108:BP108"/>
    <mergeCell ref="BQ108:BT108"/>
    <mergeCell ref="BU108:BY108"/>
    <mergeCell ref="A109:C109"/>
    <mergeCell ref="D109:T109"/>
    <mergeCell ref="U109:Y109"/>
    <mergeCell ref="Z109:AD109"/>
    <mergeCell ref="AE109:AH109"/>
    <mergeCell ref="AI109:AM109"/>
    <mergeCell ref="AN109:AR109"/>
    <mergeCell ref="AI108:AM108"/>
    <mergeCell ref="AN108:AR108"/>
    <mergeCell ref="AS108:AW108"/>
    <mergeCell ref="AX108:BA108"/>
    <mergeCell ref="BB108:BF108"/>
    <mergeCell ref="BG108:BK108"/>
    <mergeCell ref="BL111:BP111"/>
    <mergeCell ref="BQ111:BT111"/>
    <mergeCell ref="BU111:BY111"/>
    <mergeCell ref="A112:C112"/>
    <mergeCell ref="D112:T112"/>
    <mergeCell ref="U112:Y112"/>
    <mergeCell ref="Z112:AD112"/>
    <mergeCell ref="AE112:AH112"/>
    <mergeCell ref="AI112:AM112"/>
    <mergeCell ref="AN112:AR112"/>
    <mergeCell ref="AI111:AM111"/>
    <mergeCell ref="AN111:AR111"/>
    <mergeCell ref="AS111:AW111"/>
    <mergeCell ref="AX111:BA111"/>
    <mergeCell ref="BB111:BF111"/>
    <mergeCell ref="BG111:BK111"/>
    <mergeCell ref="BB110:BF110"/>
    <mergeCell ref="BG110:BK110"/>
    <mergeCell ref="BL110:BP110"/>
    <mergeCell ref="BQ110:BT110"/>
    <mergeCell ref="BU110:BY110"/>
    <mergeCell ref="A111:C111"/>
    <mergeCell ref="D111:T111"/>
    <mergeCell ref="U111:Y111"/>
    <mergeCell ref="Z111:AD111"/>
    <mergeCell ref="AE111:AH111"/>
    <mergeCell ref="BB113:BF113"/>
    <mergeCell ref="BG113:BK113"/>
    <mergeCell ref="BL113:BP113"/>
    <mergeCell ref="BQ113:BT113"/>
    <mergeCell ref="BU113:BY113"/>
    <mergeCell ref="A114:C114"/>
    <mergeCell ref="D114:T114"/>
    <mergeCell ref="U114:Y114"/>
    <mergeCell ref="Z114:AD114"/>
    <mergeCell ref="AE114:AH114"/>
    <mergeCell ref="BU112:BY112"/>
    <mergeCell ref="A113:C113"/>
    <mergeCell ref="D113:T113"/>
    <mergeCell ref="U113:Y113"/>
    <mergeCell ref="Z113:AD113"/>
    <mergeCell ref="AE113:AH113"/>
    <mergeCell ref="AI113:AM113"/>
    <mergeCell ref="AN113:AR113"/>
    <mergeCell ref="AS113:AW113"/>
    <mergeCell ref="AX113:BA113"/>
    <mergeCell ref="AS112:AW112"/>
    <mergeCell ref="AX112:BA112"/>
    <mergeCell ref="BB112:BF112"/>
    <mergeCell ref="BG112:BK112"/>
    <mergeCell ref="BL112:BP112"/>
    <mergeCell ref="BQ112:BT112"/>
    <mergeCell ref="BU115:BY115"/>
    <mergeCell ref="A116:C116"/>
    <mergeCell ref="D116:T116"/>
    <mergeCell ref="U116:Y116"/>
    <mergeCell ref="Z116:AD116"/>
    <mergeCell ref="AE116:AH116"/>
    <mergeCell ref="AI116:AM116"/>
    <mergeCell ref="AN116:AR116"/>
    <mergeCell ref="AS116:AW116"/>
    <mergeCell ref="AX116:BA116"/>
    <mergeCell ref="AS115:AW115"/>
    <mergeCell ref="AX115:BA115"/>
    <mergeCell ref="BB115:BF115"/>
    <mergeCell ref="BG115:BK115"/>
    <mergeCell ref="BL115:BP115"/>
    <mergeCell ref="BQ115:BT115"/>
    <mergeCell ref="BL114:BP114"/>
    <mergeCell ref="BQ114:BT114"/>
    <mergeCell ref="BU114:BY114"/>
    <mergeCell ref="A115:C115"/>
    <mergeCell ref="D115:T115"/>
    <mergeCell ref="U115:Y115"/>
    <mergeCell ref="Z115:AD115"/>
    <mergeCell ref="AE115:AH115"/>
    <mergeCell ref="AI115:AM115"/>
    <mergeCell ref="AN115:AR115"/>
    <mergeCell ref="AI114:AM114"/>
    <mergeCell ref="AN114:AR114"/>
    <mergeCell ref="AS114:AW114"/>
    <mergeCell ref="AX114:BA114"/>
    <mergeCell ref="BB114:BF114"/>
    <mergeCell ref="BG114:BK114"/>
    <mergeCell ref="BL117:BP117"/>
    <mergeCell ref="BQ117:BT117"/>
    <mergeCell ref="BU117:BY117"/>
    <mergeCell ref="AI117:AM117"/>
    <mergeCell ref="AN117:AR117"/>
    <mergeCell ref="AS117:AW117"/>
    <mergeCell ref="AX117:BA117"/>
    <mergeCell ref="BB117:BF117"/>
    <mergeCell ref="BG117:BK117"/>
    <mergeCell ref="BB116:BF116"/>
    <mergeCell ref="BG116:BK116"/>
    <mergeCell ref="BL116:BP116"/>
    <mergeCell ref="BQ116:BT116"/>
    <mergeCell ref="BU116:BY116"/>
    <mergeCell ref="A117:C117"/>
    <mergeCell ref="D117:T117"/>
    <mergeCell ref="U117:Y117"/>
    <mergeCell ref="Z117:AD117"/>
    <mergeCell ref="AE117:AH117"/>
    <mergeCell ref="BD127:BH127"/>
    <mergeCell ref="A128:C128"/>
    <mergeCell ref="D128:T128"/>
    <mergeCell ref="U128:Y128"/>
    <mergeCell ref="Z128:AD128"/>
    <mergeCell ref="AE128:AI128"/>
    <mergeCell ref="AJ128:AN128"/>
    <mergeCell ref="AO128:AS128"/>
    <mergeCell ref="AT128:AX128"/>
    <mergeCell ref="AY128:BC128"/>
    <mergeCell ref="Z127:AD127"/>
    <mergeCell ref="AE127:AI127"/>
    <mergeCell ref="AJ127:AN127"/>
    <mergeCell ref="AO127:AS127"/>
    <mergeCell ref="AT127:AX127"/>
    <mergeCell ref="AY127:BC127"/>
    <mergeCell ref="A126:C126"/>
    <mergeCell ref="D126:T126"/>
    <mergeCell ref="U126:Y126"/>
    <mergeCell ref="Z126:AD126"/>
    <mergeCell ref="AE126:AI126"/>
    <mergeCell ref="AJ126:AN126"/>
    <mergeCell ref="AO126:AS126"/>
    <mergeCell ref="AT126:AX126"/>
    <mergeCell ref="AY126:BC126"/>
    <mergeCell ref="BD129:BH129"/>
    <mergeCell ref="A130:C130"/>
    <mergeCell ref="D130:T130"/>
    <mergeCell ref="U130:Y130"/>
    <mergeCell ref="Z130:AD130"/>
    <mergeCell ref="AE130:AI130"/>
    <mergeCell ref="AJ130:AN130"/>
    <mergeCell ref="AO130:AS130"/>
    <mergeCell ref="AT130:AX130"/>
    <mergeCell ref="AY130:BC130"/>
    <mergeCell ref="BD128:BH128"/>
    <mergeCell ref="A129:C129"/>
    <mergeCell ref="D129:T129"/>
    <mergeCell ref="U129:Y129"/>
    <mergeCell ref="Z129:AD129"/>
    <mergeCell ref="AE129:AI129"/>
    <mergeCell ref="AJ129:AN129"/>
    <mergeCell ref="AO129:AS129"/>
    <mergeCell ref="AT129:AX129"/>
    <mergeCell ref="AY129:BC129"/>
    <mergeCell ref="BD131:BH131"/>
    <mergeCell ref="A132:C132"/>
    <mergeCell ref="D132:T132"/>
    <mergeCell ref="U132:Y132"/>
    <mergeCell ref="Z132:AD132"/>
    <mergeCell ref="AE132:AI132"/>
    <mergeCell ref="AJ132:AN132"/>
    <mergeCell ref="AO132:AS132"/>
    <mergeCell ref="AT132:AX132"/>
    <mergeCell ref="AY132:BC132"/>
    <mergeCell ref="BD130:BH130"/>
    <mergeCell ref="A131:C131"/>
    <mergeCell ref="D131:T131"/>
    <mergeCell ref="U131:Y131"/>
    <mergeCell ref="Z131:AD131"/>
    <mergeCell ref="AE131:AI131"/>
    <mergeCell ref="AJ131:AN131"/>
    <mergeCell ref="AO131:AS131"/>
    <mergeCell ref="AT131:AX131"/>
    <mergeCell ref="AY131:BC131"/>
    <mergeCell ref="BD133:BH133"/>
    <mergeCell ref="A134:C134"/>
    <mergeCell ref="D134:T134"/>
    <mergeCell ref="U134:Y134"/>
    <mergeCell ref="Z134:AD134"/>
    <mergeCell ref="AE134:AI134"/>
    <mergeCell ref="AJ134:AN134"/>
    <mergeCell ref="AO134:AS134"/>
    <mergeCell ref="AT134:AX134"/>
    <mergeCell ref="AY134:BC134"/>
    <mergeCell ref="BD132:BH132"/>
    <mergeCell ref="A133:C133"/>
    <mergeCell ref="D133:T133"/>
    <mergeCell ref="U133:Y133"/>
    <mergeCell ref="Z133:AD133"/>
    <mergeCell ref="AE133:AI133"/>
    <mergeCell ref="AJ133:AN133"/>
    <mergeCell ref="AO133:AS133"/>
    <mergeCell ref="AT133:AX133"/>
    <mergeCell ref="AY133:BC133"/>
    <mergeCell ref="BD135:BH135"/>
    <mergeCell ref="A136:C136"/>
    <mergeCell ref="D136:T136"/>
    <mergeCell ref="U136:Y136"/>
    <mergeCell ref="Z136:AD136"/>
    <mergeCell ref="AE136:AI136"/>
    <mergeCell ref="AJ136:AN136"/>
    <mergeCell ref="AO136:AS136"/>
    <mergeCell ref="AT136:AX136"/>
    <mergeCell ref="AY136:BC136"/>
    <mergeCell ref="BD134:BH134"/>
    <mergeCell ref="A135:C135"/>
    <mergeCell ref="D135:T135"/>
    <mergeCell ref="U135:Y135"/>
    <mergeCell ref="Z135:AD135"/>
    <mergeCell ref="AE135:AI135"/>
    <mergeCell ref="AJ135:AN135"/>
    <mergeCell ref="AO135:AS135"/>
    <mergeCell ref="AT135:AX135"/>
    <mergeCell ref="AY135:BC135"/>
    <mergeCell ref="BD137:BH137"/>
    <mergeCell ref="A138:C138"/>
    <mergeCell ref="D138:T138"/>
    <mergeCell ref="U138:Y138"/>
    <mergeCell ref="Z138:AD138"/>
    <mergeCell ref="AE138:AI138"/>
    <mergeCell ref="AJ138:AN138"/>
    <mergeCell ref="AO138:AS138"/>
    <mergeCell ref="AT138:AX138"/>
    <mergeCell ref="AY138:BC138"/>
    <mergeCell ref="BD136:BH136"/>
    <mergeCell ref="A137:C137"/>
    <mergeCell ref="D137:T137"/>
    <mergeCell ref="U137:Y137"/>
    <mergeCell ref="Z137:AD137"/>
    <mergeCell ref="AE137:AI137"/>
    <mergeCell ref="AJ137:AN137"/>
    <mergeCell ref="AO137:AS137"/>
    <mergeCell ref="AT137:AX137"/>
    <mergeCell ref="AY137:BC137"/>
    <mergeCell ref="BD139:BH139"/>
    <mergeCell ref="A140:C140"/>
    <mergeCell ref="D140:T140"/>
    <mergeCell ref="U140:Y140"/>
    <mergeCell ref="Z140:AD140"/>
    <mergeCell ref="AE140:AI140"/>
    <mergeCell ref="AJ140:AN140"/>
    <mergeCell ref="AO140:AS140"/>
    <mergeCell ref="AT140:AX140"/>
    <mergeCell ref="AY140:BC140"/>
    <mergeCell ref="BD138:BH138"/>
    <mergeCell ref="A139:C139"/>
    <mergeCell ref="D139:T139"/>
    <mergeCell ref="U139:Y139"/>
    <mergeCell ref="Z139:AD139"/>
    <mergeCell ref="AE139:AI139"/>
    <mergeCell ref="AJ139:AN139"/>
    <mergeCell ref="AO139:AS139"/>
    <mergeCell ref="AT139:AX139"/>
    <mergeCell ref="AY139:BC139"/>
    <mergeCell ref="BD141:BH141"/>
    <mergeCell ref="A142:C142"/>
    <mergeCell ref="D142:T142"/>
    <mergeCell ref="U142:Y142"/>
    <mergeCell ref="Z142:AD142"/>
    <mergeCell ref="AE142:AI142"/>
    <mergeCell ref="AJ142:AN142"/>
    <mergeCell ref="AO142:AS142"/>
    <mergeCell ref="AT142:AX142"/>
    <mergeCell ref="AY142:BC142"/>
    <mergeCell ref="BD140:BH140"/>
    <mergeCell ref="A141:C141"/>
    <mergeCell ref="D141:T141"/>
    <mergeCell ref="U141:Y141"/>
    <mergeCell ref="Z141:AD141"/>
    <mergeCell ref="AE141:AI141"/>
    <mergeCell ref="AJ141:AN141"/>
    <mergeCell ref="AO141:AS141"/>
    <mergeCell ref="AT141:AX141"/>
    <mergeCell ref="AY141:BC141"/>
    <mergeCell ref="BD143:BH143"/>
    <mergeCell ref="A144:C144"/>
    <mergeCell ref="D144:T144"/>
    <mergeCell ref="U144:Y144"/>
    <mergeCell ref="Z144:AD144"/>
    <mergeCell ref="AE144:AI144"/>
    <mergeCell ref="AJ144:AN144"/>
    <mergeCell ref="AO144:AS144"/>
    <mergeCell ref="AT144:AX144"/>
    <mergeCell ref="AY144:BC144"/>
    <mergeCell ref="BD142:BH142"/>
    <mergeCell ref="A143:C143"/>
    <mergeCell ref="D143:T143"/>
    <mergeCell ref="U143:Y143"/>
    <mergeCell ref="Z143:AD143"/>
    <mergeCell ref="AE143:AI143"/>
    <mergeCell ref="AJ143:AN143"/>
    <mergeCell ref="AO143:AS143"/>
    <mergeCell ref="AT143:AX143"/>
    <mergeCell ref="AY143:BC143"/>
    <mergeCell ref="BD145:BH145"/>
    <mergeCell ref="A146:C146"/>
    <mergeCell ref="D146:T146"/>
    <mergeCell ref="U146:Y146"/>
    <mergeCell ref="Z146:AD146"/>
    <mergeCell ref="AE146:AI146"/>
    <mergeCell ref="AJ146:AN146"/>
    <mergeCell ref="AO146:AS146"/>
    <mergeCell ref="AT146:AX146"/>
    <mergeCell ref="AY146:BC146"/>
    <mergeCell ref="BD144:BH144"/>
    <mergeCell ref="A145:C145"/>
    <mergeCell ref="D145:T145"/>
    <mergeCell ref="U145:Y145"/>
    <mergeCell ref="Z145:AD145"/>
    <mergeCell ref="AE145:AI145"/>
    <mergeCell ref="AJ145:AN145"/>
    <mergeCell ref="AO145:AS145"/>
    <mergeCell ref="AT145:AX145"/>
    <mergeCell ref="AY145:BC145"/>
    <mergeCell ref="BD147:BH147"/>
    <mergeCell ref="A148:C148"/>
    <mergeCell ref="D148:T148"/>
    <mergeCell ref="U148:Y148"/>
    <mergeCell ref="Z148:AD148"/>
    <mergeCell ref="AE148:AI148"/>
    <mergeCell ref="AJ148:AN148"/>
    <mergeCell ref="AO148:AS148"/>
    <mergeCell ref="AT148:AX148"/>
    <mergeCell ref="AY148:BC148"/>
    <mergeCell ref="BD146:BH146"/>
    <mergeCell ref="A147:C147"/>
    <mergeCell ref="D147:T147"/>
    <mergeCell ref="U147:Y147"/>
    <mergeCell ref="Z147:AD147"/>
    <mergeCell ref="AE147:AI147"/>
    <mergeCell ref="AJ147:AN147"/>
    <mergeCell ref="AO147:AS147"/>
    <mergeCell ref="AT147:AX147"/>
    <mergeCell ref="AY147:BC147"/>
    <mergeCell ref="BD149:BH149"/>
    <mergeCell ref="A150:C150"/>
    <mergeCell ref="D150:T150"/>
    <mergeCell ref="U150:Y150"/>
    <mergeCell ref="Z150:AD150"/>
    <mergeCell ref="AE150:AI150"/>
    <mergeCell ref="AJ150:AN150"/>
    <mergeCell ref="AO150:AS150"/>
    <mergeCell ref="AT150:AX150"/>
    <mergeCell ref="AY150:BC150"/>
    <mergeCell ref="BD148:BH148"/>
    <mergeCell ref="A149:C149"/>
    <mergeCell ref="D149:T149"/>
    <mergeCell ref="U149:Y149"/>
    <mergeCell ref="Z149:AD149"/>
    <mergeCell ref="AE149:AI149"/>
    <mergeCell ref="AJ149:AN149"/>
    <mergeCell ref="AO149:AS149"/>
    <mergeCell ref="AT149:AX149"/>
    <mergeCell ref="AY149:BC149"/>
    <mergeCell ref="BD151:BH151"/>
    <mergeCell ref="A152:C152"/>
    <mergeCell ref="D152:T152"/>
    <mergeCell ref="U152:Y152"/>
    <mergeCell ref="Z152:AD152"/>
    <mergeCell ref="AE152:AI152"/>
    <mergeCell ref="AJ152:AN152"/>
    <mergeCell ref="AO152:AS152"/>
    <mergeCell ref="AT152:AX152"/>
    <mergeCell ref="AY152:BC152"/>
    <mergeCell ref="BD150:BH150"/>
    <mergeCell ref="A151:C151"/>
    <mergeCell ref="D151:T151"/>
    <mergeCell ref="U151:Y151"/>
    <mergeCell ref="Z151:AD151"/>
    <mergeCell ref="AE151:AI151"/>
    <mergeCell ref="AJ151:AN151"/>
    <mergeCell ref="AO151:AS151"/>
    <mergeCell ref="AT151:AX151"/>
    <mergeCell ref="AY151:BC151"/>
    <mergeCell ref="BD153:BH153"/>
    <mergeCell ref="A154:C154"/>
    <mergeCell ref="D154:T154"/>
    <mergeCell ref="U154:Y154"/>
    <mergeCell ref="Z154:AD154"/>
    <mergeCell ref="AE154:AI154"/>
    <mergeCell ref="AJ154:AN154"/>
    <mergeCell ref="AO154:AS154"/>
    <mergeCell ref="AT154:AX154"/>
    <mergeCell ref="AY154:BC154"/>
    <mergeCell ref="BD152:BH152"/>
    <mergeCell ref="A153:C153"/>
    <mergeCell ref="D153:T153"/>
    <mergeCell ref="U153:Y153"/>
    <mergeCell ref="Z153:AD153"/>
    <mergeCell ref="AE153:AI153"/>
    <mergeCell ref="AJ153:AN153"/>
    <mergeCell ref="AO153:AS153"/>
    <mergeCell ref="AT153:AX153"/>
    <mergeCell ref="AY153:BC153"/>
    <mergeCell ref="BD155:BH155"/>
    <mergeCell ref="A156:C156"/>
    <mergeCell ref="D156:T156"/>
    <mergeCell ref="U156:Y156"/>
    <mergeCell ref="Z156:AD156"/>
    <mergeCell ref="AE156:AI156"/>
    <mergeCell ref="AJ156:AN156"/>
    <mergeCell ref="AO156:AS156"/>
    <mergeCell ref="AT156:AX156"/>
    <mergeCell ref="AY156:BC156"/>
    <mergeCell ref="BD154:BH154"/>
    <mergeCell ref="A155:C155"/>
    <mergeCell ref="D155:T155"/>
    <mergeCell ref="U155:Y155"/>
    <mergeCell ref="Z155:AD155"/>
    <mergeCell ref="AE155:AI155"/>
    <mergeCell ref="AJ155:AN155"/>
    <mergeCell ref="AO155:AS155"/>
    <mergeCell ref="AT155:AX155"/>
    <mergeCell ref="AY155:BC155"/>
    <mergeCell ref="BD158:BH158"/>
    <mergeCell ref="BD157:BH157"/>
    <mergeCell ref="A158:C158"/>
    <mergeCell ref="D158:T158"/>
    <mergeCell ref="U158:Y158"/>
    <mergeCell ref="Z158:AD158"/>
    <mergeCell ref="AE158:AI158"/>
    <mergeCell ref="AJ158:AN158"/>
    <mergeCell ref="AO158:AS158"/>
    <mergeCell ref="AT158:AX158"/>
    <mergeCell ref="AY158:BC158"/>
    <mergeCell ref="BD156:BH156"/>
    <mergeCell ref="A157:C157"/>
    <mergeCell ref="D157:T157"/>
    <mergeCell ref="U157:Y157"/>
    <mergeCell ref="Z157:AD157"/>
    <mergeCell ref="AE157:AI157"/>
    <mergeCell ref="AJ157:AN157"/>
    <mergeCell ref="AO157:AS157"/>
    <mergeCell ref="AT157:AX157"/>
    <mergeCell ref="AY157:BC157"/>
    <mergeCell ref="BE167:BI167"/>
    <mergeCell ref="BJ167:BN167"/>
    <mergeCell ref="BO167:BS167"/>
    <mergeCell ref="BT167:BX167"/>
    <mergeCell ref="A168:C168"/>
    <mergeCell ref="D168:P168"/>
    <mergeCell ref="Q168:U168"/>
    <mergeCell ref="V168:AE168"/>
    <mergeCell ref="AF168:AJ168"/>
    <mergeCell ref="AK168:AO168"/>
    <mergeCell ref="A167:C167"/>
    <mergeCell ref="D167:P167"/>
    <mergeCell ref="Q167:U167"/>
    <mergeCell ref="V167:AE167"/>
    <mergeCell ref="AF167:AJ167"/>
    <mergeCell ref="AK167:AO167"/>
    <mergeCell ref="AP167:AT167"/>
    <mergeCell ref="AU167:AY167"/>
    <mergeCell ref="AZ167:BD167"/>
    <mergeCell ref="BE169:BI169"/>
    <mergeCell ref="BJ169:BN169"/>
    <mergeCell ref="BO169:BS169"/>
    <mergeCell ref="BT169:BX169"/>
    <mergeCell ref="A170:C170"/>
    <mergeCell ref="D170:P170"/>
    <mergeCell ref="Q170:U170"/>
    <mergeCell ref="V170:AE170"/>
    <mergeCell ref="AF170:AJ170"/>
    <mergeCell ref="AK170:AO170"/>
    <mergeCell ref="BT168:BX168"/>
    <mergeCell ref="A169:C169"/>
    <mergeCell ref="D169:P169"/>
    <mergeCell ref="Q169:U169"/>
    <mergeCell ref="V169:AE169"/>
    <mergeCell ref="AF169:AJ169"/>
    <mergeCell ref="AK169:AO169"/>
    <mergeCell ref="AP169:AT169"/>
    <mergeCell ref="AU169:AY169"/>
    <mergeCell ref="AZ169:BD169"/>
    <mergeCell ref="AP168:AT168"/>
    <mergeCell ref="AU168:AY168"/>
    <mergeCell ref="AZ168:BD168"/>
    <mergeCell ref="BE168:BI168"/>
    <mergeCell ref="BJ168:BN168"/>
    <mergeCell ref="BO168:BS168"/>
    <mergeCell ref="BE171:BI171"/>
    <mergeCell ref="BJ171:BN171"/>
    <mergeCell ref="BO171:BS171"/>
    <mergeCell ref="BT171:BX171"/>
    <mergeCell ref="A172:C172"/>
    <mergeCell ref="D172:P172"/>
    <mergeCell ref="Q172:U172"/>
    <mergeCell ref="V172:AE172"/>
    <mergeCell ref="AF172:AJ172"/>
    <mergeCell ref="AK172:AO172"/>
    <mergeCell ref="BT170:BX170"/>
    <mergeCell ref="A171:C171"/>
    <mergeCell ref="D171:P171"/>
    <mergeCell ref="Q171:U171"/>
    <mergeCell ref="V171:AE171"/>
    <mergeCell ref="AF171:AJ171"/>
    <mergeCell ref="AK171:AO171"/>
    <mergeCell ref="AP171:AT171"/>
    <mergeCell ref="AU171:AY171"/>
    <mergeCell ref="AZ171:BD171"/>
    <mergeCell ref="AP170:AT170"/>
    <mergeCell ref="AU170:AY170"/>
    <mergeCell ref="AZ170:BD170"/>
    <mergeCell ref="BE170:BI170"/>
    <mergeCell ref="BJ170:BN170"/>
    <mergeCell ref="BO170:BS170"/>
    <mergeCell ref="BE173:BI173"/>
    <mergeCell ref="BJ173:BN173"/>
    <mergeCell ref="BO173:BS173"/>
    <mergeCell ref="BT173:BX173"/>
    <mergeCell ref="BT172:BX172"/>
    <mergeCell ref="A173:C173"/>
    <mergeCell ref="D173:P173"/>
    <mergeCell ref="Q173:U173"/>
    <mergeCell ref="V173:AE173"/>
    <mergeCell ref="AF173:AJ173"/>
    <mergeCell ref="AK173:AO173"/>
    <mergeCell ref="AP173:AT173"/>
    <mergeCell ref="AU173:AY173"/>
    <mergeCell ref="AZ173:BD173"/>
    <mergeCell ref="AP172:AT172"/>
    <mergeCell ref="AU172:AY172"/>
    <mergeCell ref="AZ172:BD172"/>
    <mergeCell ref="BE172:BI172"/>
    <mergeCell ref="BJ172:BN172"/>
    <mergeCell ref="BO172:BS172"/>
    <mergeCell ref="BE182:BI182"/>
    <mergeCell ref="A183:C183"/>
    <mergeCell ref="D183:P183"/>
    <mergeCell ref="Q183:U183"/>
    <mergeCell ref="V183:AE183"/>
    <mergeCell ref="AF183:AJ183"/>
    <mergeCell ref="AK183:AO183"/>
    <mergeCell ref="AP183:AT183"/>
    <mergeCell ref="AU183:AY183"/>
    <mergeCell ref="AZ183:BD183"/>
    <mergeCell ref="V182:AE182"/>
    <mergeCell ref="AF182:AJ182"/>
    <mergeCell ref="AK182:AO182"/>
    <mergeCell ref="AP182:AT182"/>
    <mergeCell ref="AU182:AY182"/>
    <mergeCell ref="AZ182:BD182"/>
    <mergeCell ref="A181:C181"/>
    <mergeCell ref="D181:P181"/>
    <mergeCell ref="Q181:U181"/>
    <mergeCell ref="V181:AE181"/>
    <mergeCell ref="AF181:AJ181"/>
    <mergeCell ref="AK181:AO181"/>
    <mergeCell ref="AP181:AT181"/>
    <mergeCell ref="AU181:AY181"/>
    <mergeCell ref="AZ181:BD181"/>
    <mergeCell ref="BE184:BI184"/>
    <mergeCell ref="A185:C185"/>
    <mergeCell ref="D185:P185"/>
    <mergeCell ref="Q185:U185"/>
    <mergeCell ref="V185:AE185"/>
    <mergeCell ref="AF185:AJ185"/>
    <mergeCell ref="AK185:AO185"/>
    <mergeCell ref="AP185:AT185"/>
    <mergeCell ref="AU185:AY185"/>
    <mergeCell ref="AZ185:BD185"/>
    <mergeCell ref="BE183:BI183"/>
    <mergeCell ref="A184:C184"/>
    <mergeCell ref="D184:P184"/>
    <mergeCell ref="Q184:U184"/>
    <mergeCell ref="V184:AE184"/>
    <mergeCell ref="AF184:AJ184"/>
    <mergeCell ref="AK184:AO184"/>
    <mergeCell ref="AP184:AT184"/>
    <mergeCell ref="AU184:AY184"/>
    <mergeCell ref="AZ184:BD184"/>
    <mergeCell ref="BE187:BI187"/>
    <mergeCell ref="BE186:BI186"/>
    <mergeCell ref="A187:C187"/>
    <mergeCell ref="D187:P187"/>
    <mergeCell ref="Q187:U187"/>
    <mergeCell ref="V187:AE187"/>
    <mergeCell ref="AF187:AJ187"/>
    <mergeCell ref="AK187:AO187"/>
    <mergeCell ref="AP187:AT187"/>
    <mergeCell ref="AU187:AY187"/>
    <mergeCell ref="AZ187:BD187"/>
    <mergeCell ref="BE185:BI185"/>
    <mergeCell ref="A186:C186"/>
    <mergeCell ref="D186:P186"/>
    <mergeCell ref="Q186:U186"/>
    <mergeCell ref="V186:AE186"/>
    <mergeCell ref="AF186:AJ186"/>
    <mergeCell ref="AK186:AO186"/>
    <mergeCell ref="AP186:AT186"/>
    <mergeCell ref="AU186:AY186"/>
    <mergeCell ref="AZ186:BD186"/>
    <mergeCell ref="BD197:BH197"/>
    <mergeCell ref="BI197:BM197"/>
    <mergeCell ref="BN197:BR197"/>
    <mergeCell ref="A198:T198"/>
    <mergeCell ref="U198:Y198"/>
    <mergeCell ref="Z198:AD198"/>
    <mergeCell ref="AE198:AI198"/>
    <mergeCell ref="AJ198:AN198"/>
    <mergeCell ref="AO198:AS198"/>
    <mergeCell ref="AT198:AX198"/>
    <mergeCell ref="Z197:AD197"/>
    <mergeCell ref="AE197:AI197"/>
    <mergeCell ref="AJ197:AN197"/>
    <mergeCell ref="AO197:AS197"/>
    <mergeCell ref="AT197:AX197"/>
    <mergeCell ref="AY197:BC197"/>
    <mergeCell ref="A196:T196"/>
    <mergeCell ref="U196:Y196"/>
    <mergeCell ref="Z196:AD196"/>
    <mergeCell ref="AE196:AI196"/>
    <mergeCell ref="AJ196:AN196"/>
    <mergeCell ref="AO196:AS196"/>
    <mergeCell ref="AT196:AX196"/>
    <mergeCell ref="AY196:BC196"/>
    <mergeCell ref="BD196:BH196"/>
    <mergeCell ref="AO200:AS200"/>
    <mergeCell ref="AT200:AX200"/>
    <mergeCell ref="AY200:BC200"/>
    <mergeCell ref="BD200:BH200"/>
    <mergeCell ref="BI200:BM200"/>
    <mergeCell ref="BN200:BR200"/>
    <mergeCell ref="AT199:AX199"/>
    <mergeCell ref="AY199:BC199"/>
    <mergeCell ref="BD199:BH199"/>
    <mergeCell ref="BI199:BM199"/>
    <mergeCell ref="BN199:BR199"/>
    <mergeCell ref="A200:T200"/>
    <mergeCell ref="U200:Y200"/>
    <mergeCell ref="Z200:AD200"/>
    <mergeCell ref="AE200:AI200"/>
    <mergeCell ref="AJ200:AN200"/>
    <mergeCell ref="AY198:BC198"/>
    <mergeCell ref="BD198:BH198"/>
    <mergeCell ref="BI198:BM198"/>
    <mergeCell ref="BN198:BR198"/>
    <mergeCell ref="A199:T199"/>
    <mergeCell ref="U199:Y199"/>
    <mergeCell ref="Z199:AD199"/>
    <mergeCell ref="AE199:AI199"/>
    <mergeCell ref="AJ199:AN199"/>
    <mergeCell ref="AO199:AS199"/>
    <mergeCell ref="AO202:AS202"/>
    <mergeCell ref="AT202:AX202"/>
    <mergeCell ref="AY202:BC202"/>
    <mergeCell ref="BD202:BH202"/>
    <mergeCell ref="BI202:BM202"/>
    <mergeCell ref="BN202:BR202"/>
    <mergeCell ref="AT201:AX201"/>
    <mergeCell ref="AY201:BC201"/>
    <mergeCell ref="BD201:BH201"/>
    <mergeCell ref="BI201:BM201"/>
    <mergeCell ref="BN201:BR201"/>
    <mergeCell ref="A202:T202"/>
    <mergeCell ref="U202:Y202"/>
    <mergeCell ref="Z202:AD202"/>
    <mergeCell ref="AE202:AI202"/>
    <mergeCell ref="AJ202:AN202"/>
    <mergeCell ref="A201:T201"/>
    <mergeCell ref="U201:Y201"/>
    <mergeCell ref="Z201:AD201"/>
    <mergeCell ref="AE201:AI201"/>
    <mergeCell ref="AJ201:AN201"/>
    <mergeCell ref="AO201:AS201"/>
    <mergeCell ref="AO204:AS204"/>
    <mergeCell ref="AT204:AX204"/>
    <mergeCell ref="AY204:BC204"/>
    <mergeCell ref="BD204:BH204"/>
    <mergeCell ref="BI204:BM204"/>
    <mergeCell ref="BN204:BR204"/>
    <mergeCell ref="AT203:AX203"/>
    <mergeCell ref="AY203:BC203"/>
    <mergeCell ref="BD203:BH203"/>
    <mergeCell ref="BI203:BM203"/>
    <mergeCell ref="BN203:BR203"/>
    <mergeCell ref="A204:T204"/>
    <mergeCell ref="U204:Y204"/>
    <mergeCell ref="Z204:AD204"/>
    <mergeCell ref="AE204:AI204"/>
    <mergeCell ref="AJ204:AN204"/>
    <mergeCell ref="A203:T203"/>
    <mergeCell ref="U203:Y203"/>
    <mergeCell ref="Z203:AD203"/>
    <mergeCell ref="AE203:AI203"/>
    <mergeCell ref="AJ203:AN203"/>
    <mergeCell ref="AO203:AS203"/>
    <mergeCell ref="A207:T207"/>
    <mergeCell ref="U207:Y207"/>
    <mergeCell ref="Z207:AD207"/>
    <mergeCell ref="AE207:AI207"/>
    <mergeCell ref="AJ207:AN207"/>
    <mergeCell ref="AO207:AS207"/>
    <mergeCell ref="AO206:AS206"/>
    <mergeCell ref="AT206:AX206"/>
    <mergeCell ref="AY206:BC206"/>
    <mergeCell ref="BD206:BH206"/>
    <mergeCell ref="BI206:BM206"/>
    <mergeCell ref="BN206:BR206"/>
    <mergeCell ref="AT205:AX205"/>
    <mergeCell ref="AY205:BC205"/>
    <mergeCell ref="BD205:BH205"/>
    <mergeCell ref="BI205:BM205"/>
    <mergeCell ref="BN205:BR205"/>
    <mergeCell ref="A206:T206"/>
    <mergeCell ref="U206:Y206"/>
    <mergeCell ref="Z206:AD206"/>
    <mergeCell ref="AE206:AI206"/>
    <mergeCell ref="AJ206:AN206"/>
    <mergeCell ref="A205:T205"/>
    <mergeCell ref="U205:Y205"/>
    <mergeCell ref="Z205:AD205"/>
    <mergeCell ref="AE205:AI205"/>
    <mergeCell ref="AJ205:AN205"/>
    <mergeCell ref="AO205:AS205"/>
    <mergeCell ref="AU216:AW216"/>
    <mergeCell ref="AX216:AZ216"/>
    <mergeCell ref="BA216:BC216"/>
    <mergeCell ref="BD216:BF216"/>
    <mergeCell ref="BG216:BI216"/>
    <mergeCell ref="BJ216:BL216"/>
    <mergeCell ref="AC216:AE216"/>
    <mergeCell ref="AF216:AH216"/>
    <mergeCell ref="AI216:AK216"/>
    <mergeCell ref="AL216:AN216"/>
    <mergeCell ref="AO216:AQ216"/>
    <mergeCell ref="AR216:AT216"/>
    <mergeCell ref="AT207:AX207"/>
    <mergeCell ref="AY207:BC207"/>
    <mergeCell ref="BD207:BH207"/>
    <mergeCell ref="BI207:BM207"/>
    <mergeCell ref="BN207:BR207"/>
    <mergeCell ref="BA214:BC214"/>
    <mergeCell ref="BD214:BF214"/>
    <mergeCell ref="BG214:BI214"/>
    <mergeCell ref="BJ214:BL214"/>
    <mergeCell ref="AC213:AE213"/>
    <mergeCell ref="AF213:AH213"/>
    <mergeCell ref="BJ211:BL212"/>
    <mergeCell ref="BA217:BC217"/>
    <mergeCell ref="BD217:BF217"/>
    <mergeCell ref="BG217:BI217"/>
    <mergeCell ref="BJ217:BL217"/>
    <mergeCell ref="A218:C218"/>
    <mergeCell ref="D218:V218"/>
    <mergeCell ref="W218:Y218"/>
    <mergeCell ref="Z218:AB218"/>
    <mergeCell ref="AC218:AE218"/>
    <mergeCell ref="AF218:AH218"/>
    <mergeCell ref="AI217:AK217"/>
    <mergeCell ref="AL217:AN217"/>
    <mergeCell ref="AO217:AQ217"/>
    <mergeCell ref="AR217:AT217"/>
    <mergeCell ref="AU217:AW217"/>
    <mergeCell ref="AX217:AZ217"/>
    <mergeCell ref="A217:C217"/>
    <mergeCell ref="D217:V217"/>
    <mergeCell ref="W217:Y217"/>
    <mergeCell ref="Z217:AB217"/>
    <mergeCell ref="AC217:AE217"/>
    <mergeCell ref="AF217:AH217"/>
    <mergeCell ref="AP228:AT228"/>
    <mergeCell ref="AU228:AY228"/>
    <mergeCell ref="AZ228:BD228"/>
    <mergeCell ref="BE228:BI228"/>
    <mergeCell ref="BJ228:BN228"/>
    <mergeCell ref="BO228:BS228"/>
    <mergeCell ref="A228:F228"/>
    <mergeCell ref="G228:S228"/>
    <mergeCell ref="T228:Z228"/>
    <mergeCell ref="AA228:AE228"/>
    <mergeCell ref="AF228:AJ228"/>
    <mergeCell ref="AK228:AO228"/>
    <mergeCell ref="BA218:BC218"/>
    <mergeCell ref="BD218:BF218"/>
    <mergeCell ref="BG218:BI218"/>
    <mergeCell ref="BJ218:BL218"/>
    <mergeCell ref="AI218:AK218"/>
    <mergeCell ref="AL218:AN218"/>
    <mergeCell ref="AO218:AQ218"/>
    <mergeCell ref="AR218:AT218"/>
    <mergeCell ref="AU218:AW218"/>
    <mergeCell ref="AX218:AZ218"/>
    <mergeCell ref="AP227:AT227"/>
    <mergeCell ref="AU227:AY227"/>
    <mergeCell ref="AZ227:BD227"/>
    <mergeCell ref="BE227:BI227"/>
    <mergeCell ref="BJ227:BN227"/>
    <mergeCell ref="BO227:BS227"/>
    <mergeCell ref="A227:F227"/>
    <mergeCell ref="G227:S227"/>
    <mergeCell ref="T227:Z227"/>
    <mergeCell ref="AA227:AE227"/>
    <mergeCell ref="A258:F258"/>
    <mergeCell ref="G258:S258"/>
    <mergeCell ref="T258:Y258"/>
    <mergeCell ref="Z258:AD258"/>
    <mergeCell ref="AE258:AJ258"/>
    <mergeCell ref="AK258:AP258"/>
    <mergeCell ref="AQ258:AV258"/>
    <mergeCell ref="AW258:BA258"/>
    <mergeCell ref="BB258:BF258"/>
    <mergeCell ref="AP237:AT237"/>
    <mergeCell ref="AU237:AY237"/>
    <mergeCell ref="AZ237:BD237"/>
    <mergeCell ref="A237:F237"/>
    <mergeCell ref="G237:S237"/>
    <mergeCell ref="T237:Z237"/>
    <mergeCell ref="AA237:AE237"/>
    <mergeCell ref="AF237:AJ237"/>
    <mergeCell ref="AK237:AO237"/>
    <mergeCell ref="AK257:AP257"/>
    <mergeCell ref="AQ257:AV257"/>
    <mergeCell ref="AW257:BA257"/>
    <mergeCell ref="BB257:BF257"/>
    <mergeCell ref="AQ253:AV254"/>
    <mergeCell ref="AW253:BF253"/>
    <mergeCell ref="BB244:BF244"/>
    <mergeCell ref="BB242:BF242"/>
    <mergeCell ref="A277:F277"/>
    <mergeCell ref="G277:S277"/>
    <mergeCell ref="T277:Y277"/>
    <mergeCell ref="Z277:AD277"/>
    <mergeCell ref="AE277:AJ277"/>
    <mergeCell ref="AX268:BB268"/>
    <mergeCell ref="BC268:BG268"/>
    <mergeCell ref="BH268:BL268"/>
    <mergeCell ref="A268:F268"/>
    <mergeCell ref="G268:P268"/>
    <mergeCell ref="Q268:U268"/>
    <mergeCell ref="V268:Y268"/>
    <mergeCell ref="Z268:AD268"/>
    <mergeCell ref="AE268:AI268"/>
    <mergeCell ref="AJ268:AN268"/>
    <mergeCell ref="AO268:AS268"/>
    <mergeCell ref="AT268:AW268"/>
    <mergeCell ref="BE272:BL273"/>
    <mergeCell ref="A274:F274"/>
    <mergeCell ref="G274:S274"/>
    <mergeCell ref="T274:Y274"/>
    <mergeCell ref="Z274:AD274"/>
    <mergeCell ref="AE274:AJ274"/>
    <mergeCell ref="AK274:AP274"/>
    <mergeCell ref="AQ274:AV274"/>
    <mergeCell ref="AW274:BD274"/>
    <mergeCell ref="BE274:BL274"/>
    <mergeCell ref="A270:BL270"/>
    <mergeCell ref="A271:BL271"/>
    <mergeCell ref="A272:F273"/>
    <mergeCell ref="G272:S273"/>
    <mergeCell ref="T272:Y273"/>
  </mergeCells>
  <conditionalFormatting sqref="A84 A215 A125">
    <cfRule type="cellIs" dxfId="100" priority="105" stopIfTrue="1" operator="equal">
      <formula>A83</formula>
    </cfRule>
  </conditionalFormatting>
  <conditionalFormatting sqref="A166:C166 A180:C180">
    <cfRule type="cellIs" dxfId="99" priority="106" stopIfTrue="1" operator="equal">
      <formula>A165</formula>
    </cfRule>
    <cfRule type="cellIs" dxfId="98" priority="107" stopIfTrue="1" operator="equal">
      <formula>0</formula>
    </cfRule>
  </conditionalFormatting>
  <conditionalFormatting sqref="A85">
    <cfRule type="cellIs" dxfId="97" priority="104" stopIfTrue="1" operator="equal">
      <formula>A84</formula>
    </cfRule>
  </conditionalFormatting>
  <conditionalFormatting sqref="A86">
    <cfRule type="cellIs" dxfId="96" priority="103" stopIfTrue="1" operator="equal">
      <formula>A85</formula>
    </cfRule>
  </conditionalFormatting>
  <conditionalFormatting sqref="A87">
    <cfRule type="cellIs" dxfId="95" priority="102" stopIfTrue="1" operator="equal">
      <formula>A86</formula>
    </cfRule>
  </conditionalFormatting>
  <conditionalFormatting sqref="A88">
    <cfRule type="cellIs" dxfId="94" priority="101" stopIfTrue="1" operator="equal">
      <formula>A87</formula>
    </cfRule>
  </conditionalFormatting>
  <conditionalFormatting sqref="A89">
    <cfRule type="cellIs" dxfId="93" priority="100" stopIfTrue="1" operator="equal">
      <formula>A88</formula>
    </cfRule>
  </conditionalFormatting>
  <conditionalFormatting sqref="A90">
    <cfRule type="cellIs" dxfId="92" priority="99" stopIfTrue="1" operator="equal">
      <formula>A89</formula>
    </cfRule>
  </conditionalFormatting>
  <conditionalFormatting sqref="A91">
    <cfRule type="cellIs" dxfId="91" priority="98" stopIfTrue="1" operator="equal">
      <formula>A90</formula>
    </cfRule>
  </conditionalFormatting>
  <conditionalFormatting sqref="A92">
    <cfRule type="cellIs" dxfId="90" priority="97" stopIfTrue="1" operator="equal">
      <formula>A91</formula>
    </cfRule>
  </conditionalFormatting>
  <conditionalFormatting sqref="A93">
    <cfRule type="cellIs" dxfId="89" priority="96" stopIfTrue="1" operator="equal">
      <formula>A92</formula>
    </cfRule>
  </conditionalFormatting>
  <conditionalFormatting sqref="A94">
    <cfRule type="cellIs" dxfId="88" priority="95" stopIfTrue="1" operator="equal">
      <formula>A93</formula>
    </cfRule>
  </conditionalFormatting>
  <conditionalFormatting sqref="A95">
    <cfRule type="cellIs" dxfId="87" priority="94" stopIfTrue="1" operator="equal">
      <formula>A94</formula>
    </cfRule>
  </conditionalFormatting>
  <conditionalFormatting sqref="A96">
    <cfRule type="cellIs" dxfId="86" priority="93" stopIfTrue="1" operator="equal">
      <formula>A95</formula>
    </cfRule>
  </conditionalFormatting>
  <conditionalFormatting sqref="A97">
    <cfRule type="cellIs" dxfId="85" priority="92" stopIfTrue="1" operator="equal">
      <formula>A96</formula>
    </cfRule>
  </conditionalFormatting>
  <conditionalFormatting sqref="A98">
    <cfRule type="cellIs" dxfId="84" priority="91" stopIfTrue="1" operator="equal">
      <formula>A97</formula>
    </cfRule>
  </conditionalFormatting>
  <conditionalFormatting sqref="A99">
    <cfRule type="cellIs" dxfId="83" priority="90" stopIfTrue="1" operator="equal">
      <formula>A98</formula>
    </cfRule>
  </conditionalFormatting>
  <conditionalFormatting sqref="A100">
    <cfRule type="cellIs" dxfId="82" priority="89" stopIfTrue="1" operator="equal">
      <formula>A99</formula>
    </cfRule>
  </conditionalFormatting>
  <conditionalFormatting sqref="A101">
    <cfRule type="cellIs" dxfId="81" priority="88" stopIfTrue="1" operator="equal">
      <formula>A100</formula>
    </cfRule>
  </conditionalFormatting>
  <conditionalFormatting sqref="A102">
    <cfRule type="cellIs" dxfId="80" priority="87" stopIfTrue="1" operator="equal">
      <formula>A101</formula>
    </cfRule>
  </conditionalFormatting>
  <conditionalFormatting sqref="A103">
    <cfRule type="cellIs" dxfId="79" priority="86" stopIfTrue="1" operator="equal">
      <formula>A102</formula>
    </cfRule>
  </conditionalFormatting>
  <conditionalFormatting sqref="A104">
    <cfRule type="cellIs" dxfId="78" priority="85" stopIfTrue="1" operator="equal">
      <formula>A103</formula>
    </cfRule>
  </conditionalFormatting>
  <conditionalFormatting sqref="A105">
    <cfRule type="cellIs" dxfId="77" priority="84" stopIfTrue="1" operator="equal">
      <formula>A104</formula>
    </cfRule>
  </conditionalFormatting>
  <conditionalFormatting sqref="A106">
    <cfRule type="cellIs" dxfId="76" priority="83" stopIfTrue="1" operator="equal">
      <formula>A105</formula>
    </cfRule>
  </conditionalFormatting>
  <conditionalFormatting sqref="A107">
    <cfRule type="cellIs" dxfId="75" priority="82" stopIfTrue="1" operator="equal">
      <formula>A106</formula>
    </cfRule>
  </conditionalFormatting>
  <conditionalFormatting sqref="A108">
    <cfRule type="cellIs" dxfId="74" priority="81" stopIfTrue="1" operator="equal">
      <formula>A107</formula>
    </cfRule>
  </conditionalFormatting>
  <conditionalFormatting sqref="A109">
    <cfRule type="cellIs" dxfId="73" priority="80" stopIfTrue="1" operator="equal">
      <formula>A108</formula>
    </cfRule>
  </conditionalFormatting>
  <conditionalFormatting sqref="A110">
    <cfRule type="cellIs" dxfId="72" priority="79" stopIfTrue="1" operator="equal">
      <formula>A109</formula>
    </cfRule>
  </conditionalFormatting>
  <conditionalFormatting sqref="A111">
    <cfRule type="cellIs" dxfId="71" priority="78" stopIfTrue="1" operator="equal">
      <formula>A110</formula>
    </cfRule>
  </conditionalFormatting>
  <conditionalFormatting sqref="A112">
    <cfRule type="cellIs" dxfId="70" priority="77" stopIfTrue="1" operator="equal">
      <formula>A111</formula>
    </cfRule>
  </conditionalFormatting>
  <conditionalFormatting sqref="A113">
    <cfRule type="cellIs" dxfId="69" priority="76" stopIfTrue="1" operator="equal">
      <formula>A112</formula>
    </cfRule>
  </conditionalFormatting>
  <conditionalFormatting sqref="A114">
    <cfRule type="cellIs" dxfId="68" priority="75" stopIfTrue="1" operator="equal">
      <formula>A113</formula>
    </cfRule>
  </conditionalFormatting>
  <conditionalFormatting sqref="A115">
    <cfRule type="cellIs" dxfId="67" priority="74" stopIfTrue="1" operator="equal">
      <formula>A114</formula>
    </cfRule>
  </conditionalFormatting>
  <conditionalFormatting sqref="A116">
    <cfRule type="cellIs" dxfId="66" priority="73" stopIfTrue="1" operator="equal">
      <formula>A115</formula>
    </cfRule>
  </conditionalFormatting>
  <conditionalFormatting sqref="A117">
    <cfRule type="cellIs" dxfId="65" priority="72" stopIfTrue="1" operator="equal">
      <formula>A116</formula>
    </cfRule>
  </conditionalFormatting>
  <conditionalFormatting sqref="A126">
    <cfRule type="cellIs" dxfId="63" priority="70" stopIfTrue="1" operator="equal">
      <formula>A125</formula>
    </cfRule>
  </conditionalFormatting>
  <conditionalFormatting sqref="A127">
    <cfRule type="cellIs" dxfId="62" priority="69" stopIfTrue="1" operator="equal">
      <formula>A126</formula>
    </cfRule>
  </conditionalFormatting>
  <conditionalFormatting sqref="A128">
    <cfRule type="cellIs" dxfId="61" priority="68" stopIfTrue="1" operator="equal">
      <formula>A127</formula>
    </cfRule>
  </conditionalFormatting>
  <conditionalFormatting sqref="A129">
    <cfRule type="cellIs" dxfId="60" priority="67" stopIfTrue="1" operator="equal">
      <formula>A128</formula>
    </cfRule>
  </conditionalFormatting>
  <conditionalFormatting sqref="A130">
    <cfRule type="cellIs" dxfId="59" priority="66" stopIfTrue="1" operator="equal">
      <formula>A129</formula>
    </cfRule>
  </conditionalFormatting>
  <conditionalFormatting sqref="A131">
    <cfRule type="cellIs" dxfId="58" priority="65" stopIfTrue="1" operator="equal">
      <formula>A130</formula>
    </cfRule>
  </conditionalFormatting>
  <conditionalFormatting sqref="A132">
    <cfRule type="cellIs" dxfId="57" priority="64" stopIfTrue="1" operator="equal">
      <formula>A131</formula>
    </cfRule>
  </conditionalFormatting>
  <conditionalFormatting sqref="A133">
    <cfRule type="cellIs" dxfId="56" priority="63" stopIfTrue="1" operator="equal">
      <formula>A132</formula>
    </cfRule>
  </conditionalFormatting>
  <conditionalFormatting sqref="A134">
    <cfRule type="cellIs" dxfId="55" priority="62" stopIfTrue="1" operator="equal">
      <formula>A133</formula>
    </cfRule>
  </conditionalFormatting>
  <conditionalFormatting sqref="A135">
    <cfRule type="cellIs" dxfId="54" priority="61" stopIfTrue="1" operator="equal">
      <formula>A134</formula>
    </cfRule>
  </conditionalFormatting>
  <conditionalFormatting sqref="A136">
    <cfRule type="cellIs" dxfId="53" priority="60" stopIfTrue="1" operator="equal">
      <formula>A135</formula>
    </cfRule>
  </conditionalFormatting>
  <conditionalFormatting sqref="A137">
    <cfRule type="cellIs" dxfId="52" priority="59" stopIfTrue="1" operator="equal">
      <formula>A136</formula>
    </cfRule>
  </conditionalFormatting>
  <conditionalFormatting sqref="A138">
    <cfRule type="cellIs" dxfId="51" priority="58" stopIfTrue="1" operator="equal">
      <formula>A137</formula>
    </cfRule>
  </conditionalFormatting>
  <conditionalFormatting sqref="A139">
    <cfRule type="cellIs" dxfId="50" priority="57" stopIfTrue="1" operator="equal">
      <formula>A138</formula>
    </cfRule>
  </conditionalFormatting>
  <conditionalFormatting sqref="A140">
    <cfRule type="cellIs" dxfId="49" priority="56" stopIfTrue="1" operator="equal">
      <formula>A139</formula>
    </cfRule>
  </conditionalFormatting>
  <conditionalFormatting sqref="A141">
    <cfRule type="cellIs" dxfId="48" priority="55" stopIfTrue="1" operator="equal">
      <formula>A140</formula>
    </cfRule>
  </conditionalFormatting>
  <conditionalFormatting sqref="A142">
    <cfRule type="cellIs" dxfId="47" priority="54" stopIfTrue="1" operator="equal">
      <formula>A141</formula>
    </cfRule>
  </conditionalFormatting>
  <conditionalFormatting sqref="A143">
    <cfRule type="cellIs" dxfId="46" priority="53" stopIfTrue="1" operator="equal">
      <formula>A142</formula>
    </cfRule>
  </conditionalFormatting>
  <conditionalFormatting sqref="A144">
    <cfRule type="cellIs" dxfId="45" priority="52" stopIfTrue="1" operator="equal">
      <formula>A143</formula>
    </cfRule>
  </conditionalFormatting>
  <conditionalFormatting sqref="A145">
    <cfRule type="cellIs" dxfId="44" priority="51" stopIfTrue="1" operator="equal">
      <formula>A144</formula>
    </cfRule>
  </conditionalFormatting>
  <conditionalFormatting sqref="A146">
    <cfRule type="cellIs" dxfId="43" priority="50" stopIfTrue="1" operator="equal">
      <formula>A145</formula>
    </cfRule>
  </conditionalFormatting>
  <conditionalFormatting sqref="A147">
    <cfRule type="cellIs" dxfId="42" priority="49" stopIfTrue="1" operator="equal">
      <formula>A146</formula>
    </cfRule>
  </conditionalFormatting>
  <conditionalFormatting sqref="A148">
    <cfRule type="cellIs" dxfId="41" priority="48" stopIfTrue="1" operator="equal">
      <formula>A147</formula>
    </cfRule>
  </conditionalFormatting>
  <conditionalFormatting sqref="A149">
    <cfRule type="cellIs" dxfId="40" priority="47" stopIfTrue="1" operator="equal">
      <formula>A148</formula>
    </cfRule>
  </conditionalFormatting>
  <conditionalFormatting sqref="A150">
    <cfRule type="cellIs" dxfId="39" priority="46" stopIfTrue="1" operator="equal">
      <formula>A149</formula>
    </cfRule>
  </conditionalFormatting>
  <conditionalFormatting sqref="A151">
    <cfRule type="cellIs" dxfId="38" priority="45" stopIfTrue="1" operator="equal">
      <formula>A150</formula>
    </cfRule>
  </conditionalFormatting>
  <conditionalFormatting sqref="A152">
    <cfRule type="cellIs" dxfId="37" priority="44" stopIfTrue="1" operator="equal">
      <formula>A151</formula>
    </cfRule>
  </conditionalFormatting>
  <conditionalFormatting sqref="A153">
    <cfRule type="cellIs" dxfId="36" priority="43" stopIfTrue="1" operator="equal">
      <formula>A152</formula>
    </cfRule>
  </conditionalFormatting>
  <conditionalFormatting sqref="A154">
    <cfRule type="cellIs" dxfId="35" priority="42" stopIfTrue="1" operator="equal">
      <formula>A153</formula>
    </cfRule>
  </conditionalFormatting>
  <conditionalFormatting sqref="A155">
    <cfRule type="cellIs" dxfId="34" priority="41" stopIfTrue="1" operator="equal">
      <formula>A154</formula>
    </cfRule>
  </conditionalFormatting>
  <conditionalFormatting sqref="A156">
    <cfRule type="cellIs" dxfId="33" priority="40" stopIfTrue="1" operator="equal">
      <formula>A155</formula>
    </cfRule>
  </conditionalFormatting>
  <conditionalFormatting sqref="A157">
    <cfRule type="cellIs" dxfId="32" priority="39" stopIfTrue="1" operator="equal">
      <formula>A156</formula>
    </cfRule>
  </conditionalFormatting>
  <conditionalFormatting sqref="A158">
    <cfRule type="cellIs" dxfId="31" priority="38" stopIfTrue="1" operator="equal">
      <formula>A157</formula>
    </cfRule>
  </conditionalFormatting>
  <conditionalFormatting sqref="A216">
    <cfRule type="cellIs" dxfId="30" priority="4" stopIfTrue="1" operator="equal">
      <formula>A215</formula>
    </cfRule>
  </conditionalFormatting>
  <conditionalFormatting sqref="A167:C167">
    <cfRule type="cellIs" dxfId="29" priority="35" stopIfTrue="1" operator="equal">
      <formula>A166</formula>
    </cfRule>
    <cfRule type="cellIs" dxfId="28" priority="36" stopIfTrue="1" operator="equal">
      <formula>0</formula>
    </cfRule>
  </conditionalFormatting>
  <conditionalFormatting sqref="A168:C168">
    <cfRule type="cellIs" dxfId="27" priority="33" stopIfTrue="1" operator="equal">
      <formula>A167</formula>
    </cfRule>
    <cfRule type="cellIs" dxfId="26" priority="34" stopIfTrue="1" operator="equal">
      <formula>0</formula>
    </cfRule>
  </conditionalFormatting>
  <conditionalFormatting sqref="A169:C169">
    <cfRule type="cellIs" dxfId="25" priority="31" stopIfTrue="1" operator="equal">
      <formula>A168</formula>
    </cfRule>
    <cfRule type="cellIs" dxfId="24" priority="32" stopIfTrue="1" operator="equal">
      <formula>0</formula>
    </cfRule>
  </conditionalFormatting>
  <conditionalFormatting sqref="A170:C170">
    <cfRule type="cellIs" dxfId="23" priority="29" stopIfTrue="1" operator="equal">
      <formula>A169</formula>
    </cfRule>
    <cfRule type="cellIs" dxfId="22" priority="30" stopIfTrue="1" operator="equal">
      <formula>0</formula>
    </cfRule>
  </conditionalFormatting>
  <conditionalFormatting sqref="A171:C171">
    <cfRule type="cellIs" dxfId="21" priority="27" stopIfTrue="1" operator="equal">
      <formula>A170</formula>
    </cfRule>
    <cfRule type="cellIs" dxfId="20" priority="28" stopIfTrue="1" operator="equal">
      <formula>0</formula>
    </cfRule>
  </conditionalFormatting>
  <conditionalFormatting sqref="A172:C172">
    <cfRule type="cellIs" dxfId="19" priority="25" stopIfTrue="1" operator="equal">
      <formula>A171</formula>
    </cfRule>
    <cfRule type="cellIs" dxfId="18" priority="26" stopIfTrue="1" operator="equal">
      <formula>0</formula>
    </cfRule>
  </conditionalFormatting>
  <conditionalFormatting sqref="A173:C173">
    <cfRule type="cellIs" dxfId="17" priority="23" stopIfTrue="1" operator="equal">
      <formula>A172</formula>
    </cfRule>
    <cfRule type="cellIs" dxfId="16" priority="24" stopIfTrue="1" operator="equal">
      <formula>0</formula>
    </cfRule>
  </conditionalFormatting>
  <conditionalFormatting sqref="A181:C181">
    <cfRule type="cellIs" dxfId="15" priority="19" stopIfTrue="1" operator="equal">
      <formula>A180</formula>
    </cfRule>
    <cfRule type="cellIs" dxfId="14" priority="20" stopIfTrue="1" operator="equal">
      <formula>0</formula>
    </cfRule>
  </conditionalFormatting>
  <conditionalFormatting sqref="A182:C182">
    <cfRule type="cellIs" dxfId="13" priority="17" stopIfTrue="1" operator="equal">
      <formula>A181</formula>
    </cfRule>
    <cfRule type="cellIs" dxfId="12" priority="18" stopIfTrue="1" operator="equal">
      <formula>0</formula>
    </cfRule>
  </conditionalFormatting>
  <conditionalFormatting sqref="A183:C183">
    <cfRule type="cellIs" dxfId="11" priority="15" stopIfTrue="1" operator="equal">
      <formula>A182</formula>
    </cfRule>
    <cfRule type="cellIs" dxfId="10" priority="16" stopIfTrue="1" operator="equal">
      <formula>0</formula>
    </cfRule>
  </conditionalFormatting>
  <conditionalFormatting sqref="A184:C184">
    <cfRule type="cellIs" dxfId="9" priority="13" stopIfTrue="1" operator="equal">
      <formula>A183</formula>
    </cfRule>
    <cfRule type="cellIs" dxfId="8" priority="14" stopIfTrue="1" operator="equal">
      <formula>0</formula>
    </cfRule>
  </conditionalFormatting>
  <conditionalFormatting sqref="A185:C185">
    <cfRule type="cellIs" dxfId="7" priority="11" stopIfTrue="1" operator="equal">
      <formula>A184</formula>
    </cfRule>
    <cfRule type="cellIs" dxfId="6" priority="12" stopIfTrue="1" operator="equal">
      <formula>0</formula>
    </cfRule>
  </conditionalFormatting>
  <conditionalFormatting sqref="A186:C186">
    <cfRule type="cellIs" dxfId="5" priority="9" stopIfTrue="1" operator="equal">
      <formula>A185</formula>
    </cfRule>
    <cfRule type="cellIs" dxfId="4" priority="10" stopIfTrue="1" operator="equal">
      <formula>0</formula>
    </cfRule>
  </conditionalFormatting>
  <conditionalFormatting sqref="A187:C187">
    <cfRule type="cellIs" dxfId="3" priority="7" stopIfTrue="1" operator="equal">
      <formula>A186</formula>
    </cfRule>
    <cfRule type="cellIs" dxfId="2" priority="8" stopIfTrue="1" operator="equal">
      <formula>0</formula>
    </cfRule>
  </conditionalFormatting>
  <conditionalFormatting sqref="A217">
    <cfRule type="cellIs" dxfId="1" priority="3" stopIfTrue="1" operator="equal">
      <formula>A216</formula>
    </cfRule>
  </conditionalFormatting>
  <conditionalFormatting sqref="A218">
    <cfRule type="cellIs" dxfId="0" priority="2" stopIfTrue="1" operator="equal">
      <formula>A217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КПК0118130</vt:lpstr>
      <vt:lpstr>'Додаток2 КПК0118130'!Область_печати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2025-01-14T13:17:33Z</cp:lastPrinted>
  <dcterms:created xsi:type="dcterms:W3CDTF">2016-07-02T12:27:50Z</dcterms:created>
  <dcterms:modified xsi:type="dcterms:W3CDTF">2025-01-14T13:17:35Z</dcterms:modified>
</cp:coreProperties>
</file>