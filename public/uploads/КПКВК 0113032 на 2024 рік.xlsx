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623760AB-BCA0-4293-9630-A7ADDE9BE471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3032" sheetId="6" r:id="rId1"/>
  </sheets>
  <definedNames>
    <definedName name="_xlnm.Print_Area" localSheetId="0">'Додаток2 КПК0113032'!$A$1:$BY$236</definedName>
  </definedNames>
  <calcPr calcId="191029"/>
</workbook>
</file>

<file path=xl/calcChain.xml><?xml version="1.0" encoding="utf-8"?>
<calcChain xmlns="http://schemas.openxmlformats.org/spreadsheetml/2006/main">
  <c r="BH213" i="6" l="1"/>
  <c r="AT213" i="6"/>
  <c r="AJ213" i="6"/>
  <c r="BG204" i="6"/>
  <c r="AQ204" i="6"/>
  <c r="AZ181" i="6"/>
  <c r="AK181" i="6"/>
  <c r="AZ180" i="6"/>
  <c r="AK180" i="6"/>
  <c r="BO172" i="6"/>
  <c r="AZ172" i="6"/>
  <c r="AK172" i="6"/>
  <c r="BO171" i="6"/>
  <c r="AZ171" i="6"/>
  <c r="AK171" i="6"/>
  <c r="BD96" i="6"/>
  <c r="AJ96" i="6"/>
  <c r="BD95" i="6"/>
  <c r="AJ95" i="6"/>
  <c r="BU87" i="6"/>
  <c r="BB87" i="6"/>
  <c r="AI87" i="6"/>
  <c r="BU86" i="6"/>
  <c r="BB86" i="6"/>
  <c r="AI86" i="6"/>
  <c r="BG76" i="6"/>
  <c r="AM76" i="6"/>
  <c r="BG68" i="6"/>
  <c r="AM68" i="6"/>
  <c r="BG67" i="6"/>
  <c r="AM67" i="6"/>
  <c r="BU59" i="6"/>
  <c r="BB59" i="6"/>
  <c r="AI59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<sst xmlns="http://schemas.openxmlformats.org/spreadsheetml/2006/main" count="722" uniqueCount="253">
  <si>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</si>
  <si>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</si>
  <si>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</si>
  <si>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</si>
  <si>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</si>
  <si>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</si>
  <si>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</si>
  <si>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</si>
  <si>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</si>
  <si>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</si>
  <si>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</si>
  <si>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</si>
  <si>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</si>
  <si>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</si>
  <si>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</si>
  <si>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</si>
  <si>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</si>
  <si>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</si>
  <si>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</si>
  <si>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</si>
  <si>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</si>
  <si>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</si>
  <si>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</si>
  <si>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</si>
  <si>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</si>
  <si>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</si>
  <si>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</si>
  <si>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</si>
  <si>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</si>
  <si>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</si>
  <si>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</si>
  <si>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</si>
  <si>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</si>
  <si>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</si>
  <si>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</si>
  <si>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</si>
  <si>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</si>
  <si>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</si>
  <si>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</si>
  <si>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</si>
  <si>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</si>
  <si>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</si>
  <si>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</si>
  <si>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</si>
  <si>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</si>
  <si>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</si>
  <si>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</si>
  <si>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</si>
  <si>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</si>
  <si>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</si>
  <si>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</si>
  <si>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</si>
  <si>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</si>
  <si>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</si>
  <si>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</si>
  <si>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</si>
  <si>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</si>
  <si>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</si>
  <si>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</si>
  <si>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</si>
  <si>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</si>
  <si>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</si>
  <si>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</si>
  <si>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</si>
  <si>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</si>
  <si>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</si>
  <si>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</si>
  <si>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</si>
  <si>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</si>
  <si>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</si>
  <si>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</si>
  <si>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</si>
  <si>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</si>
  <si>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</si>
  <si>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</si>
  <si>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</si>
  <si>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</si>
  <si>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</si>
  <si>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</si>
  <si>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</si>
  <si>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</si>
  <si>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</si>
  <si>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</si>
  <si>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</si>
  <si>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</si>
  <si>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</si>
  <si>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</si>
  <si>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</si>
  <si>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</si>
  <si>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</si>
  <si>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</si>
  <si>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</si>
  <si>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</si>
  <si>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</si>
  <si>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</si>
  <si>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</si>
  <si>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</si>
  <si>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</si>
  <si>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</si>
  <si>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</si>
  <si>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</si>
  <si>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</si>
  <si>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</si>
  <si>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</si>
  <si>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</si>
  <si>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</si>
  <si>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</si>
  <si>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</si>
  <si>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</si>
  <si>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</si>
  <si>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</si>
  <si>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</si>
  <si>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</si>
  <si>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</si>
  <si>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</si>
  <si>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</si>
  <si>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</si>
  <si>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</si>
  <si>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</si>
  <si>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</si>
  <si>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</si>
  <si>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</si>
  <si>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</si>
  <si>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</si>
  <si>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</si>
  <si>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</si>
  <si>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</si>
  <si>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</si>
  <si>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</si>
  <si>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</si>
  <si>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</si>
  <si>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</si>
  <si>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</si>
  <si>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</si>
  <si>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</si>
  <si>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</si>
  <si>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</si>
  <si>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</si>
  <si>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</si>
  <si>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</si>
  <si>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</si>
  <si>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</si>
  <si>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</si>
  <si>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</si>
  <si>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</si>
  <si>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</si>
  <si>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</si>
  <si>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</si>
  <si>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</si>
  <si>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</si>
  <si>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</si>
  <si>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</si>
  <si>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</si>
  <si>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</si>
  <si>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</si>
  <si>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</si>
  <si>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</si>
  <si>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</si>
  <si>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</si>
  <si>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</si>
  <si>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</si>
  <si>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</si>
  <si>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</si>
  <si>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</si>
  <si>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</si>
  <si>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</si>
  <si>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</si>
  <si>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</si>
  <si>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</si>
  <si>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</si>
  <si>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</si>
  <si>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</si>
  <si>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</si>
  <si>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</si>
  <si>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</si>
  <si>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Відшкодування витрат на надання пільг за послуги зв"язку окремим категоріям громадян</t>
  </si>
  <si>
    <t>затрат</t>
  </si>
  <si>
    <t xml:space="preserve">formula=RC[-16]+RC[-8]                          </t>
  </si>
  <si>
    <t>витрати на відшкодування пільг</t>
  </si>
  <si>
    <t>грн.</t>
  </si>
  <si>
    <t>рішення сесії</t>
  </si>
  <si>
    <t>чоловіки</t>
  </si>
  <si>
    <t>продукту</t>
  </si>
  <si>
    <t>кількість отримувачів пільг на оплату послуг зв`язку (користування телефоном),</t>
  </si>
  <si>
    <t>осіб</t>
  </si>
  <si>
    <t>інформація відділу соціального захисту</t>
  </si>
  <si>
    <t>ефективності</t>
  </si>
  <si>
    <t>середньомісячна вартість витрат на надання пільг з послуг зв`язку (користування телефоном)</t>
  </si>
  <si>
    <t>якості</t>
  </si>
  <si>
    <t>питома вага пільговиків, які отримали пільгові послуги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</si>
  <si>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</si>
  <si>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</si>
  <si>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</si>
  <si>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</si>
  <si>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</si>
  <si>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 (проект)</t>
  </si>
  <si>
    <t>Проект рішення</t>
  </si>
  <si>
    <t>Забезпечення надання пільг окремим категоріям громадян з оплати послуг зв’язку, проїзду, санаторно-курортного лікування, ремонту будинків і квартир, безоплатного поховання і спорудження на могилі надгробка, компенсації витрат на автомобільне паливо</t>
  </si>
  <si>
    <t>Відшкодування витрат на надання пільг окремим категоріям громадян за послуги зв"язку</t>
  </si>
  <si>
    <t xml:space="preserve"> Бюджетний кодекс України;_x000D_
 Закон України "Про місцеве самоврядування в Україні";_x000D_
 Конституція України;_x000D_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соціальної політики України від 14.05.2018 № 688 "Про затвердження Типового переліку бюджетних програм і результативних показників їх виконання для місцевих бюджетів у галузі "Соціальний захист та соціальне забезпечення" (із змінами)_x000D_
Проект Програми соціального захисту населення Широківської сільської територіальної громади "Назустріч людям" на 2023-2025 роки</t>
  </si>
  <si>
    <t>Внаслідок використання коштів загального фонду місцевого бюджету у  2023 році за цією бюджетною програмою планується відшкодувати витрати на надання пільг за послуги зв"язку трьом громадянам, яким дана виплата передбачена законодавством України._x000D_
_x000D_
Протягом 2024  року за даною бюджетною програмою планується продовжити відшкодування витрат на надння пільг за послуги зв"язку  окремим категоріям громадян у кількості 3 особи.</t>
  </si>
  <si>
    <t>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</si>
  <si>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</si>
  <si>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</si>
  <si>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</si>
  <si>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</si>
  <si>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</si>
  <si>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</si>
  <si>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</si>
  <si>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</si>
  <si>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</si>
  <si>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</si>
  <si>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</si>
  <si>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</si>
  <si>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</si>
  <si>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</si>
  <si>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</si>
  <si>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</si>
  <si>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</si>
  <si>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</si>
  <si>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</si>
  <si>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</si>
  <si>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</si>
  <si>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</si>
  <si>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</si>
  <si>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</si>
  <si>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</si>
  <si>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</si>
  <si>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</si>
  <si>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</si>
  <si>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</si>
  <si>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</si>
  <si>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</si>
  <si>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</si>
  <si>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</si>
  <si>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</si>
  <si>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</si>
  <si>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</si>
  <si>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</si>
  <si>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</si>
  <si>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</si>
  <si>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</si>
  <si>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</si>
  <si>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</si>
  <si>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</si>
  <si>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</si>
  <si>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</si>
  <si>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(0)(1)(1)(3)(0)(3)(2)</t>
  </si>
  <si>
    <t>(3)(0)(3)(2)</t>
  </si>
  <si>
    <t>(1)(0)(7)(0)</t>
  </si>
  <si>
    <t>Надання пільг окремим категоріям громадян з оплати послуг зв`язку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</si>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</sst>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6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37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203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202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208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251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252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208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247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248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249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250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209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235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30" customHeight="1" x14ac:dyDescent="0.2">
      <c r="A15" s="125" t="s">
        <v>197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5" t="s">
        <v>198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5" t="s">
        <v>199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211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214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222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0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>
        <v>1434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1434</v>
      </c>
      <c r="BC30" s="97"/>
      <c r="BD30" s="97"/>
      <c r="BE30" s="97"/>
      <c r="BF30" s="98"/>
      <c r="BG30" s="96">
        <v>1434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1434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0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0</v>
      </c>
      <c r="AJ31" s="105"/>
      <c r="AK31" s="105"/>
      <c r="AL31" s="105"/>
      <c r="AM31" s="106"/>
      <c r="AN31" s="104">
        <v>1434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1434</v>
      </c>
      <c r="BC31" s="105"/>
      <c r="BD31" s="105"/>
      <c r="BE31" s="105"/>
      <c r="BF31" s="106"/>
      <c r="BG31" s="104">
        <v>1434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1434</v>
      </c>
      <c r="BV31" s="105"/>
      <c r="BW31" s="105"/>
      <c r="BX31" s="105"/>
      <c r="BY31" s="106"/>
    </row>
    <row r="33" spans="1:79" ht="14.25" customHeight="1" x14ac:dyDescent="0.2">
      <c r="A33" s="79" t="s">
        <v>236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210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232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237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1534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1534</v>
      </c>
      <c r="AN39" s="97"/>
      <c r="AO39" s="97"/>
      <c r="AP39" s="97"/>
      <c r="AQ39" s="98"/>
      <c r="AR39" s="96">
        <v>1623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1623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1534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1534</v>
      </c>
      <c r="AN40" s="105"/>
      <c r="AO40" s="105"/>
      <c r="AP40" s="105"/>
      <c r="AQ40" s="106"/>
      <c r="AR40" s="104">
        <v>1623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1623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223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210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211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214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222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2730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0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0</v>
      </c>
      <c r="AJ50" s="97"/>
      <c r="AK50" s="97"/>
      <c r="AL50" s="97"/>
      <c r="AM50" s="98"/>
      <c r="AN50" s="96">
        <v>1434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1434</v>
      </c>
      <c r="BC50" s="97"/>
      <c r="BD50" s="97"/>
      <c r="BE50" s="97"/>
      <c r="BF50" s="98"/>
      <c r="BG50" s="96">
        <v>1434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1434</v>
      </c>
      <c r="BV50" s="97"/>
      <c r="BW50" s="97"/>
      <c r="BX50" s="97"/>
      <c r="BY50" s="98"/>
      <c r="CA50" s="99" t="s">
        <v>26</v>
      </c>
    </row>
    <row r="51" spans="1:79" s="6" customFormat="1" ht="12.75" customHeight="1" x14ac:dyDescent="0.2">
      <c r="A51" s="86"/>
      <c r="B51" s="87"/>
      <c r="C51" s="87"/>
      <c r="D51" s="88"/>
      <c r="E51" s="100" t="s">
        <v>147</v>
      </c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4">
        <v>0</v>
      </c>
      <c r="V51" s="105"/>
      <c r="W51" s="105"/>
      <c r="X51" s="105"/>
      <c r="Y51" s="106"/>
      <c r="Z51" s="104">
        <v>0</v>
      </c>
      <c r="AA51" s="105"/>
      <c r="AB51" s="105"/>
      <c r="AC51" s="105"/>
      <c r="AD51" s="106"/>
      <c r="AE51" s="104">
        <v>0</v>
      </c>
      <c r="AF51" s="105"/>
      <c r="AG51" s="105"/>
      <c r="AH51" s="106"/>
      <c r="AI51" s="104">
        <f>IF(ISNUMBER(U51),U51,0)+IF(ISNUMBER(Z51),Z51,0)</f>
        <v>0</v>
      </c>
      <c r="AJ51" s="105"/>
      <c r="AK51" s="105"/>
      <c r="AL51" s="105"/>
      <c r="AM51" s="106"/>
      <c r="AN51" s="104">
        <v>1434</v>
      </c>
      <c r="AO51" s="105"/>
      <c r="AP51" s="105"/>
      <c r="AQ51" s="105"/>
      <c r="AR51" s="106"/>
      <c r="AS51" s="104">
        <v>0</v>
      </c>
      <c r="AT51" s="105"/>
      <c r="AU51" s="105"/>
      <c r="AV51" s="105"/>
      <c r="AW51" s="106"/>
      <c r="AX51" s="104">
        <v>0</v>
      </c>
      <c r="AY51" s="105"/>
      <c r="AZ51" s="105"/>
      <c r="BA51" s="106"/>
      <c r="BB51" s="104">
        <f>IF(ISNUMBER(AN51),AN51,0)+IF(ISNUMBER(AS51),AS51,0)</f>
        <v>1434</v>
      </c>
      <c r="BC51" s="105"/>
      <c r="BD51" s="105"/>
      <c r="BE51" s="105"/>
      <c r="BF51" s="106"/>
      <c r="BG51" s="104">
        <v>1434</v>
      </c>
      <c r="BH51" s="105"/>
      <c r="BI51" s="105"/>
      <c r="BJ51" s="105"/>
      <c r="BK51" s="106"/>
      <c r="BL51" s="104">
        <v>0</v>
      </c>
      <c r="BM51" s="105"/>
      <c r="BN51" s="105"/>
      <c r="BO51" s="105"/>
      <c r="BP51" s="106"/>
      <c r="BQ51" s="104">
        <v>0</v>
      </c>
      <c r="BR51" s="105"/>
      <c r="BS51" s="105"/>
      <c r="BT51" s="106"/>
      <c r="BU51" s="104">
        <f>IF(ISNUMBER(BG51),BG51,0)+IF(ISNUMBER(BL51),BL51,0)</f>
        <v>1434</v>
      </c>
      <c r="BV51" s="105"/>
      <c r="BW51" s="105"/>
      <c r="BX51" s="105"/>
      <c r="BY51" s="106"/>
    </row>
    <row r="53" spans="1:79" ht="14.25" customHeight="1" x14ac:dyDescent="0.2">
      <c r="A53" s="29" t="s">
        <v>224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pans="1:79" ht="15" customHeight="1" x14ac:dyDescent="0.2">
      <c r="A54" s="44" t="s">
        <v>210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</row>
    <row r="55" spans="1:79" ht="23.1" customHeight="1" x14ac:dyDescent="0.2">
      <c r="A55" s="61" t="s">
        <v>119</v>
      </c>
      <c r="B55" s="62"/>
      <c r="C55" s="62"/>
      <c r="D55" s="62"/>
      <c r="E55" s="63"/>
      <c r="F55" s="27" t="s">
        <v>19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36" t="s">
        <v>211</v>
      </c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8"/>
      <c r="AN55" s="36" t="s">
        <v>214</v>
      </c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8"/>
      <c r="BG55" s="36" t="s">
        <v>222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8"/>
    </row>
    <row r="56" spans="1:79" ht="51.75" customHeight="1" x14ac:dyDescent="0.2">
      <c r="A56" s="64"/>
      <c r="B56" s="65"/>
      <c r="C56" s="65"/>
      <c r="D56" s="65"/>
      <c r="E56" s="6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4</v>
      </c>
      <c r="V56" s="37"/>
      <c r="W56" s="37"/>
      <c r="X56" s="37"/>
      <c r="Y56" s="38"/>
      <c r="Z56" s="36" t="s">
        <v>3</v>
      </c>
      <c r="AA56" s="37"/>
      <c r="AB56" s="37"/>
      <c r="AC56" s="37"/>
      <c r="AD56" s="38"/>
      <c r="AE56" s="57" t="s">
        <v>116</v>
      </c>
      <c r="AF56" s="58"/>
      <c r="AG56" s="58"/>
      <c r="AH56" s="59"/>
      <c r="AI56" s="36" t="s">
        <v>5</v>
      </c>
      <c r="AJ56" s="37"/>
      <c r="AK56" s="37"/>
      <c r="AL56" s="37"/>
      <c r="AM56" s="38"/>
      <c r="AN56" s="36" t="s">
        <v>4</v>
      </c>
      <c r="AO56" s="37"/>
      <c r="AP56" s="37"/>
      <c r="AQ56" s="37"/>
      <c r="AR56" s="38"/>
      <c r="AS56" s="36" t="s">
        <v>3</v>
      </c>
      <c r="AT56" s="37"/>
      <c r="AU56" s="37"/>
      <c r="AV56" s="37"/>
      <c r="AW56" s="38"/>
      <c r="AX56" s="57" t="s">
        <v>116</v>
      </c>
      <c r="AY56" s="58"/>
      <c r="AZ56" s="58"/>
      <c r="BA56" s="59"/>
      <c r="BB56" s="36" t="s">
        <v>96</v>
      </c>
      <c r="BC56" s="37"/>
      <c r="BD56" s="37"/>
      <c r="BE56" s="37"/>
      <c r="BF56" s="38"/>
      <c r="BG56" s="36" t="s">
        <v>4</v>
      </c>
      <c r="BH56" s="37"/>
      <c r="BI56" s="37"/>
      <c r="BJ56" s="37"/>
      <c r="BK56" s="38"/>
      <c r="BL56" s="36" t="s">
        <v>3</v>
      </c>
      <c r="BM56" s="37"/>
      <c r="BN56" s="37"/>
      <c r="BO56" s="37"/>
      <c r="BP56" s="38"/>
      <c r="BQ56" s="57" t="s">
        <v>116</v>
      </c>
      <c r="BR56" s="58"/>
      <c r="BS56" s="58"/>
      <c r="BT56" s="59"/>
      <c r="BU56" s="27" t="s">
        <v>97</v>
      </c>
      <c r="BV56" s="27"/>
      <c r="BW56" s="27"/>
      <c r="BX56" s="27"/>
      <c r="BY56" s="27"/>
    </row>
    <row r="57" spans="1:79" ht="15" customHeight="1" x14ac:dyDescent="0.2">
      <c r="A57" s="36">
        <v>1</v>
      </c>
      <c r="B57" s="37"/>
      <c r="C57" s="37"/>
      <c r="D57" s="37"/>
      <c r="E57" s="38"/>
      <c r="F57" s="36">
        <v>2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6">
        <v>3</v>
      </c>
      <c r="V57" s="37"/>
      <c r="W57" s="37"/>
      <c r="X57" s="37"/>
      <c r="Y57" s="38"/>
      <c r="Z57" s="36">
        <v>4</v>
      </c>
      <c r="AA57" s="37"/>
      <c r="AB57" s="37"/>
      <c r="AC57" s="37"/>
      <c r="AD57" s="38"/>
      <c r="AE57" s="36">
        <v>5</v>
      </c>
      <c r="AF57" s="37"/>
      <c r="AG57" s="37"/>
      <c r="AH57" s="38"/>
      <c r="AI57" s="36">
        <v>6</v>
      </c>
      <c r="AJ57" s="37"/>
      <c r="AK57" s="37"/>
      <c r="AL57" s="37"/>
      <c r="AM57" s="38"/>
      <c r="AN57" s="36">
        <v>7</v>
      </c>
      <c r="AO57" s="37"/>
      <c r="AP57" s="37"/>
      <c r="AQ57" s="37"/>
      <c r="AR57" s="38"/>
      <c r="AS57" s="36">
        <v>8</v>
      </c>
      <c r="AT57" s="37"/>
      <c r="AU57" s="37"/>
      <c r="AV57" s="37"/>
      <c r="AW57" s="38"/>
      <c r="AX57" s="36">
        <v>9</v>
      </c>
      <c r="AY57" s="37"/>
      <c r="AZ57" s="37"/>
      <c r="BA57" s="38"/>
      <c r="BB57" s="36">
        <v>10</v>
      </c>
      <c r="BC57" s="37"/>
      <c r="BD57" s="37"/>
      <c r="BE57" s="37"/>
      <c r="BF57" s="38"/>
      <c r="BG57" s="36">
        <v>11</v>
      </c>
      <c r="BH57" s="37"/>
      <c r="BI57" s="37"/>
      <c r="BJ57" s="37"/>
      <c r="BK57" s="38"/>
      <c r="BL57" s="36">
        <v>12</v>
      </c>
      <c r="BM57" s="37"/>
      <c r="BN57" s="37"/>
      <c r="BO57" s="37"/>
      <c r="BP57" s="38"/>
      <c r="BQ57" s="36">
        <v>13</v>
      </c>
      <c r="BR57" s="37"/>
      <c r="BS57" s="37"/>
      <c r="BT57" s="38"/>
      <c r="BU57" s="27">
        <v>14</v>
      </c>
      <c r="BV57" s="27"/>
      <c r="BW57" s="27"/>
      <c r="BX57" s="27"/>
      <c r="BY57" s="27"/>
    </row>
    <row r="58" spans="1:79" s="1" customFormat="1" ht="13.5" hidden="1" customHeight="1" x14ac:dyDescent="0.2">
      <c r="A58" s="39" t="s">
        <v>64</v>
      </c>
      <c r="B58" s="40"/>
      <c r="C58" s="40"/>
      <c r="D58" s="40"/>
      <c r="E58" s="41"/>
      <c r="F58" s="39" t="s">
        <v>57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39" t="s">
        <v>65</v>
      </c>
      <c r="V58" s="40"/>
      <c r="W58" s="40"/>
      <c r="X58" s="40"/>
      <c r="Y58" s="41"/>
      <c r="Z58" s="39" t="s">
        <v>66</v>
      </c>
      <c r="AA58" s="40"/>
      <c r="AB58" s="40"/>
      <c r="AC58" s="40"/>
      <c r="AD58" s="41"/>
      <c r="AE58" s="39" t="s">
        <v>91</v>
      </c>
      <c r="AF58" s="40"/>
      <c r="AG58" s="40"/>
      <c r="AH58" s="41"/>
      <c r="AI58" s="47" t="s">
        <v>169</v>
      </c>
      <c r="AJ58" s="48"/>
      <c r="AK58" s="48"/>
      <c r="AL58" s="48"/>
      <c r="AM58" s="49"/>
      <c r="AN58" s="39" t="s">
        <v>67</v>
      </c>
      <c r="AO58" s="40"/>
      <c r="AP58" s="40"/>
      <c r="AQ58" s="40"/>
      <c r="AR58" s="41"/>
      <c r="AS58" s="39" t="s">
        <v>68</v>
      </c>
      <c r="AT58" s="40"/>
      <c r="AU58" s="40"/>
      <c r="AV58" s="40"/>
      <c r="AW58" s="41"/>
      <c r="AX58" s="39" t="s">
        <v>92</v>
      </c>
      <c r="AY58" s="40"/>
      <c r="AZ58" s="40"/>
      <c r="BA58" s="41"/>
      <c r="BB58" s="47" t="s">
        <v>169</v>
      </c>
      <c r="BC58" s="48"/>
      <c r="BD58" s="48"/>
      <c r="BE58" s="48"/>
      <c r="BF58" s="49"/>
      <c r="BG58" s="39" t="s">
        <v>58</v>
      </c>
      <c r="BH58" s="40"/>
      <c r="BI58" s="40"/>
      <c r="BJ58" s="40"/>
      <c r="BK58" s="41"/>
      <c r="BL58" s="39" t="s">
        <v>59</v>
      </c>
      <c r="BM58" s="40"/>
      <c r="BN58" s="40"/>
      <c r="BO58" s="40"/>
      <c r="BP58" s="41"/>
      <c r="BQ58" s="39" t="s">
        <v>93</v>
      </c>
      <c r="BR58" s="40"/>
      <c r="BS58" s="40"/>
      <c r="BT58" s="41"/>
      <c r="BU58" s="50" t="s">
        <v>169</v>
      </c>
      <c r="BV58" s="50"/>
      <c r="BW58" s="50"/>
      <c r="BX58" s="50"/>
      <c r="BY58" s="50"/>
      <c r="CA58" t="s">
        <v>27</v>
      </c>
    </row>
    <row r="59" spans="1:79" s="6" customFormat="1" ht="12.75" customHeight="1" x14ac:dyDescent="0.2">
      <c r="A59" s="86"/>
      <c r="B59" s="87"/>
      <c r="C59" s="87"/>
      <c r="D59" s="87"/>
      <c r="E59" s="88"/>
      <c r="F59" s="86" t="s">
        <v>147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8"/>
      <c r="U59" s="104"/>
      <c r="V59" s="105"/>
      <c r="W59" s="105"/>
      <c r="X59" s="105"/>
      <c r="Y59" s="106"/>
      <c r="Z59" s="104"/>
      <c r="AA59" s="105"/>
      <c r="AB59" s="105"/>
      <c r="AC59" s="105"/>
      <c r="AD59" s="106"/>
      <c r="AE59" s="104"/>
      <c r="AF59" s="105"/>
      <c r="AG59" s="105"/>
      <c r="AH59" s="106"/>
      <c r="AI59" s="104">
        <f>IF(ISNUMBER(U59),U59,0)+IF(ISNUMBER(Z59),Z59,0)</f>
        <v>0</v>
      </c>
      <c r="AJ59" s="105"/>
      <c r="AK59" s="105"/>
      <c r="AL59" s="105"/>
      <c r="AM59" s="106"/>
      <c r="AN59" s="104"/>
      <c r="AO59" s="105"/>
      <c r="AP59" s="105"/>
      <c r="AQ59" s="105"/>
      <c r="AR59" s="106"/>
      <c r="AS59" s="104"/>
      <c r="AT59" s="105"/>
      <c r="AU59" s="105"/>
      <c r="AV59" s="105"/>
      <c r="AW59" s="106"/>
      <c r="AX59" s="104"/>
      <c r="AY59" s="105"/>
      <c r="AZ59" s="105"/>
      <c r="BA59" s="106"/>
      <c r="BB59" s="104">
        <f>IF(ISNUMBER(AN59),AN59,0)+IF(ISNUMBER(AS59),AS59,0)</f>
        <v>0</v>
      </c>
      <c r="BC59" s="105"/>
      <c r="BD59" s="105"/>
      <c r="BE59" s="105"/>
      <c r="BF59" s="106"/>
      <c r="BG59" s="104"/>
      <c r="BH59" s="105"/>
      <c r="BI59" s="105"/>
      <c r="BJ59" s="105"/>
      <c r="BK59" s="106"/>
      <c r="BL59" s="104"/>
      <c r="BM59" s="105"/>
      <c r="BN59" s="105"/>
      <c r="BO59" s="105"/>
      <c r="BP59" s="106"/>
      <c r="BQ59" s="104"/>
      <c r="BR59" s="105"/>
      <c r="BS59" s="105"/>
      <c r="BT59" s="106"/>
      <c r="BU59" s="104">
        <f>IF(ISNUMBER(BG59),BG59,0)+IF(ISNUMBER(BL59),BL59,0)</f>
        <v>0</v>
      </c>
      <c r="BV59" s="105"/>
      <c r="BW59" s="105"/>
      <c r="BX59" s="105"/>
      <c r="BY59" s="106"/>
      <c r="CA59" s="6" t="s">
        <v>28</v>
      </c>
    </row>
    <row r="61" spans="1:79" ht="14.25" customHeight="1" x14ac:dyDescent="0.2">
      <c r="A61" s="29" t="s">
        <v>238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pans="1:79" ht="15" customHeight="1" x14ac:dyDescent="0.2">
      <c r="A62" s="44" t="s">
        <v>210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</row>
    <row r="63" spans="1:79" ht="23.1" customHeight="1" x14ac:dyDescent="0.2">
      <c r="A63" s="61" t="s">
        <v>118</v>
      </c>
      <c r="B63" s="62"/>
      <c r="C63" s="62"/>
      <c r="D63" s="63"/>
      <c r="E63" s="51" t="s">
        <v>19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  <c r="X63" s="36" t="s">
        <v>232</v>
      </c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8"/>
      <c r="AR63" s="27" t="s">
        <v>237</v>
      </c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</row>
    <row r="64" spans="1:79" ht="48.75" customHeight="1" x14ac:dyDescent="0.2">
      <c r="A64" s="64"/>
      <c r="B64" s="65"/>
      <c r="C64" s="65"/>
      <c r="D64" s="66"/>
      <c r="E64" s="54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/>
      <c r="X64" s="51" t="s">
        <v>4</v>
      </c>
      <c r="Y64" s="52"/>
      <c r="Z64" s="52"/>
      <c r="AA64" s="52"/>
      <c r="AB64" s="53"/>
      <c r="AC64" s="51" t="s">
        <v>3</v>
      </c>
      <c r="AD64" s="52"/>
      <c r="AE64" s="52"/>
      <c r="AF64" s="52"/>
      <c r="AG64" s="53"/>
      <c r="AH64" s="57" t="s">
        <v>116</v>
      </c>
      <c r="AI64" s="58"/>
      <c r="AJ64" s="58"/>
      <c r="AK64" s="58"/>
      <c r="AL64" s="59"/>
      <c r="AM64" s="36" t="s">
        <v>5</v>
      </c>
      <c r="AN64" s="37"/>
      <c r="AO64" s="37"/>
      <c r="AP64" s="37"/>
      <c r="AQ64" s="38"/>
      <c r="AR64" s="36" t="s">
        <v>4</v>
      </c>
      <c r="AS64" s="37"/>
      <c r="AT64" s="37"/>
      <c r="AU64" s="37"/>
      <c r="AV64" s="38"/>
      <c r="AW64" s="36" t="s">
        <v>3</v>
      </c>
      <c r="AX64" s="37"/>
      <c r="AY64" s="37"/>
      <c r="AZ64" s="37"/>
      <c r="BA64" s="38"/>
      <c r="BB64" s="57" t="s">
        <v>116</v>
      </c>
      <c r="BC64" s="58"/>
      <c r="BD64" s="58"/>
      <c r="BE64" s="58"/>
      <c r="BF64" s="59"/>
      <c r="BG64" s="36" t="s">
        <v>96</v>
      </c>
      <c r="BH64" s="37"/>
      <c r="BI64" s="37"/>
      <c r="BJ64" s="37"/>
      <c r="BK64" s="38"/>
    </row>
    <row r="65" spans="1:79" ht="12.75" customHeight="1" x14ac:dyDescent="0.2">
      <c r="A65" s="36">
        <v>1</v>
      </c>
      <c r="B65" s="37"/>
      <c r="C65" s="37"/>
      <c r="D65" s="38"/>
      <c r="E65" s="36">
        <v>2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8"/>
      <c r="X65" s="36">
        <v>3</v>
      </c>
      <c r="Y65" s="37"/>
      <c r="Z65" s="37"/>
      <c r="AA65" s="37"/>
      <c r="AB65" s="38"/>
      <c r="AC65" s="36">
        <v>4</v>
      </c>
      <c r="AD65" s="37"/>
      <c r="AE65" s="37"/>
      <c r="AF65" s="37"/>
      <c r="AG65" s="38"/>
      <c r="AH65" s="36">
        <v>5</v>
      </c>
      <c r="AI65" s="37"/>
      <c r="AJ65" s="37"/>
      <c r="AK65" s="37"/>
      <c r="AL65" s="38"/>
      <c r="AM65" s="36">
        <v>6</v>
      </c>
      <c r="AN65" s="37"/>
      <c r="AO65" s="37"/>
      <c r="AP65" s="37"/>
      <c r="AQ65" s="38"/>
      <c r="AR65" s="36">
        <v>7</v>
      </c>
      <c r="AS65" s="37"/>
      <c r="AT65" s="37"/>
      <c r="AU65" s="37"/>
      <c r="AV65" s="38"/>
      <c r="AW65" s="36">
        <v>8</v>
      </c>
      <c r="AX65" s="37"/>
      <c r="AY65" s="37"/>
      <c r="AZ65" s="37"/>
      <c r="BA65" s="38"/>
      <c r="BB65" s="36">
        <v>9</v>
      </c>
      <c r="BC65" s="37"/>
      <c r="BD65" s="37"/>
      <c r="BE65" s="37"/>
      <c r="BF65" s="38"/>
      <c r="BG65" s="36">
        <v>10</v>
      </c>
      <c r="BH65" s="37"/>
      <c r="BI65" s="37"/>
      <c r="BJ65" s="37"/>
      <c r="BK65" s="38"/>
    </row>
    <row r="66" spans="1:79" s="1" customFormat="1" ht="12.75" hidden="1" customHeight="1" x14ac:dyDescent="0.2">
      <c r="A66" s="39" t="s">
        <v>64</v>
      </c>
      <c r="B66" s="40"/>
      <c r="C66" s="40"/>
      <c r="D66" s="41"/>
      <c r="E66" s="39" t="s">
        <v>57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  <c r="X66" s="68" t="s">
        <v>60</v>
      </c>
      <c r="Y66" s="69"/>
      <c r="Z66" s="69"/>
      <c r="AA66" s="69"/>
      <c r="AB66" s="70"/>
      <c r="AC66" s="68" t="s">
        <v>61</v>
      </c>
      <c r="AD66" s="69"/>
      <c r="AE66" s="69"/>
      <c r="AF66" s="69"/>
      <c r="AG66" s="70"/>
      <c r="AH66" s="39" t="s">
        <v>94</v>
      </c>
      <c r="AI66" s="40"/>
      <c r="AJ66" s="40"/>
      <c r="AK66" s="40"/>
      <c r="AL66" s="41"/>
      <c r="AM66" s="47" t="s">
        <v>170</v>
      </c>
      <c r="AN66" s="48"/>
      <c r="AO66" s="48"/>
      <c r="AP66" s="48"/>
      <c r="AQ66" s="49"/>
      <c r="AR66" s="39" t="s">
        <v>62</v>
      </c>
      <c r="AS66" s="40"/>
      <c r="AT66" s="40"/>
      <c r="AU66" s="40"/>
      <c r="AV66" s="41"/>
      <c r="AW66" s="39" t="s">
        <v>63</v>
      </c>
      <c r="AX66" s="40"/>
      <c r="AY66" s="40"/>
      <c r="AZ66" s="40"/>
      <c r="BA66" s="41"/>
      <c r="BB66" s="39" t="s">
        <v>95</v>
      </c>
      <c r="BC66" s="40"/>
      <c r="BD66" s="40"/>
      <c r="BE66" s="40"/>
      <c r="BF66" s="41"/>
      <c r="BG66" s="47" t="s">
        <v>170</v>
      </c>
      <c r="BH66" s="48"/>
      <c r="BI66" s="48"/>
      <c r="BJ66" s="48"/>
      <c r="BK66" s="49"/>
      <c r="CA66" t="s">
        <v>29</v>
      </c>
    </row>
    <row r="67" spans="1:79" s="99" customFormat="1" ht="12.75" customHeight="1" x14ac:dyDescent="0.2">
      <c r="A67" s="89">
        <v>2730</v>
      </c>
      <c r="B67" s="90"/>
      <c r="C67" s="90"/>
      <c r="D67" s="91"/>
      <c r="E67" s="92" t="s">
        <v>174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4"/>
      <c r="X67" s="96">
        <v>1534</v>
      </c>
      <c r="Y67" s="97"/>
      <c r="Z67" s="97"/>
      <c r="AA67" s="97"/>
      <c r="AB67" s="98"/>
      <c r="AC67" s="96">
        <v>0</v>
      </c>
      <c r="AD67" s="97"/>
      <c r="AE67" s="97"/>
      <c r="AF67" s="97"/>
      <c r="AG67" s="98"/>
      <c r="AH67" s="96">
        <v>0</v>
      </c>
      <c r="AI67" s="97"/>
      <c r="AJ67" s="97"/>
      <c r="AK67" s="97"/>
      <c r="AL67" s="98"/>
      <c r="AM67" s="96">
        <f>IF(ISNUMBER(X67),X67,0)+IF(ISNUMBER(AC67),AC67,0)</f>
        <v>1534</v>
      </c>
      <c r="AN67" s="97"/>
      <c r="AO67" s="97"/>
      <c r="AP67" s="97"/>
      <c r="AQ67" s="98"/>
      <c r="AR67" s="96">
        <v>1623</v>
      </c>
      <c r="AS67" s="97"/>
      <c r="AT67" s="97"/>
      <c r="AU67" s="97"/>
      <c r="AV67" s="98"/>
      <c r="AW67" s="96">
        <v>0</v>
      </c>
      <c r="AX67" s="97"/>
      <c r="AY67" s="97"/>
      <c r="AZ67" s="97"/>
      <c r="BA67" s="98"/>
      <c r="BB67" s="96">
        <v>0</v>
      </c>
      <c r="BC67" s="97"/>
      <c r="BD67" s="97"/>
      <c r="BE67" s="97"/>
      <c r="BF67" s="98"/>
      <c r="BG67" s="95">
        <f>IF(ISNUMBER(AR67),AR67,0)+IF(ISNUMBER(AW67),AW67,0)</f>
        <v>1623</v>
      </c>
      <c r="BH67" s="95"/>
      <c r="BI67" s="95"/>
      <c r="BJ67" s="95"/>
      <c r="BK67" s="95"/>
      <c r="CA67" s="99" t="s">
        <v>30</v>
      </c>
    </row>
    <row r="68" spans="1:79" s="6" customFormat="1" ht="12.75" customHeight="1" x14ac:dyDescent="0.2">
      <c r="A68" s="86"/>
      <c r="B68" s="87"/>
      <c r="C68" s="87"/>
      <c r="D68" s="88"/>
      <c r="E68" s="100" t="s">
        <v>147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2"/>
      <c r="X68" s="104">
        <v>1534</v>
      </c>
      <c r="Y68" s="105"/>
      <c r="Z68" s="105"/>
      <c r="AA68" s="105"/>
      <c r="AB68" s="106"/>
      <c r="AC68" s="104">
        <v>0</v>
      </c>
      <c r="AD68" s="105"/>
      <c r="AE68" s="105"/>
      <c r="AF68" s="105"/>
      <c r="AG68" s="106"/>
      <c r="AH68" s="104">
        <v>0</v>
      </c>
      <c r="AI68" s="105"/>
      <c r="AJ68" s="105"/>
      <c r="AK68" s="105"/>
      <c r="AL68" s="106"/>
      <c r="AM68" s="104">
        <f>IF(ISNUMBER(X68),X68,0)+IF(ISNUMBER(AC68),AC68,0)</f>
        <v>1534</v>
      </c>
      <c r="AN68" s="105"/>
      <c r="AO68" s="105"/>
      <c r="AP68" s="105"/>
      <c r="AQ68" s="106"/>
      <c r="AR68" s="104">
        <v>1623</v>
      </c>
      <c r="AS68" s="105"/>
      <c r="AT68" s="105"/>
      <c r="AU68" s="105"/>
      <c r="AV68" s="106"/>
      <c r="AW68" s="104">
        <v>0</v>
      </c>
      <c r="AX68" s="105"/>
      <c r="AY68" s="105"/>
      <c r="AZ68" s="105"/>
      <c r="BA68" s="106"/>
      <c r="BB68" s="104">
        <v>0</v>
      </c>
      <c r="BC68" s="105"/>
      <c r="BD68" s="105"/>
      <c r="BE68" s="105"/>
      <c r="BF68" s="106"/>
      <c r="BG68" s="103">
        <f>IF(ISNUMBER(AR68),AR68,0)+IF(ISNUMBER(AW68),AW68,0)</f>
        <v>1623</v>
      </c>
      <c r="BH68" s="103"/>
      <c r="BI68" s="103"/>
      <c r="BJ68" s="103"/>
      <c r="BK68" s="103"/>
    </row>
    <row r="70" spans="1:79" ht="14.25" customHeight="1" x14ac:dyDescent="0.2">
      <c r="A70" s="29" t="s">
        <v>239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79" ht="15" customHeight="1" x14ac:dyDescent="0.2">
      <c r="A71" s="44" t="s">
        <v>210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79" ht="23.1" customHeight="1" x14ac:dyDescent="0.2">
      <c r="A72" s="61" t="s">
        <v>119</v>
      </c>
      <c r="B72" s="62"/>
      <c r="C72" s="62"/>
      <c r="D72" s="62"/>
      <c r="E72" s="63"/>
      <c r="F72" s="51" t="s">
        <v>19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27" t="s">
        <v>232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36" t="s">
        <v>237</v>
      </c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8"/>
    </row>
    <row r="73" spans="1:79" ht="53.25" customHeight="1" x14ac:dyDescent="0.2">
      <c r="A73" s="64"/>
      <c r="B73" s="65"/>
      <c r="C73" s="65"/>
      <c r="D73" s="65"/>
      <c r="E73" s="66"/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36" t="s">
        <v>4</v>
      </c>
      <c r="Y73" s="37"/>
      <c r="Z73" s="37"/>
      <c r="AA73" s="37"/>
      <c r="AB73" s="38"/>
      <c r="AC73" s="36" t="s">
        <v>3</v>
      </c>
      <c r="AD73" s="37"/>
      <c r="AE73" s="37"/>
      <c r="AF73" s="37"/>
      <c r="AG73" s="38"/>
      <c r="AH73" s="57" t="s">
        <v>116</v>
      </c>
      <c r="AI73" s="58"/>
      <c r="AJ73" s="58"/>
      <c r="AK73" s="58"/>
      <c r="AL73" s="59"/>
      <c r="AM73" s="36" t="s">
        <v>5</v>
      </c>
      <c r="AN73" s="37"/>
      <c r="AO73" s="37"/>
      <c r="AP73" s="37"/>
      <c r="AQ73" s="38"/>
      <c r="AR73" s="36" t="s">
        <v>4</v>
      </c>
      <c r="AS73" s="37"/>
      <c r="AT73" s="37"/>
      <c r="AU73" s="37"/>
      <c r="AV73" s="38"/>
      <c r="AW73" s="36" t="s">
        <v>3</v>
      </c>
      <c r="AX73" s="37"/>
      <c r="AY73" s="37"/>
      <c r="AZ73" s="37"/>
      <c r="BA73" s="38"/>
      <c r="BB73" s="74" t="s">
        <v>116</v>
      </c>
      <c r="BC73" s="74"/>
      <c r="BD73" s="74"/>
      <c r="BE73" s="74"/>
      <c r="BF73" s="74"/>
      <c r="BG73" s="36" t="s">
        <v>96</v>
      </c>
      <c r="BH73" s="37"/>
      <c r="BI73" s="37"/>
      <c r="BJ73" s="37"/>
      <c r="BK73" s="38"/>
    </row>
    <row r="74" spans="1:79" ht="15" customHeight="1" x14ac:dyDescent="0.2">
      <c r="A74" s="36">
        <v>1</v>
      </c>
      <c r="B74" s="37"/>
      <c r="C74" s="37"/>
      <c r="D74" s="37"/>
      <c r="E74" s="38"/>
      <c r="F74" s="36">
        <v>2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8"/>
      <c r="X74" s="36">
        <v>3</v>
      </c>
      <c r="Y74" s="37"/>
      <c r="Z74" s="37"/>
      <c r="AA74" s="37"/>
      <c r="AB74" s="38"/>
      <c r="AC74" s="36">
        <v>4</v>
      </c>
      <c r="AD74" s="37"/>
      <c r="AE74" s="37"/>
      <c r="AF74" s="37"/>
      <c r="AG74" s="38"/>
      <c r="AH74" s="36">
        <v>5</v>
      </c>
      <c r="AI74" s="37"/>
      <c r="AJ74" s="37"/>
      <c r="AK74" s="37"/>
      <c r="AL74" s="38"/>
      <c r="AM74" s="36">
        <v>6</v>
      </c>
      <c r="AN74" s="37"/>
      <c r="AO74" s="37"/>
      <c r="AP74" s="37"/>
      <c r="AQ74" s="38"/>
      <c r="AR74" s="36">
        <v>7</v>
      </c>
      <c r="AS74" s="37"/>
      <c r="AT74" s="37"/>
      <c r="AU74" s="37"/>
      <c r="AV74" s="38"/>
      <c r="AW74" s="36">
        <v>8</v>
      </c>
      <c r="AX74" s="37"/>
      <c r="AY74" s="37"/>
      <c r="AZ74" s="37"/>
      <c r="BA74" s="38"/>
      <c r="BB74" s="36">
        <v>9</v>
      </c>
      <c r="BC74" s="37"/>
      <c r="BD74" s="37"/>
      <c r="BE74" s="37"/>
      <c r="BF74" s="38"/>
      <c r="BG74" s="36">
        <v>10</v>
      </c>
      <c r="BH74" s="37"/>
      <c r="BI74" s="37"/>
      <c r="BJ74" s="37"/>
      <c r="BK74" s="38"/>
    </row>
    <row r="75" spans="1:79" s="1" customFormat="1" ht="15" hidden="1" customHeight="1" x14ac:dyDescent="0.2">
      <c r="A75" s="39" t="s">
        <v>64</v>
      </c>
      <c r="B75" s="40"/>
      <c r="C75" s="40"/>
      <c r="D75" s="40"/>
      <c r="E75" s="41"/>
      <c r="F75" s="39" t="s">
        <v>57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1"/>
      <c r="X75" s="39" t="s">
        <v>60</v>
      </c>
      <c r="Y75" s="40"/>
      <c r="Z75" s="40"/>
      <c r="AA75" s="40"/>
      <c r="AB75" s="41"/>
      <c r="AC75" s="39" t="s">
        <v>61</v>
      </c>
      <c r="AD75" s="40"/>
      <c r="AE75" s="40"/>
      <c r="AF75" s="40"/>
      <c r="AG75" s="41"/>
      <c r="AH75" s="39" t="s">
        <v>94</v>
      </c>
      <c r="AI75" s="40"/>
      <c r="AJ75" s="40"/>
      <c r="AK75" s="40"/>
      <c r="AL75" s="41"/>
      <c r="AM75" s="47" t="s">
        <v>170</v>
      </c>
      <c r="AN75" s="48"/>
      <c r="AO75" s="48"/>
      <c r="AP75" s="48"/>
      <c r="AQ75" s="49"/>
      <c r="AR75" s="39" t="s">
        <v>62</v>
      </c>
      <c r="AS75" s="40"/>
      <c r="AT75" s="40"/>
      <c r="AU75" s="40"/>
      <c r="AV75" s="41"/>
      <c r="AW75" s="39" t="s">
        <v>63</v>
      </c>
      <c r="AX75" s="40"/>
      <c r="AY75" s="40"/>
      <c r="AZ75" s="40"/>
      <c r="BA75" s="41"/>
      <c r="BB75" s="39" t="s">
        <v>95</v>
      </c>
      <c r="BC75" s="40"/>
      <c r="BD75" s="40"/>
      <c r="BE75" s="40"/>
      <c r="BF75" s="41"/>
      <c r="BG75" s="47" t="s">
        <v>170</v>
      </c>
      <c r="BH75" s="48"/>
      <c r="BI75" s="48"/>
      <c r="BJ75" s="48"/>
      <c r="BK75" s="49"/>
      <c r="CA75" t="s">
        <v>31</v>
      </c>
    </row>
    <row r="76" spans="1:79" s="6" customFormat="1" ht="12.75" customHeight="1" x14ac:dyDescent="0.2">
      <c r="A76" s="86"/>
      <c r="B76" s="87"/>
      <c r="C76" s="87"/>
      <c r="D76" s="87"/>
      <c r="E76" s="88"/>
      <c r="F76" s="86" t="s">
        <v>147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8"/>
      <c r="X76" s="107"/>
      <c r="Y76" s="108"/>
      <c r="Z76" s="108"/>
      <c r="AA76" s="108"/>
      <c r="AB76" s="109"/>
      <c r="AC76" s="107"/>
      <c r="AD76" s="108"/>
      <c r="AE76" s="108"/>
      <c r="AF76" s="108"/>
      <c r="AG76" s="109"/>
      <c r="AH76" s="103"/>
      <c r="AI76" s="103"/>
      <c r="AJ76" s="103"/>
      <c r="AK76" s="103"/>
      <c r="AL76" s="103"/>
      <c r="AM76" s="103">
        <f>IF(ISNUMBER(X76),X76,0)+IF(ISNUMBER(AC76),AC76,0)</f>
        <v>0</v>
      </c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>
        <f>IF(ISNUMBER(AR76),AR76,0)+IF(ISNUMBER(AW76),AW76,0)</f>
        <v>0</v>
      </c>
      <c r="BH76" s="103"/>
      <c r="BI76" s="103"/>
      <c r="BJ76" s="103"/>
      <c r="BK76" s="103"/>
      <c r="CA76" s="6" t="s">
        <v>32</v>
      </c>
    </row>
    <row r="79" spans="1:79" ht="14.25" customHeight="1" x14ac:dyDescent="0.2">
      <c r="A79" s="29" t="s">
        <v>120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79" ht="14.25" customHeight="1" x14ac:dyDescent="0.2">
      <c r="A80" s="29" t="s">
        <v>225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79" ht="15" customHeight="1" x14ac:dyDescent="0.2">
      <c r="A81" s="44" t="s">
        <v>210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</row>
    <row r="82" spans="1:79" ht="23.1" customHeight="1" x14ac:dyDescent="0.2">
      <c r="A82" s="51" t="s">
        <v>6</v>
      </c>
      <c r="B82" s="52"/>
      <c r="C82" s="52"/>
      <c r="D82" s="51" t="s">
        <v>121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36" t="s">
        <v>211</v>
      </c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8"/>
      <c r="AN82" s="36" t="s">
        <v>214</v>
      </c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8"/>
      <c r="BG82" s="27" t="s">
        <v>222</v>
      </c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</row>
    <row r="83" spans="1:79" ht="52.5" customHeight="1" x14ac:dyDescent="0.2">
      <c r="A83" s="54"/>
      <c r="B83" s="55"/>
      <c r="C83" s="55"/>
      <c r="D83" s="54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6"/>
      <c r="U83" s="36" t="s">
        <v>4</v>
      </c>
      <c r="V83" s="37"/>
      <c r="W83" s="37"/>
      <c r="X83" s="37"/>
      <c r="Y83" s="38"/>
      <c r="Z83" s="36" t="s">
        <v>3</v>
      </c>
      <c r="AA83" s="37"/>
      <c r="AB83" s="37"/>
      <c r="AC83" s="37"/>
      <c r="AD83" s="38"/>
      <c r="AE83" s="57" t="s">
        <v>116</v>
      </c>
      <c r="AF83" s="58"/>
      <c r="AG83" s="58"/>
      <c r="AH83" s="59"/>
      <c r="AI83" s="36" t="s">
        <v>5</v>
      </c>
      <c r="AJ83" s="37"/>
      <c r="AK83" s="37"/>
      <c r="AL83" s="37"/>
      <c r="AM83" s="38"/>
      <c r="AN83" s="36" t="s">
        <v>4</v>
      </c>
      <c r="AO83" s="37"/>
      <c r="AP83" s="37"/>
      <c r="AQ83" s="37"/>
      <c r="AR83" s="38"/>
      <c r="AS83" s="36" t="s">
        <v>3</v>
      </c>
      <c r="AT83" s="37"/>
      <c r="AU83" s="37"/>
      <c r="AV83" s="37"/>
      <c r="AW83" s="38"/>
      <c r="AX83" s="57" t="s">
        <v>116</v>
      </c>
      <c r="AY83" s="58"/>
      <c r="AZ83" s="58"/>
      <c r="BA83" s="59"/>
      <c r="BB83" s="36" t="s">
        <v>96</v>
      </c>
      <c r="BC83" s="37"/>
      <c r="BD83" s="37"/>
      <c r="BE83" s="37"/>
      <c r="BF83" s="38"/>
      <c r="BG83" s="36" t="s">
        <v>4</v>
      </c>
      <c r="BH83" s="37"/>
      <c r="BI83" s="37"/>
      <c r="BJ83" s="37"/>
      <c r="BK83" s="38"/>
      <c r="BL83" s="27" t="s">
        <v>3</v>
      </c>
      <c r="BM83" s="27"/>
      <c r="BN83" s="27"/>
      <c r="BO83" s="27"/>
      <c r="BP83" s="27"/>
      <c r="BQ83" s="74" t="s">
        <v>116</v>
      </c>
      <c r="BR83" s="74"/>
      <c r="BS83" s="74"/>
      <c r="BT83" s="74"/>
      <c r="BU83" s="36" t="s">
        <v>97</v>
      </c>
      <c r="BV83" s="37"/>
      <c r="BW83" s="37"/>
      <c r="BX83" s="37"/>
      <c r="BY83" s="38"/>
    </row>
    <row r="84" spans="1:79" ht="15" customHeight="1" x14ac:dyDescent="0.2">
      <c r="A84" s="36">
        <v>1</v>
      </c>
      <c r="B84" s="37"/>
      <c r="C84" s="37"/>
      <c r="D84" s="36">
        <v>2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8"/>
      <c r="U84" s="36">
        <v>3</v>
      </c>
      <c r="V84" s="37"/>
      <c r="W84" s="37"/>
      <c r="X84" s="37"/>
      <c r="Y84" s="38"/>
      <c r="Z84" s="36">
        <v>4</v>
      </c>
      <c r="AA84" s="37"/>
      <c r="AB84" s="37"/>
      <c r="AC84" s="37"/>
      <c r="AD84" s="38"/>
      <c r="AE84" s="36">
        <v>5</v>
      </c>
      <c r="AF84" s="37"/>
      <c r="AG84" s="37"/>
      <c r="AH84" s="38"/>
      <c r="AI84" s="36">
        <v>6</v>
      </c>
      <c r="AJ84" s="37"/>
      <c r="AK84" s="37"/>
      <c r="AL84" s="37"/>
      <c r="AM84" s="38"/>
      <c r="AN84" s="36">
        <v>7</v>
      </c>
      <c r="AO84" s="37"/>
      <c r="AP84" s="37"/>
      <c r="AQ84" s="37"/>
      <c r="AR84" s="38"/>
      <c r="AS84" s="36">
        <v>8</v>
      </c>
      <c r="AT84" s="37"/>
      <c r="AU84" s="37"/>
      <c r="AV84" s="37"/>
      <c r="AW84" s="38"/>
      <c r="AX84" s="27">
        <v>9</v>
      </c>
      <c r="AY84" s="27"/>
      <c r="AZ84" s="27"/>
      <c r="BA84" s="27"/>
      <c r="BB84" s="36">
        <v>10</v>
      </c>
      <c r="BC84" s="37"/>
      <c r="BD84" s="37"/>
      <c r="BE84" s="37"/>
      <c r="BF84" s="38"/>
      <c r="BG84" s="36">
        <v>11</v>
      </c>
      <c r="BH84" s="37"/>
      <c r="BI84" s="37"/>
      <c r="BJ84" s="37"/>
      <c r="BK84" s="38"/>
      <c r="BL84" s="27">
        <v>12</v>
      </c>
      <c r="BM84" s="27"/>
      <c r="BN84" s="27"/>
      <c r="BO84" s="27"/>
      <c r="BP84" s="27"/>
      <c r="BQ84" s="36">
        <v>13</v>
      </c>
      <c r="BR84" s="37"/>
      <c r="BS84" s="37"/>
      <c r="BT84" s="38"/>
      <c r="BU84" s="36">
        <v>14</v>
      </c>
      <c r="BV84" s="37"/>
      <c r="BW84" s="37"/>
      <c r="BX84" s="37"/>
      <c r="BY84" s="38"/>
    </row>
    <row r="85" spans="1:79" s="1" customFormat="1" ht="14.25" hidden="1" customHeight="1" x14ac:dyDescent="0.2">
      <c r="A85" s="39" t="s">
        <v>69</v>
      </c>
      <c r="B85" s="40"/>
      <c r="C85" s="40"/>
      <c r="D85" s="39" t="s">
        <v>57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1"/>
      <c r="U85" s="26" t="s">
        <v>65</v>
      </c>
      <c r="V85" s="26"/>
      <c r="W85" s="26"/>
      <c r="X85" s="26"/>
      <c r="Y85" s="26"/>
      <c r="Z85" s="26" t="s">
        <v>66</v>
      </c>
      <c r="AA85" s="26"/>
      <c r="AB85" s="26"/>
      <c r="AC85" s="26"/>
      <c r="AD85" s="26"/>
      <c r="AE85" s="26" t="s">
        <v>91</v>
      </c>
      <c r="AF85" s="26"/>
      <c r="AG85" s="26"/>
      <c r="AH85" s="26"/>
      <c r="AI85" s="50" t="s">
        <v>169</v>
      </c>
      <c r="AJ85" s="50"/>
      <c r="AK85" s="50"/>
      <c r="AL85" s="50"/>
      <c r="AM85" s="50"/>
      <c r="AN85" s="26" t="s">
        <v>67</v>
      </c>
      <c r="AO85" s="26"/>
      <c r="AP85" s="26"/>
      <c r="AQ85" s="26"/>
      <c r="AR85" s="26"/>
      <c r="AS85" s="26" t="s">
        <v>68</v>
      </c>
      <c r="AT85" s="26"/>
      <c r="AU85" s="26"/>
      <c r="AV85" s="26"/>
      <c r="AW85" s="26"/>
      <c r="AX85" s="26" t="s">
        <v>92</v>
      </c>
      <c r="AY85" s="26"/>
      <c r="AZ85" s="26"/>
      <c r="BA85" s="26"/>
      <c r="BB85" s="50" t="s">
        <v>169</v>
      </c>
      <c r="BC85" s="50"/>
      <c r="BD85" s="50"/>
      <c r="BE85" s="50"/>
      <c r="BF85" s="50"/>
      <c r="BG85" s="26" t="s">
        <v>58</v>
      </c>
      <c r="BH85" s="26"/>
      <c r="BI85" s="26"/>
      <c r="BJ85" s="26"/>
      <c r="BK85" s="26"/>
      <c r="BL85" s="26" t="s">
        <v>59</v>
      </c>
      <c r="BM85" s="26"/>
      <c r="BN85" s="26"/>
      <c r="BO85" s="26"/>
      <c r="BP85" s="26"/>
      <c r="BQ85" s="26" t="s">
        <v>93</v>
      </c>
      <c r="BR85" s="26"/>
      <c r="BS85" s="26"/>
      <c r="BT85" s="26"/>
      <c r="BU85" s="50" t="s">
        <v>169</v>
      </c>
      <c r="BV85" s="50"/>
      <c r="BW85" s="50"/>
      <c r="BX85" s="50"/>
      <c r="BY85" s="50"/>
      <c r="CA85" t="s">
        <v>33</v>
      </c>
    </row>
    <row r="86" spans="1:79" s="99" customFormat="1" ht="25.5" customHeight="1" x14ac:dyDescent="0.2">
      <c r="A86" s="89">
        <v>1</v>
      </c>
      <c r="B86" s="90"/>
      <c r="C86" s="90"/>
      <c r="D86" s="92" t="s">
        <v>175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4"/>
      <c r="U86" s="96">
        <v>0</v>
      </c>
      <c r="V86" s="97"/>
      <c r="W86" s="97"/>
      <c r="X86" s="97"/>
      <c r="Y86" s="98"/>
      <c r="Z86" s="96">
        <v>0</v>
      </c>
      <c r="AA86" s="97"/>
      <c r="AB86" s="97"/>
      <c r="AC86" s="97"/>
      <c r="AD86" s="98"/>
      <c r="AE86" s="96">
        <v>0</v>
      </c>
      <c r="AF86" s="97"/>
      <c r="AG86" s="97"/>
      <c r="AH86" s="98"/>
      <c r="AI86" s="96">
        <f>IF(ISNUMBER(U86),U86,0)+IF(ISNUMBER(Z86),Z86,0)</f>
        <v>0</v>
      </c>
      <c r="AJ86" s="97"/>
      <c r="AK86" s="97"/>
      <c r="AL86" s="97"/>
      <c r="AM86" s="98"/>
      <c r="AN86" s="96">
        <v>1434</v>
      </c>
      <c r="AO86" s="97"/>
      <c r="AP86" s="97"/>
      <c r="AQ86" s="97"/>
      <c r="AR86" s="98"/>
      <c r="AS86" s="96">
        <v>0</v>
      </c>
      <c r="AT86" s="97"/>
      <c r="AU86" s="97"/>
      <c r="AV86" s="97"/>
      <c r="AW86" s="98"/>
      <c r="AX86" s="96">
        <v>0</v>
      </c>
      <c r="AY86" s="97"/>
      <c r="AZ86" s="97"/>
      <c r="BA86" s="98"/>
      <c r="BB86" s="96">
        <f>IF(ISNUMBER(AN86),AN86,0)+IF(ISNUMBER(AS86),AS86,0)</f>
        <v>1434</v>
      </c>
      <c r="BC86" s="97"/>
      <c r="BD86" s="97"/>
      <c r="BE86" s="97"/>
      <c r="BF86" s="98"/>
      <c r="BG86" s="96">
        <v>1434</v>
      </c>
      <c r="BH86" s="97"/>
      <c r="BI86" s="97"/>
      <c r="BJ86" s="97"/>
      <c r="BK86" s="98"/>
      <c r="BL86" s="96">
        <v>0</v>
      </c>
      <c r="BM86" s="97"/>
      <c r="BN86" s="97"/>
      <c r="BO86" s="97"/>
      <c r="BP86" s="98"/>
      <c r="BQ86" s="96">
        <v>0</v>
      </c>
      <c r="BR86" s="97"/>
      <c r="BS86" s="97"/>
      <c r="BT86" s="98"/>
      <c r="BU86" s="96">
        <f>IF(ISNUMBER(BG86),BG86,0)+IF(ISNUMBER(BL86),BL86,0)</f>
        <v>1434</v>
      </c>
      <c r="BV86" s="97"/>
      <c r="BW86" s="97"/>
      <c r="BX86" s="97"/>
      <c r="BY86" s="98"/>
      <c r="CA86" s="99" t="s">
        <v>34</v>
      </c>
    </row>
    <row r="87" spans="1:79" s="6" customFormat="1" ht="12.75" customHeight="1" x14ac:dyDescent="0.2">
      <c r="A87" s="86"/>
      <c r="B87" s="87"/>
      <c r="C87" s="87"/>
      <c r="D87" s="100" t="s">
        <v>147</v>
      </c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2"/>
      <c r="U87" s="104">
        <v>0</v>
      </c>
      <c r="V87" s="105"/>
      <c r="W87" s="105"/>
      <c r="X87" s="105"/>
      <c r="Y87" s="106"/>
      <c r="Z87" s="104">
        <v>0</v>
      </c>
      <c r="AA87" s="105"/>
      <c r="AB87" s="105"/>
      <c r="AC87" s="105"/>
      <c r="AD87" s="106"/>
      <c r="AE87" s="104">
        <v>0</v>
      </c>
      <c r="AF87" s="105"/>
      <c r="AG87" s="105"/>
      <c r="AH87" s="106"/>
      <c r="AI87" s="104">
        <f>IF(ISNUMBER(U87),U87,0)+IF(ISNUMBER(Z87),Z87,0)</f>
        <v>0</v>
      </c>
      <c r="AJ87" s="105"/>
      <c r="AK87" s="105"/>
      <c r="AL87" s="105"/>
      <c r="AM87" s="106"/>
      <c r="AN87" s="104">
        <v>1434</v>
      </c>
      <c r="AO87" s="105"/>
      <c r="AP87" s="105"/>
      <c r="AQ87" s="105"/>
      <c r="AR87" s="106"/>
      <c r="AS87" s="104">
        <v>0</v>
      </c>
      <c r="AT87" s="105"/>
      <c r="AU87" s="105"/>
      <c r="AV87" s="105"/>
      <c r="AW87" s="106"/>
      <c r="AX87" s="104">
        <v>0</v>
      </c>
      <c r="AY87" s="105"/>
      <c r="AZ87" s="105"/>
      <c r="BA87" s="106"/>
      <c r="BB87" s="104">
        <f>IF(ISNUMBER(AN87),AN87,0)+IF(ISNUMBER(AS87),AS87,0)</f>
        <v>1434</v>
      </c>
      <c r="BC87" s="105"/>
      <c r="BD87" s="105"/>
      <c r="BE87" s="105"/>
      <c r="BF87" s="106"/>
      <c r="BG87" s="104">
        <v>1434</v>
      </c>
      <c r="BH87" s="105"/>
      <c r="BI87" s="105"/>
      <c r="BJ87" s="105"/>
      <c r="BK87" s="106"/>
      <c r="BL87" s="104">
        <v>0</v>
      </c>
      <c r="BM87" s="105"/>
      <c r="BN87" s="105"/>
      <c r="BO87" s="105"/>
      <c r="BP87" s="106"/>
      <c r="BQ87" s="104">
        <v>0</v>
      </c>
      <c r="BR87" s="105"/>
      <c r="BS87" s="105"/>
      <c r="BT87" s="106"/>
      <c r="BU87" s="104">
        <f>IF(ISNUMBER(BG87),BG87,0)+IF(ISNUMBER(BL87),BL87,0)</f>
        <v>1434</v>
      </c>
      <c r="BV87" s="105"/>
      <c r="BW87" s="105"/>
      <c r="BX87" s="105"/>
      <c r="BY87" s="106"/>
    </row>
    <row r="89" spans="1:79" ht="14.25" customHeight="1" x14ac:dyDescent="0.2">
      <c r="A89" s="29" t="s">
        <v>240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</row>
    <row r="90" spans="1:79" ht="15" customHeight="1" x14ac:dyDescent="0.2">
      <c r="A90" s="75" t="s">
        <v>210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</row>
    <row r="91" spans="1:79" ht="23.1" customHeight="1" x14ac:dyDescent="0.2">
      <c r="A91" s="51" t="s">
        <v>6</v>
      </c>
      <c r="B91" s="52"/>
      <c r="C91" s="52"/>
      <c r="D91" s="51" t="s">
        <v>121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3"/>
      <c r="U91" s="27" t="s">
        <v>232</v>
      </c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 t="s">
        <v>237</v>
      </c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</row>
    <row r="92" spans="1:79" ht="54" customHeight="1" x14ac:dyDescent="0.2">
      <c r="A92" s="54"/>
      <c r="B92" s="55"/>
      <c r="C92" s="55"/>
      <c r="D92" s="54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6"/>
      <c r="U92" s="36" t="s">
        <v>4</v>
      </c>
      <c r="V92" s="37"/>
      <c r="W92" s="37"/>
      <c r="X92" s="37"/>
      <c r="Y92" s="38"/>
      <c r="Z92" s="36" t="s">
        <v>3</v>
      </c>
      <c r="AA92" s="37"/>
      <c r="AB92" s="37"/>
      <c r="AC92" s="37"/>
      <c r="AD92" s="38"/>
      <c r="AE92" s="57" t="s">
        <v>116</v>
      </c>
      <c r="AF92" s="58"/>
      <c r="AG92" s="58"/>
      <c r="AH92" s="58"/>
      <c r="AI92" s="59"/>
      <c r="AJ92" s="36" t="s">
        <v>5</v>
      </c>
      <c r="AK92" s="37"/>
      <c r="AL92" s="37"/>
      <c r="AM92" s="37"/>
      <c r="AN92" s="38"/>
      <c r="AO92" s="36" t="s">
        <v>4</v>
      </c>
      <c r="AP92" s="37"/>
      <c r="AQ92" s="37"/>
      <c r="AR92" s="37"/>
      <c r="AS92" s="38"/>
      <c r="AT92" s="36" t="s">
        <v>3</v>
      </c>
      <c r="AU92" s="37"/>
      <c r="AV92" s="37"/>
      <c r="AW92" s="37"/>
      <c r="AX92" s="38"/>
      <c r="AY92" s="57" t="s">
        <v>116</v>
      </c>
      <c r="AZ92" s="58"/>
      <c r="BA92" s="58"/>
      <c r="BB92" s="58"/>
      <c r="BC92" s="59"/>
      <c r="BD92" s="27" t="s">
        <v>96</v>
      </c>
      <c r="BE92" s="27"/>
      <c r="BF92" s="27"/>
      <c r="BG92" s="27"/>
      <c r="BH92" s="27"/>
    </row>
    <row r="93" spans="1:79" ht="15" customHeight="1" x14ac:dyDescent="0.2">
      <c r="A93" s="36" t="s">
        <v>168</v>
      </c>
      <c r="B93" s="37"/>
      <c r="C93" s="37"/>
      <c r="D93" s="36">
        <v>2</v>
      </c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8"/>
      <c r="U93" s="36">
        <v>3</v>
      </c>
      <c r="V93" s="37"/>
      <c r="W93" s="37"/>
      <c r="X93" s="37"/>
      <c r="Y93" s="38"/>
      <c r="Z93" s="36">
        <v>4</v>
      </c>
      <c r="AA93" s="37"/>
      <c r="AB93" s="37"/>
      <c r="AC93" s="37"/>
      <c r="AD93" s="38"/>
      <c r="AE93" s="36">
        <v>5</v>
      </c>
      <c r="AF93" s="37"/>
      <c r="AG93" s="37"/>
      <c r="AH93" s="37"/>
      <c r="AI93" s="38"/>
      <c r="AJ93" s="36">
        <v>6</v>
      </c>
      <c r="AK93" s="37"/>
      <c r="AL93" s="37"/>
      <c r="AM93" s="37"/>
      <c r="AN93" s="38"/>
      <c r="AO93" s="36">
        <v>7</v>
      </c>
      <c r="AP93" s="37"/>
      <c r="AQ93" s="37"/>
      <c r="AR93" s="37"/>
      <c r="AS93" s="38"/>
      <c r="AT93" s="36">
        <v>8</v>
      </c>
      <c r="AU93" s="37"/>
      <c r="AV93" s="37"/>
      <c r="AW93" s="37"/>
      <c r="AX93" s="38"/>
      <c r="AY93" s="36">
        <v>9</v>
      </c>
      <c r="AZ93" s="37"/>
      <c r="BA93" s="37"/>
      <c r="BB93" s="37"/>
      <c r="BC93" s="38"/>
      <c r="BD93" s="36">
        <v>10</v>
      </c>
      <c r="BE93" s="37"/>
      <c r="BF93" s="37"/>
      <c r="BG93" s="37"/>
      <c r="BH93" s="38"/>
    </row>
    <row r="94" spans="1:79" s="1" customFormat="1" ht="12.75" hidden="1" customHeight="1" x14ac:dyDescent="0.2">
      <c r="A94" s="39" t="s">
        <v>69</v>
      </c>
      <c r="B94" s="40"/>
      <c r="C94" s="40"/>
      <c r="D94" s="39" t="s">
        <v>57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1"/>
      <c r="U94" s="39" t="s">
        <v>60</v>
      </c>
      <c r="V94" s="40"/>
      <c r="W94" s="40"/>
      <c r="X94" s="40"/>
      <c r="Y94" s="41"/>
      <c r="Z94" s="39" t="s">
        <v>61</v>
      </c>
      <c r="AA94" s="40"/>
      <c r="AB94" s="40"/>
      <c r="AC94" s="40"/>
      <c r="AD94" s="41"/>
      <c r="AE94" s="39" t="s">
        <v>94</v>
      </c>
      <c r="AF94" s="40"/>
      <c r="AG94" s="40"/>
      <c r="AH94" s="40"/>
      <c r="AI94" s="41"/>
      <c r="AJ94" s="47" t="s">
        <v>170</v>
      </c>
      <c r="AK94" s="48"/>
      <c r="AL94" s="48"/>
      <c r="AM94" s="48"/>
      <c r="AN94" s="49"/>
      <c r="AO94" s="39" t="s">
        <v>62</v>
      </c>
      <c r="AP94" s="40"/>
      <c r="AQ94" s="40"/>
      <c r="AR94" s="40"/>
      <c r="AS94" s="41"/>
      <c r="AT94" s="39" t="s">
        <v>63</v>
      </c>
      <c r="AU94" s="40"/>
      <c r="AV94" s="40"/>
      <c r="AW94" s="40"/>
      <c r="AX94" s="41"/>
      <c r="AY94" s="39" t="s">
        <v>95</v>
      </c>
      <c r="AZ94" s="40"/>
      <c r="BA94" s="40"/>
      <c r="BB94" s="40"/>
      <c r="BC94" s="41"/>
      <c r="BD94" s="50" t="s">
        <v>170</v>
      </c>
      <c r="BE94" s="50"/>
      <c r="BF94" s="50"/>
      <c r="BG94" s="50"/>
      <c r="BH94" s="50"/>
      <c r="CA94" s="1" t="s">
        <v>35</v>
      </c>
    </row>
    <row r="95" spans="1:79" s="99" customFormat="1" ht="25.5" customHeight="1" x14ac:dyDescent="0.2">
      <c r="A95" s="89">
        <v>1</v>
      </c>
      <c r="B95" s="90"/>
      <c r="C95" s="90"/>
      <c r="D95" s="92" t="s">
        <v>175</v>
      </c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4"/>
      <c r="U95" s="96">
        <v>1534</v>
      </c>
      <c r="V95" s="97"/>
      <c r="W95" s="97"/>
      <c r="X95" s="97"/>
      <c r="Y95" s="98"/>
      <c r="Z95" s="96">
        <v>0</v>
      </c>
      <c r="AA95" s="97"/>
      <c r="AB95" s="97"/>
      <c r="AC95" s="97"/>
      <c r="AD95" s="98"/>
      <c r="AE95" s="95">
        <v>0</v>
      </c>
      <c r="AF95" s="95"/>
      <c r="AG95" s="95"/>
      <c r="AH95" s="95"/>
      <c r="AI95" s="95"/>
      <c r="AJ95" s="110">
        <f>IF(ISNUMBER(U95),U95,0)+IF(ISNUMBER(Z95),Z95,0)</f>
        <v>1534</v>
      </c>
      <c r="AK95" s="110"/>
      <c r="AL95" s="110"/>
      <c r="AM95" s="110"/>
      <c r="AN95" s="110"/>
      <c r="AO95" s="95">
        <v>1623</v>
      </c>
      <c r="AP95" s="95"/>
      <c r="AQ95" s="95"/>
      <c r="AR95" s="95"/>
      <c r="AS95" s="95"/>
      <c r="AT95" s="110">
        <v>0</v>
      </c>
      <c r="AU95" s="110"/>
      <c r="AV95" s="110"/>
      <c r="AW95" s="110"/>
      <c r="AX95" s="110"/>
      <c r="AY95" s="95">
        <v>0</v>
      </c>
      <c r="AZ95" s="95"/>
      <c r="BA95" s="95"/>
      <c r="BB95" s="95"/>
      <c r="BC95" s="95"/>
      <c r="BD95" s="110">
        <f>IF(ISNUMBER(AO95),AO95,0)+IF(ISNUMBER(AT95),AT95,0)</f>
        <v>1623</v>
      </c>
      <c r="BE95" s="110"/>
      <c r="BF95" s="110"/>
      <c r="BG95" s="110"/>
      <c r="BH95" s="110"/>
      <c r="CA95" s="99" t="s">
        <v>36</v>
      </c>
    </row>
    <row r="96" spans="1:79" s="6" customFormat="1" ht="12.75" customHeight="1" x14ac:dyDescent="0.2">
      <c r="A96" s="86"/>
      <c r="B96" s="87"/>
      <c r="C96" s="87"/>
      <c r="D96" s="100" t="s">
        <v>147</v>
      </c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2"/>
      <c r="U96" s="104">
        <v>1534</v>
      </c>
      <c r="V96" s="105"/>
      <c r="W96" s="105"/>
      <c r="X96" s="105"/>
      <c r="Y96" s="106"/>
      <c r="Z96" s="104">
        <v>0</v>
      </c>
      <c r="AA96" s="105"/>
      <c r="AB96" s="105"/>
      <c r="AC96" s="105"/>
      <c r="AD96" s="106"/>
      <c r="AE96" s="103">
        <v>0</v>
      </c>
      <c r="AF96" s="103"/>
      <c r="AG96" s="103"/>
      <c r="AH96" s="103"/>
      <c r="AI96" s="103"/>
      <c r="AJ96" s="85">
        <f>IF(ISNUMBER(U96),U96,0)+IF(ISNUMBER(Z96),Z96,0)</f>
        <v>1534</v>
      </c>
      <c r="AK96" s="85"/>
      <c r="AL96" s="85"/>
      <c r="AM96" s="85"/>
      <c r="AN96" s="85"/>
      <c r="AO96" s="103">
        <v>1623</v>
      </c>
      <c r="AP96" s="103"/>
      <c r="AQ96" s="103"/>
      <c r="AR96" s="103"/>
      <c r="AS96" s="103"/>
      <c r="AT96" s="85">
        <v>0</v>
      </c>
      <c r="AU96" s="85"/>
      <c r="AV96" s="85"/>
      <c r="AW96" s="85"/>
      <c r="AX96" s="85"/>
      <c r="AY96" s="103">
        <v>0</v>
      </c>
      <c r="AZ96" s="103"/>
      <c r="BA96" s="103"/>
      <c r="BB96" s="103"/>
      <c r="BC96" s="103"/>
      <c r="BD96" s="85">
        <f>IF(ISNUMBER(AO96),AO96,0)+IF(ISNUMBER(AT96),AT96,0)</f>
        <v>1623</v>
      </c>
      <c r="BE96" s="85"/>
      <c r="BF96" s="85"/>
      <c r="BG96" s="85"/>
      <c r="BH96" s="85"/>
    </row>
    <row r="97" spans="1:79" s="5" customFormat="1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9" spans="1:79" ht="14.25" customHeight="1" x14ac:dyDescent="0.2">
      <c r="A99" s="29" t="s">
        <v>152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79" ht="14.25" customHeight="1" x14ac:dyDescent="0.2">
      <c r="A100" s="29" t="s">
        <v>226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79" ht="23.1" customHeight="1" x14ac:dyDescent="0.2">
      <c r="A101" s="51" t="s">
        <v>6</v>
      </c>
      <c r="B101" s="52"/>
      <c r="C101" s="52"/>
      <c r="D101" s="27" t="s">
        <v>9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 t="s">
        <v>8</v>
      </c>
      <c r="R101" s="27"/>
      <c r="S101" s="27"/>
      <c r="T101" s="27"/>
      <c r="U101" s="27"/>
      <c r="V101" s="27" t="s">
        <v>7</v>
      </c>
      <c r="W101" s="27"/>
      <c r="X101" s="27"/>
      <c r="Y101" s="27"/>
      <c r="Z101" s="27"/>
      <c r="AA101" s="27"/>
      <c r="AB101" s="27"/>
      <c r="AC101" s="27"/>
      <c r="AD101" s="27"/>
      <c r="AE101" s="27"/>
      <c r="AF101" s="36" t="s">
        <v>211</v>
      </c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8"/>
      <c r="AU101" s="36" t="s">
        <v>214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8"/>
      <c r="BJ101" s="36" t="s">
        <v>222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8"/>
    </row>
    <row r="102" spans="1:79" ht="32.25" customHeight="1" x14ac:dyDescent="0.2">
      <c r="A102" s="54"/>
      <c r="B102" s="55"/>
      <c r="C102" s="5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 t="s">
        <v>4</v>
      </c>
      <c r="AG102" s="27"/>
      <c r="AH102" s="27"/>
      <c r="AI102" s="27"/>
      <c r="AJ102" s="27"/>
      <c r="AK102" s="27" t="s">
        <v>3</v>
      </c>
      <c r="AL102" s="27"/>
      <c r="AM102" s="27"/>
      <c r="AN102" s="27"/>
      <c r="AO102" s="27"/>
      <c r="AP102" s="27" t="s">
        <v>123</v>
      </c>
      <c r="AQ102" s="27"/>
      <c r="AR102" s="27"/>
      <c r="AS102" s="27"/>
      <c r="AT102" s="27"/>
      <c r="AU102" s="27" t="s">
        <v>4</v>
      </c>
      <c r="AV102" s="27"/>
      <c r="AW102" s="27"/>
      <c r="AX102" s="27"/>
      <c r="AY102" s="27"/>
      <c r="AZ102" s="27" t="s">
        <v>3</v>
      </c>
      <c r="BA102" s="27"/>
      <c r="BB102" s="27"/>
      <c r="BC102" s="27"/>
      <c r="BD102" s="27"/>
      <c r="BE102" s="27" t="s">
        <v>90</v>
      </c>
      <c r="BF102" s="27"/>
      <c r="BG102" s="27"/>
      <c r="BH102" s="27"/>
      <c r="BI102" s="27"/>
      <c r="BJ102" s="27" t="s">
        <v>4</v>
      </c>
      <c r="BK102" s="27"/>
      <c r="BL102" s="27"/>
      <c r="BM102" s="27"/>
      <c r="BN102" s="27"/>
      <c r="BO102" s="27" t="s">
        <v>3</v>
      </c>
      <c r="BP102" s="27"/>
      <c r="BQ102" s="27"/>
      <c r="BR102" s="27"/>
      <c r="BS102" s="27"/>
      <c r="BT102" s="27" t="s">
        <v>97</v>
      </c>
      <c r="BU102" s="27"/>
      <c r="BV102" s="27"/>
      <c r="BW102" s="27"/>
      <c r="BX102" s="27"/>
    </row>
    <row r="103" spans="1:79" ht="15" customHeight="1" x14ac:dyDescent="0.2">
      <c r="A103" s="36">
        <v>1</v>
      </c>
      <c r="B103" s="37"/>
      <c r="C103" s="37"/>
      <c r="D103" s="27">
        <v>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v>3</v>
      </c>
      <c r="R103" s="27"/>
      <c r="S103" s="27"/>
      <c r="T103" s="27"/>
      <c r="U103" s="27"/>
      <c r="V103" s="27">
        <v>4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27">
        <v>5</v>
      </c>
      <c r="AG103" s="27"/>
      <c r="AH103" s="27"/>
      <c r="AI103" s="27"/>
      <c r="AJ103" s="27"/>
      <c r="AK103" s="27">
        <v>6</v>
      </c>
      <c r="AL103" s="27"/>
      <c r="AM103" s="27"/>
      <c r="AN103" s="27"/>
      <c r="AO103" s="27"/>
      <c r="AP103" s="27">
        <v>7</v>
      </c>
      <c r="AQ103" s="27"/>
      <c r="AR103" s="27"/>
      <c r="AS103" s="27"/>
      <c r="AT103" s="27"/>
      <c r="AU103" s="27">
        <v>8</v>
      </c>
      <c r="AV103" s="27"/>
      <c r="AW103" s="27"/>
      <c r="AX103" s="27"/>
      <c r="AY103" s="27"/>
      <c r="AZ103" s="27">
        <v>9</v>
      </c>
      <c r="BA103" s="27"/>
      <c r="BB103" s="27"/>
      <c r="BC103" s="27"/>
      <c r="BD103" s="27"/>
      <c r="BE103" s="27">
        <v>10</v>
      </c>
      <c r="BF103" s="27"/>
      <c r="BG103" s="27"/>
      <c r="BH103" s="27"/>
      <c r="BI103" s="27"/>
      <c r="BJ103" s="27">
        <v>11</v>
      </c>
      <c r="BK103" s="27"/>
      <c r="BL103" s="27"/>
      <c r="BM103" s="27"/>
      <c r="BN103" s="27"/>
      <c r="BO103" s="27">
        <v>12</v>
      </c>
      <c r="BP103" s="27"/>
      <c r="BQ103" s="27"/>
      <c r="BR103" s="27"/>
      <c r="BS103" s="27"/>
      <c r="BT103" s="27">
        <v>13</v>
      </c>
      <c r="BU103" s="27"/>
      <c r="BV103" s="27"/>
      <c r="BW103" s="27"/>
      <c r="BX103" s="27"/>
    </row>
    <row r="104" spans="1:79" ht="10.5" hidden="1" customHeight="1" x14ac:dyDescent="0.2">
      <c r="A104" s="39" t="s">
        <v>154</v>
      </c>
      <c r="B104" s="40"/>
      <c r="C104" s="40"/>
      <c r="D104" s="27" t="s">
        <v>57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 t="s">
        <v>70</v>
      </c>
      <c r="R104" s="27"/>
      <c r="S104" s="27"/>
      <c r="T104" s="27"/>
      <c r="U104" s="27"/>
      <c r="V104" s="27" t="s">
        <v>71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6" t="s">
        <v>111</v>
      </c>
      <c r="AG104" s="26"/>
      <c r="AH104" s="26"/>
      <c r="AI104" s="26"/>
      <c r="AJ104" s="26"/>
      <c r="AK104" s="30" t="s">
        <v>112</v>
      </c>
      <c r="AL104" s="30"/>
      <c r="AM104" s="30"/>
      <c r="AN104" s="30"/>
      <c r="AO104" s="30"/>
      <c r="AP104" s="50" t="s">
        <v>177</v>
      </c>
      <c r="AQ104" s="50"/>
      <c r="AR104" s="50"/>
      <c r="AS104" s="50"/>
      <c r="AT104" s="50"/>
      <c r="AU104" s="26" t="s">
        <v>113</v>
      </c>
      <c r="AV104" s="26"/>
      <c r="AW104" s="26"/>
      <c r="AX104" s="26"/>
      <c r="AY104" s="26"/>
      <c r="AZ104" s="30" t="s">
        <v>114</v>
      </c>
      <c r="BA104" s="30"/>
      <c r="BB104" s="30"/>
      <c r="BC104" s="30"/>
      <c r="BD104" s="30"/>
      <c r="BE104" s="50" t="s">
        <v>177</v>
      </c>
      <c r="BF104" s="50"/>
      <c r="BG104" s="50"/>
      <c r="BH104" s="50"/>
      <c r="BI104" s="50"/>
      <c r="BJ104" s="26" t="s">
        <v>105</v>
      </c>
      <c r="BK104" s="26"/>
      <c r="BL104" s="26"/>
      <c r="BM104" s="26"/>
      <c r="BN104" s="26"/>
      <c r="BO104" s="30" t="s">
        <v>106</v>
      </c>
      <c r="BP104" s="30"/>
      <c r="BQ104" s="30"/>
      <c r="BR104" s="30"/>
      <c r="BS104" s="30"/>
      <c r="BT104" s="50" t="s">
        <v>177</v>
      </c>
      <c r="BU104" s="50"/>
      <c r="BV104" s="50"/>
      <c r="BW104" s="50"/>
      <c r="BX104" s="50"/>
      <c r="CA104" t="s">
        <v>37</v>
      </c>
    </row>
    <row r="105" spans="1:79" s="6" customFormat="1" ht="15" customHeight="1" x14ac:dyDescent="0.2">
      <c r="A105" s="86">
        <v>0</v>
      </c>
      <c r="B105" s="87"/>
      <c r="C105" s="87"/>
      <c r="D105" s="111" t="s">
        <v>176</v>
      </c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CA105" s="6" t="s">
        <v>38</v>
      </c>
    </row>
    <row r="106" spans="1:79" s="6" customFormat="1" ht="15" customHeight="1" x14ac:dyDescent="0.2">
      <c r="A106" s="86">
        <v>0</v>
      </c>
      <c r="B106" s="87"/>
      <c r="C106" s="87"/>
      <c r="D106" s="113" t="s">
        <v>178</v>
      </c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2"/>
      <c r="Q106" s="111" t="s">
        <v>179</v>
      </c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2">
        <v>0</v>
      </c>
      <c r="AG106" s="112"/>
      <c r="AH106" s="112"/>
      <c r="AI106" s="112"/>
      <c r="AJ106" s="112"/>
      <c r="AK106" s="112">
        <v>0</v>
      </c>
      <c r="AL106" s="112"/>
      <c r="AM106" s="112"/>
      <c r="AN106" s="112"/>
      <c r="AO106" s="112"/>
      <c r="AP106" s="112">
        <v>0</v>
      </c>
      <c r="AQ106" s="112"/>
      <c r="AR106" s="112"/>
      <c r="AS106" s="112"/>
      <c r="AT106" s="112"/>
      <c r="AU106" s="112">
        <v>1434</v>
      </c>
      <c r="AV106" s="112"/>
      <c r="AW106" s="112"/>
      <c r="AX106" s="112"/>
      <c r="AY106" s="112"/>
      <c r="AZ106" s="112">
        <v>0</v>
      </c>
      <c r="BA106" s="112"/>
      <c r="BB106" s="112"/>
      <c r="BC106" s="112"/>
      <c r="BD106" s="112"/>
      <c r="BE106" s="112">
        <v>1434</v>
      </c>
      <c r="BF106" s="112"/>
      <c r="BG106" s="112"/>
      <c r="BH106" s="112"/>
      <c r="BI106" s="112"/>
      <c r="BJ106" s="112">
        <v>1434</v>
      </c>
      <c r="BK106" s="112"/>
      <c r="BL106" s="112"/>
      <c r="BM106" s="112"/>
      <c r="BN106" s="112"/>
      <c r="BO106" s="112">
        <v>0</v>
      </c>
      <c r="BP106" s="112"/>
      <c r="BQ106" s="112"/>
      <c r="BR106" s="112"/>
      <c r="BS106" s="112"/>
      <c r="BT106" s="112">
        <v>1434</v>
      </c>
      <c r="BU106" s="112"/>
      <c r="BV106" s="112"/>
      <c r="BW106" s="112"/>
      <c r="BX106" s="112"/>
    </row>
    <row r="107" spans="1:79" s="99" customFormat="1" ht="15" customHeight="1" x14ac:dyDescent="0.2">
      <c r="A107" s="89">
        <v>1</v>
      </c>
      <c r="B107" s="90"/>
      <c r="C107" s="90"/>
      <c r="D107" s="114" t="s">
        <v>178</v>
      </c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4"/>
      <c r="Q107" s="27" t="s">
        <v>179</v>
      </c>
      <c r="R107" s="27"/>
      <c r="S107" s="27"/>
      <c r="T107" s="27"/>
      <c r="U107" s="27"/>
      <c r="V107" s="27" t="s">
        <v>180</v>
      </c>
      <c r="W107" s="27"/>
      <c r="X107" s="27"/>
      <c r="Y107" s="27"/>
      <c r="Z107" s="27"/>
      <c r="AA107" s="27"/>
      <c r="AB107" s="27"/>
      <c r="AC107" s="27"/>
      <c r="AD107" s="27"/>
      <c r="AE107" s="27"/>
      <c r="AF107" s="115">
        <v>0</v>
      </c>
      <c r="AG107" s="115"/>
      <c r="AH107" s="115"/>
      <c r="AI107" s="115"/>
      <c r="AJ107" s="115"/>
      <c r="AK107" s="115">
        <v>0</v>
      </c>
      <c r="AL107" s="115"/>
      <c r="AM107" s="115"/>
      <c r="AN107" s="115"/>
      <c r="AO107" s="115"/>
      <c r="AP107" s="115">
        <v>0</v>
      </c>
      <c r="AQ107" s="115"/>
      <c r="AR107" s="115"/>
      <c r="AS107" s="115"/>
      <c r="AT107" s="115"/>
      <c r="AU107" s="115">
        <v>1434</v>
      </c>
      <c r="AV107" s="115"/>
      <c r="AW107" s="115"/>
      <c r="AX107" s="115"/>
      <c r="AY107" s="115"/>
      <c r="AZ107" s="115">
        <v>0</v>
      </c>
      <c r="BA107" s="115"/>
      <c r="BB107" s="115"/>
      <c r="BC107" s="115"/>
      <c r="BD107" s="115"/>
      <c r="BE107" s="115">
        <v>1434</v>
      </c>
      <c r="BF107" s="115"/>
      <c r="BG107" s="115"/>
      <c r="BH107" s="115"/>
      <c r="BI107" s="115"/>
      <c r="BJ107" s="115">
        <v>1434</v>
      </c>
      <c r="BK107" s="115"/>
      <c r="BL107" s="115"/>
      <c r="BM107" s="115"/>
      <c r="BN107" s="115"/>
      <c r="BO107" s="115">
        <v>0</v>
      </c>
      <c r="BP107" s="115"/>
      <c r="BQ107" s="115"/>
      <c r="BR107" s="115"/>
      <c r="BS107" s="115"/>
      <c r="BT107" s="115">
        <v>1434</v>
      </c>
      <c r="BU107" s="115"/>
      <c r="BV107" s="115"/>
      <c r="BW107" s="115"/>
      <c r="BX107" s="115"/>
    </row>
    <row r="108" spans="1:79" s="99" customFormat="1" ht="15" customHeight="1" x14ac:dyDescent="0.2">
      <c r="A108" s="89">
        <v>1</v>
      </c>
      <c r="B108" s="90"/>
      <c r="C108" s="90"/>
      <c r="D108" s="114" t="s">
        <v>181</v>
      </c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4"/>
      <c r="Q108" s="27" t="s">
        <v>179</v>
      </c>
      <c r="R108" s="27"/>
      <c r="S108" s="27"/>
      <c r="T108" s="27"/>
      <c r="U108" s="27"/>
      <c r="V108" s="27" t="s">
        <v>180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115">
        <v>0</v>
      </c>
      <c r="AG108" s="115"/>
      <c r="AH108" s="115"/>
      <c r="AI108" s="115"/>
      <c r="AJ108" s="115"/>
      <c r="AK108" s="115">
        <v>0</v>
      </c>
      <c r="AL108" s="115"/>
      <c r="AM108" s="115"/>
      <c r="AN108" s="115"/>
      <c r="AO108" s="115"/>
      <c r="AP108" s="115">
        <v>0</v>
      </c>
      <c r="AQ108" s="115"/>
      <c r="AR108" s="115"/>
      <c r="AS108" s="115"/>
      <c r="AT108" s="115"/>
      <c r="AU108" s="115">
        <v>0</v>
      </c>
      <c r="AV108" s="115"/>
      <c r="AW108" s="115"/>
      <c r="AX108" s="115"/>
      <c r="AY108" s="115"/>
      <c r="AZ108" s="115">
        <v>0</v>
      </c>
      <c r="BA108" s="115"/>
      <c r="BB108" s="115"/>
      <c r="BC108" s="115"/>
      <c r="BD108" s="115"/>
      <c r="BE108" s="115">
        <v>0</v>
      </c>
      <c r="BF108" s="115"/>
      <c r="BG108" s="115"/>
      <c r="BH108" s="115"/>
      <c r="BI108" s="115"/>
      <c r="BJ108" s="115">
        <v>0</v>
      </c>
      <c r="BK108" s="115"/>
      <c r="BL108" s="115"/>
      <c r="BM108" s="115"/>
      <c r="BN108" s="115"/>
      <c r="BO108" s="115">
        <v>0</v>
      </c>
      <c r="BP108" s="115"/>
      <c r="BQ108" s="115"/>
      <c r="BR108" s="115"/>
      <c r="BS108" s="115"/>
      <c r="BT108" s="115">
        <v>0</v>
      </c>
      <c r="BU108" s="115"/>
      <c r="BV108" s="115"/>
      <c r="BW108" s="115"/>
      <c r="BX108" s="115"/>
    </row>
    <row r="109" spans="1:79" s="6" customFormat="1" ht="15" customHeight="1" x14ac:dyDescent="0.2">
      <c r="A109" s="86">
        <v>0</v>
      </c>
      <c r="B109" s="87"/>
      <c r="C109" s="87"/>
      <c r="D109" s="113" t="s">
        <v>182</v>
      </c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2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</row>
    <row r="110" spans="1:79" s="6" customFormat="1" ht="42.75" customHeight="1" x14ac:dyDescent="0.2">
      <c r="A110" s="86">
        <v>0</v>
      </c>
      <c r="B110" s="87"/>
      <c r="C110" s="87"/>
      <c r="D110" s="113" t="s">
        <v>183</v>
      </c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2"/>
      <c r="Q110" s="111" t="s">
        <v>184</v>
      </c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2">
        <v>0</v>
      </c>
      <c r="AG110" s="112"/>
      <c r="AH110" s="112"/>
      <c r="AI110" s="112"/>
      <c r="AJ110" s="112"/>
      <c r="AK110" s="112">
        <v>0</v>
      </c>
      <c r="AL110" s="112"/>
      <c r="AM110" s="112"/>
      <c r="AN110" s="112"/>
      <c r="AO110" s="112"/>
      <c r="AP110" s="112">
        <v>0</v>
      </c>
      <c r="AQ110" s="112"/>
      <c r="AR110" s="112"/>
      <c r="AS110" s="112"/>
      <c r="AT110" s="112"/>
      <c r="AU110" s="112">
        <v>3</v>
      </c>
      <c r="AV110" s="112"/>
      <c r="AW110" s="112"/>
      <c r="AX110" s="112"/>
      <c r="AY110" s="112"/>
      <c r="AZ110" s="112">
        <v>0</v>
      </c>
      <c r="BA110" s="112"/>
      <c r="BB110" s="112"/>
      <c r="BC110" s="112"/>
      <c r="BD110" s="112"/>
      <c r="BE110" s="112">
        <v>3</v>
      </c>
      <c r="BF110" s="112"/>
      <c r="BG110" s="112"/>
      <c r="BH110" s="112"/>
      <c r="BI110" s="112"/>
      <c r="BJ110" s="112">
        <v>3</v>
      </c>
      <c r="BK110" s="112"/>
      <c r="BL110" s="112"/>
      <c r="BM110" s="112"/>
      <c r="BN110" s="112"/>
      <c r="BO110" s="112">
        <v>0</v>
      </c>
      <c r="BP110" s="112"/>
      <c r="BQ110" s="112"/>
      <c r="BR110" s="112"/>
      <c r="BS110" s="112"/>
      <c r="BT110" s="112">
        <v>3</v>
      </c>
      <c r="BU110" s="112"/>
      <c r="BV110" s="112"/>
      <c r="BW110" s="112"/>
      <c r="BX110" s="112"/>
    </row>
    <row r="111" spans="1:79" s="99" customFormat="1" ht="42.75" customHeight="1" x14ac:dyDescent="0.2">
      <c r="A111" s="89">
        <v>1</v>
      </c>
      <c r="B111" s="90"/>
      <c r="C111" s="90"/>
      <c r="D111" s="114" t="s">
        <v>183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4"/>
      <c r="Q111" s="27" t="s">
        <v>184</v>
      </c>
      <c r="R111" s="27"/>
      <c r="S111" s="27"/>
      <c r="T111" s="27"/>
      <c r="U111" s="27"/>
      <c r="V111" s="114" t="s">
        <v>185</v>
      </c>
      <c r="W111" s="93"/>
      <c r="X111" s="93"/>
      <c r="Y111" s="93"/>
      <c r="Z111" s="93"/>
      <c r="AA111" s="93"/>
      <c r="AB111" s="93"/>
      <c r="AC111" s="93"/>
      <c r="AD111" s="93"/>
      <c r="AE111" s="94"/>
      <c r="AF111" s="115">
        <v>0</v>
      </c>
      <c r="AG111" s="115"/>
      <c r="AH111" s="115"/>
      <c r="AI111" s="115"/>
      <c r="AJ111" s="115"/>
      <c r="AK111" s="115">
        <v>0</v>
      </c>
      <c r="AL111" s="115"/>
      <c r="AM111" s="115"/>
      <c r="AN111" s="115"/>
      <c r="AO111" s="115"/>
      <c r="AP111" s="115">
        <v>0</v>
      </c>
      <c r="AQ111" s="115"/>
      <c r="AR111" s="115"/>
      <c r="AS111" s="115"/>
      <c r="AT111" s="115"/>
      <c r="AU111" s="115">
        <v>3</v>
      </c>
      <c r="AV111" s="115"/>
      <c r="AW111" s="115"/>
      <c r="AX111" s="115"/>
      <c r="AY111" s="115"/>
      <c r="AZ111" s="115">
        <v>0</v>
      </c>
      <c r="BA111" s="115"/>
      <c r="BB111" s="115"/>
      <c r="BC111" s="115"/>
      <c r="BD111" s="115"/>
      <c r="BE111" s="115">
        <v>3</v>
      </c>
      <c r="BF111" s="115"/>
      <c r="BG111" s="115"/>
      <c r="BH111" s="115"/>
      <c r="BI111" s="115"/>
      <c r="BJ111" s="115">
        <v>3</v>
      </c>
      <c r="BK111" s="115"/>
      <c r="BL111" s="115"/>
      <c r="BM111" s="115"/>
      <c r="BN111" s="115"/>
      <c r="BO111" s="115">
        <v>0</v>
      </c>
      <c r="BP111" s="115"/>
      <c r="BQ111" s="115"/>
      <c r="BR111" s="115"/>
      <c r="BS111" s="115"/>
      <c r="BT111" s="115">
        <v>3</v>
      </c>
      <c r="BU111" s="115"/>
      <c r="BV111" s="115"/>
      <c r="BW111" s="115"/>
      <c r="BX111" s="115"/>
    </row>
    <row r="112" spans="1:79" s="99" customFormat="1" ht="30" customHeight="1" x14ac:dyDescent="0.2">
      <c r="A112" s="89">
        <v>1</v>
      </c>
      <c r="B112" s="90"/>
      <c r="C112" s="90"/>
      <c r="D112" s="114" t="s">
        <v>181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4"/>
      <c r="Q112" s="27" t="s">
        <v>184</v>
      </c>
      <c r="R112" s="27"/>
      <c r="S112" s="27"/>
      <c r="T112" s="27"/>
      <c r="U112" s="27"/>
      <c r="V112" s="114" t="s">
        <v>185</v>
      </c>
      <c r="W112" s="93"/>
      <c r="X112" s="93"/>
      <c r="Y112" s="93"/>
      <c r="Z112" s="93"/>
      <c r="AA112" s="93"/>
      <c r="AB112" s="93"/>
      <c r="AC112" s="93"/>
      <c r="AD112" s="93"/>
      <c r="AE112" s="94"/>
      <c r="AF112" s="115">
        <v>0</v>
      </c>
      <c r="AG112" s="115"/>
      <c r="AH112" s="115"/>
      <c r="AI112" s="115"/>
      <c r="AJ112" s="115"/>
      <c r="AK112" s="115">
        <v>0</v>
      </c>
      <c r="AL112" s="115"/>
      <c r="AM112" s="115"/>
      <c r="AN112" s="115"/>
      <c r="AO112" s="115"/>
      <c r="AP112" s="115">
        <v>0</v>
      </c>
      <c r="AQ112" s="115"/>
      <c r="AR112" s="115"/>
      <c r="AS112" s="115"/>
      <c r="AT112" s="115"/>
      <c r="AU112" s="115">
        <v>0</v>
      </c>
      <c r="AV112" s="115"/>
      <c r="AW112" s="115"/>
      <c r="AX112" s="115"/>
      <c r="AY112" s="115"/>
      <c r="AZ112" s="115">
        <v>0</v>
      </c>
      <c r="BA112" s="115"/>
      <c r="BB112" s="115"/>
      <c r="BC112" s="115"/>
      <c r="BD112" s="115"/>
      <c r="BE112" s="115">
        <v>0</v>
      </c>
      <c r="BF112" s="115"/>
      <c r="BG112" s="115"/>
      <c r="BH112" s="115"/>
      <c r="BI112" s="115"/>
      <c r="BJ112" s="115">
        <v>0</v>
      </c>
      <c r="BK112" s="115"/>
      <c r="BL112" s="115"/>
      <c r="BM112" s="115"/>
      <c r="BN112" s="115"/>
      <c r="BO112" s="115">
        <v>0</v>
      </c>
      <c r="BP112" s="115"/>
      <c r="BQ112" s="115"/>
      <c r="BR112" s="115"/>
      <c r="BS112" s="115"/>
      <c r="BT112" s="115">
        <v>0</v>
      </c>
      <c r="BU112" s="115"/>
      <c r="BV112" s="115"/>
      <c r="BW112" s="115"/>
      <c r="BX112" s="115"/>
    </row>
    <row r="113" spans="1:79" s="6" customFormat="1" ht="15" customHeight="1" x14ac:dyDescent="0.2">
      <c r="A113" s="86">
        <v>0</v>
      </c>
      <c r="B113" s="87"/>
      <c r="C113" s="87"/>
      <c r="D113" s="113" t="s">
        <v>186</v>
      </c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2"/>
      <c r="Q113" s="111"/>
      <c r="R113" s="111"/>
      <c r="S113" s="111"/>
      <c r="T113" s="111"/>
      <c r="U113" s="111"/>
      <c r="V113" s="113"/>
      <c r="W113" s="101"/>
      <c r="X113" s="101"/>
      <c r="Y113" s="101"/>
      <c r="Z113" s="101"/>
      <c r="AA113" s="101"/>
      <c r="AB113" s="101"/>
      <c r="AC113" s="101"/>
      <c r="AD113" s="101"/>
      <c r="AE113" s="10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</row>
    <row r="114" spans="1:79" s="6" customFormat="1" ht="42.75" customHeight="1" x14ac:dyDescent="0.2">
      <c r="A114" s="86">
        <v>0</v>
      </c>
      <c r="B114" s="87"/>
      <c r="C114" s="87"/>
      <c r="D114" s="113" t="s">
        <v>187</v>
      </c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2"/>
      <c r="Q114" s="111" t="s">
        <v>179</v>
      </c>
      <c r="R114" s="111"/>
      <c r="S114" s="111"/>
      <c r="T114" s="111"/>
      <c r="U114" s="111"/>
      <c r="V114" s="113"/>
      <c r="W114" s="101"/>
      <c r="X114" s="101"/>
      <c r="Y114" s="101"/>
      <c r="Z114" s="101"/>
      <c r="AA114" s="101"/>
      <c r="AB114" s="101"/>
      <c r="AC114" s="101"/>
      <c r="AD114" s="101"/>
      <c r="AE114" s="102"/>
      <c r="AF114" s="112">
        <v>0</v>
      </c>
      <c r="AG114" s="112"/>
      <c r="AH114" s="112"/>
      <c r="AI114" s="112"/>
      <c r="AJ114" s="112"/>
      <c r="AK114" s="112">
        <v>0</v>
      </c>
      <c r="AL114" s="112"/>
      <c r="AM114" s="112"/>
      <c r="AN114" s="112"/>
      <c r="AO114" s="112"/>
      <c r="AP114" s="112">
        <v>0</v>
      </c>
      <c r="AQ114" s="112"/>
      <c r="AR114" s="112"/>
      <c r="AS114" s="112"/>
      <c r="AT114" s="112"/>
      <c r="AU114" s="112">
        <v>39.83</v>
      </c>
      <c r="AV114" s="112"/>
      <c r="AW114" s="112"/>
      <c r="AX114" s="112"/>
      <c r="AY114" s="112"/>
      <c r="AZ114" s="112">
        <v>0</v>
      </c>
      <c r="BA114" s="112"/>
      <c r="BB114" s="112"/>
      <c r="BC114" s="112"/>
      <c r="BD114" s="112"/>
      <c r="BE114" s="112">
        <v>39.83</v>
      </c>
      <c r="BF114" s="112"/>
      <c r="BG114" s="112"/>
      <c r="BH114" s="112"/>
      <c r="BI114" s="112"/>
      <c r="BJ114" s="112">
        <v>39.83</v>
      </c>
      <c r="BK114" s="112"/>
      <c r="BL114" s="112"/>
      <c r="BM114" s="112"/>
      <c r="BN114" s="112"/>
      <c r="BO114" s="112">
        <v>0</v>
      </c>
      <c r="BP114" s="112"/>
      <c r="BQ114" s="112"/>
      <c r="BR114" s="112"/>
      <c r="BS114" s="112"/>
      <c r="BT114" s="112">
        <v>39.83</v>
      </c>
      <c r="BU114" s="112"/>
      <c r="BV114" s="112"/>
      <c r="BW114" s="112"/>
      <c r="BX114" s="112"/>
    </row>
    <row r="115" spans="1:79" s="99" customFormat="1" ht="42.75" customHeight="1" x14ac:dyDescent="0.2">
      <c r="A115" s="89">
        <v>1</v>
      </c>
      <c r="B115" s="90"/>
      <c r="C115" s="90"/>
      <c r="D115" s="114" t="s">
        <v>187</v>
      </c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4"/>
      <c r="Q115" s="27" t="s">
        <v>179</v>
      </c>
      <c r="R115" s="27"/>
      <c r="S115" s="27"/>
      <c r="T115" s="27"/>
      <c r="U115" s="27"/>
      <c r="V115" s="114" t="s">
        <v>185</v>
      </c>
      <c r="W115" s="93"/>
      <c r="X115" s="93"/>
      <c r="Y115" s="93"/>
      <c r="Z115" s="93"/>
      <c r="AA115" s="93"/>
      <c r="AB115" s="93"/>
      <c r="AC115" s="93"/>
      <c r="AD115" s="93"/>
      <c r="AE115" s="94"/>
      <c r="AF115" s="115">
        <v>0</v>
      </c>
      <c r="AG115" s="115"/>
      <c r="AH115" s="115"/>
      <c r="AI115" s="115"/>
      <c r="AJ115" s="115"/>
      <c r="AK115" s="115">
        <v>0</v>
      </c>
      <c r="AL115" s="115"/>
      <c r="AM115" s="115"/>
      <c r="AN115" s="115"/>
      <c r="AO115" s="115"/>
      <c r="AP115" s="115">
        <v>0</v>
      </c>
      <c r="AQ115" s="115"/>
      <c r="AR115" s="115"/>
      <c r="AS115" s="115"/>
      <c r="AT115" s="115"/>
      <c r="AU115" s="115">
        <v>39.83</v>
      </c>
      <c r="AV115" s="115"/>
      <c r="AW115" s="115"/>
      <c r="AX115" s="115"/>
      <c r="AY115" s="115"/>
      <c r="AZ115" s="115">
        <v>0</v>
      </c>
      <c r="BA115" s="115"/>
      <c r="BB115" s="115"/>
      <c r="BC115" s="115"/>
      <c r="BD115" s="115"/>
      <c r="BE115" s="115">
        <v>39.83</v>
      </c>
      <c r="BF115" s="115"/>
      <c r="BG115" s="115"/>
      <c r="BH115" s="115"/>
      <c r="BI115" s="115"/>
      <c r="BJ115" s="115">
        <v>39.83</v>
      </c>
      <c r="BK115" s="115"/>
      <c r="BL115" s="115"/>
      <c r="BM115" s="115"/>
      <c r="BN115" s="115"/>
      <c r="BO115" s="115">
        <v>0</v>
      </c>
      <c r="BP115" s="115"/>
      <c r="BQ115" s="115"/>
      <c r="BR115" s="115"/>
      <c r="BS115" s="115"/>
      <c r="BT115" s="115">
        <v>39.83</v>
      </c>
      <c r="BU115" s="115"/>
      <c r="BV115" s="115"/>
      <c r="BW115" s="115"/>
      <c r="BX115" s="115"/>
    </row>
    <row r="116" spans="1:79" s="99" customFormat="1" ht="30" customHeight="1" x14ac:dyDescent="0.2">
      <c r="A116" s="89">
        <v>1</v>
      </c>
      <c r="B116" s="90"/>
      <c r="C116" s="90"/>
      <c r="D116" s="114" t="s">
        <v>181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4"/>
      <c r="Q116" s="27" t="s">
        <v>179</v>
      </c>
      <c r="R116" s="27"/>
      <c r="S116" s="27"/>
      <c r="T116" s="27"/>
      <c r="U116" s="27"/>
      <c r="V116" s="114" t="s">
        <v>185</v>
      </c>
      <c r="W116" s="93"/>
      <c r="X116" s="93"/>
      <c r="Y116" s="93"/>
      <c r="Z116" s="93"/>
      <c r="AA116" s="93"/>
      <c r="AB116" s="93"/>
      <c r="AC116" s="93"/>
      <c r="AD116" s="93"/>
      <c r="AE116" s="94"/>
      <c r="AF116" s="115">
        <v>0</v>
      </c>
      <c r="AG116" s="115"/>
      <c r="AH116" s="115"/>
      <c r="AI116" s="115"/>
      <c r="AJ116" s="115"/>
      <c r="AK116" s="115">
        <v>0</v>
      </c>
      <c r="AL116" s="115"/>
      <c r="AM116" s="115"/>
      <c r="AN116" s="115"/>
      <c r="AO116" s="115"/>
      <c r="AP116" s="115">
        <v>0</v>
      </c>
      <c r="AQ116" s="115"/>
      <c r="AR116" s="115"/>
      <c r="AS116" s="115"/>
      <c r="AT116" s="115"/>
      <c r="AU116" s="115">
        <v>0</v>
      </c>
      <c r="AV116" s="115"/>
      <c r="AW116" s="115"/>
      <c r="AX116" s="115"/>
      <c r="AY116" s="115"/>
      <c r="AZ116" s="115">
        <v>0</v>
      </c>
      <c r="BA116" s="115"/>
      <c r="BB116" s="115"/>
      <c r="BC116" s="115"/>
      <c r="BD116" s="115"/>
      <c r="BE116" s="115">
        <v>0</v>
      </c>
      <c r="BF116" s="115"/>
      <c r="BG116" s="115"/>
      <c r="BH116" s="115"/>
      <c r="BI116" s="115"/>
      <c r="BJ116" s="115">
        <v>0</v>
      </c>
      <c r="BK116" s="115"/>
      <c r="BL116" s="115"/>
      <c r="BM116" s="115"/>
      <c r="BN116" s="115"/>
      <c r="BO116" s="115">
        <v>0</v>
      </c>
      <c r="BP116" s="115"/>
      <c r="BQ116" s="115"/>
      <c r="BR116" s="115"/>
      <c r="BS116" s="115"/>
      <c r="BT116" s="115">
        <v>0</v>
      </c>
      <c r="BU116" s="115"/>
      <c r="BV116" s="115"/>
      <c r="BW116" s="115"/>
      <c r="BX116" s="115"/>
    </row>
    <row r="117" spans="1:79" s="6" customFormat="1" ht="15" customHeight="1" x14ac:dyDescent="0.2">
      <c r="A117" s="86">
        <v>0</v>
      </c>
      <c r="B117" s="87"/>
      <c r="C117" s="87"/>
      <c r="D117" s="113" t="s">
        <v>188</v>
      </c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2"/>
      <c r="Q117" s="111"/>
      <c r="R117" s="111"/>
      <c r="S117" s="111"/>
      <c r="T117" s="111"/>
      <c r="U117" s="111"/>
      <c r="V117" s="113"/>
      <c r="W117" s="101"/>
      <c r="X117" s="101"/>
      <c r="Y117" s="101"/>
      <c r="Z117" s="101"/>
      <c r="AA117" s="101"/>
      <c r="AB117" s="101"/>
      <c r="AC117" s="101"/>
      <c r="AD117" s="101"/>
      <c r="AE117" s="10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</row>
    <row r="118" spans="1:79" s="6" customFormat="1" ht="28.5" customHeight="1" x14ac:dyDescent="0.2">
      <c r="A118" s="86">
        <v>0</v>
      </c>
      <c r="B118" s="87"/>
      <c r="C118" s="87"/>
      <c r="D118" s="113" t="s">
        <v>189</v>
      </c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2"/>
      <c r="Q118" s="111" t="s">
        <v>190</v>
      </c>
      <c r="R118" s="111"/>
      <c r="S118" s="111"/>
      <c r="T118" s="111"/>
      <c r="U118" s="111"/>
      <c r="V118" s="113"/>
      <c r="W118" s="101"/>
      <c r="X118" s="101"/>
      <c r="Y118" s="101"/>
      <c r="Z118" s="101"/>
      <c r="AA118" s="101"/>
      <c r="AB118" s="101"/>
      <c r="AC118" s="101"/>
      <c r="AD118" s="101"/>
      <c r="AE118" s="102"/>
      <c r="AF118" s="112">
        <v>0</v>
      </c>
      <c r="AG118" s="112"/>
      <c r="AH118" s="112"/>
      <c r="AI118" s="112"/>
      <c r="AJ118" s="112"/>
      <c r="AK118" s="112">
        <v>0</v>
      </c>
      <c r="AL118" s="112"/>
      <c r="AM118" s="112"/>
      <c r="AN118" s="112"/>
      <c r="AO118" s="112"/>
      <c r="AP118" s="112">
        <v>0</v>
      </c>
      <c r="AQ118" s="112"/>
      <c r="AR118" s="112"/>
      <c r="AS118" s="112"/>
      <c r="AT118" s="112"/>
      <c r="AU118" s="112">
        <v>100</v>
      </c>
      <c r="AV118" s="112"/>
      <c r="AW118" s="112"/>
      <c r="AX118" s="112"/>
      <c r="AY118" s="112"/>
      <c r="AZ118" s="112">
        <v>0</v>
      </c>
      <c r="BA118" s="112"/>
      <c r="BB118" s="112"/>
      <c r="BC118" s="112"/>
      <c r="BD118" s="112"/>
      <c r="BE118" s="112">
        <v>100</v>
      </c>
      <c r="BF118" s="112"/>
      <c r="BG118" s="112"/>
      <c r="BH118" s="112"/>
      <c r="BI118" s="112"/>
      <c r="BJ118" s="112">
        <v>100</v>
      </c>
      <c r="BK118" s="112"/>
      <c r="BL118" s="112"/>
      <c r="BM118" s="112"/>
      <c r="BN118" s="112"/>
      <c r="BO118" s="112">
        <v>0</v>
      </c>
      <c r="BP118" s="112"/>
      <c r="BQ118" s="112"/>
      <c r="BR118" s="112"/>
      <c r="BS118" s="112"/>
      <c r="BT118" s="112">
        <v>100</v>
      </c>
      <c r="BU118" s="112"/>
      <c r="BV118" s="112"/>
      <c r="BW118" s="112"/>
      <c r="BX118" s="112"/>
    </row>
    <row r="119" spans="1:79" s="99" customFormat="1" ht="28.5" customHeight="1" x14ac:dyDescent="0.2">
      <c r="A119" s="89">
        <v>1</v>
      </c>
      <c r="B119" s="90"/>
      <c r="C119" s="90"/>
      <c r="D119" s="114" t="s">
        <v>189</v>
      </c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4"/>
      <c r="Q119" s="27" t="s">
        <v>190</v>
      </c>
      <c r="R119" s="27"/>
      <c r="S119" s="27"/>
      <c r="T119" s="27"/>
      <c r="U119" s="27"/>
      <c r="V119" s="114" t="s">
        <v>191</v>
      </c>
      <c r="W119" s="93"/>
      <c r="X119" s="93"/>
      <c r="Y119" s="93"/>
      <c r="Z119" s="93"/>
      <c r="AA119" s="93"/>
      <c r="AB119" s="93"/>
      <c r="AC119" s="93"/>
      <c r="AD119" s="93"/>
      <c r="AE119" s="94"/>
      <c r="AF119" s="115">
        <v>0</v>
      </c>
      <c r="AG119" s="115"/>
      <c r="AH119" s="115"/>
      <c r="AI119" s="115"/>
      <c r="AJ119" s="115"/>
      <c r="AK119" s="115">
        <v>0</v>
      </c>
      <c r="AL119" s="115"/>
      <c r="AM119" s="115"/>
      <c r="AN119" s="115"/>
      <c r="AO119" s="115"/>
      <c r="AP119" s="115">
        <v>0</v>
      </c>
      <c r="AQ119" s="115"/>
      <c r="AR119" s="115"/>
      <c r="AS119" s="115"/>
      <c r="AT119" s="115"/>
      <c r="AU119" s="115">
        <v>100</v>
      </c>
      <c r="AV119" s="115"/>
      <c r="AW119" s="115"/>
      <c r="AX119" s="115"/>
      <c r="AY119" s="115"/>
      <c r="AZ119" s="115">
        <v>0</v>
      </c>
      <c r="BA119" s="115"/>
      <c r="BB119" s="115"/>
      <c r="BC119" s="115"/>
      <c r="BD119" s="115"/>
      <c r="BE119" s="115">
        <v>100</v>
      </c>
      <c r="BF119" s="115"/>
      <c r="BG119" s="115"/>
      <c r="BH119" s="115"/>
      <c r="BI119" s="115"/>
      <c r="BJ119" s="115">
        <v>100</v>
      </c>
      <c r="BK119" s="115"/>
      <c r="BL119" s="115"/>
      <c r="BM119" s="115"/>
      <c r="BN119" s="115"/>
      <c r="BO119" s="115">
        <v>0</v>
      </c>
      <c r="BP119" s="115"/>
      <c r="BQ119" s="115"/>
      <c r="BR119" s="115"/>
      <c r="BS119" s="115"/>
      <c r="BT119" s="115">
        <v>100</v>
      </c>
      <c r="BU119" s="115"/>
      <c r="BV119" s="115"/>
      <c r="BW119" s="115"/>
      <c r="BX119" s="115"/>
    </row>
    <row r="120" spans="1:79" s="99" customFormat="1" ht="15" customHeight="1" x14ac:dyDescent="0.2">
      <c r="A120" s="89">
        <v>1</v>
      </c>
      <c r="B120" s="90"/>
      <c r="C120" s="90"/>
      <c r="D120" s="114" t="s">
        <v>181</v>
      </c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4"/>
      <c r="Q120" s="27" t="s">
        <v>190</v>
      </c>
      <c r="R120" s="27"/>
      <c r="S120" s="27"/>
      <c r="T120" s="27"/>
      <c r="U120" s="27"/>
      <c r="V120" s="114" t="s">
        <v>191</v>
      </c>
      <c r="W120" s="93"/>
      <c r="X120" s="93"/>
      <c r="Y120" s="93"/>
      <c r="Z120" s="93"/>
      <c r="AA120" s="93"/>
      <c r="AB120" s="93"/>
      <c r="AC120" s="93"/>
      <c r="AD120" s="93"/>
      <c r="AE120" s="94"/>
      <c r="AF120" s="115">
        <v>0</v>
      </c>
      <c r="AG120" s="115"/>
      <c r="AH120" s="115"/>
      <c r="AI120" s="115"/>
      <c r="AJ120" s="115"/>
      <c r="AK120" s="115">
        <v>0</v>
      </c>
      <c r="AL120" s="115"/>
      <c r="AM120" s="115"/>
      <c r="AN120" s="115"/>
      <c r="AO120" s="115"/>
      <c r="AP120" s="115">
        <v>0</v>
      </c>
      <c r="AQ120" s="115"/>
      <c r="AR120" s="115"/>
      <c r="AS120" s="115"/>
      <c r="AT120" s="115"/>
      <c r="AU120" s="115">
        <v>0</v>
      </c>
      <c r="AV120" s="115"/>
      <c r="AW120" s="115"/>
      <c r="AX120" s="115"/>
      <c r="AY120" s="115"/>
      <c r="AZ120" s="115">
        <v>0</v>
      </c>
      <c r="BA120" s="115"/>
      <c r="BB120" s="115"/>
      <c r="BC120" s="115"/>
      <c r="BD120" s="115"/>
      <c r="BE120" s="115">
        <v>0</v>
      </c>
      <c r="BF120" s="115"/>
      <c r="BG120" s="115"/>
      <c r="BH120" s="115"/>
      <c r="BI120" s="115"/>
      <c r="BJ120" s="115">
        <v>0</v>
      </c>
      <c r="BK120" s="115"/>
      <c r="BL120" s="115"/>
      <c r="BM120" s="115"/>
      <c r="BN120" s="115"/>
      <c r="BO120" s="115">
        <v>0</v>
      </c>
      <c r="BP120" s="115"/>
      <c r="BQ120" s="115"/>
      <c r="BR120" s="115"/>
      <c r="BS120" s="115"/>
      <c r="BT120" s="115">
        <v>0</v>
      </c>
      <c r="BU120" s="115"/>
      <c r="BV120" s="115"/>
      <c r="BW120" s="115"/>
      <c r="BX120" s="115"/>
    </row>
    <row r="122" spans="1:79" ht="14.25" customHeight="1" x14ac:dyDescent="0.2">
      <c r="A122" s="29" t="s">
        <v>241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</row>
    <row r="123" spans="1:79" ht="23.1" customHeight="1" x14ac:dyDescent="0.2">
      <c r="A123" s="51" t="s">
        <v>6</v>
      </c>
      <c r="B123" s="52"/>
      <c r="C123" s="52"/>
      <c r="D123" s="27" t="s">
        <v>9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 t="s">
        <v>8</v>
      </c>
      <c r="R123" s="27"/>
      <c r="S123" s="27"/>
      <c r="T123" s="27"/>
      <c r="U123" s="27"/>
      <c r="V123" s="27" t="s">
        <v>7</v>
      </c>
      <c r="W123" s="27"/>
      <c r="X123" s="27"/>
      <c r="Y123" s="27"/>
      <c r="Z123" s="27"/>
      <c r="AA123" s="27"/>
      <c r="AB123" s="27"/>
      <c r="AC123" s="27"/>
      <c r="AD123" s="27"/>
      <c r="AE123" s="27"/>
      <c r="AF123" s="36" t="s">
        <v>232</v>
      </c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8"/>
      <c r="AU123" s="36" t="s">
        <v>237</v>
      </c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8"/>
    </row>
    <row r="124" spans="1:79" ht="28.5" customHeight="1" x14ac:dyDescent="0.2">
      <c r="A124" s="54"/>
      <c r="B124" s="55"/>
      <c r="C124" s="55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 t="s">
        <v>4</v>
      </c>
      <c r="AG124" s="27"/>
      <c r="AH124" s="27"/>
      <c r="AI124" s="27"/>
      <c r="AJ124" s="27"/>
      <c r="AK124" s="27" t="s">
        <v>3</v>
      </c>
      <c r="AL124" s="27"/>
      <c r="AM124" s="27"/>
      <c r="AN124" s="27"/>
      <c r="AO124" s="27"/>
      <c r="AP124" s="27" t="s">
        <v>123</v>
      </c>
      <c r="AQ124" s="27"/>
      <c r="AR124" s="27"/>
      <c r="AS124" s="27"/>
      <c r="AT124" s="27"/>
      <c r="AU124" s="27" t="s">
        <v>4</v>
      </c>
      <c r="AV124" s="27"/>
      <c r="AW124" s="27"/>
      <c r="AX124" s="27"/>
      <c r="AY124" s="27"/>
      <c r="AZ124" s="27" t="s">
        <v>3</v>
      </c>
      <c r="BA124" s="27"/>
      <c r="BB124" s="27"/>
      <c r="BC124" s="27"/>
      <c r="BD124" s="27"/>
      <c r="BE124" s="27" t="s">
        <v>90</v>
      </c>
      <c r="BF124" s="27"/>
      <c r="BG124" s="27"/>
      <c r="BH124" s="27"/>
      <c r="BI124" s="27"/>
    </row>
    <row r="125" spans="1:79" ht="15" customHeight="1" x14ac:dyDescent="0.2">
      <c r="A125" s="36">
        <v>1</v>
      </c>
      <c r="B125" s="37"/>
      <c r="C125" s="37"/>
      <c r="D125" s="27">
        <v>2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>
        <v>3</v>
      </c>
      <c r="R125" s="27"/>
      <c r="S125" s="27"/>
      <c r="T125" s="27"/>
      <c r="U125" s="27"/>
      <c r="V125" s="27">
        <v>4</v>
      </c>
      <c r="W125" s="27"/>
      <c r="X125" s="27"/>
      <c r="Y125" s="27"/>
      <c r="Z125" s="27"/>
      <c r="AA125" s="27"/>
      <c r="AB125" s="27"/>
      <c r="AC125" s="27"/>
      <c r="AD125" s="27"/>
      <c r="AE125" s="27"/>
      <c r="AF125" s="27">
        <v>5</v>
      </c>
      <c r="AG125" s="27"/>
      <c r="AH125" s="27"/>
      <c r="AI125" s="27"/>
      <c r="AJ125" s="27"/>
      <c r="AK125" s="27">
        <v>6</v>
      </c>
      <c r="AL125" s="27"/>
      <c r="AM125" s="27"/>
      <c r="AN125" s="27"/>
      <c r="AO125" s="27"/>
      <c r="AP125" s="27">
        <v>7</v>
      </c>
      <c r="AQ125" s="27"/>
      <c r="AR125" s="27"/>
      <c r="AS125" s="27"/>
      <c r="AT125" s="27"/>
      <c r="AU125" s="27">
        <v>8</v>
      </c>
      <c r="AV125" s="27"/>
      <c r="AW125" s="27"/>
      <c r="AX125" s="27"/>
      <c r="AY125" s="27"/>
      <c r="AZ125" s="27">
        <v>9</v>
      </c>
      <c r="BA125" s="27"/>
      <c r="BB125" s="27"/>
      <c r="BC125" s="27"/>
      <c r="BD125" s="27"/>
      <c r="BE125" s="27">
        <v>10</v>
      </c>
      <c r="BF125" s="27"/>
      <c r="BG125" s="27"/>
      <c r="BH125" s="27"/>
      <c r="BI125" s="27"/>
    </row>
    <row r="126" spans="1:79" ht="15.75" hidden="1" customHeight="1" x14ac:dyDescent="0.2">
      <c r="A126" s="39" t="s">
        <v>154</v>
      </c>
      <c r="B126" s="40"/>
      <c r="C126" s="40"/>
      <c r="D126" s="27" t="s">
        <v>57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 t="s">
        <v>70</v>
      </c>
      <c r="R126" s="27"/>
      <c r="S126" s="27"/>
      <c r="T126" s="27"/>
      <c r="U126" s="27"/>
      <c r="V126" s="27" t="s">
        <v>71</v>
      </c>
      <c r="W126" s="27"/>
      <c r="X126" s="27"/>
      <c r="Y126" s="27"/>
      <c r="Z126" s="27"/>
      <c r="AA126" s="27"/>
      <c r="AB126" s="27"/>
      <c r="AC126" s="27"/>
      <c r="AD126" s="27"/>
      <c r="AE126" s="27"/>
      <c r="AF126" s="26" t="s">
        <v>107</v>
      </c>
      <c r="AG126" s="26"/>
      <c r="AH126" s="26"/>
      <c r="AI126" s="26"/>
      <c r="AJ126" s="26"/>
      <c r="AK126" s="30" t="s">
        <v>108</v>
      </c>
      <c r="AL126" s="30"/>
      <c r="AM126" s="30"/>
      <c r="AN126" s="30"/>
      <c r="AO126" s="30"/>
      <c r="AP126" s="50" t="s">
        <v>177</v>
      </c>
      <c r="AQ126" s="50"/>
      <c r="AR126" s="50"/>
      <c r="AS126" s="50"/>
      <c r="AT126" s="50"/>
      <c r="AU126" s="26" t="s">
        <v>109</v>
      </c>
      <c r="AV126" s="26"/>
      <c r="AW126" s="26"/>
      <c r="AX126" s="26"/>
      <c r="AY126" s="26"/>
      <c r="AZ126" s="30" t="s">
        <v>110</v>
      </c>
      <c r="BA126" s="30"/>
      <c r="BB126" s="30"/>
      <c r="BC126" s="30"/>
      <c r="BD126" s="30"/>
      <c r="BE126" s="50" t="s">
        <v>177</v>
      </c>
      <c r="BF126" s="50"/>
      <c r="BG126" s="50"/>
      <c r="BH126" s="50"/>
      <c r="BI126" s="50"/>
      <c r="CA126" t="s">
        <v>39</v>
      </c>
    </row>
    <row r="127" spans="1:79" s="6" customFormat="1" ht="14.25" x14ac:dyDescent="0.2">
      <c r="A127" s="86">
        <v>0</v>
      </c>
      <c r="B127" s="87"/>
      <c r="C127" s="87"/>
      <c r="D127" s="111" t="s">
        <v>176</v>
      </c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CA127" s="6" t="s">
        <v>40</v>
      </c>
    </row>
    <row r="128" spans="1:79" s="6" customFormat="1" ht="14.25" customHeight="1" x14ac:dyDescent="0.2">
      <c r="A128" s="86">
        <v>0</v>
      </c>
      <c r="B128" s="87"/>
      <c r="C128" s="87"/>
      <c r="D128" s="113" t="s">
        <v>178</v>
      </c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2"/>
      <c r="Q128" s="111" t="s">
        <v>179</v>
      </c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2">
        <v>1534</v>
      </c>
      <c r="AG128" s="112"/>
      <c r="AH128" s="112"/>
      <c r="AI128" s="112"/>
      <c r="AJ128" s="112"/>
      <c r="AK128" s="112">
        <v>0</v>
      </c>
      <c r="AL128" s="112"/>
      <c r="AM128" s="112"/>
      <c r="AN128" s="112"/>
      <c r="AO128" s="112"/>
      <c r="AP128" s="112">
        <v>1534</v>
      </c>
      <c r="AQ128" s="112"/>
      <c r="AR128" s="112"/>
      <c r="AS128" s="112"/>
      <c r="AT128" s="112"/>
      <c r="AU128" s="112">
        <v>1623</v>
      </c>
      <c r="AV128" s="112"/>
      <c r="AW128" s="112"/>
      <c r="AX128" s="112"/>
      <c r="AY128" s="112"/>
      <c r="AZ128" s="112">
        <v>0</v>
      </c>
      <c r="BA128" s="112"/>
      <c r="BB128" s="112"/>
      <c r="BC128" s="112"/>
      <c r="BD128" s="112"/>
      <c r="BE128" s="112">
        <v>1623</v>
      </c>
      <c r="BF128" s="112"/>
      <c r="BG128" s="112"/>
      <c r="BH128" s="112"/>
      <c r="BI128" s="112"/>
    </row>
    <row r="129" spans="1:64" s="99" customFormat="1" ht="14.25" customHeight="1" x14ac:dyDescent="0.2">
      <c r="A129" s="89">
        <v>1</v>
      </c>
      <c r="B129" s="90"/>
      <c r="C129" s="90"/>
      <c r="D129" s="114" t="s">
        <v>178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4"/>
      <c r="Q129" s="27" t="s">
        <v>179</v>
      </c>
      <c r="R129" s="27"/>
      <c r="S129" s="27"/>
      <c r="T129" s="27"/>
      <c r="U129" s="27"/>
      <c r="V129" s="27" t="s">
        <v>180</v>
      </c>
      <c r="W129" s="27"/>
      <c r="X129" s="27"/>
      <c r="Y129" s="27"/>
      <c r="Z129" s="27"/>
      <c r="AA129" s="27"/>
      <c r="AB129" s="27"/>
      <c r="AC129" s="27"/>
      <c r="AD129" s="27"/>
      <c r="AE129" s="27"/>
      <c r="AF129" s="115">
        <v>1534</v>
      </c>
      <c r="AG129" s="115"/>
      <c r="AH129" s="115"/>
      <c r="AI129" s="115"/>
      <c r="AJ129" s="115"/>
      <c r="AK129" s="115">
        <v>0</v>
      </c>
      <c r="AL129" s="115"/>
      <c r="AM129" s="115"/>
      <c r="AN129" s="115"/>
      <c r="AO129" s="115"/>
      <c r="AP129" s="115">
        <v>1534</v>
      </c>
      <c r="AQ129" s="115"/>
      <c r="AR129" s="115"/>
      <c r="AS129" s="115"/>
      <c r="AT129" s="115"/>
      <c r="AU129" s="115">
        <v>1623</v>
      </c>
      <c r="AV129" s="115"/>
      <c r="AW129" s="115"/>
      <c r="AX129" s="115"/>
      <c r="AY129" s="115"/>
      <c r="AZ129" s="115">
        <v>0</v>
      </c>
      <c r="BA129" s="115"/>
      <c r="BB129" s="115"/>
      <c r="BC129" s="115"/>
      <c r="BD129" s="115"/>
      <c r="BE129" s="115">
        <v>1623</v>
      </c>
      <c r="BF129" s="115"/>
      <c r="BG129" s="115"/>
      <c r="BH129" s="115"/>
      <c r="BI129" s="115"/>
    </row>
    <row r="130" spans="1:64" s="99" customFormat="1" ht="15" x14ac:dyDescent="0.2">
      <c r="A130" s="89">
        <v>1</v>
      </c>
      <c r="B130" s="90"/>
      <c r="C130" s="90"/>
      <c r="D130" s="114" t="s">
        <v>181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179</v>
      </c>
      <c r="R130" s="27"/>
      <c r="S130" s="27"/>
      <c r="T130" s="27"/>
      <c r="U130" s="27"/>
      <c r="V130" s="27" t="s">
        <v>180</v>
      </c>
      <c r="W130" s="27"/>
      <c r="X130" s="27"/>
      <c r="Y130" s="27"/>
      <c r="Z130" s="27"/>
      <c r="AA130" s="27"/>
      <c r="AB130" s="27"/>
      <c r="AC130" s="27"/>
      <c r="AD130" s="27"/>
      <c r="AE130" s="27"/>
      <c r="AF130" s="115">
        <v>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0</v>
      </c>
      <c r="AQ130" s="115"/>
      <c r="AR130" s="115"/>
      <c r="AS130" s="115"/>
      <c r="AT130" s="115"/>
      <c r="AU130" s="115">
        <v>0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0</v>
      </c>
      <c r="BF130" s="115"/>
      <c r="BG130" s="115"/>
      <c r="BH130" s="115"/>
      <c r="BI130" s="115"/>
    </row>
    <row r="131" spans="1:64" s="6" customFormat="1" ht="14.25" x14ac:dyDescent="0.2">
      <c r="A131" s="86">
        <v>0</v>
      </c>
      <c r="B131" s="87"/>
      <c r="C131" s="87"/>
      <c r="D131" s="113" t="s">
        <v>182</v>
      </c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2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</row>
    <row r="132" spans="1:64" s="6" customFormat="1" ht="42.75" customHeight="1" x14ac:dyDescent="0.2">
      <c r="A132" s="86">
        <v>0</v>
      </c>
      <c r="B132" s="87"/>
      <c r="C132" s="87"/>
      <c r="D132" s="113" t="s">
        <v>183</v>
      </c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2"/>
      <c r="Q132" s="111" t="s">
        <v>184</v>
      </c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2">
        <v>3</v>
      </c>
      <c r="AG132" s="112"/>
      <c r="AH132" s="112"/>
      <c r="AI132" s="112"/>
      <c r="AJ132" s="112"/>
      <c r="AK132" s="112">
        <v>0</v>
      </c>
      <c r="AL132" s="112"/>
      <c r="AM132" s="112"/>
      <c r="AN132" s="112"/>
      <c r="AO132" s="112"/>
      <c r="AP132" s="112">
        <v>3</v>
      </c>
      <c r="AQ132" s="112"/>
      <c r="AR132" s="112"/>
      <c r="AS132" s="112"/>
      <c r="AT132" s="112"/>
      <c r="AU132" s="112">
        <v>3</v>
      </c>
      <c r="AV132" s="112"/>
      <c r="AW132" s="112"/>
      <c r="AX132" s="112"/>
      <c r="AY132" s="112"/>
      <c r="AZ132" s="112">
        <v>0</v>
      </c>
      <c r="BA132" s="112"/>
      <c r="BB132" s="112"/>
      <c r="BC132" s="112"/>
      <c r="BD132" s="112"/>
      <c r="BE132" s="112">
        <v>3</v>
      </c>
      <c r="BF132" s="112"/>
      <c r="BG132" s="112"/>
      <c r="BH132" s="112"/>
      <c r="BI132" s="112"/>
    </row>
    <row r="133" spans="1:64" s="99" customFormat="1" ht="42.75" customHeight="1" x14ac:dyDescent="0.2">
      <c r="A133" s="89">
        <v>1</v>
      </c>
      <c r="B133" s="90"/>
      <c r="C133" s="90"/>
      <c r="D133" s="114" t="s">
        <v>183</v>
      </c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4"/>
      <c r="Q133" s="27" t="s">
        <v>184</v>
      </c>
      <c r="R133" s="27"/>
      <c r="S133" s="27"/>
      <c r="T133" s="27"/>
      <c r="U133" s="27"/>
      <c r="V133" s="114" t="s">
        <v>185</v>
      </c>
      <c r="W133" s="93"/>
      <c r="X133" s="93"/>
      <c r="Y133" s="93"/>
      <c r="Z133" s="93"/>
      <c r="AA133" s="93"/>
      <c r="AB133" s="93"/>
      <c r="AC133" s="93"/>
      <c r="AD133" s="93"/>
      <c r="AE133" s="94"/>
      <c r="AF133" s="115">
        <v>3</v>
      </c>
      <c r="AG133" s="115"/>
      <c r="AH133" s="115"/>
      <c r="AI133" s="115"/>
      <c r="AJ133" s="115"/>
      <c r="AK133" s="115">
        <v>0</v>
      </c>
      <c r="AL133" s="115"/>
      <c r="AM133" s="115"/>
      <c r="AN133" s="115"/>
      <c r="AO133" s="115"/>
      <c r="AP133" s="115">
        <v>3</v>
      </c>
      <c r="AQ133" s="115"/>
      <c r="AR133" s="115"/>
      <c r="AS133" s="115"/>
      <c r="AT133" s="115"/>
      <c r="AU133" s="115">
        <v>3</v>
      </c>
      <c r="AV133" s="115"/>
      <c r="AW133" s="115"/>
      <c r="AX133" s="115"/>
      <c r="AY133" s="115"/>
      <c r="AZ133" s="115">
        <v>0</v>
      </c>
      <c r="BA133" s="115"/>
      <c r="BB133" s="115"/>
      <c r="BC133" s="115"/>
      <c r="BD133" s="115"/>
      <c r="BE133" s="115">
        <v>3</v>
      </c>
      <c r="BF133" s="115"/>
      <c r="BG133" s="115"/>
      <c r="BH133" s="115"/>
      <c r="BI133" s="115"/>
    </row>
    <row r="134" spans="1:64" s="99" customFormat="1" ht="30" customHeight="1" x14ac:dyDescent="0.2">
      <c r="A134" s="89">
        <v>1</v>
      </c>
      <c r="B134" s="90"/>
      <c r="C134" s="90"/>
      <c r="D134" s="114" t="s">
        <v>181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4"/>
      <c r="Q134" s="27" t="s">
        <v>184</v>
      </c>
      <c r="R134" s="27"/>
      <c r="S134" s="27"/>
      <c r="T134" s="27"/>
      <c r="U134" s="27"/>
      <c r="V134" s="114" t="s">
        <v>185</v>
      </c>
      <c r="W134" s="93"/>
      <c r="X134" s="93"/>
      <c r="Y134" s="93"/>
      <c r="Z134" s="93"/>
      <c r="AA134" s="93"/>
      <c r="AB134" s="93"/>
      <c r="AC134" s="93"/>
      <c r="AD134" s="93"/>
      <c r="AE134" s="94"/>
      <c r="AF134" s="115">
        <v>0</v>
      </c>
      <c r="AG134" s="115"/>
      <c r="AH134" s="115"/>
      <c r="AI134" s="115"/>
      <c r="AJ134" s="115"/>
      <c r="AK134" s="115">
        <v>0</v>
      </c>
      <c r="AL134" s="115"/>
      <c r="AM134" s="115"/>
      <c r="AN134" s="115"/>
      <c r="AO134" s="115"/>
      <c r="AP134" s="115">
        <v>0</v>
      </c>
      <c r="AQ134" s="115"/>
      <c r="AR134" s="115"/>
      <c r="AS134" s="115"/>
      <c r="AT134" s="115"/>
      <c r="AU134" s="115">
        <v>0</v>
      </c>
      <c r="AV134" s="115"/>
      <c r="AW134" s="115"/>
      <c r="AX134" s="115"/>
      <c r="AY134" s="115"/>
      <c r="AZ134" s="115">
        <v>0</v>
      </c>
      <c r="BA134" s="115"/>
      <c r="BB134" s="115"/>
      <c r="BC134" s="115"/>
      <c r="BD134" s="115"/>
      <c r="BE134" s="115">
        <v>0</v>
      </c>
      <c r="BF134" s="115"/>
      <c r="BG134" s="115"/>
      <c r="BH134" s="115"/>
      <c r="BI134" s="115"/>
    </row>
    <row r="135" spans="1:64" s="6" customFormat="1" ht="14.25" x14ac:dyDescent="0.2">
      <c r="A135" s="86">
        <v>0</v>
      </c>
      <c r="B135" s="87"/>
      <c r="C135" s="87"/>
      <c r="D135" s="113" t="s">
        <v>186</v>
      </c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2"/>
      <c r="Q135" s="111"/>
      <c r="R135" s="111"/>
      <c r="S135" s="111"/>
      <c r="T135" s="111"/>
      <c r="U135" s="111"/>
      <c r="V135" s="113"/>
      <c r="W135" s="101"/>
      <c r="X135" s="101"/>
      <c r="Y135" s="101"/>
      <c r="Z135" s="101"/>
      <c r="AA135" s="101"/>
      <c r="AB135" s="101"/>
      <c r="AC135" s="101"/>
      <c r="AD135" s="101"/>
      <c r="AE135" s="10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</row>
    <row r="136" spans="1:64" s="6" customFormat="1" ht="42.75" customHeight="1" x14ac:dyDescent="0.2">
      <c r="A136" s="86">
        <v>0</v>
      </c>
      <c r="B136" s="87"/>
      <c r="C136" s="87"/>
      <c r="D136" s="113" t="s">
        <v>187</v>
      </c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2"/>
      <c r="Q136" s="111" t="s">
        <v>179</v>
      </c>
      <c r="R136" s="111"/>
      <c r="S136" s="111"/>
      <c r="T136" s="111"/>
      <c r="U136" s="111"/>
      <c r="V136" s="113"/>
      <c r="W136" s="101"/>
      <c r="X136" s="101"/>
      <c r="Y136" s="101"/>
      <c r="Z136" s="101"/>
      <c r="AA136" s="101"/>
      <c r="AB136" s="101"/>
      <c r="AC136" s="101"/>
      <c r="AD136" s="101"/>
      <c r="AE136" s="102"/>
      <c r="AF136" s="112">
        <v>42.61</v>
      </c>
      <c r="AG136" s="112"/>
      <c r="AH136" s="112"/>
      <c r="AI136" s="112"/>
      <c r="AJ136" s="112"/>
      <c r="AK136" s="112">
        <v>0</v>
      </c>
      <c r="AL136" s="112"/>
      <c r="AM136" s="112"/>
      <c r="AN136" s="112"/>
      <c r="AO136" s="112"/>
      <c r="AP136" s="112">
        <v>42.61</v>
      </c>
      <c r="AQ136" s="112"/>
      <c r="AR136" s="112"/>
      <c r="AS136" s="112"/>
      <c r="AT136" s="112"/>
      <c r="AU136" s="112">
        <v>45.08</v>
      </c>
      <c r="AV136" s="112"/>
      <c r="AW136" s="112"/>
      <c r="AX136" s="112"/>
      <c r="AY136" s="112"/>
      <c r="AZ136" s="112">
        <v>0</v>
      </c>
      <c r="BA136" s="112"/>
      <c r="BB136" s="112"/>
      <c r="BC136" s="112"/>
      <c r="BD136" s="112"/>
      <c r="BE136" s="112">
        <v>45.08</v>
      </c>
      <c r="BF136" s="112"/>
      <c r="BG136" s="112"/>
      <c r="BH136" s="112"/>
      <c r="BI136" s="112"/>
    </row>
    <row r="137" spans="1:64" s="99" customFormat="1" ht="42.75" customHeight="1" x14ac:dyDescent="0.2">
      <c r="A137" s="89">
        <v>1</v>
      </c>
      <c r="B137" s="90"/>
      <c r="C137" s="90"/>
      <c r="D137" s="114" t="s">
        <v>187</v>
      </c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4"/>
      <c r="Q137" s="27" t="s">
        <v>179</v>
      </c>
      <c r="R137" s="27"/>
      <c r="S137" s="27"/>
      <c r="T137" s="27"/>
      <c r="U137" s="27"/>
      <c r="V137" s="114" t="s">
        <v>185</v>
      </c>
      <c r="W137" s="93"/>
      <c r="X137" s="93"/>
      <c r="Y137" s="93"/>
      <c r="Z137" s="93"/>
      <c r="AA137" s="93"/>
      <c r="AB137" s="93"/>
      <c r="AC137" s="93"/>
      <c r="AD137" s="93"/>
      <c r="AE137" s="94"/>
      <c r="AF137" s="115">
        <v>42.61</v>
      </c>
      <c r="AG137" s="115"/>
      <c r="AH137" s="115"/>
      <c r="AI137" s="115"/>
      <c r="AJ137" s="115"/>
      <c r="AK137" s="115">
        <v>0</v>
      </c>
      <c r="AL137" s="115"/>
      <c r="AM137" s="115"/>
      <c r="AN137" s="115"/>
      <c r="AO137" s="115"/>
      <c r="AP137" s="115">
        <v>42.61</v>
      </c>
      <c r="AQ137" s="115"/>
      <c r="AR137" s="115"/>
      <c r="AS137" s="115"/>
      <c r="AT137" s="115"/>
      <c r="AU137" s="115">
        <v>45.08</v>
      </c>
      <c r="AV137" s="115"/>
      <c r="AW137" s="115"/>
      <c r="AX137" s="115"/>
      <c r="AY137" s="115"/>
      <c r="AZ137" s="115">
        <v>0</v>
      </c>
      <c r="BA137" s="115"/>
      <c r="BB137" s="115"/>
      <c r="BC137" s="115"/>
      <c r="BD137" s="115"/>
      <c r="BE137" s="115">
        <v>45.08</v>
      </c>
      <c r="BF137" s="115"/>
      <c r="BG137" s="115"/>
      <c r="BH137" s="115"/>
      <c r="BI137" s="115"/>
    </row>
    <row r="138" spans="1:64" s="99" customFormat="1" ht="30" customHeight="1" x14ac:dyDescent="0.2">
      <c r="A138" s="89">
        <v>1</v>
      </c>
      <c r="B138" s="90"/>
      <c r="C138" s="90"/>
      <c r="D138" s="114" t="s">
        <v>181</v>
      </c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4"/>
      <c r="Q138" s="27" t="s">
        <v>179</v>
      </c>
      <c r="R138" s="27"/>
      <c r="S138" s="27"/>
      <c r="T138" s="27"/>
      <c r="U138" s="27"/>
      <c r="V138" s="114" t="s">
        <v>185</v>
      </c>
      <c r="W138" s="93"/>
      <c r="X138" s="93"/>
      <c r="Y138" s="93"/>
      <c r="Z138" s="93"/>
      <c r="AA138" s="93"/>
      <c r="AB138" s="93"/>
      <c r="AC138" s="93"/>
      <c r="AD138" s="93"/>
      <c r="AE138" s="94"/>
      <c r="AF138" s="115">
        <v>0</v>
      </c>
      <c r="AG138" s="115"/>
      <c r="AH138" s="115"/>
      <c r="AI138" s="115"/>
      <c r="AJ138" s="115"/>
      <c r="AK138" s="115">
        <v>0</v>
      </c>
      <c r="AL138" s="115"/>
      <c r="AM138" s="115"/>
      <c r="AN138" s="115"/>
      <c r="AO138" s="115"/>
      <c r="AP138" s="115">
        <v>0</v>
      </c>
      <c r="AQ138" s="115"/>
      <c r="AR138" s="115"/>
      <c r="AS138" s="115"/>
      <c r="AT138" s="115"/>
      <c r="AU138" s="115">
        <v>0</v>
      </c>
      <c r="AV138" s="115"/>
      <c r="AW138" s="115"/>
      <c r="AX138" s="115"/>
      <c r="AY138" s="115"/>
      <c r="AZ138" s="115">
        <v>0</v>
      </c>
      <c r="BA138" s="115"/>
      <c r="BB138" s="115"/>
      <c r="BC138" s="115"/>
      <c r="BD138" s="115"/>
      <c r="BE138" s="115">
        <v>0</v>
      </c>
      <c r="BF138" s="115"/>
      <c r="BG138" s="115"/>
      <c r="BH138" s="115"/>
      <c r="BI138" s="115"/>
    </row>
    <row r="139" spans="1:64" s="6" customFormat="1" ht="14.25" x14ac:dyDescent="0.2">
      <c r="A139" s="86">
        <v>0</v>
      </c>
      <c r="B139" s="87"/>
      <c r="C139" s="87"/>
      <c r="D139" s="113" t="s">
        <v>188</v>
      </c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2"/>
      <c r="Q139" s="111"/>
      <c r="R139" s="111"/>
      <c r="S139" s="111"/>
      <c r="T139" s="111"/>
      <c r="U139" s="111"/>
      <c r="V139" s="113"/>
      <c r="W139" s="101"/>
      <c r="X139" s="101"/>
      <c r="Y139" s="101"/>
      <c r="Z139" s="101"/>
      <c r="AA139" s="101"/>
      <c r="AB139" s="101"/>
      <c r="AC139" s="101"/>
      <c r="AD139" s="101"/>
      <c r="AE139" s="10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</row>
    <row r="140" spans="1:64" s="6" customFormat="1" ht="28.5" customHeight="1" x14ac:dyDescent="0.2">
      <c r="A140" s="86">
        <v>0</v>
      </c>
      <c r="B140" s="87"/>
      <c r="C140" s="87"/>
      <c r="D140" s="113" t="s">
        <v>189</v>
      </c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2"/>
      <c r="Q140" s="111" t="s">
        <v>190</v>
      </c>
      <c r="R140" s="111"/>
      <c r="S140" s="111"/>
      <c r="T140" s="111"/>
      <c r="U140" s="111"/>
      <c r="V140" s="113"/>
      <c r="W140" s="101"/>
      <c r="X140" s="101"/>
      <c r="Y140" s="101"/>
      <c r="Z140" s="101"/>
      <c r="AA140" s="101"/>
      <c r="AB140" s="101"/>
      <c r="AC140" s="101"/>
      <c r="AD140" s="101"/>
      <c r="AE140" s="102"/>
      <c r="AF140" s="112">
        <v>0</v>
      </c>
      <c r="AG140" s="112"/>
      <c r="AH140" s="112"/>
      <c r="AI140" s="112"/>
      <c r="AJ140" s="112"/>
      <c r="AK140" s="112">
        <v>0</v>
      </c>
      <c r="AL140" s="112"/>
      <c r="AM140" s="112"/>
      <c r="AN140" s="112"/>
      <c r="AO140" s="112"/>
      <c r="AP140" s="112">
        <v>0</v>
      </c>
      <c r="AQ140" s="112"/>
      <c r="AR140" s="112"/>
      <c r="AS140" s="112"/>
      <c r="AT140" s="112"/>
      <c r="AU140" s="112">
        <v>0</v>
      </c>
      <c r="AV140" s="112"/>
      <c r="AW140" s="112"/>
      <c r="AX140" s="112"/>
      <c r="AY140" s="112"/>
      <c r="AZ140" s="112">
        <v>0</v>
      </c>
      <c r="BA140" s="112"/>
      <c r="BB140" s="112"/>
      <c r="BC140" s="112"/>
      <c r="BD140" s="112"/>
      <c r="BE140" s="112">
        <v>0</v>
      </c>
      <c r="BF140" s="112"/>
      <c r="BG140" s="112"/>
      <c r="BH140" s="112"/>
      <c r="BI140" s="112"/>
    </row>
    <row r="141" spans="1:64" s="99" customFormat="1" ht="28.5" customHeight="1" x14ac:dyDescent="0.2">
      <c r="A141" s="89">
        <v>1</v>
      </c>
      <c r="B141" s="90"/>
      <c r="C141" s="90"/>
      <c r="D141" s="114" t="s">
        <v>189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4"/>
      <c r="Q141" s="27" t="s">
        <v>190</v>
      </c>
      <c r="R141" s="27"/>
      <c r="S141" s="27"/>
      <c r="T141" s="27"/>
      <c r="U141" s="27"/>
      <c r="V141" s="114" t="s">
        <v>191</v>
      </c>
      <c r="W141" s="93"/>
      <c r="X141" s="93"/>
      <c r="Y141" s="93"/>
      <c r="Z141" s="93"/>
      <c r="AA141" s="93"/>
      <c r="AB141" s="93"/>
      <c r="AC141" s="93"/>
      <c r="AD141" s="93"/>
      <c r="AE141" s="94"/>
      <c r="AF141" s="115">
        <v>0</v>
      </c>
      <c r="AG141" s="115"/>
      <c r="AH141" s="115"/>
      <c r="AI141" s="115"/>
      <c r="AJ141" s="115"/>
      <c r="AK141" s="115">
        <v>0</v>
      </c>
      <c r="AL141" s="115"/>
      <c r="AM141" s="115"/>
      <c r="AN141" s="115"/>
      <c r="AO141" s="115"/>
      <c r="AP141" s="115">
        <v>0</v>
      </c>
      <c r="AQ141" s="115"/>
      <c r="AR141" s="115"/>
      <c r="AS141" s="115"/>
      <c r="AT141" s="115"/>
      <c r="AU141" s="115">
        <v>0</v>
      </c>
      <c r="AV141" s="115"/>
      <c r="AW141" s="115"/>
      <c r="AX141" s="115"/>
      <c r="AY141" s="115"/>
      <c r="AZ141" s="115">
        <v>0</v>
      </c>
      <c r="BA141" s="115"/>
      <c r="BB141" s="115"/>
      <c r="BC141" s="115"/>
      <c r="BD141" s="115"/>
      <c r="BE141" s="115">
        <v>0</v>
      </c>
      <c r="BF141" s="115"/>
      <c r="BG141" s="115"/>
      <c r="BH141" s="115"/>
      <c r="BI141" s="115"/>
    </row>
    <row r="142" spans="1:64" s="99" customFormat="1" ht="15" x14ac:dyDescent="0.2">
      <c r="A142" s="89">
        <v>1</v>
      </c>
      <c r="B142" s="90"/>
      <c r="C142" s="90"/>
      <c r="D142" s="114" t="s">
        <v>181</v>
      </c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4"/>
      <c r="Q142" s="27" t="s">
        <v>190</v>
      </c>
      <c r="R142" s="27"/>
      <c r="S142" s="27"/>
      <c r="T142" s="27"/>
      <c r="U142" s="27"/>
      <c r="V142" s="114" t="s">
        <v>191</v>
      </c>
      <c r="W142" s="93"/>
      <c r="X142" s="93"/>
      <c r="Y142" s="93"/>
      <c r="Z142" s="93"/>
      <c r="AA142" s="93"/>
      <c r="AB142" s="93"/>
      <c r="AC142" s="93"/>
      <c r="AD142" s="93"/>
      <c r="AE142" s="94"/>
      <c r="AF142" s="115">
        <v>0</v>
      </c>
      <c r="AG142" s="115"/>
      <c r="AH142" s="115"/>
      <c r="AI142" s="115"/>
      <c r="AJ142" s="115"/>
      <c r="AK142" s="115">
        <v>0</v>
      </c>
      <c r="AL142" s="115"/>
      <c r="AM142" s="115"/>
      <c r="AN142" s="115"/>
      <c r="AO142" s="115"/>
      <c r="AP142" s="115">
        <v>0</v>
      </c>
      <c r="AQ142" s="115"/>
      <c r="AR142" s="115"/>
      <c r="AS142" s="115"/>
      <c r="AT142" s="115"/>
      <c r="AU142" s="115">
        <v>0</v>
      </c>
      <c r="AV142" s="115"/>
      <c r="AW142" s="115"/>
      <c r="AX142" s="115"/>
      <c r="AY142" s="115"/>
      <c r="AZ142" s="115">
        <v>0</v>
      </c>
      <c r="BA142" s="115"/>
      <c r="BB142" s="115"/>
      <c r="BC142" s="115"/>
      <c r="BD142" s="115"/>
      <c r="BE142" s="115">
        <v>0</v>
      </c>
      <c r="BF142" s="115"/>
      <c r="BG142" s="115"/>
      <c r="BH142" s="115"/>
      <c r="BI142" s="115"/>
    </row>
    <row r="144" spans="1:64" ht="14.25" customHeight="1" x14ac:dyDescent="0.2">
      <c r="A144" s="29" t="s">
        <v>124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</row>
    <row r="145" spans="1:79" ht="15" customHeight="1" x14ac:dyDescent="0.2">
      <c r="A145" s="44" t="s">
        <v>210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</row>
    <row r="146" spans="1:79" ht="12.95" customHeight="1" x14ac:dyDescent="0.2">
      <c r="A146" s="51" t="s">
        <v>19</v>
      </c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3"/>
      <c r="U146" s="27" t="s">
        <v>211</v>
      </c>
      <c r="V146" s="27"/>
      <c r="W146" s="27"/>
      <c r="X146" s="27"/>
      <c r="Y146" s="27"/>
      <c r="Z146" s="27"/>
      <c r="AA146" s="27"/>
      <c r="AB146" s="27"/>
      <c r="AC146" s="27"/>
      <c r="AD146" s="27"/>
      <c r="AE146" s="27" t="s">
        <v>214</v>
      </c>
      <c r="AF146" s="27"/>
      <c r="AG146" s="27"/>
      <c r="AH146" s="27"/>
      <c r="AI146" s="27"/>
      <c r="AJ146" s="27"/>
      <c r="AK146" s="27"/>
      <c r="AL146" s="27"/>
      <c r="AM146" s="27"/>
      <c r="AN146" s="27"/>
      <c r="AO146" s="27" t="s">
        <v>222</v>
      </c>
      <c r="AP146" s="27"/>
      <c r="AQ146" s="27"/>
      <c r="AR146" s="27"/>
      <c r="AS146" s="27"/>
      <c r="AT146" s="27"/>
      <c r="AU146" s="27"/>
      <c r="AV146" s="27"/>
      <c r="AW146" s="27"/>
      <c r="AX146" s="27"/>
      <c r="AY146" s="27" t="s">
        <v>232</v>
      </c>
      <c r="AZ146" s="27"/>
      <c r="BA146" s="27"/>
      <c r="BB146" s="27"/>
      <c r="BC146" s="27"/>
      <c r="BD146" s="27"/>
      <c r="BE146" s="27"/>
      <c r="BF146" s="27"/>
      <c r="BG146" s="27"/>
      <c r="BH146" s="27"/>
      <c r="BI146" s="27" t="s">
        <v>237</v>
      </c>
      <c r="BJ146" s="27"/>
      <c r="BK146" s="27"/>
      <c r="BL146" s="27"/>
      <c r="BM146" s="27"/>
      <c r="BN146" s="27"/>
      <c r="BO146" s="27"/>
      <c r="BP146" s="27"/>
      <c r="BQ146" s="27"/>
      <c r="BR146" s="27"/>
    </row>
    <row r="147" spans="1:79" ht="30" customHeight="1" x14ac:dyDescent="0.2">
      <c r="A147" s="54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6"/>
      <c r="U147" s="27" t="s">
        <v>4</v>
      </c>
      <c r="V147" s="27"/>
      <c r="W147" s="27"/>
      <c r="X147" s="27"/>
      <c r="Y147" s="27"/>
      <c r="Z147" s="27" t="s">
        <v>3</v>
      </c>
      <c r="AA147" s="27"/>
      <c r="AB147" s="27"/>
      <c r="AC147" s="27"/>
      <c r="AD147" s="27"/>
      <c r="AE147" s="27" t="s">
        <v>4</v>
      </c>
      <c r="AF147" s="27"/>
      <c r="AG147" s="27"/>
      <c r="AH147" s="27"/>
      <c r="AI147" s="27"/>
      <c r="AJ147" s="27" t="s">
        <v>3</v>
      </c>
      <c r="AK147" s="27"/>
      <c r="AL147" s="27"/>
      <c r="AM147" s="27"/>
      <c r="AN147" s="27"/>
      <c r="AO147" s="27" t="s">
        <v>4</v>
      </c>
      <c r="AP147" s="27"/>
      <c r="AQ147" s="27"/>
      <c r="AR147" s="27"/>
      <c r="AS147" s="27"/>
      <c r="AT147" s="27" t="s">
        <v>3</v>
      </c>
      <c r="AU147" s="27"/>
      <c r="AV147" s="27"/>
      <c r="AW147" s="27"/>
      <c r="AX147" s="27"/>
      <c r="AY147" s="27" t="s">
        <v>4</v>
      </c>
      <c r="AZ147" s="27"/>
      <c r="BA147" s="27"/>
      <c r="BB147" s="27"/>
      <c r="BC147" s="27"/>
      <c r="BD147" s="27" t="s">
        <v>3</v>
      </c>
      <c r="BE147" s="27"/>
      <c r="BF147" s="27"/>
      <c r="BG147" s="27"/>
      <c r="BH147" s="27"/>
      <c r="BI147" s="27" t="s">
        <v>4</v>
      </c>
      <c r="BJ147" s="27"/>
      <c r="BK147" s="27"/>
      <c r="BL147" s="27"/>
      <c r="BM147" s="27"/>
      <c r="BN147" s="27" t="s">
        <v>3</v>
      </c>
      <c r="BO147" s="27"/>
      <c r="BP147" s="27"/>
      <c r="BQ147" s="27"/>
      <c r="BR147" s="27"/>
    </row>
    <row r="148" spans="1:79" ht="15" customHeight="1" x14ac:dyDescent="0.2">
      <c r="A148" s="36">
        <v>1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8"/>
      <c r="U148" s="27">
        <v>2</v>
      </c>
      <c r="V148" s="27"/>
      <c r="W148" s="27"/>
      <c r="X148" s="27"/>
      <c r="Y148" s="27"/>
      <c r="Z148" s="27">
        <v>3</v>
      </c>
      <c r="AA148" s="27"/>
      <c r="AB148" s="27"/>
      <c r="AC148" s="27"/>
      <c r="AD148" s="27"/>
      <c r="AE148" s="27">
        <v>4</v>
      </c>
      <c r="AF148" s="27"/>
      <c r="AG148" s="27"/>
      <c r="AH148" s="27"/>
      <c r="AI148" s="27"/>
      <c r="AJ148" s="27">
        <v>5</v>
      </c>
      <c r="AK148" s="27"/>
      <c r="AL148" s="27"/>
      <c r="AM148" s="27"/>
      <c r="AN148" s="27"/>
      <c r="AO148" s="27">
        <v>6</v>
      </c>
      <c r="AP148" s="27"/>
      <c r="AQ148" s="27"/>
      <c r="AR148" s="27"/>
      <c r="AS148" s="27"/>
      <c r="AT148" s="27">
        <v>7</v>
      </c>
      <c r="AU148" s="27"/>
      <c r="AV148" s="27"/>
      <c r="AW148" s="27"/>
      <c r="AX148" s="27"/>
      <c r="AY148" s="27">
        <v>8</v>
      </c>
      <c r="AZ148" s="27"/>
      <c r="BA148" s="27"/>
      <c r="BB148" s="27"/>
      <c r="BC148" s="27"/>
      <c r="BD148" s="27">
        <v>9</v>
      </c>
      <c r="BE148" s="27"/>
      <c r="BF148" s="27"/>
      <c r="BG148" s="27"/>
      <c r="BH148" s="27"/>
      <c r="BI148" s="27">
        <v>10</v>
      </c>
      <c r="BJ148" s="27"/>
      <c r="BK148" s="27"/>
      <c r="BL148" s="27"/>
      <c r="BM148" s="27"/>
      <c r="BN148" s="27">
        <v>11</v>
      </c>
      <c r="BO148" s="27"/>
      <c r="BP148" s="27"/>
      <c r="BQ148" s="27"/>
      <c r="BR148" s="27"/>
    </row>
    <row r="149" spans="1:79" s="1" customFormat="1" ht="15.75" hidden="1" customHeight="1" x14ac:dyDescent="0.2">
      <c r="A149" s="39" t="s">
        <v>57</v>
      </c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1"/>
      <c r="U149" s="26" t="s">
        <v>65</v>
      </c>
      <c r="V149" s="26"/>
      <c r="W149" s="26"/>
      <c r="X149" s="26"/>
      <c r="Y149" s="26"/>
      <c r="Z149" s="30" t="s">
        <v>66</v>
      </c>
      <c r="AA149" s="30"/>
      <c r="AB149" s="30"/>
      <c r="AC149" s="30"/>
      <c r="AD149" s="30"/>
      <c r="AE149" s="26" t="s">
        <v>67</v>
      </c>
      <c r="AF149" s="26"/>
      <c r="AG149" s="26"/>
      <c r="AH149" s="26"/>
      <c r="AI149" s="26"/>
      <c r="AJ149" s="30" t="s">
        <v>68</v>
      </c>
      <c r="AK149" s="30"/>
      <c r="AL149" s="30"/>
      <c r="AM149" s="30"/>
      <c r="AN149" s="30"/>
      <c r="AO149" s="26" t="s">
        <v>58</v>
      </c>
      <c r="AP149" s="26"/>
      <c r="AQ149" s="26"/>
      <c r="AR149" s="26"/>
      <c r="AS149" s="26"/>
      <c r="AT149" s="30" t="s">
        <v>59</v>
      </c>
      <c r="AU149" s="30"/>
      <c r="AV149" s="30"/>
      <c r="AW149" s="30"/>
      <c r="AX149" s="30"/>
      <c r="AY149" s="26" t="s">
        <v>60</v>
      </c>
      <c r="AZ149" s="26"/>
      <c r="BA149" s="26"/>
      <c r="BB149" s="26"/>
      <c r="BC149" s="26"/>
      <c r="BD149" s="30" t="s">
        <v>61</v>
      </c>
      <c r="BE149" s="30"/>
      <c r="BF149" s="30"/>
      <c r="BG149" s="30"/>
      <c r="BH149" s="30"/>
      <c r="BI149" s="26" t="s">
        <v>62</v>
      </c>
      <c r="BJ149" s="26"/>
      <c r="BK149" s="26"/>
      <c r="BL149" s="26"/>
      <c r="BM149" s="26"/>
      <c r="BN149" s="30" t="s">
        <v>63</v>
      </c>
      <c r="BO149" s="30"/>
      <c r="BP149" s="30"/>
      <c r="BQ149" s="30"/>
      <c r="BR149" s="30"/>
      <c r="CA149" t="s">
        <v>41</v>
      </c>
    </row>
    <row r="150" spans="1:79" s="6" customFormat="1" ht="12.75" customHeight="1" x14ac:dyDescent="0.2">
      <c r="A150" s="86" t="s">
        <v>147</v>
      </c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8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  <c r="BD150" s="116"/>
      <c r="BE150" s="116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6"/>
      <c r="BQ150" s="116"/>
      <c r="BR150" s="116"/>
      <c r="CA150" s="6" t="s">
        <v>42</v>
      </c>
    </row>
    <row r="151" spans="1:79" s="99" customFormat="1" ht="38.25" customHeight="1" x14ac:dyDescent="0.2">
      <c r="A151" s="92" t="s">
        <v>192</v>
      </c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4"/>
      <c r="U151" s="117" t="s">
        <v>173</v>
      </c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 t="s">
        <v>173</v>
      </c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 t="s">
        <v>173</v>
      </c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 t="s">
        <v>173</v>
      </c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 t="s">
        <v>173</v>
      </c>
      <c r="BJ151" s="117"/>
      <c r="BK151" s="117"/>
      <c r="BL151" s="117"/>
      <c r="BM151" s="117"/>
      <c r="BN151" s="117"/>
      <c r="BO151" s="117"/>
      <c r="BP151" s="117"/>
      <c r="BQ151" s="117"/>
      <c r="BR151" s="117"/>
    </row>
    <row r="154" spans="1:79" ht="14.25" customHeight="1" x14ac:dyDescent="0.2">
      <c r="A154" s="29" t="s">
        <v>125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</row>
    <row r="155" spans="1:79" ht="15" customHeight="1" x14ac:dyDescent="0.2">
      <c r="A155" s="51" t="s">
        <v>6</v>
      </c>
      <c r="B155" s="52"/>
      <c r="C155" s="52"/>
      <c r="D155" s="51" t="s">
        <v>10</v>
      </c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3"/>
      <c r="W155" s="27" t="s">
        <v>211</v>
      </c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 t="s">
        <v>215</v>
      </c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 t="s">
        <v>227</v>
      </c>
      <c r="AV155" s="27"/>
      <c r="AW155" s="27"/>
      <c r="AX155" s="27"/>
      <c r="AY155" s="27"/>
      <c r="AZ155" s="27"/>
      <c r="BA155" s="27" t="s">
        <v>233</v>
      </c>
      <c r="BB155" s="27"/>
      <c r="BC155" s="27"/>
      <c r="BD155" s="27"/>
      <c r="BE155" s="27"/>
      <c r="BF155" s="27"/>
      <c r="BG155" s="27" t="s">
        <v>242</v>
      </c>
      <c r="BH155" s="27"/>
      <c r="BI155" s="27"/>
      <c r="BJ155" s="27"/>
      <c r="BK155" s="27"/>
      <c r="BL155" s="27"/>
    </row>
    <row r="156" spans="1:79" ht="15" customHeight="1" x14ac:dyDescent="0.2">
      <c r="A156" s="71"/>
      <c r="B156" s="72"/>
      <c r="C156" s="72"/>
      <c r="D156" s="71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3"/>
      <c r="W156" s="27" t="s">
        <v>4</v>
      </c>
      <c r="X156" s="27"/>
      <c r="Y156" s="27"/>
      <c r="Z156" s="27"/>
      <c r="AA156" s="27"/>
      <c r="AB156" s="27"/>
      <c r="AC156" s="27" t="s">
        <v>3</v>
      </c>
      <c r="AD156" s="27"/>
      <c r="AE156" s="27"/>
      <c r="AF156" s="27"/>
      <c r="AG156" s="27"/>
      <c r="AH156" s="27"/>
      <c r="AI156" s="27" t="s">
        <v>4</v>
      </c>
      <c r="AJ156" s="27"/>
      <c r="AK156" s="27"/>
      <c r="AL156" s="27"/>
      <c r="AM156" s="27"/>
      <c r="AN156" s="27"/>
      <c r="AO156" s="27" t="s">
        <v>3</v>
      </c>
      <c r="AP156" s="27"/>
      <c r="AQ156" s="27"/>
      <c r="AR156" s="27"/>
      <c r="AS156" s="27"/>
      <c r="AT156" s="27"/>
      <c r="AU156" s="74" t="s">
        <v>4</v>
      </c>
      <c r="AV156" s="74"/>
      <c r="AW156" s="74"/>
      <c r="AX156" s="74" t="s">
        <v>3</v>
      </c>
      <c r="AY156" s="74"/>
      <c r="AZ156" s="74"/>
      <c r="BA156" s="74" t="s">
        <v>4</v>
      </c>
      <c r="BB156" s="74"/>
      <c r="BC156" s="74"/>
      <c r="BD156" s="74" t="s">
        <v>3</v>
      </c>
      <c r="BE156" s="74"/>
      <c r="BF156" s="74"/>
      <c r="BG156" s="74" t="s">
        <v>4</v>
      </c>
      <c r="BH156" s="74"/>
      <c r="BI156" s="74"/>
      <c r="BJ156" s="74" t="s">
        <v>3</v>
      </c>
      <c r="BK156" s="74"/>
      <c r="BL156" s="74"/>
    </row>
    <row r="157" spans="1:79" ht="57" customHeight="1" x14ac:dyDescent="0.2">
      <c r="A157" s="54"/>
      <c r="B157" s="55"/>
      <c r="C157" s="55"/>
      <c r="D157" s="54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6"/>
      <c r="W157" s="27" t="s">
        <v>12</v>
      </c>
      <c r="X157" s="27"/>
      <c r="Y157" s="27"/>
      <c r="Z157" s="27" t="s">
        <v>11</v>
      </c>
      <c r="AA157" s="27"/>
      <c r="AB157" s="27"/>
      <c r="AC157" s="27" t="s">
        <v>12</v>
      </c>
      <c r="AD157" s="27"/>
      <c r="AE157" s="27"/>
      <c r="AF157" s="27" t="s">
        <v>11</v>
      </c>
      <c r="AG157" s="27"/>
      <c r="AH157" s="27"/>
      <c r="AI157" s="27" t="s">
        <v>12</v>
      </c>
      <c r="AJ157" s="27"/>
      <c r="AK157" s="27"/>
      <c r="AL157" s="27" t="s">
        <v>11</v>
      </c>
      <c r="AM157" s="27"/>
      <c r="AN157" s="27"/>
      <c r="AO157" s="27" t="s">
        <v>12</v>
      </c>
      <c r="AP157" s="27"/>
      <c r="AQ157" s="27"/>
      <c r="AR157" s="27" t="s">
        <v>11</v>
      </c>
      <c r="AS157" s="27"/>
      <c r="AT157" s="27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</row>
    <row r="158" spans="1:79" ht="15" customHeight="1" x14ac:dyDescent="0.2">
      <c r="A158" s="36">
        <v>1</v>
      </c>
      <c r="B158" s="37"/>
      <c r="C158" s="37"/>
      <c r="D158" s="36">
        <v>2</v>
      </c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8"/>
      <c r="W158" s="27">
        <v>3</v>
      </c>
      <c r="X158" s="27"/>
      <c r="Y158" s="27"/>
      <c r="Z158" s="27">
        <v>4</v>
      </c>
      <c r="AA158" s="27"/>
      <c r="AB158" s="27"/>
      <c r="AC158" s="27">
        <v>5</v>
      </c>
      <c r="AD158" s="27"/>
      <c r="AE158" s="27"/>
      <c r="AF158" s="27">
        <v>6</v>
      </c>
      <c r="AG158" s="27"/>
      <c r="AH158" s="27"/>
      <c r="AI158" s="27">
        <v>7</v>
      </c>
      <c r="AJ158" s="27"/>
      <c r="AK158" s="27"/>
      <c r="AL158" s="27">
        <v>8</v>
      </c>
      <c r="AM158" s="27"/>
      <c r="AN158" s="27"/>
      <c r="AO158" s="27">
        <v>9</v>
      </c>
      <c r="AP158" s="27"/>
      <c r="AQ158" s="27"/>
      <c r="AR158" s="27">
        <v>10</v>
      </c>
      <c r="AS158" s="27"/>
      <c r="AT158" s="27"/>
      <c r="AU158" s="27">
        <v>11</v>
      </c>
      <c r="AV158" s="27"/>
      <c r="AW158" s="27"/>
      <c r="AX158" s="27">
        <v>12</v>
      </c>
      <c r="AY158" s="27"/>
      <c r="AZ158" s="27"/>
      <c r="BA158" s="27">
        <v>13</v>
      </c>
      <c r="BB158" s="27"/>
      <c r="BC158" s="27"/>
      <c r="BD158" s="27">
        <v>14</v>
      </c>
      <c r="BE158" s="27"/>
      <c r="BF158" s="27"/>
      <c r="BG158" s="27">
        <v>15</v>
      </c>
      <c r="BH158" s="27"/>
      <c r="BI158" s="27"/>
      <c r="BJ158" s="27">
        <v>16</v>
      </c>
      <c r="BK158" s="27"/>
      <c r="BL158" s="27"/>
    </row>
    <row r="159" spans="1:79" s="1" customFormat="1" ht="12.75" hidden="1" customHeight="1" x14ac:dyDescent="0.2">
      <c r="A159" s="39" t="s">
        <v>69</v>
      </c>
      <c r="B159" s="40"/>
      <c r="C159" s="40"/>
      <c r="D159" s="39" t="s">
        <v>57</v>
      </c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1"/>
      <c r="W159" s="26" t="s">
        <v>72</v>
      </c>
      <c r="X159" s="26"/>
      <c r="Y159" s="26"/>
      <c r="Z159" s="26" t="s">
        <v>73</v>
      </c>
      <c r="AA159" s="26"/>
      <c r="AB159" s="26"/>
      <c r="AC159" s="30" t="s">
        <v>74</v>
      </c>
      <c r="AD159" s="30"/>
      <c r="AE159" s="30"/>
      <c r="AF159" s="30" t="s">
        <v>75</v>
      </c>
      <c r="AG159" s="30"/>
      <c r="AH159" s="30"/>
      <c r="AI159" s="26" t="s">
        <v>76</v>
      </c>
      <c r="AJ159" s="26"/>
      <c r="AK159" s="26"/>
      <c r="AL159" s="26" t="s">
        <v>77</v>
      </c>
      <c r="AM159" s="26"/>
      <c r="AN159" s="26"/>
      <c r="AO159" s="30" t="s">
        <v>104</v>
      </c>
      <c r="AP159" s="30"/>
      <c r="AQ159" s="30"/>
      <c r="AR159" s="30" t="s">
        <v>78</v>
      </c>
      <c r="AS159" s="30"/>
      <c r="AT159" s="30"/>
      <c r="AU159" s="26" t="s">
        <v>105</v>
      </c>
      <c r="AV159" s="26"/>
      <c r="AW159" s="26"/>
      <c r="AX159" s="30" t="s">
        <v>106</v>
      </c>
      <c r="AY159" s="30"/>
      <c r="AZ159" s="30"/>
      <c r="BA159" s="26" t="s">
        <v>107</v>
      </c>
      <c r="BB159" s="26"/>
      <c r="BC159" s="26"/>
      <c r="BD159" s="30" t="s">
        <v>108</v>
      </c>
      <c r="BE159" s="30"/>
      <c r="BF159" s="30"/>
      <c r="BG159" s="26" t="s">
        <v>109</v>
      </c>
      <c r="BH159" s="26"/>
      <c r="BI159" s="26"/>
      <c r="BJ159" s="30" t="s">
        <v>110</v>
      </c>
      <c r="BK159" s="30"/>
      <c r="BL159" s="30"/>
      <c r="CA159" s="1" t="s">
        <v>103</v>
      </c>
    </row>
    <row r="160" spans="1:79" s="6" customFormat="1" ht="12.75" customHeight="1" x14ac:dyDescent="0.2">
      <c r="A160" s="86">
        <v>1</v>
      </c>
      <c r="B160" s="87"/>
      <c r="C160" s="87"/>
      <c r="D160" s="100" t="s">
        <v>193</v>
      </c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112"/>
      <c r="BI160" s="112"/>
      <c r="BJ160" s="112"/>
      <c r="BK160" s="112"/>
      <c r="BL160" s="112"/>
      <c r="CA160" s="6" t="s">
        <v>43</v>
      </c>
    </row>
    <row r="161" spans="1:79" s="99" customFormat="1" ht="25.5" customHeight="1" x14ac:dyDescent="0.2">
      <c r="A161" s="89">
        <v>2</v>
      </c>
      <c r="B161" s="90"/>
      <c r="C161" s="90"/>
      <c r="D161" s="92" t="s">
        <v>194</v>
      </c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4"/>
      <c r="W161" s="115" t="s">
        <v>173</v>
      </c>
      <c r="X161" s="115"/>
      <c r="Y161" s="115"/>
      <c r="Z161" s="115" t="s">
        <v>173</v>
      </c>
      <c r="AA161" s="115"/>
      <c r="AB161" s="115"/>
      <c r="AC161" s="115"/>
      <c r="AD161" s="115"/>
      <c r="AE161" s="115"/>
      <c r="AF161" s="115"/>
      <c r="AG161" s="115"/>
      <c r="AH161" s="115"/>
      <c r="AI161" s="115" t="s">
        <v>173</v>
      </c>
      <c r="AJ161" s="115"/>
      <c r="AK161" s="115"/>
      <c r="AL161" s="115" t="s">
        <v>173</v>
      </c>
      <c r="AM161" s="115"/>
      <c r="AN161" s="115"/>
      <c r="AO161" s="115"/>
      <c r="AP161" s="115"/>
      <c r="AQ161" s="115"/>
      <c r="AR161" s="115"/>
      <c r="AS161" s="115"/>
      <c r="AT161" s="115"/>
      <c r="AU161" s="115" t="s">
        <v>173</v>
      </c>
      <c r="AV161" s="115"/>
      <c r="AW161" s="115"/>
      <c r="AX161" s="115"/>
      <c r="AY161" s="115"/>
      <c r="AZ161" s="115"/>
      <c r="BA161" s="115" t="s">
        <v>173</v>
      </c>
      <c r="BB161" s="115"/>
      <c r="BC161" s="115"/>
      <c r="BD161" s="115"/>
      <c r="BE161" s="115"/>
      <c r="BF161" s="115"/>
      <c r="BG161" s="115" t="s">
        <v>173</v>
      </c>
      <c r="BH161" s="115"/>
      <c r="BI161" s="115"/>
      <c r="BJ161" s="115"/>
      <c r="BK161" s="115"/>
      <c r="BL161" s="115"/>
    </row>
    <row r="164" spans="1:79" ht="14.25" customHeight="1" x14ac:dyDescent="0.2">
      <c r="A164" s="29" t="s">
        <v>153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</row>
    <row r="165" spans="1:79" ht="14.25" customHeight="1" x14ac:dyDescent="0.2">
      <c r="A165" s="29" t="s">
        <v>228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</row>
    <row r="166" spans="1:79" ht="15" customHeight="1" x14ac:dyDescent="0.2">
      <c r="A166" s="31" t="s">
        <v>210</v>
      </c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</row>
    <row r="167" spans="1:79" ht="15" customHeight="1" x14ac:dyDescent="0.2">
      <c r="A167" s="27" t="s">
        <v>6</v>
      </c>
      <c r="B167" s="27"/>
      <c r="C167" s="27"/>
      <c r="D167" s="27"/>
      <c r="E167" s="27"/>
      <c r="F167" s="27"/>
      <c r="G167" s="27" t="s">
        <v>126</v>
      </c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 t="s">
        <v>13</v>
      </c>
      <c r="U167" s="27"/>
      <c r="V167" s="27"/>
      <c r="W167" s="27"/>
      <c r="X167" s="27"/>
      <c r="Y167" s="27"/>
      <c r="Z167" s="27"/>
      <c r="AA167" s="36" t="s">
        <v>211</v>
      </c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7"/>
      <c r="AP167" s="36" t="s">
        <v>214</v>
      </c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8"/>
      <c r="BE167" s="36" t="s">
        <v>222</v>
      </c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8"/>
    </row>
    <row r="168" spans="1:79" ht="32.1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 t="s">
        <v>4</v>
      </c>
      <c r="AB168" s="27"/>
      <c r="AC168" s="27"/>
      <c r="AD168" s="27"/>
      <c r="AE168" s="27"/>
      <c r="AF168" s="27" t="s">
        <v>3</v>
      </c>
      <c r="AG168" s="27"/>
      <c r="AH168" s="27"/>
      <c r="AI168" s="27"/>
      <c r="AJ168" s="27"/>
      <c r="AK168" s="27" t="s">
        <v>89</v>
      </c>
      <c r="AL168" s="27"/>
      <c r="AM168" s="27"/>
      <c r="AN168" s="27"/>
      <c r="AO168" s="27"/>
      <c r="AP168" s="27" t="s">
        <v>4</v>
      </c>
      <c r="AQ168" s="27"/>
      <c r="AR168" s="27"/>
      <c r="AS168" s="27"/>
      <c r="AT168" s="27"/>
      <c r="AU168" s="27" t="s">
        <v>3</v>
      </c>
      <c r="AV168" s="27"/>
      <c r="AW168" s="27"/>
      <c r="AX168" s="27"/>
      <c r="AY168" s="27"/>
      <c r="AZ168" s="27" t="s">
        <v>96</v>
      </c>
      <c r="BA168" s="27"/>
      <c r="BB168" s="27"/>
      <c r="BC168" s="27"/>
      <c r="BD168" s="27"/>
      <c r="BE168" s="27" t="s">
        <v>4</v>
      </c>
      <c r="BF168" s="27"/>
      <c r="BG168" s="27"/>
      <c r="BH168" s="27"/>
      <c r="BI168" s="27"/>
      <c r="BJ168" s="27" t="s">
        <v>3</v>
      </c>
      <c r="BK168" s="27"/>
      <c r="BL168" s="27"/>
      <c r="BM168" s="27"/>
      <c r="BN168" s="27"/>
      <c r="BO168" s="27" t="s">
        <v>127</v>
      </c>
      <c r="BP168" s="27"/>
      <c r="BQ168" s="27"/>
      <c r="BR168" s="27"/>
      <c r="BS168" s="27"/>
    </row>
    <row r="169" spans="1:79" ht="15" customHeight="1" x14ac:dyDescent="0.2">
      <c r="A169" s="27">
        <v>1</v>
      </c>
      <c r="B169" s="27"/>
      <c r="C169" s="27"/>
      <c r="D169" s="27"/>
      <c r="E169" s="27"/>
      <c r="F169" s="27"/>
      <c r="G169" s="27">
        <v>2</v>
      </c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>
        <v>3</v>
      </c>
      <c r="U169" s="27"/>
      <c r="V169" s="27"/>
      <c r="W169" s="27"/>
      <c r="X169" s="27"/>
      <c r="Y169" s="27"/>
      <c r="Z169" s="27"/>
      <c r="AA169" s="27">
        <v>4</v>
      </c>
      <c r="AB169" s="27"/>
      <c r="AC169" s="27"/>
      <c r="AD169" s="27"/>
      <c r="AE169" s="27"/>
      <c r="AF169" s="27">
        <v>5</v>
      </c>
      <c r="AG169" s="27"/>
      <c r="AH169" s="27"/>
      <c r="AI169" s="27"/>
      <c r="AJ169" s="27"/>
      <c r="AK169" s="27">
        <v>6</v>
      </c>
      <c r="AL169" s="27"/>
      <c r="AM169" s="27"/>
      <c r="AN169" s="27"/>
      <c r="AO169" s="27"/>
      <c r="AP169" s="27">
        <v>7</v>
      </c>
      <c r="AQ169" s="27"/>
      <c r="AR169" s="27"/>
      <c r="AS169" s="27"/>
      <c r="AT169" s="27"/>
      <c r="AU169" s="27">
        <v>8</v>
      </c>
      <c r="AV169" s="27"/>
      <c r="AW169" s="27"/>
      <c r="AX169" s="27"/>
      <c r="AY169" s="27"/>
      <c r="AZ169" s="27">
        <v>9</v>
      </c>
      <c r="BA169" s="27"/>
      <c r="BB169" s="27"/>
      <c r="BC169" s="27"/>
      <c r="BD169" s="27"/>
      <c r="BE169" s="27">
        <v>10</v>
      </c>
      <c r="BF169" s="27"/>
      <c r="BG169" s="27"/>
      <c r="BH169" s="27"/>
      <c r="BI169" s="27"/>
      <c r="BJ169" s="27">
        <v>11</v>
      </c>
      <c r="BK169" s="27"/>
      <c r="BL169" s="27"/>
      <c r="BM169" s="27"/>
      <c r="BN169" s="27"/>
      <c r="BO169" s="27">
        <v>12</v>
      </c>
      <c r="BP169" s="27"/>
      <c r="BQ169" s="27"/>
      <c r="BR169" s="27"/>
      <c r="BS169" s="27"/>
    </row>
    <row r="170" spans="1:79" s="1" customFormat="1" ht="15" hidden="1" customHeight="1" x14ac:dyDescent="0.2">
      <c r="A170" s="26" t="s">
        <v>69</v>
      </c>
      <c r="B170" s="26"/>
      <c r="C170" s="26"/>
      <c r="D170" s="26"/>
      <c r="E170" s="26"/>
      <c r="F170" s="26"/>
      <c r="G170" s="67" t="s">
        <v>57</v>
      </c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 t="s">
        <v>79</v>
      </c>
      <c r="U170" s="67"/>
      <c r="V170" s="67"/>
      <c r="W170" s="67"/>
      <c r="X170" s="67"/>
      <c r="Y170" s="67"/>
      <c r="Z170" s="67"/>
      <c r="AA170" s="30" t="s">
        <v>65</v>
      </c>
      <c r="AB170" s="30"/>
      <c r="AC170" s="30"/>
      <c r="AD170" s="30"/>
      <c r="AE170" s="30"/>
      <c r="AF170" s="30" t="s">
        <v>66</v>
      </c>
      <c r="AG170" s="30"/>
      <c r="AH170" s="30"/>
      <c r="AI170" s="30"/>
      <c r="AJ170" s="30"/>
      <c r="AK170" s="50" t="s">
        <v>122</v>
      </c>
      <c r="AL170" s="50"/>
      <c r="AM170" s="50"/>
      <c r="AN170" s="50"/>
      <c r="AO170" s="50"/>
      <c r="AP170" s="30" t="s">
        <v>67</v>
      </c>
      <c r="AQ170" s="30"/>
      <c r="AR170" s="30"/>
      <c r="AS170" s="30"/>
      <c r="AT170" s="30"/>
      <c r="AU170" s="30" t="s">
        <v>68</v>
      </c>
      <c r="AV170" s="30"/>
      <c r="AW170" s="30"/>
      <c r="AX170" s="30"/>
      <c r="AY170" s="30"/>
      <c r="AZ170" s="50" t="s">
        <v>122</v>
      </c>
      <c r="BA170" s="50"/>
      <c r="BB170" s="50"/>
      <c r="BC170" s="50"/>
      <c r="BD170" s="50"/>
      <c r="BE170" s="30" t="s">
        <v>58</v>
      </c>
      <c r="BF170" s="30"/>
      <c r="BG170" s="30"/>
      <c r="BH170" s="30"/>
      <c r="BI170" s="30"/>
      <c r="BJ170" s="30" t="s">
        <v>59</v>
      </c>
      <c r="BK170" s="30"/>
      <c r="BL170" s="30"/>
      <c r="BM170" s="30"/>
      <c r="BN170" s="30"/>
      <c r="BO170" s="50" t="s">
        <v>122</v>
      </c>
      <c r="BP170" s="50"/>
      <c r="BQ170" s="50"/>
      <c r="BR170" s="50"/>
      <c r="BS170" s="50"/>
      <c r="CA170" s="1" t="s">
        <v>44</v>
      </c>
    </row>
    <row r="171" spans="1:79" s="99" customFormat="1" ht="51" customHeight="1" x14ac:dyDescent="0.2">
      <c r="A171" s="110">
        <v>1</v>
      </c>
      <c r="B171" s="110"/>
      <c r="C171" s="110"/>
      <c r="D171" s="110"/>
      <c r="E171" s="110"/>
      <c r="F171" s="110"/>
      <c r="G171" s="92" t="s">
        <v>195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4"/>
      <c r="T171" s="118" t="s">
        <v>196</v>
      </c>
      <c r="U171" s="118"/>
      <c r="V171" s="118"/>
      <c r="W171" s="118"/>
      <c r="X171" s="118"/>
      <c r="Y171" s="118"/>
      <c r="Z171" s="118"/>
      <c r="AA171" s="117">
        <v>1434</v>
      </c>
      <c r="AB171" s="117"/>
      <c r="AC171" s="117"/>
      <c r="AD171" s="117"/>
      <c r="AE171" s="117"/>
      <c r="AF171" s="117">
        <v>0</v>
      </c>
      <c r="AG171" s="117"/>
      <c r="AH171" s="117"/>
      <c r="AI171" s="117"/>
      <c r="AJ171" s="117"/>
      <c r="AK171" s="117">
        <f>IF(ISNUMBER(AA171),AA171,0)+IF(ISNUMBER(AF171),AF171,0)</f>
        <v>1434</v>
      </c>
      <c r="AL171" s="117"/>
      <c r="AM171" s="117"/>
      <c r="AN171" s="117"/>
      <c r="AO171" s="117"/>
      <c r="AP171" s="117">
        <v>1434</v>
      </c>
      <c r="AQ171" s="117"/>
      <c r="AR171" s="117"/>
      <c r="AS171" s="117"/>
      <c r="AT171" s="117"/>
      <c r="AU171" s="117">
        <v>0</v>
      </c>
      <c r="AV171" s="117"/>
      <c r="AW171" s="117"/>
      <c r="AX171" s="117"/>
      <c r="AY171" s="117"/>
      <c r="AZ171" s="117">
        <f>IF(ISNUMBER(AP171),AP171,0)+IF(ISNUMBER(AU171),AU171,0)</f>
        <v>1434</v>
      </c>
      <c r="BA171" s="117"/>
      <c r="BB171" s="117"/>
      <c r="BC171" s="117"/>
      <c r="BD171" s="117"/>
      <c r="BE171" s="117">
        <v>0</v>
      </c>
      <c r="BF171" s="117"/>
      <c r="BG171" s="117"/>
      <c r="BH171" s="117"/>
      <c r="BI171" s="117"/>
      <c r="BJ171" s="117">
        <v>0</v>
      </c>
      <c r="BK171" s="117"/>
      <c r="BL171" s="117"/>
      <c r="BM171" s="117"/>
      <c r="BN171" s="117"/>
      <c r="BO171" s="117">
        <f>IF(ISNUMBER(BE171),BE171,0)+IF(ISNUMBER(BJ171),BJ171,0)</f>
        <v>0</v>
      </c>
      <c r="BP171" s="117"/>
      <c r="BQ171" s="117"/>
      <c r="BR171" s="117"/>
      <c r="BS171" s="117"/>
      <c r="CA171" s="99" t="s">
        <v>45</v>
      </c>
    </row>
    <row r="172" spans="1:79" s="6" customFormat="1" ht="12.75" customHeight="1" x14ac:dyDescent="0.2">
      <c r="A172" s="85"/>
      <c r="B172" s="85"/>
      <c r="C172" s="85"/>
      <c r="D172" s="85"/>
      <c r="E172" s="85"/>
      <c r="F172" s="85"/>
      <c r="G172" s="100" t="s">
        <v>147</v>
      </c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2"/>
      <c r="T172" s="119"/>
      <c r="U172" s="119"/>
      <c r="V172" s="119"/>
      <c r="W172" s="119"/>
      <c r="X172" s="119"/>
      <c r="Y172" s="119"/>
      <c r="Z172" s="119"/>
      <c r="AA172" s="116">
        <v>1434</v>
      </c>
      <c r="AB172" s="116"/>
      <c r="AC172" s="116"/>
      <c r="AD172" s="116"/>
      <c r="AE172" s="116"/>
      <c r="AF172" s="116">
        <v>0</v>
      </c>
      <c r="AG172" s="116"/>
      <c r="AH172" s="116"/>
      <c r="AI172" s="116"/>
      <c r="AJ172" s="116"/>
      <c r="AK172" s="116">
        <f>IF(ISNUMBER(AA172),AA172,0)+IF(ISNUMBER(AF172),AF172,0)</f>
        <v>1434</v>
      </c>
      <c r="AL172" s="116"/>
      <c r="AM172" s="116"/>
      <c r="AN172" s="116"/>
      <c r="AO172" s="116"/>
      <c r="AP172" s="116">
        <v>1434</v>
      </c>
      <c r="AQ172" s="116"/>
      <c r="AR172" s="116"/>
      <c r="AS172" s="116"/>
      <c r="AT172" s="116"/>
      <c r="AU172" s="116">
        <v>0</v>
      </c>
      <c r="AV172" s="116"/>
      <c r="AW172" s="116"/>
      <c r="AX172" s="116"/>
      <c r="AY172" s="116"/>
      <c r="AZ172" s="116">
        <f>IF(ISNUMBER(AP172),AP172,0)+IF(ISNUMBER(AU172),AU172,0)</f>
        <v>1434</v>
      </c>
      <c r="BA172" s="116"/>
      <c r="BB172" s="116"/>
      <c r="BC172" s="116"/>
      <c r="BD172" s="116"/>
      <c r="BE172" s="116">
        <v>0</v>
      </c>
      <c r="BF172" s="116"/>
      <c r="BG172" s="116"/>
      <c r="BH172" s="116"/>
      <c r="BI172" s="116"/>
      <c r="BJ172" s="116">
        <v>0</v>
      </c>
      <c r="BK172" s="116"/>
      <c r="BL172" s="116"/>
      <c r="BM172" s="116"/>
      <c r="BN172" s="116"/>
      <c r="BO172" s="116">
        <f>IF(ISNUMBER(BE172),BE172,0)+IF(ISNUMBER(BJ172),BJ172,0)</f>
        <v>0</v>
      </c>
      <c r="BP172" s="116"/>
      <c r="BQ172" s="116"/>
      <c r="BR172" s="116"/>
      <c r="BS172" s="116"/>
    </row>
    <row r="174" spans="1:79" ht="13.5" customHeight="1" x14ac:dyDescent="0.2">
      <c r="A174" s="29" t="s">
        <v>243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</row>
    <row r="175" spans="1:79" ht="15" customHeight="1" x14ac:dyDescent="0.2">
      <c r="A175" s="44" t="s">
        <v>210</v>
      </c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</row>
    <row r="176" spans="1:79" ht="15" customHeight="1" x14ac:dyDescent="0.2">
      <c r="A176" s="27" t="s">
        <v>6</v>
      </c>
      <c r="B176" s="27"/>
      <c r="C176" s="27"/>
      <c r="D176" s="27"/>
      <c r="E176" s="27"/>
      <c r="F176" s="27"/>
      <c r="G176" s="27" t="s">
        <v>126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 t="s">
        <v>13</v>
      </c>
      <c r="U176" s="27"/>
      <c r="V176" s="27"/>
      <c r="W176" s="27"/>
      <c r="X176" s="27"/>
      <c r="Y176" s="27"/>
      <c r="Z176" s="27"/>
      <c r="AA176" s="36" t="s">
        <v>232</v>
      </c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7"/>
      <c r="AP176" s="36" t="s">
        <v>237</v>
      </c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8"/>
    </row>
    <row r="177" spans="1:79" ht="32.1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 t="s">
        <v>4</v>
      </c>
      <c r="AB177" s="27"/>
      <c r="AC177" s="27"/>
      <c r="AD177" s="27"/>
      <c r="AE177" s="27"/>
      <c r="AF177" s="27" t="s">
        <v>3</v>
      </c>
      <c r="AG177" s="27"/>
      <c r="AH177" s="27"/>
      <c r="AI177" s="27"/>
      <c r="AJ177" s="27"/>
      <c r="AK177" s="27" t="s">
        <v>89</v>
      </c>
      <c r="AL177" s="27"/>
      <c r="AM177" s="27"/>
      <c r="AN177" s="27"/>
      <c r="AO177" s="27"/>
      <c r="AP177" s="27" t="s">
        <v>4</v>
      </c>
      <c r="AQ177" s="27"/>
      <c r="AR177" s="27"/>
      <c r="AS177" s="27"/>
      <c r="AT177" s="27"/>
      <c r="AU177" s="27" t="s">
        <v>3</v>
      </c>
      <c r="AV177" s="27"/>
      <c r="AW177" s="27"/>
      <c r="AX177" s="27"/>
      <c r="AY177" s="27"/>
      <c r="AZ177" s="27" t="s">
        <v>96</v>
      </c>
      <c r="BA177" s="27"/>
      <c r="BB177" s="27"/>
      <c r="BC177" s="27"/>
      <c r="BD177" s="27"/>
    </row>
    <row r="178" spans="1:79" ht="15" customHeight="1" x14ac:dyDescent="0.2">
      <c r="A178" s="27">
        <v>1</v>
      </c>
      <c r="B178" s="27"/>
      <c r="C178" s="27"/>
      <c r="D178" s="27"/>
      <c r="E178" s="27"/>
      <c r="F178" s="27"/>
      <c r="G178" s="27">
        <v>2</v>
      </c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>
        <v>3</v>
      </c>
      <c r="U178" s="27"/>
      <c r="V178" s="27"/>
      <c r="W178" s="27"/>
      <c r="X178" s="27"/>
      <c r="Y178" s="27"/>
      <c r="Z178" s="27"/>
      <c r="AA178" s="27">
        <v>4</v>
      </c>
      <c r="AB178" s="27"/>
      <c r="AC178" s="27"/>
      <c r="AD178" s="27"/>
      <c r="AE178" s="27"/>
      <c r="AF178" s="27">
        <v>5</v>
      </c>
      <c r="AG178" s="27"/>
      <c r="AH178" s="27"/>
      <c r="AI178" s="27"/>
      <c r="AJ178" s="27"/>
      <c r="AK178" s="27">
        <v>6</v>
      </c>
      <c r="AL178" s="27"/>
      <c r="AM178" s="27"/>
      <c r="AN178" s="27"/>
      <c r="AO178" s="27"/>
      <c r="AP178" s="27">
        <v>7</v>
      </c>
      <c r="AQ178" s="27"/>
      <c r="AR178" s="27"/>
      <c r="AS178" s="27"/>
      <c r="AT178" s="27"/>
      <c r="AU178" s="27">
        <v>8</v>
      </c>
      <c r="AV178" s="27"/>
      <c r="AW178" s="27"/>
      <c r="AX178" s="27"/>
      <c r="AY178" s="27"/>
      <c r="AZ178" s="27">
        <v>9</v>
      </c>
      <c r="BA178" s="27"/>
      <c r="BB178" s="27"/>
      <c r="BC178" s="27"/>
      <c r="BD178" s="27"/>
    </row>
    <row r="179" spans="1:79" s="1" customFormat="1" ht="12" hidden="1" customHeight="1" x14ac:dyDescent="0.2">
      <c r="A179" s="26" t="s">
        <v>69</v>
      </c>
      <c r="B179" s="26"/>
      <c r="C179" s="26"/>
      <c r="D179" s="26"/>
      <c r="E179" s="26"/>
      <c r="F179" s="26"/>
      <c r="G179" s="67" t="s">
        <v>57</v>
      </c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 t="s">
        <v>79</v>
      </c>
      <c r="U179" s="67"/>
      <c r="V179" s="67"/>
      <c r="W179" s="67"/>
      <c r="X179" s="67"/>
      <c r="Y179" s="67"/>
      <c r="Z179" s="67"/>
      <c r="AA179" s="30" t="s">
        <v>60</v>
      </c>
      <c r="AB179" s="30"/>
      <c r="AC179" s="30"/>
      <c r="AD179" s="30"/>
      <c r="AE179" s="30"/>
      <c r="AF179" s="30" t="s">
        <v>61</v>
      </c>
      <c r="AG179" s="30"/>
      <c r="AH179" s="30"/>
      <c r="AI179" s="30"/>
      <c r="AJ179" s="30"/>
      <c r="AK179" s="50" t="s">
        <v>122</v>
      </c>
      <c r="AL179" s="50"/>
      <c r="AM179" s="50"/>
      <c r="AN179" s="50"/>
      <c r="AO179" s="50"/>
      <c r="AP179" s="30" t="s">
        <v>62</v>
      </c>
      <c r="AQ179" s="30"/>
      <c r="AR179" s="30"/>
      <c r="AS179" s="30"/>
      <c r="AT179" s="30"/>
      <c r="AU179" s="30" t="s">
        <v>63</v>
      </c>
      <c r="AV179" s="30"/>
      <c r="AW179" s="30"/>
      <c r="AX179" s="30"/>
      <c r="AY179" s="30"/>
      <c r="AZ179" s="50" t="s">
        <v>122</v>
      </c>
      <c r="BA179" s="50"/>
      <c r="BB179" s="50"/>
      <c r="BC179" s="50"/>
      <c r="BD179" s="50"/>
      <c r="CA179" s="1" t="s">
        <v>46</v>
      </c>
    </row>
    <row r="180" spans="1:79" s="99" customFormat="1" ht="51" customHeight="1" x14ac:dyDescent="0.2">
      <c r="A180" s="110">
        <v>1</v>
      </c>
      <c r="B180" s="110"/>
      <c r="C180" s="110"/>
      <c r="D180" s="110"/>
      <c r="E180" s="110"/>
      <c r="F180" s="110"/>
      <c r="G180" s="92" t="s">
        <v>195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4"/>
      <c r="T180" s="118" t="s">
        <v>196</v>
      </c>
      <c r="U180" s="118"/>
      <c r="V180" s="118"/>
      <c r="W180" s="118"/>
      <c r="X180" s="118"/>
      <c r="Y180" s="118"/>
      <c r="Z180" s="118"/>
      <c r="AA180" s="117">
        <v>0</v>
      </c>
      <c r="AB180" s="117"/>
      <c r="AC180" s="117"/>
      <c r="AD180" s="117"/>
      <c r="AE180" s="117"/>
      <c r="AF180" s="117">
        <v>0</v>
      </c>
      <c r="AG180" s="117"/>
      <c r="AH180" s="117"/>
      <c r="AI180" s="117"/>
      <c r="AJ180" s="117"/>
      <c r="AK180" s="117">
        <f>IF(ISNUMBER(AA180),AA180,0)+IF(ISNUMBER(AF180),AF180,0)</f>
        <v>0</v>
      </c>
      <c r="AL180" s="117"/>
      <c r="AM180" s="117"/>
      <c r="AN180" s="117"/>
      <c r="AO180" s="117"/>
      <c r="AP180" s="117">
        <v>0</v>
      </c>
      <c r="AQ180" s="117"/>
      <c r="AR180" s="117"/>
      <c r="AS180" s="117"/>
      <c r="AT180" s="117"/>
      <c r="AU180" s="117">
        <v>0</v>
      </c>
      <c r="AV180" s="117"/>
      <c r="AW180" s="117"/>
      <c r="AX180" s="117"/>
      <c r="AY180" s="117"/>
      <c r="AZ180" s="117">
        <f>IF(ISNUMBER(AP180),AP180,0)+IF(ISNUMBER(AU180),AU180,0)</f>
        <v>0</v>
      </c>
      <c r="BA180" s="117"/>
      <c r="BB180" s="117"/>
      <c r="BC180" s="117"/>
      <c r="BD180" s="117"/>
      <c r="CA180" s="99" t="s">
        <v>47</v>
      </c>
    </row>
    <row r="181" spans="1:79" s="6" customFormat="1" x14ac:dyDescent="0.2">
      <c r="A181" s="85"/>
      <c r="B181" s="85"/>
      <c r="C181" s="85"/>
      <c r="D181" s="85"/>
      <c r="E181" s="85"/>
      <c r="F181" s="85"/>
      <c r="G181" s="100" t="s">
        <v>147</v>
      </c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2"/>
      <c r="T181" s="119"/>
      <c r="U181" s="119"/>
      <c r="V181" s="119"/>
      <c r="W181" s="119"/>
      <c r="X181" s="119"/>
      <c r="Y181" s="119"/>
      <c r="Z181" s="119"/>
      <c r="AA181" s="116">
        <v>0</v>
      </c>
      <c r="AB181" s="116"/>
      <c r="AC181" s="116"/>
      <c r="AD181" s="116"/>
      <c r="AE181" s="116"/>
      <c r="AF181" s="116">
        <v>0</v>
      </c>
      <c r="AG181" s="116"/>
      <c r="AH181" s="116"/>
      <c r="AI181" s="116"/>
      <c r="AJ181" s="116"/>
      <c r="AK181" s="116">
        <f>IF(ISNUMBER(AA181),AA181,0)+IF(ISNUMBER(AF181),AF181,0)</f>
        <v>0</v>
      </c>
      <c r="AL181" s="116"/>
      <c r="AM181" s="116"/>
      <c r="AN181" s="116"/>
      <c r="AO181" s="116"/>
      <c r="AP181" s="116">
        <v>0</v>
      </c>
      <c r="AQ181" s="116"/>
      <c r="AR181" s="116"/>
      <c r="AS181" s="116"/>
      <c r="AT181" s="116"/>
      <c r="AU181" s="116">
        <v>0</v>
      </c>
      <c r="AV181" s="116"/>
      <c r="AW181" s="116"/>
      <c r="AX181" s="116"/>
      <c r="AY181" s="116"/>
      <c r="AZ181" s="116">
        <f>IF(ISNUMBER(AP181),AP181,0)+IF(ISNUMBER(AU181),AU181,0)</f>
        <v>0</v>
      </c>
      <c r="BA181" s="116"/>
      <c r="BB181" s="116"/>
      <c r="BC181" s="116"/>
      <c r="BD181" s="116"/>
    </row>
    <row r="184" spans="1:79" ht="14.25" customHeight="1" x14ac:dyDescent="0.2">
      <c r="A184" s="29" t="s">
        <v>244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</row>
    <row r="185" spans="1:79" ht="15" customHeight="1" x14ac:dyDescent="0.2">
      <c r="A185" s="44" t="s">
        <v>210</v>
      </c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</row>
    <row r="186" spans="1:79" ht="23.1" customHeight="1" x14ac:dyDescent="0.2">
      <c r="A186" s="27" t="s">
        <v>128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51" t="s">
        <v>129</v>
      </c>
      <c r="O186" s="52"/>
      <c r="P186" s="52"/>
      <c r="Q186" s="52"/>
      <c r="R186" s="52"/>
      <c r="S186" s="52"/>
      <c r="T186" s="52"/>
      <c r="U186" s="53"/>
      <c r="V186" s="51" t="s">
        <v>130</v>
      </c>
      <c r="W186" s="52"/>
      <c r="X186" s="52"/>
      <c r="Y186" s="52"/>
      <c r="Z186" s="53"/>
      <c r="AA186" s="27" t="s">
        <v>211</v>
      </c>
      <c r="AB186" s="27"/>
      <c r="AC186" s="27"/>
      <c r="AD186" s="27"/>
      <c r="AE186" s="27"/>
      <c r="AF186" s="27"/>
      <c r="AG186" s="27"/>
      <c r="AH186" s="27"/>
      <c r="AI186" s="27"/>
      <c r="AJ186" s="27" t="s">
        <v>214</v>
      </c>
      <c r="AK186" s="27"/>
      <c r="AL186" s="27"/>
      <c r="AM186" s="27"/>
      <c r="AN186" s="27"/>
      <c r="AO186" s="27"/>
      <c r="AP186" s="27"/>
      <c r="AQ186" s="27"/>
      <c r="AR186" s="27"/>
      <c r="AS186" s="27" t="s">
        <v>222</v>
      </c>
      <c r="AT186" s="27"/>
      <c r="AU186" s="27"/>
      <c r="AV186" s="27"/>
      <c r="AW186" s="27"/>
      <c r="AX186" s="27"/>
      <c r="AY186" s="27"/>
      <c r="AZ186" s="27"/>
      <c r="BA186" s="27"/>
      <c r="BB186" s="27" t="s">
        <v>232</v>
      </c>
      <c r="BC186" s="27"/>
      <c r="BD186" s="27"/>
      <c r="BE186" s="27"/>
      <c r="BF186" s="27"/>
      <c r="BG186" s="27"/>
      <c r="BH186" s="27"/>
      <c r="BI186" s="27"/>
      <c r="BJ186" s="27"/>
      <c r="BK186" s="27" t="s">
        <v>237</v>
      </c>
      <c r="BL186" s="27"/>
      <c r="BM186" s="27"/>
      <c r="BN186" s="27"/>
      <c r="BO186" s="27"/>
      <c r="BP186" s="27"/>
      <c r="BQ186" s="27"/>
      <c r="BR186" s="27"/>
      <c r="BS186" s="27"/>
    </row>
    <row r="187" spans="1:79" ht="95.2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54"/>
      <c r="O187" s="55"/>
      <c r="P187" s="55"/>
      <c r="Q187" s="55"/>
      <c r="R187" s="55"/>
      <c r="S187" s="55"/>
      <c r="T187" s="55"/>
      <c r="U187" s="56"/>
      <c r="V187" s="54"/>
      <c r="W187" s="55"/>
      <c r="X187" s="55"/>
      <c r="Y187" s="55"/>
      <c r="Z187" s="56"/>
      <c r="AA187" s="74" t="s">
        <v>133</v>
      </c>
      <c r="AB187" s="74"/>
      <c r="AC187" s="74"/>
      <c r="AD187" s="74"/>
      <c r="AE187" s="74"/>
      <c r="AF187" s="74" t="s">
        <v>134</v>
      </c>
      <c r="AG187" s="74"/>
      <c r="AH187" s="74"/>
      <c r="AI187" s="74"/>
      <c r="AJ187" s="74" t="s">
        <v>133</v>
      </c>
      <c r="AK187" s="74"/>
      <c r="AL187" s="74"/>
      <c r="AM187" s="74"/>
      <c r="AN187" s="74"/>
      <c r="AO187" s="74" t="s">
        <v>134</v>
      </c>
      <c r="AP187" s="74"/>
      <c r="AQ187" s="74"/>
      <c r="AR187" s="74"/>
      <c r="AS187" s="74" t="s">
        <v>133</v>
      </c>
      <c r="AT187" s="74"/>
      <c r="AU187" s="74"/>
      <c r="AV187" s="74"/>
      <c r="AW187" s="74"/>
      <c r="AX187" s="74" t="s">
        <v>134</v>
      </c>
      <c r="AY187" s="74"/>
      <c r="AZ187" s="74"/>
      <c r="BA187" s="74"/>
      <c r="BB187" s="74" t="s">
        <v>133</v>
      </c>
      <c r="BC187" s="74"/>
      <c r="BD187" s="74"/>
      <c r="BE187" s="74"/>
      <c r="BF187" s="74"/>
      <c r="BG187" s="74" t="s">
        <v>134</v>
      </c>
      <c r="BH187" s="74"/>
      <c r="BI187" s="74"/>
      <c r="BJ187" s="74"/>
      <c r="BK187" s="74" t="s">
        <v>133</v>
      </c>
      <c r="BL187" s="74"/>
      <c r="BM187" s="74"/>
      <c r="BN187" s="74"/>
      <c r="BO187" s="74"/>
      <c r="BP187" s="74" t="s">
        <v>134</v>
      </c>
      <c r="BQ187" s="74"/>
      <c r="BR187" s="74"/>
      <c r="BS187" s="74"/>
    </row>
    <row r="188" spans="1:79" ht="15" customHeight="1" x14ac:dyDescent="0.2">
      <c r="A188" s="27">
        <v>1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36">
        <v>2</v>
      </c>
      <c r="O188" s="37"/>
      <c r="P188" s="37"/>
      <c r="Q188" s="37"/>
      <c r="R188" s="37"/>
      <c r="S188" s="37"/>
      <c r="T188" s="37"/>
      <c r="U188" s="38"/>
      <c r="V188" s="27">
        <v>3</v>
      </c>
      <c r="W188" s="27"/>
      <c r="X188" s="27"/>
      <c r="Y188" s="27"/>
      <c r="Z188" s="27"/>
      <c r="AA188" s="27">
        <v>4</v>
      </c>
      <c r="AB188" s="27"/>
      <c r="AC188" s="27"/>
      <c r="AD188" s="27"/>
      <c r="AE188" s="27"/>
      <c r="AF188" s="27">
        <v>5</v>
      </c>
      <c r="AG188" s="27"/>
      <c r="AH188" s="27"/>
      <c r="AI188" s="27"/>
      <c r="AJ188" s="27">
        <v>6</v>
      </c>
      <c r="AK188" s="27"/>
      <c r="AL188" s="27"/>
      <c r="AM188" s="27"/>
      <c r="AN188" s="27"/>
      <c r="AO188" s="27">
        <v>7</v>
      </c>
      <c r="AP188" s="27"/>
      <c r="AQ188" s="27"/>
      <c r="AR188" s="27"/>
      <c r="AS188" s="27">
        <v>8</v>
      </c>
      <c r="AT188" s="27"/>
      <c r="AU188" s="27"/>
      <c r="AV188" s="27"/>
      <c r="AW188" s="27"/>
      <c r="AX188" s="27">
        <v>9</v>
      </c>
      <c r="AY188" s="27"/>
      <c r="AZ188" s="27"/>
      <c r="BA188" s="27"/>
      <c r="BB188" s="27">
        <v>10</v>
      </c>
      <c r="BC188" s="27"/>
      <c r="BD188" s="27"/>
      <c r="BE188" s="27"/>
      <c r="BF188" s="27"/>
      <c r="BG188" s="27">
        <v>11</v>
      </c>
      <c r="BH188" s="27"/>
      <c r="BI188" s="27"/>
      <c r="BJ188" s="27"/>
      <c r="BK188" s="27">
        <v>12</v>
      </c>
      <c r="BL188" s="27"/>
      <c r="BM188" s="27"/>
      <c r="BN188" s="27"/>
      <c r="BO188" s="27"/>
      <c r="BP188" s="27">
        <v>13</v>
      </c>
      <c r="BQ188" s="27"/>
      <c r="BR188" s="27"/>
      <c r="BS188" s="27"/>
    </row>
    <row r="189" spans="1:79" s="1" customFormat="1" ht="12" hidden="1" customHeight="1" x14ac:dyDescent="0.2">
      <c r="A189" s="67" t="s">
        <v>146</v>
      </c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26" t="s">
        <v>131</v>
      </c>
      <c r="O189" s="26"/>
      <c r="P189" s="26"/>
      <c r="Q189" s="26"/>
      <c r="R189" s="26"/>
      <c r="S189" s="26"/>
      <c r="T189" s="26"/>
      <c r="U189" s="26"/>
      <c r="V189" s="26" t="s">
        <v>132</v>
      </c>
      <c r="W189" s="26"/>
      <c r="X189" s="26"/>
      <c r="Y189" s="26"/>
      <c r="Z189" s="26"/>
      <c r="AA189" s="30" t="s">
        <v>65</v>
      </c>
      <c r="AB189" s="30"/>
      <c r="AC189" s="30"/>
      <c r="AD189" s="30"/>
      <c r="AE189" s="30"/>
      <c r="AF189" s="30" t="s">
        <v>66</v>
      </c>
      <c r="AG189" s="30"/>
      <c r="AH189" s="30"/>
      <c r="AI189" s="30"/>
      <c r="AJ189" s="30" t="s">
        <v>67</v>
      </c>
      <c r="AK189" s="30"/>
      <c r="AL189" s="30"/>
      <c r="AM189" s="30"/>
      <c r="AN189" s="30"/>
      <c r="AO189" s="30" t="s">
        <v>68</v>
      </c>
      <c r="AP189" s="30"/>
      <c r="AQ189" s="30"/>
      <c r="AR189" s="30"/>
      <c r="AS189" s="30" t="s">
        <v>58</v>
      </c>
      <c r="AT189" s="30"/>
      <c r="AU189" s="30"/>
      <c r="AV189" s="30"/>
      <c r="AW189" s="30"/>
      <c r="AX189" s="30" t="s">
        <v>59</v>
      </c>
      <c r="AY189" s="30"/>
      <c r="AZ189" s="30"/>
      <c r="BA189" s="30"/>
      <c r="BB189" s="30" t="s">
        <v>60</v>
      </c>
      <c r="BC189" s="30"/>
      <c r="BD189" s="30"/>
      <c r="BE189" s="30"/>
      <c r="BF189" s="30"/>
      <c r="BG189" s="30" t="s">
        <v>61</v>
      </c>
      <c r="BH189" s="30"/>
      <c r="BI189" s="30"/>
      <c r="BJ189" s="30"/>
      <c r="BK189" s="30" t="s">
        <v>62</v>
      </c>
      <c r="BL189" s="30"/>
      <c r="BM189" s="30"/>
      <c r="BN189" s="30"/>
      <c r="BO189" s="30"/>
      <c r="BP189" s="30" t="s">
        <v>63</v>
      </c>
      <c r="BQ189" s="30"/>
      <c r="BR189" s="30"/>
      <c r="BS189" s="30"/>
      <c r="CA189" s="1" t="s">
        <v>48</v>
      </c>
    </row>
    <row r="190" spans="1:79" s="6" customFormat="1" ht="12.75" customHeight="1" x14ac:dyDescent="0.2">
      <c r="A190" s="120" t="s">
        <v>147</v>
      </c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86"/>
      <c r="O190" s="87"/>
      <c r="P190" s="87"/>
      <c r="Q190" s="87"/>
      <c r="R190" s="87"/>
      <c r="S190" s="87"/>
      <c r="T190" s="87"/>
      <c r="U190" s="88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  <c r="AT190" s="121"/>
      <c r="AU190" s="121"/>
      <c r="AV190" s="121"/>
      <c r="AW190" s="121"/>
      <c r="AX190" s="121"/>
      <c r="AY190" s="121"/>
      <c r="AZ190" s="121"/>
      <c r="BA190" s="121"/>
      <c r="BB190" s="121"/>
      <c r="BC190" s="121"/>
      <c r="BD190" s="121"/>
      <c r="BE190" s="121"/>
      <c r="BF190" s="121"/>
      <c r="BG190" s="121"/>
      <c r="BH190" s="121"/>
      <c r="BI190" s="121"/>
      <c r="BJ190" s="121"/>
      <c r="BK190" s="121"/>
      <c r="BL190" s="121"/>
      <c r="BM190" s="121"/>
      <c r="BN190" s="121"/>
      <c r="BO190" s="121"/>
      <c r="BP190" s="122"/>
      <c r="BQ190" s="123"/>
      <c r="BR190" s="123"/>
      <c r="BS190" s="124"/>
      <c r="CA190" s="6" t="s">
        <v>49</v>
      </c>
    </row>
    <row r="193" spans="1:79" ht="35.25" customHeight="1" x14ac:dyDescent="0.2">
      <c r="A193" s="29" t="s">
        <v>245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</row>
    <row r="194" spans="1:79" ht="60" customHeight="1" x14ac:dyDescent="0.2">
      <c r="A194" s="125" t="s">
        <v>200</v>
      </c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  <c r="BK194" s="126"/>
      <c r="BL194" s="126"/>
    </row>
    <row r="195" spans="1:79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7" spans="1:79" ht="28.5" customHeight="1" x14ac:dyDescent="0.2">
      <c r="A197" s="34" t="s">
        <v>229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</row>
    <row r="198" spans="1:79" ht="14.25" customHeight="1" x14ac:dyDescent="0.2">
      <c r="A198" s="29" t="s">
        <v>212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</row>
    <row r="199" spans="1:79" ht="15" customHeight="1" x14ac:dyDescent="0.2">
      <c r="A199" s="31" t="s">
        <v>210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</row>
    <row r="200" spans="1:79" ht="42.95" customHeight="1" x14ac:dyDescent="0.2">
      <c r="A200" s="74" t="s">
        <v>135</v>
      </c>
      <c r="B200" s="74"/>
      <c r="C200" s="74"/>
      <c r="D200" s="74"/>
      <c r="E200" s="74"/>
      <c r="F200" s="74"/>
      <c r="G200" s="27" t="s">
        <v>19</v>
      </c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 t="s">
        <v>15</v>
      </c>
      <c r="U200" s="27"/>
      <c r="V200" s="27"/>
      <c r="W200" s="27"/>
      <c r="X200" s="27"/>
      <c r="Y200" s="27"/>
      <c r="Z200" s="27" t="s">
        <v>14</v>
      </c>
      <c r="AA200" s="27"/>
      <c r="AB200" s="27"/>
      <c r="AC200" s="27"/>
      <c r="AD200" s="27"/>
      <c r="AE200" s="27" t="s">
        <v>136</v>
      </c>
      <c r="AF200" s="27"/>
      <c r="AG200" s="27"/>
      <c r="AH200" s="27"/>
      <c r="AI200" s="27"/>
      <c r="AJ200" s="27"/>
      <c r="AK200" s="27" t="s">
        <v>137</v>
      </c>
      <c r="AL200" s="27"/>
      <c r="AM200" s="27"/>
      <c r="AN200" s="27"/>
      <c r="AO200" s="27"/>
      <c r="AP200" s="27"/>
      <c r="AQ200" s="27" t="s">
        <v>138</v>
      </c>
      <c r="AR200" s="27"/>
      <c r="AS200" s="27"/>
      <c r="AT200" s="27"/>
      <c r="AU200" s="27"/>
      <c r="AV200" s="27"/>
      <c r="AW200" s="27" t="s">
        <v>98</v>
      </c>
      <c r="AX200" s="27"/>
      <c r="AY200" s="27"/>
      <c r="AZ200" s="27"/>
      <c r="BA200" s="27"/>
      <c r="BB200" s="27"/>
      <c r="BC200" s="27"/>
      <c r="BD200" s="27"/>
      <c r="BE200" s="27"/>
      <c r="BF200" s="27"/>
      <c r="BG200" s="27" t="s">
        <v>139</v>
      </c>
      <c r="BH200" s="27"/>
      <c r="BI200" s="27"/>
      <c r="BJ200" s="27"/>
      <c r="BK200" s="27"/>
      <c r="BL200" s="27"/>
    </row>
    <row r="201" spans="1:79" ht="39.950000000000003" customHeight="1" x14ac:dyDescent="0.2">
      <c r="A201" s="74"/>
      <c r="B201" s="74"/>
      <c r="C201" s="74"/>
      <c r="D201" s="74"/>
      <c r="E201" s="74"/>
      <c r="F201" s="74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 t="s">
        <v>17</v>
      </c>
      <c r="AX201" s="27"/>
      <c r="AY201" s="27"/>
      <c r="AZ201" s="27"/>
      <c r="BA201" s="27"/>
      <c r="BB201" s="27" t="s">
        <v>16</v>
      </c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</row>
    <row r="202" spans="1:79" ht="15" customHeight="1" x14ac:dyDescent="0.2">
      <c r="A202" s="27">
        <v>1</v>
      </c>
      <c r="B202" s="27"/>
      <c r="C202" s="27"/>
      <c r="D202" s="27"/>
      <c r="E202" s="27"/>
      <c r="F202" s="27"/>
      <c r="G202" s="27">
        <v>2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>
        <v>3</v>
      </c>
      <c r="U202" s="27"/>
      <c r="V202" s="27"/>
      <c r="W202" s="27"/>
      <c r="X202" s="27"/>
      <c r="Y202" s="27"/>
      <c r="Z202" s="27">
        <v>4</v>
      </c>
      <c r="AA202" s="27"/>
      <c r="AB202" s="27"/>
      <c r="AC202" s="27"/>
      <c r="AD202" s="27"/>
      <c r="AE202" s="27">
        <v>5</v>
      </c>
      <c r="AF202" s="27"/>
      <c r="AG202" s="27"/>
      <c r="AH202" s="27"/>
      <c r="AI202" s="27"/>
      <c r="AJ202" s="27"/>
      <c r="AK202" s="27">
        <v>6</v>
      </c>
      <c r="AL202" s="27"/>
      <c r="AM202" s="27"/>
      <c r="AN202" s="27"/>
      <c r="AO202" s="27"/>
      <c r="AP202" s="27"/>
      <c r="AQ202" s="27">
        <v>7</v>
      </c>
      <c r="AR202" s="27"/>
      <c r="AS202" s="27"/>
      <c r="AT202" s="27"/>
      <c r="AU202" s="27"/>
      <c r="AV202" s="27"/>
      <c r="AW202" s="27">
        <v>8</v>
      </c>
      <c r="AX202" s="27"/>
      <c r="AY202" s="27"/>
      <c r="AZ202" s="27"/>
      <c r="BA202" s="27"/>
      <c r="BB202" s="27">
        <v>9</v>
      </c>
      <c r="BC202" s="27"/>
      <c r="BD202" s="27"/>
      <c r="BE202" s="27"/>
      <c r="BF202" s="27"/>
      <c r="BG202" s="27">
        <v>10</v>
      </c>
      <c r="BH202" s="27"/>
      <c r="BI202" s="27"/>
      <c r="BJ202" s="27"/>
      <c r="BK202" s="27"/>
      <c r="BL202" s="27"/>
    </row>
    <row r="203" spans="1:79" s="1" customFormat="1" ht="12" hidden="1" customHeight="1" x14ac:dyDescent="0.2">
      <c r="A203" s="26" t="s">
        <v>64</v>
      </c>
      <c r="B203" s="26"/>
      <c r="C203" s="26"/>
      <c r="D203" s="26"/>
      <c r="E203" s="26"/>
      <c r="F203" s="26"/>
      <c r="G203" s="67" t="s">
        <v>57</v>
      </c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30" t="s">
        <v>80</v>
      </c>
      <c r="U203" s="30"/>
      <c r="V203" s="30"/>
      <c r="W203" s="30"/>
      <c r="X203" s="30"/>
      <c r="Y203" s="30"/>
      <c r="Z203" s="30" t="s">
        <v>81</v>
      </c>
      <c r="AA203" s="30"/>
      <c r="AB203" s="30"/>
      <c r="AC203" s="30"/>
      <c r="AD203" s="30"/>
      <c r="AE203" s="30" t="s">
        <v>82</v>
      </c>
      <c r="AF203" s="30"/>
      <c r="AG203" s="30"/>
      <c r="AH203" s="30"/>
      <c r="AI203" s="30"/>
      <c r="AJ203" s="30"/>
      <c r="AK203" s="30" t="s">
        <v>83</v>
      </c>
      <c r="AL203" s="30"/>
      <c r="AM203" s="30"/>
      <c r="AN203" s="30"/>
      <c r="AO203" s="30"/>
      <c r="AP203" s="30"/>
      <c r="AQ203" s="78" t="s">
        <v>99</v>
      </c>
      <c r="AR203" s="30"/>
      <c r="AS203" s="30"/>
      <c r="AT203" s="30"/>
      <c r="AU203" s="30"/>
      <c r="AV203" s="30"/>
      <c r="AW203" s="30" t="s">
        <v>84</v>
      </c>
      <c r="AX203" s="30"/>
      <c r="AY203" s="30"/>
      <c r="AZ203" s="30"/>
      <c r="BA203" s="30"/>
      <c r="BB203" s="30" t="s">
        <v>85</v>
      </c>
      <c r="BC203" s="30"/>
      <c r="BD203" s="30"/>
      <c r="BE203" s="30"/>
      <c r="BF203" s="30"/>
      <c r="BG203" s="78" t="s">
        <v>100</v>
      </c>
      <c r="BH203" s="30"/>
      <c r="BI203" s="30"/>
      <c r="BJ203" s="30"/>
      <c r="BK203" s="30"/>
      <c r="BL203" s="30"/>
      <c r="CA203" s="1" t="s">
        <v>50</v>
      </c>
    </row>
    <row r="204" spans="1:79" s="6" customFormat="1" ht="12.75" customHeight="1" x14ac:dyDescent="0.2">
      <c r="A204" s="85"/>
      <c r="B204" s="85"/>
      <c r="C204" s="85"/>
      <c r="D204" s="85"/>
      <c r="E204" s="85"/>
      <c r="F204" s="85"/>
      <c r="G204" s="120" t="s">
        <v>147</v>
      </c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>
        <f>IF(ISNUMBER(AK204),AK204,0)-IF(ISNUMBER(AE204),AE204,0)</f>
        <v>0</v>
      </c>
      <c r="AR204" s="116"/>
      <c r="AS204" s="116"/>
      <c r="AT204" s="116"/>
      <c r="AU204" s="116"/>
      <c r="AV204" s="116"/>
      <c r="AW204" s="116"/>
      <c r="AX204" s="116"/>
      <c r="AY204" s="116"/>
      <c r="AZ204" s="116"/>
      <c r="BA204" s="116"/>
      <c r="BB204" s="116"/>
      <c r="BC204" s="116"/>
      <c r="BD204" s="116"/>
      <c r="BE204" s="116"/>
      <c r="BF204" s="116"/>
      <c r="BG204" s="116">
        <f>IF(ISNUMBER(Z204),Z204,0)+IF(ISNUMBER(AK204),AK204,0)</f>
        <v>0</v>
      </c>
      <c r="BH204" s="116"/>
      <c r="BI204" s="116"/>
      <c r="BJ204" s="116"/>
      <c r="BK204" s="116"/>
      <c r="BL204" s="116"/>
      <c r="CA204" s="6" t="s">
        <v>51</v>
      </c>
    </row>
    <row r="206" spans="1:79" ht="14.25" customHeight="1" x14ac:dyDescent="0.2">
      <c r="A206" s="29" t="s">
        <v>230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</row>
    <row r="207" spans="1:79" ht="15" customHeight="1" x14ac:dyDescent="0.2">
      <c r="A207" s="31" t="s">
        <v>210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</row>
    <row r="208" spans="1:79" ht="18" customHeight="1" x14ac:dyDescent="0.2">
      <c r="A208" s="27" t="s">
        <v>135</v>
      </c>
      <c r="B208" s="27"/>
      <c r="C208" s="27"/>
      <c r="D208" s="27"/>
      <c r="E208" s="27"/>
      <c r="F208" s="27"/>
      <c r="G208" s="27" t="s">
        <v>19</v>
      </c>
      <c r="H208" s="27"/>
      <c r="I208" s="27"/>
      <c r="J208" s="27"/>
      <c r="K208" s="27"/>
      <c r="L208" s="27"/>
      <c r="M208" s="27"/>
      <c r="N208" s="27"/>
      <c r="O208" s="27"/>
      <c r="P208" s="27"/>
      <c r="Q208" s="27" t="s">
        <v>216</v>
      </c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 t="s">
        <v>227</v>
      </c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</row>
    <row r="209" spans="1:79" ht="42.9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 t="s">
        <v>140</v>
      </c>
      <c r="R209" s="27"/>
      <c r="S209" s="27"/>
      <c r="T209" s="27"/>
      <c r="U209" s="27"/>
      <c r="V209" s="74" t="s">
        <v>141</v>
      </c>
      <c r="W209" s="74"/>
      <c r="X209" s="74"/>
      <c r="Y209" s="74"/>
      <c r="Z209" s="27" t="s">
        <v>142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 t="s">
        <v>143</v>
      </c>
      <c r="AK209" s="27"/>
      <c r="AL209" s="27"/>
      <c r="AM209" s="27"/>
      <c r="AN209" s="27"/>
      <c r="AO209" s="27" t="s">
        <v>20</v>
      </c>
      <c r="AP209" s="27"/>
      <c r="AQ209" s="27"/>
      <c r="AR209" s="27"/>
      <c r="AS209" s="27"/>
      <c r="AT209" s="74" t="s">
        <v>144</v>
      </c>
      <c r="AU209" s="74"/>
      <c r="AV209" s="74"/>
      <c r="AW209" s="74"/>
      <c r="AX209" s="27" t="s">
        <v>142</v>
      </c>
      <c r="AY209" s="27"/>
      <c r="AZ209" s="27"/>
      <c r="BA209" s="27"/>
      <c r="BB209" s="27"/>
      <c r="BC209" s="27"/>
      <c r="BD209" s="27"/>
      <c r="BE209" s="27"/>
      <c r="BF209" s="27"/>
      <c r="BG209" s="27"/>
      <c r="BH209" s="27" t="s">
        <v>145</v>
      </c>
      <c r="BI209" s="27"/>
      <c r="BJ209" s="27"/>
      <c r="BK209" s="27"/>
      <c r="BL209" s="27"/>
    </row>
    <row r="210" spans="1:79" ht="63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74"/>
      <c r="W210" s="74"/>
      <c r="X210" s="74"/>
      <c r="Y210" s="74"/>
      <c r="Z210" s="27" t="s">
        <v>17</v>
      </c>
      <c r="AA210" s="27"/>
      <c r="AB210" s="27"/>
      <c r="AC210" s="27"/>
      <c r="AD210" s="27"/>
      <c r="AE210" s="27" t="s">
        <v>16</v>
      </c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74"/>
      <c r="AU210" s="74"/>
      <c r="AV210" s="74"/>
      <c r="AW210" s="74"/>
      <c r="AX210" s="27" t="s">
        <v>17</v>
      </c>
      <c r="AY210" s="27"/>
      <c r="AZ210" s="27"/>
      <c r="BA210" s="27"/>
      <c r="BB210" s="27"/>
      <c r="BC210" s="27" t="s">
        <v>16</v>
      </c>
      <c r="BD210" s="27"/>
      <c r="BE210" s="27"/>
      <c r="BF210" s="27"/>
      <c r="BG210" s="27"/>
      <c r="BH210" s="27"/>
      <c r="BI210" s="27"/>
      <c r="BJ210" s="27"/>
      <c r="BK210" s="27"/>
      <c r="BL210" s="27"/>
    </row>
    <row r="211" spans="1:79" ht="15" customHeight="1" x14ac:dyDescent="0.2">
      <c r="A211" s="27">
        <v>1</v>
      </c>
      <c r="B211" s="27"/>
      <c r="C211" s="27"/>
      <c r="D211" s="27"/>
      <c r="E211" s="27"/>
      <c r="F211" s="27"/>
      <c r="G211" s="27">
        <v>2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>
        <v>3</v>
      </c>
      <c r="R211" s="27"/>
      <c r="S211" s="27"/>
      <c r="T211" s="27"/>
      <c r="U211" s="27"/>
      <c r="V211" s="27">
        <v>4</v>
      </c>
      <c r="W211" s="27"/>
      <c r="X211" s="27"/>
      <c r="Y211" s="27"/>
      <c r="Z211" s="27">
        <v>5</v>
      </c>
      <c r="AA211" s="27"/>
      <c r="AB211" s="27"/>
      <c r="AC211" s="27"/>
      <c r="AD211" s="27"/>
      <c r="AE211" s="27">
        <v>6</v>
      </c>
      <c r="AF211" s="27"/>
      <c r="AG211" s="27"/>
      <c r="AH211" s="27"/>
      <c r="AI211" s="27"/>
      <c r="AJ211" s="27">
        <v>7</v>
      </c>
      <c r="AK211" s="27"/>
      <c r="AL211" s="27"/>
      <c r="AM211" s="27"/>
      <c r="AN211" s="27"/>
      <c r="AO211" s="27">
        <v>8</v>
      </c>
      <c r="AP211" s="27"/>
      <c r="AQ211" s="27"/>
      <c r="AR211" s="27"/>
      <c r="AS211" s="27"/>
      <c r="AT211" s="27">
        <v>9</v>
      </c>
      <c r="AU211" s="27"/>
      <c r="AV211" s="27"/>
      <c r="AW211" s="27"/>
      <c r="AX211" s="27">
        <v>10</v>
      </c>
      <c r="AY211" s="27"/>
      <c r="AZ211" s="27"/>
      <c r="BA211" s="27"/>
      <c r="BB211" s="27"/>
      <c r="BC211" s="27">
        <v>11</v>
      </c>
      <c r="BD211" s="27"/>
      <c r="BE211" s="27"/>
      <c r="BF211" s="27"/>
      <c r="BG211" s="27"/>
      <c r="BH211" s="27">
        <v>12</v>
      </c>
      <c r="BI211" s="27"/>
      <c r="BJ211" s="27"/>
      <c r="BK211" s="27"/>
      <c r="BL211" s="27"/>
    </row>
    <row r="212" spans="1:79" s="1" customFormat="1" ht="12" hidden="1" customHeight="1" x14ac:dyDescent="0.2">
      <c r="A212" s="26" t="s">
        <v>64</v>
      </c>
      <c r="B212" s="26"/>
      <c r="C212" s="26"/>
      <c r="D212" s="26"/>
      <c r="E212" s="26"/>
      <c r="F212" s="26"/>
      <c r="G212" s="67" t="s">
        <v>57</v>
      </c>
      <c r="H212" s="67"/>
      <c r="I212" s="67"/>
      <c r="J212" s="67"/>
      <c r="K212" s="67"/>
      <c r="L212" s="67"/>
      <c r="M212" s="67"/>
      <c r="N212" s="67"/>
      <c r="O212" s="67"/>
      <c r="P212" s="67"/>
      <c r="Q212" s="30" t="s">
        <v>80</v>
      </c>
      <c r="R212" s="30"/>
      <c r="S212" s="30"/>
      <c r="T212" s="30"/>
      <c r="U212" s="30"/>
      <c r="V212" s="30" t="s">
        <v>81</v>
      </c>
      <c r="W212" s="30"/>
      <c r="X212" s="30"/>
      <c r="Y212" s="30"/>
      <c r="Z212" s="30" t="s">
        <v>82</v>
      </c>
      <c r="AA212" s="30"/>
      <c r="AB212" s="30"/>
      <c r="AC212" s="30"/>
      <c r="AD212" s="30"/>
      <c r="AE212" s="30" t="s">
        <v>83</v>
      </c>
      <c r="AF212" s="30"/>
      <c r="AG212" s="30"/>
      <c r="AH212" s="30"/>
      <c r="AI212" s="30"/>
      <c r="AJ212" s="78" t="s">
        <v>101</v>
      </c>
      <c r="AK212" s="30"/>
      <c r="AL212" s="30"/>
      <c r="AM212" s="30"/>
      <c r="AN212" s="30"/>
      <c r="AO212" s="30" t="s">
        <v>84</v>
      </c>
      <c r="AP212" s="30"/>
      <c r="AQ212" s="30"/>
      <c r="AR212" s="30"/>
      <c r="AS212" s="30"/>
      <c r="AT212" s="78" t="s">
        <v>102</v>
      </c>
      <c r="AU212" s="30"/>
      <c r="AV212" s="30"/>
      <c r="AW212" s="30"/>
      <c r="AX212" s="30" t="s">
        <v>85</v>
      </c>
      <c r="AY212" s="30"/>
      <c r="AZ212" s="30"/>
      <c r="BA212" s="30"/>
      <c r="BB212" s="30"/>
      <c r="BC212" s="30" t="s">
        <v>86</v>
      </c>
      <c r="BD212" s="30"/>
      <c r="BE212" s="30"/>
      <c r="BF212" s="30"/>
      <c r="BG212" s="30"/>
      <c r="BH212" s="78" t="s">
        <v>101</v>
      </c>
      <c r="BI212" s="30"/>
      <c r="BJ212" s="30"/>
      <c r="BK212" s="30"/>
      <c r="BL212" s="30"/>
      <c r="CA212" s="1" t="s">
        <v>52</v>
      </c>
    </row>
    <row r="213" spans="1:79" s="6" customFormat="1" ht="12.75" customHeight="1" x14ac:dyDescent="0.2">
      <c r="A213" s="85"/>
      <c r="B213" s="85"/>
      <c r="C213" s="85"/>
      <c r="D213" s="85"/>
      <c r="E213" s="85"/>
      <c r="F213" s="85"/>
      <c r="G213" s="120" t="s">
        <v>147</v>
      </c>
      <c r="H213" s="120"/>
      <c r="I213" s="120"/>
      <c r="J213" s="120"/>
      <c r="K213" s="120"/>
      <c r="L213" s="120"/>
      <c r="M213" s="120"/>
      <c r="N213" s="120"/>
      <c r="O213" s="120"/>
      <c r="P213" s="120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>
        <f>IF(ISNUMBER(Q213),Q213,0)-IF(ISNUMBER(Z213),Z213,0)</f>
        <v>0</v>
      </c>
      <c r="AK213" s="116"/>
      <c r="AL213" s="116"/>
      <c r="AM213" s="116"/>
      <c r="AN213" s="116"/>
      <c r="AO213" s="116"/>
      <c r="AP213" s="116"/>
      <c r="AQ213" s="116"/>
      <c r="AR213" s="116"/>
      <c r="AS213" s="116"/>
      <c r="AT213" s="116">
        <f>IF(ISNUMBER(V213),V213,0)-IF(ISNUMBER(Z213),Z213,0)-IF(ISNUMBER(AE213),AE213,0)</f>
        <v>0</v>
      </c>
      <c r="AU213" s="116"/>
      <c r="AV213" s="116"/>
      <c r="AW213" s="116"/>
      <c r="AX213" s="116"/>
      <c r="AY213" s="116"/>
      <c r="AZ213" s="116"/>
      <c r="BA213" s="116"/>
      <c r="BB213" s="116"/>
      <c r="BC213" s="116"/>
      <c r="BD213" s="116"/>
      <c r="BE213" s="116"/>
      <c r="BF213" s="116"/>
      <c r="BG213" s="116"/>
      <c r="BH213" s="116">
        <f>IF(ISNUMBER(AO213),AO213,0)-IF(ISNUMBER(AX213),AX213,0)</f>
        <v>0</v>
      </c>
      <c r="BI213" s="116"/>
      <c r="BJ213" s="116"/>
      <c r="BK213" s="116"/>
      <c r="BL213" s="116"/>
      <c r="CA213" s="6" t="s">
        <v>53</v>
      </c>
    </row>
    <row r="215" spans="1:79" ht="14.25" customHeight="1" x14ac:dyDescent="0.2">
      <c r="A215" s="29" t="s">
        <v>217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</row>
    <row r="216" spans="1:79" ht="15" customHeight="1" x14ac:dyDescent="0.2">
      <c r="A216" s="31" t="s">
        <v>210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</row>
    <row r="217" spans="1:79" ht="42.95" customHeight="1" x14ac:dyDescent="0.2">
      <c r="A217" s="74" t="s">
        <v>135</v>
      </c>
      <c r="B217" s="74"/>
      <c r="C217" s="74"/>
      <c r="D217" s="74"/>
      <c r="E217" s="74"/>
      <c r="F217" s="74"/>
      <c r="G217" s="27" t="s">
        <v>19</v>
      </c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 t="s">
        <v>15</v>
      </c>
      <c r="U217" s="27"/>
      <c r="V217" s="27"/>
      <c r="W217" s="27"/>
      <c r="X217" s="27"/>
      <c r="Y217" s="27"/>
      <c r="Z217" s="27" t="s">
        <v>14</v>
      </c>
      <c r="AA217" s="27"/>
      <c r="AB217" s="27"/>
      <c r="AC217" s="27"/>
      <c r="AD217" s="27"/>
      <c r="AE217" s="27" t="s">
        <v>213</v>
      </c>
      <c r="AF217" s="27"/>
      <c r="AG217" s="27"/>
      <c r="AH217" s="27"/>
      <c r="AI217" s="27"/>
      <c r="AJ217" s="27"/>
      <c r="AK217" s="27" t="s">
        <v>218</v>
      </c>
      <c r="AL217" s="27"/>
      <c r="AM217" s="27"/>
      <c r="AN217" s="27"/>
      <c r="AO217" s="27"/>
      <c r="AP217" s="27"/>
      <c r="AQ217" s="27" t="s">
        <v>231</v>
      </c>
      <c r="AR217" s="27"/>
      <c r="AS217" s="27"/>
      <c r="AT217" s="27"/>
      <c r="AU217" s="27"/>
      <c r="AV217" s="27"/>
      <c r="AW217" s="27" t="s">
        <v>18</v>
      </c>
      <c r="AX217" s="27"/>
      <c r="AY217" s="27"/>
      <c r="AZ217" s="27"/>
      <c r="BA217" s="27"/>
      <c r="BB217" s="27"/>
      <c r="BC217" s="27"/>
      <c r="BD217" s="27"/>
      <c r="BE217" s="27" t="s">
        <v>156</v>
      </c>
      <c r="BF217" s="27"/>
      <c r="BG217" s="27"/>
      <c r="BH217" s="27"/>
      <c r="BI217" s="27"/>
      <c r="BJ217" s="27"/>
      <c r="BK217" s="27"/>
      <c r="BL217" s="27"/>
    </row>
    <row r="218" spans="1:79" ht="21.75" customHeight="1" x14ac:dyDescent="0.2">
      <c r="A218" s="74"/>
      <c r="B218" s="74"/>
      <c r="C218" s="74"/>
      <c r="D218" s="74"/>
      <c r="E218" s="74"/>
      <c r="F218" s="74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</row>
    <row r="219" spans="1:79" ht="15" customHeight="1" x14ac:dyDescent="0.2">
      <c r="A219" s="27">
        <v>1</v>
      </c>
      <c r="B219" s="27"/>
      <c r="C219" s="27"/>
      <c r="D219" s="27"/>
      <c r="E219" s="27"/>
      <c r="F219" s="27"/>
      <c r="G219" s="27">
        <v>2</v>
      </c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>
        <v>3</v>
      </c>
      <c r="U219" s="27"/>
      <c r="V219" s="27"/>
      <c r="W219" s="27"/>
      <c r="X219" s="27"/>
      <c r="Y219" s="27"/>
      <c r="Z219" s="27">
        <v>4</v>
      </c>
      <c r="AA219" s="27"/>
      <c r="AB219" s="27"/>
      <c r="AC219" s="27"/>
      <c r="AD219" s="27"/>
      <c r="AE219" s="27">
        <v>5</v>
      </c>
      <c r="AF219" s="27"/>
      <c r="AG219" s="27"/>
      <c r="AH219" s="27"/>
      <c r="AI219" s="27"/>
      <c r="AJ219" s="27"/>
      <c r="AK219" s="27">
        <v>6</v>
      </c>
      <c r="AL219" s="27"/>
      <c r="AM219" s="27"/>
      <c r="AN219" s="27"/>
      <c r="AO219" s="27"/>
      <c r="AP219" s="27"/>
      <c r="AQ219" s="27">
        <v>7</v>
      </c>
      <c r="AR219" s="27"/>
      <c r="AS219" s="27"/>
      <c r="AT219" s="27"/>
      <c r="AU219" s="27"/>
      <c r="AV219" s="27"/>
      <c r="AW219" s="26">
        <v>8</v>
      </c>
      <c r="AX219" s="26"/>
      <c r="AY219" s="26"/>
      <c r="AZ219" s="26"/>
      <c r="BA219" s="26"/>
      <c r="BB219" s="26"/>
      <c r="BC219" s="26"/>
      <c r="BD219" s="26"/>
      <c r="BE219" s="26">
        <v>9</v>
      </c>
      <c r="BF219" s="26"/>
      <c r="BG219" s="26"/>
      <c r="BH219" s="26"/>
      <c r="BI219" s="26"/>
      <c r="BJ219" s="26"/>
      <c r="BK219" s="26"/>
      <c r="BL219" s="26"/>
    </row>
    <row r="220" spans="1:79" s="1" customFormat="1" ht="18.75" hidden="1" customHeight="1" x14ac:dyDescent="0.2">
      <c r="A220" s="26" t="s">
        <v>64</v>
      </c>
      <c r="B220" s="26"/>
      <c r="C220" s="26"/>
      <c r="D220" s="26"/>
      <c r="E220" s="26"/>
      <c r="F220" s="26"/>
      <c r="G220" s="67" t="s">
        <v>57</v>
      </c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30" t="s">
        <v>80</v>
      </c>
      <c r="U220" s="30"/>
      <c r="V220" s="30"/>
      <c r="W220" s="30"/>
      <c r="X220" s="30"/>
      <c r="Y220" s="30"/>
      <c r="Z220" s="30" t="s">
        <v>81</v>
      </c>
      <c r="AA220" s="30"/>
      <c r="AB220" s="30"/>
      <c r="AC220" s="30"/>
      <c r="AD220" s="30"/>
      <c r="AE220" s="30" t="s">
        <v>82</v>
      </c>
      <c r="AF220" s="30"/>
      <c r="AG220" s="30"/>
      <c r="AH220" s="30"/>
      <c r="AI220" s="30"/>
      <c r="AJ220" s="30"/>
      <c r="AK220" s="30" t="s">
        <v>83</v>
      </c>
      <c r="AL220" s="30"/>
      <c r="AM220" s="30"/>
      <c r="AN220" s="30"/>
      <c r="AO220" s="30"/>
      <c r="AP220" s="30"/>
      <c r="AQ220" s="30" t="s">
        <v>84</v>
      </c>
      <c r="AR220" s="30"/>
      <c r="AS220" s="30"/>
      <c r="AT220" s="30"/>
      <c r="AU220" s="30"/>
      <c r="AV220" s="30"/>
      <c r="AW220" s="67" t="s">
        <v>87</v>
      </c>
      <c r="AX220" s="67"/>
      <c r="AY220" s="67"/>
      <c r="AZ220" s="67"/>
      <c r="BA220" s="67"/>
      <c r="BB220" s="67"/>
      <c r="BC220" s="67"/>
      <c r="BD220" s="67"/>
      <c r="BE220" s="67" t="s">
        <v>88</v>
      </c>
      <c r="BF220" s="67"/>
      <c r="BG220" s="67"/>
      <c r="BH220" s="67"/>
      <c r="BI220" s="67"/>
      <c r="BJ220" s="67"/>
      <c r="BK220" s="67"/>
      <c r="BL220" s="67"/>
      <c r="CA220" s="1" t="s">
        <v>54</v>
      </c>
    </row>
    <row r="221" spans="1:79" s="6" customFormat="1" ht="12.75" customHeight="1" x14ac:dyDescent="0.2">
      <c r="A221" s="85"/>
      <c r="B221" s="85"/>
      <c r="C221" s="85"/>
      <c r="D221" s="85"/>
      <c r="E221" s="85"/>
      <c r="F221" s="85"/>
      <c r="G221" s="120" t="s">
        <v>147</v>
      </c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CA221" s="6" t="s">
        <v>55</v>
      </c>
    </row>
    <row r="223" spans="1:79" ht="14.25" customHeight="1" x14ac:dyDescent="0.2">
      <c r="A223" s="29" t="s">
        <v>219</v>
      </c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</row>
    <row r="224" spans="1:79" ht="45" customHeight="1" x14ac:dyDescent="0.2">
      <c r="A224" s="125" t="s">
        <v>201</v>
      </c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</row>
    <row r="225" spans="1:64" ht="1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7" spans="1:64" ht="14.25" x14ac:dyDescent="0.2">
      <c r="A227" s="29" t="s">
        <v>246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</row>
    <row r="228" spans="1:64" ht="14.25" x14ac:dyDescent="0.2">
      <c r="A228" s="29" t="s">
        <v>220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</row>
    <row r="229" spans="1:64" ht="15" customHeight="1" x14ac:dyDescent="0.2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</row>
    <row r="230" spans="1:64" ht="1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3" spans="1:64" ht="18.95" customHeight="1" x14ac:dyDescent="0.2">
      <c r="A233" s="129" t="s">
        <v>204</v>
      </c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22"/>
      <c r="AC233" s="22"/>
      <c r="AD233" s="22"/>
      <c r="AE233" s="22"/>
      <c r="AF233" s="22"/>
      <c r="AG233" s="22"/>
      <c r="AH233" s="42"/>
      <c r="AI233" s="42"/>
      <c r="AJ233" s="42"/>
      <c r="AK233" s="42"/>
      <c r="AL233" s="42"/>
      <c r="AM233" s="42"/>
      <c r="AN233" s="42"/>
      <c r="AO233" s="42"/>
      <c r="AP233" s="42"/>
      <c r="AQ233" s="22"/>
      <c r="AR233" s="22"/>
      <c r="AS233" s="22"/>
      <c r="AT233" s="22"/>
      <c r="AU233" s="130" t="s">
        <v>206</v>
      </c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</row>
    <row r="234" spans="1:64" ht="12.75" customHeight="1" x14ac:dyDescent="0.2">
      <c r="AB234" s="23"/>
      <c r="AC234" s="23"/>
      <c r="AD234" s="23"/>
      <c r="AE234" s="23"/>
      <c r="AF234" s="23"/>
      <c r="AG234" s="23"/>
      <c r="AH234" s="28" t="s">
        <v>1</v>
      </c>
      <c r="AI234" s="28"/>
      <c r="AJ234" s="28"/>
      <c r="AK234" s="28"/>
      <c r="AL234" s="28"/>
      <c r="AM234" s="28"/>
      <c r="AN234" s="28"/>
      <c r="AO234" s="28"/>
      <c r="AP234" s="28"/>
      <c r="AQ234" s="23"/>
      <c r="AR234" s="23"/>
      <c r="AS234" s="23"/>
      <c r="AT234" s="23"/>
      <c r="AU234" s="28" t="s">
        <v>171</v>
      </c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</row>
    <row r="235" spans="1:64" ht="15" x14ac:dyDescent="0.2">
      <c r="AB235" s="23"/>
      <c r="AC235" s="23"/>
      <c r="AD235" s="23"/>
      <c r="AE235" s="23"/>
      <c r="AF235" s="23"/>
      <c r="AG235" s="23"/>
      <c r="AH235" s="24"/>
      <c r="AI235" s="24"/>
      <c r="AJ235" s="24"/>
      <c r="AK235" s="24"/>
      <c r="AL235" s="24"/>
      <c r="AM235" s="24"/>
      <c r="AN235" s="24"/>
      <c r="AO235" s="24"/>
      <c r="AP235" s="24"/>
      <c r="AQ235" s="23"/>
      <c r="AR235" s="23"/>
      <c r="AS235" s="23"/>
      <c r="AT235" s="23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</row>
    <row r="236" spans="1:64" ht="18" customHeight="1" x14ac:dyDescent="0.2">
      <c r="A236" s="129" t="s">
        <v>205</v>
      </c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23"/>
      <c r="AC236" s="23"/>
      <c r="AD236" s="23"/>
      <c r="AE236" s="23"/>
      <c r="AF236" s="23"/>
      <c r="AG236" s="23"/>
      <c r="AH236" s="43"/>
      <c r="AI236" s="43"/>
      <c r="AJ236" s="43"/>
      <c r="AK236" s="43"/>
      <c r="AL236" s="43"/>
      <c r="AM236" s="43"/>
      <c r="AN236" s="43"/>
      <c r="AO236" s="43"/>
      <c r="AP236" s="43"/>
      <c r="AQ236" s="23"/>
      <c r="AR236" s="23"/>
      <c r="AS236" s="23"/>
      <c r="AT236" s="23"/>
      <c r="AU236" s="131" t="s">
        <v>207</v>
      </c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</row>
    <row r="237" spans="1:64" ht="12" customHeight="1" x14ac:dyDescent="0.2">
      <c r="AB237" s="23"/>
      <c r="AC237" s="23"/>
      <c r="AD237" s="23"/>
      <c r="AE237" s="23"/>
      <c r="AF237" s="23"/>
      <c r="AG237" s="23"/>
      <c r="AH237" s="28" t="s">
        <v>1</v>
      </c>
      <c r="AI237" s="28"/>
      <c r="AJ237" s="28"/>
      <c r="AK237" s="28"/>
      <c r="AL237" s="28"/>
      <c r="AM237" s="28"/>
      <c r="AN237" s="28"/>
      <c r="AO237" s="28"/>
      <c r="AP237" s="28"/>
      <c r="AQ237" s="23"/>
      <c r="AR237" s="23"/>
      <c r="AS237" s="23"/>
      <c r="AT237" s="23"/>
      <c r="AU237" s="28" t="s">
        <v>171</v>
      </c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</row>
  </sheetData>
  <mergeCells count="1450">
    <mergeCell ref="AU181:AY181"/>
    <mergeCell ref="AZ181:BD181"/>
    <mergeCell ref="A181:F181"/>
    <mergeCell ref="G181:S181"/>
    <mergeCell ref="T181:Z181"/>
    <mergeCell ref="AA181:AE181"/>
    <mergeCell ref="AF181:AJ181"/>
    <mergeCell ref="AK181:AO181"/>
    <mergeCell ref="AP181:AT181"/>
    <mergeCell ref="BO172:BS172"/>
    <mergeCell ref="AK172:AO172"/>
    <mergeCell ref="AP172:AT172"/>
    <mergeCell ref="AU172:AY172"/>
    <mergeCell ref="AZ172:BD172"/>
    <mergeCell ref="BE172:BI172"/>
    <mergeCell ref="BJ172:BN172"/>
    <mergeCell ref="A172:F172"/>
    <mergeCell ref="G172:S172"/>
    <mergeCell ref="T172:Z172"/>
    <mergeCell ref="AA172:AE172"/>
    <mergeCell ref="AF172:AJ172"/>
    <mergeCell ref="AX161:AZ161"/>
    <mergeCell ref="BA161:BC161"/>
    <mergeCell ref="BD161:BF161"/>
    <mergeCell ref="BG161:BI161"/>
    <mergeCell ref="BJ161:BL161"/>
    <mergeCell ref="A161:C161"/>
    <mergeCell ref="D161:V161"/>
    <mergeCell ref="W161:Y161"/>
    <mergeCell ref="Z161:AB161"/>
    <mergeCell ref="AC161:AE161"/>
    <mergeCell ref="AF161:AH161"/>
    <mergeCell ref="AI161:AK161"/>
    <mergeCell ref="A151:T151"/>
    <mergeCell ref="U151:Y151"/>
    <mergeCell ref="Z151:AD151"/>
    <mergeCell ref="AE151:AI151"/>
    <mergeCell ref="AJ151:AN151"/>
    <mergeCell ref="AO151:AS151"/>
    <mergeCell ref="AT151:AX151"/>
    <mergeCell ref="AY151:BC151"/>
    <mergeCell ref="BD151:BH151"/>
    <mergeCell ref="BE142:BI142"/>
    <mergeCell ref="BE141:BI141"/>
    <mergeCell ref="A142:C142"/>
    <mergeCell ref="D142:P142"/>
    <mergeCell ref="Q142:U142"/>
    <mergeCell ref="V142:AE142"/>
    <mergeCell ref="AF142:AJ142"/>
    <mergeCell ref="AK142:AO142"/>
    <mergeCell ref="AP142:AT142"/>
    <mergeCell ref="AU142:AY142"/>
    <mergeCell ref="AZ142:BD142"/>
    <mergeCell ref="BE140:BI140"/>
    <mergeCell ref="A141:C141"/>
    <mergeCell ref="D141:P141"/>
    <mergeCell ref="Q141:U141"/>
    <mergeCell ref="V141:AE141"/>
    <mergeCell ref="AF141:AJ141"/>
    <mergeCell ref="AK141:AO141"/>
    <mergeCell ref="AP141:AT141"/>
    <mergeCell ref="AU141:AY141"/>
    <mergeCell ref="AZ141:BD141"/>
    <mergeCell ref="BE139:BI139"/>
    <mergeCell ref="A140:C140"/>
    <mergeCell ref="D140:P140"/>
    <mergeCell ref="Q140:U140"/>
    <mergeCell ref="V140:AE140"/>
    <mergeCell ref="AF140:AJ140"/>
    <mergeCell ref="AK140:AO140"/>
    <mergeCell ref="AP140:AT140"/>
    <mergeCell ref="AU140:AY140"/>
    <mergeCell ref="AZ140:BD140"/>
    <mergeCell ref="BE138:BI138"/>
    <mergeCell ref="A139:C139"/>
    <mergeCell ref="D139:P139"/>
    <mergeCell ref="Q139:U139"/>
    <mergeCell ref="V139:AE139"/>
    <mergeCell ref="AF139:AJ139"/>
    <mergeCell ref="AK139:AO139"/>
    <mergeCell ref="AP139:AT139"/>
    <mergeCell ref="AU139:AY139"/>
    <mergeCell ref="AZ139:BD139"/>
    <mergeCell ref="BE137:BI137"/>
    <mergeCell ref="A138:C138"/>
    <mergeCell ref="D138:P138"/>
    <mergeCell ref="Q138:U138"/>
    <mergeCell ref="V138:AE138"/>
    <mergeCell ref="AF138:AJ138"/>
    <mergeCell ref="AK138:AO138"/>
    <mergeCell ref="AP138:AT138"/>
    <mergeCell ref="AU138:AY138"/>
    <mergeCell ref="AZ138:BD138"/>
    <mergeCell ref="BE136:BI136"/>
    <mergeCell ref="A137:C137"/>
    <mergeCell ref="D137:P137"/>
    <mergeCell ref="Q137:U137"/>
    <mergeCell ref="V137:AE137"/>
    <mergeCell ref="AF137:AJ137"/>
    <mergeCell ref="AK137:AO137"/>
    <mergeCell ref="AP137:AT137"/>
    <mergeCell ref="AU137:AY137"/>
    <mergeCell ref="AZ137:BD137"/>
    <mergeCell ref="BE135:BI135"/>
    <mergeCell ref="A136:C136"/>
    <mergeCell ref="D136:P136"/>
    <mergeCell ref="Q136:U136"/>
    <mergeCell ref="V136:AE136"/>
    <mergeCell ref="AF136:AJ136"/>
    <mergeCell ref="AK136:AO136"/>
    <mergeCell ref="AP136:AT136"/>
    <mergeCell ref="AU136:AY136"/>
    <mergeCell ref="AZ136:BD136"/>
    <mergeCell ref="BE134:BI134"/>
    <mergeCell ref="A135:C135"/>
    <mergeCell ref="D135:P135"/>
    <mergeCell ref="Q135:U135"/>
    <mergeCell ref="V135:AE135"/>
    <mergeCell ref="AF135:AJ135"/>
    <mergeCell ref="AK135:AO135"/>
    <mergeCell ref="AP135:AT135"/>
    <mergeCell ref="AU135:AY135"/>
    <mergeCell ref="AZ135:BD135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BE132:BI132"/>
    <mergeCell ref="A133:C133"/>
    <mergeCell ref="D133:P133"/>
    <mergeCell ref="Q133:U133"/>
    <mergeCell ref="V133:AE133"/>
    <mergeCell ref="AF133:AJ133"/>
    <mergeCell ref="AK133:AO133"/>
    <mergeCell ref="AP133:AT133"/>
    <mergeCell ref="AU133:AY133"/>
    <mergeCell ref="AZ133:BD133"/>
    <mergeCell ref="BE131:BI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V129:AE129"/>
    <mergeCell ref="AF129:AJ129"/>
    <mergeCell ref="AK129:AO129"/>
    <mergeCell ref="AP129:AT129"/>
    <mergeCell ref="AU129:AY129"/>
    <mergeCell ref="AZ129:BD129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BE120:BI120"/>
    <mergeCell ref="BJ120:BN120"/>
    <mergeCell ref="BO120:BS120"/>
    <mergeCell ref="BT120:BX120"/>
    <mergeCell ref="BT119:BX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AP119:AT119"/>
    <mergeCell ref="AU119:AY119"/>
    <mergeCell ref="AZ119:BD119"/>
    <mergeCell ref="BE119:BI119"/>
    <mergeCell ref="BJ119:BN119"/>
    <mergeCell ref="BO119:BS119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36:AA236"/>
    <mergeCell ref="AH236:AP236"/>
    <mergeCell ref="AU236:BF236"/>
    <mergeCell ref="AH237:AP237"/>
    <mergeCell ref="AU237:BF237"/>
    <mergeCell ref="A31:D31"/>
    <mergeCell ref="E31:T31"/>
    <mergeCell ref="U31:Y31"/>
    <mergeCell ref="Z31:AD31"/>
    <mergeCell ref="AE31:AH31"/>
    <mergeCell ref="A229:BL229"/>
    <mergeCell ref="A233:AA233"/>
    <mergeCell ref="AH233:AP233"/>
    <mergeCell ref="AU233:BF233"/>
    <mergeCell ref="AH234:AP234"/>
    <mergeCell ref="AU234:BF234"/>
    <mergeCell ref="AW221:BD221"/>
    <mergeCell ref="BE221:BL221"/>
    <mergeCell ref="A223:BL223"/>
    <mergeCell ref="A224:BL224"/>
    <mergeCell ref="A227:BL227"/>
    <mergeCell ref="A228:BL228"/>
    <mergeCell ref="AQ220:AV220"/>
    <mergeCell ref="AW220:BD220"/>
    <mergeCell ref="BE220:BL220"/>
    <mergeCell ref="A221:F221"/>
    <mergeCell ref="G221:S221"/>
    <mergeCell ref="T221:Y221"/>
    <mergeCell ref="Z221:AD221"/>
    <mergeCell ref="AE221:AJ221"/>
    <mergeCell ref="AK221:AP221"/>
    <mergeCell ref="AQ221:AV221"/>
    <mergeCell ref="A220:F220"/>
    <mergeCell ref="G220:S220"/>
    <mergeCell ref="T220:Y220"/>
    <mergeCell ref="Z220:AD220"/>
    <mergeCell ref="AE220:AJ220"/>
    <mergeCell ref="AK220:AP220"/>
    <mergeCell ref="BE217:BL218"/>
    <mergeCell ref="A219:F219"/>
    <mergeCell ref="G219:S219"/>
    <mergeCell ref="T219:Y219"/>
    <mergeCell ref="Z219:AD219"/>
    <mergeCell ref="AE219:AJ219"/>
    <mergeCell ref="AK219:AP219"/>
    <mergeCell ref="AQ219:AV219"/>
    <mergeCell ref="AW219:BD219"/>
    <mergeCell ref="BE219:BL219"/>
    <mergeCell ref="A215:BL215"/>
    <mergeCell ref="A216:BL216"/>
    <mergeCell ref="A217:F218"/>
    <mergeCell ref="G217:S218"/>
    <mergeCell ref="T217:Y218"/>
    <mergeCell ref="Z217:AD218"/>
    <mergeCell ref="AE217:AJ218"/>
    <mergeCell ref="AK217:AP218"/>
    <mergeCell ref="AQ217:AV218"/>
    <mergeCell ref="AW217:BD218"/>
    <mergeCell ref="AJ213:AN213"/>
    <mergeCell ref="AO213:AS213"/>
    <mergeCell ref="AT213:AW213"/>
    <mergeCell ref="AX213:BB213"/>
    <mergeCell ref="BC213:BG213"/>
    <mergeCell ref="BH213:BL213"/>
    <mergeCell ref="A213:F213"/>
    <mergeCell ref="G213:P213"/>
    <mergeCell ref="Q213:U213"/>
    <mergeCell ref="V213:Y213"/>
    <mergeCell ref="Z213:AD213"/>
    <mergeCell ref="AE213:AI213"/>
    <mergeCell ref="AJ212:AN212"/>
    <mergeCell ref="AO212:AS212"/>
    <mergeCell ref="AT212:AW212"/>
    <mergeCell ref="AX212:BB212"/>
    <mergeCell ref="BC212:BG212"/>
    <mergeCell ref="BH212:BL212"/>
    <mergeCell ref="A212:F212"/>
    <mergeCell ref="G212:P212"/>
    <mergeCell ref="Q212:U212"/>
    <mergeCell ref="V212:Y212"/>
    <mergeCell ref="Z212:AD212"/>
    <mergeCell ref="AE212:AI212"/>
    <mergeCell ref="AJ211:AN211"/>
    <mergeCell ref="AO211:AS211"/>
    <mergeCell ref="AT211:AW211"/>
    <mergeCell ref="AX211:BB211"/>
    <mergeCell ref="BC211:BG211"/>
    <mergeCell ref="BH211:BL211"/>
    <mergeCell ref="A211:F211"/>
    <mergeCell ref="G211:P211"/>
    <mergeCell ref="Q211:U211"/>
    <mergeCell ref="V211:Y211"/>
    <mergeCell ref="Z211:AD211"/>
    <mergeCell ref="AE211:AI211"/>
    <mergeCell ref="AT209:AW210"/>
    <mergeCell ref="AX209:BG209"/>
    <mergeCell ref="BH209:BL210"/>
    <mergeCell ref="Z210:AD210"/>
    <mergeCell ref="AE210:AI210"/>
    <mergeCell ref="AX210:BB210"/>
    <mergeCell ref="BC210:BG210"/>
    <mergeCell ref="A207:BL207"/>
    <mergeCell ref="A208:F210"/>
    <mergeCell ref="G208:P210"/>
    <mergeCell ref="Q208:AN208"/>
    <mergeCell ref="AO208:BL208"/>
    <mergeCell ref="Q209:U210"/>
    <mergeCell ref="V209:Y210"/>
    <mergeCell ref="Z209:AI209"/>
    <mergeCell ref="AJ209:AN210"/>
    <mergeCell ref="AO209:AS210"/>
    <mergeCell ref="AK204:AP204"/>
    <mergeCell ref="AQ204:AV204"/>
    <mergeCell ref="AW204:BA204"/>
    <mergeCell ref="BB204:BF204"/>
    <mergeCell ref="BG204:BL204"/>
    <mergeCell ref="A206:BL206"/>
    <mergeCell ref="AK203:AP203"/>
    <mergeCell ref="AQ203:AV203"/>
    <mergeCell ref="AW203:BA203"/>
    <mergeCell ref="BB203:BF203"/>
    <mergeCell ref="BG203:BL203"/>
    <mergeCell ref="A204:F204"/>
    <mergeCell ref="G204:S204"/>
    <mergeCell ref="T204:Y204"/>
    <mergeCell ref="Z204:AD204"/>
    <mergeCell ref="AE204:AJ204"/>
    <mergeCell ref="AK202:AP202"/>
    <mergeCell ref="AQ202:AV202"/>
    <mergeCell ref="AW202:BA202"/>
    <mergeCell ref="BB202:BF202"/>
    <mergeCell ref="BG202:BL202"/>
    <mergeCell ref="A203:F203"/>
    <mergeCell ref="G203:S203"/>
    <mergeCell ref="T203:Y203"/>
    <mergeCell ref="Z203:AD203"/>
    <mergeCell ref="AE203:AJ203"/>
    <mergeCell ref="AQ200:AV201"/>
    <mergeCell ref="AW200:BF200"/>
    <mergeCell ref="BG200:BL201"/>
    <mergeCell ref="AW201:BA201"/>
    <mergeCell ref="BB201:BF201"/>
    <mergeCell ref="A202:F202"/>
    <mergeCell ref="G202:S202"/>
    <mergeCell ref="T202:Y202"/>
    <mergeCell ref="Z202:AD202"/>
    <mergeCell ref="AE202:AJ202"/>
    <mergeCell ref="A200:F201"/>
    <mergeCell ref="G200:S201"/>
    <mergeCell ref="T200:Y201"/>
    <mergeCell ref="Z200:AD201"/>
    <mergeCell ref="AE200:AJ201"/>
    <mergeCell ref="AK200:AP201"/>
    <mergeCell ref="BP190:BS190"/>
    <mergeCell ref="A193:BL193"/>
    <mergeCell ref="A194:BL194"/>
    <mergeCell ref="A197:BL197"/>
    <mergeCell ref="A198:BL198"/>
    <mergeCell ref="A199:BL199"/>
    <mergeCell ref="AO190:AR190"/>
    <mergeCell ref="AS190:AW190"/>
    <mergeCell ref="AX190:BA190"/>
    <mergeCell ref="BB190:BF190"/>
    <mergeCell ref="BG190:BJ190"/>
    <mergeCell ref="BK190:BO190"/>
    <mergeCell ref="BB189:BF189"/>
    <mergeCell ref="BG189:BJ189"/>
    <mergeCell ref="BK189:BO189"/>
    <mergeCell ref="BP189:BS189"/>
    <mergeCell ref="A190:M190"/>
    <mergeCell ref="N190:U190"/>
    <mergeCell ref="V190:Z190"/>
    <mergeCell ref="AA190:AE190"/>
    <mergeCell ref="AF190:AI190"/>
    <mergeCell ref="AJ190:AN190"/>
    <mergeCell ref="BP188:BS188"/>
    <mergeCell ref="A189:M189"/>
    <mergeCell ref="N189:U189"/>
    <mergeCell ref="V189:Z189"/>
    <mergeCell ref="AA189:AE189"/>
    <mergeCell ref="AF189:AI189"/>
    <mergeCell ref="AJ189:AN189"/>
    <mergeCell ref="AO189:AR189"/>
    <mergeCell ref="AS189:AW189"/>
    <mergeCell ref="AX189:BA189"/>
    <mergeCell ref="AO188:AR188"/>
    <mergeCell ref="AS188:AW188"/>
    <mergeCell ref="AX188:BA188"/>
    <mergeCell ref="BB188:BF188"/>
    <mergeCell ref="BG188:BJ188"/>
    <mergeCell ref="BK188:BO188"/>
    <mergeCell ref="BB187:BF187"/>
    <mergeCell ref="BG187:BJ187"/>
    <mergeCell ref="BK187:BO187"/>
    <mergeCell ref="BP187:BS187"/>
    <mergeCell ref="A188:M188"/>
    <mergeCell ref="N188:U188"/>
    <mergeCell ref="V188:Z188"/>
    <mergeCell ref="AA188:AE188"/>
    <mergeCell ref="AF188:AI188"/>
    <mergeCell ref="AJ188:AN188"/>
    <mergeCell ref="AA187:AE187"/>
    <mergeCell ref="AF187:AI187"/>
    <mergeCell ref="AJ187:AN187"/>
    <mergeCell ref="AO187:AR187"/>
    <mergeCell ref="AS187:AW187"/>
    <mergeCell ref="AX187:BA187"/>
    <mergeCell ref="A184:BL184"/>
    <mergeCell ref="A185:BM185"/>
    <mergeCell ref="A186:M187"/>
    <mergeCell ref="N186:U187"/>
    <mergeCell ref="V186:Z187"/>
    <mergeCell ref="AA186:AI186"/>
    <mergeCell ref="AJ186:AR186"/>
    <mergeCell ref="AS186:BA186"/>
    <mergeCell ref="BB186:BJ186"/>
    <mergeCell ref="BK186:BS186"/>
    <mergeCell ref="AZ179:BD179"/>
    <mergeCell ref="A180:F180"/>
    <mergeCell ref="G180:S180"/>
    <mergeCell ref="T180:Z180"/>
    <mergeCell ref="AA180:AE180"/>
    <mergeCell ref="AF180:AJ180"/>
    <mergeCell ref="AK180:AO180"/>
    <mergeCell ref="AP180:AT180"/>
    <mergeCell ref="AU180:AY180"/>
    <mergeCell ref="AZ180:BD180"/>
    <mergeCell ref="AU178:AY178"/>
    <mergeCell ref="AZ178:BD178"/>
    <mergeCell ref="A179:F179"/>
    <mergeCell ref="G179:S179"/>
    <mergeCell ref="T179:Z179"/>
    <mergeCell ref="AA179:AE179"/>
    <mergeCell ref="AF179:AJ179"/>
    <mergeCell ref="AK179:AO179"/>
    <mergeCell ref="AP179:AT179"/>
    <mergeCell ref="AU179:AY179"/>
    <mergeCell ref="AP177:AT177"/>
    <mergeCell ref="AU177:AY177"/>
    <mergeCell ref="AZ177:BD177"/>
    <mergeCell ref="A178:F178"/>
    <mergeCell ref="G178:S178"/>
    <mergeCell ref="T178:Z178"/>
    <mergeCell ref="AA178:AE178"/>
    <mergeCell ref="AF178:AJ178"/>
    <mergeCell ref="AK178:AO178"/>
    <mergeCell ref="AP178:AT178"/>
    <mergeCell ref="A174:BL174"/>
    <mergeCell ref="A175:BD175"/>
    <mergeCell ref="A176:F177"/>
    <mergeCell ref="G176:S177"/>
    <mergeCell ref="T176:Z177"/>
    <mergeCell ref="AA176:AO176"/>
    <mergeCell ref="AP176:BD176"/>
    <mergeCell ref="AA177:AE177"/>
    <mergeCell ref="AF177:AJ177"/>
    <mergeCell ref="AK177:AO177"/>
    <mergeCell ref="AP171:AT171"/>
    <mergeCell ref="AU171:AY171"/>
    <mergeCell ref="AZ171:BD171"/>
    <mergeCell ref="BE171:BI171"/>
    <mergeCell ref="BJ171:BN171"/>
    <mergeCell ref="BO171:BS171"/>
    <mergeCell ref="A171:F171"/>
    <mergeCell ref="G171:S171"/>
    <mergeCell ref="T171:Z171"/>
    <mergeCell ref="AA171:AE171"/>
    <mergeCell ref="AF171:AJ171"/>
    <mergeCell ref="AK171:AO171"/>
    <mergeCell ref="AP170:AT170"/>
    <mergeCell ref="AU170:AY170"/>
    <mergeCell ref="AZ170:BD170"/>
    <mergeCell ref="BE170:BI170"/>
    <mergeCell ref="BJ170:BN170"/>
    <mergeCell ref="BO170:BS170"/>
    <mergeCell ref="A170:F170"/>
    <mergeCell ref="G170:S170"/>
    <mergeCell ref="T170:Z170"/>
    <mergeCell ref="AA170:AE170"/>
    <mergeCell ref="AF170:AJ170"/>
    <mergeCell ref="AK170:AO170"/>
    <mergeCell ref="AP169:AT169"/>
    <mergeCell ref="AU169:AY169"/>
    <mergeCell ref="AZ169:BD169"/>
    <mergeCell ref="BE169:BI169"/>
    <mergeCell ref="BJ169:BN169"/>
    <mergeCell ref="BO169:BS169"/>
    <mergeCell ref="A169:F169"/>
    <mergeCell ref="G169:S169"/>
    <mergeCell ref="T169:Z169"/>
    <mergeCell ref="AA169:AE169"/>
    <mergeCell ref="AF169:AJ169"/>
    <mergeCell ref="AK169:AO169"/>
    <mergeCell ref="AP168:AT168"/>
    <mergeCell ref="AU168:AY168"/>
    <mergeCell ref="AZ168:BD168"/>
    <mergeCell ref="BE168:BI168"/>
    <mergeCell ref="BJ168:BN168"/>
    <mergeCell ref="BO168:BS168"/>
    <mergeCell ref="A166:BS166"/>
    <mergeCell ref="A167:F168"/>
    <mergeCell ref="G167:S168"/>
    <mergeCell ref="T167:Z168"/>
    <mergeCell ref="AA167:AO167"/>
    <mergeCell ref="AP167:BD167"/>
    <mergeCell ref="BE167:BS167"/>
    <mergeCell ref="AA168:AE168"/>
    <mergeCell ref="AF168:AJ168"/>
    <mergeCell ref="AK168:AO168"/>
    <mergeCell ref="BA160:BC160"/>
    <mergeCell ref="BD160:BF160"/>
    <mergeCell ref="BG160:BI160"/>
    <mergeCell ref="BJ160:BL160"/>
    <mergeCell ref="A164:BL164"/>
    <mergeCell ref="A165:BS165"/>
    <mergeCell ref="AL161:AN161"/>
    <mergeCell ref="AO161:AQ161"/>
    <mergeCell ref="AR161:AT161"/>
    <mergeCell ref="AU161:AW161"/>
    <mergeCell ref="AI160:AK160"/>
    <mergeCell ref="AL160:AN160"/>
    <mergeCell ref="AO160:AQ160"/>
    <mergeCell ref="AR160:AT160"/>
    <mergeCell ref="AU160:AW160"/>
    <mergeCell ref="AX160:AZ160"/>
    <mergeCell ref="BA159:BC159"/>
    <mergeCell ref="BD159:BF159"/>
    <mergeCell ref="BG159:BI159"/>
    <mergeCell ref="BJ159:BL159"/>
    <mergeCell ref="A160:C160"/>
    <mergeCell ref="D160:V160"/>
    <mergeCell ref="W160:Y160"/>
    <mergeCell ref="Z160:AB160"/>
    <mergeCell ref="AC160:AE160"/>
    <mergeCell ref="AF160:AH160"/>
    <mergeCell ref="AI159:AK159"/>
    <mergeCell ref="AL159:AN159"/>
    <mergeCell ref="AO159:AQ159"/>
    <mergeCell ref="AR159:AT159"/>
    <mergeCell ref="AU159:AW159"/>
    <mergeCell ref="AX159:AZ159"/>
    <mergeCell ref="BA158:BC158"/>
    <mergeCell ref="BD158:BF158"/>
    <mergeCell ref="BG158:BI158"/>
    <mergeCell ref="BJ158:BL158"/>
    <mergeCell ref="A159:C159"/>
    <mergeCell ref="D159:V159"/>
    <mergeCell ref="W159:Y159"/>
    <mergeCell ref="Z159:AB159"/>
    <mergeCell ref="AC159:AE159"/>
    <mergeCell ref="AF159:AH159"/>
    <mergeCell ref="AI158:AK158"/>
    <mergeCell ref="AL158:AN158"/>
    <mergeCell ref="AO158:AQ158"/>
    <mergeCell ref="AR158:AT158"/>
    <mergeCell ref="AU158:AW158"/>
    <mergeCell ref="AX158:AZ158"/>
    <mergeCell ref="A158:C158"/>
    <mergeCell ref="D158:V158"/>
    <mergeCell ref="W158:Y158"/>
    <mergeCell ref="Z158:AB158"/>
    <mergeCell ref="AC158:AE158"/>
    <mergeCell ref="AF158:AH158"/>
    <mergeCell ref="BJ156:BL157"/>
    <mergeCell ref="W157:Y157"/>
    <mergeCell ref="Z157:AB157"/>
    <mergeCell ref="AC157:AE157"/>
    <mergeCell ref="AF157:AH157"/>
    <mergeCell ref="AI157:AK157"/>
    <mergeCell ref="AL157:AN157"/>
    <mergeCell ref="AO157:AQ157"/>
    <mergeCell ref="AR157:AT157"/>
    <mergeCell ref="BG155:BL155"/>
    <mergeCell ref="W156:AB156"/>
    <mergeCell ref="AC156:AH156"/>
    <mergeCell ref="AI156:AN156"/>
    <mergeCell ref="AO156:AT156"/>
    <mergeCell ref="AU156:AW157"/>
    <mergeCell ref="AX156:AZ157"/>
    <mergeCell ref="BA156:BC157"/>
    <mergeCell ref="BD156:BF157"/>
    <mergeCell ref="BG156:BI157"/>
    <mergeCell ref="A155:C157"/>
    <mergeCell ref="D155:V157"/>
    <mergeCell ref="W155:AH155"/>
    <mergeCell ref="AI155:AT155"/>
    <mergeCell ref="AU155:AZ155"/>
    <mergeCell ref="BA155:BF155"/>
    <mergeCell ref="AT150:AX150"/>
    <mergeCell ref="AY150:BC150"/>
    <mergeCell ref="BD150:BH150"/>
    <mergeCell ref="BI150:BM150"/>
    <mergeCell ref="BN150:BR150"/>
    <mergeCell ref="A154:BL154"/>
    <mergeCell ref="BI151:BM151"/>
    <mergeCell ref="BN151:BR151"/>
    <mergeCell ref="A150:T150"/>
    <mergeCell ref="U150:Y150"/>
    <mergeCell ref="Z150:AD150"/>
    <mergeCell ref="AE150:AI150"/>
    <mergeCell ref="AJ150:AN150"/>
    <mergeCell ref="AO150:AS150"/>
    <mergeCell ref="AO149:AS149"/>
    <mergeCell ref="AT149:AX149"/>
    <mergeCell ref="AY149:BC149"/>
    <mergeCell ref="BD149:BH149"/>
    <mergeCell ref="BI149:BM149"/>
    <mergeCell ref="BN149:BR149"/>
    <mergeCell ref="AT148:AX148"/>
    <mergeCell ref="AY148:BC148"/>
    <mergeCell ref="BD148:BH148"/>
    <mergeCell ref="BI148:BM148"/>
    <mergeCell ref="BN148:BR148"/>
    <mergeCell ref="A149:T149"/>
    <mergeCell ref="U149:Y149"/>
    <mergeCell ref="Z149:AD149"/>
    <mergeCell ref="AE149:AI149"/>
    <mergeCell ref="AJ149:AN149"/>
    <mergeCell ref="A148:T148"/>
    <mergeCell ref="U148:Y148"/>
    <mergeCell ref="Z148:AD148"/>
    <mergeCell ref="AE148:AI148"/>
    <mergeCell ref="AJ148:AN148"/>
    <mergeCell ref="AO148:AS148"/>
    <mergeCell ref="AO147:AS147"/>
    <mergeCell ref="AT147:AX147"/>
    <mergeCell ref="AY147:BC147"/>
    <mergeCell ref="BD147:BH147"/>
    <mergeCell ref="BI147:BM147"/>
    <mergeCell ref="BN147:BR147"/>
    <mergeCell ref="A146:T147"/>
    <mergeCell ref="U146:AD146"/>
    <mergeCell ref="AE146:AN146"/>
    <mergeCell ref="AO146:AX146"/>
    <mergeCell ref="AY146:BH146"/>
    <mergeCell ref="BI146:BR146"/>
    <mergeCell ref="U147:Y147"/>
    <mergeCell ref="Z147:AD147"/>
    <mergeCell ref="AE147:AI147"/>
    <mergeCell ref="AJ147:AN147"/>
    <mergeCell ref="AP127:AT127"/>
    <mergeCell ref="AU127:AY127"/>
    <mergeCell ref="AZ127:BD127"/>
    <mergeCell ref="BE127:BI127"/>
    <mergeCell ref="A144:BL144"/>
    <mergeCell ref="A145:BR145"/>
    <mergeCell ref="BE128:BI128"/>
    <mergeCell ref="A129:C129"/>
    <mergeCell ref="D129:P129"/>
    <mergeCell ref="Q129:U129"/>
    <mergeCell ref="AP126:AT126"/>
    <mergeCell ref="AU126:AY126"/>
    <mergeCell ref="AZ126:BD126"/>
    <mergeCell ref="BE126:BI126"/>
    <mergeCell ref="A127:C127"/>
    <mergeCell ref="D127:P127"/>
    <mergeCell ref="Q127:U127"/>
    <mergeCell ref="V127:AE127"/>
    <mergeCell ref="AF127:AJ127"/>
    <mergeCell ref="AK127:AO127"/>
    <mergeCell ref="AP125:AT125"/>
    <mergeCell ref="AU125:AY125"/>
    <mergeCell ref="AZ125:BD125"/>
    <mergeCell ref="BE125:BI125"/>
    <mergeCell ref="A126:C126"/>
    <mergeCell ref="D126:P126"/>
    <mergeCell ref="Q126:U126"/>
    <mergeCell ref="V126:AE126"/>
    <mergeCell ref="AF126:AJ126"/>
    <mergeCell ref="AK126:AO126"/>
    <mergeCell ref="AP124:AT124"/>
    <mergeCell ref="AU124:AY124"/>
    <mergeCell ref="AZ124:BD124"/>
    <mergeCell ref="BE124:BI124"/>
    <mergeCell ref="A125:C125"/>
    <mergeCell ref="D125:P125"/>
    <mergeCell ref="Q125:U125"/>
    <mergeCell ref="V125:AE125"/>
    <mergeCell ref="AF125:AJ125"/>
    <mergeCell ref="AK125:AO125"/>
    <mergeCell ref="BT105:BX105"/>
    <mergeCell ref="A122:BL122"/>
    <mergeCell ref="A123:C124"/>
    <mergeCell ref="D123:P124"/>
    <mergeCell ref="Q123:U124"/>
    <mergeCell ref="V123:AE124"/>
    <mergeCell ref="AF123:AT123"/>
    <mergeCell ref="AU123:BI123"/>
    <mergeCell ref="AF124:AJ124"/>
    <mergeCell ref="AK124:AO124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60 A95">
    <cfRule type="cellIs" dxfId="66" priority="71" stopIfTrue="1" operator="equal">
      <formula>A85</formula>
    </cfRule>
  </conditionalFormatting>
  <conditionalFormatting sqref="A105:C105 A127:C127">
    <cfRule type="cellIs" dxfId="65" priority="72" stopIfTrue="1" operator="equal">
      <formula>A104</formula>
    </cfRule>
    <cfRule type="cellIs" dxfId="64" priority="73" stopIfTrue="1" operator="equal">
      <formula>0</formula>
    </cfRule>
  </conditionalFormatting>
  <conditionalFormatting sqref="A87">
    <cfRule type="cellIs" dxfId="63" priority="70" stopIfTrue="1" operator="equal">
      <formula>A86</formula>
    </cfRule>
  </conditionalFormatting>
  <conditionalFormatting sqref="A97">
    <cfRule type="cellIs" dxfId="62" priority="75" stopIfTrue="1" operator="equal">
      <formula>A95</formula>
    </cfRule>
  </conditionalFormatting>
  <conditionalFormatting sqref="A96">
    <cfRule type="cellIs" dxfId="61" priority="68" stopIfTrue="1" operator="equal">
      <formula>A95</formula>
    </cfRule>
  </conditionalFormatting>
  <conditionalFormatting sqref="A161">
    <cfRule type="cellIs" dxfId="60" priority="2" stopIfTrue="1" operator="equal">
      <formula>A160</formula>
    </cfRule>
  </conditionalFormatting>
  <conditionalFormatting sqref="A106:C106">
    <cfRule type="cellIs" dxfId="59" priority="65" stopIfTrue="1" operator="equal">
      <formula>A105</formula>
    </cfRule>
    <cfRule type="cellIs" dxfId="58" priority="66" stopIfTrue="1" operator="equal">
      <formula>0</formula>
    </cfRule>
  </conditionalFormatting>
  <conditionalFormatting sqref="A107:C107">
    <cfRule type="cellIs" dxfId="57" priority="63" stopIfTrue="1" operator="equal">
      <formula>A106</formula>
    </cfRule>
    <cfRule type="cellIs" dxfId="56" priority="64" stopIfTrue="1" operator="equal">
      <formula>0</formula>
    </cfRule>
  </conditionalFormatting>
  <conditionalFormatting sqref="A108:C108">
    <cfRule type="cellIs" dxfId="55" priority="61" stopIfTrue="1" operator="equal">
      <formula>A107</formula>
    </cfRule>
    <cfRule type="cellIs" dxfId="54" priority="62" stopIfTrue="1" operator="equal">
      <formula>0</formula>
    </cfRule>
  </conditionalFormatting>
  <conditionalFormatting sqref="A109:C109">
    <cfRule type="cellIs" dxfId="53" priority="59" stopIfTrue="1" operator="equal">
      <formula>A108</formula>
    </cfRule>
    <cfRule type="cellIs" dxfId="52" priority="60" stopIfTrue="1" operator="equal">
      <formula>0</formula>
    </cfRule>
  </conditionalFormatting>
  <conditionalFormatting sqref="A110:C110">
    <cfRule type="cellIs" dxfId="51" priority="57" stopIfTrue="1" operator="equal">
      <formula>A109</formula>
    </cfRule>
    <cfRule type="cellIs" dxfId="50" priority="58" stopIfTrue="1" operator="equal">
      <formula>0</formula>
    </cfRule>
  </conditionalFormatting>
  <conditionalFormatting sqref="A111:C111">
    <cfRule type="cellIs" dxfId="49" priority="55" stopIfTrue="1" operator="equal">
      <formula>A110</formula>
    </cfRule>
    <cfRule type="cellIs" dxfId="48" priority="56" stopIfTrue="1" operator="equal">
      <formula>0</formula>
    </cfRule>
  </conditionalFormatting>
  <conditionalFormatting sqref="A112:C112">
    <cfRule type="cellIs" dxfId="47" priority="53" stopIfTrue="1" operator="equal">
      <formula>A111</formula>
    </cfRule>
    <cfRule type="cellIs" dxfId="46" priority="54" stopIfTrue="1" operator="equal">
      <formula>0</formula>
    </cfRule>
  </conditionalFormatting>
  <conditionalFormatting sqref="A113:C113">
    <cfRule type="cellIs" dxfId="45" priority="51" stopIfTrue="1" operator="equal">
      <formula>A112</formula>
    </cfRule>
    <cfRule type="cellIs" dxfId="44" priority="52" stopIfTrue="1" operator="equal">
      <formula>0</formula>
    </cfRule>
  </conditionalFormatting>
  <conditionalFormatting sqref="A114:C114">
    <cfRule type="cellIs" dxfId="43" priority="49" stopIfTrue="1" operator="equal">
      <formula>A113</formula>
    </cfRule>
    <cfRule type="cellIs" dxfId="42" priority="50" stopIfTrue="1" operator="equal">
      <formula>0</formula>
    </cfRule>
  </conditionalFormatting>
  <conditionalFormatting sqref="A115:C115">
    <cfRule type="cellIs" dxfId="41" priority="47" stopIfTrue="1" operator="equal">
      <formula>A114</formula>
    </cfRule>
    <cfRule type="cellIs" dxfId="40" priority="48" stopIfTrue="1" operator="equal">
      <formula>0</formula>
    </cfRule>
  </conditionalFormatting>
  <conditionalFormatting sqref="A116:C116">
    <cfRule type="cellIs" dxfId="39" priority="45" stopIfTrue="1" operator="equal">
      <formula>A115</formula>
    </cfRule>
    <cfRule type="cellIs" dxfId="38" priority="46" stopIfTrue="1" operator="equal">
      <formula>0</formula>
    </cfRule>
  </conditionalFormatting>
  <conditionalFormatting sqref="A117:C117">
    <cfRule type="cellIs" dxfId="37" priority="43" stopIfTrue="1" operator="equal">
      <formula>A116</formula>
    </cfRule>
    <cfRule type="cellIs" dxfId="36" priority="44" stopIfTrue="1" operator="equal">
      <formula>0</formula>
    </cfRule>
  </conditionalFormatting>
  <conditionalFormatting sqref="A118:C118">
    <cfRule type="cellIs" dxfId="35" priority="41" stopIfTrue="1" operator="equal">
      <formula>A117</formula>
    </cfRule>
    <cfRule type="cellIs" dxfId="34" priority="42" stopIfTrue="1" operator="equal">
      <formula>0</formula>
    </cfRule>
  </conditionalFormatting>
  <conditionalFormatting sqref="A119:C119">
    <cfRule type="cellIs" dxfId="33" priority="39" stopIfTrue="1" operator="equal">
      <formula>A118</formula>
    </cfRule>
    <cfRule type="cellIs" dxfId="32" priority="40" stopIfTrue="1" operator="equal">
      <formula>0</formula>
    </cfRule>
  </conditionalFormatting>
  <conditionalFormatting sqref="A120:C120">
    <cfRule type="cellIs" dxfId="31" priority="37" stopIfTrue="1" operator="equal">
      <formula>A119</formula>
    </cfRule>
    <cfRule type="cellIs" dxfId="30" priority="38" stopIfTrue="1" operator="equal">
      <formula>0</formula>
    </cfRule>
  </conditionalFormatting>
  <conditionalFormatting sqref="A128:C128">
    <cfRule type="cellIs" dxfId="29" priority="33" stopIfTrue="1" operator="equal">
      <formula>A127</formula>
    </cfRule>
    <cfRule type="cellIs" dxfId="28" priority="34" stopIfTrue="1" operator="equal">
      <formula>0</formula>
    </cfRule>
  </conditionalFormatting>
  <conditionalFormatting sqref="A129:C129">
    <cfRule type="cellIs" dxfId="27" priority="31" stopIfTrue="1" operator="equal">
      <formula>A128</formula>
    </cfRule>
    <cfRule type="cellIs" dxfId="26" priority="32" stopIfTrue="1" operator="equal">
      <formula>0</formula>
    </cfRule>
  </conditionalFormatting>
  <conditionalFormatting sqref="A130:C130">
    <cfRule type="cellIs" dxfId="25" priority="29" stopIfTrue="1" operator="equal">
      <formula>A129</formula>
    </cfRule>
    <cfRule type="cellIs" dxfId="24" priority="30" stopIfTrue="1" operator="equal">
      <formula>0</formula>
    </cfRule>
  </conditionalFormatting>
  <conditionalFormatting sqref="A131:C131">
    <cfRule type="cellIs" dxfId="23" priority="27" stopIfTrue="1" operator="equal">
      <formula>A130</formula>
    </cfRule>
    <cfRule type="cellIs" dxfId="22" priority="28" stopIfTrue="1" operator="equal">
      <formula>0</formula>
    </cfRule>
  </conditionalFormatting>
  <conditionalFormatting sqref="A132:C132">
    <cfRule type="cellIs" dxfId="21" priority="25" stopIfTrue="1" operator="equal">
      <formula>A131</formula>
    </cfRule>
    <cfRule type="cellIs" dxfId="20" priority="26" stopIfTrue="1" operator="equal">
      <formula>0</formula>
    </cfRule>
  </conditionalFormatting>
  <conditionalFormatting sqref="A133:C133">
    <cfRule type="cellIs" dxfId="19" priority="23" stopIfTrue="1" operator="equal">
      <formula>A132</formula>
    </cfRule>
    <cfRule type="cellIs" dxfId="18" priority="24" stopIfTrue="1" operator="equal">
      <formula>0</formula>
    </cfRule>
  </conditionalFormatting>
  <conditionalFormatting sqref="A134:C134">
    <cfRule type="cellIs" dxfId="17" priority="21" stopIfTrue="1" operator="equal">
      <formula>A133</formula>
    </cfRule>
    <cfRule type="cellIs" dxfId="16" priority="22" stopIfTrue="1" operator="equal">
      <formula>0</formula>
    </cfRule>
  </conditionalFormatting>
  <conditionalFormatting sqref="A135:C135">
    <cfRule type="cellIs" dxfId="15" priority="19" stopIfTrue="1" operator="equal">
      <formula>A134</formula>
    </cfRule>
    <cfRule type="cellIs" dxfId="14" priority="20" stopIfTrue="1" operator="equal">
      <formula>0</formula>
    </cfRule>
  </conditionalFormatting>
  <conditionalFormatting sqref="A136:C136">
    <cfRule type="cellIs" dxfId="13" priority="17" stopIfTrue="1" operator="equal">
      <formula>A135</formula>
    </cfRule>
    <cfRule type="cellIs" dxfId="12" priority="18" stopIfTrue="1" operator="equal">
      <formula>0</formula>
    </cfRule>
  </conditionalFormatting>
  <conditionalFormatting sqref="A137:C137">
    <cfRule type="cellIs" dxfId="11" priority="15" stopIfTrue="1" operator="equal">
      <formula>A136</formula>
    </cfRule>
    <cfRule type="cellIs" dxfId="10" priority="16" stopIfTrue="1" operator="equal">
      <formula>0</formula>
    </cfRule>
  </conditionalFormatting>
  <conditionalFormatting sqref="A138:C138">
    <cfRule type="cellIs" dxfId="9" priority="13" stopIfTrue="1" operator="equal">
      <formula>A137</formula>
    </cfRule>
    <cfRule type="cellIs" dxfId="8" priority="14" stopIfTrue="1" operator="equal">
      <formula>0</formula>
    </cfRule>
  </conditionalFormatting>
  <conditionalFormatting sqref="A139:C139">
    <cfRule type="cellIs" dxfId="7" priority="11" stopIfTrue="1" operator="equal">
      <formula>A138</formula>
    </cfRule>
    <cfRule type="cellIs" dxfId="6" priority="12" stopIfTrue="1" operator="equal">
      <formula>0</formula>
    </cfRule>
  </conditionalFormatting>
  <conditionalFormatting sqref="A140:C140">
    <cfRule type="cellIs" dxfId="5" priority="9" stopIfTrue="1" operator="equal">
      <formula>A139</formula>
    </cfRule>
    <cfRule type="cellIs" dxfId="4" priority="10" stopIfTrue="1" operator="equal">
      <formula>0</formula>
    </cfRule>
  </conditionalFormatting>
  <conditionalFormatting sqref="A141:C141">
    <cfRule type="cellIs" dxfId="3" priority="7" stopIfTrue="1" operator="equal">
      <formula>A140</formula>
    </cfRule>
    <cfRule type="cellIs" dxfId="2" priority="8" stopIfTrue="1" operator="equal">
      <formula>0</formula>
    </cfRule>
  </conditionalFormatting>
  <conditionalFormatting sqref="A142:C142">
    <cfRule type="cellIs" dxfId="1" priority="5" stopIfTrue="1" operator="equal">
      <formula>A141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КПК0113032</vt:lpstr>
      <vt:lpstr>'Додаток2 КПК0113032'!Область_печати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2024-11-11T11:10:09Z</dcterms:modified>
</cp:coreProperties>
</file>