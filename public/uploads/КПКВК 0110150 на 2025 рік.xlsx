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7E85B2F7-7EE6-4044-8B21-9B001251B2A9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0150" sheetId="6" r:id="rId1"/>
  </sheets>
  <definedNames>
    <definedName name="_xlnm.Print_Area" localSheetId="0">'Додаток2 КПК0110150'!$A$1:$BY$425</definedName>
  </definedNames>
  <calcPr calcId="191029"/>
</workbook>
</file>

<file path=xl/calcChain.xml><?xml version="1.0" encoding="utf-8"?>
<calcChain xmlns="http://schemas.openxmlformats.org/spreadsheetml/2006/main">
  <c r="BH393" i="6" l="1"/>
  <c r="AT393" i="6"/>
  <c r="AJ393" i="6"/>
  <c r="BH392" i="6"/>
  <c r="AT392" i="6"/>
  <c r="AJ392" i="6"/>
  <c r="BH391" i="6"/>
  <c r="AT391" i="6"/>
  <c r="AJ391" i="6"/>
  <c r="BH390" i="6"/>
  <c r="AT390" i="6"/>
  <c r="AJ390" i="6"/>
  <c r="BH389" i="6"/>
  <c r="AT389" i="6"/>
  <c r="AJ389" i="6"/>
  <c r="BH388" i="6"/>
  <c r="AT388" i="6"/>
  <c r="AJ388" i="6"/>
  <c r="BH387" i="6"/>
  <c r="AT387" i="6"/>
  <c r="AJ387" i="6"/>
  <c r="BH386" i="6"/>
  <c r="AT386" i="6"/>
  <c r="AJ386" i="6"/>
  <c r="BH385" i="6"/>
  <c r="AT385" i="6"/>
  <c r="AJ385" i="6"/>
  <c r="BH384" i="6"/>
  <c r="AT384" i="6"/>
  <c r="AJ384" i="6"/>
  <c r="BH383" i="6"/>
  <c r="AT383" i="6"/>
  <c r="AJ383" i="6"/>
  <c r="BH382" i="6"/>
  <c r="AT382" i="6"/>
  <c r="AJ382" i="6"/>
  <c r="BH381" i="6"/>
  <c r="AT381" i="6"/>
  <c r="AJ381" i="6"/>
  <c r="BH380" i="6"/>
  <c r="AT380" i="6"/>
  <c r="AJ380" i="6"/>
  <c r="BH379" i="6"/>
  <c r="AT379" i="6"/>
  <c r="AJ379" i="6"/>
  <c r="BG370" i="6"/>
  <c r="AQ370" i="6"/>
  <c r="BG369" i="6"/>
  <c r="AQ369" i="6"/>
  <c r="BG368" i="6"/>
  <c r="AQ368" i="6"/>
  <c r="BG367" i="6"/>
  <c r="AQ367" i="6"/>
  <c r="BG366" i="6"/>
  <c r="AQ366" i="6"/>
  <c r="BG365" i="6"/>
  <c r="AQ365" i="6"/>
  <c r="BG364" i="6"/>
  <c r="AQ364" i="6"/>
  <c r="BG363" i="6"/>
  <c r="AQ363" i="6"/>
  <c r="BG362" i="6"/>
  <c r="AQ362" i="6"/>
  <c r="BG361" i="6"/>
  <c r="AQ361" i="6"/>
  <c r="BG360" i="6"/>
  <c r="AQ360" i="6"/>
  <c r="BG359" i="6"/>
  <c r="AQ359" i="6"/>
  <c r="BG358" i="6"/>
  <c r="AQ358" i="6"/>
  <c r="BG357" i="6"/>
  <c r="AQ357" i="6"/>
  <c r="BG356" i="6"/>
  <c r="AQ356" i="6"/>
  <c r="AZ336" i="6"/>
  <c r="AK336" i="6"/>
  <c r="BO328" i="6"/>
  <c r="AZ328" i="6"/>
  <c r="AK328" i="6"/>
  <c r="BD256" i="6"/>
  <c r="AJ256" i="6"/>
  <c r="BD255" i="6"/>
  <c r="AJ255" i="6"/>
  <c r="BD254" i="6"/>
  <c r="AJ254" i="6"/>
  <c r="BD253" i="6"/>
  <c r="AJ253" i="6"/>
  <c r="BD252" i="6"/>
  <c r="AJ252" i="6"/>
  <c r="BD251" i="6"/>
  <c r="AJ251" i="6"/>
  <c r="BD250" i="6"/>
  <c r="AJ250" i="6"/>
  <c r="BD249" i="6"/>
  <c r="AJ249" i="6"/>
  <c r="BD248" i="6"/>
  <c r="AJ248" i="6"/>
  <c r="BD247" i="6"/>
  <c r="AJ247" i="6"/>
  <c r="BD246" i="6"/>
  <c r="AJ246" i="6"/>
  <c r="BD245" i="6"/>
  <c r="AJ245" i="6"/>
  <c r="BD244" i="6"/>
  <c r="AJ244" i="6"/>
  <c r="BD243" i="6"/>
  <c r="AJ243" i="6"/>
  <c r="BD242" i="6"/>
  <c r="AJ242" i="6"/>
  <c r="BD241" i="6"/>
  <c r="AJ241" i="6"/>
  <c r="BD240" i="6"/>
  <c r="AJ240" i="6"/>
  <c r="BD239" i="6"/>
  <c r="AJ239" i="6"/>
  <c r="BD238" i="6"/>
  <c r="AJ238" i="6"/>
  <c r="BD237" i="6"/>
  <c r="AJ237" i="6"/>
  <c r="BD236" i="6"/>
  <c r="AJ236" i="6"/>
  <c r="BD235" i="6"/>
  <c r="AJ235" i="6"/>
  <c r="BD234" i="6"/>
  <c r="AJ234" i="6"/>
  <c r="BD233" i="6"/>
  <c r="AJ233" i="6"/>
  <c r="BD232" i="6"/>
  <c r="AJ232" i="6"/>
  <c r="BD231" i="6"/>
  <c r="AJ231" i="6"/>
  <c r="BD230" i="6"/>
  <c r="AJ230" i="6"/>
  <c r="BD229" i="6"/>
  <c r="AJ229" i="6"/>
  <c r="BD228" i="6"/>
  <c r="AJ228" i="6"/>
  <c r="BD227" i="6"/>
  <c r="AJ227" i="6"/>
  <c r="BD226" i="6"/>
  <c r="AJ226" i="6"/>
  <c r="BD225" i="6"/>
  <c r="AJ225" i="6"/>
  <c r="BD224" i="6"/>
  <c r="AJ224" i="6"/>
  <c r="BD223" i="6"/>
  <c r="AJ223" i="6"/>
  <c r="BD222" i="6"/>
  <c r="AJ222" i="6"/>
  <c r="BD221" i="6"/>
  <c r="AJ221" i="6"/>
  <c r="BD220" i="6"/>
  <c r="AJ220" i="6"/>
  <c r="BD219" i="6"/>
  <c r="AJ219" i="6"/>
  <c r="BD218" i="6"/>
  <c r="AJ218" i="6"/>
  <c r="BD217" i="6"/>
  <c r="AJ217" i="6"/>
  <c r="BD216" i="6"/>
  <c r="AJ216" i="6"/>
  <c r="BD215" i="6"/>
  <c r="AJ215" i="6"/>
  <c r="BD214" i="6"/>
  <c r="AJ214" i="6"/>
  <c r="BD213" i="6"/>
  <c r="AJ213" i="6"/>
  <c r="BD212" i="6"/>
  <c r="AJ212" i="6"/>
  <c r="BD211" i="6"/>
  <c r="AJ211" i="6"/>
  <c r="BD210" i="6"/>
  <c r="AJ210" i="6"/>
  <c r="BD209" i="6"/>
  <c r="AJ209" i="6"/>
  <c r="BD208" i="6"/>
  <c r="AJ208" i="6"/>
  <c r="BD207" i="6"/>
  <c r="AJ207" i="6"/>
  <c r="BD206" i="6"/>
  <c r="AJ206" i="6"/>
  <c r="BD205" i="6"/>
  <c r="AJ205" i="6"/>
  <c r="BD204" i="6"/>
  <c r="AJ204" i="6"/>
  <c r="BD203" i="6"/>
  <c r="AJ203" i="6"/>
  <c r="BD202" i="6"/>
  <c r="AJ202" i="6"/>
  <c r="BD201" i="6"/>
  <c r="AJ201" i="6"/>
  <c r="BD200" i="6"/>
  <c r="AJ200" i="6"/>
  <c r="BD199" i="6"/>
  <c r="AJ199" i="6"/>
  <c r="BD198" i="6"/>
  <c r="AJ198" i="6"/>
  <c r="BD197" i="6"/>
  <c r="AJ197" i="6"/>
  <c r="BD196" i="6"/>
  <c r="AJ196" i="6"/>
  <c r="BD195" i="6"/>
  <c r="AJ195" i="6"/>
  <c r="BU187" i="6"/>
  <c r="BB187" i="6"/>
  <c r="AI187" i="6"/>
  <c r="BU186" i="6"/>
  <c r="BB186" i="6"/>
  <c r="AI186" i="6"/>
  <c r="BU185" i="6"/>
  <c r="BB185" i="6"/>
  <c r="AI185" i="6"/>
  <c r="BU184" i="6"/>
  <c r="BB184" i="6"/>
  <c r="AI184" i="6"/>
  <c r="BU183" i="6"/>
  <c r="BB183" i="6"/>
  <c r="AI183" i="6"/>
  <c r="BU182" i="6"/>
  <c r="BB182" i="6"/>
  <c r="AI182" i="6"/>
  <c r="BU181" i="6"/>
  <c r="BB181" i="6"/>
  <c r="AI181" i="6"/>
  <c r="BU180" i="6"/>
  <c r="BB180" i="6"/>
  <c r="AI180" i="6"/>
  <c r="BU179" i="6"/>
  <c r="BB179" i="6"/>
  <c r="AI179" i="6"/>
  <c r="BU178" i="6"/>
  <c r="BB178" i="6"/>
  <c r="AI178" i="6"/>
  <c r="BU177" i="6"/>
  <c r="BB177" i="6"/>
  <c r="AI177" i="6"/>
  <c r="BU176" i="6"/>
  <c r="BB176" i="6"/>
  <c r="AI176" i="6"/>
  <c r="BU175" i="6"/>
  <c r="BB175" i="6"/>
  <c r="AI175" i="6"/>
  <c r="BU174" i="6"/>
  <c r="BB174" i="6"/>
  <c r="AI174" i="6"/>
  <c r="BU173" i="6"/>
  <c r="BB173" i="6"/>
  <c r="AI173" i="6"/>
  <c r="BU172" i="6"/>
  <c r="BB172" i="6"/>
  <c r="AI172" i="6"/>
  <c r="BU171" i="6"/>
  <c r="BB171" i="6"/>
  <c r="AI171" i="6"/>
  <c r="BU170" i="6"/>
  <c r="BB170" i="6"/>
  <c r="AI170" i="6"/>
  <c r="BU169" i="6"/>
  <c r="BB169" i="6"/>
  <c r="AI169" i="6"/>
  <c r="BU168" i="6"/>
  <c r="BB168" i="6"/>
  <c r="AI168" i="6"/>
  <c r="BU167" i="6"/>
  <c r="BB167" i="6"/>
  <c r="AI167" i="6"/>
  <c r="BU166" i="6"/>
  <c r="BB166" i="6"/>
  <c r="AI166" i="6"/>
  <c r="BU165" i="6"/>
  <c r="BB165" i="6"/>
  <c r="AI165" i="6"/>
  <c r="BU164" i="6"/>
  <c r="BB164" i="6"/>
  <c r="AI164" i="6"/>
  <c r="BU163" i="6"/>
  <c r="BB163" i="6"/>
  <c r="AI163" i="6"/>
  <c r="BU162" i="6"/>
  <c r="BB162" i="6"/>
  <c r="AI162" i="6"/>
  <c r="BU161" i="6"/>
  <c r="BB161" i="6"/>
  <c r="AI161" i="6"/>
  <c r="BU160" i="6"/>
  <c r="BB160" i="6"/>
  <c r="AI160" i="6"/>
  <c r="BU159" i="6"/>
  <c r="BB159" i="6"/>
  <c r="AI159" i="6"/>
  <c r="BU158" i="6"/>
  <c r="BB158" i="6"/>
  <c r="AI158" i="6"/>
  <c r="BU157" i="6"/>
  <c r="BB157" i="6"/>
  <c r="AI157" i="6"/>
  <c r="BU156" i="6"/>
  <c r="BB156" i="6"/>
  <c r="AI156" i="6"/>
  <c r="BU155" i="6"/>
  <c r="BB155" i="6"/>
  <c r="AI155" i="6"/>
  <c r="BU154" i="6"/>
  <c r="BB154" i="6"/>
  <c r="AI154" i="6"/>
  <c r="BU153" i="6"/>
  <c r="BB153" i="6"/>
  <c r="AI153" i="6"/>
  <c r="BU152" i="6"/>
  <c r="BB152" i="6"/>
  <c r="AI152" i="6"/>
  <c r="BU151" i="6"/>
  <c r="BB151" i="6"/>
  <c r="AI151" i="6"/>
  <c r="BU150" i="6"/>
  <c r="BB150" i="6"/>
  <c r="AI150" i="6"/>
  <c r="BU149" i="6"/>
  <c r="BB149" i="6"/>
  <c r="AI149" i="6"/>
  <c r="BU148" i="6"/>
  <c r="BB148" i="6"/>
  <c r="AI148" i="6"/>
  <c r="BU147" i="6"/>
  <c r="BB147" i="6"/>
  <c r="AI147" i="6"/>
  <c r="BU146" i="6"/>
  <c r="BB146" i="6"/>
  <c r="AI146" i="6"/>
  <c r="BU145" i="6"/>
  <c r="BB145" i="6"/>
  <c r="AI145" i="6"/>
  <c r="BU144" i="6"/>
  <c r="BB144" i="6"/>
  <c r="AI144" i="6"/>
  <c r="BU143" i="6"/>
  <c r="BB143" i="6"/>
  <c r="AI143" i="6"/>
  <c r="BU142" i="6"/>
  <c r="BB142" i="6"/>
  <c r="AI142" i="6"/>
  <c r="BU141" i="6"/>
  <c r="BB141" i="6"/>
  <c r="AI141" i="6"/>
  <c r="BU140" i="6"/>
  <c r="BB140" i="6"/>
  <c r="AI140" i="6"/>
  <c r="BU139" i="6"/>
  <c r="BB139" i="6"/>
  <c r="AI139" i="6"/>
  <c r="BU138" i="6"/>
  <c r="BB138" i="6"/>
  <c r="AI138" i="6"/>
  <c r="BU137" i="6"/>
  <c r="BB137" i="6"/>
  <c r="AI137" i="6"/>
  <c r="BU136" i="6"/>
  <c r="BB136" i="6"/>
  <c r="AI136" i="6"/>
  <c r="BU135" i="6"/>
  <c r="BB135" i="6"/>
  <c r="AI135" i="6"/>
  <c r="BU134" i="6"/>
  <c r="BB134" i="6"/>
  <c r="AI134" i="6"/>
  <c r="BU133" i="6"/>
  <c r="BB133" i="6"/>
  <c r="AI133" i="6"/>
  <c r="BU132" i="6"/>
  <c r="BB132" i="6"/>
  <c r="AI132" i="6"/>
  <c r="BU131" i="6"/>
  <c r="BB131" i="6"/>
  <c r="AI131" i="6"/>
  <c r="BU130" i="6"/>
  <c r="BB130" i="6"/>
  <c r="AI130" i="6"/>
  <c r="BU129" i="6"/>
  <c r="BB129" i="6"/>
  <c r="AI129" i="6"/>
  <c r="BU128" i="6"/>
  <c r="BB128" i="6"/>
  <c r="AI128" i="6"/>
  <c r="BU127" i="6"/>
  <c r="BB127" i="6"/>
  <c r="AI127" i="6"/>
  <c r="BU126" i="6"/>
  <c r="BB126" i="6"/>
  <c r="AI126" i="6"/>
  <c r="BG117" i="6"/>
  <c r="AM117" i="6"/>
  <c r="BG109" i="6"/>
  <c r="AM109" i="6"/>
  <c r="BG108" i="6"/>
  <c r="AM108" i="6"/>
  <c r="BG107" i="6"/>
  <c r="AM107" i="6"/>
  <c r="BG106" i="6"/>
  <c r="AM106" i="6"/>
  <c r="BG105" i="6"/>
  <c r="AM105" i="6"/>
  <c r="BG104" i="6"/>
  <c r="AM104" i="6"/>
  <c r="BG103" i="6"/>
  <c r="AM103" i="6"/>
  <c r="BG102" i="6"/>
  <c r="AM102" i="6"/>
  <c r="BG101" i="6"/>
  <c r="AM101" i="6"/>
  <c r="BG100" i="6"/>
  <c r="AM100" i="6"/>
  <c r="BG99" i="6"/>
  <c r="AM99" i="6"/>
  <c r="BG98" i="6"/>
  <c r="AM98" i="6"/>
  <c r="BG97" i="6"/>
  <c r="AM97" i="6"/>
  <c r="BG96" i="6"/>
  <c r="AM96" i="6"/>
  <c r="BG95" i="6"/>
  <c r="AM95" i="6"/>
  <c r="BG94" i="6"/>
  <c r="AM94" i="6"/>
  <c r="BU86" i="6"/>
  <c r="BB86" i="6"/>
  <c r="AI86" i="6"/>
  <c r="BU78" i="6"/>
  <c r="BB78" i="6"/>
  <c r="AI78" i="6"/>
  <c r="BU77" i="6"/>
  <c r="BB77" i="6"/>
  <c r="AI77" i="6"/>
  <c r="BU76" i="6"/>
  <c r="BB76" i="6"/>
  <c r="AI76" i="6"/>
  <c r="BU75" i="6"/>
  <c r="BB75" i="6"/>
  <c r="AI75" i="6"/>
  <c r="BU74" i="6"/>
  <c r="BB74" i="6"/>
  <c r="AI74" i="6"/>
  <c r="BU73" i="6"/>
  <c r="BB73" i="6"/>
  <c r="AI73" i="6"/>
  <c r="BU72" i="6"/>
  <c r="BB72" i="6"/>
  <c r="AI72" i="6"/>
  <c r="BU71" i="6"/>
  <c r="BB71" i="6"/>
  <c r="AI71" i="6"/>
  <c r="BU70" i="6"/>
  <c r="BB70" i="6"/>
  <c r="AI70" i="6"/>
  <c r="BU69" i="6"/>
  <c r="BB69" i="6"/>
  <c r="AI69" i="6"/>
  <c r="BU68" i="6"/>
  <c r="BB68" i="6"/>
  <c r="AI68" i="6"/>
  <c r="BU67" i="6"/>
  <c r="BB67" i="6"/>
  <c r="AI67" i="6"/>
  <c r="BU66" i="6"/>
  <c r="BB66" i="6"/>
  <c r="AI66" i="6"/>
  <c r="BU65" i="6"/>
  <c r="BB65" i="6"/>
  <c r="AI65" i="6"/>
  <c r="BU64" i="6"/>
  <c r="BB64" i="6"/>
  <c r="AI64" i="6"/>
  <c r="BU63" i="6"/>
  <c r="BB63" i="6"/>
  <c r="AI63" i="6"/>
  <c r="BG54" i="6"/>
  <c r="AM54" i="6"/>
  <c r="BG53" i="6"/>
  <c r="AM53" i="6"/>
  <c r="BG52" i="6"/>
  <c r="AM52" i="6"/>
  <c r="BG51" i="6"/>
  <c r="AM51" i="6"/>
  <c r="BG50" i="6"/>
  <c r="AM50" i="6"/>
  <c r="BG49" i="6"/>
  <c r="AM49" i="6"/>
  <c r="BG48" i="6"/>
  <c r="AM48" i="6"/>
  <c r="BG47" i="6"/>
  <c r="AM47" i="6"/>
  <c r="BG46" i="6"/>
  <c r="AM46" i="6"/>
  <c r="BU38" i="6"/>
  <c r="BB38" i="6"/>
  <c r="AI38" i="6"/>
  <c r="BU37" i="6"/>
  <c r="BB37" i="6"/>
  <c r="AI37" i="6"/>
  <c r="BU36" i="6"/>
  <c r="BB36" i="6"/>
  <c r="AI36" i="6"/>
  <c r="BU35" i="6"/>
  <c r="BB35" i="6"/>
  <c r="AI35" i="6"/>
  <c r="BU34" i="6"/>
  <c r="BB34" i="6"/>
  <c r="AI34" i="6"/>
  <c r="BU33" i="6"/>
  <c r="BB33" i="6"/>
  <c r="AI33" i="6"/>
  <c r="BU32" i="6"/>
  <c r="BB32" i="6"/>
  <c r="AI32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<sst xmlns="http://schemas.openxmlformats.org/spreadsheetml/2006/main" count="944" uniqueCount="342">
  <si>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</si>
  <si>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</si>
  <si>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</si>
  <si>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</si>
  <si>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</si>
  <si>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</si>
  <si>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</si>
  <si>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</si>
  <si>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</si>
  <si>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</si>
  <si>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</si>
  <si>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</si>
  <si>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</si>
  <si>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</si>
  <si>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</si>
  <si>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</si>
  <si>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</si>
  <si>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</si>
  <si>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</si>
  <si>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</si>
  <si>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</si>
  <si>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</si>
  <si>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</si>
  <si>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</si>
  <si>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</si>
  <si>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</si>
  <si>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</si>
  <si>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</si>
  <si>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</si>
  <si>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</si>
  <si>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</si>
  <si>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</si>
  <si>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</si>
  <si>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</si>
  <si>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</si>
  <si>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</si>
  <si>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</si>
  <si>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</si>
  <si>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</si>
  <si>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</si>
  <si>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</si>
  <si>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</si>
  <si>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</si>
  <si>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</si>
  <si>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</si>
  <si>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</si>
  <si>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</si>
  <si>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</si>
  <si>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</si>
  <si>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</si>
  <si>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</si>
  <si>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</si>
  <si>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</si>
  <si>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</si>
  <si>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</si>
  <si>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</si>
  <si>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</si>
  <si>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</si>
  <si>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</si>
  <si>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</si>
  <si>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</si>
  <si>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</si>
  <si>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</si>
  <si>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</si>
  <si>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</si>
  <si>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</si>
  <si>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</si>
  <si>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</si>
  <si>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</si>
  <si>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</si>
  <si>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</si>
  <si>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</si>
  <si>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</si>
  <si>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</si>
  <si>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</si>
  <si>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</si>
  <si>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</si>
  <si>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</si>
  <si>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</si>
  <si>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</si>
  <si>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</si>
  <si>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</si>
  <si>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</si>
  <si>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</si>
  <si>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</si>
  <si>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</si>
  <si>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</si>
  <si>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</si>
  <si>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</si>
  <si>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</si>
  <si>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</si>
  <si>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</si>
  <si>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</si>
  <si>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</si>
  <si>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</si>
  <si>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</si>
  <si>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</si>
  <si>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</si>
  <si>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</si>
  <si>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</si>
  <si>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</si>
  <si>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</si>
  <si>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</si>
  <si>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</si>
  <si>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</si>
  <si>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</si>
  <si>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</si>
  <si>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</si>
  <si>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</si>
  <si>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</si>
  <si>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</si>
  <si>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</si>
  <si>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</si>
  <si>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</si>
  <si>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</si>
  <si>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</si>
  <si>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</si>
  <si>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</si>
  <si>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</si>
  <si>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</si>
  <si>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</si>
  <si>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</si>
  <si>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</si>
  <si>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</si>
  <si>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</si>
  <si>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</si>
  <si>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</si>
  <si>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</si>
  <si>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</si>
  <si>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</si>
  <si>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</si>
  <si>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</si>
  <si>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</si>
  <si>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</si>
  <si>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</si>
  <si>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</si>
  <si>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</si>
  <si>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</si>
  <si>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</si>
  <si>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</si>
  <si>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</si>
  <si>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</si>
  <si>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</si>
  <si>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</si>
  <si>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</si>
  <si>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</si>
  <si>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</si>
  <si>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</si>
  <si>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</si>
  <si>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</si>
  <si>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</si>
  <si>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</si>
  <si>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</si>
  <si>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</si>
  <si>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</si>
  <si>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</si>
  <si>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</si>
  <si>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</si>
  <si>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</si>
  <si>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</si>
  <si>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</si>
  <si>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</si>
  <si>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</si>
  <si>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</si>
  <si>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</si>
  <si>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</si>
  <si>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</si>
  <si>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</si>
  <si>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</si>
  <si>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</si>
  <si>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</si>
  <si>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</si>
  <si>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</si>
  <si>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</si>
  <si>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Власні надходження бюджетних установ (розписати за видами надходжень)</t>
  </si>
  <si>
    <t>Плата за оренду майна бюджетних установ, що здійснюється відповідно до Закону України `Про оренду державного та комунального майна`</t>
  </si>
  <si>
    <t>Надходження бюджетних установ від реалізації в установленому порядку майна (крім нерухомого майна)</t>
  </si>
  <si>
    <t>Благодійні внески, гранти та дарунки</t>
  </si>
  <si>
    <t>Надходження, що отримують бюджетні установи від підприємств, організацій, фізичних осіб та від інших бюджетних установ для виконання цільових заходів, у тому числі заходів з відчуження для суспільних потреб земельних ділянок та розміщених на них інших об`</t>
  </si>
  <si>
    <t>Інші надходження спеціального фонду (розписати за видами надходжень)</t>
  </si>
  <si>
    <t>Кошти, що передаються із загального фонду бюджету до бюджету розвитку (спеціального фонду)</t>
  </si>
  <si>
    <t>Заробітна плата</t>
  </si>
  <si>
    <t>Нарахування на оплату праці</t>
  </si>
  <si>
    <t>Предмети, матеріали, обладнання та інвентар</t>
  </si>
  <si>
    <t>Продукти харчування</t>
  </si>
  <si>
    <t>Оплата послуг (крім комунальних)</t>
  </si>
  <si>
    <t>Видатки на відрядження</t>
  </si>
  <si>
    <t>Оплата теплопостачання</t>
  </si>
  <si>
    <t>Оплата водопостачання та водовідведення</t>
  </si>
  <si>
    <t>Оплата електроенергії</t>
  </si>
  <si>
    <t>Оплата природного газу</t>
  </si>
  <si>
    <t>Оплата інших енергоносіїв та інших комунальних послуг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</si>
  <si>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</si>
  <si>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</t>
  </si>
  <si>
    <t>Інші поточні видатки</t>
  </si>
  <si>
    <t>Придбання обладнання і предметів довгострокового користування</t>
  </si>
  <si>
    <t>Оплата послуг на виготовлення технічної документації на об"єкти нерухомого майна</t>
  </si>
  <si>
    <t>Оплата інформаційних послуг</t>
  </si>
  <si>
    <t>Обслуговування газових котлів</t>
  </si>
  <si>
    <t>Оплата експлуатаційних послуг, пов"язаних з утриманням будинків і споруд</t>
  </si>
  <si>
    <t>Оплата за водопостачання</t>
  </si>
  <si>
    <t>Оплата за науково-технічні роботи з розроблення тимчасової індивідуальної базової лінійної норми витрати палива на автомобілі</t>
  </si>
  <si>
    <t>Оплата за природний газ</t>
  </si>
  <si>
    <t>Оплата послуг з виготовлення поліграфічної продукції</t>
  </si>
  <si>
    <t>Оплата послуг з впровадження системи електронного внутрішнього документообігу</t>
  </si>
  <si>
    <t>Оплата послуг з охорони приміщень</t>
  </si>
  <si>
    <t>Оплата послуг з перезарядки картриджів, тонерів</t>
  </si>
  <si>
    <t>Оплата послуг з підвозу питної води</t>
  </si>
  <si>
    <t>Оплата послуг з поточного ремонту транспортних засобів</t>
  </si>
  <si>
    <t>Оплата послуг поводження з побутовими відходами</t>
  </si>
  <si>
    <t>Оплата послуг страхування транспортних засобів</t>
  </si>
  <si>
    <t>Оплата послуг телефонного зв"язку</t>
  </si>
  <si>
    <t>Оплата службових відряджень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</si>
  <si>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</si>
  <si>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Оплата послуг з оцінки комунального майна</t>
  </si>
  <si>
    <t>Придбання або передплата періодчиних, інформаційних видань</t>
  </si>
  <si>
    <t>Придбання дезінфекційних засобів</t>
  </si>
  <si>
    <t>Придбання жалюзі</t>
  </si>
  <si>
    <t>Придбання запасних частин для трансопртних засобів</t>
  </si>
  <si>
    <t>Придбання захищеного носія особистого ключа для адміністраторів</t>
  </si>
  <si>
    <t>Придбання канцелярських предметів та приладдя</t>
  </si>
  <si>
    <t>Придбання комп"ютерної техніки, планшетів для впровадження електронного голосування</t>
  </si>
  <si>
    <t>Придбання матеріалів, інвентарю та інструментів для господарської діяльності</t>
  </si>
  <si>
    <t>Придбання пально-мастильних матеріалів</t>
  </si>
  <si>
    <t>Оплата послуг з поточного ремонту кондиціонерів</t>
  </si>
  <si>
    <t>Придбання електронних періодичних видань (погашення кредиторської заборгованості станом на 01.01.2023)</t>
  </si>
  <si>
    <t>Оплата консультаційних послуг з питань систем і технічних питань</t>
  </si>
  <si>
    <t>Оплата послуг за оренду POS-терміналу</t>
  </si>
  <si>
    <t>Оплата послуг з експлуатації сервера</t>
  </si>
  <si>
    <t>Придбання службових автомобілів</t>
  </si>
  <si>
    <t>Оплата консультативних послуг, зокрема пов"язаних з погодженням технічної документації із землеустрою із внесенням відомостей до ДЗК</t>
  </si>
  <si>
    <t>Судові збори, штрафи, пені</t>
  </si>
  <si>
    <t>Оплата послуг сторонніх фахівців щодо управління договірною діяльністю на право користуватися земельною ділянкою відповідно до Земельного кодексу України</t>
  </si>
  <si>
    <t>Сплата збору на обов"язкове пенсійне страхування при першій державній реєстрації легкових автомобілів</t>
  </si>
  <si>
    <t>Оплата послуг у сфері інформатизації</t>
  </si>
  <si>
    <t>Придбання комплектувальних виробів і деталей для ремонту виробничого та невиробничого обладнання (придбання стелажів)</t>
  </si>
  <si>
    <t>Оплата послуг з виготовлення технічних умов</t>
  </si>
  <si>
    <t>Придбання конвертів і марок для відправки службової кореспонденції</t>
  </si>
  <si>
    <t>Оплата послуг з перезарядки вогнегасників</t>
  </si>
  <si>
    <t>Оплата послуг з повірки засобів обліку</t>
  </si>
  <si>
    <t>Оплата послуг з перевірки димовентиляційних каналів</t>
  </si>
  <si>
    <t>Оплата послуг з поточного ремонту приміщень</t>
  </si>
  <si>
    <t>Оплата послуг з дистанційного збору даних, формування, обробки і передачі даних комерційного обліку електроенергії за адресою: с-ще Сонячне, вул.Інститутська (амбулаторія)</t>
  </si>
  <si>
    <t>Оплата виготовлення технічної документації на земельні ділянки під об"єктами нерухомого майна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</si>
  <si>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</si>
  <si>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</si>
  <si>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</si>
  <si>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Оплата послуг з розробки ПКД для монтажу обладнання та устаткування мереж газопостачання по об"єкту за адресою: Запорізька область, Запорізький район, с.Миколай-Поле, вул.Центральна, 76</t>
  </si>
  <si>
    <t>Оплата послуг з монтажу обладнання та устаткування мереж  мереж газопостачання по об"єкту за адресою: Запорізька область, Запорізький район, с.Миколай-Поле, вул.Центральна, 76</t>
  </si>
  <si>
    <t>Оплата послуг з підключення до зовнішніх мереж  газопостачання по об"єкту за адресою: Запорізька область, Запорізький район, с.Миколай-Поле, вул.Центральна, 76</t>
  </si>
  <si>
    <t>Оплата виконання пусконалагоджувальних робіт по об"єкту за адресою: Запорізька область, Запорізький район, с.Миколай-Поле, вул.Центральна, 76</t>
  </si>
  <si>
    <t>Оплата послуг з технічних умов водопостачання</t>
  </si>
  <si>
    <t>Оплата послуг з поточного ремонту та технічного обслуговування котельного обладнання внутрішніх мереж теплопостачання будівлі за адресою: вул.Центральна, 1, с.Широке</t>
  </si>
  <si>
    <t>затрат</t>
  </si>
  <si>
    <t xml:space="preserve">formula=RC[-16]+RC[-8]                          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</si>
  <si>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</si>
  <si>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</si>
  <si>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</si>
  <si>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</si>
  <si>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</si>
  <si>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</si>
  <si>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</si>
  <si>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</si>
  <si>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</si>
  <si>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</si>
  <si>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</si>
  <si>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</si>
  <si>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</si>
  <si>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</si>
  <si>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</si>
  <si>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</si>
  <si>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</si>
  <si>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</si>
  <si>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Обов’язкові виплати, у тому числі:</t>
  </si>
  <si>
    <t>посадовий оклад</t>
  </si>
  <si>
    <t>надбавки</t>
  </si>
  <si>
    <t>Премії</t>
  </si>
  <si>
    <t>Матеріальна допомога, у тому числі:</t>
  </si>
  <si>
    <t>на оздоровлення при наданні щорічної відпустки</t>
  </si>
  <si>
    <t>на соціально-побутові потреби</t>
  </si>
  <si>
    <t>Інші виплати</t>
  </si>
  <si>
    <t>у тому числі оплата праці  штатних одиниць за загальним фондом, що враховані також у спеціальному фонді</t>
  </si>
  <si>
    <t>060 - Інші працівники</t>
  </si>
  <si>
    <t>480 - Посадові особи місцевого самоврядування</t>
  </si>
  <si>
    <t>УСЬОГО штатних одиниць</t>
  </si>
  <si>
    <t>з них штатні одиниці за загальним фондом, що враховані також у спеціальному фонді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</si>
  <si>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</si>
  <si>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Забезпечення виконання наданих законодавством повноважень</t>
  </si>
  <si>
    <t>- Бюджетний кодекс України;_x000D_
- Закон України "Про місцеве самоврядування в Україні";_x000D_
- Конституція України;_x000D_
-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-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- 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-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- 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</t>
  </si>
  <si>
    <t>Діяльність сільської ради спрямована на забезпечення виконання  основних завдань та функцій, визначених законодавством України. _x000D_
_x000D_
Розрахунок видатків, затвреджених на 2024 рік забезпечує діяльність Широківської сільської ради необхідними  ресурсами та надає можливість виконувати повноваження в повному обсязі. _x000D_
_x000D_
З метою реалізації бюджетної програми необхідно продовжувати її фінансування в 2025 році.</t>
  </si>
  <si>
    <t>Станом на 01.01.2023 кредиторська заборгованість відсутня. _x000D_
_x000D_
Станом на 01.01.2024 кредиторська заборгованість відсутня._x000D_
_x000D_
Відповідно до положень статті 48 Бюджетного кодексу України із змінами сільською радою реєструються бюджетні зобов’язання та здійснюються платежі тільки в межах бюджетних асигнувань, затверджених кошторисом на 2024 рік. Бюджетні зобов’язання реєструються в Управлінні Державної казначейської служби України у Запорізькому районі відповідно до вимог чинного бюджетного законодавства.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</si>
  <si>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</si>
  <si>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</si>
  <si>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</si>
  <si>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</si>
  <si>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</si>
  <si>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</si>
  <si>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</si>
  <si>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</si>
  <si>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</si>
  <si>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</si>
  <si>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</si>
  <si>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</si>
  <si>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</si>
  <si>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</si>
  <si>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</si>
  <si>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</si>
  <si>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</si>
  <si>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</si>
  <si>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</si>
  <si>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</si>
  <si>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</si>
  <si>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</si>
  <si>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</si>
  <si>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</si>
  <si>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</si>
  <si>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</si>
  <si>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</si>
  <si>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</si>
  <si>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</si>
  <si>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</si>
  <si>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</si>
  <si>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</si>
  <si>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</si>
  <si>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</si>
  <si>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</si>
  <si>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</si>
  <si>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</si>
  <si>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</si>
  <si>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</si>
  <si>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</si>
  <si>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</si>
  <si>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(0)(1)(1)(0)(1)(5)(0)</t>
  </si>
  <si>
    <t>(0)(1)(5)(0)</t>
  </si>
  <si>
    <t>(0)(1)(1)(1)</t>
  </si>
  <si>
    <t>Широківська сільська рада Запорізького району Запорізької області</t>
  </si>
  <si>
    <t>(0)(1)(1)</t>
  </si>
  <si>
    <t>Денис КОРОТЕНКО</t>
  </si>
  <si>
    <t>Одарка СВІРІНА</t>
  </si>
  <si>
    <t>Придбання запасних частин для транспортних засобів</t>
  </si>
  <si>
    <t>Сільський голова</t>
  </si>
  <si>
    <t>Начальник відділу бухгалтерського обліку та звітності-головний бухгалтер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</si>
</sst>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13" fillId="0" borderId="0" xfId="0" applyFont="1"/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right" vertical="center" wrapText="1"/>
    </xf>
    <xf numFmtId="3" fontId="0" fillId="0" borderId="5" xfId="0" applyNumberFormat="1" applyBorder="1" applyAlignment="1">
      <alignment horizontal="righ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2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5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4" fillId="0" borderId="6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0" fillId="0" borderId="6" xfId="0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left" vertical="top" wrapText="1"/>
    </xf>
    <xf numFmtId="0" fontId="10" fillId="0" borderId="6" xfId="0" quotePrefix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16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426"/>
  <sheetViews>
    <sheetView tabSelected="1" topLeftCell="A404" zoomScaleNormal="100" workbookViewId="0">
      <selection activeCell="AD430" sqref="AD430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119" t="s">
        <v>115</v>
      </c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</row>
    <row r="2" spans="1:79" ht="14.25" customHeight="1" x14ac:dyDescent="0.2">
      <c r="A2" s="120" t="s">
        <v>319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20"/>
      <c r="BB2" s="120"/>
      <c r="BC2" s="120"/>
      <c r="BD2" s="120"/>
      <c r="BE2" s="120"/>
      <c r="BF2" s="120"/>
      <c r="BG2" s="120"/>
      <c r="BH2" s="120"/>
      <c r="BI2" s="120"/>
      <c r="BJ2" s="120"/>
      <c r="BK2" s="120"/>
      <c r="BL2" s="120"/>
      <c r="BM2" s="120"/>
      <c r="BN2" s="120"/>
      <c r="BO2" s="120"/>
      <c r="BP2" s="120"/>
      <c r="BQ2" s="120"/>
      <c r="BR2" s="120"/>
      <c r="BS2" s="120"/>
      <c r="BT2" s="120"/>
      <c r="BU2" s="120"/>
      <c r="BV2" s="120"/>
      <c r="BW2" s="120"/>
      <c r="BX2" s="120"/>
      <c r="BY2" s="120"/>
      <c r="BZ2" s="120"/>
    </row>
    <row r="4" spans="1:79" ht="15" customHeight="1" x14ac:dyDescent="0.2">
      <c r="A4" s="10" t="s">
        <v>159</v>
      </c>
      <c r="B4" s="117" t="s">
        <v>292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7"/>
      <c r="AH4" s="111" t="s">
        <v>291</v>
      </c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7"/>
      <c r="AT4" s="113" t="s">
        <v>293</v>
      </c>
      <c r="AU4" s="111"/>
      <c r="AV4" s="111"/>
      <c r="AW4" s="111"/>
      <c r="AX4" s="111"/>
      <c r="AY4" s="111"/>
      <c r="AZ4" s="111"/>
      <c r="BA4" s="111"/>
      <c r="BB4" s="14"/>
      <c r="BC4" s="7"/>
      <c r="BD4" s="7"/>
      <c r="BE4" s="11"/>
      <c r="BF4" s="11"/>
      <c r="BG4" s="11"/>
      <c r="BH4" s="11"/>
      <c r="BI4" s="11"/>
      <c r="BJ4" s="11"/>
      <c r="BK4" s="11"/>
      <c r="BL4" s="11"/>
    </row>
    <row r="5" spans="1:79" ht="24" customHeight="1" x14ac:dyDescent="0.2">
      <c r="A5" s="118" t="s">
        <v>0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6"/>
      <c r="AH5" s="114" t="s">
        <v>160</v>
      </c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6"/>
      <c r="AT5" s="114" t="s">
        <v>157</v>
      </c>
      <c r="AU5" s="114"/>
      <c r="AV5" s="114"/>
      <c r="AW5" s="114"/>
      <c r="AX5" s="114"/>
      <c r="AY5" s="114"/>
      <c r="AZ5" s="114"/>
      <c r="BA5" s="114"/>
      <c r="BB5" s="12"/>
      <c r="BC5" s="6"/>
      <c r="BD5" s="6"/>
      <c r="BE5" s="12"/>
      <c r="BF5" s="12"/>
      <c r="BG5" s="12"/>
      <c r="BH5" s="12"/>
      <c r="BI5" s="12"/>
      <c r="BJ5" s="12"/>
      <c r="BK5" s="12"/>
      <c r="BL5" s="12"/>
    </row>
    <row r="6" spans="1:79" x14ac:dyDescent="0.2">
      <c r="BE6" s="13"/>
      <c r="BF6" s="13"/>
      <c r="BG6" s="13"/>
      <c r="BH6" s="13"/>
      <c r="BI6" s="13"/>
      <c r="BJ6" s="13"/>
      <c r="BK6" s="13"/>
      <c r="BL6" s="13"/>
    </row>
    <row r="7" spans="1:79" ht="15" customHeight="1" x14ac:dyDescent="0.2">
      <c r="A7" s="10" t="s">
        <v>161</v>
      </c>
      <c r="B7" s="117" t="s">
        <v>335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7"/>
      <c r="AH7" s="111" t="s">
        <v>336</v>
      </c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4"/>
      <c r="BC7" s="113" t="s">
        <v>293</v>
      </c>
      <c r="BD7" s="111"/>
      <c r="BE7" s="111"/>
      <c r="BF7" s="111"/>
      <c r="BG7" s="111"/>
      <c r="BH7" s="111"/>
      <c r="BI7" s="111"/>
      <c r="BJ7" s="111"/>
      <c r="BK7" s="14"/>
      <c r="BL7" s="11"/>
      <c r="BP7" s="14"/>
      <c r="BQ7" s="14"/>
      <c r="BR7" s="14"/>
      <c r="BS7" s="14"/>
      <c r="BT7" s="14"/>
      <c r="BU7" s="14"/>
      <c r="BV7" s="14"/>
      <c r="BW7" s="14"/>
    </row>
    <row r="8" spans="1:79" ht="24" customHeight="1" x14ac:dyDescent="0.2">
      <c r="A8" s="118" t="s">
        <v>155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6"/>
      <c r="AH8" s="114" t="s">
        <v>162</v>
      </c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2"/>
      <c r="BC8" s="114" t="s">
        <v>157</v>
      </c>
      <c r="BD8" s="114"/>
      <c r="BE8" s="114"/>
      <c r="BF8" s="114"/>
      <c r="BG8" s="114"/>
      <c r="BH8" s="114"/>
      <c r="BI8" s="114"/>
      <c r="BJ8" s="114"/>
      <c r="BK8" s="12"/>
      <c r="BL8" s="12"/>
      <c r="BP8" s="12"/>
      <c r="BQ8" s="12"/>
      <c r="BR8" s="12"/>
      <c r="BS8" s="12"/>
      <c r="BT8" s="12"/>
      <c r="BU8" s="12"/>
      <c r="BV8" s="12"/>
      <c r="BW8" s="12"/>
    </row>
    <row r="10" spans="1:79" ht="42.75" customHeight="1" x14ac:dyDescent="0.2">
      <c r="A10" s="10" t="s">
        <v>163</v>
      </c>
      <c r="B10" s="111" t="s">
        <v>332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N10" s="111" t="s">
        <v>333</v>
      </c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4"/>
      <c r="AA10" s="111" t="s">
        <v>334</v>
      </c>
      <c r="AB10" s="111"/>
      <c r="AC10" s="111"/>
      <c r="AD10" s="111"/>
      <c r="AE10" s="111"/>
      <c r="AF10" s="111"/>
      <c r="AG10" s="111"/>
      <c r="AH10" s="111"/>
      <c r="AI10" s="111"/>
      <c r="AJ10" s="14"/>
      <c r="AK10" s="112" t="s">
        <v>286</v>
      </c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16"/>
      <c r="BL10" s="113" t="s">
        <v>294</v>
      </c>
      <c r="BM10" s="111"/>
      <c r="BN10" s="111"/>
      <c r="BO10" s="111"/>
      <c r="BP10" s="111"/>
      <c r="BQ10" s="111"/>
      <c r="BR10" s="111"/>
      <c r="BS10" s="111"/>
      <c r="BT10" s="14"/>
      <c r="BU10" s="14"/>
      <c r="BV10" s="14"/>
      <c r="BW10" s="14"/>
      <c r="BX10" s="14"/>
      <c r="BY10" s="14"/>
      <c r="BZ10" s="14"/>
      <c r="CA10" s="14"/>
    </row>
    <row r="11" spans="1:79" ht="25.5" customHeight="1" x14ac:dyDescent="0.2">
      <c r="B11" s="114" t="s">
        <v>164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N11" s="114" t="s">
        <v>166</v>
      </c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2"/>
      <c r="AA11" s="115" t="s">
        <v>167</v>
      </c>
      <c r="AB11" s="115"/>
      <c r="AC11" s="115"/>
      <c r="AD11" s="115"/>
      <c r="AE11" s="115"/>
      <c r="AF11" s="115"/>
      <c r="AG11" s="115"/>
      <c r="AH11" s="115"/>
      <c r="AI11" s="115"/>
      <c r="AJ11" s="12"/>
      <c r="AK11" s="116" t="s">
        <v>165</v>
      </c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5"/>
      <c r="BL11" s="114" t="s">
        <v>158</v>
      </c>
      <c r="BM11" s="114"/>
      <c r="BN11" s="114"/>
      <c r="BO11" s="114"/>
      <c r="BP11" s="114"/>
      <c r="BQ11" s="114"/>
      <c r="BR11" s="114"/>
      <c r="BS11" s="114"/>
      <c r="BT11" s="12"/>
      <c r="BU11" s="12"/>
      <c r="BV11" s="12"/>
      <c r="BW11" s="12"/>
      <c r="BX11" s="12"/>
      <c r="BY11" s="12"/>
      <c r="BZ11" s="12"/>
      <c r="CA11" s="12"/>
    </row>
    <row r="13" spans="1:79" ht="14.25" customHeight="1" x14ac:dyDescent="0.2">
      <c r="A13" s="60" t="s">
        <v>320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</row>
    <row r="14" spans="1:79" ht="14.25" customHeight="1" x14ac:dyDescent="0.2">
      <c r="A14" s="60" t="s">
        <v>148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</row>
    <row r="15" spans="1:79" ht="15" customHeight="1" x14ac:dyDescent="0.2">
      <c r="A15" s="61" t="s">
        <v>286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0" t="s">
        <v>149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0"/>
      <c r="BM17" s="110"/>
      <c r="BN17" s="110"/>
      <c r="BO17" s="110"/>
      <c r="BP17" s="110"/>
      <c r="BQ17" s="110"/>
      <c r="BR17" s="110"/>
      <c r="BS17" s="110"/>
      <c r="BT17" s="110"/>
      <c r="BU17" s="110"/>
      <c r="BV17" s="110"/>
      <c r="BW17" s="110"/>
      <c r="BX17" s="110"/>
      <c r="BY17" s="110"/>
    </row>
    <row r="18" spans="1:79" ht="15" customHeight="1" x14ac:dyDescent="0.2">
      <c r="A18" s="61" t="s">
        <v>287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60" t="s">
        <v>150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</row>
    <row r="21" spans="1:79" ht="135" customHeight="1" x14ac:dyDescent="0.2">
      <c r="A21" s="61" t="s">
        <v>288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60" t="s">
        <v>151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</row>
    <row r="24" spans="1:79" ht="14.25" customHeight="1" x14ac:dyDescent="0.2">
      <c r="A24" s="60" t="s">
        <v>306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</row>
    <row r="25" spans="1:79" ht="15" customHeight="1" x14ac:dyDescent="0.2">
      <c r="A25" s="65" t="s">
        <v>295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</row>
    <row r="26" spans="1:79" ht="15.75" customHeight="1" x14ac:dyDescent="0.2">
      <c r="A26" s="76" t="s">
        <v>2</v>
      </c>
      <c r="B26" s="77"/>
      <c r="C26" s="77"/>
      <c r="D26" s="78"/>
      <c r="E26" s="76" t="s">
        <v>19</v>
      </c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39" t="s">
        <v>296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 t="s">
        <v>299</v>
      </c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 t="s">
        <v>307</v>
      </c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</row>
    <row r="27" spans="1:79" ht="39" customHeight="1" x14ac:dyDescent="0.2">
      <c r="A27" s="79"/>
      <c r="B27" s="80"/>
      <c r="C27" s="80"/>
      <c r="D27" s="81"/>
      <c r="E27" s="79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72" t="s">
        <v>4</v>
      </c>
      <c r="V27" s="73"/>
      <c r="W27" s="73"/>
      <c r="X27" s="73"/>
      <c r="Y27" s="74"/>
      <c r="Z27" s="72" t="s">
        <v>3</v>
      </c>
      <c r="AA27" s="73"/>
      <c r="AB27" s="73"/>
      <c r="AC27" s="73"/>
      <c r="AD27" s="74"/>
      <c r="AE27" s="95" t="s">
        <v>116</v>
      </c>
      <c r="AF27" s="96"/>
      <c r="AG27" s="96"/>
      <c r="AH27" s="97"/>
      <c r="AI27" s="72" t="s">
        <v>5</v>
      </c>
      <c r="AJ27" s="73"/>
      <c r="AK27" s="73"/>
      <c r="AL27" s="73"/>
      <c r="AM27" s="74"/>
      <c r="AN27" s="72" t="s">
        <v>4</v>
      </c>
      <c r="AO27" s="73"/>
      <c r="AP27" s="73"/>
      <c r="AQ27" s="73"/>
      <c r="AR27" s="74"/>
      <c r="AS27" s="72" t="s">
        <v>3</v>
      </c>
      <c r="AT27" s="73"/>
      <c r="AU27" s="73"/>
      <c r="AV27" s="73"/>
      <c r="AW27" s="74"/>
      <c r="AX27" s="95" t="s">
        <v>116</v>
      </c>
      <c r="AY27" s="96"/>
      <c r="AZ27" s="96"/>
      <c r="BA27" s="97"/>
      <c r="BB27" s="72" t="s">
        <v>96</v>
      </c>
      <c r="BC27" s="73"/>
      <c r="BD27" s="73"/>
      <c r="BE27" s="73"/>
      <c r="BF27" s="74"/>
      <c r="BG27" s="72" t="s">
        <v>4</v>
      </c>
      <c r="BH27" s="73"/>
      <c r="BI27" s="73"/>
      <c r="BJ27" s="73"/>
      <c r="BK27" s="74"/>
      <c r="BL27" s="72" t="s">
        <v>3</v>
      </c>
      <c r="BM27" s="73"/>
      <c r="BN27" s="73"/>
      <c r="BO27" s="73"/>
      <c r="BP27" s="74"/>
      <c r="BQ27" s="95" t="s">
        <v>116</v>
      </c>
      <c r="BR27" s="96"/>
      <c r="BS27" s="96"/>
      <c r="BT27" s="97"/>
      <c r="BU27" s="72" t="s">
        <v>97</v>
      </c>
      <c r="BV27" s="73"/>
      <c r="BW27" s="73"/>
      <c r="BX27" s="73"/>
      <c r="BY27" s="74"/>
    </row>
    <row r="28" spans="1:79" ht="15" customHeight="1" x14ac:dyDescent="0.2">
      <c r="A28" s="72">
        <v>1</v>
      </c>
      <c r="B28" s="73"/>
      <c r="C28" s="73"/>
      <c r="D28" s="74"/>
      <c r="E28" s="72">
        <v>2</v>
      </c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2">
        <v>3</v>
      </c>
      <c r="V28" s="73"/>
      <c r="W28" s="73"/>
      <c r="X28" s="73"/>
      <c r="Y28" s="74"/>
      <c r="Z28" s="72">
        <v>4</v>
      </c>
      <c r="AA28" s="73"/>
      <c r="AB28" s="73"/>
      <c r="AC28" s="73"/>
      <c r="AD28" s="74"/>
      <c r="AE28" s="72">
        <v>5</v>
      </c>
      <c r="AF28" s="73"/>
      <c r="AG28" s="73"/>
      <c r="AH28" s="74"/>
      <c r="AI28" s="72">
        <v>6</v>
      </c>
      <c r="AJ28" s="73"/>
      <c r="AK28" s="73"/>
      <c r="AL28" s="73"/>
      <c r="AM28" s="74"/>
      <c r="AN28" s="72">
        <v>7</v>
      </c>
      <c r="AO28" s="73"/>
      <c r="AP28" s="73"/>
      <c r="AQ28" s="73"/>
      <c r="AR28" s="74"/>
      <c r="AS28" s="72">
        <v>8</v>
      </c>
      <c r="AT28" s="73"/>
      <c r="AU28" s="73"/>
      <c r="AV28" s="73"/>
      <c r="AW28" s="74"/>
      <c r="AX28" s="72">
        <v>9</v>
      </c>
      <c r="AY28" s="73"/>
      <c r="AZ28" s="73"/>
      <c r="BA28" s="74"/>
      <c r="BB28" s="72">
        <v>10</v>
      </c>
      <c r="BC28" s="73"/>
      <c r="BD28" s="73"/>
      <c r="BE28" s="73"/>
      <c r="BF28" s="74"/>
      <c r="BG28" s="72">
        <v>11</v>
      </c>
      <c r="BH28" s="73"/>
      <c r="BI28" s="73"/>
      <c r="BJ28" s="73"/>
      <c r="BK28" s="74"/>
      <c r="BL28" s="72">
        <v>12</v>
      </c>
      <c r="BM28" s="73"/>
      <c r="BN28" s="73"/>
      <c r="BO28" s="73"/>
      <c r="BP28" s="74"/>
      <c r="BQ28" s="72">
        <v>13</v>
      </c>
      <c r="BR28" s="73"/>
      <c r="BS28" s="73"/>
      <c r="BT28" s="74"/>
      <c r="BU28" s="72">
        <v>14</v>
      </c>
      <c r="BV28" s="73"/>
      <c r="BW28" s="73"/>
      <c r="BX28" s="73"/>
      <c r="BY28" s="74"/>
    </row>
    <row r="29" spans="1:79" ht="13.5" hidden="1" customHeight="1" x14ac:dyDescent="0.2">
      <c r="A29" s="86" t="s">
        <v>56</v>
      </c>
      <c r="B29" s="87"/>
      <c r="C29" s="87"/>
      <c r="D29" s="88"/>
      <c r="E29" s="86" t="s">
        <v>57</v>
      </c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6" t="s">
        <v>65</v>
      </c>
      <c r="V29" s="87"/>
      <c r="W29" s="87"/>
      <c r="X29" s="87"/>
      <c r="Y29" s="88"/>
      <c r="Z29" s="86" t="s">
        <v>66</v>
      </c>
      <c r="AA29" s="87"/>
      <c r="AB29" s="87"/>
      <c r="AC29" s="87"/>
      <c r="AD29" s="88"/>
      <c r="AE29" s="86" t="s">
        <v>91</v>
      </c>
      <c r="AF29" s="87"/>
      <c r="AG29" s="87"/>
      <c r="AH29" s="88"/>
      <c r="AI29" s="92" t="s">
        <v>169</v>
      </c>
      <c r="AJ29" s="93"/>
      <c r="AK29" s="93"/>
      <c r="AL29" s="93"/>
      <c r="AM29" s="94"/>
      <c r="AN29" s="86" t="s">
        <v>67</v>
      </c>
      <c r="AO29" s="87"/>
      <c r="AP29" s="87"/>
      <c r="AQ29" s="87"/>
      <c r="AR29" s="88"/>
      <c r="AS29" s="86" t="s">
        <v>68</v>
      </c>
      <c r="AT29" s="87"/>
      <c r="AU29" s="87"/>
      <c r="AV29" s="87"/>
      <c r="AW29" s="88"/>
      <c r="AX29" s="86" t="s">
        <v>92</v>
      </c>
      <c r="AY29" s="87"/>
      <c r="AZ29" s="87"/>
      <c r="BA29" s="88"/>
      <c r="BB29" s="92" t="s">
        <v>169</v>
      </c>
      <c r="BC29" s="93"/>
      <c r="BD29" s="93"/>
      <c r="BE29" s="93"/>
      <c r="BF29" s="94"/>
      <c r="BG29" s="86" t="s">
        <v>58</v>
      </c>
      <c r="BH29" s="87"/>
      <c r="BI29" s="87"/>
      <c r="BJ29" s="87"/>
      <c r="BK29" s="88"/>
      <c r="BL29" s="86" t="s">
        <v>59</v>
      </c>
      <c r="BM29" s="87"/>
      <c r="BN29" s="87"/>
      <c r="BO29" s="87"/>
      <c r="BP29" s="88"/>
      <c r="BQ29" s="86" t="s">
        <v>93</v>
      </c>
      <c r="BR29" s="87"/>
      <c r="BS29" s="87"/>
      <c r="BT29" s="88"/>
      <c r="BU29" s="92" t="s">
        <v>169</v>
      </c>
      <c r="BV29" s="93"/>
      <c r="BW29" s="93"/>
      <c r="BX29" s="93"/>
      <c r="BY29" s="94"/>
      <c r="CA29" t="s">
        <v>21</v>
      </c>
    </row>
    <row r="30" spans="1:79" s="4" customFormat="1" ht="12.75" customHeight="1" x14ac:dyDescent="0.2">
      <c r="A30" s="34"/>
      <c r="B30" s="35"/>
      <c r="C30" s="35"/>
      <c r="D30" s="51"/>
      <c r="E30" s="29" t="s">
        <v>172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49">
        <v>26509245</v>
      </c>
      <c r="V30" s="49"/>
      <c r="W30" s="49"/>
      <c r="X30" s="49"/>
      <c r="Y30" s="49"/>
      <c r="Z30" s="49" t="s">
        <v>173</v>
      </c>
      <c r="AA30" s="49"/>
      <c r="AB30" s="49"/>
      <c r="AC30" s="49"/>
      <c r="AD30" s="49"/>
      <c r="AE30" s="46" t="s">
        <v>173</v>
      </c>
      <c r="AF30" s="47"/>
      <c r="AG30" s="47"/>
      <c r="AH30" s="48"/>
      <c r="AI30" s="46">
        <f t="shared" ref="AI30:AI38" si="0">IF(ISNUMBER(U30),U30,0)+IF(ISNUMBER(Z30),Z30,0)</f>
        <v>26509245</v>
      </c>
      <c r="AJ30" s="47"/>
      <c r="AK30" s="47"/>
      <c r="AL30" s="47"/>
      <c r="AM30" s="48"/>
      <c r="AN30" s="46">
        <v>33491267</v>
      </c>
      <c r="AO30" s="47"/>
      <c r="AP30" s="47"/>
      <c r="AQ30" s="47"/>
      <c r="AR30" s="48"/>
      <c r="AS30" s="46" t="s">
        <v>173</v>
      </c>
      <c r="AT30" s="47"/>
      <c r="AU30" s="47"/>
      <c r="AV30" s="47"/>
      <c r="AW30" s="48"/>
      <c r="AX30" s="46" t="s">
        <v>173</v>
      </c>
      <c r="AY30" s="47"/>
      <c r="AZ30" s="47"/>
      <c r="BA30" s="48"/>
      <c r="BB30" s="46">
        <f t="shared" ref="BB30:BB38" si="1">IF(ISNUMBER(AN30),AN30,0)+IF(ISNUMBER(AS30),AS30,0)</f>
        <v>33491267</v>
      </c>
      <c r="BC30" s="47"/>
      <c r="BD30" s="47"/>
      <c r="BE30" s="47"/>
      <c r="BF30" s="48"/>
      <c r="BG30" s="46">
        <v>38793866</v>
      </c>
      <c r="BH30" s="47"/>
      <c r="BI30" s="47"/>
      <c r="BJ30" s="47"/>
      <c r="BK30" s="48"/>
      <c r="BL30" s="46" t="s">
        <v>173</v>
      </c>
      <c r="BM30" s="47"/>
      <c r="BN30" s="47"/>
      <c r="BO30" s="47"/>
      <c r="BP30" s="48"/>
      <c r="BQ30" s="46" t="s">
        <v>173</v>
      </c>
      <c r="BR30" s="47"/>
      <c r="BS30" s="47"/>
      <c r="BT30" s="48"/>
      <c r="BU30" s="46">
        <f t="shared" ref="BU30:BU38" si="2">IF(ISNUMBER(BG30),BG30,0)+IF(ISNUMBER(BL30),BL30,0)</f>
        <v>38793866</v>
      </c>
      <c r="BV30" s="47"/>
      <c r="BW30" s="47"/>
      <c r="BX30" s="47"/>
      <c r="BY30" s="48"/>
      <c r="CA30" s="4" t="s">
        <v>22</v>
      </c>
    </row>
    <row r="31" spans="1:79" s="4" customFormat="1" ht="25.5" customHeight="1" x14ac:dyDescent="0.2">
      <c r="A31" s="34"/>
      <c r="B31" s="35"/>
      <c r="C31" s="35"/>
      <c r="D31" s="51"/>
      <c r="E31" s="29" t="s">
        <v>174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1"/>
      <c r="U31" s="49" t="s">
        <v>173</v>
      </c>
      <c r="V31" s="49"/>
      <c r="W31" s="49"/>
      <c r="X31" s="49"/>
      <c r="Y31" s="49"/>
      <c r="Z31" s="49">
        <v>36564373</v>
      </c>
      <c r="AA31" s="49"/>
      <c r="AB31" s="49"/>
      <c r="AC31" s="49"/>
      <c r="AD31" s="49"/>
      <c r="AE31" s="46">
        <v>0</v>
      </c>
      <c r="AF31" s="47"/>
      <c r="AG31" s="47"/>
      <c r="AH31" s="48"/>
      <c r="AI31" s="46">
        <f t="shared" si="0"/>
        <v>36564373</v>
      </c>
      <c r="AJ31" s="47"/>
      <c r="AK31" s="47"/>
      <c r="AL31" s="47"/>
      <c r="AM31" s="48"/>
      <c r="AN31" s="46" t="s">
        <v>173</v>
      </c>
      <c r="AO31" s="47"/>
      <c r="AP31" s="47"/>
      <c r="AQ31" s="47"/>
      <c r="AR31" s="48"/>
      <c r="AS31" s="46">
        <v>250000</v>
      </c>
      <c r="AT31" s="47"/>
      <c r="AU31" s="47"/>
      <c r="AV31" s="47"/>
      <c r="AW31" s="48"/>
      <c r="AX31" s="46">
        <v>0</v>
      </c>
      <c r="AY31" s="47"/>
      <c r="AZ31" s="47"/>
      <c r="BA31" s="48"/>
      <c r="BB31" s="46">
        <f t="shared" si="1"/>
        <v>250000</v>
      </c>
      <c r="BC31" s="47"/>
      <c r="BD31" s="47"/>
      <c r="BE31" s="47"/>
      <c r="BF31" s="48"/>
      <c r="BG31" s="46" t="s">
        <v>173</v>
      </c>
      <c r="BH31" s="47"/>
      <c r="BI31" s="47"/>
      <c r="BJ31" s="47"/>
      <c r="BK31" s="48"/>
      <c r="BL31" s="46">
        <v>200000</v>
      </c>
      <c r="BM31" s="47"/>
      <c r="BN31" s="47"/>
      <c r="BO31" s="47"/>
      <c r="BP31" s="48"/>
      <c r="BQ31" s="46">
        <v>0</v>
      </c>
      <c r="BR31" s="47"/>
      <c r="BS31" s="47"/>
      <c r="BT31" s="48"/>
      <c r="BU31" s="46">
        <f t="shared" si="2"/>
        <v>200000</v>
      </c>
      <c r="BV31" s="47"/>
      <c r="BW31" s="47"/>
      <c r="BX31" s="47"/>
      <c r="BY31" s="48"/>
    </row>
    <row r="32" spans="1:79" s="4" customFormat="1" ht="38.25" customHeight="1" x14ac:dyDescent="0.2">
      <c r="A32" s="34">
        <v>25010300</v>
      </c>
      <c r="B32" s="35"/>
      <c r="C32" s="35"/>
      <c r="D32" s="51"/>
      <c r="E32" s="29" t="s">
        <v>175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1"/>
      <c r="U32" s="49" t="s">
        <v>173</v>
      </c>
      <c r="V32" s="49"/>
      <c r="W32" s="49"/>
      <c r="X32" s="49"/>
      <c r="Y32" s="49"/>
      <c r="Z32" s="49">
        <v>209625</v>
      </c>
      <c r="AA32" s="49"/>
      <c r="AB32" s="49"/>
      <c r="AC32" s="49"/>
      <c r="AD32" s="49"/>
      <c r="AE32" s="46">
        <v>0</v>
      </c>
      <c r="AF32" s="47"/>
      <c r="AG32" s="47"/>
      <c r="AH32" s="48"/>
      <c r="AI32" s="46">
        <f t="shared" si="0"/>
        <v>209625</v>
      </c>
      <c r="AJ32" s="47"/>
      <c r="AK32" s="47"/>
      <c r="AL32" s="47"/>
      <c r="AM32" s="48"/>
      <c r="AN32" s="46" t="s">
        <v>173</v>
      </c>
      <c r="AO32" s="47"/>
      <c r="AP32" s="47"/>
      <c r="AQ32" s="47"/>
      <c r="AR32" s="48"/>
      <c r="AS32" s="46">
        <v>250000</v>
      </c>
      <c r="AT32" s="47"/>
      <c r="AU32" s="47"/>
      <c r="AV32" s="47"/>
      <c r="AW32" s="48"/>
      <c r="AX32" s="46">
        <v>0</v>
      </c>
      <c r="AY32" s="47"/>
      <c r="AZ32" s="47"/>
      <c r="BA32" s="48"/>
      <c r="BB32" s="46">
        <f t="shared" si="1"/>
        <v>250000</v>
      </c>
      <c r="BC32" s="47"/>
      <c r="BD32" s="47"/>
      <c r="BE32" s="47"/>
      <c r="BF32" s="48"/>
      <c r="BG32" s="46" t="s">
        <v>173</v>
      </c>
      <c r="BH32" s="47"/>
      <c r="BI32" s="47"/>
      <c r="BJ32" s="47"/>
      <c r="BK32" s="48"/>
      <c r="BL32" s="46">
        <v>200000</v>
      </c>
      <c r="BM32" s="47"/>
      <c r="BN32" s="47"/>
      <c r="BO32" s="47"/>
      <c r="BP32" s="48"/>
      <c r="BQ32" s="46">
        <v>0</v>
      </c>
      <c r="BR32" s="47"/>
      <c r="BS32" s="47"/>
      <c r="BT32" s="48"/>
      <c r="BU32" s="46">
        <f t="shared" si="2"/>
        <v>200000</v>
      </c>
      <c r="BV32" s="47"/>
      <c r="BW32" s="47"/>
      <c r="BX32" s="47"/>
      <c r="BY32" s="48"/>
    </row>
    <row r="33" spans="1:79" s="4" customFormat="1" ht="38.25" customHeight="1" x14ac:dyDescent="0.2">
      <c r="A33" s="34">
        <v>25010400</v>
      </c>
      <c r="B33" s="35"/>
      <c r="C33" s="35"/>
      <c r="D33" s="51"/>
      <c r="E33" s="29" t="s">
        <v>176</v>
      </c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1"/>
      <c r="U33" s="49" t="s">
        <v>173</v>
      </c>
      <c r="V33" s="49"/>
      <c r="W33" s="49"/>
      <c r="X33" s="49"/>
      <c r="Y33" s="49"/>
      <c r="Z33" s="49">
        <v>0</v>
      </c>
      <c r="AA33" s="49"/>
      <c r="AB33" s="49"/>
      <c r="AC33" s="49"/>
      <c r="AD33" s="49"/>
      <c r="AE33" s="46">
        <v>0</v>
      </c>
      <c r="AF33" s="47"/>
      <c r="AG33" s="47"/>
      <c r="AH33" s="48"/>
      <c r="AI33" s="46">
        <f t="shared" si="0"/>
        <v>0</v>
      </c>
      <c r="AJ33" s="47"/>
      <c r="AK33" s="47"/>
      <c r="AL33" s="47"/>
      <c r="AM33" s="48"/>
      <c r="AN33" s="46" t="s">
        <v>173</v>
      </c>
      <c r="AO33" s="47"/>
      <c r="AP33" s="47"/>
      <c r="AQ33" s="47"/>
      <c r="AR33" s="48"/>
      <c r="AS33" s="46">
        <v>0</v>
      </c>
      <c r="AT33" s="47"/>
      <c r="AU33" s="47"/>
      <c r="AV33" s="47"/>
      <c r="AW33" s="48"/>
      <c r="AX33" s="46">
        <v>0</v>
      </c>
      <c r="AY33" s="47"/>
      <c r="AZ33" s="47"/>
      <c r="BA33" s="48"/>
      <c r="BB33" s="46">
        <f t="shared" si="1"/>
        <v>0</v>
      </c>
      <c r="BC33" s="47"/>
      <c r="BD33" s="47"/>
      <c r="BE33" s="47"/>
      <c r="BF33" s="48"/>
      <c r="BG33" s="46" t="s">
        <v>173</v>
      </c>
      <c r="BH33" s="47"/>
      <c r="BI33" s="47"/>
      <c r="BJ33" s="47"/>
      <c r="BK33" s="48"/>
      <c r="BL33" s="46">
        <v>0</v>
      </c>
      <c r="BM33" s="47"/>
      <c r="BN33" s="47"/>
      <c r="BO33" s="47"/>
      <c r="BP33" s="48"/>
      <c r="BQ33" s="46">
        <v>0</v>
      </c>
      <c r="BR33" s="47"/>
      <c r="BS33" s="47"/>
      <c r="BT33" s="48"/>
      <c r="BU33" s="46">
        <f t="shared" si="2"/>
        <v>0</v>
      </c>
      <c r="BV33" s="47"/>
      <c r="BW33" s="47"/>
      <c r="BX33" s="47"/>
      <c r="BY33" s="48"/>
    </row>
    <row r="34" spans="1:79" s="4" customFormat="1" ht="12.75" customHeight="1" x14ac:dyDescent="0.2">
      <c r="A34" s="34">
        <v>25020100</v>
      </c>
      <c r="B34" s="35"/>
      <c r="C34" s="35"/>
      <c r="D34" s="51"/>
      <c r="E34" s="29" t="s">
        <v>177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1"/>
      <c r="U34" s="49" t="s">
        <v>173</v>
      </c>
      <c r="V34" s="49"/>
      <c r="W34" s="49"/>
      <c r="X34" s="49"/>
      <c r="Y34" s="49"/>
      <c r="Z34" s="49">
        <v>0</v>
      </c>
      <c r="AA34" s="49"/>
      <c r="AB34" s="49"/>
      <c r="AC34" s="49"/>
      <c r="AD34" s="49"/>
      <c r="AE34" s="46">
        <v>0</v>
      </c>
      <c r="AF34" s="47"/>
      <c r="AG34" s="47"/>
      <c r="AH34" s="48"/>
      <c r="AI34" s="46">
        <f t="shared" si="0"/>
        <v>0</v>
      </c>
      <c r="AJ34" s="47"/>
      <c r="AK34" s="47"/>
      <c r="AL34" s="47"/>
      <c r="AM34" s="48"/>
      <c r="AN34" s="46" t="s">
        <v>173</v>
      </c>
      <c r="AO34" s="47"/>
      <c r="AP34" s="47"/>
      <c r="AQ34" s="47"/>
      <c r="AR34" s="48"/>
      <c r="AS34" s="46">
        <v>0</v>
      </c>
      <c r="AT34" s="47"/>
      <c r="AU34" s="47"/>
      <c r="AV34" s="47"/>
      <c r="AW34" s="48"/>
      <c r="AX34" s="46">
        <v>0</v>
      </c>
      <c r="AY34" s="47"/>
      <c r="AZ34" s="47"/>
      <c r="BA34" s="48"/>
      <c r="BB34" s="46">
        <f t="shared" si="1"/>
        <v>0</v>
      </c>
      <c r="BC34" s="47"/>
      <c r="BD34" s="47"/>
      <c r="BE34" s="47"/>
      <c r="BF34" s="48"/>
      <c r="BG34" s="46" t="s">
        <v>173</v>
      </c>
      <c r="BH34" s="47"/>
      <c r="BI34" s="47"/>
      <c r="BJ34" s="47"/>
      <c r="BK34" s="48"/>
      <c r="BL34" s="46">
        <v>0</v>
      </c>
      <c r="BM34" s="47"/>
      <c r="BN34" s="47"/>
      <c r="BO34" s="47"/>
      <c r="BP34" s="48"/>
      <c r="BQ34" s="46">
        <v>0</v>
      </c>
      <c r="BR34" s="47"/>
      <c r="BS34" s="47"/>
      <c r="BT34" s="48"/>
      <c r="BU34" s="46">
        <f t="shared" si="2"/>
        <v>0</v>
      </c>
      <c r="BV34" s="47"/>
      <c r="BW34" s="47"/>
      <c r="BX34" s="47"/>
      <c r="BY34" s="48"/>
    </row>
    <row r="35" spans="1:79" s="4" customFormat="1" ht="76.5" customHeight="1" x14ac:dyDescent="0.2">
      <c r="A35" s="34">
        <v>25020200</v>
      </c>
      <c r="B35" s="35"/>
      <c r="C35" s="35"/>
      <c r="D35" s="51"/>
      <c r="E35" s="29" t="s">
        <v>178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1"/>
      <c r="U35" s="49" t="s">
        <v>173</v>
      </c>
      <c r="V35" s="49"/>
      <c r="W35" s="49"/>
      <c r="X35" s="49"/>
      <c r="Y35" s="49"/>
      <c r="Z35" s="49">
        <v>36354748</v>
      </c>
      <c r="AA35" s="49"/>
      <c r="AB35" s="49"/>
      <c r="AC35" s="49"/>
      <c r="AD35" s="49"/>
      <c r="AE35" s="46">
        <v>0</v>
      </c>
      <c r="AF35" s="47"/>
      <c r="AG35" s="47"/>
      <c r="AH35" s="48"/>
      <c r="AI35" s="46">
        <f t="shared" si="0"/>
        <v>36354748</v>
      </c>
      <c r="AJ35" s="47"/>
      <c r="AK35" s="47"/>
      <c r="AL35" s="47"/>
      <c r="AM35" s="48"/>
      <c r="AN35" s="46" t="s">
        <v>173</v>
      </c>
      <c r="AO35" s="47"/>
      <c r="AP35" s="47"/>
      <c r="AQ35" s="47"/>
      <c r="AR35" s="48"/>
      <c r="AS35" s="46">
        <v>0</v>
      </c>
      <c r="AT35" s="47"/>
      <c r="AU35" s="47"/>
      <c r="AV35" s="47"/>
      <c r="AW35" s="48"/>
      <c r="AX35" s="46">
        <v>0</v>
      </c>
      <c r="AY35" s="47"/>
      <c r="AZ35" s="47"/>
      <c r="BA35" s="48"/>
      <c r="BB35" s="46">
        <f t="shared" si="1"/>
        <v>0</v>
      </c>
      <c r="BC35" s="47"/>
      <c r="BD35" s="47"/>
      <c r="BE35" s="47"/>
      <c r="BF35" s="48"/>
      <c r="BG35" s="46" t="s">
        <v>173</v>
      </c>
      <c r="BH35" s="47"/>
      <c r="BI35" s="47"/>
      <c r="BJ35" s="47"/>
      <c r="BK35" s="48"/>
      <c r="BL35" s="46">
        <v>0</v>
      </c>
      <c r="BM35" s="47"/>
      <c r="BN35" s="47"/>
      <c r="BO35" s="47"/>
      <c r="BP35" s="48"/>
      <c r="BQ35" s="46">
        <v>0</v>
      </c>
      <c r="BR35" s="47"/>
      <c r="BS35" s="47"/>
      <c r="BT35" s="48"/>
      <c r="BU35" s="46">
        <f t="shared" si="2"/>
        <v>0</v>
      </c>
      <c r="BV35" s="47"/>
      <c r="BW35" s="47"/>
      <c r="BX35" s="47"/>
      <c r="BY35" s="48"/>
    </row>
    <row r="36" spans="1:79" s="4" customFormat="1" ht="25.5" customHeight="1" x14ac:dyDescent="0.2">
      <c r="A36" s="34"/>
      <c r="B36" s="35"/>
      <c r="C36" s="35"/>
      <c r="D36" s="51"/>
      <c r="E36" s="29" t="s">
        <v>179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1"/>
      <c r="U36" s="49" t="s">
        <v>173</v>
      </c>
      <c r="V36" s="49"/>
      <c r="W36" s="49"/>
      <c r="X36" s="49"/>
      <c r="Y36" s="49"/>
      <c r="Z36" s="49">
        <v>4834990</v>
      </c>
      <c r="AA36" s="49"/>
      <c r="AB36" s="49"/>
      <c r="AC36" s="49"/>
      <c r="AD36" s="49"/>
      <c r="AE36" s="46">
        <v>4834990</v>
      </c>
      <c r="AF36" s="47"/>
      <c r="AG36" s="47"/>
      <c r="AH36" s="48"/>
      <c r="AI36" s="46">
        <f t="shared" si="0"/>
        <v>4834990</v>
      </c>
      <c r="AJ36" s="47"/>
      <c r="AK36" s="47"/>
      <c r="AL36" s="47"/>
      <c r="AM36" s="48"/>
      <c r="AN36" s="46" t="s">
        <v>173</v>
      </c>
      <c r="AO36" s="47"/>
      <c r="AP36" s="47"/>
      <c r="AQ36" s="47"/>
      <c r="AR36" s="48"/>
      <c r="AS36" s="46">
        <v>420160</v>
      </c>
      <c r="AT36" s="47"/>
      <c r="AU36" s="47"/>
      <c r="AV36" s="47"/>
      <c r="AW36" s="48"/>
      <c r="AX36" s="46">
        <v>420160</v>
      </c>
      <c r="AY36" s="47"/>
      <c r="AZ36" s="47"/>
      <c r="BA36" s="48"/>
      <c r="BB36" s="46">
        <f t="shared" si="1"/>
        <v>420160</v>
      </c>
      <c r="BC36" s="47"/>
      <c r="BD36" s="47"/>
      <c r="BE36" s="47"/>
      <c r="BF36" s="48"/>
      <c r="BG36" s="46" t="s">
        <v>173</v>
      </c>
      <c r="BH36" s="47"/>
      <c r="BI36" s="47"/>
      <c r="BJ36" s="47"/>
      <c r="BK36" s="48"/>
      <c r="BL36" s="46">
        <v>0</v>
      </c>
      <c r="BM36" s="47"/>
      <c r="BN36" s="47"/>
      <c r="BO36" s="47"/>
      <c r="BP36" s="48"/>
      <c r="BQ36" s="46">
        <v>0</v>
      </c>
      <c r="BR36" s="47"/>
      <c r="BS36" s="47"/>
      <c r="BT36" s="48"/>
      <c r="BU36" s="46">
        <f t="shared" si="2"/>
        <v>0</v>
      </c>
      <c r="BV36" s="47"/>
      <c r="BW36" s="47"/>
      <c r="BX36" s="47"/>
      <c r="BY36" s="48"/>
    </row>
    <row r="37" spans="1:79" s="4" customFormat="1" ht="38.25" customHeight="1" x14ac:dyDescent="0.2">
      <c r="A37" s="34">
        <v>208400</v>
      </c>
      <c r="B37" s="35"/>
      <c r="C37" s="35"/>
      <c r="D37" s="51"/>
      <c r="E37" s="29" t="s">
        <v>180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1"/>
      <c r="U37" s="49" t="s">
        <v>173</v>
      </c>
      <c r="V37" s="49"/>
      <c r="W37" s="49"/>
      <c r="X37" s="49"/>
      <c r="Y37" s="49"/>
      <c r="Z37" s="49">
        <v>4834990</v>
      </c>
      <c r="AA37" s="49"/>
      <c r="AB37" s="49"/>
      <c r="AC37" s="49"/>
      <c r="AD37" s="49"/>
      <c r="AE37" s="46">
        <v>4834990</v>
      </c>
      <c r="AF37" s="47"/>
      <c r="AG37" s="47"/>
      <c r="AH37" s="48"/>
      <c r="AI37" s="46">
        <f t="shared" si="0"/>
        <v>4834990</v>
      </c>
      <c r="AJ37" s="47"/>
      <c r="AK37" s="47"/>
      <c r="AL37" s="47"/>
      <c r="AM37" s="48"/>
      <c r="AN37" s="46" t="s">
        <v>173</v>
      </c>
      <c r="AO37" s="47"/>
      <c r="AP37" s="47"/>
      <c r="AQ37" s="47"/>
      <c r="AR37" s="48"/>
      <c r="AS37" s="46">
        <v>420160</v>
      </c>
      <c r="AT37" s="47"/>
      <c r="AU37" s="47"/>
      <c r="AV37" s="47"/>
      <c r="AW37" s="48"/>
      <c r="AX37" s="46">
        <v>420160</v>
      </c>
      <c r="AY37" s="47"/>
      <c r="AZ37" s="47"/>
      <c r="BA37" s="48"/>
      <c r="BB37" s="46">
        <f t="shared" si="1"/>
        <v>420160</v>
      </c>
      <c r="BC37" s="47"/>
      <c r="BD37" s="47"/>
      <c r="BE37" s="47"/>
      <c r="BF37" s="48"/>
      <c r="BG37" s="46" t="s">
        <v>173</v>
      </c>
      <c r="BH37" s="47"/>
      <c r="BI37" s="47"/>
      <c r="BJ37" s="47"/>
      <c r="BK37" s="48"/>
      <c r="BL37" s="46">
        <v>0</v>
      </c>
      <c r="BM37" s="47"/>
      <c r="BN37" s="47"/>
      <c r="BO37" s="47"/>
      <c r="BP37" s="48"/>
      <c r="BQ37" s="46">
        <v>0</v>
      </c>
      <c r="BR37" s="47"/>
      <c r="BS37" s="47"/>
      <c r="BT37" s="48"/>
      <c r="BU37" s="46">
        <f t="shared" si="2"/>
        <v>0</v>
      </c>
      <c r="BV37" s="47"/>
      <c r="BW37" s="47"/>
      <c r="BX37" s="47"/>
      <c r="BY37" s="48"/>
    </row>
    <row r="38" spans="1:79" s="5" customFormat="1" ht="12.75" customHeight="1" x14ac:dyDescent="0.2">
      <c r="A38" s="36"/>
      <c r="B38" s="37"/>
      <c r="C38" s="37"/>
      <c r="D38" s="50"/>
      <c r="E38" s="23" t="s">
        <v>147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5"/>
      <c r="U38" s="45">
        <v>26509245</v>
      </c>
      <c r="V38" s="45"/>
      <c r="W38" s="45"/>
      <c r="X38" s="45"/>
      <c r="Y38" s="45"/>
      <c r="Z38" s="45">
        <v>41399363</v>
      </c>
      <c r="AA38" s="45"/>
      <c r="AB38" s="45"/>
      <c r="AC38" s="45"/>
      <c r="AD38" s="45"/>
      <c r="AE38" s="42">
        <v>4834990</v>
      </c>
      <c r="AF38" s="43"/>
      <c r="AG38" s="43"/>
      <c r="AH38" s="44"/>
      <c r="AI38" s="42">
        <f t="shared" si="0"/>
        <v>67908608</v>
      </c>
      <c r="AJ38" s="43"/>
      <c r="AK38" s="43"/>
      <c r="AL38" s="43"/>
      <c r="AM38" s="44"/>
      <c r="AN38" s="42">
        <v>33491267</v>
      </c>
      <c r="AO38" s="43"/>
      <c r="AP38" s="43"/>
      <c r="AQ38" s="43"/>
      <c r="AR38" s="44"/>
      <c r="AS38" s="42">
        <v>670160</v>
      </c>
      <c r="AT38" s="43"/>
      <c r="AU38" s="43"/>
      <c r="AV38" s="43"/>
      <c r="AW38" s="44"/>
      <c r="AX38" s="42">
        <v>420160</v>
      </c>
      <c r="AY38" s="43"/>
      <c r="AZ38" s="43"/>
      <c r="BA38" s="44"/>
      <c r="BB38" s="42">
        <f t="shared" si="1"/>
        <v>34161427</v>
      </c>
      <c r="BC38" s="43"/>
      <c r="BD38" s="43"/>
      <c r="BE38" s="43"/>
      <c r="BF38" s="44"/>
      <c r="BG38" s="42">
        <v>38793866</v>
      </c>
      <c r="BH38" s="43"/>
      <c r="BI38" s="43"/>
      <c r="BJ38" s="43"/>
      <c r="BK38" s="44"/>
      <c r="BL38" s="42">
        <v>200000</v>
      </c>
      <c r="BM38" s="43"/>
      <c r="BN38" s="43"/>
      <c r="BO38" s="43"/>
      <c r="BP38" s="44"/>
      <c r="BQ38" s="42">
        <v>0</v>
      </c>
      <c r="BR38" s="43"/>
      <c r="BS38" s="43"/>
      <c r="BT38" s="44"/>
      <c r="BU38" s="42">
        <f t="shared" si="2"/>
        <v>38993866</v>
      </c>
      <c r="BV38" s="43"/>
      <c r="BW38" s="43"/>
      <c r="BX38" s="43"/>
      <c r="BY38" s="44"/>
    </row>
    <row r="40" spans="1:79" ht="14.25" customHeight="1" x14ac:dyDescent="0.2">
      <c r="A40" s="60" t="s">
        <v>321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</row>
    <row r="41" spans="1:79" ht="15" customHeight="1" x14ac:dyDescent="0.2">
      <c r="A41" s="75" t="s">
        <v>295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</row>
    <row r="42" spans="1:79" ht="18" customHeight="1" x14ac:dyDescent="0.2">
      <c r="A42" s="76" t="s">
        <v>2</v>
      </c>
      <c r="B42" s="77"/>
      <c r="C42" s="77"/>
      <c r="D42" s="78"/>
      <c r="E42" s="76" t="s">
        <v>19</v>
      </c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8"/>
      <c r="X42" s="72" t="s">
        <v>317</v>
      </c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4"/>
      <c r="AR42" s="39" t="s">
        <v>322</v>
      </c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</row>
    <row r="43" spans="1:79" ht="36" customHeight="1" x14ac:dyDescent="0.2">
      <c r="A43" s="79"/>
      <c r="B43" s="80"/>
      <c r="C43" s="80"/>
      <c r="D43" s="81"/>
      <c r="E43" s="7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1"/>
      <c r="X43" s="39" t="s">
        <v>4</v>
      </c>
      <c r="Y43" s="39"/>
      <c r="Z43" s="39"/>
      <c r="AA43" s="39"/>
      <c r="AB43" s="39"/>
      <c r="AC43" s="39" t="s">
        <v>3</v>
      </c>
      <c r="AD43" s="39"/>
      <c r="AE43" s="39"/>
      <c r="AF43" s="39"/>
      <c r="AG43" s="39"/>
      <c r="AH43" s="95" t="s">
        <v>116</v>
      </c>
      <c r="AI43" s="96"/>
      <c r="AJ43" s="96"/>
      <c r="AK43" s="96"/>
      <c r="AL43" s="97"/>
      <c r="AM43" s="72" t="s">
        <v>5</v>
      </c>
      <c r="AN43" s="73"/>
      <c r="AO43" s="73"/>
      <c r="AP43" s="73"/>
      <c r="AQ43" s="74"/>
      <c r="AR43" s="72" t="s">
        <v>4</v>
      </c>
      <c r="AS43" s="73"/>
      <c r="AT43" s="73"/>
      <c r="AU43" s="73"/>
      <c r="AV43" s="74"/>
      <c r="AW43" s="72" t="s">
        <v>3</v>
      </c>
      <c r="AX43" s="73"/>
      <c r="AY43" s="73"/>
      <c r="AZ43" s="73"/>
      <c r="BA43" s="74"/>
      <c r="BB43" s="95" t="s">
        <v>116</v>
      </c>
      <c r="BC43" s="96"/>
      <c r="BD43" s="96"/>
      <c r="BE43" s="96"/>
      <c r="BF43" s="97"/>
      <c r="BG43" s="72" t="s">
        <v>96</v>
      </c>
      <c r="BH43" s="73"/>
      <c r="BI43" s="73"/>
      <c r="BJ43" s="73"/>
      <c r="BK43" s="74"/>
    </row>
    <row r="44" spans="1:79" ht="15" customHeight="1" x14ac:dyDescent="0.2">
      <c r="A44" s="72">
        <v>1</v>
      </c>
      <c r="B44" s="73"/>
      <c r="C44" s="73"/>
      <c r="D44" s="74"/>
      <c r="E44" s="72">
        <v>2</v>
      </c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4"/>
      <c r="X44" s="39">
        <v>3</v>
      </c>
      <c r="Y44" s="39"/>
      <c r="Z44" s="39"/>
      <c r="AA44" s="39"/>
      <c r="AB44" s="39"/>
      <c r="AC44" s="39">
        <v>4</v>
      </c>
      <c r="AD44" s="39"/>
      <c r="AE44" s="39"/>
      <c r="AF44" s="39"/>
      <c r="AG44" s="39"/>
      <c r="AH44" s="39">
        <v>5</v>
      </c>
      <c r="AI44" s="39"/>
      <c r="AJ44" s="39"/>
      <c r="AK44" s="39"/>
      <c r="AL44" s="39"/>
      <c r="AM44" s="39">
        <v>6</v>
      </c>
      <c r="AN44" s="39"/>
      <c r="AO44" s="39"/>
      <c r="AP44" s="39"/>
      <c r="AQ44" s="39"/>
      <c r="AR44" s="72">
        <v>7</v>
      </c>
      <c r="AS44" s="73"/>
      <c r="AT44" s="73"/>
      <c r="AU44" s="73"/>
      <c r="AV44" s="74"/>
      <c r="AW44" s="72">
        <v>8</v>
      </c>
      <c r="AX44" s="73"/>
      <c r="AY44" s="73"/>
      <c r="AZ44" s="73"/>
      <c r="BA44" s="74"/>
      <c r="BB44" s="72">
        <v>9</v>
      </c>
      <c r="BC44" s="73"/>
      <c r="BD44" s="73"/>
      <c r="BE44" s="73"/>
      <c r="BF44" s="74"/>
      <c r="BG44" s="72">
        <v>10</v>
      </c>
      <c r="BH44" s="73"/>
      <c r="BI44" s="73"/>
      <c r="BJ44" s="73"/>
      <c r="BK44" s="74"/>
    </row>
    <row r="45" spans="1:79" ht="20.25" hidden="1" customHeight="1" x14ac:dyDescent="0.2">
      <c r="A45" s="86" t="s">
        <v>56</v>
      </c>
      <c r="B45" s="87"/>
      <c r="C45" s="87"/>
      <c r="D45" s="88"/>
      <c r="E45" s="86" t="s">
        <v>57</v>
      </c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8"/>
      <c r="X45" s="64" t="s">
        <v>60</v>
      </c>
      <c r="Y45" s="64"/>
      <c r="Z45" s="64"/>
      <c r="AA45" s="64"/>
      <c r="AB45" s="64"/>
      <c r="AC45" s="64" t="s">
        <v>61</v>
      </c>
      <c r="AD45" s="64"/>
      <c r="AE45" s="64"/>
      <c r="AF45" s="64"/>
      <c r="AG45" s="64"/>
      <c r="AH45" s="86" t="s">
        <v>94</v>
      </c>
      <c r="AI45" s="87"/>
      <c r="AJ45" s="87"/>
      <c r="AK45" s="87"/>
      <c r="AL45" s="88"/>
      <c r="AM45" s="92" t="s">
        <v>170</v>
      </c>
      <c r="AN45" s="93"/>
      <c r="AO45" s="93"/>
      <c r="AP45" s="93"/>
      <c r="AQ45" s="94"/>
      <c r="AR45" s="86" t="s">
        <v>62</v>
      </c>
      <c r="AS45" s="87"/>
      <c r="AT45" s="87"/>
      <c r="AU45" s="87"/>
      <c r="AV45" s="88"/>
      <c r="AW45" s="86" t="s">
        <v>63</v>
      </c>
      <c r="AX45" s="87"/>
      <c r="AY45" s="87"/>
      <c r="AZ45" s="87"/>
      <c r="BA45" s="88"/>
      <c r="BB45" s="86" t="s">
        <v>95</v>
      </c>
      <c r="BC45" s="87"/>
      <c r="BD45" s="87"/>
      <c r="BE45" s="87"/>
      <c r="BF45" s="88"/>
      <c r="BG45" s="92" t="s">
        <v>170</v>
      </c>
      <c r="BH45" s="93"/>
      <c r="BI45" s="93"/>
      <c r="BJ45" s="93"/>
      <c r="BK45" s="94"/>
      <c r="CA45" t="s">
        <v>23</v>
      </c>
    </row>
    <row r="46" spans="1:79" s="4" customFormat="1" ht="12.75" customHeight="1" x14ac:dyDescent="0.2">
      <c r="A46" s="34"/>
      <c r="B46" s="35"/>
      <c r="C46" s="35"/>
      <c r="D46" s="51"/>
      <c r="E46" s="29" t="s">
        <v>172</v>
      </c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1"/>
      <c r="X46" s="46">
        <v>39474653</v>
      </c>
      <c r="Y46" s="47"/>
      <c r="Z46" s="47"/>
      <c r="AA46" s="47"/>
      <c r="AB46" s="48"/>
      <c r="AC46" s="46" t="s">
        <v>173</v>
      </c>
      <c r="AD46" s="47"/>
      <c r="AE46" s="47"/>
      <c r="AF46" s="47"/>
      <c r="AG46" s="48"/>
      <c r="AH46" s="46" t="s">
        <v>173</v>
      </c>
      <c r="AI46" s="47"/>
      <c r="AJ46" s="47"/>
      <c r="AK46" s="47"/>
      <c r="AL46" s="48"/>
      <c r="AM46" s="46">
        <f t="shared" ref="AM46:AM54" si="3">IF(ISNUMBER(X46),X46,0)+IF(ISNUMBER(AC46),AC46,0)</f>
        <v>39474653</v>
      </c>
      <c r="AN46" s="47"/>
      <c r="AO46" s="47"/>
      <c r="AP46" s="47"/>
      <c r="AQ46" s="48"/>
      <c r="AR46" s="46">
        <v>40079245</v>
      </c>
      <c r="AS46" s="47"/>
      <c r="AT46" s="47"/>
      <c r="AU46" s="47"/>
      <c r="AV46" s="48"/>
      <c r="AW46" s="46" t="s">
        <v>173</v>
      </c>
      <c r="AX46" s="47"/>
      <c r="AY46" s="47"/>
      <c r="AZ46" s="47"/>
      <c r="BA46" s="48"/>
      <c r="BB46" s="46" t="s">
        <v>173</v>
      </c>
      <c r="BC46" s="47"/>
      <c r="BD46" s="47"/>
      <c r="BE46" s="47"/>
      <c r="BF46" s="48"/>
      <c r="BG46" s="49">
        <f t="shared" ref="BG46:BG54" si="4">IF(ISNUMBER(AR46),AR46,0)+IF(ISNUMBER(AW46),AW46,0)</f>
        <v>40079245</v>
      </c>
      <c r="BH46" s="49"/>
      <c r="BI46" s="49"/>
      <c r="BJ46" s="49"/>
      <c r="BK46" s="49"/>
      <c r="CA46" s="4" t="s">
        <v>24</v>
      </c>
    </row>
    <row r="47" spans="1:79" s="4" customFormat="1" ht="25.5" customHeight="1" x14ac:dyDescent="0.2">
      <c r="A47" s="34"/>
      <c r="B47" s="35"/>
      <c r="C47" s="35"/>
      <c r="D47" s="51"/>
      <c r="E47" s="29" t="s">
        <v>174</v>
      </c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1"/>
      <c r="X47" s="46" t="s">
        <v>173</v>
      </c>
      <c r="Y47" s="47"/>
      <c r="Z47" s="47"/>
      <c r="AA47" s="47"/>
      <c r="AB47" s="48"/>
      <c r="AC47" s="46">
        <v>219800</v>
      </c>
      <c r="AD47" s="47"/>
      <c r="AE47" s="47"/>
      <c r="AF47" s="47"/>
      <c r="AG47" s="48"/>
      <c r="AH47" s="46">
        <v>0</v>
      </c>
      <c r="AI47" s="47"/>
      <c r="AJ47" s="47"/>
      <c r="AK47" s="47"/>
      <c r="AL47" s="48"/>
      <c r="AM47" s="46">
        <f t="shared" si="3"/>
        <v>219800</v>
      </c>
      <c r="AN47" s="47"/>
      <c r="AO47" s="47"/>
      <c r="AP47" s="47"/>
      <c r="AQ47" s="48"/>
      <c r="AR47" s="46" t="s">
        <v>173</v>
      </c>
      <c r="AS47" s="47"/>
      <c r="AT47" s="47"/>
      <c r="AU47" s="47"/>
      <c r="AV47" s="48"/>
      <c r="AW47" s="46">
        <v>237384</v>
      </c>
      <c r="AX47" s="47"/>
      <c r="AY47" s="47"/>
      <c r="AZ47" s="47"/>
      <c r="BA47" s="48"/>
      <c r="BB47" s="46">
        <v>0</v>
      </c>
      <c r="BC47" s="47"/>
      <c r="BD47" s="47"/>
      <c r="BE47" s="47"/>
      <c r="BF47" s="48"/>
      <c r="BG47" s="49">
        <f t="shared" si="4"/>
        <v>237384</v>
      </c>
      <c r="BH47" s="49"/>
      <c r="BI47" s="49"/>
      <c r="BJ47" s="49"/>
      <c r="BK47" s="49"/>
    </row>
    <row r="48" spans="1:79" s="4" customFormat="1" ht="38.25" customHeight="1" x14ac:dyDescent="0.2">
      <c r="A48" s="34">
        <v>25010300</v>
      </c>
      <c r="B48" s="35"/>
      <c r="C48" s="35"/>
      <c r="D48" s="51"/>
      <c r="E48" s="29" t="s">
        <v>175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1"/>
      <c r="X48" s="46" t="s">
        <v>173</v>
      </c>
      <c r="Y48" s="47"/>
      <c r="Z48" s="47"/>
      <c r="AA48" s="47"/>
      <c r="AB48" s="48"/>
      <c r="AC48" s="46">
        <v>219800</v>
      </c>
      <c r="AD48" s="47"/>
      <c r="AE48" s="47"/>
      <c r="AF48" s="47"/>
      <c r="AG48" s="48"/>
      <c r="AH48" s="46">
        <v>0</v>
      </c>
      <c r="AI48" s="47"/>
      <c r="AJ48" s="47"/>
      <c r="AK48" s="47"/>
      <c r="AL48" s="48"/>
      <c r="AM48" s="46">
        <f t="shared" si="3"/>
        <v>219800</v>
      </c>
      <c r="AN48" s="47"/>
      <c r="AO48" s="47"/>
      <c r="AP48" s="47"/>
      <c r="AQ48" s="48"/>
      <c r="AR48" s="46" t="s">
        <v>173</v>
      </c>
      <c r="AS48" s="47"/>
      <c r="AT48" s="47"/>
      <c r="AU48" s="47"/>
      <c r="AV48" s="48"/>
      <c r="AW48" s="46">
        <v>237384</v>
      </c>
      <c r="AX48" s="47"/>
      <c r="AY48" s="47"/>
      <c r="AZ48" s="47"/>
      <c r="BA48" s="48"/>
      <c r="BB48" s="46">
        <v>0</v>
      </c>
      <c r="BC48" s="47"/>
      <c r="BD48" s="47"/>
      <c r="BE48" s="47"/>
      <c r="BF48" s="48"/>
      <c r="BG48" s="49">
        <f t="shared" si="4"/>
        <v>237384</v>
      </c>
      <c r="BH48" s="49"/>
      <c r="BI48" s="49"/>
      <c r="BJ48" s="49"/>
      <c r="BK48" s="49"/>
    </row>
    <row r="49" spans="1:79" s="4" customFormat="1" ht="25.5" customHeight="1" x14ac:dyDescent="0.2">
      <c r="A49" s="34">
        <v>25010400</v>
      </c>
      <c r="B49" s="35"/>
      <c r="C49" s="35"/>
      <c r="D49" s="51"/>
      <c r="E49" s="29" t="s">
        <v>176</v>
      </c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1"/>
      <c r="X49" s="46" t="s">
        <v>173</v>
      </c>
      <c r="Y49" s="47"/>
      <c r="Z49" s="47"/>
      <c r="AA49" s="47"/>
      <c r="AB49" s="48"/>
      <c r="AC49" s="46">
        <v>0</v>
      </c>
      <c r="AD49" s="47"/>
      <c r="AE49" s="47"/>
      <c r="AF49" s="47"/>
      <c r="AG49" s="48"/>
      <c r="AH49" s="46">
        <v>0</v>
      </c>
      <c r="AI49" s="47"/>
      <c r="AJ49" s="47"/>
      <c r="AK49" s="47"/>
      <c r="AL49" s="48"/>
      <c r="AM49" s="46">
        <f t="shared" si="3"/>
        <v>0</v>
      </c>
      <c r="AN49" s="47"/>
      <c r="AO49" s="47"/>
      <c r="AP49" s="47"/>
      <c r="AQ49" s="48"/>
      <c r="AR49" s="46" t="s">
        <v>173</v>
      </c>
      <c r="AS49" s="47"/>
      <c r="AT49" s="47"/>
      <c r="AU49" s="47"/>
      <c r="AV49" s="48"/>
      <c r="AW49" s="46">
        <v>0</v>
      </c>
      <c r="AX49" s="47"/>
      <c r="AY49" s="47"/>
      <c r="AZ49" s="47"/>
      <c r="BA49" s="48"/>
      <c r="BB49" s="46">
        <v>0</v>
      </c>
      <c r="BC49" s="47"/>
      <c r="BD49" s="47"/>
      <c r="BE49" s="47"/>
      <c r="BF49" s="48"/>
      <c r="BG49" s="49">
        <f t="shared" si="4"/>
        <v>0</v>
      </c>
      <c r="BH49" s="49"/>
      <c r="BI49" s="49"/>
      <c r="BJ49" s="49"/>
      <c r="BK49" s="49"/>
    </row>
    <row r="50" spans="1:79" s="4" customFormat="1" ht="12.75" customHeight="1" x14ac:dyDescent="0.2">
      <c r="A50" s="34">
        <v>25020100</v>
      </c>
      <c r="B50" s="35"/>
      <c r="C50" s="35"/>
      <c r="D50" s="51"/>
      <c r="E50" s="29" t="s">
        <v>177</v>
      </c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1"/>
      <c r="X50" s="46" t="s">
        <v>173</v>
      </c>
      <c r="Y50" s="47"/>
      <c r="Z50" s="47"/>
      <c r="AA50" s="47"/>
      <c r="AB50" s="48"/>
      <c r="AC50" s="46">
        <v>0</v>
      </c>
      <c r="AD50" s="47"/>
      <c r="AE50" s="47"/>
      <c r="AF50" s="47"/>
      <c r="AG50" s="48"/>
      <c r="AH50" s="46">
        <v>0</v>
      </c>
      <c r="AI50" s="47"/>
      <c r="AJ50" s="47"/>
      <c r="AK50" s="47"/>
      <c r="AL50" s="48"/>
      <c r="AM50" s="46">
        <f t="shared" si="3"/>
        <v>0</v>
      </c>
      <c r="AN50" s="47"/>
      <c r="AO50" s="47"/>
      <c r="AP50" s="47"/>
      <c r="AQ50" s="48"/>
      <c r="AR50" s="46" t="s">
        <v>173</v>
      </c>
      <c r="AS50" s="47"/>
      <c r="AT50" s="47"/>
      <c r="AU50" s="47"/>
      <c r="AV50" s="48"/>
      <c r="AW50" s="46">
        <v>0</v>
      </c>
      <c r="AX50" s="47"/>
      <c r="AY50" s="47"/>
      <c r="AZ50" s="47"/>
      <c r="BA50" s="48"/>
      <c r="BB50" s="46">
        <v>0</v>
      </c>
      <c r="BC50" s="47"/>
      <c r="BD50" s="47"/>
      <c r="BE50" s="47"/>
      <c r="BF50" s="48"/>
      <c r="BG50" s="49">
        <f t="shared" si="4"/>
        <v>0</v>
      </c>
      <c r="BH50" s="49"/>
      <c r="BI50" s="49"/>
      <c r="BJ50" s="49"/>
      <c r="BK50" s="49"/>
    </row>
    <row r="51" spans="1:79" s="4" customFormat="1" ht="63.75" customHeight="1" x14ac:dyDescent="0.2">
      <c r="A51" s="34">
        <v>25020200</v>
      </c>
      <c r="B51" s="35"/>
      <c r="C51" s="35"/>
      <c r="D51" s="51"/>
      <c r="E51" s="29" t="s">
        <v>178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1"/>
      <c r="X51" s="46" t="s">
        <v>173</v>
      </c>
      <c r="Y51" s="47"/>
      <c r="Z51" s="47"/>
      <c r="AA51" s="47"/>
      <c r="AB51" s="48"/>
      <c r="AC51" s="46">
        <v>0</v>
      </c>
      <c r="AD51" s="47"/>
      <c r="AE51" s="47"/>
      <c r="AF51" s="47"/>
      <c r="AG51" s="48"/>
      <c r="AH51" s="46">
        <v>0</v>
      </c>
      <c r="AI51" s="47"/>
      <c r="AJ51" s="47"/>
      <c r="AK51" s="47"/>
      <c r="AL51" s="48"/>
      <c r="AM51" s="46">
        <f t="shared" si="3"/>
        <v>0</v>
      </c>
      <c r="AN51" s="47"/>
      <c r="AO51" s="47"/>
      <c r="AP51" s="47"/>
      <c r="AQ51" s="48"/>
      <c r="AR51" s="46" t="s">
        <v>173</v>
      </c>
      <c r="AS51" s="47"/>
      <c r="AT51" s="47"/>
      <c r="AU51" s="47"/>
      <c r="AV51" s="48"/>
      <c r="AW51" s="46">
        <v>0</v>
      </c>
      <c r="AX51" s="47"/>
      <c r="AY51" s="47"/>
      <c r="AZ51" s="47"/>
      <c r="BA51" s="48"/>
      <c r="BB51" s="46">
        <v>0</v>
      </c>
      <c r="BC51" s="47"/>
      <c r="BD51" s="47"/>
      <c r="BE51" s="47"/>
      <c r="BF51" s="48"/>
      <c r="BG51" s="49">
        <f t="shared" si="4"/>
        <v>0</v>
      </c>
      <c r="BH51" s="49"/>
      <c r="BI51" s="49"/>
      <c r="BJ51" s="49"/>
      <c r="BK51" s="49"/>
    </row>
    <row r="52" spans="1:79" s="4" customFormat="1" ht="25.5" customHeight="1" x14ac:dyDescent="0.2">
      <c r="A52" s="34"/>
      <c r="B52" s="35"/>
      <c r="C52" s="35"/>
      <c r="D52" s="51"/>
      <c r="E52" s="29" t="s">
        <v>179</v>
      </c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1"/>
      <c r="X52" s="46" t="s">
        <v>173</v>
      </c>
      <c r="Y52" s="47"/>
      <c r="Z52" s="47"/>
      <c r="AA52" s="47"/>
      <c r="AB52" s="48"/>
      <c r="AC52" s="46">
        <v>0</v>
      </c>
      <c r="AD52" s="47"/>
      <c r="AE52" s="47"/>
      <c r="AF52" s="47"/>
      <c r="AG52" s="48"/>
      <c r="AH52" s="46">
        <v>0</v>
      </c>
      <c r="AI52" s="47"/>
      <c r="AJ52" s="47"/>
      <c r="AK52" s="47"/>
      <c r="AL52" s="48"/>
      <c r="AM52" s="46">
        <f t="shared" si="3"/>
        <v>0</v>
      </c>
      <c r="AN52" s="47"/>
      <c r="AO52" s="47"/>
      <c r="AP52" s="47"/>
      <c r="AQ52" s="48"/>
      <c r="AR52" s="46" t="s">
        <v>173</v>
      </c>
      <c r="AS52" s="47"/>
      <c r="AT52" s="47"/>
      <c r="AU52" s="47"/>
      <c r="AV52" s="48"/>
      <c r="AW52" s="46">
        <v>0</v>
      </c>
      <c r="AX52" s="47"/>
      <c r="AY52" s="47"/>
      <c r="AZ52" s="47"/>
      <c r="BA52" s="48"/>
      <c r="BB52" s="46">
        <v>0</v>
      </c>
      <c r="BC52" s="47"/>
      <c r="BD52" s="47"/>
      <c r="BE52" s="47"/>
      <c r="BF52" s="48"/>
      <c r="BG52" s="49">
        <f t="shared" si="4"/>
        <v>0</v>
      </c>
      <c r="BH52" s="49"/>
      <c r="BI52" s="49"/>
      <c r="BJ52" s="49"/>
      <c r="BK52" s="49"/>
    </row>
    <row r="53" spans="1:79" s="4" customFormat="1" ht="25.5" customHeight="1" x14ac:dyDescent="0.2">
      <c r="A53" s="34">
        <v>208400</v>
      </c>
      <c r="B53" s="35"/>
      <c r="C53" s="35"/>
      <c r="D53" s="51"/>
      <c r="E53" s="29" t="s">
        <v>180</v>
      </c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1"/>
      <c r="X53" s="46" t="s">
        <v>173</v>
      </c>
      <c r="Y53" s="47"/>
      <c r="Z53" s="47"/>
      <c r="AA53" s="47"/>
      <c r="AB53" s="48"/>
      <c r="AC53" s="46">
        <v>0</v>
      </c>
      <c r="AD53" s="47"/>
      <c r="AE53" s="47"/>
      <c r="AF53" s="47"/>
      <c r="AG53" s="48"/>
      <c r="AH53" s="46">
        <v>0</v>
      </c>
      <c r="AI53" s="47"/>
      <c r="AJ53" s="47"/>
      <c r="AK53" s="47"/>
      <c r="AL53" s="48"/>
      <c r="AM53" s="46">
        <f t="shared" si="3"/>
        <v>0</v>
      </c>
      <c r="AN53" s="47"/>
      <c r="AO53" s="47"/>
      <c r="AP53" s="47"/>
      <c r="AQ53" s="48"/>
      <c r="AR53" s="46" t="s">
        <v>173</v>
      </c>
      <c r="AS53" s="47"/>
      <c r="AT53" s="47"/>
      <c r="AU53" s="47"/>
      <c r="AV53" s="48"/>
      <c r="AW53" s="46">
        <v>0</v>
      </c>
      <c r="AX53" s="47"/>
      <c r="AY53" s="47"/>
      <c r="AZ53" s="47"/>
      <c r="BA53" s="48"/>
      <c r="BB53" s="46">
        <v>0</v>
      </c>
      <c r="BC53" s="47"/>
      <c r="BD53" s="47"/>
      <c r="BE53" s="47"/>
      <c r="BF53" s="48"/>
      <c r="BG53" s="49">
        <f t="shared" si="4"/>
        <v>0</v>
      </c>
      <c r="BH53" s="49"/>
      <c r="BI53" s="49"/>
      <c r="BJ53" s="49"/>
      <c r="BK53" s="49"/>
    </row>
    <row r="54" spans="1:79" s="5" customFormat="1" ht="12.75" customHeight="1" x14ac:dyDescent="0.2">
      <c r="A54" s="36"/>
      <c r="B54" s="37"/>
      <c r="C54" s="37"/>
      <c r="D54" s="50"/>
      <c r="E54" s="23" t="s">
        <v>147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5"/>
      <c r="X54" s="42">
        <v>39474653</v>
      </c>
      <c r="Y54" s="43"/>
      <c r="Z54" s="43"/>
      <c r="AA54" s="43"/>
      <c r="AB54" s="44"/>
      <c r="AC54" s="42">
        <v>219800</v>
      </c>
      <c r="AD54" s="43"/>
      <c r="AE54" s="43"/>
      <c r="AF54" s="43"/>
      <c r="AG54" s="44"/>
      <c r="AH54" s="42">
        <v>0</v>
      </c>
      <c r="AI54" s="43"/>
      <c r="AJ54" s="43"/>
      <c r="AK54" s="43"/>
      <c r="AL54" s="44"/>
      <c r="AM54" s="42">
        <f t="shared" si="3"/>
        <v>39694453</v>
      </c>
      <c r="AN54" s="43"/>
      <c r="AO54" s="43"/>
      <c r="AP54" s="43"/>
      <c r="AQ54" s="44"/>
      <c r="AR54" s="42">
        <v>40079245</v>
      </c>
      <c r="AS54" s="43"/>
      <c r="AT54" s="43"/>
      <c r="AU54" s="43"/>
      <c r="AV54" s="44"/>
      <c r="AW54" s="42">
        <v>237384</v>
      </c>
      <c r="AX54" s="43"/>
      <c r="AY54" s="43"/>
      <c r="AZ54" s="43"/>
      <c r="BA54" s="44"/>
      <c r="BB54" s="42">
        <v>0</v>
      </c>
      <c r="BC54" s="43"/>
      <c r="BD54" s="43"/>
      <c r="BE54" s="43"/>
      <c r="BF54" s="44"/>
      <c r="BG54" s="45">
        <f t="shared" si="4"/>
        <v>40316629</v>
      </c>
      <c r="BH54" s="45"/>
      <c r="BI54" s="45"/>
      <c r="BJ54" s="45"/>
      <c r="BK54" s="45"/>
    </row>
    <row r="56" spans="1:79" s="3" customFormat="1" ht="14.25" customHeight="1" x14ac:dyDescent="0.2">
      <c r="A56" s="60" t="s">
        <v>117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8"/>
    </row>
    <row r="57" spans="1:79" ht="14.25" customHeight="1" x14ac:dyDescent="0.2">
      <c r="A57" s="60" t="s">
        <v>308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</row>
    <row r="58" spans="1:79" ht="15" customHeight="1" x14ac:dyDescent="0.2">
      <c r="A58" s="65" t="s">
        <v>295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</row>
    <row r="59" spans="1:79" ht="17.25" customHeight="1" x14ac:dyDescent="0.2">
      <c r="A59" s="101" t="s">
        <v>118</v>
      </c>
      <c r="B59" s="102"/>
      <c r="C59" s="102"/>
      <c r="D59" s="103"/>
      <c r="E59" s="39" t="s">
        <v>19</v>
      </c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72" t="s">
        <v>296</v>
      </c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4"/>
      <c r="AN59" s="72" t="s">
        <v>299</v>
      </c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3"/>
      <c r="BD59" s="73"/>
      <c r="BE59" s="73"/>
      <c r="BF59" s="74"/>
      <c r="BG59" s="72" t="s">
        <v>307</v>
      </c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4"/>
    </row>
    <row r="60" spans="1:79" ht="48.75" customHeight="1" x14ac:dyDescent="0.2">
      <c r="A60" s="104"/>
      <c r="B60" s="105"/>
      <c r="C60" s="105"/>
      <c r="D60" s="106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72" t="s">
        <v>4</v>
      </c>
      <c r="V60" s="73"/>
      <c r="W60" s="73"/>
      <c r="X60" s="73"/>
      <c r="Y60" s="74"/>
      <c r="Z60" s="72" t="s">
        <v>3</v>
      </c>
      <c r="AA60" s="73"/>
      <c r="AB60" s="73"/>
      <c r="AC60" s="73"/>
      <c r="AD60" s="74"/>
      <c r="AE60" s="95" t="s">
        <v>116</v>
      </c>
      <c r="AF60" s="96"/>
      <c r="AG60" s="96"/>
      <c r="AH60" s="97"/>
      <c r="AI60" s="72" t="s">
        <v>5</v>
      </c>
      <c r="AJ60" s="73"/>
      <c r="AK60" s="73"/>
      <c r="AL60" s="73"/>
      <c r="AM60" s="74"/>
      <c r="AN60" s="72" t="s">
        <v>4</v>
      </c>
      <c r="AO60" s="73"/>
      <c r="AP60" s="73"/>
      <c r="AQ60" s="73"/>
      <c r="AR60" s="74"/>
      <c r="AS60" s="72" t="s">
        <v>3</v>
      </c>
      <c r="AT60" s="73"/>
      <c r="AU60" s="73"/>
      <c r="AV60" s="73"/>
      <c r="AW60" s="74"/>
      <c r="AX60" s="95" t="s">
        <v>116</v>
      </c>
      <c r="AY60" s="96"/>
      <c r="AZ60" s="96"/>
      <c r="BA60" s="97"/>
      <c r="BB60" s="72" t="s">
        <v>96</v>
      </c>
      <c r="BC60" s="73"/>
      <c r="BD60" s="73"/>
      <c r="BE60" s="73"/>
      <c r="BF60" s="74"/>
      <c r="BG60" s="72" t="s">
        <v>4</v>
      </c>
      <c r="BH60" s="73"/>
      <c r="BI60" s="73"/>
      <c r="BJ60" s="73"/>
      <c r="BK60" s="74"/>
      <c r="BL60" s="72" t="s">
        <v>3</v>
      </c>
      <c r="BM60" s="73"/>
      <c r="BN60" s="73"/>
      <c r="BO60" s="73"/>
      <c r="BP60" s="74"/>
      <c r="BQ60" s="95" t="s">
        <v>116</v>
      </c>
      <c r="BR60" s="96"/>
      <c r="BS60" s="96"/>
      <c r="BT60" s="97"/>
      <c r="BU60" s="72" t="s">
        <v>97</v>
      </c>
      <c r="BV60" s="73"/>
      <c r="BW60" s="73"/>
      <c r="BX60" s="73"/>
      <c r="BY60" s="74"/>
    </row>
    <row r="61" spans="1:79" ht="15" customHeight="1" x14ac:dyDescent="0.2">
      <c r="A61" s="72">
        <v>1</v>
      </c>
      <c r="B61" s="73"/>
      <c r="C61" s="73"/>
      <c r="D61" s="74"/>
      <c r="E61" s="72">
        <v>2</v>
      </c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4"/>
      <c r="U61" s="72">
        <v>3</v>
      </c>
      <c r="V61" s="73"/>
      <c r="W61" s="73"/>
      <c r="X61" s="73"/>
      <c r="Y61" s="74"/>
      <c r="Z61" s="72">
        <v>4</v>
      </c>
      <c r="AA61" s="73"/>
      <c r="AB61" s="73"/>
      <c r="AC61" s="73"/>
      <c r="AD61" s="74"/>
      <c r="AE61" s="72">
        <v>5</v>
      </c>
      <c r="AF61" s="73"/>
      <c r="AG61" s="73"/>
      <c r="AH61" s="74"/>
      <c r="AI61" s="72">
        <v>6</v>
      </c>
      <c r="AJ61" s="73"/>
      <c r="AK61" s="73"/>
      <c r="AL61" s="73"/>
      <c r="AM61" s="74"/>
      <c r="AN61" s="72">
        <v>7</v>
      </c>
      <c r="AO61" s="73"/>
      <c r="AP61" s="73"/>
      <c r="AQ61" s="73"/>
      <c r="AR61" s="74"/>
      <c r="AS61" s="72">
        <v>8</v>
      </c>
      <c r="AT61" s="73"/>
      <c r="AU61" s="73"/>
      <c r="AV61" s="73"/>
      <c r="AW61" s="74"/>
      <c r="AX61" s="72">
        <v>9</v>
      </c>
      <c r="AY61" s="73"/>
      <c r="AZ61" s="73"/>
      <c r="BA61" s="74"/>
      <c r="BB61" s="72">
        <v>10</v>
      </c>
      <c r="BC61" s="73"/>
      <c r="BD61" s="73"/>
      <c r="BE61" s="73"/>
      <c r="BF61" s="74"/>
      <c r="BG61" s="72">
        <v>11</v>
      </c>
      <c r="BH61" s="73"/>
      <c r="BI61" s="73"/>
      <c r="BJ61" s="73"/>
      <c r="BK61" s="74"/>
      <c r="BL61" s="72">
        <v>12</v>
      </c>
      <c r="BM61" s="73"/>
      <c r="BN61" s="73"/>
      <c r="BO61" s="73"/>
      <c r="BP61" s="74"/>
      <c r="BQ61" s="72">
        <v>13</v>
      </c>
      <c r="BR61" s="73"/>
      <c r="BS61" s="73"/>
      <c r="BT61" s="74"/>
      <c r="BU61" s="72">
        <v>14</v>
      </c>
      <c r="BV61" s="73"/>
      <c r="BW61" s="73"/>
      <c r="BX61" s="73"/>
      <c r="BY61" s="74"/>
    </row>
    <row r="62" spans="1:79" s="1" customFormat="1" ht="12.75" hidden="1" customHeight="1" x14ac:dyDescent="0.2">
      <c r="A62" s="86" t="s">
        <v>64</v>
      </c>
      <c r="B62" s="87"/>
      <c r="C62" s="87"/>
      <c r="D62" s="88"/>
      <c r="E62" s="86" t="s">
        <v>57</v>
      </c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8"/>
      <c r="U62" s="86" t="s">
        <v>65</v>
      </c>
      <c r="V62" s="87"/>
      <c r="W62" s="87"/>
      <c r="X62" s="87"/>
      <c r="Y62" s="88"/>
      <c r="Z62" s="86" t="s">
        <v>66</v>
      </c>
      <c r="AA62" s="87"/>
      <c r="AB62" s="87"/>
      <c r="AC62" s="87"/>
      <c r="AD62" s="88"/>
      <c r="AE62" s="86" t="s">
        <v>91</v>
      </c>
      <c r="AF62" s="87"/>
      <c r="AG62" s="87"/>
      <c r="AH62" s="88"/>
      <c r="AI62" s="92" t="s">
        <v>169</v>
      </c>
      <c r="AJ62" s="93"/>
      <c r="AK62" s="93"/>
      <c r="AL62" s="93"/>
      <c r="AM62" s="94"/>
      <c r="AN62" s="86" t="s">
        <v>67</v>
      </c>
      <c r="AO62" s="87"/>
      <c r="AP62" s="87"/>
      <c r="AQ62" s="87"/>
      <c r="AR62" s="88"/>
      <c r="AS62" s="86" t="s">
        <v>68</v>
      </c>
      <c r="AT62" s="87"/>
      <c r="AU62" s="87"/>
      <c r="AV62" s="87"/>
      <c r="AW62" s="88"/>
      <c r="AX62" s="86" t="s">
        <v>92</v>
      </c>
      <c r="AY62" s="87"/>
      <c r="AZ62" s="87"/>
      <c r="BA62" s="88"/>
      <c r="BB62" s="92" t="s">
        <v>169</v>
      </c>
      <c r="BC62" s="93"/>
      <c r="BD62" s="93"/>
      <c r="BE62" s="93"/>
      <c r="BF62" s="94"/>
      <c r="BG62" s="86" t="s">
        <v>58</v>
      </c>
      <c r="BH62" s="87"/>
      <c r="BI62" s="87"/>
      <c r="BJ62" s="87"/>
      <c r="BK62" s="88"/>
      <c r="BL62" s="86" t="s">
        <v>59</v>
      </c>
      <c r="BM62" s="87"/>
      <c r="BN62" s="87"/>
      <c r="BO62" s="87"/>
      <c r="BP62" s="88"/>
      <c r="BQ62" s="86" t="s">
        <v>93</v>
      </c>
      <c r="BR62" s="87"/>
      <c r="BS62" s="87"/>
      <c r="BT62" s="88"/>
      <c r="BU62" s="92" t="s">
        <v>169</v>
      </c>
      <c r="BV62" s="93"/>
      <c r="BW62" s="93"/>
      <c r="BX62" s="93"/>
      <c r="BY62" s="94"/>
      <c r="CA62" t="s">
        <v>25</v>
      </c>
    </row>
    <row r="63" spans="1:79" s="4" customFormat="1" ht="12.75" customHeight="1" x14ac:dyDescent="0.2">
      <c r="A63" s="34">
        <v>2111</v>
      </c>
      <c r="B63" s="35"/>
      <c r="C63" s="35"/>
      <c r="D63" s="51"/>
      <c r="E63" s="29" t="s">
        <v>181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1"/>
      <c r="U63" s="46">
        <v>17478267</v>
      </c>
      <c r="V63" s="47"/>
      <c r="W63" s="47"/>
      <c r="X63" s="47"/>
      <c r="Y63" s="48"/>
      <c r="Z63" s="46">
        <v>0</v>
      </c>
      <c r="AA63" s="47"/>
      <c r="AB63" s="47"/>
      <c r="AC63" s="47"/>
      <c r="AD63" s="48"/>
      <c r="AE63" s="46">
        <v>0</v>
      </c>
      <c r="AF63" s="47"/>
      <c r="AG63" s="47"/>
      <c r="AH63" s="48"/>
      <c r="AI63" s="46">
        <f t="shared" ref="AI63:AI78" si="5">IF(ISNUMBER(U63),U63,0)+IF(ISNUMBER(Z63),Z63,0)</f>
        <v>17478267</v>
      </c>
      <c r="AJ63" s="47"/>
      <c r="AK63" s="47"/>
      <c r="AL63" s="47"/>
      <c r="AM63" s="48"/>
      <c r="AN63" s="46">
        <v>22832909</v>
      </c>
      <c r="AO63" s="47"/>
      <c r="AP63" s="47"/>
      <c r="AQ63" s="47"/>
      <c r="AR63" s="48"/>
      <c r="AS63" s="46">
        <v>0</v>
      </c>
      <c r="AT63" s="47"/>
      <c r="AU63" s="47"/>
      <c r="AV63" s="47"/>
      <c r="AW63" s="48"/>
      <c r="AX63" s="46">
        <v>0</v>
      </c>
      <c r="AY63" s="47"/>
      <c r="AZ63" s="47"/>
      <c r="BA63" s="48"/>
      <c r="BB63" s="46">
        <f t="shared" ref="BB63:BB78" si="6">IF(ISNUMBER(AN63),AN63,0)+IF(ISNUMBER(AS63),AS63,0)</f>
        <v>22832909</v>
      </c>
      <c r="BC63" s="47"/>
      <c r="BD63" s="47"/>
      <c r="BE63" s="47"/>
      <c r="BF63" s="48"/>
      <c r="BG63" s="46">
        <v>26161670</v>
      </c>
      <c r="BH63" s="47"/>
      <c r="BI63" s="47"/>
      <c r="BJ63" s="47"/>
      <c r="BK63" s="48"/>
      <c r="BL63" s="46">
        <v>0</v>
      </c>
      <c r="BM63" s="47"/>
      <c r="BN63" s="47"/>
      <c r="BO63" s="47"/>
      <c r="BP63" s="48"/>
      <c r="BQ63" s="46">
        <v>0</v>
      </c>
      <c r="BR63" s="47"/>
      <c r="BS63" s="47"/>
      <c r="BT63" s="48"/>
      <c r="BU63" s="46">
        <f t="shared" ref="BU63:BU78" si="7">IF(ISNUMBER(BG63),BG63,0)+IF(ISNUMBER(BL63),BL63,0)</f>
        <v>26161670</v>
      </c>
      <c r="BV63" s="47"/>
      <c r="BW63" s="47"/>
      <c r="BX63" s="47"/>
      <c r="BY63" s="48"/>
      <c r="CA63" s="4" t="s">
        <v>26</v>
      </c>
    </row>
    <row r="64" spans="1:79" s="4" customFormat="1" ht="12.75" customHeight="1" x14ac:dyDescent="0.2">
      <c r="A64" s="34">
        <v>2120</v>
      </c>
      <c r="B64" s="35"/>
      <c r="C64" s="35"/>
      <c r="D64" s="51"/>
      <c r="E64" s="29" t="s">
        <v>182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1"/>
      <c r="U64" s="46">
        <v>3805939</v>
      </c>
      <c r="V64" s="47"/>
      <c r="W64" s="47"/>
      <c r="X64" s="47"/>
      <c r="Y64" s="48"/>
      <c r="Z64" s="46">
        <v>0</v>
      </c>
      <c r="AA64" s="47"/>
      <c r="AB64" s="47"/>
      <c r="AC64" s="47"/>
      <c r="AD64" s="48"/>
      <c r="AE64" s="46">
        <v>0</v>
      </c>
      <c r="AF64" s="47"/>
      <c r="AG64" s="47"/>
      <c r="AH64" s="48"/>
      <c r="AI64" s="46">
        <f t="shared" si="5"/>
        <v>3805939</v>
      </c>
      <c r="AJ64" s="47"/>
      <c r="AK64" s="47"/>
      <c r="AL64" s="47"/>
      <c r="AM64" s="48"/>
      <c r="AN64" s="46">
        <v>5023240</v>
      </c>
      <c r="AO64" s="47"/>
      <c r="AP64" s="47"/>
      <c r="AQ64" s="47"/>
      <c r="AR64" s="48"/>
      <c r="AS64" s="46">
        <v>0</v>
      </c>
      <c r="AT64" s="47"/>
      <c r="AU64" s="47"/>
      <c r="AV64" s="47"/>
      <c r="AW64" s="48"/>
      <c r="AX64" s="46">
        <v>0</v>
      </c>
      <c r="AY64" s="47"/>
      <c r="AZ64" s="47"/>
      <c r="BA64" s="48"/>
      <c r="BB64" s="46">
        <f t="shared" si="6"/>
        <v>5023240</v>
      </c>
      <c r="BC64" s="47"/>
      <c r="BD64" s="47"/>
      <c r="BE64" s="47"/>
      <c r="BF64" s="48"/>
      <c r="BG64" s="46">
        <v>5755568</v>
      </c>
      <c r="BH64" s="47"/>
      <c r="BI64" s="47"/>
      <c r="BJ64" s="47"/>
      <c r="BK64" s="48"/>
      <c r="BL64" s="46">
        <v>0</v>
      </c>
      <c r="BM64" s="47"/>
      <c r="BN64" s="47"/>
      <c r="BO64" s="47"/>
      <c r="BP64" s="48"/>
      <c r="BQ64" s="46">
        <v>0</v>
      </c>
      <c r="BR64" s="47"/>
      <c r="BS64" s="47"/>
      <c r="BT64" s="48"/>
      <c r="BU64" s="46">
        <f t="shared" si="7"/>
        <v>5755568</v>
      </c>
      <c r="BV64" s="47"/>
      <c r="BW64" s="47"/>
      <c r="BX64" s="47"/>
      <c r="BY64" s="48"/>
    </row>
    <row r="65" spans="1:77" s="4" customFormat="1" ht="12.75" customHeight="1" x14ac:dyDescent="0.2">
      <c r="A65" s="34">
        <v>2210</v>
      </c>
      <c r="B65" s="35"/>
      <c r="C65" s="35"/>
      <c r="D65" s="51"/>
      <c r="E65" s="29" t="s">
        <v>183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1"/>
      <c r="U65" s="46">
        <v>1679270</v>
      </c>
      <c r="V65" s="47"/>
      <c r="W65" s="47"/>
      <c r="X65" s="47"/>
      <c r="Y65" s="48"/>
      <c r="Z65" s="46">
        <v>7170320</v>
      </c>
      <c r="AA65" s="47"/>
      <c r="AB65" s="47"/>
      <c r="AC65" s="47"/>
      <c r="AD65" s="48"/>
      <c r="AE65" s="46">
        <v>0</v>
      </c>
      <c r="AF65" s="47"/>
      <c r="AG65" s="47"/>
      <c r="AH65" s="48"/>
      <c r="AI65" s="46">
        <f t="shared" si="5"/>
        <v>8849590</v>
      </c>
      <c r="AJ65" s="47"/>
      <c r="AK65" s="47"/>
      <c r="AL65" s="47"/>
      <c r="AM65" s="48"/>
      <c r="AN65" s="46">
        <v>744138</v>
      </c>
      <c r="AO65" s="47"/>
      <c r="AP65" s="47"/>
      <c r="AQ65" s="47"/>
      <c r="AR65" s="48"/>
      <c r="AS65" s="46">
        <v>250000</v>
      </c>
      <c r="AT65" s="47"/>
      <c r="AU65" s="47"/>
      <c r="AV65" s="47"/>
      <c r="AW65" s="48"/>
      <c r="AX65" s="46">
        <v>0</v>
      </c>
      <c r="AY65" s="47"/>
      <c r="AZ65" s="47"/>
      <c r="BA65" s="48"/>
      <c r="BB65" s="46">
        <f t="shared" si="6"/>
        <v>994138</v>
      </c>
      <c r="BC65" s="47"/>
      <c r="BD65" s="47"/>
      <c r="BE65" s="47"/>
      <c r="BF65" s="48"/>
      <c r="BG65" s="46">
        <v>739150</v>
      </c>
      <c r="BH65" s="47"/>
      <c r="BI65" s="47"/>
      <c r="BJ65" s="47"/>
      <c r="BK65" s="48"/>
      <c r="BL65" s="46">
        <v>200000</v>
      </c>
      <c r="BM65" s="47"/>
      <c r="BN65" s="47"/>
      <c r="BO65" s="47"/>
      <c r="BP65" s="48"/>
      <c r="BQ65" s="46">
        <v>0</v>
      </c>
      <c r="BR65" s="47"/>
      <c r="BS65" s="47"/>
      <c r="BT65" s="48"/>
      <c r="BU65" s="46">
        <f t="shared" si="7"/>
        <v>939150</v>
      </c>
      <c r="BV65" s="47"/>
      <c r="BW65" s="47"/>
      <c r="BX65" s="47"/>
      <c r="BY65" s="48"/>
    </row>
    <row r="66" spans="1:77" s="4" customFormat="1" ht="12.75" customHeight="1" x14ac:dyDescent="0.2">
      <c r="A66" s="34">
        <v>2230</v>
      </c>
      <c r="B66" s="35"/>
      <c r="C66" s="35"/>
      <c r="D66" s="51"/>
      <c r="E66" s="29" t="s">
        <v>184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1"/>
      <c r="U66" s="46">
        <v>0</v>
      </c>
      <c r="V66" s="47"/>
      <c r="W66" s="47"/>
      <c r="X66" s="47"/>
      <c r="Y66" s="48"/>
      <c r="Z66" s="46">
        <v>17873664</v>
      </c>
      <c r="AA66" s="47"/>
      <c r="AB66" s="47"/>
      <c r="AC66" s="47"/>
      <c r="AD66" s="48"/>
      <c r="AE66" s="46">
        <v>0</v>
      </c>
      <c r="AF66" s="47"/>
      <c r="AG66" s="47"/>
      <c r="AH66" s="48"/>
      <c r="AI66" s="46">
        <f t="shared" si="5"/>
        <v>17873664</v>
      </c>
      <c r="AJ66" s="47"/>
      <c r="AK66" s="47"/>
      <c r="AL66" s="47"/>
      <c r="AM66" s="48"/>
      <c r="AN66" s="46">
        <v>0</v>
      </c>
      <c r="AO66" s="47"/>
      <c r="AP66" s="47"/>
      <c r="AQ66" s="47"/>
      <c r="AR66" s="48"/>
      <c r="AS66" s="46">
        <v>0</v>
      </c>
      <c r="AT66" s="47"/>
      <c r="AU66" s="47"/>
      <c r="AV66" s="47"/>
      <c r="AW66" s="48"/>
      <c r="AX66" s="46">
        <v>0</v>
      </c>
      <c r="AY66" s="47"/>
      <c r="AZ66" s="47"/>
      <c r="BA66" s="48"/>
      <c r="BB66" s="46">
        <f t="shared" si="6"/>
        <v>0</v>
      </c>
      <c r="BC66" s="47"/>
      <c r="BD66" s="47"/>
      <c r="BE66" s="47"/>
      <c r="BF66" s="48"/>
      <c r="BG66" s="46">
        <v>0</v>
      </c>
      <c r="BH66" s="47"/>
      <c r="BI66" s="47"/>
      <c r="BJ66" s="47"/>
      <c r="BK66" s="48"/>
      <c r="BL66" s="46">
        <v>0</v>
      </c>
      <c r="BM66" s="47"/>
      <c r="BN66" s="47"/>
      <c r="BO66" s="47"/>
      <c r="BP66" s="48"/>
      <c r="BQ66" s="46">
        <v>0</v>
      </c>
      <c r="BR66" s="47"/>
      <c r="BS66" s="47"/>
      <c r="BT66" s="48"/>
      <c r="BU66" s="46">
        <f t="shared" si="7"/>
        <v>0</v>
      </c>
      <c r="BV66" s="47"/>
      <c r="BW66" s="47"/>
      <c r="BX66" s="47"/>
      <c r="BY66" s="48"/>
    </row>
    <row r="67" spans="1:77" s="4" customFormat="1" ht="12.75" customHeight="1" x14ac:dyDescent="0.2">
      <c r="A67" s="34">
        <v>2240</v>
      </c>
      <c r="B67" s="35"/>
      <c r="C67" s="35"/>
      <c r="D67" s="51"/>
      <c r="E67" s="29" t="s">
        <v>185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1"/>
      <c r="U67" s="46">
        <v>2040601</v>
      </c>
      <c r="V67" s="47"/>
      <c r="W67" s="47"/>
      <c r="X67" s="47"/>
      <c r="Y67" s="48"/>
      <c r="Z67" s="46">
        <v>4777</v>
      </c>
      <c r="AA67" s="47"/>
      <c r="AB67" s="47"/>
      <c r="AC67" s="47"/>
      <c r="AD67" s="48"/>
      <c r="AE67" s="46">
        <v>0</v>
      </c>
      <c r="AF67" s="47"/>
      <c r="AG67" s="47"/>
      <c r="AH67" s="48"/>
      <c r="AI67" s="46">
        <f t="shared" si="5"/>
        <v>2045378</v>
      </c>
      <c r="AJ67" s="47"/>
      <c r="AK67" s="47"/>
      <c r="AL67" s="47"/>
      <c r="AM67" s="48"/>
      <c r="AN67" s="46">
        <v>2100876</v>
      </c>
      <c r="AO67" s="47"/>
      <c r="AP67" s="47"/>
      <c r="AQ67" s="47"/>
      <c r="AR67" s="48"/>
      <c r="AS67" s="46">
        <v>0</v>
      </c>
      <c r="AT67" s="47"/>
      <c r="AU67" s="47"/>
      <c r="AV67" s="47"/>
      <c r="AW67" s="48"/>
      <c r="AX67" s="46">
        <v>0</v>
      </c>
      <c r="AY67" s="47"/>
      <c r="AZ67" s="47"/>
      <c r="BA67" s="48"/>
      <c r="BB67" s="46">
        <f t="shared" si="6"/>
        <v>2100876</v>
      </c>
      <c r="BC67" s="47"/>
      <c r="BD67" s="47"/>
      <c r="BE67" s="47"/>
      <c r="BF67" s="48"/>
      <c r="BG67" s="46">
        <v>2669189</v>
      </c>
      <c r="BH67" s="47"/>
      <c r="BI67" s="47"/>
      <c r="BJ67" s="47"/>
      <c r="BK67" s="48"/>
      <c r="BL67" s="46">
        <v>0</v>
      </c>
      <c r="BM67" s="47"/>
      <c r="BN67" s="47"/>
      <c r="BO67" s="47"/>
      <c r="BP67" s="48"/>
      <c r="BQ67" s="46">
        <v>0</v>
      </c>
      <c r="BR67" s="47"/>
      <c r="BS67" s="47"/>
      <c r="BT67" s="48"/>
      <c r="BU67" s="46">
        <f t="shared" si="7"/>
        <v>2669189</v>
      </c>
      <c r="BV67" s="47"/>
      <c r="BW67" s="47"/>
      <c r="BX67" s="47"/>
      <c r="BY67" s="48"/>
    </row>
    <row r="68" spans="1:77" s="4" customFormat="1" ht="12.75" customHeight="1" x14ac:dyDescent="0.2">
      <c r="A68" s="34">
        <v>2250</v>
      </c>
      <c r="B68" s="35"/>
      <c r="C68" s="35"/>
      <c r="D68" s="51"/>
      <c r="E68" s="29" t="s">
        <v>186</v>
      </c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1"/>
      <c r="U68" s="46">
        <v>58605</v>
      </c>
      <c r="V68" s="47"/>
      <c r="W68" s="47"/>
      <c r="X68" s="47"/>
      <c r="Y68" s="48"/>
      <c r="Z68" s="46">
        <v>0</v>
      </c>
      <c r="AA68" s="47"/>
      <c r="AB68" s="47"/>
      <c r="AC68" s="47"/>
      <c r="AD68" s="48"/>
      <c r="AE68" s="46">
        <v>0</v>
      </c>
      <c r="AF68" s="47"/>
      <c r="AG68" s="47"/>
      <c r="AH68" s="48"/>
      <c r="AI68" s="46">
        <f t="shared" si="5"/>
        <v>58605</v>
      </c>
      <c r="AJ68" s="47"/>
      <c r="AK68" s="47"/>
      <c r="AL68" s="47"/>
      <c r="AM68" s="48"/>
      <c r="AN68" s="46">
        <v>105000</v>
      </c>
      <c r="AO68" s="47"/>
      <c r="AP68" s="47"/>
      <c r="AQ68" s="47"/>
      <c r="AR68" s="48"/>
      <c r="AS68" s="46">
        <v>0</v>
      </c>
      <c r="AT68" s="47"/>
      <c r="AU68" s="47"/>
      <c r="AV68" s="47"/>
      <c r="AW68" s="48"/>
      <c r="AX68" s="46">
        <v>0</v>
      </c>
      <c r="AY68" s="47"/>
      <c r="AZ68" s="47"/>
      <c r="BA68" s="48"/>
      <c r="BB68" s="46">
        <f t="shared" si="6"/>
        <v>105000</v>
      </c>
      <c r="BC68" s="47"/>
      <c r="BD68" s="47"/>
      <c r="BE68" s="47"/>
      <c r="BF68" s="48"/>
      <c r="BG68" s="46">
        <v>500000</v>
      </c>
      <c r="BH68" s="47"/>
      <c r="BI68" s="47"/>
      <c r="BJ68" s="47"/>
      <c r="BK68" s="48"/>
      <c r="BL68" s="46">
        <v>0</v>
      </c>
      <c r="BM68" s="47"/>
      <c r="BN68" s="47"/>
      <c r="BO68" s="47"/>
      <c r="BP68" s="48"/>
      <c r="BQ68" s="46">
        <v>0</v>
      </c>
      <c r="BR68" s="47"/>
      <c r="BS68" s="47"/>
      <c r="BT68" s="48"/>
      <c r="BU68" s="46">
        <f t="shared" si="7"/>
        <v>500000</v>
      </c>
      <c r="BV68" s="47"/>
      <c r="BW68" s="47"/>
      <c r="BX68" s="47"/>
      <c r="BY68" s="48"/>
    </row>
    <row r="69" spans="1:77" s="4" customFormat="1" ht="12.75" customHeight="1" x14ac:dyDescent="0.2">
      <c r="A69" s="34">
        <v>2271</v>
      </c>
      <c r="B69" s="35"/>
      <c r="C69" s="35"/>
      <c r="D69" s="51"/>
      <c r="E69" s="29" t="s">
        <v>187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1"/>
      <c r="U69" s="46">
        <v>171176</v>
      </c>
      <c r="V69" s="47"/>
      <c r="W69" s="47"/>
      <c r="X69" s="47"/>
      <c r="Y69" s="48"/>
      <c r="Z69" s="46">
        <v>0</v>
      </c>
      <c r="AA69" s="47"/>
      <c r="AB69" s="47"/>
      <c r="AC69" s="47"/>
      <c r="AD69" s="48"/>
      <c r="AE69" s="46">
        <v>0</v>
      </c>
      <c r="AF69" s="47"/>
      <c r="AG69" s="47"/>
      <c r="AH69" s="48"/>
      <c r="AI69" s="46">
        <f t="shared" si="5"/>
        <v>171176</v>
      </c>
      <c r="AJ69" s="47"/>
      <c r="AK69" s="47"/>
      <c r="AL69" s="47"/>
      <c r="AM69" s="48"/>
      <c r="AN69" s="46">
        <v>244800</v>
      </c>
      <c r="AO69" s="47"/>
      <c r="AP69" s="47"/>
      <c r="AQ69" s="47"/>
      <c r="AR69" s="48"/>
      <c r="AS69" s="46">
        <v>0</v>
      </c>
      <c r="AT69" s="47"/>
      <c r="AU69" s="47"/>
      <c r="AV69" s="47"/>
      <c r="AW69" s="48"/>
      <c r="AX69" s="46">
        <v>0</v>
      </c>
      <c r="AY69" s="47"/>
      <c r="AZ69" s="47"/>
      <c r="BA69" s="48"/>
      <c r="BB69" s="46">
        <f t="shared" si="6"/>
        <v>244800</v>
      </c>
      <c r="BC69" s="47"/>
      <c r="BD69" s="47"/>
      <c r="BE69" s="47"/>
      <c r="BF69" s="48"/>
      <c r="BG69" s="46">
        <v>292800</v>
      </c>
      <c r="BH69" s="47"/>
      <c r="BI69" s="47"/>
      <c r="BJ69" s="47"/>
      <c r="BK69" s="48"/>
      <c r="BL69" s="46">
        <v>0</v>
      </c>
      <c r="BM69" s="47"/>
      <c r="BN69" s="47"/>
      <c r="BO69" s="47"/>
      <c r="BP69" s="48"/>
      <c r="BQ69" s="46">
        <v>0</v>
      </c>
      <c r="BR69" s="47"/>
      <c r="BS69" s="47"/>
      <c r="BT69" s="48"/>
      <c r="BU69" s="46">
        <f t="shared" si="7"/>
        <v>292800</v>
      </c>
      <c r="BV69" s="47"/>
      <c r="BW69" s="47"/>
      <c r="BX69" s="47"/>
      <c r="BY69" s="48"/>
    </row>
    <row r="70" spans="1:77" s="4" customFormat="1" ht="12.75" customHeight="1" x14ac:dyDescent="0.2">
      <c r="A70" s="34">
        <v>2272</v>
      </c>
      <c r="B70" s="35"/>
      <c r="C70" s="35"/>
      <c r="D70" s="51"/>
      <c r="E70" s="29" t="s">
        <v>188</v>
      </c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1"/>
      <c r="U70" s="46">
        <v>39696</v>
      </c>
      <c r="V70" s="47"/>
      <c r="W70" s="47"/>
      <c r="X70" s="47"/>
      <c r="Y70" s="48"/>
      <c r="Z70" s="46">
        <v>0</v>
      </c>
      <c r="AA70" s="47"/>
      <c r="AB70" s="47"/>
      <c r="AC70" s="47"/>
      <c r="AD70" s="48"/>
      <c r="AE70" s="46">
        <v>0</v>
      </c>
      <c r="AF70" s="47"/>
      <c r="AG70" s="47"/>
      <c r="AH70" s="48"/>
      <c r="AI70" s="46">
        <f t="shared" si="5"/>
        <v>39696</v>
      </c>
      <c r="AJ70" s="47"/>
      <c r="AK70" s="47"/>
      <c r="AL70" s="47"/>
      <c r="AM70" s="48"/>
      <c r="AN70" s="46">
        <v>23000</v>
      </c>
      <c r="AO70" s="47"/>
      <c r="AP70" s="47"/>
      <c r="AQ70" s="47"/>
      <c r="AR70" s="48"/>
      <c r="AS70" s="46">
        <v>0</v>
      </c>
      <c r="AT70" s="47"/>
      <c r="AU70" s="47"/>
      <c r="AV70" s="47"/>
      <c r="AW70" s="48"/>
      <c r="AX70" s="46">
        <v>0</v>
      </c>
      <c r="AY70" s="47"/>
      <c r="AZ70" s="47"/>
      <c r="BA70" s="48"/>
      <c r="BB70" s="46">
        <f t="shared" si="6"/>
        <v>23000</v>
      </c>
      <c r="BC70" s="47"/>
      <c r="BD70" s="47"/>
      <c r="BE70" s="47"/>
      <c r="BF70" s="48"/>
      <c r="BG70" s="46">
        <v>24000</v>
      </c>
      <c r="BH70" s="47"/>
      <c r="BI70" s="47"/>
      <c r="BJ70" s="47"/>
      <c r="BK70" s="48"/>
      <c r="BL70" s="46">
        <v>0</v>
      </c>
      <c r="BM70" s="47"/>
      <c r="BN70" s="47"/>
      <c r="BO70" s="47"/>
      <c r="BP70" s="48"/>
      <c r="BQ70" s="46">
        <v>0</v>
      </c>
      <c r="BR70" s="47"/>
      <c r="BS70" s="47"/>
      <c r="BT70" s="48"/>
      <c r="BU70" s="46">
        <f t="shared" si="7"/>
        <v>24000</v>
      </c>
      <c r="BV70" s="47"/>
      <c r="BW70" s="47"/>
      <c r="BX70" s="47"/>
      <c r="BY70" s="48"/>
    </row>
    <row r="71" spans="1:77" s="4" customFormat="1" ht="12.75" customHeight="1" x14ac:dyDescent="0.2">
      <c r="A71" s="34">
        <v>2273</v>
      </c>
      <c r="B71" s="35"/>
      <c r="C71" s="35"/>
      <c r="D71" s="51"/>
      <c r="E71" s="29" t="s">
        <v>189</v>
      </c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1"/>
      <c r="U71" s="46">
        <v>929449</v>
      </c>
      <c r="V71" s="47"/>
      <c r="W71" s="47"/>
      <c r="X71" s="47"/>
      <c r="Y71" s="48"/>
      <c r="Z71" s="46">
        <v>0</v>
      </c>
      <c r="AA71" s="47"/>
      <c r="AB71" s="47"/>
      <c r="AC71" s="47"/>
      <c r="AD71" s="48"/>
      <c r="AE71" s="46">
        <v>0</v>
      </c>
      <c r="AF71" s="47"/>
      <c r="AG71" s="47"/>
      <c r="AH71" s="48"/>
      <c r="AI71" s="46">
        <f t="shared" si="5"/>
        <v>929449</v>
      </c>
      <c r="AJ71" s="47"/>
      <c r="AK71" s="47"/>
      <c r="AL71" s="47"/>
      <c r="AM71" s="48"/>
      <c r="AN71" s="46">
        <v>1734400</v>
      </c>
      <c r="AO71" s="47"/>
      <c r="AP71" s="47"/>
      <c r="AQ71" s="47"/>
      <c r="AR71" s="48"/>
      <c r="AS71" s="46">
        <v>0</v>
      </c>
      <c r="AT71" s="47"/>
      <c r="AU71" s="47"/>
      <c r="AV71" s="47"/>
      <c r="AW71" s="48"/>
      <c r="AX71" s="46">
        <v>0</v>
      </c>
      <c r="AY71" s="47"/>
      <c r="AZ71" s="47"/>
      <c r="BA71" s="48"/>
      <c r="BB71" s="46">
        <f t="shared" si="6"/>
        <v>1734400</v>
      </c>
      <c r="BC71" s="47"/>
      <c r="BD71" s="47"/>
      <c r="BE71" s="47"/>
      <c r="BF71" s="48"/>
      <c r="BG71" s="46">
        <v>2031692</v>
      </c>
      <c r="BH71" s="47"/>
      <c r="BI71" s="47"/>
      <c r="BJ71" s="47"/>
      <c r="BK71" s="48"/>
      <c r="BL71" s="46">
        <v>0</v>
      </c>
      <c r="BM71" s="47"/>
      <c r="BN71" s="47"/>
      <c r="BO71" s="47"/>
      <c r="BP71" s="48"/>
      <c r="BQ71" s="46">
        <v>0</v>
      </c>
      <c r="BR71" s="47"/>
      <c r="BS71" s="47"/>
      <c r="BT71" s="48"/>
      <c r="BU71" s="46">
        <f t="shared" si="7"/>
        <v>2031692</v>
      </c>
      <c r="BV71" s="47"/>
      <c r="BW71" s="47"/>
      <c r="BX71" s="47"/>
      <c r="BY71" s="48"/>
    </row>
    <row r="72" spans="1:77" s="4" customFormat="1" ht="12.75" customHeight="1" x14ac:dyDescent="0.2">
      <c r="A72" s="34">
        <v>2274</v>
      </c>
      <c r="B72" s="35"/>
      <c r="C72" s="35"/>
      <c r="D72" s="51"/>
      <c r="E72" s="29" t="s">
        <v>190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1"/>
      <c r="U72" s="46">
        <v>93602</v>
      </c>
      <c r="V72" s="47"/>
      <c r="W72" s="47"/>
      <c r="X72" s="47"/>
      <c r="Y72" s="48"/>
      <c r="Z72" s="46">
        <v>0</v>
      </c>
      <c r="AA72" s="47"/>
      <c r="AB72" s="47"/>
      <c r="AC72" s="47"/>
      <c r="AD72" s="48"/>
      <c r="AE72" s="46">
        <v>0</v>
      </c>
      <c r="AF72" s="47"/>
      <c r="AG72" s="47"/>
      <c r="AH72" s="48"/>
      <c r="AI72" s="46">
        <f t="shared" si="5"/>
        <v>93602</v>
      </c>
      <c r="AJ72" s="47"/>
      <c r="AK72" s="47"/>
      <c r="AL72" s="47"/>
      <c r="AM72" s="48"/>
      <c r="AN72" s="46">
        <v>166867</v>
      </c>
      <c r="AO72" s="47"/>
      <c r="AP72" s="47"/>
      <c r="AQ72" s="47"/>
      <c r="AR72" s="48"/>
      <c r="AS72" s="46">
        <v>0</v>
      </c>
      <c r="AT72" s="47"/>
      <c r="AU72" s="47"/>
      <c r="AV72" s="47"/>
      <c r="AW72" s="48"/>
      <c r="AX72" s="46">
        <v>0</v>
      </c>
      <c r="AY72" s="47"/>
      <c r="AZ72" s="47"/>
      <c r="BA72" s="48"/>
      <c r="BB72" s="46">
        <f t="shared" si="6"/>
        <v>166867</v>
      </c>
      <c r="BC72" s="47"/>
      <c r="BD72" s="47"/>
      <c r="BE72" s="47"/>
      <c r="BF72" s="48"/>
      <c r="BG72" s="46">
        <v>88980</v>
      </c>
      <c r="BH72" s="47"/>
      <c r="BI72" s="47"/>
      <c r="BJ72" s="47"/>
      <c r="BK72" s="48"/>
      <c r="BL72" s="46">
        <v>0</v>
      </c>
      <c r="BM72" s="47"/>
      <c r="BN72" s="47"/>
      <c r="BO72" s="47"/>
      <c r="BP72" s="48"/>
      <c r="BQ72" s="46">
        <v>0</v>
      </c>
      <c r="BR72" s="47"/>
      <c r="BS72" s="47"/>
      <c r="BT72" s="48"/>
      <c r="BU72" s="46">
        <f t="shared" si="7"/>
        <v>88980</v>
      </c>
      <c r="BV72" s="47"/>
      <c r="BW72" s="47"/>
      <c r="BX72" s="47"/>
      <c r="BY72" s="48"/>
    </row>
    <row r="73" spans="1:77" s="4" customFormat="1" ht="25.5" customHeight="1" x14ac:dyDescent="0.2">
      <c r="A73" s="34">
        <v>2275</v>
      </c>
      <c r="B73" s="35"/>
      <c r="C73" s="35"/>
      <c r="D73" s="51"/>
      <c r="E73" s="29" t="s">
        <v>191</v>
      </c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1"/>
      <c r="U73" s="46">
        <v>31892</v>
      </c>
      <c r="V73" s="47"/>
      <c r="W73" s="47"/>
      <c r="X73" s="47"/>
      <c r="Y73" s="48"/>
      <c r="Z73" s="46">
        <v>0</v>
      </c>
      <c r="AA73" s="47"/>
      <c r="AB73" s="47"/>
      <c r="AC73" s="47"/>
      <c r="AD73" s="48"/>
      <c r="AE73" s="46">
        <v>0</v>
      </c>
      <c r="AF73" s="47"/>
      <c r="AG73" s="47"/>
      <c r="AH73" s="48"/>
      <c r="AI73" s="46">
        <f t="shared" si="5"/>
        <v>31892</v>
      </c>
      <c r="AJ73" s="47"/>
      <c r="AK73" s="47"/>
      <c r="AL73" s="47"/>
      <c r="AM73" s="48"/>
      <c r="AN73" s="46">
        <v>35037</v>
      </c>
      <c r="AO73" s="47"/>
      <c r="AP73" s="47"/>
      <c r="AQ73" s="47"/>
      <c r="AR73" s="48"/>
      <c r="AS73" s="46">
        <v>0</v>
      </c>
      <c r="AT73" s="47"/>
      <c r="AU73" s="47"/>
      <c r="AV73" s="47"/>
      <c r="AW73" s="48"/>
      <c r="AX73" s="46">
        <v>0</v>
      </c>
      <c r="AY73" s="47"/>
      <c r="AZ73" s="47"/>
      <c r="BA73" s="48"/>
      <c r="BB73" s="46">
        <f t="shared" si="6"/>
        <v>35037</v>
      </c>
      <c r="BC73" s="47"/>
      <c r="BD73" s="47"/>
      <c r="BE73" s="47"/>
      <c r="BF73" s="48"/>
      <c r="BG73" s="46">
        <v>45817</v>
      </c>
      <c r="BH73" s="47"/>
      <c r="BI73" s="47"/>
      <c r="BJ73" s="47"/>
      <c r="BK73" s="48"/>
      <c r="BL73" s="46">
        <v>0</v>
      </c>
      <c r="BM73" s="47"/>
      <c r="BN73" s="47"/>
      <c r="BO73" s="47"/>
      <c r="BP73" s="48"/>
      <c r="BQ73" s="46">
        <v>0</v>
      </c>
      <c r="BR73" s="47"/>
      <c r="BS73" s="47"/>
      <c r="BT73" s="48"/>
      <c r="BU73" s="46">
        <f t="shared" si="7"/>
        <v>45817</v>
      </c>
      <c r="BV73" s="47"/>
      <c r="BW73" s="47"/>
      <c r="BX73" s="47"/>
      <c r="BY73" s="48"/>
    </row>
    <row r="74" spans="1:77" s="4" customFormat="1" ht="25.5" customHeight="1" x14ac:dyDescent="0.2">
      <c r="A74" s="34">
        <v>2281</v>
      </c>
      <c r="B74" s="35"/>
      <c r="C74" s="35"/>
      <c r="D74" s="51"/>
      <c r="E74" s="29" t="s">
        <v>192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1"/>
      <c r="U74" s="46">
        <v>13680</v>
      </c>
      <c r="V74" s="47"/>
      <c r="W74" s="47"/>
      <c r="X74" s="47"/>
      <c r="Y74" s="48"/>
      <c r="Z74" s="46">
        <v>0</v>
      </c>
      <c r="AA74" s="47"/>
      <c r="AB74" s="47"/>
      <c r="AC74" s="47"/>
      <c r="AD74" s="48"/>
      <c r="AE74" s="46">
        <v>0</v>
      </c>
      <c r="AF74" s="47"/>
      <c r="AG74" s="47"/>
      <c r="AH74" s="48"/>
      <c r="AI74" s="46">
        <f t="shared" si="5"/>
        <v>13680</v>
      </c>
      <c r="AJ74" s="47"/>
      <c r="AK74" s="47"/>
      <c r="AL74" s="47"/>
      <c r="AM74" s="48"/>
      <c r="AN74" s="46">
        <v>16000</v>
      </c>
      <c r="AO74" s="47"/>
      <c r="AP74" s="47"/>
      <c r="AQ74" s="47"/>
      <c r="AR74" s="48"/>
      <c r="AS74" s="46">
        <v>0</v>
      </c>
      <c r="AT74" s="47"/>
      <c r="AU74" s="47"/>
      <c r="AV74" s="47"/>
      <c r="AW74" s="48"/>
      <c r="AX74" s="46">
        <v>0</v>
      </c>
      <c r="AY74" s="47"/>
      <c r="AZ74" s="47"/>
      <c r="BA74" s="48"/>
      <c r="BB74" s="46">
        <f t="shared" si="6"/>
        <v>16000</v>
      </c>
      <c r="BC74" s="47"/>
      <c r="BD74" s="47"/>
      <c r="BE74" s="47"/>
      <c r="BF74" s="48"/>
      <c r="BG74" s="46">
        <v>20000</v>
      </c>
      <c r="BH74" s="47"/>
      <c r="BI74" s="47"/>
      <c r="BJ74" s="47"/>
      <c r="BK74" s="48"/>
      <c r="BL74" s="46">
        <v>0</v>
      </c>
      <c r="BM74" s="47"/>
      <c r="BN74" s="47"/>
      <c r="BO74" s="47"/>
      <c r="BP74" s="48"/>
      <c r="BQ74" s="46">
        <v>0</v>
      </c>
      <c r="BR74" s="47"/>
      <c r="BS74" s="47"/>
      <c r="BT74" s="48"/>
      <c r="BU74" s="46">
        <f t="shared" si="7"/>
        <v>20000</v>
      </c>
      <c r="BV74" s="47"/>
      <c r="BW74" s="47"/>
      <c r="BX74" s="47"/>
      <c r="BY74" s="48"/>
    </row>
    <row r="75" spans="1:77" s="4" customFormat="1" ht="38.25" customHeight="1" x14ac:dyDescent="0.2">
      <c r="A75" s="34">
        <v>2282</v>
      </c>
      <c r="B75" s="35"/>
      <c r="C75" s="35"/>
      <c r="D75" s="51"/>
      <c r="E75" s="29" t="s">
        <v>193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1"/>
      <c r="U75" s="46">
        <v>0</v>
      </c>
      <c r="V75" s="47"/>
      <c r="W75" s="47"/>
      <c r="X75" s="47"/>
      <c r="Y75" s="48"/>
      <c r="Z75" s="46">
        <v>0</v>
      </c>
      <c r="AA75" s="47"/>
      <c r="AB75" s="47"/>
      <c r="AC75" s="47"/>
      <c r="AD75" s="48"/>
      <c r="AE75" s="46">
        <v>0</v>
      </c>
      <c r="AF75" s="47"/>
      <c r="AG75" s="47"/>
      <c r="AH75" s="48"/>
      <c r="AI75" s="46">
        <f t="shared" si="5"/>
        <v>0</v>
      </c>
      <c r="AJ75" s="47"/>
      <c r="AK75" s="47"/>
      <c r="AL75" s="47"/>
      <c r="AM75" s="48"/>
      <c r="AN75" s="46">
        <v>65000</v>
      </c>
      <c r="AO75" s="47"/>
      <c r="AP75" s="47"/>
      <c r="AQ75" s="47"/>
      <c r="AR75" s="48"/>
      <c r="AS75" s="46">
        <v>0</v>
      </c>
      <c r="AT75" s="47"/>
      <c r="AU75" s="47"/>
      <c r="AV75" s="47"/>
      <c r="AW75" s="48"/>
      <c r="AX75" s="46">
        <v>0</v>
      </c>
      <c r="AY75" s="47"/>
      <c r="AZ75" s="47"/>
      <c r="BA75" s="48"/>
      <c r="BB75" s="46">
        <f t="shared" si="6"/>
        <v>65000</v>
      </c>
      <c r="BC75" s="47"/>
      <c r="BD75" s="47"/>
      <c r="BE75" s="47"/>
      <c r="BF75" s="48"/>
      <c r="BG75" s="46">
        <v>65000</v>
      </c>
      <c r="BH75" s="47"/>
      <c r="BI75" s="47"/>
      <c r="BJ75" s="47"/>
      <c r="BK75" s="48"/>
      <c r="BL75" s="46">
        <v>0</v>
      </c>
      <c r="BM75" s="47"/>
      <c r="BN75" s="47"/>
      <c r="BO75" s="47"/>
      <c r="BP75" s="48"/>
      <c r="BQ75" s="46">
        <v>0</v>
      </c>
      <c r="BR75" s="47"/>
      <c r="BS75" s="47"/>
      <c r="BT75" s="48"/>
      <c r="BU75" s="46">
        <f t="shared" si="7"/>
        <v>65000</v>
      </c>
      <c r="BV75" s="47"/>
      <c r="BW75" s="47"/>
      <c r="BX75" s="47"/>
      <c r="BY75" s="48"/>
    </row>
    <row r="76" spans="1:77" s="4" customFormat="1" ht="12.75" customHeight="1" x14ac:dyDescent="0.2">
      <c r="A76" s="34">
        <v>2800</v>
      </c>
      <c r="B76" s="35"/>
      <c r="C76" s="35"/>
      <c r="D76" s="51"/>
      <c r="E76" s="29" t="s">
        <v>194</v>
      </c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1"/>
      <c r="U76" s="46">
        <v>167068</v>
      </c>
      <c r="V76" s="47"/>
      <c r="W76" s="47"/>
      <c r="X76" s="47"/>
      <c r="Y76" s="48"/>
      <c r="Z76" s="46">
        <v>0</v>
      </c>
      <c r="AA76" s="47"/>
      <c r="AB76" s="47"/>
      <c r="AC76" s="47"/>
      <c r="AD76" s="48"/>
      <c r="AE76" s="46">
        <v>0</v>
      </c>
      <c r="AF76" s="47"/>
      <c r="AG76" s="47"/>
      <c r="AH76" s="48"/>
      <c r="AI76" s="46">
        <f t="shared" si="5"/>
        <v>167068</v>
      </c>
      <c r="AJ76" s="47"/>
      <c r="AK76" s="47"/>
      <c r="AL76" s="47"/>
      <c r="AM76" s="48"/>
      <c r="AN76" s="46">
        <v>400000</v>
      </c>
      <c r="AO76" s="47"/>
      <c r="AP76" s="47"/>
      <c r="AQ76" s="47"/>
      <c r="AR76" s="48"/>
      <c r="AS76" s="46">
        <v>0</v>
      </c>
      <c r="AT76" s="47"/>
      <c r="AU76" s="47"/>
      <c r="AV76" s="47"/>
      <c r="AW76" s="48"/>
      <c r="AX76" s="46">
        <v>0</v>
      </c>
      <c r="AY76" s="47"/>
      <c r="AZ76" s="47"/>
      <c r="BA76" s="48"/>
      <c r="BB76" s="46">
        <f t="shared" si="6"/>
        <v>400000</v>
      </c>
      <c r="BC76" s="47"/>
      <c r="BD76" s="47"/>
      <c r="BE76" s="47"/>
      <c r="BF76" s="48"/>
      <c r="BG76" s="46">
        <v>400000</v>
      </c>
      <c r="BH76" s="47"/>
      <c r="BI76" s="47"/>
      <c r="BJ76" s="47"/>
      <c r="BK76" s="48"/>
      <c r="BL76" s="46">
        <v>0</v>
      </c>
      <c r="BM76" s="47"/>
      <c r="BN76" s="47"/>
      <c r="BO76" s="47"/>
      <c r="BP76" s="48"/>
      <c r="BQ76" s="46">
        <v>0</v>
      </c>
      <c r="BR76" s="47"/>
      <c r="BS76" s="47"/>
      <c r="BT76" s="48"/>
      <c r="BU76" s="46">
        <f t="shared" si="7"/>
        <v>400000</v>
      </c>
      <c r="BV76" s="47"/>
      <c r="BW76" s="47"/>
      <c r="BX76" s="47"/>
      <c r="BY76" s="48"/>
    </row>
    <row r="77" spans="1:77" s="4" customFormat="1" ht="25.5" customHeight="1" x14ac:dyDescent="0.2">
      <c r="A77" s="34">
        <v>3110</v>
      </c>
      <c r="B77" s="35"/>
      <c r="C77" s="35"/>
      <c r="D77" s="51"/>
      <c r="E77" s="29" t="s">
        <v>195</v>
      </c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1"/>
      <c r="U77" s="46">
        <v>0</v>
      </c>
      <c r="V77" s="47"/>
      <c r="W77" s="47"/>
      <c r="X77" s="47"/>
      <c r="Y77" s="48"/>
      <c r="Z77" s="46">
        <v>16350602</v>
      </c>
      <c r="AA77" s="47"/>
      <c r="AB77" s="47"/>
      <c r="AC77" s="47"/>
      <c r="AD77" s="48"/>
      <c r="AE77" s="46">
        <v>4834990</v>
      </c>
      <c r="AF77" s="47"/>
      <c r="AG77" s="47"/>
      <c r="AH77" s="48"/>
      <c r="AI77" s="46">
        <f t="shared" si="5"/>
        <v>16350602</v>
      </c>
      <c r="AJ77" s="47"/>
      <c r="AK77" s="47"/>
      <c r="AL77" s="47"/>
      <c r="AM77" s="48"/>
      <c r="AN77" s="46">
        <v>0</v>
      </c>
      <c r="AO77" s="47"/>
      <c r="AP77" s="47"/>
      <c r="AQ77" s="47"/>
      <c r="AR77" s="48"/>
      <c r="AS77" s="46">
        <v>420160</v>
      </c>
      <c r="AT77" s="47"/>
      <c r="AU77" s="47"/>
      <c r="AV77" s="47"/>
      <c r="AW77" s="48"/>
      <c r="AX77" s="46">
        <v>420160</v>
      </c>
      <c r="AY77" s="47"/>
      <c r="AZ77" s="47"/>
      <c r="BA77" s="48"/>
      <c r="BB77" s="46">
        <f t="shared" si="6"/>
        <v>420160</v>
      </c>
      <c r="BC77" s="47"/>
      <c r="BD77" s="47"/>
      <c r="BE77" s="47"/>
      <c r="BF77" s="48"/>
      <c r="BG77" s="46">
        <v>0</v>
      </c>
      <c r="BH77" s="47"/>
      <c r="BI77" s="47"/>
      <c r="BJ77" s="47"/>
      <c r="BK77" s="48"/>
      <c r="BL77" s="46">
        <v>0</v>
      </c>
      <c r="BM77" s="47"/>
      <c r="BN77" s="47"/>
      <c r="BO77" s="47"/>
      <c r="BP77" s="48"/>
      <c r="BQ77" s="46">
        <v>0</v>
      </c>
      <c r="BR77" s="47"/>
      <c r="BS77" s="47"/>
      <c r="BT77" s="48"/>
      <c r="BU77" s="46">
        <f t="shared" si="7"/>
        <v>0</v>
      </c>
      <c r="BV77" s="47"/>
      <c r="BW77" s="47"/>
      <c r="BX77" s="47"/>
      <c r="BY77" s="48"/>
    </row>
    <row r="78" spans="1:77" s="5" customFormat="1" ht="12.75" customHeight="1" x14ac:dyDescent="0.2">
      <c r="A78" s="36"/>
      <c r="B78" s="37"/>
      <c r="C78" s="37"/>
      <c r="D78" s="50"/>
      <c r="E78" s="23" t="s">
        <v>147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5"/>
      <c r="U78" s="42">
        <v>26509245</v>
      </c>
      <c r="V78" s="43"/>
      <c r="W78" s="43"/>
      <c r="X78" s="43"/>
      <c r="Y78" s="44"/>
      <c r="Z78" s="42">
        <v>41399363</v>
      </c>
      <c r="AA78" s="43"/>
      <c r="AB78" s="43"/>
      <c r="AC78" s="43"/>
      <c r="AD78" s="44"/>
      <c r="AE78" s="42">
        <v>4834990</v>
      </c>
      <c r="AF78" s="43"/>
      <c r="AG78" s="43"/>
      <c r="AH78" s="44"/>
      <c r="AI78" s="42">
        <f t="shared" si="5"/>
        <v>67908608</v>
      </c>
      <c r="AJ78" s="43"/>
      <c r="AK78" s="43"/>
      <c r="AL78" s="43"/>
      <c r="AM78" s="44"/>
      <c r="AN78" s="42">
        <v>33491267</v>
      </c>
      <c r="AO78" s="43"/>
      <c r="AP78" s="43"/>
      <c r="AQ78" s="43"/>
      <c r="AR78" s="44"/>
      <c r="AS78" s="42">
        <v>670160</v>
      </c>
      <c r="AT78" s="43"/>
      <c r="AU78" s="43"/>
      <c r="AV78" s="43"/>
      <c r="AW78" s="44"/>
      <c r="AX78" s="42">
        <v>420160</v>
      </c>
      <c r="AY78" s="43"/>
      <c r="AZ78" s="43"/>
      <c r="BA78" s="44"/>
      <c r="BB78" s="42">
        <f t="shared" si="6"/>
        <v>34161427</v>
      </c>
      <c r="BC78" s="43"/>
      <c r="BD78" s="43"/>
      <c r="BE78" s="43"/>
      <c r="BF78" s="44"/>
      <c r="BG78" s="42">
        <v>38793866</v>
      </c>
      <c r="BH78" s="43"/>
      <c r="BI78" s="43"/>
      <c r="BJ78" s="43"/>
      <c r="BK78" s="44"/>
      <c r="BL78" s="42">
        <v>200000</v>
      </c>
      <c r="BM78" s="43"/>
      <c r="BN78" s="43"/>
      <c r="BO78" s="43"/>
      <c r="BP78" s="44"/>
      <c r="BQ78" s="42">
        <v>0</v>
      </c>
      <c r="BR78" s="43"/>
      <c r="BS78" s="43"/>
      <c r="BT78" s="44"/>
      <c r="BU78" s="42">
        <f t="shared" si="7"/>
        <v>38993866</v>
      </c>
      <c r="BV78" s="43"/>
      <c r="BW78" s="43"/>
      <c r="BX78" s="43"/>
      <c r="BY78" s="44"/>
    </row>
    <row r="80" spans="1:77" ht="14.25" customHeight="1" x14ac:dyDescent="0.2">
      <c r="A80" s="60" t="s">
        <v>309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</row>
    <row r="81" spans="1:79" ht="15" customHeight="1" x14ac:dyDescent="0.2">
      <c r="A81" s="75" t="s">
        <v>295</v>
      </c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</row>
    <row r="82" spans="1:79" ht="16.5" customHeight="1" x14ac:dyDescent="0.2">
      <c r="A82" s="101" t="s">
        <v>119</v>
      </c>
      <c r="B82" s="102"/>
      <c r="C82" s="102"/>
      <c r="D82" s="102"/>
      <c r="E82" s="103"/>
      <c r="F82" s="39" t="s">
        <v>19</v>
      </c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72" t="s">
        <v>296</v>
      </c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4"/>
      <c r="AN82" s="72" t="s">
        <v>299</v>
      </c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4"/>
      <c r="BG82" s="72" t="s">
        <v>307</v>
      </c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4"/>
    </row>
    <row r="83" spans="1:79" ht="42.75" customHeight="1" x14ac:dyDescent="0.2">
      <c r="A83" s="104"/>
      <c r="B83" s="105"/>
      <c r="C83" s="105"/>
      <c r="D83" s="105"/>
      <c r="E83" s="106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72" t="s">
        <v>4</v>
      </c>
      <c r="V83" s="73"/>
      <c r="W83" s="73"/>
      <c r="X83" s="73"/>
      <c r="Y83" s="74"/>
      <c r="Z83" s="72" t="s">
        <v>3</v>
      </c>
      <c r="AA83" s="73"/>
      <c r="AB83" s="73"/>
      <c r="AC83" s="73"/>
      <c r="AD83" s="74"/>
      <c r="AE83" s="95" t="s">
        <v>116</v>
      </c>
      <c r="AF83" s="96"/>
      <c r="AG83" s="96"/>
      <c r="AH83" s="97"/>
      <c r="AI83" s="72" t="s">
        <v>5</v>
      </c>
      <c r="AJ83" s="73"/>
      <c r="AK83" s="73"/>
      <c r="AL83" s="73"/>
      <c r="AM83" s="74"/>
      <c r="AN83" s="72" t="s">
        <v>4</v>
      </c>
      <c r="AO83" s="73"/>
      <c r="AP83" s="73"/>
      <c r="AQ83" s="73"/>
      <c r="AR83" s="74"/>
      <c r="AS83" s="72" t="s">
        <v>3</v>
      </c>
      <c r="AT83" s="73"/>
      <c r="AU83" s="73"/>
      <c r="AV83" s="73"/>
      <c r="AW83" s="74"/>
      <c r="AX83" s="95" t="s">
        <v>116</v>
      </c>
      <c r="AY83" s="96"/>
      <c r="AZ83" s="96"/>
      <c r="BA83" s="97"/>
      <c r="BB83" s="72" t="s">
        <v>96</v>
      </c>
      <c r="BC83" s="73"/>
      <c r="BD83" s="73"/>
      <c r="BE83" s="73"/>
      <c r="BF83" s="74"/>
      <c r="BG83" s="72" t="s">
        <v>4</v>
      </c>
      <c r="BH83" s="73"/>
      <c r="BI83" s="73"/>
      <c r="BJ83" s="73"/>
      <c r="BK83" s="74"/>
      <c r="BL83" s="72" t="s">
        <v>3</v>
      </c>
      <c r="BM83" s="73"/>
      <c r="BN83" s="73"/>
      <c r="BO83" s="73"/>
      <c r="BP83" s="74"/>
      <c r="BQ83" s="95" t="s">
        <v>116</v>
      </c>
      <c r="BR83" s="96"/>
      <c r="BS83" s="96"/>
      <c r="BT83" s="97"/>
      <c r="BU83" s="39" t="s">
        <v>97</v>
      </c>
      <c r="BV83" s="39"/>
      <c r="BW83" s="39"/>
      <c r="BX83" s="39"/>
      <c r="BY83" s="39"/>
    </row>
    <row r="84" spans="1:79" ht="15" customHeight="1" x14ac:dyDescent="0.2">
      <c r="A84" s="72">
        <v>1</v>
      </c>
      <c r="B84" s="73"/>
      <c r="C84" s="73"/>
      <c r="D84" s="73"/>
      <c r="E84" s="74"/>
      <c r="F84" s="72">
        <v>2</v>
      </c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4"/>
      <c r="U84" s="72">
        <v>3</v>
      </c>
      <c r="V84" s="73"/>
      <c r="W84" s="73"/>
      <c r="X84" s="73"/>
      <c r="Y84" s="74"/>
      <c r="Z84" s="72">
        <v>4</v>
      </c>
      <c r="AA84" s="73"/>
      <c r="AB84" s="73"/>
      <c r="AC84" s="73"/>
      <c r="AD84" s="74"/>
      <c r="AE84" s="72">
        <v>5</v>
      </c>
      <c r="AF84" s="73"/>
      <c r="AG84" s="73"/>
      <c r="AH84" s="74"/>
      <c r="AI84" s="72">
        <v>6</v>
      </c>
      <c r="AJ84" s="73"/>
      <c r="AK84" s="73"/>
      <c r="AL84" s="73"/>
      <c r="AM84" s="74"/>
      <c r="AN84" s="72">
        <v>7</v>
      </c>
      <c r="AO84" s="73"/>
      <c r="AP84" s="73"/>
      <c r="AQ84" s="73"/>
      <c r="AR84" s="74"/>
      <c r="AS84" s="72">
        <v>8</v>
      </c>
      <c r="AT84" s="73"/>
      <c r="AU84" s="73"/>
      <c r="AV84" s="73"/>
      <c r="AW84" s="74"/>
      <c r="AX84" s="72">
        <v>9</v>
      </c>
      <c r="AY84" s="73"/>
      <c r="AZ84" s="73"/>
      <c r="BA84" s="74"/>
      <c r="BB84" s="72">
        <v>10</v>
      </c>
      <c r="BC84" s="73"/>
      <c r="BD84" s="73"/>
      <c r="BE84" s="73"/>
      <c r="BF84" s="74"/>
      <c r="BG84" s="72">
        <v>11</v>
      </c>
      <c r="BH84" s="73"/>
      <c r="BI84" s="73"/>
      <c r="BJ84" s="73"/>
      <c r="BK84" s="74"/>
      <c r="BL84" s="72">
        <v>12</v>
      </c>
      <c r="BM84" s="73"/>
      <c r="BN84" s="73"/>
      <c r="BO84" s="73"/>
      <c r="BP84" s="74"/>
      <c r="BQ84" s="72">
        <v>13</v>
      </c>
      <c r="BR84" s="73"/>
      <c r="BS84" s="73"/>
      <c r="BT84" s="74"/>
      <c r="BU84" s="39">
        <v>14</v>
      </c>
      <c r="BV84" s="39"/>
      <c r="BW84" s="39"/>
      <c r="BX84" s="39"/>
      <c r="BY84" s="39"/>
    </row>
    <row r="85" spans="1:79" s="1" customFormat="1" ht="13.5" hidden="1" customHeight="1" x14ac:dyDescent="0.2">
      <c r="A85" s="86" t="s">
        <v>64</v>
      </c>
      <c r="B85" s="87"/>
      <c r="C85" s="87"/>
      <c r="D85" s="87"/>
      <c r="E85" s="88"/>
      <c r="F85" s="86" t="s">
        <v>57</v>
      </c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8"/>
      <c r="U85" s="86" t="s">
        <v>65</v>
      </c>
      <c r="V85" s="87"/>
      <c r="W85" s="87"/>
      <c r="X85" s="87"/>
      <c r="Y85" s="88"/>
      <c r="Z85" s="86" t="s">
        <v>66</v>
      </c>
      <c r="AA85" s="87"/>
      <c r="AB85" s="87"/>
      <c r="AC85" s="87"/>
      <c r="AD85" s="88"/>
      <c r="AE85" s="86" t="s">
        <v>91</v>
      </c>
      <c r="AF85" s="87"/>
      <c r="AG85" s="87"/>
      <c r="AH85" s="88"/>
      <c r="AI85" s="92" t="s">
        <v>169</v>
      </c>
      <c r="AJ85" s="93"/>
      <c r="AK85" s="93"/>
      <c r="AL85" s="93"/>
      <c r="AM85" s="94"/>
      <c r="AN85" s="86" t="s">
        <v>67</v>
      </c>
      <c r="AO85" s="87"/>
      <c r="AP85" s="87"/>
      <c r="AQ85" s="87"/>
      <c r="AR85" s="88"/>
      <c r="AS85" s="86" t="s">
        <v>68</v>
      </c>
      <c r="AT85" s="87"/>
      <c r="AU85" s="87"/>
      <c r="AV85" s="87"/>
      <c r="AW85" s="88"/>
      <c r="AX85" s="86" t="s">
        <v>92</v>
      </c>
      <c r="AY85" s="87"/>
      <c r="AZ85" s="87"/>
      <c r="BA85" s="88"/>
      <c r="BB85" s="92" t="s">
        <v>169</v>
      </c>
      <c r="BC85" s="93"/>
      <c r="BD85" s="93"/>
      <c r="BE85" s="93"/>
      <c r="BF85" s="94"/>
      <c r="BG85" s="86" t="s">
        <v>58</v>
      </c>
      <c r="BH85" s="87"/>
      <c r="BI85" s="87"/>
      <c r="BJ85" s="87"/>
      <c r="BK85" s="88"/>
      <c r="BL85" s="86" t="s">
        <v>59</v>
      </c>
      <c r="BM85" s="87"/>
      <c r="BN85" s="87"/>
      <c r="BO85" s="87"/>
      <c r="BP85" s="88"/>
      <c r="BQ85" s="86" t="s">
        <v>93</v>
      </c>
      <c r="BR85" s="87"/>
      <c r="BS85" s="87"/>
      <c r="BT85" s="88"/>
      <c r="BU85" s="82" t="s">
        <v>169</v>
      </c>
      <c r="BV85" s="82"/>
      <c r="BW85" s="82"/>
      <c r="BX85" s="82"/>
      <c r="BY85" s="82"/>
      <c r="CA85" t="s">
        <v>27</v>
      </c>
    </row>
    <row r="86" spans="1:79" s="5" customFormat="1" ht="12.75" customHeight="1" x14ac:dyDescent="0.2">
      <c r="A86" s="36"/>
      <c r="B86" s="37"/>
      <c r="C86" s="37"/>
      <c r="D86" s="37"/>
      <c r="E86" s="50"/>
      <c r="F86" s="36" t="s">
        <v>147</v>
      </c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50"/>
      <c r="U86" s="42"/>
      <c r="V86" s="43"/>
      <c r="W86" s="43"/>
      <c r="X86" s="43"/>
      <c r="Y86" s="44"/>
      <c r="Z86" s="42"/>
      <c r="AA86" s="43"/>
      <c r="AB86" s="43"/>
      <c r="AC86" s="43"/>
      <c r="AD86" s="44"/>
      <c r="AE86" s="42"/>
      <c r="AF86" s="43"/>
      <c r="AG86" s="43"/>
      <c r="AH86" s="44"/>
      <c r="AI86" s="42">
        <f>IF(ISNUMBER(U86),U86,0)+IF(ISNUMBER(Z86),Z86,0)</f>
        <v>0</v>
      </c>
      <c r="AJ86" s="43"/>
      <c r="AK86" s="43"/>
      <c r="AL86" s="43"/>
      <c r="AM86" s="44"/>
      <c r="AN86" s="42"/>
      <c r="AO86" s="43"/>
      <c r="AP86" s="43"/>
      <c r="AQ86" s="43"/>
      <c r="AR86" s="44"/>
      <c r="AS86" s="42"/>
      <c r="AT86" s="43"/>
      <c r="AU86" s="43"/>
      <c r="AV86" s="43"/>
      <c r="AW86" s="44"/>
      <c r="AX86" s="42"/>
      <c r="AY86" s="43"/>
      <c r="AZ86" s="43"/>
      <c r="BA86" s="44"/>
      <c r="BB86" s="42">
        <f>IF(ISNUMBER(AN86),AN86,0)+IF(ISNUMBER(AS86),AS86,0)</f>
        <v>0</v>
      </c>
      <c r="BC86" s="43"/>
      <c r="BD86" s="43"/>
      <c r="BE86" s="43"/>
      <c r="BF86" s="44"/>
      <c r="BG86" s="42"/>
      <c r="BH86" s="43"/>
      <c r="BI86" s="43"/>
      <c r="BJ86" s="43"/>
      <c r="BK86" s="44"/>
      <c r="BL86" s="42"/>
      <c r="BM86" s="43"/>
      <c r="BN86" s="43"/>
      <c r="BO86" s="43"/>
      <c r="BP86" s="44"/>
      <c r="BQ86" s="42"/>
      <c r="BR86" s="43"/>
      <c r="BS86" s="43"/>
      <c r="BT86" s="44"/>
      <c r="BU86" s="42">
        <f>IF(ISNUMBER(BG86),BG86,0)+IF(ISNUMBER(BL86),BL86,0)</f>
        <v>0</v>
      </c>
      <c r="BV86" s="43"/>
      <c r="BW86" s="43"/>
      <c r="BX86" s="43"/>
      <c r="BY86" s="44"/>
      <c r="CA86" s="5" t="s">
        <v>28</v>
      </c>
    </row>
    <row r="88" spans="1:79" ht="14.25" customHeight="1" x14ac:dyDescent="0.2">
      <c r="A88" s="60" t="s">
        <v>323</v>
      </c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</row>
    <row r="89" spans="1:79" ht="15" customHeight="1" x14ac:dyDescent="0.2">
      <c r="A89" s="75" t="s">
        <v>295</v>
      </c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</row>
    <row r="90" spans="1:79" ht="15" customHeight="1" x14ac:dyDescent="0.2">
      <c r="A90" s="101" t="s">
        <v>118</v>
      </c>
      <c r="B90" s="102"/>
      <c r="C90" s="102"/>
      <c r="D90" s="103"/>
      <c r="E90" s="76" t="s">
        <v>19</v>
      </c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8"/>
      <c r="X90" s="72" t="s">
        <v>317</v>
      </c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4"/>
      <c r="AR90" s="39" t="s">
        <v>322</v>
      </c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</row>
    <row r="91" spans="1:79" ht="36.75" customHeight="1" x14ac:dyDescent="0.2">
      <c r="A91" s="104"/>
      <c r="B91" s="105"/>
      <c r="C91" s="105"/>
      <c r="D91" s="106"/>
      <c r="E91" s="79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1"/>
      <c r="X91" s="76" t="s">
        <v>4</v>
      </c>
      <c r="Y91" s="77"/>
      <c r="Z91" s="77"/>
      <c r="AA91" s="77"/>
      <c r="AB91" s="78"/>
      <c r="AC91" s="76" t="s">
        <v>3</v>
      </c>
      <c r="AD91" s="77"/>
      <c r="AE91" s="77"/>
      <c r="AF91" s="77"/>
      <c r="AG91" s="78"/>
      <c r="AH91" s="95" t="s">
        <v>116</v>
      </c>
      <c r="AI91" s="96"/>
      <c r="AJ91" s="96"/>
      <c r="AK91" s="96"/>
      <c r="AL91" s="97"/>
      <c r="AM91" s="72" t="s">
        <v>5</v>
      </c>
      <c r="AN91" s="73"/>
      <c r="AO91" s="73"/>
      <c r="AP91" s="73"/>
      <c r="AQ91" s="74"/>
      <c r="AR91" s="72" t="s">
        <v>4</v>
      </c>
      <c r="AS91" s="73"/>
      <c r="AT91" s="73"/>
      <c r="AU91" s="73"/>
      <c r="AV91" s="74"/>
      <c r="AW91" s="72" t="s">
        <v>3</v>
      </c>
      <c r="AX91" s="73"/>
      <c r="AY91" s="73"/>
      <c r="AZ91" s="73"/>
      <c r="BA91" s="74"/>
      <c r="BB91" s="95" t="s">
        <v>116</v>
      </c>
      <c r="BC91" s="96"/>
      <c r="BD91" s="96"/>
      <c r="BE91" s="96"/>
      <c r="BF91" s="97"/>
      <c r="BG91" s="72" t="s">
        <v>96</v>
      </c>
      <c r="BH91" s="73"/>
      <c r="BI91" s="73"/>
      <c r="BJ91" s="73"/>
      <c r="BK91" s="74"/>
    </row>
    <row r="92" spans="1:79" ht="12.75" customHeight="1" x14ac:dyDescent="0.2">
      <c r="A92" s="72">
        <v>1</v>
      </c>
      <c r="B92" s="73"/>
      <c r="C92" s="73"/>
      <c r="D92" s="74"/>
      <c r="E92" s="72">
        <v>2</v>
      </c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4"/>
      <c r="X92" s="72">
        <v>3</v>
      </c>
      <c r="Y92" s="73"/>
      <c r="Z92" s="73"/>
      <c r="AA92" s="73"/>
      <c r="AB92" s="74"/>
      <c r="AC92" s="72">
        <v>4</v>
      </c>
      <c r="AD92" s="73"/>
      <c r="AE92" s="73"/>
      <c r="AF92" s="73"/>
      <c r="AG92" s="74"/>
      <c r="AH92" s="72">
        <v>5</v>
      </c>
      <c r="AI92" s="73"/>
      <c r="AJ92" s="73"/>
      <c r="AK92" s="73"/>
      <c r="AL92" s="74"/>
      <c r="AM92" s="72">
        <v>6</v>
      </c>
      <c r="AN92" s="73"/>
      <c r="AO92" s="73"/>
      <c r="AP92" s="73"/>
      <c r="AQ92" s="74"/>
      <c r="AR92" s="72">
        <v>7</v>
      </c>
      <c r="AS92" s="73"/>
      <c r="AT92" s="73"/>
      <c r="AU92" s="73"/>
      <c r="AV92" s="74"/>
      <c r="AW92" s="72">
        <v>8</v>
      </c>
      <c r="AX92" s="73"/>
      <c r="AY92" s="73"/>
      <c r="AZ92" s="73"/>
      <c r="BA92" s="74"/>
      <c r="BB92" s="72">
        <v>9</v>
      </c>
      <c r="BC92" s="73"/>
      <c r="BD92" s="73"/>
      <c r="BE92" s="73"/>
      <c r="BF92" s="74"/>
      <c r="BG92" s="72">
        <v>10</v>
      </c>
      <c r="BH92" s="73"/>
      <c r="BI92" s="73"/>
      <c r="BJ92" s="73"/>
      <c r="BK92" s="74"/>
    </row>
    <row r="93" spans="1:79" s="1" customFormat="1" ht="12.75" hidden="1" customHeight="1" x14ac:dyDescent="0.2">
      <c r="A93" s="86" t="s">
        <v>64</v>
      </c>
      <c r="B93" s="87"/>
      <c r="C93" s="87"/>
      <c r="D93" s="88"/>
      <c r="E93" s="86" t="s">
        <v>57</v>
      </c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8"/>
      <c r="X93" s="107" t="s">
        <v>60</v>
      </c>
      <c r="Y93" s="108"/>
      <c r="Z93" s="108"/>
      <c r="AA93" s="108"/>
      <c r="AB93" s="109"/>
      <c r="AC93" s="107" t="s">
        <v>61</v>
      </c>
      <c r="AD93" s="108"/>
      <c r="AE93" s="108"/>
      <c r="AF93" s="108"/>
      <c r="AG93" s="109"/>
      <c r="AH93" s="86" t="s">
        <v>94</v>
      </c>
      <c r="AI93" s="87"/>
      <c r="AJ93" s="87"/>
      <c r="AK93" s="87"/>
      <c r="AL93" s="88"/>
      <c r="AM93" s="92" t="s">
        <v>170</v>
      </c>
      <c r="AN93" s="93"/>
      <c r="AO93" s="93"/>
      <c r="AP93" s="93"/>
      <c r="AQ93" s="94"/>
      <c r="AR93" s="86" t="s">
        <v>62</v>
      </c>
      <c r="AS93" s="87"/>
      <c r="AT93" s="87"/>
      <c r="AU93" s="87"/>
      <c r="AV93" s="88"/>
      <c r="AW93" s="86" t="s">
        <v>63</v>
      </c>
      <c r="AX93" s="87"/>
      <c r="AY93" s="87"/>
      <c r="AZ93" s="87"/>
      <c r="BA93" s="88"/>
      <c r="BB93" s="86" t="s">
        <v>95</v>
      </c>
      <c r="BC93" s="87"/>
      <c r="BD93" s="87"/>
      <c r="BE93" s="87"/>
      <c r="BF93" s="88"/>
      <c r="BG93" s="92" t="s">
        <v>170</v>
      </c>
      <c r="BH93" s="93"/>
      <c r="BI93" s="93"/>
      <c r="BJ93" s="93"/>
      <c r="BK93" s="94"/>
      <c r="CA93" t="s">
        <v>29</v>
      </c>
    </row>
    <row r="94" spans="1:79" s="4" customFormat="1" ht="12.75" customHeight="1" x14ac:dyDescent="0.2">
      <c r="A94" s="34">
        <v>2111</v>
      </c>
      <c r="B94" s="35"/>
      <c r="C94" s="35"/>
      <c r="D94" s="51"/>
      <c r="E94" s="29" t="s">
        <v>181</v>
      </c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1"/>
      <c r="X94" s="46">
        <v>26161670</v>
      </c>
      <c r="Y94" s="47"/>
      <c r="Z94" s="47"/>
      <c r="AA94" s="47"/>
      <c r="AB94" s="48"/>
      <c r="AC94" s="46">
        <v>0</v>
      </c>
      <c r="AD94" s="47"/>
      <c r="AE94" s="47"/>
      <c r="AF94" s="47"/>
      <c r="AG94" s="48"/>
      <c r="AH94" s="46">
        <v>0</v>
      </c>
      <c r="AI94" s="47"/>
      <c r="AJ94" s="47"/>
      <c r="AK94" s="47"/>
      <c r="AL94" s="48"/>
      <c r="AM94" s="46">
        <f t="shared" ref="AM94:AM109" si="8">IF(ISNUMBER(X94),X94,0)+IF(ISNUMBER(AC94),AC94,0)</f>
        <v>26161670</v>
      </c>
      <c r="AN94" s="47"/>
      <c r="AO94" s="47"/>
      <c r="AP94" s="47"/>
      <c r="AQ94" s="48"/>
      <c r="AR94" s="46">
        <v>26161670</v>
      </c>
      <c r="AS94" s="47"/>
      <c r="AT94" s="47"/>
      <c r="AU94" s="47"/>
      <c r="AV94" s="48"/>
      <c r="AW94" s="46">
        <v>0</v>
      </c>
      <c r="AX94" s="47"/>
      <c r="AY94" s="47"/>
      <c r="AZ94" s="47"/>
      <c r="BA94" s="48"/>
      <c r="BB94" s="46">
        <v>0</v>
      </c>
      <c r="BC94" s="47"/>
      <c r="BD94" s="47"/>
      <c r="BE94" s="47"/>
      <c r="BF94" s="48"/>
      <c r="BG94" s="49">
        <f t="shared" ref="BG94:BG109" si="9">IF(ISNUMBER(AR94),AR94,0)+IF(ISNUMBER(AW94),AW94,0)</f>
        <v>26161670</v>
      </c>
      <c r="BH94" s="49"/>
      <c r="BI94" s="49"/>
      <c r="BJ94" s="49"/>
      <c r="BK94" s="49"/>
      <c r="CA94" s="4" t="s">
        <v>30</v>
      </c>
    </row>
    <row r="95" spans="1:79" s="4" customFormat="1" ht="12.75" customHeight="1" x14ac:dyDescent="0.2">
      <c r="A95" s="34">
        <v>2120</v>
      </c>
      <c r="B95" s="35"/>
      <c r="C95" s="35"/>
      <c r="D95" s="51"/>
      <c r="E95" s="29" t="s">
        <v>182</v>
      </c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1"/>
      <c r="X95" s="46">
        <v>5755568</v>
      </c>
      <c r="Y95" s="47"/>
      <c r="Z95" s="47"/>
      <c r="AA95" s="47"/>
      <c r="AB95" s="48"/>
      <c r="AC95" s="46">
        <v>0</v>
      </c>
      <c r="AD95" s="47"/>
      <c r="AE95" s="47"/>
      <c r="AF95" s="47"/>
      <c r="AG95" s="48"/>
      <c r="AH95" s="46">
        <v>0</v>
      </c>
      <c r="AI95" s="47"/>
      <c r="AJ95" s="47"/>
      <c r="AK95" s="47"/>
      <c r="AL95" s="48"/>
      <c r="AM95" s="46">
        <f t="shared" si="8"/>
        <v>5755568</v>
      </c>
      <c r="AN95" s="47"/>
      <c r="AO95" s="47"/>
      <c r="AP95" s="47"/>
      <c r="AQ95" s="48"/>
      <c r="AR95" s="46">
        <v>5755568</v>
      </c>
      <c r="AS95" s="47"/>
      <c r="AT95" s="47"/>
      <c r="AU95" s="47"/>
      <c r="AV95" s="48"/>
      <c r="AW95" s="46">
        <v>0</v>
      </c>
      <c r="AX95" s="47"/>
      <c r="AY95" s="47"/>
      <c r="AZ95" s="47"/>
      <c r="BA95" s="48"/>
      <c r="BB95" s="46">
        <v>0</v>
      </c>
      <c r="BC95" s="47"/>
      <c r="BD95" s="47"/>
      <c r="BE95" s="47"/>
      <c r="BF95" s="48"/>
      <c r="BG95" s="49">
        <f t="shared" si="9"/>
        <v>5755568</v>
      </c>
      <c r="BH95" s="49"/>
      <c r="BI95" s="49"/>
      <c r="BJ95" s="49"/>
      <c r="BK95" s="49"/>
    </row>
    <row r="96" spans="1:79" s="4" customFormat="1" ht="12.75" customHeight="1" x14ac:dyDescent="0.2">
      <c r="A96" s="34">
        <v>2210</v>
      </c>
      <c r="B96" s="35"/>
      <c r="C96" s="35"/>
      <c r="D96" s="51"/>
      <c r="E96" s="29" t="s">
        <v>183</v>
      </c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1"/>
      <c r="X96" s="46">
        <v>812326</v>
      </c>
      <c r="Y96" s="47"/>
      <c r="Z96" s="47"/>
      <c r="AA96" s="47"/>
      <c r="AB96" s="48"/>
      <c r="AC96" s="46">
        <v>219800</v>
      </c>
      <c r="AD96" s="47"/>
      <c r="AE96" s="47"/>
      <c r="AF96" s="47"/>
      <c r="AG96" s="48"/>
      <c r="AH96" s="46">
        <v>0</v>
      </c>
      <c r="AI96" s="47"/>
      <c r="AJ96" s="47"/>
      <c r="AK96" s="47"/>
      <c r="AL96" s="48"/>
      <c r="AM96" s="46">
        <f t="shared" si="8"/>
        <v>1032126</v>
      </c>
      <c r="AN96" s="47"/>
      <c r="AO96" s="47"/>
      <c r="AP96" s="47"/>
      <c r="AQ96" s="48"/>
      <c r="AR96" s="46">
        <v>877312</v>
      </c>
      <c r="AS96" s="47"/>
      <c r="AT96" s="47"/>
      <c r="AU96" s="47"/>
      <c r="AV96" s="48"/>
      <c r="AW96" s="46">
        <v>237384</v>
      </c>
      <c r="AX96" s="47"/>
      <c r="AY96" s="47"/>
      <c r="AZ96" s="47"/>
      <c r="BA96" s="48"/>
      <c r="BB96" s="46">
        <v>0</v>
      </c>
      <c r="BC96" s="47"/>
      <c r="BD96" s="47"/>
      <c r="BE96" s="47"/>
      <c r="BF96" s="48"/>
      <c r="BG96" s="49">
        <f t="shared" si="9"/>
        <v>1114696</v>
      </c>
      <c r="BH96" s="49"/>
      <c r="BI96" s="49"/>
      <c r="BJ96" s="49"/>
      <c r="BK96" s="49"/>
    </row>
    <row r="97" spans="1:64" s="4" customFormat="1" ht="12.75" customHeight="1" x14ac:dyDescent="0.2">
      <c r="A97" s="34">
        <v>2230</v>
      </c>
      <c r="B97" s="35"/>
      <c r="C97" s="35"/>
      <c r="D97" s="51"/>
      <c r="E97" s="29" t="s">
        <v>184</v>
      </c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1"/>
      <c r="X97" s="46">
        <v>0</v>
      </c>
      <c r="Y97" s="47"/>
      <c r="Z97" s="47"/>
      <c r="AA97" s="47"/>
      <c r="AB97" s="48"/>
      <c r="AC97" s="46">
        <v>0</v>
      </c>
      <c r="AD97" s="47"/>
      <c r="AE97" s="47"/>
      <c r="AF97" s="47"/>
      <c r="AG97" s="48"/>
      <c r="AH97" s="46">
        <v>0</v>
      </c>
      <c r="AI97" s="47"/>
      <c r="AJ97" s="47"/>
      <c r="AK97" s="47"/>
      <c r="AL97" s="48"/>
      <c r="AM97" s="46">
        <f t="shared" si="8"/>
        <v>0</v>
      </c>
      <c r="AN97" s="47"/>
      <c r="AO97" s="47"/>
      <c r="AP97" s="47"/>
      <c r="AQ97" s="48"/>
      <c r="AR97" s="46">
        <v>0</v>
      </c>
      <c r="AS97" s="47"/>
      <c r="AT97" s="47"/>
      <c r="AU97" s="47"/>
      <c r="AV97" s="48"/>
      <c r="AW97" s="46">
        <v>0</v>
      </c>
      <c r="AX97" s="47"/>
      <c r="AY97" s="47"/>
      <c r="AZ97" s="47"/>
      <c r="BA97" s="48"/>
      <c r="BB97" s="46">
        <v>0</v>
      </c>
      <c r="BC97" s="47"/>
      <c r="BD97" s="47"/>
      <c r="BE97" s="47"/>
      <c r="BF97" s="48"/>
      <c r="BG97" s="49">
        <f t="shared" si="9"/>
        <v>0</v>
      </c>
      <c r="BH97" s="49"/>
      <c r="BI97" s="49"/>
      <c r="BJ97" s="49"/>
      <c r="BK97" s="49"/>
    </row>
    <row r="98" spans="1:64" s="4" customFormat="1" ht="12.75" customHeight="1" x14ac:dyDescent="0.2">
      <c r="A98" s="34">
        <v>2240</v>
      </c>
      <c r="B98" s="35"/>
      <c r="C98" s="35"/>
      <c r="D98" s="51"/>
      <c r="E98" s="29" t="s">
        <v>185</v>
      </c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1"/>
      <c r="X98" s="46">
        <v>2933439</v>
      </c>
      <c r="Y98" s="47"/>
      <c r="Z98" s="47"/>
      <c r="AA98" s="47"/>
      <c r="AB98" s="48"/>
      <c r="AC98" s="46">
        <v>0</v>
      </c>
      <c r="AD98" s="47"/>
      <c r="AE98" s="47"/>
      <c r="AF98" s="47"/>
      <c r="AG98" s="48"/>
      <c r="AH98" s="46">
        <v>0</v>
      </c>
      <c r="AI98" s="47"/>
      <c r="AJ98" s="47"/>
      <c r="AK98" s="47"/>
      <c r="AL98" s="48"/>
      <c r="AM98" s="46">
        <f t="shared" si="8"/>
        <v>2933439</v>
      </c>
      <c r="AN98" s="47"/>
      <c r="AO98" s="47"/>
      <c r="AP98" s="47"/>
      <c r="AQ98" s="48"/>
      <c r="AR98" s="46">
        <v>3168114</v>
      </c>
      <c r="AS98" s="47"/>
      <c r="AT98" s="47"/>
      <c r="AU98" s="47"/>
      <c r="AV98" s="48"/>
      <c r="AW98" s="46">
        <v>0</v>
      </c>
      <c r="AX98" s="47"/>
      <c r="AY98" s="47"/>
      <c r="AZ98" s="47"/>
      <c r="BA98" s="48"/>
      <c r="BB98" s="46">
        <v>0</v>
      </c>
      <c r="BC98" s="47"/>
      <c r="BD98" s="47"/>
      <c r="BE98" s="47"/>
      <c r="BF98" s="48"/>
      <c r="BG98" s="49">
        <f t="shared" si="9"/>
        <v>3168114</v>
      </c>
      <c r="BH98" s="49"/>
      <c r="BI98" s="49"/>
      <c r="BJ98" s="49"/>
      <c r="BK98" s="49"/>
    </row>
    <row r="99" spans="1:64" s="4" customFormat="1" ht="12.75" customHeight="1" x14ac:dyDescent="0.2">
      <c r="A99" s="34">
        <v>2250</v>
      </c>
      <c r="B99" s="35"/>
      <c r="C99" s="35"/>
      <c r="D99" s="51"/>
      <c r="E99" s="29" t="s">
        <v>186</v>
      </c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1"/>
      <c r="X99" s="46">
        <v>549500</v>
      </c>
      <c r="Y99" s="47"/>
      <c r="Z99" s="47"/>
      <c r="AA99" s="47"/>
      <c r="AB99" s="48"/>
      <c r="AC99" s="46">
        <v>0</v>
      </c>
      <c r="AD99" s="47"/>
      <c r="AE99" s="47"/>
      <c r="AF99" s="47"/>
      <c r="AG99" s="48"/>
      <c r="AH99" s="46">
        <v>0</v>
      </c>
      <c r="AI99" s="47"/>
      <c r="AJ99" s="47"/>
      <c r="AK99" s="47"/>
      <c r="AL99" s="48"/>
      <c r="AM99" s="46">
        <f t="shared" si="8"/>
        <v>549500</v>
      </c>
      <c r="AN99" s="47"/>
      <c r="AO99" s="47"/>
      <c r="AP99" s="47"/>
      <c r="AQ99" s="48"/>
      <c r="AR99" s="46">
        <v>593460</v>
      </c>
      <c r="AS99" s="47"/>
      <c r="AT99" s="47"/>
      <c r="AU99" s="47"/>
      <c r="AV99" s="48"/>
      <c r="AW99" s="46">
        <v>0</v>
      </c>
      <c r="AX99" s="47"/>
      <c r="AY99" s="47"/>
      <c r="AZ99" s="47"/>
      <c r="BA99" s="48"/>
      <c r="BB99" s="46">
        <v>0</v>
      </c>
      <c r="BC99" s="47"/>
      <c r="BD99" s="47"/>
      <c r="BE99" s="47"/>
      <c r="BF99" s="48"/>
      <c r="BG99" s="49">
        <f t="shared" si="9"/>
        <v>593460</v>
      </c>
      <c r="BH99" s="49"/>
      <c r="BI99" s="49"/>
      <c r="BJ99" s="49"/>
      <c r="BK99" s="49"/>
    </row>
    <row r="100" spans="1:64" s="4" customFormat="1" ht="12.75" customHeight="1" x14ac:dyDescent="0.2">
      <c r="A100" s="34">
        <v>2271</v>
      </c>
      <c r="B100" s="35"/>
      <c r="C100" s="35"/>
      <c r="D100" s="51"/>
      <c r="E100" s="29" t="s">
        <v>187</v>
      </c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1"/>
      <c r="X100" s="46">
        <v>321787</v>
      </c>
      <c r="Y100" s="47"/>
      <c r="Z100" s="47"/>
      <c r="AA100" s="47"/>
      <c r="AB100" s="48"/>
      <c r="AC100" s="46">
        <v>0</v>
      </c>
      <c r="AD100" s="47"/>
      <c r="AE100" s="47"/>
      <c r="AF100" s="47"/>
      <c r="AG100" s="48"/>
      <c r="AH100" s="46">
        <v>0</v>
      </c>
      <c r="AI100" s="47"/>
      <c r="AJ100" s="47"/>
      <c r="AK100" s="47"/>
      <c r="AL100" s="48"/>
      <c r="AM100" s="46">
        <f t="shared" si="8"/>
        <v>321787</v>
      </c>
      <c r="AN100" s="47"/>
      <c r="AO100" s="47"/>
      <c r="AP100" s="47"/>
      <c r="AQ100" s="48"/>
      <c r="AR100" s="46">
        <v>347530</v>
      </c>
      <c r="AS100" s="47"/>
      <c r="AT100" s="47"/>
      <c r="AU100" s="47"/>
      <c r="AV100" s="48"/>
      <c r="AW100" s="46">
        <v>0</v>
      </c>
      <c r="AX100" s="47"/>
      <c r="AY100" s="47"/>
      <c r="AZ100" s="47"/>
      <c r="BA100" s="48"/>
      <c r="BB100" s="46">
        <v>0</v>
      </c>
      <c r="BC100" s="47"/>
      <c r="BD100" s="47"/>
      <c r="BE100" s="47"/>
      <c r="BF100" s="48"/>
      <c r="BG100" s="49">
        <f t="shared" si="9"/>
        <v>347530</v>
      </c>
      <c r="BH100" s="49"/>
      <c r="BI100" s="49"/>
      <c r="BJ100" s="49"/>
      <c r="BK100" s="49"/>
    </row>
    <row r="101" spans="1:64" s="4" customFormat="1" ht="12.75" customHeight="1" x14ac:dyDescent="0.2">
      <c r="A101" s="34">
        <v>2272</v>
      </c>
      <c r="B101" s="35"/>
      <c r="C101" s="35"/>
      <c r="D101" s="51"/>
      <c r="E101" s="29" t="s">
        <v>188</v>
      </c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1"/>
      <c r="X101" s="46">
        <v>26376</v>
      </c>
      <c r="Y101" s="47"/>
      <c r="Z101" s="47"/>
      <c r="AA101" s="47"/>
      <c r="AB101" s="48"/>
      <c r="AC101" s="46">
        <v>0</v>
      </c>
      <c r="AD101" s="47"/>
      <c r="AE101" s="47"/>
      <c r="AF101" s="47"/>
      <c r="AG101" s="48"/>
      <c r="AH101" s="46">
        <v>0</v>
      </c>
      <c r="AI101" s="47"/>
      <c r="AJ101" s="47"/>
      <c r="AK101" s="47"/>
      <c r="AL101" s="48"/>
      <c r="AM101" s="46">
        <f t="shared" si="8"/>
        <v>26376</v>
      </c>
      <c r="AN101" s="47"/>
      <c r="AO101" s="47"/>
      <c r="AP101" s="47"/>
      <c r="AQ101" s="48"/>
      <c r="AR101" s="46">
        <v>28486</v>
      </c>
      <c r="AS101" s="47"/>
      <c r="AT101" s="47"/>
      <c r="AU101" s="47"/>
      <c r="AV101" s="48"/>
      <c r="AW101" s="46">
        <v>0</v>
      </c>
      <c r="AX101" s="47"/>
      <c r="AY101" s="47"/>
      <c r="AZ101" s="47"/>
      <c r="BA101" s="48"/>
      <c r="BB101" s="46">
        <v>0</v>
      </c>
      <c r="BC101" s="47"/>
      <c r="BD101" s="47"/>
      <c r="BE101" s="47"/>
      <c r="BF101" s="48"/>
      <c r="BG101" s="49">
        <f t="shared" si="9"/>
        <v>28486</v>
      </c>
      <c r="BH101" s="49"/>
      <c r="BI101" s="49"/>
      <c r="BJ101" s="49"/>
      <c r="BK101" s="49"/>
    </row>
    <row r="102" spans="1:64" s="4" customFormat="1" ht="12.75" customHeight="1" x14ac:dyDescent="0.2">
      <c r="A102" s="34">
        <v>2273</v>
      </c>
      <c r="B102" s="35"/>
      <c r="C102" s="35"/>
      <c r="D102" s="51"/>
      <c r="E102" s="29" t="s">
        <v>189</v>
      </c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1"/>
      <c r="X102" s="46">
        <v>2232830</v>
      </c>
      <c r="Y102" s="47"/>
      <c r="Z102" s="47"/>
      <c r="AA102" s="47"/>
      <c r="AB102" s="48"/>
      <c r="AC102" s="46">
        <v>0</v>
      </c>
      <c r="AD102" s="47"/>
      <c r="AE102" s="47"/>
      <c r="AF102" s="47"/>
      <c r="AG102" s="48"/>
      <c r="AH102" s="46">
        <v>0</v>
      </c>
      <c r="AI102" s="47"/>
      <c r="AJ102" s="47"/>
      <c r="AK102" s="47"/>
      <c r="AL102" s="48"/>
      <c r="AM102" s="46">
        <f t="shared" si="8"/>
        <v>2232830</v>
      </c>
      <c r="AN102" s="47"/>
      <c r="AO102" s="47"/>
      <c r="AP102" s="47"/>
      <c r="AQ102" s="48"/>
      <c r="AR102" s="46">
        <v>2411456</v>
      </c>
      <c r="AS102" s="47"/>
      <c r="AT102" s="47"/>
      <c r="AU102" s="47"/>
      <c r="AV102" s="48"/>
      <c r="AW102" s="46">
        <v>0</v>
      </c>
      <c r="AX102" s="47"/>
      <c r="AY102" s="47"/>
      <c r="AZ102" s="47"/>
      <c r="BA102" s="48"/>
      <c r="BB102" s="46">
        <v>0</v>
      </c>
      <c r="BC102" s="47"/>
      <c r="BD102" s="47"/>
      <c r="BE102" s="47"/>
      <c r="BF102" s="48"/>
      <c r="BG102" s="49">
        <f t="shared" si="9"/>
        <v>2411456</v>
      </c>
      <c r="BH102" s="49"/>
      <c r="BI102" s="49"/>
      <c r="BJ102" s="49"/>
      <c r="BK102" s="49"/>
    </row>
    <row r="103" spans="1:64" s="4" customFormat="1" ht="12.75" customHeight="1" x14ac:dyDescent="0.2">
      <c r="A103" s="34">
        <v>2274</v>
      </c>
      <c r="B103" s="35"/>
      <c r="C103" s="35"/>
      <c r="D103" s="51"/>
      <c r="E103" s="29" t="s">
        <v>190</v>
      </c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1"/>
      <c r="X103" s="46">
        <v>97789</v>
      </c>
      <c r="Y103" s="47"/>
      <c r="Z103" s="47"/>
      <c r="AA103" s="47"/>
      <c r="AB103" s="48"/>
      <c r="AC103" s="46">
        <v>0</v>
      </c>
      <c r="AD103" s="47"/>
      <c r="AE103" s="47"/>
      <c r="AF103" s="47"/>
      <c r="AG103" s="48"/>
      <c r="AH103" s="46">
        <v>0</v>
      </c>
      <c r="AI103" s="47"/>
      <c r="AJ103" s="47"/>
      <c r="AK103" s="47"/>
      <c r="AL103" s="48"/>
      <c r="AM103" s="46">
        <f t="shared" si="8"/>
        <v>97789</v>
      </c>
      <c r="AN103" s="47"/>
      <c r="AO103" s="47"/>
      <c r="AP103" s="47"/>
      <c r="AQ103" s="48"/>
      <c r="AR103" s="46">
        <v>105612</v>
      </c>
      <c r="AS103" s="47"/>
      <c r="AT103" s="47"/>
      <c r="AU103" s="47"/>
      <c r="AV103" s="48"/>
      <c r="AW103" s="46">
        <v>0</v>
      </c>
      <c r="AX103" s="47"/>
      <c r="AY103" s="47"/>
      <c r="AZ103" s="47"/>
      <c r="BA103" s="48"/>
      <c r="BB103" s="46">
        <v>0</v>
      </c>
      <c r="BC103" s="47"/>
      <c r="BD103" s="47"/>
      <c r="BE103" s="47"/>
      <c r="BF103" s="48"/>
      <c r="BG103" s="49">
        <f t="shared" si="9"/>
        <v>105612</v>
      </c>
      <c r="BH103" s="49"/>
      <c r="BI103" s="49"/>
      <c r="BJ103" s="49"/>
      <c r="BK103" s="49"/>
    </row>
    <row r="104" spans="1:64" s="4" customFormat="1" ht="12.75" customHeight="1" x14ac:dyDescent="0.2">
      <c r="A104" s="34">
        <v>2275</v>
      </c>
      <c r="B104" s="35"/>
      <c r="C104" s="35"/>
      <c r="D104" s="51"/>
      <c r="E104" s="29" t="s">
        <v>191</v>
      </c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1"/>
      <c r="X104" s="46">
        <v>50353</v>
      </c>
      <c r="Y104" s="47"/>
      <c r="Z104" s="47"/>
      <c r="AA104" s="47"/>
      <c r="AB104" s="48"/>
      <c r="AC104" s="46">
        <v>0</v>
      </c>
      <c r="AD104" s="47"/>
      <c r="AE104" s="47"/>
      <c r="AF104" s="47"/>
      <c r="AG104" s="48"/>
      <c r="AH104" s="46">
        <v>0</v>
      </c>
      <c r="AI104" s="47"/>
      <c r="AJ104" s="47"/>
      <c r="AK104" s="47"/>
      <c r="AL104" s="48"/>
      <c r="AM104" s="46">
        <f t="shared" si="8"/>
        <v>50353</v>
      </c>
      <c r="AN104" s="47"/>
      <c r="AO104" s="47"/>
      <c r="AP104" s="47"/>
      <c r="AQ104" s="48"/>
      <c r="AR104" s="46">
        <v>54381</v>
      </c>
      <c r="AS104" s="47"/>
      <c r="AT104" s="47"/>
      <c r="AU104" s="47"/>
      <c r="AV104" s="48"/>
      <c r="AW104" s="46">
        <v>0</v>
      </c>
      <c r="AX104" s="47"/>
      <c r="AY104" s="47"/>
      <c r="AZ104" s="47"/>
      <c r="BA104" s="48"/>
      <c r="BB104" s="46">
        <v>0</v>
      </c>
      <c r="BC104" s="47"/>
      <c r="BD104" s="47"/>
      <c r="BE104" s="47"/>
      <c r="BF104" s="48"/>
      <c r="BG104" s="49">
        <f t="shared" si="9"/>
        <v>54381</v>
      </c>
      <c r="BH104" s="49"/>
      <c r="BI104" s="49"/>
      <c r="BJ104" s="49"/>
      <c r="BK104" s="49"/>
    </row>
    <row r="105" spans="1:64" s="4" customFormat="1" ht="25.5" customHeight="1" x14ac:dyDescent="0.2">
      <c r="A105" s="34">
        <v>2281</v>
      </c>
      <c r="B105" s="35"/>
      <c r="C105" s="35"/>
      <c r="D105" s="51"/>
      <c r="E105" s="29" t="s">
        <v>192</v>
      </c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1"/>
      <c r="X105" s="46">
        <v>21980</v>
      </c>
      <c r="Y105" s="47"/>
      <c r="Z105" s="47"/>
      <c r="AA105" s="47"/>
      <c r="AB105" s="48"/>
      <c r="AC105" s="46">
        <v>0</v>
      </c>
      <c r="AD105" s="47"/>
      <c r="AE105" s="47"/>
      <c r="AF105" s="47"/>
      <c r="AG105" s="48"/>
      <c r="AH105" s="46">
        <v>0</v>
      </c>
      <c r="AI105" s="47"/>
      <c r="AJ105" s="47"/>
      <c r="AK105" s="47"/>
      <c r="AL105" s="48"/>
      <c r="AM105" s="46">
        <f t="shared" si="8"/>
        <v>21980</v>
      </c>
      <c r="AN105" s="47"/>
      <c r="AO105" s="47"/>
      <c r="AP105" s="47"/>
      <c r="AQ105" s="48"/>
      <c r="AR105" s="46">
        <v>23738</v>
      </c>
      <c r="AS105" s="47"/>
      <c r="AT105" s="47"/>
      <c r="AU105" s="47"/>
      <c r="AV105" s="48"/>
      <c r="AW105" s="46">
        <v>0</v>
      </c>
      <c r="AX105" s="47"/>
      <c r="AY105" s="47"/>
      <c r="AZ105" s="47"/>
      <c r="BA105" s="48"/>
      <c r="BB105" s="46">
        <v>0</v>
      </c>
      <c r="BC105" s="47"/>
      <c r="BD105" s="47"/>
      <c r="BE105" s="47"/>
      <c r="BF105" s="48"/>
      <c r="BG105" s="49">
        <f t="shared" si="9"/>
        <v>23738</v>
      </c>
      <c r="BH105" s="49"/>
      <c r="BI105" s="49"/>
      <c r="BJ105" s="49"/>
      <c r="BK105" s="49"/>
    </row>
    <row r="106" spans="1:64" s="4" customFormat="1" ht="25.5" customHeight="1" x14ac:dyDescent="0.2">
      <c r="A106" s="34">
        <v>2282</v>
      </c>
      <c r="B106" s="35"/>
      <c r="C106" s="35"/>
      <c r="D106" s="51"/>
      <c r="E106" s="29" t="s">
        <v>193</v>
      </c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1"/>
      <c r="X106" s="46">
        <v>71435</v>
      </c>
      <c r="Y106" s="47"/>
      <c r="Z106" s="47"/>
      <c r="AA106" s="47"/>
      <c r="AB106" s="48"/>
      <c r="AC106" s="46">
        <v>0</v>
      </c>
      <c r="AD106" s="47"/>
      <c r="AE106" s="47"/>
      <c r="AF106" s="47"/>
      <c r="AG106" s="48"/>
      <c r="AH106" s="46">
        <v>0</v>
      </c>
      <c r="AI106" s="47"/>
      <c r="AJ106" s="47"/>
      <c r="AK106" s="47"/>
      <c r="AL106" s="48"/>
      <c r="AM106" s="46">
        <f t="shared" si="8"/>
        <v>71435</v>
      </c>
      <c r="AN106" s="47"/>
      <c r="AO106" s="47"/>
      <c r="AP106" s="47"/>
      <c r="AQ106" s="48"/>
      <c r="AR106" s="46">
        <v>77150</v>
      </c>
      <c r="AS106" s="47"/>
      <c r="AT106" s="47"/>
      <c r="AU106" s="47"/>
      <c r="AV106" s="48"/>
      <c r="AW106" s="46">
        <v>0</v>
      </c>
      <c r="AX106" s="47"/>
      <c r="AY106" s="47"/>
      <c r="AZ106" s="47"/>
      <c r="BA106" s="48"/>
      <c r="BB106" s="46">
        <v>0</v>
      </c>
      <c r="BC106" s="47"/>
      <c r="BD106" s="47"/>
      <c r="BE106" s="47"/>
      <c r="BF106" s="48"/>
      <c r="BG106" s="49">
        <f t="shared" si="9"/>
        <v>77150</v>
      </c>
      <c r="BH106" s="49"/>
      <c r="BI106" s="49"/>
      <c r="BJ106" s="49"/>
      <c r="BK106" s="49"/>
    </row>
    <row r="107" spans="1:64" s="4" customFormat="1" ht="12.75" customHeight="1" x14ac:dyDescent="0.2">
      <c r="A107" s="34">
        <v>2800</v>
      </c>
      <c r="B107" s="35"/>
      <c r="C107" s="35"/>
      <c r="D107" s="51"/>
      <c r="E107" s="29" t="s">
        <v>194</v>
      </c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1"/>
      <c r="X107" s="46">
        <v>439600</v>
      </c>
      <c r="Y107" s="47"/>
      <c r="Z107" s="47"/>
      <c r="AA107" s="47"/>
      <c r="AB107" s="48"/>
      <c r="AC107" s="46">
        <v>0</v>
      </c>
      <c r="AD107" s="47"/>
      <c r="AE107" s="47"/>
      <c r="AF107" s="47"/>
      <c r="AG107" s="48"/>
      <c r="AH107" s="46">
        <v>0</v>
      </c>
      <c r="AI107" s="47"/>
      <c r="AJ107" s="47"/>
      <c r="AK107" s="47"/>
      <c r="AL107" s="48"/>
      <c r="AM107" s="46">
        <f t="shared" si="8"/>
        <v>439600</v>
      </c>
      <c r="AN107" s="47"/>
      <c r="AO107" s="47"/>
      <c r="AP107" s="47"/>
      <c r="AQ107" s="48"/>
      <c r="AR107" s="46">
        <v>474768</v>
      </c>
      <c r="AS107" s="47"/>
      <c r="AT107" s="47"/>
      <c r="AU107" s="47"/>
      <c r="AV107" s="48"/>
      <c r="AW107" s="46">
        <v>0</v>
      </c>
      <c r="AX107" s="47"/>
      <c r="AY107" s="47"/>
      <c r="AZ107" s="47"/>
      <c r="BA107" s="48"/>
      <c r="BB107" s="46">
        <v>0</v>
      </c>
      <c r="BC107" s="47"/>
      <c r="BD107" s="47"/>
      <c r="BE107" s="47"/>
      <c r="BF107" s="48"/>
      <c r="BG107" s="49">
        <f t="shared" si="9"/>
        <v>474768</v>
      </c>
      <c r="BH107" s="49"/>
      <c r="BI107" s="49"/>
      <c r="BJ107" s="49"/>
      <c r="BK107" s="49"/>
    </row>
    <row r="108" spans="1:64" s="4" customFormat="1" ht="25.5" customHeight="1" x14ac:dyDescent="0.2">
      <c r="A108" s="34">
        <v>3110</v>
      </c>
      <c r="B108" s="35"/>
      <c r="C108" s="35"/>
      <c r="D108" s="51"/>
      <c r="E108" s="29" t="s">
        <v>195</v>
      </c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1"/>
      <c r="X108" s="46">
        <v>0</v>
      </c>
      <c r="Y108" s="47"/>
      <c r="Z108" s="47"/>
      <c r="AA108" s="47"/>
      <c r="AB108" s="48"/>
      <c r="AC108" s="46">
        <v>0</v>
      </c>
      <c r="AD108" s="47"/>
      <c r="AE108" s="47"/>
      <c r="AF108" s="47"/>
      <c r="AG108" s="48"/>
      <c r="AH108" s="46">
        <v>0</v>
      </c>
      <c r="AI108" s="47"/>
      <c r="AJ108" s="47"/>
      <c r="AK108" s="47"/>
      <c r="AL108" s="48"/>
      <c r="AM108" s="46">
        <f t="shared" si="8"/>
        <v>0</v>
      </c>
      <c r="AN108" s="47"/>
      <c r="AO108" s="47"/>
      <c r="AP108" s="47"/>
      <c r="AQ108" s="48"/>
      <c r="AR108" s="46">
        <v>0</v>
      </c>
      <c r="AS108" s="47"/>
      <c r="AT108" s="47"/>
      <c r="AU108" s="47"/>
      <c r="AV108" s="48"/>
      <c r="AW108" s="46">
        <v>0</v>
      </c>
      <c r="AX108" s="47"/>
      <c r="AY108" s="47"/>
      <c r="AZ108" s="47"/>
      <c r="BA108" s="48"/>
      <c r="BB108" s="46">
        <v>0</v>
      </c>
      <c r="BC108" s="47"/>
      <c r="BD108" s="47"/>
      <c r="BE108" s="47"/>
      <c r="BF108" s="48"/>
      <c r="BG108" s="49">
        <f t="shared" si="9"/>
        <v>0</v>
      </c>
      <c r="BH108" s="49"/>
      <c r="BI108" s="49"/>
      <c r="BJ108" s="49"/>
      <c r="BK108" s="49"/>
    </row>
    <row r="109" spans="1:64" s="5" customFormat="1" ht="12.75" customHeight="1" x14ac:dyDescent="0.2">
      <c r="A109" s="36"/>
      <c r="B109" s="37"/>
      <c r="C109" s="37"/>
      <c r="D109" s="50"/>
      <c r="E109" s="23" t="s">
        <v>147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5"/>
      <c r="X109" s="42">
        <v>39474653</v>
      </c>
      <c r="Y109" s="43"/>
      <c r="Z109" s="43"/>
      <c r="AA109" s="43"/>
      <c r="AB109" s="44"/>
      <c r="AC109" s="42">
        <v>219800</v>
      </c>
      <c r="AD109" s="43"/>
      <c r="AE109" s="43"/>
      <c r="AF109" s="43"/>
      <c r="AG109" s="44"/>
      <c r="AH109" s="42">
        <v>0</v>
      </c>
      <c r="AI109" s="43"/>
      <c r="AJ109" s="43"/>
      <c r="AK109" s="43"/>
      <c r="AL109" s="44"/>
      <c r="AM109" s="42">
        <f t="shared" si="8"/>
        <v>39694453</v>
      </c>
      <c r="AN109" s="43"/>
      <c r="AO109" s="43"/>
      <c r="AP109" s="43"/>
      <c r="AQ109" s="44"/>
      <c r="AR109" s="42">
        <v>40079245</v>
      </c>
      <c r="AS109" s="43"/>
      <c r="AT109" s="43"/>
      <c r="AU109" s="43"/>
      <c r="AV109" s="44"/>
      <c r="AW109" s="42">
        <v>237384</v>
      </c>
      <c r="AX109" s="43"/>
      <c r="AY109" s="43"/>
      <c r="AZ109" s="43"/>
      <c r="BA109" s="44"/>
      <c r="BB109" s="42">
        <v>0</v>
      </c>
      <c r="BC109" s="43"/>
      <c r="BD109" s="43"/>
      <c r="BE109" s="43"/>
      <c r="BF109" s="44"/>
      <c r="BG109" s="45">
        <f t="shared" si="9"/>
        <v>40316629</v>
      </c>
      <c r="BH109" s="45"/>
      <c r="BI109" s="45"/>
      <c r="BJ109" s="45"/>
      <c r="BK109" s="45"/>
    </row>
    <row r="111" spans="1:64" ht="14.25" customHeight="1" x14ac:dyDescent="0.2">
      <c r="A111" s="60" t="s">
        <v>324</v>
      </c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</row>
    <row r="112" spans="1:64" ht="15" customHeight="1" x14ac:dyDescent="0.2">
      <c r="A112" s="75" t="s">
        <v>295</v>
      </c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J112" s="75"/>
      <c r="BK112" s="75"/>
    </row>
    <row r="113" spans="1:79" ht="16.5" customHeight="1" x14ac:dyDescent="0.2">
      <c r="A113" s="101" t="s">
        <v>119</v>
      </c>
      <c r="B113" s="102"/>
      <c r="C113" s="102"/>
      <c r="D113" s="102"/>
      <c r="E113" s="103"/>
      <c r="F113" s="76" t="s">
        <v>19</v>
      </c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8"/>
      <c r="X113" s="39" t="s">
        <v>317</v>
      </c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72" t="s">
        <v>322</v>
      </c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4"/>
    </row>
    <row r="114" spans="1:79" ht="44.25" customHeight="1" x14ac:dyDescent="0.2">
      <c r="A114" s="104"/>
      <c r="B114" s="105"/>
      <c r="C114" s="105"/>
      <c r="D114" s="105"/>
      <c r="E114" s="106"/>
      <c r="F114" s="79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1"/>
      <c r="X114" s="72" t="s">
        <v>4</v>
      </c>
      <c r="Y114" s="73"/>
      <c r="Z114" s="73"/>
      <c r="AA114" s="73"/>
      <c r="AB114" s="74"/>
      <c r="AC114" s="72" t="s">
        <v>3</v>
      </c>
      <c r="AD114" s="73"/>
      <c r="AE114" s="73"/>
      <c r="AF114" s="73"/>
      <c r="AG114" s="74"/>
      <c r="AH114" s="95" t="s">
        <v>116</v>
      </c>
      <c r="AI114" s="96"/>
      <c r="AJ114" s="96"/>
      <c r="AK114" s="96"/>
      <c r="AL114" s="97"/>
      <c r="AM114" s="72" t="s">
        <v>5</v>
      </c>
      <c r="AN114" s="73"/>
      <c r="AO114" s="73"/>
      <c r="AP114" s="73"/>
      <c r="AQ114" s="74"/>
      <c r="AR114" s="72" t="s">
        <v>4</v>
      </c>
      <c r="AS114" s="73"/>
      <c r="AT114" s="73"/>
      <c r="AU114" s="73"/>
      <c r="AV114" s="74"/>
      <c r="AW114" s="72" t="s">
        <v>3</v>
      </c>
      <c r="AX114" s="73"/>
      <c r="AY114" s="73"/>
      <c r="AZ114" s="73"/>
      <c r="BA114" s="74"/>
      <c r="BB114" s="66" t="s">
        <v>116</v>
      </c>
      <c r="BC114" s="66"/>
      <c r="BD114" s="66"/>
      <c r="BE114" s="66"/>
      <c r="BF114" s="66"/>
      <c r="BG114" s="72" t="s">
        <v>96</v>
      </c>
      <c r="BH114" s="73"/>
      <c r="BI114" s="73"/>
      <c r="BJ114" s="73"/>
      <c r="BK114" s="74"/>
    </row>
    <row r="115" spans="1:79" ht="15" customHeight="1" x14ac:dyDescent="0.2">
      <c r="A115" s="72">
        <v>1</v>
      </c>
      <c r="B115" s="73"/>
      <c r="C115" s="73"/>
      <c r="D115" s="73"/>
      <c r="E115" s="74"/>
      <c r="F115" s="72">
        <v>2</v>
      </c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4"/>
      <c r="X115" s="72">
        <v>3</v>
      </c>
      <c r="Y115" s="73"/>
      <c r="Z115" s="73"/>
      <c r="AA115" s="73"/>
      <c r="AB115" s="74"/>
      <c r="AC115" s="72">
        <v>4</v>
      </c>
      <c r="AD115" s="73"/>
      <c r="AE115" s="73"/>
      <c r="AF115" s="73"/>
      <c r="AG115" s="74"/>
      <c r="AH115" s="72">
        <v>5</v>
      </c>
      <c r="AI115" s="73"/>
      <c r="AJ115" s="73"/>
      <c r="AK115" s="73"/>
      <c r="AL115" s="74"/>
      <c r="AM115" s="72">
        <v>6</v>
      </c>
      <c r="AN115" s="73"/>
      <c r="AO115" s="73"/>
      <c r="AP115" s="73"/>
      <c r="AQ115" s="74"/>
      <c r="AR115" s="72">
        <v>7</v>
      </c>
      <c r="AS115" s="73"/>
      <c r="AT115" s="73"/>
      <c r="AU115" s="73"/>
      <c r="AV115" s="74"/>
      <c r="AW115" s="72">
        <v>8</v>
      </c>
      <c r="AX115" s="73"/>
      <c r="AY115" s="73"/>
      <c r="AZ115" s="73"/>
      <c r="BA115" s="74"/>
      <c r="BB115" s="72">
        <v>9</v>
      </c>
      <c r="BC115" s="73"/>
      <c r="BD115" s="73"/>
      <c r="BE115" s="73"/>
      <c r="BF115" s="74"/>
      <c r="BG115" s="72">
        <v>10</v>
      </c>
      <c r="BH115" s="73"/>
      <c r="BI115" s="73"/>
      <c r="BJ115" s="73"/>
      <c r="BK115" s="74"/>
    </row>
    <row r="116" spans="1:79" s="1" customFormat="1" ht="15" hidden="1" customHeight="1" x14ac:dyDescent="0.2">
      <c r="A116" s="86" t="s">
        <v>64</v>
      </c>
      <c r="B116" s="87"/>
      <c r="C116" s="87"/>
      <c r="D116" s="87"/>
      <c r="E116" s="88"/>
      <c r="F116" s="86" t="s">
        <v>57</v>
      </c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8"/>
      <c r="X116" s="86" t="s">
        <v>60</v>
      </c>
      <c r="Y116" s="87"/>
      <c r="Z116" s="87"/>
      <c r="AA116" s="87"/>
      <c r="AB116" s="88"/>
      <c r="AC116" s="86" t="s">
        <v>61</v>
      </c>
      <c r="AD116" s="87"/>
      <c r="AE116" s="87"/>
      <c r="AF116" s="87"/>
      <c r="AG116" s="88"/>
      <c r="AH116" s="86" t="s">
        <v>94</v>
      </c>
      <c r="AI116" s="87"/>
      <c r="AJ116" s="87"/>
      <c r="AK116" s="87"/>
      <c r="AL116" s="88"/>
      <c r="AM116" s="92" t="s">
        <v>170</v>
      </c>
      <c r="AN116" s="93"/>
      <c r="AO116" s="93"/>
      <c r="AP116" s="93"/>
      <c r="AQ116" s="94"/>
      <c r="AR116" s="86" t="s">
        <v>62</v>
      </c>
      <c r="AS116" s="87"/>
      <c r="AT116" s="87"/>
      <c r="AU116" s="87"/>
      <c r="AV116" s="88"/>
      <c r="AW116" s="86" t="s">
        <v>63</v>
      </c>
      <c r="AX116" s="87"/>
      <c r="AY116" s="87"/>
      <c r="AZ116" s="87"/>
      <c r="BA116" s="88"/>
      <c r="BB116" s="86" t="s">
        <v>95</v>
      </c>
      <c r="BC116" s="87"/>
      <c r="BD116" s="87"/>
      <c r="BE116" s="87"/>
      <c r="BF116" s="88"/>
      <c r="BG116" s="92" t="s">
        <v>170</v>
      </c>
      <c r="BH116" s="93"/>
      <c r="BI116" s="93"/>
      <c r="BJ116" s="93"/>
      <c r="BK116" s="94"/>
      <c r="CA116" t="s">
        <v>31</v>
      </c>
    </row>
    <row r="117" spans="1:79" s="5" customFormat="1" ht="12.75" customHeight="1" x14ac:dyDescent="0.2">
      <c r="A117" s="36"/>
      <c r="B117" s="37"/>
      <c r="C117" s="37"/>
      <c r="D117" s="37"/>
      <c r="E117" s="50"/>
      <c r="F117" s="36" t="s">
        <v>147</v>
      </c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50"/>
      <c r="X117" s="98"/>
      <c r="Y117" s="99"/>
      <c r="Z117" s="99"/>
      <c r="AA117" s="99"/>
      <c r="AB117" s="100"/>
      <c r="AC117" s="98"/>
      <c r="AD117" s="99"/>
      <c r="AE117" s="99"/>
      <c r="AF117" s="99"/>
      <c r="AG117" s="100"/>
      <c r="AH117" s="45"/>
      <c r="AI117" s="45"/>
      <c r="AJ117" s="45"/>
      <c r="AK117" s="45"/>
      <c r="AL117" s="45"/>
      <c r="AM117" s="45">
        <f>IF(ISNUMBER(X117),X117,0)+IF(ISNUMBER(AC117),AC117,0)</f>
        <v>0</v>
      </c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>
        <f>IF(ISNUMBER(AR117),AR117,0)+IF(ISNUMBER(AW117),AW117,0)</f>
        <v>0</v>
      </c>
      <c r="BH117" s="45"/>
      <c r="BI117" s="45"/>
      <c r="BJ117" s="45"/>
      <c r="BK117" s="45"/>
      <c r="CA117" s="5" t="s">
        <v>32</v>
      </c>
    </row>
    <row r="119" spans="1:79" ht="14.25" customHeight="1" x14ac:dyDescent="0.2">
      <c r="A119" s="60" t="s">
        <v>120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K119" s="60"/>
      <c r="BL119" s="60"/>
    </row>
    <row r="120" spans="1:79" ht="14.25" customHeight="1" x14ac:dyDescent="0.2">
      <c r="A120" s="60" t="s">
        <v>310</v>
      </c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</row>
    <row r="121" spans="1:79" ht="15" customHeight="1" x14ac:dyDescent="0.2">
      <c r="A121" s="75" t="s">
        <v>295</v>
      </c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75"/>
      <c r="AK121" s="75"/>
      <c r="AL121" s="75"/>
      <c r="AM121" s="75"/>
      <c r="AN121" s="75"/>
      <c r="AO121" s="75"/>
      <c r="AP121" s="75"/>
      <c r="AQ121" s="75"/>
      <c r="AR121" s="75"/>
      <c r="AS121" s="75"/>
      <c r="AT121" s="75"/>
      <c r="AU121" s="75"/>
      <c r="AV121" s="75"/>
      <c r="AW121" s="75"/>
      <c r="AX121" s="75"/>
      <c r="AY121" s="75"/>
      <c r="AZ121" s="75"/>
      <c r="BA121" s="75"/>
      <c r="BB121" s="75"/>
      <c r="BC121" s="75"/>
      <c r="BD121" s="75"/>
      <c r="BE121" s="75"/>
      <c r="BF121" s="75"/>
      <c r="BG121" s="75"/>
      <c r="BH121" s="75"/>
      <c r="BI121" s="75"/>
      <c r="BJ121" s="75"/>
      <c r="BK121" s="75"/>
      <c r="BL121" s="75"/>
      <c r="BM121" s="75"/>
      <c r="BN121" s="75"/>
      <c r="BO121" s="75"/>
      <c r="BP121" s="75"/>
      <c r="BQ121" s="75"/>
      <c r="BR121" s="75"/>
      <c r="BS121" s="75"/>
      <c r="BT121" s="75"/>
      <c r="BU121" s="75"/>
      <c r="BV121" s="75"/>
      <c r="BW121" s="75"/>
      <c r="BX121" s="75"/>
      <c r="BY121" s="75"/>
    </row>
    <row r="122" spans="1:79" ht="17.25" customHeight="1" x14ac:dyDescent="0.2">
      <c r="A122" s="76" t="s">
        <v>6</v>
      </c>
      <c r="B122" s="77"/>
      <c r="C122" s="77"/>
      <c r="D122" s="76" t="s">
        <v>121</v>
      </c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8"/>
      <c r="U122" s="72" t="s">
        <v>296</v>
      </c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4"/>
      <c r="AN122" s="72" t="s">
        <v>299</v>
      </c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4"/>
      <c r="BG122" s="39" t="s">
        <v>307</v>
      </c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</row>
    <row r="123" spans="1:79" ht="35.25" customHeight="1" x14ac:dyDescent="0.2">
      <c r="A123" s="79"/>
      <c r="B123" s="80"/>
      <c r="C123" s="80"/>
      <c r="D123" s="79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1"/>
      <c r="U123" s="72" t="s">
        <v>4</v>
      </c>
      <c r="V123" s="73"/>
      <c r="W123" s="73"/>
      <c r="X123" s="73"/>
      <c r="Y123" s="74"/>
      <c r="Z123" s="72" t="s">
        <v>3</v>
      </c>
      <c r="AA123" s="73"/>
      <c r="AB123" s="73"/>
      <c r="AC123" s="73"/>
      <c r="AD123" s="74"/>
      <c r="AE123" s="95" t="s">
        <v>116</v>
      </c>
      <c r="AF123" s="96"/>
      <c r="AG123" s="96"/>
      <c r="AH123" s="97"/>
      <c r="AI123" s="72" t="s">
        <v>5</v>
      </c>
      <c r="AJ123" s="73"/>
      <c r="AK123" s="73"/>
      <c r="AL123" s="73"/>
      <c r="AM123" s="74"/>
      <c r="AN123" s="72" t="s">
        <v>4</v>
      </c>
      <c r="AO123" s="73"/>
      <c r="AP123" s="73"/>
      <c r="AQ123" s="73"/>
      <c r="AR123" s="74"/>
      <c r="AS123" s="72" t="s">
        <v>3</v>
      </c>
      <c r="AT123" s="73"/>
      <c r="AU123" s="73"/>
      <c r="AV123" s="73"/>
      <c r="AW123" s="74"/>
      <c r="AX123" s="95" t="s">
        <v>116</v>
      </c>
      <c r="AY123" s="96"/>
      <c r="AZ123" s="96"/>
      <c r="BA123" s="97"/>
      <c r="BB123" s="72" t="s">
        <v>96</v>
      </c>
      <c r="BC123" s="73"/>
      <c r="BD123" s="73"/>
      <c r="BE123" s="73"/>
      <c r="BF123" s="74"/>
      <c r="BG123" s="72" t="s">
        <v>4</v>
      </c>
      <c r="BH123" s="73"/>
      <c r="BI123" s="73"/>
      <c r="BJ123" s="73"/>
      <c r="BK123" s="74"/>
      <c r="BL123" s="39" t="s">
        <v>3</v>
      </c>
      <c r="BM123" s="39"/>
      <c r="BN123" s="39"/>
      <c r="BO123" s="39"/>
      <c r="BP123" s="39"/>
      <c r="BQ123" s="66" t="s">
        <v>116</v>
      </c>
      <c r="BR123" s="66"/>
      <c r="BS123" s="66"/>
      <c r="BT123" s="66"/>
      <c r="BU123" s="72" t="s">
        <v>97</v>
      </c>
      <c r="BV123" s="73"/>
      <c r="BW123" s="73"/>
      <c r="BX123" s="73"/>
      <c r="BY123" s="74"/>
    </row>
    <row r="124" spans="1:79" ht="15" customHeight="1" x14ac:dyDescent="0.2">
      <c r="A124" s="72">
        <v>1</v>
      </c>
      <c r="B124" s="73"/>
      <c r="C124" s="73"/>
      <c r="D124" s="72">
        <v>2</v>
      </c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4"/>
      <c r="U124" s="72">
        <v>3</v>
      </c>
      <c r="V124" s="73"/>
      <c r="W124" s="73"/>
      <c r="X124" s="73"/>
      <c r="Y124" s="74"/>
      <c r="Z124" s="72">
        <v>4</v>
      </c>
      <c r="AA124" s="73"/>
      <c r="AB124" s="73"/>
      <c r="AC124" s="73"/>
      <c r="AD124" s="74"/>
      <c r="AE124" s="72">
        <v>5</v>
      </c>
      <c r="AF124" s="73"/>
      <c r="AG124" s="73"/>
      <c r="AH124" s="74"/>
      <c r="AI124" s="72">
        <v>6</v>
      </c>
      <c r="AJ124" s="73"/>
      <c r="AK124" s="73"/>
      <c r="AL124" s="73"/>
      <c r="AM124" s="74"/>
      <c r="AN124" s="72">
        <v>7</v>
      </c>
      <c r="AO124" s="73"/>
      <c r="AP124" s="73"/>
      <c r="AQ124" s="73"/>
      <c r="AR124" s="74"/>
      <c r="AS124" s="72">
        <v>8</v>
      </c>
      <c r="AT124" s="73"/>
      <c r="AU124" s="73"/>
      <c r="AV124" s="73"/>
      <c r="AW124" s="74"/>
      <c r="AX124" s="39">
        <v>9</v>
      </c>
      <c r="AY124" s="39"/>
      <c r="AZ124" s="39"/>
      <c r="BA124" s="39"/>
      <c r="BB124" s="72">
        <v>10</v>
      </c>
      <c r="BC124" s="73"/>
      <c r="BD124" s="73"/>
      <c r="BE124" s="73"/>
      <c r="BF124" s="74"/>
      <c r="BG124" s="72">
        <v>11</v>
      </c>
      <c r="BH124" s="73"/>
      <c r="BI124" s="73"/>
      <c r="BJ124" s="73"/>
      <c r="BK124" s="74"/>
      <c r="BL124" s="39">
        <v>12</v>
      </c>
      <c r="BM124" s="39"/>
      <c r="BN124" s="39"/>
      <c r="BO124" s="39"/>
      <c r="BP124" s="39"/>
      <c r="BQ124" s="72">
        <v>13</v>
      </c>
      <c r="BR124" s="73"/>
      <c r="BS124" s="73"/>
      <c r="BT124" s="74"/>
      <c r="BU124" s="72">
        <v>14</v>
      </c>
      <c r="BV124" s="73"/>
      <c r="BW124" s="73"/>
      <c r="BX124" s="73"/>
      <c r="BY124" s="74"/>
    </row>
    <row r="125" spans="1:79" s="1" customFormat="1" ht="14.25" hidden="1" customHeight="1" x14ac:dyDescent="0.2">
      <c r="A125" s="86" t="s">
        <v>69</v>
      </c>
      <c r="B125" s="87"/>
      <c r="C125" s="87"/>
      <c r="D125" s="86" t="s">
        <v>57</v>
      </c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8"/>
      <c r="U125" s="64" t="s">
        <v>65</v>
      </c>
      <c r="V125" s="64"/>
      <c r="W125" s="64"/>
      <c r="X125" s="64"/>
      <c r="Y125" s="64"/>
      <c r="Z125" s="64" t="s">
        <v>66</v>
      </c>
      <c r="AA125" s="64"/>
      <c r="AB125" s="64"/>
      <c r="AC125" s="64"/>
      <c r="AD125" s="64"/>
      <c r="AE125" s="64" t="s">
        <v>91</v>
      </c>
      <c r="AF125" s="64"/>
      <c r="AG125" s="64"/>
      <c r="AH125" s="64"/>
      <c r="AI125" s="82" t="s">
        <v>169</v>
      </c>
      <c r="AJ125" s="82"/>
      <c r="AK125" s="82"/>
      <c r="AL125" s="82"/>
      <c r="AM125" s="82"/>
      <c r="AN125" s="64" t="s">
        <v>67</v>
      </c>
      <c r="AO125" s="64"/>
      <c r="AP125" s="64"/>
      <c r="AQ125" s="64"/>
      <c r="AR125" s="64"/>
      <c r="AS125" s="64" t="s">
        <v>68</v>
      </c>
      <c r="AT125" s="64"/>
      <c r="AU125" s="64"/>
      <c r="AV125" s="64"/>
      <c r="AW125" s="64"/>
      <c r="AX125" s="64" t="s">
        <v>92</v>
      </c>
      <c r="AY125" s="64"/>
      <c r="AZ125" s="64"/>
      <c r="BA125" s="64"/>
      <c r="BB125" s="82" t="s">
        <v>169</v>
      </c>
      <c r="BC125" s="82"/>
      <c r="BD125" s="82"/>
      <c r="BE125" s="82"/>
      <c r="BF125" s="82"/>
      <c r="BG125" s="64" t="s">
        <v>58</v>
      </c>
      <c r="BH125" s="64"/>
      <c r="BI125" s="64"/>
      <c r="BJ125" s="64"/>
      <c r="BK125" s="64"/>
      <c r="BL125" s="64" t="s">
        <v>59</v>
      </c>
      <c r="BM125" s="64"/>
      <c r="BN125" s="64"/>
      <c r="BO125" s="64"/>
      <c r="BP125" s="64"/>
      <c r="BQ125" s="64" t="s">
        <v>93</v>
      </c>
      <c r="BR125" s="64"/>
      <c r="BS125" s="64"/>
      <c r="BT125" s="64"/>
      <c r="BU125" s="82" t="s">
        <v>169</v>
      </c>
      <c r="BV125" s="82"/>
      <c r="BW125" s="82"/>
      <c r="BX125" s="82"/>
      <c r="BY125" s="82"/>
      <c r="CA125" t="s">
        <v>33</v>
      </c>
    </row>
    <row r="126" spans="1:79" s="4" customFormat="1" ht="25.5" customHeight="1" x14ac:dyDescent="0.2">
      <c r="A126" s="34">
        <v>1</v>
      </c>
      <c r="B126" s="35"/>
      <c r="C126" s="35"/>
      <c r="D126" s="29" t="s">
        <v>196</v>
      </c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1"/>
      <c r="U126" s="46">
        <v>89476</v>
      </c>
      <c r="V126" s="47"/>
      <c r="W126" s="47"/>
      <c r="X126" s="47"/>
      <c r="Y126" s="48"/>
      <c r="Z126" s="46">
        <v>0</v>
      </c>
      <c r="AA126" s="47"/>
      <c r="AB126" s="47"/>
      <c r="AC126" s="47"/>
      <c r="AD126" s="48"/>
      <c r="AE126" s="46">
        <v>0</v>
      </c>
      <c r="AF126" s="47"/>
      <c r="AG126" s="47"/>
      <c r="AH126" s="48"/>
      <c r="AI126" s="46">
        <f t="shared" ref="AI126:AI157" si="10">IF(ISNUMBER(U126),U126,0)+IF(ISNUMBER(Z126),Z126,0)</f>
        <v>89476</v>
      </c>
      <c r="AJ126" s="47"/>
      <c r="AK126" s="47"/>
      <c r="AL126" s="47"/>
      <c r="AM126" s="48"/>
      <c r="AN126" s="46">
        <v>98400</v>
      </c>
      <c r="AO126" s="47"/>
      <c r="AP126" s="47"/>
      <c r="AQ126" s="47"/>
      <c r="AR126" s="48"/>
      <c r="AS126" s="46">
        <v>0</v>
      </c>
      <c r="AT126" s="47"/>
      <c r="AU126" s="47"/>
      <c r="AV126" s="47"/>
      <c r="AW126" s="48"/>
      <c r="AX126" s="46">
        <v>0</v>
      </c>
      <c r="AY126" s="47"/>
      <c r="AZ126" s="47"/>
      <c r="BA126" s="48"/>
      <c r="BB126" s="46">
        <f t="shared" ref="BB126:BB157" si="11">IF(ISNUMBER(AN126),AN126,0)+IF(ISNUMBER(AS126),AS126,0)</f>
        <v>98400</v>
      </c>
      <c r="BC126" s="47"/>
      <c r="BD126" s="47"/>
      <c r="BE126" s="47"/>
      <c r="BF126" s="48"/>
      <c r="BG126" s="46">
        <v>98400</v>
      </c>
      <c r="BH126" s="47"/>
      <c r="BI126" s="47"/>
      <c r="BJ126" s="47"/>
      <c r="BK126" s="48"/>
      <c r="BL126" s="46">
        <v>0</v>
      </c>
      <c r="BM126" s="47"/>
      <c r="BN126" s="47"/>
      <c r="BO126" s="47"/>
      <c r="BP126" s="48"/>
      <c r="BQ126" s="46">
        <v>0</v>
      </c>
      <c r="BR126" s="47"/>
      <c r="BS126" s="47"/>
      <c r="BT126" s="48"/>
      <c r="BU126" s="46">
        <f t="shared" ref="BU126:BU157" si="12">IF(ISNUMBER(BG126),BG126,0)+IF(ISNUMBER(BL126),BL126,0)</f>
        <v>98400</v>
      </c>
      <c r="BV126" s="47"/>
      <c r="BW126" s="47"/>
      <c r="BX126" s="47"/>
      <c r="BY126" s="48"/>
      <c r="CA126" s="4" t="s">
        <v>34</v>
      </c>
    </row>
    <row r="127" spans="1:79" s="4" customFormat="1" ht="12.75" customHeight="1" x14ac:dyDescent="0.2">
      <c r="A127" s="34">
        <v>2</v>
      </c>
      <c r="B127" s="35"/>
      <c r="C127" s="35"/>
      <c r="D127" s="29" t="s">
        <v>181</v>
      </c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1"/>
      <c r="U127" s="46">
        <v>17478267</v>
      </c>
      <c r="V127" s="47"/>
      <c r="W127" s="47"/>
      <c r="X127" s="47"/>
      <c r="Y127" s="48"/>
      <c r="Z127" s="46">
        <v>0</v>
      </c>
      <c r="AA127" s="47"/>
      <c r="AB127" s="47"/>
      <c r="AC127" s="47"/>
      <c r="AD127" s="48"/>
      <c r="AE127" s="46">
        <v>0</v>
      </c>
      <c r="AF127" s="47"/>
      <c r="AG127" s="47"/>
      <c r="AH127" s="48"/>
      <c r="AI127" s="46">
        <f t="shared" si="10"/>
        <v>17478267</v>
      </c>
      <c r="AJ127" s="47"/>
      <c r="AK127" s="47"/>
      <c r="AL127" s="47"/>
      <c r="AM127" s="48"/>
      <c r="AN127" s="46">
        <v>22832909</v>
      </c>
      <c r="AO127" s="47"/>
      <c r="AP127" s="47"/>
      <c r="AQ127" s="47"/>
      <c r="AR127" s="48"/>
      <c r="AS127" s="46">
        <v>0</v>
      </c>
      <c r="AT127" s="47"/>
      <c r="AU127" s="47"/>
      <c r="AV127" s="47"/>
      <c r="AW127" s="48"/>
      <c r="AX127" s="46">
        <v>0</v>
      </c>
      <c r="AY127" s="47"/>
      <c r="AZ127" s="47"/>
      <c r="BA127" s="48"/>
      <c r="BB127" s="46">
        <f t="shared" si="11"/>
        <v>22832909</v>
      </c>
      <c r="BC127" s="47"/>
      <c r="BD127" s="47"/>
      <c r="BE127" s="47"/>
      <c r="BF127" s="48"/>
      <c r="BG127" s="46">
        <v>26161670</v>
      </c>
      <c r="BH127" s="47"/>
      <c r="BI127" s="47"/>
      <c r="BJ127" s="47"/>
      <c r="BK127" s="48"/>
      <c r="BL127" s="46">
        <v>0</v>
      </c>
      <c r="BM127" s="47"/>
      <c r="BN127" s="47"/>
      <c r="BO127" s="47"/>
      <c r="BP127" s="48"/>
      <c r="BQ127" s="46">
        <v>0</v>
      </c>
      <c r="BR127" s="47"/>
      <c r="BS127" s="47"/>
      <c r="BT127" s="48"/>
      <c r="BU127" s="46">
        <f t="shared" si="12"/>
        <v>26161670</v>
      </c>
      <c r="BV127" s="47"/>
      <c r="BW127" s="47"/>
      <c r="BX127" s="47"/>
      <c r="BY127" s="48"/>
    </row>
    <row r="128" spans="1:79" s="4" customFormat="1" ht="12.75" customHeight="1" x14ac:dyDescent="0.2">
      <c r="A128" s="34">
        <v>3</v>
      </c>
      <c r="B128" s="35"/>
      <c r="C128" s="35"/>
      <c r="D128" s="29" t="s">
        <v>197</v>
      </c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1"/>
      <c r="U128" s="46">
        <v>50000</v>
      </c>
      <c r="V128" s="47"/>
      <c r="W128" s="47"/>
      <c r="X128" s="47"/>
      <c r="Y128" s="48"/>
      <c r="Z128" s="46">
        <v>0</v>
      </c>
      <c r="AA128" s="47"/>
      <c r="AB128" s="47"/>
      <c r="AC128" s="47"/>
      <c r="AD128" s="48"/>
      <c r="AE128" s="46">
        <v>0</v>
      </c>
      <c r="AF128" s="47"/>
      <c r="AG128" s="47"/>
      <c r="AH128" s="48"/>
      <c r="AI128" s="46">
        <f t="shared" si="10"/>
        <v>50000</v>
      </c>
      <c r="AJ128" s="47"/>
      <c r="AK128" s="47"/>
      <c r="AL128" s="47"/>
      <c r="AM128" s="48"/>
      <c r="AN128" s="46">
        <v>12364</v>
      </c>
      <c r="AO128" s="47"/>
      <c r="AP128" s="47"/>
      <c r="AQ128" s="47"/>
      <c r="AR128" s="48"/>
      <c r="AS128" s="46">
        <v>0</v>
      </c>
      <c r="AT128" s="47"/>
      <c r="AU128" s="47"/>
      <c r="AV128" s="47"/>
      <c r="AW128" s="48"/>
      <c r="AX128" s="46">
        <v>0</v>
      </c>
      <c r="AY128" s="47"/>
      <c r="AZ128" s="47"/>
      <c r="BA128" s="48"/>
      <c r="BB128" s="46">
        <f t="shared" si="11"/>
        <v>12364</v>
      </c>
      <c r="BC128" s="47"/>
      <c r="BD128" s="47"/>
      <c r="BE128" s="47"/>
      <c r="BF128" s="48"/>
      <c r="BG128" s="46">
        <v>10000</v>
      </c>
      <c r="BH128" s="47"/>
      <c r="BI128" s="47"/>
      <c r="BJ128" s="47"/>
      <c r="BK128" s="48"/>
      <c r="BL128" s="46">
        <v>0</v>
      </c>
      <c r="BM128" s="47"/>
      <c r="BN128" s="47"/>
      <c r="BO128" s="47"/>
      <c r="BP128" s="48"/>
      <c r="BQ128" s="46">
        <v>0</v>
      </c>
      <c r="BR128" s="47"/>
      <c r="BS128" s="47"/>
      <c r="BT128" s="48"/>
      <c r="BU128" s="46">
        <f t="shared" si="12"/>
        <v>10000</v>
      </c>
      <c r="BV128" s="47"/>
      <c r="BW128" s="47"/>
      <c r="BX128" s="47"/>
      <c r="BY128" s="48"/>
    </row>
    <row r="129" spans="1:77" s="4" customFormat="1" ht="12.75" customHeight="1" x14ac:dyDescent="0.2">
      <c r="A129" s="34">
        <v>4</v>
      </c>
      <c r="B129" s="35"/>
      <c r="C129" s="35"/>
      <c r="D129" s="29" t="s">
        <v>182</v>
      </c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1"/>
      <c r="U129" s="46">
        <v>3805939</v>
      </c>
      <c r="V129" s="47"/>
      <c r="W129" s="47"/>
      <c r="X129" s="47"/>
      <c r="Y129" s="48"/>
      <c r="Z129" s="46">
        <v>0</v>
      </c>
      <c r="AA129" s="47"/>
      <c r="AB129" s="47"/>
      <c r="AC129" s="47"/>
      <c r="AD129" s="48"/>
      <c r="AE129" s="46">
        <v>0</v>
      </c>
      <c r="AF129" s="47"/>
      <c r="AG129" s="47"/>
      <c r="AH129" s="48"/>
      <c r="AI129" s="46">
        <f t="shared" si="10"/>
        <v>3805939</v>
      </c>
      <c r="AJ129" s="47"/>
      <c r="AK129" s="47"/>
      <c r="AL129" s="47"/>
      <c r="AM129" s="48"/>
      <c r="AN129" s="46">
        <v>5023240</v>
      </c>
      <c r="AO129" s="47"/>
      <c r="AP129" s="47"/>
      <c r="AQ129" s="47"/>
      <c r="AR129" s="48"/>
      <c r="AS129" s="46">
        <v>0</v>
      </c>
      <c r="AT129" s="47"/>
      <c r="AU129" s="47"/>
      <c r="AV129" s="47"/>
      <c r="AW129" s="48"/>
      <c r="AX129" s="46">
        <v>0</v>
      </c>
      <c r="AY129" s="47"/>
      <c r="AZ129" s="47"/>
      <c r="BA129" s="48"/>
      <c r="BB129" s="46">
        <f t="shared" si="11"/>
        <v>5023240</v>
      </c>
      <c r="BC129" s="47"/>
      <c r="BD129" s="47"/>
      <c r="BE129" s="47"/>
      <c r="BF129" s="48"/>
      <c r="BG129" s="46">
        <v>5755568</v>
      </c>
      <c r="BH129" s="47"/>
      <c r="BI129" s="47"/>
      <c r="BJ129" s="47"/>
      <c r="BK129" s="48"/>
      <c r="BL129" s="46">
        <v>0</v>
      </c>
      <c r="BM129" s="47"/>
      <c r="BN129" s="47"/>
      <c r="BO129" s="47"/>
      <c r="BP129" s="48"/>
      <c r="BQ129" s="46">
        <v>0</v>
      </c>
      <c r="BR129" s="47"/>
      <c r="BS129" s="47"/>
      <c r="BT129" s="48"/>
      <c r="BU129" s="46">
        <f t="shared" si="12"/>
        <v>5755568</v>
      </c>
      <c r="BV129" s="47"/>
      <c r="BW129" s="47"/>
      <c r="BX129" s="47"/>
      <c r="BY129" s="48"/>
    </row>
    <row r="130" spans="1:77" s="4" customFormat="1" ht="12.75" customHeight="1" x14ac:dyDescent="0.2">
      <c r="A130" s="34">
        <v>5</v>
      </c>
      <c r="B130" s="35"/>
      <c r="C130" s="35"/>
      <c r="D130" s="29" t="s">
        <v>198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1"/>
      <c r="U130" s="46">
        <v>15781</v>
      </c>
      <c r="V130" s="47"/>
      <c r="W130" s="47"/>
      <c r="X130" s="47"/>
      <c r="Y130" s="48"/>
      <c r="Z130" s="46">
        <v>0</v>
      </c>
      <c r="AA130" s="47"/>
      <c r="AB130" s="47"/>
      <c r="AC130" s="47"/>
      <c r="AD130" s="48"/>
      <c r="AE130" s="46">
        <v>0</v>
      </c>
      <c r="AF130" s="47"/>
      <c r="AG130" s="47"/>
      <c r="AH130" s="48"/>
      <c r="AI130" s="46">
        <f t="shared" si="10"/>
        <v>15781</v>
      </c>
      <c r="AJ130" s="47"/>
      <c r="AK130" s="47"/>
      <c r="AL130" s="47"/>
      <c r="AM130" s="48"/>
      <c r="AN130" s="46">
        <v>70800</v>
      </c>
      <c r="AO130" s="47"/>
      <c r="AP130" s="47"/>
      <c r="AQ130" s="47"/>
      <c r="AR130" s="48"/>
      <c r="AS130" s="46">
        <v>0</v>
      </c>
      <c r="AT130" s="47"/>
      <c r="AU130" s="47"/>
      <c r="AV130" s="47"/>
      <c r="AW130" s="48"/>
      <c r="AX130" s="46">
        <v>0</v>
      </c>
      <c r="AY130" s="47"/>
      <c r="AZ130" s="47"/>
      <c r="BA130" s="48"/>
      <c r="BB130" s="46">
        <f t="shared" si="11"/>
        <v>70800</v>
      </c>
      <c r="BC130" s="47"/>
      <c r="BD130" s="47"/>
      <c r="BE130" s="47"/>
      <c r="BF130" s="48"/>
      <c r="BG130" s="46">
        <v>30000</v>
      </c>
      <c r="BH130" s="47"/>
      <c r="BI130" s="47"/>
      <c r="BJ130" s="47"/>
      <c r="BK130" s="48"/>
      <c r="BL130" s="46">
        <v>0</v>
      </c>
      <c r="BM130" s="47"/>
      <c r="BN130" s="47"/>
      <c r="BO130" s="47"/>
      <c r="BP130" s="48"/>
      <c r="BQ130" s="46">
        <v>0</v>
      </c>
      <c r="BR130" s="47"/>
      <c r="BS130" s="47"/>
      <c r="BT130" s="48"/>
      <c r="BU130" s="46">
        <f t="shared" si="12"/>
        <v>30000</v>
      </c>
      <c r="BV130" s="47"/>
      <c r="BW130" s="47"/>
      <c r="BX130" s="47"/>
      <c r="BY130" s="48"/>
    </row>
    <row r="131" spans="1:77" s="4" customFormat="1" ht="25.5" customHeight="1" x14ac:dyDescent="0.2">
      <c r="A131" s="34">
        <v>6</v>
      </c>
      <c r="B131" s="35"/>
      <c r="C131" s="35"/>
      <c r="D131" s="29" t="s">
        <v>199</v>
      </c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1"/>
      <c r="U131" s="46">
        <v>419940</v>
      </c>
      <c r="V131" s="47"/>
      <c r="W131" s="47"/>
      <c r="X131" s="47"/>
      <c r="Y131" s="48"/>
      <c r="Z131" s="46">
        <v>0</v>
      </c>
      <c r="AA131" s="47"/>
      <c r="AB131" s="47"/>
      <c r="AC131" s="47"/>
      <c r="AD131" s="48"/>
      <c r="AE131" s="46">
        <v>0</v>
      </c>
      <c r="AF131" s="47"/>
      <c r="AG131" s="47"/>
      <c r="AH131" s="48"/>
      <c r="AI131" s="46">
        <f t="shared" si="10"/>
        <v>419940</v>
      </c>
      <c r="AJ131" s="47"/>
      <c r="AK131" s="47"/>
      <c r="AL131" s="47"/>
      <c r="AM131" s="48"/>
      <c r="AN131" s="46">
        <v>99864</v>
      </c>
      <c r="AO131" s="47"/>
      <c r="AP131" s="47"/>
      <c r="AQ131" s="47"/>
      <c r="AR131" s="48"/>
      <c r="AS131" s="46">
        <v>0</v>
      </c>
      <c r="AT131" s="47"/>
      <c r="AU131" s="47"/>
      <c r="AV131" s="47"/>
      <c r="AW131" s="48"/>
      <c r="AX131" s="46">
        <v>0</v>
      </c>
      <c r="AY131" s="47"/>
      <c r="AZ131" s="47"/>
      <c r="BA131" s="48"/>
      <c r="BB131" s="46">
        <f t="shared" si="11"/>
        <v>99864</v>
      </c>
      <c r="BC131" s="47"/>
      <c r="BD131" s="47"/>
      <c r="BE131" s="47"/>
      <c r="BF131" s="48"/>
      <c r="BG131" s="46">
        <v>445034</v>
      </c>
      <c r="BH131" s="47"/>
      <c r="BI131" s="47"/>
      <c r="BJ131" s="47"/>
      <c r="BK131" s="48"/>
      <c r="BL131" s="46">
        <v>0</v>
      </c>
      <c r="BM131" s="47"/>
      <c r="BN131" s="47"/>
      <c r="BO131" s="47"/>
      <c r="BP131" s="48"/>
      <c r="BQ131" s="46">
        <v>0</v>
      </c>
      <c r="BR131" s="47"/>
      <c r="BS131" s="47"/>
      <c r="BT131" s="48"/>
      <c r="BU131" s="46">
        <f t="shared" si="12"/>
        <v>445034</v>
      </c>
      <c r="BV131" s="47"/>
      <c r="BW131" s="47"/>
      <c r="BX131" s="47"/>
      <c r="BY131" s="48"/>
    </row>
    <row r="132" spans="1:77" s="4" customFormat="1" ht="12.75" customHeight="1" x14ac:dyDescent="0.2">
      <c r="A132" s="34">
        <v>7</v>
      </c>
      <c r="B132" s="35"/>
      <c r="C132" s="35"/>
      <c r="D132" s="29" t="s">
        <v>189</v>
      </c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1"/>
      <c r="U132" s="46">
        <v>929449</v>
      </c>
      <c r="V132" s="47"/>
      <c r="W132" s="47"/>
      <c r="X132" s="47"/>
      <c r="Y132" s="48"/>
      <c r="Z132" s="46">
        <v>0</v>
      </c>
      <c r="AA132" s="47"/>
      <c r="AB132" s="47"/>
      <c r="AC132" s="47"/>
      <c r="AD132" s="48"/>
      <c r="AE132" s="46">
        <v>0</v>
      </c>
      <c r="AF132" s="47"/>
      <c r="AG132" s="47"/>
      <c r="AH132" s="48"/>
      <c r="AI132" s="46">
        <f t="shared" si="10"/>
        <v>929449</v>
      </c>
      <c r="AJ132" s="47"/>
      <c r="AK132" s="47"/>
      <c r="AL132" s="47"/>
      <c r="AM132" s="48"/>
      <c r="AN132" s="46">
        <v>1734400</v>
      </c>
      <c r="AO132" s="47"/>
      <c r="AP132" s="47"/>
      <c r="AQ132" s="47"/>
      <c r="AR132" s="48"/>
      <c r="AS132" s="46">
        <v>0</v>
      </c>
      <c r="AT132" s="47"/>
      <c r="AU132" s="47"/>
      <c r="AV132" s="47"/>
      <c r="AW132" s="48"/>
      <c r="AX132" s="46">
        <v>0</v>
      </c>
      <c r="AY132" s="47"/>
      <c r="AZ132" s="47"/>
      <c r="BA132" s="48"/>
      <c r="BB132" s="46">
        <f t="shared" si="11"/>
        <v>1734400</v>
      </c>
      <c r="BC132" s="47"/>
      <c r="BD132" s="47"/>
      <c r="BE132" s="47"/>
      <c r="BF132" s="48"/>
      <c r="BG132" s="46">
        <v>2031692</v>
      </c>
      <c r="BH132" s="47"/>
      <c r="BI132" s="47"/>
      <c r="BJ132" s="47"/>
      <c r="BK132" s="48"/>
      <c r="BL132" s="46">
        <v>0</v>
      </c>
      <c r="BM132" s="47"/>
      <c r="BN132" s="47"/>
      <c r="BO132" s="47"/>
      <c r="BP132" s="48"/>
      <c r="BQ132" s="46">
        <v>0</v>
      </c>
      <c r="BR132" s="47"/>
      <c r="BS132" s="47"/>
      <c r="BT132" s="48"/>
      <c r="BU132" s="46">
        <f t="shared" si="12"/>
        <v>2031692</v>
      </c>
      <c r="BV132" s="47"/>
      <c r="BW132" s="47"/>
      <c r="BX132" s="47"/>
      <c r="BY132" s="48"/>
    </row>
    <row r="133" spans="1:77" s="4" customFormat="1" ht="12.75" customHeight="1" x14ac:dyDescent="0.2">
      <c r="A133" s="34">
        <v>8</v>
      </c>
      <c r="B133" s="35"/>
      <c r="C133" s="35"/>
      <c r="D133" s="29" t="s">
        <v>200</v>
      </c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1"/>
      <c r="U133" s="46">
        <v>39696</v>
      </c>
      <c r="V133" s="47"/>
      <c r="W133" s="47"/>
      <c r="X133" s="47"/>
      <c r="Y133" s="48"/>
      <c r="Z133" s="46">
        <v>0</v>
      </c>
      <c r="AA133" s="47"/>
      <c r="AB133" s="47"/>
      <c r="AC133" s="47"/>
      <c r="AD133" s="48"/>
      <c r="AE133" s="46">
        <v>0</v>
      </c>
      <c r="AF133" s="47"/>
      <c r="AG133" s="47"/>
      <c r="AH133" s="48"/>
      <c r="AI133" s="46">
        <f t="shared" si="10"/>
        <v>39696</v>
      </c>
      <c r="AJ133" s="47"/>
      <c r="AK133" s="47"/>
      <c r="AL133" s="47"/>
      <c r="AM133" s="48"/>
      <c r="AN133" s="46">
        <v>23000</v>
      </c>
      <c r="AO133" s="47"/>
      <c r="AP133" s="47"/>
      <c r="AQ133" s="47"/>
      <c r="AR133" s="48"/>
      <c r="AS133" s="46">
        <v>0</v>
      </c>
      <c r="AT133" s="47"/>
      <c r="AU133" s="47"/>
      <c r="AV133" s="47"/>
      <c r="AW133" s="48"/>
      <c r="AX133" s="46">
        <v>0</v>
      </c>
      <c r="AY133" s="47"/>
      <c r="AZ133" s="47"/>
      <c r="BA133" s="48"/>
      <c r="BB133" s="46">
        <f t="shared" si="11"/>
        <v>23000</v>
      </c>
      <c r="BC133" s="47"/>
      <c r="BD133" s="47"/>
      <c r="BE133" s="47"/>
      <c r="BF133" s="48"/>
      <c r="BG133" s="46">
        <v>24000</v>
      </c>
      <c r="BH133" s="47"/>
      <c r="BI133" s="47"/>
      <c r="BJ133" s="47"/>
      <c r="BK133" s="48"/>
      <c r="BL133" s="46">
        <v>0</v>
      </c>
      <c r="BM133" s="47"/>
      <c r="BN133" s="47"/>
      <c r="BO133" s="47"/>
      <c r="BP133" s="48"/>
      <c r="BQ133" s="46">
        <v>0</v>
      </c>
      <c r="BR133" s="47"/>
      <c r="BS133" s="47"/>
      <c r="BT133" s="48"/>
      <c r="BU133" s="46">
        <f t="shared" si="12"/>
        <v>24000</v>
      </c>
      <c r="BV133" s="47"/>
      <c r="BW133" s="47"/>
      <c r="BX133" s="47"/>
      <c r="BY133" s="48"/>
    </row>
    <row r="134" spans="1:77" s="4" customFormat="1" ht="38.25" customHeight="1" x14ac:dyDescent="0.2">
      <c r="A134" s="34">
        <v>9</v>
      </c>
      <c r="B134" s="35"/>
      <c r="C134" s="35"/>
      <c r="D134" s="29" t="s">
        <v>201</v>
      </c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1"/>
      <c r="U134" s="46">
        <v>13680</v>
      </c>
      <c r="V134" s="47"/>
      <c r="W134" s="47"/>
      <c r="X134" s="47"/>
      <c r="Y134" s="48"/>
      <c r="Z134" s="46">
        <v>0</v>
      </c>
      <c r="AA134" s="47"/>
      <c r="AB134" s="47"/>
      <c r="AC134" s="47"/>
      <c r="AD134" s="48"/>
      <c r="AE134" s="46">
        <v>0</v>
      </c>
      <c r="AF134" s="47"/>
      <c r="AG134" s="47"/>
      <c r="AH134" s="48"/>
      <c r="AI134" s="46">
        <f t="shared" si="10"/>
        <v>13680</v>
      </c>
      <c r="AJ134" s="47"/>
      <c r="AK134" s="47"/>
      <c r="AL134" s="47"/>
      <c r="AM134" s="48"/>
      <c r="AN134" s="46">
        <v>16000</v>
      </c>
      <c r="AO134" s="47"/>
      <c r="AP134" s="47"/>
      <c r="AQ134" s="47"/>
      <c r="AR134" s="48"/>
      <c r="AS134" s="46">
        <v>0</v>
      </c>
      <c r="AT134" s="47"/>
      <c r="AU134" s="47"/>
      <c r="AV134" s="47"/>
      <c r="AW134" s="48"/>
      <c r="AX134" s="46">
        <v>0</v>
      </c>
      <c r="AY134" s="47"/>
      <c r="AZ134" s="47"/>
      <c r="BA134" s="48"/>
      <c r="BB134" s="46">
        <f t="shared" si="11"/>
        <v>16000</v>
      </c>
      <c r="BC134" s="47"/>
      <c r="BD134" s="47"/>
      <c r="BE134" s="47"/>
      <c r="BF134" s="48"/>
      <c r="BG134" s="46">
        <v>20000</v>
      </c>
      <c r="BH134" s="47"/>
      <c r="BI134" s="47"/>
      <c r="BJ134" s="47"/>
      <c r="BK134" s="48"/>
      <c r="BL134" s="46">
        <v>0</v>
      </c>
      <c r="BM134" s="47"/>
      <c r="BN134" s="47"/>
      <c r="BO134" s="47"/>
      <c r="BP134" s="48"/>
      <c r="BQ134" s="46">
        <v>0</v>
      </c>
      <c r="BR134" s="47"/>
      <c r="BS134" s="47"/>
      <c r="BT134" s="48"/>
      <c r="BU134" s="46">
        <f t="shared" si="12"/>
        <v>20000</v>
      </c>
      <c r="BV134" s="47"/>
      <c r="BW134" s="47"/>
      <c r="BX134" s="47"/>
      <c r="BY134" s="48"/>
    </row>
    <row r="135" spans="1:77" s="4" customFormat="1" ht="12.75" customHeight="1" x14ac:dyDescent="0.2">
      <c r="A135" s="34">
        <v>10</v>
      </c>
      <c r="B135" s="35"/>
      <c r="C135" s="35"/>
      <c r="D135" s="29" t="s">
        <v>202</v>
      </c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1"/>
      <c r="U135" s="46">
        <v>93602</v>
      </c>
      <c r="V135" s="47"/>
      <c r="W135" s="47"/>
      <c r="X135" s="47"/>
      <c r="Y135" s="48"/>
      <c r="Z135" s="46">
        <v>0</v>
      </c>
      <c r="AA135" s="47"/>
      <c r="AB135" s="47"/>
      <c r="AC135" s="47"/>
      <c r="AD135" s="48"/>
      <c r="AE135" s="46">
        <v>0</v>
      </c>
      <c r="AF135" s="47"/>
      <c r="AG135" s="47"/>
      <c r="AH135" s="48"/>
      <c r="AI135" s="46">
        <f t="shared" si="10"/>
        <v>93602</v>
      </c>
      <c r="AJ135" s="47"/>
      <c r="AK135" s="47"/>
      <c r="AL135" s="47"/>
      <c r="AM135" s="48"/>
      <c r="AN135" s="46">
        <v>166867</v>
      </c>
      <c r="AO135" s="47"/>
      <c r="AP135" s="47"/>
      <c r="AQ135" s="47"/>
      <c r="AR135" s="48"/>
      <c r="AS135" s="46">
        <v>0</v>
      </c>
      <c r="AT135" s="47"/>
      <c r="AU135" s="47"/>
      <c r="AV135" s="47"/>
      <c r="AW135" s="48"/>
      <c r="AX135" s="46">
        <v>0</v>
      </c>
      <c r="AY135" s="47"/>
      <c r="AZ135" s="47"/>
      <c r="BA135" s="48"/>
      <c r="BB135" s="46">
        <f t="shared" si="11"/>
        <v>166867</v>
      </c>
      <c r="BC135" s="47"/>
      <c r="BD135" s="47"/>
      <c r="BE135" s="47"/>
      <c r="BF135" s="48"/>
      <c r="BG135" s="46">
        <v>88980</v>
      </c>
      <c r="BH135" s="47"/>
      <c r="BI135" s="47"/>
      <c r="BJ135" s="47"/>
      <c r="BK135" s="48"/>
      <c r="BL135" s="46">
        <v>0</v>
      </c>
      <c r="BM135" s="47"/>
      <c r="BN135" s="47"/>
      <c r="BO135" s="47"/>
      <c r="BP135" s="48"/>
      <c r="BQ135" s="46">
        <v>0</v>
      </c>
      <c r="BR135" s="47"/>
      <c r="BS135" s="47"/>
      <c r="BT135" s="48"/>
      <c r="BU135" s="46">
        <f t="shared" si="12"/>
        <v>88980</v>
      </c>
      <c r="BV135" s="47"/>
      <c r="BW135" s="47"/>
      <c r="BX135" s="47"/>
      <c r="BY135" s="48"/>
    </row>
    <row r="136" spans="1:77" s="4" customFormat="1" ht="12.75" customHeight="1" x14ac:dyDescent="0.2">
      <c r="A136" s="34">
        <v>11</v>
      </c>
      <c r="B136" s="35"/>
      <c r="C136" s="35"/>
      <c r="D136" s="29" t="s">
        <v>203</v>
      </c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1"/>
      <c r="U136" s="46">
        <v>49802</v>
      </c>
      <c r="V136" s="47"/>
      <c r="W136" s="47"/>
      <c r="X136" s="47"/>
      <c r="Y136" s="48"/>
      <c r="Z136" s="46">
        <v>0</v>
      </c>
      <c r="AA136" s="47"/>
      <c r="AB136" s="47"/>
      <c r="AC136" s="47"/>
      <c r="AD136" s="48"/>
      <c r="AE136" s="46">
        <v>0</v>
      </c>
      <c r="AF136" s="47"/>
      <c r="AG136" s="47"/>
      <c r="AH136" s="48"/>
      <c r="AI136" s="46">
        <f t="shared" si="10"/>
        <v>49802</v>
      </c>
      <c r="AJ136" s="47"/>
      <c r="AK136" s="47"/>
      <c r="AL136" s="47"/>
      <c r="AM136" s="48"/>
      <c r="AN136" s="46">
        <v>6150</v>
      </c>
      <c r="AO136" s="47"/>
      <c r="AP136" s="47"/>
      <c r="AQ136" s="47"/>
      <c r="AR136" s="48"/>
      <c r="AS136" s="46">
        <v>0</v>
      </c>
      <c r="AT136" s="47"/>
      <c r="AU136" s="47"/>
      <c r="AV136" s="47"/>
      <c r="AW136" s="48"/>
      <c r="AX136" s="46">
        <v>0</v>
      </c>
      <c r="AY136" s="47"/>
      <c r="AZ136" s="47"/>
      <c r="BA136" s="48"/>
      <c r="BB136" s="46">
        <f t="shared" si="11"/>
        <v>6150</v>
      </c>
      <c r="BC136" s="47"/>
      <c r="BD136" s="47"/>
      <c r="BE136" s="47"/>
      <c r="BF136" s="48"/>
      <c r="BG136" s="46">
        <v>75000</v>
      </c>
      <c r="BH136" s="47"/>
      <c r="BI136" s="47"/>
      <c r="BJ136" s="47"/>
      <c r="BK136" s="48"/>
      <c r="BL136" s="46">
        <v>0</v>
      </c>
      <c r="BM136" s="47"/>
      <c r="BN136" s="47"/>
      <c r="BO136" s="47"/>
      <c r="BP136" s="48"/>
      <c r="BQ136" s="46">
        <v>0</v>
      </c>
      <c r="BR136" s="47"/>
      <c r="BS136" s="47"/>
      <c r="BT136" s="48"/>
      <c r="BU136" s="46">
        <f t="shared" si="12"/>
        <v>75000</v>
      </c>
      <c r="BV136" s="47"/>
      <c r="BW136" s="47"/>
      <c r="BX136" s="47"/>
      <c r="BY136" s="48"/>
    </row>
    <row r="137" spans="1:77" s="4" customFormat="1" ht="25.5" customHeight="1" x14ac:dyDescent="0.2">
      <c r="A137" s="34">
        <v>12</v>
      </c>
      <c r="B137" s="35"/>
      <c r="C137" s="35"/>
      <c r="D137" s="29" t="s">
        <v>204</v>
      </c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1"/>
      <c r="U137" s="46">
        <v>23900</v>
      </c>
      <c r="V137" s="47"/>
      <c r="W137" s="47"/>
      <c r="X137" s="47"/>
      <c r="Y137" s="48"/>
      <c r="Z137" s="46">
        <v>0</v>
      </c>
      <c r="AA137" s="47"/>
      <c r="AB137" s="47"/>
      <c r="AC137" s="47"/>
      <c r="AD137" s="48"/>
      <c r="AE137" s="46">
        <v>0</v>
      </c>
      <c r="AF137" s="47"/>
      <c r="AG137" s="47"/>
      <c r="AH137" s="48"/>
      <c r="AI137" s="46">
        <f t="shared" si="10"/>
        <v>23900</v>
      </c>
      <c r="AJ137" s="47"/>
      <c r="AK137" s="47"/>
      <c r="AL137" s="47"/>
      <c r="AM137" s="48"/>
      <c r="AN137" s="46">
        <v>0</v>
      </c>
      <c r="AO137" s="47"/>
      <c r="AP137" s="47"/>
      <c r="AQ137" s="47"/>
      <c r="AR137" s="48"/>
      <c r="AS137" s="46">
        <v>0</v>
      </c>
      <c r="AT137" s="47"/>
      <c r="AU137" s="47"/>
      <c r="AV137" s="47"/>
      <c r="AW137" s="48"/>
      <c r="AX137" s="46">
        <v>0</v>
      </c>
      <c r="AY137" s="47"/>
      <c r="AZ137" s="47"/>
      <c r="BA137" s="48"/>
      <c r="BB137" s="46">
        <f t="shared" si="11"/>
        <v>0</v>
      </c>
      <c r="BC137" s="47"/>
      <c r="BD137" s="47"/>
      <c r="BE137" s="47"/>
      <c r="BF137" s="48"/>
      <c r="BG137" s="46">
        <v>0</v>
      </c>
      <c r="BH137" s="47"/>
      <c r="BI137" s="47"/>
      <c r="BJ137" s="47"/>
      <c r="BK137" s="48"/>
      <c r="BL137" s="46">
        <v>0</v>
      </c>
      <c r="BM137" s="47"/>
      <c r="BN137" s="47"/>
      <c r="BO137" s="47"/>
      <c r="BP137" s="48"/>
      <c r="BQ137" s="46">
        <v>0</v>
      </c>
      <c r="BR137" s="47"/>
      <c r="BS137" s="47"/>
      <c r="BT137" s="48"/>
      <c r="BU137" s="46">
        <f t="shared" si="12"/>
        <v>0</v>
      </c>
      <c r="BV137" s="47"/>
      <c r="BW137" s="47"/>
      <c r="BX137" s="47"/>
      <c r="BY137" s="48"/>
    </row>
    <row r="138" spans="1:77" s="4" customFormat="1" ht="12.75" customHeight="1" x14ac:dyDescent="0.2">
      <c r="A138" s="34">
        <v>13</v>
      </c>
      <c r="B138" s="35"/>
      <c r="C138" s="35"/>
      <c r="D138" s="29" t="s">
        <v>205</v>
      </c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1"/>
      <c r="U138" s="46">
        <v>99170</v>
      </c>
      <c r="V138" s="47"/>
      <c r="W138" s="47"/>
      <c r="X138" s="47"/>
      <c r="Y138" s="48"/>
      <c r="Z138" s="46">
        <v>0</v>
      </c>
      <c r="AA138" s="47"/>
      <c r="AB138" s="47"/>
      <c r="AC138" s="47"/>
      <c r="AD138" s="48"/>
      <c r="AE138" s="46">
        <v>0</v>
      </c>
      <c r="AF138" s="47"/>
      <c r="AG138" s="47"/>
      <c r="AH138" s="48"/>
      <c r="AI138" s="46">
        <f t="shared" si="10"/>
        <v>99170</v>
      </c>
      <c r="AJ138" s="47"/>
      <c r="AK138" s="47"/>
      <c r="AL138" s="47"/>
      <c r="AM138" s="48"/>
      <c r="AN138" s="46">
        <v>69300</v>
      </c>
      <c r="AO138" s="47"/>
      <c r="AP138" s="47"/>
      <c r="AQ138" s="47"/>
      <c r="AR138" s="48"/>
      <c r="AS138" s="46">
        <v>0</v>
      </c>
      <c r="AT138" s="47"/>
      <c r="AU138" s="47"/>
      <c r="AV138" s="47"/>
      <c r="AW138" s="48"/>
      <c r="AX138" s="46">
        <v>0</v>
      </c>
      <c r="AY138" s="47"/>
      <c r="AZ138" s="47"/>
      <c r="BA138" s="48"/>
      <c r="BB138" s="46">
        <f t="shared" si="11"/>
        <v>69300</v>
      </c>
      <c r="BC138" s="47"/>
      <c r="BD138" s="47"/>
      <c r="BE138" s="47"/>
      <c r="BF138" s="48"/>
      <c r="BG138" s="46">
        <v>66348</v>
      </c>
      <c r="BH138" s="47"/>
      <c r="BI138" s="47"/>
      <c r="BJ138" s="47"/>
      <c r="BK138" s="48"/>
      <c r="BL138" s="46">
        <v>0</v>
      </c>
      <c r="BM138" s="47"/>
      <c r="BN138" s="47"/>
      <c r="BO138" s="47"/>
      <c r="BP138" s="48"/>
      <c r="BQ138" s="46">
        <v>0</v>
      </c>
      <c r="BR138" s="47"/>
      <c r="BS138" s="47"/>
      <c r="BT138" s="48"/>
      <c r="BU138" s="46">
        <f t="shared" si="12"/>
        <v>66348</v>
      </c>
      <c r="BV138" s="47"/>
      <c r="BW138" s="47"/>
      <c r="BX138" s="47"/>
      <c r="BY138" s="48"/>
    </row>
    <row r="139" spans="1:77" s="4" customFormat="1" ht="12.75" customHeight="1" x14ac:dyDescent="0.2">
      <c r="A139" s="34">
        <v>14</v>
      </c>
      <c r="B139" s="35"/>
      <c r="C139" s="35"/>
      <c r="D139" s="29" t="s">
        <v>206</v>
      </c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1"/>
      <c r="U139" s="46">
        <v>74900</v>
      </c>
      <c r="V139" s="47"/>
      <c r="W139" s="47"/>
      <c r="X139" s="47"/>
      <c r="Y139" s="48"/>
      <c r="Z139" s="46">
        <v>0</v>
      </c>
      <c r="AA139" s="47"/>
      <c r="AB139" s="47"/>
      <c r="AC139" s="47"/>
      <c r="AD139" s="48"/>
      <c r="AE139" s="46">
        <v>0</v>
      </c>
      <c r="AF139" s="47"/>
      <c r="AG139" s="47"/>
      <c r="AH139" s="48"/>
      <c r="AI139" s="46">
        <f t="shared" si="10"/>
        <v>74900</v>
      </c>
      <c r="AJ139" s="47"/>
      <c r="AK139" s="47"/>
      <c r="AL139" s="47"/>
      <c r="AM139" s="48"/>
      <c r="AN139" s="46">
        <v>99900</v>
      </c>
      <c r="AO139" s="47"/>
      <c r="AP139" s="47"/>
      <c r="AQ139" s="47"/>
      <c r="AR139" s="48"/>
      <c r="AS139" s="46">
        <v>0</v>
      </c>
      <c r="AT139" s="47"/>
      <c r="AU139" s="47"/>
      <c r="AV139" s="47"/>
      <c r="AW139" s="48"/>
      <c r="AX139" s="46">
        <v>0</v>
      </c>
      <c r="AY139" s="47"/>
      <c r="AZ139" s="47"/>
      <c r="BA139" s="48"/>
      <c r="BB139" s="46">
        <f t="shared" si="11"/>
        <v>99900</v>
      </c>
      <c r="BC139" s="47"/>
      <c r="BD139" s="47"/>
      <c r="BE139" s="47"/>
      <c r="BF139" s="48"/>
      <c r="BG139" s="46">
        <v>99900</v>
      </c>
      <c r="BH139" s="47"/>
      <c r="BI139" s="47"/>
      <c r="BJ139" s="47"/>
      <c r="BK139" s="48"/>
      <c r="BL139" s="46">
        <v>0</v>
      </c>
      <c r="BM139" s="47"/>
      <c r="BN139" s="47"/>
      <c r="BO139" s="47"/>
      <c r="BP139" s="48"/>
      <c r="BQ139" s="46">
        <v>0</v>
      </c>
      <c r="BR139" s="47"/>
      <c r="BS139" s="47"/>
      <c r="BT139" s="48"/>
      <c r="BU139" s="46">
        <f t="shared" si="12"/>
        <v>99900</v>
      </c>
      <c r="BV139" s="47"/>
      <c r="BW139" s="47"/>
      <c r="BX139" s="47"/>
      <c r="BY139" s="48"/>
    </row>
    <row r="140" spans="1:77" s="4" customFormat="1" ht="12.75" customHeight="1" x14ac:dyDescent="0.2">
      <c r="A140" s="34">
        <v>15</v>
      </c>
      <c r="B140" s="35"/>
      <c r="C140" s="35"/>
      <c r="D140" s="29" t="s">
        <v>207</v>
      </c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1"/>
      <c r="U140" s="46">
        <v>11014</v>
      </c>
      <c r="V140" s="47"/>
      <c r="W140" s="47"/>
      <c r="X140" s="47"/>
      <c r="Y140" s="48"/>
      <c r="Z140" s="46">
        <v>0</v>
      </c>
      <c r="AA140" s="47"/>
      <c r="AB140" s="47"/>
      <c r="AC140" s="47"/>
      <c r="AD140" s="48"/>
      <c r="AE140" s="46">
        <v>0</v>
      </c>
      <c r="AF140" s="47"/>
      <c r="AG140" s="47"/>
      <c r="AH140" s="48"/>
      <c r="AI140" s="46">
        <f t="shared" si="10"/>
        <v>11014</v>
      </c>
      <c r="AJ140" s="47"/>
      <c r="AK140" s="47"/>
      <c r="AL140" s="47"/>
      <c r="AM140" s="48"/>
      <c r="AN140" s="46">
        <v>10000</v>
      </c>
      <c r="AO140" s="47"/>
      <c r="AP140" s="47"/>
      <c r="AQ140" s="47"/>
      <c r="AR140" s="48"/>
      <c r="AS140" s="46">
        <v>0</v>
      </c>
      <c r="AT140" s="47"/>
      <c r="AU140" s="47"/>
      <c r="AV140" s="47"/>
      <c r="AW140" s="48"/>
      <c r="AX140" s="46">
        <v>0</v>
      </c>
      <c r="AY140" s="47"/>
      <c r="AZ140" s="47"/>
      <c r="BA140" s="48"/>
      <c r="BB140" s="46">
        <f t="shared" si="11"/>
        <v>10000</v>
      </c>
      <c r="BC140" s="47"/>
      <c r="BD140" s="47"/>
      <c r="BE140" s="47"/>
      <c r="BF140" s="48"/>
      <c r="BG140" s="46">
        <v>10000</v>
      </c>
      <c r="BH140" s="47"/>
      <c r="BI140" s="47"/>
      <c r="BJ140" s="47"/>
      <c r="BK140" s="48"/>
      <c r="BL140" s="46">
        <v>0</v>
      </c>
      <c r="BM140" s="47"/>
      <c r="BN140" s="47"/>
      <c r="BO140" s="47"/>
      <c r="BP140" s="48"/>
      <c r="BQ140" s="46">
        <v>0</v>
      </c>
      <c r="BR140" s="47"/>
      <c r="BS140" s="47"/>
      <c r="BT140" s="48"/>
      <c r="BU140" s="46">
        <f t="shared" si="12"/>
        <v>10000</v>
      </c>
      <c r="BV140" s="47"/>
      <c r="BW140" s="47"/>
      <c r="BX140" s="47"/>
      <c r="BY140" s="48"/>
    </row>
    <row r="141" spans="1:77" s="4" customFormat="1" ht="25.5" customHeight="1" x14ac:dyDescent="0.2">
      <c r="A141" s="34">
        <v>16</v>
      </c>
      <c r="B141" s="35"/>
      <c r="C141" s="35"/>
      <c r="D141" s="29" t="s">
        <v>208</v>
      </c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1"/>
      <c r="U141" s="46">
        <v>188930</v>
      </c>
      <c r="V141" s="47"/>
      <c r="W141" s="47"/>
      <c r="X141" s="47"/>
      <c r="Y141" s="48"/>
      <c r="Z141" s="46">
        <v>0</v>
      </c>
      <c r="AA141" s="47"/>
      <c r="AB141" s="47"/>
      <c r="AC141" s="47"/>
      <c r="AD141" s="48"/>
      <c r="AE141" s="46">
        <v>0</v>
      </c>
      <c r="AF141" s="47"/>
      <c r="AG141" s="47"/>
      <c r="AH141" s="48"/>
      <c r="AI141" s="46">
        <f t="shared" si="10"/>
        <v>188930</v>
      </c>
      <c r="AJ141" s="47"/>
      <c r="AK141" s="47"/>
      <c r="AL141" s="47"/>
      <c r="AM141" s="48"/>
      <c r="AN141" s="46">
        <v>316293</v>
      </c>
      <c r="AO141" s="47"/>
      <c r="AP141" s="47"/>
      <c r="AQ141" s="47"/>
      <c r="AR141" s="48"/>
      <c r="AS141" s="46">
        <v>0</v>
      </c>
      <c r="AT141" s="47"/>
      <c r="AU141" s="47"/>
      <c r="AV141" s="47"/>
      <c r="AW141" s="48"/>
      <c r="AX141" s="46">
        <v>0</v>
      </c>
      <c r="AY141" s="47"/>
      <c r="AZ141" s="47"/>
      <c r="BA141" s="48"/>
      <c r="BB141" s="46">
        <f t="shared" si="11"/>
        <v>316293</v>
      </c>
      <c r="BC141" s="47"/>
      <c r="BD141" s="47"/>
      <c r="BE141" s="47"/>
      <c r="BF141" s="48"/>
      <c r="BG141" s="46">
        <v>99900</v>
      </c>
      <c r="BH141" s="47"/>
      <c r="BI141" s="47"/>
      <c r="BJ141" s="47"/>
      <c r="BK141" s="48"/>
      <c r="BL141" s="46">
        <v>0</v>
      </c>
      <c r="BM141" s="47"/>
      <c r="BN141" s="47"/>
      <c r="BO141" s="47"/>
      <c r="BP141" s="48"/>
      <c r="BQ141" s="46">
        <v>0</v>
      </c>
      <c r="BR141" s="47"/>
      <c r="BS141" s="47"/>
      <c r="BT141" s="48"/>
      <c r="BU141" s="46">
        <f t="shared" si="12"/>
        <v>99900</v>
      </c>
      <c r="BV141" s="47"/>
      <c r="BW141" s="47"/>
      <c r="BX141" s="47"/>
      <c r="BY141" s="48"/>
    </row>
    <row r="142" spans="1:77" s="4" customFormat="1" ht="12.75" customHeight="1" x14ac:dyDescent="0.2">
      <c r="A142" s="34">
        <v>17</v>
      </c>
      <c r="B142" s="35"/>
      <c r="C142" s="35"/>
      <c r="D142" s="29" t="s">
        <v>209</v>
      </c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1"/>
      <c r="U142" s="46">
        <v>31892</v>
      </c>
      <c r="V142" s="47"/>
      <c r="W142" s="47"/>
      <c r="X142" s="47"/>
      <c r="Y142" s="48"/>
      <c r="Z142" s="46">
        <v>0</v>
      </c>
      <c r="AA142" s="47"/>
      <c r="AB142" s="47"/>
      <c r="AC142" s="47"/>
      <c r="AD142" s="48"/>
      <c r="AE142" s="46">
        <v>0</v>
      </c>
      <c r="AF142" s="47"/>
      <c r="AG142" s="47"/>
      <c r="AH142" s="48"/>
      <c r="AI142" s="46">
        <f t="shared" si="10"/>
        <v>31892</v>
      </c>
      <c r="AJ142" s="47"/>
      <c r="AK142" s="47"/>
      <c r="AL142" s="47"/>
      <c r="AM142" s="48"/>
      <c r="AN142" s="46">
        <v>35073</v>
      </c>
      <c r="AO142" s="47"/>
      <c r="AP142" s="47"/>
      <c r="AQ142" s="47"/>
      <c r="AR142" s="48"/>
      <c r="AS142" s="46">
        <v>0</v>
      </c>
      <c r="AT142" s="47"/>
      <c r="AU142" s="47"/>
      <c r="AV142" s="47"/>
      <c r="AW142" s="48"/>
      <c r="AX142" s="46">
        <v>0</v>
      </c>
      <c r="AY142" s="47"/>
      <c r="AZ142" s="47"/>
      <c r="BA142" s="48"/>
      <c r="BB142" s="46">
        <f t="shared" si="11"/>
        <v>35073</v>
      </c>
      <c r="BC142" s="47"/>
      <c r="BD142" s="47"/>
      <c r="BE142" s="47"/>
      <c r="BF142" s="48"/>
      <c r="BG142" s="46">
        <v>45817</v>
      </c>
      <c r="BH142" s="47"/>
      <c r="BI142" s="47"/>
      <c r="BJ142" s="47"/>
      <c r="BK142" s="48"/>
      <c r="BL142" s="46">
        <v>0</v>
      </c>
      <c r="BM142" s="47"/>
      <c r="BN142" s="47"/>
      <c r="BO142" s="47"/>
      <c r="BP142" s="48"/>
      <c r="BQ142" s="46">
        <v>0</v>
      </c>
      <c r="BR142" s="47"/>
      <c r="BS142" s="47"/>
      <c r="BT142" s="48"/>
      <c r="BU142" s="46">
        <f t="shared" si="12"/>
        <v>45817</v>
      </c>
      <c r="BV142" s="47"/>
      <c r="BW142" s="47"/>
      <c r="BX142" s="47"/>
      <c r="BY142" s="48"/>
    </row>
    <row r="143" spans="1:77" s="4" customFormat="1" ht="12.75" customHeight="1" x14ac:dyDescent="0.2">
      <c r="A143" s="34">
        <v>18</v>
      </c>
      <c r="B143" s="35"/>
      <c r="C143" s="35"/>
      <c r="D143" s="29" t="s">
        <v>210</v>
      </c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1"/>
      <c r="U143" s="46">
        <v>303400</v>
      </c>
      <c r="V143" s="47"/>
      <c r="W143" s="47"/>
      <c r="X143" s="47"/>
      <c r="Y143" s="48"/>
      <c r="Z143" s="46">
        <v>0</v>
      </c>
      <c r="AA143" s="47"/>
      <c r="AB143" s="47"/>
      <c r="AC143" s="47"/>
      <c r="AD143" s="48"/>
      <c r="AE143" s="46">
        <v>0</v>
      </c>
      <c r="AF143" s="47"/>
      <c r="AG143" s="47"/>
      <c r="AH143" s="48"/>
      <c r="AI143" s="46">
        <f t="shared" si="10"/>
        <v>303400</v>
      </c>
      <c r="AJ143" s="47"/>
      <c r="AK143" s="47"/>
      <c r="AL143" s="47"/>
      <c r="AM143" s="48"/>
      <c r="AN143" s="46">
        <v>289000</v>
      </c>
      <c r="AO143" s="47"/>
      <c r="AP143" s="47"/>
      <c r="AQ143" s="47"/>
      <c r="AR143" s="48"/>
      <c r="AS143" s="46">
        <v>0</v>
      </c>
      <c r="AT143" s="47"/>
      <c r="AU143" s="47"/>
      <c r="AV143" s="47"/>
      <c r="AW143" s="48"/>
      <c r="AX143" s="46">
        <v>0</v>
      </c>
      <c r="AY143" s="47"/>
      <c r="AZ143" s="47"/>
      <c r="BA143" s="48"/>
      <c r="BB143" s="46">
        <f t="shared" si="11"/>
        <v>289000</v>
      </c>
      <c r="BC143" s="47"/>
      <c r="BD143" s="47"/>
      <c r="BE143" s="47"/>
      <c r="BF143" s="48"/>
      <c r="BG143" s="46">
        <v>327034</v>
      </c>
      <c r="BH143" s="47"/>
      <c r="BI143" s="47"/>
      <c r="BJ143" s="47"/>
      <c r="BK143" s="48"/>
      <c r="BL143" s="46">
        <v>0</v>
      </c>
      <c r="BM143" s="47"/>
      <c r="BN143" s="47"/>
      <c r="BO143" s="47"/>
      <c r="BP143" s="48"/>
      <c r="BQ143" s="46">
        <v>0</v>
      </c>
      <c r="BR143" s="47"/>
      <c r="BS143" s="47"/>
      <c r="BT143" s="48"/>
      <c r="BU143" s="46">
        <f t="shared" si="12"/>
        <v>327034</v>
      </c>
      <c r="BV143" s="47"/>
      <c r="BW143" s="47"/>
      <c r="BX143" s="47"/>
      <c r="BY143" s="48"/>
    </row>
    <row r="144" spans="1:77" s="4" customFormat="1" ht="12.75" customHeight="1" x14ac:dyDescent="0.2">
      <c r="A144" s="34">
        <v>19</v>
      </c>
      <c r="B144" s="35"/>
      <c r="C144" s="35"/>
      <c r="D144" s="29" t="s">
        <v>211</v>
      </c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1"/>
      <c r="U144" s="46">
        <v>95269</v>
      </c>
      <c r="V144" s="47"/>
      <c r="W144" s="47"/>
      <c r="X144" s="47"/>
      <c r="Y144" s="48"/>
      <c r="Z144" s="46">
        <v>0</v>
      </c>
      <c r="AA144" s="47"/>
      <c r="AB144" s="47"/>
      <c r="AC144" s="47"/>
      <c r="AD144" s="48"/>
      <c r="AE144" s="46">
        <v>0</v>
      </c>
      <c r="AF144" s="47"/>
      <c r="AG144" s="47"/>
      <c r="AH144" s="48"/>
      <c r="AI144" s="46">
        <f t="shared" si="10"/>
        <v>95269</v>
      </c>
      <c r="AJ144" s="47"/>
      <c r="AK144" s="47"/>
      <c r="AL144" s="47"/>
      <c r="AM144" s="48"/>
      <c r="AN144" s="46">
        <v>96146</v>
      </c>
      <c r="AO144" s="47"/>
      <c r="AP144" s="47"/>
      <c r="AQ144" s="47"/>
      <c r="AR144" s="48"/>
      <c r="AS144" s="46">
        <v>0</v>
      </c>
      <c r="AT144" s="47"/>
      <c r="AU144" s="47"/>
      <c r="AV144" s="47"/>
      <c r="AW144" s="48"/>
      <c r="AX144" s="46">
        <v>0</v>
      </c>
      <c r="AY144" s="47"/>
      <c r="AZ144" s="47"/>
      <c r="BA144" s="48"/>
      <c r="BB144" s="46">
        <f t="shared" si="11"/>
        <v>96146</v>
      </c>
      <c r="BC144" s="47"/>
      <c r="BD144" s="47"/>
      <c r="BE144" s="47"/>
      <c r="BF144" s="48"/>
      <c r="BG144" s="46">
        <v>96144</v>
      </c>
      <c r="BH144" s="47"/>
      <c r="BI144" s="47"/>
      <c r="BJ144" s="47"/>
      <c r="BK144" s="48"/>
      <c r="BL144" s="46">
        <v>0</v>
      </c>
      <c r="BM144" s="47"/>
      <c r="BN144" s="47"/>
      <c r="BO144" s="47"/>
      <c r="BP144" s="48"/>
      <c r="BQ144" s="46">
        <v>0</v>
      </c>
      <c r="BR144" s="47"/>
      <c r="BS144" s="47"/>
      <c r="BT144" s="48"/>
      <c r="BU144" s="46">
        <f t="shared" si="12"/>
        <v>96144</v>
      </c>
      <c r="BV144" s="47"/>
      <c r="BW144" s="47"/>
      <c r="BX144" s="47"/>
      <c r="BY144" s="48"/>
    </row>
    <row r="145" spans="1:77" s="4" customFormat="1" ht="12.75" customHeight="1" x14ac:dyDescent="0.2">
      <c r="A145" s="34">
        <v>20</v>
      </c>
      <c r="B145" s="35"/>
      <c r="C145" s="35"/>
      <c r="D145" s="29" t="s">
        <v>212</v>
      </c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1"/>
      <c r="U145" s="46">
        <v>58605</v>
      </c>
      <c r="V145" s="47"/>
      <c r="W145" s="47"/>
      <c r="X145" s="47"/>
      <c r="Y145" s="48"/>
      <c r="Z145" s="46">
        <v>0</v>
      </c>
      <c r="AA145" s="47"/>
      <c r="AB145" s="47"/>
      <c r="AC145" s="47"/>
      <c r="AD145" s="48"/>
      <c r="AE145" s="46">
        <v>0</v>
      </c>
      <c r="AF145" s="47"/>
      <c r="AG145" s="47"/>
      <c r="AH145" s="48"/>
      <c r="AI145" s="46">
        <f t="shared" si="10"/>
        <v>58605</v>
      </c>
      <c r="AJ145" s="47"/>
      <c r="AK145" s="47"/>
      <c r="AL145" s="47"/>
      <c r="AM145" s="48"/>
      <c r="AN145" s="46">
        <v>105000</v>
      </c>
      <c r="AO145" s="47"/>
      <c r="AP145" s="47"/>
      <c r="AQ145" s="47"/>
      <c r="AR145" s="48"/>
      <c r="AS145" s="46">
        <v>0</v>
      </c>
      <c r="AT145" s="47"/>
      <c r="AU145" s="47"/>
      <c r="AV145" s="47"/>
      <c r="AW145" s="48"/>
      <c r="AX145" s="46">
        <v>0</v>
      </c>
      <c r="AY145" s="47"/>
      <c r="AZ145" s="47"/>
      <c r="BA145" s="48"/>
      <c r="BB145" s="46">
        <f t="shared" si="11"/>
        <v>105000</v>
      </c>
      <c r="BC145" s="47"/>
      <c r="BD145" s="47"/>
      <c r="BE145" s="47"/>
      <c r="BF145" s="48"/>
      <c r="BG145" s="46">
        <v>500000</v>
      </c>
      <c r="BH145" s="47"/>
      <c r="BI145" s="47"/>
      <c r="BJ145" s="47"/>
      <c r="BK145" s="48"/>
      <c r="BL145" s="46">
        <v>0</v>
      </c>
      <c r="BM145" s="47"/>
      <c r="BN145" s="47"/>
      <c r="BO145" s="47"/>
      <c r="BP145" s="48"/>
      <c r="BQ145" s="46">
        <v>0</v>
      </c>
      <c r="BR145" s="47"/>
      <c r="BS145" s="47"/>
      <c r="BT145" s="48"/>
      <c r="BU145" s="46">
        <f t="shared" si="12"/>
        <v>500000</v>
      </c>
      <c r="BV145" s="47"/>
      <c r="BW145" s="47"/>
      <c r="BX145" s="47"/>
      <c r="BY145" s="48"/>
    </row>
    <row r="146" spans="1:77" s="4" customFormat="1" ht="12.75" customHeight="1" x14ac:dyDescent="0.2">
      <c r="A146" s="34">
        <v>21</v>
      </c>
      <c r="B146" s="35"/>
      <c r="C146" s="35"/>
      <c r="D146" s="29" t="s">
        <v>187</v>
      </c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1"/>
      <c r="U146" s="46">
        <v>171176</v>
      </c>
      <c r="V146" s="47"/>
      <c r="W146" s="47"/>
      <c r="X146" s="47"/>
      <c r="Y146" s="48"/>
      <c r="Z146" s="46">
        <v>0</v>
      </c>
      <c r="AA146" s="47"/>
      <c r="AB146" s="47"/>
      <c r="AC146" s="47"/>
      <c r="AD146" s="48"/>
      <c r="AE146" s="46">
        <v>0</v>
      </c>
      <c r="AF146" s="47"/>
      <c r="AG146" s="47"/>
      <c r="AH146" s="48"/>
      <c r="AI146" s="46">
        <f t="shared" si="10"/>
        <v>171176</v>
      </c>
      <c r="AJ146" s="47"/>
      <c r="AK146" s="47"/>
      <c r="AL146" s="47"/>
      <c r="AM146" s="48"/>
      <c r="AN146" s="46">
        <v>244800</v>
      </c>
      <c r="AO146" s="47"/>
      <c r="AP146" s="47"/>
      <c r="AQ146" s="47"/>
      <c r="AR146" s="48"/>
      <c r="AS146" s="46">
        <v>0</v>
      </c>
      <c r="AT146" s="47"/>
      <c r="AU146" s="47"/>
      <c r="AV146" s="47"/>
      <c r="AW146" s="48"/>
      <c r="AX146" s="46">
        <v>0</v>
      </c>
      <c r="AY146" s="47"/>
      <c r="AZ146" s="47"/>
      <c r="BA146" s="48"/>
      <c r="BB146" s="46">
        <f t="shared" si="11"/>
        <v>244800</v>
      </c>
      <c r="BC146" s="47"/>
      <c r="BD146" s="47"/>
      <c r="BE146" s="47"/>
      <c r="BF146" s="48"/>
      <c r="BG146" s="46">
        <v>292800</v>
      </c>
      <c r="BH146" s="47"/>
      <c r="BI146" s="47"/>
      <c r="BJ146" s="47"/>
      <c r="BK146" s="48"/>
      <c r="BL146" s="46">
        <v>0</v>
      </c>
      <c r="BM146" s="47"/>
      <c r="BN146" s="47"/>
      <c r="BO146" s="47"/>
      <c r="BP146" s="48"/>
      <c r="BQ146" s="46">
        <v>0</v>
      </c>
      <c r="BR146" s="47"/>
      <c r="BS146" s="47"/>
      <c r="BT146" s="48"/>
      <c r="BU146" s="46">
        <f t="shared" si="12"/>
        <v>292800</v>
      </c>
      <c r="BV146" s="47"/>
      <c r="BW146" s="47"/>
      <c r="BX146" s="47"/>
      <c r="BY146" s="48"/>
    </row>
    <row r="147" spans="1:77" s="4" customFormat="1" ht="51" customHeight="1" x14ac:dyDescent="0.2">
      <c r="A147" s="34">
        <v>22</v>
      </c>
      <c r="B147" s="35"/>
      <c r="C147" s="35"/>
      <c r="D147" s="29" t="s">
        <v>213</v>
      </c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1"/>
      <c r="U147" s="46">
        <v>223610</v>
      </c>
      <c r="V147" s="47"/>
      <c r="W147" s="47"/>
      <c r="X147" s="47"/>
      <c r="Y147" s="48"/>
      <c r="Z147" s="46">
        <v>0</v>
      </c>
      <c r="AA147" s="47"/>
      <c r="AB147" s="47"/>
      <c r="AC147" s="47"/>
      <c r="AD147" s="48"/>
      <c r="AE147" s="46">
        <v>0</v>
      </c>
      <c r="AF147" s="47"/>
      <c r="AG147" s="47"/>
      <c r="AH147" s="48"/>
      <c r="AI147" s="46">
        <f t="shared" si="10"/>
        <v>223610</v>
      </c>
      <c r="AJ147" s="47"/>
      <c r="AK147" s="47"/>
      <c r="AL147" s="47"/>
      <c r="AM147" s="48"/>
      <c r="AN147" s="46">
        <v>60685</v>
      </c>
      <c r="AO147" s="47"/>
      <c r="AP147" s="47"/>
      <c r="AQ147" s="47"/>
      <c r="AR147" s="48"/>
      <c r="AS147" s="46">
        <v>0</v>
      </c>
      <c r="AT147" s="47"/>
      <c r="AU147" s="47"/>
      <c r="AV147" s="47"/>
      <c r="AW147" s="48"/>
      <c r="AX147" s="46">
        <v>0</v>
      </c>
      <c r="AY147" s="47"/>
      <c r="AZ147" s="47"/>
      <c r="BA147" s="48"/>
      <c r="BB147" s="46">
        <f t="shared" si="11"/>
        <v>60685</v>
      </c>
      <c r="BC147" s="47"/>
      <c r="BD147" s="47"/>
      <c r="BE147" s="47"/>
      <c r="BF147" s="48"/>
      <c r="BG147" s="46">
        <v>159040</v>
      </c>
      <c r="BH147" s="47"/>
      <c r="BI147" s="47"/>
      <c r="BJ147" s="47"/>
      <c r="BK147" s="48"/>
      <c r="BL147" s="46">
        <v>0</v>
      </c>
      <c r="BM147" s="47"/>
      <c r="BN147" s="47"/>
      <c r="BO147" s="47"/>
      <c r="BP147" s="48"/>
      <c r="BQ147" s="46">
        <v>0</v>
      </c>
      <c r="BR147" s="47"/>
      <c r="BS147" s="47"/>
      <c r="BT147" s="48"/>
      <c r="BU147" s="46">
        <f t="shared" si="12"/>
        <v>159040</v>
      </c>
      <c r="BV147" s="47"/>
      <c r="BW147" s="47"/>
      <c r="BX147" s="47"/>
      <c r="BY147" s="48"/>
    </row>
    <row r="148" spans="1:77" s="4" customFormat="1" ht="12.75" customHeight="1" x14ac:dyDescent="0.2">
      <c r="A148" s="34">
        <v>23</v>
      </c>
      <c r="B148" s="35"/>
      <c r="C148" s="35"/>
      <c r="D148" s="29" t="s">
        <v>214</v>
      </c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1"/>
      <c r="U148" s="46">
        <v>15000</v>
      </c>
      <c r="V148" s="47"/>
      <c r="W148" s="47"/>
      <c r="X148" s="47"/>
      <c r="Y148" s="48"/>
      <c r="Z148" s="46">
        <v>0</v>
      </c>
      <c r="AA148" s="47"/>
      <c r="AB148" s="47"/>
      <c r="AC148" s="47"/>
      <c r="AD148" s="48"/>
      <c r="AE148" s="46">
        <v>0</v>
      </c>
      <c r="AF148" s="47"/>
      <c r="AG148" s="47"/>
      <c r="AH148" s="48"/>
      <c r="AI148" s="46">
        <f t="shared" si="10"/>
        <v>15000</v>
      </c>
      <c r="AJ148" s="47"/>
      <c r="AK148" s="47"/>
      <c r="AL148" s="47"/>
      <c r="AM148" s="48"/>
      <c r="AN148" s="46">
        <v>30000</v>
      </c>
      <c r="AO148" s="47"/>
      <c r="AP148" s="47"/>
      <c r="AQ148" s="47"/>
      <c r="AR148" s="48"/>
      <c r="AS148" s="46">
        <v>0</v>
      </c>
      <c r="AT148" s="47"/>
      <c r="AU148" s="47"/>
      <c r="AV148" s="47"/>
      <c r="AW148" s="48"/>
      <c r="AX148" s="46">
        <v>0</v>
      </c>
      <c r="AY148" s="47"/>
      <c r="AZ148" s="47"/>
      <c r="BA148" s="48"/>
      <c r="BB148" s="46">
        <f t="shared" si="11"/>
        <v>30000</v>
      </c>
      <c r="BC148" s="47"/>
      <c r="BD148" s="47"/>
      <c r="BE148" s="47"/>
      <c r="BF148" s="48"/>
      <c r="BG148" s="46">
        <v>30000</v>
      </c>
      <c r="BH148" s="47"/>
      <c r="BI148" s="47"/>
      <c r="BJ148" s="47"/>
      <c r="BK148" s="48"/>
      <c r="BL148" s="46">
        <v>0</v>
      </c>
      <c r="BM148" s="47"/>
      <c r="BN148" s="47"/>
      <c r="BO148" s="47"/>
      <c r="BP148" s="48"/>
      <c r="BQ148" s="46">
        <v>0</v>
      </c>
      <c r="BR148" s="47"/>
      <c r="BS148" s="47"/>
      <c r="BT148" s="48"/>
      <c r="BU148" s="46">
        <f t="shared" si="12"/>
        <v>30000</v>
      </c>
      <c r="BV148" s="47"/>
      <c r="BW148" s="47"/>
      <c r="BX148" s="47"/>
      <c r="BY148" s="48"/>
    </row>
    <row r="149" spans="1:77" s="4" customFormat="1" ht="25.5" customHeight="1" x14ac:dyDescent="0.2">
      <c r="A149" s="34">
        <v>24</v>
      </c>
      <c r="B149" s="35"/>
      <c r="C149" s="35"/>
      <c r="D149" s="29" t="s">
        <v>215</v>
      </c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1"/>
      <c r="U149" s="46">
        <v>2400</v>
      </c>
      <c r="V149" s="47"/>
      <c r="W149" s="47"/>
      <c r="X149" s="47"/>
      <c r="Y149" s="48"/>
      <c r="Z149" s="46">
        <v>0</v>
      </c>
      <c r="AA149" s="47"/>
      <c r="AB149" s="47"/>
      <c r="AC149" s="47"/>
      <c r="AD149" s="48"/>
      <c r="AE149" s="46">
        <v>0</v>
      </c>
      <c r="AF149" s="47"/>
      <c r="AG149" s="47"/>
      <c r="AH149" s="48"/>
      <c r="AI149" s="46">
        <f t="shared" si="10"/>
        <v>2400</v>
      </c>
      <c r="AJ149" s="47"/>
      <c r="AK149" s="47"/>
      <c r="AL149" s="47"/>
      <c r="AM149" s="48"/>
      <c r="AN149" s="46">
        <v>15000</v>
      </c>
      <c r="AO149" s="47"/>
      <c r="AP149" s="47"/>
      <c r="AQ149" s="47"/>
      <c r="AR149" s="48"/>
      <c r="AS149" s="46">
        <v>0</v>
      </c>
      <c r="AT149" s="47"/>
      <c r="AU149" s="47"/>
      <c r="AV149" s="47"/>
      <c r="AW149" s="48"/>
      <c r="AX149" s="46">
        <v>0</v>
      </c>
      <c r="AY149" s="47"/>
      <c r="AZ149" s="47"/>
      <c r="BA149" s="48"/>
      <c r="BB149" s="46">
        <f t="shared" si="11"/>
        <v>15000</v>
      </c>
      <c r="BC149" s="47"/>
      <c r="BD149" s="47"/>
      <c r="BE149" s="47"/>
      <c r="BF149" s="48"/>
      <c r="BG149" s="46">
        <v>15000</v>
      </c>
      <c r="BH149" s="47"/>
      <c r="BI149" s="47"/>
      <c r="BJ149" s="47"/>
      <c r="BK149" s="48"/>
      <c r="BL149" s="46">
        <v>0</v>
      </c>
      <c r="BM149" s="47"/>
      <c r="BN149" s="47"/>
      <c r="BO149" s="47"/>
      <c r="BP149" s="48"/>
      <c r="BQ149" s="46">
        <v>0</v>
      </c>
      <c r="BR149" s="47"/>
      <c r="BS149" s="47"/>
      <c r="BT149" s="48"/>
      <c r="BU149" s="46">
        <f t="shared" si="12"/>
        <v>15000</v>
      </c>
      <c r="BV149" s="47"/>
      <c r="BW149" s="47"/>
      <c r="BX149" s="47"/>
      <c r="BY149" s="48"/>
    </row>
    <row r="150" spans="1:77" s="4" customFormat="1" ht="12.75" customHeight="1" x14ac:dyDescent="0.2">
      <c r="A150" s="34">
        <v>25</v>
      </c>
      <c r="B150" s="35"/>
      <c r="C150" s="35"/>
      <c r="D150" s="29" t="s">
        <v>216</v>
      </c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1"/>
      <c r="U150" s="46">
        <v>9000</v>
      </c>
      <c r="V150" s="47"/>
      <c r="W150" s="47"/>
      <c r="X150" s="47"/>
      <c r="Y150" s="48"/>
      <c r="Z150" s="46">
        <v>0</v>
      </c>
      <c r="AA150" s="47"/>
      <c r="AB150" s="47"/>
      <c r="AC150" s="47"/>
      <c r="AD150" s="48"/>
      <c r="AE150" s="46">
        <v>0</v>
      </c>
      <c r="AF150" s="47"/>
      <c r="AG150" s="47"/>
      <c r="AH150" s="48"/>
      <c r="AI150" s="46">
        <f t="shared" si="10"/>
        <v>9000</v>
      </c>
      <c r="AJ150" s="47"/>
      <c r="AK150" s="47"/>
      <c r="AL150" s="47"/>
      <c r="AM150" s="48"/>
      <c r="AN150" s="46">
        <v>0</v>
      </c>
      <c r="AO150" s="47"/>
      <c r="AP150" s="47"/>
      <c r="AQ150" s="47"/>
      <c r="AR150" s="48"/>
      <c r="AS150" s="46">
        <v>0</v>
      </c>
      <c r="AT150" s="47"/>
      <c r="AU150" s="47"/>
      <c r="AV150" s="47"/>
      <c r="AW150" s="48"/>
      <c r="AX150" s="46">
        <v>0</v>
      </c>
      <c r="AY150" s="47"/>
      <c r="AZ150" s="47"/>
      <c r="BA150" s="48"/>
      <c r="BB150" s="46">
        <f t="shared" si="11"/>
        <v>0</v>
      </c>
      <c r="BC150" s="47"/>
      <c r="BD150" s="47"/>
      <c r="BE150" s="47"/>
      <c r="BF150" s="48"/>
      <c r="BG150" s="46">
        <v>0</v>
      </c>
      <c r="BH150" s="47"/>
      <c r="BI150" s="47"/>
      <c r="BJ150" s="47"/>
      <c r="BK150" s="48"/>
      <c r="BL150" s="46">
        <v>0</v>
      </c>
      <c r="BM150" s="47"/>
      <c r="BN150" s="47"/>
      <c r="BO150" s="47"/>
      <c r="BP150" s="48"/>
      <c r="BQ150" s="46">
        <v>0</v>
      </c>
      <c r="BR150" s="47"/>
      <c r="BS150" s="47"/>
      <c r="BT150" s="48"/>
      <c r="BU150" s="46">
        <f t="shared" si="12"/>
        <v>0</v>
      </c>
      <c r="BV150" s="47"/>
      <c r="BW150" s="47"/>
      <c r="BX150" s="47"/>
      <c r="BY150" s="48"/>
    </row>
    <row r="151" spans="1:77" s="4" customFormat="1" ht="12.75" customHeight="1" x14ac:dyDescent="0.2">
      <c r="A151" s="34">
        <v>26</v>
      </c>
      <c r="B151" s="35"/>
      <c r="C151" s="35"/>
      <c r="D151" s="29" t="s">
        <v>217</v>
      </c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1"/>
      <c r="U151" s="46">
        <v>108385</v>
      </c>
      <c r="V151" s="47"/>
      <c r="W151" s="47"/>
      <c r="X151" s="47"/>
      <c r="Y151" s="48"/>
      <c r="Z151" s="46">
        <v>0</v>
      </c>
      <c r="AA151" s="47"/>
      <c r="AB151" s="47"/>
      <c r="AC151" s="47"/>
      <c r="AD151" s="48"/>
      <c r="AE151" s="46">
        <v>0</v>
      </c>
      <c r="AF151" s="47"/>
      <c r="AG151" s="47"/>
      <c r="AH151" s="48"/>
      <c r="AI151" s="46">
        <f t="shared" si="10"/>
        <v>108385</v>
      </c>
      <c r="AJ151" s="47"/>
      <c r="AK151" s="47"/>
      <c r="AL151" s="47"/>
      <c r="AM151" s="48"/>
      <c r="AN151" s="46">
        <v>0</v>
      </c>
      <c r="AO151" s="47"/>
      <c r="AP151" s="47"/>
      <c r="AQ151" s="47"/>
      <c r="AR151" s="48"/>
      <c r="AS151" s="46">
        <v>0</v>
      </c>
      <c r="AT151" s="47"/>
      <c r="AU151" s="47"/>
      <c r="AV151" s="47"/>
      <c r="AW151" s="48"/>
      <c r="AX151" s="46">
        <v>0</v>
      </c>
      <c r="AY151" s="47"/>
      <c r="AZ151" s="47"/>
      <c r="BA151" s="48"/>
      <c r="BB151" s="46">
        <f t="shared" si="11"/>
        <v>0</v>
      </c>
      <c r="BC151" s="47"/>
      <c r="BD151" s="47"/>
      <c r="BE151" s="47"/>
      <c r="BF151" s="48"/>
      <c r="BG151" s="46">
        <v>0</v>
      </c>
      <c r="BH151" s="47"/>
      <c r="BI151" s="47"/>
      <c r="BJ151" s="47"/>
      <c r="BK151" s="48"/>
      <c r="BL151" s="46">
        <v>0</v>
      </c>
      <c r="BM151" s="47"/>
      <c r="BN151" s="47"/>
      <c r="BO151" s="47"/>
      <c r="BP151" s="48"/>
      <c r="BQ151" s="46">
        <v>0</v>
      </c>
      <c r="BR151" s="47"/>
      <c r="BS151" s="47"/>
      <c r="BT151" s="48"/>
      <c r="BU151" s="46">
        <f t="shared" si="12"/>
        <v>0</v>
      </c>
      <c r="BV151" s="47"/>
      <c r="BW151" s="47"/>
      <c r="BX151" s="47"/>
      <c r="BY151" s="48"/>
    </row>
    <row r="152" spans="1:77" s="4" customFormat="1" ht="14.25" customHeight="1" x14ac:dyDescent="0.2">
      <c r="A152" s="34">
        <v>27</v>
      </c>
      <c r="B152" s="35"/>
      <c r="C152" s="35"/>
      <c r="D152" s="29" t="s">
        <v>339</v>
      </c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1"/>
      <c r="U152" s="46">
        <v>62208</v>
      </c>
      <c r="V152" s="47"/>
      <c r="W152" s="47"/>
      <c r="X152" s="47"/>
      <c r="Y152" s="48"/>
      <c r="Z152" s="46">
        <v>0</v>
      </c>
      <c r="AA152" s="47"/>
      <c r="AB152" s="47"/>
      <c r="AC152" s="47"/>
      <c r="AD152" s="48"/>
      <c r="AE152" s="46">
        <v>0</v>
      </c>
      <c r="AF152" s="47"/>
      <c r="AG152" s="47"/>
      <c r="AH152" s="48"/>
      <c r="AI152" s="46">
        <f t="shared" si="10"/>
        <v>62208</v>
      </c>
      <c r="AJ152" s="47"/>
      <c r="AK152" s="47"/>
      <c r="AL152" s="47"/>
      <c r="AM152" s="48"/>
      <c r="AN152" s="46">
        <v>0</v>
      </c>
      <c r="AO152" s="47"/>
      <c r="AP152" s="47"/>
      <c r="AQ152" s="47"/>
      <c r="AR152" s="48"/>
      <c r="AS152" s="46">
        <v>0</v>
      </c>
      <c r="AT152" s="47"/>
      <c r="AU152" s="47"/>
      <c r="AV152" s="47"/>
      <c r="AW152" s="48"/>
      <c r="AX152" s="46">
        <v>0</v>
      </c>
      <c r="AY152" s="47"/>
      <c r="AZ152" s="47"/>
      <c r="BA152" s="48"/>
      <c r="BB152" s="46">
        <f t="shared" si="11"/>
        <v>0</v>
      </c>
      <c r="BC152" s="47"/>
      <c r="BD152" s="47"/>
      <c r="BE152" s="47"/>
      <c r="BF152" s="48"/>
      <c r="BG152" s="46">
        <v>99900</v>
      </c>
      <c r="BH152" s="47"/>
      <c r="BI152" s="47"/>
      <c r="BJ152" s="47"/>
      <c r="BK152" s="48"/>
      <c r="BL152" s="46">
        <v>0</v>
      </c>
      <c r="BM152" s="47"/>
      <c r="BN152" s="47"/>
      <c r="BO152" s="47"/>
      <c r="BP152" s="48"/>
      <c r="BQ152" s="46">
        <v>0</v>
      </c>
      <c r="BR152" s="47"/>
      <c r="BS152" s="47"/>
      <c r="BT152" s="48"/>
      <c r="BU152" s="46">
        <f t="shared" si="12"/>
        <v>99900</v>
      </c>
      <c r="BV152" s="47"/>
      <c r="BW152" s="47"/>
      <c r="BX152" s="47"/>
      <c r="BY152" s="48"/>
    </row>
    <row r="153" spans="1:77" s="4" customFormat="1" ht="25.5" customHeight="1" x14ac:dyDescent="0.2">
      <c r="A153" s="34">
        <v>28</v>
      </c>
      <c r="B153" s="35"/>
      <c r="C153" s="35"/>
      <c r="D153" s="29" t="s">
        <v>219</v>
      </c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1"/>
      <c r="U153" s="46">
        <v>6900</v>
      </c>
      <c r="V153" s="47"/>
      <c r="W153" s="47"/>
      <c r="X153" s="47"/>
      <c r="Y153" s="48"/>
      <c r="Z153" s="46">
        <v>0</v>
      </c>
      <c r="AA153" s="47"/>
      <c r="AB153" s="47"/>
      <c r="AC153" s="47"/>
      <c r="AD153" s="48"/>
      <c r="AE153" s="46">
        <v>0</v>
      </c>
      <c r="AF153" s="47"/>
      <c r="AG153" s="47"/>
      <c r="AH153" s="48"/>
      <c r="AI153" s="46">
        <f t="shared" si="10"/>
        <v>6900</v>
      </c>
      <c r="AJ153" s="47"/>
      <c r="AK153" s="47"/>
      <c r="AL153" s="47"/>
      <c r="AM153" s="48"/>
      <c r="AN153" s="46">
        <v>7000</v>
      </c>
      <c r="AO153" s="47"/>
      <c r="AP153" s="47"/>
      <c r="AQ153" s="47"/>
      <c r="AR153" s="48"/>
      <c r="AS153" s="46">
        <v>0</v>
      </c>
      <c r="AT153" s="47"/>
      <c r="AU153" s="47"/>
      <c r="AV153" s="47"/>
      <c r="AW153" s="48"/>
      <c r="AX153" s="46">
        <v>0</v>
      </c>
      <c r="AY153" s="47"/>
      <c r="AZ153" s="47"/>
      <c r="BA153" s="48"/>
      <c r="BB153" s="46">
        <f t="shared" si="11"/>
        <v>7000</v>
      </c>
      <c r="BC153" s="47"/>
      <c r="BD153" s="47"/>
      <c r="BE153" s="47"/>
      <c r="BF153" s="48"/>
      <c r="BG153" s="46">
        <v>10300</v>
      </c>
      <c r="BH153" s="47"/>
      <c r="BI153" s="47"/>
      <c r="BJ153" s="47"/>
      <c r="BK153" s="48"/>
      <c r="BL153" s="46">
        <v>0</v>
      </c>
      <c r="BM153" s="47"/>
      <c r="BN153" s="47"/>
      <c r="BO153" s="47"/>
      <c r="BP153" s="48"/>
      <c r="BQ153" s="46">
        <v>0</v>
      </c>
      <c r="BR153" s="47"/>
      <c r="BS153" s="47"/>
      <c r="BT153" s="48"/>
      <c r="BU153" s="46">
        <f t="shared" si="12"/>
        <v>10300</v>
      </c>
      <c r="BV153" s="47"/>
      <c r="BW153" s="47"/>
      <c r="BX153" s="47"/>
      <c r="BY153" s="48"/>
    </row>
    <row r="154" spans="1:77" s="4" customFormat="1" ht="12.75" customHeight="1" x14ac:dyDescent="0.2">
      <c r="A154" s="34">
        <v>29</v>
      </c>
      <c r="B154" s="35"/>
      <c r="C154" s="35"/>
      <c r="D154" s="29" t="s">
        <v>220</v>
      </c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1"/>
      <c r="U154" s="46">
        <v>335000</v>
      </c>
      <c r="V154" s="47"/>
      <c r="W154" s="47"/>
      <c r="X154" s="47"/>
      <c r="Y154" s="48"/>
      <c r="Z154" s="46">
        <v>209625</v>
      </c>
      <c r="AA154" s="47"/>
      <c r="AB154" s="47"/>
      <c r="AC154" s="47"/>
      <c r="AD154" s="48"/>
      <c r="AE154" s="46">
        <v>0</v>
      </c>
      <c r="AF154" s="47"/>
      <c r="AG154" s="47"/>
      <c r="AH154" s="48"/>
      <c r="AI154" s="46">
        <f t="shared" si="10"/>
        <v>544625</v>
      </c>
      <c r="AJ154" s="47"/>
      <c r="AK154" s="47"/>
      <c r="AL154" s="47"/>
      <c r="AM154" s="48"/>
      <c r="AN154" s="46">
        <v>17198</v>
      </c>
      <c r="AO154" s="47"/>
      <c r="AP154" s="47"/>
      <c r="AQ154" s="47"/>
      <c r="AR154" s="48"/>
      <c r="AS154" s="46">
        <v>0</v>
      </c>
      <c r="AT154" s="47"/>
      <c r="AU154" s="47"/>
      <c r="AV154" s="47"/>
      <c r="AW154" s="48"/>
      <c r="AX154" s="46">
        <v>0</v>
      </c>
      <c r="AY154" s="47"/>
      <c r="AZ154" s="47"/>
      <c r="BA154" s="48"/>
      <c r="BB154" s="46">
        <f t="shared" si="11"/>
        <v>17198</v>
      </c>
      <c r="BC154" s="47"/>
      <c r="BD154" s="47"/>
      <c r="BE154" s="47"/>
      <c r="BF154" s="48"/>
      <c r="BG154" s="46">
        <v>200000</v>
      </c>
      <c r="BH154" s="47"/>
      <c r="BI154" s="47"/>
      <c r="BJ154" s="47"/>
      <c r="BK154" s="48"/>
      <c r="BL154" s="46">
        <v>0</v>
      </c>
      <c r="BM154" s="47"/>
      <c r="BN154" s="47"/>
      <c r="BO154" s="47"/>
      <c r="BP154" s="48"/>
      <c r="BQ154" s="46">
        <v>0</v>
      </c>
      <c r="BR154" s="47"/>
      <c r="BS154" s="47"/>
      <c r="BT154" s="48"/>
      <c r="BU154" s="46">
        <f t="shared" si="12"/>
        <v>200000</v>
      </c>
      <c r="BV154" s="47"/>
      <c r="BW154" s="47"/>
      <c r="BX154" s="47"/>
      <c r="BY154" s="48"/>
    </row>
    <row r="155" spans="1:77" s="4" customFormat="1" ht="25.5" customHeight="1" x14ac:dyDescent="0.2">
      <c r="A155" s="34">
        <v>30</v>
      </c>
      <c r="B155" s="35"/>
      <c r="C155" s="35"/>
      <c r="D155" s="29" t="s">
        <v>221</v>
      </c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1"/>
      <c r="U155" s="46">
        <v>0</v>
      </c>
      <c r="V155" s="47"/>
      <c r="W155" s="47"/>
      <c r="X155" s="47"/>
      <c r="Y155" s="48"/>
      <c r="Z155" s="46">
        <v>452804</v>
      </c>
      <c r="AA155" s="47"/>
      <c r="AB155" s="47"/>
      <c r="AC155" s="47"/>
      <c r="AD155" s="48"/>
      <c r="AE155" s="46">
        <v>452804</v>
      </c>
      <c r="AF155" s="47"/>
      <c r="AG155" s="47"/>
      <c r="AH155" s="48"/>
      <c r="AI155" s="46">
        <f t="shared" si="10"/>
        <v>452804</v>
      </c>
      <c r="AJ155" s="47"/>
      <c r="AK155" s="47"/>
      <c r="AL155" s="47"/>
      <c r="AM155" s="48"/>
      <c r="AN155" s="46">
        <v>99900</v>
      </c>
      <c r="AO155" s="47"/>
      <c r="AP155" s="47"/>
      <c r="AQ155" s="47"/>
      <c r="AR155" s="48"/>
      <c r="AS155" s="46">
        <v>0</v>
      </c>
      <c r="AT155" s="47"/>
      <c r="AU155" s="47"/>
      <c r="AV155" s="47"/>
      <c r="AW155" s="48"/>
      <c r="AX155" s="46">
        <v>0</v>
      </c>
      <c r="AY155" s="47"/>
      <c r="AZ155" s="47"/>
      <c r="BA155" s="48"/>
      <c r="BB155" s="46">
        <f t="shared" si="11"/>
        <v>99900</v>
      </c>
      <c r="BC155" s="47"/>
      <c r="BD155" s="47"/>
      <c r="BE155" s="47"/>
      <c r="BF155" s="48"/>
      <c r="BG155" s="46">
        <v>99900</v>
      </c>
      <c r="BH155" s="47"/>
      <c r="BI155" s="47"/>
      <c r="BJ155" s="47"/>
      <c r="BK155" s="48"/>
      <c r="BL155" s="46">
        <v>0</v>
      </c>
      <c r="BM155" s="47"/>
      <c r="BN155" s="47"/>
      <c r="BO155" s="47"/>
      <c r="BP155" s="48"/>
      <c r="BQ155" s="46">
        <v>0</v>
      </c>
      <c r="BR155" s="47"/>
      <c r="BS155" s="47"/>
      <c r="BT155" s="48"/>
      <c r="BU155" s="46">
        <f t="shared" si="12"/>
        <v>99900</v>
      </c>
      <c r="BV155" s="47"/>
      <c r="BW155" s="47"/>
      <c r="BX155" s="47"/>
      <c r="BY155" s="48"/>
    </row>
    <row r="156" spans="1:77" s="4" customFormat="1" ht="25.5" customHeight="1" x14ac:dyDescent="0.2">
      <c r="A156" s="34">
        <v>31</v>
      </c>
      <c r="B156" s="35"/>
      <c r="C156" s="35"/>
      <c r="D156" s="29" t="s">
        <v>222</v>
      </c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1"/>
      <c r="U156" s="46">
        <v>49141</v>
      </c>
      <c r="V156" s="47"/>
      <c r="W156" s="47"/>
      <c r="X156" s="47"/>
      <c r="Y156" s="48"/>
      <c r="Z156" s="46">
        <v>0</v>
      </c>
      <c r="AA156" s="47"/>
      <c r="AB156" s="47"/>
      <c r="AC156" s="47"/>
      <c r="AD156" s="48"/>
      <c r="AE156" s="46">
        <v>0</v>
      </c>
      <c r="AF156" s="47"/>
      <c r="AG156" s="47"/>
      <c r="AH156" s="48"/>
      <c r="AI156" s="46">
        <f t="shared" si="10"/>
        <v>49141</v>
      </c>
      <c r="AJ156" s="47"/>
      <c r="AK156" s="47"/>
      <c r="AL156" s="47"/>
      <c r="AM156" s="48"/>
      <c r="AN156" s="46">
        <v>0</v>
      </c>
      <c r="AO156" s="47"/>
      <c r="AP156" s="47"/>
      <c r="AQ156" s="47"/>
      <c r="AR156" s="48"/>
      <c r="AS156" s="46">
        <v>250000</v>
      </c>
      <c r="AT156" s="47"/>
      <c r="AU156" s="47"/>
      <c r="AV156" s="47"/>
      <c r="AW156" s="48"/>
      <c r="AX156" s="46">
        <v>0</v>
      </c>
      <c r="AY156" s="47"/>
      <c r="AZ156" s="47"/>
      <c r="BA156" s="48"/>
      <c r="BB156" s="46">
        <f t="shared" si="11"/>
        <v>250000</v>
      </c>
      <c r="BC156" s="47"/>
      <c r="BD156" s="47"/>
      <c r="BE156" s="47"/>
      <c r="BF156" s="48"/>
      <c r="BG156" s="46">
        <v>99600</v>
      </c>
      <c r="BH156" s="47"/>
      <c r="BI156" s="47"/>
      <c r="BJ156" s="47"/>
      <c r="BK156" s="48"/>
      <c r="BL156" s="46">
        <v>200000</v>
      </c>
      <c r="BM156" s="47"/>
      <c r="BN156" s="47"/>
      <c r="BO156" s="47"/>
      <c r="BP156" s="48"/>
      <c r="BQ156" s="46">
        <v>0</v>
      </c>
      <c r="BR156" s="47"/>
      <c r="BS156" s="47"/>
      <c r="BT156" s="48"/>
      <c r="BU156" s="46">
        <f t="shared" si="12"/>
        <v>299600</v>
      </c>
      <c r="BV156" s="47"/>
      <c r="BW156" s="47"/>
      <c r="BX156" s="47"/>
      <c r="BY156" s="48"/>
    </row>
    <row r="157" spans="1:77" s="4" customFormat="1" ht="12.75" customHeight="1" x14ac:dyDescent="0.2">
      <c r="A157" s="34">
        <v>32</v>
      </c>
      <c r="B157" s="35"/>
      <c r="C157" s="35"/>
      <c r="D157" s="29" t="s">
        <v>223</v>
      </c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1"/>
      <c r="U157" s="46">
        <v>797171</v>
      </c>
      <c r="V157" s="47"/>
      <c r="W157" s="47"/>
      <c r="X157" s="47"/>
      <c r="Y157" s="48"/>
      <c r="Z157" s="46">
        <v>0</v>
      </c>
      <c r="AA157" s="47"/>
      <c r="AB157" s="47"/>
      <c r="AC157" s="47"/>
      <c r="AD157" s="48"/>
      <c r="AE157" s="46">
        <v>0</v>
      </c>
      <c r="AF157" s="47"/>
      <c r="AG157" s="47"/>
      <c r="AH157" s="48"/>
      <c r="AI157" s="46">
        <f t="shared" si="10"/>
        <v>797171</v>
      </c>
      <c r="AJ157" s="47"/>
      <c r="AK157" s="47"/>
      <c r="AL157" s="47"/>
      <c r="AM157" s="48"/>
      <c r="AN157" s="46">
        <v>598890</v>
      </c>
      <c r="AO157" s="47"/>
      <c r="AP157" s="47"/>
      <c r="AQ157" s="47"/>
      <c r="AR157" s="48"/>
      <c r="AS157" s="46">
        <v>0</v>
      </c>
      <c r="AT157" s="47"/>
      <c r="AU157" s="47"/>
      <c r="AV157" s="47"/>
      <c r="AW157" s="48"/>
      <c r="AX157" s="46">
        <v>0</v>
      </c>
      <c r="AY157" s="47"/>
      <c r="AZ157" s="47"/>
      <c r="BA157" s="48"/>
      <c r="BB157" s="46">
        <f t="shared" si="11"/>
        <v>598890</v>
      </c>
      <c r="BC157" s="47"/>
      <c r="BD157" s="47"/>
      <c r="BE157" s="47"/>
      <c r="BF157" s="48"/>
      <c r="BG157" s="46">
        <v>99450</v>
      </c>
      <c r="BH157" s="47"/>
      <c r="BI157" s="47"/>
      <c r="BJ157" s="47"/>
      <c r="BK157" s="48"/>
      <c r="BL157" s="46">
        <v>0</v>
      </c>
      <c r="BM157" s="47"/>
      <c r="BN157" s="47"/>
      <c r="BO157" s="47"/>
      <c r="BP157" s="48"/>
      <c r="BQ157" s="46">
        <v>0</v>
      </c>
      <c r="BR157" s="47"/>
      <c r="BS157" s="47"/>
      <c r="BT157" s="48"/>
      <c r="BU157" s="46">
        <f t="shared" si="12"/>
        <v>99450</v>
      </c>
      <c r="BV157" s="47"/>
      <c r="BW157" s="47"/>
      <c r="BX157" s="47"/>
      <c r="BY157" s="48"/>
    </row>
    <row r="158" spans="1:77" s="4" customFormat="1" ht="12.75" customHeight="1" x14ac:dyDescent="0.2">
      <c r="A158" s="34">
        <v>33</v>
      </c>
      <c r="B158" s="35"/>
      <c r="C158" s="35"/>
      <c r="D158" s="29" t="s">
        <v>224</v>
      </c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1"/>
      <c r="U158" s="46">
        <v>31400</v>
      </c>
      <c r="V158" s="47"/>
      <c r="W158" s="47"/>
      <c r="X158" s="47"/>
      <c r="Y158" s="48"/>
      <c r="Z158" s="46">
        <v>0</v>
      </c>
      <c r="AA158" s="47"/>
      <c r="AB158" s="47"/>
      <c r="AC158" s="47"/>
      <c r="AD158" s="48"/>
      <c r="AE158" s="46">
        <v>0</v>
      </c>
      <c r="AF158" s="47"/>
      <c r="AG158" s="47"/>
      <c r="AH158" s="48"/>
      <c r="AI158" s="46">
        <f t="shared" ref="AI158:AI187" si="13">IF(ISNUMBER(U158),U158,0)+IF(ISNUMBER(Z158),Z158,0)</f>
        <v>31400</v>
      </c>
      <c r="AJ158" s="47"/>
      <c r="AK158" s="47"/>
      <c r="AL158" s="47"/>
      <c r="AM158" s="48"/>
      <c r="AN158" s="46">
        <v>70000</v>
      </c>
      <c r="AO158" s="47"/>
      <c r="AP158" s="47"/>
      <c r="AQ158" s="47"/>
      <c r="AR158" s="48"/>
      <c r="AS158" s="46">
        <v>0</v>
      </c>
      <c r="AT158" s="47"/>
      <c r="AU158" s="47"/>
      <c r="AV158" s="47"/>
      <c r="AW158" s="48"/>
      <c r="AX158" s="46">
        <v>0</v>
      </c>
      <c r="AY158" s="47"/>
      <c r="AZ158" s="47"/>
      <c r="BA158" s="48"/>
      <c r="BB158" s="46">
        <f t="shared" ref="BB158:BB187" si="14">IF(ISNUMBER(AN158),AN158,0)+IF(ISNUMBER(AS158),AS158,0)</f>
        <v>70000</v>
      </c>
      <c r="BC158" s="47"/>
      <c r="BD158" s="47"/>
      <c r="BE158" s="47"/>
      <c r="BF158" s="48"/>
      <c r="BG158" s="46">
        <v>70000</v>
      </c>
      <c r="BH158" s="47"/>
      <c r="BI158" s="47"/>
      <c r="BJ158" s="47"/>
      <c r="BK158" s="48"/>
      <c r="BL158" s="46">
        <v>0</v>
      </c>
      <c r="BM158" s="47"/>
      <c r="BN158" s="47"/>
      <c r="BO158" s="47"/>
      <c r="BP158" s="48"/>
      <c r="BQ158" s="46">
        <v>0</v>
      </c>
      <c r="BR158" s="47"/>
      <c r="BS158" s="47"/>
      <c r="BT158" s="48"/>
      <c r="BU158" s="46">
        <f t="shared" ref="BU158:BU187" si="15">IF(ISNUMBER(BG158),BG158,0)+IF(ISNUMBER(BL158),BL158,0)</f>
        <v>70000</v>
      </c>
      <c r="BV158" s="47"/>
      <c r="BW158" s="47"/>
      <c r="BX158" s="47"/>
      <c r="BY158" s="48"/>
    </row>
    <row r="159" spans="1:77" s="4" customFormat="1" ht="38.25" customHeight="1" x14ac:dyDescent="0.2">
      <c r="A159" s="34">
        <v>34</v>
      </c>
      <c r="B159" s="35"/>
      <c r="C159" s="35"/>
      <c r="D159" s="29" t="s">
        <v>225</v>
      </c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1"/>
      <c r="U159" s="46">
        <v>4800</v>
      </c>
      <c r="V159" s="47"/>
      <c r="W159" s="47"/>
      <c r="X159" s="47"/>
      <c r="Y159" s="48"/>
      <c r="Z159" s="46">
        <v>0</v>
      </c>
      <c r="AA159" s="47"/>
      <c r="AB159" s="47"/>
      <c r="AC159" s="47"/>
      <c r="AD159" s="48"/>
      <c r="AE159" s="46">
        <v>0</v>
      </c>
      <c r="AF159" s="47"/>
      <c r="AG159" s="47"/>
      <c r="AH159" s="48"/>
      <c r="AI159" s="46">
        <f t="shared" si="13"/>
        <v>4800</v>
      </c>
      <c r="AJ159" s="47"/>
      <c r="AK159" s="47"/>
      <c r="AL159" s="47"/>
      <c r="AM159" s="48"/>
      <c r="AN159" s="46">
        <v>0</v>
      </c>
      <c r="AO159" s="47"/>
      <c r="AP159" s="47"/>
      <c r="AQ159" s="47"/>
      <c r="AR159" s="48"/>
      <c r="AS159" s="46">
        <v>0</v>
      </c>
      <c r="AT159" s="47"/>
      <c r="AU159" s="47"/>
      <c r="AV159" s="47"/>
      <c r="AW159" s="48"/>
      <c r="AX159" s="46">
        <v>0</v>
      </c>
      <c r="AY159" s="47"/>
      <c r="AZ159" s="47"/>
      <c r="BA159" s="48"/>
      <c r="BB159" s="46">
        <f t="shared" si="14"/>
        <v>0</v>
      </c>
      <c r="BC159" s="47"/>
      <c r="BD159" s="47"/>
      <c r="BE159" s="47"/>
      <c r="BF159" s="48"/>
      <c r="BG159" s="46">
        <v>0</v>
      </c>
      <c r="BH159" s="47"/>
      <c r="BI159" s="47"/>
      <c r="BJ159" s="47"/>
      <c r="BK159" s="48"/>
      <c r="BL159" s="46">
        <v>0</v>
      </c>
      <c r="BM159" s="47"/>
      <c r="BN159" s="47"/>
      <c r="BO159" s="47"/>
      <c r="BP159" s="48"/>
      <c r="BQ159" s="46">
        <v>0</v>
      </c>
      <c r="BR159" s="47"/>
      <c r="BS159" s="47"/>
      <c r="BT159" s="48"/>
      <c r="BU159" s="46">
        <f t="shared" si="15"/>
        <v>0</v>
      </c>
      <c r="BV159" s="47"/>
      <c r="BW159" s="47"/>
      <c r="BX159" s="47"/>
      <c r="BY159" s="48"/>
    </row>
    <row r="160" spans="1:77" s="4" customFormat="1" ht="25.5" customHeight="1" x14ac:dyDescent="0.2">
      <c r="A160" s="34">
        <v>35</v>
      </c>
      <c r="B160" s="35"/>
      <c r="C160" s="35"/>
      <c r="D160" s="29" t="s">
        <v>226</v>
      </c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1"/>
      <c r="U160" s="46">
        <v>49900</v>
      </c>
      <c r="V160" s="47"/>
      <c r="W160" s="47"/>
      <c r="X160" s="47"/>
      <c r="Y160" s="48"/>
      <c r="Z160" s="46">
        <v>0</v>
      </c>
      <c r="AA160" s="47"/>
      <c r="AB160" s="47"/>
      <c r="AC160" s="47"/>
      <c r="AD160" s="48"/>
      <c r="AE160" s="46">
        <v>0</v>
      </c>
      <c r="AF160" s="47"/>
      <c r="AG160" s="47"/>
      <c r="AH160" s="48"/>
      <c r="AI160" s="46">
        <f t="shared" si="13"/>
        <v>49900</v>
      </c>
      <c r="AJ160" s="47"/>
      <c r="AK160" s="47"/>
      <c r="AL160" s="47"/>
      <c r="AM160" s="48"/>
      <c r="AN160" s="46">
        <v>0</v>
      </c>
      <c r="AO160" s="47"/>
      <c r="AP160" s="47"/>
      <c r="AQ160" s="47"/>
      <c r="AR160" s="48"/>
      <c r="AS160" s="46">
        <v>0</v>
      </c>
      <c r="AT160" s="47"/>
      <c r="AU160" s="47"/>
      <c r="AV160" s="47"/>
      <c r="AW160" s="48"/>
      <c r="AX160" s="46">
        <v>0</v>
      </c>
      <c r="AY160" s="47"/>
      <c r="AZ160" s="47"/>
      <c r="BA160" s="48"/>
      <c r="BB160" s="46">
        <f t="shared" si="14"/>
        <v>0</v>
      </c>
      <c r="BC160" s="47"/>
      <c r="BD160" s="47"/>
      <c r="BE160" s="47"/>
      <c r="BF160" s="48"/>
      <c r="BG160" s="46">
        <v>0</v>
      </c>
      <c r="BH160" s="47"/>
      <c r="BI160" s="47"/>
      <c r="BJ160" s="47"/>
      <c r="BK160" s="48"/>
      <c r="BL160" s="46">
        <v>0</v>
      </c>
      <c r="BM160" s="47"/>
      <c r="BN160" s="47"/>
      <c r="BO160" s="47"/>
      <c r="BP160" s="48"/>
      <c r="BQ160" s="46">
        <v>0</v>
      </c>
      <c r="BR160" s="47"/>
      <c r="BS160" s="47"/>
      <c r="BT160" s="48"/>
      <c r="BU160" s="46">
        <f t="shared" si="15"/>
        <v>0</v>
      </c>
      <c r="BV160" s="47"/>
      <c r="BW160" s="47"/>
      <c r="BX160" s="47"/>
      <c r="BY160" s="48"/>
    </row>
    <row r="161" spans="1:77" s="4" customFormat="1" ht="12.75" customHeight="1" x14ac:dyDescent="0.2">
      <c r="A161" s="34">
        <v>36</v>
      </c>
      <c r="B161" s="35"/>
      <c r="C161" s="35"/>
      <c r="D161" s="29" t="s">
        <v>227</v>
      </c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1"/>
      <c r="U161" s="46">
        <v>4800</v>
      </c>
      <c r="V161" s="47"/>
      <c r="W161" s="47"/>
      <c r="X161" s="47"/>
      <c r="Y161" s="48"/>
      <c r="Z161" s="46">
        <v>0</v>
      </c>
      <c r="AA161" s="47"/>
      <c r="AB161" s="47"/>
      <c r="AC161" s="47"/>
      <c r="AD161" s="48"/>
      <c r="AE161" s="46">
        <v>0</v>
      </c>
      <c r="AF161" s="47"/>
      <c r="AG161" s="47"/>
      <c r="AH161" s="48"/>
      <c r="AI161" s="46">
        <f t="shared" si="13"/>
        <v>4800</v>
      </c>
      <c r="AJ161" s="47"/>
      <c r="AK161" s="47"/>
      <c r="AL161" s="47"/>
      <c r="AM161" s="48"/>
      <c r="AN161" s="46">
        <v>4800</v>
      </c>
      <c r="AO161" s="47"/>
      <c r="AP161" s="47"/>
      <c r="AQ161" s="47"/>
      <c r="AR161" s="48"/>
      <c r="AS161" s="46">
        <v>0</v>
      </c>
      <c r="AT161" s="47"/>
      <c r="AU161" s="47"/>
      <c r="AV161" s="47"/>
      <c r="AW161" s="48"/>
      <c r="AX161" s="46">
        <v>0</v>
      </c>
      <c r="AY161" s="47"/>
      <c r="AZ161" s="47"/>
      <c r="BA161" s="48"/>
      <c r="BB161" s="46">
        <f t="shared" si="14"/>
        <v>4800</v>
      </c>
      <c r="BC161" s="47"/>
      <c r="BD161" s="47"/>
      <c r="BE161" s="47"/>
      <c r="BF161" s="48"/>
      <c r="BG161" s="46">
        <v>4800</v>
      </c>
      <c r="BH161" s="47"/>
      <c r="BI161" s="47"/>
      <c r="BJ161" s="47"/>
      <c r="BK161" s="48"/>
      <c r="BL161" s="46">
        <v>0</v>
      </c>
      <c r="BM161" s="47"/>
      <c r="BN161" s="47"/>
      <c r="BO161" s="47"/>
      <c r="BP161" s="48"/>
      <c r="BQ161" s="46">
        <v>0</v>
      </c>
      <c r="BR161" s="47"/>
      <c r="BS161" s="47"/>
      <c r="BT161" s="48"/>
      <c r="BU161" s="46">
        <f t="shared" si="15"/>
        <v>4800</v>
      </c>
      <c r="BV161" s="47"/>
      <c r="BW161" s="47"/>
      <c r="BX161" s="47"/>
      <c r="BY161" s="48"/>
    </row>
    <row r="162" spans="1:77" s="4" customFormat="1" ht="12.75" customHeight="1" x14ac:dyDescent="0.2">
      <c r="A162" s="34">
        <v>37</v>
      </c>
      <c r="B162" s="35"/>
      <c r="C162" s="35"/>
      <c r="D162" s="29" t="s">
        <v>228</v>
      </c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1"/>
      <c r="U162" s="46">
        <v>11460</v>
      </c>
      <c r="V162" s="47"/>
      <c r="W162" s="47"/>
      <c r="X162" s="47"/>
      <c r="Y162" s="48"/>
      <c r="Z162" s="46">
        <v>0</v>
      </c>
      <c r="AA162" s="47"/>
      <c r="AB162" s="47"/>
      <c r="AC162" s="47"/>
      <c r="AD162" s="48"/>
      <c r="AE162" s="46">
        <v>0</v>
      </c>
      <c r="AF162" s="47"/>
      <c r="AG162" s="47"/>
      <c r="AH162" s="48"/>
      <c r="AI162" s="46">
        <f t="shared" si="13"/>
        <v>11460</v>
      </c>
      <c r="AJ162" s="47"/>
      <c r="AK162" s="47"/>
      <c r="AL162" s="47"/>
      <c r="AM162" s="48"/>
      <c r="AN162" s="46">
        <v>0</v>
      </c>
      <c r="AO162" s="47"/>
      <c r="AP162" s="47"/>
      <c r="AQ162" s="47"/>
      <c r="AR162" s="48"/>
      <c r="AS162" s="46">
        <v>0</v>
      </c>
      <c r="AT162" s="47"/>
      <c r="AU162" s="47"/>
      <c r="AV162" s="47"/>
      <c r="AW162" s="48"/>
      <c r="AX162" s="46">
        <v>0</v>
      </c>
      <c r="AY162" s="47"/>
      <c r="AZ162" s="47"/>
      <c r="BA162" s="48"/>
      <c r="BB162" s="46">
        <f t="shared" si="14"/>
        <v>0</v>
      </c>
      <c r="BC162" s="47"/>
      <c r="BD162" s="47"/>
      <c r="BE162" s="47"/>
      <c r="BF162" s="48"/>
      <c r="BG162" s="46">
        <v>0</v>
      </c>
      <c r="BH162" s="47"/>
      <c r="BI162" s="47"/>
      <c r="BJ162" s="47"/>
      <c r="BK162" s="48"/>
      <c r="BL162" s="46">
        <v>0</v>
      </c>
      <c r="BM162" s="47"/>
      <c r="BN162" s="47"/>
      <c r="BO162" s="47"/>
      <c r="BP162" s="48"/>
      <c r="BQ162" s="46">
        <v>0</v>
      </c>
      <c r="BR162" s="47"/>
      <c r="BS162" s="47"/>
      <c r="BT162" s="48"/>
      <c r="BU162" s="46">
        <f t="shared" si="15"/>
        <v>0</v>
      </c>
      <c r="BV162" s="47"/>
      <c r="BW162" s="47"/>
      <c r="BX162" s="47"/>
      <c r="BY162" s="48"/>
    </row>
    <row r="163" spans="1:77" s="4" customFormat="1" ht="12.75" customHeight="1" x14ac:dyDescent="0.2">
      <c r="A163" s="34">
        <v>38</v>
      </c>
      <c r="B163" s="35"/>
      <c r="C163" s="35"/>
      <c r="D163" s="29" t="s">
        <v>229</v>
      </c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1"/>
      <c r="U163" s="46">
        <v>0</v>
      </c>
      <c r="V163" s="47"/>
      <c r="W163" s="47"/>
      <c r="X163" s="47"/>
      <c r="Y163" s="48"/>
      <c r="Z163" s="46">
        <v>4382186</v>
      </c>
      <c r="AA163" s="47"/>
      <c r="AB163" s="47"/>
      <c r="AC163" s="47"/>
      <c r="AD163" s="48"/>
      <c r="AE163" s="46">
        <v>4382186</v>
      </c>
      <c r="AF163" s="47"/>
      <c r="AG163" s="47"/>
      <c r="AH163" s="48"/>
      <c r="AI163" s="46">
        <f t="shared" si="13"/>
        <v>4382186</v>
      </c>
      <c r="AJ163" s="47"/>
      <c r="AK163" s="47"/>
      <c r="AL163" s="47"/>
      <c r="AM163" s="48"/>
      <c r="AN163" s="46">
        <v>0</v>
      </c>
      <c r="AO163" s="47"/>
      <c r="AP163" s="47"/>
      <c r="AQ163" s="47"/>
      <c r="AR163" s="48"/>
      <c r="AS163" s="46">
        <v>0</v>
      </c>
      <c r="AT163" s="47"/>
      <c r="AU163" s="47"/>
      <c r="AV163" s="47"/>
      <c r="AW163" s="48"/>
      <c r="AX163" s="46">
        <v>0</v>
      </c>
      <c r="AY163" s="47"/>
      <c r="AZ163" s="47"/>
      <c r="BA163" s="48"/>
      <c r="BB163" s="46">
        <f t="shared" si="14"/>
        <v>0</v>
      </c>
      <c r="BC163" s="47"/>
      <c r="BD163" s="47"/>
      <c r="BE163" s="47"/>
      <c r="BF163" s="48"/>
      <c r="BG163" s="46">
        <v>0</v>
      </c>
      <c r="BH163" s="47"/>
      <c r="BI163" s="47"/>
      <c r="BJ163" s="47"/>
      <c r="BK163" s="48"/>
      <c r="BL163" s="46">
        <v>0</v>
      </c>
      <c r="BM163" s="47"/>
      <c r="BN163" s="47"/>
      <c r="BO163" s="47"/>
      <c r="BP163" s="48"/>
      <c r="BQ163" s="46">
        <v>0</v>
      </c>
      <c r="BR163" s="47"/>
      <c r="BS163" s="47"/>
      <c r="BT163" s="48"/>
      <c r="BU163" s="46">
        <f t="shared" si="15"/>
        <v>0</v>
      </c>
      <c r="BV163" s="47"/>
      <c r="BW163" s="47"/>
      <c r="BX163" s="47"/>
      <c r="BY163" s="48"/>
    </row>
    <row r="164" spans="1:77" s="4" customFormat="1" ht="38.25" customHeight="1" x14ac:dyDescent="0.2">
      <c r="A164" s="34">
        <v>39</v>
      </c>
      <c r="B164" s="35"/>
      <c r="C164" s="35"/>
      <c r="D164" s="29" t="s">
        <v>230</v>
      </c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1"/>
      <c r="U164" s="46">
        <v>84000</v>
      </c>
      <c r="V164" s="47"/>
      <c r="W164" s="47"/>
      <c r="X164" s="47"/>
      <c r="Y164" s="48"/>
      <c r="Z164" s="46">
        <v>0</v>
      </c>
      <c r="AA164" s="47"/>
      <c r="AB164" s="47"/>
      <c r="AC164" s="47"/>
      <c r="AD164" s="48"/>
      <c r="AE164" s="46">
        <v>0</v>
      </c>
      <c r="AF164" s="47"/>
      <c r="AG164" s="47"/>
      <c r="AH164" s="48"/>
      <c r="AI164" s="46">
        <f t="shared" si="13"/>
        <v>84000</v>
      </c>
      <c r="AJ164" s="47"/>
      <c r="AK164" s="47"/>
      <c r="AL164" s="47"/>
      <c r="AM164" s="48"/>
      <c r="AN164" s="46">
        <v>0</v>
      </c>
      <c r="AO164" s="47"/>
      <c r="AP164" s="47"/>
      <c r="AQ164" s="47"/>
      <c r="AR164" s="48"/>
      <c r="AS164" s="46">
        <v>0</v>
      </c>
      <c r="AT164" s="47"/>
      <c r="AU164" s="47"/>
      <c r="AV164" s="47"/>
      <c r="AW164" s="48"/>
      <c r="AX164" s="46">
        <v>0</v>
      </c>
      <c r="AY164" s="47"/>
      <c r="AZ164" s="47"/>
      <c r="BA164" s="48"/>
      <c r="BB164" s="46">
        <f t="shared" si="14"/>
        <v>0</v>
      </c>
      <c r="BC164" s="47"/>
      <c r="BD164" s="47"/>
      <c r="BE164" s="47"/>
      <c r="BF164" s="48"/>
      <c r="BG164" s="46">
        <v>0</v>
      </c>
      <c r="BH164" s="47"/>
      <c r="BI164" s="47"/>
      <c r="BJ164" s="47"/>
      <c r="BK164" s="48"/>
      <c r="BL164" s="46">
        <v>0</v>
      </c>
      <c r="BM164" s="47"/>
      <c r="BN164" s="47"/>
      <c r="BO164" s="47"/>
      <c r="BP164" s="48"/>
      <c r="BQ164" s="46">
        <v>0</v>
      </c>
      <c r="BR164" s="47"/>
      <c r="BS164" s="47"/>
      <c r="BT164" s="48"/>
      <c r="BU164" s="46">
        <f t="shared" si="15"/>
        <v>0</v>
      </c>
      <c r="BV164" s="47"/>
      <c r="BW164" s="47"/>
      <c r="BX164" s="47"/>
      <c r="BY164" s="48"/>
    </row>
    <row r="165" spans="1:77" s="4" customFormat="1" ht="12.75" customHeight="1" x14ac:dyDescent="0.2">
      <c r="A165" s="34">
        <v>40</v>
      </c>
      <c r="B165" s="35"/>
      <c r="C165" s="35"/>
      <c r="D165" s="29" t="s">
        <v>231</v>
      </c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1"/>
      <c r="U165" s="46">
        <v>12078</v>
      </c>
      <c r="V165" s="47"/>
      <c r="W165" s="47"/>
      <c r="X165" s="47"/>
      <c r="Y165" s="48"/>
      <c r="Z165" s="46">
        <v>0</v>
      </c>
      <c r="AA165" s="47"/>
      <c r="AB165" s="47"/>
      <c r="AC165" s="47"/>
      <c r="AD165" s="48"/>
      <c r="AE165" s="46">
        <v>0</v>
      </c>
      <c r="AF165" s="47"/>
      <c r="AG165" s="47"/>
      <c r="AH165" s="48"/>
      <c r="AI165" s="46">
        <f t="shared" si="13"/>
        <v>12078</v>
      </c>
      <c r="AJ165" s="47"/>
      <c r="AK165" s="47"/>
      <c r="AL165" s="47"/>
      <c r="AM165" s="48"/>
      <c r="AN165" s="46">
        <v>400000</v>
      </c>
      <c r="AO165" s="47"/>
      <c r="AP165" s="47"/>
      <c r="AQ165" s="47"/>
      <c r="AR165" s="48"/>
      <c r="AS165" s="46">
        <v>0</v>
      </c>
      <c r="AT165" s="47"/>
      <c r="AU165" s="47"/>
      <c r="AV165" s="47"/>
      <c r="AW165" s="48"/>
      <c r="AX165" s="46">
        <v>0</v>
      </c>
      <c r="AY165" s="47"/>
      <c r="AZ165" s="47"/>
      <c r="BA165" s="48"/>
      <c r="BB165" s="46">
        <f t="shared" si="14"/>
        <v>400000</v>
      </c>
      <c r="BC165" s="47"/>
      <c r="BD165" s="47"/>
      <c r="BE165" s="47"/>
      <c r="BF165" s="48"/>
      <c r="BG165" s="46">
        <v>400000</v>
      </c>
      <c r="BH165" s="47"/>
      <c r="BI165" s="47"/>
      <c r="BJ165" s="47"/>
      <c r="BK165" s="48"/>
      <c r="BL165" s="46">
        <v>0</v>
      </c>
      <c r="BM165" s="47"/>
      <c r="BN165" s="47"/>
      <c r="BO165" s="47"/>
      <c r="BP165" s="48"/>
      <c r="BQ165" s="46">
        <v>0</v>
      </c>
      <c r="BR165" s="47"/>
      <c r="BS165" s="47"/>
      <c r="BT165" s="48"/>
      <c r="BU165" s="46">
        <f t="shared" si="15"/>
        <v>400000</v>
      </c>
      <c r="BV165" s="47"/>
      <c r="BW165" s="47"/>
      <c r="BX165" s="47"/>
      <c r="BY165" s="48"/>
    </row>
    <row r="166" spans="1:77" s="4" customFormat="1" ht="51" customHeight="1" x14ac:dyDescent="0.2">
      <c r="A166" s="34">
        <v>41</v>
      </c>
      <c r="B166" s="35"/>
      <c r="C166" s="35"/>
      <c r="D166" s="29" t="s">
        <v>232</v>
      </c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1"/>
      <c r="U166" s="46">
        <v>96000</v>
      </c>
      <c r="V166" s="47"/>
      <c r="W166" s="47"/>
      <c r="X166" s="47"/>
      <c r="Y166" s="48"/>
      <c r="Z166" s="46">
        <v>0</v>
      </c>
      <c r="AA166" s="47"/>
      <c r="AB166" s="47"/>
      <c r="AC166" s="47"/>
      <c r="AD166" s="48"/>
      <c r="AE166" s="46">
        <v>0</v>
      </c>
      <c r="AF166" s="47"/>
      <c r="AG166" s="47"/>
      <c r="AH166" s="48"/>
      <c r="AI166" s="46">
        <f t="shared" si="13"/>
        <v>96000</v>
      </c>
      <c r="AJ166" s="47"/>
      <c r="AK166" s="47"/>
      <c r="AL166" s="47"/>
      <c r="AM166" s="48"/>
      <c r="AN166" s="46">
        <v>0</v>
      </c>
      <c r="AO166" s="47"/>
      <c r="AP166" s="47"/>
      <c r="AQ166" s="47"/>
      <c r="AR166" s="48"/>
      <c r="AS166" s="46">
        <v>0</v>
      </c>
      <c r="AT166" s="47"/>
      <c r="AU166" s="47"/>
      <c r="AV166" s="47"/>
      <c r="AW166" s="48"/>
      <c r="AX166" s="46">
        <v>0</v>
      </c>
      <c r="AY166" s="47"/>
      <c r="AZ166" s="47"/>
      <c r="BA166" s="48"/>
      <c r="BB166" s="46">
        <f t="shared" si="14"/>
        <v>0</v>
      </c>
      <c r="BC166" s="47"/>
      <c r="BD166" s="47"/>
      <c r="BE166" s="47"/>
      <c r="BF166" s="48"/>
      <c r="BG166" s="46">
        <v>0</v>
      </c>
      <c r="BH166" s="47"/>
      <c r="BI166" s="47"/>
      <c r="BJ166" s="47"/>
      <c r="BK166" s="48"/>
      <c r="BL166" s="46">
        <v>0</v>
      </c>
      <c r="BM166" s="47"/>
      <c r="BN166" s="47"/>
      <c r="BO166" s="47"/>
      <c r="BP166" s="48"/>
      <c r="BQ166" s="46">
        <v>0</v>
      </c>
      <c r="BR166" s="47"/>
      <c r="BS166" s="47"/>
      <c r="BT166" s="48"/>
      <c r="BU166" s="46">
        <f t="shared" si="15"/>
        <v>0</v>
      </c>
      <c r="BV166" s="47"/>
      <c r="BW166" s="47"/>
      <c r="BX166" s="47"/>
      <c r="BY166" s="48"/>
    </row>
    <row r="167" spans="1:77" s="4" customFormat="1" ht="24" customHeight="1" x14ac:dyDescent="0.2">
      <c r="A167" s="34">
        <v>42</v>
      </c>
      <c r="B167" s="35"/>
      <c r="C167" s="35"/>
      <c r="D167" s="29" t="s">
        <v>233</v>
      </c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1"/>
      <c r="U167" s="46">
        <v>154990</v>
      </c>
      <c r="V167" s="47"/>
      <c r="W167" s="47"/>
      <c r="X167" s="47"/>
      <c r="Y167" s="48"/>
      <c r="Z167" s="46">
        <v>0</v>
      </c>
      <c r="AA167" s="47"/>
      <c r="AB167" s="47"/>
      <c r="AC167" s="47"/>
      <c r="AD167" s="48"/>
      <c r="AE167" s="46">
        <v>0</v>
      </c>
      <c r="AF167" s="47"/>
      <c r="AG167" s="47"/>
      <c r="AH167" s="48"/>
      <c r="AI167" s="46">
        <f t="shared" si="13"/>
        <v>154990</v>
      </c>
      <c r="AJ167" s="47"/>
      <c r="AK167" s="47"/>
      <c r="AL167" s="47"/>
      <c r="AM167" s="48"/>
      <c r="AN167" s="46">
        <v>0</v>
      </c>
      <c r="AO167" s="47"/>
      <c r="AP167" s="47"/>
      <c r="AQ167" s="47"/>
      <c r="AR167" s="48"/>
      <c r="AS167" s="46">
        <v>0</v>
      </c>
      <c r="AT167" s="47"/>
      <c r="AU167" s="47"/>
      <c r="AV167" s="47"/>
      <c r="AW167" s="48"/>
      <c r="AX167" s="46">
        <v>0</v>
      </c>
      <c r="AY167" s="47"/>
      <c r="AZ167" s="47"/>
      <c r="BA167" s="48"/>
      <c r="BB167" s="46">
        <f t="shared" si="14"/>
        <v>0</v>
      </c>
      <c r="BC167" s="47"/>
      <c r="BD167" s="47"/>
      <c r="BE167" s="47"/>
      <c r="BF167" s="48"/>
      <c r="BG167" s="46">
        <v>0</v>
      </c>
      <c r="BH167" s="47"/>
      <c r="BI167" s="47"/>
      <c r="BJ167" s="47"/>
      <c r="BK167" s="48"/>
      <c r="BL167" s="46">
        <v>0</v>
      </c>
      <c r="BM167" s="47"/>
      <c r="BN167" s="47"/>
      <c r="BO167" s="47"/>
      <c r="BP167" s="48"/>
      <c r="BQ167" s="46">
        <v>0</v>
      </c>
      <c r="BR167" s="47"/>
      <c r="BS167" s="47"/>
      <c r="BT167" s="48"/>
      <c r="BU167" s="46">
        <f t="shared" si="15"/>
        <v>0</v>
      </c>
      <c r="BV167" s="47"/>
      <c r="BW167" s="47"/>
      <c r="BX167" s="47"/>
      <c r="BY167" s="48"/>
    </row>
    <row r="168" spans="1:77" s="4" customFormat="1" ht="12.75" customHeight="1" x14ac:dyDescent="0.2">
      <c r="A168" s="34">
        <v>43</v>
      </c>
      <c r="B168" s="35"/>
      <c r="C168" s="35"/>
      <c r="D168" s="29" t="s">
        <v>234</v>
      </c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1"/>
      <c r="U168" s="46">
        <v>96108</v>
      </c>
      <c r="V168" s="47"/>
      <c r="W168" s="47"/>
      <c r="X168" s="47"/>
      <c r="Y168" s="48"/>
      <c r="Z168" s="46">
        <v>0</v>
      </c>
      <c r="AA168" s="47"/>
      <c r="AB168" s="47"/>
      <c r="AC168" s="47"/>
      <c r="AD168" s="48"/>
      <c r="AE168" s="46">
        <v>0</v>
      </c>
      <c r="AF168" s="47"/>
      <c r="AG168" s="47"/>
      <c r="AH168" s="48"/>
      <c r="AI168" s="46">
        <f t="shared" si="13"/>
        <v>96108</v>
      </c>
      <c r="AJ168" s="47"/>
      <c r="AK168" s="47"/>
      <c r="AL168" s="47"/>
      <c r="AM168" s="48"/>
      <c r="AN168" s="46">
        <v>0</v>
      </c>
      <c r="AO168" s="47"/>
      <c r="AP168" s="47"/>
      <c r="AQ168" s="47"/>
      <c r="AR168" s="48"/>
      <c r="AS168" s="46">
        <v>0</v>
      </c>
      <c r="AT168" s="47"/>
      <c r="AU168" s="47"/>
      <c r="AV168" s="47"/>
      <c r="AW168" s="48"/>
      <c r="AX168" s="46">
        <v>0</v>
      </c>
      <c r="AY168" s="47"/>
      <c r="AZ168" s="47"/>
      <c r="BA168" s="48"/>
      <c r="BB168" s="46">
        <f t="shared" si="14"/>
        <v>0</v>
      </c>
      <c r="BC168" s="47"/>
      <c r="BD168" s="47"/>
      <c r="BE168" s="47"/>
      <c r="BF168" s="48"/>
      <c r="BG168" s="46">
        <v>0</v>
      </c>
      <c r="BH168" s="47"/>
      <c r="BI168" s="47"/>
      <c r="BJ168" s="47"/>
      <c r="BK168" s="48"/>
      <c r="BL168" s="46">
        <v>0</v>
      </c>
      <c r="BM168" s="47"/>
      <c r="BN168" s="47"/>
      <c r="BO168" s="47"/>
      <c r="BP168" s="48"/>
      <c r="BQ168" s="46">
        <v>0</v>
      </c>
      <c r="BR168" s="47"/>
      <c r="BS168" s="47"/>
      <c r="BT168" s="48"/>
      <c r="BU168" s="46">
        <f t="shared" si="15"/>
        <v>0</v>
      </c>
      <c r="BV168" s="47"/>
      <c r="BW168" s="47"/>
      <c r="BX168" s="47"/>
      <c r="BY168" s="48"/>
    </row>
    <row r="169" spans="1:77" s="4" customFormat="1" ht="38.25" customHeight="1" x14ac:dyDescent="0.2">
      <c r="A169" s="34">
        <v>44</v>
      </c>
      <c r="B169" s="35"/>
      <c r="C169" s="35"/>
      <c r="D169" s="29" t="s">
        <v>235</v>
      </c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1"/>
      <c r="U169" s="46">
        <v>299406</v>
      </c>
      <c r="V169" s="47"/>
      <c r="W169" s="47"/>
      <c r="X169" s="47"/>
      <c r="Y169" s="48"/>
      <c r="Z169" s="46">
        <v>0</v>
      </c>
      <c r="AA169" s="47"/>
      <c r="AB169" s="47"/>
      <c r="AC169" s="47"/>
      <c r="AD169" s="48"/>
      <c r="AE169" s="46">
        <v>0</v>
      </c>
      <c r="AF169" s="47"/>
      <c r="AG169" s="47"/>
      <c r="AH169" s="48"/>
      <c r="AI169" s="46">
        <f t="shared" si="13"/>
        <v>299406</v>
      </c>
      <c r="AJ169" s="47"/>
      <c r="AK169" s="47"/>
      <c r="AL169" s="47"/>
      <c r="AM169" s="48"/>
      <c r="AN169" s="46">
        <v>0</v>
      </c>
      <c r="AO169" s="47"/>
      <c r="AP169" s="47"/>
      <c r="AQ169" s="47"/>
      <c r="AR169" s="48"/>
      <c r="AS169" s="46">
        <v>0</v>
      </c>
      <c r="AT169" s="47"/>
      <c r="AU169" s="47"/>
      <c r="AV169" s="47"/>
      <c r="AW169" s="48"/>
      <c r="AX169" s="46">
        <v>0</v>
      </c>
      <c r="AY169" s="47"/>
      <c r="AZ169" s="47"/>
      <c r="BA169" s="48"/>
      <c r="BB169" s="46">
        <f t="shared" si="14"/>
        <v>0</v>
      </c>
      <c r="BC169" s="47"/>
      <c r="BD169" s="47"/>
      <c r="BE169" s="47"/>
      <c r="BF169" s="48"/>
      <c r="BG169" s="46">
        <v>0</v>
      </c>
      <c r="BH169" s="47"/>
      <c r="BI169" s="47"/>
      <c r="BJ169" s="47"/>
      <c r="BK169" s="48"/>
      <c r="BL169" s="46">
        <v>0</v>
      </c>
      <c r="BM169" s="47"/>
      <c r="BN169" s="47"/>
      <c r="BO169" s="47"/>
      <c r="BP169" s="48"/>
      <c r="BQ169" s="46">
        <v>0</v>
      </c>
      <c r="BR169" s="47"/>
      <c r="BS169" s="47"/>
      <c r="BT169" s="48"/>
      <c r="BU169" s="46">
        <f t="shared" si="15"/>
        <v>0</v>
      </c>
      <c r="BV169" s="47"/>
      <c r="BW169" s="47"/>
      <c r="BX169" s="47"/>
      <c r="BY169" s="48"/>
    </row>
    <row r="170" spans="1:77" s="4" customFormat="1" ht="12.75" customHeight="1" x14ac:dyDescent="0.2">
      <c r="A170" s="34">
        <v>45</v>
      </c>
      <c r="B170" s="35"/>
      <c r="C170" s="35"/>
      <c r="D170" s="29" t="s">
        <v>236</v>
      </c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1"/>
      <c r="U170" s="46">
        <v>11600</v>
      </c>
      <c r="V170" s="47"/>
      <c r="W170" s="47"/>
      <c r="X170" s="47"/>
      <c r="Y170" s="48"/>
      <c r="Z170" s="46">
        <v>0</v>
      </c>
      <c r="AA170" s="47"/>
      <c r="AB170" s="47"/>
      <c r="AC170" s="47"/>
      <c r="AD170" s="48"/>
      <c r="AE170" s="46">
        <v>0</v>
      </c>
      <c r="AF170" s="47"/>
      <c r="AG170" s="47"/>
      <c r="AH170" s="48"/>
      <c r="AI170" s="46">
        <f t="shared" si="13"/>
        <v>11600</v>
      </c>
      <c r="AJ170" s="47"/>
      <c r="AK170" s="47"/>
      <c r="AL170" s="47"/>
      <c r="AM170" s="48"/>
      <c r="AN170" s="46">
        <v>0</v>
      </c>
      <c r="AO170" s="47"/>
      <c r="AP170" s="47"/>
      <c r="AQ170" s="47"/>
      <c r="AR170" s="48"/>
      <c r="AS170" s="46">
        <v>0</v>
      </c>
      <c r="AT170" s="47"/>
      <c r="AU170" s="47"/>
      <c r="AV170" s="47"/>
      <c r="AW170" s="48"/>
      <c r="AX170" s="46">
        <v>0</v>
      </c>
      <c r="AY170" s="47"/>
      <c r="AZ170" s="47"/>
      <c r="BA170" s="48"/>
      <c r="BB170" s="46">
        <f t="shared" si="14"/>
        <v>0</v>
      </c>
      <c r="BC170" s="47"/>
      <c r="BD170" s="47"/>
      <c r="BE170" s="47"/>
      <c r="BF170" s="48"/>
      <c r="BG170" s="46">
        <v>0</v>
      </c>
      <c r="BH170" s="47"/>
      <c r="BI170" s="47"/>
      <c r="BJ170" s="47"/>
      <c r="BK170" s="48"/>
      <c r="BL170" s="46">
        <v>0</v>
      </c>
      <c r="BM170" s="47"/>
      <c r="BN170" s="47"/>
      <c r="BO170" s="47"/>
      <c r="BP170" s="48"/>
      <c r="BQ170" s="46">
        <v>0</v>
      </c>
      <c r="BR170" s="47"/>
      <c r="BS170" s="47"/>
      <c r="BT170" s="48"/>
      <c r="BU170" s="46">
        <f t="shared" si="15"/>
        <v>0</v>
      </c>
      <c r="BV170" s="47"/>
      <c r="BW170" s="47"/>
      <c r="BX170" s="47"/>
      <c r="BY170" s="48"/>
    </row>
    <row r="171" spans="1:77" s="4" customFormat="1" ht="25.5" customHeight="1" x14ac:dyDescent="0.2">
      <c r="A171" s="34">
        <v>46</v>
      </c>
      <c r="B171" s="35"/>
      <c r="C171" s="35"/>
      <c r="D171" s="29" t="s">
        <v>237</v>
      </c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1"/>
      <c r="U171" s="46">
        <v>0</v>
      </c>
      <c r="V171" s="47"/>
      <c r="W171" s="47"/>
      <c r="X171" s="47"/>
      <c r="Y171" s="48"/>
      <c r="Z171" s="46">
        <v>0</v>
      </c>
      <c r="AA171" s="47"/>
      <c r="AB171" s="47"/>
      <c r="AC171" s="47"/>
      <c r="AD171" s="48"/>
      <c r="AE171" s="46">
        <v>0</v>
      </c>
      <c r="AF171" s="47"/>
      <c r="AG171" s="47"/>
      <c r="AH171" s="48"/>
      <c r="AI171" s="46">
        <f t="shared" si="13"/>
        <v>0</v>
      </c>
      <c r="AJ171" s="47"/>
      <c r="AK171" s="47"/>
      <c r="AL171" s="47"/>
      <c r="AM171" s="48"/>
      <c r="AN171" s="46">
        <v>0</v>
      </c>
      <c r="AO171" s="47"/>
      <c r="AP171" s="47"/>
      <c r="AQ171" s="47"/>
      <c r="AR171" s="48"/>
      <c r="AS171" s="46">
        <v>0</v>
      </c>
      <c r="AT171" s="47"/>
      <c r="AU171" s="47"/>
      <c r="AV171" s="47"/>
      <c r="AW171" s="48"/>
      <c r="AX171" s="46">
        <v>0</v>
      </c>
      <c r="AY171" s="47"/>
      <c r="AZ171" s="47"/>
      <c r="BA171" s="48"/>
      <c r="BB171" s="46">
        <f t="shared" si="14"/>
        <v>0</v>
      </c>
      <c r="BC171" s="47"/>
      <c r="BD171" s="47"/>
      <c r="BE171" s="47"/>
      <c r="BF171" s="48"/>
      <c r="BG171" s="46">
        <v>40000</v>
      </c>
      <c r="BH171" s="47"/>
      <c r="BI171" s="47"/>
      <c r="BJ171" s="47"/>
      <c r="BK171" s="48"/>
      <c r="BL171" s="46">
        <v>0</v>
      </c>
      <c r="BM171" s="47"/>
      <c r="BN171" s="47"/>
      <c r="BO171" s="47"/>
      <c r="BP171" s="48"/>
      <c r="BQ171" s="46">
        <v>0</v>
      </c>
      <c r="BR171" s="47"/>
      <c r="BS171" s="47"/>
      <c r="BT171" s="48"/>
      <c r="BU171" s="46">
        <f t="shared" si="15"/>
        <v>40000</v>
      </c>
      <c r="BV171" s="47"/>
      <c r="BW171" s="47"/>
      <c r="BX171" s="47"/>
      <c r="BY171" s="48"/>
    </row>
    <row r="172" spans="1:77" s="4" customFormat="1" ht="12.75" customHeight="1" x14ac:dyDescent="0.2">
      <c r="A172" s="34">
        <v>47</v>
      </c>
      <c r="B172" s="35"/>
      <c r="C172" s="35"/>
      <c r="D172" s="29" t="s">
        <v>238</v>
      </c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1"/>
      <c r="U172" s="46">
        <v>0</v>
      </c>
      <c r="V172" s="47"/>
      <c r="W172" s="47"/>
      <c r="X172" s="47"/>
      <c r="Y172" s="48"/>
      <c r="Z172" s="46">
        <v>0</v>
      </c>
      <c r="AA172" s="47"/>
      <c r="AB172" s="47"/>
      <c r="AC172" s="47"/>
      <c r="AD172" s="48"/>
      <c r="AE172" s="46">
        <v>0</v>
      </c>
      <c r="AF172" s="47"/>
      <c r="AG172" s="47"/>
      <c r="AH172" s="48"/>
      <c r="AI172" s="46">
        <f t="shared" si="13"/>
        <v>0</v>
      </c>
      <c r="AJ172" s="47"/>
      <c r="AK172" s="47"/>
      <c r="AL172" s="47"/>
      <c r="AM172" s="48"/>
      <c r="AN172" s="46">
        <v>2000</v>
      </c>
      <c r="AO172" s="47"/>
      <c r="AP172" s="47"/>
      <c r="AQ172" s="47"/>
      <c r="AR172" s="48"/>
      <c r="AS172" s="46">
        <v>0</v>
      </c>
      <c r="AT172" s="47"/>
      <c r="AU172" s="47"/>
      <c r="AV172" s="47"/>
      <c r="AW172" s="48"/>
      <c r="AX172" s="46">
        <v>0</v>
      </c>
      <c r="AY172" s="47"/>
      <c r="AZ172" s="47"/>
      <c r="BA172" s="48"/>
      <c r="BB172" s="46">
        <f t="shared" si="14"/>
        <v>2000</v>
      </c>
      <c r="BC172" s="47"/>
      <c r="BD172" s="47"/>
      <c r="BE172" s="47"/>
      <c r="BF172" s="48"/>
      <c r="BG172" s="46">
        <v>2000</v>
      </c>
      <c r="BH172" s="47"/>
      <c r="BI172" s="47"/>
      <c r="BJ172" s="47"/>
      <c r="BK172" s="48"/>
      <c r="BL172" s="46">
        <v>0</v>
      </c>
      <c r="BM172" s="47"/>
      <c r="BN172" s="47"/>
      <c r="BO172" s="47"/>
      <c r="BP172" s="48"/>
      <c r="BQ172" s="46">
        <v>0</v>
      </c>
      <c r="BR172" s="47"/>
      <c r="BS172" s="47"/>
      <c r="BT172" s="48"/>
      <c r="BU172" s="46">
        <f t="shared" si="15"/>
        <v>2000</v>
      </c>
      <c r="BV172" s="47"/>
      <c r="BW172" s="47"/>
      <c r="BX172" s="47"/>
      <c r="BY172" s="48"/>
    </row>
    <row r="173" spans="1:77" s="4" customFormat="1" ht="12.75" customHeight="1" x14ac:dyDescent="0.2">
      <c r="A173" s="34">
        <v>48</v>
      </c>
      <c r="B173" s="35"/>
      <c r="C173" s="35"/>
      <c r="D173" s="29" t="s">
        <v>239</v>
      </c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1"/>
      <c r="U173" s="46">
        <v>0</v>
      </c>
      <c r="V173" s="47"/>
      <c r="W173" s="47"/>
      <c r="X173" s="47"/>
      <c r="Y173" s="48"/>
      <c r="Z173" s="46">
        <v>0</v>
      </c>
      <c r="AA173" s="47"/>
      <c r="AB173" s="47"/>
      <c r="AC173" s="47"/>
      <c r="AD173" s="48"/>
      <c r="AE173" s="46">
        <v>0</v>
      </c>
      <c r="AF173" s="47"/>
      <c r="AG173" s="47"/>
      <c r="AH173" s="48"/>
      <c r="AI173" s="46">
        <f t="shared" si="13"/>
        <v>0</v>
      </c>
      <c r="AJ173" s="47"/>
      <c r="AK173" s="47"/>
      <c r="AL173" s="47"/>
      <c r="AM173" s="48"/>
      <c r="AN173" s="46">
        <v>3000</v>
      </c>
      <c r="AO173" s="47"/>
      <c r="AP173" s="47"/>
      <c r="AQ173" s="47"/>
      <c r="AR173" s="48"/>
      <c r="AS173" s="46">
        <v>0</v>
      </c>
      <c r="AT173" s="47"/>
      <c r="AU173" s="47"/>
      <c r="AV173" s="47"/>
      <c r="AW173" s="48"/>
      <c r="AX173" s="46">
        <v>0</v>
      </c>
      <c r="AY173" s="47"/>
      <c r="AZ173" s="47"/>
      <c r="BA173" s="48"/>
      <c r="BB173" s="46">
        <f t="shared" si="14"/>
        <v>3000</v>
      </c>
      <c r="BC173" s="47"/>
      <c r="BD173" s="47"/>
      <c r="BE173" s="47"/>
      <c r="BF173" s="48"/>
      <c r="BG173" s="46">
        <v>3000</v>
      </c>
      <c r="BH173" s="47"/>
      <c r="BI173" s="47"/>
      <c r="BJ173" s="47"/>
      <c r="BK173" s="48"/>
      <c r="BL173" s="46">
        <v>0</v>
      </c>
      <c r="BM173" s="47"/>
      <c r="BN173" s="47"/>
      <c r="BO173" s="47"/>
      <c r="BP173" s="48"/>
      <c r="BQ173" s="46">
        <v>0</v>
      </c>
      <c r="BR173" s="47"/>
      <c r="BS173" s="47"/>
      <c r="BT173" s="48"/>
      <c r="BU173" s="46">
        <f t="shared" si="15"/>
        <v>3000</v>
      </c>
      <c r="BV173" s="47"/>
      <c r="BW173" s="47"/>
      <c r="BX173" s="47"/>
      <c r="BY173" s="48"/>
    </row>
    <row r="174" spans="1:77" s="4" customFormat="1" ht="13.5" customHeight="1" x14ac:dyDescent="0.2">
      <c r="A174" s="34">
        <v>49</v>
      </c>
      <c r="B174" s="35"/>
      <c r="C174" s="35"/>
      <c r="D174" s="29" t="s">
        <v>240</v>
      </c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1"/>
      <c r="U174" s="46">
        <v>0</v>
      </c>
      <c r="V174" s="47"/>
      <c r="W174" s="47"/>
      <c r="X174" s="47"/>
      <c r="Y174" s="48"/>
      <c r="Z174" s="46">
        <v>0</v>
      </c>
      <c r="AA174" s="47"/>
      <c r="AB174" s="47"/>
      <c r="AC174" s="47"/>
      <c r="AD174" s="48"/>
      <c r="AE174" s="46">
        <v>0</v>
      </c>
      <c r="AF174" s="47"/>
      <c r="AG174" s="47"/>
      <c r="AH174" s="48"/>
      <c r="AI174" s="46">
        <f t="shared" si="13"/>
        <v>0</v>
      </c>
      <c r="AJ174" s="47"/>
      <c r="AK174" s="47"/>
      <c r="AL174" s="47"/>
      <c r="AM174" s="48"/>
      <c r="AN174" s="46">
        <v>7810</v>
      </c>
      <c r="AO174" s="47"/>
      <c r="AP174" s="47"/>
      <c r="AQ174" s="47"/>
      <c r="AR174" s="48"/>
      <c r="AS174" s="46">
        <v>0</v>
      </c>
      <c r="AT174" s="47"/>
      <c r="AU174" s="47"/>
      <c r="AV174" s="47"/>
      <c r="AW174" s="48"/>
      <c r="AX174" s="46">
        <v>0</v>
      </c>
      <c r="AY174" s="47"/>
      <c r="AZ174" s="47"/>
      <c r="BA174" s="48"/>
      <c r="BB174" s="46">
        <f t="shared" si="14"/>
        <v>7810</v>
      </c>
      <c r="BC174" s="47"/>
      <c r="BD174" s="47"/>
      <c r="BE174" s="47"/>
      <c r="BF174" s="48"/>
      <c r="BG174" s="46">
        <v>4000</v>
      </c>
      <c r="BH174" s="47"/>
      <c r="BI174" s="47"/>
      <c r="BJ174" s="47"/>
      <c r="BK174" s="48"/>
      <c r="BL174" s="46">
        <v>0</v>
      </c>
      <c r="BM174" s="47"/>
      <c r="BN174" s="47"/>
      <c r="BO174" s="47"/>
      <c r="BP174" s="48"/>
      <c r="BQ174" s="46">
        <v>0</v>
      </c>
      <c r="BR174" s="47"/>
      <c r="BS174" s="47"/>
      <c r="BT174" s="48"/>
      <c r="BU174" s="46">
        <f t="shared" si="15"/>
        <v>4000</v>
      </c>
      <c r="BV174" s="47"/>
      <c r="BW174" s="47"/>
      <c r="BX174" s="47"/>
      <c r="BY174" s="48"/>
    </row>
    <row r="175" spans="1:77" s="4" customFormat="1" ht="12.75" customHeight="1" x14ac:dyDescent="0.2">
      <c r="A175" s="34">
        <v>50</v>
      </c>
      <c r="B175" s="35"/>
      <c r="C175" s="35"/>
      <c r="D175" s="29" t="s">
        <v>241</v>
      </c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1"/>
      <c r="U175" s="46">
        <v>0</v>
      </c>
      <c r="V175" s="47"/>
      <c r="W175" s="47"/>
      <c r="X175" s="47"/>
      <c r="Y175" s="48"/>
      <c r="Z175" s="46">
        <v>0</v>
      </c>
      <c r="AA175" s="47"/>
      <c r="AB175" s="47"/>
      <c r="AC175" s="47"/>
      <c r="AD175" s="48"/>
      <c r="AE175" s="46">
        <v>0</v>
      </c>
      <c r="AF175" s="47"/>
      <c r="AG175" s="47"/>
      <c r="AH175" s="48"/>
      <c r="AI175" s="46">
        <f t="shared" si="13"/>
        <v>0</v>
      </c>
      <c r="AJ175" s="47"/>
      <c r="AK175" s="47"/>
      <c r="AL175" s="47"/>
      <c r="AM175" s="48"/>
      <c r="AN175" s="46">
        <v>374610</v>
      </c>
      <c r="AO175" s="47"/>
      <c r="AP175" s="47"/>
      <c r="AQ175" s="47"/>
      <c r="AR175" s="48"/>
      <c r="AS175" s="46">
        <v>0</v>
      </c>
      <c r="AT175" s="47"/>
      <c r="AU175" s="47"/>
      <c r="AV175" s="47"/>
      <c r="AW175" s="48"/>
      <c r="AX175" s="46">
        <v>0</v>
      </c>
      <c r="AY175" s="47"/>
      <c r="AZ175" s="47"/>
      <c r="BA175" s="48"/>
      <c r="BB175" s="46">
        <f t="shared" si="14"/>
        <v>374610</v>
      </c>
      <c r="BC175" s="47"/>
      <c r="BD175" s="47"/>
      <c r="BE175" s="47"/>
      <c r="BF175" s="48"/>
      <c r="BG175" s="46">
        <v>872550</v>
      </c>
      <c r="BH175" s="47"/>
      <c r="BI175" s="47"/>
      <c r="BJ175" s="47"/>
      <c r="BK175" s="48"/>
      <c r="BL175" s="46">
        <v>0</v>
      </c>
      <c r="BM175" s="47"/>
      <c r="BN175" s="47"/>
      <c r="BO175" s="47"/>
      <c r="BP175" s="48"/>
      <c r="BQ175" s="46">
        <v>0</v>
      </c>
      <c r="BR175" s="47"/>
      <c r="BS175" s="47"/>
      <c r="BT175" s="48"/>
      <c r="BU175" s="46">
        <f t="shared" si="15"/>
        <v>872550</v>
      </c>
      <c r="BV175" s="47"/>
      <c r="BW175" s="47"/>
      <c r="BX175" s="47"/>
      <c r="BY175" s="48"/>
    </row>
    <row r="176" spans="1:77" s="4" customFormat="1" ht="51" customHeight="1" x14ac:dyDescent="0.2">
      <c r="A176" s="34">
        <v>51</v>
      </c>
      <c r="B176" s="35"/>
      <c r="C176" s="35"/>
      <c r="D176" s="29" t="s">
        <v>242</v>
      </c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1"/>
      <c r="U176" s="46">
        <v>0</v>
      </c>
      <c r="V176" s="47"/>
      <c r="W176" s="47"/>
      <c r="X176" s="47"/>
      <c r="Y176" s="48"/>
      <c r="Z176" s="46">
        <v>0</v>
      </c>
      <c r="AA176" s="47"/>
      <c r="AB176" s="47"/>
      <c r="AC176" s="47"/>
      <c r="AD176" s="48"/>
      <c r="AE176" s="46">
        <v>0</v>
      </c>
      <c r="AF176" s="47"/>
      <c r="AG176" s="47"/>
      <c r="AH176" s="48"/>
      <c r="AI176" s="46">
        <f t="shared" si="13"/>
        <v>0</v>
      </c>
      <c r="AJ176" s="47"/>
      <c r="AK176" s="47"/>
      <c r="AL176" s="47"/>
      <c r="AM176" s="48"/>
      <c r="AN176" s="46">
        <v>8117</v>
      </c>
      <c r="AO176" s="47"/>
      <c r="AP176" s="47"/>
      <c r="AQ176" s="47"/>
      <c r="AR176" s="48"/>
      <c r="AS176" s="46">
        <v>0</v>
      </c>
      <c r="AT176" s="47"/>
      <c r="AU176" s="47"/>
      <c r="AV176" s="47"/>
      <c r="AW176" s="48"/>
      <c r="AX176" s="46">
        <v>0</v>
      </c>
      <c r="AY176" s="47"/>
      <c r="AZ176" s="47"/>
      <c r="BA176" s="48"/>
      <c r="BB176" s="46">
        <f t="shared" si="14"/>
        <v>8117</v>
      </c>
      <c r="BC176" s="47"/>
      <c r="BD176" s="47"/>
      <c r="BE176" s="47"/>
      <c r="BF176" s="48"/>
      <c r="BG176" s="46">
        <v>11040</v>
      </c>
      <c r="BH176" s="47"/>
      <c r="BI176" s="47"/>
      <c r="BJ176" s="47"/>
      <c r="BK176" s="48"/>
      <c r="BL176" s="46">
        <v>0</v>
      </c>
      <c r="BM176" s="47"/>
      <c r="BN176" s="47"/>
      <c r="BO176" s="47"/>
      <c r="BP176" s="48"/>
      <c r="BQ176" s="46">
        <v>0</v>
      </c>
      <c r="BR176" s="47"/>
      <c r="BS176" s="47"/>
      <c r="BT176" s="48"/>
      <c r="BU176" s="46">
        <f t="shared" si="15"/>
        <v>11040</v>
      </c>
      <c r="BV176" s="47"/>
      <c r="BW176" s="47"/>
      <c r="BX176" s="47"/>
      <c r="BY176" s="48"/>
    </row>
    <row r="177" spans="1:77" s="4" customFormat="1" ht="25.5" customHeight="1" x14ac:dyDescent="0.2">
      <c r="A177" s="34">
        <v>52</v>
      </c>
      <c r="B177" s="35"/>
      <c r="C177" s="35"/>
      <c r="D177" s="29" t="s">
        <v>243</v>
      </c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1"/>
      <c r="U177" s="46">
        <v>0</v>
      </c>
      <c r="V177" s="47"/>
      <c r="W177" s="47"/>
      <c r="X177" s="47"/>
      <c r="Y177" s="48"/>
      <c r="Z177" s="46">
        <v>0</v>
      </c>
      <c r="AA177" s="47"/>
      <c r="AB177" s="47"/>
      <c r="AC177" s="47"/>
      <c r="AD177" s="48"/>
      <c r="AE177" s="46">
        <v>0</v>
      </c>
      <c r="AF177" s="47"/>
      <c r="AG177" s="47"/>
      <c r="AH177" s="48"/>
      <c r="AI177" s="46">
        <f t="shared" si="13"/>
        <v>0</v>
      </c>
      <c r="AJ177" s="47"/>
      <c r="AK177" s="47"/>
      <c r="AL177" s="47"/>
      <c r="AM177" s="48"/>
      <c r="AN177" s="46">
        <v>99999</v>
      </c>
      <c r="AO177" s="47"/>
      <c r="AP177" s="47"/>
      <c r="AQ177" s="47"/>
      <c r="AR177" s="48"/>
      <c r="AS177" s="46">
        <v>0</v>
      </c>
      <c r="AT177" s="47"/>
      <c r="AU177" s="47"/>
      <c r="AV177" s="47"/>
      <c r="AW177" s="48"/>
      <c r="AX177" s="46">
        <v>0</v>
      </c>
      <c r="AY177" s="47"/>
      <c r="AZ177" s="47"/>
      <c r="BA177" s="48"/>
      <c r="BB177" s="46">
        <f t="shared" si="14"/>
        <v>99999</v>
      </c>
      <c r="BC177" s="47"/>
      <c r="BD177" s="47"/>
      <c r="BE177" s="47"/>
      <c r="BF177" s="48"/>
      <c r="BG177" s="46">
        <v>99999</v>
      </c>
      <c r="BH177" s="47"/>
      <c r="BI177" s="47"/>
      <c r="BJ177" s="47"/>
      <c r="BK177" s="48"/>
      <c r="BL177" s="46">
        <v>0</v>
      </c>
      <c r="BM177" s="47"/>
      <c r="BN177" s="47"/>
      <c r="BO177" s="47"/>
      <c r="BP177" s="48"/>
      <c r="BQ177" s="46">
        <v>0</v>
      </c>
      <c r="BR177" s="47"/>
      <c r="BS177" s="47"/>
      <c r="BT177" s="48"/>
      <c r="BU177" s="46">
        <f t="shared" si="15"/>
        <v>99999</v>
      </c>
      <c r="BV177" s="47"/>
      <c r="BW177" s="47"/>
      <c r="BX177" s="47"/>
      <c r="BY177" s="48"/>
    </row>
    <row r="178" spans="1:77" s="4" customFormat="1" ht="75.75" customHeight="1" x14ac:dyDescent="0.2">
      <c r="A178" s="34">
        <v>53</v>
      </c>
      <c r="B178" s="35"/>
      <c r="C178" s="35"/>
      <c r="D178" s="29" t="s">
        <v>244</v>
      </c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1"/>
      <c r="U178" s="46">
        <v>0</v>
      </c>
      <c r="V178" s="47"/>
      <c r="W178" s="47"/>
      <c r="X178" s="47"/>
      <c r="Y178" s="48"/>
      <c r="Z178" s="46">
        <v>0</v>
      </c>
      <c r="AA178" s="47"/>
      <c r="AB178" s="47"/>
      <c r="AC178" s="47"/>
      <c r="AD178" s="48"/>
      <c r="AE178" s="46">
        <v>0</v>
      </c>
      <c r="AF178" s="47"/>
      <c r="AG178" s="47"/>
      <c r="AH178" s="48"/>
      <c r="AI178" s="46">
        <f t="shared" si="13"/>
        <v>0</v>
      </c>
      <c r="AJ178" s="47"/>
      <c r="AK178" s="47"/>
      <c r="AL178" s="47"/>
      <c r="AM178" s="48"/>
      <c r="AN178" s="46">
        <v>0</v>
      </c>
      <c r="AO178" s="47"/>
      <c r="AP178" s="47"/>
      <c r="AQ178" s="47"/>
      <c r="AR178" s="48"/>
      <c r="AS178" s="46">
        <v>0</v>
      </c>
      <c r="AT178" s="47"/>
      <c r="AU178" s="47"/>
      <c r="AV178" s="47"/>
      <c r="AW178" s="48"/>
      <c r="AX178" s="46">
        <v>0</v>
      </c>
      <c r="AY178" s="47"/>
      <c r="AZ178" s="47"/>
      <c r="BA178" s="48"/>
      <c r="BB178" s="46">
        <f t="shared" si="14"/>
        <v>0</v>
      </c>
      <c r="BC178" s="47"/>
      <c r="BD178" s="47"/>
      <c r="BE178" s="47"/>
      <c r="BF178" s="48"/>
      <c r="BG178" s="46">
        <v>65000</v>
      </c>
      <c r="BH178" s="47"/>
      <c r="BI178" s="47"/>
      <c r="BJ178" s="47"/>
      <c r="BK178" s="48"/>
      <c r="BL178" s="46">
        <v>0</v>
      </c>
      <c r="BM178" s="47"/>
      <c r="BN178" s="47"/>
      <c r="BO178" s="47"/>
      <c r="BP178" s="48"/>
      <c r="BQ178" s="46">
        <v>0</v>
      </c>
      <c r="BR178" s="47"/>
      <c r="BS178" s="47"/>
      <c r="BT178" s="48"/>
      <c r="BU178" s="46">
        <f t="shared" si="15"/>
        <v>65000</v>
      </c>
      <c r="BV178" s="47"/>
      <c r="BW178" s="47"/>
      <c r="BX178" s="47"/>
      <c r="BY178" s="48"/>
    </row>
    <row r="179" spans="1:77" s="4" customFormat="1" ht="102" customHeight="1" x14ac:dyDescent="0.2">
      <c r="A179" s="34">
        <v>54</v>
      </c>
      <c r="B179" s="35"/>
      <c r="C179" s="35"/>
      <c r="D179" s="29" t="s">
        <v>245</v>
      </c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1"/>
      <c r="U179" s="46">
        <v>0</v>
      </c>
      <c r="V179" s="47"/>
      <c r="W179" s="47"/>
      <c r="X179" s="47"/>
      <c r="Y179" s="48"/>
      <c r="Z179" s="46">
        <v>0</v>
      </c>
      <c r="AA179" s="47"/>
      <c r="AB179" s="47"/>
      <c r="AC179" s="47"/>
      <c r="AD179" s="48"/>
      <c r="AE179" s="46">
        <v>0</v>
      </c>
      <c r="AF179" s="47"/>
      <c r="AG179" s="47"/>
      <c r="AH179" s="48"/>
      <c r="AI179" s="46">
        <f t="shared" si="13"/>
        <v>0</v>
      </c>
      <c r="AJ179" s="47"/>
      <c r="AK179" s="47"/>
      <c r="AL179" s="47"/>
      <c r="AM179" s="48"/>
      <c r="AN179" s="46">
        <v>0</v>
      </c>
      <c r="AO179" s="47"/>
      <c r="AP179" s="47"/>
      <c r="AQ179" s="47"/>
      <c r="AR179" s="48"/>
      <c r="AS179" s="46">
        <v>0</v>
      </c>
      <c r="AT179" s="47"/>
      <c r="AU179" s="47"/>
      <c r="AV179" s="47"/>
      <c r="AW179" s="48"/>
      <c r="AX179" s="46">
        <v>0</v>
      </c>
      <c r="AY179" s="47"/>
      <c r="AZ179" s="47"/>
      <c r="BA179" s="48"/>
      <c r="BB179" s="46">
        <f t="shared" si="14"/>
        <v>0</v>
      </c>
      <c r="BC179" s="47"/>
      <c r="BD179" s="47"/>
      <c r="BE179" s="47"/>
      <c r="BF179" s="48"/>
      <c r="BG179" s="46">
        <v>65000</v>
      </c>
      <c r="BH179" s="47"/>
      <c r="BI179" s="47"/>
      <c r="BJ179" s="47"/>
      <c r="BK179" s="48"/>
      <c r="BL179" s="46">
        <v>0</v>
      </c>
      <c r="BM179" s="47"/>
      <c r="BN179" s="47"/>
      <c r="BO179" s="47"/>
      <c r="BP179" s="48"/>
      <c r="BQ179" s="46">
        <v>0</v>
      </c>
      <c r="BR179" s="47"/>
      <c r="BS179" s="47"/>
      <c r="BT179" s="48"/>
      <c r="BU179" s="46">
        <f t="shared" si="15"/>
        <v>65000</v>
      </c>
      <c r="BV179" s="47"/>
      <c r="BW179" s="47"/>
      <c r="BX179" s="47"/>
      <c r="BY179" s="48"/>
    </row>
    <row r="180" spans="1:77" s="4" customFormat="1" ht="12.75" customHeight="1" x14ac:dyDescent="0.2">
      <c r="A180" s="34">
        <v>55</v>
      </c>
      <c r="B180" s="35"/>
      <c r="C180" s="35"/>
      <c r="D180" s="29" t="s">
        <v>246</v>
      </c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1"/>
      <c r="U180" s="46">
        <v>0</v>
      </c>
      <c r="V180" s="47"/>
      <c r="W180" s="47"/>
      <c r="X180" s="47"/>
      <c r="Y180" s="48"/>
      <c r="Z180" s="46">
        <v>0</v>
      </c>
      <c r="AA180" s="47"/>
      <c r="AB180" s="47"/>
      <c r="AC180" s="47"/>
      <c r="AD180" s="48"/>
      <c r="AE180" s="46">
        <v>0</v>
      </c>
      <c r="AF180" s="47"/>
      <c r="AG180" s="47"/>
      <c r="AH180" s="48"/>
      <c r="AI180" s="46">
        <f t="shared" si="13"/>
        <v>0</v>
      </c>
      <c r="AJ180" s="47"/>
      <c r="AK180" s="47"/>
      <c r="AL180" s="47"/>
      <c r="AM180" s="48"/>
      <c r="AN180" s="46">
        <v>65000</v>
      </c>
      <c r="AO180" s="47"/>
      <c r="AP180" s="47"/>
      <c r="AQ180" s="47"/>
      <c r="AR180" s="48"/>
      <c r="AS180" s="46">
        <v>0</v>
      </c>
      <c r="AT180" s="47"/>
      <c r="AU180" s="47"/>
      <c r="AV180" s="47"/>
      <c r="AW180" s="48"/>
      <c r="AX180" s="46">
        <v>0</v>
      </c>
      <c r="AY180" s="47"/>
      <c r="AZ180" s="47"/>
      <c r="BA180" s="48"/>
      <c r="BB180" s="46">
        <f t="shared" si="14"/>
        <v>65000</v>
      </c>
      <c r="BC180" s="47"/>
      <c r="BD180" s="47"/>
      <c r="BE180" s="47"/>
      <c r="BF180" s="48"/>
      <c r="BG180" s="46">
        <v>65000</v>
      </c>
      <c r="BH180" s="47"/>
      <c r="BI180" s="47"/>
      <c r="BJ180" s="47"/>
      <c r="BK180" s="48"/>
      <c r="BL180" s="46">
        <v>0</v>
      </c>
      <c r="BM180" s="47"/>
      <c r="BN180" s="47"/>
      <c r="BO180" s="47"/>
      <c r="BP180" s="48"/>
      <c r="BQ180" s="46">
        <v>0</v>
      </c>
      <c r="BR180" s="47"/>
      <c r="BS180" s="47"/>
      <c r="BT180" s="48"/>
      <c r="BU180" s="46">
        <f t="shared" si="15"/>
        <v>65000</v>
      </c>
      <c r="BV180" s="47"/>
      <c r="BW180" s="47"/>
      <c r="BX180" s="47"/>
      <c r="BY180" s="48"/>
    </row>
    <row r="181" spans="1:77" s="4" customFormat="1" ht="51.75" customHeight="1" x14ac:dyDescent="0.2">
      <c r="A181" s="34">
        <v>56</v>
      </c>
      <c r="B181" s="35"/>
      <c r="C181" s="35"/>
      <c r="D181" s="29" t="s">
        <v>247</v>
      </c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1"/>
      <c r="U181" s="46">
        <v>0</v>
      </c>
      <c r="V181" s="47"/>
      <c r="W181" s="47"/>
      <c r="X181" s="47"/>
      <c r="Y181" s="48"/>
      <c r="Z181" s="46">
        <v>0</v>
      </c>
      <c r="AA181" s="47"/>
      <c r="AB181" s="47"/>
      <c r="AC181" s="47"/>
      <c r="AD181" s="48"/>
      <c r="AE181" s="46">
        <v>0</v>
      </c>
      <c r="AF181" s="47"/>
      <c r="AG181" s="47"/>
      <c r="AH181" s="48"/>
      <c r="AI181" s="46">
        <f t="shared" si="13"/>
        <v>0</v>
      </c>
      <c r="AJ181" s="47"/>
      <c r="AK181" s="47"/>
      <c r="AL181" s="47"/>
      <c r="AM181" s="48"/>
      <c r="AN181" s="46">
        <v>58000</v>
      </c>
      <c r="AO181" s="47"/>
      <c r="AP181" s="47"/>
      <c r="AQ181" s="47"/>
      <c r="AR181" s="48"/>
      <c r="AS181" s="46">
        <v>0</v>
      </c>
      <c r="AT181" s="47"/>
      <c r="AU181" s="47"/>
      <c r="AV181" s="47"/>
      <c r="AW181" s="48"/>
      <c r="AX181" s="46">
        <v>0</v>
      </c>
      <c r="AY181" s="47"/>
      <c r="AZ181" s="47"/>
      <c r="BA181" s="48"/>
      <c r="BB181" s="46">
        <f t="shared" si="14"/>
        <v>58000</v>
      </c>
      <c r="BC181" s="47"/>
      <c r="BD181" s="47"/>
      <c r="BE181" s="47"/>
      <c r="BF181" s="48"/>
      <c r="BG181" s="46">
        <v>0</v>
      </c>
      <c r="BH181" s="47"/>
      <c r="BI181" s="47"/>
      <c r="BJ181" s="47"/>
      <c r="BK181" s="48"/>
      <c r="BL181" s="46">
        <v>0</v>
      </c>
      <c r="BM181" s="47"/>
      <c r="BN181" s="47"/>
      <c r="BO181" s="47"/>
      <c r="BP181" s="48"/>
      <c r="BQ181" s="46">
        <v>0</v>
      </c>
      <c r="BR181" s="47"/>
      <c r="BS181" s="47"/>
      <c r="BT181" s="48"/>
      <c r="BU181" s="46">
        <f t="shared" si="15"/>
        <v>0</v>
      </c>
      <c r="BV181" s="47"/>
      <c r="BW181" s="47"/>
      <c r="BX181" s="47"/>
      <c r="BY181" s="48"/>
    </row>
    <row r="182" spans="1:77" s="4" customFormat="1" ht="51" customHeight="1" x14ac:dyDescent="0.2">
      <c r="A182" s="34">
        <v>57</v>
      </c>
      <c r="B182" s="35"/>
      <c r="C182" s="35"/>
      <c r="D182" s="29" t="s">
        <v>248</v>
      </c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1"/>
      <c r="U182" s="46">
        <v>0</v>
      </c>
      <c r="V182" s="47"/>
      <c r="W182" s="47"/>
      <c r="X182" s="47"/>
      <c r="Y182" s="48"/>
      <c r="Z182" s="46">
        <v>0</v>
      </c>
      <c r="AA182" s="47"/>
      <c r="AB182" s="47"/>
      <c r="AC182" s="47"/>
      <c r="AD182" s="48"/>
      <c r="AE182" s="46">
        <v>0</v>
      </c>
      <c r="AF182" s="47"/>
      <c r="AG182" s="47"/>
      <c r="AH182" s="48"/>
      <c r="AI182" s="46">
        <f t="shared" si="13"/>
        <v>0</v>
      </c>
      <c r="AJ182" s="47"/>
      <c r="AK182" s="47"/>
      <c r="AL182" s="47"/>
      <c r="AM182" s="48"/>
      <c r="AN182" s="46">
        <v>161000</v>
      </c>
      <c r="AO182" s="47"/>
      <c r="AP182" s="47"/>
      <c r="AQ182" s="47"/>
      <c r="AR182" s="48"/>
      <c r="AS182" s="46">
        <v>0</v>
      </c>
      <c r="AT182" s="47"/>
      <c r="AU182" s="47"/>
      <c r="AV182" s="47"/>
      <c r="AW182" s="48"/>
      <c r="AX182" s="46">
        <v>0</v>
      </c>
      <c r="AY182" s="47"/>
      <c r="AZ182" s="47"/>
      <c r="BA182" s="48"/>
      <c r="BB182" s="46">
        <f t="shared" si="14"/>
        <v>161000</v>
      </c>
      <c r="BC182" s="47"/>
      <c r="BD182" s="47"/>
      <c r="BE182" s="47"/>
      <c r="BF182" s="48"/>
      <c r="BG182" s="46">
        <v>0</v>
      </c>
      <c r="BH182" s="47"/>
      <c r="BI182" s="47"/>
      <c r="BJ182" s="47"/>
      <c r="BK182" s="48"/>
      <c r="BL182" s="46">
        <v>0</v>
      </c>
      <c r="BM182" s="47"/>
      <c r="BN182" s="47"/>
      <c r="BO182" s="47"/>
      <c r="BP182" s="48"/>
      <c r="BQ182" s="46">
        <v>0</v>
      </c>
      <c r="BR182" s="47"/>
      <c r="BS182" s="47"/>
      <c r="BT182" s="48"/>
      <c r="BU182" s="46">
        <f t="shared" si="15"/>
        <v>0</v>
      </c>
      <c r="BV182" s="47"/>
      <c r="BW182" s="47"/>
      <c r="BX182" s="47"/>
      <c r="BY182" s="48"/>
    </row>
    <row r="183" spans="1:77" s="4" customFormat="1" ht="51" customHeight="1" x14ac:dyDescent="0.2">
      <c r="A183" s="34">
        <v>58</v>
      </c>
      <c r="B183" s="35"/>
      <c r="C183" s="35"/>
      <c r="D183" s="29" t="s">
        <v>249</v>
      </c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1"/>
      <c r="U183" s="46">
        <v>0</v>
      </c>
      <c r="V183" s="47"/>
      <c r="W183" s="47"/>
      <c r="X183" s="47"/>
      <c r="Y183" s="48"/>
      <c r="Z183" s="46">
        <v>0</v>
      </c>
      <c r="AA183" s="47"/>
      <c r="AB183" s="47"/>
      <c r="AC183" s="47"/>
      <c r="AD183" s="48"/>
      <c r="AE183" s="46">
        <v>0</v>
      </c>
      <c r="AF183" s="47"/>
      <c r="AG183" s="47"/>
      <c r="AH183" s="48"/>
      <c r="AI183" s="46">
        <f t="shared" si="13"/>
        <v>0</v>
      </c>
      <c r="AJ183" s="47"/>
      <c r="AK183" s="47"/>
      <c r="AL183" s="47"/>
      <c r="AM183" s="48"/>
      <c r="AN183" s="46">
        <v>13000</v>
      </c>
      <c r="AO183" s="47"/>
      <c r="AP183" s="47"/>
      <c r="AQ183" s="47"/>
      <c r="AR183" s="48"/>
      <c r="AS183" s="46">
        <v>0</v>
      </c>
      <c r="AT183" s="47"/>
      <c r="AU183" s="47"/>
      <c r="AV183" s="47"/>
      <c r="AW183" s="48"/>
      <c r="AX183" s="46">
        <v>0</v>
      </c>
      <c r="AY183" s="47"/>
      <c r="AZ183" s="47"/>
      <c r="BA183" s="48"/>
      <c r="BB183" s="46">
        <f t="shared" si="14"/>
        <v>13000</v>
      </c>
      <c r="BC183" s="47"/>
      <c r="BD183" s="47"/>
      <c r="BE183" s="47"/>
      <c r="BF183" s="48"/>
      <c r="BG183" s="46">
        <v>0</v>
      </c>
      <c r="BH183" s="47"/>
      <c r="BI183" s="47"/>
      <c r="BJ183" s="47"/>
      <c r="BK183" s="48"/>
      <c r="BL183" s="46">
        <v>0</v>
      </c>
      <c r="BM183" s="47"/>
      <c r="BN183" s="47"/>
      <c r="BO183" s="47"/>
      <c r="BP183" s="48"/>
      <c r="BQ183" s="46">
        <v>0</v>
      </c>
      <c r="BR183" s="47"/>
      <c r="BS183" s="47"/>
      <c r="BT183" s="48"/>
      <c r="BU183" s="46">
        <f t="shared" si="15"/>
        <v>0</v>
      </c>
      <c r="BV183" s="47"/>
      <c r="BW183" s="47"/>
      <c r="BX183" s="47"/>
      <c r="BY183" s="48"/>
    </row>
    <row r="184" spans="1:77" s="4" customFormat="1" ht="38.25" customHeight="1" x14ac:dyDescent="0.2">
      <c r="A184" s="34">
        <v>59</v>
      </c>
      <c r="B184" s="35"/>
      <c r="C184" s="35"/>
      <c r="D184" s="29" t="s">
        <v>250</v>
      </c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1"/>
      <c r="U184" s="46">
        <v>0</v>
      </c>
      <c r="V184" s="47"/>
      <c r="W184" s="47"/>
      <c r="X184" s="47"/>
      <c r="Y184" s="48"/>
      <c r="Z184" s="46">
        <v>0</v>
      </c>
      <c r="AA184" s="47"/>
      <c r="AB184" s="47"/>
      <c r="AC184" s="47"/>
      <c r="AD184" s="48"/>
      <c r="AE184" s="46">
        <v>0</v>
      </c>
      <c r="AF184" s="47"/>
      <c r="AG184" s="47"/>
      <c r="AH184" s="48"/>
      <c r="AI184" s="46">
        <f t="shared" si="13"/>
        <v>0</v>
      </c>
      <c r="AJ184" s="47"/>
      <c r="AK184" s="47"/>
      <c r="AL184" s="47"/>
      <c r="AM184" s="48"/>
      <c r="AN184" s="46">
        <v>13000</v>
      </c>
      <c r="AO184" s="47"/>
      <c r="AP184" s="47"/>
      <c r="AQ184" s="47"/>
      <c r="AR184" s="48"/>
      <c r="AS184" s="46">
        <v>0</v>
      </c>
      <c r="AT184" s="47"/>
      <c r="AU184" s="47"/>
      <c r="AV184" s="47"/>
      <c r="AW184" s="48"/>
      <c r="AX184" s="46">
        <v>0</v>
      </c>
      <c r="AY184" s="47"/>
      <c r="AZ184" s="47"/>
      <c r="BA184" s="48"/>
      <c r="BB184" s="46">
        <f t="shared" si="14"/>
        <v>13000</v>
      </c>
      <c r="BC184" s="47"/>
      <c r="BD184" s="47"/>
      <c r="BE184" s="47"/>
      <c r="BF184" s="48"/>
      <c r="BG184" s="46">
        <v>0</v>
      </c>
      <c r="BH184" s="47"/>
      <c r="BI184" s="47"/>
      <c r="BJ184" s="47"/>
      <c r="BK184" s="48"/>
      <c r="BL184" s="46">
        <v>0</v>
      </c>
      <c r="BM184" s="47"/>
      <c r="BN184" s="47"/>
      <c r="BO184" s="47"/>
      <c r="BP184" s="48"/>
      <c r="BQ184" s="46">
        <v>0</v>
      </c>
      <c r="BR184" s="47"/>
      <c r="BS184" s="47"/>
      <c r="BT184" s="48"/>
      <c r="BU184" s="46">
        <f t="shared" si="15"/>
        <v>0</v>
      </c>
      <c r="BV184" s="47"/>
      <c r="BW184" s="47"/>
      <c r="BX184" s="47"/>
      <c r="BY184" s="48"/>
    </row>
    <row r="185" spans="1:77" s="4" customFormat="1" ht="12.75" customHeight="1" x14ac:dyDescent="0.2">
      <c r="A185" s="34">
        <v>60</v>
      </c>
      <c r="B185" s="35"/>
      <c r="C185" s="35"/>
      <c r="D185" s="29" t="s">
        <v>251</v>
      </c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1"/>
      <c r="U185" s="46">
        <v>0</v>
      </c>
      <c r="V185" s="47"/>
      <c r="W185" s="47"/>
      <c r="X185" s="47"/>
      <c r="Y185" s="48"/>
      <c r="Z185" s="46">
        <v>0</v>
      </c>
      <c r="AA185" s="47"/>
      <c r="AB185" s="47"/>
      <c r="AC185" s="47"/>
      <c r="AD185" s="48"/>
      <c r="AE185" s="46">
        <v>0</v>
      </c>
      <c r="AF185" s="47"/>
      <c r="AG185" s="47"/>
      <c r="AH185" s="48"/>
      <c r="AI185" s="46">
        <f t="shared" si="13"/>
        <v>0</v>
      </c>
      <c r="AJ185" s="47"/>
      <c r="AK185" s="47"/>
      <c r="AL185" s="47"/>
      <c r="AM185" s="48"/>
      <c r="AN185" s="46">
        <v>5752</v>
      </c>
      <c r="AO185" s="47"/>
      <c r="AP185" s="47"/>
      <c r="AQ185" s="47"/>
      <c r="AR185" s="48"/>
      <c r="AS185" s="46">
        <v>0</v>
      </c>
      <c r="AT185" s="47"/>
      <c r="AU185" s="47"/>
      <c r="AV185" s="47"/>
      <c r="AW185" s="48"/>
      <c r="AX185" s="46">
        <v>0</v>
      </c>
      <c r="AY185" s="47"/>
      <c r="AZ185" s="47"/>
      <c r="BA185" s="48"/>
      <c r="BB185" s="46">
        <f t="shared" si="14"/>
        <v>5752</v>
      </c>
      <c r="BC185" s="47"/>
      <c r="BD185" s="47"/>
      <c r="BE185" s="47"/>
      <c r="BF185" s="48"/>
      <c r="BG185" s="46">
        <v>0</v>
      </c>
      <c r="BH185" s="47"/>
      <c r="BI185" s="47"/>
      <c r="BJ185" s="47"/>
      <c r="BK185" s="48"/>
      <c r="BL185" s="46">
        <v>0</v>
      </c>
      <c r="BM185" s="47"/>
      <c r="BN185" s="47"/>
      <c r="BO185" s="47"/>
      <c r="BP185" s="48"/>
      <c r="BQ185" s="46">
        <v>0</v>
      </c>
      <c r="BR185" s="47"/>
      <c r="BS185" s="47"/>
      <c r="BT185" s="48"/>
      <c r="BU185" s="46">
        <f t="shared" si="15"/>
        <v>0</v>
      </c>
      <c r="BV185" s="47"/>
      <c r="BW185" s="47"/>
      <c r="BX185" s="47"/>
      <c r="BY185" s="48"/>
    </row>
    <row r="186" spans="1:77" s="4" customFormat="1" ht="51" customHeight="1" x14ac:dyDescent="0.2">
      <c r="A186" s="34">
        <v>61</v>
      </c>
      <c r="B186" s="35"/>
      <c r="C186" s="35"/>
      <c r="D186" s="29" t="s">
        <v>252</v>
      </c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1"/>
      <c r="U186" s="46">
        <v>0</v>
      </c>
      <c r="V186" s="47"/>
      <c r="W186" s="47"/>
      <c r="X186" s="47"/>
      <c r="Y186" s="48"/>
      <c r="Z186" s="46">
        <v>0</v>
      </c>
      <c r="AA186" s="47"/>
      <c r="AB186" s="47"/>
      <c r="AC186" s="47"/>
      <c r="AD186" s="48"/>
      <c r="AE186" s="46">
        <v>0</v>
      </c>
      <c r="AF186" s="47"/>
      <c r="AG186" s="47"/>
      <c r="AH186" s="48"/>
      <c r="AI186" s="46">
        <f t="shared" si="13"/>
        <v>0</v>
      </c>
      <c r="AJ186" s="47"/>
      <c r="AK186" s="47"/>
      <c r="AL186" s="47"/>
      <c r="AM186" s="48"/>
      <c r="AN186" s="46">
        <v>27000</v>
      </c>
      <c r="AO186" s="47"/>
      <c r="AP186" s="47"/>
      <c r="AQ186" s="47"/>
      <c r="AR186" s="48"/>
      <c r="AS186" s="46">
        <v>0</v>
      </c>
      <c r="AT186" s="47"/>
      <c r="AU186" s="47"/>
      <c r="AV186" s="47"/>
      <c r="AW186" s="48"/>
      <c r="AX186" s="46">
        <v>0</v>
      </c>
      <c r="AY186" s="47"/>
      <c r="AZ186" s="47"/>
      <c r="BA186" s="48"/>
      <c r="BB186" s="46">
        <f t="shared" si="14"/>
        <v>27000</v>
      </c>
      <c r="BC186" s="47"/>
      <c r="BD186" s="47"/>
      <c r="BE186" s="47"/>
      <c r="BF186" s="48"/>
      <c r="BG186" s="46">
        <v>0</v>
      </c>
      <c r="BH186" s="47"/>
      <c r="BI186" s="47"/>
      <c r="BJ186" s="47"/>
      <c r="BK186" s="48"/>
      <c r="BL186" s="46">
        <v>0</v>
      </c>
      <c r="BM186" s="47"/>
      <c r="BN186" s="47"/>
      <c r="BO186" s="47"/>
      <c r="BP186" s="48"/>
      <c r="BQ186" s="46">
        <v>0</v>
      </c>
      <c r="BR186" s="47"/>
      <c r="BS186" s="47"/>
      <c r="BT186" s="48"/>
      <c r="BU186" s="46">
        <f t="shared" si="15"/>
        <v>0</v>
      </c>
      <c r="BV186" s="47"/>
      <c r="BW186" s="47"/>
      <c r="BX186" s="47"/>
      <c r="BY186" s="48"/>
    </row>
    <row r="187" spans="1:77" s="5" customFormat="1" ht="12.75" customHeight="1" x14ac:dyDescent="0.2">
      <c r="A187" s="36"/>
      <c r="B187" s="37"/>
      <c r="C187" s="37"/>
      <c r="D187" s="23" t="s">
        <v>147</v>
      </c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5"/>
      <c r="U187" s="42">
        <v>26509245</v>
      </c>
      <c r="V187" s="43"/>
      <c r="W187" s="43"/>
      <c r="X187" s="43"/>
      <c r="Y187" s="44"/>
      <c r="Z187" s="42">
        <v>5044615</v>
      </c>
      <c r="AA187" s="43"/>
      <c r="AB187" s="43"/>
      <c r="AC187" s="43"/>
      <c r="AD187" s="44"/>
      <c r="AE187" s="42">
        <v>4834990</v>
      </c>
      <c r="AF187" s="43"/>
      <c r="AG187" s="43"/>
      <c r="AH187" s="44"/>
      <c r="AI187" s="42">
        <f t="shared" si="13"/>
        <v>31553860</v>
      </c>
      <c r="AJ187" s="43"/>
      <c r="AK187" s="43"/>
      <c r="AL187" s="43"/>
      <c r="AM187" s="44"/>
      <c r="AN187" s="42">
        <v>33491267</v>
      </c>
      <c r="AO187" s="43"/>
      <c r="AP187" s="43"/>
      <c r="AQ187" s="43"/>
      <c r="AR187" s="44"/>
      <c r="AS187" s="42">
        <v>250000</v>
      </c>
      <c r="AT187" s="43"/>
      <c r="AU187" s="43"/>
      <c r="AV187" s="43"/>
      <c r="AW187" s="44"/>
      <c r="AX187" s="42">
        <v>0</v>
      </c>
      <c r="AY187" s="43"/>
      <c r="AZ187" s="43"/>
      <c r="BA187" s="44"/>
      <c r="BB187" s="42">
        <f t="shared" si="14"/>
        <v>33741267</v>
      </c>
      <c r="BC187" s="43"/>
      <c r="BD187" s="43"/>
      <c r="BE187" s="43"/>
      <c r="BF187" s="44"/>
      <c r="BG187" s="42">
        <v>38793866</v>
      </c>
      <c r="BH187" s="43"/>
      <c r="BI187" s="43"/>
      <c r="BJ187" s="43"/>
      <c r="BK187" s="44"/>
      <c r="BL187" s="42">
        <v>200000</v>
      </c>
      <c r="BM187" s="43"/>
      <c r="BN187" s="43"/>
      <c r="BO187" s="43"/>
      <c r="BP187" s="44"/>
      <c r="BQ187" s="42">
        <v>0</v>
      </c>
      <c r="BR187" s="43"/>
      <c r="BS187" s="43"/>
      <c r="BT187" s="44"/>
      <c r="BU187" s="42">
        <f t="shared" si="15"/>
        <v>38993866</v>
      </c>
      <c r="BV187" s="43"/>
      <c r="BW187" s="43"/>
      <c r="BX187" s="43"/>
      <c r="BY187" s="44"/>
    </row>
    <row r="189" spans="1:77" ht="14.25" customHeight="1" x14ac:dyDescent="0.2">
      <c r="A189" s="60" t="s">
        <v>325</v>
      </c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</row>
    <row r="190" spans="1:77" ht="15" customHeight="1" x14ac:dyDescent="0.2">
      <c r="A190" s="65" t="s">
        <v>295</v>
      </c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  <c r="BE190" s="65"/>
      <c r="BF190" s="65"/>
      <c r="BG190" s="65"/>
      <c r="BH190" s="65"/>
    </row>
    <row r="191" spans="1:77" ht="14.25" customHeight="1" x14ac:dyDescent="0.2">
      <c r="A191" s="76" t="s">
        <v>6</v>
      </c>
      <c r="B191" s="77"/>
      <c r="C191" s="77"/>
      <c r="D191" s="76" t="s">
        <v>121</v>
      </c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8"/>
      <c r="U191" s="39" t="s">
        <v>317</v>
      </c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 t="s">
        <v>322</v>
      </c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</row>
    <row r="192" spans="1:77" ht="42" customHeight="1" x14ac:dyDescent="0.2">
      <c r="A192" s="79"/>
      <c r="B192" s="80"/>
      <c r="C192" s="80"/>
      <c r="D192" s="79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1"/>
      <c r="U192" s="72" t="s">
        <v>4</v>
      </c>
      <c r="V192" s="73"/>
      <c r="W192" s="73"/>
      <c r="X192" s="73"/>
      <c r="Y192" s="74"/>
      <c r="Z192" s="72" t="s">
        <v>3</v>
      </c>
      <c r="AA192" s="73"/>
      <c r="AB192" s="73"/>
      <c r="AC192" s="73"/>
      <c r="AD192" s="74"/>
      <c r="AE192" s="95" t="s">
        <v>116</v>
      </c>
      <c r="AF192" s="96"/>
      <c r="AG192" s="96"/>
      <c r="AH192" s="96"/>
      <c r="AI192" s="97"/>
      <c r="AJ192" s="72" t="s">
        <v>5</v>
      </c>
      <c r="AK192" s="73"/>
      <c r="AL192" s="73"/>
      <c r="AM192" s="73"/>
      <c r="AN192" s="74"/>
      <c r="AO192" s="72" t="s">
        <v>4</v>
      </c>
      <c r="AP192" s="73"/>
      <c r="AQ192" s="73"/>
      <c r="AR192" s="73"/>
      <c r="AS192" s="74"/>
      <c r="AT192" s="72" t="s">
        <v>3</v>
      </c>
      <c r="AU192" s="73"/>
      <c r="AV192" s="73"/>
      <c r="AW192" s="73"/>
      <c r="AX192" s="74"/>
      <c r="AY192" s="95" t="s">
        <v>116</v>
      </c>
      <c r="AZ192" s="96"/>
      <c r="BA192" s="96"/>
      <c r="BB192" s="96"/>
      <c r="BC192" s="97"/>
      <c r="BD192" s="39" t="s">
        <v>96</v>
      </c>
      <c r="BE192" s="39"/>
      <c r="BF192" s="39"/>
      <c r="BG192" s="39"/>
      <c r="BH192" s="39"/>
    </row>
    <row r="193" spans="1:79" ht="15" customHeight="1" x14ac:dyDescent="0.2">
      <c r="A193" s="72" t="s">
        <v>168</v>
      </c>
      <c r="B193" s="73"/>
      <c r="C193" s="73"/>
      <c r="D193" s="72">
        <v>2</v>
      </c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4"/>
      <c r="U193" s="72">
        <v>3</v>
      </c>
      <c r="V193" s="73"/>
      <c r="W193" s="73"/>
      <c r="X193" s="73"/>
      <c r="Y193" s="74"/>
      <c r="Z193" s="72">
        <v>4</v>
      </c>
      <c r="AA193" s="73"/>
      <c r="AB193" s="73"/>
      <c r="AC193" s="73"/>
      <c r="AD193" s="74"/>
      <c r="AE193" s="72">
        <v>5</v>
      </c>
      <c r="AF193" s="73"/>
      <c r="AG193" s="73"/>
      <c r="AH193" s="73"/>
      <c r="AI193" s="74"/>
      <c r="AJ193" s="72">
        <v>6</v>
      </c>
      <c r="AK193" s="73"/>
      <c r="AL193" s="73"/>
      <c r="AM193" s="73"/>
      <c r="AN193" s="74"/>
      <c r="AO193" s="72">
        <v>7</v>
      </c>
      <c r="AP193" s="73"/>
      <c r="AQ193" s="73"/>
      <c r="AR193" s="73"/>
      <c r="AS193" s="74"/>
      <c r="AT193" s="72">
        <v>8</v>
      </c>
      <c r="AU193" s="73"/>
      <c r="AV193" s="73"/>
      <c r="AW193" s="73"/>
      <c r="AX193" s="74"/>
      <c r="AY193" s="72">
        <v>9</v>
      </c>
      <c r="AZ193" s="73"/>
      <c r="BA193" s="73"/>
      <c r="BB193" s="73"/>
      <c r="BC193" s="74"/>
      <c r="BD193" s="72">
        <v>10</v>
      </c>
      <c r="BE193" s="73"/>
      <c r="BF193" s="73"/>
      <c r="BG193" s="73"/>
      <c r="BH193" s="74"/>
    </row>
    <row r="194" spans="1:79" s="1" customFormat="1" ht="12.75" hidden="1" customHeight="1" x14ac:dyDescent="0.2">
      <c r="A194" s="86" t="s">
        <v>69</v>
      </c>
      <c r="B194" s="87"/>
      <c r="C194" s="87"/>
      <c r="D194" s="86" t="s">
        <v>57</v>
      </c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8"/>
      <c r="U194" s="86" t="s">
        <v>60</v>
      </c>
      <c r="V194" s="87"/>
      <c r="W194" s="87"/>
      <c r="X194" s="87"/>
      <c r="Y194" s="88"/>
      <c r="Z194" s="86" t="s">
        <v>61</v>
      </c>
      <c r="AA194" s="87"/>
      <c r="AB194" s="87"/>
      <c r="AC194" s="87"/>
      <c r="AD194" s="88"/>
      <c r="AE194" s="86" t="s">
        <v>94</v>
      </c>
      <c r="AF194" s="87"/>
      <c r="AG194" s="87"/>
      <c r="AH194" s="87"/>
      <c r="AI194" s="88"/>
      <c r="AJ194" s="92" t="s">
        <v>170</v>
      </c>
      <c r="AK194" s="93"/>
      <c r="AL194" s="93"/>
      <c r="AM194" s="93"/>
      <c r="AN194" s="94"/>
      <c r="AO194" s="86" t="s">
        <v>62</v>
      </c>
      <c r="AP194" s="87"/>
      <c r="AQ194" s="87"/>
      <c r="AR194" s="87"/>
      <c r="AS194" s="88"/>
      <c r="AT194" s="86" t="s">
        <v>63</v>
      </c>
      <c r="AU194" s="87"/>
      <c r="AV194" s="87"/>
      <c r="AW194" s="87"/>
      <c r="AX194" s="88"/>
      <c r="AY194" s="86" t="s">
        <v>95</v>
      </c>
      <c r="AZ194" s="87"/>
      <c r="BA194" s="87"/>
      <c r="BB194" s="87"/>
      <c r="BC194" s="88"/>
      <c r="BD194" s="82" t="s">
        <v>170</v>
      </c>
      <c r="BE194" s="82"/>
      <c r="BF194" s="82"/>
      <c r="BG194" s="82"/>
      <c r="BH194" s="82"/>
      <c r="CA194" s="1" t="s">
        <v>35</v>
      </c>
    </row>
    <row r="195" spans="1:79" s="4" customFormat="1" ht="25.5" customHeight="1" x14ac:dyDescent="0.2">
      <c r="A195" s="34">
        <v>1</v>
      </c>
      <c r="B195" s="35"/>
      <c r="C195" s="35"/>
      <c r="D195" s="29" t="s">
        <v>196</v>
      </c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1"/>
      <c r="U195" s="46">
        <v>98400</v>
      </c>
      <c r="V195" s="47"/>
      <c r="W195" s="47"/>
      <c r="X195" s="47"/>
      <c r="Y195" s="48"/>
      <c r="Z195" s="46">
        <v>0</v>
      </c>
      <c r="AA195" s="47"/>
      <c r="AB195" s="47"/>
      <c r="AC195" s="47"/>
      <c r="AD195" s="48"/>
      <c r="AE195" s="49">
        <v>0</v>
      </c>
      <c r="AF195" s="49"/>
      <c r="AG195" s="49"/>
      <c r="AH195" s="49"/>
      <c r="AI195" s="49"/>
      <c r="AJ195" s="28">
        <f t="shared" ref="AJ195:AJ226" si="16">IF(ISNUMBER(U195),U195,0)+IF(ISNUMBER(Z195),Z195,0)</f>
        <v>98400</v>
      </c>
      <c r="AK195" s="28"/>
      <c r="AL195" s="28"/>
      <c r="AM195" s="28"/>
      <c r="AN195" s="28"/>
      <c r="AO195" s="49">
        <v>98400</v>
      </c>
      <c r="AP195" s="49"/>
      <c r="AQ195" s="49"/>
      <c r="AR195" s="49"/>
      <c r="AS195" s="49"/>
      <c r="AT195" s="28">
        <v>0</v>
      </c>
      <c r="AU195" s="28"/>
      <c r="AV195" s="28"/>
      <c r="AW195" s="28"/>
      <c r="AX195" s="28"/>
      <c r="AY195" s="49">
        <v>0</v>
      </c>
      <c r="AZ195" s="49"/>
      <c r="BA195" s="49"/>
      <c r="BB195" s="49"/>
      <c r="BC195" s="49"/>
      <c r="BD195" s="28">
        <f t="shared" ref="BD195:BD226" si="17">IF(ISNUMBER(AO195),AO195,0)+IF(ISNUMBER(AT195),AT195,0)</f>
        <v>98400</v>
      </c>
      <c r="BE195" s="28"/>
      <c r="BF195" s="28"/>
      <c r="BG195" s="28"/>
      <c r="BH195" s="28"/>
      <c r="CA195" s="4" t="s">
        <v>36</v>
      </c>
    </row>
    <row r="196" spans="1:79" s="4" customFormat="1" ht="12.75" customHeight="1" x14ac:dyDescent="0.2">
      <c r="A196" s="34">
        <v>2</v>
      </c>
      <c r="B196" s="35"/>
      <c r="C196" s="35"/>
      <c r="D196" s="29" t="s">
        <v>181</v>
      </c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1"/>
      <c r="U196" s="46">
        <v>26161670</v>
      </c>
      <c r="V196" s="47"/>
      <c r="W196" s="47"/>
      <c r="X196" s="47"/>
      <c r="Y196" s="48"/>
      <c r="Z196" s="46">
        <v>0</v>
      </c>
      <c r="AA196" s="47"/>
      <c r="AB196" s="47"/>
      <c r="AC196" s="47"/>
      <c r="AD196" s="48"/>
      <c r="AE196" s="49">
        <v>0</v>
      </c>
      <c r="AF196" s="49"/>
      <c r="AG196" s="49"/>
      <c r="AH196" s="49"/>
      <c r="AI196" s="49"/>
      <c r="AJ196" s="28">
        <f t="shared" si="16"/>
        <v>26161670</v>
      </c>
      <c r="AK196" s="28"/>
      <c r="AL196" s="28"/>
      <c r="AM196" s="28"/>
      <c r="AN196" s="28"/>
      <c r="AO196" s="49">
        <v>26161670</v>
      </c>
      <c r="AP196" s="49"/>
      <c r="AQ196" s="49"/>
      <c r="AR196" s="49"/>
      <c r="AS196" s="49"/>
      <c r="AT196" s="28">
        <v>0</v>
      </c>
      <c r="AU196" s="28"/>
      <c r="AV196" s="28"/>
      <c r="AW196" s="28"/>
      <c r="AX196" s="28"/>
      <c r="AY196" s="49">
        <v>0</v>
      </c>
      <c r="AZ196" s="49"/>
      <c r="BA196" s="49"/>
      <c r="BB196" s="49"/>
      <c r="BC196" s="49"/>
      <c r="BD196" s="28">
        <f t="shared" si="17"/>
        <v>26161670</v>
      </c>
      <c r="BE196" s="28"/>
      <c r="BF196" s="28"/>
      <c r="BG196" s="28"/>
      <c r="BH196" s="28"/>
    </row>
    <row r="197" spans="1:79" s="4" customFormat="1" ht="12.75" customHeight="1" x14ac:dyDescent="0.2">
      <c r="A197" s="34">
        <v>3</v>
      </c>
      <c r="B197" s="35"/>
      <c r="C197" s="35"/>
      <c r="D197" s="29" t="s">
        <v>197</v>
      </c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1"/>
      <c r="U197" s="46">
        <v>15000</v>
      </c>
      <c r="V197" s="47"/>
      <c r="W197" s="47"/>
      <c r="X197" s="47"/>
      <c r="Y197" s="48"/>
      <c r="Z197" s="46">
        <v>0</v>
      </c>
      <c r="AA197" s="47"/>
      <c r="AB197" s="47"/>
      <c r="AC197" s="47"/>
      <c r="AD197" s="48"/>
      <c r="AE197" s="49">
        <v>0</v>
      </c>
      <c r="AF197" s="49"/>
      <c r="AG197" s="49"/>
      <c r="AH197" s="49"/>
      <c r="AI197" s="49"/>
      <c r="AJ197" s="28">
        <f t="shared" si="16"/>
        <v>15000</v>
      </c>
      <c r="AK197" s="28"/>
      <c r="AL197" s="28"/>
      <c r="AM197" s="28"/>
      <c r="AN197" s="28"/>
      <c r="AO197" s="49">
        <v>17000</v>
      </c>
      <c r="AP197" s="49"/>
      <c r="AQ197" s="49"/>
      <c r="AR197" s="49"/>
      <c r="AS197" s="49"/>
      <c r="AT197" s="28">
        <v>0</v>
      </c>
      <c r="AU197" s="28"/>
      <c r="AV197" s="28"/>
      <c r="AW197" s="28"/>
      <c r="AX197" s="28"/>
      <c r="AY197" s="49">
        <v>0</v>
      </c>
      <c r="AZ197" s="49"/>
      <c r="BA197" s="49"/>
      <c r="BB197" s="49"/>
      <c r="BC197" s="49"/>
      <c r="BD197" s="28">
        <f t="shared" si="17"/>
        <v>17000</v>
      </c>
      <c r="BE197" s="28"/>
      <c r="BF197" s="28"/>
      <c r="BG197" s="28"/>
      <c r="BH197" s="28"/>
    </row>
    <row r="198" spans="1:79" s="4" customFormat="1" ht="12.75" customHeight="1" x14ac:dyDescent="0.2">
      <c r="A198" s="34">
        <v>4</v>
      </c>
      <c r="B198" s="35"/>
      <c r="C198" s="35"/>
      <c r="D198" s="29" t="s">
        <v>182</v>
      </c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1"/>
      <c r="U198" s="46">
        <v>5755568</v>
      </c>
      <c r="V198" s="47"/>
      <c r="W198" s="47"/>
      <c r="X198" s="47"/>
      <c r="Y198" s="48"/>
      <c r="Z198" s="46">
        <v>0</v>
      </c>
      <c r="AA198" s="47"/>
      <c r="AB198" s="47"/>
      <c r="AC198" s="47"/>
      <c r="AD198" s="48"/>
      <c r="AE198" s="49">
        <v>0</v>
      </c>
      <c r="AF198" s="49"/>
      <c r="AG198" s="49"/>
      <c r="AH198" s="49"/>
      <c r="AI198" s="49"/>
      <c r="AJ198" s="28">
        <f t="shared" si="16"/>
        <v>5755568</v>
      </c>
      <c r="AK198" s="28"/>
      <c r="AL198" s="28"/>
      <c r="AM198" s="28"/>
      <c r="AN198" s="28"/>
      <c r="AO198" s="49">
        <v>5755568</v>
      </c>
      <c r="AP198" s="49"/>
      <c r="AQ198" s="49"/>
      <c r="AR198" s="49"/>
      <c r="AS198" s="49"/>
      <c r="AT198" s="28">
        <v>0</v>
      </c>
      <c r="AU198" s="28"/>
      <c r="AV198" s="28"/>
      <c r="AW198" s="28"/>
      <c r="AX198" s="28"/>
      <c r="AY198" s="49">
        <v>0</v>
      </c>
      <c r="AZ198" s="49"/>
      <c r="BA198" s="49"/>
      <c r="BB198" s="49"/>
      <c r="BC198" s="49"/>
      <c r="BD198" s="28">
        <f t="shared" si="17"/>
        <v>5755568</v>
      </c>
      <c r="BE198" s="28"/>
      <c r="BF198" s="28"/>
      <c r="BG198" s="28"/>
      <c r="BH198" s="28"/>
    </row>
    <row r="199" spans="1:79" s="4" customFormat="1" ht="12.75" customHeight="1" x14ac:dyDescent="0.2">
      <c r="A199" s="34">
        <v>5</v>
      </c>
      <c r="B199" s="35"/>
      <c r="C199" s="35"/>
      <c r="D199" s="29" t="s">
        <v>198</v>
      </c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1"/>
      <c r="U199" s="46">
        <v>50000</v>
      </c>
      <c r="V199" s="47"/>
      <c r="W199" s="47"/>
      <c r="X199" s="47"/>
      <c r="Y199" s="48"/>
      <c r="Z199" s="46">
        <v>0</v>
      </c>
      <c r="AA199" s="47"/>
      <c r="AB199" s="47"/>
      <c r="AC199" s="47"/>
      <c r="AD199" s="48"/>
      <c r="AE199" s="49">
        <v>0</v>
      </c>
      <c r="AF199" s="49"/>
      <c r="AG199" s="49"/>
      <c r="AH199" s="49"/>
      <c r="AI199" s="49"/>
      <c r="AJ199" s="28">
        <f t="shared" si="16"/>
        <v>50000</v>
      </c>
      <c r="AK199" s="28"/>
      <c r="AL199" s="28"/>
      <c r="AM199" s="28"/>
      <c r="AN199" s="28"/>
      <c r="AO199" s="49">
        <v>70000</v>
      </c>
      <c r="AP199" s="49"/>
      <c r="AQ199" s="49"/>
      <c r="AR199" s="49"/>
      <c r="AS199" s="49"/>
      <c r="AT199" s="28">
        <v>0</v>
      </c>
      <c r="AU199" s="28"/>
      <c r="AV199" s="28"/>
      <c r="AW199" s="28"/>
      <c r="AX199" s="28"/>
      <c r="AY199" s="49">
        <v>0</v>
      </c>
      <c r="AZ199" s="49"/>
      <c r="BA199" s="49"/>
      <c r="BB199" s="49"/>
      <c r="BC199" s="49"/>
      <c r="BD199" s="28">
        <f t="shared" si="17"/>
        <v>70000</v>
      </c>
      <c r="BE199" s="28"/>
      <c r="BF199" s="28"/>
      <c r="BG199" s="28"/>
      <c r="BH199" s="28"/>
    </row>
    <row r="200" spans="1:79" s="4" customFormat="1" ht="25.5" customHeight="1" x14ac:dyDescent="0.2">
      <c r="A200" s="34">
        <v>6</v>
      </c>
      <c r="B200" s="35"/>
      <c r="C200" s="35"/>
      <c r="D200" s="29" t="s">
        <v>199</v>
      </c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1"/>
      <c r="U200" s="46">
        <v>500000</v>
      </c>
      <c r="V200" s="47"/>
      <c r="W200" s="47"/>
      <c r="X200" s="47"/>
      <c r="Y200" s="48"/>
      <c r="Z200" s="46">
        <v>0</v>
      </c>
      <c r="AA200" s="47"/>
      <c r="AB200" s="47"/>
      <c r="AC200" s="47"/>
      <c r="AD200" s="48"/>
      <c r="AE200" s="49">
        <v>0</v>
      </c>
      <c r="AF200" s="49"/>
      <c r="AG200" s="49"/>
      <c r="AH200" s="49"/>
      <c r="AI200" s="49"/>
      <c r="AJ200" s="28">
        <f t="shared" si="16"/>
        <v>500000</v>
      </c>
      <c r="AK200" s="28"/>
      <c r="AL200" s="28"/>
      <c r="AM200" s="28"/>
      <c r="AN200" s="28"/>
      <c r="AO200" s="49">
        <v>570000</v>
      </c>
      <c r="AP200" s="49"/>
      <c r="AQ200" s="49"/>
      <c r="AR200" s="49"/>
      <c r="AS200" s="49"/>
      <c r="AT200" s="28">
        <v>0</v>
      </c>
      <c r="AU200" s="28"/>
      <c r="AV200" s="28"/>
      <c r="AW200" s="28"/>
      <c r="AX200" s="28"/>
      <c r="AY200" s="49">
        <v>0</v>
      </c>
      <c r="AZ200" s="49"/>
      <c r="BA200" s="49"/>
      <c r="BB200" s="49"/>
      <c r="BC200" s="49"/>
      <c r="BD200" s="28">
        <f t="shared" si="17"/>
        <v>570000</v>
      </c>
      <c r="BE200" s="28"/>
      <c r="BF200" s="28"/>
      <c r="BG200" s="28"/>
      <c r="BH200" s="28"/>
    </row>
    <row r="201" spans="1:79" s="4" customFormat="1" ht="12.75" customHeight="1" x14ac:dyDescent="0.2">
      <c r="A201" s="34">
        <v>7</v>
      </c>
      <c r="B201" s="35"/>
      <c r="C201" s="35"/>
      <c r="D201" s="29" t="s">
        <v>189</v>
      </c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1"/>
      <c r="U201" s="46">
        <v>2232830</v>
      </c>
      <c r="V201" s="47"/>
      <c r="W201" s="47"/>
      <c r="X201" s="47"/>
      <c r="Y201" s="48"/>
      <c r="Z201" s="46">
        <v>0</v>
      </c>
      <c r="AA201" s="47"/>
      <c r="AB201" s="47"/>
      <c r="AC201" s="47"/>
      <c r="AD201" s="48"/>
      <c r="AE201" s="49">
        <v>0</v>
      </c>
      <c r="AF201" s="49"/>
      <c r="AG201" s="49"/>
      <c r="AH201" s="49"/>
      <c r="AI201" s="49"/>
      <c r="AJ201" s="28">
        <f t="shared" si="16"/>
        <v>2232830</v>
      </c>
      <c r="AK201" s="28"/>
      <c r="AL201" s="28"/>
      <c r="AM201" s="28"/>
      <c r="AN201" s="28"/>
      <c r="AO201" s="49">
        <v>2411456</v>
      </c>
      <c r="AP201" s="49"/>
      <c r="AQ201" s="49"/>
      <c r="AR201" s="49"/>
      <c r="AS201" s="49"/>
      <c r="AT201" s="28">
        <v>0</v>
      </c>
      <c r="AU201" s="28"/>
      <c r="AV201" s="28"/>
      <c r="AW201" s="28"/>
      <c r="AX201" s="28"/>
      <c r="AY201" s="49">
        <v>0</v>
      </c>
      <c r="AZ201" s="49"/>
      <c r="BA201" s="49"/>
      <c r="BB201" s="49"/>
      <c r="BC201" s="49"/>
      <c r="BD201" s="28">
        <f t="shared" si="17"/>
        <v>2411456</v>
      </c>
      <c r="BE201" s="28"/>
      <c r="BF201" s="28"/>
      <c r="BG201" s="28"/>
      <c r="BH201" s="28"/>
    </row>
    <row r="202" spans="1:79" s="4" customFormat="1" ht="12.75" customHeight="1" x14ac:dyDescent="0.2">
      <c r="A202" s="34">
        <v>8</v>
      </c>
      <c r="B202" s="35"/>
      <c r="C202" s="35"/>
      <c r="D202" s="29" t="s">
        <v>200</v>
      </c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1"/>
      <c r="U202" s="46">
        <v>26376</v>
      </c>
      <c r="V202" s="47"/>
      <c r="W202" s="47"/>
      <c r="X202" s="47"/>
      <c r="Y202" s="48"/>
      <c r="Z202" s="46">
        <v>0</v>
      </c>
      <c r="AA202" s="47"/>
      <c r="AB202" s="47"/>
      <c r="AC202" s="47"/>
      <c r="AD202" s="48"/>
      <c r="AE202" s="49">
        <v>0</v>
      </c>
      <c r="AF202" s="49"/>
      <c r="AG202" s="49"/>
      <c r="AH202" s="49"/>
      <c r="AI202" s="49"/>
      <c r="AJ202" s="28">
        <f t="shared" si="16"/>
        <v>26376</v>
      </c>
      <c r="AK202" s="28"/>
      <c r="AL202" s="28"/>
      <c r="AM202" s="28"/>
      <c r="AN202" s="28"/>
      <c r="AO202" s="49">
        <v>28486</v>
      </c>
      <c r="AP202" s="49"/>
      <c r="AQ202" s="49"/>
      <c r="AR202" s="49"/>
      <c r="AS202" s="49"/>
      <c r="AT202" s="28">
        <v>0</v>
      </c>
      <c r="AU202" s="28"/>
      <c r="AV202" s="28"/>
      <c r="AW202" s="28"/>
      <c r="AX202" s="28"/>
      <c r="AY202" s="49">
        <v>0</v>
      </c>
      <c r="AZ202" s="49"/>
      <c r="BA202" s="49"/>
      <c r="BB202" s="49"/>
      <c r="BC202" s="49"/>
      <c r="BD202" s="28">
        <f t="shared" si="17"/>
        <v>28486</v>
      </c>
      <c r="BE202" s="28"/>
      <c r="BF202" s="28"/>
      <c r="BG202" s="28"/>
      <c r="BH202" s="28"/>
    </row>
    <row r="203" spans="1:79" s="4" customFormat="1" ht="38.25" customHeight="1" x14ac:dyDescent="0.2">
      <c r="A203" s="34">
        <v>9</v>
      </c>
      <c r="B203" s="35"/>
      <c r="C203" s="35"/>
      <c r="D203" s="29" t="s">
        <v>201</v>
      </c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1"/>
      <c r="U203" s="46">
        <v>21980</v>
      </c>
      <c r="V203" s="47"/>
      <c r="W203" s="47"/>
      <c r="X203" s="47"/>
      <c r="Y203" s="48"/>
      <c r="Z203" s="46">
        <v>0</v>
      </c>
      <c r="AA203" s="47"/>
      <c r="AB203" s="47"/>
      <c r="AC203" s="47"/>
      <c r="AD203" s="48"/>
      <c r="AE203" s="49">
        <v>0</v>
      </c>
      <c r="AF203" s="49"/>
      <c r="AG203" s="49"/>
      <c r="AH203" s="49"/>
      <c r="AI203" s="49"/>
      <c r="AJ203" s="28">
        <f t="shared" si="16"/>
        <v>21980</v>
      </c>
      <c r="AK203" s="28"/>
      <c r="AL203" s="28"/>
      <c r="AM203" s="28"/>
      <c r="AN203" s="28"/>
      <c r="AO203" s="49">
        <v>23738</v>
      </c>
      <c r="AP203" s="49"/>
      <c r="AQ203" s="49"/>
      <c r="AR203" s="49"/>
      <c r="AS203" s="49"/>
      <c r="AT203" s="28">
        <v>0</v>
      </c>
      <c r="AU203" s="28"/>
      <c r="AV203" s="28"/>
      <c r="AW203" s="28"/>
      <c r="AX203" s="28"/>
      <c r="AY203" s="49">
        <v>0</v>
      </c>
      <c r="AZ203" s="49"/>
      <c r="BA203" s="49"/>
      <c r="BB203" s="49"/>
      <c r="BC203" s="49"/>
      <c r="BD203" s="28">
        <f t="shared" si="17"/>
        <v>23738</v>
      </c>
      <c r="BE203" s="28"/>
      <c r="BF203" s="28"/>
      <c r="BG203" s="28"/>
      <c r="BH203" s="28"/>
    </row>
    <row r="204" spans="1:79" s="4" customFormat="1" ht="12.75" customHeight="1" x14ac:dyDescent="0.2">
      <c r="A204" s="34">
        <v>10</v>
      </c>
      <c r="B204" s="35"/>
      <c r="C204" s="35"/>
      <c r="D204" s="29" t="s">
        <v>202</v>
      </c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1"/>
      <c r="U204" s="46">
        <v>97789</v>
      </c>
      <c r="V204" s="47"/>
      <c r="W204" s="47"/>
      <c r="X204" s="47"/>
      <c r="Y204" s="48"/>
      <c r="Z204" s="46">
        <v>0</v>
      </c>
      <c r="AA204" s="47"/>
      <c r="AB204" s="47"/>
      <c r="AC204" s="47"/>
      <c r="AD204" s="48"/>
      <c r="AE204" s="49">
        <v>0</v>
      </c>
      <c r="AF204" s="49"/>
      <c r="AG204" s="49"/>
      <c r="AH204" s="49"/>
      <c r="AI204" s="49"/>
      <c r="AJ204" s="28">
        <f t="shared" si="16"/>
        <v>97789</v>
      </c>
      <c r="AK204" s="28"/>
      <c r="AL204" s="28"/>
      <c r="AM204" s="28"/>
      <c r="AN204" s="28"/>
      <c r="AO204" s="49">
        <v>105612</v>
      </c>
      <c r="AP204" s="49"/>
      <c r="AQ204" s="49"/>
      <c r="AR204" s="49"/>
      <c r="AS204" s="49"/>
      <c r="AT204" s="28">
        <v>0</v>
      </c>
      <c r="AU204" s="28"/>
      <c r="AV204" s="28"/>
      <c r="AW204" s="28"/>
      <c r="AX204" s="28"/>
      <c r="AY204" s="49">
        <v>0</v>
      </c>
      <c r="AZ204" s="49"/>
      <c r="BA204" s="49"/>
      <c r="BB204" s="49"/>
      <c r="BC204" s="49"/>
      <c r="BD204" s="28">
        <f t="shared" si="17"/>
        <v>105612</v>
      </c>
      <c r="BE204" s="28"/>
      <c r="BF204" s="28"/>
      <c r="BG204" s="28"/>
      <c r="BH204" s="28"/>
    </row>
    <row r="205" spans="1:79" s="4" customFormat="1" ht="12.75" customHeight="1" x14ac:dyDescent="0.2">
      <c r="A205" s="34">
        <v>11</v>
      </c>
      <c r="B205" s="35"/>
      <c r="C205" s="35"/>
      <c r="D205" s="29" t="s">
        <v>203</v>
      </c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1"/>
      <c r="U205" s="46">
        <v>85000</v>
      </c>
      <c r="V205" s="47"/>
      <c r="W205" s="47"/>
      <c r="X205" s="47"/>
      <c r="Y205" s="48"/>
      <c r="Z205" s="46">
        <v>0</v>
      </c>
      <c r="AA205" s="47"/>
      <c r="AB205" s="47"/>
      <c r="AC205" s="47"/>
      <c r="AD205" s="48"/>
      <c r="AE205" s="49">
        <v>0</v>
      </c>
      <c r="AF205" s="49"/>
      <c r="AG205" s="49"/>
      <c r="AH205" s="49"/>
      <c r="AI205" s="49"/>
      <c r="AJ205" s="28">
        <f t="shared" si="16"/>
        <v>85000</v>
      </c>
      <c r="AK205" s="28"/>
      <c r="AL205" s="28"/>
      <c r="AM205" s="28"/>
      <c r="AN205" s="28"/>
      <c r="AO205" s="49">
        <v>90000</v>
      </c>
      <c r="AP205" s="49"/>
      <c r="AQ205" s="49"/>
      <c r="AR205" s="49"/>
      <c r="AS205" s="49"/>
      <c r="AT205" s="28">
        <v>0</v>
      </c>
      <c r="AU205" s="28"/>
      <c r="AV205" s="28"/>
      <c r="AW205" s="28"/>
      <c r="AX205" s="28"/>
      <c r="AY205" s="49">
        <v>0</v>
      </c>
      <c r="AZ205" s="49"/>
      <c r="BA205" s="49"/>
      <c r="BB205" s="49"/>
      <c r="BC205" s="49"/>
      <c r="BD205" s="28">
        <f t="shared" si="17"/>
        <v>90000</v>
      </c>
      <c r="BE205" s="28"/>
      <c r="BF205" s="28"/>
      <c r="BG205" s="28"/>
      <c r="BH205" s="28"/>
    </row>
    <row r="206" spans="1:79" s="4" customFormat="1" ht="25.5" customHeight="1" x14ac:dyDescent="0.2">
      <c r="A206" s="34">
        <v>12</v>
      </c>
      <c r="B206" s="35"/>
      <c r="C206" s="35"/>
      <c r="D206" s="29" t="s">
        <v>204</v>
      </c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1"/>
      <c r="U206" s="46">
        <v>0</v>
      </c>
      <c r="V206" s="47"/>
      <c r="W206" s="47"/>
      <c r="X206" s="47"/>
      <c r="Y206" s="48"/>
      <c r="Z206" s="46">
        <v>0</v>
      </c>
      <c r="AA206" s="47"/>
      <c r="AB206" s="47"/>
      <c r="AC206" s="47"/>
      <c r="AD206" s="48"/>
      <c r="AE206" s="49">
        <v>0</v>
      </c>
      <c r="AF206" s="49"/>
      <c r="AG206" s="49"/>
      <c r="AH206" s="49"/>
      <c r="AI206" s="49"/>
      <c r="AJ206" s="28">
        <f t="shared" si="16"/>
        <v>0</v>
      </c>
      <c r="AK206" s="28"/>
      <c r="AL206" s="28"/>
      <c r="AM206" s="28"/>
      <c r="AN206" s="28"/>
      <c r="AO206" s="49">
        <v>0</v>
      </c>
      <c r="AP206" s="49"/>
      <c r="AQ206" s="49"/>
      <c r="AR206" s="49"/>
      <c r="AS206" s="49"/>
      <c r="AT206" s="28">
        <v>0</v>
      </c>
      <c r="AU206" s="28"/>
      <c r="AV206" s="28"/>
      <c r="AW206" s="28"/>
      <c r="AX206" s="28"/>
      <c r="AY206" s="49">
        <v>0</v>
      </c>
      <c r="AZ206" s="49"/>
      <c r="BA206" s="49"/>
      <c r="BB206" s="49"/>
      <c r="BC206" s="49"/>
      <c r="BD206" s="28">
        <f t="shared" si="17"/>
        <v>0</v>
      </c>
      <c r="BE206" s="28"/>
      <c r="BF206" s="28"/>
      <c r="BG206" s="28"/>
      <c r="BH206" s="28"/>
    </row>
    <row r="207" spans="1:79" s="4" customFormat="1" ht="12.75" customHeight="1" x14ac:dyDescent="0.2">
      <c r="A207" s="34">
        <v>13</v>
      </c>
      <c r="B207" s="35"/>
      <c r="C207" s="35"/>
      <c r="D207" s="29" t="s">
        <v>205</v>
      </c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1"/>
      <c r="U207" s="46">
        <v>73000</v>
      </c>
      <c r="V207" s="47"/>
      <c r="W207" s="47"/>
      <c r="X207" s="47"/>
      <c r="Y207" s="48"/>
      <c r="Z207" s="46">
        <v>0</v>
      </c>
      <c r="AA207" s="47"/>
      <c r="AB207" s="47"/>
      <c r="AC207" s="47"/>
      <c r="AD207" s="48"/>
      <c r="AE207" s="49">
        <v>0</v>
      </c>
      <c r="AF207" s="49"/>
      <c r="AG207" s="49"/>
      <c r="AH207" s="49"/>
      <c r="AI207" s="49"/>
      <c r="AJ207" s="28">
        <f t="shared" si="16"/>
        <v>73000</v>
      </c>
      <c r="AK207" s="28"/>
      <c r="AL207" s="28"/>
      <c r="AM207" s="28"/>
      <c r="AN207" s="28"/>
      <c r="AO207" s="49">
        <v>80000</v>
      </c>
      <c r="AP207" s="49"/>
      <c r="AQ207" s="49"/>
      <c r="AR207" s="49"/>
      <c r="AS207" s="49"/>
      <c r="AT207" s="28">
        <v>0</v>
      </c>
      <c r="AU207" s="28"/>
      <c r="AV207" s="28"/>
      <c r="AW207" s="28"/>
      <c r="AX207" s="28"/>
      <c r="AY207" s="49">
        <v>0</v>
      </c>
      <c r="AZ207" s="49"/>
      <c r="BA207" s="49"/>
      <c r="BB207" s="49"/>
      <c r="BC207" s="49"/>
      <c r="BD207" s="28">
        <f t="shared" si="17"/>
        <v>80000</v>
      </c>
      <c r="BE207" s="28"/>
      <c r="BF207" s="28"/>
      <c r="BG207" s="28"/>
      <c r="BH207" s="28"/>
    </row>
    <row r="208" spans="1:79" s="4" customFormat="1" ht="12.75" customHeight="1" x14ac:dyDescent="0.2">
      <c r="A208" s="34">
        <v>14</v>
      </c>
      <c r="B208" s="35"/>
      <c r="C208" s="35"/>
      <c r="D208" s="29" t="s">
        <v>206</v>
      </c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1"/>
      <c r="U208" s="46">
        <v>120000</v>
      </c>
      <c r="V208" s="47"/>
      <c r="W208" s="47"/>
      <c r="X208" s="47"/>
      <c r="Y208" s="48"/>
      <c r="Z208" s="46">
        <v>0</v>
      </c>
      <c r="AA208" s="47"/>
      <c r="AB208" s="47"/>
      <c r="AC208" s="47"/>
      <c r="AD208" s="48"/>
      <c r="AE208" s="49">
        <v>0</v>
      </c>
      <c r="AF208" s="49"/>
      <c r="AG208" s="49"/>
      <c r="AH208" s="49"/>
      <c r="AI208" s="49"/>
      <c r="AJ208" s="28">
        <f t="shared" si="16"/>
        <v>120000</v>
      </c>
      <c r="AK208" s="28"/>
      <c r="AL208" s="28"/>
      <c r="AM208" s="28"/>
      <c r="AN208" s="28"/>
      <c r="AO208" s="49">
        <v>140000</v>
      </c>
      <c r="AP208" s="49"/>
      <c r="AQ208" s="49"/>
      <c r="AR208" s="49"/>
      <c r="AS208" s="49"/>
      <c r="AT208" s="28">
        <v>0</v>
      </c>
      <c r="AU208" s="28"/>
      <c r="AV208" s="28"/>
      <c r="AW208" s="28"/>
      <c r="AX208" s="28"/>
      <c r="AY208" s="49">
        <v>0</v>
      </c>
      <c r="AZ208" s="49"/>
      <c r="BA208" s="49"/>
      <c r="BB208" s="49"/>
      <c r="BC208" s="49"/>
      <c r="BD208" s="28">
        <f t="shared" si="17"/>
        <v>140000</v>
      </c>
      <c r="BE208" s="28"/>
      <c r="BF208" s="28"/>
      <c r="BG208" s="28"/>
      <c r="BH208" s="28"/>
    </row>
    <row r="209" spans="1:60" s="4" customFormat="1" ht="12.75" customHeight="1" x14ac:dyDescent="0.2">
      <c r="A209" s="34">
        <v>15</v>
      </c>
      <c r="B209" s="35"/>
      <c r="C209" s="35"/>
      <c r="D209" s="29" t="s">
        <v>207</v>
      </c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1"/>
      <c r="U209" s="46">
        <v>10000</v>
      </c>
      <c r="V209" s="47"/>
      <c r="W209" s="47"/>
      <c r="X209" s="47"/>
      <c r="Y209" s="48"/>
      <c r="Z209" s="46">
        <v>0</v>
      </c>
      <c r="AA209" s="47"/>
      <c r="AB209" s="47"/>
      <c r="AC209" s="47"/>
      <c r="AD209" s="48"/>
      <c r="AE209" s="49">
        <v>0</v>
      </c>
      <c r="AF209" s="49"/>
      <c r="AG209" s="49"/>
      <c r="AH209" s="49"/>
      <c r="AI209" s="49"/>
      <c r="AJ209" s="28">
        <f t="shared" si="16"/>
        <v>10000</v>
      </c>
      <c r="AK209" s="28"/>
      <c r="AL209" s="28"/>
      <c r="AM209" s="28"/>
      <c r="AN209" s="28"/>
      <c r="AO209" s="49">
        <v>10000</v>
      </c>
      <c r="AP209" s="49"/>
      <c r="AQ209" s="49"/>
      <c r="AR209" s="49"/>
      <c r="AS209" s="49"/>
      <c r="AT209" s="28">
        <v>0</v>
      </c>
      <c r="AU209" s="28"/>
      <c r="AV209" s="28"/>
      <c r="AW209" s="28"/>
      <c r="AX209" s="28"/>
      <c r="AY209" s="49">
        <v>0</v>
      </c>
      <c r="AZ209" s="49"/>
      <c r="BA209" s="49"/>
      <c r="BB209" s="49"/>
      <c r="BC209" s="49"/>
      <c r="BD209" s="28">
        <f t="shared" si="17"/>
        <v>10000</v>
      </c>
      <c r="BE209" s="28"/>
      <c r="BF209" s="28"/>
      <c r="BG209" s="28"/>
      <c r="BH209" s="28"/>
    </row>
    <row r="210" spans="1:60" s="4" customFormat="1" ht="25.5" customHeight="1" x14ac:dyDescent="0.2">
      <c r="A210" s="34">
        <v>16</v>
      </c>
      <c r="B210" s="35"/>
      <c r="C210" s="35"/>
      <c r="D210" s="29" t="s">
        <v>208</v>
      </c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1"/>
      <c r="U210" s="46">
        <v>316000</v>
      </c>
      <c r="V210" s="47"/>
      <c r="W210" s="47"/>
      <c r="X210" s="47"/>
      <c r="Y210" s="48"/>
      <c r="Z210" s="46">
        <v>0</v>
      </c>
      <c r="AA210" s="47"/>
      <c r="AB210" s="47"/>
      <c r="AC210" s="47"/>
      <c r="AD210" s="48"/>
      <c r="AE210" s="49">
        <v>0</v>
      </c>
      <c r="AF210" s="49"/>
      <c r="AG210" s="49"/>
      <c r="AH210" s="49"/>
      <c r="AI210" s="49"/>
      <c r="AJ210" s="28">
        <f t="shared" si="16"/>
        <v>316000</v>
      </c>
      <c r="AK210" s="28"/>
      <c r="AL210" s="28"/>
      <c r="AM210" s="28"/>
      <c r="AN210" s="28"/>
      <c r="AO210" s="49">
        <v>340000</v>
      </c>
      <c r="AP210" s="49"/>
      <c r="AQ210" s="49"/>
      <c r="AR210" s="49"/>
      <c r="AS210" s="49"/>
      <c r="AT210" s="28">
        <v>0</v>
      </c>
      <c r="AU210" s="28"/>
      <c r="AV210" s="28"/>
      <c r="AW210" s="28"/>
      <c r="AX210" s="28"/>
      <c r="AY210" s="49">
        <v>0</v>
      </c>
      <c r="AZ210" s="49"/>
      <c r="BA210" s="49"/>
      <c r="BB210" s="49"/>
      <c r="BC210" s="49"/>
      <c r="BD210" s="28">
        <f t="shared" si="17"/>
        <v>340000</v>
      </c>
      <c r="BE210" s="28"/>
      <c r="BF210" s="28"/>
      <c r="BG210" s="28"/>
      <c r="BH210" s="28"/>
    </row>
    <row r="211" spans="1:60" s="4" customFormat="1" ht="12.75" customHeight="1" x14ac:dyDescent="0.2">
      <c r="A211" s="34">
        <v>17</v>
      </c>
      <c r="B211" s="35"/>
      <c r="C211" s="35"/>
      <c r="D211" s="29" t="s">
        <v>209</v>
      </c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1"/>
      <c r="U211" s="46">
        <v>50353</v>
      </c>
      <c r="V211" s="47"/>
      <c r="W211" s="47"/>
      <c r="X211" s="47"/>
      <c r="Y211" s="48"/>
      <c r="Z211" s="46">
        <v>0</v>
      </c>
      <c r="AA211" s="47"/>
      <c r="AB211" s="47"/>
      <c r="AC211" s="47"/>
      <c r="AD211" s="48"/>
      <c r="AE211" s="49">
        <v>0</v>
      </c>
      <c r="AF211" s="49"/>
      <c r="AG211" s="49"/>
      <c r="AH211" s="49"/>
      <c r="AI211" s="49"/>
      <c r="AJ211" s="28">
        <f t="shared" si="16"/>
        <v>50353</v>
      </c>
      <c r="AK211" s="28"/>
      <c r="AL211" s="28"/>
      <c r="AM211" s="28"/>
      <c r="AN211" s="28"/>
      <c r="AO211" s="49">
        <v>54381</v>
      </c>
      <c r="AP211" s="49"/>
      <c r="AQ211" s="49"/>
      <c r="AR211" s="49"/>
      <c r="AS211" s="49"/>
      <c r="AT211" s="28">
        <v>0</v>
      </c>
      <c r="AU211" s="28"/>
      <c r="AV211" s="28"/>
      <c r="AW211" s="28"/>
      <c r="AX211" s="28"/>
      <c r="AY211" s="49">
        <v>0</v>
      </c>
      <c r="AZ211" s="49"/>
      <c r="BA211" s="49"/>
      <c r="BB211" s="49"/>
      <c r="BC211" s="49"/>
      <c r="BD211" s="28">
        <f t="shared" si="17"/>
        <v>54381</v>
      </c>
      <c r="BE211" s="28"/>
      <c r="BF211" s="28"/>
      <c r="BG211" s="28"/>
      <c r="BH211" s="28"/>
    </row>
    <row r="212" spans="1:60" s="4" customFormat="1" ht="12.75" customHeight="1" x14ac:dyDescent="0.2">
      <c r="A212" s="34">
        <v>18</v>
      </c>
      <c r="B212" s="35"/>
      <c r="C212" s="35"/>
      <c r="D212" s="29" t="s">
        <v>210</v>
      </c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1"/>
      <c r="U212" s="46">
        <v>370000</v>
      </c>
      <c r="V212" s="47"/>
      <c r="W212" s="47"/>
      <c r="X212" s="47"/>
      <c r="Y212" s="48"/>
      <c r="Z212" s="46">
        <v>0</v>
      </c>
      <c r="AA212" s="47"/>
      <c r="AB212" s="47"/>
      <c r="AC212" s="47"/>
      <c r="AD212" s="48"/>
      <c r="AE212" s="49">
        <v>0</v>
      </c>
      <c r="AF212" s="49"/>
      <c r="AG212" s="49"/>
      <c r="AH212" s="49"/>
      <c r="AI212" s="49"/>
      <c r="AJ212" s="28">
        <f t="shared" si="16"/>
        <v>370000</v>
      </c>
      <c r="AK212" s="28"/>
      <c r="AL212" s="28"/>
      <c r="AM212" s="28"/>
      <c r="AN212" s="28"/>
      <c r="AO212" s="49">
        <v>400000</v>
      </c>
      <c r="AP212" s="49"/>
      <c r="AQ212" s="49"/>
      <c r="AR212" s="49"/>
      <c r="AS212" s="49"/>
      <c r="AT212" s="28">
        <v>0</v>
      </c>
      <c r="AU212" s="28"/>
      <c r="AV212" s="28"/>
      <c r="AW212" s="28"/>
      <c r="AX212" s="28"/>
      <c r="AY212" s="49">
        <v>0</v>
      </c>
      <c r="AZ212" s="49"/>
      <c r="BA212" s="49"/>
      <c r="BB212" s="49"/>
      <c r="BC212" s="49"/>
      <c r="BD212" s="28">
        <f t="shared" si="17"/>
        <v>400000</v>
      </c>
      <c r="BE212" s="28"/>
      <c r="BF212" s="28"/>
      <c r="BG212" s="28"/>
      <c r="BH212" s="28"/>
    </row>
    <row r="213" spans="1:60" s="4" customFormat="1" ht="12.75" customHeight="1" x14ac:dyDescent="0.2">
      <c r="A213" s="34">
        <v>19</v>
      </c>
      <c r="B213" s="35"/>
      <c r="C213" s="35"/>
      <c r="D213" s="29" t="s">
        <v>211</v>
      </c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1"/>
      <c r="U213" s="46">
        <v>100000</v>
      </c>
      <c r="V213" s="47"/>
      <c r="W213" s="47"/>
      <c r="X213" s="47"/>
      <c r="Y213" s="48"/>
      <c r="Z213" s="46">
        <v>0</v>
      </c>
      <c r="AA213" s="47"/>
      <c r="AB213" s="47"/>
      <c r="AC213" s="47"/>
      <c r="AD213" s="48"/>
      <c r="AE213" s="49">
        <v>0</v>
      </c>
      <c r="AF213" s="49"/>
      <c r="AG213" s="49"/>
      <c r="AH213" s="49"/>
      <c r="AI213" s="49"/>
      <c r="AJ213" s="28">
        <f t="shared" si="16"/>
        <v>100000</v>
      </c>
      <c r="AK213" s="28"/>
      <c r="AL213" s="28"/>
      <c r="AM213" s="28"/>
      <c r="AN213" s="28"/>
      <c r="AO213" s="49">
        <v>110000</v>
      </c>
      <c r="AP213" s="49"/>
      <c r="AQ213" s="49"/>
      <c r="AR213" s="49"/>
      <c r="AS213" s="49"/>
      <c r="AT213" s="28">
        <v>0</v>
      </c>
      <c r="AU213" s="28"/>
      <c r="AV213" s="28"/>
      <c r="AW213" s="28"/>
      <c r="AX213" s="28"/>
      <c r="AY213" s="49">
        <v>0</v>
      </c>
      <c r="AZ213" s="49"/>
      <c r="BA213" s="49"/>
      <c r="BB213" s="49"/>
      <c r="BC213" s="49"/>
      <c r="BD213" s="28">
        <f t="shared" si="17"/>
        <v>110000</v>
      </c>
      <c r="BE213" s="28"/>
      <c r="BF213" s="28"/>
      <c r="BG213" s="28"/>
      <c r="BH213" s="28"/>
    </row>
    <row r="214" spans="1:60" s="4" customFormat="1" ht="12.75" customHeight="1" x14ac:dyDescent="0.2">
      <c r="A214" s="34">
        <v>20</v>
      </c>
      <c r="B214" s="35"/>
      <c r="C214" s="35"/>
      <c r="D214" s="29" t="s">
        <v>212</v>
      </c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1"/>
      <c r="U214" s="46">
        <v>549500</v>
      </c>
      <c r="V214" s="47"/>
      <c r="W214" s="47"/>
      <c r="X214" s="47"/>
      <c r="Y214" s="48"/>
      <c r="Z214" s="46">
        <v>0</v>
      </c>
      <c r="AA214" s="47"/>
      <c r="AB214" s="47"/>
      <c r="AC214" s="47"/>
      <c r="AD214" s="48"/>
      <c r="AE214" s="49">
        <v>0</v>
      </c>
      <c r="AF214" s="49"/>
      <c r="AG214" s="49"/>
      <c r="AH214" s="49"/>
      <c r="AI214" s="49"/>
      <c r="AJ214" s="28">
        <f t="shared" si="16"/>
        <v>549500</v>
      </c>
      <c r="AK214" s="28"/>
      <c r="AL214" s="28"/>
      <c r="AM214" s="28"/>
      <c r="AN214" s="28"/>
      <c r="AO214" s="49">
        <v>593460</v>
      </c>
      <c r="AP214" s="49"/>
      <c r="AQ214" s="49"/>
      <c r="AR214" s="49"/>
      <c r="AS214" s="49"/>
      <c r="AT214" s="28">
        <v>0</v>
      </c>
      <c r="AU214" s="28"/>
      <c r="AV214" s="28"/>
      <c r="AW214" s="28"/>
      <c r="AX214" s="28"/>
      <c r="AY214" s="49">
        <v>0</v>
      </c>
      <c r="AZ214" s="49"/>
      <c r="BA214" s="49"/>
      <c r="BB214" s="49"/>
      <c r="BC214" s="49"/>
      <c r="BD214" s="28">
        <f t="shared" si="17"/>
        <v>593460</v>
      </c>
      <c r="BE214" s="28"/>
      <c r="BF214" s="28"/>
      <c r="BG214" s="28"/>
      <c r="BH214" s="28"/>
    </row>
    <row r="215" spans="1:60" s="4" customFormat="1" ht="12.75" customHeight="1" x14ac:dyDescent="0.2">
      <c r="A215" s="34">
        <v>21</v>
      </c>
      <c r="B215" s="35"/>
      <c r="C215" s="35"/>
      <c r="D215" s="29" t="s">
        <v>187</v>
      </c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1"/>
      <c r="U215" s="46">
        <v>321787</v>
      </c>
      <c r="V215" s="47"/>
      <c r="W215" s="47"/>
      <c r="X215" s="47"/>
      <c r="Y215" s="48"/>
      <c r="Z215" s="46">
        <v>0</v>
      </c>
      <c r="AA215" s="47"/>
      <c r="AB215" s="47"/>
      <c r="AC215" s="47"/>
      <c r="AD215" s="48"/>
      <c r="AE215" s="49">
        <v>0</v>
      </c>
      <c r="AF215" s="49"/>
      <c r="AG215" s="49"/>
      <c r="AH215" s="49"/>
      <c r="AI215" s="49"/>
      <c r="AJ215" s="28">
        <f t="shared" si="16"/>
        <v>321787</v>
      </c>
      <c r="AK215" s="28"/>
      <c r="AL215" s="28"/>
      <c r="AM215" s="28"/>
      <c r="AN215" s="28"/>
      <c r="AO215" s="49">
        <v>347530</v>
      </c>
      <c r="AP215" s="49"/>
      <c r="AQ215" s="49"/>
      <c r="AR215" s="49"/>
      <c r="AS215" s="49"/>
      <c r="AT215" s="28">
        <v>0</v>
      </c>
      <c r="AU215" s="28"/>
      <c r="AV215" s="28"/>
      <c r="AW215" s="28"/>
      <c r="AX215" s="28"/>
      <c r="AY215" s="49">
        <v>0</v>
      </c>
      <c r="AZ215" s="49"/>
      <c r="BA215" s="49"/>
      <c r="BB215" s="49"/>
      <c r="BC215" s="49"/>
      <c r="BD215" s="28">
        <f t="shared" si="17"/>
        <v>347530</v>
      </c>
      <c r="BE215" s="28"/>
      <c r="BF215" s="28"/>
      <c r="BG215" s="28"/>
      <c r="BH215" s="28"/>
    </row>
    <row r="216" spans="1:60" s="4" customFormat="1" ht="51" customHeight="1" x14ac:dyDescent="0.2">
      <c r="A216" s="34">
        <v>22</v>
      </c>
      <c r="B216" s="35"/>
      <c r="C216" s="35"/>
      <c r="D216" s="29" t="s">
        <v>213</v>
      </c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1"/>
      <c r="U216" s="46">
        <v>180000</v>
      </c>
      <c r="V216" s="47"/>
      <c r="W216" s="47"/>
      <c r="X216" s="47"/>
      <c r="Y216" s="48"/>
      <c r="Z216" s="46">
        <v>0</v>
      </c>
      <c r="AA216" s="47"/>
      <c r="AB216" s="47"/>
      <c r="AC216" s="47"/>
      <c r="AD216" s="48"/>
      <c r="AE216" s="49">
        <v>0</v>
      </c>
      <c r="AF216" s="49"/>
      <c r="AG216" s="49"/>
      <c r="AH216" s="49"/>
      <c r="AI216" s="49"/>
      <c r="AJ216" s="28">
        <f t="shared" si="16"/>
        <v>180000</v>
      </c>
      <c r="AK216" s="28"/>
      <c r="AL216" s="28"/>
      <c r="AM216" s="28"/>
      <c r="AN216" s="28"/>
      <c r="AO216" s="49">
        <v>210000</v>
      </c>
      <c r="AP216" s="49"/>
      <c r="AQ216" s="49"/>
      <c r="AR216" s="49"/>
      <c r="AS216" s="49"/>
      <c r="AT216" s="28">
        <v>0</v>
      </c>
      <c r="AU216" s="28"/>
      <c r="AV216" s="28"/>
      <c r="AW216" s="28"/>
      <c r="AX216" s="28"/>
      <c r="AY216" s="49">
        <v>0</v>
      </c>
      <c r="AZ216" s="49"/>
      <c r="BA216" s="49"/>
      <c r="BB216" s="49"/>
      <c r="BC216" s="49"/>
      <c r="BD216" s="28">
        <f t="shared" si="17"/>
        <v>210000</v>
      </c>
      <c r="BE216" s="28"/>
      <c r="BF216" s="28"/>
      <c r="BG216" s="28"/>
      <c r="BH216" s="28"/>
    </row>
    <row r="217" spans="1:60" s="4" customFormat="1" ht="12.75" customHeight="1" x14ac:dyDescent="0.2">
      <c r="A217" s="34">
        <v>23</v>
      </c>
      <c r="B217" s="35"/>
      <c r="C217" s="35"/>
      <c r="D217" s="29" t="s">
        <v>214</v>
      </c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1"/>
      <c r="U217" s="46">
        <v>35000</v>
      </c>
      <c r="V217" s="47"/>
      <c r="W217" s="47"/>
      <c r="X217" s="47"/>
      <c r="Y217" s="48"/>
      <c r="Z217" s="46">
        <v>0</v>
      </c>
      <c r="AA217" s="47"/>
      <c r="AB217" s="47"/>
      <c r="AC217" s="47"/>
      <c r="AD217" s="48"/>
      <c r="AE217" s="49">
        <v>0</v>
      </c>
      <c r="AF217" s="49"/>
      <c r="AG217" s="49"/>
      <c r="AH217" s="49"/>
      <c r="AI217" s="49"/>
      <c r="AJ217" s="28">
        <f t="shared" si="16"/>
        <v>35000</v>
      </c>
      <c r="AK217" s="28"/>
      <c r="AL217" s="28"/>
      <c r="AM217" s="28"/>
      <c r="AN217" s="28"/>
      <c r="AO217" s="49">
        <v>40000</v>
      </c>
      <c r="AP217" s="49"/>
      <c r="AQ217" s="49"/>
      <c r="AR217" s="49"/>
      <c r="AS217" s="49"/>
      <c r="AT217" s="28">
        <v>0</v>
      </c>
      <c r="AU217" s="28"/>
      <c r="AV217" s="28"/>
      <c r="AW217" s="28"/>
      <c r="AX217" s="28"/>
      <c r="AY217" s="49">
        <v>0</v>
      </c>
      <c r="AZ217" s="49"/>
      <c r="BA217" s="49"/>
      <c r="BB217" s="49"/>
      <c r="BC217" s="49"/>
      <c r="BD217" s="28">
        <f t="shared" si="17"/>
        <v>40000</v>
      </c>
      <c r="BE217" s="28"/>
      <c r="BF217" s="28"/>
      <c r="BG217" s="28"/>
      <c r="BH217" s="28"/>
    </row>
    <row r="218" spans="1:60" s="4" customFormat="1" ht="25.5" customHeight="1" x14ac:dyDescent="0.2">
      <c r="A218" s="34">
        <v>24</v>
      </c>
      <c r="B218" s="35"/>
      <c r="C218" s="35"/>
      <c r="D218" s="29" t="s">
        <v>215</v>
      </c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1"/>
      <c r="U218" s="46">
        <v>16000</v>
      </c>
      <c r="V218" s="47"/>
      <c r="W218" s="47"/>
      <c r="X218" s="47"/>
      <c r="Y218" s="48"/>
      <c r="Z218" s="46">
        <v>0</v>
      </c>
      <c r="AA218" s="47"/>
      <c r="AB218" s="47"/>
      <c r="AC218" s="47"/>
      <c r="AD218" s="48"/>
      <c r="AE218" s="49">
        <v>0</v>
      </c>
      <c r="AF218" s="49"/>
      <c r="AG218" s="49"/>
      <c r="AH218" s="49"/>
      <c r="AI218" s="49"/>
      <c r="AJ218" s="28">
        <f t="shared" si="16"/>
        <v>16000</v>
      </c>
      <c r="AK218" s="28"/>
      <c r="AL218" s="28"/>
      <c r="AM218" s="28"/>
      <c r="AN218" s="28"/>
      <c r="AO218" s="49">
        <v>17000</v>
      </c>
      <c r="AP218" s="49"/>
      <c r="AQ218" s="49"/>
      <c r="AR218" s="49"/>
      <c r="AS218" s="49"/>
      <c r="AT218" s="28">
        <v>0</v>
      </c>
      <c r="AU218" s="28"/>
      <c r="AV218" s="28"/>
      <c r="AW218" s="28"/>
      <c r="AX218" s="28"/>
      <c r="AY218" s="49">
        <v>0</v>
      </c>
      <c r="AZ218" s="49"/>
      <c r="BA218" s="49"/>
      <c r="BB218" s="49"/>
      <c r="BC218" s="49"/>
      <c r="BD218" s="28">
        <f t="shared" si="17"/>
        <v>17000</v>
      </c>
      <c r="BE218" s="28"/>
      <c r="BF218" s="28"/>
      <c r="BG218" s="28"/>
      <c r="BH218" s="28"/>
    </row>
    <row r="219" spans="1:60" s="4" customFormat="1" ht="12.75" customHeight="1" x14ac:dyDescent="0.2">
      <c r="A219" s="34">
        <v>25</v>
      </c>
      <c r="B219" s="35"/>
      <c r="C219" s="35"/>
      <c r="D219" s="29" t="s">
        <v>216</v>
      </c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1"/>
      <c r="U219" s="46">
        <v>0</v>
      </c>
      <c r="V219" s="47"/>
      <c r="W219" s="47"/>
      <c r="X219" s="47"/>
      <c r="Y219" s="48"/>
      <c r="Z219" s="46">
        <v>0</v>
      </c>
      <c r="AA219" s="47"/>
      <c r="AB219" s="47"/>
      <c r="AC219" s="47"/>
      <c r="AD219" s="48"/>
      <c r="AE219" s="49">
        <v>0</v>
      </c>
      <c r="AF219" s="49"/>
      <c r="AG219" s="49"/>
      <c r="AH219" s="49"/>
      <c r="AI219" s="49"/>
      <c r="AJ219" s="28">
        <f t="shared" si="16"/>
        <v>0</v>
      </c>
      <c r="AK219" s="28"/>
      <c r="AL219" s="28"/>
      <c r="AM219" s="28"/>
      <c r="AN219" s="28"/>
      <c r="AO219" s="49">
        <v>0</v>
      </c>
      <c r="AP219" s="49"/>
      <c r="AQ219" s="49"/>
      <c r="AR219" s="49"/>
      <c r="AS219" s="49"/>
      <c r="AT219" s="28">
        <v>0</v>
      </c>
      <c r="AU219" s="28"/>
      <c r="AV219" s="28"/>
      <c r="AW219" s="28"/>
      <c r="AX219" s="28"/>
      <c r="AY219" s="49">
        <v>0</v>
      </c>
      <c r="AZ219" s="49"/>
      <c r="BA219" s="49"/>
      <c r="BB219" s="49"/>
      <c r="BC219" s="49"/>
      <c r="BD219" s="28">
        <f t="shared" si="17"/>
        <v>0</v>
      </c>
      <c r="BE219" s="28"/>
      <c r="BF219" s="28"/>
      <c r="BG219" s="28"/>
      <c r="BH219" s="28"/>
    </row>
    <row r="220" spans="1:60" s="4" customFormat="1" ht="12.75" customHeight="1" x14ac:dyDescent="0.2">
      <c r="A220" s="34">
        <v>26</v>
      </c>
      <c r="B220" s="35"/>
      <c r="C220" s="35"/>
      <c r="D220" s="29" t="s">
        <v>217</v>
      </c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1"/>
      <c r="U220" s="46">
        <v>0</v>
      </c>
      <c r="V220" s="47"/>
      <c r="W220" s="47"/>
      <c r="X220" s="47"/>
      <c r="Y220" s="48"/>
      <c r="Z220" s="46">
        <v>0</v>
      </c>
      <c r="AA220" s="47"/>
      <c r="AB220" s="47"/>
      <c r="AC220" s="47"/>
      <c r="AD220" s="48"/>
      <c r="AE220" s="49">
        <v>0</v>
      </c>
      <c r="AF220" s="49"/>
      <c r="AG220" s="49"/>
      <c r="AH220" s="49"/>
      <c r="AI220" s="49"/>
      <c r="AJ220" s="28">
        <f t="shared" si="16"/>
        <v>0</v>
      </c>
      <c r="AK220" s="28"/>
      <c r="AL220" s="28"/>
      <c r="AM220" s="28"/>
      <c r="AN220" s="28"/>
      <c r="AO220" s="49">
        <v>0</v>
      </c>
      <c r="AP220" s="49"/>
      <c r="AQ220" s="49"/>
      <c r="AR220" s="49"/>
      <c r="AS220" s="49"/>
      <c r="AT220" s="28">
        <v>0</v>
      </c>
      <c r="AU220" s="28"/>
      <c r="AV220" s="28"/>
      <c r="AW220" s="28"/>
      <c r="AX220" s="28"/>
      <c r="AY220" s="49">
        <v>0</v>
      </c>
      <c r="AZ220" s="49"/>
      <c r="BA220" s="49"/>
      <c r="BB220" s="49"/>
      <c r="BC220" s="49"/>
      <c r="BD220" s="28">
        <f t="shared" si="17"/>
        <v>0</v>
      </c>
      <c r="BE220" s="28"/>
      <c r="BF220" s="28"/>
      <c r="BG220" s="28"/>
      <c r="BH220" s="28"/>
    </row>
    <row r="221" spans="1:60" s="4" customFormat="1" ht="14.25" customHeight="1" x14ac:dyDescent="0.2">
      <c r="A221" s="34">
        <v>27</v>
      </c>
      <c r="B221" s="35"/>
      <c r="C221" s="35"/>
      <c r="D221" s="29" t="s">
        <v>218</v>
      </c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1"/>
      <c r="U221" s="46">
        <v>150000</v>
      </c>
      <c r="V221" s="47"/>
      <c r="W221" s="47"/>
      <c r="X221" s="47"/>
      <c r="Y221" s="48"/>
      <c r="Z221" s="46">
        <v>0</v>
      </c>
      <c r="AA221" s="47"/>
      <c r="AB221" s="47"/>
      <c r="AC221" s="47"/>
      <c r="AD221" s="48"/>
      <c r="AE221" s="49">
        <v>0</v>
      </c>
      <c r="AF221" s="49"/>
      <c r="AG221" s="49"/>
      <c r="AH221" s="49"/>
      <c r="AI221" s="49"/>
      <c r="AJ221" s="28">
        <f t="shared" si="16"/>
        <v>150000</v>
      </c>
      <c r="AK221" s="28"/>
      <c r="AL221" s="28"/>
      <c r="AM221" s="28"/>
      <c r="AN221" s="28"/>
      <c r="AO221" s="49">
        <v>190000</v>
      </c>
      <c r="AP221" s="49"/>
      <c r="AQ221" s="49"/>
      <c r="AR221" s="49"/>
      <c r="AS221" s="49"/>
      <c r="AT221" s="28">
        <v>0</v>
      </c>
      <c r="AU221" s="28"/>
      <c r="AV221" s="28"/>
      <c r="AW221" s="28"/>
      <c r="AX221" s="28"/>
      <c r="AY221" s="49">
        <v>0</v>
      </c>
      <c r="AZ221" s="49"/>
      <c r="BA221" s="49"/>
      <c r="BB221" s="49"/>
      <c r="BC221" s="49"/>
      <c r="BD221" s="28">
        <f t="shared" si="17"/>
        <v>190000</v>
      </c>
      <c r="BE221" s="28"/>
      <c r="BF221" s="28"/>
      <c r="BG221" s="28"/>
      <c r="BH221" s="28"/>
    </row>
    <row r="222" spans="1:60" s="4" customFormat="1" ht="25.5" customHeight="1" x14ac:dyDescent="0.2">
      <c r="A222" s="34">
        <v>28</v>
      </c>
      <c r="B222" s="35"/>
      <c r="C222" s="35"/>
      <c r="D222" s="29" t="s">
        <v>219</v>
      </c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1"/>
      <c r="U222" s="46">
        <v>14000</v>
      </c>
      <c r="V222" s="47"/>
      <c r="W222" s="47"/>
      <c r="X222" s="47"/>
      <c r="Y222" s="48"/>
      <c r="Z222" s="46">
        <v>0</v>
      </c>
      <c r="AA222" s="47"/>
      <c r="AB222" s="47"/>
      <c r="AC222" s="47"/>
      <c r="AD222" s="48"/>
      <c r="AE222" s="49">
        <v>0</v>
      </c>
      <c r="AF222" s="49"/>
      <c r="AG222" s="49"/>
      <c r="AH222" s="49"/>
      <c r="AI222" s="49"/>
      <c r="AJ222" s="28">
        <f t="shared" si="16"/>
        <v>14000</v>
      </c>
      <c r="AK222" s="28"/>
      <c r="AL222" s="28"/>
      <c r="AM222" s="28"/>
      <c r="AN222" s="28"/>
      <c r="AO222" s="49">
        <v>16000</v>
      </c>
      <c r="AP222" s="49"/>
      <c r="AQ222" s="49"/>
      <c r="AR222" s="49"/>
      <c r="AS222" s="49"/>
      <c r="AT222" s="28">
        <v>0</v>
      </c>
      <c r="AU222" s="28"/>
      <c r="AV222" s="28"/>
      <c r="AW222" s="28"/>
      <c r="AX222" s="28"/>
      <c r="AY222" s="49">
        <v>0</v>
      </c>
      <c r="AZ222" s="49"/>
      <c r="BA222" s="49"/>
      <c r="BB222" s="49"/>
      <c r="BC222" s="49"/>
      <c r="BD222" s="28">
        <f t="shared" si="17"/>
        <v>16000</v>
      </c>
      <c r="BE222" s="28"/>
      <c r="BF222" s="28"/>
      <c r="BG222" s="28"/>
      <c r="BH222" s="28"/>
    </row>
    <row r="223" spans="1:60" s="4" customFormat="1" ht="12.75" customHeight="1" x14ac:dyDescent="0.2">
      <c r="A223" s="34">
        <v>29</v>
      </c>
      <c r="B223" s="35"/>
      <c r="C223" s="35"/>
      <c r="D223" s="29" t="s">
        <v>220</v>
      </c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1"/>
      <c r="U223" s="46">
        <v>250000</v>
      </c>
      <c r="V223" s="47"/>
      <c r="W223" s="47"/>
      <c r="X223" s="47"/>
      <c r="Y223" s="48"/>
      <c r="Z223" s="46">
        <v>0</v>
      </c>
      <c r="AA223" s="47"/>
      <c r="AB223" s="47"/>
      <c r="AC223" s="47"/>
      <c r="AD223" s="48"/>
      <c r="AE223" s="49">
        <v>0</v>
      </c>
      <c r="AF223" s="49"/>
      <c r="AG223" s="49"/>
      <c r="AH223" s="49"/>
      <c r="AI223" s="49"/>
      <c r="AJ223" s="28">
        <f t="shared" si="16"/>
        <v>250000</v>
      </c>
      <c r="AK223" s="28"/>
      <c r="AL223" s="28"/>
      <c r="AM223" s="28"/>
      <c r="AN223" s="28"/>
      <c r="AO223" s="49">
        <v>300000</v>
      </c>
      <c r="AP223" s="49"/>
      <c r="AQ223" s="49"/>
      <c r="AR223" s="49"/>
      <c r="AS223" s="49"/>
      <c r="AT223" s="28">
        <v>0</v>
      </c>
      <c r="AU223" s="28"/>
      <c r="AV223" s="28"/>
      <c r="AW223" s="28"/>
      <c r="AX223" s="28"/>
      <c r="AY223" s="49">
        <v>0</v>
      </c>
      <c r="AZ223" s="49"/>
      <c r="BA223" s="49"/>
      <c r="BB223" s="49"/>
      <c r="BC223" s="49"/>
      <c r="BD223" s="28">
        <f t="shared" si="17"/>
        <v>300000</v>
      </c>
      <c r="BE223" s="28"/>
      <c r="BF223" s="28"/>
      <c r="BG223" s="28"/>
      <c r="BH223" s="28"/>
    </row>
    <row r="224" spans="1:60" s="4" customFormat="1" ht="25.5" customHeight="1" x14ac:dyDescent="0.2">
      <c r="A224" s="34">
        <v>30</v>
      </c>
      <c r="B224" s="35"/>
      <c r="C224" s="35"/>
      <c r="D224" s="29" t="s">
        <v>221</v>
      </c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1"/>
      <c r="U224" s="46">
        <v>99900</v>
      </c>
      <c r="V224" s="47"/>
      <c r="W224" s="47"/>
      <c r="X224" s="47"/>
      <c r="Y224" s="48"/>
      <c r="Z224" s="46">
        <v>0</v>
      </c>
      <c r="AA224" s="47"/>
      <c r="AB224" s="47"/>
      <c r="AC224" s="47"/>
      <c r="AD224" s="48"/>
      <c r="AE224" s="49">
        <v>0</v>
      </c>
      <c r="AF224" s="49"/>
      <c r="AG224" s="49"/>
      <c r="AH224" s="49"/>
      <c r="AI224" s="49"/>
      <c r="AJ224" s="28">
        <f t="shared" si="16"/>
        <v>99900</v>
      </c>
      <c r="AK224" s="28"/>
      <c r="AL224" s="28"/>
      <c r="AM224" s="28"/>
      <c r="AN224" s="28"/>
      <c r="AO224" s="49">
        <v>99900</v>
      </c>
      <c r="AP224" s="49"/>
      <c r="AQ224" s="49"/>
      <c r="AR224" s="49"/>
      <c r="AS224" s="49"/>
      <c r="AT224" s="28">
        <v>0</v>
      </c>
      <c r="AU224" s="28"/>
      <c r="AV224" s="28"/>
      <c r="AW224" s="28"/>
      <c r="AX224" s="28"/>
      <c r="AY224" s="49">
        <v>0</v>
      </c>
      <c r="AZ224" s="49"/>
      <c r="BA224" s="49"/>
      <c r="BB224" s="49"/>
      <c r="BC224" s="49"/>
      <c r="BD224" s="28">
        <f t="shared" si="17"/>
        <v>99900</v>
      </c>
      <c r="BE224" s="28"/>
      <c r="BF224" s="28"/>
      <c r="BG224" s="28"/>
      <c r="BH224" s="28"/>
    </row>
    <row r="225" spans="1:60" s="4" customFormat="1" ht="25.5" customHeight="1" x14ac:dyDescent="0.2">
      <c r="A225" s="34">
        <v>31</v>
      </c>
      <c r="B225" s="35"/>
      <c r="C225" s="35"/>
      <c r="D225" s="29" t="s">
        <v>222</v>
      </c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1"/>
      <c r="U225" s="46">
        <v>100000</v>
      </c>
      <c r="V225" s="47"/>
      <c r="W225" s="47"/>
      <c r="X225" s="47"/>
      <c r="Y225" s="48"/>
      <c r="Z225" s="46">
        <v>219800</v>
      </c>
      <c r="AA225" s="47"/>
      <c r="AB225" s="47"/>
      <c r="AC225" s="47"/>
      <c r="AD225" s="48"/>
      <c r="AE225" s="49">
        <v>0</v>
      </c>
      <c r="AF225" s="49"/>
      <c r="AG225" s="49"/>
      <c r="AH225" s="49"/>
      <c r="AI225" s="49"/>
      <c r="AJ225" s="28">
        <f t="shared" si="16"/>
        <v>319800</v>
      </c>
      <c r="AK225" s="28"/>
      <c r="AL225" s="28"/>
      <c r="AM225" s="28"/>
      <c r="AN225" s="28"/>
      <c r="AO225" s="49">
        <v>130000</v>
      </c>
      <c r="AP225" s="49"/>
      <c r="AQ225" s="49"/>
      <c r="AR225" s="49"/>
      <c r="AS225" s="49"/>
      <c r="AT225" s="28">
        <v>237384</v>
      </c>
      <c r="AU225" s="28"/>
      <c r="AV225" s="28"/>
      <c r="AW225" s="28"/>
      <c r="AX225" s="28"/>
      <c r="AY225" s="49">
        <v>0</v>
      </c>
      <c r="AZ225" s="49"/>
      <c r="BA225" s="49"/>
      <c r="BB225" s="49"/>
      <c r="BC225" s="49"/>
      <c r="BD225" s="28">
        <f t="shared" si="17"/>
        <v>367384</v>
      </c>
      <c r="BE225" s="28"/>
      <c r="BF225" s="28"/>
      <c r="BG225" s="28"/>
      <c r="BH225" s="28"/>
    </row>
    <row r="226" spans="1:60" s="4" customFormat="1" ht="12.75" customHeight="1" x14ac:dyDescent="0.2">
      <c r="A226" s="34">
        <v>32</v>
      </c>
      <c r="B226" s="35"/>
      <c r="C226" s="35"/>
      <c r="D226" s="29" t="s">
        <v>223</v>
      </c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1"/>
      <c r="U226" s="46">
        <v>700000</v>
      </c>
      <c r="V226" s="47"/>
      <c r="W226" s="47"/>
      <c r="X226" s="47"/>
      <c r="Y226" s="48"/>
      <c r="Z226" s="46">
        <v>0</v>
      </c>
      <c r="AA226" s="47"/>
      <c r="AB226" s="47"/>
      <c r="AC226" s="47"/>
      <c r="AD226" s="48"/>
      <c r="AE226" s="49">
        <v>0</v>
      </c>
      <c r="AF226" s="49"/>
      <c r="AG226" s="49"/>
      <c r="AH226" s="49"/>
      <c r="AI226" s="49"/>
      <c r="AJ226" s="28">
        <f t="shared" si="16"/>
        <v>700000</v>
      </c>
      <c r="AK226" s="28"/>
      <c r="AL226" s="28"/>
      <c r="AM226" s="28"/>
      <c r="AN226" s="28"/>
      <c r="AO226" s="49">
        <v>800000</v>
      </c>
      <c r="AP226" s="49"/>
      <c r="AQ226" s="49"/>
      <c r="AR226" s="49"/>
      <c r="AS226" s="49"/>
      <c r="AT226" s="28">
        <v>0</v>
      </c>
      <c r="AU226" s="28"/>
      <c r="AV226" s="28"/>
      <c r="AW226" s="28"/>
      <c r="AX226" s="28"/>
      <c r="AY226" s="49">
        <v>0</v>
      </c>
      <c r="AZ226" s="49"/>
      <c r="BA226" s="49"/>
      <c r="BB226" s="49"/>
      <c r="BC226" s="49"/>
      <c r="BD226" s="28">
        <f t="shared" si="17"/>
        <v>800000</v>
      </c>
      <c r="BE226" s="28"/>
      <c r="BF226" s="28"/>
      <c r="BG226" s="28"/>
      <c r="BH226" s="28"/>
    </row>
    <row r="227" spans="1:60" s="4" customFormat="1" ht="12.75" customHeight="1" x14ac:dyDescent="0.2">
      <c r="A227" s="34">
        <v>33</v>
      </c>
      <c r="B227" s="35"/>
      <c r="C227" s="35"/>
      <c r="D227" s="29" t="s">
        <v>224</v>
      </c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1"/>
      <c r="U227" s="46">
        <v>70000</v>
      </c>
      <c r="V227" s="47"/>
      <c r="W227" s="47"/>
      <c r="X227" s="47"/>
      <c r="Y227" s="48"/>
      <c r="Z227" s="46">
        <v>0</v>
      </c>
      <c r="AA227" s="47"/>
      <c r="AB227" s="47"/>
      <c r="AC227" s="47"/>
      <c r="AD227" s="48"/>
      <c r="AE227" s="49">
        <v>0</v>
      </c>
      <c r="AF227" s="49"/>
      <c r="AG227" s="49"/>
      <c r="AH227" s="49"/>
      <c r="AI227" s="49"/>
      <c r="AJ227" s="28">
        <f t="shared" ref="AJ227:AJ256" si="18">IF(ISNUMBER(U227),U227,0)+IF(ISNUMBER(Z227),Z227,0)</f>
        <v>70000</v>
      </c>
      <c r="AK227" s="28"/>
      <c r="AL227" s="28"/>
      <c r="AM227" s="28"/>
      <c r="AN227" s="28"/>
      <c r="AO227" s="49">
        <v>70000</v>
      </c>
      <c r="AP227" s="49"/>
      <c r="AQ227" s="49"/>
      <c r="AR227" s="49"/>
      <c r="AS227" s="49"/>
      <c r="AT227" s="28">
        <v>0</v>
      </c>
      <c r="AU227" s="28"/>
      <c r="AV227" s="28"/>
      <c r="AW227" s="28"/>
      <c r="AX227" s="28"/>
      <c r="AY227" s="49">
        <v>0</v>
      </c>
      <c r="AZ227" s="49"/>
      <c r="BA227" s="49"/>
      <c r="BB227" s="49"/>
      <c r="BC227" s="49"/>
      <c r="BD227" s="28">
        <f t="shared" ref="BD227:BD256" si="19">IF(ISNUMBER(AO227),AO227,0)+IF(ISNUMBER(AT227),AT227,0)</f>
        <v>70000</v>
      </c>
      <c r="BE227" s="28"/>
      <c r="BF227" s="28"/>
      <c r="BG227" s="28"/>
      <c r="BH227" s="28"/>
    </row>
    <row r="228" spans="1:60" s="4" customFormat="1" ht="38.25" customHeight="1" x14ac:dyDescent="0.2">
      <c r="A228" s="34">
        <v>34</v>
      </c>
      <c r="B228" s="35"/>
      <c r="C228" s="35"/>
      <c r="D228" s="29" t="s">
        <v>225</v>
      </c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1"/>
      <c r="U228" s="46">
        <v>0</v>
      </c>
      <c r="V228" s="47"/>
      <c r="W228" s="47"/>
      <c r="X228" s="47"/>
      <c r="Y228" s="48"/>
      <c r="Z228" s="46">
        <v>0</v>
      </c>
      <c r="AA228" s="47"/>
      <c r="AB228" s="47"/>
      <c r="AC228" s="47"/>
      <c r="AD228" s="48"/>
      <c r="AE228" s="49">
        <v>0</v>
      </c>
      <c r="AF228" s="49"/>
      <c r="AG228" s="49"/>
      <c r="AH228" s="49"/>
      <c r="AI228" s="49"/>
      <c r="AJ228" s="28">
        <f t="shared" si="18"/>
        <v>0</v>
      </c>
      <c r="AK228" s="28"/>
      <c r="AL228" s="28"/>
      <c r="AM228" s="28"/>
      <c r="AN228" s="28"/>
      <c r="AO228" s="49">
        <v>0</v>
      </c>
      <c r="AP228" s="49"/>
      <c r="AQ228" s="49"/>
      <c r="AR228" s="49"/>
      <c r="AS228" s="49"/>
      <c r="AT228" s="28">
        <v>0</v>
      </c>
      <c r="AU228" s="28"/>
      <c r="AV228" s="28"/>
      <c r="AW228" s="28"/>
      <c r="AX228" s="28"/>
      <c r="AY228" s="49">
        <v>0</v>
      </c>
      <c r="AZ228" s="49"/>
      <c r="BA228" s="49"/>
      <c r="BB228" s="49"/>
      <c r="BC228" s="49"/>
      <c r="BD228" s="28">
        <f t="shared" si="19"/>
        <v>0</v>
      </c>
      <c r="BE228" s="28"/>
      <c r="BF228" s="28"/>
      <c r="BG228" s="28"/>
      <c r="BH228" s="28"/>
    </row>
    <row r="229" spans="1:60" s="4" customFormat="1" ht="25.5" customHeight="1" x14ac:dyDescent="0.2">
      <c r="A229" s="34">
        <v>35</v>
      </c>
      <c r="B229" s="35"/>
      <c r="C229" s="35"/>
      <c r="D229" s="29" t="s">
        <v>226</v>
      </c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1"/>
      <c r="U229" s="46">
        <v>0</v>
      </c>
      <c r="V229" s="47"/>
      <c r="W229" s="47"/>
      <c r="X229" s="47"/>
      <c r="Y229" s="48"/>
      <c r="Z229" s="46">
        <v>0</v>
      </c>
      <c r="AA229" s="47"/>
      <c r="AB229" s="47"/>
      <c r="AC229" s="47"/>
      <c r="AD229" s="48"/>
      <c r="AE229" s="49">
        <v>0</v>
      </c>
      <c r="AF229" s="49"/>
      <c r="AG229" s="49"/>
      <c r="AH229" s="49"/>
      <c r="AI229" s="49"/>
      <c r="AJ229" s="28">
        <f t="shared" si="18"/>
        <v>0</v>
      </c>
      <c r="AK229" s="28"/>
      <c r="AL229" s="28"/>
      <c r="AM229" s="28"/>
      <c r="AN229" s="28"/>
      <c r="AO229" s="49">
        <v>0</v>
      </c>
      <c r="AP229" s="49"/>
      <c r="AQ229" s="49"/>
      <c r="AR229" s="49"/>
      <c r="AS229" s="49"/>
      <c r="AT229" s="28">
        <v>0</v>
      </c>
      <c r="AU229" s="28"/>
      <c r="AV229" s="28"/>
      <c r="AW229" s="28"/>
      <c r="AX229" s="28"/>
      <c r="AY229" s="49">
        <v>0</v>
      </c>
      <c r="AZ229" s="49"/>
      <c r="BA229" s="49"/>
      <c r="BB229" s="49"/>
      <c r="BC229" s="49"/>
      <c r="BD229" s="28">
        <f t="shared" si="19"/>
        <v>0</v>
      </c>
      <c r="BE229" s="28"/>
      <c r="BF229" s="28"/>
      <c r="BG229" s="28"/>
      <c r="BH229" s="28"/>
    </row>
    <row r="230" spans="1:60" s="4" customFormat="1" ht="12.75" customHeight="1" x14ac:dyDescent="0.2">
      <c r="A230" s="34">
        <v>36</v>
      </c>
      <c r="B230" s="35"/>
      <c r="C230" s="35"/>
      <c r="D230" s="29" t="s">
        <v>227</v>
      </c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1"/>
      <c r="U230" s="46">
        <v>4800</v>
      </c>
      <c r="V230" s="47"/>
      <c r="W230" s="47"/>
      <c r="X230" s="47"/>
      <c r="Y230" s="48"/>
      <c r="Z230" s="46">
        <v>0</v>
      </c>
      <c r="AA230" s="47"/>
      <c r="AB230" s="47"/>
      <c r="AC230" s="47"/>
      <c r="AD230" s="48"/>
      <c r="AE230" s="49">
        <v>0</v>
      </c>
      <c r="AF230" s="49"/>
      <c r="AG230" s="49"/>
      <c r="AH230" s="49"/>
      <c r="AI230" s="49"/>
      <c r="AJ230" s="28">
        <f t="shared" si="18"/>
        <v>4800</v>
      </c>
      <c r="AK230" s="28"/>
      <c r="AL230" s="28"/>
      <c r="AM230" s="28"/>
      <c r="AN230" s="28"/>
      <c r="AO230" s="49">
        <v>4800</v>
      </c>
      <c r="AP230" s="49"/>
      <c r="AQ230" s="49"/>
      <c r="AR230" s="49"/>
      <c r="AS230" s="49"/>
      <c r="AT230" s="28">
        <v>0</v>
      </c>
      <c r="AU230" s="28"/>
      <c r="AV230" s="28"/>
      <c r="AW230" s="28"/>
      <c r="AX230" s="28"/>
      <c r="AY230" s="49">
        <v>0</v>
      </c>
      <c r="AZ230" s="49"/>
      <c r="BA230" s="49"/>
      <c r="BB230" s="49"/>
      <c r="BC230" s="49"/>
      <c r="BD230" s="28">
        <f t="shared" si="19"/>
        <v>4800</v>
      </c>
      <c r="BE230" s="28"/>
      <c r="BF230" s="28"/>
      <c r="BG230" s="28"/>
      <c r="BH230" s="28"/>
    </row>
    <row r="231" spans="1:60" s="4" customFormat="1" ht="12.75" customHeight="1" x14ac:dyDescent="0.2">
      <c r="A231" s="34">
        <v>37</v>
      </c>
      <c r="B231" s="35"/>
      <c r="C231" s="35"/>
      <c r="D231" s="29" t="s">
        <v>228</v>
      </c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1"/>
      <c r="U231" s="46">
        <v>0</v>
      </c>
      <c r="V231" s="47"/>
      <c r="W231" s="47"/>
      <c r="X231" s="47"/>
      <c r="Y231" s="48"/>
      <c r="Z231" s="46">
        <v>0</v>
      </c>
      <c r="AA231" s="47"/>
      <c r="AB231" s="47"/>
      <c r="AC231" s="47"/>
      <c r="AD231" s="48"/>
      <c r="AE231" s="49">
        <v>0</v>
      </c>
      <c r="AF231" s="49"/>
      <c r="AG231" s="49"/>
      <c r="AH231" s="49"/>
      <c r="AI231" s="49"/>
      <c r="AJ231" s="28">
        <f t="shared" si="18"/>
        <v>0</v>
      </c>
      <c r="AK231" s="28"/>
      <c r="AL231" s="28"/>
      <c r="AM231" s="28"/>
      <c r="AN231" s="28"/>
      <c r="AO231" s="49">
        <v>0</v>
      </c>
      <c r="AP231" s="49"/>
      <c r="AQ231" s="49"/>
      <c r="AR231" s="49"/>
      <c r="AS231" s="49"/>
      <c r="AT231" s="28">
        <v>0</v>
      </c>
      <c r="AU231" s="28"/>
      <c r="AV231" s="28"/>
      <c r="AW231" s="28"/>
      <c r="AX231" s="28"/>
      <c r="AY231" s="49">
        <v>0</v>
      </c>
      <c r="AZ231" s="49"/>
      <c r="BA231" s="49"/>
      <c r="BB231" s="49"/>
      <c r="BC231" s="49"/>
      <c r="BD231" s="28">
        <f t="shared" si="19"/>
        <v>0</v>
      </c>
      <c r="BE231" s="28"/>
      <c r="BF231" s="28"/>
      <c r="BG231" s="28"/>
      <c r="BH231" s="28"/>
    </row>
    <row r="232" spans="1:60" s="4" customFormat="1" ht="12.75" customHeight="1" x14ac:dyDescent="0.2">
      <c r="A232" s="34">
        <v>38</v>
      </c>
      <c r="B232" s="35"/>
      <c r="C232" s="35"/>
      <c r="D232" s="29" t="s">
        <v>229</v>
      </c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1"/>
      <c r="U232" s="46">
        <v>0</v>
      </c>
      <c r="V232" s="47"/>
      <c r="W232" s="47"/>
      <c r="X232" s="47"/>
      <c r="Y232" s="48"/>
      <c r="Z232" s="46">
        <v>0</v>
      </c>
      <c r="AA232" s="47"/>
      <c r="AB232" s="47"/>
      <c r="AC232" s="47"/>
      <c r="AD232" s="48"/>
      <c r="AE232" s="49">
        <v>0</v>
      </c>
      <c r="AF232" s="49"/>
      <c r="AG232" s="49"/>
      <c r="AH232" s="49"/>
      <c r="AI232" s="49"/>
      <c r="AJ232" s="28">
        <f t="shared" si="18"/>
        <v>0</v>
      </c>
      <c r="AK232" s="28"/>
      <c r="AL232" s="28"/>
      <c r="AM232" s="28"/>
      <c r="AN232" s="28"/>
      <c r="AO232" s="49">
        <v>0</v>
      </c>
      <c r="AP232" s="49"/>
      <c r="AQ232" s="49"/>
      <c r="AR232" s="49"/>
      <c r="AS232" s="49"/>
      <c r="AT232" s="28">
        <v>0</v>
      </c>
      <c r="AU232" s="28"/>
      <c r="AV232" s="28"/>
      <c r="AW232" s="28"/>
      <c r="AX232" s="28"/>
      <c r="AY232" s="49">
        <v>0</v>
      </c>
      <c r="AZ232" s="49"/>
      <c r="BA232" s="49"/>
      <c r="BB232" s="49"/>
      <c r="BC232" s="49"/>
      <c r="BD232" s="28">
        <f t="shared" si="19"/>
        <v>0</v>
      </c>
      <c r="BE232" s="28"/>
      <c r="BF232" s="28"/>
      <c r="BG232" s="28"/>
      <c r="BH232" s="28"/>
    </row>
    <row r="233" spans="1:60" s="4" customFormat="1" ht="38.25" customHeight="1" x14ac:dyDescent="0.2">
      <c r="A233" s="34">
        <v>39</v>
      </c>
      <c r="B233" s="35"/>
      <c r="C233" s="35"/>
      <c r="D233" s="29" t="s">
        <v>230</v>
      </c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1"/>
      <c r="U233" s="46">
        <v>0</v>
      </c>
      <c r="V233" s="47"/>
      <c r="W233" s="47"/>
      <c r="X233" s="47"/>
      <c r="Y233" s="48"/>
      <c r="Z233" s="46">
        <v>0</v>
      </c>
      <c r="AA233" s="47"/>
      <c r="AB233" s="47"/>
      <c r="AC233" s="47"/>
      <c r="AD233" s="48"/>
      <c r="AE233" s="49">
        <v>0</v>
      </c>
      <c r="AF233" s="49"/>
      <c r="AG233" s="49"/>
      <c r="AH233" s="49"/>
      <c r="AI233" s="49"/>
      <c r="AJ233" s="28">
        <f t="shared" si="18"/>
        <v>0</v>
      </c>
      <c r="AK233" s="28"/>
      <c r="AL233" s="28"/>
      <c r="AM233" s="28"/>
      <c r="AN233" s="28"/>
      <c r="AO233" s="49">
        <v>0</v>
      </c>
      <c r="AP233" s="49"/>
      <c r="AQ233" s="49"/>
      <c r="AR233" s="49"/>
      <c r="AS233" s="49"/>
      <c r="AT233" s="28">
        <v>0</v>
      </c>
      <c r="AU233" s="28"/>
      <c r="AV233" s="28"/>
      <c r="AW233" s="28"/>
      <c r="AX233" s="28"/>
      <c r="AY233" s="49">
        <v>0</v>
      </c>
      <c r="AZ233" s="49"/>
      <c r="BA233" s="49"/>
      <c r="BB233" s="49"/>
      <c r="BC233" s="49"/>
      <c r="BD233" s="28">
        <f t="shared" si="19"/>
        <v>0</v>
      </c>
      <c r="BE233" s="28"/>
      <c r="BF233" s="28"/>
      <c r="BG233" s="28"/>
      <c r="BH233" s="28"/>
    </row>
    <row r="234" spans="1:60" s="4" customFormat="1" ht="12.75" customHeight="1" x14ac:dyDescent="0.2">
      <c r="A234" s="34">
        <v>40</v>
      </c>
      <c r="B234" s="35"/>
      <c r="C234" s="35"/>
      <c r="D234" s="29" t="s">
        <v>231</v>
      </c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1"/>
      <c r="U234" s="46">
        <v>439600</v>
      </c>
      <c r="V234" s="47"/>
      <c r="W234" s="47"/>
      <c r="X234" s="47"/>
      <c r="Y234" s="48"/>
      <c r="Z234" s="46">
        <v>0</v>
      </c>
      <c r="AA234" s="47"/>
      <c r="AB234" s="47"/>
      <c r="AC234" s="47"/>
      <c r="AD234" s="48"/>
      <c r="AE234" s="49">
        <v>0</v>
      </c>
      <c r="AF234" s="49"/>
      <c r="AG234" s="49"/>
      <c r="AH234" s="49"/>
      <c r="AI234" s="49"/>
      <c r="AJ234" s="28">
        <f t="shared" si="18"/>
        <v>439600</v>
      </c>
      <c r="AK234" s="28"/>
      <c r="AL234" s="28"/>
      <c r="AM234" s="28"/>
      <c r="AN234" s="28"/>
      <c r="AO234" s="49">
        <v>474768</v>
      </c>
      <c r="AP234" s="49"/>
      <c r="AQ234" s="49"/>
      <c r="AR234" s="49"/>
      <c r="AS234" s="49"/>
      <c r="AT234" s="28">
        <v>0</v>
      </c>
      <c r="AU234" s="28"/>
      <c r="AV234" s="28"/>
      <c r="AW234" s="28"/>
      <c r="AX234" s="28"/>
      <c r="AY234" s="49">
        <v>0</v>
      </c>
      <c r="AZ234" s="49"/>
      <c r="BA234" s="49"/>
      <c r="BB234" s="49"/>
      <c r="BC234" s="49"/>
      <c r="BD234" s="28">
        <f t="shared" si="19"/>
        <v>474768</v>
      </c>
      <c r="BE234" s="28"/>
      <c r="BF234" s="28"/>
      <c r="BG234" s="28"/>
      <c r="BH234" s="28"/>
    </row>
    <row r="235" spans="1:60" s="4" customFormat="1" ht="51" customHeight="1" x14ac:dyDescent="0.2">
      <c r="A235" s="34">
        <v>41</v>
      </c>
      <c r="B235" s="35"/>
      <c r="C235" s="35"/>
      <c r="D235" s="29" t="s">
        <v>232</v>
      </c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1"/>
      <c r="U235" s="46">
        <v>0</v>
      </c>
      <c r="V235" s="47"/>
      <c r="W235" s="47"/>
      <c r="X235" s="47"/>
      <c r="Y235" s="48"/>
      <c r="Z235" s="46">
        <v>0</v>
      </c>
      <c r="AA235" s="47"/>
      <c r="AB235" s="47"/>
      <c r="AC235" s="47"/>
      <c r="AD235" s="48"/>
      <c r="AE235" s="49">
        <v>0</v>
      </c>
      <c r="AF235" s="49"/>
      <c r="AG235" s="49"/>
      <c r="AH235" s="49"/>
      <c r="AI235" s="49"/>
      <c r="AJ235" s="28">
        <f t="shared" si="18"/>
        <v>0</v>
      </c>
      <c r="AK235" s="28"/>
      <c r="AL235" s="28"/>
      <c r="AM235" s="28"/>
      <c r="AN235" s="28"/>
      <c r="AO235" s="49">
        <v>0</v>
      </c>
      <c r="AP235" s="49"/>
      <c r="AQ235" s="49"/>
      <c r="AR235" s="49"/>
      <c r="AS235" s="49"/>
      <c r="AT235" s="28">
        <v>0</v>
      </c>
      <c r="AU235" s="28"/>
      <c r="AV235" s="28"/>
      <c r="AW235" s="28"/>
      <c r="AX235" s="28"/>
      <c r="AY235" s="49">
        <v>0</v>
      </c>
      <c r="AZ235" s="49"/>
      <c r="BA235" s="49"/>
      <c r="BB235" s="49"/>
      <c r="BC235" s="49"/>
      <c r="BD235" s="28">
        <f t="shared" si="19"/>
        <v>0</v>
      </c>
      <c r="BE235" s="28"/>
      <c r="BF235" s="28"/>
      <c r="BG235" s="28"/>
      <c r="BH235" s="28"/>
    </row>
    <row r="236" spans="1:60" s="4" customFormat="1" ht="27.75" customHeight="1" x14ac:dyDescent="0.2">
      <c r="A236" s="34">
        <v>42</v>
      </c>
      <c r="B236" s="35"/>
      <c r="C236" s="35"/>
      <c r="D236" s="29" t="s">
        <v>233</v>
      </c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1"/>
      <c r="U236" s="46">
        <v>0</v>
      </c>
      <c r="V236" s="47"/>
      <c r="W236" s="47"/>
      <c r="X236" s="47"/>
      <c r="Y236" s="48"/>
      <c r="Z236" s="46">
        <v>0</v>
      </c>
      <c r="AA236" s="47"/>
      <c r="AB236" s="47"/>
      <c r="AC236" s="47"/>
      <c r="AD236" s="48"/>
      <c r="AE236" s="49">
        <v>0</v>
      </c>
      <c r="AF236" s="49"/>
      <c r="AG236" s="49"/>
      <c r="AH236" s="49"/>
      <c r="AI236" s="49"/>
      <c r="AJ236" s="28">
        <f t="shared" si="18"/>
        <v>0</v>
      </c>
      <c r="AK236" s="28"/>
      <c r="AL236" s="28"/>
      <c r="AM236" s="28"/>
      <c r="AN236" s="28"/>
      <c r="AO236" s="49">
        <v>0</v>
      </c>
      <c r="AP236" s="49"/>
      <c r="AQ236" s="49"/>
      <c r="AR236" s="49"/>
      <c r="AS236" s="49"/>
      <c r="AT236" s="28">
        <v>0</v>
      </c>
      <c r="AU236" s="28"/>
      <c r="AV236" s="28"/>
      <c r="AW236" s="28"/>
      <c r="AX236" s="28"/>
      <c r="AY236" s="49">
        <v>0</v>
      </c>
      <c r="AZ236" s="49"/>
      <c r="BA236" s="49"/>
      <c r="BB236" s="49"/>
      <c r="BC236" s="49"/>
      <c r="BD236" s="28">
        <f t="shared" si="19"/>
        <v>0</v>
      </c>
      <c r="BE236" s="28"/>
      <c r="BF236" s="28"/>
      <c r="BG236" s="28"/>
      <c r="BH236" s="28"/>
    </row>
    <row r="237" spans="1:60" s="4" customFormat="1" ht="12.75" customHeight="1" x14ac:dyDescent="0.2">
      <c r="A237" s="34">
        <v>43</v>
      </c>
      <c r="B237" s="35"/>
      <c r="C237" s="35"/>
      <c r="D237" s="29" t="s">
        <v>234</v>
      </c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1"/>
      <c r="U237" s="46">
        <v>0</v>
      </c>
      <c r="V237" s="47"/>
      <c r="W237" s="47"/>
      <c r="X237" s="47"/>
      <c r="Y237" s="48"/>
      <c r="Z237" s="46">
        <v>0</v>
      </c>
      <c r="AA237" s="47"/>
      <c r="AB237" s="47"/>
      <c r="AC237" s="47"/>
      <c r="AD237" s="48"/>
      <c r="AE237" s="49">
        <v>0</v>
      </c>
      <c r="AF237" s="49"/>
      <c r="AG237" s="49"/>
      <c r="AH237" s="49"/>
      <c r="AI237" s="49"/>
      <c r="AJ237" s="28">
        <f t="shared" si="18"/>
        <v>0</v>
      </c>
      <c r="AK237" s="28"/>
      <c r="AL237" s="28"/>
      <c r="AM237" s="28"/>
      <c r="AN237" s="28"/>
      <c r="AO237" s="49">
        <v>0</v>
      </c>
      <c r="AP237" s="49"/>
      <c r="AQ237" s="49"/>
      <c r="AR237" s="49"/>
      <c r="AS237" s="49"/>
      <c r="AT237" s="28">
        <v>0</v>
      </c>
      <c r="AU237" s="28"/>
      <c r="AV237" s="28"/>
      <c r="AW237" s="28"/>
      <c r="AX237" s="28"/>
      <c r="AY237" s="49">
        <v>0</v>
      </c>
      <c r="AZ237" s="49"/>
      <c r="BA237" s="49"/>
      <c r="BB237" s="49"/>
      <c r="BC237" s="49"/>
      <c r="BD237" s="28">
        <f t="shared" si="19"/>
        <v>0</v>
      </c>
      <c r="BE237" s="28"/>
      <c r="BF237" s="28"/>
      <c r="BG237" s="28"/>
      <c r="BH237" s="28"/>
    </row>
    <row r="238" spans="1:60" s="4" customFormat="1" ht="38.25" customHeight="1" x14ac:dyDescent="0.2">
      <c r="A238" s="34">
        <v>44</v>
      </c>
      <c r="B238" s="35"/>
      <c r="C238" s="35"/>
      <c r="D238" s="29" t="s">
        <v>235</v>
      </c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1"/>
      <c r="U238" s="46">
        <v>0</v>
      </c>
      <c r="V238" s="47"/>
      <c r="W238" s="47"/>
      <c r="X238" s="47"/>
      <c r="Y238" s="48"/>
      <c r="Z238" s="46">
        <v>0</v>
      </c>
      <c r="AA238" s="47"/>
      <c r="AB238" s="47"/>
      <c r="AC238" s="47"/>
      <c r="AD238" s="48"/>
      <c r="AE238" s="49">
        <v>0</v>
      </c>
      <c r="AF238" s="49"/>
      <c r="AG238" s="49"/>
      <c r="AH238" s="49"/>
      <c r="AI238" s="49"/>
      <c r="AJ238" s="28">
        <f t="shared" si="18"/>
        <v>0</v>
      </c>
      <c r="AK238" s="28"/>
      <c r="AL238" s="28"/>
      <c r="AM238" s="28"/>
      <c r="AN238" s="28"/>
      <c r="AO238" s="49">
        <v>0</v>
      </c>
      <c r="AP238" s="49"/>
      <c r="AQ238" s="49"/>
      <c r="AR238" s="49"/>
      <c r="AS238" s="49"/>
      <c r="AT238" s="28">
        <v>0</v>
      </c>
      <c r="AU238" s="28"/>
      <c r="AV238" s="28"/>
      <c r="AW238" s="28"/>
      <c r="AX238" s="28"/>
      <c r="AY238" s="49">
        <v>0</v>
      </c>
      <c r="AZ238" s="49"/>
      <c r="BA238" s="49"/>
      <c r="BB238" s="49"/>
      <c r="BC238" s="49"/>
      <c r="BD238" s="28">
        <f t="shared" si="19"/>
        <v>0</v>
      </c>
      <c r="BE238" s="28"/>
      <c r="BF238" s="28"/>
      <c r="BG238" s="28"/>
      <c r="BH238" s="28"/>
    </row>
    <row r="239" spans="1:60" s="4" customFormat="1" ht="12.75" customHeight="1" x14ac:dyDescent="0.2">
      <c r="A239" s="34">
        <v>45</v>
      </c>
      <c r="B239" s="35"/>
      <c r="C239" s="35"/>
      <c r="D239" s="29" t="s">
        <v>236</v>
      </c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1"/>
      <c r="U239" s="46">
        <v>0</v>
      </c>
      <c r="V239" s="47"/>
      <c r="W239" s="47"/>
      <c r="X239" s="47"/>
      <c r="Y239" s="48"/>
      <c r="Z239" s="46">
        <v>0</v>
      </c>
      <c r="AA239" s="47"/>
      <c r="AB239" s="47"/>
      <c r="AC239" s="47"/>
      <c r="AD239" s="48"/>
      <c r="AE239" s="49">
        <v>0</v>
      </c>
      <c r="AF239" s="49"/>
      <c r="AG239" s="49"/>
      <c r="AH239" s="49"/>
      <c r="AI239" s="49"/>
      <c r="AJ239" s="28">
        <f t="shared" si="18"/>
        <v>0</v>
      </c>
      <c r="AK239" s="28"/>
      <c r="AL239" s="28"/>
      <c r="AM239" s="28"/>
      <c r="AN239" s="28"/>
      <c r="AO239" s="49">
        <v>0</v>
      </c>
      <c r="AP239" s="49"/>
      <c r="AQ239" s="49"/>
      <c r="AR239" s="49"/>
      <c r="AS239" s="49"/>
      <c r="AT239" s="28">
        <v>0</v>
      </c>
      <c r="AU239" s="28"/>
      <c r="AV239" s="28"/>
      <c r="AW239" s="28"/>
      <c r="AX239" s="28"/>
      <c r="AY239" s="49">
        <v>0</v>
      </c>
      <c r="AZ239" s="49"/>
      <c r="BA239" s="49"/>
      <c r="BB239" s="49"/>
      <c r="BC239" s="49"/>
      <c r="BD239" s="28">
        <f t="shared" si="19"/>
        <v>0</v>
      </c>
      <c r="BE239" s="28"/>
      <c r="BF239" s="28"/>
      <c r="BG239" s="28"/>
      <c r="BH239" s="28"/>
    </row>
    <row r="240" spans="1:60" s="4" customFormat="1" ht="25.5" customHeight="1" x14ac:dyDescent="0.2">
      <c r="A240" s="34">
        <v>46</v>
      </c>
      <c r="B240" s="35"/>
      <c r="C240" s="35"/>
      <c r="D240" s="29" t="s">
        <v>237</v>
      </c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1"/>
      <c r="U240" s="46">
        <v>60000</v>
      </c>
      <c r="V240" s="47"/>
      <c r="W240" s="47"/>
      <c r="X240" s="47"/>
      <c r="Y240" s="48"/>
      <c r="Z240" s="46">
        <v>0</v>
      </c>
      <c r="AA240" s="47"/>
      <c r="AB240" s="47"/>
      <c r="AC240" s="47"/>
      <c r="AD240" s="48"/>
      <c r="AE240" s="49">
        <v>0</v>
      </c>
      <c r="AF240" s="49"/>
      <c r="AG240" s="49"/>
      <c r="AH240" s="49"/>
      <c r="AI240" s="49"/>
      <c r="AJ240" s="28">
        <f t="shared" si="18"/>
        <v>60000</v>
      </c>
      <c r="AK240" s="28"/>
      <c r="AL240" s="28"/>
      <c r="AM240" s="28"/>
      <c r="AN240" s="28"/>
      <c r="AO240" s="49">
        <v>80000</v>
      </c>
      <c r="AP240" s="49"/>
      <c r="AQ240" s="49"/>
      <c r="AR240" s="49"/>
      <c r="AS240" s="49"/>
      <c r="AT240" s="28">
        <v>0</v>
      </c>
      <c r="AU240" s="28"/>
      <c r="AV240" s="28"/>
      <c r="AW240" s="28"/>
      <c r="AX240" s="28"/>
      <c r="AY240" s="49">
        <v>0</v>
      </c>
      <c r="AZ240" s="49"/>
      <c r="BA240" s="49"/>
      <c r="BB240" s="49"/>
      <c r="BC240" s="49"/>
      <c r="BD240" s="28">
        <f t="shared" si="19"/>
        <v>80000</v>
      </c>
      <c r="BE240" s="28"/>
      <c r="BF240" s="28"/>
      <c r="BG240" s="28"/>
      <c r="BH240" s="28"/>
    </row>
    <row r="241" spans="1:60" s="4" customFormat="1" ht="12.75" customHeight="1" x14ac:dyDescent="0.2">
      <c r="A241" s="34">
        <v>47</v>
      </c>
      <c r="B241" s="35"/>
      <c r="C241" s="35"/>
      <c r="D241" s="29" t="s">
        <v>238</v>
      </c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1"/>
      <c r="U241" s="46">
        <v>2500</v>
      </c>
      <c r="V241" s="47"/>
      <c r="W241" s="47"/>
      <c r="X241" s="47"/>
      <c r="Y241" s="48"/>
      <c r="Z241" s="46">
        <v>0</v>
      </c>
      <c r="AA241" s="47"/>
      <c r="AB241" s="47"/>
      <c r="AC241" s="47"/>
      <c r="AD241" s="48"/>
      <c r="AE241" s="49">
        <v>0</v>
      </c>
      <c r="AF241" s="49"/>
      <c r="AG241" s="49"/>
      <c r="AH241" s="49"/>
      <c r="AI241" s="49"/>
      <c r="AJ241" s="28">
        <f t="shared" si="18"/>
        <v>2500</v>
      </c>
      <c r="AK241" s="28"/>
      <c r="AL241" s="28"/>
      <c r="AM241" s="28"/>
      <c r="AN241" s="28"/>
      <c r="AO241" s="49">
        <v>3000</v>
      </c>
      <c r="AP241" s="49"/>
      <c r="AQ241" s="49"/>
      <c r="AR241" s="49"/>
      <c r="AS241" s="49"/>
      <c r="AT241" s="28">
        <v>0</v>
      </c>
      <c r="AU241" s="28"/>
      <c r="AV241" s="28"/>
      <c r="AW241" s="28"/>
      <c r="AX241" s="28"/>
      <c r="AY241" s="49">
        <v>0</v>
      </c>
      <c r="AZ241" s="49"/>
      <c r="BA241" s="49"/>
      <c r="BB241" s="49"/>
      <c r="BC241" s="49"/>
      <c r="BD241" s="28">
        <f t="shared" si="19"/>
        <v>3000</v>
      </c>
      <c r="BE241" s="28"/>
      <c r="BF241" s="28"/>
      <c r="BG241" s="28"/>
      <c r="BH241" s="28"/>
    </row>
    <row r="242" spans="1:60" s="4" customFormat="1" ht="12.75" customHeight="1" x14ac:dyDescent="0.2">
      <c r="A242" s="34">
        <v>48</v>
      </c>
      <c r="B242" s="35"/>
      <c r="C242" s="35"/>
      <c r="D242" s="29" t="s">
        <v>239</v>
      </c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1"/>
      <c r="U242" s="46">
        <v>4000</v>
      </c>
      <c r="V242" s="47"/>
      <c r="W242" s="47"/>
      <c r="X242" s="47"/>
      <c r="Y242" s="48"/>
      <c r="Z242" s="46">
        <v>0</v>
      </c>
      <c r="AA242" s="47"/>
      <c r="AB242" s="47"/>
      <c r="AC242" s="47"/>
      <c r="AD242" s="48"/>
      <c r="AE242" s="49">
        <v>0</v>
      </c>
      <c r="AF242" s="49"/>
      <c r="AG242" s="49"/>
      <c r="AH242" s="49"/>
      <c r="AI242" s="49"/>
      <c r="AJ242" s="28">
        <f t="shared" si="18"/>
        <v>4000</v>
      </c>
      <c r="AK242" s="28"/>
      <c r="AL242" s="28"/>
      <c r="AM242" s="28"/>
      <c r="AN242" s="28"/>
      <c r="AO242" s="49">
        <v>5000</v>
      </c>
      <c r="AP242" s="49"/>
      <c r="AQ242" s="49"/>
      <c r="AR242" s="49"/>
      <c r="AS242" s="49"/>
      <c r="AT242" s="28">
        <v>0</v>
      </c>
      <c r="AU242" s="28"/>
      <c r="AV242" s="28"/>
      <c r="AW242" s="28"/>
      <c r="AX242" s="28"/>
      <c r="AY242" s="49">
        <v>0</v>
      </c>
      <c r="AZ242" s="49"/>
      <c r="BA242" s="49"/>
      <c r="BB242" s="49"/>
      <c r="BC242" s="49"/>
      <c r="BD242" s="28">
        <f t="shared" si="19"/>
        <v>5000</v>
      </c>
      <c r="BE242" s="28"/>
      <c r="BF242" s="28"/>
      <c r="BG242" s="28"/>
      <c r="BH242" s="28"/>
    </row>
    <row r="243" spans="1:60" s="4" customFormat="1" ht="15" customHeight="1" x14ac:dyDescent="0.2">
      <c r="A243" s="34">
        <v>49</v>
      </c>
      <c r="B243" s="35"/>
      <c r="C243" s="35"/>
      <c r="D243" s="29" t="s">
        <v>240</v>
      </c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1"/>
      <c r="U243" s="46">
        <v>5000</v>
      </c>
      <c r="V243" s="47"/>
      <c r="W243" s="47"/>
      <c r="X243" s="47"/>
      <c r="Y243" s="48"/>
      <c r="Z243" s="46">
        <v>0</v>
      </c>
      <c r="AA243" s="47"/>
      <c r="AB243" s="47"/>
      <c r="AC243" s="47"/>
      <c r="AD243" s="48"/>
      <c r="AE243" s="49">
        <v>0</v>
      </c>
      <c r="AF243" s="49"/>
      <c r="AG243" s="49"/>
      <c r="AH243" s="49"/>
      <c r="AI243" s="49"/>
      <c r="AJ243" s="28">
        <f t="shared" si="18"/>
        <v>5000</v>
      </c>
      <c r="AK243" s="28"/>
      <c r="AL243" s="28"/>
      <c r="AM243" s="28"/>
      <c r="AN243" s="28"/>
      <c r="AO243" s="49">
        <v>6000</v>
      </c>
      <c r="AP243" s="49"/>
      <c r="AQ243" s="49"/>
      <c r="AR243" s="49"/>
      <c r="AS243" s="49"/>
      <c r="AT243" s="28">
        <v>0</v>
      </c>
      <c r="AU243" s="28"/>
      <c r="AV243" s="28"/>
      <c r="AW243" s="28"/>
      <c r="AX243" s="28"/>
      <c r="AY243" s="49">
        <v>0</v>
      </c>
      <c r="AZ243" s="49"/>
      <c r="BA243" s="49"/>
      <c r="BB243" s="49"/>
      <c r="BC243" s="49"/>
      <c r="BD243" s="28">
        <f t="shared" si="19"/>
        <v>6000</v>
      </c>
      <c r="BE243" s="28"/>
      <c r="BF243" s="28"/>
      <c r="BG243" s="28"/>
      <c r="BH243" s="28"/>
    </row>
    <row r="244" spans="1:60" s="4" customFormat="1" ht="12.75" customHeight="1" x14ac:dyDescent="0.2">
      <c r="A244" s="34">
        <v>50</v>
      </c>
      <c r="B244" s="35"/>
      <c r="C244" s="35"/>
      <c r="D244" s="29" t="s">
        <v>241</v>
      </c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1"/>
      <c r="U244" s="46">
        <v>317165</v>
      </c>
      <c r="V244" s="47"/>
      <c r="W244" s="47"/>
      <c r="X244" s="47"/>
      <c r="Y244" s="48"/>
      <c r="Z244" s="46">
        <v>0</v>
      </c>
      <c r="AA244" s="47"/>
      <c r="AB244" s="47"/>
      <c r="AC244" s="47"/>
      <c r="AD244" s="48"/>
      <c r="AE244" s="49">
        <v>0</v>
      </c>
      <c r="AF244" s="49"/>
      <c r="AG244" s="49"/>
      <c r="AH244" s="49"/>
      <c r="AI244" s="49"/>
      <c r="AJ244" s="28">
        <f t="shared" si="18"/>
        <v>317165</v>
      </c>
      <c r="AK244" s="28"/>
      <c r="AL244" s="28"/>
      <c r="AM244" s="28"/>
      <c r="AN244" s="28"/>
      <c r="AO244" s="49">
        <v>148326</v>
      </c>
      <c r="AP244" s="49"/>
      <c r="AQ244" s="49"/>
      <c r="AR244" s="49"/>
      <c r="AS244" s="49"/>
      <c r="AT244" s="28">
        <v>0</v>
      </c>
      <c r="AU244" s="28"/>
      <c r="AV244" s="28"/>
      <c r="AW244" s="28"/>
      <c r="AX244" s="28"/>
      <c r="AY244" s="49">
        <v>0</v>
      </c>
      <c r="AZ244" s="49"/>
      <c r="BA244" s="49"/>
      <c r="BB244" s="49"/>
      <c r="BC244" s="49"/>
      <c r="BD244" s="28">
        <f t="shared" si="19"/>
        <v>148326</v>
      </c>
      <c r="BE244" s="28"/>
      <c r="BF244" s="28"/>
      <c r="BG244" s="28"/>
      <c r="BH244" s="28"/>
    </row>
    <row r="245" spans="1:60" s="4" customFormat="1" ht="51" customHeight="1" x14ac:dyDescent="0.2">
      <c r="A245" s="34">
        <v>51</v>
      </c>
      <c r="B245" s="35"/>
      <c r="C245" s="35"/>
      <c r="D245" s="29" t="s">
        <v>242</v>
      </c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1"/>
      <c r="U245" s="46">
        <v>0</v>
      </c>
      <c r="V245" s="47"/>
      <c r="W245" s="47"/>
      <c r="X245" s="47"/>
      <c r="Y245" s="48"/>
      <c r="Z245" s="46">
        <v>0</v>
      </c>
      <c r="AA245" s="47"/>
      <c r="AB245" s="47"/>
      <c r="AC245" s="47"/>
      <c r="AD245" s="48"/>
      <c r="AE245" s="49">
        <v>0</v>
      </c>
      <c r="AF245" s="49"/>
      <c r="AG245" s="49"/>
      <c r="AH245" s="49"/>
      <c r="AI245" s="49"/>
      <c r="AJ245" s="28">
        <f t="shared" si="18"/>
        <v>0</v>
      </c>
      <c r="AK245" s="28"/>
      <c r="AL245" s="28"/>
      <c r="AM245" s="28"/>
      <c r="AN245" s="28"/>
      <c r="AO245" s="49">
        <v>0</v>
      </c>
      <c r="AP245" s="49"/>
      <c r="AQ245" s="49"/>
      <c r="AR245" s="49"/>
      <c r="AS245" s="49"/>
      <c r="AT245" s="28">
        <v>0</v>
      </c>
      <c r="AU245" s="28"/>
      <c r="AV245" s="28"/>
      <c r="AW245" s="28"/>
      <c r="AX245" s="28"/>
      <c r="AY245" s="49">
        <v>0</v>
      </c>
      <c r="AZ245" s="49"/>
      <c r="BA245" s="49"/>
      <c r="BB245" s="49"/>
      <c r="BC245" s="49"/>
      <c r="BD245" s="28">
        <f t="shared" si="19"/>
        <v>0</v>
      </c>
      <c r="BE245" s="28"/>
      <c r="BF245" s="28"/>
      <c r="BG245" s="28"/>
      <c r="BH245" s="28"/>
    </row>
    <row r="246" spans="1:60" s="4" customFormat="1" ht="25.5" customHeight="1" x14ac:dyDescent="0.2">
      <c r="A246" s="34">
        <v>52</v>
      </c>
      <c r="B246" s="35"/>
      <c r="C246" s="35"/>
      <c r="D246" s="29" t="s">
        <v>243</v>
      </c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1"/>
      <c r="U246" s="46">
        <v>0</v>
      </c>
      <c r="V246" s="47"/>
      <c r="W246" s="47"/>
      <c r="X246" s="47"/>
      <c r="Y246" s="48"/>
      <c r="Z246" s="46">
        <v>0</v>
      </c>
      <c r="AA246" s="47"/>
      <c r="AB246" s="47"/>
      <c r="AC246" s="47"/>
      <c r="AD246" s="48"/>
      <c r="AE246" s="49">
        <v>0</v>
      </c>
      <c r="AF246" s="49"/>
      <c r="AG246" s="49"/>
      <c r="AH246" s="49"/>
      <c r="AI246" s="49"/>
      <c r="AJ246" s="28">
        <f t="shared" si="18"/>
        <v>0</v>
      </c>
      <c r="AK246" s="28"/>
      <c r="AL246" s="28"/>
      <c r="AM246" s="28"/>
      <c r="AN246" s="28"/>
      <c r="AO246" s="49">
        <v>0</v>
      </c>
      <c r="AP246" s="49"/>
      <c r="AQ246" s="49"/>
      <c r="AR246" s="49"/>
      <c r="AS246" s="49"/>
      <c r="AT246" s="28">
        <v>0</v>
      </c>
      <c r="AU246" s="28"/>
      <c r="AV246" s="28"/>
      <c r="AW246" s="28"/>
      <c r="AX246" s="28"/>
      <c r="AY246" s="49">
        <v>0</v>
      </c>
      <c r="AZ246" s="49"/>
      <c r="BA246" s="49"/>
      <c r="BB246" s="49"/>
      <c r="BC246" s="49"/>
      <c r="BD246" s="28">
        <f t="shared" si="19"/>
        <v>0</v>
      </c>
      <c r="BE246" s="28"/>
      <c r="BF246" s="28"/>
      <c r="BG246" s="28"/>
      <c r="BH246" s="28"/>
    </row>
    <row r="247" spans="1:60" s="4" customFormat="1" ht="78" customHeight="1" x14ac:dyDescent="0.2">
      <c r="A247" s="34">
        <v>53</v>
      </c>
      <c r="B247" s="35"/>
      <c r="C247" s="35"/>
      <c r="D247" s="29" t="s">
        <v>244</v>
      </c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1"/>
      <c r="U247" s="46">
        <v>0</v>
      </c>
      <c r="V247" s="47"/>
      <c r="W247" s="47"/>
      <c r="X247" s="47"/>
      <c r="Y247" s="48"/>
      <c r="Z247" s="46">
        <v>0</v>
      </c>
      <c r="AA247" s="47"/>
      <c r="AB247" s="47"/>
      <c r="AC247" s="47"/>
      <c r="AD247" s="48"/>
      <c r="AE247" s="49">
        <v>0</v>
      </c>
      <c r="AF247" s="49"/>
      <c r="AG247" s="49"/>
      <c r="AH247" s="49"/>
      <c r="AI247" s="49"/>
      <c r="AJ247" s="28">
        <f t="shared" si="18"/>
        <v>0</v>
      </c>
      <c r="AK247" s="28"/>
      <c r="AL247" s="28"/>
      <c r="AM247" s="28"/>
      <c r="AN247" s="28"/>
      <c r="AO247" s="49">
        <v>0</v>
      </c>
      <c r="AP247" s="49"/>
      <c r="AQ247" s="49"/>
      <c r="AR247" s="49"/>
      <c r="AS247" s="49"/>
      <c r="AT247" s="28">
        <v>0</v>
      </c>
      <c r="AU247" s="28"/>
      <c r="AV247" s="28"/>
      <c r="AW247" s="28"/>
      <c r="AX247" s="28"/>
      <c r="AY247" s="49">
        <v>0</v>
      </c>
      <c r="AZ247" s="49"/>
      <c r="BA247" s="49"/>
      <c r="BB247" s="49"/>
      <c r="BC247" s="49"/>
      <c r="BD247" s="28">
        <f t="shared" si="19"/>
        <v>0</v>
      </c>
      <c r="BE247" s="28"/>
      <c r="BF247" s="28"/>
      <c r="BG247" s="28"/>
      <c r="BH247" s="28"/>
    </row>
    <row r="248" spans="1:60" s="4" customFormat="1" ht="102" customHeight="1" x14ac:dyDescent="0.2">
      <c r="A248" s="34">
        <v>54</v>
      </c>
      <c r="B248" s="35"/>
      <c r="C248" s="35"/>
      <c r="D248" s="29" t="s">
        <v>245</v>
      </c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1"/>
      <c r="U248" s="46">
        <v>0</v>
      </c>
      <c r="V248" s="47"/>
      <c r="W248" s="47"/>
      <c r="X248" s="47"/>
      <c r="Y248" s="48"/>
      <c r="Z248" s="46">
        <v>0</v>
      </c>
      <c r="AA248" s="47"/>
      <c r="AB248" s="47"/>
      <c r="AC248" s="47"/>
      <c r="AD248" s="48"/>
      <c r="AE248" s="49">
        <v>0</v>
      </c>
      <c r="AF248" s="49"/>
      <c r="AG248" s="49"/>
      <c r="AH248" s="49"/>
      <c r="AI248" s="49"/>
      <c r="AJ248" s="28">
        <f t="shared" si="18"/>
        <v>0</v>
      </c>
      <c r="AK248" s="28"/>
      <c r="AL248" s="28"/>
      <c r="AM248" s="28"/>
      <c r="AN248" s="28"/>
      <c r="AO248" s="49">
        <v>0</v>
      </c>
      <c r="AP248" s="49"/>
      <c r="AQ248" s="49"/>
      <c r="AR248" s="49"/>
      <c r="AS248" s="49"/>
      <c r="AT248" s="28">
        <v>0</v>
      </c>
      <c r="AU248" s="28"/>
      <c r="AV248" s="28"/>
      <c r="AW248" s="28"/>
      <c r="AX248" s="28"/>
      <c r="AY248" s="49">
        <v>0</v>
      </c>
      <c r="AZ248" s="49"/>
      <c r="BA248" s="49"/>
      <c r="BB248" s="49"/>
      <c r="BC248" s="49"/>
      <c r="BD248" s="28">
        <f t="shared" si="19"/>
        <v>0</v>
      </c>
      <c r="BE248" s="28"/>
      <c r="BF248" s="28"/>
      <c r="BG248" s="28"/>
      <c r="BH248" s="28"/>
    </row>
    <row r="249" spans="1:60" s="4" customFormat="1" ht="12.75" customHeight="1" x14ac:dyDescent="0.2">
      <c r="A249" s="34">
        <v>55</v>
      </c>
      <c r="B249" s="35"/>
      <c r="C249" s="35"/>
      <c r="D249" s="29" t="s">
        <v>246</v>
      </c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1"/>
      <c r="U249" s="46">
        <v>71435</v>
      </c>
      <c r="V249" s="47"/>
      <c r="W249" s="47"/>
      <c r="X249" s="47"/>
      <c r="Y249" s="48"/>
      <c r="Z249" s="46">
        <v>0</v>
      </c>
      <c r="AA249" s="47"/>
      <c r="AB249" s="47"/>
      <c r="AC249" s="47"/>
      <c r="AD249" s="48"/>
      <c r="AE249" s="49">
        <v>0</v>
      </c>
      <c r="AF249" s="49"/>
      <c r="AG249" s="49"/>
      <c r="AH249" s="49"/>
      <c r="AI249" s="49"/>
      <c r="AJ249" s="28">
        <f t="shared" si="18"/>
        <v>71435</v>
      </c>
      <c r="AK249" s="28"/>
      <c r="AL249" s="28"/>
      <c r="AM249" s="28"/>
      <c r="AN249" s="28"/>
      <c r="AO249" s="49">
        <v>77150</v>
      </c>
      <c r="AP249" s="49"/>
      <c r="AQ249" s="49"/>
      <c r="AR249" s="49"/>
      <c r="AS249" s="49"/>
      <c r="AT249" s="28">
        <v>0</v>
      </c>
      <c r="AU249" s="28"/>
      <c r="AV249" s="28"/>
      <c r="AW249" s="28"/>
      <c r="AX249" s="28"/>
      <c r="AY249" s="49">
        <v>0</v>
      </c>
      <c r="AZ249" s="49"/>
      <c r="BA249" s="49"/>
      <c r="BB249" s="49"/>
      <c r="BC249" s="49"/>
      <c r="BD249" s="28">
        <f t="shared" si="19"/>
        <v>77150</v>
      </c>
      <c r="BE249" s="28"/>
      <c r="BF249" s="28"/>
      <c r="BG249" s="28"/>
      <c r="BH249" s="28"/>
    </row>
    <row r="250" spans="1:60" s="4" customFormat="1" ht="52.5" customHeight="1" x14ac:dyDescent="0.2">
      <c r="A250" s="34">
        <v>56</v>
      </c>
      <c r="B250" s="35"/>
      <c r="C250" s="35"/>
      <c r="D250" s="29" t="s">
        <v>247</v>
      </c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1"/>
      <c r="U250" s="46">
        <v>0</v>
      </c>
      <c r="V250" s="47"/>
      <c r="W250" s="47"/>
      <c r="X250" s="47"/>
      <c r="Y250" s="48"/>
      <c r="Z250" s="46">
        <v>0</v>
      </c>
      <c r="AA250" s="47"/>
      <c r="AB250" s="47"/>
      <c r="AC250" s="47"/>
      <c r="AD250" s="48"/>
      <c r="AE250" s="49">
        <v>0</v>
      </c>
      <c r="AF250" s="49"/>
      <c r="AG250" s="49"/>
      <c r="AH250" s="49"/>
      <c r="AI250" s="49"/>
      <c r="AJ250" s="28">
        <f t="shared" si="18"/>
        <v>0</v>
      </c>
      <c r="AK250" s="28"/>
      <c r="AL250" s="28"/>
      <c r="AM250" s="28"/>
      <c r="AN250" s="28"/>
      <c r="AO250" s="49">
        <v>0</v>
      </c>
      <c r="AP250" s="49"/>
      <c r="AQ250" s="49"/>
      <c r="AR250" s="49"/>
      <c r="AS250" s="49"/>
      <c r="AT250" s="28">
        <v>0</v>
      </c>
      <c r="AU250" s="28"/>
      <c r="AV250" s="28"/>
      <c r="AW250" s="28"/>
      <c r="AX250" s="28"/>
      <c r="AY250" s="49">
        <v>0</v>
      </c>
      <c r="AZ250" s="49"/>
      <c r="BA250" s="49"/>
      <c r="BB250" s="49"/>
      <c r="BC250" s="49"/>
      <c r="BD250" s="28">
        <f t="shared" si="19"/>
        <v>0</v>
      </c>
      <c r="BE250" s="28"/>
      <c r="BF250" s="28"/>
      <c r="BG250" s="28"/>
      <c r="BH250" s="28"/>
    </row>
    <row r="251" spans="1:60" s="4" customFormat="1" ht="51" customHeight="1" x14ac:dyDescent="0.2">
      <c r="A251" s="34">
        <v>57</v>
      </c>
      <c r="B251" s="35"/>
      <c r="C251" s="35"/>
      <c r="D251" s="29" t="s">
        <v>248</v>
      </c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1"/>
      <c r="U251" s="46">
        <v>0</v>
      </c>
      <c r="V251" s="47"/>
      <c r="W251" s="47"/>
      <c r="X251" s="47"/>
      <c r="Y251" s="48"/>
      <c r="Z251" s="46">
        <v>0</v>
      </c>
      <c r="AA251" s="47"/>
      <c r="AB251" s="47"/>
      <c r="AC251" s="47"/>
      <c r="AD251" s="48"/>
      <c r="AE251" s="49">
        <v>0</v>
      </c>
      <c r="AF251" s="49"/>
      <c r="AG251" s="49"/>
      <c r="AH251" s="49"/>
      <c r="AI251" s="49"/>
      <c r="AJ251" s="28">
        <f t="shared" si="18"/>
        <v>0</v>
      </c>
      <c r="AK251" s="28"/>
      <c r="AL251" s="28"/>
      <c r="AM251" s="28"/>
      <c r="AN251" s="28"/>
      <c r="AO251" s="49">
        <v>0</v>
      </c>
      <c r="AP251" s="49"/>
      <c r="AQ251" s="49"/>
      <c r="AR251" s="49"/>
      <c r="AS251" s="49"/>
      <c r="AT251" s="28">
        <v>0</v>
      </c>
      <c r="AU251" s="28"/>
      <c r="AV251" s="28"/>
      <c r="AW251" s="28"/>
      <c r="AX251" s="28"/>
      <c r="AY251" s="49">
        <v>0</v>
      </c>
      <c r="AZ251" s="49"/>
      <c r="BA251" s="49"/>
      <c r="BB251" s="49"/>
      <c r="BC251" s="49"/>
      <c r="BD251" s="28">
        <f t="shared" si="19"/>
        <v>0</v>
      </c>
      <c r="BE251" s="28"/>
      <c r="BF251" s="28"/>
      <c r="BG251" s="28"/>
      <c r="BH251" s="28"/>
    </row>
    <row r="252" spans="1:60" s="4" customFormat="1" ht="51" customHeight="1" x14ac:dyDescent="0.2">
      <c r="A252" s="34">
        <v>58</v>
      </c>
      <c r="B252" s="35"/>
      <c r="C252" s="35"/>
      <c r="D252" s="29" t="s">
        <v>249</v>
      </c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1"/>
      <c r="U252" s="46">
        <v>0</v>
      </c>
      <c r="V252" s="47"/>
      <c r="W252" s="47"/>
      <c r="X252" s="47"/>
      <c r="Y252" s="48"/>
      <c r="Z252" s="46">
        <v>0</v>
      </c>
      <c r="AA252" s="47"/>
      <c r="AB252" s="47"/>
      <c r="AC252" s="47"/>
      <c r="AD252" s="48"/>
      <c r="AE252" s="49">
        <v>0</v>
      </c>
      <c r="AF252" s="49"/>
      <c r="AG252" s="49"/>
      <c r="AH252" s="49"/>
      <c r="AI252" s="49"/>
      <c r="AJ252" s="28">
        <f t="shared" si="18"/>
        <v>0</v>
      </c>
      <c r="AK252" s="28"/>
      <c r="AL252" s="28"/>
      <c r="AM252" s="28"/>
      <c r="AN252" s="28"/>
      <c r="AO252" s="49">
        <v>0</v>
      </c>
      <c r="AP252" s="49"/>
      <c r="AQ252" s="49"/>
      <c r="AR252" s="49"/>
      <c r="AS252" s="49"/>
      <c r="AT252" s="28">
        <v>0</v>
      </c>
      <c r="AU252" s="28"/>
      <c r="AV252" s="28"/>
      <c r="AW252" s="28"/>
      <c r="AX252" s="28"/>
      <c r="AY252" s="49">
        <v>0</v>
      </c>
      <c r="AZ252" s="49"/>
      <c r="BA252" s="49"/>
      <c r="BB252" s="49"/>
      <c r="BC252" s="49"/>
      <c r="BD252" s="28">
        <f t="shared" si="19"/>
        <v>0</v>
      </c>
      <c r="BE252" s="28"/>
      <c r="BF252" s="28"/>
      <c r="BG252" s="28"/>
      <c r="BH252" s="28"/>
    </row>
    <row r="253" spans="1:60" s="4" customFormat="1" ht="38.25" customHeight="1" x14ac:dyDescent="0.2">
      <c r="A253" s="34">
        <v>59</v>
      </c>
      <c r="B253" s="35"/>
      <c r="C253" s="35"/>
      <c r="D253" s="29" t="s">
        <v>250</v>
      </c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1"/>
      <c r="U253" s="46">
        <v>0</v>
      </c>
      <c r="V253" s="47"/>
      <c r="W253" s="47"/>
      <c r="X253" s="47"/>
      <c r="Y253" s="48"/>
      <c r="Z253" s="46">
        <v>0</v>
      </c>
      <c r="AA253" s="47"/>
      <c r="AB253" s="47"/>
      <c r="AC253" s="47"/>
      <c r="AD253" s="48"/>
      <c r="AE253" s="49">
        <v>0</v>
      </c>
      <c r="AF253" s="49"/>
      <c r="AG253" s="49"/>
      <c r="AH253" s="49"/>
      <c r="AI253" s="49"/>
      <c r="AJ253" s="28">
        <f t="shared" si="18"/>
        <v>0</v>
      </c>
      <c r="AK253" s="28"/>
      <c r="AL253" s="28"/>
      <c r="AM253" s="28"/>
      <c r="AN253" s="28"/>
      <c r="AO253" s="49">
        <v>0</v>
      </c>
      <c r="AP253" s="49"/>
      <c r="AQ253" s="49"/>
      <c r="AR253" s="49"/>
      <c r="AS253" s="49"/>
      <c r="AT253" s="28">
        <v>0</v>
      </c>
      <c r="AU253" s="28"/>
      <c r="AV253" s="28"/>
      <c r="AW253" s="28"/>
      <c r="AX253" s="28"/>
      <c r="AY253" s="49">
        <v>0</v>
      </c>
      <c r="AZ253" s="49"/>
      <c r="BA253" s="49"/>
      <c r="BB253" s="49"/>
      <c r="BC253" s="49"/>
      <c r="BD253" s="28">
        <f t="shared" si="19"/>
        <v>0</v>
      </c>
      <c r="BE253" s="28"/>
      <c r="BF253" s="28"/>
      <c r="BG253" s="28"/>
      <c r="BH253" s="28"/>
    </row>
    <row r="254" spans="1:60" s="4" customFormat="1" ht="12.75" customHeight="1" x14ac:dyDescent="0.2">
      <c r="A254" s="34">
        <v>60</v>
      </c>
      <c r="B254" s="35"/>
      <c r="C254" s="35"/>
      <c r="D254" s="29" t="s">
        <v>251</v>
      </c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1"/>
      <c r="U254" s="46">
        <v>0</v>
      </c>
      <c r="V254" s="47"/>
      <c r="W254" s="47"/>
      <c r="X254" s="47"/>
      <c r="Y254" s="48"/>
      <c r="Z254" s="46">
        <v>0</v>
      </c>
      <c r="AA254" s="47"/>
      <c r="AB254" s="47"/>
      <c r="AC254" s="47"/>
      <c r="AD254" s="48"/>
      <c r="AE254" s="49">
        <v>0</v>
      </c>
      <c r="AF254" s="49"/>
      <c r="AG254" s="49"/>
      <c r="AH254" s="49"/>
      <c r="AI254" s="49"/>
      <c r="AJ254" s="28">
        <f t="shared" si="18"/>
        <v>0</v>
      </c>
      <c r="AK254" s="28"/>
      <c r="AL254" s="28"/>
      <c r="AM254" s="28"/>
      <c r="AN254" s="28"/>
      <c r="AO254" s="49">
        <v>0</v>
      </c>
      <c r="AP254" s="49"/>
      <c r="AQ254" s="49"/>
      <c r="AR254" s="49"/>
      <c r="AS254" s="49"/>
      <c r="AT254" s="28">
        <v>0</v>
      </c>
      <c r="AU254" s="28"/>
      <c r="AV254" s="28"/>
      <c r="AW254" s="28"/>
      <c r="AX254" s="28"/>
      <c r="AY254" s="49">
        <v>0</v>
      </c>
      <c r="AZ254" s="49"/>
      <c r="BA254" s="49"/>
      <c r="BB254" s="49"/>
      <c r="BC254" s="49"/>
      <c r="BD254" s="28">
        <f t="shared" si="19"/>
        <v>0</v>
      </c>
      <c r="BE254" s="28"/>
      <c r="BF254" s="28"/>
      <c r="BG254" s="28"/>
      <c r="BH254" s="28"/>
    </row>
    <row r="255" spans="1:60" s="4" customFormat="1" ht="51" customHeight="1" x14ac:dyDescent="0.2">
      <c r="A255" s="34">
        <v>61</v>
      </c>
      <c r="B255" s="35"/>
      <c r="C255" s="35"/>
      <c r="D255" s="29" t="s">
        <v>252</v>
      </c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1"/>
      <c r="U255" s="46">
        <v>0</v>
      </c>
      <c r="V255" s="47"/>
      <c r="W255" s="47"/>
      <c r="X255" s="47"/>
      <c r="Y255" s="48"/>
      <c r="Z255" s="46">
        <v>0</v>
      </c>
      <c r="AA255" s="47"/>
      <c r="AB255" s="47"/>
      <c r="AC255" s="47"/>
      <c r="AD255" s="48"/>
      <c r="AE255" s="49">
        <v>0</v>
      </c>
      <c r="AF255" s="49"/>
      <c r="AG255" s="49"/>
      <c r="AH255" s="49"/>
      <c r="AI255" s="49"/>
      <c r="AJ255" s="28">
        <f t="shared" si="18"/>
        <v>0</v>
      </c>
      <c r="AK255" s="28"/>
      <c r="AL255" s="28"/>
      <c r="AM255" s="28"/>
      <c r="AN255" s="28"/>
      <c r="AO255" s="49">
        <v>0</v>
      </c>
      <c r="AP255" s="49"/>
      <c r="AQ255" s="49"/>
      <c r="AR255" s="49"/>
      <c r="AS255" s="49"/>
      <c r="AT255" s="28">
        <v>0</v>
      </c>
      <c r="AU255" s="28"/>
      <c r="AV255" s="28"/>
      <c r="AW255" s="28"/>
      <c r="AX255" s="28"/>
      <c r="AY255" s="49">
        <v>0</v>
      </c>
      <c r="AZ255" s="49"/>
      <c r="BA255" s="49"/>
      <c r="BB255" s="49"/>
      <c r="BC255" s="49"/>
      <c r="BD255" s="28">
        <f t="shared" si="19"/>
        <v>0</v>
      </c>
      <c r="BE255" s="28"/>
      <c r="BF255" s="28"/>
      <c r="BG255" s="28"/>
      <c r="BH255" s="28"/>
    </row>
    <row r="256" spans="1:60" s="5" customFormat="1" ht="12.75" customHeight="1" x14ac:dyDescent="0.2">
      <c r="A256" s="36"/>
      <c r="B256" s="37"/>
      <c r="C256" s="37"/>
      <c r="D256" s="23" t="s">
        <v>147</v>
      </c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5"/>
      <c r="U256" s="42">
        <v>39474653</v>
      </c>
      <c r="V256" s="43"/>
      <c r="W256" s="43"/>
      <c r="X256" s="43"/>
      <c r="Y256" s="44"/>
      <c r="Z256" s="42">
        <v>219800</v>
      </c>
      <c r="AA256" s="43"/>
      <c r="AB256" s="43"/>
      <c r="AC256" s="43"/>
      <c r="AD256" s="44"/>
      <c r="AE256" s="45">
        <v>0</v>
      </c>
      <c r="AF256" s="45"/>
      <c r="AG256" s="45"/>
      <c r="AH256" s="45"/>
      <c r="AI256" s="45"/>
      <c r="AJ256" s="22">
        <f t="shared" si="18"/>
        <v>39694453</v>
      </c>
      <c r="AK256" s="22"/>
      <c r="AL256" s="22"/>
      <c r="AM256" s="22"/>
      <c r="AN256" s="22"/>
      <c r="AO256" s="45">
        <v>40079245</v>
      </c>
      <c r="AP256" s="45"/>
      <c r="AQ256" s="45"/>
      <c r="AR256" s="45"/>
      <c r="AS256" s="45"/>
      <c r="AT256" s="22">
        <v>237384</v>
      </c>
      <c r="AU256" s="22"/>
      <c r="AV256" s="22"/>
      <c r="AW256" s="22"/>
      <c r="AX256" s="22"/>
      <c r="AY256" s="45">
        <v>0</v>
      </c>
      <c r="AZ256" s="45"/>
      <c r="BA256" s="45"/>
      <c r="BB256" s="45"/>
      <c r="BC256" s="45"/>
      <c r="BD256" s="22">
        <f t="shared" si="19"/>
        <v>40316629</v>
      </c>
      <c r="BE256" s="22"/>
      <c r="BF256" s="22"/>
      <c r="BG256" s="22"/>
      <c r="BH256" s="22"/>
    </row>
    <row r="258" spans="1:79" ht="14.25" customHeight="1" x14ac:dyDescent="0.2">
      <c r="A258" s="60" t="s">
        <v>152</v>
      </c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</row>
    <row r="259" spans="1:79" ht="14.25" customHeight="1" x14ac:dyDescent="0.2">
      <c r="A259" s="60" t="s">
        <v>311</v>
      </c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</row>
    <row r="260" spans="1:79" ht="13.5" customHeight="1" x14ac:dyDescent="0.2">
      <c r="A260" s="76" t="s">
        <v>6</v>
      </c>
      <c r="B260" s="77"/>
      <c r="C260" s="77"/>
      <c r="D260" s="39" t="s">
        <v>9</v>
      </c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 t="s">
        <v>8</v>
      </c>
      <c r="R260" s="39"/>
      <c r="S260" s="39"/>
      <c r="T260" s="39"/>
      <c r="U260" s="39"/>
      <c r="V260" s="39" t="s">
        <v>7</v>
      </c>
      <c r="W260" s="39"/>
      <c r="X260" s="39"/>
      <c r="Y260" s="39"/>
      <c r="Z260" s="39"/>
      <c r="AA260" s="39"/>
      <c r="AB260" s="39"/>
      <c r="AC260" s="39"/>
      <c r="AD260" s="39"/>
      <c r="AE260" s="39"/>
      <c r="AF260" s="72" t="s">
        <v>296</v>
      </c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4"/>
      <c r="AU260" s="72" t="s">
        <v>299</v>
      </c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4"/>
      <c r="BJ260" s="72" t="s">
        <v>307</v>
      </c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4"/>
    </row>
    <row r="261" spans="1:79" ht="32.25" customHeight="1" x14ac:dyDescent="0.2">
      <c r="A261" s="79"/>
      <c r="B261" s="80"/>
      <c r="C261" s="80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 t="s">
        <v>4</v>
      </c>
      <c r="AG261" s="39"/>
      <c r="AH261" s="39"/>
      <c r="AI261" s="39"/>
      <c r="AJ261" s="39"/>
      <c r="AK261" s="39" t="s">
        <v>3</v>
      </c>
      <c r="AL261" s="39"/>
      <c r="AM261" s="39"/>
      <c r="AN261" s="39"/>
      <c r="AO261" s="39"/>
      <c r="AP261" s="39" t="s">
        <v>123</v>
      </c>
      <c r="AQ261" s="39"/>
      <c r="AR261" s="39"/>
      <c r="AS261" s="39"/>
      <c r="AT261" s="39"/>
      <c r="AU261" s="39" t="s">
        <v>4</v>
      </c>
      <c r="AV261" s="39"/>
      <c r="AW261" s="39"/>
      <c r="AX261" s="39"/>
      <c r="AY261" s="39"/>
      <c r="AZ261" s="39" t="s">
        <v>3</v>
      </c>
      <c r="BA261" s="39"/>
      <c r="BB261" s="39"/>
      <c r="BC261" s="39"/>
      <c r="BD261" s="39"/>
      <c r="BE261" s="39" t="s">
        <v>90</v>
      </c>
      <c r="BF261" s="39"/>
      <c r="BG261" s="39"/>
      <c r="BH261" s="39"/>
      <c r="BI261" s="39"/>
      <c r="BJ261" s="39" t="s">
        <v>4</v>
      </c>
      <c r="BK261" s="39"/>
      <c r="BL261" s="39"/>
      <c r="BM261" s="39"/>
      <c r="BN261" s="39"/>
      <c r="BO261" s="39" t="s">
        <v>3</v>
      </c>
      <c r="BP261" s="39"/>
      <c r="BQ261" s="39"/>
      <c r="BR261" s="39"/>
      <c r="BS261" s="39"/>
      <c r="BT261" s="39" t="s">
        <v>97</v>
      </c>
      <c r="BU261" s="39"/>
      <c r="BV261" s="39"/>
      <c r="BW261" s="39"/>
      <c r="BX261" s="39"/>
    </row>
    <row r="262" spans="1:79" ht="15" customHeight="1" x14ac:dyDescent="0.2">
      <c r="A262" s="72">
        <v>1</v>
      </c>
      <c r="B262" s="73"/>
      <c r="C262" s="73"/>
      <c r="D262" s="39">
        <v>2</v>
      </c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>
        <v>3</v>
      </c>
      <c r="R262" s="39"/>
      <c r="S262" s="39"/>
      <c r="T262" s="39"/>
      <c r="U262" s="39"/>
      <c r="V262" s="39">
        <v>4</v>
      </c>
      <c r="W262" s="39"/>
      <c r="X262" s="39"/>
      <c r="Y262" s="39"/>
      <c r="Z262" s="39"/>
      <c r="AA262" s="39"/>
      <c r="AB262" s="39"/>
      <c r="AC262" s="39"/>
      <c r="AD262" s="39"/>
      <c r="AE262" s="39"/>
      <c r="AF262" s="39">
        <v>5</v>
      </c>
      <c r="AG262" s="39"/>
      <c r="AH262" s="39"/>
      <c r="AI262" s="39"/>
      <c r="AJ262" s="39"/>
      <c r="AK262" s="39">
        <v>6</v>
      </c>
      <c r="AL262" s="39"/>
      <c r="AM262" s="39"/>
      <c r="AN262" s="39"/>
      <c r="AO262" s="39"/>
      <c r="AP262" s="39">
        <v>7</v>
      </c>
      <c r="AQ262" s="39"/>
      <c r="AR262" s="39"/>
      <c r="AS262" s="39"/>
      <c r="AT262" s="39"/>
      <c r="AU262" s="39">
        <v>8</v>
      </c>
      <c r="AV262" s="39"/>
      <c r="AW262" s="39"/>
      <c r="AX262" s="39"/>
      <c r="AY262" s="39"/>
      <c r="AZ262" s="39">
        <v>9</v>
      </c>
      <c r="BA262" s="39"/>
      <c r="BB262" s="39"/>
      <c r="BC262" s="39"/>
      <c r="BD262" s="39"/>
      <c r="BE262" s="39">
        <v>10</v>
      </c>
      <c r="BF262" s="39"/>
      <c r="BG262" s="39"/>
      <c r="BH262" s="39"/>
      <c r="BI262" s="39"/>
      <c r="BJ262" s="39">
        <v>11</v>
      </c>
      <c r="BK262" s="39"/>
      <c r="BL262" s="39"/>
      <c r="BM262" s="39"/>
      <c r="BN262" s="39"/>
      <c r="BO262" s="39">
        <v>12</v>
      </c>
      <c r="BP262" s="39"/>
      <c r="BQ262" s="39"/>
      <c r="BR262" s="39"/>
      <c r="BS262" s="39"/>
      <c r="BT262" s="39">
        <v>13</v>
      </c>
      <c r="BU262" s="39"/>
      <c r="BV262" s="39"/>
      <c r="BW262" s="39"/>
      <c r="BX262" s="39"/>
    </row>
    <row r="263" spans="1:79" ht="10.5" hidden="1" customHeight="1" x14ac:dyDescent="0.2">
      <c r="A263" s="86" t="s">
        <v>154</v>
      </c>
      <c r="B263" s="87"/>
      <c r="C263" s="87"/>
      <c r="D263" s="39" t="s">
        <v>57</v>
      </c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 t="s">
        <v>70</v>
      </c>
      <c r="R263" s="39"/>
      <c r="S263" s="39"/>
      <c r="T263" s="39"/>
      <c r="U263" s="39"/>
      <c r="V263" s="39" t="s">
        <v>71</v>
      </c>
      <c r="W263" s="39"/>
      <c r="X263" s="39"/>
      <c r="Y263" s="39"/>
      <c r="Z263" s="39"/>
      <c r="AA263" s="39"/>
      <c r="AB263" s="39"/>
      <c r="AC263" s="39"/>
      <c r="AD263" s="39"/>
      <c r="AE263" s="39"/>
      <c r="AF263" s="64" t="s">
        <v>111</v>
      </c>
      <c r="AG263" s="64"/>
      <c r="AH263" s="64"/>
      <c r="AI263" s="64"/>
      <c r="AJ263" s="64"/>
      <c r="AK263" s="62" t="s">
        <v>112</v>
      </c>
      <c r="AL263" s="62"/>
      <c r="AM263" s="62"/>
      <c r="AN263" s="62"/>
      <c r="AO263" s="62"/>
      <c r="AP263" s="82" t="s">
        <v>254</v>
      </c>
      <c r="AQ263" s="82"/>
      <c r="AR263" s="82"/>
      <c r="AS263" s="82"/>
      <c r="AT263" s="82"/>
      <c r="AU263" s="64" t="s">
        <v>113</v>
      </c>
      <c r="AV263" s="64"/>
      <c r="AW263" s="64"/>
      <c r="AX263" s="64"/>
      <c r="AY263" s="64"/>
      <c r="AZ263" s="62" t="s">
        <v>114</v>
      </c>
      <c r="BA263" s="62"/>
      <c r="BB263" s="62"/>
      <c r="BC263" s="62"/>
      <c r="BD263" s="62"/>
      <c r="BE263" s="82" t="s">
        <v>254</v>
      </c>
      <c r="BF263" s="82"/>
      <c r="BG263" s="82"/>
      <c r="BH263" s="82"/>
      <c r="BI263" s="82"/>
      <c r="BJ263" s="64" t="s">
        <v>105</v>
      </c>
      <c r="BK263" s="64"/>
      <c r="BL263" s="64"/>
      <c r="BM263" s="64"/>
      <c r="BN263" s="64"/>
      <c r="BO263" s="62" t="s">
        <v>106</v>
      </c>
      <c r="BP263" s="62"/>
      <c r="BQ263" s="62"/>
      <c r="BR263" s="62"/>
      <c r="BS263" s="62"/>
      <c r="BT263" s="82" t="s">
        <v>254</v>
      </c>
      <c r="BU263" s="82"/>
      <c r="BV263" s="82"/>
      <c r="BW263" s="82"/>
      <c r="BX263" s="82"/>
      <c r="CA263" t="s">
        <v>37</v>
      </c>
    </row>
    <row r="264" spans="1:79" s="5" customFormat="1" ht="15" customHeight="1" x14ac:dyDescent="0.2">
      <c r="A264" s="36">
        <v>0</v>
      </c>
      <c r="B264" s="37"/>
      <c r="C264" s="37"/>
      <c r="D264" s="41" t="s">
        <v>253</v>
      </c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CA264" s="5" t="s">
        <v>38</v>
      </c>
    </row>
    <row r="265" spans="1:79" s="4" customFormat="1" ht="15" customHeight="1" x14ac:dyDescent="0.2">
      <c r="A265" s="34">
        <v>1</v>
      </c>
      <c r="B265" s="35"/>
      <c r="C265" s="35"/>
      <c r="D265" s="38" t="s">
        <v>255</v>
      </c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1"/>
      <c r="Q265" s="39" t="s">
        <v>256</v>
      </c>
      <c r="R265" s="39"/>
      <c r="S265" s="39"/>
      <c r="T265" s="39"/>
      <c r="U265" s="39"/>
      <c r="V265" s="39" t="s">
        <v>257</v>
      </c>
      <c r="W265" s="39"/>
      <c r="X265" s="39"/>
      <c r="Y265" s="39"/>
      <c r="Z265" s="39"/>
      <c r="AA265" s="39"/>
      <c r="AB265" s="39"/>
      <c r="AC265" s="39"/>
      <c r="AD265" s="39"/>
      <c r="AE265" s="39"/>
      <c r="AF265" s="32">
        <v>65</v>
      </c>
      <c r="AG265" s="32"/>
      <c r="AH265" s="32"/>
      <c r="AI265" s="32"/>
      <c r="AJ265" s="32"/>
      <c r="AK265" s="32">
        <v>0</v>
      </c>
      <c r="AL265" s="32"/>
      <c r="AM265" s="32"/>
      <c r="AN265" s="32"/>
      <c r="AO265" s="32"/>
      <c r="AP265" s="32">
        <v>65</v>
      </c>
      <c r="AQ265" s="32"/>
      <c r="AR265" s="32"/>
      <c r="AS265" s="32"/>
      <c r="AT265" s="32"/>
      <c r="AU265" s="32">
        <v>61</v>
      </c>
      <c r="AV265" s="32"/>
      <c r="AW265" s="32"/>
      <c r="AX265" s="32"/>
      <c r="AY265" s="32"/>
      <c r="AZ265" s="32">
        <v>0</v>
      </c>
      <c r="BA265" s="32"/>
      <c r="BB265" s="32"/>
      <c r="BC265" s="32"/>
      <c r="BD265" s="32"/>
      <c r="BE265" s="32">
        <v>61</v>
      </c>
      <c r="BF265" s="32"/>
      <c r="BG265" s="32"/>
      <c r="BH265" s="32"/>
      <c r="BI265" s="32"/>
      <c r="BJ265" s="32">
        <v>61</v>
      </c>
      <c r="BK265" s="32"/>
      <c r="BL265" s="32"/>
      <c r="BM265" s="32"/>
      <c r="BN265" s="32"/>
      <c r="BO265" s="32">
        <v>0</v>
      </c>
      <c r="BP265" s="32"/>
      <c r="BQ265" s="32"/>
      <c r="BR265" s="32"/>
      <c r="BS265" s="32"/>
      <c r="BT265" s="32">
        <v>61</v>
      </c>
      <c r="BU265" s="32"/>
      <c r="BV265" s="32"/>
      <c r="BW265" s="32"/>
      <c r="BX265" s="32"/>
    </row>
    <row r="266" spans="1:79" s="5" customFormat="1" ht="15" customHeight="1" x14ac:dyDescent="0.2">
      <c r="A266" s="36">
        <v>0</v>
      </c>
      <c r="B266" s="37"/>
      <c r="C266" s="37"/>
      <c r="D266" s="40" t="s">
        <v>258</v>
      </c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5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</row>
    <row r="267" spans="1:79" s="4" customFormat="1" ht="28.5" customHeight="1" x14ac:dyDescent="0.2">
      <c r="A267" s="34">
        <v>1</v>
      </c>
      <c r="B267" s="35"/>
      <c r="C267" s="35"/>
      <c r="D267" s="38" t="s">
        <v>259</v>
      </c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1"/>
      <c r="Q267" s="39" t="s">
        <v>256</v>
      </c>
      <c r="R267" s="39"/>
      <c r="S267" s="39"/>
      <c r="T267" s="39"/>
      <c r="U267" s="39"/>
      <c r="V267" s="38" t="s">
        <v>260</v>
      </c>
      <c r="W267" s="30"/>
      <c r="X267" s="30"/>
      <c r="Y267" s="30"/>
      <c r="Z267" s="30"/>
      <c r="AA267" s="30"/>
      <c r="AB267" s="30"/>
      <c r="AC267" s="30"/>
      <c r="AD267" s="30"/>
      <c r="AE267" s="31"/>
      <c r="AF267" s="32">
        <v>6000</v>
      </c>
      <c r="AG267" s="32"/>
      <c r="AH267" s="32"/>
      <c r="AI267" s="32"/>
      <c r="AJ267" s="32"/>
      <c r="AK267" s="32">
        <v>0</v>
      </c>
      <c r="AL267" s="32"/>
      <c r="AM267" s="32"/>
      <c r="AN267" s="32"/>
      <c r="AO267" s="32"/>
      <c r="AP267" s="32">
        <v>6000</v>
      </c>
      <c r="AQ267" s="32"/>
      <c r="AR267" s="32"/>
      <c r="AS267" s="32"/>
      <c r="AT267" s="32"/>
      <c r="AU267" s="32">
        <v>6000</v>
      </c>
      <c r="AV267" s="32"/>
      <c r="AW267" s="32"/>
      <c r="AX267" s="32"/>
      <c r="AY267" s="32"/>
      <c r="AZ267" s="32">
        <v>0</v>
      </c>
      <c r="BA267" s="32"/>
      <c r="BB267" s="32"/>
      <c r="BC267" s="32"/>
      <c r="BD267" s="32"/>
      <c r="BE267" s="32">
        <v>6000</v>
      </c>
      <c r="BF267" s="32"/>
      <c r="BG267" s="32"/>
      <c r="BH267" s="32"/>
      <c r="BI267" s="32"/>
      <c r="BJ267" s="32">
        <v>6500</v>
      </c>
      <c r="BK267" s="32"/>
      <c r="BL267" s="32"/>
      <c r="BM267" s="32"/>
      <c r="BN267" s="32"/>
      <c r="BO267" s="32">
        <v>0</v>
      </c>
      <c r="BP267" s="32"/>
      <c r="BQ267" s="32"/>
      <c r="BR267" s="32"/>
      <c r="BS267" s="32"/>
      <c r="BT267" s="32">
        <v>6500</v>
      </c>
      <c r="BU267" s="32"/>
      <c r="BV267" s="32"/>
      <c r="BW267" s="32"/>
      <c r="BX267" s="32"/>
    </row>
    <row r="268" spans="1:79" s="4" customFormat="1" ht="45" customHeight="1" x14ac:dyDescent="0.2">
      <c r="A268" s="34">
        <v>2</v>
      </c>
      <c r="B268" s="35"/>
      <c r="C268" s="35"/>
      <c r="D268" s="38" t="s">
        <v>261</v>
      </c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1"/>
      <c r="Q268" s="39" t="s">
        <v>256</v>
      </c>
      <c r="R268" s="39"/>
      <c r="S268" s="39"/>
      <c r="T268" s="39"/>
      <c r="U268" s="39"/>
      <c r="V268" s="38" t="s">
        <v>262</v>
      </c>
      <c r="W268" s="30"/>
      <c r="X268" s="30"/>
      <c r="Y268" s="30"/>
      <c r="Z268" s="30"/>
      <c r="AA268" s="30"/>
      <c r="AB268" s="30"/>
      <c r="AC268" s="30"/>
      <c r="AD268" s="30"/>
      <c r="AE268" s="31"/>
      <c r="AF268" s="32">
        <v>700</v>
      </c>
      <c r="AG268" s="32"/>
      <c r="AH268" s="32"/>
      <c r="AI268" s="32"/>
      <c r="AJ268" s="32"/>
      <c r="AK268" s="32">
        <v>0</v>
      </c>
      <c r="AL268" s="32"/>
      <c r="AM268" s="32"/>
      <c r="AN268" s="32"/>
      <c r="AO268" s="32"/>
      <c r="AP268" s="32">
        <v>700</v>
      </c>
      <c r="AQ268" s="32"/>
      <c r="AR268" s="32"/>
      <c r="AS268" s="32"/>
      <c r="AT268" s="32"/>
      <c r="AU268" s="32">
        <v>700</v>
      </c>
      <c r="AV268" s="32"/>
      <c r="AW268" s="32"/>
      <c r="AX268" s="32"/>
      <c r="AY268" s="32"/>
      <c r="AZ268" s="32">
        <v>0</v>
      </c>
      <c r="BA268" s="32"/>
      <c r="BB268" s="32"/>
      <c r="BC268" s="32"/>
      <c r="BD268" s="32"/>
      <c r="BE268" s="32">
        <v>700</v>
      </c>
      <c r="BF268" s="32"/>
      <c r="BG268" s="32"/>
      <c r="BH268" s="32"/>
      <c r="BI268" s="32"/>
      <c r="BJ268" s="32">
        <v>700</v>
      </c>
      <c r="BK268" s="32"/>
      <c r="BL268" s="32"/>
      <c r="BM268" s="32"/>
      <c r="BN268" s="32"/>
      <c r="BO268" s="32">
        <v>0</v>
      </c>
      <c r="BP268" s="32"/>
      <c r="BQ268" s="32"/>
      <c r="BR268" s="32"/>
      <c r="BS268" s="32"/>
      <c r="BT268" s="32">
        <v>700</v>
      </c>
      <c r="BU268" s="32"/>
      <c r="BV268" s="32"/>
      <c r="BW268" s="32"/>
      <c r="BX268" s="32"/>
    </row>
    <row r="269" spans="1:79" s="5" customFormat="1" ht="15" customHeight="1" x14ac:dyDescent="0.2">
      <c r="A269" s="36">
        <v>0</v>
      </c>
      <c r="B269" s="37"/>
      <c r="C269" s="37"/>
      <c r="D269" s="40" t="s">
        <v>263</v>
      </c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5"/>
      <c r="Q269" s="41"/>
      <c r="R269" s="41"/>
      <c r="S269" s="41"/>
      <c r="T269" s="41"/>
      <c r="U269" s="41"/>
      <c r="V269" s="40"/>
      <c r="W269" s="24"/>
      <c r="X269" s="24"/>
      <c r="Y269" s="24"/>
      <c r="Z269" s="24"/>
      <c r="AA269" s="24"/>
      <c r="AB269" s="24"/>
      <c r="AC269" s="24"/>
      <c r="AD269" s="24"/>
      <c r="AE269" s="25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</row>
    <row r="270" spans="1:79" s="4" customFormat="1" ht="42.75" customHeight="1" x14ac:dyDescent="0.2">
      <c r="A270" s="34">
        <v>1</v>
      </c>
      <c r="B270" s="35"/>
      <c r="C270" s="35"/>
      <c r="D270" s="38" t="s">
        <v>264</v>
      </c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1"/>
      <c r="Q270" s="39" t="s">
        <v>256</v>
      </c>
      <c r="R270" s="39"/>
      <c r="S270" s="39"/>
      <c r="T270" s="39"/>
      <c r="U270" s="39"/>
      <c r="V270" s="38" t="s">
        <v>265</v>
      </c>
      <c r="W270" s="30"/>
      <c r="X270" s="30"/>
      <c r="Y270" s="30"/>
      <c r="Z270" s="30"/>
      <c r="AA270" s="30"/>
      <c r="AB270" s="30"/>
      <c r="AC270" s="30"/>
      <c r="AD270" s="30"/>
      <c r="AE270" s="31"/>
      <c r="AF270" s="32">
        <v>87</v>
      </c>
      <c r="AG270" s="32"/>
      <c r="AH270" s="32"/>
      <c r="AI270" s="32"/>
      <c r="AJ270" s="32"/>
      <c r="AK270" s="32">
        <v>0</v>
      </c>
      <c r="AL270" s="32"/>
      <c r="AM270" s="32"/>
      <c r="AN270" s="32"/>
      <c r="AO270" s="32"/>
      <c r="AP270" s="32">
        <v>87</v>
      </c>
      <c r="AQ270" s="32"/>
      <c r="AR270" s="32"/>
      <c r="AS270" s="32"/>
      <c r="AT270" s="32"/>
      <c r="AU270" s="32">
        <v>95</v>
      </c>
      <c r="AV270" s="32"/>
      <c r="AW270" s="32"/>
      <c r="AX270" s="32"/>
      <c r="AY270" s="32"/>
      <c r="AZ270" s="32">
        <v>0</v>
      </c>
      <c r="BA270" s="32"/>
      <c r="BB270" s="32"/>
      <c r="BC270" s="32"/>
      <c r="BD270" s="32"/>
      <c r="BE270" s="32">
        <v>95</v>
      </c>
      <c r="BF270" s="32"/>
      <c r="BG270" s="32"/>
      <c r="BH270" s="32"/>
      <c r="BI270" s="32"/>
      <c r="BJ270" s="32">
        <v>112</v>
      </c>
      <c r="BK270" s="32"/>
      <c r="BL270" s="32"/>
      <c r="BM270" s="32"/>
      <c r="BN270" s="32"/>
      <c r="BO270" s="32">
        <v>0</v>
      </c>
      <c r="BP270" s="32"/>
      <c r="BQ270" s="32"/>
      <c r="BR270" s="32"/>
      <c r="BS270" s="32"/>
      <c r="BT270" s="32">
        <v>112</v>
      </c>
      <c r="BU270" s="32"/>
      <c r="BV270" s="32"/>
      <c r="BW270" s="32"/>
      <c r="BX270" s="32"/>
    </row>
    <row r="271" spans="1:79" s="4" customFormat="1" ht="45" customHeight="1" x14ac:dyDescent="0.2">
      <c r="A271" s="34">
        <v>2</v>
      </c>
      <c r="B271" s="35"/>
      <c r="C271" s="35"/>
      <c r="D271" s="38" t="s">
        <v>266</v>
      </c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1"/>
      <c r="Q271" s="39" t="s">
        <v>256</v>
      </c>
      <c r="R271" s="39"/>
      <c r="S271" s="39"/>
      <c r="T271" s="39"/>
      <c r="U271" s="39"/>
      <c r="V271" s="38" t="s">
        <v>265</v>
      </c>
      <c r="W271" s="30"/>
      <c r="X271" s="30"/>
      <c r="Y271" s="30"/>
      <c r="Z271" s="30"/>
      <c r="AA271" s="30"/>
      <c r="AB271" s="30"/>
      <c r="AC271" s="30"/>
      <c r="AD271" s="30"/>
      <c r="AE271" s="31"/>
      <c r="AF271" s="32">
        <v>10</v>
      </c>
      <c r="AG271" s="32"/>
      <c r="AH271" s="32"/>
      <c r="AI271" s="32"/>
      <c r="AJ271" s="32"/>
      <c r="AK271" s="32">
        <v>0</v>
      </c>
      <c r="AL271" s="32"/>
      <c r="AM271" s="32"/>
      <c r="AN271" s="32"/>
      <c r="AO271" s="32"/>
      <c r="AP271" s="32">
        <v>10</v>
      </c>
      <c r="AQ271" s="32"/>
      <c r="AR271" s="32"/>
      <c r="AS271" s="32"/>
      <c r="AT271" s="32"/>
      <c r="AU271" s="32">
        <v>25</v>
      </c>
      <c r="AV271" s="32"/>
      <c r="AW271" s="32"/>
      <c r="AX271" s="32"/>
      <c r="AY271" s="32"/>
      <c r="AZ271" s="32">
        <v>0</v>
      </c>
      <c r="BA271" s="32"/>
      <c r="BB271" s="32"/>
      <c r="BC271" s="32"/>
      <c r="BD271" s="32"/>
      <c r="BE271" s="32">
        <v>25</v>
      </c>
      <c r="BF271" s="32"/>
      <c r="BG271" s="32"/>
      <c r="BH271" s="32"/>
      <c r="BI271" s="32"/>
      <c r="BJ271" s="32">
        <v>12</v>
      </c>
      <c r="BK271" s="32"/>
      <c r="BL271" s="32"/>
      <c r="BM271" s="32"/>
      <c r="BN271" s="32"/>
      <c r="BO271" s="32">
        <v>0</v>
      </c>
      <c r="BP271" s="32"/>
      <c r="BQ271" s="32"/>
      <c r="BR271" s="32"/>
      <c r="BS271" s="32"/>
      <c r="BT271" s="32">
        <v>12</v>
      </c>
      <c r="BU271" s="32"/>
      <c r="BV271" s="32"/>
      <c r="BW271" s="32"/>
      <c r="BX271" s="32"/>
    </row>
    <row r="272" spans="1:79" s="4" customFormat="1" ht="30" customHeight="1" x14ac:dyDescent="0.2">
      <c r="A272" s="34">
        <v>3</v>
      </c>
      <c r="B272" s="35"/>
      <c r="C272" s="35"/>
      <c r="D272" s="38" t="s">
        <v>267</v>
      </c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1"/>
      <c r="Q272" s="39" t="s">
        <v>268</v>
      </c>
      <c r="R272" s="39"/>
      <c r="S272" s="39"/>
      <c r="T272" s="39"/>
      <c r="U272" s="39"/>
      <c r="V272" s="38" t="s">
        <v>265</v>
      </c>
      <c r="W272" s="30"/>
      <c r="X272" s="30"/>
      <c r="Y272" s="30"/>
      <c r="Z272" s="30"/>
      <c r="AA272" s="30"/>
      <c r="AB272" s="30"/>
      <c r="AC272" s="30"/>
      <c r="AD272" s="30"/>
      <c r="AE272" s="31"/>
      <c r="AF272" s="32">
        <v>280177</v>
      </c>
      <c r="AG272" s="32"/>
      <c r="AH272" s="32"/>
      <c r="AI272" s="32"/>
      <c r="AJ272" s="32"/>
      <c r="AK272" s="32">
        <v>0</v>
      </c>
      <c r="AL272" s="32"/>
      <c r="AM272" s="32"/>
      <c r="AN272" s="32"/>
      <c r="AO272" s="32"/>
      <c r="AP272" s="32">
        <v>280177</v>
      </c>
      <c r="AQ272" s="32"/>
      <c r="AR272" s="32"/>
      <c r="AS272" s="32"/>
      <c r="AT272" s="32"/>
      <c r="AU272" s="32">
        <v>558188</v>
      </c>
      <c r="AV272" s="32"/>
      <c r="AW272" s="32"/>
      <c r="AX272" s="32"/>
      <c r="AY272" s="32"/>
      <c r="AZ272" s="32">
        <v>0</v>
      </c>
      <c r="BA272" s="32"/>
      <c r="BB272" s="32"/>
      <c r="BC272" s="32"/>
      <c r="BD272" s="32"/>
      <c r="BE272" s="32">
        <v>558188</v>
      </c>
      <c r="BF272" s="32"/>
      <c r="BG272" s="32"/>
      <c r="BH272" s="32"/>
      <c r="BI272" s="32"/>
      <c r="BJ272" s="32">
        <v>428880</v>
      </c>
      <c r="BK272" s="32"/>
      <c r="BL272" s="32"/>
      <c r="BM272" s="32"/>
      <c r="BN272" s="32"/>
      <c r="BO272" s="32">
        <v>0</v>
      </c>
      <c r="BP272" s="32"/>
      <c r="BQ272" s="32"/>
      <c r="BR272" s="32"/>
      <c r="BS272" s="32"/>
      <c r="BT272" s="32">
        <v>428880</v>
      </c>
      <c r="BU272" s="32"/>
      <c r="BV272" s="32"/>
      <c r="BW272" s="32"/>
      <c r="BX272" s="32"/>
    </row>
    <row r="273" spans="1:79" s="5" customFormat="1" ht="15" customHeight="1" x14ac:dyDescent="0.2">
      <c r="A273" s="36">
        <v>0</v>
      </c>
      <c r="B273" s="37"/>
      <c r="C273" s="37"/>
      <c r="D273" s="40" t="s">
        <v>269</v>
      </c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5"/>
      <c r="Q273" s="41"/>
      <c r="R273" s="41"/>
      <c r="S273" s="41"/>
      <c r="T273" s="41"/>
      <c r="U273" s="41"/>
      <c r="V273" s="40"/>
      <c r="W273" s="24"/>
      <c r="X273" s="24"/>
      <c r="Y273" s="24"/>
      <c r="Z273" s="24"/>
      <c r="AA273" s="24"/>
      <c r="AB273" s="24"/>
      <c r="AC273" s="24"/>
      <c r="AD273" s="24"/>
      <c r="AE273" s="25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</row>
    <row r="274" spans="1:79" s="4" customFormat="1" ht="42.75" customHeight="1" x14ac:dyDescent="0.2">
      <c r="A274" s="34">
        <v>1</v>
      </c>
      <c r="B274" s="35"/>
      <c r="C274" s="35"/>
      <c r="D274" s="38" t="s">
        <v>270</v>
      </c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1"/>
      <c r="Q274" s="39" t="s">
        <v>271</v>
      </c>
      <c r="R274" s="39"/>
      <c r="S274" s="39"/>
      <c r="T274" s="39"/>
      <c r="U274" s="39"/>
      <c r="V274" s="38" t="s">
        <v>272</v>
      </c>
      <c r="W274" s="30"/>
      <c r="X274" s="30"/>
      <c r="Y274" s="30"/>
      <c r="Z274" s="30"/>
      <c r="AA274" s="30"/>
      <c r="AB274" s="30"/>
      <c r="AC274" s="30"/>
      <c r="AD274" s="30"/>
      <c r="AE274" s="31"/>
      <c r="AF274" s="32">
        <v>100</v>
      </c>
      <c r="AG274" s="32"/>
      <c r="AH274" s="32"/>
      <c r="AI274" s="32"/>
      <c r="AJ274" s="32"/>
      <c r="AK274" s="32">
        <v>0</v>
      </c>
      <c r="AL274" s="32"/>
      <c r="AM274" s="32"/>
      <c r="AN274" s="32"/>
      <c r="AO274" s="32"/>
      <c r="AP274" s="32">
        <v>100</v>
      </c>
      <c r="AQ274" s="32"/>
      <c r="AR274" s="32"/>
      <c r="AS274" s="32"/>
      <c r="AT274" s="32"/>
      <c r="AU274" s="32">
        <v>100</v>
      </c>
      <c r="AV274" s="32"/>
      <c r="AW274" s="32"/>
      <c r="AX274" s="32"/>
      <c r="AY274" s="32"/>
      <c r="AZ274" s="32">
        <v>0</v>
      </c>
      <c r="BA274" s="32"/>
      <c r="BB274" s="32"/>
      <c r="BC274" s="32"/>
      <c r="BD274" s="32"/>
      <c r="BE274" s="32">
        <v>100</v>
      </c>
      <c r="BF274" s="32"/>
      <c r="BG274" s="32"/>
      <c r="BH274" s="32"/>
      <c r="BI274" s="32"/>
      <c r="BJ274" s="32">
        <v>100</v>
      </c>
      <c r="BK274" s="32"/>
      <c r="BL274" s="32"/>
      <c r="BM274" s="32"/>
      <c r="BN274" s="32"/>
      <c r="BO274" s="32">
        <v>0</v>
      </c>
      <c r="BP274" s="32"/>
      <c r="BQ274" s="32"/>
      <c r="BR274" s="32"/>
      <c r="BS274" s="32"/>
      <c r="BT274" s="32">
        <v>100</v>
      </c>
      <c r="BU274" s="32"/>
      <c r="BV274" s="32"/>
      <c r="BW274" s="32"/>
      <c r="BX274" s="32"/>
    </row>
    <row r="276" spans="1:79" ht="14.25" customHeight="1" x14ac:dyDescent="0.2">
      <c r="A276" s="60" t="s">
        <v>326</v>
      </c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</row>
    <row r="277" spans="1:79" ht="15.75" customHeight="1" x14ac:dyDescent="0.2">
      <c r="A277" s="76" t="s">
        <v>6</v>
      </c>
      <c r="B277" s="77"/>
      <c r="C277" s="77"/>
      <c r="D277" s="39" t="s">
        <v>9</v>
      </c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 t="s">
        <v>8</v>
      </c>
      <c r="R277" s="39"/>
      <c r="S277" s="39"/>
      <c r="T277" s="39"/>
      <c r="U277" s="39"/>
      <c r="V277" s="39" t="s">
        <v>7</v>
      </c>
      <c r="W277" s="39"/>
      <c r="X277" s="39"/>
      <c r="Y277" s="39"/>
      <c r="Z277" s="39"/>
      <c r="AA277" s="39"/>
      <c r="AB277" s="39"/>
      <c r="AC277" s="39"/>
      <c r="AD277" s="39"/>
      <c r="AE277" s="39"/>
      <c r="AF277" s="72" t="s">
        <v>317</v>
      </c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4"/>
      <c r="AU277" s="72" t="s">
        <v>322</v>
      </c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4"/>
    </row>
    <row r="278" spans="1:79" ht="28.5" customHeight="1" x14ac:dyDescent="0.2">
      <c r="A278" s="79"/>
      <c r="B278" s="80"/>
      <c r="C278" s="80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 t="s">
        <v>4</v>
      </c>
      <c r="AG278" s="39"/>
      <c r="AH278" s="39"/>
      <c r="AI278" s="39"/>
      <c r="AJ278" s="39"/>
      <c r="AK278" s="39" t="s">
        <v>3</v>
      </c>
      <c r="AL278" s="39"/>
      <c r="AM278" s="39"/>
      <c r="AN278" s="39"/>
      <c r="AO278" s="39"/>
      <c r="AP278" s="39" t="s">
        <v>123</v>
      </c>
      <c r="AQ278" s="39"/>
      <c r="AR278" s="39"/>
      <c r="AS278" s="39"/>
      <c r="AT278" s="39"/>
      <c r="AU278" s="39" t="s">
        <v>4</v>
      </c>
      <c r="AV278" s="39"/>
      <c r="AW278" s="39"/>
      <c r="AX278" s="39"/>
      <c r="AY278" s="39"/>
      <c r="AZ278" s="39" t="s">
        <v>3</v>
      </c>
      <c r="BA278" s="39"/>
      <c r="BB278" s="39"/>
      <c r="BC278" s="39"/>
      <c r="BD278" s="39"/>
      <c r="BE278" s="39" t="s">
        <v>90</v>
      </c>
      <c r="BF278" s="39"/>
      <c r="BG278" s="39"/>
      <c r="BH278" s="39"/>
      <c r="BI278" s="39"/>
    </row>
    <row r="279" spans="1:79" ht="15" customHeight="1" x14ac:dyDescent="0.2">
      <c r="A279" s="72">
        <v>1</v>
      </c>
      <c r="B279" s="73"/>
      <c r="C279" s="73"/>
      <c r="D279" s="39">
        <v>2</v>
      </c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>
        <v>3</v>
      </c>
      <c r="R279" s="39"/>
      <c r="S279" s="39"/>
      <c r="T279" s="39"/>
      <c r="U279" s="39"/>
      <c r="V279" s="39">
        <v>4</v>
      </c>
      <c r="W279" s="39"/>
      <c r="X279" s="39"/>
      <c r="Y279" s="39"/>
      <c r="Z279" s="39"/>
      <c r="AA279" s="39"/>
      <c r="AB279" s="39"/>
      <c r="AC279" s="39"/>
      <c r="AD279" s="39"/>
      <c r="AE279" s="39"/>
      <c r="AF279" s="39">
        <v>5</v>
      </c>
      <c r="AG279" s="39"/>
      <c r="AH279" s="39"/>
      <c r="AI279" s="39"/>
      <c r="AJ279" s="39"/>
      <c r="AK279" s="39">
        <v>6</v>
      </c>
      <c r="AL279" s="39"/>
      <c r="AM279" s="39"/>
      <c r="AN279" s="39"/>
      <c r="AO279" s="39"/>
      <c r="AP279" s="39">
        <v>7</v>
      </c>
      <c r="AQ279" s="39"/>
      <c r="AR279" s="39"/>
      <c r="AS279" s="39"/>
      <c r="AT279" s="39"/>
      <c r="AU279" s="39">
        <v>8</v>
      </c>
      <c r="AV279" s="39"/>
      <c r="AW279" s="39"/>
      <c r="AX279" s="39"/>
      <c r="AY279" s="39"/>
      <c r="AZ279" s="39">
        <v>9</v>
      </c>
      <c r="BA279" s="39"/>
      <c r="BB279" s="39"/>
      <c r="BC279" s="39"/>
      <c r="BD279" s="39"/>
      <c r="BE279" s="39">
        <v>10</v>
      </c>
      <c r="BF279" s="39"/>
      <c r="BG279" s="39"/>
      <c r="BH279" s="39"/>
      <c r="BI279" s="39"/>
    </row>
    <row r="280" spans="1:79" ht="15.75" hidden="1" customHeight="1" x14ac:dyDescent="0.2">
      <c r="A280" s="86" t="s">
        <v>154</v>
      </c>
      <c r="B280" s="87"/>
      <c r="C280" s="87"/>
      <c r="D280" s="39" t="s">
        <v>57</v>
      </c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 t="s">
        <v>70</v>
      </c>
      <c r="R280" s="39"/>
      <c r="S280" s="39"/>
      <c r="T280" s="39"/>
      <c r="U280" s="39"/>
      <c r="V280" s="39" t="s">
        <v>71</v>
      </c>
      <c r="W280" s="39"/>
      <c r="X280" s="39"/>
      <c r="Y280" s="39"/>
      <c r="Z280" s="39"/>
      <c r="AA280" s="39"/>
      <c r="AB280" s="39"/>
      <c r="AC280" s="39"/>
      <c r="AD280" s="39"/>
      <c r="AE280" s="39"/>
      <c r="AF280" s="64" t="s">
        <v>107</v>
      </c>
      <c r="AG280" s="64"/>
      <c r="AH280" s="64"/>
      <c r="AI280" s="64"/>
      <c r="AJ280" s="64"/>
      <c r="AK280" s="62" t="s">
        <v>108</v>
      </c>
      <c r="AL280" s="62"/>
      <c r="AM280" s="62"/>
      <c r="AN280" s="62"/>
      <c r="AO280" s="62"/>
      <c r="AP280" s="82" t="s">
        <v>254</v>
      </c>
      <c r="AQ280" s="82"/>
      <c r="AR280" s="82"/>
      <c r="AS280" s="82"/>
      <c r="AT280" s="82"/>
      <c r="AU280" s="64" t="s">
        <v>109</v>
      </c>
      <c r="AV280" s="64"/>
      <c r="AW280" s="64"/>
      <c r="AX280" s="64"/>
      <c r="AY280" s="64"/>
      <c r="AZ280" s="62" t="s">
        <v>110</v>
      </c>
      <c r="BA280" s="62"/>
      <c r="BB280" s="62"/>
      <c r="BC280" s="62"/>
      <c r="BD280" s="62"/>
      <c r="BE280" s="82" t="s">
        <v>254</v>
      </c>
      <c r="BF280" s="82"/>
      <c r="BG280" s="82"/>
      <c r="BH280" s="82"/>
      <c r="BI280" s="82"/>
      <c r="CA280" t="s">
        <v>39</v>
      </c>
    </row>
    <row r="281" spans="1:79" s="5" customFormat="1" ht="14.25" x14ac:dyDescent="0.2">
      <c r="A281" s="36">
        <v>0</v>
      </c>
      <c r="B281" s="37"/>
      <c r="C281" s="37"/>
      <c r="D281" s="41" t="s">
        <v>253</v>
      </c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CA281" s="5" t="s">
        <v>40</v>
      </c>
    </row>
    <row r="282" spans="1:79" s="4" customFormat="1" ht="14.25" customHeight="1" x14ac:dyDescent="0.2">
      <c r="A282" s="34">
        <v>1</v>
      </c>
      <c r="B282" s="35"/>
      <c r="C282" s="35"/>
      <c r="D282" s="38" t="s">
        <v>255</v>
      </c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1"/>
      <c r="Q282" s="39" t="s">
        <v>256</v>
      </c>
      <c r="R282" s="39"/>
      <c r="S282" s="39"/>
      <c r="T282" s="39"/>
      <c r="U282" s="39"/>
      <c r="V282" s="39" t="s">
        <v>257</v>
      </c>
      <c r="W282" s="39"/>
      <c r="X282" s="39"/>
      <c r="Y282" s="39"/>
      <c r="Z282" s="39"/>
      <c r="AA282" s="39"/>
      <c r="AB282" s="39"/>
      <c r="AC282" s="39"/>
      <c r="AD282" s="39"/>
      <c r="AE282" s="39"/>
      <c r="AF282" s="32">
        <v>61</v>
      </c>
      <c r="AG282" s="32"/>
      <c r="AH282" s="32"/>
      <c r="AI282" s="32"/>
      <c r="AJ282" s="32"/>
      <c r="AK282" s="32">
        <v>0</v>
      </c>
      <c r="AL282" s="32"/>
      <c r="AM282" s="32"/>
      <c r="AN282" s="32"/>
      <c r="AO282" s="32"/>
      <c r="AP282" s="32">
        <v>61</v>
      </c>
      <c r="AQ282" s="32"/>
      <c r="AR282" s="32"/>
      <c r="AS282" s="32"/>
      <c r="AT282" s="32"/>
      <c r="AU282" s="32">
        <v>61</v>
      </c>
      <c r="AV282" s="32"/>
      <c r="AW282" s="32"/>
      <c r="AX282" s="32"/>
      <c r="AY282" s="32"/>
      <c r="AZ282" s="32">
        <v>0</v>
      </c>
      <c r="BA282" s="32"/>
      <c r="BB282" s="32"/>
      <c r="BC282" s="32"/>
      <c r="BD282" s="32"/>
      <c r="BE282" s="32">
        <v>61</v>
      </c>
      <c r="BF282" s="32"/>
      <c r="BG282" s="32"/>
      <c r="BH282" s="32"/>
      <c r="BI282" s="32"/>
    </row>
    <row r="283" spans="1:79" s="5" customFormat="1" ht="14.25" x14ac:dyDescent="0.2">
      <c r="A283" s="36">
        <v>0</v>
      </c>
      <c r="B283" s="37"/>
      <c r="C283" s="37"/>
      <c r="D283" s="40" t="s">
        <v>258</v>
      </c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5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</row>
    <row r="284" spans="1:79" s="4" customFormat="1" ht="28.5" customHeight="1" x14ac:dyDescent="0.2">
      <c r="A284" s="34">
        <v>1</v>
      </c>
      <c r="B284" s="35"/>
      <c r="C284" s="35"/>
      <c r="D284" s="38" t="s">
        <v>259</v>
      </c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1"/>
      <c r="Q284" s="39" t="s">
        <v>256</v>
      </c>
      <c r="R284" s="39"/>
      <c r="S284" s="39"/>
      <c r="T284" s="39"/>
      <c r="U284" s="39"/>
      <c r="V284" s="38" t="s">
        <v>260</v>
      </c>
      <c r="W284" s="30"/>
      <c r="X284" s="30"/>
      <c r="Y284" s="30"/>
      <c r="Z284" s="30"/>
      <c r="AA284" s="30"/>
      <c r="AB284" s="30"/>
      <c r="AC284" s="30"/>
      <c r="AD284" s="30"/>
      <c r="AE284" s="31"/>
      <c r="AF284" s="32">
        <v>6500</v>
      </c>
      <c r="AG284" s="32"/>
      <c r="AH284" s="32"/>
      <c r="AI284" s="32"/>
      <c r="AJ284" s="32"/>
      <c r="AK284" s="32">
        <v>0</v>
      </c>
      <c r="AL284" s="32"/>
      <c r="AM284" s="32"/>
      <c r="AN284" s="32"/>
      <c r="AO284" s="32"/>
      <c r="AP284" s="32">
        <v>6500</v>
      </c>
      <c r="AQ284" s="32"/>
      <c r="AR284" s="32"/>
      <c r="AS284" s="32"/>
      <c r="AT284" s="32"/>
      <c r="AU284" s="32">
        <v>6500</v>
      </c>
      <c r="AV284" s="32"/>
      <c r="AW284" s="32"/>
      <c r="AX284" s="32"/>
      <c r="AY284" s="32"/>
      <c r="AZ284" s="32">
        <v>0</v>
      </c>
      <c r="BA284" s="32"/>
      <c r="BB284" s="32"/>
      <c r="BC284" s="32"/>
      <c r="BD284" s="32"/>
      <c r="BE284" s="32">
        <v>6500</v>
      </c>
      <c r="BF284" s="32"/>
      <c r="BG284" s="32"/>
      <c r="BH284" s="32"/>
      <c r="BI284" s="32"/>
    </row>
    <row r="285" spans="1:79" s="4" customFormat="1" ht="40.5" customHeight="1" x14ac:dyDescent="0.2">
      <c r="A285" s="34">
        <v>2</v>
      </c>
      <c r="B285" s="35"/>
      <c r="C285" s="35"/>
      <c r="D285" s="38" t="s">
        <v>261</v>
      </c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1"/>
      <c r="Q285" s="39" t="s">
        <v>256</v>
      </c>
      <c r="R285" s="39"/>
      <c r="S285" s="39"/>
      <c r="T285" s="39"/>
      <c r="U285" s="39"/>
      <c r="V285" s="38" t="s">
        <v>262</v>
      </c>
      <c r="W285" s="30"/>
      <c r="X285" s="30"/>
      <c r="Y285" s="30"/>
      <c r="Z285" s="30"/>
      <c r="AA285" s="30"/>
      <c r="AB285" s="30"/>
      <c r="AC285" s="30"/>
      <c r="AD285" s="30"/>
      <c r="AE285" s="31"/>
      <c r="AF285" s="32">
        <v>700</v>
      </c>
      <c r="AG285" s="32"/>
      <c r="AH285" s="32"/>
      <c r="AI285" s="32"/>
      <c r="AJ285" s="32"/>
      <c r="AK285" s="32">
        <v>0</v>
      </c>
      <c r="AL285" s="32"/>
      <c r="AM285" s="32"/>
      <c r="AN285" s="32"/>
      <c r="AO285" s="32"/>
      <c r="AP285" s="32">
        <v>700</v>
      </c>
      <c r="AQ285" s="32"/>
      <c r="AR285" s="32"/>
      <c r="AS285" s="32"/>
      <c r="AT285" s="32"/>
      <c r="AU285" s="32">
        <v>700</v>
      </c>
      <c r="AV285" s="32"/>
      <c r="AW285" s="32"/>
      <c r="AX285" s="32"/>
      <c r="AY285" s="32"/>
      <c r="AZ285" s="32">
        <v>0</v>
      </c>
      <c r="BA285" s="32"/>
      <c r="BB285" s="32"/>
      <c r="BC285" s="32"/>
      <c r="BD285" s="32"/>
      <c r="BE285" s="32">
        <v>700</v>
      </c>
      <c r="BF285" s="32"/>
      <c r="BG285" s="32"/>
      <c r="BH285" s="32"/>
      <c r="BI285" s="32"/>
    </row>
    <row r="286" spans="1:79" s="5" customFormat="1" ht="14.25" x14ac:dyDescent="0.2">
      <c r="A286" s="36">
        <v>0</v>
      </c>
      <c r="B286" s="37"/>
      <c r="C286" s="37"/>
      <c r="D286" s="40" t="s">
        <v>263</v>
      </c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5"/>
      <c r="Q286" s="41"/>
      <c r="R286" s="41"/>
      <c r="S286" s="41"/>
      <c r="T286" s="41"/>
      <c r="U286" s="41"/>
      <c r="V286" s="40"/>
      <c r="W286" s="24"/>
      <c r="X286" s="24"/>
      <c r="Y286" s="24"/>
      <c r="Z286" s="24"/>
      <c r="AA286" s="24"/>
      <c r="AB286" s="24"/>
      <c r="AC286" s="24"/>
      <c r="AD286" s="24"/>
      <c r="AE286" s="25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</row>
    <row r="287" spans="1:79" s="4" customFormat="1" ht="42.75" customHeight="1" x14ac:dyDescent="0.2">
      <c r="A287" s="34">
        <v>1</v>
      </c>
      <c r="B287" s="35"/>
      <c r="C287" s="35"/>
      <c r="D287" s="38" t="s">
        <v>264</v>
      </c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1"/>
      <c r="Q287" s="39" t="s">
        <v>256</v>
      </c>
      <c r="R287" s="39"/>
      <c r="S287" s="39"/>
      <c r="T287" s="39"/>
      <c r="U287" s="39"/>
      <c r="V287" s="38" t="s">
        <v>265</v>
      </c>
      <c r="W287" s="30"/>
      <c r="X287" s="30"/>
      <c r="Y287" s="30"/>
      <c r="Z287" s="30"/>
      <c r="AA287" s="30"/>
      <c r="AB287" s="30"/>
      <c r="AC287" s="30"/>
      <c r="AD287" s="30"/>
      <c r="AE287" s="31"/>
      <c r="AF287" s="32">
        <v>112</v>
      </c>
      <c r="AG287" s="32"/>
      <c r="AH287" s="32"/>
      <c r="AI287" s="32"/>
      <c r="AJ287" s="32"/>
      <c r="AK287" s="32">
        <v>0</v>
      </c>
      <c r="AL287" s="32"/>
      <c r="AM287" s="32"/>
      <c r="AN287" s="32"/>
      <c r="AO287" s="32"/>
      <c r="AP287" s="32">
        <v>112</v>
      </c>
      <c r="AQ287" s="32"/>
      <c r="AR287" s="32"/>
      <c r="AS287" s="32"/>
      <c r="AT287" s="32"/>
      <c r="AU287" s="32">
        <v>112</v>
      </c>
      <c r="AV287" s="32"/>
      <c r="AW287" s="32"/>
      <c r="AX287" s="32"/>
      <c r="AY287" s="32"/>
      <c r="AZ287" s="32">
        <v>0</v>
      </c>
      <c r="BA287" s="32"/>
      <c r="BB287" s="32"/>
      <c r="BC287" s="32"/>
      <c r="BD287" s="32"/>
      <c r="BE287" s="32">
        <v>112</v>
      </c>
      <c r="BF287" s="32"/>
      <c r="BG287" s="32"/>
      <c r="BH287" s="32"/>
      <c r="BI287" s="32"/>
    </row>
    <row r="288" spans="1:79" s="4" customFormat="1" ht="45" customHeight="1" x14ac:dyDescent="0.2">
      <c r="A288" s="34">
        <v>2</v>
      </c>
      <c r="B288" s="35"/>
      <c r="C288" s="35"/>
      <c r="D288" s="38" t="s">
        <v>266</v>
      </c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1"/>
      <c r="Q288" s="39" t="s">
        <v>256</v>
      </c>
      <c r="R288" s="39"/>
      <c r="S288" s="39"/>
      <c r="T288" s="39"/>
      <c r="U288" s="39"/>
      <c r="V288" s="38" t="s">
        <v>265</v>
      </c>
      <c r="W288" s="30"/>
      <c r="X288" s="30"/>
      <c r="Y288" s="30"/>
      <c r="Z288" s="30"/>
      <c r="AA288" s="30"/>
      <c r="AB288" s="30"/>
      <c r="AC288" s="30"/>
      <c r="AD288" s="30"/>
      <c r="AE288" s="31"/>
      <c r="AF288" s="32">
        <v>12</v>
      </c>
      <c r="AG288" s="32"/>
      <c r="AH288" s="32"/>
      <c r="AI288" s="32"/>
      <c r="AJ288" s="32"/>
      <c r="AK288" s="32">
        <v>0</v>
      </c>
      <c r="AL288" s="32"/>
      <c r="AM288" s="32"/>
      <c r="AN288" s="32"/>
      <c r="AO288" s="32"/>
      <c r="AP288" s="32">
        <v>12</v>
      </c>
      <c r="AQ288" s="32"/>
      <c r="AR288" s="32"/>
      <c r="AS288" s="32"/>
      <c r="AT288" s="32"/>
      <c r="AU288" s="32">
        <v>12</v>
      </c>
      <c r="AV288" s="32"/>
      <c r="AW288" s="32"/>
      <c r="AX288" s="32"/>
      <c r="AY288" s="32"/>
      <c r="AZ288" s="32">
        <v>0</v>
      </c>
      <c r="BA288" s="32"/>
      <c r="BB288" s="32"/>
      <c r="BC288" s="32"/>
      <c r="BD288" s="32"/>
      <c r="BE288" s="32">
        <v>12</v>
      </c>
      <c r="BF288" s="32"/>
      <c r="BG288" s="32"/>
      <c r="BH288" s="32"/>
      <c r="BI288" s="32"/>
    </row>
    <row r="289" spans="1:79" s="4" customFormat="1" ht="30" customHeight="1" x14ac:dyDescent="0.2">
      <c r="A289" s="34">
        <v>3</v>
      </c>
      <c r="B289" s="35"/>
      <c r="C289" s="35"/>
      <c r="D289" s="38" t="s">
        <v>267</v>
      </c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1"/>
      <c r="Q289" s="39" t="s">
        <v>268</v>
      </c>
      <c r="R289" s="39"/>
      <c r="S289" s="39"/>
      <c r="T289" s="39"/>
      <c r="U289" s="39"/>
      <c r="V289" s="38" t="s">
        <v>265</v>
      </c>
      <c r="W289" s="30"/>
      <c r="X289" s="30"/>
      <c r="Y289" s="30"/>
      <c r="Z289" s="30"/>
      <c r="AA289" s="30"/>
      <c r="AB289" s="30"/>
      <c r="AC289" s="30"/>
      <c r="AD289" s="30"/>
      <c r="AE289" s="31"/>
      <c r="AF289" s="32">
        <v>428880</v>
      </c>
      <c r="AG289" s="32"/>
      <c r="AH289" s="32"/>
      <c r="AI289" s="32"/>
      <c r="AJ289" s="32"/>
      <c r="AK289" s="32">
        <v>0</v>
      </c>
      <c r="AL289" s="32"/>
      <c r="AM289" s="32"/>
      <c r="AN289" s="32"/>
      <c r="AO289" s="32"/>
      <c r="AP289" s="32">
        <v>428880</v>
      </c>
      <c r="AQ289" s="32"/>
      <c r="AR289" s="32"/>
      <c r="AS289" s="32"/>
      <c r="AT289" s="32"/>
      <c r="AU289" s="32">
        <v>428880</v>
      </c>
      <c r="AV289" s="32"/>
      <c r="AW289" s="32"/>
      <c r="AX289" s="32"/>
      <c r="AY289" s="32"/>
      <c r="AZ289" s="32">
        <v>0</v>
      </c>
      <c r="BA289" s="32"/>
      <c r="BB289" s="32"/>
      <c r="BC289" s="32"/>
      <c r="BD289" s="32"/>
      <c r="BE289" s="32">
        <v>428880</v>
      </c>
      <c r="BF289" s="32"/>
      <c r="BG289" s="32"/>
      <c r="BH289" s="32"/>
      <c r="BI289" s="32"/>
    </row>
    <row r="290" spans="1:79" s="5" customFormat="1" ht="14.25" x14ac:dyDescent="0.2">
      <c r="A290" s="36">
        <v>0</v>
      </c>
      <c r="B290" s="37"/>
      <c r="C290" s="37"/>
      <c r="D290" s="40" t="s">
        <v>269</v>
      </c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5"/>
      <c r="Q290" s="41"/>
      <c r="R290" s="41"/>
      <c r="S290" s="41"/>
      <c r="T290" s="41"/>
      <c r="U290" s="41"/>
      <c r="V290" s="40"/>
      <c r="W290" s="24"/>
      <c r="X290" s="24"/>
      <c r="Y290" s="24"/>
      <c r="Z290" s="24"/>
      <c r="AA290" s="24"/>
      <c r="AB290" s="24"/>
      <c r="AC290" s="24"/>
      <c r="AD290" s="24"/>
      <c r="AE290" s="25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</row>
    <row r="291" spans="1:79" s="4" customFormat="1" ht="42.75" customHeight="1" x14ac:dyDescent="0.2">
      <c r="A291" s="34">
        <v>1</v>
      </c>
      <c r="B291" s="35"/>
      <c r="C291" s="35"/>
      <c r="D291" s="38" t="s">
        <v>270</v>
      </c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1"/>
      <c r="Q291" s="39" t="s">
        <v>271</v>
      </c>
      <c r="R291" s="39"/>
      <c r="S291" s="39"/>
      <c r="T291" s="39"/>
      <c r="U291" s="39"/>
      <c r="V291" s="38" t="s">
        <v>272</v>
      </c>
      <c r="W291" s="30"/>
      <c r="X291" s="30"/>
      <c r="Y291" s="30"/>
      <c r="Z291" s="30"/>
      <c r="AA291" s="30"/>
      <c r="AB291" s="30"/>
      <c r="AC291" s="30"/>
      <c r="AD291" s="30"/>
      <c r="AE291" s="31"/>
      <c r="AF291" s="32">
        <v>100</v>
      </c>
      <c r="AG291" s="32"/>
      <c r="AH291" s="32"/>
      <c r="AI291" s="32"/>
      <c r="AJ291" s="32"/>
      <c r="AK291" s="32">
        <v>0</v>
      </c>
      <c r="AL291" s="32"/>
      <c r="AM291" s="32"/>
      <c r="AN291" s="32"/>
      <c r="AO291" s="32"/>
      <c r="AP291" s="32">
        <v>100</v>
      </c>
      <c r="AQ291" s="32"/>
      <c r="AR291" s="32"/>
      <c r="AS291" s="32"/>
      <c r="AT291" s="32"/>
      <c r="AU291" s="32">
        <v>100</v>
      </c>
      <c r="AV291" s="32"/>
      <c r="AW291" s="32"/>
      <c r="AX291" s="32"/>
      <c r="AY291" s="32"/>
      <c r="AZ291" s="32">
        <v>0</v>
      </c>
      <c r="BA291" s="32"/>
      <c r="BB291" s="32"/>
      <c r="BC291" s="32"/>
      <c r="BD291" s="32"/>
      <c r="BE291" s="32">
        <v>100</v>
      </c>
      <c r="BF291" s="32"/>
      <c r="BG291" s="32"/>
      <c r="BH291" s="32"/>
      <c r="BI291" s="32"/>
    </row>
    <row r="293" spans="1:79" ht="14.25" customHeight="1" x14ac:dyDescent="0.2">
      <c r="A293" s="60" t="s">
        <v>124</v>
      </c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</row>
    <row r="294" spans="1:79" ht="15" customHeight="1" x14ac:dyDescent="0.2">
      <c r="A294" s="75" t="s">
        <v>295</v>
      </c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/>
      <c r="AM294" s="75"/>
      <c r="AN294" s="75"/>
      <c r="AO294" s="75"/>
      <c r="AP294" s="75"/>
      <c r="AQ294" s="75"/>
      <c r="AR294" s="75"/>
      <c r="AS294" s="75"/>
      <c r="AT294" s="75"/>
      <c r="AU294" s="75"/>
      <c r="AV294" s="75"/>
      <c r="AW294" s="75"/>
      <c r="AX294" s="75"/>
      <c r="AY294" s="75"/>
      <c r="AZ294" s="75"/>
      <c r="BA294" s="75"/>
      <c r="BB294" s="75"/>
      <c r="BC294" s="75"/>
      <c r="BD294" s="75"/>
      <c r="BE294" s="75"/>
      <c r="BF294" s="75"/>
      <c r="BG294" s="75"/>
      <c r="BH294" s="75"/>
      <c r="BI294" s="75"/>
      <c r="BJ294" s="75"/>
      <c r="BK294" s="75"/>
      <c r="BL294" s="75"/>
      <c r="BM294" s="75"/>
      <c r="BN294" s="75"/>
      <c r="BO294" s="75"/>
      <c r="BP294" s="75"/>
      <c r="BQ294" s="75"/>
      <c r="BR294" s="75"/>
    </row>
    <row r="295" spans="1:79" ht="12.95" customHeight="1" x14ac:dyDescent="0.2">
      <c r="A295" s="76" t="s">
        <v>19</v>
      </c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8"/>
      <c r="U295" s="39" t="s">
        <v>296</v>
      </c>
      <c r="V295" s="39"/>
      <c r="W295" s="39"/>
      <c r="X295" s="39"/>
      <c r="Y295" s="39"/>
      <c r="Z295" s="39"/>
      <c r="AA295" s="39"/>
      <c r="AB295" s="39"/>
      <c r="AC295" s="39"/>
      <c r="AD295" s="39"/>
      <c r="AE295" s="39" t="s">
        <v>299</v>
      </c>
      <c r="AF295" s="39"/>
      <c r="AG295" s="39"/>
      <c r="AH295" s="39"/>
      <c r="AI295" s="39"/>
      <c r="AJ295" s="39"/>
      <c r="AK295" s="39"/>
      <c r="AL295" s="39"/>
      <c r="AM295" s="39"/>
      <c r="AN295" s="39"/>
      <c r="AO295" s="39" t="s">
        <v>307</v>
      </c>
      <c r="AP295" s="39"/>
      <c r="AQ295" s="39"/>
      <c r="AR295" s="39"/>
      <c r="AS295" s="39"/>
      <c r="AT295" s="39"/>
      <c r="AU295" s="39"/>
      <c r="AV295" s="39"/>
      <c r="AW295" s="39"/>
      <c r="AX295" s="39"/>
      <c r="AY295" s="39" t="s">
        <v>317</v>
      </c>
      <c r="AZ295" s="39"/>
      <c r="BA295" s="39"/>
      <c r="BB295" s="39"/>
      <c r="BC295" s="39"/>
      <c r="BD295" s="39"/>
      <c r="BE295" s="39"/>
      <c r="BF295" s="39"/>
      <c r="BG295" s="39"/>
      <c r="BH295" s="39"/>
      <c r="BI295" s="39" t="s">
        <v>322</v>
      </c>
      <c r="BJ295" s="39"/>
      <c r="BK295" s="39"/>
      <c r="BL295" s="39"/>
      <c r="BM295" s="39"/>
      <c r="BN295" s="39"/>
      <c r="BO295" s="39"/>
      <c r="BP295" s="39"/>
      <c r="BQ295" s="39"/>
      <c r="BR295" s="39"/>
    </row>
    <row r="296" spans="1:79" ht="30" customHeight="1" x14ac:dyDescent="0.2">
      <c r="A296" s="79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1"/>
      <c r="U296" s="39" t="s">
        <v>4</v>
      </c>
      <c r="V296" s="39"/>
      <c r="W296" s="39"/>
      <c r="X296" s="39"/>
      <c r="Y296" s="39"/>
      <c r="Z296" s="39" t="s">
        <v>3</v>
      </c>
      <c r="AA296" s="39"/>
      <c r="AB296" s="39"/>
      <c r="AC296" s="39"/>
      <c r="AD296" s="39"/>
      <c r="AE296" s="39" t="s">
        <v>4</v>
      </c>
      <c r="AF296" s="39"/>
      <c r="AG296" s="39"/>
      <c r="AH296" s="39"/>
      <c r="AI296" s="39"/>
      <c r="AJ296" s="39" t="s">
        <v>3</v>
      </c>
      <c r="AK296" s="39"/>
      <c r="AL296" s="39"/>
      <c r="AM296" s="39"/>
      <c r="AN296" s="39"/>
      <c r="AO296" s="39" t="s">
        <v>4</v>
      </c>
      <c r="AP296" s="39"/>
      <c r="AQ296" s="39"/>
      <c r="AR296" s="39"/>
      <c r="AS296" s="39"/>
      <c r="AT296" s="39" t="s">
        <v>3</v>
      </c>
      <c r="AU296" s="39"/>
      <c r="AV296" s="39"/>
      <c r="AW296" s="39"/>
      <c r="AX296" s="39"/>
      <c r="AY296" s="39" t="s">
        <v>4</v>
      </c>
      <c r="AZ296" s="39"/>
      <c r="BA296" s="39"/>
      <c r="BB296" s="39"/>
      <c r="BC296" s="39"/>
      <c r="BD296" s="39" t="s">
        <v>3</v>
      </c>
      <c r="BE296" s="39"/>
      <c r="BF296" s="39"/>
      <c r="BG296" s="39"/>
      <c r="BH296" s="39"/>
      <c r="BI296" s="39" t="s">
        <v>4</v>
      </c>
      <c r="BJ296" s="39"/>
      <c r="BK296" s="39"/>
      <c r="BL296" s="39"/>
      <c r="BM296" s="39"/>
      <c r="BN296" s="39" t="s">
        <v>3</v>
      </c>
      <c r="BO296" s="39"/>
      <c r="BP296" s="39"/>
      <c r="BQ296" s="39"/>
      <c r="BR296" s="39"/>
    </row>
    <row r="297" spans="1:79" ht="15" customHeight="1" x14ac:dyDescent="0.2">
      <c r="A297" s="72">
        <v>1</v>
      </c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4"/>
      <c r="U297" s="39">
        <v>2</v>
      </c>
      <c r="V297" s="39"/>
      <c r="W297" s="39"/>
      <c r="X297" s="39"/>
      <c r="Y297" s="39"/>
      <c r="Z297" s="39">
        <v>3</v>
      </c>
      <c r="AA297" s="39"/>
      <c r="AB297" s="39"/>
      <c r="AC297" s="39"/>
      <c r="AD297" s="39"/>
      <c r="AE297" s="39">
        <v>4</v>
      </c>
      <c r="AF297" s="39"/>
      <c r="AG297" s="39"/>
      <c r="AH297" s="39"/>
      <c r="AI297" s="39"/>
      <c r="AJ297" s="39">
        <v>5</v>
      </c>
      <c r="AK297" s="39"/>
      <c r="AL297" s="39"/>
      <c r="AM297" s="39"/>
      <c r="AN297" s="39"/>
      <c r="AO297" s="39">
        <v>6</v>
      </c>
      <c r="AP297" s="39"/>
      <c r="AQ297" s="39"/>
      <c r="AR297" s="39"/>
      <c r="AS297" s="39"/>
      <c r="AT297" s="39">
        <v>7</v>
      </c>
      <c r="AU297" s="39"/>
      <c r="AV297" s="39"/>
      <c r="AW297" s="39"/>
      <c r="AX297" s="39"/>
      <c r="AY297" s="39">
        <v>8</v>
      </c>
      <c r="AZ297" s="39"/>
      <c r="BA297" s="39"/>
      <c r="BB297" s="39"/>
      <c r="BC297" s="39"/>
      <c r="BD297" s="39">
        <v>9</v>
      </c>
      <c r="BE297" s="39"/>
      <c r="BF297" s="39"/>
      <c r="BG297" s="39"/>
      <c r="BH297" s="39"/>
      <c r="BI297" s="39">
        <v>10</v>
      </c>
      <c r="BJ297" s="39"/>
      <c r="BK297" s="39"/>
      <c r="BL297" s="39"/>
      <c r="BM297" s="39"/>
      <c r="BN297" s="39">
        <v>11</v>
      </c>
      <c r="BO297" s="39"/>
      <c r="BP297" s="39"/>
      <c r="BQ297" s="39"/>
      <c r="BR297" s="39"/>
    </row>
    <row r="298" spans="1:79" s="1" customFormat="1" ht="15.75" hidden="1" customHeight="1" x14ac:dyDescent="0.2">
      <c r="A298" s="86" t="s">
        <v>57</v>
      </c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8"/>
      <c r="U298" s="64" t="s">
        <v>65</v>
      </c>
      <c r="V298" s="64"/>
      <c r="W298" s="64"/>
      <c r="X298" s="64"/>
      <c r="Y298" s="64"/>
      <c r="Z298" s="62" t="s">
        <v>66</v>
      </c>
      <c r="AA298" s="62"/>
      <c r="AB298" s="62"/>
      <c r="AC298" s="62"/>
      <c r="AD298" s="62"/>
      <c r="AE298" s="64" t="s">
        <v>67</v>
      </c>
      <c r="AF298" s="64"/>
      <c r="AG298" s="64"/>
      <c r="AH298" s="64"/>
      <c r="AI298" s="64"/>
      <c r="AJ298" s="62" t="s">
        <v>68</v>
      </c>
      <c r="AK298" s="62"/>
      <c r="AL298" s="62"/>
      <c r="AM298" s="62"/>
      <c r="AN298" s="62"/>
      <c r="AO298" s="64" t="s">
        <v>58</v>
      </c>
      <c r="AP298" s="64"/>
      <c r="AQ298" s="64"/>
      <c r="AR298" s="64"/>
      <c r="AS298" s="64"/>
      <c r="AT298" s="62" t="s">
        <v>59</v>
      </c>
      <c r="AU298" s="62"/>
      <c r="AV298" s="62"/>
      <c r="AW298" s="62"/>
      <c r="AX298" s="62"/>
      <c r="AY298" s="64" t="s">
        <v>60</v>
      </c>
      <c r="AZ298" s="64"/>
      <c r="BA298" s="64"/>
      <c r="BB298" s="64"/>
      <c r="BC298" s="64"/>
      <c r="BD298" s="62" t="s">
        <v>61</v>
      </c>
      <c r="BE298" s="62"/>
      <c r="BF298" s="62"/>
      <c r="BG298" s="62"/>
      <c r="BH298" s="62"/>
      <c r="BI298" s="64" t="s">
        <v>62</v>
      </c>
      <c r="BJ298" s="64"/>
      <c r="BK298" s="64"/>
      <c r="BL298" s="64"/>
      <c r="BM298" s="64"/>
      <c r="BN298" s="62" t="s">
        <v>63</v>
      </c>
      <c r="BO298" s="62"/>
      <c r="BP298" s="62"/>
      <c r="BQ298" s="62"/>
      <c r="BR298" s="62"/>
      <c r="CA298" t="s">
        <v>41</v>
      </c>
    </row>
    <row r="299" spans="1:79" s="5" customFormat="1" ht="12.75" customHeight="1" x14ac:dyDescent="0.2">
      <c r="A299" s="23" t="s">
        <v>273</v>
      </c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5"/>
      <c r="U299" s="26">
        <v>8396670</v>
      </c>
      <c r="V299" s="26"/>
      <c r="W299" s="26"/>
      <c r="X299" s="26"/>
      <c r="Y299" s="26"/>
      <c r="Z299" s="26">
        <v>0</v>
      </c>
      <c r="AA299" s="26"/>
      <c r="AB299" s="26"/>
      <c r="AC299" s="26"/>
      <c r="AD299" s="26"/>
      <c r="AE299" s="26">
        <v>5164608</v>
      </c>
      <c r="AF299" s="26"/>
      <c r="AG299" s="26"/>
      <c r="AH299" s="26"/>
      <c r="AI299" s="26"/>
      <c r="AJ299" s="26">
        <v>0</v>
      </c>
      <c r="AK299" s="26"/>
      <c r="AL299" s="26"/>
      <c r="AM299" s="26"/>
      <c r="AN299" s="26"/>
      <c r="AO299" s="26">
        <v>11180715</v>
      </c>
      <c r="AP299" s="26"/>
      <c r="AQ299" s="26"/>
      <c r="AR299" s="26"/>
      <c r="AS299" s="26"/>
      <c r="AT299" s="26">
        <v>0</v>
      </c>
      <c r="AU299" s="26"/>
      <c r="AV299" s="26"/>
      <c r="AW299" s="26"/>
      <c r="AX299" s="26"/>
      <c r="AY299" s="26">
        <v>11180715</v>
      </c>
      <c r="AZ299" s="26"/>
      <c r="BA299" s="26"/>
      <c r="BB299" s="26"/>
      <c r="BC299" s="26"/>
      <c r="BD299" s="26">
        <v>0</v>
      </c>
      <c r="BE299" s="26"/>
      <c r="BF299" s="26"/>
      <c r="BG299" s="26"/>
      <c r="BH299" s="26"/>
      <c r="BI299" s="26">
        <v>11180715</v>
      </c>
      <c r="BJ299" s="26"/>
      <c r="BK299" s="26"/>
      <c r="BL299" s="26"/>
      <c r="BM299" s="26"/>
      <c r="BN299" s="26">
        <v>0</v>
      </c>
      <c r="BO299" s="26"/>
      <c r="BP299" s="26"/>
      <c r="BQ299" s="26"/>
      <c r="BR299" s="26"/>
      <c r="CA299" s="5" t="s">
        <v>42</v>
      </c>
    </row>
    <row r="300" spans="1:79" s="4" customFormat="1" ht="12.75" customHeight="1" x14ac:dyDescent="0.2">
      <c r="A300" s="29" t="s">
        <v>274</v>
      </c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1"/>
      <c r="U300" s="27">
        <v>5474052</v>
      </c>
      <c r="V300" s="27"/>
      <c r="W300" s="27"/>
      <c r="X300" s="27"/>
      <c r="Y300" s="27"/>
      <c r="Z300" s="27">
        <v>0</v>
      </c>
      <c r="AA300" s="27"/>
      <c r="AB300" s="27"/>
      <c r="AC300" s="27"/>
      <c r="AD300" s="27"/>
      <c r="AE300" s="27">
        <v>4034835</v>
      </c>
      <c r="AF300" s="27"/>
      <c r="AG300" s="27"/>
      <c r="AH300" s="27"/>
      <c r="AI300" s="27"/>
      <c r="AJ300" s="27">
        <v>0</v>
      </c>
      <c r="AK300" s="27"/>
      <c r="AL300" s="27"/>
      <c r="AM300" s="27"/>
      <c r="AN300" s="27"/>
      <c r="AO300" s="27">
        <v>7833852</v>
      </c>
      <c r="AP300" s="27"/>
      <c r="AQ300" s="27"/>
      <c r="AR300" s="27"/>
      <c r="AS300" s="27"/>
      <c r="AT300" s="27">
        <v>0</v>
      </c>
      <c r="AU300" s="27"/>
      <c r="AV300" s="27"/>
      <c r="AW300" s="27"/>
      <c r="AX300" s="27"/>
      <c r="AY300" s="27">
        <v>7833852</v>
      </c>
      <c r="AZ300" s="27"/>
      <c r="BA300" s="27"/>
      <c r="BB300" s="27"/>
      <c r="BC300" s="27"/>
      <c r="BD300" s="27">
        <v>0</v>
      </c>
      <c r="BE300" s="27"/>
      <c r="BF300" s="27"/>
      <c r="BG300" s="27"/>
      <c r="BH300" s="27"/>
      <c r="BI300" s="27">
        <v>7833852</v>
      </c>
      <c r="BJ300" s="27"/>
      <c r="BK300" s="27"/>
      <c r="BL300" s="27"/>
      <c r="BM300" s="27"/>
      <c r="BN300" s="27">
        <v>0</v>
      </c>
      <c r="BO300" s="27"/>
      <c r="BP300" s="27"/>
      <c r="BQ300" s="27"/>
      <c r="BR300" s="27"/>
    </row>
    <row r="301" spans="1:79" s="4" customFormat="1" ht="12.75" customHeight="1" x14ac:dyDescent="0.2">
      <c r="A301" s="29" t="s">
        <v>275</v>
      </c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1"/>
      <c r="U301" s="27">
        <v>2922618</v>
      </c>
      <c r="V301" s="27"/>
      <c r="W301" s="27"/>
      <c r="X301" s="27"/>
      <c r="Y301" s="27"/>
      <c r="Z301" s="27">
        <v>0</v>
      </c>
      <c r="AA301" s="27"/>
      <c r="AB301" s="27"/>
      <c r="AC301" s="27"/>
      <c r="AD301" s="27"/>
      <c r="AE301" s="27">
        <v>1129773</v>
      </c>
      <c r="AF301" s="27"/>
      <c r="AG301" s="27"/>
      <c r="AH301" s="27"/>
      <c r="AI301" s="27"/>
      <c r="AJ301" s="27">
        <v>0</v>
      </c>
      <c r="AK301" s="27"/>
      <c r="AL301" s="27"/>
      <c r="AM301" s="27"/>
      <c r="AN301" s="27"/>
      <c r="AO301" s="27">
        <v>3346863</v>
      </c>
      <c r="AP301" s="27"/>
      <c r="AQ301" s="27"/>
      <c r="AR301" s="27"/>
      <c r="AS301" s="27"/>
      <c r="AT301" s="27">
        <v>0</v>
      </c>
      <c r="AU301" s="27"/>
      <c r="AV301" s="27"/>
      <c r="AW301" s="27"/>
      <c r="AX301" s="27"/>
      <c r="AY301" s="27">
        <v>3346863</v>
      </c>
      <c r="AZ301" s="27"/>
      <c r="BA301" s="27"/>
      <c r="BB301" s="27"/>
      <c r="BC301" s="27"/>
      <c r="BD301" s="27">
        <v>0</v>
      </c>
      <c r="BE301" s="27"/>
      <c r="BF301" s="27"/>
      <c r="BG301" s="27"/>
      <c r="BH301" s="27"/>
      <c r="BI301" s="27">
        <v>3346863</v>
      </c>
      <c r="BJ301" s="27"/>
      <c r="BK301" s="27"/>
      <c r="BL301" s="27"/>
      <c r="BM301" s="27"/>
      <c r="BN301" s="27">
        <v>0</v>
      </c>
      <c r="BO301" s="27"/>
      <c r="BP301" s="27"/>
      <c r="BQ301" s="27"/>
      <c r="BR301" s="27"/>
    </row>
    <row r="302" spans="1:79" s="4" customFormat="1" ht="12.75" customHeight="1" x14ac:dyDescent="0.2">
      <c r="A302" s="29" t="s">
        <v>276</v>
      </c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1"/>
      <c r="U302" s="27">
        <v>7563258</v>
      </c>
      <c r="V302" s="27"/>
      <c r="W302" s="27"/>
      <c r="X302" s="27"/>
      <c r="Y302" s="27"/>
      <c r="Z302" s="27">
        <v>0</v>
      </c>
      <c r="AA302" s="27"/>
      <c r="AB302" s="27"/>
      <c r="AC302" s="27"/>
      <c r="AD302" s="27"/>
      <c r="AE302" s="27">
        <v>13769073</v>
      </c>
      <c r="AF302" s="27"/>
      <c r="AG302" s="27"/>
      <c r="AH302" s="27"/>
      <c r="AI302" s="27"/>
      <c r="AJ302" s="27">
        <v>0</v>
      </c>
      <c r="AK302" s="27"/>
      <c r="AL302" s="27"/>
      <c r="AM302" s="27"/>
      <c r="AN302" s="27"/>
      <c r="AO302" s="27">
        <v>11474841</v>
      </c>
      <c r="AP302" s="27"/>
      <c r="AQ302" s="27"/>
      <c r="AR302" s="27"/>
      <c r="AS302" s="27"/>
      <c r="AT302" s="27">
        <v>0</v>
      </c>
      <c r="AU302" s="27"/>
      <c r="AV302" s="27"/>
      <c r="AW302" s="27"/>
      <c r="AX302" s="27"/>
      <c r="AY302" s="27">
        <v>11474841</v>
      </c>
      <c r="AZ302" s="27"/>
      <c r="BA302" s="27"/>
      <c r="BB302" s="27"/>
      <c r="BC302" s="27"/>
      <c r="BD302" s="27">
        <v>0</v>
      </c>
      <c r="BE302" s="27"/>
      <c r="BF302" s="27"/>
      <c r="BG302" s="27"/>
      <c r="BH302" s="27"/>
      <c r="BI302" s="27">
        <v>11474841</v>
      </c>
      <c r="BJ302" s="27"/>
      <c r="BK302" s="27"/>
      <c r="BL302" s="27"/>
      <c r="BM302" s="27"/>
      <c r="BN302" s="27">
        <v>0</v>
      </c>
      <c r="BO302" s="27"/>
      <c r="BP302" s="27"/>
      <c r="BQ302" s="27"/>
      <c r="BR302" s="27"/>
    </row>
    <row r="303" spans="1:79" s="5" customFormat="1" ht="12.75" customHeight="1" x14ac:dyDescent="0.2">
      <c r="A303" s="23" t="s">
        <v>277</v>
      </c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5"/>
      <c r="U303" s="26">
        <v>2166100</v>
      </c>
      <c r="V303" s="26"/>
      <c r="W303" s="26"/>
      <c r="X303" s="26"/>
      <c r="Y303" s="26"/>
      <c r="Z303" s="26">
        <v>0</v>
      </c>
      <c r="AA303" s="26"/>
      <c r="AB303" s="26"/>
      <c r="AC303" s="26"/>
      <c r="AD303" s="26"/>
      <c r="AE303" s="26">
        <v>3061189</v>
      </c>
      <c r="AF303" s="26"/>
      <c r="AG303" s="26"/>
      <c r="AH303" s="26"/>
      <c r="AI303" s="26"/>
      <c r="AJ303" s="26">
        <v>0</v>
      </c>
      <c r="AK303" s="26"/>
      <c r="AL303" s="26"/>
      <c r="AM303" s="26"/>
      <c r="AN303" s="26"/>
      <c r="AO303" s="26">
        <v>3188379</v>
      </c>
      <c r="AP303" s="26"/>
      <c r="AQ303" s="26"/>
      <c r="AR303" s="26"/>
      <c r="AS303" s="26"/>
      <c r="AT303" s="26">
        <v>0</v>
      </c>
      <c r="AU303" s="26"/>
      <c r="AV303" s="26"/>
      <c r="AW303" s="26"/>
      <c r="AX303" s="26"/>
      <c r="AY303" s="26">
        <v>3188379</v>
      </c>
      <c r="AZ303" s="26"/>
      <c r="BA303" s="26"/>
      <c r="BB303" s="26"/>
      <c r="BC303" s="26"/>
      <c r="BD303" s="26">
        <v>0</v>
      </c>
      <c r="BE303" s="26"/>
      <c r="BF303" s="26"/>
      <c r="BG303" s="26"/>
      <c r="BH303" s="26"/>
      <c r="BI303" s="26">
        <v>3188379</v>
      </c>
      <c r="BJ303" s="26"/>
      <c r="BK303" s="26"/>
      <c r="BL303" s="26"/>
      <c r="BM303" s="26"/>
      <c r="BN303" s="26">
        <v>0</v>
      </c>
      <c r="BO303" s="26"/>
      <c r="BP303" s="26"/>
      <c r="BQ303" s="26"/>
      <c r="BR303" s="26"/>
    </row>
    <row r="304" spans="1:79" s="4" customFormat="1" ht="12.75" customHeight="1" x14ac:dyDescent="0.2">
      <c r="A304" s="29" t="s">
        <v>278</v>
      </c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1"/>
      <c r="U304" s="27">
        <v>1101908</v>
      </c>
      <c r="V304" s="27"/>
      <c r="W304" s="27"/>
      <c r="X304" s="27"/>
      <c r="Y304" s="27"/>
      <c r="Z304" s="27">
        <v>0</v>
      </c>
      <c r="AA304" s="27"/>
      <c r="AB304" s="27"/>
      <c r="AC304" s="27"/>
      <c r="AD304" s="27"/>
      <c r="AE304" s="27">
        <v>1530594</v>
      </c>
      <c r="AF304" s="27"/>
      <c r="AG304" s="27"/>
      <c r="AH304" s="27"/>
      <c r="AI304" s="27"/>
      <c r="AJ304" s="27">
        <v>0</v>
      </c>
      <c r="AK304" s="27"/>
      <c r="AL304" s="27"/>
      <c r="AM304" s="27"/>
      <c r="AN304" s="27"/>
      <c r="AO304" s="27">
        <v>1617432</v>
      </c>
      <c r="AP304" s="27"/>
      <c r="AQ304" s="27"/>
      <c r="AR304" s="27"/>
      <c r="AS304" s="27"/>
      <c r="AT304" s="27">
        <v>0</v>
      </c>
      <c r="AU304" s="27"/>
      <c r="AV304" s="27"/>
      <c r="AW304" s="27"/>
      <c r="AX304" s="27"/>
      <c r="AY304" s="27">
        <v>1617432</v>
      </c>
      <c r="AZ304" s="27"/>
      <c r="BA304" s="27"/>
      <c r="BB304" s="27"/>
      <c r="BC304" s="27"/>
      <c r="BD304" s="27">
        <v>0</v>
      </c>
      <c r="BE304" s="27"/>
      <c r="BF304" s="27"/>
      <c r="BG304" s="27"/>
      <c r="BH304" s="27"/>
      <c r="BI304" s="27">
        <v>1617432</v>
      </c>
      <c r="BJ304" s="27"/>
      <c r="BK304" s="27"/>
      <c r="BL304" s="27"/>
      <c r="BM304" s="27"/>
      <c r="BN304" s="27">
        <v>0</v>
      </c>
      <c r="BO304" s="27"/>
      <c r="BP304" s="27"/>
      <c r="BQ304" s="27"/>
      <c r="BR304" s="27"/>
    </row>
    <row r="305" spans="1:79" s="4" customFormat="1" ht="12.75" customHeight="1" x14ac:dyDescent="0.2">
      <c r="A305" s="29" t="s">
        <v>279</v>
      </c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1"/>
      <c r="U305" s="27">
        <v>1064192</v>
      </c>
      <c r="V305" s="27"/>
      <c r="W305" s="27"/>
      <c r="X305" s="27"/>
      <c r="Y305" s="27"/>
      <c r="Z305" s="27">
        <v>0</v>
      </c>
      <c r="AA305" s="27"/>
      <c r="AB305" s="27"/>
      <c r="AC305" s="27"/>
      <c r="AD305" s="27"/>
      <c r="AE305" s="27">
        <v>1530595</v>
      </c>
      <c r="AF305" s="27"/>
      <c r="AG305" s="27"/>
      <c r="AH305" s="27"/>
      <c r="AI305" s="27"/>
      <c r="AJ305" s="27">
        <v>0</v>
      </c>
      <c r="AK305" s="27"/>
      <c r="AL305" s="27"/>
      <c r="AM305" s="27"/>
      <c r="AN305" s="27"/>
      <c r="AO305" s="27">
        <v>1570947</v>
      </c>
      <c r="AP305" s="27"/>
      <c r="AQ305" s="27"/>
      <c r="AR305" s="27"/>
      <c r="AS305" s="27"/>
      <c r="AT305" s="27">
        <v>0</v>
      </c>
      <c r="AU305" s="27"/>
      <c r="AV305" s="27"/>
      <c r="AW305" s="27"/>
      <c r="AX305" s="27"/>
      <c r="AY305" s="27">
        <v>1570947</v>
      </c>
      <c r="AZ305" s="27"/>
      <c r="BA305" s="27"/>
      <c r="BB305" s="27"/>
      <c r="BC305" s="27"/>
      <c r="BD305" s="27">
        <v>0</v>
      </c>
      <c r="BE305" s="27"/>
      <c r="BF305" s="27"/>
      <c r="BG305" s="27"/>
      <c r="BH305" s="27"/>
      <c r="BI305" s="27">
        <v>1570947</v>
      </c>
      <c r="BJ305" s="27"/>
      <c r="BK305" s="27"/>
      <c r="BL305" s="27"/>
      <c r="BM305" s="27"/>
      <c r="BN305" s="27">
        <v>0</v>
      </c>
      <c r="BO305" s="27"/>
      <c r="BP305" s="27"/>
      <c r="BQ305" s="27"/>
      <c r="BR305" s="27"/>
    </row>
    <row r="306" spans="1:79" s="4" customFormat="1" ht="12.75" customHeight="1" x14ac:dyDescent="0.2">
      <c r="A306" s="29" t="s">
        <v>280</v>
      </c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1"/>
      <c r="U306" s="27">
        <v>409937</v>
      </c>
      <c r="V306" s="27"/>
      <c r="W306" s="27"/>
      <c r="X306" s="27"/>
      <c r="Y306" s="27"/>
      <c r="Z306" s="27">
        <v>0</v>
      </c>
      <c r="AA306" s="27"/>
      <c r="AB306" s="27"/>
      <c r="AC306" s="27"/>
      <c r="AD306" s="27"/>
      <c r="AE306" s="27">
        <v>838039</v>
      </c>
      <c r="AF306" s="27"/>
      <c r="AG306" s="27"/>
      <c r="AH306" s="27"/>
      <c r="AI306" s="27"/>
      <c r="AJ306" s="27">
        <v>0</v>
      </c>
      <c r="AK306" s="27"/>
      <c r="AL306" s="27"/>
      <c r="AM306" s="27"/>
      <c r="AN306" s="27"/>
      <c r="AO306" s="27">
        <v>317735</v>
      </c>
      <c r="AP306" s="27"/>
      <c r="AQ306" s="27"/>
      <c r="AR306" s="27"/>
      <c r="AS306" s="27"/>
      <c r="AT306" s="27">
        <v>0</v>
      </c>
      <c r="AU306" s="27"/>
      <c r="AV306" s="27"/>
      <c r="AW306" s="27"/>
      <c r="AX306" s="27"/>
      <c r="AY306" s="27">
        <v>317735</v>
      </c>
      <c r="AZ306" s="27"/>
      <c r="BA306" s="27"/>
      <c r="BB306" s="27"/>
      <c r="BC306" s="27"/>
      <c r="BD306" s="27">
        <v>0</v>
      </c>
      <c r="BE306" s="27"/>
      <c r="BF306" s="27"/>
      <c r="BG306" s="27"/>
      <c r="BH306" s="27"/>
      <c r="BI306" s="27">
        <v>317735</v>
      </c>
      <c r="BJ306" s="27"/>
      <c r="BK306" s="27"/>
      <c r="BL306" s="27"/>
      <c r="BM306" s="27"/>
      <c r="BN306" s="27">
        <v>0</v>
      </c>
      <c r="BO306" s="27"/>
      <c r="BP306" s="27"/>
      <c r="BQ306" s="27"/>
      <c r="BR306" s="27"/>
    </row>
    <row r="307" spans="1:79" s="5" customFormat="1" ht="12.75" customHeight="1" x14ac:dyDescent="0.2">
      <c r="A307" s="23" t="s">
        <v>147</v>
      </c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5"/>
      <c r="U307" s="26">
        <v>18535965</v>
      </c>
      <c r="V307" s="26"/>
      <c r="W307" s="26"/>
      <c r="X307" s="26"/>
      <c r="Y307" s="26"/>
      <c r="Z307" s="26">
        <v>0</v>
      </c>
      <c r="AA307" s="26"/>
      <c r="AB307" s="26"/>
      <c r="AC307" s="26"/>
      <c r="AD307" s="26"/>
      <c r="AE307" s="26">
        <v>22832909</v>
      </c>
      <c r="AF307" s="26"/>
      <c r="AG307" s="26"/>
      <c r="AH307" s="26"/>
      <c r="AI307" s="26"/>
      <c r="AJ307" s="26">
        <v>0</v>
      </c>
      <c r="AK307" s="26"/>
      <c r="AL307" s="26"/>
      <c r="AM307" s="26"/>
      <c r="AN307" s="26"/>
      <c r="AO307" s="26">
        <v>26161670</v>
      </c>
      <c r="AP307" s="26"/>
      <c r="AQ307" s="26"/>
      <c r="AR307" s="26"/>
      <c r="AS307" s="26"/>
      <c r="AT307" s="26">
        <v>0</v>
      </c>
      <c r="AU307" s="26"/>
      <c r="AV307" s="26"/>
      <c r="AW307" s="26"/>
      <c r="AX307" s="26"/>
      <c r="AY307" s="26">
        <v>26161670</v>
      </c>
      <c r="AZ307" s="26"/>
      <c r="BA307" s="26"/>
      <c r="BB307" s="26"/>
      <c r="BC307" s="26"/>
      <c r="BD307" s="26">
        <v>0</v>
      </c>
      <c r="BE307" s="26"/>
      <c r="BF307" s="26"/>
      <c r="BG307" s="26"/>
      <c r="BH307" s="26"/>
      <c r="BI307" s="26">
        <v>26161670</v>
      </c>
      <c r="BJ307" s="26"/>
      <c r="BK307" s="26"/>
      <c r="BL307" s="26"/>
      <c r="BM307" s="26"/>
      <c r="BN307" s="26">
        <v>0</v>
      </c>
      <c r="BO307" s="26"/>
      <c r="BP307" s="26"/>
      <c r="BQ307" s="26"/>
      <c r="BR307" s="26"/>
    </row>
    <row r="308" spans="1:79" s="4" customFormat="1" ht="38.25" customHeight="1" x14ac:dyDescent="0.2">
      <c r="A308" s="29" t="s">
        <v>281</v>
      </c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1"/>
      <c r="U308" s="27" t="s">
        <v>173</v>
      </c>
      <c r="V308" s="27"/>
      <c r="W308" s="27"/>
      <c r="X308" s="27"/>
      <c r="Y308" s="27"/>
      <c r="Z308" s="27"/>
      <c r="AA308" s="27"/>
      <c r="AB308" s="27"/>
      <c r="AC308" s="27"/>
      <c r="AD308" s="27"/>
      <c r="AE308" s="27" t="s">
        <v>173</v>
      </c>
      <c r="AF308" s="27"/>
      <c r="AG308" s="27"/>
      <c r="AH308" s="27"/>
      <c r="AI308" s="27"/>
      <c r="AJ308" s="27"/>
      <c r="AK308" s="27"/>
      <c r="AL308" s="27"/>
      <c r="AM308" s="27"/>
      <c r="AN308" s="27"/>
      <c r="AO308" s="27" t="s">
        <v>173</v>
      </c>
      <c r="AP308" s="27"/>
      <c r="AQ308" s="27"/>
      <c r="AR308" s="27"/>
      <c r="AS308" s="27"/>
      <c r="AT308" s="27"/>
      <c r="AU308" s="27"/>
      <c r="AV308" s="27"/>
      <c r="AW308" s="27"/>
      <c r="AX308" s="27"/>
      <c r="AY308" s="27" t="s">
        <v>173</v>
      </c>
      <c r="AZ308" s="27"/>
      <c r="BA308" s="27"/>
      <c r="BB308" s="27"/>
      <c r="BC308" s="27"/>
      <c r="BD308" s="27"/>
      <c r="BE308" s="27"/>
      <c r="BF308" s="27"/>
      <c r="BG308" s="27"/>
      <c r="BH308" s="27"/>
      <c r="BI308" s="27" t="s">
        <v>173</v>
      </c>
      <c r="BJ308" s="27"/>
      <c r="BK308" s="27"/>
      <c r="BL308" s="27"/>
      <c r="BM308" s="27"/>
      <c r="BN308" s="27"/>
      <c r="BO308" s="27"/>
      <c r="BP308" s="27"/>
      <c r="BQ308" s="27"/>
      <c r="BR308" s="27"/>
    </row>
    <row r="310" spans="1:79" ht="14.25" customHeight="1" x14ac:dyDescent="0.2">
      <c r="A310" s="60" t="s">
        <v>125</v>
      </c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</row>
    <row r="311" spans="1:79" ht="15" customHeight="1" x14ac:dyDescent="0.2">
      <c r="A311" s="76" t="s">
        <v>6</v>
      </c>
      <c r="B311" s="77"/>
      <c r="C311" s="77"/>
      <c r="D311" s="76" t="s">
        <v>10</v>
      </c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8"/>
      <c r="W311" s="39" t="s">
        <v>296</v>
      </c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 t="s">
        <v>300</v>
      </c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 t="s">
        <v>312</v>
      </c>
      <c r="AV311" s="39"/>
      <c r="AW311" s="39"/>
      <c r="AX311" s="39"/>
      <c r="AY311" s="39"/>
      <c r="AZ311" s="39"/>
      <c r="BA311" s="39" t="s">
        <v>318</v>
      </c>
      <c r="BB311" s="39"/>
      <c r="BC311" s="39"/>
      <c r="BD311" s="39"/>
      <c r="BE311" s="39"/>
      <c r="BF311" s="39"/>
      <c r="BG311" s="39" t="s">
        <v>327</v>
      </c>
      <c r="BH311" s="39"/>
      <c r="BI311" s="39"/>
      <c r="BJ311" s="39"/>
      <c r="BK311" s="39"/>
      <c r="BL311" s="39"/>
    </row>
    <row r="312" spans="1:79" ht="15" customHeight="1" x14ac:dyDescent="0.2">
      <c r="A312" s="89"/>
      <c r="B312" s="90"/>
      <c r="C312" s="90"/>
      <c r="D312" s="89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1"/>
      <c r="W312" s="39" t="s">
        <v>4</v>
      </c>
      <c r="X312" s="39"/>
      <c r="Y312" s="39"/>
      <c r="Z312" s="39"/>
      <c r="AA312" s="39"/>
      <c r="AB312" s="39"/>
      <c r="AC312" s="39" t="s">
        <v>3</v>
      </c>
      <c r="AD312" s="39"/>
      <c r="AE312" s="39"/>
      <c r="AF312" s="39"/>
      <c r="AG312" s="39"/>
      <c r="AH312" s="39"/>
      <c r="AI312" s="39" t="s">
        <v>4</v>
      </c>
      <c r="AJ312" s="39"/>
      <c r="AK312" s="39"/>
      <c r="AL312" s="39"/>
      <c r="AM312" s="39"/>
      <c r="AN312" s="39"/>
      <c r="AO312" s="39" t="s">
        <v>3</v>
      </c>
      <c r="AP312" s="39"/>
      <c r="AQ312" s="39"/>
      <c r="AR312" s="39"/>
      <c r="AS312" s="39"/>
      <c r="AT312" s="39"/>
      <c r="AU312" s="66" t="s">
        <v>4</v>
      </c>
      <c r="AV312" s="66"/>
      <c r="AW312" s="66"/>
      <c r="AX312" s="66" t="s">
        <v>3</v>
      </c>
      <c r="AY312" s="66"/>
      <c r="AZ312" s="66"/>
      <c r="BA312" s="66" t="s">
        <v>4</v>
      </c>
      <c r="BB312" s="66"/>
      <c r="BC312" s="66"/>
      <c r="BD312" s="66" t="s">
        <v>3</v>
      </c>
      <c r="BE312" s="66"/>
      <c r="BF312" s="66"/>
      <c r="BG312" s="66" t="s">
        <v>4</v>
      </c>
      <c r="BH312" s="66"/>
      <c r="BI312" s="66"/>
      <c r="BJ312" s="66" t="s">
        <v>3</v>
      </c>
      <c r="BK312" s="66"/>
      <c r="BL312" s="66"/>
    </row>
    <row r="313" spans="1:79" ht="57" customHeight="1" x14ac:dyDescent="0.2">
      <c r="A313" s="79"/>
      <c r="B313" s="80"/>
      <c r="C313" s="80"/>
      <c r="D313" s="79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1"/>
      <c r="W313" s="39" t="s">
        <v>12</v>
      </c>
      <c r="X313" s="39"/>
      <c r="Y313" s="39"/>
      <c r="Z313" s="39" t="s">
        <v>11</v>
      </c>
      <c r="AA313" s="39"/>
      <c r="AB313" s="39"/>
      <c r="AC313" s="39" t="s">
        <v>12</v>
      </c>
      <c r="AD313" s="39"/>
      <c r="AE313" s="39"/>
      <c r="AF313" s="39" t="s">
        <v>11</v>
      </c>
      <c r="AG313" s="39"/>
      <c r="AH313" s="39"/>
      <c r="AI313" s="39" t="s">
        <v>12</v>
      </c>
      <c r="AJ313" s="39"/>
      <c r="AK313" s="39"/>
      <c r="AL313" s="39" t="s">
        <v>11</v>
      </c>
      <c r="AM313" s="39"/>
      <c r="AN313" s="39"/>
      <c r="AO313" s="39" t="s">
        <v>12</v>
      </c>
      <c r="AP313" s="39"/>
      <c r="AQ313" s="39"/>
      <c r="AR313" s="39" t="s">
        <v>11</v>
      </c>
      <c r="AS313" s="39"/>
      <c r="AT313" s="39"/>
      <c r="AU313" s="66"/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/>
      <c r="BJ313" s="66"/>
      <c r="BK313" s="66"/>
      <c r="BL313" s="66"/>
    </row>
    <row r="314" spans="1:79" ht="15" customHeight="1" x14ac:dyDescent="0.2">
      <c r="A314" s="72">
        <v>1</v>
      </c>
      <c r="B314" s="73"/>
      <c r="C314" s="73"/>
      <c r="D314" s="72">
        <v>2</v>
      </c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4"/>
      <c r="W314" s="39">
        <v>3</v>
      </c>
      <c r="X314" s="39"/>
      <c r="Y314" s="39"/>
      <c r="Z314" s="39">
        <v>4</v>
      </c>
      <c r="AA314" s="39"/>
      <c r="AB314" s="39"/>
      <c r="AC314" s="39">
        <v>5</v>
      </c>
      <c r="AD314" s="39"/>
      <c r="AE314" s="39"/>
      <c r="AF314" s="39">
        <v>6</v>
      </c>
      <c r="AG314" s="39"/>
      <c r="AH314" s="39"/>
      <c r="AI314" s="39">
        <v>7</v>
      </c>
      <c r="AJ314" s="39"/>
      <c r="AK314" s="39"/>
      <c r="AL314" s="39">
        <v>8</v>
      </c>
      <c r="AM314" s="39"/>
      <c r="AN314" s="39"/>
      <c r="AO314" s="39">
        <v>9</v>
      </c>
      <c r="AP314" s="39"/>
      <c r="AQ314" s="39"/>
      <c r="AR314" s="39">
        <v>10</v>
      </c>
      <c r="AS314" s="39"/>
      <c r="AT314" s="39"/>
      <c r="AU314" s="39">
        <v>11</v>
      </c>
      <c r="AV314" s="39"/>
      <c r="AW314" s="39"/>
      <c r="AX314" s="39">
        <v>12</v>
      </c>
      <c r="AY314" s="39"/>
      <c r="AZ314" s="39"/>
      <c r="BA314" s="39">
        <v>13</v>
      </c>
      <c r="BB314" s="39"/>
      <c r="BC314" s="39"/>
      <c r="BD314" s="39">
        <v>14</v>
      </c>
      <c r="BE314" s="39"/>
      <c r="BF314" s="39"/>
      <c r="BG314" s="39">
        <v>15</v>
      </c>
      <c r="BH314" s="39"/>
      <c r="BI314" s="39"/>
      <c r="BJ314" s="39">
        <v>16</v>
      </c>
      <c r="BK314" s="39"/>
      <c r="BL314" s="39"/>
    </row>
    <row r="315" spans="1:79" s="1" customFormat="1" ht="12.75" hidden="1" customHeight="1" x14ac:dyDescent="0.2">
      <c r="A315" s="86" t="s">
        <v>69</v>
      </c>
      <c r="B315" s="87"/>
      <c r="C315" s="87"/>
      <c r="D315" s="86" t="s">
        <v>57</v>
      </c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8"/>
      <c r="W315" s="64" t="s">
        <v>72</v>
      </c>
      <c r="X315" s="64"/>
      <c r="Y315" s="64"/>
      <c r="Z315" s="64" t="s">
        <v>73</v>
      </c>
      <c r="AA315" s="64"/>
      <c r="AB315" s="64"/>
      <c r="AC315" s="62" t="s">
        <v>74</v>
      </c>
      <c r="AD315" s="62"/>
      <c r="AE315" s="62"/>
      <c r="AF315" s="62" t="s">
        <v>75</v>
      </c>
      <c r="AG315" s="62"/>
      <c r="AH315" s="62"/>
      <c r="AI315" s="64" t="s">
        <v>76</v>
      </c>
      <c r="AJ315" s="64"/>
      <c r="AK315" s="64"/>
      <c r="AL315" s="64" t="s">
        <v>77</v>
      </c>
      <c r="AM315" s="64"/>
      <c r="AN315" s="64"/>
      <c r="AO315" s="62" t="s">
        <v>104</v>
      </c>
      <c r="AP315" s="62"/>
      <c r="AQ315" s="62"/>
      <c r="AR315" s="62" t="s">
        <v>78</v>
      </c>
      <c r="AS315" s="62"/>
      <c r="AT315" s="62"/>
      <c r="AU315" s="64" t="s">
        <v>105</v>
      </c>
      <c r="AV315" s="64"/>
      <c r="AW315" s="64"/>
      <c r="AX315" s="62" t="s">
        <v>106</v>
      </c>
      <c r="AY315" s="62"/>
      <c r="AZ315" s="62"/>
      <c r="BA315" s="64" t="s">
        <v>107</v>
      </c>
      <c r="BB315" s="64"/>
      <c r="BC315" s="64"/>
      <c r="BD315" s="62" t="s">
        <v>108</v>
      </c>
      <c r="BE315" s="62"/>
      <c r="BF315" s="62"/>
      <c r="BG315" s="64" t="s">
        <v>109</v>
      </c>
      <c r="BH315" s="64"/>
      <c r="BI315" s="64"/>
      <c r="BJ315" s="62" t="s">
        <v>110</v>
      </c>
      <c r="BK315" s="62"/>
      <c r="BL315" s="62"/>
      <c r="CA315" s="1" t="s">
        <v>103</v>
      </c>
    </row>
    <row r="316" spans="1:79" s="4" customFormat="1" ht="12.75" customHeight="1" x14ac:dyDescent="0.2">
      <c r="A316" s="34">
        <v>1</v>
      </c>
      <c r="B316" s="35"/>
      <c r="C316" s="35"/>
      <c r="D316" s="29" t="s">
        <v>282</v>
      </c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1"/>
      <c r="W316" s="32">
        <v>4</v>
      </c>
      <c r="X316" s="32"/>
      <c r="Y316" s="32"/>
      <c r="Z316" s="32">
        <v>3</v>
      </c>
      <c r="AA316" s="32"/>
      <c r="AB316" s="32"/>
      <c r="AC316" s="32">
        <v>0</v>
      </c>
      <c r="AD316" s="32"/>
      <c r="AE316" s="32"/>
      <c r="AF316" s="32">
        <v>0</v>
      </c>
      <c r="AG316" s="32"/>
      <c r="AH316" s="32"/>
      <c r="AI316" s="32">
        <v>5</v>
      </c>
      <c r="AJ316" s="32"/>
      <c r="AK316" s="32"/>
      <c r="AL316" s="32">
        <v>4</v>
      </c>
      <c r="AM316" s="32"/>
      <c r="AN316" s="32"/>
      <c r="AO316" s="32">
        <v>0</v>
      </c>
      <c r="AP316" s="32"/>
      <c r="AQ316" s="32"/>
      <c r="AR316" s="32">
        <v>0</v>
      </c>
      <c r="AS316" s="32"/>
      <c r="AT316" s="32"/>
      <c r="AU316" s="32">
        <v>5</v>
      </c>
      <c r="AV316" s="32"/>
      <c r="AW316" s="32"/>
      <c r="AX316" s="32">
        <v>0</v>
      </c>
      <c r="AY316" s="32"/>
      <c r="AZ316" s="32"/>
      <c r="BA316" s="32">
        <v>5</v>
      </c>
      <c r="BB316" s="32"/>
      <c r="BC316" s="32"/>
      <c r="BD316" s="32">
        <v>0</v>
      </c>
      <c r="BE316" s="32"/>
      <c r="BF316" s="32"/>
      <c r="BG316" s="32">
        <v>5</v>
      </c>
      <c r="BH316" s="32"/>
      <c r="BI316" s="32"/>
      <c r="BJ316" s="32">
        <v>0</v>
      </c>
      <c r="BK316" s="32"/>
      <c r="BL316" s="32"/>
      <c r="CA316" s="4" t="s">
        <v>43</v>
      </c>
    </row>
    <row r="317" spans="1:79" s="4" customFormat="1" ht="12.75" customHeight="1" x14ac:dyDescent="0.2">
      <c r="A317" s="34">
        <v>2</v>
      </c>
      <c r="B317" s="35"/>
      <c r="C317" s="35"/>
      <c r="D317" s="29" t="s">
        <v>283</v>
      </c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1"/>
      <c r="W317" s="32">
        <v>57</v>
      </c>
      <c r="X317" s="32"/>
      <c r="Y317" s="32"/>
      <c r="Z317" s="32">
        <v>44</v>
      </c>
      <c r="AA317" s="32"/>
      <c r="AB317" s="32"/>
      <c r="AC317" s="32">
        <v>0</v>
      </c>
      <c r="AD317" s="32"/>
      <c r="AE317" s="32"/>
      <c r="AF317" s="32">
        <v>0</v>
      </c>
      <c r="AG317" s="32"/>
      <c r="AH317" s="32"/>
      <c r="AI317" s="32">
        <v>56</v>
      </c>
      <c r="AJ317" s="32"/>
      <c r="AK317" s="32"/>
      <c r="AL317" s="32">
        <v>56</v>
      </c>
      <c r="AM317" s="32"/>
      <c r="AN317" s="32"/>
      <c r="AO317" s="32">
        <v>0</v>
      </c>
      <c r="AP317" s="32"/>
      <c r="AQ317" s="32"/>
      <c r="AR317" s="32">
        <v>0</v>
      </c>
      <c r="AS317" s="32"/>
      <c r="AT317" s="32"/>
      <c r="AU317" s="32">
        <v>56</v>
      </c>
      <c r="AV317" s="32"/>
      <c r="AW317" s="32"/>
      <c r="AX317" s="32">
        <v>0</v>
      </c>
      <c r="AY317" s="32"/>
      <c r="AZ317" s="32"/>
      <c r="BA317" s="32">
        <v>56</v>
      </c>
      <c r="BB317" s="32"/>
      <c r="BC317" s="32"/>
      <c r="BD317" s="32">
        <v>0</v>
      </c>
      <c r="BE317" s="32"/>
      <c r="BF317" s="32"/>
      <c r="BG317" s="32">
        <v>56</v>
      </c>
      <c r="BH317" s="32"/>
      <c r="BI317" s="32"/>
      <c r="BJ317" s="32">
        <v>0</v>
      </c>
      <c r="BK317" s="32"/>
      <c r="BL317" s="32"/>
    </row>
    <row r="318" spans="1:79" s="5" customFormat="1" ht="12.75" customHeight="1" x14ac:dyDescent="0.2">
      <c r="A318" s="36">
        <v>3</v>
      </c>
      <c r="B318" s="37"/>
      <c r="C318" s="37"/>
      <c r="D318" s="23" t="s">
        <v>284</v>
      </c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5"/>
      <c r="W318" s="33">
        <v>61</v>
      </c>
      <c r="X318" s="33"/>
      <c r="Y318" s="33"/>
      <c r="Z318" s="33">
        <v>47</v>
      </c>
      <c r="AA318" s="33"/>
      <c r="AB318" s="33"/>
      <c r="AC318" s="33">
        <v>0</v>
      </c>
      <c r="AD318" s="33"/>
      <c r="AE318" s="33"/>
      <c r="AF318" s="33">
        <v>0</v>
      </c>
      <c r="AG318" s="33"/>
      <c r="AH318" s="33"/>
      <c r="AI318" s="33">
        <v>61</v>
      </c>
      <c r="AJ318" s="33"/>
      <c r="AK318" s="33"/>
      <c r="AL318" s="33">
        <v>60</v>
      </c>
      <c r="AM318" s="33"/>
      <c r="AN318" s="33"/>
      <c r="AO318" s="33">
        <v>0</v>
      </c>
      <c r="AP318" s="33"/>
      <c r="AQ318" s="33"/>
      <c r="AR318" s="33">
        <v>0</v>
      </c>
      <c r="AS318" s="33"/>
      <c r="AT318" s="33"/>
      <c r="AU318" s="33">
        <v>61</v>
      </c>
      <c r="AV318" s="33"/>
      <c r="AW318" s="33"/>
      <c r="AX318" s="33">
        <v>0</v>
      </c>
      <c r="AY318" s="33"/>
      <c r="AZ318" s="33"/>
      <c r="BA318" s="33">
        <v>61</v>
      </c>
      <c r="BB318" s="33"/>
      <c r="BC318" s="33"/>
      <c r="BD318" s="33">
        <v>0</v>
      </c>
      <c r="BE318" s="33"/>
      <c r="BF318" s="33"/>
      <c r="BG318" s="33">
        <v>61</v>
      </c>
      <c r="BH318" s="33"/>
      <c r="BI318" s="33"/>
      <c r="BJ318" s="33">
        <v>0</v>
      </c>
      <c r="BK318" s="33"/>
      <c r="BL318" s="33"/>
    </row>
    <row r="319" spans="1:79" s="4" customFormat="1" ht="25.5" customHeight="1" x14ac:dyDescent="0.2">
      <c r="A319" s="34">
        <v>4</v>
      </c>
      <c r="B319" s="35"/>
      <c r="C319" s="35"/>
      <c r="D319" s="29" t="s">
        <v>285</v>
      </c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1"/>
      <c r="W319" s="32" t="s">
        <v>173</v>
      </c>
      <c r="X319" s="32"/>
      <c r="Y319" s="32"/>
      <c r="Z319" s="32" t="s">
        <v>173</v>
      </c>
      <c r="AA319" s="32"/>
      <c r="AB319" s="32"/>
      <c r="AC319" s="32"/>
      <c r="AD319" s="32"/>
      <c r="AE319" s="32"/>
      <c r="AF319" s="32"/>
      <c r="AG319" s="32"/>
      <c r="AH319" s="32"/>
      <c r="AI319" s="32" t="s">
        <v>173</v>
      </c>
      <c r="AJ319" s="32"/>
      <c r="AK319" s="32"/>
      <c r="AL319" s="32" t="s">
        <v>173</v>
      </c>
      <c r="AM319" s="32"/>
      <c r="AN319" s="32"/>
      <c r="AO319" s="32"/>
      <c r="AP319" s="32"/>
      <c r="AQ319" s="32"/>
      <c r="AR319" s="32"/>
      <c r="AS319" s="32"/>
      <c r="AT319" s="32"/>
      <c r="AU319" s="32" t="s">
        <v>173</v>
      </c>
      <c r="AV319" s="32"/>
      <c r="AW319" s="32"/>
      <c r="AX319" s="32"/>
      <c r="AY319" s="32"/>
      <c r="AZ319" s="32"/>
      <c r="BA319" s="32" t="s">
        <v>173</v>
      </c>
      <c r="BB319" s="32"/>
      <c r="BC319" s="32"/>
      <c r="BD319" s="32"/>
      <c r="BE319" s="32"/>
      <c r="BF319" s="32"/>
      <c r="BG319" s="32" t="s">
        <v>173</v>
      </c>
      <c r="BH319" s="32"/>
      <c r="BI319" s="32"/>
      <c r="BJ319" s="32"/>
      <c r="BK319" s="32"/>
      <c r="BL319" s="32"/>
    </row>
    <row r="321" spans="1:79" ht="14.25" customHeight="1" x14ac:dyDescent="0.2">
      <c r="A321" s="60" t="s">
        <v>153</v>
      </c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</row>
    <row r="322" spans="1:79" ht="14.25" customHeight="1" x14ac:dyDescent="0.2">
      <c r="A322" s="60" t="s">
        <v>313</v>
      </c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</row>
    <row r="323" spans="1:79" ht="15" customHeight="1" x14ac:dyDescent="0.2">
      <c r="A323" s="65" t="s">
        <v>295</v>
      </c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  <c r="BE323" s="65"/>
      <c r="BF323" s="65"/>
      <c r="BG323" s="65"/>
      <c r="BH323" s="65"/>
      <c r="BI323" s="65"/>
      <c r="BJ323" s="65"/>
      <c r="BK323" s="65"/>
      <c r="BL323" s="65"/>
      <c r="BM323" s="65"/>
      <c r="BN323" s="65"/>
      <c r="BO323" s="65"/>
      <c r="BP323" s="65"/>
      <c r="BQ323" s="65"/>
      <c r="BR323" s="65"/>
      <c r="BS323" s="65"/>
    </row>
    <row r="324" spans="1:79" ht="15" customHeight="1" x14ac:dyDescent="0.2">
      <c r="A324" s="39" t="s">
        <v>6</v>
      </c>
      <c r="B324" s="39"/>
      <c r="C324" s="39"/>
      <c r="D324" s="39"/>
      <c r="E324" s="39"/>
      <c r="F324" s="39"/>
      <c r="G324" s="39" t="s">
        <v>126</v>
      </c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 t="s">
        <v>13</v>
      </c>
      <c r="U324" s="39"/>
      <c r="V324" s="39"/>
      <c r="W324" s="39"/>
      <c r="X324" s="39"/>
      <c r="Y324" s="39"/>
      <c r="Z324" s="39"/>
      <c r="AA324" s="72" t="s">
        <v>296</v>
      </c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5"/>
      <c r="AP324" s="72" t="s">
        <v>299</v>
      </c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4"/>
      <c r="BE324" s="72" t="s">
        <v>307</v>
      </c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4"/>
    </row>
    <row r="325" spans="1:79" ht="32.1" customHeight="1" x14ac:dyDescent="0.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 t="s">
        <v>4</v>
      </c>
      <c r="AB325" s="39"/>
      <c r="AC325" s="39"/>
      <c r="AD325" s="39"/>
      <c r="AE325" s="39"/>
      <c r="AF325" s="39" t="s">
        <v>3</v>
      </c>
      <c r="AG325" s="39"/>
      <c r="AH325" s="39"/>
      <c r="AI325" s="39"/>
      <c r="AJ325" s="39"/>
      <c r="AK325" s="39" t="s">
        <v>89</v>
      </c>
      <c r="AL325" s="39"/>
      <c r="AM325" s="39"/>
      <c r="AN325" s="39"/>
      <c r="AO325" s="39"/>
      <c r="AP325" s="39" t="s">
        <v>4</v>
      </c>
      <c r="AQ325" s="39"/>
      <c r="AR325" s="39"/>
      <c r="AS325" s="39"/>
      <c r="AT325" s="39"/>
      <c r="AU325" s="39" t="s">
        <v>3</v>
      </c>
      <c r="AV325" s="39"/>
      <c r="AW325" s="39"/>
      <c r="AX325" s="39"/>
      <c r="AY325" s="39"/>
      <c r="AZ325" s="39" t="s">
        <v>96</v>
      </c>
      <c r="BA325" s="39"/>
      <c r="BB325" s="39"/>
      <c r="BC325" s="39"/>
      <c r="BD325" s="39"/>
      <c r="BE325" s="39" t="s">
        <v>4</v>
      </c>
      <c r="BF325" s="39"/>
      <c r="BG325" s="39"/>
      <c r="BH325" s="39"/>
      <c r="BI325" s="39"/>
      <c r="BJ325" s="39" t="s">
        <v>3</v>
      </c>
      <c r="BK325" s="39"/>
      <c r="BL325" s="39"/>
      <c r="BM325" s="39"/>
      <c r="BN325" s="39"/>
      <c r="BO325" s="39" t="s">
        <v>127</v>
      </c>
      <c r="BP325" s="39"/>
      <c r="BQ325" s="39"/>
      <c r="BR325" s="39"/>
      <c r="BS325" s="39"/>
    </row>
    <row r="326" spans="1:79" ht="15" customHeight="1" x14ac:dyDescent="0.2">
      <c r="A326" s="39">
        <v>1</v>
      </c>
      <c r="B326" s="39"/>
      <c r="C326" s="39"/>
      <c r="D326" s="39"/>
      <c r="E326" s="39"/>
      <c r="F326" s="39"/>
      <c r="G326" s="39">
        <v>2</v>
      </c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>
        <v>3</v>
      </c>
      <c r="U326" s="39"/>
      <c r="V326" s="39"/>
      <c r="W326" s="39"/>
      <c r="X326" s="39"/>
      <c r="Y326" s="39"/>
      <c r="Z326" s="39"/>
      <c r="AA326" s="39">
        <v>4</v>
      </c>
      <c r="AB326" s="39"/>
      <c r="AC326" s="39"/>
      <c r="AD326" s="39"/>
      <c r="AE326" s="39"/>
      <c r="AF326" s="39">
        <v>5</v>
      </c>
      <c r="AG326" s="39"/>
      <c r="AH326" s="39"/>
      <c r="AI326" s="39"/>
      <c r="AJ326" s="39"/>
      <c r="AK326" s="39">
        <v>6</v>
      </c>
      <c r="AL326" s="39"/>
      <c r="AM326" s="39"/>
      <c r="AN326" s="39"/>
      <c r="AO326" s="39"/>
      <c r="AP326" s="39">
        <v>7</v>
      </c>
      <c r="AQ326" s="39"/>
      <c r="AR326" s="39"/>
      <c r="AS326" s="39"/>
      <c r="AT326" s="39"/>
      <c r="AU326" s="39">
        <v>8</v>
      </c>
      <c r="AV326" s="39"/>
      <c r="AW326" s="39"/>
      <c r="AX326" s="39"/>
      <c r="AY326" s="39"/>
      <c r="AZ326" s="39">
        <v>9</v>
      </c>
      <c r="BA326" s="39"/>
      <c r="BB326" s="39"/>
      <c r="BC326" s="39"/>
      <c r="BD326" s="39"/>
      <c r="BE326" s="39">
        <v>10</v>
      </c>
      <c r="BF326" s="39"/>
      <c r="BG326" s="39"/>
      <c r="BH326" s="39"/>
      <c r="BI326" s="39"/>
      <c r="BJ326" s="39">
        <v>11</v>
      </c>
      <c r="BK326" s="39"/>
      <c r="BL326" s="39"/>
      <c r="BM326" s="39"/>
      <c r="BN326" s="39"/>
      <c r="BO326" s="39">
        <v>12</v>
      </c>
      <c r="BP326" s="39"/>
      <c r="BQ326" s="39"/>
      <c r="BR326" s="39"/>
      <c r="BS326" s="39"/>
    </row>
    <row r="327" spans="1:79" s="1" customFormat="1" ht="15" hidden="1" customHeight="1" x14ac:dyDescent="0.2">
      <c r="A327" s="64" t="s">
        <v>69</v>
      </c>
      <c r="B327" s="64"/>
      <c r="C327" s="64"/>
      <c r="D327" s="64"/>
      <c r="E327" s="64"/>
      <c r="F327" s="64"/>
      <c r="G327" s="63" t="s">
        <v>57</v>
      </c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 t="s">
        <v>79</v>
      </c>
      <c r="U327" s="63"/>
      <c r="V327" s="63"/>
      <c r="W327" s="63"/>
      <c r="X327" s="63"/>
      <c r="Y327" s="63"/>
      <c r="Z327" s="63"/>
      <c r="AA327" s="62" t="s">
        <v>65</v>
      </c>
      <c r="AB327" s="62"/>
      <c r="AC327" s="62"/>
      <c r="AD327" s="62"/>
      <c r="AE327" s="62"/>
      <c r="AF327" s="62" t="s">
        <v>66</v>
      </c>
      <c r="AG327" s="62"/>
      <c r="AH327" s="62"/>
      <c r="AI327" s="62"/>
      <c r="AJ327" s="62"/>
      <c r="AK327" s="82" t="s">
        <v>122</v>
      </c>
      <c r="AL327" s="82"/>
      <c r="AM327" s="82"/>
      <c r="AN327" s="82"/>
      <c r="AO327" s="82"/>
      <c r="AP327" s="62" t="s">
        <v>67</v>
      </c>
      <c r="AQ327" s="62"/>
      <c r="AR327" s="62"/>
      <c r="AS327" s="62"/>
      <c r="AT327" s="62"/>
      <c r="AU327" s="62" t="s">
        <v>68</v>
      </c>
      <c r="AV327" s="62"/>
      <c r="AW327" s="62"/>
      <c r="AX327" s="62"/>
      <c r="AY327" s="62"/>
      <c r="AZ327" s="82" t="s">
        <v>122</v>
      </c>
      <c r="BA327" s="82"/>
      <c r="BB327" s="82"/>
      <c r="BC327" s="82"/>
      <c r="BD327" s="82"/>
      <c r="BE327" s="62" t="s">
        <v>58</v>
      </c>
      <c r="BF327" s="62"/>
      <c r="BG327" s="62"/>
      <c r="BH327" s="62"/>
      <c r="BI327" s="62"/>
      <c r="BJ327" s="62" t="s">
        <v>59</v>
      </c>
      <c r="BK327" s="62"/>
      <c r="BL327" s="62"/>
      <c r="BM327" s="62"/>
      <c r="BN327" s="62"/>
      <c r="BO327" s="82" t="s">
        <v>122</v>
      </c>
      <c r="BP327" s="82"/>
      <c r="BQ327" s="82"/>
      <c r="BR327" s="82"/>
      <c r="BS327" s="82"/>
      <c r="CA327" s="1" t="s">
        <v>44</v>
      </c>
    </row>
    <row r="328" spans="1:79" s="5" customFormat="1" ht="12.75" customHeight="1" x14ac:dyDescent="0.2">
      <c r="A328" s="22"/>
      <c r="B328" s="22"/>
      <c r="C328" s="22"/>
      <c r="D328" s="22"/>
      <c r="E328" s="22"/>
      <c r="F328" s="22"/>
      <c r="G328" s="20" t="s">
        <v>147</v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83"/>
      <c r="U328" s="83"/>
      <c r="V328" s="83"/>
      <c r="W328" s="83"/>
      <c r="X328" s="83"/>
      <c r="Y328" s="83"/>
      <c r="Z328" s="83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>
        <f>IF(ISNUMBER(AA328),AA328,0)+IF(ISNUMBER(AF328),AF328,0)</f>
        <v>0</v>
      </c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>
        <f>IF(ISNUMBER(AP328),AP328,0)+IF(ISNUMBER(AU328),AU328,0)</f>
        <v>0</v>
      </c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>
        <f>IF(ISNUMBER(BE328),BE328,0)+IF(ISNUMBER(BJ328),BJ328,0)</f>
        <v>0</v>
      </c>
      <c r="BP328" s="26"/>
      <c r="BQ328" s="26"/>
      <c r="BR328" s="26"/>
      <c r="BS328" s="26"/>
      <c r="CA328" s="5" t="s">
        <v>45</v>
      </c>
    </row>
    <row r="330" spans="1:79" ht="13.5" customHeight="1" x14ac:dyDescent="0.2">
      <c r="A330" s="60" t="s">
        <v>328</v>
      </c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</row>
    <row r="331" spans="1:79" ht="15" customHeight="1" x14ac:dyDescent="0.2">
      <c r="A331" s="75" t="s">
        <v>295</v>
      </c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5"/>
      <c r="AM331" s="75"/>
      <c r="AN331" s="75"/>
      <c r="AO331" s="75"/>
      <c r="AP331" s="75"/>
      <c r="AQ331" s="75"/>
      <c r="AR331" s="75"/>
      <c r="AS331" s="75"/>
      <c r="AT331" s="75"/>
      <c r="AU331" s="75"/>
      <c r="AV331" s="75"/>
      <c r="AW331" s="75"/>
      <c r="AX331" s="75"/>
      <c r="AY331" s="75"/>
      <c r="AZ331" s="75"/>
      <c r="BA331" s="75"/>
      <c r="BB331" s="75"/>
      <c r="BC331" s="75"/>
      <c r="BD331" s="75"/>
    </row>
    <row r="332" spans="1:79" ht="15" customHeight="1" x14ac:dyDescent="0.2">
      <c r="A332" s="39" t="s">
        <v>6</v>
      </c>
      <c r="B332" s="39"/>
      <c r="C332" s="39"/>
      <c r="D332" s="39"/>
      <c r="E332" s="39"/>
      <c r="F332" s="39"/>
      <c r="G332" s="39" t="s">
        <v>126</v>
      </c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 t="s">
        <v>13</v>
      </c>
      <c r="U332" s="39"/>
      <c r="V332" s="39"/>
      <c r="W332" s="39"/>
      <c r="X332" s="39"/>
      <c r="Y332" s="39"/>
      <c r="Z332" s="39"/>
      <c r="AA332" s="72" t="s">
        <v>317</v>
      </c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5"/>
      <c r="AP332" s="72" t="s">
        <v>322</v>
      </c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4"/>
    </row>
    <row r="333" spans="1:79" ht="32.1" customHeight="1" x14ac:dyDescent="0.2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 t="s">
        <v>4</v>
      </c>
      <c r="AB333" s="39"/>
      <c r="AC333" s="39"/>
      <c r="AD333" s="39"/>
      <c r="AE333" s="39"/>
      <c r="AF333" s="39" t="s">
        <v>3</v>
      </c>
      <c r="AG333" s="39"/>
      <c r="AH333" s="39"/>
      <c r="AI333" s="39"/>
      <c r="AJ333" s="39"/>
      <c r="AK333" s="39" t="s">
        <v>89</v>
      </c>
      <c r="AL333" s="39"/>
      <c r="AM333" s="39"/>
      <c r="AN333" s="39"/>
      <c r="AO333" s="39"/>
      <c r="AP333" s="39" t="s">
        <v>4</v>
      </c>
      <c r="AQ333" s="39"/>
      <c r="AR333" s="39"/>
      <c r="AS333" s="39"/>
      <c r="AT333" s="39"/>
      <c r="AU333" s="39" t="s">
        <v>3</v>
      </c>
      <c r="AV333" s="39"/>
      <c r="AW333" s="39"/>
      <c r="AX333" s="39"/>
      <c r="AY333" s="39"/>
      <c r="AZ333" s="39" t="s">
        <v>96</v>
      </c>
      <c r="BA333" s="39"/>
      <c r="BB333" s="39"/>
      <c r="BC333" s="39"/>
      <c r="BD333" s="39"/>
    </row>
    <row r="334" spans="1:79" ht="15" customHeight="1" x14ac:dyDescent="0.2">
      <c r="A334" s="39">
        <v>1</v>
      </c>
      <c r="B334" s="39"/>
      <c r="C334" s="39"/>
      <c r="D334" s="39"/>
      <c r="E334" s="39"/>
      <c r="F334" s="39"/>
      <c r="G334" s="39">
        <v>2</v>
      </c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>
        <v>3</v>
      </c>
      <c r="U334" s="39"/>
      <c r="V334" s="39"/>
      <c r="W334" s="39"/>
      <c r="X334" s="39"/>
      <c r="Y334" s="39"/>
      <c r="Z334" s="39"/>
      <c r="AA334" s="39">
        <v>4</v>
      </c>
      <c r="AB334" s="39"/>
      <c r="AC334" s="39"/>
      <c r="AD334" s="39"/>
      <c r="AE334" s="39"/>
      <c r="AF334" s="39">
        <v>5</v>
      </c>
      <c r="AG334" s="39"/>
      <c r="AH334" s="39"/>
      <c r="AI334" s="39"/>
      <c r="AJ334" s="39"/>
      <c r="AK334" s="39">
        <v>6</v>
      </c>
      <c r="AL334" s="39"/>
      <c r="AM334" s="39"/>
      <c r="AN334" s="39"/>
      <c r="AO334" s="39"/>
      <c r="AP334" s="39">
        <v>7</v>
      </c>
      <c r="AQ334" s="39"/>
      <c r="AR334" s="39"/>
      <c r="AS334" s="39"/>
      <c r="AT334" s="39"/>
      <c r="AU334" s="39">
        <v>8</v>
      </c>
      <c r="AV334" s="39"/>
      <c r="AW334" s="39"/>
      <c r="AX334" s="39"/>
      <c r="AY334" s="39"/>
      <c r="AZ334" s="39">
        <v>9</v>
      </c>
      <c r="BA334" s="39"/>
      <c r="BB334" s="39"/>
      <c r="BC334" s="39"/>
      <c r="BD334" s="39"/>
    </row>
    <row r="335" spans="1:79" s="1" customFormat="1" ht="12" hidden="1" customHeight="1" x14ac:dyDescent="0.2">
      <c r="A335" s="64" t="s">
        <v>69</v>
      </c>
      <c r="B335" s="64"/>
      <c r="C335" s="64"/>
      <c r="D335" s="64"/>
      <c r="E335" s="64"/>
      <c r="F335" s="64"/>
      <c r="G335" s="63" t="s">
        <v>57</v>
      </c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 t="s">
        <v>79</v>
      </c>
      <c r="U335" s="63"/>
      <c r="V335" s="63"/>
      <c r="W335" s="63"/>
      <c r="X335" s="63"/>
      <c r="Y335" s="63"/>
      <c r="Z335" s="63"/>
      <c r="AA335" s="62" t="s">
        <v>60</v>
      </c>
      <c r="AB335" s="62"/>
      <c r="AC335" s="62"/>
      <c r="AD335" s="62"/>
      <c r="AE335" s="62"/>
      <c r="AF335" s="62" t="s">
        <v>61</v>
      </c>
      <c r="AG335" s="62"/>
      <c r="AH335" s="62"/>
      <c r="AI335" s="62"/>
      <c r="AJ335" s="62"/>
      <c r="AK335" s="82" t="s">
        <v>122</v>
      </c>
      <c r="AL335" s="82"/>
      <c r="AM335" s="82"/>
      <c r="AN335" s="82"/>
      <c r="AO335" s="82"/>
      <c r="AP335" s="62" t="s">
        <v>62</v>
      </c>
      <c r="AQ335" s="62"/>
      <c r="AR335" s="62"/>
      <c r="AS335" s="62"/>
      <c r="AT335" s="62"/>
      <c r="AU335" s="62" t="s">
        <v>63</v>
      </c>
      <c r="AV335" s="62"/>
      <c r="AW335" s="62"/>
      <c r="AX335" s="62"/>
      <c r="AY335" s="62"/>
      <c r="AZ335" s="82" t="s">
        <v>122</v>
      </c>
      <c r="BA335" s="82"/>
      <c r="BB335" s="82"/>
      <c r="BC335" s="82"/>
      <c r="BD335" s="82"/>
      <c r="CA335" s="1" t="s">
        <v>46</v>
      </c>
    </row>
    <row r="336" spans="1:79" s="5" customFormat="1" x14ac:dyDescent="0.2">
      <c r="A336" s="22"/>
      <c r="B336" s="22"/>
      <c r="C336" s="22"/>
      <c r="D336" s="22"/>
      <c r="E336" s="22"/>
      <c r="F336" s="22"/>
      <c r="G336" s="20" t="s">
        <v>147</v>
      </c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83"/>
      <c r="U336" s="83"/>
      <c r="V336" s="83"/>
      <c r="W336" s="83"/>
      <c r="X336" s="83"/>
      <c r="Y336" s="83"/>
      <c r="Z336" s="83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>
        <f>IF(ISNUMBER(AA336),AA336,0)+IF(ISNUMBER(AF336),AF336,0)</f>
        <v>0</v>
      </c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>
        <f>IF(ISNUMBER(AP336),AP336,0)+IF(ISNUMBER(AU336),AU336,0)</f>
        <v>0</v>
      </c>
      <c r="BA336" s="26"/>
      <c r="BB336" s="26"/>
      <c r="BC336" s="26"/>
      <c r="BD336" s="26"/>
      <c r="CA336" s="5" t="s">
        <v>47</v>
      </c>
    </row>
    <row r="338" spans="1:79" ht="14.25" customHeight="1" x14ac:dyDescent="0.2">
      <c r="A338" s="60" t="s">
        <v>329</v>
      </c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  <c r="BL338" s="60"/>
    </row>
    <row r="339" spans="1:79" ht="15" customHeight="1" x14ac:dyDescent="0.2">
      <c r="A339" s="75" t="s">
        <v>295</v>
      </c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65"/>
      <c r="BG339" s="65"/>
      <c r="BH339" s="65"/>
      <c r="BI339" s="65"/>
      <c r="BJ339" s="65"/>
      <c r="BK339" s="65"/>
      <c r="BL339" s="65"/>
      <c r="BM339" s="65"/>
    </row>
    <row r="340" spans="1:79" ht="17.25" customHeight="1" x14ac:dyDescent="0.2">
      <c r="A340" s="39" t="s">
        <v>128</v>
      </c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76" t="s">
        <v>129</v>
      </c>
      <c r="O340" s="77"/>
      <c r="P340" s="77"/>
      <c r="Q340" s="77"/>
      <c r="R340" s="77"/>
      <c r="S340" s="77"/>
      <c r="T340" s="77"/>
      <c r="U340" s="78"/>
      <c r="V340" s="76" t="s">
        <v>130</v>
      </c>
      <c r="W340" s="77"/>
      <c r="X340" s="77"/>
      <c r="Y340" s="77"/>
      <c r="Z340" s="78"/>
      <c r="AA340" s="39" t="s">
        <v>296</v>
      </c>
      <c r="AB340" s="39"/>
      <c r="AC340" s="39"/>
      <c r="AD340" s="39"/>
      <c r="AE340" s="39"/>
      <c r="AF340" s="39"/>
      <c r="AG340" s="39"/>
      <c r="AH340" s="39"/>
      <c r="AI340" s="39"/>
      <c r="AJ340" s="39" t="s">
        <v>299</v>
      </c>
      <c r="AK340" s="39"/>
      <c r="AL340" s="39"/>
      <c r="AM340" s="39"/>
      <c r="AN340" s="39"/>
      <c r="AO340" s="39"/>
      <c r="AP340" s="39"/>
      <c r="AQ340" s="39"/>
      <c r="AR340" s="39"/>
      <c r="AS340" s="39" t="s">
        <v>307</v>
      </c>
      <c r="AT340" s="39"/>
      <c r="AU340" s="39"/>
      <c r="AV340" s="39"/>
      <c r="AW340" s="39"/>
      <c r="AX340" s="39"/>
      <c r="AY340" s="39"/>
      <c r="AZ340" s="39"/>
      <c r="BA340" s="39"/>
      <c r="BB340" s="39" t="s">
        <v>317</v>
      </c>
      <c r="BC340" s="39"/>
      <c r="BD340" s="39"/>
      <c r="BE340" s="39"/>
      <c r="BF340" s="39"/>
      <c r="BG340" s="39"/>
      <c r="BH340" s="39"/>
      <c r="BI340" s="39"/>
      <c r="BJ340" s="39"/>
      <c r="BK340" s="39" t="s">
        <v>322</v>
      </c>
      <c r="BL340" s="39"/>
      <c r="BM340" s="39"/>
      <c r="BN340" s="39"/>
      <c r="BO340" s="39"/>
      <c r="BP340" s="39"/>
      <c r="BQ340" s="39"/>
      <c r="BR340" s="39"/>
      <c r="BS340" s="39"/>
    </row>
    <row r="341" spans="1:79" ht="95.25" customHeight="1" x14ac:dyDescent="0.2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79"/>
      <c r="O341" s="80"/>
      <c r="P341" s="80"/>
      <c r="Q341" s="80"/>
      <c r="R341" s="80"/>
      <c r="S341" s="80"/>
      <c r="T341" s="80"/>
      <c r="U341" s="81"/>
      <c r="V341" s="79"/>
      <c r="W341" s="80"/>
      <c r="X341" s="80"/>
      <c r="Y341" s="80"/>
      <c r="Z341" s="81"/>
      <c r="AA341" s="66" t="s">
        <v>133</v>
      </c>
      <c r="AB341" s="66"/>
      <c r="AC341" s="66"/>
      <c r="AD341" s="66"/>
      <c r="AE341" s="66"/>
      <c r="AF341" s="66" t="s">
        <v>134</v>
      </c>
      <c r="AG341" s="66"/>
      <c r="AH341" s="66"/>
      <c r="AI341" s="66"/>
      <c r="AJ341" s="66" t="s">
        <v>133</v>
      </c>
      <c r="AK341" s="66"/>
      <c r="AL341" s="66"/>
      <c r="AM341" s="66"/>
      <c r="AN341" s="66"/>
      <c r="AO341" s="66" t="s">
        <v>134</v>
      </c>
      <c r="AP341" s="66"/>
      <c r="AQ341" s="66"/>
      <c r="AR341" s="66"/>
      <c r="AS341" s="66" t="s">
        <v>133</v>
      </c>
      <c r="AT341" s="66"/>
      <c r="AU341" s="66"/>
      <c r="AV341" s="66"/>
      <c r="AW341" s="66"/>
      <c r="AX341" s="66" t="s">
        <v>134</v>
      </c>
      <c r="AY341" s="66"/>
      <c r="AZ341" s="66"/>
      <c r="BA341" s="66"/>
      <c r="BB341" s="66" t="s">
        <v>133</v>
      </c>
      <c r="BC341" s="66"/>
      <c r="BD341" s="66"/>
      <c r="BE341" s="66"/>
      <c r="BF341" s="66"/>
      <c r="BG341" s="66" t="s">
        <v>134</v>
      </c>
      <c r="BH341" s="66"/>
      <c r="BI341" s="66"/>
      <c r="BJ341" s="66"/>
      <c r="BK341" s="66" t="s">
        <v>133</v>
      </c>
      <c r="BL341" s="66"/>
      <c r="BM341" s="66"/>
      <c r="BN341" s="66"/>
      <c r="BO341" s="66"/>
      <c r="BP341" s="66" t="s">
        <v>134</v>
      </c>
      <c r="BQ341" s="66"/>
      <c r="BR341" s="66"/>
      <c r="BS341" s="66"/>
    </row>
    <row r="342" spans="1:79" ht="15" customHeight="1" x14ac:dyDescent="0.2">
      <c r="A342" s="39">
        <v>1</v>
      </c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72">
        <v>2</v>
      </c>
      <c r="O342" s="73"/>
      <c r="P342" s="73"/>
      <c r="Q342" s="73"/>
      <c r="R342" s="73"/>
      <c r="S342" s="73"/>
      <c r="T342" s="73"/>
      <c r="U342" s="74"/>
      <c r="V342" s="39">
        <v>3</v>
      </c>
      <c r="W342" s="39"/>
      <c r="X342" s="39"/>
      <c r="Y342" s="39"/>
      <c r="Z342" s="39"/>
      <c r="AA342" s="39">
        <v>4</v>
      </c>
      <c r="AB342" s="39"/>
      <c r="AC342" s="39"/>
      <c r="AD342" s="39"/>
      <c r="AE342" s="39"/>
      <c r="AF342" s="39">
        <v>5</v>
      </c>
      <c r="AG342" s="39"/>
      <c r="AH342" s="39"/>
      <c r="AI342" s="39"/>
      <c r="AJ342" s="39">
        <v>6</v>
      </c>
      <c r="AK342" s="39"/>
      <c r="AL342" s="39"/>
      <c r="AM342" s="39"/>
      <c r="AN342" s="39"/>
      <c r="AO342" s="39">
        <v>7</v>
      </c>
      <c r="AP342" s="39"/>
      <c r="AQ342" s="39"/>
      <c r="AR342" s="39"/>
      <c r="AS342" s="39">
        <v>8</v>
      </c>
      <c r="AT342" s="39"/>
      <c r="AU342" s="39"/>
      <c r="AV342" s="39"/>
      <c r="AW342" s="39"/>
      <c r="AX342" s="39">
        <v>9</v>
      </c>
      <c r="AY342" s="39"/>
      <c r="AZ342" s="39"/>
      <c r="BA342" s="39"/>
      <c r="BB342" s="39">
        <v>10</v>
      </c>
      <c r="BC342" s="39"/>
      <c r="BD342" s="39"/>
      <c r="BE342" s="39"/>
      <c r="BF342" s="39"/>
      <c r="BG342" s="39">
        <v>11</v>
      </c>
      <c r="BH342" s="39"/>
      <c r="BI342" s="39"/>
      <c r="BJ342" s="39"/>
      <c r="BK342" s="39">
        <v>12</v>
      </c>
      <c r="BL342" s="39"/>
      <c r="BM342" s="39"/>
      <c r="BN342" s="39"/>
      <c r="BO342" s="39"/>
      <c r="BP342" s="39">
        <v>13</v>
      </c>
      <c r="BQ342" s="39"/>
      <c r="BR342" s="39"/>
      <c r="BS342" s="39"/>
    </row>
    <row r="343" spans="1:79" s="1" customFormat="1" ht="12" hidden="1" customHeight="1" x14ac:dyDescent="0.2">
      <c r="A343" s="63" t="s">
        <v>146</v>
      </c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4" t="s">
        <v>131</v>
      </c>
      <c r="O343" s="64"/>
      <c r="P343" s="64"/>
      <c r="Q343" s="64"/>
      <c r="R343" s="64"/>
      <c r="S343" s="64"/>
      <c r="T343" s="64"/>
      <c r="U343" s="64"/>
      <c r="V343" s="64" t="s">
        <v>132</v>
      </c>
      <c r="W343" s="64"/>
      <c r="X343" s="64"/>
      <c r="Y343" s="64"/>
      <c r="Z343" s="64"/>
      <c r="AA343" s="62" t="s">
        <v>65</v>
      </c>
      <c r="AB343" s="62"/>
      <c r="AC343" s="62"/>
      <c r="AD343" s="62"/>
      <c r="AE343" s="62"/>
      <c r="AF343" s="62" t="s">
        <v>66</v>
      </c>
      <c r="AG343" s="62"/>
      <c r="AH343" s="62"/>
      <c r="AI343" s="62"/>
      <c r="AJ343" s="62" t="s">
        <v>67</v>
      </c>
      <c r="AK343" s="62"/>
      <c r="AL343" s="62"/>
      <c r="AM343" s="62"/>
      <c r="AN343" s="62"/>
      <c r="AO343" s="62" t="s">
        <v>68</v>
      </c>
      <c r="AP343" s="62"/>
      <c r="AQ343" s="62"/>
      <c r="AR343" s="62"/>
      <c r="AS343" s="62" t="s">
        <v>58</v>
      </c>
      <c r="AT343" s="62"/>
      <c r="AU343" s="62"/>
      <c r="AV343" s="62"/>
      <c r="AW343" s="62"/>
      <c r="AX343" s="62" t="s">
        <v>59</v>
      </c>
      <c r="AY343" s="62"/>
      <c r="AZ343" s="62"/>
      <c r="BA343" s="62"/>
      <c r="BB343" s="62" t="s">
        <v>60</v>
      </c>
      <c r="BC343" s="62"/>
      <c r="BD343" s="62"/>
      <c r="BE343" s="62"/>
      <c r="BF343" s="62"/>
      <c r="BG343" s="62" t="s">
        <v>61</v>
      </c>
      <c r="BH343" s="62"/>
      <c r="BI343" s="62"/>
      <c r="BJ343" s="62"/>
      <c r="BK343" s="62" t="s">
        <v>62</v>
      </c>
      <c r="BL343" s="62"/>
      <c r="BM343" s="62"/>
      <c r="BN343" s="62"/>
      <c r="BO343" s="62"/>
      <c r="BP343" s="62" t="s">
        <v>63</v>
      </c>
      <c r="BQ343" s="62"/>
      <c r="BR343" s="62"/>
      <c r="BS343" s="62"/>
      <c r="CA343" s="1" t="s">
        <v>48</v>
      </c>
    </row>
    <row r="344" spans="1:79" s="5" customFormat="1" ht="12.75" customHeight="1" x14ac:dyDescent="0.2">
      <c r="A344" s="20" t="s">
        <v>147</v>
      </c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36"/>
      <c r="O344" s="37"/>
      <c r="P344" s="37"/>
      <c r="Q344" s="37"/>
      <c r="R344" s="37"/>
      <c r="S344" s="37"/>
      <c r="T344" s="37"/>
      <c r="U344" s="50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71"/>
      <c r="BL344" s="71"/>
      <c r="BM344" s="71"/>
      <c r="BN344" s="71"/>
      <c r="BO344" s="71"/>
      <c r="BP344" s="67"/>
      <c r="BQ344" s="68"/>
      <c r="BR344" s="68"/>
      <c r="BS344" s="69"/>
      <c r="CA344" s="5" t="s">
        <v>49</v>
      </c>
    </row>
    <row r="346" spans="1:79" ht="35.25" customHeight="1" x14ac:dyDescent="0.2">
      <c r="A346" s="60" t="s">
        <v>330</v>
      </c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  <c r="BL346" s="60"/>
    </row>
    <row r="347" spans="1:79" ht="75" customHeight="1" x14ac:dyDescent="0.2">
      <c r="A347" s="61" t="s">
        <v>289</v>
      </c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</row>
    <row r="349" spans="1:79" ht="28.5" customHeight="1" x14ac:dyDescent="0.2">
      <c r="A349" s="70" t="s">
        <v>314</v>
      </c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  <c r="AX349" s="70"/>
      <c r="AY349" s="70"/>
      <c r="AZ349" s="70"/>
      <c r="BA349" s="70"/>
      <c r="BB349" s="70"/>
      <c r="BC349" s="70"/>
      <c r="BD349" s="70"/>
      <c r="BE349" s="70"/>
      <c r="BF349" s="70"/>
      <c r="BG349" s="70"/>
      <c r="BH349" s="70"/>
      <c r="BI349" s="70"/>
      <c r="BJ349" s="70"/>
      <c r="BK349" s="70"/>
      <c r="BL349" s="70"/>
    </row>
    <row r="350" spans="1:79" ht="14.25" customHeight="1" x14ac:dyDescent="0.2">
      <c r="A350" s="60" t="s">
        <v>297</v>
      </c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</row>
    <row r="351" spans="1:79" ht="15" customHeight="1" x14ac:dyDescent="0.2">
      <c r="A351" s="65" t="s">
        <v>295</v>
      </c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/>
      <c r="BG351" s="65"/>
      <c r="BH351" s="65"/>
      <c r="BI351" s="65"/>
      <c r="BJ351" s="65"/>
      <c r="BK351" s="65"/>
      <c r="BL351" s="65"/>
    </row>
    <row r="352" spans="1:79" ht="42.95" customHeight="1" x14ac:dyDescent="0.2">
      <c r="A352" s="66" t="s">
        <v>135</v>
      </c>
      <c r="B352" s="66"/>
      <c r="C352" s="66"/>
      <c r="D352" s="66"/>
      <c r="E352" s="66"/>
      <c r="F352" s="66"/>
      <c r="G352" s="39" t="s">
        <v>19</v>
      </c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 t="s">
        <v>15</v>
      </c>
      <c r="U352" s="39"/>
      <c r="V352" s="39"/>
      <c r="W352" s="39"/>
      <c r="X352" s="39"/>
      <c r="Y352" s="39"/>
      <c r="Z352" s="39" t="s">
        <v>14</v>
      </c>
      <c r="AA352" s="39"/>
      <c r="AB352" s="39"/>
      <c r="AC352" s="39"/>
      <c r="AD352" s="39"/>
      <c r="AE352" s="39" t="s">
        <v>136</v>
      </c>
      <c r="AF352" s="39"/>
      <c r="AG352" s="39"/>
      <c r="AH352" s="39"/>
      <c r="AI352" s="39"/>
      <c r="AJ352" s="39"/>
      <c r="AK352" s="39" t="s">
        <v>137</v>
      </c>
      <c r="AL352" s="39"/>
      <c r="AM352" s="39"/>
      <c r="AN352" s="39"/>
      <c r="AO352" s="39"/>
      <c r="AP352" s="39"/>
      <c r="AQ352" s="39" t="s">
        <v>138</v>
      </c>
      <c r="AR352" s="39"/>
      <c r="AS352" s="39"/>
      <c r="AT352" s="39"/>
      <c r="AU352" s="39"/>
      <c r="AV352" s="39"/>
      <c r="AW352" s="39" t="s">
        <v>98</v>
      </c>
      <c r="AX352" s="39"/>
      <c r="AY352" s="39"/>
      <c r="AZ352" s="39"/>
      <c r="BA352" s="39"/>
      <c r="BB352" s="39"/>
      <c r="BC352" s="39"/>
      <c r="BD352" s="39"/>
      <c r="BE352" s="39"/>
      <c r="BF352" s="39"/>
      <c r="BG352" s="39" t="s">
        <v>139</v>
      </c>
      <c r="BH352" s="39"/>
      <c r="BI352" s="39"/>
      <c r="BJ352" s="39"/>
      <c r="BK352" s="39"/>
      <c r="BL352" s="39"/>
    </row>
    <row r="353" spans="1:79" ht="39.950000000000003" customHeight="1" x14ac:dyDescent="0.2">
      <c r="A353" s="66"/>
      <c r="B353" s="66"/>
      <c r="C353" s="66"/>
      <c r="D353" s="66"/>
      <c r="E353" s="66"/>
      <c r="F353" s="66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 t="s">
        <v>17</v>
      </c>
      <c r="AX353" s="39"/>
      <c r="AY353" s="39"/>
      <c r="AZ353" s="39"/>
      <c r="BA353" s="39"/>
      <c r="BB353" s="39" t="s">
        <v>16</v>
      </c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</row>
    <row r="354" spans="1:79" ht="15" customHeight="1" x14ac:dyDescent="0.2">
      <c r="A354" s="39">
        <v>1</v>
      </c>
      <c r="B354" s="39"/>
      <c r="C354" s="39"/>
      <c r="D354" s="39"/>
      <c r="E354" s="39"/>
      <c r="F354" s="39"/>
      <c r="G354" s="39">
        <v>2</v>
      </c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>
        <v>3</v>
      </c>
      <c r="U354" s="39"/>
      <c r="V354" s="39"/>
      <c r="W354" s="39"/>
      <c r="X354" s="39"/>
      <c r="Y354" s="39"/>
      <c r="Z354" s="39">
        <v>4</v>
      </c>
      <c r="AA354" s="39"/>
      <c r="AB354" s="39"/>
      <c r="AC354" s="39"/>
      <c r="AD354" s="39"/>
      <c r="AE354" s="39">
        <v>5</v>
      </c>
      <c r="AF354" s="39"/>
      <c r="AG354" s="39"/>
      <c r="AH354" s="39"/>
      <c r="AI354" s="39"/>
      <c r="AJ354" s="39"/>
      <c r="AK354" s="39">
        <v>6</v>
      </c>
      <c r="AL354" s="39"/>
      <c r="AM354" s="39"/>
      <c r="AN354" s="39"/>
      <c r="AO354" s="39"/>
      <c r="AP354" s="39"/>
      <c r="AQ354" s="39">
        <v>7</v>
      </c>
      <c r="AR354" s="39"/>
      <c r="AS354" s="39"/>
      <c r="AT354" s="39"/>
      <c r="AU354" s="39"/>
      <c r="AV354" s="39"/>
      <c r="AW354" s="39">
        <v>8</v>
      </c>
      <c r="AX354" s="39"/>
      <c r="AY354" s="39"/>
      <c r="AZ354" s="39"/>
      <c r="BA354" s="39"/>
      <c r="BB354" s="39">
        <v>9</v>
      </c>
      <c r="BC354" s="39"/>
      <c r="BD354" s="39"/>
      <c r="BE354" s="39"/>
      <c r="BF354" s="39"/>
      <c r="BG354" s="39">
        <v>10</v>
      </c>
      <c r="BH354" s="39"/>
      <c r="BI354" s="39"/>
      <c r="BJ354" s="39"/>
      <c r="BK354" s="39"/>
      <c r="BL354" s="39"/>
    </row>
    <row r="355" spans="1:79" s="1" customFormat="1" ht="12" hidden="1" customHeight="1" x14ac:dyDescent="0.2">
      <c r="A355" s="64" t="s">
        <v>64</v>
      </c>
      <c r="B355" s="64"/>
      <c r="C355" s="64"/>
      <c r="D355" s="64"/>
      <c r="E355" s="64"/>
      <c r="F355" s="64"/>
      <c r="G355" s="63" t="s">
        <v>57</v>
      </c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2" t="s">
        <v>80</v>
      </c>
      <c r="U355" s="62"/>
      <c r="V355" s="62"/>
      <c r="W355" s="62"/>
      <c r="X355" s="62"/>
      <c r="Y355" s="62"/>
      <c r="Z355" s="62" t="s">
        <v>81</v>
      </c>
      <c r="AA355" s="62"/>
      <c r="AB355" s="62"/>
      <c r="AC355" s="62"/>
      <c r="AD355" s="62"/>
      <c r="AE355" s="62" t="s">
        <v>82</v>
      </c>
      <c r="AF355" s="62"/>
      <c r="AG355" s="62"/>
      <c r="AH355" s="62"/>
      <c r="AI355" s="62"/>
      <c r="AJ355" s="62"/>
      <c r="AK355" s="62" t="s">
        <v>83</v>
      </c>
      <c r="AL355" s="62"/>
      <c r="AM355" s="62"/>
      <c r="AN355" s="62"/>
      <c r="AO355" s="62"/>
      <c r="AP355" s="62"/>
      <c r="AQ355" s="64" t="s">
        <v>99</v>
      </c>
      <c r="AR355" s="62"/>
      <c r="AS355" s="62"/>
      <c r="AT355" s="62"/>
      <c r="AU355" s="62"/>
      <c r="AV355" s="62"/>
      <c r="AW355" s="62" t="s">
        <v>84</v>
      </c>
      <c r="AX355" s="62"/>
      <c r="AY355" s="62"/>
      <c r="AZ355" s="62"/>
      <c r="BA355" s="62"/>
      <c r="BB355" s="62" t="s">
        <v>85</v>
      </c>
      <c r="BC355" s="62"/>
      <c r="BD355" s="62"/>
      <c r="BE355" s="62"/>
      <c r="BF355" s="62"/>
      <c r="BG355" s="64" t="s">
        <v>100</v>
      </c>
      <c r="BH355" s="62"/>
      <c r="BI355" s="62"/>
      <c r="BJ355" s="62"/>
      <c r="BK355" s="62"/>
      <c r="BL355" s="62"/>
      <c r="CA355" s="1" t="s">
        <v>50</v>
      </c>
    </row>
    <row r="356" spans="1:79" s="4" customFormat="1" ht="12.75" customHeight="1" x14ac:dyDescent="0.2">
      <c r="A356" s="28">
        <v>2111</v>
      </c>
      <c r="B356" s="28"/>
      <c r="C356" s="28"/>
      <c r="D356" s="28"/>
      <c r="E356" s="28"/>
      <c r="F356" s="28"/>
      <c r="G356" s="29" t="s">
        <v>181</v>
      </c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1"/>
      <c r="T356" s="27">
        <v>19156779</v>
      </c>
      <c r="U356" s="27"/>
      <c r="V356" s="27"/>
      <c r="W356" s="27"/>
      <c r="X356" s="27"/>
      <c r="Y356" s="27"/>
      <c r="Z356" s="27">
        <v>17478267</v>
      </c>
      <c r="AA356" s="27"/>
      <c r="AB356" s="27"/>
      <c r="AC356" s="27"/>
      <c r="AD356" s="27"/>
      <c r="AE356" s="27">
        <v>0</v>
      </c>
      <c r="AF356" s="27"/>
      <c r="AG356" s="27"/>
      <c r="AH356" s="27"/>
      <c r="AI356" s="27"/>
      <c r="AJ356" s="27"/>
      <c r="AK356" s="27">
        <v>0</v>
      </c>
      <c r="AL356" s="27"/>
      <c r="AM356" s="27"/>
      <c r="AN356" s="27"/>
      <c r="AO356" s="27"/>
      <c r="AP356" s="27"/>
      <c r="AQ356" s="27">
        <f t="shared" ref="AQ356:AQ370" si="20">IF(ISNUMBER(AK356),AK356,0)-IF(ISNUMBER(AE356),AE356,0)</f>
        <v>0</v>
      </c>
      <c r="AR356" s="27"/>
      <c r="AS356" s="27"/>
      <c r="AT356" s="27"/>
      <c r="AU356" s="27"/>
      <c r="AV356" s="27"/>
      <c r="AW356" s="27">
        <v>0</v>
      </c>
      <c r="AX356" s="27"/>
      <c r="AY356" s="27"/>
      <c r="AZ356" s="27"/>
      <c r="BA356" s="27"/>
      <c r="BB356" s="27">
        <v>0</v>
      </c>
      <c r="BC356" s="27"/>
      <c r="BD356" s="27"/>
      <c r="BE356" s="27"/>
      <c r="BF356" s="27"/>
      <c r="BG356" s="27">
        <f t="shared" ref="BG356:BG370" si="21">IF(ISNUMBER(Z356),Z356,0)+IF(ISNUMBER(AK356),AK356,0)</f>
        <v>17478267</v>
      </c>
      <c r="BH356" s="27"/>
      <c r="BI356" s="27"/>
      <c r="BJ356" s="27"/>
      <c r="BK356" s="27"/>
      <c r="BL356" s="27"/>
      <c r="CA356" s="4" t="s">
        <v>51</v>
      </c>
    </row>
    <row r="357" spans="1:79" s="4" customFormat="1" ht="12.75" customHeight="1" x14ac:dyDescent="0.2">
      <c r="A357" s="28">
        <v>2120</v>
      </c>
      <c r="B357" s="28"/>
      <c r="C357" s="28"/>
      <c r="D357" s="28"/>
      <c r="E357" s="28"/>
      <c r="F357" s="28"/>
      <c r="G357" s="29" t="s">
        <v>182</v>
      </c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1"/>
      <c r="T357" s="27">
        <v>4186651</v>
      </c>
      <c r="U357" s="27"/>
      <c r="V357" s="27"/>
      <c r="W357" s="27"/>
      <c r="X357" s="27"/>
      <c r="Y357" s="27"/>
      <c r="Z357" s="27">
        <v>3805939</v>
      </c>
      <c r="AA357" s="27"/>
      <c r="AB357" s="27"/>
      <c r="AC357" s="27"/>
      <c r="AD357" s="27"/>
      <c r="AE357" s="27">
        <v>0</v>
      </c>
      <c r="AF357" s="27"/>
      <c r="AG357" s="27"/>
      <c r="AH357" s="27"/>
      <c r="AI357" s="27"/>
      <c r="AJ357" s="27"/>
      <c r="AK357" s="27">
        <v>0</v>
      </c>
      <c r="AL357" s="27"/>
      <c r="AM357" s="27"/>
      <c r="AN357" s="27"/>
      <c r="AO357" s="27"/>
      <c r="AP357" s="27"/>
      <c r="AQ357" s="27">
        <f t="shared" si="20"/>
        <v>0</v>
      </c>
      <c r="AR357" s="27"/>
      <c r="AS357" s="27"/>
      <c r="AT357" s="27"/>
      <c r="AU357" s="27"/>
      <c r="AV357" s="27"/>
      <c r="AW357" s="27">
        <v>0</v>
      </c>
      <c r="AX357" s="27"/>
      <c r="AY357" s="27"/>
      <c r="AZ357" s="27"/>
      <c r="BA357" s="27"/>
      <c r="BB357" s="27">
        <v>0</v>
      </c>
      <c r="BC357" s="27"/>
      <c r="BD357" s="27"/>
      <c r="BE357" s="27"/>
      <c r="BF357" s="27"/>
      <c r="BG357" s="27">
        <f t="shared" si="21"/>
        <v>3805939</v>
      </c>
      <c r="BH357" s="27"/>
      <c r="BI357" s="27"/>
      <c r="BJ357" s="27"/>
      <c r="BK357" s="27"/>
      <c r="BL357" s="27"/>
    </row>
    <row r="358" spans="1:79" s="4" customFormat="1" ht="25.5" customHeight="1" x14ac:dyDescent="0.2">
      <c r="A358" s="28">
        <v>2210</v>
      </c>
      <c r="B358" s="28"/>
      <c r="C358" s="28"/>
      <c r="D358" s="28"/>
      <c r="E358" s="28"/>
      <c r="F358" s="28"/>
      <c r="G358" s="29" t="s">
        <v>183</v>
      </c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1"/>
      <c r="T358" s="27">
        <v>1878757</v>
      </c>
      <c r="U358" s="27"/>
      <c r="V358" s="27"/>
      <c r="W358" s="27"/>
      <c r="X358" s="27"/>
      <c r="Y358" s="27"/>
      <c r="Z358" s="27">
        <v>1679270</v>
      </c>
      <c r="AA358" s="27"/>
      <c r="AB358" s="27"/>
      <c r="AC358" s="27"/>
      <c r="AD358" s="27"/>
      <c r="AE358" s="27">
        <v>0</v>
      </c>
      <c r="AF358" s="27"/>
      <c r="AG358" s="27"/>
      <c r="AH358" s="27"/>
      <c r="AI358" s="27"/>
      <c r="AJ358" s="27"/>
      <c r="AK358" s="27">
        <v>0</v>
      </c>
      <c r="AL358" s="27"/>
      <c r="AM358" s="27"/>
      <c r="AN358" s="27"/>
      <c r="AO358" s="27"/>
      <c r="AP358" s="27"/>
      <c r="AQ358" s="27">
        <f t="shared" si="20"/>
        <v>0</v>
      </c>
      <c r="AR358" s="27"/>
      <c r="AS358" s="27"/>
      <c r="AT358" s="27"/>
      <c r="AU358" s="27"/>
      <c r="AV358" s="27"/>
      <c r="AW358" s="27">
        <v>0</v>
      </c>
      <c r="AX358" s="27"/>
      <c r="AY358" s="27"/>
      <c r="AZ358" s="27"/>
      <c r="BA358" s="27"/>
      <c r="BB358" s="27">
        <v>0</v>
      </c>
      <c r="BC358" s="27"/>
      <c r="BD358" s="27"/>
      <c r="BE358" s="27"/>
      <c r="BF358" s="27"/>
      <c r="BG358" s="27">
        <f t="shared" si="21"/>
        <v>1679270</v>
      </c>
      <c r="BH358" s="27"/>
      <c r="BI358" s="27"/>
      <c r="BJ358" s="27"/>
      <c r="BK358" s="27"/>
      <c r="BL358" s="27"/>
    </row>
    <row r="359" spans="1:79" s="4" customFormat="1" ht="12.75" customHeight="1" x14ac:dyDescent="0.2">
      <c r="A359" s="28">
        <v>2240</v>
      </c>
      <c r="B359" s="28"/>
      <c r="C359" s="28"/>
      <c r="D359" s="28"/>
      <c r="E359" s="28"/>
      <c r="F359" s="28"/>
      <c r="G359" s="29" t="s">
        <v>185</v>
      </c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1"/>
      <c r="T359" s="27">
        <v>2531509</v>
      </c>
      <c r="U359" s="27"/>
      <c r="V359" s="27"/>
      <c r="W359" s="27"/>
      <c r="X359" s="27"/>
      <c r="Y359" s="27"/>
      <c r="Z359" s="27">
        <v>2040601</v>
      </c>
      <c r="AA359" s="27"/>
      <c r="AB359" s="27"/>
      <c r="AC359" s="27"/>
      <c r="AD359" s="27"/>
      <c r="AE359" s="27">
        <v>0</v>
      </c>
      <c r="AF359" s="27"/>
      <c r="AG359" s="27"/>
      <c r="AH359" s="27"/>
      <c r="AI359" s="27"/>
      <c r="AJ359" s="27"/>
      <c r="AK359" s="27">
        <v>0</v>
      </c>
      <c r="AL359" s="27"/>
      <c r="AM359" s="27"/>
      <c r="AN359" s="27"/>
      <c r="AO359" s="27"/>
      <c r="AP359" s="27"/>
      <c r="AQ359" s="27">
        <f t="shared" si="20"/>
        <v>0</v>
      </c>
      <c r="AR359" s="27"/>
      <c r="AS359" s="27"/>
      <c r="AT359" s="27"/>
      <c r="AU359" s="27"/>
      <c r="AV359" s="27"/>
      <c r="AW359" s="27">
        <v>0</v>
      </c>
      <c r="AX359" s="27"/>
      <c r="AY359" s="27"/>
      <c r="AZ359" s="27"/>
      <c r="BA359" s="27"/>
      <c r="BB359" s="27">
        <v>0</v>
      </c>
      <c r="BC359" s="27"/>
      <c r="BD359" s="27"/>
      <c r="BE359" s="27"/>
      <c r="BF359" s="27"/>
      <c r="BG359" s="27">
        <f t="shared" si="21"/>
        <v>2040601</v>
      </c>
      <c r="BH359" s="27"/>
      <c r="BI359" s="27"/>
      <c r="BJ359" s="27"/>
      <c r="BK359" s="27"/>
      <c r="BL359" s="27"/>
    </row>
    <row r="360" spans="1:79" s="4" customFormat="1" ht="12.75" customHeight="1" x14ac:dyDescent="0.2">
      <c r="A360" s="28">
        <v>2250</v>
      </c>
      <c r="B360" s="28"/>
      <c r="C360" s="28"/>
      <c r="D360" s="28"/>
      <c r="E360" s="28"/>
      <c r="F360" s="28"/>
      <c r="G360" s="29" t="s">
        <v>186</v>
      </c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1"/>
      <c r="T360" s="27">
        <v>100040</v>
      </c>
      <c r="U360" s="27"/>
      <c r="V360" s="27"/>
      <c r="W360" s="27"/>
      <c r="X360" s="27"/>
      <c r="Y360" s="27"/>
      <c r="Z360" s="27">
        <v>58605</v>
      </c>
      <c r="AA360" s="27"/>
      <c r="AB360" s="27"/>
      <c r="AC360" s="27"/>
      <c r="AD360" s="27"/>
      <c r="AE360" s="27">
        <v>0</v>
      </c>
      <c r="AF360" s="27"/>
      <c r="AG360" s="27"/>
      <c r="AH360" s="27"/>
      <c r="AI360" s="27"/>
      <c r="AJ360" s="27"/>
      <c r="AK360" s="27">
        <v>0</v>
      </c>
      <c r="AL360" s="27"/>
      <c r="AM360" s="27"/>
      <c r="AN360" s="27"/>
      <c r="AO360" s="27"/>
      <c r="AP360" s="27"/>
      <c r="AQ360" s="27">
        <f t="shared" si="20"/>
        <v>0</v>
      </c>
      <c r="AR360" s="27"/>
      <c r="AS360" s="27"/>
      <c r="AT360" s="27"/>
      <c r="AU360" s="27"/>
      <c r="AV360" s="27"/>
      <c r="AW360" s="27">
        <v>0</v>
      </c>
      <c r="AX360" s="27"/>
      <c r="AY360" s="27"/>
      <c r="AZ360" s="27"/>
      <c r="BA360" s="27"/>
      <c r="BB360" s="27">
        <v>0</v>
      </c>
      <c r="BC360" s="27"/>
      <c r="BD360" s="27"/>
      <c r="BE360" s="27"/>
      <c r="BF360" s="27"/>
      <c r="BG360" s="27">
        <f t="shared" si="21"/>
        <v>58605</v>
      </c>
      <c r="BH360" s="27"/>
      <c r="BI360" s="27"/>
      <c r="BJ360" s="27"/>
      <c r="BK360" s="27"/>
      <c r="BL360" s="27"/>
    </row>
    <row r="361" spans="1:79" s="4" customFormat="1" ht="12.75" customHeight="1" x14ac:dyDescent="0.2">
      <c r="A361" s="28">
        <v>2271</v>
      </c>
      <c r="B361" s="28"/>
      <c r="C361" s="28"/>
      <c r="D361" s="28"/>
      <c r="E361" s="28"/>
      <c r="F361" s="28"/>
      <c r="G361" s="29" t="s">
        <v>187</v>
      </c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1"/>
      <c r="T361" s="27">
        <v>207176</v>
      </c>
      <c r="U361" s="27"/>
      <c r="V361" s="27"/>
      <c r="W361" s="27"/>
      <c r="X361" s="27"/>
      <c r="Y361" s="27"/>
      <c r="Z361" s="27">
        <v>171176</v>
      </c>
      <c r="AA361" s="27"/>
      <c r="AB361" s="27"/>
      <c r="AC361" s="27"/>
      <c r="AD361" s="27"/>
      <c r="AE361" s="27">
        <v>0</v>
      </c>
      <c r="AF361" s="27"/>
      <c r="AG361" s="27"/>
      <c r="AH361" s="27"/>
      <c r="AI361" s="27"/>
      <c r="AJ361" s="27"/>
      <c r="AK361" s="27">
        <v>0</v>
      </c>
      <c r="AL361" s="27"/>
      <c r="AM361" s="27"/>
      <c r="AN361" s="27"/>
      <c r="AO361" s="27"/>
      <c r="AP361" s="27"/>
      <c r="AQ361" s="27">
        <f t="shared" si="20"/>
        <v>0</v>
      </c>
      <c r="AR361" s="27"/>
      <c r="AS361" s="27"/>
      <c r="AT361" s="27"/>
      <c r="AU361" s="27"/>
      <c r="AV361" s="27"/>
      <c r="AW361" s="27">
        <v>0</v>
      </c>
      <c r="AX361" s="27"/>
      <c r="AY361" s="27"/>
      <c r="AZ361" s="27"/>
      <c r="BA361" s="27"/>
      <c r="BB361" s="27">
        <v>0</v>
      </c>
      <c r="BC361" s="27"/>
      <c r="BD361" s="27"/>
      <c r="BE361" s="27"/>
      <c r="BF361" s="27"/>
      <c r="BG361" s="27">
        <f t="shared" si="21"/>
        <v>171176</v>
      </c>
      <c r="BH361" s="27"/>
      <c r="BI361" s="27"/>
      <c r="BJ361" s="27"/>
      <c r="BK361" s="27"/>
      <c r="BL361" s="27"/>
    </row>
    <row r="362" spans="1:79" s="4" customFormat="1" ht="25.5" customHeight="1" x14ac:dyDescent="0.2">
      <c r="A362" s="28">
        <v>2272</v>
      </c>
      <c r="B362" s="28"/>
      <c r="C362" s="28"/>
      <c r="D362" s="28"/>
      <c r="E362" s="28"/>
      <c r="F362" s="28"/>
      <c r="G362" s="29" t="s">
        <v>188</v>
      </c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1"/>
      <c r="T362" s="27">
        <v>80568</v>
      </c>
      <c r="U362" s="27"/>
      <c r="V362" s="27"/>
      <c r="W362" s="27"/>
      <c r="X362" s="27"/>
      <c r="Y362" s="27"/>
      <c r="Z362" s="27">
        <v>39696</v>
      </c>
      <c r="AA362" s="27"/>
      <c r="AB362" s="27"/>
      <c r="AC362" s="27"/>
      <c r="AD362" s="27"/>
      <c r="AE362" s="27">
        <v>0</v>
      </c>
      <c r="AF362" s="27"/>
      <c r="AG362" s="27"/>
      <c r="AH362" s="27"/>
      <c r="AI362" s="27"/>
      <c r="AJ362" s="27"/>
      <c r="AK362" s="27">
        <v>0</v>
      </c>
      <c r="AL362" s="27"/>
      <c r="AM362" s="27"/>
      <c r="AN362" s="27"/>
      <c r="AO362" s="27"/>
      <c r="AP362" s="27"/>
      <c r="AQ362" s="27">
        <f t="shared" si="20"/>
        <v>0</v>
      </c>
      <c r="AR362" s="27"/>
      <c r="AS362" s="27"/>
      <c r="AT362" s="27"/>
      <c r="AU362" s="27"/>
      <c r="AV362" s="27"/>
      <c r="AW362" s="27">
        <v>0</v>
      </c>
      <c r="AX362" s="27"/>
      <c r="AY362" s="27"/>
      <c r="AZ362" s="27"/>
      <c r="BA362" s="27"/>
      <c r="BB362" s="27">
        <v>0</v>
      </c>
      <c r="BC362" s="27"/>
      <c r="BD362" s="27"/>
      <c r="BE362" s="27"/>
      <c r="BF362" s="27"/>
      <c r="BG362" s="27">
        <f t="shared" si="21"/>
        <v>39696</v>
      </c>
      <c r="BH362" s="27"/>
      <c r="BI362" s="27"/>
      <c r="BJ362" s="27"/>
      <c r="BK362" s="27"/>
      <c r="BL362" s="27"/>
    </row>
    <row r="363" spans="1:79" s="4" customFormat="1" ht="12.75" customHeight="1" x14ac:dyDescent="0.2">
      <c r="A363" s="28">
        <v>2273</v>
      </c>
      <c r="B363" s="28"/>
      <c r="C363" s="28"/>
      <c r="D363" s="28"/>
      <c r="E363" s="28"/>
      <c r="F363" s="28"/>
      <c r="G363" s="29" t="s">
        <v>189</v>
      </c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1"/>
      <c r="T363" s="27">
        <v>1022882</v>
      </c>
      <c r="U363" s="27"/>
      <c r="V363" s="27"/>
      <c r="W363" s="27"/>
      <c r="X363" s="27"/>
      <c r="Y363" s="27"/>
      <c r="Z363" s="27">
        <v>929449</v>
      </c>
      <c r="AA363" s="27"/>
      <c r="AB363" s="27"/>
      <c r="AC363" s="27"/>
      <c r="AD363" s="27"/>
      <c r="AE363" s="27">
        <v>0</v>
      </c>
      <c r="AF363" s="27"/>
      <c r="AG363" s="27"/>
      <c r="AH363" s="27"/>
      <c r="AI363" s="27"/>
      <c r="AJ363" s="27"/>
      <c r="AK363" s="27">
        <v>0</v>
      </c>
      <c r="AL363" s="27"/>
      <c r="AM363" s="27"/>
      <c r="AN363" s="27"/>
      <c r="AO363" s="27"/>
      <c r="AP363" s="27"/>
      <c r="AQ363" s="27">
        <f t="shared" si="20"/>
        <v>0</v>
      </c>
      <c r="AR363" s="27"/>
      <c r="AS363" s="27"/>
      <c r="AT363" s="27"/>
      <c r="AU363" s="27"/>
      <c r="AV363" s="27"/>
      <c r="AW363" s="27">
        <v>0</v>
      </c>
      <c r="AX363" s="27"/>
      <c r="AY363" s="27"/>
      <c r="AZ363" s="27"/>
      <c r="BA363" s="27"/>
      <c r="BB363" s="27">
        <v>0</v>
      </c>
      <c r="BC363" s="27"/>
      <c r="BD363" s="27"/>
      <c r="BE363" s="27"/>
      <c r="BF363" s="27"/>
      <c r="BG363" s="27">
        <f t="shared" si="21"/>
        <v>929449</v>
      </c>
      <c r="BH363" s="27"/>
      <c r="BI363" s="27"/>
      <c r="BJ363" s="27"/>
      <c r="BK363" s="27"/>
      <c r="BL363" s="27"/>
    </row>
    <row r="364" spans="1:79" s="4" customFormat="1" ht="12.75" customHeight="1" x14ac:dyDescent="0.2">
      <c r="A364" s="28">
        <v>2274</v>
      </c>
      <c r="B364" s="28"/>
      <c r="C364" s="28"/>
      <c r="D364" s="28"/>
      <c r="E364" s="28"/>
      <c r="F364" s="28"/>
      <c r="G364" s="29" t="s">
        <v>190</v>
      </c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1"/>
      <c r="T364" s="27">
        <v>148328</v>
      </c>
      <c r="U364" s="27"/>
      <c r="V364" s="27"/>
      <c r="W364" s="27"/>
      <c r="X364" s="27"/>
      <c r="Y364" s="27"/>
      <c r="Z364" s="27">
        <v>93602</v>
      </c>
      <c r="AA364" s="27"/>
      <c r="AB364" s="27"/>
      <c r="AC364" s="27"/>
      <c r="AD364" s="27"/>
      <c r="AE364" s="27">
        <v>0</v>
      </c>
      <c r="AF364" s="27"/>
      <c r="AG364" s="27"/>
      <c r="AH364" s="27"/>
      <c r="AI364" s="27"/>
      <c r="AJ364" s="27"/>
      <c r="AK364" s="27">
        <v>0</v>
      </c>
      <c r="AL364" s="27"/>
      <c r="AM364" s="27"/>
      <c r="AN364" s="27"/>
      <c r="AO364" s="27"/>
      <c r="AP364" s="27"/>
      <c r="AQ364" s="27">
        <f t="shared" si="20"/>
        <v>0</v>
      </c>
      <c r="AR364" s="27"/>
      <c r="AS364" s="27"/>
      <c r="AT364" s="27"/>
      <c r="AU364" s="27"/>
      <c r="AV364" s="27"/>
      <c r="AW364" s="27">
        <v>0</v>
      </c>
      <c r="AX364" s="27"/>
      <c r="AY364" s="27"/>
      <c r="AZ364" s="27"/>
      <c r="BA364" s="27"/>
      <c r="BB364" s="27">
        <v>0</v>
      </c>
      <c r="BC364" s="27"/>
      <c r="BD364" s="27"/>
      <c r="BE364" s="27"/>
      <c r="BF364" s="27"/>
      <c r="BG364" s="27">
        <f t="shared" si="21"/>
        <v>93602</v>
      </c>
      <c r="BH364" s="27"/>
      <c r="BI364" s="27"/>
      <c r="BJ364" s="27"/>
      <c r="BK364" s="27"/>
      <c r="BL364" s="27"/>
    </row>
    <row r="365" spans="1:79" s="4" customFormat="1" ht="25.5" customHeight="1" x14ac:dyDescent="0.2">
      <c r="A365" s="28">
        <v>2275</v>
      </c>
      <c r="B365" s="28"/>
      <c r="C365" s="28"/>
      <c r="D365" s="28"/>
      <c r="E365" s="28"/>
      <c r="F365" s="28"/>
      <c r="G365" s="29" t="s">
        <v>191</v>
      </c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1"/>
      <c r="T365" s="27">
        <v>36671</v>
      </c>
      <c r="U365" s="27"/>
      <c r="V365" s="27"/>
      <c r="W365" s="27"/>
      <c r="X365" s="27"/>
      <c r="Y365" s="27"/>
      <c r="Z365" s="27">
        <v>31892</v>
      </c>
      <c r="AA365" s="27"/>
      <c r="AB365" s="27"/>
      <c r="AC365" s="27"/>
      <c r="AD365" s="27"/>
      <c r="AE365" s="27">
        <v>0</v>
      </c>
      <c r="AF365" s="27"/>
      <c r="AG365" s="27"/>
      <c r="AH365" s="27"/>
      <c r="AI365" s="27"/>
      <c r="AJ365" s="27"/>
      <c r="AK365" s="27">
        <v>0</v>
      </c>
      <c r="AL365" s="27"/>
      <c r="AM365" s="27"/>
      <c r="AN365" s="27"/>
      <c r="AO365" s="27"/>
      <c r="AP365" s="27"/>
      <c r="AQ365" s="27">
        <f t="shared" si="20"/>
        <v>0</v>
      </c>
      <c r="AR365" s="27"/>
      <c r="AS365" s="27"/>
      <c r="AT365" s="27"/>
      <c r="AU365" s="27"/>
      <c r="AV365" s="27"/>
      <c r="AW365" s="27">
        <v>0</v>
      </c>
      <c r="AX365" s="27"/>
      <c r="AY365" s="27"/>
      <c r="AZ365" s="27"/>
      <c r="BA365" s="27"/>
      <c r="BB365" s="27">
        <v>0</v>
      </c>
      <c r="BC365" s="27"/>
      <c r="BD365" s="27"/>
      <c r="BE365" s="27"/>
      <c r="BF365" s="27"/>
      <c r="BG365" s="27">
        <f t="shared" si="21"/>
        <v>31892</v>
      </c>
      <c r="BH365" s="27"/>
      <c r="BI365" s="27"/>
      <c r="BJ365" s="27"/>
      <c r="BK365" s="27"/>
      <c r="BL365" s="27"/>
    </row>
    <row r="366" spans="1:79" s="4" customFormat="1" ht="38.25" customHeight="1" x14ac:dyDescent="0.2">
      <c r="A366" s="28">
        <v>2281</v>
      </c>
      <c r="B366" s="28"/>
      <c r="C366" s="28"/>
      <c r="D366" s="28"/>
      <c r="E366" s="28"/>
      <c r="F366" s="28"/>
      <c r="G366" s="29" t="s">
        <v>192</v>
      </c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1"/>
      <c r="T366" s="27">
        <v>31000</v>
      </c>
      <c r="U366" s="27"/>
      <c r="V366" s="27"/>
      <c r="W366" s="27"/>
      <c r="X366" s="27"/>
      <c r="Y366" s="27"/>
      <c r="Z366" s="27">
        <v>13680</v>
      </c>
      <c r="AA366" s="27"/>
      <c r="AB366" s="27"/>
      <c r="AC366" s="27"/>
      <c r="AD366" s="27"/>
      <c r="AE366" s="27">
        <v>0</v>
      </c>
      <c r="AF366" s="27"/>
      <c r="AG366" s="27"/>
      <c r="AH366" s="27"/>
      <c r="AI366" s="27"/>
      <c r="AJ366" s="27"/>
      <c r="AK366" s="27">
        <v>0</v>
      </c>
      <c r="AL366" s="27"/>
      <c r="AM366" s="27"/>
      <c r="AN366" s="27"/>
      <c r="AO366" s="27"/>
      <c r="AP366" s="27"/>
      <c r="AQ366" s="27">
        <f t="shared" si="20"/>
        <v>0</v>
      </c>
      <c r="AR366" s="27"/>
      <c r="AS366" s="27"/>
      <c r="AT366" s="27"/>
      <c r="AU366" s="27"/>
      <c r="AV366" s="27"/>
      <c r="AW366" s="27">
        <v>0</v>
      </c>
      <c r="AX366" s="27"/>
      <c r="AY366" s="27"/>
      <c r="AZ366" s="27"/>
      <c r="BA366" s="27"/>
      <c r="BB366" s="27">
        <v>0</v>
      </c>
      <c r="BC366" s="27"/>
      <c r="BD366" s="27"/>
      <c r="BE366" s="27"/>
      <c r="BF366" s="27"/>
      <c r="BG366" s="27">
        <f t="shared" si="21"/>
        <v>13680</v>
      </c>
      <c r="BH366" s="27"/>
      <c r="BI366" s="27"/>
      <c r="BJ366" s="27"/>
      <c r="BK366" s="27"/>
      <c r="BL366" s="27"/>
    </row>
    <row r="367" spans="1:79" s="4" customFormat="1" ht="38.25" customHeight="1" x14ac:dyDescent="0.2">
      <c r="A367" s="28">
        <v>2282</v>
      </c>
      <c r="B367" s="28"/>
      <c r="C367" s="28"/>
      <c r="D367" s="28"/>
      <c r="E367" s="28"/>
      <c r="F367" s="28"/>
      <c r="G367" s="29" t="s">
        <v>193</v>
      </c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1"/>
      <c r="T367" s="27">
        <v>5000</v>
      </c>
      <c r="U367" s="27"/>
      <c r="V367" s="27"/>
      <c r="W367" s="27"/>
      <c r="X367" s="27"/>
      <c r="Y367" s="27"/>
      <c r="Z367" s="27">
        <v>0</v>
      </c>
      <c r="AA367" s="27"/>
      <c r="AB367" s="27"/>
      <c r="AC367" s="27"/>
      <c r="AD367" s="27"/>
      <c r="AE367" s="27">
        <v>0</v>
      </c>
      <c r="AF367" s="27"/>
      <c r="AG367" s="27"/>
      <c r="AH367" s="27"/>
      <c r="AI367" s="27"/>
      <c r="AJ367" s="27"/>
      <c r="AK367" s="27">
        <v>0</v>
      </c>
      <c r="AL367" s="27"/>
      <c r="AM367" s="27"/>
      <c r="AN367" s="27"/>
      <c r="AO367" s="27"/>
      <c r="AP367" s="27"/>
      <c r="AQ367" s="27">
        <f t="shared" si="20"/>
        <v>0</v>
      </c>
      <c r="AR367" s="27"/>
      <c r="AS367" s="27"/>
      <c r="AT367" s="27"/>
      <c r="AU367" s="27"/>
      <c r="AV367" s="27"/>
      <c r="AW367" s="27">
        <v>0</v>
      </c>
      <c r="AX367" s="27"/>
      <c r="AY367" s="27"/>
      <c r="AZ367" s="27"/>
      <c r="BA367" s="27"/>
      <c r="BB367" s="27">
        <v>0</v>
      </c>
      <c r="BC367" s="27"/>
      <c r="BD367" s="27"/>
      <c r="BE367" s="27"/>
      <c r="BF367" s="27"/>
      <c r="BG367" s="27">
        <f t="shared" si="21"/>
        <v>0</v>
      </c>
      <c r="BH367" s="27"/>
      <c r="BI367" s="27"/>
      <c r="BJ367" s="27"/>
      <c r="BK367" s="27"/>
      <c r="BL367" s="27"/>
    </row>
    <row r="368" spans="1:79" s="4" customFormat="1" ht="12.75" customHeight="1" x14ac:dyDescent="0.2">
      <c r="A368" s="28">
        <v>2800</v>
      </c>
      <c r="B368" s="28"/>
      <c r="C368" s="28"/>
      <c r="D368" s="28"/>
      <c r="E368" s="28"/>
      <c r="F368" s="28"/>
      <c r="G368" s="29" t="s">
        <v>194</v>
      </c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1"/>
      <c r="T368" s="27">
        <v>205000</v>
      </c>
      <c r="U368" s="27"/>
      <c r="V368" s="27"/>
      <c r="W368" s="27"/>
      <c r="X368" s="27"/>
      <c r="Y368" s="27"/>
      <c r="Z368" s="27">
        <v>167068</v>
      </c>
      <c r="AA368" s="27"/>
      <c r="AB368" s="27"/>
      <c r="AC368" s="27"/>
      <c r="AD368" s="27"/>
      <c r="AE368" s="27">
        <v>0</v>
      </c>
      <c r="AF368" s="27"/>
      <c r="AG368" s="27"/>
      <c r="AH368" s="27"/>
      <c r="AI368" s="27"/>
      <c r="AJ368" s="27"/>
      <c r="AK368" s="27">
        <v>0</v>
      </c>
      <c r="AL368" s="27"/>
      <c r="AM368" s="27"/>
      <c r="AN368" s="27"/>
      <c r="AO368" s="27"/>
      <c r="AP368" s="27"/>
      <c r="AQ368" s="27">
        <f t="shared" si="20"/>
        <v>0</v>
      </c>
      <c r="AR368" s="27"/>
      <c r="AS368" s="27"/>
      <c r="AT368" s="27"/>
      <c r="AU368" s="27"/>
      <c r="AV368" s="27"/>
      <c r="AW368" s="27">
        <v>0</v>
      </c>
      <c r="AX368" s="27"/>
      <c r="AY368" s="27"/>
      <c r="AZ368" s="27"/>
      <c r="BA368" s="27"/>
      <c r="BB368" s="27">
        <v>0</v>
      </c>
      <c r="BC368" s="27"/>
      <c r="BD368" s="27"/>
      <c r="BE368" s="27"/>
      <c r="BF368" s="27"/>
      <c r="BG368" s="27">
        <f t="shared" si="21"/>
        <v>167068</v>
      </c>
      <c r="BH368" s="27"/>
      <c r="BI368" s="27"/>
      <c r="BJ368" s="27"/>
      <c r="BK368" s="27"/>
      <c r="BL368" s="27"/>
    </row>
    <row r="369" spans="1:79" s="4" customFormat="1" ht="25.5" customHeight="1" x14ac:dyDescent="0.2">
      <c r="A369" s="28">
        <v>3110</v>
      </c>
      <c r="B369" s="28"/>
      <c r="C369" s="28"/>
      <c r="D369" s="28"/>
      <c r="E369" s="28"/>
      <c r="F369" s="28"/>
      <c r="G369" s="29" t="s">
        <v>195</v>
      </c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1"/>
      <c r="T369" s="27">
        <v>5060896</v>
      </c>
      <c r="U369" s="27"/>
      <c r="V369" s="27"/>
      <c r="W369" s="27"/>
      <c r="X369" s="27"/>
      <c r="Y369" s="27"/>
      <c r="Z369" s="27">
        <v>4834990</v>
      </c>
      <c r="AA369" s="27"/>
      <c r="AB369" s="27"/>
      <c r="AC369" s="27"/>
      <c r="AD369" s="27"/>
      <c r="AE369" s="27">
        <v>0</v>
      </c>
      <c r="AF369" s="27"/>
      <c r="AG369" s="27"/>
      <c r="AH369" s="27"/>
      <c r="AI369" s="27"/>
      <c r="AJ369" s="27"/>
      <c r="AK369" s="27">
        <v>0</v>
      </c>
      <c r="AL369" s="27"/>
      <c r="AM369" s="27"/>
      <c r="AN369" s="27"/>
      <c r="AO369" s="27"/>
      <c r="AP369" s="27"/>
      <c r="AQ369" s="27">
        <f t="shared" si="20"/>
        <v>0</v>
      </c>
      <c r="AR369" s="27"/>
      <c r="AS369" s="27"/>
      <c r="AT369" s="27"/>
      <c r="AU369" s="27"/>
      <c r="AV369" s="27"/>
      <c r="AW369" s="27">
        <v>0</v>
      </c>
      <c r="AX369" s="27"/>
      <c r="AY369" s="27"/>
      <c r="AZ369" s="27"/>
      <c r="BA369" s="27"/>
      <c r="BB369" s="27">
        <v>0</v>
      </c>
      <c r="BC369" s="27"/>
      <c r="BD369" s="27"/>
      <c r="BE369" s="27"/>
      <c r="BF369" s="27"/>
      <c r="BG369" s="27">
        <f t="shared" si="21"/>
        <v>4834990</v>
      </c>
      <c r="BH369" s="27"/>
      <c r="BI369" s="27"/>
      <c r="BJ369" s="27"/>
      <c r="BK369" s="27"/>
      <c r="BL369" s="27"/>
    </row>
    <row r="370" spans="1:79" s="5" customFormat="1" ht="12.75" customHeight="1" x14ac:dyDescent="0.2">
      <c r="A370" s="22"/>
      <c r="B370" s="22"/>
      <c r="C370" s="22"/>
      <c r="D370" s="22"/>
      <c r="E370" s="22"/>
      <c r="F370" s="22"/>
      <c r="G370" s="23" t="s">
        <v>147</v>
      </c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5"/>
      <c r="T370" s="26">
        <v>34651257</v>
      </c>
      <c r="U370" s="26"/>
      <c r="V370" s="26"/>
      <c r="W370" s="26"/>
      <c r="X370" s="26"/>
      <c r="Y370" s="26"/>
      <c r="Z370" s="26">
        <v>31344235</v>
      </c>
      <c r="AA370" s="26"/>
      <c r="AB370" s="26"/>
      <c r="AC370" s="26"/>
      <c r="AD370" s="26"/>
      <c r="AE370" s="26">
        <v>0</v>
      </c>
      <c r="AF370" s="26"/>
      <c r="AG370" s="26"/>
      <c r="AH370" s="26"/>
      <c r="AI370" s="26"/>
      <c r="AJ370" s="26"/>
      <c r="AK370" s="26">
        <v>0</v>
      </c>
      <c r="AL370" s="26"/>
      <c r="AM370" s="26"/>
      <c r="AN370" s="26"/>
      <c r="AO370" s="26"/>
      <c r="AP370" s="26"/>
      <c r="AQ370" s="26">
        <f t="shared" si="20"/>
        <v>0</v>
      </c>
      <c r="AR370" s="26"/>
      <c r="AS370" s="26"/>
      <c r="AT370" s="26"/>
      <c r="AU370" s="26"/>
      <c r="AV370" s="26"/>
      <c r="AW370" s="26">
        <v>0</v>
      </c>
      <c r="AX370" s="26"/>
      <c r="AY370" s="26"/>
      <c r="AZ370" s="26"/>
      <c r="BA370" s="26"/>
      <c r="BB370" s="26">
        <v>0</v>
      </c>
      <c r="BC370" s="26"/>
      <c r="BD370" s="26"/>
      <c r="BE370" s="26"/>
      <c r="BF370" s="26"/>
      <c r="BG370" s="26">
        <f t="shared" si="21"/>
        <v>31344235</v>
      </c>
      <c r="BH370" s="26"/>
      <c r="BI370" s="26"/>
      <c r="BJ370" s="26"/>
      <c r="BK370" s="26"/>
      <c r="BL370" s="26"/>
    </row>
    <row r="372" spans="1:79" ht="14.25" customHeight="1" x14ac:dyDescent="0.2">
      <c r="A372" s="60" t="s">
        <v>315</v>
      </c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  <c r="BL372" s="60"/>
    </row>
    <row r="373" spans="1:79" ht="15" customHeight="1" x14ac:dyDescent="0.2">
      <c r="A373" s="65" t="s">
        <v>295</v>
      </c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  <c r="BE373" s="65"/>
      <c r="BF373" s="65"/>
      <c r="BG373" s="65"/>
      <c r="BH373" s="65"/>
      <c r="BI373" s="65"/>
      <c r="BJ373" s="65"/>
      <c r="BK373" s="65"/>
      <c r="BL373" s="65"/>
    </row>
    <row r="374" spans="1:79" ht="18" customHeight="1" x14ac:dyDescent="0.2">
      <c r="A374" s="39" t="s">
        <v>135</v>
      </c>
      <c r="B374" s="39"/>
      <c r="C374" s="39"/>
      <c r="D374" s="39"/>
      <c r="E374" s="39"/>
      <c r="F374" s="39"/>
      <c r="G374" s="39" t="s">
        <v>19</v>
      </c>
      <c r="H374" s="39"/>
      <c r="I374" s="39"/>
      <c r="J374" s="39"/>
      <c r="K374" s="39"/>
      <c r="L374" s="39"/>
      <c r="M374" s="39"/>
      <c r="N374" s="39"/>
      <c r="O374" s="39"/>
      <c r="P374" s="39"/>
      <c r="Q374" s="39" t="s">
        <v>301</v>
      </c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 t="s">
        <v>312</v>
      </c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</row>
    <row r="375" spans="1:79" ht="42.95" customHeight="1" x14ac:dyDescent="0.2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 t="s">
        <v>140</v>
      </c>
      <c r="R375" s="39"/>
      <c r="S375" s="39"/>
      <c r="T375" s="39"/>
      <c r="U375" s="39"/>
      <c r="V375" s="66" t="s">
        <v>141</v>
      </c>
      <c r="W375" s="66"/>
      <c r="X375" s="66"/>
      <c r="Y375" s="66"/>
      <c r="Z375" s="39" t="s">
        <v>142</v>
      </c>
      <c r="AA375" s="39"/>
      <c r="AB375" s="39"/>
      <c r="AC375" s="39"/>
      <c r="AD375" s="39"/>
      <c r="AE375" s="39"/>
      <c r="AF375" s="39"/>
      <c r="AG375" s="39"/>
      <c r="AH375" s="39"/>
      <c r="AI375" s="39"/>
      <c r="AJ375" s="39" t="s">
        <v>143</v>
      </c>
      <c r="AK375" s="39"/>
      <c r="AL375" s="39"/>
      <c r="AM375" s="39"/>
      <c r="AN375" s="39"/>
      <c r="AO375" s="39" t="s">
        <v>20</v>
      </c>
      <c r="AP375" s="39"/>
      <c r="AQ375" s="39"/>
      <c r="AR375" s="39"/>
      <c r="AS375" s="39"/>
      <c r="AT375" s="66" t="s">
        <v>144</v>
      </c>
      <c r="AU375" s="66"/>
      <c r="AV375" s="66"/>
      <c r="AW375" s="66"/>
      <c r="AX375" s="39" t="s">
        <v>142</v>
      </c>
      <c r="AY375" s="39"/>
      <c r="AZ375" s="39"/>
      <c r="BA375" s="39"/>
      <c r="BB375" s="39"/>
      <c r="BC375" s="39"/>
      <c r="BD375" s="39"/>
      <c r="BE375" s="39"/>
      <c r="BF375" s="39"/>
      <c r="BG375" s="39"/>
      <c r="BH375" s="39" t="s">
        <v>145</v>
      </c>
      <c r="BI375" s="39"/>
      <c r="BJ375" s="39"/>
      <c r="BK375" s="39"/>
      <c r="BL375" s="39"/>
    </row>
    <row r="376" spans="1:79" ht="60" customHeight="1" x14ac:dyDescent="0.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66"/>
      <c r="W376" s="66"/>
      <c r="X376" s="66"/>
      <c r="Y376" s="66"/>
      <c r="Z376" s="39" t="s">
        <v>17</v>
      </c>
      <c r="AA376" s="39"/>
      <c r="AB376" s="39"/>
      <c r="AC376" s="39"/>
      <c r="AD376" s="39"/>
      <c r="AE376" s="39" t="s">
        <v>16</v>
      </c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66"/>
      <c r="AU376" s="66"/>
      <c r="AV376" s="66"/>
      <c r="AW376" s="66"/>
      <c r="AX376" s="39" t="s">
        <v>17</v>
      </c>
      <c r="AY376" s="39"/>
      <c r="AZ376" s="39"/>
      <c r="BA376" s="39"/>
      <c r="BB376" s="39"/>
      <c r="BC376" s="39" t="s">
        <v>16</v>
      </c>
      <c r="BD376" s="39"/>
      <c r="BE376" s="39"/>
      <c r="BF376" s="39"/>
      <c r="BG376" s="39"/>
      <c r="BH376" s="39"/>
      <c r="BI376" s="39"/>
      <c r="BJ376" s="39"/>
      <c r="BK376" s="39"/>
      <c r="BL376" s="39"/>
    </row>
    <row r="377" spans="1:79" ht="15" customHeight="1" x14ac:dyDescent="0.2">
      <c r="A377" s="39">
        <v>1</v>
      </c>
      <c r="B377" s="39"/>
      <c r="C377" s="39"/>
      <c r="D377" s="39"/>
      <c r="E377" s="39"/>
      <c r="F377" s="39"/>
      <c r="G377" s="39">
        <v>2</v>
      </c>
      <c r="H377" s="39"/>
      <c r="I377" s="39"/>
      <c r="J377" s="39"/>
      <c r="K377" s="39"/>
      <c r="L377" s="39"/>
      <c r="M377" s="39"/>
      <c r="N377" s="39"/>
      <c r="O377" s="39"/>
      <c r="P377" s="39"/>
      <c r="Q377" s="39">
        <v>3</v>
      </c>
      <c r="R377" s="39"/>
      <c r="S377" s="39"/>
      <c r="T377" s="39"/>
      <c r="U377" s="39"/>
      <c r="V377" s="39">
        <v>4</v>
      </c>
      <c r="W377" s="39"/>
      <c r="X377" s="39"/>
      <c r="Y377" s="39"/>
      <c r="Z377" s="39">
        <v>5</v>
      </c>
      <c r="AA377" s="39"/>
      <c r="AB377" s="39"/>
      <c r="AC377" s="39"/>
      <c r="AD377" s="39"/>
      <c r="AE377" s="39">
        <v>6</v>
      </c>
      <c r="AF377" s="39"/>
      <c r="AG377" s="39"/>
      <c r="AH377" s="39"/>
      <c r="AI377" s="39"/>
      <c r="AJ377" s="39">
        <v>7</v>
      </c>
      <c r="AK377" s="39"/>
      <c r="AL377" s="39"/>
      <c r="AM377" s="39"/>
      <c r="AN377" s="39"/>
      <c r="AO377" s="39">
        <v>8</v>
      </c>
      <c r="AP377" s="39"/>
      <c r="AQ377" s="39"/>
      <c r="AR377" s="39"/>
      <c r="AS377" s="39"/>
      <c r="AT377" s="39">
        <v>9</v>
      </c>
      <c r="AU377" s="39"/>
      <c r="AV377" s="39"/>
      <c r="AW377" s="39"/>
      <c r="AX377" s="39">
        <v>10</v>
      </c>
      <c r="AY377" s="39"/>
      <c r="AZ377" s="39"/>
      <c r="BA377" s="39"/>
      <c r="BB377" s="39"/>
      <c r="BC377" s="39">
        <v>11</v>
      </c>
      <c r="BD377" s="39"/>
      <c r="BE377" s="39"/>
      <c r="BF377" s="39"/>
      <c r="BG377" s="39"/>
      <c r="BH377" s="39">
        <v>12</v>
      </c>
      <c r="BI377" s="39"/>
      <c r="BJ377" s="39"/>
      <c r="BK377" s="39"/>
      <c r="BL377" s="39"/>
    </row>
    <row r="378" spans="1:79" s="1" customFormat="1" ht="12" hidden="1" customHeight="1" x14ac:dyDescent="0.2">
      <c r="A378" s="64" t="s">
        <v>64</v>
      </c>
      <c r="B378" s="64"/>
      <c r="C378" s="64"/>
      <c r="D378" s="64"/>
      <c r="E378" s="64"/>
      <c r="F378" s="64"/>
      <c r="G378" s="63" t="s">
        <v>57</v>
      </c>
      <c r="H378" s="63"/>
      <c r="I378" s="63"/>
      <c r="J378" s="63"/>
      <c r="K378" s="63"/>
      <c r="L378" s="63"/>
      <c r="M378" s="63"/>
      <c r="N378" s="63"/>
      <c r="O378" s="63"/>
      <c r="P378" s="63"/>
      <c r="Q378" s="62" t="s">
        <v>80</v>
      </c>
      <c r="R378" s="62"/>
      <c r="S378" s="62"/>
      <c r="T378" s="62"/>
      <c r="U378" s="62"/>
      <c r="V378" s="62" t="s">
        <v>81</v>
      </c>
      <c r="W378" s="62"/>
      <c r="X378" s="62"/>
      <c r="Y378" s="62"/>
      <c r="Z378" s="62" t="s">
        <v>82</v>
      </c>
      <c r="AA378" s="62"/>
      <c r="AB378" s="62"/>
      <c r="AC378" s="62"/>
      <c r="AD378" s="62"/>
      <c r="AE378" s="62" t="s">
        <v>83</v>
      </c>
      <c r="AF378" s="62"/>
      <c r="AG378" s="62"/>
      <c r="AH378" s="62"/>
      <c r="AI378" s="62"/>
      <c r="AJ378" s="64" t="s">
        <v>101</v>
      </c>
      <c r="AK378" s="62"/>
      <c r="AL378" s="62"/>
      <c r="AM378" s="62"/>
      <c r="AN378" s="62"/>
      <c r="AO378" s="62" t="s">
        <v>84</v>
      </c>
      <c r="AP378" s="62"/>
      <c r="AQ378" s="62"/>
      <c r="AR378" s="62"/>
      <c r="AS378" s="62"/>
      <c r="AT378" s="64" t="s">
        <v>102</v>
      </c>
      <c r="AU378" s="62"/>
      <c r="AV378" s="62"/>
      <c r="AW378" s="62"/>
      <c r="AX378" s="62" t="s">
        <v>85</v>
      </c>
      <c r="AY378" s="62"/>
      <c r="AZ378" s="62"/>
      <c r="BA378" s="62"/>
      <c r="BB378" s="62"/>
      <c r="BC378" s="62" t="s">
        <v>86</v>
      </c>
      <c r="BD378" s="62"/>
      <c r="BE378" s="62"/>
      <c r="BF378" s="62"/>
      <c r="BG378" s="62"/>
      <c r="BH378" s="64" t="s">
        <v>101</v>
      </c>
      <c r="BI378" s="62"/>
      <c r="BJ378" s="62"/>
      <c r="BK378" s="62"/>
      <c r="BL378" s="62"/>
      <c r="CA378" s="1" t="s">
        <v>52</v>
      </c>
    </row>
    <row r="379" spans="1:79" s="4" customFormat="1" ht="12.75" customHeight="1" x14ac:dyDescent="0.2">
      <c r="A379" s="28">
        <v>2111</v>
      </c>
      <c r="B379" s="28"/>
      <c r="C379" s="28"/>
      <c r="D379" s="28"/>
      <c r="E379" s="28"/>
      <c r="F379" s="28"/>
      <c r="G379" s="29" t="s">
        <v>181</v>
      </c>
      <c r="H379" s="30"/>
      <c r="I379" s="30"/>
      <c r="J379" s="30"/>
      <c r="K379" s="30"/>
      <c r="L379" s="30"/>
      <c r="M379" s="30"/>
      <c r="N379" s="30"/>
      <c r="O379" s="30"/>
      <c r="P379" s="31"/>
      <c r="Q379" s="27">
        <v>22832909</v>
      </c>
      <c r="R379" s="27"/>
      <c r="S379" s="27"/>
      <c r="T379" s="27"/>
      <c r="U379" s="27"/>
      <c r="V379" s="27">
        <v>0</v>
      </c>
      <c r="W379" s="27"/>
      <c r="X379" s="27"/>
      <c r="Y379" s="27"/>
      <c r="Z379" s="27">
        <v>0</v>
      </c>
      <c r="AA379" s="27"/>
      <c r="AB379" s="27"/>
      <c r="AC379" s="27"/>
      <c r="AD379" s="27"/>
      <c r="AE379" s="27">
        <v>0</v>
      </c>
      <c r="AF379" s="27"/>
      <c r="AG379" s="27"/>
      <c r="AH379" s="27"/>
      <c r="AI379" s="27"/>
      <c r="AJ379" s="27">
        <f t="shared" ref="AJ379:AJ393" si="22">IF(ISNUMBER(Q379),Q379,0)-IF(ISNUMBER(Z379),Z379,0)</f>
        <v>22832909</v>
      </c>
      <c r="AK379" s="27"/>
      <c r="AL379" s="27"/>
      <c r="AM379" s="27"/>
      <c r="AN379" s="27"/>
      <c r="AO379" s="27">
        <v>26161670</v>
      </c>
      <c r="AP379" s="27"/>
      <c r="AQ379" s="27"/>
      <c r="AR379" s="27"/>
      <c r="AS379" s="27"/>
      <c r="AT379" s="27">
        <f t="shared" ref="AT379:AT393" si="23">IF(ISNUMBER(V379),V379,0)-IF(ISNUMBER(Z379),Z379,0)-IF(ISNUMBER(AE379),AE379,0)</f>
        <v>0</v>
      </c>
      <c r="AU379" s="27"/>
      <c r="AV379" s="27"/>
      <c r="AW379" s="27"/>
      <c r="AX379" s="27">
        <v>0</v>
      </c>
      <c r="AY379" s="27"/>
      <c r="AZ379" s="27"/>
      <c r="BA379" s="27"/>
      <c r="BB379" s="27"/>
      <c r="BC379" s="27">
        <v>0</v>
      </c>
      <c r="BD379" s="27"/>
      <c r="BE379" s="27"/>
      <c r="BF379" s="27"/>
      <c r="BG379" s="27"/>
      <c r="BH379" s="27">
        <f t="shared" ref="BH379:BH393" si="24">IF(ISNUMBER(AO379),AO379,0)-IF(ISNUMBER(AX379),AX379,0)</f>
        <v>26161670</v>
      </c>
      <c r="BI379" s="27"/>
      <c r="BJ379" s="27"/>
      <c r="BK379" s="27"/>
      <c r="BL379" s="27"/>
      <c r="CA379" s="4" t="s">
        <v>53</v>
      </c>
    </row>
    <row r="380" spans="1:79" s="4" customFormat="1" ht="12.75" customHeight="1" x14ac:dyDescent="0.2">
      <c r="A380" s="28">
        <v>2120</v>
      </c>
      <c r="B380" s="28"/>
      <c r="C380" s="28"/>
      <c r="D380" s="28"/>
      <c r="E380" s="28"/>
      <c r="F380" s="28"/>
      <c r="G380" s="29" t="s">
        <v>182</v>
      </c>
      <c r="H380" s="30"/>
      <c r="I380" s="30"/>
      <c r="J380" s="30"/>
      <c r="K380" s="30"/>
      <c r="L380" s="30"/>
      <c r="M380" s="30"/>
      <c r="N380" s="30"/>
      <c r="O380" s="30"/>
      <c r="P380" s="31"/>
      <c r="Q380" s="27">
        <v>5023240</v>
      </c>
      <c r="R380" s="27"/>
      <c r="S380" s="27"/>
      <c r="T380" s="27"/>
      <c r="U380" s="27"/>
      <c r="V380" s="27">
        <v>0</v>
      </c>
      <c r="W380" s="27"/>
      <c r="X380" s="27"/>
      <c r="Y380" s="27"/>
      <c r="Z380" s="27">
        <v>0</v>
      </c>
      <c r="AA380" s="27"/>
      <c r="AB380" s="27"/>
      <c r="AC380" s="27"/>
      <c r="AD380" s="27"/>
      <c r="AE380" s="27">
        <v>0</v>
      </c>
      <c r="AF380" s="27"/>
      <c r="AG380" s="27"/>
      <c r="AH380" s="27"/>
      <c r="AI380" s="27"/>
      <c r="AJ380" s="27">
        <f t="shared" si="22"/>
        <v>5023240</v>
      </c>
      <c r="AK380" s="27"/>
      <c r="AL380" s="27"/>
      <c r="AM380" s="27"/>
      <c r="AN380" s="27"/>
      <c r="AO380" s="27">
        <v>5755568</v>
      </c>
      <c r="AP380" s="27"/>
      <c r="AQ380" s="27"/>
      <c r="AR380" s="27"/>
      <c r="AS380" s="27"/>
      <c r="AT380" s="27">
        <f t="shared" si="23"/>
        <v>0</v>
      </c>
      <c r="AU380" s="27"/>
      <c r="AV380" s="27"/>
      <c r="AW380" s="27"/>
      <c r="AX380" s="27">
        <v>0</v>
      </c>
      <c r="AY380" s="27"/>
      <c r="AZ380" s="27"/>
      <c r="BA380" s="27"/>
      <c r="BB380" s="27"/>
      <c r="BC380" s="27">
        <v>0</v>
      </c>
      <c r="BD380" s="27"/>
      <c r="BE380" s="27"/>
      <c r="BF380" s="27"/>
      <c r="BG380" s="27"/>
      <c r="BH380" s="27">
        <f t="shared" si="24"/>
        <v>5755568</v>
      </c>
      <c r="BI380" s="27"/>
      <c r="BJ380" s="27"/>
      <c r="BK380" s="27"/>
      <c r="BL380" s="27"/>
    </row>
    <row r="381" spans="1:79" s="4" customFormat="1" ht="25.5" customHeight="1" x14ac:dyDescent="0.2">
      <c r="A381" s="28">
        <v>2210</v>
      </c>
      <c r="B381" s="28"/>
      <c r="C381" s="28"/>
      <c r="D381" s="28"/>
      <c r="E381" s="28"/>
      <c r="F381" s="28"/>
      <c r="G381" s="29" t="s">
        <v>183</v>
      </c>
      <c r="H381" s="30"/>
      <c r="I381" s="30"/>
      <c r="J381" s="30"/>
      <c r="K381" s="30"/>
      <c r="L381" s="30"/>
      <c r="M381" s="30"/>
      <c r="N381" s="30"/>
      <c r="O381" s="30"/>
      <c r="P381" s="31"/>
      <c r="Q381" s="27">
        <v>744138</v>
      </c>
      <c r="R381" s="27"/>
      <c r="S381" s="27"/>
      <c r="T381" s="27"/>
      <c r="U381" s="27"/>
      <c r="V381" s="27">
        <v>0</v>
      </c>
      <c r="W381" s="27"/>
      <c r="X381" s="27"/>
      <c r="Y381" s="27"/>
      <c r="Z381" s="27">
        <v>0</v>
      </c>
      <c r="AA381" s="27"/>
      <c r="AB381" s="27"/>
      <c r="AC381" s="27"/>
      <c r="AD381" s="27"/>
      <c r="AE381" s="27">
        <v>0</v>
      </c>
      <c r="AF381" s="27"/>
      <c r="AG381" s="27"/>
      <c r="AH381" s="27"/>
      <c r="AI381" s="27"/>
      <c r="AJ381" s="27">
        <f t="shared" si="22"/>
        <v>744138</v>
      </c>
      <c r="AK381" s="27"/>
      <c r="AL381" s="27"/>
      <c r="AM381" s="27"/>
      <c r="AN381" s="27"/>
      <c r="AO381" s="27">
        <v>739150</v>
      </c>
      <c r="AP381" s="27"/>
      <c r="AQ381" s="27"/>
      <c r="AR381" s="27"/>
      <c r="AS381" s="27"/>
      <c r="AT381" s="27">
        <f t="shared" si="23"/>
        <v>0</v>
      </c>
      <c r="AU381" s="27"/>
      <c r="AV381" s="27"/>
      <c r="AW381" s="27"/>
      <c r="AX381" s="27">
        <v>0</v>
      </c>
      <c r="AY381" s="27"/>
      <c r="AZ381" s="27"/>
      <c r="BA381" s="27"/>
      <c r="BB381" s="27"/>
      <c r="BC381" s="27">
        <v>0</v>
      </c>
      <c r="BD381" s="27"/>
      <c r="BE381" s="27"/>
      <c r="BF381" s="27"/>
      <c r="BG381" s="27"/>
      <c r="BH381" s="27">
        <f t="shared" si="24"/>
        <v>739150</v>
      </c>
      <c r="BI381" s="27"/>
      <c r="BJ381" s="27"/>
      <c r="BK381" s="27"/>
      <c r="BL381" s="27"/>
    </row>
    <row r="382" spans="1:79" s="4" customFormat="1" ht="25.5" customHeight="1" x14ac:dyDescent="0.2">
      <c r="A382" s="28">
        <v>2240</v>
      </c>
      <c r="B382" s="28"/>
      <c r="C382" s="28"/>
      <c r="D382" s="28"/>
      <c r="E382" s="28"/>
      <c r="F382" s="28"/>
      <c r="G382" s="29" t="s">
        <v>185</v>
      </c>
      <c r="H382" s="30"/>
      <c r="I382" s="30"/>
      <c r="J382" s="30"/>
      <c r="K382" s="30"/>
      <c r="L382" s="30"/>
      <c r="M382" s="30"/>
      <c r="N382" s="30"/>
      <c r="O382" s="30"/>
      <c r="P382" s="31"/>
      <c r="Q382" s="27">
        <v>2100876</v>
      </c>
      <c r="R382" s="27"/>
      <c r="S382" s="27"/>
      <c r="T382" s="27"/>
      <c r="U382" s="27"/>
      <c r="V382" s="27">
        <v>0</v>
      </c>
      <c r="W382" s="27"/>
      <c r="X382" s="27"/>
      <c r="Y382" s="27"/>
      <c r="Z382" s="27">
        <v>0</v>
      </c>
      <c r="AA382" s="27"/>
      <c r="AB382" s="27"/>
      <c r="AC382" s="27"/>
      <c r="AD382" s="27"/>
      <c r="AE382" s="27">
        <v>0</v>
      </c>
      <c r="AF382" s="27"/>
      <c r="AG382" s="27"/>
      <c r="AH382" s="27"/>
      <c r="AI382" s="27"/>
      <c r="AJ382" s="27">
        <f t="shared" si="22"/>
        <v>2100876</v>
      </c>
      <c r="AK382" s="27"/>
      <c r="AL382" s="27"/>
      <c r="AM382" s="27"/>
      <c r="AN382" s="27"/>
      <c r="AO382" s="27">
        <v>2669189</v>
      </c>
      <c r="AP382" s="27"/>
      <c r="AQ382" s="27"/>
      <c r="AR382" s="27"/>
      <c r="AS382" s="27"/>
      <c r="AT382" s="27">
        <f t="shared" si="23"/>
        <v>0</v>
      </c>
      <c r="AU382" s="27"/>
      <c r="AV382" s="27"/>
      <c r="AW382" s="27"/>
      <c r="AX382" s="27">
        <v>0</v>
      </c>
      <c r="AY382" s="27"/>
      <c r="AZ382" s="27"/>
      <c r="BA382" s="27"/>
      <c r="BB382" s="27"/>
      <c r="BC382" s="27">
        <v>0</v>
      </c>
      <c r="BD382" s="27"/>
      <c r="BE382" s="27"/>
      <c r="BF382" s="27"/>
      <c r="BG382" s="27"/>
      <c r="BH382" s="27">
        <f t="shared" si="24"/>
        <v>2669189</v>
      </c>
      <c r="BI382" s="27"/>
      <c r="BJ382" s="27"/>
      <c r="BK382" s="27"/>
      <c r="BL382" s="27"/>
    </row>
    <row r="383" spans="1:79" s="4" customFormat="1" ht="12.75" customHeight="1" x14ac:dyDescent="0.2">
      <c r="A383" s="28">
        <v>2250</v>
      </c>
      <c r="B383" s="28"/>
      <c r="C383" s="28"/>
      <c r="D383" s="28"/>
      <c r="E383" s="28"/>
      <c r="F383" s="28"/>
      <c r="G383" s="29" t="s">
        <v>186</v>
      </c>
      <c r="H383" s="30"/>
      <c r="I383" s="30"/>
      <c r="J383" s="30"/>
      <c r="K383" s="30"/>
      <c r="L383" s="30"/>
      <c r="M383" s="30"/>
      <c r="N383" s="30"/>
      <c r="O383" s="30"/>
      <c r="P383" s="31"/>
      <c r="Q383" s="27">
        <v>105000</v>
      </c>
      <c r="R383" s="27"/>
      <c r="S383" s="27"/>
      <c r="T383" s="27"/>
      <c r="U383" s="27"/>
      <c r="V383" s="27">
        <v>0</v>
      </c>
      <c r="W383" s="27"/>
      <c r="X383" s="27"/>
      <c r="Y383" s="27"/>
      <c r="Z383" s="27">
        <v>0</v>
      </c>
      <c r="AA383" s="27"/>
      <c r="AB383" s="27"/>
      <c r="AC383" s="27"/>
      <c r="AD383" s="27"/>
      <c r="AE383" s="27">
        <v>0</v>
      </c>
      <c r="AF383" s="27"/>
      <c r="AG383" s="27"/>
      <c r="AH383" s="27"/>
      <c r="AI383" s="27"/>
      <c r="AJ383" s="27">
        <f t="shared" si="22"/>
        <v>105000</v>
      </c>
      <c r="AK383" s="27"/>
      <c r="AL383" s="27"/>
      <c r="AM383" s="27"/>
      <c r="AN383" s="27"/>
      <c r="AO383" s="27">
        <v>500000</v>
      </c>
      <c r="AP383" s="27"/>
      <c r="AQ383" s="27"/>
      <c r="AR383" s="27"/>
      <c r="AS383" s="27"/>
      <c r="AT383" s="27">
        <f t="shared" si="23"/>
        <v>0</v>
      </c>
      <c r="AU383" s="27"/>
      <c r="AV383" s="27"/>
      <c r="AW383" s="27"/>
      <c r="AX383" s="27">
        <v>0</v>
      </c>
      <c r="AY383" s="27"/>
      <c r="AZ383" s="27"/>
      <c r="BA383" s="27"/>
      <c r="BB383" s="27"/>
      <c r="BC383" s="27">
        <v>0</v>
      </c>
      <c r="BD383" s="27"/>
      <c r="BE383" s="27"/>
      <c r="BF383" s="27"/>
      <c r="BG383" s="27"/>
      <c r="BH383" s="27">
        <f t="shared" si="24"/>
        <v>500000</v>
      </c>
      <c r="BI383" s="27"/>
      <c r="BJ383" s="27"/>
      <c r="BK383" s="27"/>
      <c r="BL383" s="27"/>
    </row>
    <row r="384" spans="1:79" s="4" customFormat="1" ht="12.75" customHeight="1" x14ac:dyDescent="0.2">
      <c r="A384" s="28">
        <v>2271</v>
      </c>
      <c r="B384" s="28"/>
      <c r="C384" s="28"/>
      <c r="D384" s="28"/>
      <c r="E384" s="28"/>
      <c r="F384" s="28"/>
      <c r="G384" s="29" t="s">
        <v>187</v>
      </c>
      <c r="H384" s="30"/>
      <c r="I384" s="30"/>
      <c r="J384" s="30"/>
      <c r="K384" s="30"/>
      <c r="L384" s="30"/>
      <c r="M384" s="30"/>
      <c r="N384" s="30"/>
      <c r="O384" s="30"/>
      <c r="P384" s="31"/>
      <c r="Q384" s="27">
        <v>244800</v>
      </c>
      <c r="R384" s="27"/>
      <c r="S384" s="27"/>
      <c r="T384" s="27"/>
      <c r="U384" s="27"/>
      <c r="V384" s="27">
        <v>0</v>
      </c>
      <c r="W384" s="27"/>
      <c r="X384" s="27"/>
      <c r="Y384" s="27"/>
      <c r="Z384" s="27">
        <v>0</v>
      </c>
      <c r="AA384" s="27"/>
      <c r="AB384" s="27"/>
      <c r="AC384" s="27"/>
      <c r="AD384" s="27"/>
      <c r="AE384" s="27">
        <v>0</v>
      </c>
      <c r="AF384" s="27"/>
      <c r="AG384" s="27"/>
      <c r="AH384" s="27"/>
      <c r="AI384" s="27"/>
      <c r="AJ384" s="27">
        <f t="shared" si="22"/>
        <v>244800</v>
      </c>
      <c r="AK384" s="27"/>
      <c r="AL384" s="27"/>
      <c r="AM384" s="27"/>
      <c r="AN384" s="27"/>
      <c r="AO384" s="27">
        <v>292800</v>
      </c>
      <c r="AP384" s="27"/>
      <c r="AQ384" s="27"/>
      <c r="AR384" s="27"/>
      <c r="AS384" s="27"/>
      <c r="AT384" s="27">
        <f t="shared" si="23"/>
        <v>0</v>
      </c>
      <c r="AU384" s="27"/>
      <c r="AV384" s="27"/>
      <c r="AW384" s="27"/>
      <c r="AX384" s="27">
        <v>0</v>
      </c>
      <c r="AY384" s="27"/>
      <c r="AZ384" s="27"/>
      <c r="BA384" s="27"/>
      <c r="BB384" s="27"/>
      <c r="BC384" s="27">
        <v>0</v>
      </c>
      <c r="BD384" s="27"/>
      <c r="BE384" s="27"/>
      <c r="BF384" s="27"/>
      <c r="BG384" s="27"/>
      <c r="BH384" s="27">
        <f t="shared" si="24"/>
        <v>292800</v>
      </c>
      <c r="BI384" s="27"/>
      <c r="BJ384" s="27"/>
      <c r="BK384" s="27"/>
      <c r="BL384" s="27"/>
    </row>
    <row r="385" spans="1:79" s="4" customFormat="1" ht="25.5" customHeight="1" x14ac:dyDescent="0.2">
      <c r="A385" s="28">
        <v>2272</v>
      </c>
      <c r="B385" s="28"/>
      <c r="C385" s="28"/>
      <c r="D385" s="28"/>
      <c r="E385" s="28"/>
      <c r="F385" s="28"/>
      <c r="G385" s="29" t="s">
        <v>188</v>
      </c>
      <c r="H385" s="30"/>
      <c r="I385" s="30"/>
      <c r="J385" s="30"/>
      <c r="K385" s="30"/>
      <c r="L385" s="30"/>
      <c r="M385" s="30"/>
      <c r="N385" s="30"/>
      <c r="O385" s="30"/>
      <c r="P385" s="31"/>
      <c r="Q385" s="27">
        <v>23000</v>
      </c>
      <c r="R385" s="27"/>
      <c r="S385" s="27"/>
      <c r="T385" s="27"/>
      <c r="U385" s="27"/>
      <c r="V385" s="27">
        <v>0</v>
      </c>
      <c r="W385" s="27"/>
      <c r="X385" s="27"/>
      <c r="Y385" s="27"/>
      <c r="Z385" s="27">
        <v>0</v>
      </c>
      <c r="AA385" s="27"/>
      <c r="AB385" s="27"/>
      <c r="AC385" s="27"/>
      <c r="AD385" s="27"/>
      <c r="AE385" s="27">
        <v>0</v>
      </c>
      <c r="AF385" s="27"/>
      <c r="AG385" s="27"/>
      <c r="AH385" s="27"/>
      <c r="AI385" s="27"/>
      <c r="AJ385" s="27">
        <f t="shared" si="22"/>
        <v>23000</v>
      </c>
      <c r="AK385" s="27"/>
      <c r="AL385" s="27"/>
      <c r="AM385" s="27"/>
      <c r="AN385" s="27"/>
      <c r="AO385" s="27">
        <v>24000</v>
      </c>
      <c r="AP385" s="27"/>
      <c r="AQ385" s="27"/>
      <c r="AR385" s="27"/>
      <c r="AS385" s="27"/>
      <c r="AT385" s="27">
        <f t="shared" si="23"/>
        <v>0</v>
      </c>
      <c r="AU385" s="27"/>
      <c r="AV385" s="27"/>
      <c r="AW385" s="27"/>
      <c r="AX385" s="27">
        <v>0</v>
      </c>
      <c r="AY385" s="27"/>
      <c r="AZ385" s="27"/>
      <c r="BA385" s="27"/>
      <c r="BB385" s="27"/>
      <c r="BC385" s="27">
        <v>0</v>
      </c>
      <c r="BD385" s="27"/>
      <c r="BE385" s="27"/>
      <c r="BF385" s="27"/>
      <c r="BG385" s="27"/>
      <c r="BH385" s="27">
        <f t="shared" si="24"/>
        <v>24000</v>
      </c>
      <c r="BI385" s="27"/>
      <c r="BJ385" s="27"/>
      <c r="BK385" s="27"/>
      <c r="BL385" s="27"/>
    </row>
    <row r="386" spans="1:79" s="4" customFormat="1" ht="12.75" customHeight="1" x14ac:dyDescent="0.2">
      <c r="A386" s="28">
        <v>2273</v>
      </c>
      <c r="B386" s="28"/>
      <c r="C386" s="28"/>
      <c r="D386" s="28"/>
      <c r="E386" s="28"/>
      <c r="F386" s="28"/>
      <c r="G386" s="29" t="s">
        <v>189</v>
      </c>
      <c r="H386" s="30"/>
      <c r="I386" s="30"/>
      <c r="J386" s="30"/>
      <c r="K386" s="30"/>
      <c r="L386" s="30"/>
      <c r="M386" s="30"/>
      <c r="N386" s="30"/>
      <c r="O386" s="30"/>
      <c r="P386" s="31"/>
      <c r="Q386" s="27">
        <v>1734400</v>
      </c>
      <c r="R386" s="27"/>
      <c r="S386" s="27"/>
      <c r="T386" s="27"/>
      <c r="U386" s="27"/>
      <c r="V386" s="27">
        <v>0</v>
      </c>
      <c r="W386" s="27"/>
      <c r="X386" s="27"/>
      <c r="Y386" s="27"/>
      <c r="Z386" s="27">
        <v>0</v>
      </c>
      <c r="AA386" s="27"/>
      <c r="AB386" s="27"/>
      <c r="AC386" s="27"/>
      <c r="AD386" s="27"/>
      <c r="AE386" s="27">
        <v>0</v>
      </c>
      <c r="AF386" s="27"/>
      <c r="AG386" s="27"/>
      <c r="AH386" s="27"/>
      <c r="AI386" s="27"/>
      <c r="AJ386" s="27">
        <f t="shared" si="22"/>
        <v>1734400</v>
      </c>
      <c r="AK386" s="27"/>
      <c r="AL386" s="27"/>
      <c r="AM386" s="27"/>
      <c r="AN386" s="27"/>
      <c r="AO386" s="27">
        <v>2031692</v>
      </c>
      <c r="AP386" s="27"/>
      <c r="AQ386" s="27"/>
      <c r="AR386" s="27"/>
      <c r="AS386" s="27"/>
      <c r="AT386" s="27">
        <f t="shared" si="23"/>
        <v>0</v>
      </c>
      <c r="AU386" s="27"/>
      <c r="AV386" s="27"/>
      <c r="AW386" s="27"/>
      <c r="AX386" s="27">
        <v>0</v>
      </c>
      <c r="AY386" s="27"/>
      <c r="AZ386" s="27"/>
      <c r="BA386" s="27"/>
      <c r="BB386" s="27"/>
      <c r="BC386" s="27">
        <v>0</v>
      </c>
      <c r="BD386" s="27"/>
      <c r="BE386" s="27"/>
      <c r="BF386" s="27"/>
      <c r="BG386" s="27"/>
      <c r="BH386" s="27">
        <f t="shared" si="24"/>
        <v>2031692</v>
      </c>
      <c r="BI386" s="27"/>
      <c r="BJ386" s="27"/>
      <c r="BK386" s="27"/>
      <c r="BL386" s="27"/>
    </row>
    <row r="387" spans="1:79" s="4" customFormat="1" ht="12.75" customHeight="1" x14ac:dyDescent="0.2">
      <c r="A387" s="28">
        <v>2274</v>
      </c>
      <c r="B387" s="28"/>
      <c r="C387" s="28"/>
      <c r="D387" s="28"/>
      <c r="E387" s="28"/>
      <c r="F387" s="28"/>
      <c r="G387" s="29" t="s">
        <v>190</v>
      </c>
      <c r="H387" s="30"/>
      <c r="I387" s="30"/>
      <c r="J387" s="30"/>
      <c r="K387" s="30"/>
      <c r="L387" s="30"/>
      <c r="M387" s="30"/>
      <c r="N387" s="30"/>
      <c r="O387" s="30"/>
      <c r="P387" s="31"/>
      <c r="Q387" s="27">
        <v>166867</v>
      </c>
      <c r="R387" s="27"/>
      <c r="S387" s="27"/>
      <c r="T387" s="27"/>
      <c r="U387" s="27"/>
      <c r="V387" s="27">
        <v>0</v>
      </c>
      <c r="W387" s="27"/>
      <c r="X387" s="27"/>
      <c r="Y387" s="27"/>
      <c r="Z387" s="27">
        <v>0</v>
      </c>
      <c r="AA387" s="27"/>
      <c r="AB387" s="27"/>
      <c r="AC387" s="27"/>
      <c r="AD387" s="27"/>
      <c r="AE387" s="27">
        <v>0</v>
      </c>
      <c r="AF387" s="27"/>
      <c r="AG387" s="27"/>
      <c r="AH387" s="27"/>
      <c r="AI387" s="27"/>
      <c r="AJ387" s="27">
        <f t="shared" si="22"/>
        <v>166867</v>
      </c>
      <c r="AK387" s="27"/>
      <c r="AL387" s="27"/>
      <c r="AM387" s="27"/>
      <c r="AN387" s="27"/>
      <c r="AO387" s="27">
        <v>88980</v>
      </c>
      <c r="AP387" s="27"/>
      <c r="AQ387" s="27"/>
      <c r="AR387" s="27"/>
      <c r="AS387" s="27"/>
      <c r="AT387" s="27">
        <f t="shared" si="23"/>
        <v>0</v>
      </c>
      <c r="AU387" s="27"/>
      <c r="AV387" s="27"/>
      <c r="AW387" s="27"/>
      <c r="AX387" s="27">
        <v>0</v>
      </c>
      <c r="AY387" s="27"/>
      <c r="AZ387" s="27"/>
      <c r="BA387" s="27"/>
      <c r="BB387" s="27"/>
      <c r="BC387" s="27">
        <v>0</v>
      </c>
      <c r="BD387" s="27"/>
      <c r="BE387" s="27"/>
      <c r="BF387" s="27"/>
      <c r="BG387" s="27"/>
      <c r="BH387" s="27">
        <f t="shared" si="24"/>
        <v>88980</v>
      </c>
      <c r="BI387" s="27"/>
      <c r="BJ387" s="27"/>
      <c r="BK387" s="27"/>
      <c r="BL387" s="27"/>
    </row>
    <row r="388" spans="1:79" s="4" customFormat="1" ht="25.5" customHeight="1" x14ac:dyDescent="0.2">
      <c r="A388" s="28">
        <v>2275</v>
      </c>
      <c r="B388" s="28"/>
      <c r="C388" s="28"/>
      <c r="D388" s="28"/>
      <c r="E388" s="28"/>
      <c r="F388" s="28"/>
      <c r="G388" s="29" t="s">
        <v>191</v>
      </c>
      <c r="H388" s="30"/>
      <c r="I388" s="30"/>
      <c r="J388" s="30"/>
      <c r="K388" s="30"/>
      <c r="L388" s="30"/>
      <c r="M388" s="30"/>
      <c r="N388" s="30"/>
      <c r="O388" s="30"/>
      <c r="P388" s="31"/>
      <c r="Q388" s="27">
        <v>35037</v>
      </c>
      <c r="R388" s="27"/>
      <c r="S388" s="27"/>
      <c r="T388" s="27"/>
      <c r="U388" s="27"/>
      <c r="V388" s="27">
        <v>0</v>
      </c>
      <c r="W388" s="27"/>
      <c r="X388" s="27"/>
      <c r="Y388" s="27"/>
      <c r="Z388" s="27">
        <v>0</v>
      </c>
      <c r="AA388" s="27"/>
      <c r="AB388" s="27"/>
      <c r="AC388" s="27"/>
      <c r="AD388" s="27"/>
      <c r="AE388" s="27">
        <v>0</v>
      </c>
      <c r="AF388" s="27"/>
      <c r="AG388" s="27"/>
      <c r="AH388" s="27"/>
      <c r="AI388" s="27"/>
      <c r="AJ388" s="27">
        <f t="shared" si="22"/>
        <v>35037</v>
      </c>
      <c r="AK388" s="27"/>
      <c r="AL388" s="27"/>
      <c r="AM388" s="27"/>
      <c r="AN388" s="27"/>
      <c r="AO388" s="27">
        <v>45817</v>
      </c>
      <c r="AP388" s="27"/>
      <c r="AQ388" s="27"/>
      <c r="AR388" s="27"/>
      <c r="AS388" s="27"/>
      <c r="AT388" s="27">
        <f t="shared" si="23"/>
        <v>0</v>
      </c>
      <c r="AU388" s="27"/>
      <c r="AV388" s="27"/>
      <c r="AW388" s="27"/>
      <c r="AX388" s="27">
        <v>0</v>
      </c>
      <c r="AY388" s="27"/>
      <c r="AZ388" s="27"/>
      <c r="BA388" s="27"/>
      <c r="BB388" s="27"/>
      <c r="BC388" s="27">
        <v>0</v>
      </c>
      <c r="BD388" s="27"/>
      <c r="BE388" s="27"/>
      <c r="BF388" s="27"/>
      <c r="BG388" s="27"/>
      <c r="BH388" s="27">
        <f t="shared" si="24"/>
        <v>45817</v>
      </c>
      <c r="BI388" s="27"/>
      <c r="BJ388" s="27"/>
      <c r="BK388" s="27"/>
      <c r="BL388" s="27"/>
    </row>
    <row r="389" spans="1:79" s="4" customFormat="1" ht="51" customHeight="1" x14ac:dyDescent="0.2">
      <c r="A389" s="28">
        <v>2281</v>
      </c>
      <c r="B389" s="28"/>
      <c r="C389" s="28"/>
      <c r="D389" s="28"/>
      <c r="E389" s="28"/>
      <c r="F389" s="28"/>
      <c r="G389" s="29" t="s">
        <v>192</v>
      </c>
      <c r="H389" s="30"/>
      <c r="I389" s="30"/>
      <c r="J389" s="30"/>
      <c r="K389" s="30"/>
      <c r="L389" s="30"/>
      <c r="M389" s="30"/>
      <c r="N389" s="30"/>
      <c r="O389" s="30"/>
      <c r="P389" s="31"/>
      <c r="Q389" s="27">
        <v>16000</v>
      </c>
      <c r="R389" s="27"/>
      <c r="S389" s="27"/>
      <c r="T389" s="27"/>
      <c r="U389" s="27"/>
      <c r="V389" s="27">
        <v>0</v>
      </c>
      <c r="W389" s="27"/>
      <c r="X389" s="27"/>
      <c r="Y389" s="27"/>
      <c r="Z389" s="27">
        <v>0</v>
      </c>
      <c r="AA389" s="27"/>
      <c r="AB389" s="27"/>
      <c r="AC389" s="27"/>
      <c r="AD389" s="27"/>
      <c r="AE389" s="27">
        <v>0</v>
      </c>
      <c r="AF389" s="27"/>
      <c r="AG389" s="27"/>
      <c r="AH389" s="27"/>
      <c r="AI389" s="27"/>
      <c r="AJ389" s="27">
        <f t="shared" si="22"/>
        <v>16000</v>
      </c>
      <c r="AK389" s="27"/>
      <c r="AL389" s="27"/>
      <c r="AM389" s="27"/>
      <c r="AN389" s="27"/>
      <c r="AO389" s="27">
        <v>20000</v>
      </c>
      <c r="AP389" s="27"/>
      <c r="AQ389" s="27"/>
      <c r="AR389" s="27"/>
      <c r="AS389" s="27"/>
      <c r="AT389" s="27">
        <f t="shared" si="23"/>
        <v>0</v>
      </c>
      <c r="AU389" s="27"/>
      <c r="AV389" s="27"/>
      <c r="AW389" s="27"/>
      <c r="AX389" s="27">
        <v>0</v>
      </c>
      <c r="AY389" s="27"/>
      <c r="AZ389" s="27"/>
      <c r="BA389" s="27"/>
      <c r="BB389" s="27"/>
      <c r="BC389" s="27">
        <v>0</v>
      </c>
      <c r="BD389" s="27"/>
      <c r="BE389" s="27"/>
      <c r="BF389" s="27"/>
      <c r="BG389" s="27"/>
      <c r="BH389" s="27">
        <f t="shared" si="24"/>
        <v>20000</v>
      </c>
      <c r="BI389" s="27"/>
      <c r="BJ389" s="27"/>
      <c r="BK389" s="27"/>
      <c r="BL389" s="27"/>
    </row>
    <row r="390" spans="1:79" s="4" customFormat="1" ht="51" customHeight="1" x14ac:dyDescent="0.2">
      <c r="A390" s="28">
        <v>2282</v>
      </c>
      <c r="B390" s="28"/>
      <c r="C390" s="28"/>
      <c r="D390" s="28"/>
      <c r="E390" s="28"/>
      <c r="F390" s="28"/>
      <c r="G390" s="29" t="s">
        <v>193</v>
      </c>
      <c r="H390" s="30"/>
      <c r="I390" s="30"/>
      <c r="J390" s="30"/>
      <c r="K390" s="30"/>
      <c r="L390" s="30"/>
      <c r="M390" s="30"/>
      <c r="N390" s="30"/>
      <c r="O390" s="30"/>
      <c r="P390" s="31"/>
      <c r="Q390" s="27">
        <v>65000</v>
      </c>
      <c r="R390" s="27"/>
      <c r="S390" s="27"/>
      <c r="T390" s="27"/>
      <c r="U390" s="27"/>
      <c r="V390" s="27">
        <v>0</v>
      </c>
      <c r="W390" s="27"/>
      <c r="X390" s="27"/>
      <c r="Y390" s="27"/>
      <c r="Z390" s="27">
        <v>0</v>
      </c>
      <c r="AA390" s="27"/>
      <c r="AB390" s="27"/>
      <c r="AC390" s="27"/>
      <c r="AD390" s="27"/>
      <c r="AE390" s="27">
        <v>0</v>
      </c>
      <c r="AF390" s="27"/>
      <c r="AG390" s="27"/>
      <c r="AH390" s="27"/>
      <c r="AI390" s="27"/>
      <c r="AJ390" s="27">
        <f t="shared" si="22"/>
        <v>65000</v>
      </c>
      <c r="AK390" s="27"/>
      <c r="AL390" s="27"/>
      <c r="AM390" s="27"/>
      <c r="AN390" s="27"/>
      <c r="AO390" s="27">
        <v>65000</v>
      </c>
      <c r="AP390" s="27"/>
      <c r="AQ390" s="27"/>
      <c r="AR390" s="27"/>
      <c r="AS390" s="27"/>
      <c r="AT390" s="27">
        <f t="shared" si="23"/>
        <v>0</v>
      </c>
      <c r="AU390" s="27"/>
      <c r="AV390" s="27"/>
      <c r="AW390" s="27"/>
      <c r="AX390" s="27">
        <v>0</v>
      </c>
      <c r="AY390" s="27"/>
      <c r="AZ390" s="27"/>
      <c r="BA390" s="27"/>
      <c r="BB390" s="27"/>
      <c r="BC390" s="27">
        <v>0</v>
      </c>
      <c r="BD390" s="27"/>
      <c r="BE390" s="27"/>
      <c r="BF390" s="27"/>
      <c r="BG390" s="27"/>
      <c r="BH390" s="27">
        <f t="shared" si="24"/>
        <v>65000</v>
      </c>
      <c r="BI390" s="27"/>
      <c r="BJ390" s="27"/>
      <c r="BK390" s="27"/>
      <c r="BL390" s="27"/>
    </row>
    <row r="391" spans="1:79" s="4" customFormat="1" ht="12.75" customHeight="1" x14ac:dyDescent="0.2">
      <c r="A391" s="28">
        <v>2800</v>
      </c>
      <c r="B391" s="28"/>
      <c r="C391" s="28"/>
      <c r="D391" s="28"/>
      <c r="E391" s="28"/>
      <c r="F391" s="28"/>
      <c r="G391" s="29" t="s">
        <v>194</v>
      </c>
      <c r="H391" s="30"/>
      <c r="I391" s="30"/>
      <c r="J391" s="30"/>
      <c r="K391" s="30"/>
      <c r="L391" s="30"/>
      <c r="M391" s="30"/>
      <c r="N391" s="30"/>
      <c r="O391" s="30"/>
      <c r="P391" s="31"/>
      <c r="Q391" s="27">
        <v>400000</v>
      </c>
      <c r="R391" s="27"/>
      <c r="S391" s="27"/>
      <c r="T391" s="27"/>
      <c r="U391" s="27"/>
      <c r="V391" s="27">
        <v>0</v>
      </c>
      <c r="W391" s="27"/>
      <c r="X391" s="27"/>
      <c r="Y391" s="27"/>
      <c r="Z391" s="27">
        <v>0</v>
      </c>
      <c r="AA391" s="27"/>
      <c r="AB391" s="27"/>
      <c r="AC391" s="27"/>
      <c r="AD391" s="27"/>
      <c r="AE391" s="27">
        <v>0</v>
      </c>
      <c r="AF391" s="27"/>
      <c r="AG391" s="27"/>
      <c r="AH391" s="27"/>
      <c r="AI391" s="27"/>
      <c r="AJ391" s="27">
        <f t="shared" si="22"/>
        <v>400000</v>
      </c>
      <c r="AK391" s="27"/>
      <c r="AL391" s="27"/>
      <c r="AM391" s="27"/>
      <c r="AN391" s="27"/>
      <c r="AO391" s="27">
        <v>400000</v>
      </c>
      <c r="AP391" s="27"/>
      <c r="AQ391" s="27"/>
      <c r="AR391" s="27"/>
      <c r="AS391" s="27"/>
      <c r="AT391" s="27">
        <f t="shared" si="23"/>
        <v>0</v>
      </c>
      <c r="AU391" s="27"/>
      <c r="AV391" s="27"/>
      <c r="AW391" s="27"/>
      <c r="AX391" s="27">
        <v>0</v>
      </c>
      <c r="AY391" s="27"/>
      <c r="AZ391" s="27"/>
      <c r="BA391" s="27"/>
      <c r="BB391" s="27"/>
      <c r="BC391" s="27">
        <v>0</v>
      </c>
      <c r="BD391" s="27"/>
      <c r="BE391" s="27"/>
      <c r="BF391" s="27"/>
      <c r="BG391" s="27"/>
      <c r="BH391" s="27">
        <f t="shared" si="24"/>
        <v>400000</v>
      </c>
      <c r="BI391" s="27"/>
      <c r="BJ391" s="27"/>
      <c r="BK391" s="27"/>
      <c r="BL391" s="27"/>
    </row>
    <row r="392" spans="1:79" s="4" customFormat="1" ht="38.25" customHeight="1" x14ac:dyDescent="0.2">
      <c r="A392" s="28">
        <v>3110</v>
      </c>
      <c r="B392" s="28"/>
      <c r="C392" s="28"/>
      <c r="D392" s="28"/>
      <c r="E392" s="28"/>
      <c r="F392" s="28"/>
      <c r="G392" s="29" t="s">
        <v>195</v>
      </c>
      <c r="H392" s="30"/>
      <c r="I392" s="30"/>
      <c r="J392" s="30"/>
      <c r="K392" s="30"/>
      <c r="L392" s="30"/>
      <c r="M392" s="30"/>
      <c r="N392" s="30"/>
      <c r="O392" s="30"/>
      <c r="P392" s="31"/>
      <c r="Q392" s="27">
        <v>420160</v>
      </c>
      <c r="R392" s="27"/>
      <c r="S392" s="27"/>
      <c r="T392" s="27"/>
      <c r="U392" s="27"/>
      <c r="V392" s="27">
        <v>0</v>
      </c>
      <c r="W392" s="27"/>
      <c r="X392" s="27"/>
      <c r="Y392" s="27"/>
      <c r="Z392" s="27">
        <v>0</v>
      </c>
      <c r="AA392" s="27"/>
      <c r="AB392" s="27"/>
      <c r="AC392" s="27"/>
      <c r="AD392" s="27"/>
      <c r="AE392" s="27">
        <v>0</v>
      </c>
      <c r="AF392" s="27"/>
      <c r="AG392" s="27"/>
      <c r="AH392" s="27"/>
      <c r="AI392" s="27"/>
      <c r="AJ392" s="27">
        <f t="shared" si="22"/>
        <v>420160</v>
      </c>
      <c r="AK392" s="27"/>
      <c r="AL392" s="27"/>
      <c r="AM392" s="27"/>
      <c r="AN392" s="27"/>
      <c r="AO392" s="27">
        <v>0</v>
      </c>
      <c r="AP392" s="27"/>
      <c r="AQ392" s="27"/>
      <c r="AR392" s="27"/>
      <c r="AS392" s="27"/>
      <c r="AT392" s="27">
        <f t="shared" si="23"/>
        <v>0</v>
      </c>
      <c r="AU392" s="27"/>
      <c r="AV392" s="27"/>
      <c r="AW392" s="27"/>
      <c r="AX392" s="27">
        <v>0</v>
      </c>
      <c r="AY392" s="27"/>
      <c r="AZ392" s="27"/>
      <c r="BA392" s="27"/>
      <c r="BB392" s="27"/>
      <c r="BC392" s="27">
        <v>0</v>
      </c>
      <c r="BD392" s="27"/>
      <c r="BE392" s="27"/>
      <c r="BF392" s="27"/>
      <c r="BG392" s="27"/>
      <c r="BH392" s="27">
        <f t="shared" si="24"/>
        <v>0</v>
      </c>
      <c r="BI392" s="27"/>
      <c r="BJ392" s="27"/>
      <c r="BK392" s="27"/>
      <c r="BL392" s="27"/>
    </row>
    <row r="393" spans="1:79" s="5" customFormat="1" ht="12.75" customHeight="1" x14ac:dyDescent="0.2">
      <c r="A393" s="22"/>
      <c r="B393" s="22"/>
      <c r="C393" s="22"/>
      <c r="D393" s="22"/>
      <c r="E393" s="22"/>
      <c r="F393" s="22"/>
      <c r="G393" s="23" t="s">
        <v>147</v>
      </c>
      <c r="H393" s="24"/>
      <c r="I393" s="24"/>
      <c r="J393" s="24"/>
      <c r="K393" s="24"/>
      <c r="L393" s="24"/>
      <c r="M393" s="24"/>
      <c r="N393" s="24"/>
      <c r="O393" s="24"/>
      <c r="P393" s="25"/>
      <c r="Q393" s="26">
        <v>33911427</v>
      </c>
      <c r="R393" s="26"/>
      <c r="S393" s="26"/>
      <c r="T393" s="26"/>
      <c r="U393" s="26"/>
      <c r="V393" s="26">
        <v>0</v>
      </c>
      <c r="W393" s="26"/>
      <c r="X393" s="26"/>
      <c r="Y393" s="26"/>
      <c r="Z393" s="26">
        <v>0</v>
      </c>
      <c r="AA393" s="26"/>
      <c r="AB393" s="26"/>
      <c r="AC393" s="26"/>
      <c r="AD393" s="26"/>
      <c r="AE393" s="26">
        <v>0</v>
      </c>
      <c r="AF393" s="26"/>
      <c r="AG393" s="26"/>
      <c r="AH393" s="26"/>
      <c r="AI393" s="26"/>
      <c r="AJ393" s="26">
        <f t="shared" si="22"/>
        <v>33911427</v>
      </c>
      <c r="AK393" s="26"/>
      <c r="AL393" s="26"/>
      <c r="AM393" s="26"/>
      <c r="AN393" s="26"/>
      <c r="AO393" s="26">
        <v>38793866</v>
      </c>
      <c r="AP393" s="26"/>
      <c r="AQ393" s="26"/>
      <c r="AR393" s="26"/>
      <c r="AS393" s="26"/>
      <c r="AT393" s="26">
        <f t="shared" si="23"/>
        <v>0</v>
      </c>
      <c r="AU393" s="26"/>
      <c r="AV393" s="26"/>
      <c r="AW393" s="26"/>
      <c r="AX393" s="26">
        <v>0</v>
      </c>
      <c r="AY393" s="26"/>
      <c r="AZ393" s="26"/>
      <c r="BA393" s="26"/>
      <c r="BB393" s="26"/>
      <c r="BC393" s="26">
        <v>0</v>
      </c>
      <c r="BD393" s="26"/>
      <c r="BE393" s="26"/>
      <c r="BF393" s="26"/>
      <c r="BG393" s="26"/>
      <c r="BH393" s="26">
        <f t="shared" si="24"/>
        <v>38793866</v>
      </c>
      <c r="BI393" s="26"/>
      <c r="BJ393" s="26"/>
      <c r="BK393" s="26"/>
      <c r="BL393" s="26"/>
    </row>
    <row r="395" spans="1:79" ht="14.25" customHeight="1" x14ac:dyDescent="0.2">
      <c r="A395" s="60" t="s">
        <v>302</v>
      </c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60"/>
      <c r="BH395" s="60"/>
      <c r="BI395" s="60"/>
      <c r="BJ395" s="60"/>
      <c r="BK395" s="60"/>
      <c r="BL395" s="60"/>
    </row>
    <row r="396" spans="1:79" ht="15" customHeight="1" x14ac:dyDescent="0.2">
      <c r="A396" s="65" t="s">
        <v>295</v>
      </c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  <c r="BE396" s="65"/>
      <c r="BF396" s="65"/>
      <c r="BG396" s="65"/>
      <c r="BH396" s="65"/>
      <c r="BI396" s="65"/>
      <c r="BJ396" s="65"/>
      <c r="BK396" s="65"/>
      <c r="BL396" s="65"/>
    </row>
    <row r="397" spans="1:79" ht="42.95" customHeight="1" x14ac:dyDescent="0.2">
      <c r="A397" s="66" t="s">
        <v>135</v>
      </c>
      <c r="B397" s="66"/>
      <c r="C397" s="66"/>
      <c r="D397" s="66"/>
      <c r="E397" s="66"/>
      <c r="F397" s="66"/>
      <c r="G397" s="39" t="s">
        <v>19</v>
      </c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 t="s">
        <v>15</v>
      </c>
      <c r="U397" s="39"/>
      <c r="V397" s="39"/>
      <c r="W397" s="39"/>
      <c r="X397" s="39"/>
      <c r="Y397" s="39"/>
      <c r="Z397" s="39" t="s">
        <v>14</v>
      </c>
      <c r="AA397" s="39"/>
      <c r="AB397" s="39"/>
      <c r="AC397" s="39"/>
      <c r="AD397" s="39"/>
      <c r="AE397" s="39" t="s">
        <v>298</v>
      </c>
      <c r="AF397" s="39"/>
      <c r="AG397" s="39"/>
      <c r="AH397" s="39"/>
      <c r="AI397" s="39"/>
      <c r="AJ397" s="39"/>
      <c r="AK397" s="39" t="s">
        <v>303</v>
      </c>
      <c r="AL397" s="39"/>
      <c r="AM397" s="39"/>
      <c r="AN397" s="39"/>
      <c r="AO397" s="39"/>
      <c r="AP397" s="39"/>
      <c r="AQ397" s="39" t="s">
        <v>316</v>
      </c>
      <c r="AR397" s="39"/>
      <c r="AS397" s="39"/>
      <c r="AT397" s="39"/>
      <c r="AU397" s="39"/>
      <c r="AV397" s="39"/>
      <c r="AW397" s="39" t="s">
        <v>18</v>
      </c>
      <c r="AX397" s="39"/>
      <c r="AY397" s="39"/>
      <c r="AZ397" s="39"/>
      <c r="BA397" s="39"/>
      <c r="BB397" s="39"/>
      <c r="BC397" s="39"/>
      <c r="BD397" s="39"/>
      <c r="BE397" s="39" t="s">
        <v>156</v>
      </c>
      <c r="BF397" s="39"/>
      <c r="BG397" s="39"/>
      <c r="BH397" s="39"/>
      <c r="BI397" s="39"/>
      <c r="BJ397" s="39"/>
      <c r="BK397" s="39"/>
      <c r="BL397" s="39"/>
    </row>
    <row r="398" spans="1:79" ht="21.75" customHeight="1" x14ac:dyDescent="0.2">
      <c r="A398" s="66"/>
      <c r="B398" s="66"/>
      <c r="C398" s="66"/>
      <c r="D398" s="66"/>
      <c r="E398" s="66"/>
      <c r="F398" s="66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</row>
    <row r="399" spans="1:79" ht="15" customHeight="1" x14ac:dyDescent="0.2">
      <c r="A399" s="39">
        <v>1</v>
      </c>
      <c r="B399" s="39"/>
      <c r="C399" s="39"/>
      <c r="D399" s="39"/>
      <c r="E399" s="39"/>
      <c r="F399" s="39"/>
      <c r="G399" s="39">
        <v>2</v>
      </c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>
        <v>3</v>
      </c>
      <c r="U399" s="39"/>
      <c r="V399" s="39"/>
      <c r="W399" s="39"/>
      <c r="X399" s="39"/>
      <c r="Y399" s="39"/>
      <c r="Z399" s="39">
        <v>4</v>
      </c>
      <c r="AA399" s="39"/>
      <c r="AB399" s="39"/>
      <c r="AC399" s="39"/>
      <c r="AD399" s="39"/>
      <c r="AE399" s="39">
        <v>5</v>
      </c>
      <c r="AF399" s="39"/>
      <c r="AG399" s="39"/>
      <c r="AH399" s="39"/>
      <c r="AI399" s="39"/>
      <c r="AJ399" s="39"/>
      <c r="AK399" s="39">
        <v>6</v>
      </c>
      <c r="AL399" s="39"/>
      <c r="AM399" s="39"/>
      <c r="AN399" s="39"/>
      <c r="AO399" s="39"/>
      <c r="AP399" s="39"/>
      <c r="AQ399" s="39">
        <v>7</v>
      </c>
      <c r="AR399" s="39"/>
      <c r="AS399" s="39"/>
      <c r="AT399" s="39"/>
      <c r="AU399" s="39"/>
      <c r="AV399" s="39"/>
      <c r="AW399" s="64">
        <v>8</v>
      </c>
      <c r="AX399" s="64"/>
      <c r="AY399" s="64"/>
      <c r="AZ399" s="64"/>
      <c r="BA399" s="64"/>
      <c r="BB399" s="64"/>
      <c r="BC399" s="64"/>
      <c r="BD399" s="64"/>
      <c r="BE399" s="64">
        <v>9</v>
      </c>
      <c r="BF399" s="64"/>
      <c r="BG399" s="64"/>
      <c r="BH399" s="64"/>
      <c r="BI399" s="64"/>
      <c r="BJ399" s="64"/>
      <c r="BK399" s="64"/>
      <c r="BL399" s="64"/>
    </row>
    <row r="400" spans="1:79" s="1" customFormat="1" ht="18.75" hidden="1" customHeight="1" x14ac:dyDescent="0.2">
      <c r="A400" s="64" t="s">
        <v>64</v>
      </c>
      <c r="B400" s="64"/>
      <c r="C400" s="64"/>
      <c r="D400" s="64"/>
      <c r="E400" s="64"/>
      <c r="F400" s="64"/>
      <c r="G400" s="63" t="s">
        <v>57</v>
      </c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2" t="s">
        <v>80</v>
      </c>
      <c r="U400" s="62"/>
      <c r="V400" s="62"/>
      <c r="W400" s="62"/>
      <c r="X400" s="62"/>
      <c r="Y400" s="62"/>
      <c r="Z400" s="62" t="s">
        <v>81</v>
      </c>
      <c r="AA400" s="62"/>
      <c r="AB400" s="62"/>
      <c r="AC400" s="62"/>
      <c r="AD400" s="62"/>
      <c r="AE400" s="62" t="s">
        <v>82</v>
      </c>
      <c r="AF400" s="62"/>
      <c r="AG400" s="62"/>
      <c r="AH400" s="62"/>
      <c r="AI400" s="62"/>
      <c r="AJ400" s="62"/>
      <c r="AK400" s="62" t="s">
        <v>83</v>
      </c>
      <c r="AL400" s="62"/>
      <c r="AM400" s="62"/>
      <c r="AN400" s="62"/>
      <c r="AO400" s="62"/>
      <c r="AP400" s="62"/>
      <c r="AQ400" s="62" t="s">
        <v>84</v>
      </c>
      <c r="AR400" s="62"/>
      <c r="AS400" s="62"/>
      <c r="AT400" s="62"/>
      <c r="AU400" s="62"/>
      <c r="AV400" s="62"/>
      <c r="AW400" s="63" t="s">
        <v>87</v>
      </c>
      <c r="AX400" s="63"/>
      <c r="AY400" s="63"/>
      <c r="AZ400" s="63"/>
      <c r="BA400" s="63"/>
      <c r="BB400" s="63"/>
      <c r="BC400" s="63"/>
      <c r="BD400" s="63"/>
      <c r="BE400" s="63" t="s">
        <v>88</v>
      </c>
      <c r="BF400" s="63"/>
      <c r="BG400" s="63"/>
      <c r="BH400" s="63"/>
      <c r="BI400" s="63"/>
      <c r="BJ400" s="63"/>
      <c r="BK400" s="63"/>
      <c r="BL400" s="63"/>
      <c r="CA400" s="1" t="s">
        <v>54</v>
      </c>
    </row>
    <row r="401" spans="1:79" s="4" customFormat="1" ht="12.75" customHeight="1" x14ac:dyDescent="0.2">
      <c r="A401" s="28">
        <v>2111</v>
      </c>
      <c r="B401" s="28"/>
      <c r="C401" s="28"/>
      <c r="D401" s="28"/>
      <c r="E401" s="28"/>
      <c r="F401" s="28"/>
      <c r="G401" s="29" t="s">
        <v>181</v>
      </c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1"/>
      <c r="T401" s="27">
        <v>19156779</v>
      </c>
      <c r="U401" s="27"/>
      <c r="V401" s="27"/>
      <c r="W401" s="27"/>
      <c r="X401" s="27"/>
      <c r="Y401" s="27"/>
      <c r="Z401" s="27">
        <v>17478267</v>
      </c>
      <c r="AA401" s="27"/>
      <c r="AB401" s="27"/>
      <c r="AC401" s="27"/>
      <c r="AD401" s="27"/>
      <c r="AE401" s="27">
        <v>0</v>
      </c>
      <c r="AF401" s="27"/>
      <c r="AG401" s="27"/>
      <c r="AH401" s="27"/>
      <c r="AI401" s="27"/>
      <c r="AJ401" s="27"/>
      <c r="AK401" s="27">
        <v>0</v>
      </c>
      <c r="AL401" s="27"/>
      <c r="AM401" s="27"/>
      <c r="AN401" s="27"/>
      <c r="AO401" s="27"/>
      <c r="AP401" s="27"/>
      <c r="AQ401" s="27">
        <v>0</v>
      </c>
      <c r="AR401" s="27"/>
      <c r="AS401" s="27"/>
      <c r="AT401" s="27"/>
      <c r="AU401" s="27"/>
      <c r="AV401" s="27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CA401" s="4" t="s">
        <v>55</v>
      </c>
    </row>
    <row r="402" spans="1:79" s="4" customFormat="1" ht="12.75" customHeight="1" x14ac:dyDescent="0.2">
      <c r="A402" s="28">
        <v>2120</v>
      </c>
      <c r="B402" s="28"/>
      <c r="C402" s="28"/>
      <c r="D402" s="28"/>
      <c r="E402" s="28"/>
      <c r="F402" s="28"/>
      <c r="G402" s="29" t="s">
        <v>182</v>
      </c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1"/>
      <c r="T402" s="27">
        <v>4186651</v>
      </c>
      <c r="U402" s="27"/>
      <c r="V402" s="27"/>
      <c r="W402" s="27"/>
      <c r="X402" s="27"/>
      <c r="Y402" s="27"/>
      <c r="Z402" s="27">
        <v>3805939</v>
      </c>
      <c r="AA402" s="27"/>
      <c r="AB402" s="27"/>
      <c r="AC402" s="27"/>
      <c r="AD402" s="27"/>
      <c r="AE402" s="27">
        <v>0</v>
      </c>
      <c r="AF402" s="27"/>
      <c r="AG402" s="27"/>
      <c r="AH402" s="27"/>
      <c r="AI402" s="27"/>
      <c r="AJ402" s="27"/>
      <c r="AK402" s="27">
        <v>0</v>
      </c>
      <c r="AL402" s="27"/>
      <c r="AM402" s="27"/>
      <c r="AN402" s="27"/>
      <c r="AO402" s="27"/>
      <c r="AP402" s="27"/>
      <c r="AQ402" s="27">
        <v>0</v>
      </c>
      <c r="AR402" s="27"/>
      <c r="AS402" s="27"/>
      <c r="AT402" s="27"/>
      <c r="AU402" s="27"/>
      <c r="AV402" s="27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spans="1:79" s="4" customFormat="1" ht="25.5" customHeight="1" x14ac:dyDescent="0.2">
      <c r="A403" s="28">
        <v>2210</v>
      </c>
      <c r="B403" s="28"/>
      <c r="C403" s="28"/>
      <c r="D403" s="28"/>
      <c r="E403" s="28"/>
      <c r="F403" s="28"/>
      <c r="G403" s="29" t="s">
        <v>183</v>
      </c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1"/>
      <c r="T403" s="27">
        <v>1878757</v>
      </c>
      <c r="U403" s="27"/>
      <c r="V403" s="27"/>
      <c r="W403" s="27"/>
      <c r="X403" s="27"/>
      <c r="Y403" s="27"/>
      <c r="Z403" s="27">
        <v>1679270</v>
      </c>
      <c r="AA403" s="27"/>
      <c r="AB403" s="27"/>
      <c r="AC403" s="27"/>
      <c r="AD403" s="27"/>
      <c r="AE403" s="27">
        <v>0</v>
      </c>
      <c r="AF403" s="27"/>
      <c r="AG403" s="27"/>
      <c r="AH403" s="27"/>
      <c r="AI403" s="27"/>
      <c r="AJ403" s="27"/>
      <c r="AK403" s="27">
        <v>0</v>
      </c>
      <c r="AL403" s="27"/>
      <c r="AM403" s="27"/>
      <c r="AN403" s="27"/>
      <c r="AO403" s="27"/>
      <c r="AP403" s="27"/>
      <c r="AQ403" s="27">
        <v>0</v>
      </c>
      <c r="AR403" s="27"/>
      <c r="AS403" s="27"/>
      <c r="AT403" s="27"/>
      <c r="AU403" s="27"/>
      <c r="AV403" s="27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spans="1:79" s="4" customFormat="1" ht="12.75" customHeight="1" x14ac:dyDescent="0.2">
      <c r="A404" s="28">
        <v>2240</v>
      </c>
      <c r="B404" s="28"/>
      <c r="C404" s="28"/>
      <c r="D404" s="28"/>
      <c r="E404" s="28"/>
      <c r="F404" s="28"/>
      <c r="G404" s="29" t="s">
        <v>185</v>
      </c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1"/>
      <c r="T404" s="27">
        <v>2531509</v>
      </c>
      <c r="U404" s="27"/>
      <c r="V404" s="27"/>
      <c r="W404" s="27"/>
      <c r="X404" s="27"/>
      <c r="Y404" s="27"/>
      <c r="Z404" s="27">
        <v>2040601</v>
      </c>
      <c r="AA404" s="27"/>
      <c r="AB404" s="27"/>
      <c r="AC404" s="27"/>
      <c r="AD404" s="27"/>
      <c r="AE404" s="27">
        <v>0</v>
      </c>
      <c r="AF404" s="27"/>
      <c r="AG404" s="27"/>
      <c r="AH404" s="27"/>
      <c r="AI404" s="27"/>
      <c r="AJ404" s="27"/>
      <c r="AK404" s="27">
        <v>0</v>
      </c>
      <c r="AL404" s="27"/>
      <c r="AM404" s="27"/>
      <c r="AN404" s="27"/>
      <c r="AO404" s="27"/>
      <c r="AP404" s="27"/>
      <c r="AQ404" s="27">
        <v>0</v>
      </c>
      <c r="AR404" s="27"/>
      <c r="AS404" s="27"/>
      <c r="AT404" s="27"/>
      <c r="AU404" s="27"/>
      <c r="AV404" s="27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spans="1:79" s="4" customFormat="1" ht="12.75" customHeight="1" x14ac:dyDescent="0.2">
      <c r="A405" s="28">
        <v>2250</v>
      </c>
      <c r="B405" s="28"/>
      <c r="C405" s="28"/>
      <c r="D405" s="28"/>
      <c r="E405" s="28"/>
      <c r="F405" s="28"/>
      <c r="G405" s="29" t="s">
        <v>186</v>
      </c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1"/>
      <c r="T405" s="27">
        <v>100040</v>
      </c>
      <c r="U405" s="27"/>
      <c r="V405" s="27"/>
      <c r="W405" s="27"/>
      <c r="X405" s="27"/>
      <c r="Y405" s="27"/>
      <c r="Z405" s="27">
        <v>58605</v>
      </c>
      <c r="AA405" s="27"/>
      <c r="AB405" s="27"/>
      <c r="AC405" s="27"/>
      <c r="AD405" s="27"/>
      <c r="AE405" s="27">
        <v>0</v>
      </c>
      <c r="AF405" s="27"/>
      <c r="AG405" s="27"/>
      <c r="AH405" s="27"/>
      <c r="AI405" s="27"/>
      <c r="AJ405" s="27"/>
      <c r="AK405" s="27">
        <v>0</v>
      </c>
      <c r="AL405" s="27"/>
      <c r="AM405" s="27"/>
      <c r="AN405" s="27"/>
      <c r="AO405" s="27"/>
      <c r="AP405" s="27"/>
      <c r="AQ405" s="27">
        <v>0</v>
      </c>
      <c r="AR405" s="27"/>
      <c r="AS405" s="27"/>
      <c r="AT405" s="27"/>
      <c r="AU405" s="27"/>
      <c r="AV405" s="27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spans="1:79" s="4" customFormat="1" ht="12.75" customHeight="1" x14ac:dyDescent="0.2">
      <c r="A406" s="28">
        <v>2271</v>
      </c>
      <c r="B406" s="28"/>
      <c r="C406" s="28"/>
      <c r="D406" s="28"/>
      <c r="E406" s="28"/>
      <c r="F406" s="28"/>
      <c r="G406" s="29" t="s">
        <v>187</v>
      </c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1"/>
      <c r="T406" s="27">
        <v>207176</v>
      </c>
      <c r="U406" s="27"/>
      <c r="V406" s="27"/>
      <c r="W406" s="27"/>
      <c r="X406" s="27"/>
      <c r="Y406" s="27"/>
      <c r="Z406" s="27">
        <v>171176</v>
      </c>
      <c r="AA406" s="27"/>
      <c r="AB406" s="27"/>
      <c r="AC406" s="27"/>
      <c r="AD406" s="27"/>
      <c r="AE406" s="27">
        <v>0</v>
      </c>
      <c r="AF406" s="27"/>
      <c r="AG406" s="27"/>
      <c r="AH406" s="27"/>
      <c r="AI406" s="27"/>
      <c r="AJ406" s="27"/>
      <c r="AK406" s="27">
        <v>0</v>
      </c>
      <c r="AL406" s="27"/>
      <c r="AM406" s="27"/>
      <c r="AN406" s="27"/>
      <c r="AO406" s="27"/>
      <c r="AP406" s="27"/>
      <c r="AQ406" s="27">
        <v>0</v>
      </c>
      <c r="AR406" s="27"/>
      <c r="AS406" s="27"/>
      <c r="AT406" s="27"/>
      <c r="AU406" s="27"/>
      <c r="AV406" s="27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spans="1:79" s="4" customFormat="1" ht="25.5" customHeight="1" x14ac:dyDescent="0.2">
      <c r="A407" s="28">
        <v>2272</v>
      </c>
      <c r="B407" s="28"/>
      <c r="C407" s="28"/>
      <c r="D407" s="28"/>
      <c r="E407" s="28"/>
      <c r="F407" s="28"/>
      <c r="G407" s="29" t="s">
        <v>188</v>
      </c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1"/>
      <c r="T407" s="27">
        <v>80568</v>
      </c>
      <c r="U407" s="27"/>
      <c r="V407" s="27"/>
      <c r="W407" s="27"/>
      <c r="X407" s="27"/>
      <c r="Y407" s="27"/>
      <c r="Z407" s="27">
        <v>39696</v>
      </c>
      <c r="AA407" s="27"/>
      <c r="AB407" s="27"/>
      <c r="AC407" s="27"/>
      <c r="AD407" s="27"/>
      <c r="AE407" s="27">
        <v>0</v>
      </c>
      <c r="AF407" s="27"/>
      <c r="AG407" s="27"/>
      <c r="AH407" s="27"/>
      <c r="AI407" s="27"/>
      <c r="AJ407" s="27"/>
      <c r="AK407" s="27">
        <v>0</v>
      </c>
      <c r="AL407" s="27"/>
      <c r="AM407" s="27"/>
      <c r="AN407" s="27"/>
      <c r="AO407" s="27"/>
      <c r="AP407" s="27"/>
      <c r="AQ407" s="27">
        <v>0</v>
      </c>
      <c r="AR407" s="27"/>
      <c r="AS407" s="27"/>
      <c r="AT407" s="27"/>
      <c r="AU407" s="27"/>
      <c r="AV407" s="27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spans="1:79" s="4" customFormat="1" ht="12.75" customHeight="1" x14ac:dyDescent="0.2">
      <c r="A408" s="28">
        <v>2273</v>
      </c>
      <c r="B408" s="28"/>
      <c r="C408" s="28"/>
      <c r="D408" s="28"/>
      <c r="E408" s="28"/>
      <c r="F408" s="28"/>
      <c r="G408" s="29" t="s">
        <v>189</v>
      </c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1"/>
      <c r="T408" s="27">
        <v>1022882</v>
      </c>
      <c r="U408" s="27"/>
      <c r="V408" s="27"/>
      <c r="W408" s="27"/>
      <c r="X408" s="27"/>
      <c r="Y408" s="27"/>
      <c r="Z408" s="27">
        <v>929449</v>
      </c>
      <c r="AA408" s="27"/>
      <c r="AB408" s="27"/>
      <c r="AC408" s="27"/>
      <c r="AD408" s="27"/>
      <c r="AE408" s="27">
        <v>0</v>
      </c>
      <c r="AF408" s="27"/>
      <c r="AG408" s="27"/>
      <c r="AH408" s="27"/>
      <c r="AI408" s="27"/>
      <c r="AJ408" s="27"/>
      <c r="AK408" s="27">
        <v>0</v>
      </c>
      <c r="AL408" s="27"/>
      <c r="AM408" s="27"/>
      <c r="AN408" s="27"/>
      <c r="AO408" s="27"/>
      <c r="AP408" s="27"/>
      <c r="AQ408" s="27">
        <v>0</v>
      </c>
      <c r="AR408" s="27"/>
      <c r="AS408" s="27"/>
      <c r="AT408" s="27"/>
      <c r="AU408" s="27"/>
      <c r="AV408" s="27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spans="1:79" s="4" customFormat="1" ht="12.75" customHeight="1" x14ac:dyDescent="0.2">
      <c r="A409" s="28">
        <v>2274</v>
      </c>
      <c r="B409" s="28"/>
      <c r="C409" s="28"/>
      <c r="D409" s="28"/>
      <c r="E409" s="28"/>
      <c r="F409" s="28"/>
      <c r="G409" s="29" t="s">
        <v>190</v>
      </c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1"/>
      <c r="T409" s="27">
        <v>148328</v>
      </c>
      <c r="U409" s="27"/>
      <c r="V409" s="27"/>
      <c r="W409" s="27"/>
      <c r="X409" s="27"/>
      <c r="Y409" s="27"/>
      <c r="Z409" s="27">
        <v>93602</v>
      </c>
      <c r="AA409" s="27"/>
      <c r="AB409" s="27"/>
      <c r="AC409" s="27"/>
      <c r="AD409" s="27"/>
      <c r="AE409" s="27">
        <v>0</v>
      </c>
      <c r="AF409" s="27"/>
      <c r="AG409" s="27"/>
      <c r="AH409" s="27"/>
      <c r="AI409" s="27"/>
      <c r="AJ409" s="27"/>
      <c r="AK409" s="27">
        <v>0</v>
      </c>
      <c r="AL409" s="27"/>
      <c r="AM409" s="27"/>
      <c r="AN409" s="27"/>
      <c r="AO409" s="27"/>
      <c r="AP409" s="27"/>
      <c r="AQ409" s="27">
        <v>0</v>
      </c>
      <c r="AR409" s="27"/>
      <c r="AS409" s="27"/>
      <c r="AT409" s="27"/>
      <c r="AU409" s="27"/>
      <c r="AV409" s="27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spans="1:79" s="4" customFormat="1" ht="25.5" customHeight="1" x14ac:dyDescent="0.2">
      <c r="A410" s="28">
        <v>2275</v>
      </c>
      <c r="B410" s="28"/>
      <c r="C410" s="28"/>
      <c r="D410" s="28"/>
      <c r="E410" s="28"/>
      <c r="F410" s="28"/>
      <c r="G410" s="29" t="s">
        <v>191</v>
      </c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1"/>
      <c r="T410" s="27">
        <v>36671</v>
      </c>
      <c r="U410" s="27"/>
      <c r="V410" s="27"/>
      <c r="W410" s="27"/>
      <c r="X410" s="27"/>
      <c r="Y410" s="27"/>
      <c r="Z410" s="27">
        <v>31892</v>
      </c>
      <c r="AA410" s="27"/>
      <c r="AB410" s="27"/>
      <c r="AC410" s="27"/>
      <c r="AD410" s="27"/>
      <c r="AE410" s="27">
        <v>0</v>
      </c>
      <c r="AF410" s="27"/>
      <c r="AG410" s="27"/>
      <c r="AH410" s="27"/>
      <c r="AI410" s="27"/>
      <c r="AJ410" s="27"/>
      <c r="AK410" s="27">
        <v>0</v>
      </c>
      <c r="AL410" s="27"/>
      <c r="AM410" s="27"/>
      <c r="AN410" s="27"/>
      <c r="AO410" s="27"/>
      <c r="AP410" s="27"/>
      <c r="AQ410" s="27">
        <v>0</v>
      </c>
      <c r="AR410" s="27"/>
      <c r="AS410" s="27"/>
      <c r="AT410" s="27"/>
      <c r="AU410" s="27"/>
      <c r="AV410" s="27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spans="1:79" s="4" customFormat="1" ht="38.25" customHeight="1" x14ac:dyDescent="0.2">
      <c r="A411" s="28">
        <v>2281</v>
      </c>
      <c r="B411" s="28"/>
      <c r="C411" s="28"/>
      <c r="D411" s="28"/>
      <c r="E411" s="28"/>
      <c r="F411" s="28"/>
      <c r="G411" s="29" t="s">
        <v>192</v>
      </c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1"/>
      <c r="T411" s="27">
        <v>31000</v>
      </c>
      <c r="U411" s="27"/>
      <c r="V411" s="27"/>
      <c r="W411" s="27"/>
      <c r="X411" s="27"/>
      <c r="Y411" s="27"/>
      <c r="Z411" s="27">
        <v>13680</v>
      </c>
      <c r="AA411" s="27"/>
      <c r="AB411" s="27"/>
      <c r="AC411" s="27"/>
      <c r="AD411" s="27"/>
      <c r="AE411" s="27">
        <v>0</v>
      </c>
      <c r="AF411" s="27"/>
      <c r="AG411" s="27"/>
      <c r="AH411" s="27"/>
      <c r="AI411" s="27"/>
      <c r="AJ411" s="27"/>
      <c r="AK411" s="27">
        <v>0</v>
      </c>
      <c r="AL411" s="27"/>
      <c r="AM411" s="27"/>
      <c r="AN411" s="27"/>
      <c r="AO411" s="27"/>
      <c r="AP411" s="27"/>
      <c r="AQ411" s="27">
        <v>0</v>
      </c>
      <c r="AR411" s="27"/>
      <c r="AS411" s="27"/>
      <c r="AT411" s="27"/>
      <c r="AU411" s="27"/>
      <c r="AV411" s="27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spans="1:79" s="4" customFormat="1" ht="38.25" customHeight="1" x14ac:dyDescent="0.2">
      <c r="A412" s="28">
        <v>2282</v>
      </c>
      <c r="B412" s="28"/>
      <c r="C412" s="28"/>
      <c r="D412" s="28"/>
      <c r="E412" s="28"/>
      <c r="F412" s="28"/>
      <c r="G412" s="29" t="s">
        <v>193</v>
      </c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1"/>
      <c r="T412" s="27">
        <v>5000</v>
      </c>
      <c r="U412" s="27"/>
      <c r="V412" s="27"/>
      <c r="W412" s="27"/>
      <c r="X412" s="27"/>
      <c r="Y412" s="27"/>
      <c r="Z412" s="27">
        <v>0</v>
      </c>
      <c r="AA412" s="27"/>
      <c r="AB412" s="27"/>
      <c r="AC412" s="27"/>
      <c r="AD412" s="27"/>
      <c r="AE412" s="27">
        <v>0</v>
      </c>
      <c r="AF412" s="27"/>
      <c r="AG412" s="27"/>
      <c r="AH412" s="27"/>
      <c r="AI412" s="27"/>
      <c r="AJ412" s="27"/>
      <c r="AK412" s="27">
        <v>0</v>
      </c>
      <c r="AL412" s="27"/>
      <c r="AM412" s="27"/>
      <c r="AN412" s="27"/>
      <c r="AO412" s="27"/>
      <c r="AP412" s="27"/>
      <c r="AQ412" s="27">
        <v>0</v>
      </c>
      <c r="AR412" s="27"/>
      <c r="AS412" s="27"/>
      <c r="AT412" s="27"/>
      <c r="AU412" s="27"/>
      <c r="AV412" s="27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spans="1:79" s="4" customFormat="1" ht="12.75" customHeight="1" x14ac:dyDescent="0.2">
      <c r="A413" s="28">
        <v>2800</v>
      </c>
      <c r="B413" s="28"/>
      <c r="C413" s="28"/>
      <c r="D413" s="28"/>
      <c r="E413" s="28"/>
      <c r="F413" s="28"/>
      <c r="G413" s="29" t="s">
        <v>194</v>
      </c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1"/>
      <c r="T413" s="27">
        <v>205000</v>
      </c>
      <c r="U413" s="27"/>
      <c r="V413" s="27"/>
      <c r="W413" s="27"/>
      <c r="X413" s="27"/>
      <c r="Y413" s="27"/>
      <c r="Z413" s="27">
        <v>167068</v>
      </c>
      <c r="AA413" s="27"/>
      <c r="AB413" s="27"/>
      <c r="AC413" s="27"/>
      <c r="AD413" s="27"/>
      <c r="AE413" s="27">
        <v>0</v>
      </c>
      <c r="AF413" s="27"/>
      <c r="AG413" s="27"/>
      <c r="AH413" s="27"/>
      <c r="AI413" s="27"/>
      <c r="AJ413" s="27"/>
      <c r="AK413" s="27">
        <v>0</v>
      </c>
      <c r="AL413" s="27"/>
      <c r="AM413" s="27"/>
      <c r="AN413" s="27"/>
      <c r="AO413" s="27"/>
      <c r="AP413" s="27"/>
      <c r="AQ413" s="27">
        <v>0</v>
      </c>
      <c r="AR413" s="27"/>
      <c r="AS413" s="27"/>
      <c r="AT413" s="27"/>
      <c r="AU413" s="27"/>
      <c r="AV413" s="27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spans="1:79" s="5" customFormat="1" ht="12.75" customHeight="1" x14ac:dyDescent="0.2">
      <c r="A414" s="22"/>
      <c r="B414" s="22"/>
      <c r="C414" s="22"/>
      <c r="D414" s="22"/>
      <c r="E414" s="22"/>
      <c r="F414" s="22"/>
      <c r="G414" s="23" t="s">
        <v>147</v>
      </c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5"/>
      <c r="T414" s="26">
        <v>29590361</v>
      </c>
      <c r="U414" s="26"/>
      <c r="V414" s="26"/>
      <c r="W414" s="26"/>
      <c r="X414" s="26"/>
      <c r="Y414" s="26"/>
      <c r="Z414" s="26">
        <v>26509245</v>
      </c>
      <c r="AA414" s="26"/>
      <c r="AB414" s="26"/>
      <c r="AC414" s="26"/>
      <c r="AD414" s="26"/>
      <c r="AE414" s="26">
        <v>0</v>
      </c>
      <c r="AF414" s="26"/>
      <c r="AG414" s="26"/>
      <c r="AH414" s="26"/>
      <c r="AI414" s="26"/>
      <c r="AJ414" s="26"/>
      <c r="AK414" s="26">
        <v>0</v>
      </c>
      <c r="AL414" s="26"/>
      <c r="AM414" s="26"/>
      <c r="AN414" s="26"/>
      <c r="AO414" s="26"/>
      <c r="AP414" s="26"/>
      <c r="AQ414" s="26">
        <v>0</v>
      </c>
      <c r="AR414" s="26"/>
      <c r="AS414" s="26"/>
      <c r="AT414" s="26"/>
      <c r="AU414" s="26"/>
      <c r="AV414" s="26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</row>
    <row r="416" spans="1:79" ht="14.25" customHeight="1" x14ac:dyDescent="0.2">
      <c r="A416" s="60" t="s">
        <v>304</v>
      </c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60"/>
      <c r="BH416" s="60"/>
      <c r="BI416" s="60"/>
      <c r="BJ416" s="60"/>
      <c r="BK416" s="60"/>
      <c r="BL416" s="60"/>
    </row>
    <row r="417" spans="1:64" ht="105" customHeight="1" x14ac:dyDescent="0.2">
      <c r="A417" s="61" t="s">
        <v>290</v>
      </c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</row>
    <row r="419" spans="1:64" ht="14.25" x14ac:dyDescent="0.2">
      <c r="A419" s="60" t="s">
        <v>331</v>
      </c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60"/>
      <c r="BJ419" s="60"/>
      <c r="BK419" s="60"/>
      <c r="BL419" s="60"/>
    </row>
    <row r="420" spans="1:64" ht="14.25" x14ac:dyDescent="0.2">
      <c r="A420" s="60" t="s">
        <v>305</v>
      </c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60"/>
      <c r="BH420" s="60"/>
      <c r="BI420" s="60"/>
      <c r="BJ420" s="60"/>
      <c r="BK420" s="60"/>
      <c r="BL420" s="60"/>
    </row>
    <row r="422" spans="1:64" ht="18.95" customHeight="1" x14ac:dyDescent="0.2">
      <c r="A422" s="52" t="s">
        <v>340</v>
      </c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17"/>
      <c r="AC422" s="17"/>
      <c r="AD422" s="17"/>
      <c r="AE422" s="17"/>
      <c r="AF422" s="17"/>
      <c r="AG422" s="17"/>
      <c r="AH422" s="58"/>
      <c r="AI422" s="58"/>
      <c r="AJ422" s="58"/>
      <c r="AK422" s="58"/>
      <c r="AL422" s="58"/>
      <c r="AM422" s="58"/>
      <c r="AN422" s="58"/>
      <c r="AO422" s="58"/>
      <c r="AP422" s="58"/>
      <c r="AQ422" s="17"/>
      <c r="AR422" s="17"/>
      <c r="AS422" s="17"/>
      <c r="AT422" s="17"/>
      <c r="AU422" s="59" t="s">
        <v>337</v>
      </c>
      <c r="AV422" s="56"/>
      <c r="AW422" s="56"/>
      <c r="AX422" s="56"/>
      <c r="AY422" s="56"/>
      <c r="AZ422" s="56"/>
      <c r="BA422" s="56"/>
      <c r="BB422" s="56"/>
      <c r="BC422" s="56"/>
      <c r="BD422" s="56"/>
      <c r="BE422" s="56"/>
      <c r="BF422" s="56"/>
    </row>
    <row r="423" spans="1:64" ht="12.75" customHeight="1" x14ac:dyDescent="0.2">
      <c r="AB423" s="18"/>
      <c r="AC423" s="18"/>
      <c r="AD423" s="18"/>
      <c r="AE423" s="18"/>
      <c r="AF423" s="18"/>
      <c r="AG423" s="18"/>
      <c r="AH423" s="57" t="s">
        <v>1</v>
      </c>
      <c r="AI423" s="57"/>
      <c r="AJ423" s="57"/>
      <c r="AK423" s="57"/>
      <c r="AL423" s="57"/>
      <c r="AM423" s="57"/>
      <c r="AN423" s="57"/>
      <c r="AO423" s="57"/>
      <c r="AP423" s="57"/>
      <c r="AQ423" s="18"/>
      <c r="AR423" s="18"/>
      <c r="AS423" s="18"/>
      <c r="AT423" s="18"/>
      <c r="AU423" s="57" t="s">
        <v>171</v>
      </c>
      <c r="AV423" s="57"/>
      <c r="AW423" s="57"/>
      <c r="AX423" s="57"/>
      <c r="AY423" s="57"/>
      <c r="AZ423" s="57"/>
      <c r="BA423" s="57"/>
      <c r="BB423" s="57"/>
      <c r="BC423" s="57"/>
      <c r="BD423" s="57"/>
      <c r="BE423" s="57"/>
      <c r="BF423" s="57"/>
    </row>
    <row r="424" spans="1:64" ht="15" x14ac:dyDescent="0.2">
      <c r="AB424" s="18"/>
      <c r="AC424" s="18"/>
      <c r="AD424" s="18"/>
      <c r="AE424" s="18"/>
      <c r="AF424" s="18"/>
      <c r="AG424" s="18"/>
      <c r="AH424" s="19"/>
      <c r="AI424" s="19"/>
      <c r="AJ424" s="19"/>
      <c r="AK424" s="19"/>
      <c r="AL424" s="19"/>
      <c r="AM424" s="19"/>
      <c r="AN424" s="19"/>
      <c r="AO424" s="19"/>
      <c r="AP424" s="19"/>
      <c r="AQ424" s="18"/>
      <c r="AR424" s="18"/>
      <c r="AS424" s="18"/>
      <c r="AT424" s="18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</row>
    <row r="425" spans="1:64" ht="18" customHeight="1" x14ac:dyDescent="0.2">
      <c r="A425" s="52" t="s">
        <v>341</v>
      </c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18"/>
      <c r="AC425" s="18"/>
      <c r="AD425" s="18"/>
      <c r="AE425" s="18"/>
      <c r="AF425" s="18"/>
      <c r="AG425" s="18"/>
      <c r="AH425" s="54"/>
      <c r="AI425" s="54"/>
      <c r="AJ425" s="54"/>
      <c r="AK425" s="54"/>
      <c r="AL425" s="54"/>
      <c r="AM425" s="54"/>
      <c r="AN425" s="54"/>
      <c r="AO425" s="54"/>
      <c r="AP425" s="54"/>
      <c r="AQ425" s="18"/>
      <c r="AR425" s="18"/>
      <c r="AS425" s="18"/>
      <c r="AT425" s="18"/>
      <c r="AU425" s="55" t="s">
        <v>338</v>
      </c>
      <c r="AV425" s="56"/>
      <c r="AW425" s="56"/>
      <c r="AX425" s="56"/>
      <c r="AY425" s="56"/>
      <c r="AZ425" s="56"/>
      <c r="BA425" s="56"/>
      <c r="BB425" s="56"/>
      <c r="BC425" s="56"/>
      <c r="BD425" s="56"/>
      <c r="BE425" s="56"/>
      <c r="BF425" s="56"/>
    </row>
    <row r="426" spans="1:64" ht="12" customHeight="1" x14ac:dyDescent="0.2">
      <c r="AB426" s="18"/>
      <c r="AC426" s="18"/>
      <c r="AD426" s="18"/>
      <c r="AE426" s="18"/>
      <c r="AF426" s="18"/>
      <c r="AG426" s="18"/>
      <c r="AH426" s="57" t="s">
        <v>1</v>
      </c>
      <c r="AI426" s="57"/>
      <c r="AJ426" s="57"/>
      <c r="AK426" s="57"/>
      <c r="AL426" s="57"/>
      <c r="AM426" s="57"/>
      <c r="AN426" s="57"/>
      <c r="AO426" s="57"/>
      <c r="AP426" s="57"/>
      <c r="AQ426" s="18"/>
      <c r="AR426" s="18"/>
      <c r="AS426" s="18"/>
      <c r="AT426" s="18"/>
      <c r="AU426" s="57" t="s">
        <v>171</v>
      </c>
      <c r="AV426" s="57"/>
      <c r="AW426" s="57"/>
      <c r="AX426" s="57"/>
      <c r="AY426" s="57"/>
      <c r="AZ426" s="57"/>
      <c r="BA426" s="57"/>
      <c r="BB426" s="57"/>
      <c r="BC426" s="57"/>
      <c r="BD426" s="57"/>
      <c r="BE426" s="57"/>
      <c r="BF426" s="57"/>
    </row>
  </sheetData>
  <mergeCells count="3802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M44:AQ44"/>
    <mergeCell ref="AR44:AV44"/>
    <mergeCell ref="A41:BK41"/>
    <mergeCell ref="A42:D43"/>
    <mergeCell ref="E42:W43"/>
    <mergeCell ref="X42:AQ42"/>
    <mergeCell ref="AR42:BK42"/>
    <mergeCell ref="X43:AB43"/>
    <mergeCell ref="AC43:AG43"/>
    <mergeCell ref="AH43:AL43"/>
    <mergeCell ref="AM43:AQ43"/>
    <mergeCell ref="AR43:AV43"/>
    <mergeCell ref="BB30:BF30"/>
    <mergeCell ref="BG30:BK30"/>
    <mergeCell ref="BL30:BP30"/>
    <mergeCell ref="BQ30:BT30"/>
    <mergeCell ref="BU30:BY30"/>
    <mergeCell ref="A40:BL40"/>
    <mergeCell ref="AI31:AM31"/>
    <mergeCell ref="AN31:AR31"/>
    <mergeCell ref="AS31:AW31"/>
    <mergeCell ref="AX31:BA31"/>
    <mergeCell ref="A56:BY56"/>
    <mergeCell ref="A57:BY57"/>
    <mergeCell ref="A58:BY58"/>
    <mergeCell ref="BG47:BK47"/>
    <mergeCell ref="A48:D48"/>
    <mergeCell ref="E48:W48"/>
    <mergeCell ref="X48:AB48"/>
    <mergeCell ref="AW45:BA45"/>
    <mergeCell ref="BB45:BF45"/>
    <mergeCell ref="BG45:BK45"/>
    <mergeCell ref="A46:D46"/>
    <mergeCell ref="E46:W46"/>
    <mergeCell ref="X46:AB46"/>
    <mergeCell ref="AC46:AG46"/>
    <mergeCell ref="AH46:AL46"/>
    <mergeCell ref="AM46:AQ46"/>
    <mergeCell ref="AR46:AV46"/>
    <mergeCell ref="A45:D45"/>
    <mergeCell ref="E45:W45"/>
    <mergeCell ref="X45:AB45"/>
    <mergeCell ref="AC45:AG45"/>
    <mergeCell ref="AH45:AL45"/>
    <mergeCell ref="AM45:AQ45"/>
    <mergeCell ref="AR45:AV45"/>
    <mergeCell ref="BU60:BY60"/>
    <mergeCell ref="A61:D61"/>
    <mergeCell ref="E61:T61"/>
    <mergeCell ref="U61:Y61"/>
    <mergeCell ref="Z61:AD61"/>
    <mergeCell ref="AE61:AH61"/>
    <mergeCell ref="AI61:AM61"/>
    <mergeCell ref="AN61:AR61"/>
    <mergeCell ref="AS61:AW61"/>
    <mergeCell ref="AX61:BA61"/>
    <mergeCell ref="AS60:AW60"/>
    <mergeCell ref="AX60:BA60"/>
    <mergeCell ref="BB60:BF60"/>
    <mergeCell ref="BG60:BK60"/>
    <mergeCell ref="BL60:BP60"/>
    <mergeCell ref="BQ60:BT60"/>
    <mergeCell ref="A59:D60"/>
    <mergeCell ref="E59:T60"/>
    <mergeCell ref="U59:AM59"/>
    <mergeCell ref="AN59:BF59"/>
    <mergeCell ref="BG59:BY59"/>
    <mergeCell ref="U60:Y60"/>
    <mergeCell ref="Z60:AD60"/>
    <mergeCell ref="AE60:AH60"/>
    <mergeCell ref="AI60:AM60"/>
    <mergeCell ref="AN60:AR60"/>
    <mergeCell ref="BL62:BP62"/>
    <mergeCell ref="BQ62:BT62"/>
    <mergeCell ref="BU62:BY62"/>
    <mergeCell ref="A63:D63"/>
    <mergeCell ref="E63:T63"/>
    <mergeCell ref="U63:Y63"/>
    <mergeCell ref="Z63:AD63"/>
    <mergeCell ref="AE63:AH63"/>
    <mergeCell ref="AI63:AM63"/>
    <mergeCell ref="AN63:AR63"/>
    <mergeCell ref="AI62:AM62"/>
    <mergeCell ref="AN62:AR62"/>
    <mergeCell ref="AS62:AW62"/>
    <mergeCell ref="AX62:BA62"/>
    <mergeCell ref="BB62:BF62"/>
    <mergeCell ref="BG62:BK62"/>
    <mergeCell ref="BB61:BF61"/>
    <mergeCell ref="BG61:BK61"/>
    <mergeCell ref="BL61:BP61"/>
    <mergeCell ref="BQ61:BT61"/>
    <mergeCell ref="BU61:BY61"/>
    <mergeCell ref="A62:D62"/>
    <mergeCell ref="E62:T62"/>
    <mergeCell ref="U62:Y62"/>
    <mergeCell ref="Z62:AD62"/>
    <mergeCell ref="AE62:AH62"/>
    <mergeCell ref="BG83:BK83"/>
    <mergeCell ref="BL83:BP83"/>
    <mergeCell ref="BQ83:BT83"/>
    <mergeCell ref="BU83:BY83"/>
    <mergeCell ref="A84:E84"/>
    <mergeCell ref="F84:T84"/>
    <mergeCell ref="U84:Y84"/>
    <mergeCell ref="Z84:AD84"/>
    <mergeCell ref="AE84:AH84"/>
    <mergeCell ref="AI84:AM84"/>
    <mergeCell ref="AE83:AH83"/>
    <mergeCell ref="AI83:AM83"/>
    <mergeCell ref="AN83:AR83"/>
    <mergeCell ref="AS83:AW83"/>
    <mergeCell ref="AX83:BA83"/>
    <mergeCell ref="BB83:BF83"/>
    <mergeCell ref="BU63:BY63"/>
    <mergeCell ref="A80:BL80"/>
    <mergeCell ref="A81:BY81"/>
    <mergeCell ref="A82:E83"/>
    <mergeCell ref="F82:T83"/>
    <mergeCell ref="U82:AM82"/>
    <mergeCell ref="AN82:BF82"/>
    <mergeCell ref="BG82:BY82"/>
    <mergeCell ref="U83:Y83"/>
    <mergeCell ref="Z83:AD83"/>
    <mergeCell ref="AS63:AW63"/>
    <mergeCell ref="AX63:BA63"/>
    <mergeCell ref="BB63:BF63"/>
    <mergeCell ref="BG63:BK63"/>
    <mergeCell ref="BL63:BP63"/>
    <mergeCell ref="BQ63:BT63"/>
    <mergeCell ref="AX85:BA85"/>
    <mergeCell ref="BB85:BF85"/>
    <mergeCell ref="BG85:BK85"/>
    <mergeCell ref="BL85:BP85"/>
    <mergeCell ref="BQ85:BT85"/>
    <mergeCell ref="BU85:BY85"/>
    <mergeCell ref="BQ84:BT84"/>
    <mergeCell ref="BU84:BY84"/>
    <mergeCell ref="A85:E85"/>
    <mergeCell ref="F85:T85"/>
    <mergeCell ref="U85:Y85"/>
    <mergeCell ref="Z85:AD85"/>
    <mergeCell ref="AE85:AH85"/>
    <mergeCell ref="AI85:AM85"/>
    <mergeCell ref="AN85:AR85"/>
    <mergeCell ref="AS85:AW85"/>
    <mergeCell ref="AN84:AR84"/>
    <mergeCell ref="AS84:AW84"/>
    <mergeCell ref="AX84:BA84"/>
    <mergeCell ref="BB84:BF84"/>
    <mergeCell ref="BG84:BK84"/>
    <mergeCell ref="BL84:BP84"/>
    <mergeCell ref="BQ86:BT86"/>
    <mergeCell ref="BU86:BY86"/>
    <mergeCell ref="A88:BL88"/>
    <mergeCell ref="A89:BK89"/>
    <mergeCell ref="A90:D91"/>
    <mergeCell ref="E90:W91"/>
    <mergeCell ref="X90:AQ90"/>
    <mergeCell ref="AR90:BK90"/>
    <mergeCell ref="X91:AB91"/>
    <mergeCell ref="AC91:AG91"/>
    <mergeCell ref="AN86:AR86"/>
    <mergeCell ref="AS86:AW86"/>
    <mergeCell ref="AX86:BA86"/>
    <mergeCell ref="BB86:BF86"/>
    <mergeCell ref="BG86:BK86"/>
    <mergeCell ref="BL86:BP86"/>
    <mergeCell ref="A86:E86"/>
    <mergeCell ref="F86:T86"/>
    <mergeCell ref="U86:Y86"/>
    <mergeCell ref="Z86:AD86"/>
    <mergeCell ref="AE86:AH86"/>
    <mergeCell ref="AI86:AM86"/>
    <mergeCell ref="AR92:AV92"/>
    <mergeCell ref="AW92:BA92"/>
    <mergeCell ref="BB92:BF92"/>
    <mergeCell ref="BG92:BK92"/>
    <mergeCell ref="A93:D93"/>
    <mergeCell ref="E93:W93"/>
    <mergeCell ref="X93:AB93"/>
    <mergeCell ref="AC93:AG93"/>
    <mergeCell ref="AH93:AL93"/>
    <mergeCell ref="AM93:AQ93"/>
    <mergeCell ref="A92:D92"/>
    <mergeCell ref="E92:W92"/>
    <mergeCell ref="X92:AB92"/>
    <mergeCell ref="AC92:AG92"/>
    <mergeCell ref="AH92:AL92"/>
    <mergeCell ref="AM92:AQ92"/>
    <mergeCell ref="AH91:AL91"/>
    <mergeCell ref="AM91:AQ91"/>
    <mergeCell ref="AR91:AV91"/>
    <mergeCell ref="AW91:BA91"/>
    <mergeCell ref="BB91:BF91"/>
    <mergeCell ref="BG91:BK91"/>
    <mergeCell ref="AR94:AV94"/>
    <mergeCell ref="AW94:BA94"/>
    <mergeCell ref="BB94:BF94"/>
    <mergeCell ref="BG94:BK94"/>
    <mergeCell ref="A111:BL111"/>
    <mergeCell ref="A112:BK112"/>
    <mergeCell ref="AW95:BA95"/>
    <mergeCell ref="BB95:BF95"/>
    <mergeCell ref="BG95:BK95"/>
    <mergeCell ref="A96:D96"/>
    <mergeCell ref="AR93:AV93"/>
    <mergeCell ref="AW93:BA93"/>
    <mergeCell ref="BB93:BF93"/>
    <mergeCell ref="BG93:BK93"/>
    <mergeCell ref="A94:D94"/>
    <mergeCell ref="E94:W94"/>
    <mergeCell ref="X94:AB94"/>
    <mergeCell ref="AC94:AG94"/>
    <mergeCell ref="AH94:AL94"/>
    <mergeCell ref="AM94:AQ94"/>
    <mergeCell ref="BB114:BF114"/>
    <mergeCell ref="BG114:BK114"/>
    <mergeCell ref="A115:E115"/>
    <mergeCell ref="F115:W115"/>
    <mergeCell ref="X115:AB115"/>
    <mergeCell ref="AC115:AG115"/>
    <mergeCell ref="AH115:AL115"/>
    <mergeCell ref="AM115:AQ115"/>
    <mergeCell ref="AR115:AV115"/>
    <mergeCell ref="AW115:BA115"/>
    <mergeCell ref="A113:E114"/>
    <mergeCell ref="F113:W114"/>
    <mergeCell ref="X113:AQ113"/>
    <mergeCell ref="AR113:BK113"/>
    <mergeCell ref="X114:AB114"/>
    <mergeCell ref="AC114:AG114"/>
    <mergeCell ref="AH114:AL114"/>
    <mergeCell ref="AM114:AQ114"/>
    <mergeCell ref="AR114:AV114"/>
    <mergeCell ref="AW114:BA114"/>
    <mergeCell ref="BB116:BF116"/>
    <mergeCell ref="BG116:BK116"/>
    <mergeCell ref="A117:E117"/>
    <mergeCell ref="F117:W117"/>
    <mergeCell ref="X117:AB117"/>
    <mergeCell ref="AC117:AG117"/>
    <mergeCell ref="AH117:AL117"/>
    <mergeCell ref="AM117:AQ117"/>
    <mergeCell ref="AR117:AV117"/>
    <mergeCell ref="AW117:BA117"/>
    <mergeCell ref="BB115:BF115"/>
    <mergeCell ref="BG115:BK115"/>
    <mergeCell ref="A116:E116"/>
    <mergeCell ref="F116:W116"/>
    <mergeCell ref="X116:AB116"/>
    <mergeCell ref="AC116:AG116"/>
    <mergeCell ref="AH116:AL116"/>
    <mergeCell ref="AM116:AQ116"/>
    <mergeCell ref="AR116:AV116"/>
    <mergeCell ref="AW116:BA116"/>
    <mergeCell ref="AX123:BA123"/>
    <mergeCell ref="BB123:BF123"/>
    <mergeCell ref="BG123:BK123"/>
    <mergeCell ref="BL123:BP123"/>
    <mergeCell ref="BQ123:BT123"/>
    <mergeCell ref="BU123:BY123"/>
    <mergeCell ref="U123:Y123"/>
    <mergeCell ref="Z123:AD123"/>
    <mergeCell ref="AE123:AH123"/>
    <mergeCell ref="AI123:AM123"/>
    <mergeCell ref="AN123:AR123"/>
    <mergeCell ref="AS123:AW123"/>
    <mergeCell ref="BB117:BF117"/>
    <mergeCell ref="BG117:BK117"/>
    <mergeCell ref="A119:BL119"/>
    <mergeCell ref="A120:BL120"/>
    <mergeCell ref="A121:BY121"/>
    <mergeCell ref="A122:C123"/>
    <mergeCell ref="D122:T123"/>
    <mergeCell ref="U122:AM122"/>
    <mergeCell ref="AN122:BF122"/>
    <mergeCell ref="BG122:BY122"/>
    <mergeCell ref="AX125:BA125"/>
    <mergeCell ref="BB125:BF125"/>
    <mergeCell ref="BG125:BK125"/>
    <mergeCell ref="BL125:BP125"/>
    <mergeCell ref="BQ125:BT125"/>
    <mergeCell ref="BU125:BY125"/>
    <mergeCell ref="BQ124:BT124"/>
    <mergeCell ref="BU124:BY124"/>
    <mergeCell ref="A125:C125"/>
    <mergeCell ref="D125:T125"/>
    <mergeCell ref="U125:Y125"/>
    <mergeCell ref="Z125:AD125"/>
    <mergeCell ref="AE125:AH125"/>
    <mergeCell ref="AI125:AM125"/>
    <mergeCell ref="AN125:AR125"/>
    <mergeCell ref="AS125:AW125"/>
    <mergeCell ref="AN124:AR124"/>
    <mergeCell ref="AS124:AW124"/>
    <mergeCell ref="AX124:BA124"/>
    <mergeCell ref="BB124:BF124"/>
    <mergeCell ref="BG124:BK124"/>
    <mergeCell ref="BL124:BP124"/>
    <mergeCell ref="A124:C124"/>
    <mergeCell ref="D124:T124"/>
    <mergeCell ref="U124:Y124"/>
    <mergeCell ref="Z124:AD124"/>
    <mergeCell ref="AE124:AH124"/>
    <mergeCell ref="AI124:AM124"/>
    <mergeCell ref="AE192:AI192"/>
    <mergeCell ref="AJ192:AN192"/>
    <mergeCell ref="AO192:AS192"/>
    <mergeCell ref="AT192:AX192"/>
    <mergeCell ref="AY192:BC192"/>
    <mergeCell ref="BD192:BH192"/>
    <mergeCell ref="BQ126:BT126"/>
    <mergeCell ref="BU126:BY126"/>
    <mergeCell ref="A189:BL189"/>
    <mergeCell ref="A190:BH190"/>
    <mergeCell ref="A191:C192"/>
    <mergeCell ref="D191:T192"/>
    <mergeCell ref="U191:AN191"/>
    <mergeCell ref="AO191:BH191"/>
    <mergeCell ref="U192:Y192"/>
    <mergeCell ref="Z192:AD192"/>
    <mergeCell ref="AN126:AR126"/>
    <mergeCell ref="AS126:AW126"/>
    <mergeCell ref="AX126:BA126"/>
    <mergeCell ref="BB126:BF126"/>
    <mergeCell ref="BG126:BK126"/>
    <mergeCell ref="BL126:BP126"/>
    <mergeCell ref="A126:C126"/>
    <mergeCell ref="D126:T126"/>
    <mergeCell ref="U126:Y126"/>
    <mergeCell ref="Z126:AD126"/>
    <mergeCell ref="AE126:AH126"/>
    <mergeCell ref="AI126:AM126"/>
    <mergeCell ref="AO194:AS194"/>
    <mergeCell ref="AT194:AX194"/>
    <mergeCell ref="AY194:BC194"/>
    <mergeCell ref="BD194:BH194"/>
    <mergeCell ref="A195:C195"/>
    <mergeCell ref="D195:T195"/>
    <mergeCell ref="U195:Y195"/>
    <mergeCell ref="Z195:AD195"/>
    <mergeCell ref="AE195:AI195"/>
    <mergeCell ref="AJ195:AN195"/>
    <mergeCell ref="AO193:AS193"/>
    <mergeCell ref="AT193:AX193"/>
    <mergeCell ref="AY193:BC193"/>
    <mergeCell ref="BD193:BH193"/>
    <mergeCell ref="A194:C194"/>
    <mergeCell ref="D194:T194"/>
    <mergeCell ref="U194:Y194"/>
    <mergeCell ref="Z194:AD194"/>
    <mergeCell ref="AE194:AI194"/>
    <mergeCell ref="AJ194:AN194"/>
    <mergeCell ref="A193:C193"/>
    <mergeCell ref="D193:T193"/>
    <mergeCell ref="U193:Y193"/>
    <mergeCell ref="Z193:AD193"/>
    <mergeCell ref="AE193:AI193"/>
    <mergeCell ref="AJ193:AN193"/>
    <mergeCell ref="BJ260:BX260"/>
    <mergeCell ref="AF261:AJ261"/>
    <mergeCell ref="AK261:AO261"/>
    <mergeCell ref="AP261:AT261"/>
    <mergeCell ref="AU261:AY261"/>
    <mergeCell ref="AZ261:BD261"/>
    <mergeCell ref="BE261:BI261"/>
    <mergeCell ref="BJ261:BN261"/>
    <mergeCell ref="BO261:BS261"/>
    <mergeCell ref="BT261:BX261"/>
    <mergeCell ref="A260:C261"/>
    <mergeCell ref="D260:P261"/>
    <mergeCell ref="Q260:U261"/>
    <mergeCell ref="V260:AE261"/>
    <mergeCell ref="AF260:AT260"/>
    <mergeCell ref="AU260:BI260"/>
    <mergeCell ref="AO195:AS195"/>
    <mergeCell ref="AT195:AX195"/>
    <mergeCell ref="AY195:BC195"/>
    <mergeCell ref="BD195:BH195"/>
    <mergeCell ref="A258:BL258"/>
    <mergeCell ref="A259:BL259"/>
    <mergeCell ref="AJ196:AN196"/>
    <mergeCell ref="AO196:AS196"/>
    <mergeCell ref="AT196:AX196"/>
    <mergeCell ref="AY196:BC196"/>
    <mergeCell ref="BT262:BX262"/>
    <mergeCell ref="A263:C263"/>
    <mergeCell ref="D263:P263"/>
    <mergeCell ref="Q263:U263"/>
    <mergeCell ref="V263:AE263"/>
    <mergeCell ref="AF263:AJ263"/>
    <mergeCell ref="AK263:AO263"/>
    <mergeCell ref="AP263:AT263"/>
    <mergeCell ref="AU263:AY263"/>
    <mergeCell ref="AZ263:BD263"/>
    <mergeCell ref="AP262:AT262"/>
    <mergeCell ref="AU262:AY262"/>
    <mergeCell ref="AZ262:BD262"/>
    <mergeCell ref="BE262:BI262"/>
    <mergeCell ref="BJ262:BN262"/>
    <mergeCell ref="BO262:BS262"/>
    <mergeCell ref="A262:C262"/>
    <mergeCell ref="D262:P262"/>
    <mergeCell ref="Q262:U262"/>
    <mergeCell ref="V262:AE262"/>
    <mergeCell ref="AF262:AJ262"/>
    <mergeCell ref="AK262:AO262"/>
    <mergeCell ref="BT264:BX264"/>
    <mergeCell ref="A276:BL276"/>
    <mergeCell ref="A277:C278"/>
    <mergeCell ref="D277:P278"/>
    <mergeCell ref="Q277:U278"/>
    <mergeCell ref="V277:AE278"/>
    <mergeCell ref="AF277:AT277"/>
    <mergeCell ref="AU277:BI277"/>
    <mergeCell ref="AF278:AJ278"/>
    <mergeCell ref="AK278:AO278"/>
    <mergeCell ref="AP264:AT264"/>
    <mergeCell ref="AU264:AY264"/>
    <mergeCell ref="AZ264:BD264"/>
    <mergeCell ref="BE264:BI264"/>
    <mergeCell ref="BJ264:BN264"/>
    <mergeCell ref="BO264:BS264"/>
    <mergeCell ref="BE263:BI263"/>
    <mergeCell ref="BJ263:BN263"/>
    <mergeCell ref="BO263:BS263"/>
    <mergeCell ref="BT263:BX263"/>
    <mergeCell ref="A264:C264"/>
    <mergeCell ref="D264:P264"/>
    <mergeCell ref="Q264:U264"/>
    <mergeCell ref="V264:AE264"/>
    <mergeCell ref="AF264:AJ264"/>
    <mergeCell ref="AK264:AO264"/>
    <mergeCell ref="A293:BL293"/>
    <mergeCell ref="A294:BR294"/>
    <mergeCell ref="AP282:AT282"/>
    <mergeCell ref="AU282:AY282"/>
    <mergeCell ref="AZ282:BD282"/>
    <mergeCell ref="BE282:BI282"/>
    <mergeCell ref="AP280:AT280"/>
    <mergeCell ref="AU280:AY280"/>
    <mergeCell ref="AZ280:BD280"/>
    <mergeCell ref="BE280:BI280"/>
    <mergeCell ref="A281:C281"/>
    <mergeCell ref="D281:P281"/>
    <mergeCell ref="Q281:U281"/>
    <mergeCell ref="V281:AE281"/>
    <mergeCell ref="AF281:AJ281"/>
    <mergeCell ref="AK281:AO281"/>
    <mergeCell ref="AP279:AT279"/>
    <mergeCell ref="AU279:AY279"/>
    <mergeCell ref="AZ279:BD279"/>
    <mergeCell ref="BE279:BI279"/>
    <mergeCell ref="A280:C280"/>
    <mergeCell ref="D280:P280"/>
    <mergeCell ref="Q280:U280"/>
    <mergeCell ref="V280:AE280"/>
    <mergeCell ref="AF280:AJ280"/>
    <mergeCell ref="AK280:AO280"/>
    <mergeCell ref="A279:C279"/>
    <mergeCell ref="D279:P279"/>
    <mergeCell ref="Q279:U279"/>
    <mergeCell ref="V279:AE279"/>
    <mergeCell ref="AF279:AJ279"/>
    <mergeCell ref="AK279:AO279"/>
    <mergeCell ref="U298:Y298"/>
    <mergeCell ref="Z298:AD298"/>
    <mergeCell ref="AE298:AI298"/>
    <mergeCell ref="AJ298:AN298"/>
    <mergeCell ref="A297:T297"/>
    <mergeCell ref="U297:Y297"/>
    <mergeCell ref="Z297:AD297"/>
    <mergeCell ref="AE297:AI297"/>
    <mergeCell ref="AJ297:AN297"/>
    <mergeCell ref="AO297:AS297"/>
    <mergeCell ref="AO296:AS296"/>
    <mergeCell ref="AT296:AX296"/>
    <mergeCell ref="AY296:BC296"/>
    <mergeCell ref="BD296:BH296"/>
    <mergeCell ref="BI296:BM296"/>
    <mergeCell ref="BN296:BR296"/>
    <mergeCell ref="A295:T296"/>
    <mergeCell ref="U295:AD295"/>
    <mergeCell ref="AE295:AN295"/>
    <mergeCell ref="AO295:AX295"/>
    <mergeCell ref="AY295:BH295"/>
    <mergeCell ref="BI295:BR295"/>
    <mergeCell ref="U296:Y296"/>
    <mergeCell ref="Z296:AD296"/>
    <mergeCell ref="AE296:AI296"/>
    <mergeCell ref="AJ296:AN296"/>
    <mergeCell ref="A311:C313"/>
    <mergeCell ref="D311:V313"/>
    <mergeCell ref="W311:AH311"/>
    <mergeCell ref="AI311:AT311"/>
    <mergeCell ref="AU311:AZ311"/>
    <mergeCell ref="BA311:BF311"/>
    <mergeCell ref="AT299:AX299"/>
    <mergeCell ref="AY299:BC299"/>
    <mergeCell ref="BD299:BH299"/>
    <mergeCell ref="BI299:BM299"/>
    <mergeCell ref="BN299:BR299"/>
    <mergeCell ref="A310:BL310"/>
    <mergeCell ref="AT300:AX300"/>
    <mergeCell ref="AY300:BC300"/>
    <mergeCell ref="BD300:BH300"/>
    <mergeCell ref="BI300:BM300"/>
    <mergeCell ref="A299:T299"/>
    <mergeCell ref="U299:Y299"/>
    <mergeCell ref="Z299:AD299"/>
    <mergeCell ref="AE299:AI299"/>
    <mergeCell ref="AJ299:AN299"/>
    <mergeCell ref="AO299:AS299"/>
    <mergeCell ref="W313:Y313"/>
    <mergeCell ref="Z313:AB313"/>
    <mergeCell ref="AC313:AE313"/>
    <mergeCell ref="AF313:AH313"/>
    <mergeCell ref="AI313:AK313"/>
    <mergeCell ref="AL313:AN313"/>
    <mergeCell ref="AO313:AQ313"/>
    <mergeCell ref="AR313:AT313"/>
    <mergeCell ref="BG311:BL311"/>
    <mergeCell ref="W312:AB312"/>
    <mergeCell ref="AC312:AH312"/>
    <mergeCell ref="AI312:AN312"/>
    <mergeCell ref="AO312:AT312"/>
    <mergeCell ref="AU312:AW313"/>
    <mergeCell ref="AX312:AZ313"/>
    <mergeCell ref="BA312:BC313"/>
    <mergeCell ref="BD312:BF313"/>
    <mergeCell ref="BG312:BI313"/>
    <mergeCell ref="A316:C316"/>
    <mergeCell ref="D316:V316"/>
    <mergeCell ref="W316:Y316"/>
    <mergeCell ref="Z316:AB316"/>
    <mergeCell ref="AC316:AE316"/>
    <mergeCell ref="AF316:AH316"/>
    <mergeCell ref="AI315:AK315"/>
    <mergeCell ref="AL315:AN315"/>
    <mergeCell ref="AO315:AQ315"/>
    <mergeCell ref="AR315:AT315"/>
    <mergeCell ref="AU315:AW315"/>
    <mergeCell ref="AX315:AZ315"/>
    <mergeCell ref="BA314:BC314"/>
    <mergeCell ref="BD314:BF314"/>
    <mergeCell ref="BG314:BI314"/>
    <mergeCell ref="BJ314:BL314"/>
    <mergeCell ref="A315:C315"/>
    <mergeCell ref="D315:V315"/>
    <mergeCell ref="W315:Y315"/>
    <mergeCell ref="Z315:AB315"/>
    <mergeCell ref="AC315:AE315"/>
    <mergeCell ref="AF315:AH315"/>
    <mergeCell ref="AI314:AK314"/>
    <mergeCell ref="AL314:AN314"/>
    <mergeCell ref="AO314:AQ314"/>
    <mergeCell ref="AR314:AT314"/>
    <mergeCell ref="AU314:AW314"/>
    <mergeCell ref="AX314:AZ314"/>
    <mergeCell ref="A314:C314"/>
    <mergeCell ref="D314:V314"/>
    <mergeCell ref="W314:Y314"/>
    <mergeCell ref="Z314:AB314"/>
    <mergeCell ref="AP325:AT325"/>
    <mergeCell ref="AU325:AY325"/>
    <mergeCell ref="AZ325:BD325"/>
    <mergeCell ref="BE325:BI325"/>
    <mergeCell ref="BJ325:BN325"/>
    <mergeCell ref="BO325:BS325"/>
    <mergeCell ref="A323:BS323"/>
    <mergeCell ref="A324:F325"/>
    <mergeCell ref="G324:S325"/>
    <mergeCell ref="T324:Z325"/>
    <mergeCell ref="AA324:AO324"/>
    <mergeCell ref="AP324:BD324"/>
    <mergeCell ref="BE324:BS324"/>
    <mergeCell ref="AA325:AE325"/>
    <mergeCell ref="AF325:AJ325"/>
    <mergeCell ref="AK325:AO325"/>
    <mergeCell ref="BA316:BC316"/>
    <mergeCell ref="BD316:BF316"/>
    <mergeCell ref="BG316:BI316"/>
    <mergeCell ref="BJ316:BL316"/>
    <mergeCell ref="A321:BL321"/>
    <mergeCell ref="A322:BS322"/>
    <mergeCell ref="A317:C317"/>
    <mergeCell ref="D317:V317"/>
    <mergeCell ref="W317:Y317"/>
    <mergeCell ref="Z317:AB317"/>
    <mergeCell ref="AI316:AK316"/>
    <mergeCell ref="AL316:AN316"/>
    <mergeCell ref="AO316:AQ316"/>
    <mergeCell ref="AR316:AT316"/>
    <mergeCell ref="AU316:AW316"/>
    <mergeCell ref="AX316:AZ316"/>
    <mergeCell ref="AP327:AT327"/>
    <mergeCell ref="AU327:AY327"/>
    <mergeCell ref="AZ327:BD327"/>
    <mergeCell ref="BE327:BI327"/>
    <mergeCell ref="BJ327:BN327"/>
    <mergeCell ref="BO327:BS327"/>
    <mergeCell ref="A327:F327"/>
    <mergeCell ref="G327:S327"/>
    <mergeCell ref="T327:Z327"/>
    <mergeCell ref="AA327:AE327"/>
    <mergeCell ref="AF327:AJ327"/>
    <mergeCell ref="AK327:AO327"/>
    <mergeCell ref="AP326:AT326"/>
    <mergeCell ref="AU326:AY326"/>
    <mergeCell ref="AZ326:BD326"/>
    <mergeCell ref="BE326:BI326"/>
    <mergeCell ref="BJ326:BN326"/>
    <mergeCell ref="BO326:BS326"/>
    <mergeCell ref="A326:F326"/>
    <mergeCell ref="G326:S326"/>
    <mergeCell ref="T326:Z326"/>
    <mergeCell ref="AA326:AE326"/>
    <mergeCell ref="AF326:AJ326"/>
    <mergeCell ref="AK326:AO326"/>
    <mergeCell ref="A330:BL330"/>
    <mergeCell ref="A331:BD331"/>
    <mergeCell ref="A332:F333"/>
    <mergeCell ref="G332:S333"/>
    <mergeCell ref="T332:Z333"/>
    <mergeCell ref="AA332:AO332"/>
    <mergeCell ref="AP332:BD332"/>
    <mergeCell ref="AA333:AE333"/>
    <mergeCell ref="AF333:AJ333"/>
    <mergeCell ref="AK333:AO333"/>
    <mergeCell ref="AP328:AT328"/>
    <mergeCell ref="AU328:AY328"/>
    <mergeCell ref="AZ328:BD328"/>
    <mergeCell ref="BE328:BI328"/>
    <mergeCell ref="BJ328:BN328"/>
    <mergeCell ref="BO328:BS328"/>
    <mergeCell ref="A328:F328"/>
    <mergeCell ref="G328:S328"/>
    <mergeCell ref="T328:Z328"/>
    <mergeCell ref="AA328:AE328"/>
    <mergeCell ref="AF328:AJ328"/>
    <mergeCell ref="AK328:AO328"/>
    <mergeCell ref="AU334:AY334"/>
    <mergeCell ref="AZ334:BD334"/>
    <mergeCell ref="A335:F335"/>
    <mergeCell ref="G335:S335"/>
    <mergeCell ref="T335:Z335"/>
    <mergeCell ref="AA335:AE335"/>
    <mergeCell ref="AF335:AJ335"/>
    <mergeCell ref="AK335:AO335"/>
    <mergeCell ref="AP335:AT335"/>
    <mergeCell ref="AU335:AY335"/>
    <mergeCell ref="AP333:AT333"/>
    <mergeCell ref="AU333:AY333"/>
    <mergeCell ref="AZ333:BD333"/>
    <mergeCell ref="A334:F334"/>
    <mergeCell ref="G334:S334"/>
    <mergeCell ref="T334:Z334"/>
    <mergeCell ref="AA334:AE334"/>
    <mergeCell ref="AF334:AJ334"/>
    <mergeCell ref="AK334:AO334"/>
    <mergeCell ref="AP334:AT334"/>
    <mergeCell ref="A338:BL338"/>
    <mergeCell ref="A339:BM339"/>
    <mergeCell ref="A340:M341"/>
    <mergeCell ref="N340:U341"/>
    <mergeCell ref="V340:Z341"/>
    <mergeCell ref="AA340:AI340"/>
    <mergeCell ref="AJ340:AR340"/>
    <mergeCell ref="AS340:BA340"/>
    <mergeCell ref="BB340:BJ340"/>
    <mergeCell ref="BK340:BS340"/>
    <mergeCell ref="AZ335:BD335"/>
    <mergeCell ref="A336:F336"/>
    <mergeCell ref="G336:S336"/>
    <mergeCell ref="T336:Z336"/>
    <mergeCell ref="AA336:AE336"/>
    <mergeCell ref="AF336:AJ336"/>
    <mergeCell ref="AK336:AO336"/>
    <mergeCell ref="AP336:AT336"/>
    <mergeCell ref="AU336:AY336"/>
    <mergeCell ref="AZ336:BD336"/>
    <mergeCell ref="BP342:BS342"/>
    <mergeCell ref="A343:M343"/>
    <mergeCell ref="N343:U343"/>
    <mergeCell ref="V343:Z343"/>
    <mergeCell ref="AA343:AE343"/>
    <mergeCell ref="AF343:AI343"/>
    <mergeCell ref="AJ343:AN343"/>
    <mergeCell ref="AO343:AR343"/>
    <mergeCell ref="AS343:AW343"/>
    <mergeCell ref="AX343:BA343"/>
    <mergeCell ref="AO342:AR342"/>
    <mergeCell ref="AS342:AW342"/>
    <mergeCell ref="AX342:BA342"/>
    <mergeCell ref="BB342:BF342"/>
    <mergeCell ref="BG342:BJ342"/>
    <mergeCell ref="BK342:BO342"/>
    <mergeCell ref="BB341:BF341"/>
    <mergeCell ref="BG341:BJ341"/>
    <mergeCell ref="BK341:BO341"/>
    <mergeCell ref="BP341:BS341"/>
    <mergeCell ref="A342:M342"/>
    <mergeCell ref="N342:U342"/>
    <mergeCell ref="V342:Z342"/>
    <mergeCell ref="AA342:AE342"/>
    <mergeCell ref="AF342:AI342"/>
    <mergeCell ref="AJ342:AN342"/>
    <mergeCell ref="AA341:AE341"/>
    <mergeCell ref="AF341:AI341"/>
    <mergeCell ref="AJ341:AN341"/>
    <mergeCell ref="AO341:AR341"/>
    <mergeCell ref="AS341:AW341"/>
    <mergeCell ref="AX341:BA341"/>
    <mergeCell ref="AE352:AJ353"/>
    <mergeCell ref="AK352:AP353"/>
    <mergeCell ref="BP344:BS344"/>
    <mergeCell ref="A346:BL346"/>
    <mergeCell ref="A347:BL347"/>
    <mergeCell ref="A349:BL349"/>
    <mergeCell ref="A350:BL350"/>
    <mergeCell ref="A351:BL351"/>
    <mergeCell ref="AO344:AR344"/>
    <mergeCell ref="AS344:AW344"/>
    <mergeCell ref="AX344:BA344"/>
    <mergeCell ref="BB344:BF344"/>
    <mergeCell ref="BG344:BJ344"/>
    <mergeCell ref="BK344:BO344"/>
    <mergeCell ref="BB343:BF343"/>
    <mergeCell ref="BG343:BJ343"/>
    <mergeCell ref="BK343:BO343"/>
    <mergeCell ref="BP343:BS343"/>
    <mergeCell ref="A344:M344"/>
    <mergeCell ref="N344:U344"/>
    <mergeCell ref="V344:Z344"/>
    <mergeCell ref="AA344:AE344"/>
    <mergeCell ref="AF344:AI344"/>
    <mergeCell ref="AJ344:AN344"/>
    <mergeCell ref="A372:BL372"/>
    <mergeCell ref="BB357:BF357"/>
    <mergeCell ref="BG357:BL357"/>
    <mergeCell ref="A358:F358"/>
    <mergeCell ref="G358:S358"/>
    <mergeCell ref="AK355:AP355"/>
    <mergeCell ref="AQ355:AV355"/>
    <mergeCell ref="AW355:BA355"/>
    <mergeCell ref="BB355:BF355"/>
    <mergeCell ref="BG355:BL355"/>
    <mergeCell ref="A356:F356"/>
    <mergeCell ref="G356:S356"/>
    <mergeCell ref="T356:Y356"/>
    <mergeCell ref="Z356:AD356"/>
    <mergeCell ref="AE356:AJ356"/>
    <mergeCell ref="AK354:AP354"/>
    <mergeCell ref="AQ354:AV354"/>
    <mergeCell ref="AW354:BA354"/>
    <mergeCell ref="BB354:BF354"/>
    <mergeCell ref="BG354:BL354"/>
    <mergeCell ref="A355:F355"/>
    <mergeCell ref="G355:S355"/>
    <mergeCell ref="T355:Y355"/>
    <mergeCell ref="Z355:AD355"/>
    <mergeCell ref="AE355:AJ355"/>
    <mergeCell ref="A354:F354"/>
    <mergeCell ref="G354:S354"/>
    <mergeCell ref="T354:Y354"/>
    <mergeCell ref="Z354:AD354"/>
    <mergeCell ref="AE354:AJ354"/>
    <mergeCell ref="AT375:AW376"/>
    <mergeCell ref="AX375:BG375"/>
    <mergeCell ref="BH375:BL376"/>
    <mergeCell ref="Z376:AD376"/>
    <mergeCell ref="AE376:AI376"/>
    <mergeCell ref="AX376:BB376"/>
    <mergeCell ref="BC376:BG376"/>
    <mergeCell ref="A373:BL373"/>
    <mergeCell ref="A374:F376"/>
    <mergeCell ref="G374:P376"/>
    <mergeCell ref="Q374:AN374"/>
    <mergeCell ref="AO374:BL374"/>
    <mergeCell ref="Q375:U376"/>
    <mergeCell ref="V375:Y376"/>
    <mergeCell ref="Z375:AI375"/>
    <mergeCell ref="AJ375:AN376"/>
    <mergeCell ref="AO375:AS376"/>
    <mergeCell ref="AJ378:AN378"/>
    <mergeCell ref="AO378:AS378"/>
    <mergeCell ref="AT378:AW378"/>
    <mergeCell ref="AX378:BB378"/>
    <mergeCell ref="BC378:BG378"/>
    <mergeCell ref="BH378:BL378"/>
    <mergeCell ref="A378:F378"/>
    <mergeCell ref="G378:P378"/>
    <mergeCell ref="Q378:U378"/>
    <mergeCell ref="V378:Y378"/>
    <mergeCell ref="Z378:AD378"/>
    <mergeCell ref="AE378:AI378"/>
    <mergeCell ref="AJ377:AN377"/>
    <mergeCell ref="AO377:AS377"/>
    <mergeCell ref="AT377:AW377"/>
    <mergeCell ref="AX377:BB377"/>
    <mergeCell ref="BC377:BG377"/>
    <mergeCell ref="BH377:BL377"/>
    <mergeCell ref="A377:F377"/>
    <mergeCell ref="G377:P377"/>
    <mergeCell ref="Q377:U377"/>
    <mergeCell ref="V377:Y377"/>
    <mergeCell ref="Z377:AD377"/>
    <mergeCell ref="AE377:AI377"/>
    <mergeCell ref="A395:BL395"/>
    <mergeCell ref="A396:BL396"/>
    <mergeCell ref="A397:F398"/>
    <mergeCell ref="G397:S398"/>
    <mergeCell ref="T397:Y398"/>
    <mergeCell ref="Z397:AD398"/>
    <mergeCell ref="AE397:AJ398"/>
    <mergeCell ref="AK397:AP398"/>
    <mergeCell ref="AQ397:AV398"/>
    <mergeCell ref="AW397:BD398"/>
    <mergeCell ref="AJ379:AN379"/>
    <mergeCell ref="AO379:AS379"/>
    <mergeCell ref="AT379:AW379"/>
    <mergeCell ref="AX379:BB379"/>
    <mergeCell ref="BC379:BG379"/>
    <mergeCell ref="BH379:BL379"/>
    <mergeCell ref="A379:F379"/>
    <mergeCell ref="G379:P379"/>
    <mergeCell ref="Q379:U379"/>
    <mergeCell ref="V379:Y379"/>
    <mergeCell ref="Z379:AD379"/>
    <mergeCell ref="AE379:AI379"/>
    <mergeCell ref="AQ400:AV400"/>
    <mergeCell ref="AW400:BD400"/>
    <mergeCell ref="BE400:BL400"/>
    <mergeCell ref="A401:F401"/>
    <mergeCell ref="G401:S401"/>
    <mergeCell ref="T401:Y401"/>
    <mergeCell ref="Z401:AD401"/>
    <mergeCell ref="AE401:AJ401"/>
    <mergeCell ref="AK401:AP401"/>
    <mergeCell ref="AQ401:AV401"/>
    <mergeCell ref="A400:F400"/>
    <mergeCell ref="G400:S400"/>
    <mergeCell ref="T400:Y400"/>
    <mergeCell ref="Z400:AD400"/>
    <mergeCell ref="AE400:AJ400"/>
    <mergeCell ref="AK400:AP400"/>
    <mergeCell ref="BE397:BL398"/>
    <mergeCell ref="A399:F399"/>
    <mergeCell ref="G399:S399"/>
    <mergeCell ref="T399:Y399"/>
    <mergeCell ref="Z399:AD399"/>
    <mergeCell ref="AE399:AJ399"/>
    <mergeCell ref="AK399:AP399"/>
    <mergeCell ref="AQ399:AV399"/>
    <mergeCell ref="AW399:BD399"/>
    <mergeCell ref="BE399:BL399"/>
    <mergeCell ref="BB31:BF31"/>
    <mergeCell ref="BG31:BK31"/>
    <mergeCell ref="BL31:BP31"/>
    <mergeCell ref="BQ31:BT31"/>
    <mergeCell ref="BU31:BY31"/>
    <mergeCell ref="A32:D32"/>
    <mergeCell ref="E32:T32"/>
    <mergeCell ref="U32:Y32"/>
    <mergeCell ref="Z32:AD32"/>
    <mergeCell ref="AE32:AH32"/>
    <mergeCell ref="A425:AA425"/>
    <mergeCell ref="AH425:AP425"/>
    <mergeCell ref="AU425:BF425"/>
    <mergeCell ref="AH426:AP426"/>
    <mergeCell ref="AU426:BF426"/>
    <mergeCell ref="A31:D31"/>
    <mergeCell ref="E31:T31"/>
    <mergeCell ref="U31:Y31"/>
    <mergeCell ref="Z31:AD31"/>
    <mergeCell ref="AE31:AH31"/>
    <mergeCell ref="A422:AA422"/>
    <mergeCell ref="AH422:AP422"/>
    <mergeCell ref="AU422:BF422"/>
    <mergeCell ref="AH423:AP423"/>
    <mergeCell ref="AU423:BF423"/>
    <mergeCell ref="AW401:BD401"/>
    <mergeCell ref="BE401:BL401"/>
    <mergeCell ref="A416:BL416"/>
    <mergeCell ref="A417:BL417"/>
    <mergeCell ref="A419:BL419"/>
    <mergeCell ref="A420:BL420"/>
    <mergeCell ref="BU33:BY33"/>
    <mergeCell ref="A34:D34"/>
    <mergeCell ref="E34:T34"/>
    <mergeCell ref="U34:Y34"/>
    <mergeCell ref="Z34:AD34"/>
    <mergeCell ref="AE34:AH34"/>
    <mergeCell ref="AI34:AM34"/>
    <mergeCell ref="AN34:AR34"/>
    <mergeCell ref="AS34:AW34"/>
    <mergeCell ref="AX34:BA34"/>
    <mergeCell ref="AS33:AW33"/>
    <mergeCell ref="AX33:BA33"/>
    <mergeCell ref="BB33:BF33"/>
    <mergeCell ref="BG33:BK33"/>
    <mergeCell ref="BL33:BP33"/>
    <mergeCell ref="BQ33:BT33"/>
    <mergeCell ref="BL32:BP32"/>
    <mergeCell ref="BQ32:BT32"/>
    <mergeCell ref="BU32:BY32"/>
    <mergeCell ref="A33:D33"/>
    <mergeCell ref="E33:T33"/>
    <mergeCell ref="U33:Y33"/>
    <mergeCell ref="Z33:AD33"/>
    <mergeCell ref="AE33:AH33"/>
    <mergeCell ref="AI33:AM33"/>
    <mergeCell ref="AN33:AR33"/>
    <mergeCell ref="AI32:AM32"/>
    <mergeCell ref="AN32:AR32"/>
    <mergeCell ref="AS32:AW32"/>
    <mergeCell ref="AX32:BA32"/>
    <mergeCell ref="BB32:BF32"/>
    <mergeCell ref="BG32:BK32"/>
    <mergeCell ref="BL35:BP35"/>
    <mergeCell ref="BQ35:BT35"/>
    <mergeCell ref="BU35:BY35"/>
    <mergeCell ref="A36:D36"/>
    <mergeCell ref="E36:T36"/>
    <mergeCell ref="U36:Y36"/>
    <mergeCell ref="Z36:AD36"/>
    <mergeCell ref="AE36:AH36"/>
    <mergeCell ref="AI36:AM36"/>
    <mergeCell ref="AN36:AR36"/>
    <mergeCell ref="AI35:AM35"/>
    <mergeCell ref="AN35:AR35"/>
    <mergeCell ref="AS35:AW35"/>
    <mergeCell ref="AX35:BA35"/>
    <mergeCell ref="BB35:BF35"/>
    <mergeCell ref="BG35:BK35"/>
    <mergeCell ref="BB34:BF34"/>
    <mergeCell ref="BG34:BK34"/>
    <mergeCell ref="BL34:BP34"/>
    <mergeCell ref="BQ34:BT34"/>
    <mergeCell ref="BU34:BY34"/>
    <mergeCell ref="A35:D35"/>
    <mergeCell ref="E35:T35"/>
    <mergeCell ref="U35:Y35"/>
    <mergeCell ref="Z35:AD35"/>
    <mergeCell ref="AE35:AH35"/>
    <mergeCell ref="BB37:BF37"/>
    <mergeCell ref="BG37:BK37"/>
    <mergeCell ref="BL37:BP37"/>
    <mergeCell ref="BQ37:BT37"/>
    <mergeCell ref="BU37:BY37"/>
    <mergeCell ref="A38:D38"/>
    <mergeCell ref="E38:T38"/>
    <mergeCell ref="U38:Y38"/>
    <mergeCell ref="Z38:AD38"/>
    <mergeCell ref="AE38:AH38"/>
    <mergeCell ref="BU36:BY36"/>
    <mergeCell ref="A37:D37"/>
    <mergeCell ref="E37:T37"/>
    <mergeCell ref="U37:Y37"/>
    <mergeCell ref="Z37:AD37"/>
    <mergeCell ref="AE37:AH37"/>
    <mergeCell ref="AI37:AM37"/>
    <mergeCell ref="AN37:AR37"/>
    <mergeCell ref="AS37:AW37"/>
    <mergeCell ref="AX37:BA37"/>
    <mergeCell ref="AS36:AW36"/>
    <mergeCell ref="AX36:BA36"/>
    <mergeCell ref="BB36:BF36"/>
    <mergeCell ref="BG36:BK36"/>
    <mergeCell ref="BL36:BP36"/>
    <mergeCell ref="BQ36:BT36"/>
    <mergeCell ref="A47:D47"/>
    <mergeCell ref="E47:W47"/>
    <mergeCell ref="X47:AB47"/>
    <mergeCell ref="AC47:AG47"/>
    <mergeCell ref="AH47:AL47"/>
    <mergeCell ref="AM47:AQ47"/>
    <mergeCell ref="AR47:AV47"/>
    <mergeCell ref="AW47:BA47"/>
    <mergeCell ref="BB47:BF47"/>
    <mergeCell ref="BL38:BP38"/>
    <mergeCell ref="BQ38:BT38"/>
    <mergeCell ref="BU38:BY38"/>
    <mergeCell ref="AI38:AM38"/>
    <mergeCell ref="AN38:AR38"/>
    <mergeCell ref="AS38:AW38"/>
    <mergeCell ref="AX38:BA38"/>
    <mergeCell ref="BB38:BF38"/>
    <mergeCell ref="BG38:BK38"/>
    <mergeCell ref="AW46:BA46"/>
    <mergeCell ref="BB46:BF46"/>
    <mergeCell ref="BG46:BK46"/>
    <mergeCell ref="AW44:BA44"/>
    <mergeCell ref="BB44:BF44"/>
    <mergeCell ref="BG44:BK44"/>
    <mergeCell ref="AW43:BA43"/>
    <mergeCell ref="BB43:BF43"/>
    <mergeCell ref="BG43:BK43"/>
    <mergeCell ref="A44:D44"/>
    <mergeCell ref="E44:W44"/>
    <mergeCell ref="X44:AB44"/>
    <mergeCell ref="AC44:AG44"/>
    <mergeCell ref="AH44:AL44"/>
    <mergeCell ref="BG49:BK49"/>
    <mergeCell ref="A50:D50"/>
    <mergeCell ref="E50:W50"/>
    <mergeCell ref="X50:AB50"/>
    <mergeCell ref="AC50:AG50"/>
    <mergeCell ref="AH50:AL50"/>
    <mergeCell ref="AM50:AQ50"/>
    <mergeCell ref="AR50:AV50"/>
    <mergeCell ref="AW50:BA50"/>
    <mergeCell ref="BB50:BF50"/>
    <mergeCell ref="BG48:BK48"/>
    <mergeCell ref="A49:D49"/>
    <mergeCell ref="E49:W49"/>
    <mergeCell ref="X49:AB49"/>
    <mergeCell ref="AC49:AG49"/>
    <mergeCell ref="AH49:AL49"/>
    <mergeCell ref="AM49:AQ49"/>
    <mergeCell ref="AR49:AV49"/>
    <mergeCell ref="AW49:BA49"/>
    <mergeCell ref="BB49:BF49"/>
    <mergeCell ref="AC48:AG48"/>
    <mergeCell ref="AH48:AL48"/>
    <mergeCell ref="AM48:AQ48"/>
    <mergeCell ref="AR48:AV48"/>
    <mergeCell ref="AW48:BA48"/>
    <mergeCell ref="BB48:BF48"/>
    <mergeCell ref="BG51:BK51"/>
    <mergeCell ref="A52:D52"/>
    <mergeCell ref="E52:W52"/>
    <mergeCell ref="X52:AB52"/>
    <mergeCell ref="AC52:AG52"/>
    <mergeCell ref="AH52:AL52"/>
    <mergeCell ref="AM52:AQ52"/>
    <mergeCell ref="AR52:AV52"/>
    <mergeCell ref="AW52:BA52"/>
    <mergeCell ref="BB52:BF52"/>
    <mergeCell ref="BG50:BK50"/>
    <mergeCell ref="A51:D51"/>
    <mergeCell ref="E51:W51"/>
    <mergeCell ref="X51:AB51"/>
    <mergeCell ref="AC51:AG51"/>
    <mergeCell ref="AH51:AL51"/>
    <mergeCell ref="AM51:AQ51"/>
    <mergeCell ref="AR51:AV51"/>
    <mergeCell ref="AW51:BA51"/>
    <mergeCell ref="BB51:BF51"/>
    <mergeCell ref="BG54:BK54"/>
    <mergeCell ref="BG53:BK53"/>
    <mergeCell ref="A54:D54"/>
    <mergeCell ref="E54:W54"/>
    <mergeCell ref="X54:AB54"/>
    <mergeCell ref="AC54:AG54"/>
    <mergeCell ref="AH54:AL54"/>
    <mergeCell ref="AM54:AQ54"/>
    <mergeCell ref="AR54:AV54"/>
    <mergeCell ref="AW54:BA54"/>
    <mergeCell ref="BB54:BF54"/>
    <mergeCell ref="BG52:BK52"/>
    <mergeCell ref="A53:D53"/>
    <mergeCell ref="E53:W53"/>
    <mergeCell ref="X53:AB53"/>
    <mergeCell ref="AC53:AG53"/>
    <mergeCell ref="AH53:AL53"/>
    <mergeCell ref="AM53:AQ53"/>
    <mergeCell ref="AR53:AV53"/>
    <mergeCell ref="AW53:BA53"/>
    <mergeCell ref="BB53:BF53"/>
    <mergeCell ref="BB64:BF64"/>
    <mergeCell ref="BG64:BK64"/>
    <mergeCell ref="BL64:BP64"/>
    <mergeCell ref="BQ64:BT64"/>
    <mergeCell ref="BU64:BY64"/>
    <mergeCell ref="A65:D65"/>
    <mergeCell ref="E65:T65"/>
    <mergeCell ref="U65:Y65"/>
    <mergeCell ref="Z65:AD65"/>
    <mergeCell ref="AE65:AH65"/>
    <mergeCell ref="A64:D64"/>
    <mergeCell ref="E64:T64"/>
    <mergeCell ref="U64:Y64"/>
    <mergeCell ref="Z64:AD64"/>
    <mergeCell ref="AE64:AH64"/>
    <mergeCell ref="AI64:AM64"/>
    <mergeCell ref="AN64:AR64"/>
    <mergeCell ref="AS64:AW64"/>
    <mergeCell ref="AX64:BA64"/>
    <mergeCell ref="BU66:BY66"/>
    <mergeCell ref="A67:D67"/>
    <mergeCell ref="E67:T67"/>
    <mergeCell ref="U67:Y67"/>
    <mergeCell ref="Z67:AD67"/>
    <mergeCell ref="AE67:AH67"/>
    <mergeCell ref="AI67:AM67"/>
    <mergeCell ref="AN67:AR67"/>
    <mergeCell ref="AS67:AW67"/>
    <mergeCell ref="AX67:BA67"/>
    <mergeCell ref="AS66:AW66"/>
    <mergeCell ref="AX66:BA66"/>
    <mergeCell ref="BB66:BF66"/>
    <mergeCell ref="BG66:BK66"/>
    <mergeCell ref="BL66:BP66"/>
    <mergeCell ref="BQ66:BT66"/>
    <mergeCell ref="BL65:BP65"/>
    <mergeCell ref="BQ65:BT65"/>
    <mergeCell ref="BU65:BY65"/>
    <mergeCell ref="A66:D66"/>
    <mergeCell ref="E66:T66"/>
    <mergeCell ref="U66:Y66"/>
    <mergeCell ref="Z66:AD66"/>
    <mergeCell ref="AE66:AH66"/>
    <mergeCell ref="AI66:AM66"/>
    <mergeCell ref="AN66:AR66"/>
    <mergeCell ref="AI65:AM65"/>
    <mergeCell ref="AN65:AR65"/>
    <mergeCell ref="AS65:AW65"/>
    <mergeCell ref="AX65:BA65"/>
    <mergeCell ref="BB65:BF65"/>
    <mergeCell ref="BG65:BK65"/>
    <mergeCell ref="BL68:BP68"/>
    <mergeCell ref="BQ68:BT68"/>
    <mergeCell ref="BU68:BY68"/>
    <mergeCell ref="A69:D69"/>
    <mergeCell ref="E69:T69"/>
    <mergeCell ref="U69:Y69"/>
    <mergeCell ref="Z69:AD69"/>
    <mergeCell ref="AE69:AH69"/>
    <mergeCell ref="AI69:AM69"/>
    <mergeCell ref="AN69:AR69"/>
    <mergeCell ref="AI68:AM68"/>
    <mergeCell ref="AN68:AR68"/>
    <mergeCell ref="AS68:AW68"/>
    <mergeCell ref="AX68:BA68"/>
    <mergeCell ref="BB68:BF68"/>
    <mergeCell ref="BG68:BK68"/>
    <mergeCell ref="BB67:BF67"/>
    <mergeCell ref="BG67:BK67"/>
    <mergeCell ref="BL67:BP67"/>
    <mergeCell ref="BQ67:BT67"/>
    <mergeCell ref="BU67:BY67"/>
    <mergeCell ref="A68:D68"/>
    <mergeCell ref="E68:T68"/>
    <mergeCell ref="U68:Y68"/>
    <mergeCell ref="Z68:AD68"/>
    <mergeCell ref="AE68:AH68"/>
    <mergeCell ref="BB70:BF70"/>
    <mergeCell ref="BG70:BK70"/>
    <mergeCell ref="BL70:BP70"/>
    <mergeCell ref="BQ70:BT70"/>
    <mergeCell ref="BU70:BY70"/>
    <mergeCell ref="A71:D71"/>
    <mergeCell ref="E71:T71"/>
    <mergeCell ref="U71:Y71"/>
    <mergeCell ref="Z71:AD71"/>
    <mergeCell ref="AE71:AH71"/>
    <mergeCell ref="BU69:BY69"/>
    <mergeCell ref="A70:D70"/>
    <mergeCell ref="E70:T70"/>
    <mergeCell ref="U70:Y70"/>
    <mergeCell ref="Z70:AD70"/>
    <mergeCell ref="AE70:AH70"/>
    <mergeCell ref="AI70:AM70"/>
    <mergeCell ref="AN70:AR70"/>
    <mergeCell ref="AS70:AW70"/>
    <mergeCell ref="AX70:BA70"/>
    <mergeCell ref="AS69:AW69"/>
    <mergeCell ref="AX69:BA69"/>
    <mergeCell ref="BB69:BF69"/>
    <mergeCell ref="BG69:BK69"/>
    <mergeCell ref="BL69:BP69"/>
    <mergeCell ref="BQ69:BT69"/>
    <mergeCell ref="BU72:BY72"/>
    <mergeCell ref="A73:D73"/>
    <mergeCell ref="E73:T73"/>
    <mergeCell ref="U73:Y73"/>
    <mergeCell ref="Z73:AD73"/>
    <mergeCell ref="AE73:AH73"/>
    <mergeCell ref="AI73:AM73"/>
    <mergeCell ref="AN73:AR73"/>
    <mergeCell ref="AS73:AW73"/>
    <mergeCell ref="AX73:BA73"/>
    <mergeCell ref="AS72:AW72"/>
    <mergeCell ref="AX72:BA72"/>
    <mergeCell ref="BB72:BF72"/>
    <mergeCell ref="BG72:BK72"/>
    <mergeCell ref="BL72:BP72"/>
    <mergeCell ref="BQ72:BT72"/>
    <mergeCell ref="BL71:BP71"/>
    <mergeCell ref="BQ71:BT71"/>
    <mergeCell ref="BU71:BY71"/>
    <mergeCell ref="A72:D72"/>
    <mergeCell ref="E72:T72"/>
    <mergeCell ref="U72:Y72"/>
    <mergeCell ref="Z72:AD72"/>
    <mergeCell ref="AE72:AH72"/>
    <mergeCell ref="AI72:AM72"/>
    <mergeCell ref="AN72:AR72"/>
    <mergeCell ref="AI71:AM71"/>
    <mergeCell ref="AN71:AR71"/>
    <mergeCell ref="AS71:AW71"/>
    <mergeCell ref="AX71:BA71"/>
    <mergeCell ref="BB71:BF71"/>
    <mergeCell ref="BG71:BK71"/>
    <mergeCell ref="BL74:BP74"/>
    <mergeCell ref="BQ74:BT74"/>
    <mergeCell ref="BU74:BY74"/>
    <mergeCell ref="A75:D75"/>
    <mergeCell ref="E75:T75"/>
    <mergeCell ref="U75:Y75"/>
    <mergeCell ref="Z75:AD75"/>
    <mergeCell ref="AE75:AH75"/>
    <mergeCell ref="AI75:AM75"/>
    <mergeCell ref="AN75:AR75"/>
    <mergeCell ref="AI74:AM74"/>
    <mergeCell ref="AN74:AR74"/>
    <mergeCell ref="AS74:AW74"/>
    <mergeCell ref="AX74:BA74"/>
    <mergeCell ref="BB74:BF74"/>
    <mergeCell ref="BG74:BK74"/>
    <mergeCell ref="BB73:BF73"/>
    <mergeCell ref="BG73:BK73"/>
    <mergeCell ref="BL73:BP73"/>
    <mergeCell ref="BQ73:BT73"/>
    <mergeCell ref="BU73:BY73"/>
    <mergeCell ref="A74:D74"/>
    <mergeCell ref="E74:T74"/>
    <mergeCell ref="U74:Y74"/>
    <mergeCell ref="Z74:AD74"/>
    <mergeCell ref="AE74:AH74"/>
    <mergeCell ref="BB76:BF76"/>
    <mergeCell ref="BG76:BK76"/>
    <mergeCell ref="BL76:BP76"/>
    <mergeCell ref="BQ76:BT76"/>
    <mergeCell ref="BU76:BY76"/>
    <mergeCell ref="A77:D77"/>
    <mergeCell ref="E77:T77"/>
    <mergeCell ref="U77:Y77"/>
    <mergeCell ref="Z77:AD77"/>
    <mergeCell ref="AE77:AH77"/>
    <mergeCell ref="BU75:BY75"/>
    <mergeCell ref="A76:D76"/>
    <mergeCell ref="E76:T76"/>
    <mergeCell ref="U76:Y76"/>
    <mergeCell ref="Z76:AD76"/>
    <mergeCell ref="AE76:AH76"/>
    <mergeCell ref="AI76:AM76"/>
    <mergeCell ref="AN76:AR76"/>
    <mergeCell ref="AS76:AW76"/>
    <mergeCell ref="AX76:BA76"/>
    <mergeCell ref="AS75:AW75"/>
    <mergeCell ref="AX75:BA75"/>
    <mergeCell ref="BB75:BF75"/>
    <mergeCell ref="BG75:BK75"/>
    <mergeCell ref="BL75:BP75"/>
    <mergeCell ref="BQ75:BT75"/>
    <mergeCell ref="BU78:BY78"/>
    <mergeCell ref="AS78:AW78"/>
    <mergeCell ref="AX78:BA78"/>
    <mergeCell ref="BB78:BF78"/>
    <mergeCell ref="BG78:BK78"/>
    <mergeCell ref="BL78:BP78"/>
    <mergeCell ref="BQ78:BT78"/>
    <mergeCell ref="BL77:BP77"/>
    <mergeCell ref="BQ77:BT77"/>
    <mergeCell ref="BU77:BY77"/>
    <mergeCell ref="A78:D78"/>
    <mergeCell ref="E78:T78"/>
    <mergeCell ref="U78:Y78"/>
    <mergeCell ref="Z78:AD78"/>
    <mergeCell ref="AE78:AH78"/>
    <mergeCell ref="AI78:AM78"/>
    <mergeCell ref="AN78:AR78"/>
    <mergeCell ref="AI77:AM77"/>
    <mergeCell ref="AN77:AR77"/>
    <mergeCell ref="AS77:AW77"/>
    <mergeCell ref="AX77:BA77"/>
    <mergeCell ref="BB77:BF77"/>
    <mergeCell ref="BG77:BK77"/>
    <mergeCell ref="AW96:BA96"/>
    <mergeCell ref="BB96:BF96"/>
    <mergeCell ref="BG96:BK96"/>
    <mergeCell ref="A97:D97"/>
    <mergeCell ref="E97:W97"/>
    <mergeCell ref="X97:AB97"/>
    <mergeCell ref="AC97:AG97"/>
    <mergeCell ref="AH97:AL97"/>
    <mergeCell ref="AM97:AQ97"/>
    <mergeCell ref="AR97:AV97"/>
    <mergeCell ref="E96:W96"/>
    <mergeCell ref="X96:AB96"/>
    <mergeCell ref="AC96:AG96"/>
    <mergeCell ref="AH96:AL96"/>
    <mergeCell ref="AM96:AQ96"/>
    <mergeCell ref="AR96:AV96"/>
    <mergeCell ref="A95:D95"/>
    <mergeCell ref="E95:W95"/>
    <mergeCell ref="X95:AB95"/>
    <mergeCell ref="AC95:AG95"/>
    <mergeCell ref="AH95:AL95"/>
    <mergeCell ref="AM95:AQ95"/>
    <mergeCell ref="AR95:AV95"/>
    <mergeCell ref="AW98:BA98"/>
    <mergeCell ref="BB98:BF98"/>
    <mergeCell ref="BG98:BK98"/>
    <mergeCell ref="A99:D99"/>
    <mergeCell ref="E99:W99"/>
    <mergeCell ref="X99:AB99"/>
    <mergeCell ref="AC99:AG99"/>
    <mergeCell ref="AH99:AL99"/>
    <mergeCell ref="AM99:AQ99"/>
    <mergeCell ref="AR99:AV99"/>
    <mergeCell ref="AW97:BA97"/>
    <mergeCell ref="BB97:BF97"/>
    <mergeCell ref="BG97:BK97"/>
    <mergeCell ref="A98:D98"/>
    <mergeCell ref="E98:W98"/>
    <mergeCell ref="X98:AB98"/>
    <mergeCell ref="AC98:AG98"/>
    <mergeCell ref="AH98:AL98"/>
    <mergeCell ref="AM98:AQ98"/>
    <mergeCell ref="AR98:AV98"/>
    <mergeCell ref="AW100:BA100"/>
    <mergeCell ref="BB100:BF100"/>
    <mergeCell ref="BG100:BK100"/>
    <mergeCell ref="A101:D101"/>
    <mergeCell ref="E101:W101"/>
    <mergeCell ref="X101:AB101"/>
    <mergeCell ref="AC101:AG101"/>
    <mergeCell ref="AH101:AL101"/>
    <mergeCell ref="AM101:AQ101"/>
    <mergeCell ref="AR101:AV101"/>
    <mergeCell ref="AW99:BA99"/>
    <mergeCell ref="BB99:BF99"/>
    <mergeCell ref="BG99:BK99"/>
    <mergeCell ref="A100:D100"/>
    <mergeCell ref="E100:W100"/>
    <mergeCell ref="X100:AB100"/>
    <mergeCell ref="AC100:AG100"/>
    <mergeCell ref="AH100:AL100"/>
    <mergeCell ref="AM100:AQ100"/>
    <mergeCell ref="AR100:AV100"/>
    <mergeCell ref="AW102:BA102"/>
    <mergeCell ref="BB102:BF102"/>
    <mergeCell ref="BG102:BK102"/>
    <mergeCell ref="A103:D103"/>
    <mergeCell ref="E103:W103"/>
    <mergeCell ref="X103:AB103"/>
    <mergeCell ref="AC103:AG103"/>
    <mergeCell ref="AH103:AL103"/>
    <mergeCell ref="AM103:AQ103"/>
    <mergeCell ref="AR103:AV103"/>
    <mergeCell ref="AW101:BA101"/>
    <mergeCell ref="BB101:BF101"/>
    <mergeCell ref="BG101:BK101"/>
    <mergeCell ref="A102:D102"/>
    <mergeCell ref="E102:W102"/>
    <mergeCell ref="X102:AB102"/>
    <mergeCell ref="AC102:AG102"/>
    <mergeCell ref="AH102:AL102"/>
    <mergeCell ref="AM102:AQ102"/>
    <mergeCell ref="AR102:AV102"/>
    <mergeCell ref="AW104:BA104"/>
    <mergeCell ref="BB104:BF104"/>
    <mergeCell ref="BG104:BK104"/>
    <mergeCell ref="A105:D105"/>
    <mergeCell ref="E105:W105"/>
    <mergeCell ref="X105:AB105"/>
    <mergeCell ref="AC105:AG105"/>
    <mergeCell ref="AH105:AL105"/>
    <mergeCell ref="AM105:AQ105"/>
    <mergeCell ref="AR105:AV105"/>
    <mergeCell ref="AW103:BA103"/>
    <mergeCell ref="BB103:BF103"/>
    <mergeCell ref="BG103:BK103"/>
    <mergeCell ref="A104:D104"/>
    <mergeCell ref="E104:W104"/>
    <mergeCell ref="X104:AB104"/>
    <mergeCell ref="AC104:AG104"/>
    <mergeCell ref="AH104:AL104"/>
    <mergeCell ref="AM104:AQ104"/>
    <mergeCell ref="AR104:AV104"/>
    <mergeCell ref="AW106:BA106"/>
    <mergeCell ref="BB106:BF106"/>
    <mergeCell ref="BG106:BK106"/>
    <mergeCell ref="A107:D107"/>
    <mergeCell ref="E107:W107"/>
    <mergeCell ref="X107:AB107"/>
    <mergeCell ref="AC107:AG107"/>
    <mergeCell ref="AH107:AL107"/>
    <mergeCell ref="AM107:AQ107"/>
    <mergeCell ref="AR107:AV107"/>
    <mergeCell ref="AW105:BA105"/>
    <mergeCell ref="BB105:BF105"/>
    <mergeCell ref="BG105:BK105"/>
    <mergeCell ref="A106:D106"/>
    <mergeCell ref="E106:W106"/>
    <mergeCell ref="X106:AB106"/>
    <mergeCell ref="AC106:AG106"/>
    <mergeCell ref="AH106:AL106"/>
    <mergeCell ref="AM106:AQ106"/>
    <mergeCell ref="AR106:AV106"/>
    <mergeCell ref="AW109:BA109"/>
    <mergeCell ref="BB109:BF109"/>
    <mergeCell ref="BG109:BK109"/>
    <mergeCell ref="AW108:BA108"/>
    <mergeCell ref="BB108:BF108"/>
    <mergeCell ref="BG108:BK108"/>
    <mergeCell ref="A109:D109"/>
    <mergeCell ref="E109:W109"/>
    <mergeCell ref="X109:AB109"/>
    <mergeCell ref="AC109:AG109"/>
    <mergeCell ref="AH109:AL109"/>
    <mergeCell ref="AM109:AQ109"/>
    <mergeCell ref="AR109:AV109"/>
    <mergeCell ref="AW107:BA107"/>
    <mergeCell ref="BB107:BF107"/>
    <mergeCell ref="BG107:BK107"/>
    <mergeCell ref="A108:D108"/>
    <mergeCell ref="E108:W108"/>
    <mergeCell ref="X108:AB108"/>
    <mergeCell ref="AC108:AG108"/>
    <mergeCell ref="AH108:AL108"/>
    <mergeCell ref="AM108:AQ108"/>
    <mergeCell ref="AR108:AV108"/>
    <mergeCell ref="BU127:BY127"/>
    <mergeCell ref="A128:C128"/>
    <mergeCell ref="D128:T128"/>
    <mergeCell ref="U128:Y128"/>
    <mergeCell ref="Z128:AD128"/>
    <mergeCell ref="AE128:AH128"/>
    <mergeCell ref="AI128:AM128"/>
    <mergeCell ref="AN128:AR128"/>
    <mergeCell ref="AS128:AW128"/>
    <mergeCell ref="AX128:BA128"/>
    <mergeCell ref="AS127:AW127"/>
    <mergeCell ref="AX127:BA127"/>
    <mergeCell ref="BB127:BF127"/>
    <mergeCell ref="BG127:BK127"/>
    <mergeCell ref="BL127:BP127"/>
    <mergeCell ref="BQ127:BT127"/>
    <mergeCell ref="A127:C127"/>
    <mergeCell ref="D127:T127"/>
    <mergeCell ref="U127:Y127"/>
    <mergeCell ref="Z127:AD127"/>
    <mergeCell ref="AE127:AH127"/>
    <mergeCell ref="AI127:AM127"/>
    <mergeCell ref="AN127:AR127"/>
    <mergeCell ref="BL129:BP129"/>
    <mergeCell ref="BQ129:BT129"/>
    <mergeCell ref="BU129:BY129"/>
    <mergeCell ref="A130:C130"/>
    <mergeCell ref="D130:T130"/>
    <mergeCell ref="U130:Y130"/>
    <mergeCell ref="Z130:AD130"/>
    <mergeCell ref="AE130:AH130"/>
    <mergeCell ref="AI130:AM130"/>
    <mergeCell ref="AN130:AR130"/>
    <mergeCell ref="AI129:AM129"/>
    <mergeCell ref="AN129:AR129"/>
    <mergeCell ref="AS129:AW129"/>
    <mergeCell ref="AX129:BA129"/>
    <mergeCell ref="BB129:BF129"/>
    <mergeCell ref="BG129:BK129"/>
    <mergeCell ref="BB128:BF128"/>
    <mergeCell ref="BG128:BK128"/>
    <mergeCell ref="BL128:BP128"/>
    <mergeCell ref="BQ128:BT128"/>
    <mergeCell ref="BU128:BY128"/>
    <mergeCell ref="A129:C129"/>
    <mergeCell ref="D129:T129"/>
    <mergeCell ref="U129:Y129"/>
    <mergeCell ref="Z129:AD129"/>
    <mergeCell ref="AE129:AH129"/>
    <mergeCell ref="BB131:BF131"/>
    <mergeCell ref="BG131:BK131"/>
    <mergeCell ref="BL131:BP131"/>
    <mergeCell ref="BQ131:BT131"/>
    <mergeCell ref="BU131:BY131"/>
    <mergeCell ref="A132:C132"/>
    <mergeCell ref="D132:T132"/>
    <mergeCell ref="U132:Y132"/>
    <mergeCell ref="Z132:AD132"/>
    <mergeCell ref="AE132:AH132"/>
    <mergeCell ref="BU130:BY130"/>
    <mergeCell ref="A131:C131"/>
    <mergeCell ref="D131:T131"/>
    <mergeCell ref="U131:Y131"/>
    <mergeCell ref="Z131:AD131"/>
    <mergeCell ref="AE131:AH131"/>
    <mergeCell ref="AI131:AM131"/>
    <mergeCell ref="AN131:AR131"/>
    <mergeCell ref="AS131:AW131"/>
    <mergeCell ref="AX131:BA131"/>
    <mergeCell ref="AS130:AW130"/>
    <mergeCell ref="AX130:BA130"/>
    <mergeCell ref="BB130:BF130"/>
    <mergeCell ref="BG130:BK130"/>
    <mergeCell ref="BL130:BP130"/>
    <mergeCell ref="BQ130:BT130"/>
    <mergeCell ref="BU133:BY133"/>
    <mergeCell ref="A134:C134"/>
    <mergeCell ref="D134:T134"/>
    <mergeCell ref="U134:Y134"/>
    <mergeCell ref="Z134:AD134"/>
    <mergeCell ref="AE134:AH134"/>
    <mergeCell ref="AI134:AM134"/>
    <mergeCell ref="AN134:AR134"/>
    <mergeCell ref="AS134:AW134"/>
    <mergeCell ref="AX134:BA134"/>
    <mergeCell ref="AS133:AW133"/>
    <mergeCell ref="AX133:BA133"/>
    <mergeCell ref="BB133:BF133"/>
    <mergeCell ref="BG133:BK133"/>
    <mergeCell ref="BL133:BP133"/>
    <mergeCell ref="BQ133:BT133"/>
    <mergeCell ref="BL132:BP132"/>
    <mergeCell ref="BQ132:BT132"/>
    <mergeCell ref="BU132:BY132"/>
    <mergeCell ref="A133:C133"/>
    <mergeCell ref="D133:T133"/>
    <mergeCell ref="U133:Y133"/>
    <mergeCell ref="Z133:AD133"/>
    <mergeCell ref="AE133:AH133"/>
    <mergeCell ref="AI133:AM133"/>
    <mergeCell ref="AN133:AR133"/>
    <mergeCell ref="AI132:AM132"/>
    <mergeCell ref="AN132:AR132"/>
    <mergeCell ref="AS132:AW132"/>
    <mergeCell ref="AX132:BA132"/>
    <mergeCell ref="BB132:BF132"/>
    <mergeCell ref="BG132:BK132"/>
    <mergeCell ref="BL135:BP135"/>
    <mergeCell ref="BQ135:BT135"/>
    <mergeCell ref="BU135:BY135"/>
    <mergeCell ref="A136:C136"/>
    <mergeCell ref="D136:T136"/>
    <mergeCell ref="U136:Y136"/>
    <mergeCell ref="Z136:AD136"/>
    <mergeCell ref="AE136:AH136"/>
    <mergeCell ref="AI136:AM136"/>
    <mergeCell ref="AN136:AR136"/>
    <mergeCell ref="AI135:AM135"/>
    <mergeCell ref="AN135:AR135"/>
    <mergeCell ref="AS135:AW135"/>
    <mergeCell ref="AX135:BA135"/>
    <mergeCell ref="BB135:BF135"/>
    <mergeCell ref="BG135:BK135"/>
    <mergeCell ref="BB134:BF134"/>
    <mergeCell ref="BG134:BK134"/>
    <mergeCell ref="BL134:BP134"/>
    <mergeCell ref="BQ134:BT134"/>
    <mergeCell ref="BU134:BY134"/>
    <mergeCell ref="A135:C135"/>
    <mergeCell ref="D135:T135"/>
    <mergeCell ref="U135:Y135"/>
    <mergeCell ref="Z135:AD135"/>
    <mergeCell ref="AE135:AH135"/>
    <mergeCell ref="BB137:BF137"/>
    <mergeCell ref="BG137:BK137"/>
    <mergeCell ref="BL137:BP137"/>
    <mergeCell ref="BQ137:BT137"/>
    <mergeCell ref="BU137:BY137"/>
    <mergeCell ref="A138:C138"/>
    <mergeCell ref="D138:T138"/>
    <mergeCell ref="U138:Y138"/>
    <mergeCell ref="Z138:AD138"/>
    <mergeCell ref="AE138:AH138"/>
    <mergeCell ref="BU136:BY136"/>
    <mergeCell ref="A137:C137"/>
    <mergeCell ref="D137:T137"/>
    <mergeCell ref="U137:Y137"/>
    <mergeCell ref="Z137:AD137"/>
    <mergeCell ref="AE137:AH137"/>
    <mergeCell ref="AI137:AM137"/>
    <mergeCell ref="AN137:AR137"/>
    <mergeCell ref="AS137:AW137"/>
    <mergeCell ref="AX137:BA137"/>
    <mergeCell ref="AS136:AW136"/>
    <mergeCell ref="AX136:BA136"/>
    <mergeCell ref="BB136:BF136"/>
    <mergeCell ref="BG136:BK136"/>
    <mergeCell ref="BL136:BP136"/>
    <mergeCell ref="BQ136:BT136"/>
    <mergeCell ref="BU139:BY139"/>
    <mergeCell ref="A140:C140"/>
    <mergeCell ref="D140:T140"/>
    <mergeCell ref="U140:Y140"/>
    <mergeCell ref="Z140:AD140"/>
    <mergeCell ref="AE140:AH140"/>
    <mergeCell ref="AI140:AM140"/>
    <mergeCell ref="AN140:AR140"/>
    <mergeCell ref="AS140:AW140"/>
    <mergeCell ref="AX140:BA140"/>
    <mergeCell ref="AS139:AW139"/>
    <mergeCell ref="AX139:BA139"/>
    <mergeCell ref="BB139:BF139"/>
    <mergeCell ref="BG139:BK139"/>
    <mergeCell ref="BL139:BP139"/>
    <mergeCell ref="BQ139:BT139"/>
    <mergeCell ref="BL138:BP138"/>
    <mergeCell ref="BQ138:BT138"/>
    <mergeCell ref="BU138:BY138"/>
    <mergeCell ref="A139:C139"/>
    <mergeCell ref="D139:T139"/>
    <mergeCell ref="U139:Y139"/>
    <mergeCell ref="Z139:AD139"/>
    <mergeCell ref="AE139:AH139"/>
    <mergeCell ref="AI139:AM139"/>
    <mergeCell ref="AN139:AR139"/>
    <mergeCell ref="AI138:AM138"/>
    <mergeCell ref="AN138:AR138"/>
    <mergeCell ref="AS138:AW138"/>
    <mergeCell ref="AX138:BA138"/>
    <mergeCell ref="BB138:BF138"/>
    <mergeCell ref="BG138:BK138"/>
    <mergeCell ref="BL141:BP141"/>
    <mergeCell ref="BQ141:BT141"/>
    <mergeCell ref="BU141:BY141"/>
    <mergeCell ref="A142:C142"/>
    <mergeCell ref="D142:T142"/>
    <mergeCell ref="U142:Y142"/>
    <mergeCell ref="Z142:AD142"/>
    <mergeCell ref="AE142:AH142"/>
    <mergeCell ref="AI142:AM142"/>
    <mergeCell ref="AN142:AR142"/>
    <mergeCell ref="AI141:AM141"/>
    <mergeCell ref="AN141:AR141"/>
    <mergeCell ref="AS141:AW141"/>
    <mergeCell ref="AX141:BA141"/>
    <mergeCell ref="BB141:BF141"/>
    <mergeCell ref="BG141:BK141"/>
    <mergeCell ref="BB140:BF140"/>
    <mergeCell ref="BG140:BK140"/>
    <mergeCell ref="BL140:BP140"/>
    <mergeCell ref="BQ140:BT140"/>
    <mergeCell ref="BU140:BY140"/>
    <mergeCell ref="A141:C141"/>
    <mergeCell ref="D141:T141"/>
    <mergeCell ref="U141:Y141"/>
    <mergeCell ref="Z141:AD141"/>
    <mergeCell ref="AE141:AH141"/>
    <mergeCell ref="BB143:BF143"/>
    <mergeCell ref="BG143:BK143"/>
    <mergeCell ref="BL143:BP143"/>
    <mergeCell ref="BQ143:BT143"/>
    <mergeCell ref="BU143:BY143"/>
    <mergeCell ref="A144:C144"/>
    <mergeCell ref="D144:T144"/>
    <mergeCell ref="U144:Y144"/>
    <mergeCell ref="Z144:AD144"/>
    <mergeCell ref="AE144:AH144"/>
    <mergeCell ref="BU142:BY142"/>
    <mergeCell ref="A143:C143"/>
    <mergeCell ref="D143:T143"/>
    <mergeCell ref="U143:Y143"/>
    <mergeCell ref="Z143:AD143"/>
    <mergeCell ref="AE143:AH143"/>
    <mergeCell ref="AI143:AM143"/>
    <mergeCell ref="AN143:AR143"/>
    <mergeCell ref="AS143:AW143"/>
    <mergeCell ref="AX143:BA143"/>
    <mergeCell ref="AS142:AW142"/>
    <mergeCell ref="AX142:BA142"/>
    <mergeCell ref="BB142:BF142"/>
    <mergeCell ref="BG142:BK142"/>
    <mergeCell ref="BL142:BP142"/>
    <mergeCell ref="BQ142:BT142"/>
    <mergeCell ref="BU145:BY145"/>
    <mergeCell ref="A146:C146"/>
    <mergeCell ref="D146:T146"/>
    <mergeCell ref="U146:Y146"/>
    <mergeCell ref="Z146:AD146"/>
    <mergeCell ref="AE146:AH146"/>
    <mergeCell ref="AI146:AM146"/>
    <mergeCell ref="AN146:AR146"/>
    <mergeCell ref="AS146:AW146"/>
    <mergeCell ref="AX146:BA146"/>
    <mergeCell ref="AS145:AW145"/>
    <mergeCell ref="AX145:BA145"/>
    <mergeCell ref="BB145:BF145"/>
    <mergeCell ref="BG145:BK145"/>
    <mergeCell ref="BL145:BP145"/>
    <mergeCell ref="BQ145:BT145"/>
    <mergeCell ref="BL144:BP144"/>
    <mergeCell ref="BQ144:BT144"/>
    <mergeCell ref="BU144:BY144"/>
    <mergeCell ref="A145:C145"/>
    <mergeCell ref="D145:T145"/>
    <mergeCell ref="U145:Y145"/>
    <mergeCell ref="Z145:AD145"/>
    <mergeCell ref="AE145:AH145"/>
    <mergeCell ref="AI145:AM145"/>
    <mergeCell ref="AN145:AR145"/>
    <mergeCell ref="AI144:AM144"/>
    <mergeCell ref="AN144:AR144"/>
    <mergeCell ref="AS144:AW144"/>
    <mergeCell ref="AX144:BA144"/>
    <mergeCell ref="BB144:BF144"/>
    <mergeCell ref="BG144:BK144"/>
    <mergeCell ref="BL147:BP147"/>
    <mergeCell ref="BQ147:BT147"/>
    <mergeCell ref="BU147:BY147"/>
    <mergeCell ref="A148:C148"/>
    <mergeCell ref="D148:T148"/>
    <mergeCell ref="U148:Y148"/>
    <mergeCell ref="Z148:AD148"/>
    <mergeCell ref="AE148:AH148"/>
    <mergeCell ref="AI148:AM148"/>
    <mergeCell ref="AN148:AR148"/>
    <mergeCell ref="AI147:AM147"/>
    <mergeCell ref="AN147:AR147"/>
    <mergeCell ref="AS147:AW147"/>
    <mergeCell ref="AX147:BA147"/>
    <mergeCell ref="BB147:BF147"/>
    <mergeCell ref="BG147:BK147"/>
    <mergeCell ref="BB146:BF146"/>
    <mergeCell ref="BG146:BK146"/>
    <mergeCell ref="BL146:BP146"/>
    <mergeCell ref="BQ146:BT146"/>
    <mergeCell ref="BU146:BY146"/>
    <mergeCell ref="A147:C147"/>
    <mergeCell ref="D147:T147"/>
    <mergeCell ref="U147:Y147"/>
    <mergeCell ref="Z147:AD147"/>
    <mergeCell ref="AE147:AH147"/>
    <mergeCell ref="BB149:BF149"/>
    <mergeCell ref="BG149:BK149"/>
    <mergeCell ref="BL149:BP149"/>
    <mergeCell ref="BQ149:BT149"/>
    <mergeCell ref="BU149:BY149"/>
    <mergeCell ref="A150:C150"/>
    <mergeCell ref="D150:T150"/>
    <mergeCell ref="U150:Y150"/>
    <mergeCell ref="Z150:AD150"/>
    <mergeCell ref="AE150:AH150"/>
    <mergeCell ref="BU148:BY148"/>
    <mergeCell ref="A149:C149"/>
    <mergeCell ref="D149:T149"/>
    <mergeCell ref="U149:Y149"/>
    <mergeCell ref="Z149:AD149"/>
    <mergeCell ref="AE149:AH149"/>
    <mergeCell ref="AI149:AM149"/>
    <mergeCell ref="AN149:AR149"/>
    <mergeCell ref="AS149:AW149"/>
    <mergeCell ref="AX149:BA149"/>
    <mergeCell ref="AS148:AW148"/>
    <mergeCell ref="AX148:BA148"/>
    <mergeCell ref="BB148:BF148"/>
    <mergeCell ref="BG148:BK148"/>
    <mergeCell ref="BL148:BP148"/>
    <mergeCell ref="BQ148:BT148"/>
    <mergeCell ref="BU151:BY151"/>
    <mergeCell ref="A152:C152"/>
    <mergeCell ref="D152:T152"/>
    <mergeCell ref="U152:Y152"/>
    <mergeCell ref="Z152:AD152"/>
    <mergeCell ref="AE152:AH152"/>
    <mergeCell ref="AI152:AM152"/>
    <mergeCell ref="AN152:AR152"/>
    <mergeCell ref="AS152:AW152"/>
    <mergeCell ref="AX152:BA152"/>
    <mergeCell ref="AS151:AW151"/>
    <mergeCell ref="AX151:BA151"/>
    <mergeCell ref="BB151:BF151"/>
    <mergeCell ref="BG151:BK151"/>
    <mergeCell ref="BL151:BP151"/>
    <mergeCell ref="BQ151:BT151"/>
    <mergeCell ref="BL150:BP150"/>
    <mergeCell ref="BQ150:BT150"/>
    <mergeCell ref="BU150:BY150"/>
    <mergeCell ref="A151:C151"/>
    <mergeCell ref="D151:T151"/>
    <mergeCell ref="U151:Y151"/>
    <mergeCell ref="Z151:AD151"/>
    <mergeCell ref="AE151:AH151"/>
    <mergeCell ref="AI151:AM151"/>
    <mergeCell ref="AN151:AR151"/>
    <mergeCell ref="AI150:AM150"/>
    <mergeCell ref="AN150:AR150"/>
    <mergeCell ref="AS150:AW150"/>
    <mergeCell ref="AX150:BA150"/>
    <mergeCell ref="BB150:BF150"/>
    <mergeCell ref="BG150:BK150"/>
    <mergeCell ref="BL153:BP153"/>
    <mergeCell ref="BQ153:BT153"/>
    <mergeCell ref="BU153:BY153"/>
    <mergeCell ref="A154:C154"/>
    <mergeCell ref="D154:T154"/>
    <mergeCell ref="U154:Y154"/>
    <mergeCell ref="Z154:AD154"/>
    <mergeCell ref="AE154:AH154"/>
    <mergeCell ref="AI154:AM154"/>
    <mergeCell ref="AN154:AR154"/>
    <mergeCell ref="AI153:AM153"/>
    <mergeCell ref="AN153:AR153"/>
    <mergeCell ref="AS153:AW153"/>
    <mergeCell ref="AX153:BA153"/>
    <mergeCell ref="BB153:BF153"/>
    <mergeCell ref="BG153:BK153"/>
    <mergeCell ref="BB152:BF152"/>
    <mergeCell ref="BG152:BK152"/>
    <mergeCell ref="BL152:BP152"/>
    <mergeCell ref="BQ152:BT152"/>
    <mergeCell ref="BU152:BY152"/>
    <mergeCell ref="A153:C153"/>
    <mergeCell ref="D153:T153"/>
    <mergeCell ref="U153:Y153"/>
    <mergeCell ref="Z153:AD153"/>
    <mergeCell ref="AE153:AH153"/>
    <mergeCell ref="BB155:BF155"/>
    <mergeCell ref="BG155:BK155"/>
    <mergeCell ref="BL155:BP155"/>
    <mergeCell ref="BQ155:BT155"/>
    <mergeCell ref="BU155:BY155"/>
    <mergeCell ref="A156:C156"/>
    <mergeCell ref="D156:T156"/>
    <mergeCell ref="U156:Y156"/>
    <mergeCell ref="Z156:AD156"/>
    <mergeCell ref="AE156:AH156"/>
    <mergeCell ref="BU154:BY154"/>
    <mergeCell ref="A155:C155"/>
    <mergeCell ref="D155:T155"/>
    <mergeCell ref="U155:Y155"/>
    <mergeCell ref="Z155:AD155"/>
    <mergeCell ref="AE155:AH155"/>
    <mergeCell ref="AI155:AM155"/>
    <mergeCell ref="AN155:AR155"/>
    <mergeCell ref="AS155:AW155"/>
    <mergeCell ref="AX155:BA155"/>
    <mergeCell ref="AS154:AW154"/>
    <mergeCell ref="AX154:BA154"/>
    <mergeCell ref="BB154:BF154"/>
    <mergeCell ref="BG154:BK154"/>
    <mergeCell ref="BL154:BP154"/>
    <mergeCell ref="BQ154:BT154"/>
    <mergeCell ref="BU157:BY157"/>
    <mergeCell ref="A158:C158"/>
    <mergeCell ref="D158:T158"/>
    <mergeCell ref="U158:Y158"/>
    <mergeCell ref="Z158:AD158"/>
    <mergeCell ref="AE158:AH158"/>
    <mergeCell ref="AI158:AM158"/>
    <mergeCell ref="AN158:AR158"/>
    <mergeCell ref="AS158:AW158"/>
    <mergeCell ref="AX158:BA158"/>
    <mergeCell ref="AS157:AW157"/>
    <mergeCell ref="AX157:BA157"/>
    <mergeCell ref="BB157:BF157"/>
    <mergeCell ref="BG157:BK157"/>
    <mergeCell ref="BL157:BP157"/>
    <mergeCell ref="BQ157:BT157"/>
    <mergeCell ref="BL156:BP156"/>
    <mergeCell ref="BQ156:BT156"/>
    <mergeCell ref="BU156:BY156"/>
    <mergeCell ref="A157:C157"/>
    <mergeCell ref="D157:T157"/>
    <mergeCell ref="U157:Y157"/>
    <mergeCell ref="Z157:AD157"/>
    <mergeCell ref="AE157:AH157"/>
    <mergeCell ref="AI157:AM157"/>
    <mergeCell ref="AN157:AR157"/>
    <mergeCell ref="AI156:AM156"/>
    <mergeCell ref="AN156:AR156"/>
    <mergeCell ref="AS156:AW156"/>
    <mergeCell ref="AX156:BA156"/>
    <mergeCell ref="BB156:BF156"/>
    <mergeCell ref="BG156:BK156"/>
    <mergeCell ref="BL159:BP159"/>
    <mergeCell ref="BQ159:BT159"/>
    <mergeCell ref="BU159:BY159"/>
    <mergeCell ref="A160:C160"/>
    <mergeCell ref="D160:T160"/>
    <mergeCell ref="U160:Y160"/>
    <mergeCell ref="Z160:AD160"/>
    <mergeCell ref="AE160:AH160"/>
    <mergeCell ref="AI160:AM160"/>
    <mergeCell ref="AN160:AR160"/>
    <mergeCell ref="AI159:AM159"/>
    <mergeCell ref="AN159:AR159"/>
    <mergeCell ref="AS159:AW159"/>
    <mergeCell ref="AX159:BA159"/>
    <mergeCell ref="BB159:BF159"/>
    <mergeCell ref="BG159:BK159"/>
    <mergeCell ref="BB158:BF158"/>
    <mergeCell ref="BG158:BK158"/>
    <mergeCell ref="BL158:BP158"/>
    <mergeCell ref="BQ158:BT158"/>
    <mergeCell ref="BU158:BY158"/>
    <mergeCell ref="A159:C159"/>
    <mergeCell ref="D159:T159"/>
    <mergeCell ref="U159:Y159"/>
    <mergeCell ref="Z159:AD159"/>
    <mergeCell ref="AE159:AH159"/>
    <mergeCell ref="BB161:BF161"/>
    <mergeCell ref="BG161:BK161"/>
    <mergeCell ref="BL161:BP161"/>
    <mergeCell ref="BQ161:BT161"/>
    <mergeCell ref="BU161:BY161"/>
    <mergeCell ref="A162:C162"/>
    <mergeCell ref="D162:T162"/>
    <mergeCell ref="U162:Y162"/>
    <mergeCell ref="Z162:AD162"/>
    <mergeCell ref="AE162:AH162"/>
    <mergeCell ref="BU160:BY160"/>
    <mergeCell ref="A161:C161"/>
    <mergeCell ref="D161:T161"/>
    <mergeCell ref="U161:Y161"/>
    <mergeCell ref="Z161:AD161"/>
    <mergeCell ref="AE161:AH161"/>
    <mergeCell ref="AI161:AM161"/>
    <mergeCell ref="AN161:AR161"/>
    <mergeCell ref="AS161:AW161"/>
    <mergeCell ref="AX161:BA161"/>
    <mergeCell ref="AS160:AW160"/>
    <mergeCell ref="AX160:BA160"/>
    <mergeCell ref="BB160:BF160"/>
    <mergeCell ref="BG160:BK160"/>
    <mergeCell ref="BL160:BP160"/>
    <mergeCell ref="BQ160:BT160"/>
    <mergeCell ref="BU163:BY163"/>
    <mergeCell ref="A164:C164"/>
    <mergeCell ref="D164:T164"/>
    <mergeCell ref="U164:Y164"/>
    <mergeCell ref="Z164:AD164"/>
    <mergeCell ref="AE164:AH164"/>
    <mergeCell ref="AI164:AM164"/>
    <mergeCell ref="AN164:AR164"/>
    <mergeCell ref="AS164:AW164"/>
    <mergeCell ref="AX164:BA164"/>
    <mergeCell ref="AS163:AW163"/>
    <mergeCell ref="AX163:BA163"/>
    <mergeCell ref="BB163:BF163"/>
    <mergeCell ref="BG163:BK163"/>
    <mergeCell ref="BL163:BP163"/>
    <mergeCell ref="BQ163:BT163"/>
    <mergeCell ref="BL162:BP162"/>
    <mergeCell ref="BQ162:BT162"/>
    <mergeCell ref="BU162:BY162"/>
    <mergeCell ref="A163:C163"/>
    <mergeCell ref="D163:T163"/>
    <mergeCell ref="U163:Y163"/>
    <mergeCell ref="Z163:AD163"/>
    <mergeCell ref="AE163:AH163"/>
    <mergeCell ref="AI163:AM163"/>
    <mergeCell ref="AN163:AR163"/>
    <mergeCell ref="AI162:AM162"/>
    <mergeCell ref="AN162:AR162"/>
    <mergeCell ref="AS162:AW162"/>
    <mergeCell ref="AX162:BA162"/>
    <mergeCell ref="BB162:BF162"/>
    <mergeCell ref="BG162:BK162"/>
    <mergeCell ref="BL165:BP165"/>
    <mergeCell ref="BQ165:BT165"/>
    <mergeCell ref="BU165:BY165"/>
    <mergeCell ref="A166:C166"/>
    <mergeCell ref="D166:T166"/>
    <mergeCell ref="U166:Y166"/>
    <mergeCell ref="Z166:AD166"/>
    <mergeCell ref="AE166:AH166"/>
    <mergeCell ref="AI166:AM166"/>
    <mergeCell ref="AN166:AR166"/>
    <mergeCell ref="AI165:AM165"/>
    <mergeCell ref="AN165:AR165"/>
    <mergeCell ref="AS165:AW165"/>
    <mergeCell ref="AX165:BA165"/>
    <mergeCell ref="BB165:BF165"/>
    <mergeCell ref="BG165:BK165"/>
    <mergeCell ref="BB164:BF164"/>
    <mergeCell ref="BG164:BK164"/>
    <mergeCell ref="BL164:BP164"/>
    <mergeCell ref="BQ164:BT164"/>
    <mergeCell ref="BU164:BY164"/>
    <mergeCell ref="A165:C165"/>
    <mergeCell ref="D165:T165"/>
    <mergeCell ref="U165:Y165"/>
    <mergeCell ref="Z165:AD165"/>
    <mergeCell ref="AE165:AH165"/>
    <mergeCell ref="BB167:BF167"/>
    <mergeCell ref="BG167:BK167"/>
    <mergeCell ref="BL167:BP167"/>
    <mergeCell ref="BQ167:BT167"/>
    <mergeCell ref="BU167:BY167"/>
    <mergeCell ref="A168:C168"/>
    <mergeCell ref="D168:T168"/>
    <mergeCell ref="U168:Y168"/>
    <mergeCell ref="Z168:AD168"/>
    <mergeCell ref="AE168:AH168"/>
    <mergeCell ref="BU166:BY166"/>
    <mergeCell ref="A167:C167"/>
    <mergeCell ref="D167:T167"/>
    <mergeCell ref="U167:Y167"/>
    <mergeCell ref="Z167:AD167"/>
    <mergeCell ref="AE167:AH167"/>
    <mergeCell ref="AI167:AM167"/>
    <mergeCell ref="AN167:AR167"/>
    <mergeCell ref="AS167:AW167"/>
    <mergeCell ref="AX167:BA167"/>
    <mergeCell ref="AS166:AW166"/>
    <mergeCell ref="AX166:BA166"/>
    <mergeCell ref="BB166:BF166"/>
    <mergeCell ref="BG166:BK166"/>
    <mergeCell ref="BL166:BP166"/>
    <mergeCell ref="BQ166:BT166"/>
    <mergeCell ref="BU169:BY169"/>
    <mergeCell ref="A170:C170"/>
    <mergeCell ref="D170:T170"/>
    <mergeCell ref="U170:Y170"/>
    <mergeCell ref="Z170:AD170"/>
    <mergeCell ref="AE170:AH170"/>
    <mergeCell ref="AI170:AM170"/>
    <mergeCell ref="AN170:AR170"/>
    <mergeCell ref="AS170:AW170"/>
    <mergeCell ref="AX170:BA170"/>
    <mergeCell ref="AS169:AW169"/>
    <mergeCell ref="AX169:BA169"/>
    <mergeCell ref="BB169:BF169"/>
    <mergeCell ref="BG169:BK169"/>
    <mergeCell ref="BL169:BP169"/>
    <mergeCell ref="BQ169:BT169"/>
    <mergeCell ref="BL168:BP168"/>
    <mergeCell ref="BQ168:BT168"/>
    <mergeCell ref="BU168:BY168"/>
    <mergeCell ref="A169:C169"/>
    <mergeCell ref="D169:T169"/>
    <mergeCell ref="U169:Y169"/>
    <mergeCell ref="Z169:AD169"/>
    <mergeCell ref="AE169:AH169"/>
    <mergeCell ref="AI169:AM169"/>
    <mergeCell ref="AN169:AR169"/>
    <mergeCell ref="AI168:AM168"/>
    <mergeCell ref="AN168:AR168"/>
    <mergeCell ref="AS168:AW168"/>
    <mergeCell ref="AX168:BA168"/>
    <mergeCell ref="BB168:BF168"/>
    <mergeCell ref="BG168:BK168"/>
    <mergeCell ref="BL171:BP171"/>
    <mergeCell ref="BQ171:BT171"/>
    <mergeCell ref="BU171:BY171"/>
    <mergeCell ref="A172:C172"/>
    <mergeCell ref="D172:T172"/>
    <mergeCell ref="U172:Y172"/>
    <mergeCell ref="Z172:AD172"/>
    <mergeCell ref="AE172:AH172"/>
    <mergeCell ref="AI172:AM172"/>
    <mergeCell ref="AN172:AR172"/>
    <mergeCell ref="AI171:AM171"/>
    <mergeCell ref="AN171:AR171"/>
    <mergeCell ref="AS171:AW171"/>
    <mergeCell ref="AX171:BA171"/>
    <mergeCell ref="BB171:BF171"/>
    <mergeCell ref="BG171:BK171"/>
    <mergeCell ref="BB170:BF170"/>
    <mergeCell ref="BG170:BK170"/>
    <mergeCell ref="BL170:BP170"/>
    <mergeCell ref="BQ170:BT170"/>
    <mergeCell ref="BU170:BY170"/>
    <mergeCell ref="A171:C171"/>
    <mergeCell ref="D171:T171"/>
    <mergeCell ref="U171:Y171"/>
    <mergeCell ref="Z171:AD171"/>
    <mergeCell ref="AE171:AH171"/>
    <mergeCell ref="BB173:BF173"/>
    <mergeCell ref="BG173:BK173"/>
    <mergeCell ref="BL173:BP173"/>
    <mergeCell ref="BQ173:BT173"/>
    <mergeCell ref="BU173:BY173"/>
    <mergeCell ref="A174:C174"/>
    <mergeCell ref="D174:T174"/>
    <mergeCell ref="U174:Y174"/>
    <mergeCell ref="Z174:AD174"/>
    <mergeCell ref="AE174:AH174"/>
    <mergeCell ref="BU172:BY172"/>
    <mergeCell ref="A173:C173"/>
    <mergeCell ref="D173:T173"/>
    <mergeCell ref="U173:Y173"/>
    <mergeCell ref="Z173:AD173"/>
    <mergeCell ref="AE173:AH173"/>
    <mergeCell ref="AI173:AM173"/>
    <mergeCell ref="AN173:AR173"/>
    <mergeCell ref="AS173:AW173"/>
    <mergeCell ref="AX173:BA173"/>
    <mergeCell ref="AS172:AW172"/>
    <mergeCell ref="AX172:BA172"/>
    <mergeCell ref="BB172:BF172"/>
    <mergeCell ref="BG172:BK172"/>
    <mergeCell ref="BL172:BP172"/>
    <mergeCell ref="BQ172:BT172"/>
    <mergeCell ref="BU175:BY175"/>
    <mergeCell ref="A176:C176"/>
    <mergeCell ref="D176:T176"/>
    <mergeCell ref="U176:Y176"/>
    <mergeCell ref="Z176:AD176"/>
    <mergeCell ref="AE176:AH176"/>
    <mergeCell ref="AI176:AM176"/>
    <mergeCell ref="AN176:AR176"/>
    <mergeCell ref="AS176:AW176"/>
    <mergeCell ref="AX176:BA176"/>
    <mergeCell ref="AS175:AW175"/>
    <mergeCell ref="AX175:BA175"/>
    <mergeCell ref="BB175:BF175"/>
    <mergeCell ref="BG175:BK175"/>
    <mergeCell ref="BL175:BP175"/>
    <mergeCell ref="BQ175:BT175"/>
    <mergeCell ref="BL174:BP174"/>
    <mergeCell ref="BQ174:BT174"/>
    <mergeCell ref="BU174:BY174"/>
    <mergeCell ref="A175:C175"/>
    <mergeCell ref="D175:T175"/>
    <mergeCell ref="U175:Y175"/>
    <mergeCell ref="Z175:AD175"/>
    <mergeCell ref="AE175:AH175"/>
    <mergeCell ref="AI175:AM175"/>
    <mergeCell ref="AN175:AR175"/>
    <mergeCell ref="AI174:AM174"/>
    <mergeCell ref="AN174:AR174"/>
    <mergeCell ref="AS174:AW174"/>
    <mergeCell ref="AX174:BA174"/>
    <mergeCell ref="BB174:BF174"/>
    <mergeCell ref="BG174:BK174"/>
    <mergeCell ref="BL177:BP177"/>
    <mergeCell ref="BQ177:BT177"/>
    <mergeCell ref="BU177:BY177"/>
    <mergeCell ref="A178:C178"/>
    <mergeCell ref="D178:T178"/>
    <mergeCell ref="U178:Y178"/>
    <mergeCell ref="Z178:AD178"/>
    <mergeCell ref="AE178:AH178"/>
    <mergeCell ref="AI178:AM178"/>
    <mergeCell ref="AN178:AR178"/>
    <mergeCell ref="AI177:AM177"/>
    <mergeCell ref="AN177:AR177"/>
    <mergeCell ref="AS177:AW177"/>
    <mergeCell ref="AX177:BA177"/>
    <mergeCell ref="BB177:BF177"/>
    <mergeCell ref="BG177:BK177"/>
    <mergeCell ref="BB176:BF176"/>
    <mergeCell ref="BG176:BK176"/>
    <mergeCell ref="BL176:BP176"/>
    <mergeCell ref="BQ176:BT176"/>
    <mergeCell ref="BU176:BY176"/>
    <mergeCell ref="A177:C177"/>
    <mergeCell ref="D177:T177"/>
    <mergeCell ref="U177:Y177"/>
    <mergeCell ref="Z177:AD177"/>
    <mergeCell ref="AE177:AH177"/>
    <mergeCell ref="BB179:BF179"/>
    <mergeCell ref="BG179:BK179"/>
    <mergeCell ref="BL179:BP179"/>
    <mergeCell ref="BQ179:BT179"/>
    <mergeCell ref="BU179:BY179"/>
    <mergeCell ref="A180:C180"/>
    <mergeCell ref="D180:T180"/>
    <mergeCell ref="U180:Y180"/>
    <mergeCell ref="Z180:AD180"/>
    <mergeCell ref="AE180:AH180"/>
    <mergeCell ref="BU178:BY178"/>
    <mergeCell ref="A179:C179"/>
    <mergeCell ref="D179:T179"/>
    <mergeCell ref="U179:Y179"/>
    <mergeCell ref="Z179:AD179"/>
    <mergeCell ref="AE179:AH179"/>
    <mergeCell ref="AI179:AM179"/>
    <mergeCell ref="AN179:AR179"/>
    <mergeCell ref="AS179:AW179"/>
    <mergeCell ref="AX179:BA179"/>
    <mergeCell ref="AS178:AW178"/>
    <mergeCell ref="AX178:BA178"/>
    <mergeCell ref="BB178:BF178"/>
    <mergeCell ref="BG178:BK178"/>
    <mergeCell ref="BL178:BP178"/>
    <mergeCell ref="BQ178:BT178"/>
    <mergeCell ref="BU181:BY181"/>
    <mergeCell ref="A182:C182"/>
    <mergeCell ref="D182:T182"/>
    <mergeCell ref="U182:Y182"/>
    <mergeCell ref="Z182:AD182"/>
    <mergeCell ref="AE182:AH182"/>
    <mergeCell ref="AI182:AM182"/>
    <mergeCell ref="AN182:AR182"/>
    <mergeCell ref="AS182:AW182"/>
    <mergeCell ref="AX182:BA182"/>
    <mergeCell ref="AS181:AW181"/>
    <mergeCell ref="AX181:BA181"/>
    <mergeCell ref="BB181:BF181"/>
    <mergeCell ref="BG181:BK181"/>
    <mergeCell ref="BL181:BP181"/>
    <mergeCell ref="BQ181:BT181"/>
    <mergeCell ref="BL180:BP180"/>
    <mergeCell ref="BQ180:BT180"/>
    <mergeCell ref="BU180:BY180"/>
    <mergeCell ref="A181:C181"/>
    <mergeCell ref="D181:T181"/>
    <mergeCell ref="U181:Y181"/>
    <mergeCell ref="Z181:AD181"/>
    <mergeCell ref="AE181:AH181"/>
    <mergeCell ref="AI181:AM181"/>
    <mergeCell ref="AN181:AR181"/>
    <mergeCell ref="AI180:AM180"/>
    <mergeCell ref="AN180:AR180"/>
    <mergeCell ref="AS180:AW180"/>
    <mergeCell ref="AX180:BA180"/>
    <mergeCell ref="BB180:BF180"/>
    <mergeCell ref="BG180:BK180"/>
    <mergeCell ref="BL183:BP183"/>
    <mergeCell ref="BQ183:BT183"/>
    <mergeCell ref="BU183:BY183"/>
    <mergeCell ref="A184:C184"/>
    <mergeCell ref="D184:T184"/>
    <mergeCell ref="U184:Y184"/>
    <mergeCell ref="Z184:AD184"/>
    <mergeCell ref="AE184:AH184"/>
    <mergeCell ref="AI184:AM184"/>
    <mergeCell ref="AN184:AR184"/>
    <mergeCell ref="AI183:AM183"/>
    <mergeCell ref="AN183:AR183"/>
    <mergeCell ref="AS183:AW183"/>
    <mergeCell ref="AX183:BA183"/>
    <mergeCell ref="BB183:BF183"/>
    <mergeCell ref="BG183:BK183"/>
    <mergeCell ref="BB182:BF182"/>
    <mergeCell ref="BG182:BK182"/>
    <mergeCell ref="BL182:BP182"/>
    <mergeCell ref="BQ182:BT182"/>
    <mergeCell ref="BU182:BY182"/>
    <mergeCell ref="A183:C183"/>
    <mergeCell ref="D183:T183"/>
    <mergeCell ref="U183:Y183"/>
    <mergeCell ref="Z183:AD183"/>
    <mergeCell ref="AE183:AH183"/>
    <mergeCell ref="BB185:BF185"/>
    <mergeCell ref="BG185:BK185"/>
    <mergeCell ref="BL185:BP185"/>
    <mergeCell ref="BQ185:BT185"/>
    <mergeCell ref="BU185:BY185"/>
    <mergeCell ref="A186:C186"/>
    <mergeCell ref="D186:T186"/>
    <mergeCell ref="U186:Y186"/>
    <mergeCell ref="Z186:AD186"/>
    <mergeCell ref="AE186:AH186"/>
    <mergeCell ref="BU184:BY184"/>
    <mergeCell ref="A185:C185"/>
    <mergeCell ref="D185:T185"/>
    <mergeCell ref="U185:Y185"/>
    <mergeCell ref="Z185:AD185"/>
    <mergeCell ref="AE185:AH185"/>
    <mergeCell ref="AI185:AM185"/>
    <mergeCell ref="AN185:AR185"/>
    <mergeCell ref="AS185:AW185"/>
    <mergeCell ref="AX185:BA185"/>
    <mergeCell ref="AS184:AW184"/>
    <mergeCell ref="AX184:BA184"/>
    <mergeCell ref="BB184:BF184"/>
    <mergeCell ref="BG184:BK184"/>
    <mergeCell ref="BL184:BP184"/>
    <mergeCell ref="BQ184:BT184"/>
    <mergeCell ref="BU187:BY187"/>
    <mergeCell ref="AS187:AW187"/>
    <mergeCell ref="AX187:BA187"/>
    <mergeCell ref="BB187:BF187"/>
    <mergeCell ref="BG187:BK187"/>
    <mergeCell ref="BL187:BP187"/>
    <mergeCell ref="BQ187:BT187"/>
    <mergeCell ref="BL186:BP186"/>
    <mergeCell ref="BQ186:BT186"/>
    <mergeCell ref="BU186:BY186"/>
    <mergeCell ref="A187:C187"/>
    <mergeCell ref="D187:T187"/>
    <mergeCell ref="U187:Y187"/>
    <mergeCell ref="Z187:AD187"/>
    <mergeCell ref="AE187:AH187"/>
    <mergeCell ref="AI187:AM187"/>
    <mergeCell ref="AN187:AR187"/>
    <mergeCell ref="AI186:AM186"/>
    <mergeCell ref="AN186:AR186"/>
    <mergeCell ref="AS186:AW186"/>
    <mergeCell ref="AX186:BA186"/>
    <mergeCell ref="BB186:BF186"/>
    <mergeCell ref="BG186:BK186"/>
    <mergeCell ref="BD197:BH197"/>
    <mergeCell ref="A198:C198"/>
    <mergeCell ref="D198:T198"/>
    <mergeCell ref="U198:Y198"/>
    <mergeCell ref="Z198:AD198"/>
    <mergeCell ref="AE198:AI198"/>
    <mergeCell ref="AJ198:AN198"/>
    <mergeCell ref="AO198:AS198"/>
    <mergeCell ref="AT198:AX198"/>
    <mergeCell ref="AY198:BC198"/>
    <mergeCell ref="BD196:BH196"/>
    <mergeCell ref="A197:C197"/>
    <mergeCell ref="D197:T197"/>
    <mergeCell ref="U197:Y197"/>
    <mergeCell ref="Z197:AD197"/>
    <mergeCell ref="AE197:AI197"/>
    <mergeCell ref="AJ197:AN197"/>
    <mergeCell ref="AO197:AS197"/>
    <mergeCell ref="AT197:AX197"/>
    <mergeCell ref="AY197:BC197"/>
    <mergeCell ref="A196:C196"/>
    <mergeCell ref="D196:T196"/>
    <mergeCell ref="U196:Y196"/>
    <mergeCell ref="Z196:AD196"/>
    <mergeCell ref="AE196:AI196"/>
    <mergeCell ref="BD199:BH199"/>
    <mergeCell ref="A200:C200"/>
    <mergeCell ref="D200:T200"/>
    <mergeCell ref="U200:Y200"/>
    <mergeCell ref="Z200:AD200"/>
    <mergeCell ref="AE200:AI200"/>
    <mergeCell ref="AJ200:AN200"/>
    <mergeCell ref="AO200:AS200"/>
    <mergeCell ref="AT200:AX200"/>
    <mergeCell ref="AY200:BC200"/>
    <mergeCell ref="BD198:BH198"/>
    <mergeCell ref="A199:C199"/>
    <mergeCell ref="D199:T199"/>
    <mergeCell ref="U199:Y199"/>
    <mergeCell ref="Z199:AD199"/>
    <mergeCell ref="AE199:AI199"/>
    <mergeCell ref="AJ199:AN199"/>
    <mergeCell ref="AO199:AS199"/>
    <mergeCell ref="AT199:AX199"/>
    <mergeCell ref="AY199:BC199"/>
    <mergeCell ref="BD201:BH201"/>
    <mergeCell ref="A202:C202"/>
    <mergeCell ref="D202:T202"/>
    <mergeCell ref="U202:Y202"/>
    <mergeCell ref="Z202:AD202"/>
    <mergeCell ref="AE202:AI202"/>
    <mergeCell ref="AJ202:AN202"/>
    <mergeCell ref="AO202:AS202"/>
    <mergeCell ref="AT202:AX202"/>
    <mergeCell ref="AY202:BC202"/>
    <mergeCell ref="BD200:BH200"/>
    <mergeCell ref="A201:C201"/>
    <mergeCell ref="D201:T201"/>
    <mergeCell ref="U201:Y201"/>
    <mergeCell ref="Z201:AD201"/>
    <mergeCell ref="AE201:AI201"/>
    <mergeCell ref="AJ201:AN201"/>
    <mergeCell ref="AO201:AS201"/>
    <mergeCell ref="AT201:AX201"/>
    <mergeCell ref="AY201:BC201"/>
    <mergeCell ref="BD203:BH203"/>
    <mergeCell ref="A204:C204"/>
    <mergeCell ref="D204:T204"/>
    <mergeCell ref="U204:Y204"/>
    <mergeCell ref="Z204:AD204"/>
    <mergeCell ref="AE204:AI204"/>
    <mergeCell ref="AJ204:AN204"/>
    <mergeCell ref="AO204:AS204"/>
    <mergeCell ref="AT204:AX204"/>
    <mergeCell ref="AY204:BC204"/>
    <mergeCell ref="BD202:BH202"/>
    <mergeCell ref="A203:C203"/>
    <mergeCell ref="D203:T203"/>
    <mergeCell ref="U203:Y203"/>
    <mergeCell ref="Z203:AD203"/>
    <mergeCell ref="AE203:AI203"/>
    <mergeCell ref="AJ203:AN203"/>
    <mergeCell ref="AO203:AS203"/>
    <mergeCell ref="AT203:AX203"/>
    <mergeCell ref="AY203:BC203"/>
    <mergeCell ref="BD205:BH205"/>
    <mergeCell ref="A206:C206"/>
    <mergeCell ref="D206:T206"/>
    <mergeCell ref="U206:Y206"/>
    <mergeCell ref="Z206:AD206"/>
    <mergeCell ref="AE206:AI206"/>
    <mergeCell ref="AJ206:AN206"/>
    <mergeCell ref="AO206:AS206"/>
    <mergeCell ref="AT206:AX206"/>
    <mergeCell ref="AY206:BC206"/>
    <mergeCell ref="BD204:BH204"/>
    <mergeCell ref="A205:C205"/>
    <mergeCell ref="D205:T205"/>
    <mergeCell ref="U205:Y205"/>
    <mergeCell ref="Z205:AD205"/>
    <mergeCell ref="AE205:AI205"/>
    <mergeCell ref="AJ205:AN205"/>
    <mergeCell ref="AO205:AS205"/>
    <mergeCell ref="AT205:AX205"/>
    <mergeCell ref="AY205:BC205"/>
    <mergeCell ref="BD207:BH207"/>
    <mergeCell ref="A208:C208"/>
    <mergeCell ref="D208:T208"/>
    <mergeCell ref="U208:Y208"/>
    <mergeCell ref="Z208:AD208"/>
    <mergeCell ref="AE208:AI208"/>
    <mergeCell ref="AJ208:AN208"/>
    <mergeCell ref="AO208:AS208"/>
    <mergeCell ref="AT208:AX208"/>
    <mergeCell ref="AY208:BC208"/>
    <mergeCell ref="BD206:BH206"/>
    <mergeCell ref="A207:C207"/>
    <mergeCell ref="D207:T207"/>
    <mergeCell ref="U207:Y207"/>
    <mergeCell ref="Z207:AD207"/>
    <mergeCell ref="AE207:AI207"/>
    <mergeCell ref="AJ207:AN207"/>
    <mergeCell ref="AO207:AS207"/>
    <mergeCell ref="AT207:AX207"/>
    <mergeCell ref="AY207:BC207"/>
    <mergeCell ref="BD209:BH209"/>
    <mergeCell ref="A210:C210"/>
    <mergeCell ref="D210:T210"/>
    <mergeCell ref="U210:Y210"/>
    <mergeCell ref="Z210:AD210"/>
    <mergeCell ref="AE210:AI210"/>
    <mergeCell ref="AJ210:AN210"/>
    <mergeCell ref="AO210:AS210"/>
    <mergeCell ref="AT210:AX210"/>
    <mergeCell ref="AY210:BC210"/>
    <mergeCell ref="BD208:BH208"/>
    <mergeCell ref="A209:C209"/>
    <mergeCell ref="D209:T209"/>
    <mergeCell ref="U209:Y209"/>
    <mergeCell ref="Z209:AD209"/>
    <mergeCell ref="AE209:AI209"/>
    <mergeCell ref="AJ209:AN209"/>
    <mergeCell ref="AO209:AS209"/>
    <mergeCell ref="AT209:AX209"/>
    <mergeCell ref="AY209:BC209"/>
    <mergeCell ref="BD211:BH211"/>
    <mergeCell ref="A212:C212"/>
    <mergeCell ref="D212:T212"/>
    <mergeCell ref="U212:Y212"/>
    <mergeCell ref="Z212:AD212"/>
    <mergeCell ref="AE212:AI212"/>
    <mergeCell ref="AJ212:AN212"/>
    <mergeCell ref="AO212:AS212"/>
    <mergeCell ref="AT212:AX212"/>
    <mergeCell ref="AY212:BC212"/>
    <mergeCell ref="BD210:BH210"/>
    <mergeCell ref="A211:C211"/>
    <mergeCell ref="D211:T211"/>
    <mergeCell ref="U211:Y211"/>
    <mergeCell ref="Z211:AD211"/>
    <mergeCell ref="AE211:AI211"/>
    <mergeCell ref="AJ211:AN211"/>
    <mergeCell ref="AO211:AS211"/>
    <mergeCell ref="AT211:AX211"/>
    <mergeCell ref="AY211:BC211"/>
    <mergeCell ref="BD213:BH213"/>
    <mergeCell ref="A214:C214"/>
    <mergeCell ref="D214:T214"/>
    <mergeCell ref="U214:Y214"/>
    <mergeCell ref="Z214:AD214"/>
    <mergeCell ref="AE214:AI214"/>
    <mergeCell ref="AJ214:AN214"/>
    <mergeCell ref="AO214:AS214"/>
    <mergeCell ref="AT214:AX214"/>
    <mergeCell ref="AY214:BC214"/>
    <mergeCell ref="BD212:BH212"/>
    <mergeCell ref="A213:C213"/>
    <mergeCell ref="D213:T213"/>
    <mergeCell ref="U213:Y213"/>
    <mergeCell ref="Z213:AD213"/>
    <mergeCell ref="AE213:AI213"/>
    <mergeCell ref="AJ213:AN213"/>
    <mergeCell ref="AO213:AS213"/>
    <mergeCell ref="AT213:AX213"/>
    <mergeCell ref="AY213:BC213"/>
    <mergeCell ref="BD215:BH215"/>
    <mergeCell ref="A216:C216"/>
    <mergeCell ref="D216:T216"/>
    <mergeCell ref="U216:Y216"/>
    <mergeCell ref="Z216:AD216"/>
    <mergeCell ref="AE216:AI216"/>
    <mergeCell ref="AJ216:AN216"/>
    <mergeCell ref="AO216:AS216"/>
    <mergeCell ref="AT216:AX216"/>
    <mergeCell ref="AY216:BC216"/>
    <mergeCell ref="BD214:BH214"/>
    <mergeCell ref="A215:C215"/>
    <mergeCell ref="D215:T215"/>
    <mergeCell ref="U215:Y215"/>
    <mergeCell ref="Z215:AD215"/>
    <mergeCell ref="AE215:AI215"/>
    <mergeCell ref="AJ215:AN215"/>
    <mergeCell ref="AO215:AS215"/>
    <mergeCell ref="AT215:AX215"/>
    <mergeCell ref="AY215:BC215"/>
    <mergeCell ref="BD217:BH217"/>
    <mergeCell ref="A218:C218"/>
    <mergeCell ref="D218:T218"/>
    <mergeCell ref="U218:Y218"/>
    <mergeCell ref="Z218:AD218"/>
    <mergeCell ref="AE218:AI218"/>
    <mergeCell ref="AJ218:AN218"/>
    <mergeCell ref="AO218:AS218"/>
    <mergeCell ref="AT218:AX218"/>
    <mergeCell ref="AY218:BC218"/>
    <mergeCell ref="BD216:BH216"/>
    <mergeCell ref="A217:C217"/>
    <mergeCell ref="D217:T217"/>
    <mergeCell ref="U217:Y217"/>
    <mergeCell ref="Z217:AD217"/>
    <mergeCell ref="AE217:AI217"/>
    <mergeCell ref="AJ217:AN217"/>
    <mergeCell ref="AO217:AS217"/>
    <mergeCell ref="AT217:AX217"/>
    <mergeCell ref="AY217:BC217"/>
    <mergeCell ref="BD219:BH219"/>
    <mergeCell ref="A220:C220"/>
    <mergeCell ref="D220:T220"/>
    <mergeCell ref="U220:Y220"/>
    <mergeCell ref="Z220:AD220"/>
    <mergeCell ref="AE220:AI220"/>
    <mergeCell ref="AJ220:AN220"/>
    <mergeCell ref="AO220:AS220"/>
    <mergeCell ref="AT220:AX220"/>
    <mergeCell ref="AY220:BC220"/>
    <mergeCell ref="BD218:BH218"/>
    <mergeCell ref="A219:C219"/>
    <mergeCell ref="D219:T219"/>
    <mergeCell ref="U219:Y219"/>
    <mergeCell ref="Z219:AD219"/>
    <mergeCell ref="AE219:AI219"/>
    <mergeCell ref="AJ219:AN219"/>
    <mergeCell ref="AO219:AS219"/>
    <mergeCell ref="AT219:AX219"/>
    <mergeCell ref="AY219:BC219"/>
    <mergeCell ref="BD221:BH221"/>
    <mergeCell ref="A222:C222"/>
    <mergeCell ref="D222:T222"/>
    <mergeCell ref="U222:Y222"/>
    <mergeCell ref="Z222:AD222"/>
    <mergeCell ref="AE222:AI222"/>
    <mergeCell ref="AJ222:AN222"/>
    <mergeCell ref="AO222:AS222"/>
    <mergeCell ref="AT222:AX222"/>
    <mergeCell ref="AY222:BC222"/>
    <mergeCell ref="BD220:BH220"/>
    <mergeCell ref="A221:C221"/>
    <mergeCell ref="D221:T221"/>
    <mergeCell ref="U221:Y221"/>
    <mergeCell ref="Z221:AD221"/>
    <mergeCell ref="AE221:AI221"/>
    <mergeCell ref="AJ221:AN221"/>
    <mergeCell ref="AO221:AS221"/>
    <mergeCell ref="AT221:AX221"/>
    <mergeCell ref="AY221:BC221"/>
    <mergeCell ref="BD223:BH223"/>
    <mergeCell ref="A224:C224"/>
    <mergeCell ref="D224:T224"/>
    <mergeCell ref="U224:Y224"/>
    <mergeCell ref="Z224:AD224"/>
    <mergeCell ref="AE224:AI224"/>
    <mergeCell ref="AJ224:AN224"/>
    <mergeCell ref="AO224:AS224"/>
    <mergeCell ref="AT224:AX224"/>
    <mergeCell ref="AY224:BC224"/>
    <mergeCell ref="BD222:BH222"/>
    <mergeCell ref="A223:C223"/>
    <mergeCell ref="D223:T223"/>
    <mergeCell ref="U223:Y223"/>
    <mergeCell ref="Z223:AD223"/>
    <mergeCell ref="AE223:AI223"/>
    <mergeCell ref="AJ223:AN223"/>
    <mergeCell ref="AO223:AS223"/>
    <mergeCell ref="AT223:AX223"/>
    <mergeCell ref="AY223:BC223"/>
    <mergeCell ref="BD225:BH225"/>
    <mergeCell ref="A226:C226"/>
    <mergeCell ref="D226:T226"/>
    <mergeCell ref="U226:Y226"/>
    <mergeCell ref="Z226:AD226"/>
    <mergeCell ref="AE226:AI226"/>
    <mergeCell ref="AJ226:AN226"/>
    <mergeCell ref="AO226:AS226"/>
    <mergeCell ref="AT226:AX226"/>
    <mergeCell ref="AY226:BC226"/>
    <mergeCell ref="BD224:BH224"/>
    <mergeCell ref="A225:C225"/>
    <mergeCell ref="D225:T225"/>
    <mergeCell ref="U225:Y225"/>
    <mergeCell ref="Z225:AD225"/>
    <mergeCell ref="AE225:AI225"/>
    <mergeCell ref="AJ225:AN225"/>
    <mergeCell ref="AO225:AS225"/>
    <mergeCell ref="AT225:AX225"/>
    <mergeCell ref="AY225:BC225"/>
    <mergeCell ref="BD227:BH227"/>
    <mergeCell ref="A228:C228"/>
    <mergeCell ref="D228:T228"/>
    <mergeCell ref="U228:Y228"/>
    <mergeCell ref="Z228:AD228"/>
    <mergeCell ref="AE228:AI228"/>
    <mergeCell ref="AJ228:AN228"/>
    <mergeCell ref="AO228:AS228"/>
    <mergeCell ref="AT228:AX228"/>
    <mergeCell ref="AY228:BC228"/>
    <mergeCell ref="BD226:BH226"/>
    <mergeCell ref="A227:C227"/>
    <mergeCell ref="D227:T227"/>
    <mergeCell ref="U227:Y227"/>
    <mergeCell ref="Z227:AD227"/>
    <mergeCell ref="AE227:AI227"/>
    <mergeCell ref="AJ227:AN227"/>
    <mergeCell ref="AO227:AS227"/>
    <mergeCell ref="AT227:AX227"/>
    <mergeCell ref="AY227:BC227"/>
    <mergeCell ref="BD229:BH229"/>
    <mergeCell ref="A230:C230"/>
    <mergeCell ref="D230:T230"/>
    <mergeCell ref="U230:Y230"/>
    <mergeCell ref="Z230:AD230"/>
    <mergeCell ref="AE230:AI230"/>
    <mergeCell ref="AJ230:AN230"/>
    <mergeCell ref="AO230:AS230"/>
    <mergeCell ref="AT230:AX230"/>
    <mergeCell ref="AY230:BC230"/>
    <mergeCell ref="BD228:BH228"/>
    <mergeCell ref="A229:C229"/>
    <mergeCell ref="D229:T229"/>
    <mergeCell ref="U229:Y229"/>
    <mergeCell ref="Z229:AD229"/>
    <mergeCell ref="AE229:AI229"/>
    <mergeCell ref="AJ229:AN229"/>
    <mergeCell ref="AO229:AS229"/>
    <mergeCell ref="AT229:AX229"/>
    <mergeCell ref="AY229:BC229"/>
    <mergeCell ref="BD231:BH231"/>
    <mergeCell ref="A232:C232"/>
    <mergeCell ref="D232:T232"/>
    <mergeCell ref="U232:Y232"/>
    <mergeCell ref="Z232:AD232"/>
    <mergeCell ref="AE232:AI232"/>
    <mergeCell ref="AJ232:AN232"/>
    <mergeCell ref="AO232:AS232"/>
    <mergeCell ref="AT232:AX232"/>
    <mergeCell ref="AY232:BC232"/>
    <mergeCell ref="BD230:BH230"/>
    <mergeCell ref="A231:C231"/>
    <mergeCell ref="D231:T231"/>
    <mergeCell ref="U231:Y231"/>
    <mergeCell ref="Z231:AD231"/>
    <mergeCell ref="AE231:AI231"/>
    <mergeCell ref="AJ231:AN231"/>
    <mergeCell ref="AO231:AS231"/>
    <mergeCell ref="AT231:AX231"/>
    <mergeCell ref="AY231:BC231"/>
    <mergeCell ref="BD233:BH233"/>
    <mergeCell ref="A234:C234"/>
    <mergeCell ref="D234:T234"/>
    <mergeCell ref="U234:Y234"/>
    <mergeCell ref="Z234:AD234"/>
    <mergeCell ref="AE234:AI234"/>
    <mergeCell ref="AJ234:AN234"/>
    <mergeCell ref="AO234:AS234"/>
    <mergeCell ref="AT234:AX234"/>
    <mergeCell ref="AY234:BC234"/>
    <mergeCell ref="BD232:BH232"/>
    <mergeCell ref="A233:C233"/>
    <mergeCell ref="D233:T233"/>
    <mergeCell ref="U233:Y233"/>
    <mergeCell ref="Z233:AD233"/>
    <mergeCell ref="AE233:AI233"/>
    <mergeCell ref="AJ233:AN233"/>
    <mergeCell ref="AO233:AS233"/>
    <mergeCell ref="AT233:AX233"/>
    <mergeCell ref="AY233:BC233"/>
    <mergeCell ref="BD235:BH235"/>
    <mergeCell ref="A236:C236"/>
    <mergeCell ref="D236:T236"/>
    <mergeCell ref="U236:Y236"/>
    <mergeCell ref="Z236:AD236"/>
    <mergeCell ref="AE236:AI236"/>
    <mergeCell ref="AJ236:AN236"/>
    <mergeCell ref="AO236:AS236"/>
    <mergeCell ref="AT236:AX236"/>
    <mergeCell ref="AY236:BC236"/>
    <mergeCell ref="BD234:BH234"/>
    <mergeCell ref="A235:C235"/>
    <mergeCell ref="D235:T235"/>
    <mergeCell ref="U235:Y235"/>
    <mergeCell ref="Z235:AD235"/>
    <mergeCell ref="AE235:AI235"/>
    <mergeCell ref="AJ235:AN235"/>
    <mergeCell ref="AO235:AS235"/>
    <mergeCell ref="AT235:AX235"/>
    <mergeCell ref="AY235:BC235"/>
    <mergeCell ref="BD237:BH237"/>
    <mergeCell ref="A238:C238"/>
    <mergeCell ref="D238:T238"/>
    <mergeCell ref="U238:Y238"/>
    <mergeCell ref="Z238:AD238"/>
    <mergeCell ref="AE238:AI238"/>
    <mergeCell ref="AJ238:AN238"/>
    <mergeCell ref="AO238:AS238"/>
    <mergeCell ref="AT238:AX238"/>
    <mergeCell ref="AY238:BC238"/>
    <mergeCell ref="BD236:BH236"/>
    <mergeCell ref="A237:C237"/>
    <mergeCell ref="D237:T237"/>
    <mergeCell ref="U237:Y237"/>
    <mergeCell ref="Z237:AD237"/>
    <mergeCell ref="AE237:AI237"/>
    <mergeCell ref="AJ237:AN237"/>
    <mergeCell ref="AO237:AS237"/>
    <mergeCell ref="AT237:AX237"/>
    <mergeCell ref="AY237:BC237"/>
    <mergeCell ref="BD239:BH239"/>
    <mergeCell ref="A240:C240"/>
    <mergeCell ref="D240:T240"/>
    <mergeCell ref="U240:Y240"/>
    <mergeCell ref="Z240:AD240"/>
    <mergeCell ref="AE240:AI240"/>
    <mergeCell ref="AJ240:AN240"/>
    <mergeCell ref="AO240:AS240"/>
    <mergeCell ref="AT240:AX240"/>
    <mergeCell ref="AY240:BC240"/>
    <mergeCell ref="BD238:BH238"/>
    <mergeCell ref="A239:C239"/>
    <mergeCell ref="D239:T239"/>
    <mergeCell ref="U239:Y239"/>
    <mergeCell ref="Z239:AD239"/>
    <mergeCell ref="AE239:AI239"/>
    <mergeCell ref="AJ239:AN239"/>
    <mergeCell ref="AO239:AS239"/>
    <mergeCell ref="AT239:AX239"/>
    <mergeCell ref="AY239:BC239"/>
    <mergeCell ref="BD241:BH241"/>
    <mergeCell ref="A242:C242"/>
    <mergeCell ref="D242:T242"/>
    <mergeCell ref="U242:Y242"/>
    <mergeCell ref="Z242:AD242"/>
    <mergeCell ref="AE242:AI242"/>
    <mergeCell ref="AJ242:AN242"/>
    <mergeCell ref="AO242:AS242"/>
    <mergeCell ref="AT242:AX242"/>
    <mergeCell ref="AY242:BC242"/>
    <mergeCell ref="BD240:BH240"/>
    <mergeCell ref="A241:C241"/>
    <mergeCell ref="D241:T241"/>
    <mergeCell ref="U241:Y241"/>
    <mergeCell ref="Z241:AD241"/>
    <mergeCell ref="AE241:AI241"/>
    <mergeCell ref="AJ241:AN241"/>
    <mergeCell ref="AO241:AS241"/>
    <mergeCell ref="AT241:AX241"/>
    <mergeCell ref="AY241:BC241"/>
    <mergeCell ref="BD243:BH243"/>
    <mergeCell ref="A244:C244"/>
    <mergeCell ref="D244:T244"/>
    <mergeCell ref="U244:Y244"/>
    <mergeCell ref="Z244:AD244"/>
    <mergeCell ref="AE244:AI244"/>
    <mergeCell ref="AJ244:AN244"/>
    <mergeCell ref="AO244:AS244"/>
    <mergeCell ref="AT244:AX244"/>
    <mergeCell ref="AY244:BC244"/>
    <mergeCell ref="BD242:BH242"/>
    <mergeCell ref="A243:C243"/>
    <mergeCell ref="D243:T243"/>
    <mergeCell ref="U243:Y243"/>
    <mergeCell ref="Z243:AD243"/>
    <mergeCell ref="AE243:AI243"/>
    <mergeCell ref="AJ243:AN243"/>
    <mergeCell ref="AO243:AS243"/>
    <mergeCell ref="AT243:AX243"/>
    <mergeCell ref="AY243:BC243"/>
    <mergeCell ref="BD245:BH245"/>
    <mergeCell ref="A246:C246"/>
    <mergeCell ref="D246:T246"/>
    <mergeCell ref="U246:Y246"/>
    <mergeCell ref="Z246:AD246"/>
    <mergeCell ref="AE246:AI246"/>
    <mergeCell ref="AJ246:AN246"/>
    <mergeCell ref="AO246:AS246"/>
    <mergeCell ref="AT246:AX246"/>
    <mergeCell ref="AY246:BC246"/>
    <mergeCell ref="BD244:BH244"/>
    <mergeCell ref="A245:C245"/>
    <mergeCell ref="D245:T245"/>
    <mergeCell ref="U245:Y245"/>
    <mergeCell ref="Z245:AD245"/>
    <mergeCell ref="AE245:AI245"/>
    <mergeCell ref="AJ245:AN245"/>
    <mergeCell ref="AO245:AS245"/>
    <mergeCell ref="AT245:AX245"/>
    <mergeCell ref="AY245:BC245"/>
    <mergeCell ref="BD247:BH247"/>
    <mergeCell ref="A248:C248"/>
    <mergeCell ref="D248:T248"/>
    <mergeCell ref="U248:Y248"/>
    <mergeCell ref="Z248:AD248"/>
    <mergeCell ref="AE248:AI248"/>
    <mergeCell ref="AJ248:AN248"/>
    <mergeCell ref="AO248:AS248"/>
    <mergeCell ref="AT248:AX248"/>
    <mergeCell ref="AY248:BC248"/>
    <mergeCell ref="BD246:BH246"/>
    <mergeCell ref="A247:C247"/>
    <mergeCell ref="D247:T247"/>
    <mergeCell ref="U247:Y247"/>
    <mergeCell ref="Z247:AD247"/>
    <mergeCell ref="AE247:AI247"/>
    <mergeCell ref="AJ247:AN247"/>
    <mergeCell ref="AO247:AS247"/>
    <mergeCell ref="AT247:AX247"/>
    <mergeCell ref="AY247:BC247"/>
    <mergeCell ref="BD249:BH249"/>
    <mergeCell ref="A250:C250"/>
    <mergeCell ref="D250:T250"/>
    <mergeCell ref="U250:Y250"/>
    <mergeCell ref="Z250:AD250"/>
    <mergeCell ref="AE250:AI250"/>
    <mergeCell ref="AJ250:AN250"/>
    <mergeCell ref="AO250:AS250"/>
    <mergeCell ref="AT250:AX250"/>
    <mergeCell ref="AY250:BC250"/>
    <mergeCell ref="BD248:BH248"/>
    <mergeCell ref="A249:C249"/>
    <mergeCell ref="D249:T249"/>
    <mergeCell ref="U249:Y249"/>
    <mergeCell ref="Z249:AD249"/>
    <mergeCell ref="AE249:AI249"/>
    <mergeCell ref="AJ249:AN249"/>
    <mergeCell ref="AO249:AS249"/>
    <mergeCell ref="AT249:AX249"/>
    <mergeCell ref="AY249:BC249"/>
    <mergeCell ref="BD251:BH251"/>
    <mergeCell ref="A252:C252"/>
    <mergeCell ref="D252:T252"/>
    <mergeCell ref="U252:Y252"/>
    <mergeCell ref="Z252:AD252"/>
    <mergeCell ref="AE252:AI252"/>
    <mergeCell ref="AJ252:AN252"/>
    <mergeCell ref="AO252:AS252"/>
    <mergeCell ref="AT252:AX252"/>
    <mergeCell ref="AY252:BC252"/>
    <mergeCell ref="BD250:BH250"/>
    <mergeCell ref="A251:C251"/>
    <mergeCell ref="D251:T251"/>
    <mergeCell ref="U251:Y251"/>
    <mergeCell ref="Z251:AD251"/>
    <mergeCell ref="AE251:AI251"/>
    <mergeCell ref="AJ251:AN251"/>
    <mergeCell ref="AO251:AS251"/>
    <mergeCell ref="AT251:AX251"/>
    <mergeCell ref="AY251:BC251"/>
    <mergeCell ref="BD253:BH253"/>
    <mergeCell ref="A254:C254"/>
    <mergeCell ref="D254:T254"/>
    <mergeCell ref="U254:Y254"/>
    <mergeCell ref="Z254:AD254"/>
    <mergeCell ref="AE254:AI254"/>
    <mergeCell ref="AJ254:AN254"/>
    <mergeCell ref="AO254:AS254"/>
    <mergeCell ref="AT254:AX254"/>
    <mergeCell ref="AY254:BC254"/>
    <mergeCell ref="BD252:BH252"/>
    <mergeCell ref="A253:C253"/>
    <mergeCell ref="D253:T253"/>
    <mergeCell ref="U253:Y253"/>
    <mergeCell ref="Z253:AD253"/>
    <mergeCell ref="AE253:AI253"/>
    <mergeCell ref="AJ253:AN253"/>
    <mergeCell ref="AO253:AS253"/>
    <mergeCell ref="AT253:AX253"/>
    <mergeCell ref="AY253:BC253"/>
    <mergeCell ref="AP265:AT265"/>
    <mergeCell ref="AU265:AY265"/>
    <mergeCell ref="AZ265:BD265"/>
    <mergeCell ref="BD256:BH256"/>
    <mergeCell ref="BD255:BH255"/>
    <mergeCell ref="A256:C256"/>
    <mergeCell ref="D256:T256"/>
    <mergeCell ref="U256:Y256"/>
    <mergeCell ref="Z256:AD256"/>
    <mergeCell ref="AE256:AI256"/>
    <mergeCell ref="AJ256:AN256"/>
    <mergeCell ref="AO256:AS256"/>
    <mergeCell ref="AT256:AX256"/>
    <mergeCell ref="AY256:BC256"/>
    <mergeCell ref="BD254:BH254"/>
    <mergeCell ref="A255:C255"/>
    <mergeCell ref="D255:T255"/>
    <mergeCell ref="U255:Y255"/>
    <mergeCell ref="Z255:AD255"/>
    <mergeCell ref="AE255:AI255"/>
    <mergeCell ref="AJ255:AN255"/>
    <mergeCell ref="AO255:AS255"/>
    <mergeCell ref="AT255:AX255"/>
    <mergeCell ref="AY255:BC255"/>
    <mergeCell ref="BT266:BX266"/>
    <mergeCell ref="A267:C267"/>
    <mergeCell ref="D267:P267"/>
    <mergeCell ref="Q267:U267"/>
    <mergeCell ref="V267:AE267"/>
    <mergeCell ref="AF267:AJ267"/>
    <mergeCell ref="AK267:AO267"/>
    <mergeCell ref="AP267:AT267"/>
    <mergeCell ref="AU267:AY267"/>
    <mergeCell ref="AZ267:BD267"/>
    <mergeCell ref="AP266:AT266"/>
    <mergeCell ref="AU266:AY266"/>
    <mergeCell ref="AZ266:BD266"/>
    <mergeCell ref="BE266:BI266"/>
    <mergeCell ref="BJ266:BN266"/>
    <mergeCell ref="BO266:BS266"/>
    <mergeCell ref="BE265:BI265"/>
    <mergeCell ref="BJ265:BN265"/>
    <mergeCell ref="BO265:BS265"/>
    <mergeCell ref="BT265:BX265"/>
    <mergeCell ref="A266:C266"/>
    <mergeCell ref="D266:P266"/>
    <mergeCell ref="Q266:U266"/>
    <mergeCell ref="V266:AE266"/>
    <mergeCell ref="AF266:AJ266"/>
    <mergeCell ref="AK266:AO266"/>
    <mergeCell ref="A265:C265"/>
    <mergeCell ref="D265:P265"/>
    <mergeCell ref="Q265:U265"/>
    <mergeCell ref="V265:AE265"/>
    <mergeCell ref="AF265:AJ265"/>
    <mergeCell ref="AK265:AO265"/>
    <mergeCell ref="BT268:BX268"/>
    <mergeCell ref="A269:C269"/>
    <mergeCell ref="D269:P269"/>
    <mergeCell ref="Q269:U269"/>
    <mergeCell ref="V269:AE269"/>
    <mergeCell ref="AF269:AJ269"/>
    <mergeCell ref="AK269:AO269"/>
    <mergeCell ref="AP269:AT269"/>
    <mergeCell ref="AU269:AY269"/>
    <mergeCell ref="AZ269:BD269"/>
    <mergeCell ref="AP268:AT268"/>
    <mergeCell ref="AU268:AY268"/>
    <mergeCell ref="AZ268:BD268"/>
    <mergeCell ref="BE268:BI268"/>
    <mergeCell ref="BJ268:BN268"/>
    <mergeCell ref="BO268:BS268"/>
    <mergeCell ref="BE267:BI267"/>
    <mergeCell ref="BJ267:BN267"/>
    <mergeCell ref="BO267:BS267"/>
    <mergeCell ref="BT267:BX267"/>
    <mergeCell ref="A268:C268"/>
    <mergeCell ref="D268:P268"/>
    <mergeCell ref="Q268:U268"/>
    <mergeCell ref="V268:AE268"/>
    <mergeCell ref="AF268:AJ268"/>
    <mergeCell ref="AK268:AO268"/>
    <mergeCell ref="BT270:BX270"/>
    <mergeCell ref="A271:C271"/>
    <mergeCell ref="D271:P271"/>
    <mergeCell ref="Q271:U271"/>
    <mergeCell ref="V271:AE271"/>
    <mergeCell ref="AF271:AJ271"/>
    <mergeCell ref="AK271:AO271"/>
    <mergeCell ref="AP271:AT271"/>
    <mergeCell ref="AU271:AY271"/>
    <mergeCell ref="AZ271:BD271"/>
    <mergeCell ref="AP270:AT270"/>
    <mergeCell ref="AU270:AY270"/>
    <mergeCell ref="AZ270:BD270"/>
    <mergeCell ref="BE270:BI270"/>
    <mergeCell ref="BJ270:BN270"/>
    <mergeCell ref="BO270:BS270"/>
    <mergeCell ref="BE269:BI269"/>
    <mergeCell ref="BJ269:BN269"/>
    <mergeCell ref="BO269:BS269"/>
    <mergeCell ref="BT269:BX269"/>
    <mergeCell ref="A270:C270"/>
    <mergeCell ref="D270:P270"/>
    <mergeCell ref="Q270:U270"/>
    <mergeCell ref="V270:AE270"/>
    <mergeCell ref="AF270:AJ270"/>
    <mergeCell ref="AK270:AO270"/>
    <mergeCell ref="BT272:BX272"/>
    <mergeCell ref="A273:C273"/>
    <mergeCell ref="D273:P273"/>
    <mergeCell ref="Q273:U273"/>
    <mergeCell ref="V273:AE273"/>
    <mergeCell ref="AF273:AJ273"/>
    <mergeCell ref="AK273:AO273"/>
    <mergeCell ref="AP273:AT273"/>
    <mergeCell ref="AU273:AY273"/>
    <mergeCell ref="AZ273:BD273"/>
    <mergeCell ref="AP272:AT272"/>
    <mergeCell ref="AU272:AY272"/>
    <mergeCell ref="AZ272:BD272"/>
    <mergeCell ref="BE272:BI272"/>
    <mergeCell ref="BJ272:BN272"/>
    <mergeCell ref="BO272:BS272"/>
    <mergeCell ref="BE271:BI271"/>
    <mergeCell ref="BJ271:BN271"/>
    <mergeCell ref="BO271:BS271"/>
    <mergeCell ref="BT271:BX271"/>
    <mergeCell ref="A272:C272"/>
    <mergeCell ref="D272:P272"/>
    <mergeCell ref="Q272:U272"/>
    <mergeCell ref="V272:AE272"/>
    <mergeCell ref="AF272:AJ272"/>
    <mergeCell ref="AK272:AO272"/>
    <mergeCell ref="A282:C282"/>
    <mergeCell ref="D282:P282"/>
    <mergeCell ref="Q282:U282"/>
    <mergeCell ref="V282:AE282"/>
    <mergeCell ref="AF282:AJ282"/>
    <mergeCell ref="AK282:AO282"/>
    <mergeCell ref="BT274:BX274"/>
    <mergeCell ref="AP274:AT274"/>
    <mergeCell ref="AU274:AY274"/>
    <mergeCell ref="AZ274:BD274"/>
    <mergeCell ref="BE274:BI274"/>
    <mergeCell ref="BJ274:BN274"/>
    <mergeCell ref="BO274:BS274"/>
    <mergeCell ref="BE273:BI273"/>
    <mergeCell ref="BJ273:BN273"/>
    <mergeCell ref="BO273:BS273"/>
    <mergeCell ref="BT273:BX273"/>
    <mergeCell ref="A274:C274"/>
    <mergeCell ref="D274:P274"/>
    <mergeCell ref="Q274:U274"/>
    <mergeCell ref="V274:AE274"/>
    <mergeCell ref="AF274:AJ274"/>
    <mergeCell ref="AK274:AO274"/>
    <mergeCell ref="AP281:AT281"/>
    <mergeCell ref="AU281:AY281"/>
    <mergeCell ref="AZ281:BD281"/>
    <mergeCell ref="BE281:BI281"/>
    <mergeCell ref="AP278:AT278"/>
    <mergeCell ref="AU278:AY278"/>
    <mergeCell ref="AZ278:BD278"/>
    <mergeCell ref="BE278:BI278"/>
    <mergeCell ref="AP284:AT284"/>
    <mergeCell ref="AU284:AY284"/>
    <mergeCell ref="AZ284:BD284"/>
    <mergeCell ref="BE284:BI284"/>
    <mergeCell ref="A285:C285"/>
    <mergeCell ref="D285:P285"/>
    <mergeCell ref="Q285:U285"/>
    <mergeCell ref="V285:AE285"/>
    <mergeCell ref="AF285:AJ285"/>
    <mergeCell ref="AK285:AO285"/>
    <mergeCell ref="AP283:AT283"/>
    <mergeCell ref="AU283:AY283"/>
    <mergeCell ref="AZ283:BD283"/>
    <mergeCell ref="BE283:BI283"/>
    <mergeCell ref="A284:C284"/>
    <mergeCell ref="D284:P284"/>
    <mergeCell ref="Q284:U284"/>
    <mergeCell ref="V284:AE284"/>
    <mergeCell ref="AF284:AJ284"/>
    <mergeCell ref="AK284:AO284"/>
    <mergeCell ref="A283:C283"/>
    <mergeCell ref="D283:P283"/>
    <mergeCell ref="Q283:U283"/>
    <mergeCell ref="V283:AE283"/>
    <mergeCell ref="AF283:AJ283"/>
    <mergeCell ref="AK283:AO283"/>
    <mergeCell ref="AP286:AT286"/>
    <mergeCell ref="AU286:AY286"/>
    <mergeCell ref="AZ286:BD286"/>
    <mergeCell ref="BE286:BI286"/>
    <mergeCell ref="A287:C287"/>
    <mergeCell ref="D287:P287"/>
    <mergeCell ref="Q287:U287"/>
    <mergeCell ref="V287:AE287"/>
    <mergeCell ref="AF287:AJ287"/>
    <mergeCell ref="AK287:AO287"/>
    <mergeCell ref="AP285:AT285"/>
    <mergeCell ref="AU285:AY285"/>
    <mergeCell ref="AZ285:BD285"/>
    <mergeCell ref="BE285:BI285"/>
    <mergeCell ref="A286:C286"/>
    <mergeCell ref="D286:P286"/>
    <mergeCell ref="Q286:U286"/>
    <mergeCell ref="V286:AE286"/>
    <mergeCell ref="AF286:AJ286"/>
    <mergeCell ref="AK286:AO286"/>
    <mergeCell ref="AP288:AT288"/>
    <mergeCell ref="AU288:AY288"/>
    <mergeCell ref="AZ288:BD288"/>
    <mergeCell ref="BE288:BI288"/>
    <mergeCell ref="A289:C289"/>
    <mergeCell ref="D289:P289"/>
    <mergeCell ref="Q289:U289"/>
    <mergeCell ref="V289:AE289"/>
    <mergeCell ref="AF289:AJ289"/>
    <mergeCell ref="AK289:AO289"/>
    <mergeCell ref="AP287:AT287"/>
    <mergeCell ref="AU287:AY287"/>
    <mergeCell ref="AZ287:BD287"/>
    <mergeCell ref="BE287:BI287"/>
    <mergeCell ref="A288:C288"/>
    <mergeCell ref="D288:P288"/>
    <mergeCell ref="Q288:U288"/>
    <mergeCell ref="V288:AE288"/>
    <mergeCell ref="AF288:AJ288"/>
    <mergeCell ref="AK288:AO288"/>
    <mergeCell ref="AP290:AT290"/>
    <mergeCell ref="AU290:AY290"/>
    <mergeCell ref="AZ290:BD290"/>
    <mergeCell ref="BE290:BI290"/>
    <mergeCell ref="A291:C291"/>
    <mergeCell ref="D291:P291"/>
    <mergeCell ref="Q291:U291"/>
    <mergeCell ref="V291:AE291"/>
    <mergeCell ref="AF291:AJ291"/>
    <mergeCell ref="AK291:AO291"/>
    <mergeCell ref="AP289:AT289"/>
    <mergeCell ref="AU289:AY289"/>
    <mergeCell ref="AZ289:BD289"/>
    <mergeCell ref="BE289:BI289"/>
    <mergeCell ref="A290:C290"/>
    <mergeCell ref="D290:P290"/>
    <mergeCell ref="Q290:U290"/>
    <mergeCell ref="V290:AE290"/>
    <mergeCell ref="AF290:AJ290"/>
    <mergeCell ref="AK290:AO290"/>
    <mergeCell ref="BN300:BR300"/>
    <mergeCell ref="A301:T301"/>
    <mergeCell ref="U301:Y301"/>
    <mergeCell ref="Z301:AD301"/>
    <mergeCell ref="AE301:AI301"/>
    <mergeCell ref="AJ301:AN301"/>
    <mergeCell ref="AO301:AS301"/>
    <mergeCell ref="AT301:AX301"/>
    <mergeCell ref="AY301:BC301"/>
    <mergeCell ref="BD301:BH301"/>
    <mergeCell ref="A300:T300"/>
    <mergeCell ref="U300:Y300"/>
    <mergeCell ref="Z300:AD300"/>
    <mergeCell ref="AE300:AI300"/>
    <mergeCell ref="AJ300:AN300"/>
    <mergeCell ref="AO300:AS300"/>
    <mergeCell ref="AP291:AT291"/>
    <mergeCell ref="AU291:AY291"/>
    <mergeCell ref="AZ291:BD291"/>
    <mergeCell ref="BE291:BI291"/>
    <mergeCell ref="AO298:AS298"/>
    <mergeCell ref="AT298:AX298"/>
    <mergeCell ref="AY298:BC298"/>
    <mergeCell ref="BD298:BH298"/>
    <mergeCell ref="BI298:BM298"/>
    <mergeCell ref="BN298:BR298"/>
    <mergeCell ref="AT297:AX297"/>
    <mergeCell ref="AY297:BC297"/>
    <mergeCell ref="BD297:BH297"/>
    <mergeCell ref="BI297:BM297"/>
    <mergeCell ref="BN297:BR297"/>
    <mergeCell ref="A298:T298"/>
    <mergeCell ref="BD302:BH302"/>
    <mergeCell ref="BI302:BM302"/>
    <mergeCell ref="BN302:BR302"/>
    <mergeCell ref="A303:T303"/>
    <mergeCell ref="U303:Y303"/>
    <mergeCell ref="Z303:AD303"/>
    <mergeCell ref="AE303:AI303"/>
    <mergeCell ref="AJ303:AN303"/>
    <mergeCell ref="AO303:AS303"/>
    <mergeCell ref="AT303:AX303"/>
    <mergeCell ref="BI301:BM301"/>
    <mergeCell ref="BN301:BR301"/>
    <mergeCell ref="A302:T302"/>
    <mergeCell ref="U302:Y302"/>
    <mergeCell ref="Z302:AD302"/>
    <mergeCell ref="AE302:AI302"/>
    <mergeCell ref="AJ302:AN302"/>
    <mergeCell ref="AO302:AS302"/>
    <mergeCell ref="AT302:AX302"/>
    <mergeCell ref="AY302:BC302"/>
    <mergeCell ref="AO305:AS305"/>
    <mergeCell ref="AT305:AX305"/>
    <mergeCell ref="AY305:BC305"/>
    <mergeCell ref="BD305:BH305"/>
    <mergeCell ref="BI305:BM305"/>
    <mergeCell ref="BN305:BR305"/>
    <mergeCell ref="AT304:AX304"/>
    <mergeCell ref="AY304:BC304"/>
    <mergeCell ref="BD304:BH304"/>
    <mergeCell ref="BI304:BM304"/>
    <mergeCell ref="BN304:BR304"/>
    <mergeCell ref="A305:T305"/>
    <mergeCell ref="U305:Y305"/>
    <mergeCell ref="Z305:AD305"/>
    <mergeCell ref="AE305:AI305"/>
    <mergeCell ref="AJ305:AN305"/>
    <mergeCell ref="AY303:BC303"/>
    <mergeCell ref="BD303:BH303"/>
    <mergeCell ref="BI303:BM303"/>
    <mergeCell ref="BN303:BR303"/>
    <mergeCell ref="A304:T304"/>
    <mergeCell ref="U304:Y304"/>
    <mergeCell ref="Z304:AD304"/>
    <mergeCell ref="AE304:AI304"/>
    <mergeCell ref="AJ304:AN304"/>
    <mergeCell ref="AO304:AS304"/>
    <mergeCell ref="A308:T308"/>
    <mergeCell ref="U308:Y308"/>
    <mergeCell ref="Z308:AD308"/>
    <mergeCell ref="AE308:AI308"/>
    <mergeCell ref="AJ308:AN308"/>
    <mergeCell ref="AO308:AS308"/>
    <mergeCell ref="AO307:AS307"/>
    <mergeCell ref="AT307:AX307"/>
    <mergeCell ref="AY307:BC307"/>
    <mergeCell ref="BD307:BH307"/>
    <mergeCell ref="BI307:BM307"/>
    <mergeCell ref="BN307:BR307"/>
    <mergeCell ref="AT306:AX306"/>
    <mergeCell ref="AY306:BC306"/>
    <mergeCell ref="BD306:BH306"/>
    <mergeCell ref="BI306:BM306"/>
    <mergeCell ref="BN306:BR306"/>
    <mergeCell ref="A307:T307"/>
    <mergeCell ref="U307:Y307"/>
    <mergeCell ref="Z307:AD307"/>
    <mergeCell ref="AE307:AI307"/>
    <mergeCell ref="AJ307:AN307"/>
    <mergeCell ref="A306:T306"/>
    <mergeCell ref="U306:Y306"/>
    <mergeCell ref="Z306:AD306"/>
    <mergeCell ref="AE306:AI306"/>
    <mergeCell ref="AJ306:AN306"/>
    <mergeCell ref="AO306:AS306"/>
    <mergeCell ref="AU317:AW317"/>
    <mergeCell ref="AX317:AZ317"/>
    <mergeCell ref="BA317:BC317"/>
    <mergeCell ref="BD317:BF317"/>
    <mergeCell ref="BG317:BI317"/>
    <mergeCell ref="BJ317:BL317"/>
    <mergeCell ref="AC317:AE317"/>
    <mergeCell ref="AF317:AH317"/>
    <mergeCell ref="AI317:AK317"/>
    <mergeCell ref="AL317:AN317"/>
    <mergeCell ref="AO317:AQ317"/>
    <mergeCell ref="AR317:AT317"/>
    <mergeCell ref="AT308:AX308"/>
    <mergeCell ref="AY308:BC308"/>
    <mergeCell ref="BD308:BH308"/>
    <mergeCell ref="BI308:BM308"/>
    <mergeCell ref="BN308:BR308"/>
    <mergeCell ref="BA315:BC315"/>
    <mergeCell ref="BD315:BF315"/>
    <mergeCell ref="BG315:BI315"/>
    <mergeCell ref="BJ315:BL315"/>
    <mergeCell ref="AC314:AE314"/>
    <mergeCell ref="AF314:AH314"/>
    <mergeCell ref="BJ312:BL313"/>
    <mergeCell ref="BA318:BC318"/>
    <mergeCell ref="BD318:BF318"/>
    <mergeCell ref="BG318:BI318"/>
    <mergeCell ref="BJ318:BL318"/>
    <mergeCell ref="A319:C319"/>
    <mergeCell ref="D319:V319"/>
    <mergeCell ref="W319:Y319"/>
    <mergeCell ref="Z319:AB319"/>
    <mergeCell ref="AC319:AE319"/>
    <mergeCell ref="AF319:AH319"/>
    <mergeCell ref="AI318:AK318"/>
    <mergeCell ref="AL318:AN318"/>
    <mergeCell ref="AO318:AQ318"/>
    <mergeCell ref="AR318:AT318"/>
    <mergeCell ref="AU318:AW318"/>
    <mergeCell ref="AX318:AZ318"/>
    <mergeCell ref="A318:C318"/>
    <mergeCell ref="D318:V318"/>
    <mergeCell ref="W318:Y318"/>
    <mergeCell ref="Z318:AB318"/>
    <mergeCell ref="AC318:AE318"/>
    <mergeCell ref="AF318:AH318"/>
    <mergeCell ref="A357:F357"/>
    <mergeCell ref="G357:S357"/>
    <mergeCell ref="T357:Y357"/>
    <mergeCell ref="Z357:AD357"/>
    <mergeCell ref="AE357:AJ357"/>
    <mergeCell ref="AK357:AP357"/>
    <mergeCell ref="AQ357:AV357"/>
    <mergeCell ref="AW357:BA357"/>
    <mergeCell ref="BA319:BC319"/>
    <mergeCell ref="BD319:BF319"/>
    <mergeCell ref="BG319:BI319"/>
    <mergeCell ref="BJ319:BL319"/>
    <mergeCell ref="AI319:AK319"/>
    <mergeCell ref="AL319:AN319"/>
    <mergeCell ref="AO319:AQ319"/>
    <mergeCell ref="AR319:AT319"/>
    <mergeCell ref="AU319:AW319"/>
    <mergeCell ref="AX319:AZ319"/>
    <mergeCell ref="AK356:AP356"/>
    <mergeCell ref="AQ356:AV356"/>
    <mergeCell ref="AW356:BA356"/>
    <mergeCell ref="BB356:BF356"/>
    <mergeCell ref="BG356:BL356"/>
    <mergeCell ref="AQ352:AV353"/>
    <mergeCell ref="AW352:BF352"/>
    <mergeCell ref="BG352:BL353"/>
    <mergeCell ref="AW353:BA353"/>
    <mergeCell ref="BB353:BF353"/>
    <mergeCell ref="A352:F353"/>
    <mergeCell ref="G352:S353"/>
    <mergeCell ref="T352:Y353"/>
    <mergeCell ref="Z352:AD353"/>
    <mergeCell ref="BB359:BF359"/>
    <mergeCell ref="BG359:BL359"/>
    <mergeCell ref="A360:F360"/>
    <mergeCell ref="G360:S360"/>
    <mergeCell ref="T360:Y360"/>
    <mergeCell ref="Z360:AD360"/>
    <mergeCell ref="AE360:AJ360"/>
    <mergeCell ref="AK360:AP360"/>
    <mergeCell ref="AQ360:AV360"/>
    <mergeCell ref="AW360:BA360"/>
    <mergeCell ref="BB358:BF358"/>
    <mergeCell ref="BG358:BL358"/>
    <mergeCell ref="A359:F359"/>
    <mergeCell ref="G359:S359"/>
    <mergeCell ref="T359:Y359"/>
    <mergeCell ref="Z359:AD359"/>
    <mergeCell ref="AE359:AJ359"/>
    <mergeCell ref="AK359:AP359"/>
    <mergeCell ref="AQ359:AV359"/>
    <mergeCell ref="AW359:BA359"/>
    <mergeCell ref="T358:Y358"/>
    <mergeCell ref="Z358:AD358"/>
    <mergeCell ref="AE358:AJ358"/>
    <mergeCell ref="AK358:AP358"/>
    <mergeCell ref="AQ358:AV358"/>
    <mergeCell ref="AW358:BA358"/>
    <mergeCell ref="BB361:BF361"/>
    <mergeCell ref="BG361:BL361"/>
    <mergeCell ref="A362:F362"/>
    <mergeCell ref="G362:S362"/>
    <mergeCell ref="T362:Y362"/>
    <mergeCell ref="Z362:AD362"/>
    <mergeCell ref="AE362:AJ362"/>
    <mergeCell ref="AK362:AP362"/>
    <mergeCell ref="AQ362:AV362"/>
    <mergeCell ref="AW362:BA362"/>
    <mergeCell ref="BB360:BF360"/>
    <mergeCell ref="BG360:BL360"/>
    <mergeCell ref="A361:F361"/>
    <mergeCell ref="G361:S361"/>
    <mergeCell ref="T361:Y361"/>
    <mergeCell ref="Z361:AD361"/>
    <mergeCell ref="AE361:AJ361"/>
    <mergeCell ref="AK361:AP361"/>
    <mergeCell ref="AQ361:AV361"/>
    <mergeCell ref="AW361:BA361"/>
    <mergeCell ref="BB363:BF363"/>
    <mergeCell ref="BG363:BL363"/>
    <mergeCell ref="A364:F364"/>
    <mergeCell ref="G364:S364"/>
    <mergeCell ref="T364:Y364"/>
    <mergeCell ref="Z364:AD364"/>
    <mergeCell ref="AE364:AJ364"/>
    <mergeCell ref="AK364:AP364"/>
    <mergeCell ref="AQ364:AV364"/>
    <mergeCell ref="AW364:BA364"/>
    <mergeCell ref="BB362:BF362"/>
    <mergeCell ref="BG362:BL362"/>
    <mergeCell ref="A363:F363"/>
    <mergeCell ref="G363:S363"/>
    <mergeCell ref="T363:Y363"/>
    <mergeCell ref="Z363:AD363"/>
    <mergeCell ref="AE363:AJ363"/>
    <mergeCell ref="AK363:AP363"/>
    <mergeCell ref="AQ363:AV363"/>
    <mergeCell ref="AW363:BA363"/>
    <mergeCell ref="BB365:BF365"/>
    <mergeCell ref="BG365:BL365"/>
    <mergeCell ref="A366:F366"/>
    <mergeCell ref="G366:S366"/>
    <mergeCell ref="T366:Y366"/>
    <mergeCell ref="Z366:AD366"/>
    <mergeCell ref="AE366:AJ366"/>
    <mergeCell ref="AK366:AP366"/>
    <mergeCell ref="AQ366:AV366"/>
    <mergeCell ref="AW366:BA366"/>
    <mergeCell ref="BB364:BF364"/>
    <mergeCell ref="BG364:BL364"/>
    <mergeCell ref="A365:F365"/>
    <mergeCell ref="G365:S365"/>
    <mergeCell ref="T365:Y365"/>
    <mergeCell ref="Z365:AD365"/>
    <mergeCell ref="AE365:AJ365"/>
    <mergeCell ref="AK365:AP365"/>
    <mergeCell ref="AQ365:AV365"/>
    <mergeCell ref="AW365:BA365"/>
    <mergeCell ref="BB367:BF367"/>
    <mergeCell ref="BG367:BL367"/>
    <mergeCell ref="A368:F368"/>
    <mergeCell ref="G368:S368"/>
    <mergeCell ref="T368:Y368"/>
    <mergeCell ref="Z368:AD368"/>
    <mergeCell ref="AE368:AJ368"/>
    <mergeCell ref="AK368:AP368"/>
    <mergeCell ref="AQ368:AV368"/>
    <mergeCell ref="AW368:BA368"/>
    <mergeCell ref="BB366:BF366"/>
    <mergeCell ref="BG366:BL366"/>
    <mergeCell ref="A367:F367"/>
    <mergeCell ref="G367:S367"/>
    <mergeCell ref="T367:Y367"/>
    <mergeCell ref="Z367:AD367"/>
    <mergeCell ref="AE367:AJ367"/>
    <mergeCell ref="AK367:AP367"/>
    <mergeCell ref="AQ367:AV367"/>
    <mergeCell ref="AW367:BA367"/>
    <mergeCell ref="BB370:BF370"/>
    <mergeCell ref="BG370:BL370"/>
    <mergeCell ref="BB369:BF369"/>
    <mergeCell ref="BG369:BL369"/>
    <mergeCell ref="A370:F370"/>
    <mergeCell ref="G370:S370"/>
    <mergeCell ref="T370:Y370"/>
    <mergeCell ref="Z370:AD370"/>
    <mergeCell ref="AE370:AJ370"/>
    <mergeCell ref="AK370:AP370"/>
    <mergeCell ref="AQ370:AV370"/>
    <mergeCell ref="AW370:BA370"/>
    <mergeCell ref="BB368:BF368"/>
    <mergeCell ref="BG368:BL368"/>
    <mergeCell ref="A369:F369"/>
    <mergeCell ref="G369:S369"/>
    <mergeCell ref="T369:Y369"/>
    <mergeCell ref="Z369:AD369"/>
    <mergeCell ref="AE369:AJ369"/>
    <mergeCell ref="AK369:AP369"/>
    <mergeCell ref="AQ369:AV369"/>
    <mergeCell ref="AW369:BA369"/>
    <mergeCell ref="AJ381:AN381"/>
    <mergeCell ref="AO381:AS381"/>
    <mergeCell ref="AT381:AW381"/>
    <mergeCell ref="AX381:BB381"/>
    <mergeCell ref="BC381:BG381"/>
    <mergeCell ref="BH381:BL381"/>
    <mergeCell ref="AT380:AW380"/>
    <mergeCell ref="AX380:BB380"/>
    <mergeCell ref="BC380:BG380"/>
    <mergeCell ref="BH380:BL380"/>
    <mergeCell ref="A381:F381"/>
    <mergeCell ref="G381:P381"/>
    <mergeCell ref="Q381:U381"/>
    <mergeCell ref="V381:Y381"/>
    <mergeCell ref="Z381:AD381"/>
    <mergeCell ref="AE381:AI381"/>
    <mergeCell ref="A380:F380"/>
    <mergeCell ref="G380:P380"/>
    <mergeCell ref="Q380:U380"/>
    <mergeCell ref="V380:Y380"/>
    <mergeCell ref="Z380:AD380"/>
    <mergeCell ref="AE380:AI380"/>
    <mergeCell ref="AJ380:AN380"/>
    <mergeCell ref="AO380:AS380"/>
    <mergeCell ref="AJ383:AN383"/>
    <mergeCell ref="AO383:AS383"/>
    <mergeCell ref="AT383:AW383"/>
    <mergeCell ref="AX383:BB383"/>
    <mergeCell ref="BC383:BG383"/>
    <mergeCell ref="BH383:BL383"/>
    <mergeCell ref="A383:F383"/>
    <mergeCell ref="G383:P383"/>
    <mergeCell ref="Q383:U383"/>
    <mergeCell ref="V383:Y383"/>
    <mergeCell ref="Z383:AD383"/>
    <mergeCell ref="AE383:AI383"/>
    <mergeCell ref="AJ382:AN382"/>
    <mergeCell ref="AO382:AS382"/>
    <mergeCell ref="AT382:AW382"/>
    <mergeCell ref="AX382:BB382"/>
    <mergeCell ref="BC382:BG382"/>
    <mergeCell ref="BH382:BL382"/>
    <mergeCell ref="A382:F382"/>
    <mergeCell ref="G382:P382"/>
    <mergeCell ref="Q382:U382"/>
    <mergeCell ref="V382:Y382"/>
    <mergeCell ref="Z382:AD382"/>
    <mergeCell ref="AE382:AI382"/>
    <mergeCell ref="AJ385:AN385"/>
    <mergeCell ref="AO385:AS385"/>
    <mergeCell ref="AT385:AW385"/>
    <mergeCell ref="AX385:BB385"/>
    <mergeCell ref="BC385:BG385"/>
    <mergeCell ref="BH385:BL385"/>
    <mergeCell ref="A385:F385"/>
    <mergeCell ref="G385:P385"/>
    <mergeCell ref="Q385:U385"/>
    <mergeCell ref="V385:Y385"/>
    <mergeCell ref="Z385:AD385"/>
    <mergeCell ref="AE385:AI385"/>
    <mergeCell ref="AJ384:AN384"/>
    <mergeCell ref="AO384:AS384"/>
    <mergeCell ref="AT384:AW384"/>
    <mergeCell ref="AX384:BB384"/>
    <mergeCell ref="BC384:BG384"/>
    <mergeCell ref="BH384:BL384"/>
    <mergeCell ref="A384:F384"/>
    <mergeCell ref="G384:P384"/>
    <mergeCell ref="Q384:U384"/>
    <mergeCell ref="V384:Y384"/>
    <mergeCell ref="Z384:AD384"/>
    <mergeCell ref="AE384:AI384"/>
    <mergeCell ref="AJ387:AN387"/>
    <mergeCell ref="AO387:AS387"/>
    <mergeCell ref="AT387:AW387"/>
    <mergeCell ref="AX387:BB387"/>
    <mergeCell ref="BC387:BG387"/>
    <mergeCell ref="BH387:BL387"/>
    <mergeCell ref="A387:F387"/>
    <mergeCell ref="G387:P387"/>
    <mergeCell ref="Q387:U387"/>
    <mergeCell ref="V387:Y387"/>
    <mergeCell ref="Z387:AD387"/>
    <mergeCell ref="AE387:AI387"/>
    <mergeCell ref="AJ386:AN386"/>
    <mergeCell ref="AO386:AS386"/>
    <mergeCell ref="AT386:AW386"/>
    <mergeCell ref="AX386:BB386"/>
    <mergeCell ref="BC386:BG386"/>
    <mergeCell ref="BH386:BL386"/>
    <mergeCell ref="A386:F386"/>
    <mergeCell ref="G386:P386"/>
    <mergeCell ref="Q386:U386"/>
    <mergeCell ref="V386:Y386"/>
    <mergeCell ref="Z386:AD386"/>
    <mergeCell ref="AE386:AI386"/>
    <mergeCell ref="AJ389:AN389"/>
    <mergeCell ref="AO389:AS389"/>
    <mergeCell ref="AT389:AW389"/>
    <mergeCell ref="AX389:BB389"/>
    <mergeCell ref="BC389:BG389"/>
    <mergeCell ref="BH389:BL389"/>
    <mergeCell ref="A389:F389"/>
    <mergeCell ref="G389:P389"/>
    <mergeCell ref="Q389:U389"/>
    <mergeCell ref="V389:Y389"/>
    <mergeCell ref="Z389:AD389"/>
    <mergeCell ref="AE389:AI389"/>
    <mergeCell ref="AJ388:AN388"/>
    <mergeCell ref="AO388:AS388"/>
    <mergeCell ref="AT388:AW388"/>
    <mergeCell ref="AX388:BB388"/>
    <mergeCell ref="BC388:BG388"/>
    <mergeCell ref="BH388:BL388"/>
    <mergeCell ref="A388:F388"/>
    <mergeCell ref="G388:P388"/>
    <mergeCell ref="Q388:U388"/>
    <mergeCell ref="V388:Y388"/>
    <mergeCell ref="Z388:AD388"/>
    <mergeCell ref="AE388:AI388"/>
    <mergeCell ref="AJ391:AN391"/>
    <mergeCell ref="AO391:AS391"/>
    <mergeCell ref="AT391:AW391"/>
    <mergeCell ref="AX391:BB391"/>
    <mergeCell ref="BC391:BG391"/>
    <mergeCell ref="BH391:BL391"/>
    <mergeCell ref="A391:F391"/>
    <mergeCell ref="G391:P391"/>
    <mergeCell ref="Q391:U391"/>
    <mergeCell ref="V391:Y391"/>
    <mergeCell ref="Z391:AD391"/>
    <mergeCell ref="AE391:AI391"/>
    <mergeCell ref="AJ390:AN390"/>
    <mergeCell ref="AO390:AS390"/>
    <mergeCell ref="AT390:AW390"/>
    <mergeCell ref="AX390:BB390"/>
    <mergeCell ref="BC390:BG390"/>
    <mergeCell ref="BH390:BL390"/>
    <mergeCell ref="A390:F390"/>
    <mergeCell ref="G390:P390"/>
    <mergeCell ref="Q390:U390"/>
    <mergeCell ref="V390:Y390"/>
    <mergeCell ref="Z390:AD390"/>
    <mergeCell ref="AE390:AI390"/>
    <mergeCell ref="AJ393:AN393"/>
    <mergeCell ref="AO393:AS393"/>
    <mergeCell ref="AT393:AW393"/>
    <mergeCell ref="AX393:BB393"/>
    <mergeCell ref="BC393:BG393"/>
    <mergeCell ref="BH393:BL393"/>
    <mergeCell ref="A393:F393"/>
    <mergeCell ref="G393:P393"/>
    <mergeCell ref="Q393:U393"/>
    <mergeCell ref="V393:Y393"/>
    <mergeCell ref="Z393:AD393"/>
    <mergeCell ref="AE393:AI393"/>
    <mergeCell ref="AJ392:AN392"/>
    <mergeCell ref="AO392:AS392"/>
    <mergeCell ref="AT392:AW392"/>
    <mergeCell ref="AX392:BB392"/>
    <mergeCell ref="BC392:BG392"/>
    <mergeCell ref="BH392:BL392"/>
    <mergeCell ref="A392:F392"/>
    <mergeCell ref="G392:P392"/>
    <mergeCell ref="Q392:U392"/>
    <mergeCell ref="V392:Y392"/>
    <mergeCell ref="Z392:AD392"/>
    <mergeCell ref="AE392:AI392"/>
    <mergeCell ref="AK403:AP403"/>
    <mergeCell ref="AQ403:AV403"/>
    <mergeCell ref="AW403:BD403"/>
    <mergeCell ref="BE403:BL403"/>
    <mergeCell ref="A404:F404"/>
    <mergeCell ref="G404:S404"/>
    <mergeCell ref="T404:Y404"/>
    <mergeCell ref="Z404:AD404"/>
    <mergeCell ref="AE404:AJ404"/>
    <mergeCell ref="AK404:AP404"/>
    <mergeCell ref="AE402:AJ402"/>
    <mergeCell ref="AK402:AP402"/>
    <mergeCell ref="AQ402:AV402"/>
    <mergeCell ref="AW402:BD402"/>
    <mergeCell ref="BE402:BL402"/>
    <mergeCell ref="A403:F403"/>
    <mergeCell ref="G403:S403"/>
    <mergeCell ref="T403:Y403"/>
    <mergeCell ref="Z403:AD403"/>
    <mergeCell ref="AE403:AJ403"/>
    <mergeCell ref="A402:F402"/>
    <mergeCell ref="G402:S402"/>
    <mergeCell ref="T402:Y402"/>
    <mergeCell ref="Z402:AD402"/>
    <mergeCell ref="AW405:BD405"/>
    <mergeCell ref="BE405:BL405"/>
    <mergeCell ref="A406:F406"/>
    <mergeCell ref="G406:S406"/>
    <mergeCell ref="T406:Y406"/>
    <mergeCell ref="Z406:AD406"/>
    <mergeCell ref="AE406:AJ406"/>
    <mergeCell ref="AK406:AP406"/>
    <mergeCell ref="AQ406:AV406"/>
    <mergeCell ref="AW406:BD406"/>
    <mergeCell ref="AQ404:AV404"/>
    <mergeCell ref="AW404:BD404"/>
    <mergeCell ref="BE404:BL404"/>
    <mergeCell ref="A405:F405"/>
    <mergeCell ref="G405:S405"/>
    <mergeCell ref="T405:Y405"/>
    <mergeCell ref="Z405:AD405"/>
    <mergeCell ref="AE405:AJ405"/>
    <mergeCell ref="AK405:AP405"/>
    <mergeCell ref="AQ405:AV405"/>
    <mergeCell ref="AQ408:AV408"/>
    <mergeCell ref="AW408:BD408"/>
    <mergeCell ref="BE408:BL408"/>
    <mergeCell ref="A409:F409"/>
    <mergeCell ref="G409:S409"/>
    <mergeCell ref="T409:Y409"/>
    <mergeCell ref="Z409:AD409"/>
    <mergeCell ref="AE409:AJ409"/>
    <mergeCell ref="AK409:AP409"/>
    <mergeCell ref="AQ409:AV409"/>
    <mergeCell ref="A408:F408"/>
    <mergeCell ref="G408:S408"/>
    <mergeCell ref="T408:Y408"/>
    <mergeCell ref="Z408:AD408"/>
    <mergeCell ref="AE408:AJ408"/>
    <mergeCell ref="AK408:AP408"/>
    <mergeCell ref="BE406:BL406"/>
    <mergeCell ref="A407:F407"/>
    <mergeCell ref="G407:S407"/>
    <mergeCell ref="T407:Y407"/>
    <mergeCell ref="Z407:AD407"/>
    <mergeCell ref="AE407:AJ407"/>
    <mergeCell ref="AK407:AP407"/>
    <mergeCell ref="AQ407:AV407"/>
    <mergeCell ref="AW407:BD407"/>
    <mergeCell ref="BE407:BL407"/>
    <mergeCell ref="BE410:BL410"/>
    <mergeCell ref="A411:F411"/>
    <mergeCell ref="G411:S411"/>
    <mergeCell ref="T411:Y411"/>
    <mergeCell ref="Z411:AD411"/>
    <mergeCell ref="AE411:AJ411"/>
    <mergeCell ref="AK411:AP411"/>
    <mergeCell ref="AQ411:AV411"/>
    <mergeCell ref="AW411:BD411"/>
    <mergeCell ref="BE411:BL411"/>
    <mergeCell ref="AW409:BD409"/>
    <mergeCell ref="BE409:BL409"/>
    <mergeCell ref="A410:F410"/>
    <mergeCell ref="G410:S410"/>
    <mergeCell ref="T410:Y410"/>
    <mergeCell ref="Z410:AD410"/>
    <mergeCell ref="AE410:AJ410"/>
    <mergeCell ref="AK410:AP410"/>
    <mergeCell ref="AQ410:AV410"/>
    <mergeCell ref="AW410:BD410"/>
    <mergeCell ref="BE414:BL414"/>
    <mergeCell ref="AW413:BD413"/>
    <mergeCell ref="BE413:BL413"/>
    <mergeCell ref="A414:F414"/>
    <mergeCell ref="G414:S414"/>
    <mergeCell ref="T414:Y414"/>
    <mergeCell ref="Z414:AD414"/>
    <mergeCell ref="AE414:AJ414"/>
    <mergeCell ref="AK414:AP414"/>
    <mergeCell ref="AQ414:AV414"/>
    <mergeCell ref="AW414:BD414"/>
    <mergeCell ref="AQ412:AV412"/>
    <mergeCell ref="AW412:BD412"/>
    <mergeCell ref="BE412:BL412"/>
    <mergeCell ref="A413:F413"/>
    <mergeCell ref="G413:S413"/>
    <mergeCell ref="T413:Y413"/>
    <mergeCell ref="Z413:AD413"/>
    <mergeCell ref="AE413:AJ413"/>
    <mergeCell ref="AK413:AP413"/>
    <mergeCell ref="AQ413:AV413"/>
    <mergeCell ref="A412:F412"/>
    <mergeCell ref="G412:S412"/>
    <mergeCell ref="T412:Y412"/>
    <mergeCell ref="Z412:AD412"/>
    <mergeCell ref="AE412:AJ412"/>
    <mergeCell ref="AK412:AP412"/>
  </mergeCells>
  <conditionalFormatting sqref="A126 A316 A195">
    <cfRule type="cellIs" dxfId="168" priority="173" stopIfTrue="1" operator="equal">
      <formula>A125</formula>
    </cfRule>
  </conditionalFormatting>
  <conditionalFormatting sqref="A264:C264 A281:C281">
    <cfRule type="cellIs" dxfId="167" priority="174" stopIfTrue="1" operator="equal">
      <formula>A263</formula>
    </cfRule>
    <cfRule type="cellIs" dxfId="166" priority="175" stopIfTrue="1" operator="equal">
      <formula>0</formula>
    </cfRule>
  </conditionalFormatting>
  <conditionalFormatting sqref="A127">
    <cfRule type="cellIs" dxfId="165" priority="172" stopIfTrue="1" operator="equal">
      <formula>A126</formula>
    </cfRule>
  </conditionalFormatting>
  <conditionalFormatting sqref="A128">
    <cfRule type="cellIs" dxfId="164" priority="171" stopIfTrue="1" operator="equal">
      <formula>A127</formula>
    </cfRule>
  </conditionalFormatting>
  <conditionalFormatting sqref="A129">
    <cfRule type="cellIs" dxfId="163" priority="170" stopIfTrue="1" operator="equal">
      <formula>A128</formula>
    </cfRule>
  </conditionalFormatting>
  <conditionalFormatting sqref="A130">
    <cfRule type="cellIs" dxfId="162" priority="169" stopIfTrue="1" operator="equal">
      <formula>A129</formula>
    </cfRule>
  </conditionalFormatting>
  <conditionalFormatting sqref="A131">
    <cfRule type="cellIs" dxfId="161" priority="168" stopIfTrue="1" operator="equal">
      <formula>A130</formula>
    </cfRule>
  </conditionalFormatting>
  <conditionalFormatting sqref="A132">
    <cfRule type="cellIs" dxfId="160" priority="167" stopIfTrue="1" operator="equal">
      <formula>A131</formula>
    </cfRule>
  </conditionalFormatting>
  <conditionalFormatting sqref="A133">
    <cfRule type="cellIs" dxfId="159" priority="166" stopIfTrue="1" operator="equal">
      <formula>A132</formula>
    </cfRule>
  </conditionalFormatting>
  <conditionalFormatting sqref="A134">
    <cfRule type="cellIs" dxfId="158" priority="165" stopIfTrue="1" operator="equal">
      <formula>A133</formula>
    </cfRule>
  </conditionalFormatting>
  <conditionalFormatting sqref="A135">
    <cfRule type="cellIs" dxfId="157" priority="164" stopIfTrue="1" operator="equal">
      <formula>A134</formula>
    </cfRule>
  </conditionalFormatting>
  <conditionalFormatting sqref="A136">
    <cfRule type="cellIs" dxfId="156" priority="163" stopIfTrue="1" operator="equal">
      <formula>A135</formula>
    </cfRule>
  </conditionalFormatting>
  <conditionalFormatting sqref="A137">
    <cfRule type="cellIs" dxfId="155" priority="162" stopIfTrue="1" operator="equal">
      <formula>A136</formula>
    </cfRule>
  </conditionalFormatting>
  <conditionalFormatting sqref="A138">
    <cfRule type="cellIs" dxfId="154" priority="161" stopIfTrue="1" operator="equal">
      <formula>A137</formula>
    </cfRule>
  </conditionalFormatting>
  <conditionalFormatting sqref="A139">
    <cfRule type="cellIs" dxfId="153" priority="160" stopIfTrue="1" operator="equal">
      <formula>A138</formula>
    </cfRule>
  </conditionalFormatting>
  <conditionalFormatting sqref="A140">
    <cfRule type="cellIs" dxfId="152" priority="159" stopIfTrue="1" operator="equal">
      <formula>A139</formula>
    </cfRule>
  </conditionalFormatting>
  <conditionalFormatting sqref="A141">
    <cfRule type="cellIs" dxfId="151" priority="158" stopIfTrue="1" operator="equal">
      <formula>A140</formula>
    </cfRule>
  </conditionalFormatting>
  <conditionalFormatting sqref="A142">
    <cfRule type="cellIs" dxfId="150" priority="157" stopIfTrue="1" operator="equal">
      <formula>A141</formula>
    </cfRule>
  </conditionalFormatting>
  <conditionalFormatting sqref="A143">
    <cfRule type="cellIs" dxfId="149" priority="156" stopIfTrue="1" operator="equal">
      <formula>A142</formula>
    </cfRule>
  </conditionalFormatting>
  <conditionalFormatting sqref="A144">
    <cfRule type="cellIs" dxfId="148" priority="155" stopIfTrue="1" operator="equal">
      <formula>A143</formula>
    </cfRule>
  </conditionalFormatting>
  <conditionalFormatting sqref="A145">
    <cfRule type="cellIs" dxfId="147" priority="154" stopIfTrue="1" operator="equal">
      <formula>A144</formula>
    </cfRule>
  </conditionalFormatting>
  <conditionalFormatting sqref="A146">
    <cfRule type="cellIs" dxfId="146" priority="153" stopIfTrue="1" operator="equal">
      <formula>A145</formula>
    </cfRule>
  </conditionalFormatting>
  <conditionalFormatting sqref="A147">
    <cfRule type="cellIs" dxfId="145" priority="152" stopIfTrue="1" operator="equal">
      <formula>A146</formula>
    </cfRule>
  </conditionalFormatting>
  <conditionalFormatting sqref="A148">
    <cfRule type="cellIs" dxfId="144" priority="151" stopIfTrue="1" operator="equal">
      <formula>A147</formula>
    </cfRule>
  </conditionalFormatting>
  <conditionalFormatting sqref="A149">
    <cfRule type="cellIs" dxfId="143" priority="150" stopIfTrue="1" operator="equal">
      <formula>A148</formula>
    </cfRule>
  </conditionalFormatting>
  <conditionalFormatting sqref="A150">
    <cfRule type="cellIs" dxfId="142" priority="149" stopIfTrue="1" operator="equal">
      <formula>A149</formula>
    </cfRule>
  </conditionalFormatting>
  <conditionalFormatting sqref="A151">
    <cfRule type="cellIs" dxfId="141" priority="148" stopIfTrue="1" operator="equal">
      <formula>A150</formula>
    </cfRule>
  </conditionalFormatting>
  <conditionalFormatting sqref="A152">
    <cfRule type="cellIs" dxfId="140" priority="147" stopIfTrue="1" operator="equal">
      <formula>A151</formula>
    </cfRule>
  </conditionalFormatting>
  <conditionalFormatting sqref="A153">
    <cfRule type="cellIs" dxfId="139" priority="146" stopIfTrue="1" operator="equal">
      <formula>A152</formula>
    </cfRule>
  </conditionalFormatting>
  <conditionalFormatting sqref="A154">
    <cfRule type="cellIs" dxfId="138" priority="145" stopIfTrue="1" operator="equal">
      <formula>A153</formula>
    </cfRule>
  </conditionalFormatting>
  <conditionalFormatting sqref="A155">
    <cfRule type="cellIs" dxfId="137" priority="144" stopIfTrue="1" operator="equal">
      <formula>A154</formula>
    </cfRule>
  </conditionalFormatting>
  <conditionalFormatting sqref="A156">
    <cfRule type="cellIs" dxfId="136" priority="143" stopIfTrue="1" operator="equal">
      <formula>A155</formula>
    </cfRule>
  </conditionalFormatting>
  <conditionalFormatting sqref="A157">
    <cfRule type="cellIs" dxfId="135" priority="142" stopIfTrue="1" operator="equal">
      <formula>A156</formula>
    </cfRule>
  </conditionalFormatting>
  <conditionalFormatting sqref="A158">
    <cfRule type="cellIs" dxfId="134" priority="141" stopIfTrue="1" operator="equal">
      <formula>A157</formula>
    </cfRule>
  </conditionalFormatting>
  <conditionalFormatting sqref="A159">
    <cfRule type="cellIs" dxfId="133" priority="140" stopIfTrue="1" operator="equal">
      <formula>A158</formula>
    </cfRule>
  </conditionalFormatting>
  <conditionalFormatting sqref="A160">
    <cfRule type="cellIs" dxfId="132" priority="139" stopIfTrue="1" operator="equal">
      <formula>A159</formula>
    </cfRule>
  </conditionalFormatting>
  <conditionalFormatting sqref="A161">
    <cfRule type="cellIs" dxfId="131" priority="138" stopIfTrue="1" operator="equal">
      <formula>A160</formula>
    </cfRule>
  </conditionalFormatting>
  <conditionalFormatting sqref="A162">
    <cfRule type="cellIs" dxfId="130" priority="137" stopIfTrue="1" operator="equal">
      <formula>A161</formula>
    </cfRule>
  </conditionalFormatting>
  <conditionalFormatting sqref="A163">
    <cfRule type="cellIs" dxfId="129" priority="136" stopIfTrue="1" operator="equal">
      <formula>A162</formula>
    </cfRule>
  </conditionalFormatting>
  <conditionalFormatting sqref="A164">
    <cfRule type="cellIs" dxfId="128" priority="135" stopIfTrue="1" operator="equal">
      <formula>A163</formula>
    </cfRule>
  </conditionalFormatting>
  <conditionalFormatting sqref="A165">
    <cfRule type="cellIs" dxfId="127" priority="134" stopIfTrue="1" operator="equal">
      <formula>A164</formula>
    </cfRule>
  </conditionalFormatting>
  <conditionalFormatting sqref="A166">
    <cfRule type="cellIs" dxfId="126" priority="133" stopIfTrue="1" operator="equal">
      <formula>A165</formula>
    </cfRule>
  </conditionalFormatting>
  <conditionalFormatting sqref="A167">
    <cfRule type="cellIs" dxfId="125" priority="132" stopIfTrue="1" operator="equal">
      <formula>A166</formula>
    </cfRule>
  </conditionalFormatting>
  <conditionalFormatting sqref="A168">
    <cfRule type="cellIs" dxfId="124" priority="131" stopIfTrue="1" operator="equal">
      <formula>A167</formula>
    </cfRule>
  </conditionalFormatting>
  <conditionalFormatting sqref="A169">
    <cfRule type="cellIs" dxfId="123" priority="130" stopIfTrue="1" operator="equal">
      <formula>A168</formula>
    </cfRule>
  </conditionalFormatting>
  <conditionalFormatting sqref="A170">
    <cfRule type="cellIs" dxfId="122" priority="129" stopIfTrue="1" operator="equal">
      <formula>A169</formula>
    </cfRule>
  </conditionalFormatting>
  <conditionalFormatting sqref="A171">
    <cfRule type="cellIs" dxfId="121" priority="128" stopIfTrue="1" operator="equal">
      <formula>A170</formula>
    </cfRule>
  </conditionalFormatting>
  <conditionalFormatting sqref="A172">
    <cfRule type="cellIs" dxfId="120" priority="127" stopIfTrue="1" operator="equal">
      <formula>A171</formula>
    </cfRule>
  </conditionalFormatting>
  <conditionalFormatting sqref="A173">
    <cfRule type="cellIs" dxfId="119" priority="126" stopIfTrue="1" operator="equal">
      <formula>A172</formula>
    </cfRule>
  </conditionalFormatting>
  <conditionalFormatting sqref="A174">
    <cfRule type="cellIs" dxfId="118" priority="125" stopIfTrue="1" operator="equal">
      <formula>A173</formula>
    </cfRule>
  </conditionalFormatting>
  <conditionalFormatting sqref="A175">
    <cfRule type="cellIs" dxfId="117" priority="124" stopIfTrue="1" operator="equal">
      <formula>A174</formula>
    </cfRule>
  </conditionalFormatting>
  <conditionalFormatting sqref="A176">
    <cfRule type="cellIs" dxfId="116" priority="123" stopIfTrue="1" operator="equal">
      <formula>A175</formula>
    </cfRule>
  </conditionalFormatting>
  <conditionalFormatting sqref="A177">
    <cfRule type="cellIs" dxfId="115" priority="122" stopIfTrue="1" operator="equal">
      <formula>A176</formula>
    </cfRule>
  </conditionalFormatting>
  <conditionalFormatting sqref="A178">
    <cfRule type="cellIs" dxfId="114" priority="121" stopIfTrue="1" operator="equal">
      <formula>A177</formula>
    </cfRule>
  </conditionalFormatting>
  <conditionalFormatting sqref="A179">
    <cfRule type="cellIs" dxfId="113" priority="120" stopIfTrue="1" operator="equal">
      <formula>A178</formula>
    </cfRule>
  </conditionalFormatting>
  <conditionalFormatting sqref="A180">
    <cfRule type="cellIs" dxfId="112" priority="119" stopIfTrue="1" operator="equal">
      <formula>A179</formula>
    </cfRule>
  </conditionalFormatting>
  <conditionalFormatting sqref="A181">
    <cfRule type="cellIs" dxfId="111" priority="118" stopIfTrue="1" operator="equal">
      <formula>A180</formula>
    </cfRule>
  </conditionalFormatting>
  <conditionalFormatting sqref="A182">
    <cfRule type="cellIs" dxfId="110" priority="117" stopIfTrue="1" operator="equal">
      <formula>A181</formula>
    </cfRule>
  </conditionalFormatting>
  <conditionalFormatting sqref="A183">
    <cfRule type="cellIs" dxfId="109" priority="116" stopIfTrue="1" operator="equal">
      <formula>A182</formula>
    </cfRule>
  </conditionalFormatting>
  <conditionalFormatting sqref="A184">
    <cfRule type="cellIs" dxfId="108" priority="115" stopIfTrue="1" operator="equal">
      <formula>A183</formula>
    </cfRule>
  </conditionalFormatting>
  <conditionalFormatting sqref="A185">
    <cfRule type="cellIs" dxfId="107" priority="114" stopIfTrue="1" operator="equal">
      <formula>A184</formula>
    </cfRule>
  </conditionalFormatting>
  <conditionalFormatting sqref="A186">
    <cfRule type="cellIs" dxfId="106" priority="113" stopIfTrue="1" operator="equal">
      <formula>A185</formula>
    </cfRule>
  </conditionalFormatting>
  <conditionalFormatting sqref="A187">
    <cfRule type="cellIs" dxfId="105" priority="112" stopIfTrue="1" operator="equal">
      <formula>A186</formula>
    </cfRule>
  </conditionalFormatting>
  <conditionalFormatting sqref="A196">
    <cfRule type="cellIs" dxfId="103" priority="110" stopIfTrue="1" operator="equal">
      <formula>A195</formula>
    </cfRule>
  </conditionalFormatting>
  <conditionalFormatting sqref="A197">
    <cfRule type="cellIs" dxfId="102" priority="109" stopIfTrue="1" operator="equal">
      <formula>A196</formula>
    </cfRule>
  </conditionalFormatting>
  <conditionalFormatting sqref="A198">
    <cfRule type="cellIs" dxfId="101" priority="108" stopIfTrue="1" operator="equal">
      <formula>A197</formula>
    </cfRule>
  </conditionalFormatting>
  <conditionalFormatting sqref="A199">
    <cfRule type="cellIs" dxfId="100" priority="107" stopIfTrue="1" operator="equal">
      <formula>A198</formula>
    </cfRule>
  </conditionalFormatting>
  <conditionalFormatting sqref="A200">
    <cfRule type="cellIs" dxfId="99" priority="106" stopIfTrue="1" operator="equal">
      <formula>A199</formula>
    </cfRule>
  </conditionalFormatting>
  <conditionalFormatting sqref="A201">
    <cfRule type="cellIs" dxfId="98" priority="105" stopIfTrue="1" operator="equal">
      <formula>A200</formula>
    </cfRule>
  </conditionalFormatting>
  <conditionalFormatting sqref="A202">
    <cfRule type="cellIs" dxfId="97" priority="104" stopIfTrue="1" operator="equal">
      <formula>A201</formula>
    </cfRule>
  </conditionalFormatting>
  <conditionalFormatting sqref="A203">
    <cfRule type="cellIs" dxfId="96" priority="103" stopIfTrue="1" operator="equal">
      <formula>A202</formula>
    </cfRule>
  </conditionalFormatting>
  <conditionalFormatting sqref="A204">
    <cfRule type="cellIs" dxfId="95" priority="102" stopIfTrue="1" operator="equal">
      <formula>A203</formula>
    </cfRule>
  </conditionalFormatting>
  <conditionalFormatting sqref="A205">
    <cfRule type="cellIs" dxfId="94" priority="101" stopIfTrue="1" operator="equal">
      <formula>A204</formula>
    </cfRule>
  </conditionalFormatting>
  <conditionalFormatting sqref="A206">
    <cfRule type="cellIs" dxfId="93" priority="100" stopIfTrue="1" operator="equal">
      <formula>A205</formula>
    </cfRule>
  </conditionalFormatting>
  <conditionalFormatting sqref="A207">
    <cfRule type="cellIs" dxfId="92" priority="99" stopIfTrue="1" operator="equal">
      <formula>A206</formula>
    </cfRule>
  </conditionalFormatting>
  <conditionalFormatting sqref="A208">
    <cfRule type="cellIs" dxfId="91" priority="98" stopIfTrue="1" operator="equal">
      <formula>A207</formula>
    </cfRule>
  </conditionalFormatting>
  <conditionalFormatting sqref="A209">
    <cfRule type="cellIs" dxfId="90" priority="97" stopIfTrue="1" operator="equal">
      <formula>A208</formula>
    </cfRule>
  </conditionalFormatting>
  <conditionalFormatting sqref="A210">
    <cfRule type="cellIs" dxfId="89" priority="96" stopIfTrue="1" operator="equal">
      <formula>A209</formula>
    </cfRule>
  </conditionalFormatting>
  <conditionalFormatting sqref="A211">
    <cfRule type="cellIs" dxfId="88" priority="95" stopIfTrue="1" operator="equal">
      <formula>A210</formula>
    </cfRule>
  </conditionalFormatting>
  <conditionalFormatting sqref="A212">
    <cfRule type="cellIs" dxfId="87" priority="94" stopIfTrue="1" operator="equal">
      <formula>A211</formula>
    </cfRule>
  </conditionalFormatting>
  <conditionalFormatting sqref="A213">
    <cfRule type="cellIs" dxfId="86" priority="93" stopIfTrue="1" operator="equal">
      <formula>A212</formula>
    </cfRule>
  </conditionalFormatting>
  <conditionalFormatting sqref="A214">
    <cfRule type="cellIs" dxfId="85" priority="92" stopIfTrue="1" operator="equal">
      <formula>A213</formula>
    </cfRule>
  </conditionalFormatting>
  <conditionalFormatting sqref="A215">
    <cfRule type="cellIs" dxfId="84" priority="91" stopIfTrue="1" operator="equal">
      <formula>A214</formula>
    </cfRule>
  </conditionalFormatting>
  <conditionalFormatting sqref="A216">
    <cfRule type="cellIs" dxfId="83" priority="90" stopIfTrue="1" operator="equal">
      <formula>A215</formula>
    </cfRule>
  </conditionalFormatting>
  <conditionalFormatting sqref="A217">
    <cfRule type="cellIs" dxfId="82" priority="89" stopIfTrue="1" operator="equal">
      <formula>A216</formula>
    </cfRule>
  </conditionalFormatting>
  <conditionalFormatting sqref="A218">
    <cfRule type="cellIs" dxfId="81" priority="88" stopIfTrue="1" operator="equal">
      <formula>A217</formula>
    </cfRule>
  </conditionalFormatting>
  <conditionalFormatting sqref="A219">
    <cfRule type="cellIs" dxfId="80" priority="87" stopIfTrue="1" operator="equal">
      <formula>A218</formula>
    </cfRule>
  </conditionalFormatting>
  <conditionalFormatting sqref="A220">
    <cfRule type="cellIs" dxfId="79" priority="86" stopIfTrue="1" operator="equal">
      <formula>A219</formula>
    </cfRule>
  </conditionalFormatting>
  <conditionalFormatting sqref="A221">
    <cfRule type="cellIs" dxfId="78" priority="85" stopIfTrue="1" operator="equal">
      <formula>A220</formula>
    </cfRule>
  </conditionalFormatting>
  <conditionalFormatting sqref="A222">
    <cfRule type="cellIs" dxfId="77" priority="84" stopIfTrue="1" operator="equal">
      <formula>A221</formula>
    </cfRule>
  </conditionalFormatting>
  <conditionalFormatting sqref="A223">
    <cfRule type="cellIs" dxfId="76" priority="83" stopIfTrue="1" operator="equal">
      <formula>A222</formula>
    </cfRule>
  </conditionalFormatting>
  <conditionalFormatting sqref="A224">
    <cfRule type="cellIs" dxfId="75" priority="82" stopIfTrue="1" operator="equal">
      <formula>A223</formula>
    </cfRule>
  </conditionalFormatting>
  <conditionalFormatting sqref="A225">
    <cfRule type="cellIs" dxfId="74" priority="81" stopIfTrue="1" operator="equal">
      <formula>A224</formula>
    </cfRule>
  </conditionalFormatting>
  <conditionalFormatting sqref="A226">
    <cfRule type="cellIs" dxfId="73" priority="80" stopIfTrue="1" operator="equal">
      <formula>A225</formula>
    </cfRule>
  </conditionalFormatting>
  <conditionalFormatting sqref="A227">
    <cfRule type="cellIs" dxfId="72" priority="79" stopIfTrue="1" operator="equal">
      <formula>A226</formula>
    </cfRule>
  </conditionalFormatting>
  <conditionalFormatting sqref="A228">
    <cfRule type="cellIs" dxfId="71" priority="78" stopIfTrue="1" operator="equal">
      <formula>A227</formula>
    </cfRule>
  </conditionalFormatting>
  <conditionalFormatting sqref="A229">
    <cfRule type="cellIs" dxfId="70" priority="77" stopIfTrue="1" operator="equal">
      <formula>A228</formula>
    </cfRule>
  </conditionalFormatting>
  <conditionalFormatting sqref="A230">
    <cfRule type="cellIs" dxfId="69" priority="76" stopIfTrue="1" operator="equal">
      <formula>A229</formula>
    </cfRule>
  </conditionalFormatting>
  <conditionalFormatting sqref="A231">
    <cfRule type="cellIs" dxfId="68" priority="75" stopIfTrue="1" operator="equal">
      <formula>A230</formula>
    </cfRule>
  </conditionalFormatting>
  <conditionalFormatting sqref="A232">
    <cfRule type="cellIs" dxfId="67" priority="74" stopIfTrue="1" operator="equal">
      <formula>A231</formula>
    </cfRule>
  </conditionalFormatting>
  <conditionalFormatting sqref="A233">
    <cfRule type="cellIs" dxfId="66" priority="73" stopIfTrue="1" operator="equal">
      <formula>A232</formula>
    </cfRule>
  </conditionalFormatting>
  <conditionalFormatting sqref="A234">
    <cfRule type="cellIs" dxfId="65" priority="72" stopIfTrue="1" operator="equal">
      <formula>A233</formula>
    </cfRule>
  </conditionalFormatting>
  <conditionalFormatting sqref="A235">
    <cfRule type="cellIs" dxfId="64" priority="71" stopIfTrue="1" operator="equal">
      <formula>A234</formula>
    </cfRule>
  </conditionalFormatting>
  <conditionalFormatting sqref="A236">
    <cfRule type="cellIs" dxfId="63" priority="70" stopIfTrue="1" operator="equal">
      <formula>A235</formula>
    </cfRule>
  </conditionalFormatting>
  <conditionalFormatting sqref="A237">
    <cfRule type="cellIs" dxfId="62" priority="69" stopIfTrue="1" operator="equal">
      <formula>A236</formula>
    </cfRule>
  </conditionalFormatting>
  <conditionalFormatting sqref="A238">
    <cfRule type="cellIs" dxfId="61" priority="68" stopIfTrue="1" operator="equal">
      <formula>A237</formula>
    </cfRule>
  </conditionalFormatting>
  <conditionalFormatting sqref="A239">
    <cfRule type="cellIs" dxfId="60" priority="67" stopIfTrue="1" operator="equal">
      <formula>A238</formula>
    </cfRule>
  </conditionalFormatting>
  <conditionalFormatting sqref="A240">
    <cfRule type="cellIs" dxfId="59" priority="66" stopIfTrue="1" operator="equal">
      <formula>A239</formula>
    </cfRule>
  </conditionalFormatting>
  <conditionalFormatting sqref="A241">
    <cfRule type="cellIs" dxfId="58" priority="65" stopIfTrue="1" operator="equal">
      <formula>A240</formula>
    </cfRule>
  </conditionalFormatting>
  <conditionalFormatting sqref="A242">
    <cfRule type="cellIs" dxfId="57" priority="64" stopIfTrue="1" operator="equal">
      <formula>A241</formula>
    </cfRule>
  </conditionalFormatting>
  <conditionalFormatting sqref="A243">
    <cfRule type="cellIs" dxfId="56" priority="63" stopIfTrue="1" operator="equal">
      <formula>A242</formula>
    </cfRule>
  </conditionalFormatting>
  <conditionalFormatting sqref="A244">
    <cfRule type="cellIs" dxfId="55" priority="62" stopIfTrue="1" operator="equal">
      <formula>A243</formula>
    </cfRule>
  </conditionalFormatting>
  <conditionalFormatting sqref="A245">
    <cfRule type="cellIs" dxfId="54" priority="61" stopIfTrue="1" operator="equal">
      <formula>A244</formula>
    </cfRule>
  </conditionalFormatting>
  <conditionalFormatting sqref="A246">
    <cfRule type="cellIs" dxfId="53" priority="60" stopIfTrue="1" operator="equal">
      <formula>A245</formula>
    </cfRule>
  </conditionalFormatting>
  <conditionalFormatting sqref="A247">
    <cfRule type="cellIs" dxfId="52" priority="59" stopIfTrue="1" operator="equal">
      <formula>A246</formula>
    </cfRule>
  </conditionalFormatting>
  <conditionalFormatting sqref="A248">
    <cfRule type="cellIs" dxfId="51" priority="58" stopIfTrue="1" operator="equal">
      <formula>A247</formula>
    </cfRule>
  </conditionalFormatting>
  <conditionalFormatting sqref="A249">
    <cfRule type="cellIs" dxfId="50" priority="57" stopIfTrue="1" operator="equal">
      <formula>A248</formula>
    </cfRule>
  </conditionalFormatting>
  <conditionalFormatting sqref="A250">
    <cfRule type="cellIs" dxfId="49" priority="56" stopIfTrue="1" operator="equal">
      <formula>A249</formula>
    </cfRule>
  </conditionalFormatting>
  <conditionalFormatting sqref="A251">
    <cfRule type="cellIs" dxfId="48" priority="55" stopIfTrue="1" operator="equal">
      <formula>A250</formula>
    </cfRule>
  </conditionalFormatting>
  <conditionalFormatting sqref="A252">
    <cfRule type="cellIs" dxfId="47" priority="54" stopIfTrue="1" operator="equal">
      <formula>A251</formula>
    </cfRule>
  </conditionalFormatting>
  <conditionalFormatting sqref="A253">
    <cfRule type="cellIs" dxfId="46" priority="53" stopIfTrue="1" operator="equal">
      <formula>A252</formula>
    </cfRule>
  </conditionalFormatting>
  <conditionalFormatting sqref="A254">
    <cfRule type="cellIs" dxfId="45" priority="52" stopIfTrue="1" operator="equal">
      <formula>A253</formula>
    </cfRule>
  </conditionalFormatting>
  <conditionalFormatting sqref="A255">
    <cfRule type="cellIs" dxfId="44" priority="51" stopIfTrue="1" operator="equal">
      <formula>A254</formula>
    </cfRule>
  </conditionalFormatting>
  <conditionalFormatting sqref="A256">
    <cfRule type="cellIs" dxfId="43" priority="50" stopIfTrue="1" operator="equal">
      <formula>A255</formula>
    </cfRule>
  </conditionalFormatting>
  <conditionalFormatting sqref="A317">
    <cfRule type="cellIs" dxfId="42" priority="4" stopIfTrue="1" operator="equal">
      <formula>A316</formula>
    </cfRule>
  </conditionalFormatting>
  <conditionalFormatting sqref="A265:C265">
    <cfRule type="cellIs" dxfId="41" priority="47" stopIfTrue="1" operator="equal">
      <formula>A264</formula>
    </cfRule>
    <cfRule type="cellIs" dxfId="40" priority="48" stopIfTrue="1" operator="equal">
      <formula>0</formula>
    </cfRule>
  </conditionalFormatting>
  <conditionalFormatting sqref="A266:C266">
    <cfRule type="cellIs" dxfId="39" priority="45" stopIfTrue="1" operator="equal">
      <formula>A265</formula>
    </cfRule>
    <cfRule type="cellIs" dxfId="38" priority="46" stopIfTrue="1" operator="equal">
      <formula>0</formula>
    </cfRule>
  </conditionalFormatting>
  <conditionalFormatting sqref="A267:C267">
    <cfRule type="cellIs" dxfId="37" priority="43" stopIfTrue="1" operator="equal">
      <formula>A266</formula>
    </cfRule>
    <cfRule type="cellIs" dxfId="36" priority="44" stopIfTrue="1" operator="equal">
      <formula>0</formula>
    </cfRule>
  </conditionalFormatting>
  <conditionalFormatting sqref="A268:C268">
    <cfRule type="cellIs" dxfId="35" priority="41" stopIfTrue="1" operator="equal">
      <formula>A267</formula>
    </cfRule>
    <cfRule type="cellIs" dxfId="34" priority="42" stopIfTrue="1" operator="equal">
      <formula>0</formula>
    </cfRule>
  </conditionalFormatting>
  <conditionalFormatting sqref="A269:C269">
    <cfRule type="cellIs" dxfId="33" priority="39" stopIfTrue="1" operator="equal">
      <formula>A268</formula>
    </cfRule>
    <cfRule type="cellIs" dxfId="32" priority="40" stopIfTrue="1" operator="equal">
      <formula>0</formula>
    </cfRule>
  </conditionalFormatting>
  <conditionalFormatting sqref="A270:C270">
    <cfRule type="cellIs" dxfId="31" priority="37" stopIfTrue="1" operator="equal">
      <formula>A269</formula>
    </cfRule>
    <cfRule type="cellIs" dxfId="30" priority="38" stopIfTrue="1" operator="equal">
      <formula>0</formula>
    </cfRule>
  </conditionalFormatting>
  <conditionalFormatting sqref="A271:C271">
    <cfRule type="cellIs" dxfId="29" priority="35" stopIfTrue="1" operator="equal">
      <formula>A270</formula>
    </cfRule>
    <cfRule type="cellIs" dxfId="28" priority="36" stopIfTrue="1" operator="equal">
      <formula>0</formula>
    </cfRule>
  </conditionalFormatting>
  <conditionalFormatting sqref="A272:C272">
    <cfRule type="cellIs" dxfId="27" priority="33" stopIfTrue="1" operator="equal">
      <formula>A271</formula>
    </cfRule>
    <cfRule type="cellIs" dxfId="26" priority="34" stopIfTrue="1" operator="equal">
      <formula>0</formula>
    </cfRule>
  </conditionalFormatting>
  <conditionalFormatting sqref="A273:C273">
    <cfRule type="cellIs" dxfId="25" priority="31" stopIfTrue="1" operator="equal">
      <formula>A272</formula>
    </cfRule>
    <cfRule type="cellIs" dxfId="24" priority="32" stopIfTrue="1" operator="equal">
      <formula>0</formula>
    </cfRule>
  </conditionalFormatting>
  <conditionalFormatting sqref="A274:C274">
    <cfRule type="cellIs" dxfId="23" priority="29" stopIfTrue="1" operator="equal">
      <formula>A273</formula>
    </cfRule>
    <cfRule type="cellIs" dxfId="22" priority="30" stopIfTrue="1" operator="equal">
      <formula>0</formula>
    </cfRule>
  </conditionalFormatting>
  <conditionalFormatting sqref="A282:C282">
    <cfRule type="cellIs" dxfId="21" priority="25" stopIfTrue="1" operator="equal">
      <formula>A281</formula>
    </cfRule>
    <cfRule type="cellIs" dxfId="20" priority="26" stopIfTrue="1" operator="equal">
      <formula>0</formula>
    </cfRule>
  </conditionalFormatting>
  <conditionalFormatting sqref="A283:C283">
    <cfRule type="cellIs" dxfId="19" priority="23" stopIfTrue="1" operator="equal">
      <formula>A282</formula>
    </cfRule>
    <cfRule type="cellIs" dxfId="18" priority="24" stopIfTrue="1" operator="equal">
      <formula>0</formula>
    </cfRule>
  </conditionalFormatting>
  <conditionalFormatting sqref="A284:C284">
    <cfRule type="cellIs" dxfId="17" priority="21" stopIfTrue="1" operator="equal">
      <formula>A283</formula>
    </cfRule>
    <cfRule type="cellIs" dxfId="16" priority="22" stopIfTrue="1" operator="equal">
      <formula>0</formula>
    </cfRule>
  </conditionalFormatting>
  <conditionalFormatting sqref="A285:C285">
    <cfRule type="cellIs" dxfId="15" priority="19" stopIfTrue="1" operator="equal">
      <formula>A284</formula>
    </cfRule>
    <cfRule type="cellIs" dxfId="14" priority="20" stopIfTrue="1" operator="equal">
      <formula>0</formula>
    </cfRule>
  </conditionalFormatting>
  <conditionalFormatting sqref="A286:C286">
    <cfRule type="cellIs" dxfId="13" priority="17" stopIfTrue="1" operator="equal">
      <formula>A285</formula>
    </cfRule>
    <cfRule type="cellIs" dxfId="12" priority="18" stopIfTrue="1" operator="equal">
      <formula>0</formula>
    </cfRule>
  </conditionalFormatting>
  <conditionalFormatting sqref="A287:C287">
    <cfRule type="cellIs" dxfId="11" priority="15" stopIfTrue="1" operator="equal">
      <formula>A286</formula>
    </cfRule>
    <cfRule type="cellIs" dxfId="10" priority="16" stopIfTrue="1" operator="equal">
      <formula>0</formula>
    </cfRule>
  </conditionalFormatting>
  <conditionalFormatting sqref="A288:C288">
    <cfRule type="cellIs" dxfId="9" priority="13" stopIfTrue="1" operator="equal">
      <formula>A287</formula>
    </cfRule>
    <cfRule type="cellIs" dxfId="8" priority="14" stopIfTrue="1" operator="equal">
      <formula>0</formula>
    </cfRule>
  </conditionalFormatting>
  <conditionalFormatting sqref="A289:C289">
    <cfRule type="cellIs" dxfId="7" priority="11" stopIfTrue="1" operator="equal">
      <formula>A288</formula>
    </cfRule>
    <cfRule type="cellIs" dxfId="6" priority="12" stopIfTrue="1" operator="equal">
      <formula>0</formula>
    </cfRule>
  </conditionalFormatting>
  <conditionalFormatting sqref="A290:C290">
    <cfRule type="cellIs" dxfId="5" priority="9" stopIfTrue="1" operator="equal">
      <formula>A289</formula>
    </cfRule>
    <cfRule type="cellIs" dxfId="4" priority="10" stopIfTrue="1" operator="equal">
      <formula>0</formula>
    </cfRule>
  </conditionalFormatting>
  <conditionalFormatting sqref="A291:C291">
    <cfRule type="cellIs" dxfId="3" priority="7" stopIfTrue="1" operator="equal">
      <formula>A290</formula>
    </cfRule>
    <cfRule type="cellIs" dxfId="2" priority="8" stopIfTrue="1" operator="equal">
      <formula>0</formula>
    </cfRule>
  </conditionalFormatting>
  <conditionalFormatting sqref="A318">
    <cfRule type="cellIs" dxfId="1" priority="3" stopIfTrue="1" operator="equal">
      <formula>A317</formula>
    </cfRule>
  </conditionalFormatting>
  <conditionalFormatting sqref="A319">
    <cfRule type="cellIs" dxfId="0" priority="2" stopIfTrue="1" operator="equal">
      <formula>A318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КПК0110150</vt:lpstr>
      <vt:lpstr>'Додаток2 КПК0110150'!Область_печати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2025-01-14T12:22:12Z</cp:lastPrinted>
  <dcterms:created xsi:type="dcterms:W3CDTF">2016-07-02T12:27:50Z</dcterms:created>
  <dcterms:modified xsi:type="dcterms:W3CDTF">2025-01-14T12:23:01Z</dcterms:modified>
</cp:coreProperties>
</file>