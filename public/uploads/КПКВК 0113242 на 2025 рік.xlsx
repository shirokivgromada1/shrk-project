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FC35F5B9-F297-4324-B5FE-77911A8AC483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3242" sheetId="6" r:id="rId1"/>
  </sheets>
  <definedNames>
    <definedName name="_xlnm.Print_Area" localSheetId="0">'Додаток2 КПК0113242'!$A$1:$BY$237</definedName>
  </definedNames>
  <calcPr calcId="191029"/>
</workbook>
</file>

<file path=xl/calcChain.xml><?xml version="1.0" encoding="utf-8"?>
<calcChain xmlns="http://schemas.openxmlformats.org/spreadsheetml/2006/main">
  <c r="BH217" i="6" l="1"/>
  <c r="AT217" i="6"/>
  <c r="AJ217" i="6"/>
  <c r="BH216" i="6"/>
  <c r="AT216" i="6"/>
  <c r="AJ216" i="6"/>
  <c r="BG207" i="6"/>
  <c r="AQ207" i="6"/>
  <c r="BG206" i="6"/>
  <c r="AQ206" i="6"/>
  <c r="AZ186" i="6"/>
  <c r="AK186" i="6"/>
  <c r="AZ185" i="6"/>
  <c r="AK185" i="6"/>
  <c r="AZ184" i="6"/>
  <c r="AK184" i="6"/>
  <c r="BO176" i="6"/>
  <c r="AZ176" i="6"/>
  <c r="AK176" i="6"/>
  <c r="BO175" i="6"/>
  <c r="AZ175" i="6"/>
  <c r="AK175" i="6"/>
  <c r="BO174" i="6"/>
  <c r="AZ174" i="6"/>
  <c r="AK174" i="6"/>
  <c r="BD94" i="6"/>
  <c r="AJ94" i="6"/>
  <c r="BD93" i="6"/>
  <c r="AJ93" i="6"/>
  <c r="BU85" i="6"/>
  <c r="BB85" i="6"/>
  <c r="AI85" i="6"/>
  <c r="BU84" i="6"/>
  <c r="BB84" i="6"/>
  <c r="AI84" i="6"/>
  <c r="BG75" i="6"/>
  <c r="AM75" i="6"/>
  <c r="BG67" i="6"/>
  <c r="AM67" i="6"/>
  <c r="BG66" i="6"/>
  <c r="AM66" i="6"/>
  <c r="BU58" i="6"/>
  <c r="BB58" i="6"/>
  <c r="AI58" i="6"/>
  <c r="BU50" i="6"/>
  <c r="BB50" i="6"/>
  <c r="AI50" i="6"/>
  <c r="BU49" i="6"/>
  <c r="BB49" i="6"/>
  <c r="AI49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<sst xmlns="http://schemas.openxmlformats.org/spreadsheetml/2006/main" count="745" uniqueCount="255">
  <si>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</si>
  <si>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</si>
  <si>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</si>
  <si>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</si>
  <si>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</si>
  <si>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</si>
  <si>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</si>
  <si>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</si>
  <si>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</si>
  <si>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</si>
  <si>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</si>
  <si>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</si>
  <si>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</si>
  <si>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</si>
  <si>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</si>
  <si>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</si>
  <si>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</si>
  <si>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</si>
  <si>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</si>
  <si>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</si>
  <si>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</si>
  <si>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</si>
  <si>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</si>
  <si>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</si>
  <si>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</si>
  <si>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</si>
  <si>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</si>
  <si>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</si>
  <si>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</si>
  <si>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</si>
  <si>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</si>
  <si>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</si>
  <si>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</si>
  <si>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</si>
  <si>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</si>
  <si>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</si>
  <si>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</si>
  <si>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</si>
  <si>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</si>
  <si>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</si>
  <si>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</si>
  <si>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</si>
  <si>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</si>
  <si>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</si>
  <si>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</si>
  <si>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</si>
  <si>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</si>
  <si>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</si>
  <si>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</si>
  <si>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</si>
  <si>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</si>
  <si>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</si>
  <si>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</si>
  <si>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</si>
  <si>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</si>
  <si>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</si>
  <si>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</si>
  <si>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</si>
  <si>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</si>
  <si>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</si>
  <si>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</si>
  <si>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</si>
  <si>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</si>
  <si>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</si>
  <si>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</si>
  <si>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</si>
  <si>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</si>
  <si>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</si>
  <si>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</si>
  <si>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</si>
  <si>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</si>
  <si>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</si>
  <si>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</si>
  <si>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</si>
  <si>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</si>
  <si>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</si>
  <si>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</si>
  <si>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</si>
  <si>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</si>
  <si>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</si>
  <si>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</si>
  <si>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</si>
  <si>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</si>
  <si>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</si>
  <si>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</si>
  <si>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</si>
  <si>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</si>
  <si>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</si>
  <si>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</si>
  <si>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</si>
  <si>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</si>
  <si>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</si>
  <si>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</si>
  <si>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</si>
  <si>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</si>
  <si>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</si>
  <si>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</si>
  <si>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</si>
  <si>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</si>
  <si>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</si>
  <si>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</si>
  <si>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</si>
  <si>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</si>
  <si>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</si>
  <si>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</si>
  <si>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</si>
  <si>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</si>
  <si>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</si>
  <si>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</si>
  <si>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</si>
  <si>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</si>
  <si>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</si>
  <si>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</si>
  <si>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</si>
  <si>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</si>
  <si>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</si>
  <si>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</si>
  <si>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</si>
  <si>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</si>
  <si>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</si>
  <si>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</si>
  <si>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</si>
  <si>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</si>
  <si>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</si>
  <si>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</si>
  <si>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</si>
  <si>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</si>
  <si>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</si>
  <si>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</si>
  <si>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</si>
  <si>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</si>
  <si>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</si>
  <si>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</si>
  <si>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</si>
  <si>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</si>
  <si>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</si>
  <si>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</si>
  <si>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</si>
  <si>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</si>
  <si>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</si>
  <si>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</si>
  <si>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</si>
  <si>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</si>
  <si>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</si>
  <si>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</si>
  <si>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</si>
  <si>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</si>
  <si>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</si>
  <si>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</si>
  <si>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</si>
  <si>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</si>
  <si>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</si>
  <si>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</si>
  <si>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</si>
  <si>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</si>
  <si>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</si>
  <si>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</si>
  <si>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</si>
  <si>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</si>
  <si>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</si>
  <si>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</si>
  <si>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</si>
  <si>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</si>
  <si>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</si>
  <si>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</si>
  <si>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</si>
  <si>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</si>
  <si>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</si>
  <si>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</si>
  <si>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</si>
  <si>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</si>
  <si>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</si>
  <si>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</si>
  <si>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</si>
  <si>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виплати населенню</t>
  </si>
  <si>
    <t>Виплата матеріальної допомоги мешканцям громади</t>
  </si>
  <si>
    <t>затрат</t>
  </si>
  <si>
    <t xml:space="preserve">formula=RC[-16]+RC[-8]                          </t>
  </si>
  <si>
    <t>загальна кількість мешканців, які потребують виплати матеріальної допомоги</t>
  </si>
  <si>
    <t>осіб</t>
  </si>
  <si>
    <t>чоловіки</t>
  </si>
  <si>
    <t>звітність</t>
  </si>
  <si>
    <t>жінки</t>
  </si>
  <si>
    <t>продукту</t>
  </si>
  <si>
    <t>кількість осіб, яким планується виплатити матеріальну допомогу</t>
  </si>
  <si>
    <t>ефективності</t>
  </si>
  <si>
    <t>середній розмір матеріальної допомги  на одного отримувача</t>
  </si>
  <si>
    <t>грн.</t>
  </si>
  <si>
    <t>розрахунковий показник</t>
  </si>
  <si>
    <t>якості</t>
  </si>
  <si>
    <t>відсоток охоплення мешканців наданням матеріальної допомоги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</si>
  <si>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</si>
  <si>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</si>
  <si>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</si>
  <si>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</si>
  <si>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соціального захисту населення Широківської сільської територіальної громади "Назустріч людям" на 2023-2025 роки</t>
  </si>
  <si>
    <t>рішенням сільської ради від 15.12.2022 року №4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</si>
  <si>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</si>
  <si>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рішення сільської ради від 06.08.2024 №3</t>
  </si>
  <si>
    <t>Реалізація заходів у сфері соціального захисту і соціального забезпечення</t>
  </si>
  <si>
    <t>Здійснення заходів щодо реалізації соціального захисту та соціального забезпечення окремих категорій мешканців територіальної громади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</si>
  <si>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
Програма соціального захисту населення Широківської сільської територіальної громади "Назустріч людям" на 2023-2025 роки</t>
  </si>
  <si>
    <t>Завданням бюджетної програми є здійснення заходів щодо реалізації соціального захисту та соціального забезпечення окремих категорій мешканців територіальної громади																																																									, а саме - виплата різних видів матеріальних допомог._x000D_
_x000D_
У 2024 році заплановані виплати:_x000D_
- за Програмою соціального захисту населення Широківської сільської територіальної громади "Назустріч людям": особам з онкологічними захворюваннями;  особам, які потребують допомоги на лікування; одноразової адресної цільової матеріальної допомоги на зубопротезування; відшкодування вартості проїзду до Запорізької обалсної лікарні хворим на ниркову недостатність (гемодіаліз); допомоги на поховання померлої особи, яка не досягла пенсійного віку та на момент смерті не працювала, не перебувала на службі, не зареєстрована у центрі зайнятості як безробітна;  дітям-сиротам, яким виповнилося 18 років (постанова КМУ від 25.08.2005 №823); особам з рідкісними (орфанними) захворюванніями; особам, які опинилися в складних життєвих обставинах (допомога в оформленні документів);  грошової допомоги однму з батьків на проїзд до реабілітаційних установ дітям з інвалідністю внаслідок важких захворювань та суповоджуючим їх особам, особам з числа ліквідаторів аварії на ЧАЕС І групи; на оформлення паспортів дітям-сиротам і дітям, позбавленим батьківського піклування, які проживають на території Широківської сільської територіальної громади (відповідно до протоколу доручення Координаційного штабу з питань захисту прав дитини в умовах воєнного стану);_x000D_
_x000D_
- за Програмою підтримки захисників і захисниць України та членів їх сімей на території Широківської сільської територіальної громади: ветеранам війни, які приймали участь у захисті Батьківщини у Другій світовій війні та брали участь в бойових діях на території інших держав з нагоди Дня перемоги над нацизмом у Другій світовій війні; щорічної разової адресної грошової допомоги учасникам ООС, військовослужбовцям ЗСУ до відзначення Дня захисника України (1 жовтня); одноразової грошової допомоги військовослужбовцям після демобілізації; одноразової грошової допомоги військовослужбовцям при мобілізації; материіальної допомоги на лікування у зв"язку з пораненням; одноразової грошової допомоги сім"ям загиблих під час бойових дій військовослужбовців ЗСУ; матеріальної допомоги на зубопротезування._x000D_
_x000D_
 На 2025 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</t>
  </si>
  <si>
    <t>Кедиторська заборгованість станом на 01.01.2024 відсутня._x000D_
_x000D_
Відповідно до положень статті 48 Бюджетного кодексу України із змінами   сільською радою беруться бюджетні зобов"язання та здійснюються платежі тільки в межах бюджетних асигнувань, затверджених у кошторисі на 2024 рік.  Бюджетні зобов"язання беруться і реєструються в Управлінні Державної казначейської служби України в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</si>
  <si>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</si>
  <si>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</si>
  <si>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</si>
  <si>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</si>
  <si>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</si>
  <si>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</si>
  <si>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</si>
  <si>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</si>
  <si>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</si>
  <si>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</si>
  <si>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</si>
  <si>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</si>
  <si>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</si>
  <si>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</si>
  <si>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</si>
  <si>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</si>
  <si>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</si>
  <si>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</si>
  <si>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</si>
  <si>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</si>
  <si>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</si>
  <si>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</si>
  <si>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</si>
  <si>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</si>
  <si>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</si>
  <si>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</si>
  <si>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</si>
  <si>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</si>
  <si>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</si>
  <si>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</si>
  <si>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</si>
  <si>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</si>
  <si>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</si>
  <si>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</si>
  <si>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</si>
  <si>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</si>
  <si>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</si>
  <si>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</si>
  <si>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</si>
  <si>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</si>
  <si>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</si>
  <si>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(0)(1)(1)(3)(2)(4)(2)</t>
  </si>
  <si>
    <t>(3)(2)(4)(2)</t>
  </si>
  <si>
    <t>(1)(0)(9)(0)</t>
  </si>
  <si>
    <t>Інші заходи у сфері соціального захисту і соціального забезпечення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</si>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</sst>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8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38"/>
  <sheetViews>
    <sheetView tabSelected="1" topLeftCell="A16" zoomScaleNormal="100" workbookViewId="0">
      <selection activeCell="A41" sqref="A41:XFD41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1" t="s">
        <v>115</v>
      </c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</row>
    <row r="2" spans="1:79" ht="14.25" customHeight="1" x14ac:dyDescent="0.2">
      <c r="A2" s="122" t="s">
        <v>232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</row>
    <row r="4" spans="1:79" ht="15" customHeight="1" x14ac:dyDescent="0.2">
      <c r="A4" s="10" t="s">
        <v>159</v>
      </c>
      <c r="B4" s="119" t="s">
        <v>205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7"/>
      <c r="AH4" s="113" t="s">
        <v>204</v>
      </c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7"/>
      <c r="AT4" s="115" t="s">
        <v>206</v>
      </c>
      <c r="AU4" s="113"/>
      <c r="AV4" s="113"/>
      <c r="AW4" s="113"/>
      <c r="AX4" s="113"/>
      <c r="AY4" s="113"/>
      <c r="AZ4" s="113"/>
      <c r="BA4" s="113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20" t="s">
        <v>0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6"/>
      <c r="AH5" s="116" t="s">
        <v>160</v>
      </c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6"/>
      <c r="AT5" s="116" t="s">
        <v>157</v>
      </c>
      <c r="AU5" s="116"/>
      <c r="AV5" s="116"/>
      <c r="AW5" s="116"/>
      <c r="AX5" s="116"/>
      <c r="AY5" s="116"/>
      <c r="AZ5" s="116"/>
      <c r="BA5" s="116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9" t="s">
        <v>249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7"/>
      <c r="AH7" s="113" t="s">
        <v>250</v>
      </c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4"/>
      <c r="BC7" s="115" t="s">
        <v>206</v>
      </c>
      <c r="BD7" s="113"/>
      <c r="BE7" s="113"/>
      <c r="BF7" s="113"/>
      <c r="BG7" s="113"/>
      <c r="BH7" s="113"/>
      <c r="BI7" s="113"/>
      <c r="BJ7" s="113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20" t="s">
        <v>155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6"/>
      <c r="AH8" s="116" t="s">
        <v>162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2"/>
      <c r="BC8" s="116" t="s">
        <v>157</v>
      </c>
      <c r="BD8" s="116"/>
      <c r="BE8" s="116"/>
      <c r="BF8" s="116"/>
      <c r="BG8" s="116"/>
      <c r="BH8" s="116"/>
      <c r="BI8" s="116"/>
      <c r="BJ8" s="116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3" t="s">
        <v>245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N10" s="113" t="s">
        <v>246</v>
      </c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4"/>
      <c r="AA10" s="113" t="s">
        <v>247</v>
      </c>
      <c r="AB10" s="113"/>
      <c r="AC10" s="113"/>
      <c r="AD10" s="113"/>
      <c r="AE10" s="113"/>
      <c r="AF10" s="113"/>
      <c r="AG10" s="113"/>
      <c r="AH10" s="113"/>
      <c r="AI10" s="113"/>
      <c r="AJ10" s="14"/>
      <c r="AK10" s="114" t="s">
        <v>248</v>
      </c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16"/>
      <c r="BL10" s="115" t="s">
        <v>207</v>
      </c>
      <c r="BM10" s="113"/>
      <c r="BN10" s="113"/>
      <c r="BO10" s="113"/>
      <c r="BP10" s="113"/>
      <c r="BQ10" s="113"/>
      <c r="BR10" s="113"/>
      <c r="BS10" s="113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6" t="s">
        <v>164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N11" s="116" t="s">
        <v>166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2"/>
      <c r="AA11" s="117" t="s">
        <v>167</v>
      </c>
      <c r="AB11" s="117"/>
      <c r="AC11" s="117"/>
      <c r="AD11" s="117"/>
      <c r="AE11" s="117"/>
      <c r="AF11" s="117"/>
      <c r="AG11" s="117"/>
      <c r="AH11" s="117"/>
      <c r="AI11" s="117"/>
      <c r="AJ11" s="12"/>
      <c r="AK11" s="118" t="s">
        <v>165</v>
      </c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5"/>
      <c r="BL11" s="116" t="s">
        <v>158</v>
      </c>
      <c r="BM11" s="116"/>
      <c r="BN11" s="116"/>
      <c r="BO11" s="116"/>
      <c r="BP11" s="116"/>
      <c r="BQ11" s="116"/>
      <c r="BR11" s="116"/>
      <c r="BS11" s="116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57" t="s">
        <v>233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</row>
    <row r="14" spans="1:79" ht="14.25" customHeight="1" x14ac:dyDescent="0.2">
      <c r="A14" s="57" t="s">
        <v>148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</row>
    <row r="15" spans="1:79" ht="15" customHeight="1" x14ac:dyDescent="0.2">
      <c r="A15" s="58" t="s">
        <v>199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2" t="s">
        <v>149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</row>
    <row r="18" spans="1:79" ht="15" customHeight="1" x14ac:dyDescent="0.2">
      <c r="A18" s="58" t="s">
        <v>200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57" t="s">
        <v>150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</row>
    <row r="21" spans="1:79" ht="120" customHeight="1" x14ac:dyDescent="0.2">
      <c r="A21" s="58" t="s">
        <v>201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57" t="s">
        <v>151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</row>
    <row r="24" spans="1:79" ht="14.25" customHeight="1" x14ac:dyDescent="0.2">
      <c r="A24" s="57" t="s">
        <v>219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</row>
    <row r="25" spans="1:79" ht="15" customHeight="1" x14ac:dyDescent="0.2">
      <c r="A25" s="63" t="s">
        <v>208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</row>
    <row r="26" spans="1:79" ht="23.1" customHeight="1" x14ac:dyDescent="0.2">
      <c r="A26" s="74" t="s">
        <v>2</v>
      </c>
      <c r="B26" s="75"/>
      <c r="C26" s="75"/>
      <c r="D26" s="76"/>
      <c r="E26" s="74" t="s">
        <v>19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37" t="s">
        <v>209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 t="s">
        <v>212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 t="s">
        <v>220</v>
      </c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</row>
    <row r="27" spans="1:79" ht="54.75" customHeight="1" x14ac:dyDescent="0.2">
      <c r="A27" s="77"/>
      <c r="B27" s="78"/>
      <c r="C27" s="78"/>
      <c r="D27" s="79"/>
      <c r="E27" s="77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0" t="s">
        <v>4</v>
      </c>
      <c r="V27" s="71"/>
      <c r="W27" s="71"/>
      <c r="X27" s="71"/>
      <c r="Y27" s="72"/>
      <c r="Z27" s="70" t="s">
        <v>3</v>
      </c>
      <c r="AA27" s="71"/>
      <c r="AB27" s="71"/>
      <c r="AC27" s="71"/>
      <c r="AD27" s="72"/>
      <c r="AE27" s="96" t="s">
        <v>116</v>
      </c>
      <c r="AF27" s="97"/>
      <c r="AG27" s="97"/>
      <c r="AH27" s="98"/>
      <c r="AI27" s="70" t="s">
        <v>5</v>
      </c>
      <c r="AJ27" s="71"/>
      <c r="AK27" s="71"/>
      <c r="AL27" s="71"/>
      <c r="AM27" s="72"/>
      <c r="AN27" s="70" t="s">
        <v>4</v>
      </c>
      <c r="AO27" s="71"/>
      <c r="AP27" s="71"/>
      <c r="AQ27" s="71"/>
      <c r="AR27" s="72"/>
      <c r="AS27" s="70" t="s">
        <v>3</v>
      </c>
      <c r="AT27" s="71"/>
      <c r="AU27" s="71"/>
      <c r="AV27" s="71"/>
      <c r="AW27" s="72"/>
      <c r="AX27" s="96" t="s">
        <v>116</v>
      </c>
      <c r="AY27" s="97"/>
      <c r="AZ27" s="97"/>
      <c r="BA27" s="98"/>
      <c r="BB27" s="70" t="s">
        <v>96</v>
      </c>
      <c r="BC27" s="71"/>
      <c r="BD27" s="71"/>
      <c r="BE27" s="71"/>
      <c r="BF27" s="72"/>
      <c r="BG27" s="70" t="s">
        <v>4</v>
      </c>
      <c r="BH27" s="71"/>
      <c r="BI27" s="71"/>
      <c r="BJ27" s="71"/>
      <c r="BK27" s="72"/>
      <c r="BL27" s="70" t="s">
        <v>3</v>
      </c>
      <c r="BM27" s="71"/>
      <c r="BN27" s="71"/>
      <c r="BO27" s="71"/>
      <c r="BP27" s="72"/>
      <c r="BQ27" s="96" t="s">
        <v>116</v>
      </c>
      <c r="BR27" s="97"/>
      <c r="BS27" s="97"/>
      <c r="BT27" s="98"/>
      <c r="BU27" s="70" t="s">
        <v>97</v>
      </c>
      <c r="BV27" s="71"/>
      <c r="BW27" s="71"/>
      <c r="BX27" s="71"/>
      <c r="BY27" s="72"/>
    </row>
    <row r="28" spans="1:79" ht="15" customHeight="1" x14ac:dyDescent="0.2">
      <c r="A28" s="70">
        <v>1</v>
      </c>
      <c r="B28" s="71"/>
      <c r="C28" s="71"/>
      <c r="D28" s="72"/>
      <c r="E28" s="70">
        <v>2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0">
        <v>3</v>
      </c>
      <c r="V28" s="71"/>
      <c r="W28" s="71"/>
      <c r="X28" s="71"/>
      <c r="Y28" s="72"/>
      <c r="Z28" s="70">
        <v>4</v>
      </c>
      <c r="AA28" s="71"/>
      <c r="AB28" s="71"/>
      <c r="AC28" s="71"/>
      <c r="AD28" s="72"/>
      <c r="AE28" s="70">
        <v>5</v>
      </c>
      <c r="AF28" s="71"/>
      <c r="AG28" s="71"/>
      <c r="AH28" s="72"/>
      <c r="AI28" s="70">
        <v>6</v>
      </c>
      <c r="AJ28" s="71"/>
      <c r="AK28" s="71"/>
      <c r="AL28" s="71"/>
      <c r="AM28" s="72"/>
      <c r="AN28" s="70">
        <v>7</v>
      </c>
      <c r="AO28" s="71"/>
      <c r="AP28" s="71"/>
      <c r="AQ28" s="71"/>
      <c r="AR28" s="72"/>
      <c r="AS28" s="70">
        <v>8</v>
      </c>
      <c r="AT28" s="71"/>
      <c r="AU28" s="71"/>
      <c r="AV28" s="71"/>
      <c r="AW28" s="72"/>
      <c r="AX28" s="70">
        <v>9</v>
      </c>
      <c r="AY28" s="71"/>
      <c r="AZ28" s="71"/>
      <c r="BA28" s="72"/>
      <c r="BB28" s="70">
        <v>10</v>
      </c>
      <c r="BC28" s="71"/>
      <c r="BD28" s="71"/>
      <c r="BE28" s="71"/>
      <c r="BF28" s="72"/>
      <c r="BG28" s="70">
        <v>11</v>
      </c>
      <c r="BH28" s="71"/>
      <c r="BI28" s="71"/>
      <c r="BJ28" s="71"/>
      <c r="BK28" s="72"/>
      <c r="BL28" s="70">
        <v>12</v>
      </c>
      <c r="BM28" s="71"/>
      <c r="BN28" s="71"/>
      <c r="BO28" s="71"/>
      <c r="BP28" s="72"/>
      <c r="BQ28" s="70">
        <v>13</v>
      </c>
      <c r="BR28" s="71"/>
      <c r="BS28" s="71"/>
      <c r="BT28" s="72"/>
      <c r="BU28" s="70">
        <v>14</v>
      </c>
      <c r="BV28" s="71"/>
      <c r="BW28" s="71"/>
      <c r="BX28" s="71"/>
      <c r="BY28" s="72"/>
    </row>
    <row r="29" spans="1:79" ht="13.5" hidden="1" customHeight="1" x14ac:dyDescent="0.2">
      <c r="A29" s="83" t="s">
        <v>56</v>
      </c>
      <c r="B29" s="84"/>
      <c r="C29" s="84"/>
      <c r="D29" s="85"/>
      <c r="E29" s="83" t="s">
        <v>57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83" t="s">
        <v>91</v>
      </c>
      <c r="AF29" s="84"/>
      <c r="AG29" s="84"/>
      <c r="AH29" s="85"/>
      <c r="AI29" s="93" t="s">
        <v>169</v>
      </c>
      <c r="AJ29" s="94"/>
      <c r="AK29" s="94"/>
      <c r="AL29" s="94"/>
      <c r="AM29" s="95"/>
      <c r="AN29" s="83" t="s">
        <v>67</v>
      </c>
      <c r="AO29" s="84"/>
      <c r="AP29" s="84"/>
      <c r="AQ29" s="84"/>
      <c r="AR29" s="85"/>
      <c r="AS29" s="83" t="s">
        <v>68</v>
      </c>
      <c r="AT29" s="84"/>
      <c r="AU29" s="84"/>
      <c r="AV29" s="84"/>
      <c r="AW29" s="85"/>
      <c r="AX29" s="83" t="s">
        <v>92</v>
      </c>
      <c r="AY29" s="84"/>
      <c r="AZ29" s="84"/>
      <c r="BA29" s="85"/>
      <c r="BB29" s="93" t="s">
        <v>169</v>
      </c>
      <c r="BC29" s="94"/>
      <c r="BD29" s="94"/>
      <c r="BE29" s="94"/>
      <c r="BF29" s="95"/>
      <c r="BG29" s="83" t="s">
        <v>58</v>
      </c>
      <c r="BH29" s="84"/>
      <c r="BI29" s="84"/>
      <c r="BJ29" s="84"/>
      <c r="BK29" s="85"/>
      <c r="BL29" s="83" t="s">
        <v>59</v>
      </c>
      <c r="BM29" s="84"/>
      <c r="BN29" s="84"/>
      <c r="BO29" s="84"/>
      <c r="BP29" s="85"/>
      <c r="BQ29" s="83" t="s">
        <v>93</v>
      </c>
      <c r="BR29" s="84"/>
      <c r="BS29" s="84"/>
      <c r="BT29" s="85"/>
      <c r="BU29" s="93" t="s">
        <v>169</v>
      </c>
      <c r="BV29" s="94"/>
      <c r="BW29" s="94"/>
      <c r="BX29" s="94"/>
      <c r="BY29" s="95"/>
      <c r="CA29" t="s">
        <v>21</v>
      </c>
    </row>
    <row r="30" spans="1:79" s="4" customFormat="1" ht="12.75" customHeight="1" x14ac:dyDescent="0.2">
      <c r="A30" s="33"/>
      <c r="B30" s="34"/>
      <c r="C30" s="34"/>
      <c r="D30" s="108"/>
      <c r="E30" s="28" t="s">
        <v>172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0"/>
      <c r="U30" s="89">
        <v>261992</v>
      </c>
      <c r="V30" s="89"/>
      <c r="W30" s="89"/>
      <c r="X30" s="89"/>
      <c r="Y30" s="89"/>
      <c r="Z30" s="89" t="s">
        <v>173</v>
      </c>
      <c r="AA30" s="89"/>
      <c r="AB30" s="89"/>
      <c r="AC30" s="89"/>
      <c r="AD30" s="89"/>
      <c r="AE30" s="90" t="s">
        <v>173</v>
      </c>
      <c r="AF30" s="91"/>
      <c r="AG30" s="91"/>
      <c r="AH30" s="92"/>
      <c r="AI30" s="90">
        <f>IF(ISNUMBER(U30),U30,0)+IF(ISNUMBER(Z30),Z30,0)</f>
        <v>261992</v>
      </c>
      <c r="AJ30" s="91"/>
      <c r="AK30" s="91"/>
      <c r="AL30" s="91"/>
      <c r="AM30" s="92"/>
      <c r="AN30" s="90">
        <v>1127078</v>
      </c>
      <c r="AO30" s="91"/>
      <c r="AP30" s="91"/>
      <c r="AQ30" s="91"/>
      <c r="AR30" s="92"/>
      <c r="AS30" s="90" t="s">
        <v>173</v>
      </c>
      <c r="AT30" s="91"/>
      <c r="AU30" s="91"/>
      <c r="AV30" s="91"/>
      <c r="AW30" s="92"/>
      <c r="AX30" s="90" t="s">
        <v>173</v>
      </c>
      <c r="AY30" s="91"/>
      <c r="AZ30" s="91"/>
      <c r="BA30" s="92"/>
      <c r="BB30" s="90">
        <f>IF(ISNUMBER(AN30),AN30,0)+IF(ISNUMBER(AS30),AS30,0)</f>
        <v>1127078</v>
      </c>
      <c r="BC30" s="91"/>
      <c r="BD30" s="91"/>
      <c r="BE30" s="91"/>
      <c r="BF30" s="92"/>
      <c r="BG30" s="90">
        <v>3268170</v>
      </c>
      <c r="BH30" s="91"/>
      <c r="BI30" s="91"/>
      <c r="BJ30" s="91"/>
      <c r="BK30" s="92"/>
      <c r="BL30" s="90" t="s">
        <v>173</v>
      </c>
      <c r="BM30" s="91"/>
      <c r="BN30" s="91"/>
      <c r="BO30" s="91"/>
      <c r="BP30" s="92"/>
      <c r="BQ30" s="90" t="s">
        <v>173</v>
      </c>
      <c r="BR30" s="91"/>
      <c r="BS30" s="91"/>
      <c r="BT30" s="92"/>
      <c r="BU30" s="90">
        <f>IF(ISNUMBER(BG30),BG30,0)+IF(ISNUMBER(BL30),BL30,0)</f>
        <v>3268170</v>
      </c>
      <c r="BV30" s="91"/>
      <c r="BW30" s="91"/>
      <c r="BX30" s="91"/>
      <c r="BY30" s="92"/>
      <c r="CA30" s="4" t="s">
        <v>22</v>
      </c>
    </row>
    <row r="31" spans="1:79" s="5" customFormat="1" ht="12.75" customHeight="1" x14ac:dyDescent="0.2">
      <c r="A31" s="38"/>
      <c r="B31" s="39"/>
      <c r="C31" s="39"/>
      <c r="D31" s="46"/>
      <c r="E31" s="21" t="s">
        <v>147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45">
        <v>261992</v>
      </c>
      <c r="V31" s="45"/>
      <c r="W31" s="45"/>
      <c r="X31" s="45"/>
      <c r="Y31" s="45"/>
      <c r="Z31" s="45">
        <v>0</v>
      </c>
      <c r="AA31" s="45"/>
      <c r="AB31" s="45"/>
      <c r="AC31" s="45"/>
      <c r="AD31" s="45"/>
      <c r="AE31" s="42">
        <v>0</v>
      </c>
      <c r="AF31" s="43"/>
      <c r="AG31" s="43"/>
      <c r="AH31" s="44"/>
      <c r="AI31" s="42">
        <f>IF(ISNUMBER(U31),U31,0)+IF(ISNUMBER(Z31),Z31,0)</f>
        <v>261992</v>
      </c>
      <c r="AJ31" s="43"/>
      <c r="AK31" s="43"/>
      <c r="AL31" s="43"/>
      <c r="AM31" s="44"/>
      <c r="AN31" s="42">
        <v>1127078</v>
      </c>
      <c r="AO31" s="43"/>
      <c r="AP31" s="43"/>
      <c r="AQ31" s="43"/>
      <c r="AR31" s="44"/>
      <c r="AS31" s="42">
        <v>0</v>
      </c>
      <c r="AT31" s="43"/>
      <c r="AU31" s="43"/>
      <c r="AV31" s="43"/>
      <c r="AW31" s="44"/>
      <c r="AX31" s="42">
        <v>0</v>
      </c>
      <c r="AY31" s="43"/>
      <c r="AZ31" s="43"/>
      <c r="BA31" s="44"/>
      <c r="BB31" s="42">
        <f>IF(ISNUMBER(AN31),AN31,0)+IF(ISNUMBER(AS31),AS31,0)</f>
        <v>1127078</v>
      </c>
      <c r="BC31" s="43"/>
      <c r="BD31" s="43"/>
      <c r="BE31" s="43"/>
      <c r="BF31" s="44"/>
      <c r="BG31" s="42">
        <v>3268170</v>
      </c>
      <c r="BH31" s="43"/>
      <c r="BI31" s="43"/>
      <c r="BJ31" s="43"/>
      <c r="BK31" s="44"/>
      <c r="BL31" s="42">
        <v>0</v>
      </c>
      <c r="BM31" s="43"/>
      <c r="BN31" s="43"/>
      <c r="BO31" s="43"/>
      <c r="BP31" s="44"/>
      <c r="BQ31" s="42">
        <v>0</v>
      </c>
      <c r="BR31" s="43"/>
      <c r="BS31" s="43"/>
      <c r="BT31" s="44"/>
      <c r="BU31" s="42">
        <f>IF(ISNUMBER(BG31),BG31,0)+IF(ISNUMBER(BL31),BL31,0)</f>
        <v>3268170</v>
      </c>
      <c r="BV31" s="43"/>
      <c r="BW31" s="43"/>
      <c r="BX31" s="43"/>
      <c r="BY31" s="44"/>
    </row>
    <row r="33" spans="1:79" ht="14.25" customHeight="1" x14ac:dyDescent="0.2">
      <c r="A33" s="57" t="s">
        <v>234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</row>
    <row r="34" spans="1:79" ht="15" customHeight="1" x14ac:dyDescent="0.2">
      <c r="A34" s="73" t="s">
        <v>208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</row>
    <row r="35" spans="1:79" ht="22.5" customHeight="1" x14ac:dyDescent="0.2">
      <c r="A35" s="74" t="s">
        <v>2</v>
      </c>
      <c r="B35" s="75"/>
      <c r="C35" s="75"/>
      <c r="D35" s="76"/>
      <c r="E35" s="74" t="s">
        <v>19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6"/>
      <c r="X35" s="70" t="s">
        <v>230</v>
      </c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2"/>
      <c r="AR35" s="37" t="s">
        <v>235</v>
      </c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79" ht="36" customHeight="1" x14ac:dyDescent="0.2">
      <c r="A36" s="77"/>
      <c r="B36" s="78"/>
      <c r="C36" s="78"/>
      <c r="D36" s="79"/>
      <c r="E36" s="7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9"/>
      <c r="X36" s="37" t="s">
        <v>4</v>
      </c>
      <c r="Y36" s="37"/>
      <c r="Z36" s="37"/>
      <c r="AA36" s="37"/>
      <c r="AB36" s="37"/>
      <c r="AC36" s="37" t="s">
        <v>3</v>
      </c>
      <c r="AD36" s="37"/>
      <c r="AE36" s="37"/>
      <c r="AF36" s="37"/>
      <c r="AG36" s="37"/>
      <c r="AH36" s="96" t="s">
        <v>116</v>
      </c>
      <c r="AI36" s="97"/>
      <c r="AJ36" s="97"/>
      <c r="AK36" s="97"/>
      <c r="AL36" s="98"/>
      <c r="AM36" s="70" t="s">
        <v>5</v>
      </c>
      <c r="AN36" s="71"/>
      <c r="AO36" s="71"/>
      <c r="AP36" s="71"/>
      <c r="AQ36" s="72"/>
      <c r="AR36" s="70" t="s">
        <v>4</v>
      </c>
      <c r="AS36" s="71"/>
      <c r="AT36" s="71"/>
      <c r="AU36" s="71"/>
      <c r="AV36" s="72"/>
      <c r="AW36" s="70" t="s">
        <v>3</v>
      </c>
      <c r="AX36" s="71"/>
      <c r="AY36" s="71"/>
      <c r="AZ36" s="71"/>
      <c r="BA36" s="72"/>
      <c r="BB36" s="96" t="s">
        <v>116</v>
      </c>
      <c r="BC36" s="97"/>
      <c r="BD36" s="97"/>
      <c r="BE36" s="97"/>
      <c r="BF36" s="98"/>
      <c r="BG36" s="70" t="s">
        <v>96</v>
      </c>
      <c r="BH36" s="71"/>
      <c r="BI36" s="71"/>
      <c r="BJ36" s="71"/>
      <c r="BK36" s="72"/>
    </row>
    <row r="37" spans="1:79" ht="15" customHeight="1" x14ac:dyDescent="0.2">
      <c r="A37" s="70">
        <v>1</v>
      </c>
      <c r="B37" s="71"/>
      <c r="C37" s="71"/>
      <c r="D37" s="72"/>
      <c r="E37" s="70">
        <v>2</v>
      </c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2"/>
      <c r="X37" s="37">
        <v>3</v>
      </c>
      <c r="Y37" s="37"/>
      <c r="Z37" s="37"/>
      <c r="AA37" s="37"/>
      <c r="AB37" s="37"/>
      <c r="AC37" s="37">
        <v>4</v>
      </c>
      <c r="AD37" s="37"/>
      <c r="AE37" s="37"/>
      <c r="AF37" s="37"/>
      <c r="AG37" s="37"/>
      <c r="AH37" s="37">
        <v>5</v>
      </c>
      <c r="AI37" s="37"/>
      <c r="AJ37" s="37"/>
      <c r="AK37" s="37"/>
      <c r="AL37" s="37"/>
      <c r="AM37" s="37">
        <v>6</v>
      </c>
      <c r="AN37" s="37"/>
      <c r="AO37" s="37"/>
      <c r="AP37" s="37"/>
      <c r="AQ37" s="37"/>
      <c r="AR37" s="70">
        <v>7</v>
      </c>
      <c r="AS37" s="71"/>
      <c r="AT37" s="71"/>
      <c r="AU37" s="71"/>
      <c r="AV37" s="72"/>
      <c r="AW37" s="70">
        <v>8</v>
      </c>
      <c r="AX37" s="71"/>
      <c r="AY37" s="71"/>
      <c r="AZ37" s="71"/>
      <c r="BA37" s="72"/>
      <c r="BB37" s="70">
        <v>9</v>
      </c>
      <c r="BC37" s="71"/>
      <c r="BD37" s="71"/>
      <c r="BE37" s="71"/>
      <c r="BF37" s="72"/>
      <c r="BG37" s="70">
        <v>10</v>
      </c>
      <c r="BH37" s="71"/>
      <c r="BI37" s="71"/>
      <c r="BJ37" s="71"/>
      <c r="BK37" s="72"/>
    </row>
    <row r="38" spans="1:79" ht="20.25" hidden="1" customHeight="1" x14ac:dyDescent="0.2">
      <c r="A38" s="83" t="s">
        <v>56</v>
      </c>
      <c r="B38" s="84"/>
      <c r="C38" s="84"/>
      <c r="D38" s="85"/>
      <c r="E38" s="83" t="s">
        <v>57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5"/>
      <c r="X38" s="62" t="s">
        <v>60</v>
      </c>
      <c r="Y38" s="62"/>
      <c r="Z38" s="62"/>
      <c r="AA38" s="62"/>
      <c r="AB38" s="62"/>
      <c r="AC38" s="62" t="s">
        <v>61</v>
      </c>
      <c r="AD38" s="62"/>
      <c r="AE38" s="62"/>
      <c r="AF38" s="62"/>
      <c r="AG38" s="62"/>
      <c r="AH38" s="83" t="s">
        <v>94</v>
      </c>
      <c r="AI38" s="84"/>
      <c r="AJ38" s="84"/>
      <c r="AK38" s="84"/>
      <c r="AL38" s="85"/>
      <c r="AM38" s="93" t="s">
        <v>170</v>
      </c>
      <c r="AN38" s="94"/>
      <c r="AO38" s="94"/>
      <c r="AP38" s="94"/>
      <c r="AQ38" s="95"/>
      <c r="AR38" s="83" t="s">
        <v>62</v>
      </c>
      <c r="AS38" s="84"/>
      <c r="AT38" s="84"/>
      <c r="AU38" s="84"/>
      <c r="AV38" s="85"/>
      <c r="AW38" s="83" t="s">
        <v>63</v>
      </c>
      <c r="AX38" s="84"/>
      <c r="AY38" s="84"/>
      <c r="AZ38" s="84"/>
      <c r="BA38" s="85"/>
      <c r="BB38" s="83" t="s">
        <v>95</v>
      </c>
      <c r="BC38" s="84"/>
      <c r="BD38" s="84"/>
      <c r="BE38" s="84"/>
      <c r="BF38" s="85"/>
      <c r="BG38" s="93" t="s">
        <v>170</v>
      </c>
      <c r="BH38" s="94"/>
      <c r="BI38" s="94"/>
      <c r="BJ38" s="94"/>
      <c r="BK38" s="95"/>
      <c r="CA38" t="s">
        <v>23</v>
      </c>
    </row>
    <row r="39" spans="1:79" s="4" customFormat="1" ht="12.75" customHeight="1" x14ac:dyDescent="0.2">
      <c r="A39" s="33"/>
      <c r="B39" s="34"/>
      <c r="C39" s="34"/>
      <c r="D39" s="108"/>
      <c r="E39" s="28" t="s">
        <v>172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0"/>
      <c r="X39" s="90">
        <v>3268170</v>
      </c>
      <c r="Y39" s="91"/>
      <c r="Z39" s="91"/>
      <c r="AA39" s="91"/>
      <c r="AB39" s="92"/>
      <c r="AC39" s="90" t="s">
        <v>173</v>
      </c>
      <c r="AD39" s="91"/>
      <c r="AE39" s="91"/>
      <c r="AF39" s="91"/>
      <c r="AG39" s="92"/>
      <c r="AH39" s="90" t="s">
        <v>173</v>
      </c>
      <c r="AI39" s="91"/>
      <c r="AJ39" s="91"/>
      <c r="AK39" s="91"/>
      <c r="AL39" s="92"/>
      <c r="AM39" s="90">
        <f>IF(ISNUMBER(X39),X39,0)+IF(ISNUMBER(AC39),AC39,0)</f>
        <v>3268170</v>
      </c>
      <c r="AN39" s="91"/>
      <c r="AO39" s="91"/>
      <c r="AP39" s="91"/>
      <c r="AQ39" s="92"/>
      <c r="AR39" s="90">
        <v>3268170</v>
      </c>
      <c r="AS39" s="91"/>
      <c r="AT39" s="91"/>
      <c r="AU39" s="91"/>
      <c r="AV39" s="92"/>
      <c r="AW39" s="90" t="s">
        <v>173</v>
      </c>
      <c r="AX39" s="91"/>
      <c r="AY39" s="91"/>
      <c r="AZ39" s="91"/>
      <c r="BA39" s="92"/>
      <c r="BB39" s="90" t="s">
        <v>173</v>
      </c>
      <c r="BC39" s="91"/>
      <c r="BD39" s="91"/>
      <c r="BE39" s="91"/>
      <c r="BF39" s="92"/>
      <c r="BG39" s="89">
        <f>IF(ISNUMBER(AR39),AR39,0)+IF(ISNUMBER(AW39),AW39,0)</f>
        <v>3268170</v>
      </c>
      <c r="BH39" s="89"/>
      <c r="BI39" s="89"/>
      <c r="BJ39" s="89"/>
      <c r="BK39" s="89"/>
      <c r="CA39" s="4" t="s">
        <v>24</v>
      </c>
    </row>
    <row r="40" spans="1:79" s="5" customFormat="1" ht="12.75" customHeight="1" x14ac:dyDescent="0.2">
      <c r="A40" s="38"/>
      <c r="B40" s="39"/>
      <c r="C40" s="39"/>
      <c r="D40" s="46"/>
      <c r="E40" s="21" t="s">
        <v>147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/>
      <c r="X40" s="42">
        <v>3268170</v>
      </c>
      <c r="Y40" s="43"/>
      <c r="Z40" s="43"/>
      <c r="AA40" s="43"/>
      <c r="AB40" s="44"/>
      <c r="AC40" s="42">
        <v>0</v>
      </c>
      <c r="AD40" s="43"/>
      <c r="AE40" s="43"/>
      <c r="AF40" s="43"/>
      <c r="AG40" s="44"/>
      <c r="AH40" s="42">
        <v>0</v>
      </c>
      <c r="AI40" s="43"/>
      <c r="AJ40" s="43"/>
      <c r="AK40" s="43"/>
      <c r="AL40" s="44"/>
      <c r="AM40" s="42">
        <f>IF(ISNUMBER(X40),X40,0)+IF(ISNUMBER(AC40),AC40,0)</f>
        <v>3268170</v>
      </c>
      <c r="AN40" s="43"/>
      <c r="AO40" s="43"/>
      <c r="AP40" s="43"/>
      <c r="AQ40" s="44"/>
      <c r="AR40" s="42">
        <v>3268170</v>
      </c>
      <c r="AS40" s="43"/>
      <c r="AT40" s="43"/>
      <c r="AU40" s="43"/>
      <c r="AV40" s="44"/>
      <c r="AW40" s="42">
        <v>0</v>
      </c>
      <c r="AX40" s="43"/>
      <c r="AY40" s="43"/>
      <c r="AZ40" s="43"/>
      <c r="BA40" s="44"/>
      <c r="BB40" s="42">
        <v>0</v>
      </c>
      <c r="BC40" s="43"/>
      <c r="BD40" s="43"/>
      <c r="BE40" s="43"/>
      <c r="BF40" s="44"/>
      <c r="BG40" s="45">
        <f>IF(ISNUMBER(AR40),AR40,0)+IF(ISNUMBER(AW40),AW40,0)</f>
        <v>3268170</v>
      </c>
      <c r="BH40" s="45"/>
      <c r="BI40" s="45"/>
      <c r="BJ40" s="45"/>
      <c r="BK40" s="45"/>
    </row>
    <row r="42" spans="1:79" s="3" customFormat="1" ht="14.25" customHeight="1" x14ac:dyDescent="0.2">
      <c r="A42" s="57" t="s">
        <v>117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8"/>
    </row>
    <row r="43" spans="1:79" ht="14.25" customHeight="1" x14ac:dyDescent="0.2">
      <c r="A43" s="57" t="s">
        <v>221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</row>
    <row r="44" spans="1:79" ht="15" customHeight="1" x14ac:dyDescent="0.2">
      <c r="A44" s="63" t="s">
        <v>208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</row>
    <row r="45" spans="1:79" ht="23.1" customHeight="1" x14ac:dyDescent="0.2">
      <c r="A45" s="102" t="s">
        <v>118</v>
      </c>
      <c r="B45" s="103"/>
      <c r="C45" s="103"/>
      <c r="D45" s="104"/>
      <c r="E45" s="37" t="s">
        <v>19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70" t="s">
        <v>209</v>
      </c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2"/>
      <c r="AN45" s="70" t="s">
        <v>212</v>
      </c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2"/>
      <c r="BG45" s="70" t="s">
        <v>220</v>
      </c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2"/>
    </row>
    <row r="46" spans="1:79" ht="48.75" customHeight="1" x14ac:dyDescent="0.2">
      <c r="A46" s="105"/>
      <c r="B46" s="106"/>
      <c r="C46" s="106"/>
      <c r="D46" s="10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70" t="s">
        <v>4</v>
      </c>
      <c r="V46" s="71"/>
      <c r="W46" s="71"/>
      <c r="X46" s="71"/>
      <c r="Y46" s="72"/>
      <c r="Z46" s="70" t="s">
        <v>3</v>
      </c>
      <c r="AA46" s="71"/>
      <c r="AB46" s="71"/>
      <c r="AC46" s="71"/>
      <c r="AD46" s="72"/>
      <c r="AE46" s="96" t="s">
        <v>116</v>
      </c>
      <c r="AF46" s="97"/>
      <c r="AG46" s="97"/>
      <c r="AH46" s="98"/>
      <c r="AI46" s="70" t="s">
        <v>5</v>
      </c>
      <c r="AJ46" s="71"/>
      <c r="AK46" s="71"/>
      <c r="AL46" s="71"/>
      <c r="AM46" s="72"/>
      <c r="AN46" s="70" t="s">
        <v>4</v>
      </c>
      <c r="AO46" s="71"/>
      <c r="AP46" s="71"/>
      <c r="AQ46" s="71"/>
      <c r="AR46" s="72"/>
      <c r="AS46" s="70" t="s">
        <v>3</v>
      </c>
      <c r="AT46" s="71"/>
      <c r="AU46" s="71"/>
      <c r="AV46" s="71"/>
      <c r="AW46" s="72"/>
      <c r="AX46" s="96" t="s">
        <v>116</v>
      </c>
      <c r="AY46" s="97"/>
      <c r="AZ46" s="97"/>
      <c r="BA46" s="98"/>
      <c r="BB46" s="70" t="s">
        <v>96</v>
      </c>
      <c r="BC46" s="71"/>
      <c r="BD46" s="71"/>
      <c r="BE46" s="71"/>
      <c r="BF46" s="72"/>
      <c r="BG46" s="70" t="s">
        <v>4</v>
      </c>
      <c r="BH46" s="71"/>
      <c r="BI46" s="71"/>
      <c r="BJ46" s="71"/>
      <c r="BK46" s="72"/>
      <c r="BL46" s="70" t="s">
        <v>3</v>
      </c>
      <c r="BM46" s="71"/>
      <c r="BN46" s="71"/>
      <c r="BO46" s="71"/>
      <c r="BP46" s="72"/>
      <c r="BQ46" s="96" t="s">
        <v>116</v>
      </c>
      <c r="BR46" s="97"/>
      <c r="BS46" s="97"/>
      <c r="BT46" s="98"/>
      <c r="BU46" s="70" t="s">
        <v>97</v>
      </c>
      <c r="BV46" s="71"/>
      <c r="BW46" s="71"/>
      <c r="BX46" s="71"/>
      <c r="BY46" s="72"/>
    </row>
    <row r="47" spans="1:79" ht="15" customHeight="1" x14ac:dyDescent="0.2">
      <c r="A47" s="70">
        <v>1</v>
      </c>
      <c r="B47" s="71"/>
      <c r="C47" s="71"/>
      <c r="D47" s="72"/>
      <c r="E47" s="70">
        <v>2</v>
      </c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2"/>
      <c r="U47" s="70">
        <v>3</v>
      </c>
      <c r="V47" s="71"/>
      <c r="W47" s="71"/>
      <c r="X47" s="71"/>
      <c r="Y47" s="72"/>
      <c r="Z47" s="70">
        <v>4</v>
      </c>
      <c r="AA47" s="71"/>
      <c r="AB47" s="71"/>
      <c r="AC47" s="71"/>
      <c r="AD47" s="72"/>
      <c r="AE47" s="70">
        <v>5</v>
      </c>
      <c r="AF47" s="71"/>
      <c r="AG47" s="71"/>
      <c r="AH47" s="72"/>
      <c r="AI47" s="70">
        <v>6</v>
      </c>
      <c r="AJ47" s="71"/>
      <c r="AK47" s="71"/>
      <c r="AL47" s="71"/>
      <c r="AM47" s="72"/>
      <c r="AN47" s="70">
        <v>7</v>
      </c>
      <c r="AO47" s="71"/>
      <c r="AP47" s="71"/>
      <c r="AQ47" s="71"/>
      <c r="AR47" s="72"/>
      <c r="AS47" s="70">
        <v>8</v>
      </c>
      <c r="AT47" s="71"/>
      <c r="AU47" s="71"/>
      <c r="AV47" s="71"/>
      <c r="AW47" s="72"/>
      <c r="AX47" s="70">
        <v>9</v>
      </c>
      <c r="AY47" s="71"/>
      <c r="AZ47" s="71"/>
      <c r="BA47" s="72"/>
      <c r="BB47" s="70">
        <v>10</v>
      </c>
      <c r="BC47" s="71"/>
      <c r="BD47" s="71"/>
      <c r="BE47" s="71"/>
      <c r="BF47" s="72"/>
      <c r="BG47" s="70">
        <v>11</v>
      </c>
      <c r="BH47" s="71"/>
      <c r="BI47" s="71"/>
      <c r="BJ47" s="71"/>
      <c r="BK47" s="72"/>
      <c r="BL47" s="70">
        <v>12</v>
      </c>
      <c r="BM47" s="71"/>
      <c r="BN47" s="71"/>
      <c r="BO47" s="71"/>
      <c r="BP47" s="72"/>
      <c r="BQ47" s="70">
        <v>13</v>
      </c>
      <c r="BR47" s="71"/>
      <c r="BS47" s="71"/>
      <c r="BT47" s="72"/>
      <c r="BU47" s="70">
        <v>14</v>
      </c>
      <c r="BV47" s="71"/>
      <c r="BW47" s="71"/>
      <c r="BX47" s="71"/>
      <c r="BY47" s="72"/>
    </row>
    <row r="48" spans="1:79" s="1" customFormat="1" ht="12.75" hidden="1" customHeight="1" x14ac:dyDescent="0.2">
      <c r="A48" s="83" t="s">
        <v>64</v>
      </c>
      <c r="B48" s="84"/>
      <c r="C48" s="84"/>
      <c r="D48" s="85"/>
      <c r="E48" s="83" t="s">
        <v>57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5"/>
      <c r="U48" s="83" t="s">
        <v>65</v>
      </c>
      <c r="V48" s="84"/>
      <c r="W48" s="84"/>
      <c r="X48" s="84"/>
      <c r="Y48" s="85"/>
      <c r="Z48" s="83" t="s">
        <v>66</v>
      </c>
      <c r="AA48" s="84"/>
      <c r="AB48" s="84"/>
      <c r="AC48" s="84"/>
      <c r="AD48" s="85"/>
      <c r="AE48" s="83" t="s">
        <v>91</v>
      </c>
      <c r="AF48" s="84"/>
      <c r="AG48" s="84"/>
      <c r="AH48" s="85"/>
      <c r="AI48" s="93" t="s">
        <v>169</v>
      </c>
      <c r="AJ48" s="94"/>
      <c r="AK48" s="94"/>
      <c r="AL48" s="94"/>
      <c r="AM48" s="95"/>
      <c r="AN48" s="83" t="s">
        <v>67</v>
      </c>
      <c r="AO48" s="84"/>
      <c r="AP48" s="84"/>
      <c r="AQ48" s="84"/>
      <c r="AR48" s="85"/>
      <c r="AS48" s="83" t="s">
        <v>68</v>
      </c>
      <c r="AT48" s="84"/>
      <c r="AU48" s="84"/>
      <c r="AV48" s="84"/>
      <c r="AW48" s="85"/>
      <c r="AX48" s="83" t="s">
        <v>92</v>
      </c>
      <c r="AY48" s="84"/>
      <c r="AZ48" s="84"/>
      <c r="BA48" s="85"/>
      <c r="BB48" s="93" t="s">
        <v>169</v>
      </c>
      <c r="BC48" s="94"/>
      <c r="BD48" s="94"/>
      <c r="BE48" s="94"/>
      <c r="BF48" s="95"/>
      <c r="BG48" s="83" t="s">
        <v>58</v>
      </c>
      <c r="BH48" s="84"/>
      <c r="BI48" s="84"/>
      <c r="BJ48" s="84"/>
      <c r="BK48" s="85"/>
      <c r="BL48" s="83" t="s">
        <v>59</v>
      </c>
      <c r="BM48" s="84"/>
      <c r="BN48" s="84"/>
      <c r="BO48" s="84"/>
      <c r="BP48" s="85"/>
      <c r="BQ48" s="83" t="s">
        <v>93</v>
      </c>
      <c r="BR48" s="84"/>
      <c r="BS48" s="84"/>
      <c r="BT48" s="85"/>
      <c r="BU48" s="93" t="s">
        <v>169</v>
      </c>
      <c r="BV48" s="94"/>
      <c r="BW48" s="94"/>
      <c r="BX48" s="94"/>
      <c r="BY48" s="95"/>
      <c r="CA48" t="s">
        <v>25</v>
      </c>
    </row>
    <row r="49" spans="1:79" s="4" customFormat="1" ht="12.75" customHeight="1" x14ac:dyDescent="0.2">
      <c r="A49" s="33">
        <v>2730</v>
      </c>
      <c r="B49" s="34"/>
      <c r="C49" s="34"/>
      <c r="D49" s="108"/>
      <c r="E49" s="28" t="s">
        <v>174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0"/>
      <c r="U49" s="90">
        <v>261992</v>
      </c>
      <c r="V49" s="91"/>
      <c r="W49" s="91"/>
      <c r="X49" s="91"/>
      <c r="Y49" s="92"/>
      <c r="Z49" s="90">
        <v>0</v>
      </c>
      <c r="AA49" s="91"/>
      <c r="AB49" s="91"/>
      <c r="AC49" s="91"/>
      <c r="AD49" s="92"/>
      <c r="AE49" s="90">
        <v>0</v>
      </c>
      <c r="AF49" s="91"/>
      <c r="AG49" s="91"/>
      <c r="AH49" s="92"/>
      <c r="AI49" s="90">
        <f>IF(ISNUMBER(U49),U49,0)+IF(ISNUMBER(Z49),Z49,0)</f>
        <v>261992</v>
      </c>
      <c r="AJ49" s="91"/>
      <c r="AK49" s="91"/>
      <c r="AL49" s="91"/>
      <c r="AM49" s="92"/>
      <c r="AN49" s="90">
        <v>1127078</v>
      </c>
      <c r="AO49" s="91"/>
      <c r="AP49" s="91"/>
      <c r="AQ49" s="91"/>
      <c r="AR49" s="92"/>
      <c r="AS49" s="90">
        <v>0</v>
      </c>
      <c r="AT49" s="91"/>
      <c r="AU49" s="91"/>
      <c r="AV49" s="91"/>
      <c r="AW49" s="92"/>
      <c r="AX49" s="90">
        <v>0</v>
      </c>
      <c r="AY49" s="91"/>
      <c r="AZ49" s="91"/>
      <c r="BA49" s="92"/>
      <c r="BB49" s="90">
        <f>IF(ISNUMBER(AN49),AN49,0)+IF(ISNUMBER(AS49),AS49,0)</f>
        <v>1127078</v>
      </c>
      <c r="BC49" s="91"/>
      <c r="BD49" s="91"/>
      <c r="BE49" s="91"/>
      <c r="BF49" s="92"/>
      <c r="BG49" s="90">
        <v>3268170</v>
      </c>
      <c r="BH49" s="91"/>
      <c r="BI49" s="91"/>
      <c r="BJ49" s="91"/>
      <c r="BK49" s="92"/>
      <c r="BL49" s="90">
        <v>0</v>
      </c>
      <c r="BM49" s="91"/>
      <c r="BN49" s="91"/>
      <c r="BO49" s="91"/>
      <c r="BP49" s="92"/>
      <c r="BQ49" s="90">
        <v>0</v>
      </c>
      <c r="BR49" s="91"/>
      <c r="BS49" s="91"/>
      <c r="BT49" s="92"/>
      <c r="BU49" s="90">
        <f>IF(ISNUMBER(BG49),BG49,0)+IF(ISNUMBER(BL49),BL49,0)</f>
        <v>3268170</v>
      </c>
      <c r="BV49" s="91"/>
      <c r="BW49" s="91"/>
      <c r="BX49" s="91"/>
      <c r="BY49" s="92"/>
      <c r="CA49" s="4" t="s">
        <v>26</v>
      </c>
    </row>
    <row r="50" spans="1:79" s="5" customFormat="1" ht="12.75" customHeight="1" x14ac:dyDescent="0.2">
      <c r="A50" s="38"/>
      <c r="B50" s="39"/>
      <c r="C50" s="39"/>
      <c r="D50" s="46"/>
      <c r="E50" s="21" t="s">
        <v>147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42">
        <v>261992</v>
      </c>
      <c r="V50" s="43"/>
      <c r="W50" s="43"/>
      <c r="X50" s="43"/>
      <c r="Y50" s="44"/>
      <c r="Z50" s="42">
        <v>0</v>
      </c>
      <c r="AA50" s="43"/>
      <c r="AB50" s="43"/>
      <c r="AC50" s="43"/>
      <c r="AD50" s="44"/>
      <c r="AE50" s="42">
        <v>0</v>
      </c>
      <c r="AF50" s="43"/>
      <c r="AG50" s="43"/>
      <c r="AH50" s="44"/>
      <c r="AI50" s="42">
        <f>IF(ISNUMBER(U50),U50,0)+IF(ISNUMBER(Z50),Z50,0)</f>
        <v>261992</v>
      </c>
      <c r="AJ50" s="43"/>
      <c r="AK50" s="43"/>
      <c r="AL50" s="43"/>
      <c r="AM50" s="44"/>
      <c r="AN50" s="42">
        <v>1127078</v>
      </c>
      <c r="AO50" s="43"/>
      <c r="AP50" s="43"/>
      <c r="AQ50" s="43"/>
      <c r="AR50" s="44"/>
      <c r="AS50" s="42">
        <v>0</v>
      </c>
      <c r="AT50" s="43"/>
      <c r="AU50" s="43"/>
      <c r="AV50" s="43"/>
      <c r="AW50" s="44"/>
      <c r="AX50" s="42">
        <v>0</v>
      </c>
      <c r="AY50" s="43"/>
      <c r="AZ50" s="43"/>
      <c r="BA50" s="44"/>
      <c r="BB50" s="42">
        <f>IF(ISNUMBER(AN50),AN50,0)+IF(ISNUMBER(AS50),AS50,0)</f>
        <v>1127078</v>
      </c>
      <c r="BC50" s="43"/>
      <c r="BD50" s="43"/>
      <c r="BE50" s="43"/>
      <c r="BF50" s="44"/>
      <c r="BG50" s="42">
        <v>3268170</v>
      </c>
      <c r="BH50" s="43"/>
      <c r="BI50" s="43"/>
      <c r="BJ50" s="43"/>
      <c r="BK50" s="44"/>
      <c r="BL50" s="42">
        <v>0</v>
      </c>
      <c r="BM50" s="43"/>
      <c r="BN50" s="43"/>
      <c r="BO50" s="43"/>
      <c r="BP50" s="44"/>
      <c r="BQ50" s="42">
        <v>0</v>
      </c>
      <c r="BR50" s="43"/>
      <c r="BS50" s="43"/>
      <c r="BT50" s="44"/>
      <c r="BU50" s="42">
        <f>IF(ISNUMBER(BG50),BG50,0)+IF(ISNUMBER(BL50),BL50,0)</f>
        <v>3268170</v>
      </c>
      <c r="BV50" s="43"/>
      <c r="BW50" s="43"/>
      <c r="BX50" s="43"/>
      <c r="BY50" s="44"/>
    </row>
    <row r="52" spans="1:79" ht="14.25" customHeight="1" x14ac:dyDescent="0.2">
      <c r="A52" s="57" t="s">
        <v>222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</row>
    <row r="53" spans="1:79" ht="15" customHeight="1" x14ac:dyDescent="0.2">
      <c r="A53" s="73" t="s">
        <v>208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</row>
    <row r="54" spans="1:79" ht="23.1" customHeight="1" x14ac:dyDescent="0.2">
      <c r="A54" s="102" t="s">
        <v>119</v>
      </c>
      <c r="B54" s="103"/>
      <c r="C54" s="103"/>
      <c r="D54" s="103"/>
      <c r="E54" s="104"/>
      <c r="F54" s="37" t="s">
        <v>19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70" t="s">
        <v>209</v>
      </c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2"/>
      <c r="AN54" s="70" t="s">
        <v>212</v>
      </c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2"/>
      <c r="BG54" s="70" t="s">
        <v>220</v>
      </c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2"/>
    </row>
    <row r="55" spans="1:79" ht="51.75" customHeight="1" x14ac:dyDescent="0.2">
      <c r="A55" s="105"/>
      <c r="B55" s="106"/>
      <c r="C55" s="106"/>
      <c r="D55" s="106"/>
      <c r="E55" s="10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70" t="s">
        <v>4</v>
      </c>
      <c r="V55" s="71"/>
      <c r="W55" s="71"/>
      <c r="X55" s="71"/>
      <c r="Y55" s="72"/>
      <c r="Z55" s="70" t="s">
        <v>3</v>
      </c>
      <c r="AA55" s="71"/>
      <c r="AB55" s="71"/>
      <c r="AC55" s="71"/>
      <c r="AD55" s="72"/>
      <c r="AE55" s="96" t="s">
        <v>116</v>
      </c>
      <c r="AF55" s="97"/>
      <c r="AG55" s="97"/>
      <c r="AH55" s="98"/>
      <c r="AI55" s="70" t="s">
        <v>5</v>
      </c>
      <c r="AJ55" s="71"/>
      <c r="AK55" s="71"/>
      <c r="AL55" s="71"/>
      <c r="AM55" s="72"/>
      <c r="AN55" s="70" t="s">
        <v>4</v>
      </c>
      <c r="AO55" s="71"/>
      <c r="AP55" s="71"/>
      <c r="AQ55" s="71"/>
      <c r="AR55" s="72"/>
      <c r="AS55" s="70" t="s">
        <v>3</v>
      </c>
      <c r="AT55" s="71"/>
      <c r="AU55" s="71"/>
      <c r="AV55" s="71"/>
      <c r="AW55" s="72"/>
      <c r="AX55" s="96" t="s">
        <v>116</v>
      </c>
      <c r="AY55" s="97"/>
      <c r="AZ55" s="97"/>
      <c r="BA55" s="98"/>
      <c r="BB55" s="70" t="s">
        <v>96</v>
      </c>
      <c r="BC55" s="71"/>
      <c r="BD55" s="71"/>
      <c r="BE55" s="71"/>
      <c r="BF55" s="72"/>
      <c r="BG55" s="70" t="s">
        <v>4</v>
      </c>
      <c r="BH55" s="71"/>
      <c r="BI55" s="71"/>
      <c r="BJ55" s="71"/>
      <c r="BK55" s="72"/>
      <c r="BL55" s="70" t="s">
        <v>3</v>
      </c>
      <c r="BM55" s="71"/>
      <c r="BN55" s="71"/>
      <c r="BO55" s="71"/>
      <c r="BP55" s="72"/>
      <c r="BQ55" s="96" t="s">
        <v>116</v>
      </c>
      <c r="BR55" s="97"/>
      <c r="BS55" s="97"/>
      <c r="BT55" s="98"/>
      <c r="BU55" s="37" t="s">
        <v>97</v>
      </c>
      <c r="BV55" s="37"/>
      <c r="BW55" s="37"/>
      <c r="BX55" s="37"/>
      <c r="BY55" s="37"/>
    </row>
    <row r="56" spans="1:79" ht="15" customHeight="1" x14ac:dyDescent="0.2">
      <c r="A56" s="70">
        <v>1</v>
      </c>
      <c r="B56" s="71"/>
      <c r="C56" s="71"/>
      <c r="D56" s="71"/>
      <c r="E56" s="72"/>
      <c r="F56" s="70">
        <v>2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2"/>
      <c r="U56" s="70">
        <v>3</v>
      </c>
      <c r="V56" s="71"/>
      <c r="W56" s="71"/>
      <c r="X56" s="71"/>
      <c r="Y56" s="72"/>
      <c r="Z56" s="70">
        <v>4</v>
      </c>
      <c r="AA56" s="71"/>
      <c r="AB56" s="71"/>
      <c r="AC56" s="71"/>
      <c r="AD56" s="72"/>
      <c r="AE56" s="70">
        <v>5</v>
      </c>
      <c r="AF56" s="71"/>
      <c r="AG56" s="71"/>
      <c r="AH56" s="72"/>
      <c r="AI56" s="70">
        <v>6</v>
      </c>
      <c r="AJ56" s="71"/>
      <c r="AK56" s="71"/>
      <c r="AL56" s="71"/>
      <c r="AM56" s="72"/>
      <c r="AN56" s="70">
        <v>7</v>
      </c>
      <c r="AO56" s="71"/>
      <c r="AP56" s="71"/>
      <c r="AQ56" s="71"/>
      <c r="AR56" s="72"/>
      <c r="AS56" s="70">
        <v>8</v>
      </c>
      <c r="AT56" s="71"/>
      <c r="AU56" s="71"/>
      <c r="AV56" s="71"/>
      <c r="AW56" s="72"/>
      <c r="AX56" s="70">
        <v>9</v>
      </c>
      <c r="AY56" s="71"/>
      <c r="AZ56" s="71"/>
      <c r="BA56" s="72"/>
      <c r="BB56" s="70">
        <v>10</v>
      </c>
      <c r="BC56" s="71"/>
      <c r="BD56" s="71"/>
      <c r="BE56" s="71"/>
      <c r="BF56" s="72"/>
      <c r="BG56" s="70">
        <v>11</v>
      </c>
      <c r="BH56" s="71"/>
      <c r="BI56" s="71"/>
      <c r="BJ56" s="71"/>
      <c r="BK56" s="72"/>
      <c r="BL56" s="70">
        <v>12</v>
      </c>
      <c r="BM56" s="71"/>
      <c r="BN56" s="71"/>
      <c r="BO56" s="71"/>
      <c r="BP56" s="72"/>
      <c r="BQ56" s="70">
        <v>13</v>
      </c>
      <c r="BR56" s="71"/>
      <c r="BS56" s="71"/>
      <c r="BT56" s="72"/>
      <c r="BU56" s="37">
        <v>14</v>
      </c>
      <c r="BV56" s="37"/>
      <c r="BW56" s="37"/>
      <c r="BX56" s="37"/>
      <c r="BY56" s="37"/>
    </row>
    <row r="57" spans="1:79" s="1" customFormat="1" ht="13.5" hidden="1" customHeight="1" x14ac:dyDescent="0.2">
      <c r="A57" s="83" t="s">
        <v>64</v>
      </c>
      <c r="B57" s="84"/>
      <c r="C57" s="84"/>
      <c r="D57" s="84"/>
      <c r="E57" s="85"/>
      <c r="F57" s="83" t="s">
        <v>57</v>
      </c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5"/>
      <c r="U57" s="83" t="s">
        <v>65</v>
      </c>
      <c r="V57" s="84"/>
      <c r="W57" s="84"/>
      <c r="X57" s="84"/>
      <c r="Y57" s="85"/>
      <c r="Z57" s="83" t="s">
        <v>66</v>
      </c>
      <c r="AA57" s="84"/>
      <c r="AB57" s="84"/>
      <c r="AC57" s="84"/>
      <c r="AD57" s="85"/>
      <c r="AE57" s="83" t="s">
        <v>91</v>
      </c>
      <c r="AF57" s="84"/>
      <c r="AG57" s="84"/>
      <c r="AH57" s="85"/>
      <c r="AI57" s="93" t="s">
        <v>169</v>
      </c>
      <c r="AJ57" s="94"/>
      <c r="AK57" s="94"/>
      <c r="AL57" s="94"/>
      <c r="AM57" s="95"/>
      <c r="AN57" s="83" t="s">
        <v>67</v>
      </c>
      <c r="AO57" s="84"/>
      <c r="AP57" s="84"/>
      <c r="AQ57" s="84"/>
      <c r="AR57" s="85"/>
      <c r="AS57" s="83" t="s">
        <v>68</v>
      </c>
      <c r="AT57" s="84"/>
      <c r="AU57" s="84"/>
      <c r="AV57" s="84"/>
      <c r="AW57" s="85"/>
      <c r="AX57" s="83" t="s">
        <v>92</v>
      </c>
      <c r="AY57" s="84"/>
      <c r="AZ57" s="84"/>
      <c r="BA57" s="85"/>
      <c r="BB57" s="93" t="s">
        <v>169</v>
      </c>
      <c r="BC57" s="94"/>
      <c r="BD57" s="94"/>
      <c r="BE57" s="94"/>
      <c r="BF57" s="95"/>
      <c r="BG57" s="83" t="s">
        <v>58</v>
      </c>
      <c r="BH57" s="84"/>
      <c r="BI57" s="84"/>
      <c r="BJ57" s="84"/>
      <c r="BK57" s="85"/>
      <c r="BL57" s="83" t="s">
        <v>59</v>
      </c>
      <c r="BM57" s="84"/>
      <c r="BN57" s="84"/>
      <c r="BO57" s="84"/>
      <c r="BP57" s="85"/>
      <c r="BQ57" s="83" t="s">
        <v>93</v>
      </c>
      <c r="BR57" s="84"/>
      <c r="BS57" s="84"/>
      <c r="BT57" s="85"/>
      <c r="BU57" s="80" t="s">
        <v>169</v>
      </c>
      <c r="BV57" s="80"/>
      <c r="BW57" s="80"/>
      <c r="BX57" s="80"/>
      <c r="BY57" s="80"/>
      <c r="CA57" t="s">
        <v>27</v>
      </c>
    </row>
    <row r="58" spans="1:79" s="5" customFormat="1" ht="12.75" customHeight="1" x14ac:dyDescent="0.2">
      <c r="A58" s="38"/>
      <c r="B58" s="39"/>
      <c r="C58" s="39"/>
      <c r="D58" s="39"/>
      <c r="E58" s="46"/>
      <c r="F58" s="38" t="s">
        <v>147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46"/>
      <c r="U58" s="42"/>
      <c r="V58" s="43"/>
      <c r="W58" s="43"/>
      <c r="X58" s="43"/>
      <c r="Y58" s="44"/>
      <c r="Z58" s="42"/>
      <c r="AA58" s="43"/>
      <c r="AB58" s="43"/>
      <c r="AC58" s="43"/>
      <c r="AD58" s="44"/>
      <c r="AE58" s="42"/>
      <c r="AF58" s="43"/>
      <c r="AG58" s="43"/>
      <c r="AH58" s="44"/>
      <c r="AI58" s="42">
        <f>IF(ISNUMBER(U58),U58,0)+IF(ISNUMBER(Z58),Z58,0)</f>
        <v>0</v>
      </c>
      <c r="AJ58" s="43"/>
      <c r="AK58" s="43"/>
      <c r="AL58" s="43"/>
      <c r="AM58" s="44"/>
      <c r="AN58" s="42"/>
      <c r="AO58" s="43"/>
      <c r="AP58" s="43"/>
      <c r="AQ58" s="43"/>
      <c r="AR58" s="44"/>
      <c r="AS58" s="42"/>
      <c r="AT58" s="43"/>
      <c r="AU58" s="43"/>
      <c r="AV58" s="43"/>
      <c r="AW58" s="44"/>
      <c r="AX58" s="42"/>
      <c r="AY58" s="43"/>
      <c r="AZ58" s="43"/>
      <c r="BA58" s="44"/>
      <c r="BB58" s="42">
        <f>IF(ISNUMBER(AN58),AN58,0)+IF(ISNUMBER(AS58),AS58,0)</f>
        <v>0</v>
      </c>
      <c r="BC58" s="43"/>
      <c r="BD58" s="43"/>
      <c r="BE58" s="43"/>
      <c r="BF58" s="44"/>
      <c r="BG58" s="42"/>
      <c r="BH58" s="43"/>
      <c r="BI58" s="43"/>
      <c r="BJ58" s="43"/>
      <c r="BK58" s="44"/>
      <c r="BL58" s="42"/>
      <c r="BM58" s="43"/>
      <c r="BN58" s="43"/>
      <c r="BO58" s="43"/>
      <c r="BP58" s="44"/>
      <c r="BQ58" s="42"/>
      <c r="BR58" s="43"/>
      <c r="BS58" s="43"/>
      <c r="BT58" s="44"/>
      <c r="BU58" s="42">
        <f>IF(ISNUMBER(BG58),BG58,0)+IF(ISNUMBER(BL58),BL58,0)</f>
        <v>0</v>
      </c>
      <c r="BV58" s="43"/>
      <c r="BW58" s="43"/>
      <c r="BX58" s="43"/>
      <c r="BY58" s="44"/>
      <c r="CA58" s="5" t="s">
        <v>28</v>
      </c>
    </row>
    <row r="60" spans="1:79" ht="14.25" customHeight="1" x14ac:dyDescent="0.2">
      <c r="A60" s="57" t="s">
        <v>236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79" ht="15" customHeight="1" x14ac:dyDescent="0.2">
      <c r="A61" s="73" t="s">
        <v>208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</row>
    <row r="62" spans="1:79" ht="23.1" customHeight="1" x14ac:dyDescent="0.2">
      <c r="A62" s="102" t="s">
        <v>118</v>
      </c>
      <c r="B62" s="103"/>
      <c r="C62" s="103"/>
      <c r="D62" s="104"/>
      <c r="E62" s="74" t="s">
        <v>19</v>
      </c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6"/>
      <c r="X62" s="70" t="s">
        <v>230</v>
      </c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2"/>
      <c r="AR62" s="37" t="s">
        <v>235</v>
      </c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</row>
    <row r="63" spans="1:79" ht="48.75" customHeight="1" x14ac:dyDescent="0.2">
      <c r="A63" s="105"/>
      <c r="B63" s="106"/>
      <c r="C63" s="106"/>
      <c r="D63" s="107"/>
      <c r="E63" s="77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9"/>
      <c r="X63" s="74" t="s">
        <v>4</v>
      </c>
      <c r="Y63" s="75"/>
      <c r="Z63" s="75"/>
      <c r="AA63" s="75"/>
      <c r="AB63" s="76"/>
      <c r="AC63" s="74" t="s">
        <v>3</v>
      </c>
      <c r="AD63" s="75"/>
      <c r="AE63" s="75"/>
      <c r="AF63" s="75"/>
      <c r="AG63" s="76"/>
      <c r="AH63" s="96" t="s">
        <v>116</v>
      </c>
      <c r="AI63" s="97"/>
      <c r="AJ63" s="97"/>
      <c r="AK63" s="97"/>
      <c r="AL63" s="98"/>
      <c r="AM63" s="70" t="s">
        <v>5</v>
      </c>
      <c r="AN63" s="71"/>
      <c r="AO63" s="71"/>
      <c r="AP63" s="71"/>
      <c r="AQ63" s="72"/>
      <c r="AR63" s="70" t="s">
        <v>4</v>
      </c>
      <c r="AS63" s="71"/>
      <c r="AT63" s="71"/>
      <c r="AU63" s="71"/>
      <c r="AV63" s="72"/>
      <c r="AW63" s="70" t="s">
        <v>3</v>
      </c>
      <c r="AX63" s="71"/>
      <c r="AY63" s="71"/>
      <c r="AZ63" s="71"/>
      <c r="BA63" s="72"/>
      <c r="BB63" s="96" t="s">
        <v>116</v>
      </c>
      <c r="BC63" s="97"/>
      <c r="BD63" s="97"/>
      <c r="BE63" s="97"/>
      <c r="BF63" s="98"/>
      <c r="BG63" s="70" t="s">
        <v>96</v>
      </c>
      <c r="BH63" s="71"/>
      <c r="BI63" s="71"/>
      <c r="BJ63" s="71"/>
      <c r="BK63" s="72"/>
    </row>
    <row r="64" spans="1:79" ht="12.75" customHeight="1" x14ac:dyDescent="0.2">
      <c r="A64" s="70">
        <v>1</v>
      </c>
      <c r="B64" s="71"/>
      <c r="C64" s="71"/>
      <c r="D64" s="72"/>
      <c r="E64" s="70">
        <v>2</v>
      </c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2"/>
      <c r="X64" s="70">
        <v>3</v>
      </c>
      <c r="Y64" s="71"/>
      <c r="Z64" s="71"/>
      <c r="AA64" s="71"/>
      <c r="AB64" s="72"/>
      <c r="AC64" s="70">
        <v>4</v>
      </c>
      <c r="AD64" s="71"/>
      <c r="AE64" s="71"/>
      <c r="AF64" s="71"/>
      <c r="AG64" s="72"/>
      <c r="AH64" s="70">
        <v>5</v>
      </c>
      <c r="AI64" s="71"/>
      <c r="AJ64" s="71"/>
      <c r="AK64" s="71"/>
      <c r="AL64" s="72"/>
      <c r="AM64" s="70">
        <v>6</v>
      </c>
      <c r="AN64" s="71"/>
      <c r="AO64" s="71"/>
      <c r="AP64" s="71"/>
      <c r="AQ64" s="72"/>
      <c r="AR64" s="70">
        <v>7</v>
      </c>
      <c r="AS64" s="71"/>
      <c r="AT64" s="71"/>
      <c r="AU64" s="71"/>
      <c r="AV64" s="72"/>
      <c r="AW64" s="70">
        <v>8</v>
      </c>
      <c r="AX64" s="71"/>
      <c r="AY64" s="71"/>
      <c r="AZ64" s="71"/>
      <c r="BA64" s="72"/>
      <c r="BB64" s="70">
        <v>9</v>
      </c>
      <c r="BC64" s="71"/>
      <c r="BD64" s="71"/>
      <c r="BE64" s="71"/>
      <c r="BF64" s="72"/>
      <c r="BG64" s="70">
        <v>10</v>
      </c>
      <c r="BH64" s="71"/>
      <c r="BI64" s="71"/>
      <c r="BJ64" s="71"/>
      <c r="BK64" s="72"/>
    </row>
    <row r="65" spans="1:79" s="1" customFormat="1" ht="12.75" hidden="1" customHeight="1" x14ac:dyDescent="0.2">
      <c r="A65" s="83" t="s">
        <v>64</v>
      </c>
      <c r="B65" s="84"/>
      <c r="C65" s="84"/>
      <c r="D65" s="85"/>
      <c r="E65" s="83" t="s">
        <v>57</v>
      </c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5"/>
      <c r="X65" s="109" t="s">
        <v>60</v>
      </c>
      <c r="Y65" s="110"/>
      <c r="Z65" s="110"/>
      <c r="AA65" s="110"/>
      <c r="AB65" s="111"/>
      <c r="AC65" s="109" t="s">
        <v>61</v>
      </c>
      <c r="AD65" s="110"/>
      <c r="AE65" s="110"/>
      <c r="AF65" s="110"/>
      <c r="AG65" s="111"/>
      <c r="AH65" s="83" t="s">
        <v>94</v>
      </c>
      <c r="AI65" s="84"/>
      <c r="AJ65" s="84"/>
      <c r="AK65" s="84"/>
      <c r="AL65" s="85"/>
      <c r="AM65" s="93" t="s">
        <v>170</v>
      </c>
      <c r="AN65" s="94"/>
      <c r="AO65" s="94"/>
      <c r="AP65" s="94"/>
      <c r="AQ65" s="95"/>
      <c r="AR65" s="83" t="s">
        <v>62</v>
      </c>
      <c r="AS65" s="84"/>
      <c r="AT65" s="84"/>
      <c r="AU65" s="84"/>
      <c r="AV65" s="85"/>
      <c r="AW65" s="83" t="s">
        <v>63</v>
      </c>
      <c r="AX65" s="84"/>
      <c r="AY65" s="84"/>
      <c r="AZ65" s="84"/>
      <c r="BA65" s="85"/>
      <c r="BB65" s="83" t="s">
        <v>95</v>
      </c>
      <c r="BC65" s="84"/>
      <c r="BD65" s="84"/>
      <c r="BE65" s="84"/>
      <c r="BF65" s="85"/>
      <c r="BG65" s="93" t="s">
        <v>170</v>
      </c>
      <c r="BH65" s="94"/>
      <c r="BI65" s="94"/>
      <c r="BJ65" s="94"/>
      <c r="BK65" s="95"/>
      <c r="CA65" t="s">
        <v>29</v>
      </c>
    </row>
    <row r="66" spans="1:79" s="4" customFormat="1" ht="12.75" customHeight="1" x14ac:dyDescent="0.2">
      <c r="A66" s="33">
        <v>2730</v>
      </c>
      <c r="B66" s="34"/>
      <c r="C66" s="34"/>
      <c r="D66" s="108"/>
      <c r="E66" s="28" t="s">
        <v>174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/>
      <c r="X66" s="90">
        <v>3268170</v>
      </c>
      <c r="Y66" s="91"/>
      <c r="Z66" s="91"/>
      <c r="AA66" s="91"/>
      <c r="AB66" s="92"/>
      <c r="AC66" s="90">
        <v>0</v>
      </c>
      <c r="AD66" s="91"/>
      <c r="AE66" s="91"/>
      <c r="AF66" s="91"/>
      <c r="AG66" s="92"/>
      <c r="AH66" s="90">
        <v>0</v>
      </c>
      <c r="AI66" s="91"/>
      <c r="AJ66" s="91"/>
      <c r="AK66" s="91"/>
      <c r="AL66" s="92"/>
      <c r="AM66" s="90">
        <f>IF(ISNUMBER(X66),X66,0)+IF(ISNUMBER(AC66),AC66,0)</f>
        <v>3268170</v>
      </c>
      <c r="AN66" s="91"/>
      <c r="AO66" s="91"/>
      <c r="AP66" s="91"/>
      <c r="AQ66" s="92"/>
      <c r="AR66" s="90">
        <v>3268170</v>
      </c>
      <c r="AS66" s="91"/>
      <c r="AT66" s="91"/>
      <c r="AU66" s="91"/>
      <c r="AV66" s="92"/>
      <c r="AW66" s="90">
        <v>0</v>
      </c>
      <c r="AX66" s="91"/>
      <c r="AY66" s="91"/>
      <c r="AZ66" s="91"/>
      <c r="BA66" s="92"/>
      <c r="BB66" s="90">
        <v>0</v>
      </c>
      <c r="BC66" s="91"/>
      <c r="BD66" s="91"/>
      <c r="BE66" s="91"/>
      <c r="BF66" s="92"/>
      <c r="BG66" s="89">
        <f>IF(ISNUMBER(AR66),AR66,0)+IF(ISNUMBER(AW66),AW66,0)</f>
        <v>3268170</v>
      </c>
      <c r="BH66" s="89"/>
      <c r="BI66" s="89"/>
      <c r="BJ66" s="89"/>
      <c r="BK66" s="89"/>
      <c r="CA66" s="4" t="s">
        <v>30</v>
      </c>
    </row>
    <row r="67" spans="1:79" s="5" customFormat="1" ht="12.75" customHeight="1" x14ac:dyDescent="0.2">
      <c r="A67" s="38"/>
      <c r="B67" s="39"/>
      <c r="C67" s="39"/>
      <c r="D67" s="46"/>
      <c r="E67" s="21" t="s">
        <v>147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  <c r="X67" s="42">
        <v>3268170</v>
      </c>
      <c r="Y67" s="43"/>
      <c r="Z67" s="43"/>
      <c r="AA67" s="43"/>
      <c r="AB67" s="44"/>
      <c r="AC67" s="42">
        <v>0</v>
      </c>
      <c r="AD67" s="43"/>
      <c r="AE67" s="43"/>
      <c r="AF67" s="43"/>
      <c r="AG67" s="44"/>
      <c r="AH67" s="42">
        <v>0</v>
      </c>
      <c r="AI67" s="43"/>
      <c r="AJ67" s="43"/>
      <c r="AK67" s="43"/>
      <c r="AL67" s="44"/>
      <c r="AM67" s="42">
        <f>IF(ISNUMBER(X67),X67,0)+IF(ISNUMBER(AC67),AC67,0)</f>
        <v>3268170</v>
      </c>
      <c r="AN67" s="43"/>
      <c r="AO67" s="43"/>
      <c r="AP67" s="43"/>
      <c r="AQ67" s="44"/>
      <c r="AR67" s="42">
        <v>3268170</v>
      </c>
      <c r="AS67" s="43"/>
      <c r="AT67" s="43"/>
      <c r="AU67" s="43"/>
      <c r="AV67" s="44"/>
      <c r="AW67" s="42">
        <v>0</v>
      </c>
      <c r="AX67" s="43"/>
      <c r="AY67" s="43"/>
      <c r="AZ67" s="43"/>
      <c r="BA67" s="44"/>
      <c r="BB67" s="42">
        <v>0</v>
      </c>
      <c r="BC67" s="43"/>
      <c r="BD67" s="43"/>
      <c r="BE67" s="43"/>
      <c r="BF67" s="44"/>
      <c r="BG67" s="45">
        <f>IF(ISNUMBER(AR67),AR67,0)+IF(ISNUMBER(AW67),AW67,0)</f>
        <v>3268170</v>
      </c>
      <c r="BH67" s="45"/>
      <c r="BI67" s="45"/>
      <c r="BJ67" s="45"/>
      <c r="BK67" s="45"/>
    </row>
    <row r="69" spans="1:79" ht="14.25" customHeight="1" x14ac:dyDescent="0.2">
      <c r="A69" s="57" t="s">
        <v>237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</row>
    <row r="70" spans="1:79" ht="15" customHeight="1" x14ac:dyDescent="0.2">
      <c r="A70" s="73" t="s">
        <v>208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</row>
    <row r="71" spans="1:79" ht="23.1" customHeight="1" x14ac:dyDescent="0.2">
      <c r="A71" s="102" t="s">
        <v>119</v>
      </c>
      <c r="B71" s="103"/>
      <c r="C71" s="103"/>
      <c r="D71" s="103"/>
      <c r="E71" s="104"/>
      <c r="F71" s="74" t="s">
        <v>19</v>
      </c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6"/>
      <c r="X71" s="37" t="s">
        <v>230</v>
      </c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70" t="s">
        <v>235</v>
      </c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2"/>
    </row>
    <row r="72" spans="1:79" ht="53.25" customHeight="1" x14ac:dyDescent="0.2">
      <c r="A72" s="105"/>
      <c r="B72" s="106"/>
      <c r="C72" s="106"/>
      <c r="D72" s="106"/>
      <c r="E72" s="107"/>
      <c r="F72" s="7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9"/>
      <c r="X72" s="70" t="s">
        <v>4</v>
      </c>
      <c r="Y72" s="71"/>
      <c r="Z72" s="71"/>
      <c r="AA72" s="71"/>
      <c r="AB72" s="72"/>
      <c r="AC72" s="70" t="s">
        <v>3</v>
      </c>
      <c r="AD72" s="71"/>
      <c r="AE72" s="71"/>
      <c r="AF72" s="71"/>
      <c r="AG72" s="72"/>
      <c r="AH72" s="96" t="s">
        <v>116</v>
      </c>
      <c r="AI72" s="97"/>
      <c r="AJ72" s="97"/>
      <c r="AK72" s="97"/>
      <c r="AL72" s="98"/>
      <c r="AM72" s="70" t="s">
        <v>5</v>
      </c>
      <c r="AN72" s="71"/>
      <c r="AO72" s="71"/>
      <c r="AP72" s="71"/>
      <c r="AQ72" s="72"/>
      <c r="AR72" s="70" t="s">
        <v>4</v>
      </c>
      <c r="AS72" s="71"/>
      <c r="AT72" s="71"/>
      <c r="AU72" s="71"/>
      <c r="AV72" s="72"/>
      <c r="AW72" s="70" t="s">
        <v>3</v>
      </c>
      <c r="AX72" s="71"/>
      <c r="AY72" s="71"/>
      <c r="AZ72" s="71"/>
      <c r="BA72" s="72"/>
      <c r="BB72" s="64" t="s">
        <v>116</v>
      </c>
      <c r="BC72" s="64"/>
      <c r="BD72" s="64"/>
      <c r="BE72" s="64"/>
      <c r="BF72" s="64"/>
      <c r="BG72" s="70" t="s">
        <v>96</v>
      </c>
      <c r="BH72" s="71"/>
      <c r="BI72" s="71"/>
      <c r="BJ72" s="71"/>
      <c r="BK72" s="72"/>
    </row>
    <row r="73" spans="1:79" ht="15" customHeight="1" x14ac:dyDescent="0.2">
      <c r="A73" s="70">
        <v>1</v>
      </c>
      <c r="B73" s="71"/>
      <c r="C73" s="71"/>
      <c r="D73" s="71"/>
      <c r="E73" s="72"/>
      <c r="F73" s="70">
        <v>2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2"/>
      <c r="X73" s="70">
        <v>3</v>
      </c>
      <c r="Y73" s="71"/>
      <c r="Z73" s="71"/>
      <c r="AA73" s="71"/>
      <c r="AB73" s="72"/>
      <c r="AC73" s="70">
        <v>4</v>
      </c>
      <c r="AD73" s="71"/>
      <c r="AE73" s="71"/>
      <c r="AF73" s="71"/>
      <c r="AG73" s="72"/>
      <c r="AH73" s="70">
        <v>5</v>
      </c>
      <c r="AI73" s="71"/>
      <c r="AJ73" s="71"/>
      <c r="AK73" s="71"/>
      <c r="AL73" s="72"/>
      <c r="AM73" s="70">
        <v>6</v>
      </c>
      <c r="AN73" s="71"/>
      <c r="AO73" s="71"/>
      <c r="AP73" s="71"/>
      <c r="AQ73" s="72"/>
      <c r="AR73" s="70">
        <v>7</v>
      </c>
      <c r="AS73" s="71"/>
      <c r="AT73" s="71"/>
      <c r="AU73" s="71"/>
      <c r="AV73" s="72"/>
      <c r="AW73" s="70">
        <v>8</v>
      </c>
      <c r="AX73" s="71"/>
      <c r="AY73" s="71"/>
      <c r="AZ73" s="71"/>
      <c r="BA73" s="72"/>
      <c r="BB73" s="70">
        <v>9</v>
      </c>
      <c r="BC73" s="71"/>
      <c r="BD73" s="71"/>
      <c r="BE73" s="71"/>
      <c r="BF73" s="72"/>
      <c r="BG73" s="70">
        <v>10</v>
      </c>
      <c r="BH73" s="71"/>
      <c r="BI73" s="71"/>
      <c r="BJ73" s="71"/>
      <c r="BK73" s="72"/>
    </row>
    <row r="74" spans="1:79" s="1" customFormat="1" ht="15" hidden="1" customHeight="1" x14ac:dyDescent="0.2">
      <c r="A74" s="83" t="s">
        <v>64</v>
      </c>
      <c r="B74" s="84"/>
      <c r="C74" s="84"/>
      <c r="D74" s="84"/>
      <c r="E74" s="85"/>
      <c r="F74" s="83" t="s">
        <v>57</v>
      </c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5"/>
      <c r="X74" s="83" t="s">
        <v>60</v>
      </c>
      <c r="Y74" s="84"/>
      <c r="Z74" s="84"/>
      <c r="AA74" s="84"/>
      <c r="AB74" s="85"/>
      <c r="AC74" s="83" t="s">
        <v>61</v>
      </c>
      <c r="AD74" s="84"/>
      <c r="AE74" s="84"/>
      <c r="AF74" s="84"/>
      <c r="AG74" s="85"/>
      <c r="AH74" s="83" t="s">
        <v>94</v>
      </c>
      <c r="AI74" s="84"/>
      <c r="AJ74" s="84"/>
      <c r="AK74" s="84"/>
      <c r="AL74" s="85"/>
      <c r="AM74" s="93" t="s">
        <v>170</v>
      </c>
      <c r="AN74" s="94"/>
      <c r="AO74" s="94"/>
      <c r="AP74" s="94"/>
      <c r="AQ74" s="95"/>
      <c r="AR74" s="83" t="s">
        <v>62</v>
      </c>
      <c r="AS74" s="84"/>
      <c r="AT74" s="84"/>
      <c r="AU74" s="84"/>
      <c r="AV74" s="85"/>
      <c r="AW74" s="83" t="s">
        <v>63</v>
      </c>
      <c r="AX74" s="84"/>
      <c r="AY74" s="84"/>
      <c r="AZ74" s="84"/>
      <c r="BA74" s="85"/>
      <c r="BB74" s="83" t="s">
        <v>95</v>
      </c>
      <c r="BC74" s="84"/>
      <c r="BD74" s="84"/>
      <c r="BE74" s="84"/>
      <c r="BF74" s="85"/>
      <c r="BG74" s="93" t="s">
        <v>170</v>
      </c>
      <c r="BH74" s="94"/>
      <c r="BI74" s="94"/>
      <c r="BJ74" s="94"/>
      <c r="BK74" s="95"/>
      <c r="CA74" t="s">
        <v>31</v>
      </c>
    </row>
    <row r="75" spans="1:79" s="5" customFormat="1" ht="12.75" customHeight="1" x14ac:dyDescent="0.2">
      <c r="A75" s="38"/>
      <c r="B75" s="39"/>
      <c r="C75" s="39"/>
      <c r="D75" s="39"/>
      <c r="E75" s="46"/>
      <c r="F75" s="38" t="s">
        <v>147</v>
      </c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46"/>
      <c r="X75" s="99"/>
      <c r="Y75" s="100"/>
      <c r="Z75" s="100"/>
      <c r="AA75" s="100"/>
      <c r="AB75" s="101"/>
      <c r="AC75" s="99"/>
      <c r="AD75" s="100"/>
      <c r="AE75" s="100"/>
      <c r="AF75" s="100"/>
      <c r="AG75" s="101"/>
      <c r="AH75" s="45"/>
      <c r="AI75" s="45"/>
      <c r="AJ75" s="45"/>
      <c r="AK75" s="45"/>
      <c r="AL75" s="45"/>
      <c r="AM75" s="45">
        <f>IF(ISNUMBER(X75),X75,0)+IF(ISNUMBER(AC75),AC75,0)</f>
        <v>0</v>
      </c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>
        <f>IF(ISNUMBER(AR75),AR75,0)+IF(ISNUMBER(AW75),AW75,0)</f>
        <v>0</v>
      </c>
      <c r="BH75" s="45"/>
      <c r="BI75" s="45"/>
      <c r="BJ75" s="45"/>
      <c r="BK75" s="45"/>
      <c r="CA75" s="5" t="s">
        <v>32</v>
      </c>
    </row>
    <row r="77" spans="1:79" ht="14.25" customHeight="1" x14ac:dyDescent="0.2">
      <c r="A77" s="57" t="s">
        <v>120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</row>
    <row r="78" spans="1:79" ht="14.25" customHeight="1" x14ac:dyDescent="0.2">
      <c r="A78" s="57" t="s">
        <v>223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</row>
    <row r="79" spans="1:79" ht="15" customHeight="1" x14ac:dyDescent="0.2">
      <c r="A79" s="73" t="s">
        <v>208</v>
      </c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</row>
    <row r="80" spans="1:79" ht="23.1" customHeight="1" x14ac:dyDescent="0.2">
      <c r="A80" s="74" t="s">
        <v>6</v>
      </c>
      <c r="B80" s="75"/>
      <c r="C80" s="75"/>
      <c r="D80" s="74" t="s">
        <v>121</v>
      </c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6"/>
      <c r="U80" s="70" t="s">
        <v>209</v>
      </c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2"/>
      <c r="AN80" s="70" t="s">
        <v>212</v>
      </c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2"/>
      <c r="BG80" s="37" t="s">
        <v>220</v>
      </c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</row>
    <row r="81" spans="1:79" ht="52.5" customHeight="1" x14ac:dyDescent="0.2">
      <c r="A81" s="77"/>
      <c r="B81" s="78"/>
      <c r="C81" s="78"/>
      <c r="D81" s="77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9"/>
      <c r="U81" s="70" t="s">
        <v>4</v>
      </c>
      <c r="V81" s="71"/>
      <c r="W81" s="71"/>
      <c r="X81" s="71"/>
      <c r="Y81" s="72"/>
      <c r="Z81" s="70" t="s">
        <v>3</v>
      </c>
      <c r="AA81" s="71"/>
      <c r="AB81" s="71"/>
      <c r="AC81" s="71"/>
      <c r="AD81" s="72"/>
      <c r="AE81" s="96" t="s">
        <v>116</v>
      </c>
      <c r="AF81" s="97"/>
      <c r="AG81" s="97"/>
      <c r="AH81" s="98"/>
      <c r="AI81" s="70" t="s">
        <v>5</v>
      </c>
      <c r="AJ81" s="71"/>
      <c r="AK81" s="71"/>
      <c r="AL81" s="71"/>
      <c r="AM81" s="72"/>
      <c r="AN81" s="70" t="s">
        <v>4</v>
      </c>
      <c r="AO81" s="71"/>
      <c r="AP81" s="71"/>
      <c r="AQ81" s="71"/>
      <c r="AR81" s="72"/>
      <c r="AS81" s="70" t="s">
        <v>3</v>
      </c>
      <c r="AT81" s="71"/>
      <c r="AU81" s="71"/>
      <c r="AV81" s="71"/>
      <c r="AW81" s="72"/>
      <c r="AX81" s="96" t="s">
        <v>116</v>
      </c>
      <c r="AY81" s="97"/>
      <c r="AZ81" s="97"/>
      <c r="BA81" s="98"/>
      <c r="BB81" s="70" t="s">
        <v>96</v>
      </c>
      <c r="BC81" s="71"/>
      <c r="BD81" s="71"/>
      <c r="BE81" s="71"/>
      <c r="BF81" s="72"/>
      <c r="BG81" s="70" t="s">
        <v>4</v>
      </c>
      <c r="BH81" s="71"/>
      <c r="BI81" s="71"/>
      <c r="BJ81" s="71"/>
      <c r="BK81" s="72"/>
      <c r="BL81" s="37" t="s">
        <v>3</v>
      </c>
      <c r="BM81" s="37"/>
      <c r="BN81" s="37"/>
      <c r="BO81" s="37"/>
      <c r="BP81" s="37"/>
      <c r="BQ81" s="64" t="s">
        <v>116</v>
      </c>
      <c r="BR81" s="64"/>
      <c r="BS81" s="64"/>
      <c r="BT81" s="64"/>
      <c r="BU81" s="70" t="s">
        <v>97</v>
      </c>
      <c r="BV81" s="71"/>
      <c r="BW81" s="71"/>
      <c r="BX81" s="71"/>
      <c r="BY81" s="72"/>
    </row>
    <row r="82" spans="1:79" ht="15" customHeight="1" x14ac:dyDescent="0.2">
      <c r="A82" s="70">
        <v>1</v>
      </c>
      <c r="B82" s="71"/>
      <c r="C82" s="71"/>
      <c r="D82" s="70">
        <v>2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2"/>
      <c r="U82" s="70">
        <v>3</v>
      </c>
      <c r="V82" s="71"/>
      <c r="W82" s="71"/>
      <c r="X82" s="71"/>
      <c r="Y82" s="72"/>
      <c r="Z82" s="70">
        <v>4</v>
      </c>
      <c r="AA82" s="71"/>
      <c r="AB82" s="71"/>
      <c r="AC82" s="71"/>
      <c r="AD82" s="72"/>
      <c r="AE82" s="70">
        <v>5</v>
      </c>
      <c r="AF82" s="71"/>
      <c r="AG82" s="71"/>
      <c r="AH82" s="72"/>
      <c r="AI82" s="70">
        <v>6</v>
      </c>
      <c r="AJ82" s="71"/>
      <c r="AK82" s="71"/>
      <c r="AL82" s="71"/>
      <c r="AM82" s="72"/>
      <c r="AN82" s="70">
        <v>7</v>
      </c>
      <c r="AO82" s="71"/>
      <c r="AP82" s="71"/>
      <c r="AQ82" s="71"/>
      <c r="AR82" s="72"/>
      <c r="AS82" s="70">
        <v>8</v>
      </c>
      <c r="AT82" s="71"/>
      <c r="AU82" s="71"/>
      <c r="AV82" s="71"/>
      <c r="AW82" s="72"/>
      <c r="AX82" s="37">
        <v>9</v>
      </c>
      <c r="AY82" s="37"/>
      <c r="AZ82" s="37"/>
      <c r="BA82" s="37"/>
      <c r="BB82" s="70">
        <v>10</v>
      </c>
      <c r="BC82" s="71"/>
      <c r="BD82" s="71"/>
      <c r="BE82" s="71"/>
      <c r="BF82" s="72"/>
      <c r="BG82" s="70">
        <v>11</v>
      </c>
      <c r="BH82" s="71"/>
      <c r="BI82" s="71"/>
      <c r="BJ82" s="71"/>
      <c r="BK82" s="72"/>
      <c r="BL82" s="37">
        <v>12</v>
      </c>
      <c r="BM82" s="37"/>
      <c r="BN82" s="37"/>
      <c r="BO82" s="37"/>
      <c r="BP82" s="37"/>
      <c r="BQ82" s="70">
        <v>13</v>
      </c>
      <c r="BR82" s="71"/>
      <c r="BS82" s="71"/>
      <c r="BT82" s="72"/>
      <c r="BU82" s="70">
        <v>14</v>
      </c>
      <c r="BV82" s="71"/>
      <c r="BW82" s="71"/>
      <c r="BX82" s="71"/>
      <c r="BY82" s="72"/>
    </row>
    <row r="83" spans="1:79" s="1" customFormat="1" ht="14.25" hidden="1" customHeight="1" x14ac:dyDescent="0.2">
      <c r="A83" s="83" t="s">
        <v>69</v>
      </c>
      <c r="B83" s="84"/>
      <c r="C83" s="84"/>
      <c r="D83" s="83" t="s">
        <v>57</v>
      </c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5"/>
      <c r="U83" s="62" t="s">
        <v>65</v>
      </c>
      <c r="V83" s="62"/>
      <c r="W83" s="62"/>
      <c r="X83" s="62"/>
      <c r="Y83" s="62"/>
      <c r="Z83" s="62" t="s">
        <v>66</v>
      </c>
      <c r="AA83" s="62"/>
      <c r="AB83" s="62"/>
      <c r="AC83" s="62"/>
      <c r="AD83" s="62"/>
      <c r="AE83" s="62" t="s">
        <v>91</v>
      </c>
      <c r="AF83" s="62"/>
      <c r="AG83" s="62"/>
      <c r="AH83" s="62"/>
      <c r="AI83" s="80" t="s">
        <v>169</v>
      </c>
      <c r="AJ83" s="80"/>
      <c r="AK83" s="80"/>
      <c r="AL83" s="80"/>
      <c r="AM83" s="80"/>
      <c r="AN83" s="62" t="s">
        <v>67</v>
      </c>
      <c r="AO83" s="62"/>
      <c r="AP83" s="62"/>
      <c r="AQ83" s="62"/>
      <c r="AR83" s="62"/>
      <c r="AS83" s="62" t="s">
        <v>68</v>
      </c>
      <c r="AT83" s="62"/>
      <c r="AU83" s="62"/>
      <c r="AV83" s="62"/>
      <c r="AW83" s="62"/>
      <c r="AX83" s="62" t="s">
        <v>92</v>
      </c>
      <c r="AY83" s="62"/>
      <c r="AZ83" s="62"/>
      <c r="BA83" s="62"/>
      <c r="BB83" s="80" t="s">
        <v>169</v>
      </c>
      <c r="BC83" s="80"/>
      <c r="BD83" s="80"/>
      <c r="BE83" s="80"/>
      <c r="BF83" s="80"/>
      <c r="BG83" s="62" t="s">
        <v>58</v>
      </c>
      <c r="BH83" s="62"/>
      <c r="BI83" s="62"/>
      <c r="BJ83" s="62"/>
      <c r="BK83" s="62"/>
      <c r="BL83" s="62" t="s">
        <v>59</v>
      </c>
      <c r="BM83" s="62"/>
      <c r="BN83" s="62"/>
      <c r="BO83" s="62"/>
      <c r="BP83" s="62"/>
      <c r="BQ83" s="62" t="s">
        <v>93</v>
      </c>
      <c r="BR83" s="62"/>
      <c r="BS83" s="62"/>
      <c r="BT83" s="62"/>
      <c r="BU83" s="80" t="s">
        <v>169</v>
      </c>
      <c r="BV83" s="80"/>
      <c r="BW83" s="80"/>
      <c r="BX83" s="80"/>
      <c r="BY83" s="80"/>
      <c r="CA83" t="s">
        <v>33</v>
      </c>
    </row>
    <row r="84" spans="1:79" s="4" customFormat="1" ht="12.75" customHeight="1" x14ac:dyDescent="0.2">
      <c r="A84" s="33">
        <v>1</v>
      </c>
      <c r="B84" s="34"/>
      <c r="C84" s="34"/>
      <c r="D84" s="28" t="s">
        <v>175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30"/>
      <c r="U84" s="90">
        <v>261992</v>
      </c>
      <c r="V84" s="91"/>
      <c r="W84" s="91"/>
      <c r="X84" s="91"/>
      <c r="Y84" s="92"/>
      <c r="Z84" s="90">
        <v>0</v>
      </c>
      <c r="AA84" s="91"/>
      <c r="AB84" s="91"/>
      <c r="AC84" s="91"/>
      <c r="AD84" s="92"/>
      <c r="AE84" s="90">
        <v>0</v>
      </c>
      <c r="AF84" s="91"/>
      <c r="AG84" s="91"/>
      <c r="AH84" s="92"/>
      <c r="AI84" s="90">
        <f>IF(ISNUMBER(U84),U84,0)+IF(ISNUMBER(Z84),Z84,0)</f>
        <v>261992</v>
      </c>
      <c r="AJ84" s="91"/>
      <c r="AK84" s="91"/>
      <c r="AL84" s="91"/>
      <c r="AM84" s="92"/>
      <c r="AN84" s="90">
        <v>1127078</v>
      </c>
      <c r="AO84" s="91"/>
      <c r="AP84" s="91"/>
      <c r="AQ84" s="91"/>
      <c r="AR84" s="92"/>
      <c r="AS84" s="90">
        <v>0</v>
      </c>
      <c r="AT84" s="91"/>
      <c r="AU84" s="91"/>
      <c r="AV84" s="91"/>
      <c r="AW84" s="92"/>
      <c r="AX84" s="90">
        <v>0</v>
      </c>
      <c r="AY84" s="91"/>
      <c r="AZ84" s="91"/>
      <c r="BA84" s="92"/>
      <c r="BB84" s="90">
        <f>IF(ISNUMBER(AN84),AN84,0)+IF(ISNUMBER(AS84),AS84,0)</f>
        <v>1127078</v>
      </c>
      <c r="BC84" s="91"/>
      <c r="BD84" s="91"/>
      <c r="BE84" s="91"/>
      <c r="BF84" s="92"/>
      <c r="BG84" s="90">
        <v>3268170</v>
      </c>
      <c r="BH84" s="91"/>
      <c r="BI84" s="91"/>
      <c r="BJ84" s="91"/>
      <c r="BK84" s="92"/>
      <c r="BL84" s="90">
        <v>0</v>
      </c>
      <c r="BM84" s="91"/>
      <c r="BN84" s="91"/>
      <c r="BO84" s="91"/>
      <c r="BP84" s="92"/>
      <c r="BQ84" s="90">
        <v>0</v>
      </c>
      <c r="BR84" s="91"/>
      <c r="BS84" s="91"/>
      <c r="BT84" s="92"/>
      <c r="BU84" s="90">
        <f>IF(ISNUMBER(BG84),BG84,0)+IF(ISNUMBER(BL84),BL84,0)</f>
        <v>3268170</v>
      </c>
      <c r="BV84" s="91"/>
      <c r="BW84" s="91"/>
      <c r="BX84" s="91"/>
      <c r="BY84" s="92"/>
      <c r="CA84" s="4" t="s">
        <v>34</v>
      </c>
    </row>
    <row r="85" spans="1:79" s="5" customFormat="1" ht="12.75" customHeight="1" x14ac:dyDescent="0.2">
      <c r="A85" s="38"/>
      <c r="B85" s="39"/>
      <c r="C85" s="39"/>
      <c r="D85" s="21" t="s">
        <v>147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3"/>
      <c r="U85" s="42">
        <v>261992</v>
      </c>
      <c r="V85" s="43"/>
      <c r="W85" s="43"/>
      <c r="X85" s="43"/>
      <c r="Y85" s="44"/>
      <c r="Z85" s="42">
        <v>0</v>
      </c>
      <c r="AA85" s="43"/>
      <c r="AB85" s="43"/>
      <c r="AC85" s="43"/>
      <c r="AD85" s="44"/>
      <c r="AE85" s="42">
        <v>0</v>
      </c>
      <c r="AF85" s="43"/>
      <c r="AG85" s="43"/>
      <c r="AH85" s="44"/>
      <c r="AI85" s="42">
        <f>IF(ISNUMBER(U85),U85,0)+IF(ISNUMBER(Z85),Z85,0)</f>
        <v>261992</v>
      </c>
      <c r="AJ85" s="43"/>
      <c r="AK85" s="43"/>
      <c r="AL85" s="43"/>
      <c r="AM85" s="44"/>
      <c r="AN85" s="42">
        <v>1127078</v>
      </c>
      <c r="AO85" s="43"/>
      <c r="AP85" s="43"/>
      <c r="AQ85" s="43"/>
      <c r="AR85" s="44"/>
      <c r="AS85" s="42">
        <v>0</v>
      </c>
      <c r="AT85" s="43"/>
      <c r="AU85" s="43"/>
      <c r="AV85" s="43"/>
      <c r="AW85" s="44"/>
      <c r="AX85" s="42">
        <v>0</v>
      </c>
      <c r="AY85" s="43"/>
      <c r="AZ85" s="43"/>
      <c r="BA85" s="44"/>
      <c r="BB85" s="42">
        <f>IF(ISNUMBER(AN85),AN85,0)+IF(ISNUMBER(AS85),AS85,0)</f>
        <v>1127078</v>
      </c>
      <c r="BC85" s="43"/>
      <c r="BD85" s="43"/>
      <c r="BE85" s="43"/>
      <c r="BF85" s="44"/>
      <c r="BG85" s="42">
        <v>3268170</v>
      </c>
      <c r="BH85" s="43"/>
      <c r="BI85" s="43"/>
      <c r="BJ85" s="43"/>
      <c r="BK85" s="44"/>
      <c r="BL85" s="42">
        <v>0</v>
      </c>
      <c r="BM85" s="43"/>
      <c r="BN85" s="43"/>
      <c r="BO85" s="43"/>
      <c r="BP85" s="44"/>
      <c r="BQ85" s="42">
        <v>0</v>
      </c>
      <c r="BR85" s="43"/>
      <c r="BS85" s="43"/>
      <c r="BT85" s="44"/>
      <c r="BU85" s="42">
        <f>IF(ISNUMBER(BG85),BG85,0)+IF(ISNUMBER(BL85),BL85,0)</f>
        <v>3268170</v>
      </c>
      <c r="BV85" s="43"/>
      <c r="BW85" s="43"/>
      <c r="BX85" s="43"/>
      <c r="BY85" s="44"/>
    </row>
    <row r="87" spans="1:79" ht="14.25" customHeight="1" x14ac:dyDescent="0.2">
      <c r="A87" s="57" t="s">
        <v>238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</row>
    <row r="88" spans="1:79" ht="15" customHeight="1" x14ac:dyDescent="0.2">
      <c r="A88" s="63" t="s">
        <v>208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</row>
    <row r="89" spans="1:79" ht="23.1" customHeight="1" x14ac:dyDescent="0.2">
      <c r="A89" s="74" t="s">
        <v>6</v>
      </c>
      <c r="B89" s="75"/>
      <c r="C89" s="75"/>
      <c r="D89" s="74" t="s">
        <v>121</v>
      </c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6"/>
      <c r="U89" s="37" t="s">
        <v>230</v>
      </c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 t="s">
        <v>235</v>
      </c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</row>
    <row r="90" spans="1:79" ht="54" customHeight="1" x14ac:dyDescent="0.2">
      <c r="A90" s="77"/>
      <c r="B90" s="78"/>
      <c r="C90" s="78"/>
      <c r="D90" s="77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9"/>
      <c r="U90" s="70" t="s">
        <v>4</v>
      </c>
      <c r="V90" s="71"/>
      <c r="W90" s="71"/>
      <c r="X90" s="71"/>
      <c r="Y90" s="72"/>
      <c r="Z90" s="70" t="s">
        <v>3</v>
      </c>
      <c r="AA90" s="71"/>
      <c r="AB90" s="71"/>
      <c r="AC90" s="71"/>
      <c r="AD90" s="72"/>
      <c r="AE90" s="96" t="s">
        <v>116</v>
      </c>
      <c r="AF90" s="97"/>
      <c r="AG90" s="97"/>
      <c r="AH90" s="97"/>
      <c r="AI90" s="98"/>
      <c r="AJ90" s="70" t="s">
        <v>5</v>
      </c>
      <c r="AK90" s="71"/>
      <c r="AL90" s="71"/>
      <c r="AM90" s="71"/>
      <c r="AN90" s="72"/>
      <c r="AO90" s="70" t="s">
        <v>4</v>
      </c>
      <c r="AP90" s="71"/>
      <c r="AQ90" s="71"/>
      <c r="AR90" s="71"/>
      <c r="AS90" s="72"/>
      <c r="AT90" s="70" t="s">
        <v>3</v>
      </c>
      <c r="AU90" s="71"/>
      <c r="AV90" s="71"/>
      <c r="AW90" s="71"/>
      <c r="AX90" s="72"/>
      <c r="AY90" s="96" t="s">
        <v>116</v>
      </c>
      <c r="AZ90" s="97"/>
      <c r="BA90" s="97"/>
      <c r="BB90" s="97"/>
      <c r="BC90" s="98"/>
      <c r="BD90" s="37" t="s">
        <v>96</v>
      </c>
      <c r="BE90" s="37"/>
      <c r="BF90" s="37"/>
      <c r="BG90" s="37"/>
      <c r="BH90" s="37"/>
    </row>
    <row r="91" spans="1:79" ht="15" customHeight="1" x14ac:dyDescent="0.2">
      <c r="A91" s="70" t="s">
        <v>168</v>
      </c>
      <c r="B91" s="71"/>
      <c r="C91" s="71"/>
      <c r="D91" s="70">
        <v>2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2"/>
      <c r="U91" s="70">
        <v>3</v>
      </c>
      <c r="V91" s="71"/>
      <c r="W91" s="71"/>
      <c r="X91" s="71"/>
      <c r="Y91" s="72"/>
      <c r="Z91" s="70">
        <v>4</v>
      </c>
      <c r="AA91" s="71"/>
      <c r="AB91" s="71"/>
      <c r="AC91" s="71"/>
      <c r="AD91" s="72"/>
      <c r="AE91" s="70">
        <v>5</v>
      </c>
      <c r="AF91" s="71"/>
      <c r="AG91" s="71"/>
      <c r="AH91" s="71"/>
      <c r="AI91" s="72"/>
      <c r="AJ91" s="70">
        <v>6</v>
      </c>
      <c r="AK91" s="71"/>
      <c r="AL91" s="71"/>
      <c r="AM91" s="71"/>
      <c r="AN91" s="72"/>
      <c r="AO91" s="70">
        <v>7</v>
      </c>
      <c r="AP91" s="71"/>
      <c r="AQ91" s="71"/>
      <c r="AR91" s="71"/>
      <c r="AS91" s="72"/>
      <c r="AT91" s="70">
        <v>8</v>
      </c>
      <c r="AU91" s="71"/>
      <c r="AV91" s="71"/>
      <c r="AW91" s="71"/>
      <c r="AX91" s="72"/>
      <c r="AY91" s="70">
        <v>9</v>
      </c>
      <c r="AZ91" s="71"/>
      <c r="BA91" s="71"/>
      <c r="BB91" s="71"/>
      <c r="BC91" s="72"/>
      <c r="BD91" s="70">
        <v>10</v>
      </c>
      <c r="BE91" s="71"/>
      <c r="BF91" s="71"/>
      <c r="BG91" s="71"/>
      <c r="BH91" s="72"/>
    </row>
    <row r="92" spans="1:79" s="1" customFormat="1" ht="12.75" hidden="1" customHeight="1" x14ac:dyDescent="0.2">
      <c r="A92" s="83" t="s">
        <v>69</v>
      </c>
      <c r="B92" s="84"/>
      <c r="C92" s="84"/>
      <c r="D92" s="83" t="s">
        <v>57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5"/>
      <c r="U92" s="83" t="s">
        <v>60</v>
      </c>
      <c r="V92" s="84"/>
      <c r="W92" s="84"/>
      <c r="X92" s="84"/>
      <c r="Y92" s="85"/>
      <c r="Z92" s="83" t="s">
        <v>61</v>
      </c>
      <c r="AA92" s="84"/>
      <c r="AB92" s="84"/>
      <c r="AC92" s="84"/>
      <c r="AD92" s="85"/>
      <c r="AE92" s="83" t="s">
        <v>94</v>
      </c>
      <c r="AF92" s="84"/>
      <c r="AG92" s="84"/>
      <c r="AH92" s="84"/>
      <c r="AI92" s="85"/>
      <c r="AJ92" s="93" t="s">
        <v>170</v>
      </c>
      <c r="AK92" s="94"/>
      <c r="AL92" s="94"/>
      <c r="AM92" s="94"/>
      <c r="AN92" s="95"/>
      <c r="AO92" s="83" t="s">
        <v>62</v>
      </c>
      <c r="AP92" s="84"/>
      <c r="AQ92" s="84"/>
      <c r="AR92" s="84"/>
      <c r="AS92" s="85"/>
      <c r="AT92" s="83" t="s">
        <v>63</v>
      </c>
      <c r="AU92" s="84"/>
      <c r="AV92" s="84"/>
      <c r="AW92" s="84"/>
      <c r="AX92" s="85"/>
      <c r="AY92" s="83" t="s">
        <v>95</v>
      </c>
      <c r="AZ92" s="84"/>
      <c r="BA92" s="84"/>
      <c r="BB92" s="84"/>
      <c r="BC92" s="85"/>
      <c r="BD92" s="80" t="s">
        <v>170</v>
      </c>
      <c r="BE92" s="80"/>
      <c r="BF92" s="80"/>
      <c r="BG92" s="80"/>
      <c r="BH92" s="80"/>
      <c r="CA92" s="1" t="s">
        <v>35</v>
      </c>
    </row>
    <row r="93" spans="1:79" s="4" customFormat="1" ht="12.75" customHeight="1" x14ac:dyDescent="0.2">
      <c r="A93" s="33">
        <v>1</v>
      </c>
      <c r="B93" s="34"/>
      <c r="C93" s="34"/>
      <c r="D93" s="28" t="s">
        <v>175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30"/>
      <c r="U93" s="90">
        <v>3268170</v>
      </c>
      <c r="V93" s="91"/>
      <c r="W93" s="91"/>
      <c r="X93" s="91"/>
      <c r="Y93" s="92"/>
      <c r="Z93" s="90">
        <v>0</v>
      </c>
      <c r="AA93" s="91"/>
      <c r="AB93" s="91"/>
      <c r="AC93" s="91"/>
      <c r="AD93" s="92"/>
      <c r="AE93" s="89">
        <v>0</v>
      </c>
      <c r="AF93" s="89"/>
      <c r="AG93" s="89"/>
      <c r="AH93" s="89"/>
      <c r="AI93" s="89"/>
      <c r="AJ93" s="27">
        <f>IF(ISNUMBER(U93),U93,0)+IF(ISNUMBER(Z93),Z93,0)</f>
        <v>3268170</v>
      </c>
      <c r="AK93" s="27"/>
      <c r="AL93" s="27"/>
      <c r="AM93" s="27"/>
      <c r="AN93" s="27"/>
      <c r="AO93" s="89">
        <v>3268170</v>
      </c>
      <c r="AP93" s="89"/>
      <c r="AQ93" s="89"/>
      <c r="AR93" s="89"/>
      <c r="AS93" s="89"/>
      <c r="AT93" s="27">
        <v>0</v>
      </c>
      <c r="AU93" s="27"/>
      <c r="AV93" s="27"/>
      <c r="AW93" s="27"/>
      <c r="AX93" s="27"/>
      <c r="AY93" s="89">
        <v>0</v>
      </c>
      <c r="AZ93" s="89"/>
      <c r="BA93" s="89"/>
      <c r="BB93" s="89"/>
      <c r="BC93" s="89"/>
      <c r="BD93" s="27">
        <f>IF(ISNUMBER(AO93),AO93,0)+IF(ISNUMBER(AT93),AT93,0)</f>
        <v>3268170</v>
      </c>
      <c r="BE93" s="27"/>
      <c r="BF93" s="27"/>
      <c r="BG93" s="27"/>
      <c r="BH93" s="27"/>
      <c r="CA93" s="4" t="s">
        <v>36</v>
      </c>
    </row>
    <row r="94" spans="1:79" s="5" customFormat="1" ht="12.75" customHeight="1" x14ac:dyDescent="0.2">
      <c r="A94" s="38"/>
      <c r="B94" s="39"/>
      <c r="C94" s="39"/>
      <c r="D94" s="21" t="s">
        <v>147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3"/>
      <c r="U94" s="42">
        <v>3268170</v>
      </c>
      <c r="V94" s="43"/>
      <c r="W94" s="43"/>
      <c r="X94" s="43"/>
      <c r="Y94" s="44"/>
      <c r="Z94" s="42">
        <v>0</v>
      </c>
      <c r="AA94" s="43"/>
      <c r="AB94" s="43"/>
      <c r="AC94" s="43"/>
      <c r="AD94" s="44"/>
      <c r="AE94" s="45">
        <v>0</v>
      </c>
      <c r="AF94" s="45"/>
      <c r="AG94" s="45"/>
      <c r="AH94" s="45"/>
      <c r="AI94" s="45"/>
      <c r="AJ94" s="20">
        <f>IF(ISNUMBER(U94),U94,0)+IF(ISNUMBER(Z94),Z94,0)</f>
        <v>3268170</v>
      </c>
      <c r="AK94" s="20"/>
      <c r="AL94" s="20"/>
      <c r="AM94" s="20"/>
      <c r="AN94" s="20"/>
      <c r="AO94" s="45">
        <v>3268170</v>
      </c>
      <c r="AP94" s="45"/>
      <c r="AQ94" s="45"/>
      <c r="AR94" s="45"/>
      <c r="AS94" s="45"/>
      <c r="AT94" s="20">
        <v>0</v>
      </c>
      <c r="AU94" s="20"/>
      <c r="AV94" s="20"/>
      <c r="AW94" s="20"/>
      <c r="AX94" s="20"/>
      <c r="AY94" s="45">
        <v>0</v>
      </c>
      <c r="AZ94" s="45"/>
      <c r="BA94" s="45"/>
      <c r="BB94" s="45"/>
      <c r="BC94" s="45"/>
      <c r="BD94" s="20">
        <f>IF(ISNUMBER(AO94),AO94,0)+IF(ISNUMBER(AT94),AT94,0)</f>
        <v>3268170</v>
      </c>
      <c r="BE94" s="20"/>
      <c r="BF94" s="20"/>
      <c r="BG94" s="20"/>
      <c r="BH94" s="20"/>
    </row>
    <row r="96" spans="1:79" ht="14.25" customHeight="1" x14ac:dyDescent="0.2">
      <c r="A96" s="57" t="s">
        <v>152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</row>
    <row r="97" spans="1:79" ht="14.25" customHeight="1" x14ac:dyDescent="0.2">
      <c r="A97" s="57" t="s">
        <v>224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</row>
    <row r="98" spans="1:79" ht="23.1" customHeight="1" x14ac:dyDescent="0.2">
      <c r="A98" s="74" t="s">
        <v>6</v>
      </c>
      <c r="B98" s="75"/>
      <c r="C98" s="75"/>
      <c r="D98" s="37" t="s">
        <v>9</v>
      </c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 t="s">
        <v>8</v>
      </c>
      <c r="R98" s="37"/>
      <c r="S98" s="37"/>
      <c r="T98" s="37"/>
      <c r="U98" s="37"/>
      <c r="V98" s="37" t="s">
        <v>7</v>
      </c>
      <c r="W98" s="37"/>
      <c r="X98" s="37"/>
      <c r="Y98" s="37"/>
      <c r="Z98" s="37"/>
      <c r="AA98" s="37"/>
      <c r="AB98" s="37"/>
      <c r="AC98" s="37"/>
      <c r="AD98" s="37"/>
      <c r="AE98" s="37"/>
      <c r="AF98" s="70" t="s">
        <v>209</v>
      </c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2"/>
      <c r="AU98" s="70" t="s">
        <v>212</v>
      </c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2"/>
      <c r="BJ98" s="70" t="s">
        <v>220</v>
      </c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2"/>
    </row>
    <row r="99" spans="1:79" ht="32.25" customHeight="1" x14ac:dyDescent="0.2">
      <c r="A99" s="77"/>
      <c r="B99" s="78"/>
      <c r="C99" s="78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 t="s">
        <v>4</v>
      </c>
      <c r="AG99" s="37"/>
      <c r="AH99" s="37"/>
      <c r="AI99" s="37"/>
      <c r="AJ99" s="37"/>
      <c r="AK99" s="37" t="s">
        <v>3</v>
      </c>
      <c r="AL99" s="37"/>
      <c r="AM99" s="37"/>
      <c r="AN99" s="37"/>
      <c r="AO99" s="37"/>
      <c r="AP99" s="37" t="s">
        <v>123</v>
      </c>
      <c r="AQ99" s="37"/>
      <c r="AR99" s="37"/>
      <c r="AS99" s="37"/>
      <c r="AT99" s="37"/>
      <c r="AU99" s="37" t="s">
        <v>4</v>
      </c>
      <c r="AV99" s="37"/>
      <c r="AW99" s="37"/>
      <c r="AX99" s="37"/>
      <c r="AY99" s="37"/>
      <c r="AZ99" s="37" t="s">
        <v>3</v>
      </c>
      <c r="BA99" s="37"/>
      <c r="BB99" s="37"/>
      <c r="BC99" s="37"/>
      <c r="BD99" s="37"/>
      <c r="BE99" s="37" t="s">
        <v>90</v>
      </c>
      <c r="BF99" s="37"/>
      <c r="BG99" s="37"/>
      <c r="BH99" s="37"/>
      <c r="BI99" s="37"/>
      <c r="BJ99" s="37" t="s">
        <v>4</v>
      </c>
      <c r="BK99" s="37"/>
      <c r="BL99" s="37"/>
      <c r="BM99" s="37"/>
      <c r="BN99" s="37"/>
      <c r="BO99" s="37" t="s">
        <v>3</v>
      </c>
      <c r="BP99" s="37"/>
      <c r="BQ99" s="37"/>
      <c r="BR99" s="37"/>
      <c r="BS99" s="37"/>
      <c r="BT99" s="37" t="s">
        <v>97</v>
      </c>
      <c r="BU99" s="37"/>
      <c r="BV99" s="37"/>
      <c r="BW99" s="37"/>
      <c r="BX99" s="37"/>
    </row>
    <row r="100" spans="1:79" ht="15" customHeight="1" x14ac:dyDescent="0.2">
      <c r="A100" s="70">
        <v>1</v>
      </c>
      <c r="B100" s="71"/>
      <c r="C100" s="71"/>
      <c r="D100" s="37">
        <v>2</v>
      </c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>
        <v>3</v>
      </c>
      <c r="R100" s="37"/>
      <c r="S100" s="37"/>
      <c r="T100" s="37"/>
      <c r="U100" s="37"/>
      <c r="V100" s="37">
        <v>4</v>
      </c>
      <c r="W100" s="37"/>
      <c r="X100" s="37"/>
      <c r="Y100" s="37"/>
      <c r="Z100" s="37"/>
      <c r="AA100" s="37"/>
      <c r="AB100" s="37"/>
      <c r="AC100" s="37"/>
      <c r="AD100" s="37"/>
      <c r="AE100" s="37"/>
      <c r="AF100" s="37">
        <v>5</v>
      </c>
      <c r="AG100" s="37"/>
      <c r="AH100" s="37"/>
      <c r="AI100" s="37"/>
      <c r="AJ100" s="37"/>
      <c r="AK100" s="37">
        <v>6</v>
      </c>
      <c r="AL100" s="37"/>
      <c r="AM100" s="37"/>
      <c r="AN100" s="37"/>
      <c r="AO100" s="37"/>
      <c r="AP100" s="37">
        <v>7</v>
      </c>
      <c r="AQ100" s="37"/>
      <c r="AR100" s="37"/>
      <c r="AS100" s="37"/>
      <c r="AT100" s="37"/>
      <c r="AU100" s="37">
        <v>8</v>
      </c>
      <c r="AV100" s="37"/>
      <c r="AW100" s="37"/>
      <c r="AX100" s="37"/>
      <c r="AY100" s="37"/>
      <c r="AZ100" s="37">
        <v>9</v>
      </c>
      <c r="BA100" s="37"/>
      <c r="BB100" s="37"/>
      <c r="BC100" s="37"/>
      <c r="BD100" s="37"/>
      <c r="BE100" s="37">
        <v>10</v>
      </c>
      <c r="BF100" s="37"/>
      <c r="BG100" s="37"/>
      <c r="BH100" s="37"/>
      <c r="BI100" s="37"/>
      <c r="BJ100" s="37">
        <v>11</v>
      </c>
      <c r="BK100" s="37"/>
      <c r="BL100" s="37"/>
      <c r="BM100" s="37"/>
      <c r="BN100" s="37"/>
      <c r="BO100" s="37">
        <v>12</v>
      </c>
      <c r="BP100" s="37"/>
      <c r="BQ100" s="37"/>
      <c r="BR100" s="37"/>
      <c r="BS100" s="37"/>
      <c r="BT100" s="37">
        <v>13</v>
      </c>
      <c r="BU100" s="37"/>
      <c r="BV100" s="37"/>
      <c r="BW100" s="37"/>
      <c r="BX100" s="37"/>
    </row>
    <row r="101" spans="1:79" ht="10.5" hidden="1" customHeight="1" x14ac:dyDescent="0.2">
      <c r="A101" s="83" t="s">
        <v>154</v>
      </c>
      <c r="B101" s="84"/>
      <c r="C101" s="84"/>
      <c r="D101" s="37" t="s">
        <v>57</v>
      </c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 t="s">
        <v>70</v>
      </c>
      <c r="R101" s="37"/>
      <c r="S101" s="37"/>
      <c r="T101" s="37"/>
      <c r="U101" s="37"/>
      <c r="V101" s="37" t="s">
        <v>71</v>
      </c>
      <c r="W101" s="37"/>
      <c r="X101" s="37"/>
      <c r="Y101" s="37"/>
      <c r="Z101" s="37"/>
      <c r="AA101" s="37"/>
      <c r="AB101" s="37"/>
      <c r="AC101" s="37"/>
      <c r="AD101" s="37"/>
      <c r="AE101" s="37"/>
      <c r="AF101" s="62" t="s">
        <v>111</v>
      </c>
      <c r="AG101" s="62"/>
      <c r="AH101" s="62"/>
      <c r="AI101" s="62"/>
      <c r="AJ101" s="62"/>
      <c r="AK101" s="60" t="s">
        <v>112</v>
      </c>
      <c r="AL101" s="60"/>
      <c r="AM101" s="60"/>
      <c r="AN101" s="60"/>
      <c r="AO101" s="60"/>
      <c r="AP101" s="80" t="s">
        <v>177</v>
      </c>
      <c r="AQ101" s="80"/>
      <c r="AR101" s="80"/>
      <c r="AS101" s="80"/>
      <c r="AT101" s="80"/>
      <c r="AU101" s="62" t="s">
        <v>113</v>
      </c>
      <c r="AV101" s="62"/>
      <c r="AW101" s="62"/>
      <c r="AX101" s="62"/>
      <c r="AY101" s="62"/>
      <c r="AZ101" s="60" t="s">
        <v>114</v>
      </c>
      <c r="BA101" s="60"/>
      <c r="BB101" s="60"/>
      <c r="BC101" s="60"/>
      <c r="BD101" s="60"/>
      <c r="BE101" s="80" t="s">
        <v>177</v>
      </c>
      <c r="BF101" s="80"/>
      <c r="BG101" s="80"/>
      <c r="BH101" s="80"/>
      <c r="BI101" s="80"/>
      <c r="BJ101" s="62" t="s">
        <v>105</v>
      </c>
      <c r="BK101" s="62"/>
      <c r="BL101" s="62"/>
      <c r="BM101" s="62"/>
      <c r="BN101" s="62"/>
      <c r="BO101" s="60" t="s">
        <v>106</v>
      </c>
      <c r="BP101" s="60"/>
      <c r="BQ101" s="60"/>
      <c r="BR101" s="60"/>
      <c r="BS101" s="60"/>
      <c r="BT101" s="80" t="s">
        <v>177</v>
      </c>
      <c r="BU101" s="80"/>
      <c r="BV101" s="80"/>
      <c r="BW101" s="80"/>
      <c r="BX101" s="80"/>
      <c r="CA101" t="s">
        <v>37</v>
      </c>
    </row>
    <row r="102" spans="1:79" s="5" customFormat="1" ht="15" customHeight="1" x14ac:dyDescent="0.2">
      <c r="A102" s="38">
        <v>0</v>
      </c>
      <c r="B102" s="39"/>
      <c r="C102" s="39"/>
      <c r="D102" s="41" t="s">
        <v>176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CA102" s="5" t="s">
        <v>38</v>
      </c>
    </row>
    <row r="103" spans="1:79" s="5" customFormat="1" ht="42.75" customHeight="1" x14ac:dyDescent="0.2">
      <c r="A103" s="38">
        <v>0</v>
      </c>
      <c r="B103" s="39"/>
      <c r="C103" s="39"/>
      <c r="D103" s="40" t="s">
        <v>178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41" t="s">
        <v>179</v>
      </c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35">
        <v>392</v>
      </c>
      <c r="AG103" s="35"/>
      <c r="AH103" s="35"/>
      <c r="AI103" s="35"/>
      <c r="AJ103" s="35"/>
      <c r="AK103" s="35">
        <v>0</v>
      </c>
      <c r="AL103" s="35"/>
      <c r="AM103" s="35"/>
      <c r="AN103" s="35"/>
      <c r="AO103" s="35"/>
      <c r="AP103" s="35">
        <v>392</v>
      </c>
      <c r="AQ103" s="35"/>
      <c r="AR103" s="35"/>
      <c r="AS103" s="35"/>
      <c r="AT103" s="35"/>
      <c r="AU103" s="35">
        <v>909</v>
      </c>
      <c r="AV103" s="35"/>
      <c r="AW103" s="35"/>
      <c r="AX103" s="35"/>
      <c r="AY103" s="35"/>
      <c r="AZ103" s="35">
        <v>0</v>
      </c>
      <c r="BA103" s="35"/>
      <c r="BB103" s="35"/>
      <c r="BC103" s="35"/>
      <c r="BD103" s="35"/>
      <c r="BE103" s="35">
        <v>909</v>
      </c>
      <c r="BF103" s="35"/>
      <c r="BG103" s="35"/>
      <c r="BH103" s="35"/>
      <c r="BI103" s="35"/>
      <c r="BJ103" s="35">
        <v>1159</v>
      </c>
      <c r="BK103" s="35"/>
      <c r="BL103" s="35"/>
      <c r="BM103" s="35"/>
      <c r="BN103" s="35"/>
      <c r="BO103" s="35">
        <v>0</v>
      </c>
      <c r="BP103" s="35"/>
      <c r="BQ103" s="35"/>
      <c r="BR103" s="35"/>
      <c r="BS103" s="35"/>
      <c r="BT103" s="35">
        <v>1159</v>
      </c>
      <c r="BU103" s="35"/>
      <c r="BV103" s="35"/>
      <c r="BW103" s="35"/>
      <c r="BX103" s="35"/>
    </row>
    <row r="104" spans="1:79" s="4" customFormat="1" ht="15" customHeight="1" x14ac:dyDescent="0.2">
      <c r="A104" s="33">
        <v>1</v>
      </c>
      <c r="B104" s="34"/>
      <c r="C104" s="34"/>
      <c r="D104" s="36" t="s">
        <v>180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30"/>
      <c r="Q104" s="37" t="s">
        <v>179</v>
      </c>
      <c r="R104" s="37"/>
      <c r="S104" s="37"/>
      <c r="T104" s="37"/>
      <c r="U104" s="37"/>
      <c r="V104" s="37" t="s">
        <v>181</v>
      </c>
      <c r="W104" s="37"/>
      <c r="X104" s="37"/>
      <c r="Y104" s="37"/>
      <c r="Z104" s="37"/>
      <c r="AA104" s="37"/>
      <c r="AB104" s="37"/>
      <c r="AC104" s="37"/>
      <c r="AD104" s="37"/>
      <c r="AE104" s="37"/>
      <c r="AF104" s="32">
        <v>287</v>
      </c>
      <c r="AG104" s="32"/>
      <c r="AH104" s="32"/>
      <c r="AI104" s="32"/>
      <c r="AJ104" s="32"/>
      <c r="AK104" s="32">
        <v>0</v>
      </c>
      <c r="AL104" s="32"/>
      <c r="AM104" s="32"/>
      <c r="AN104" s="32"/>
      <c r="AO104" s="32"/>
      <c r="AP104" s="32">
        <v>287</v>
      </c>
      <c r="AQ104" s="32"/>
      <c r="AR104" s="32"/>
      <c r="AS104" s="32"/>
      <c r="AT104" s="32"/>
      <c r="AU104" s="32">
        <v>740</v>
      </c>
      <c r="AV104" s="32"/>
      <c r="AW104" s="32"/>
      <c r="AX104" s="32"/>
      <c r="AY104" s="32"/>
      <c r="AZ104" s="32">
        <v>0</v>
      </c>
      <c r="BA104" s="32"/>
      <c r="BB104" s="32"/>
      <c r="BC104" s="32"/>
      <c r="BD104" s="32"/>
      <c r="BE104" s="32">
        <v>740</v>
      </c>
      <c r="BF104" s="32"/>
      <c r="BG104" s="32"/>
      <c r="BH104" s="32"/>
      <c r="BI104" s="32"/>
      <c r="BJ104" s="32">
        <v>970</v>
      </c>
      <c r="BK104" s="32"/>
      <c r="BL104" s="32"/>
      <c r="BM104" s="32"/>
      <c r="BN104" s="32"/>
      <c r="BO104" s="32">
        <v>0</v>
      </c>
      <c r="BP104" s="32"/>
      <c r="BQ104" s="32"/>
      <c r="BR104" s="32"/>
      <c r="BS104" s="32"/>
      <c r="BT104" s="32">
        <v>970</v>
      </c>
      <c r="BU104" s="32"/>
      <c r="BV104" s="32"/>
      <c r="BW104" s="32"/>
      <c r="BX104" s="32"/>
    </row>
    <row r="105" spans="1:79" s="5" customFormat="1" ht="45" customHeight="1" x14ac:dyDescent="0.2">
      <c r="A105" s="38">
        <v>0</v>
      </c>
      <c r="B105" s="39"/>
      <c r="C105" s="39"/>
      <c r="D105" s="40" t="s">
        <v>178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41" t="s">
        <v>179</v>
      </c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35">
        <v>392</v>
      </c>
      <c r="AG105" s="35"/>
      <c r="AH105" s="35"/>
      <c r="AI105" s="35"/>
      <c r="AJ105" s="35"/>
      <c r="AK105" s="35">
        <v>0</v>
      </c>
      <c r="AL105" s="35"/>
      <c r="AM105" s="35"/>
      <c r="AN105" s="35"/>
      <c r="AO105" s="35"/>
      <c r="AP105" s="35">
        <v>392</v>
      </c>
      <c r="AQ105" s="35"/>
      <c r="AR105" s="35"/>
      <c r="AS105" s="35"/>
      <c r="AT105" s="35"/>
      <c r="AU105" s="35">
        <v>909</v>
      </c>
      <c r="AV105" s="35"/>
      <c r="AW105" s="35"/>
      <c r="AX105" s="35"/>
      <c r="AY105" s="35"/>
      <c r="AZ105" s="35">
        <v>0</v>
      </c>
      <c r="BA105" s="35"/>
      <c r="BB105" s="35"/>
      <c r="BC105" s="35"/>
      <c r="BD105" s="35"/>
      <c r="BE105" s="35">
        <v>909</v>
      </c>
      <c r="BF105" s="35"/>
      <c r="BG105" s="35"/>
      <c r="BH105" s="35"/>
      <c r="BI105" s="35"/>
      <c r="BJ105" s="35">
        <v>1159</v>
      </c>
      <c r="BK105" s="35"/>
      <c r="BL105" s="35"/>
      <c r="BM105" s="35"/>
      <c r="BN105" s="35"/>
      <c r="BO105" s="35">
        <v>0</v>
      </c>
      <c r="BP105" s="35"/>
      <c r="BQ105" s="35"/>
      <c r="BR105" s="35"/>
      <c r="BS105" s="35"/>
      <c r="BT105" s="35">
        <v>1159</v>
      </c>
      <c r="BU105" s="35"/>
      <c r="BV105" s="35"/>
      <c r="BW105" s="35"/>
      <c r="BX105" s="35"/>
    </row>
    <row r="106" spans="1:79" s="4" customFormat="1" ht="15" customHeight="1" x14ac:dyDescent="0.2">
      <c r="A106" s="33">
        <v>2</v>
      </c>
      <c r="B106" s="34"/>
      <c r="C106" s="34"/>
      <c r="D106" s="36" t="s">
        <v>182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30"/>
      <c r="Q106" s="37" t="s">
        <v>179</v>
      </c>
      <c r="R106" s="37"/>
      <c r="S106" s="37"/>
      <c r="T106" s="37"/>
      <c r="U106" s="37"/>
      <c r="V106" s="37" t="s">
        <v>181</v>
      </c>
      <c r="W106" s="37"/>
      <c r="X106" s="37"/>
      <c r="Y106" s="37"/>
      <c r="Z106" s="37"/>
      <c r="AA106" s="37"/>
      <c r="AB106" s="37"/>
      <c r="AC106" s="37"/>
      <c r="AD106" s="37"/>
      <c r="AE106" s="37"/>
      <c r="AF106" s="32">
        <v>105</v>
      </c>
      <c r="AG106" s="32"/>
      <c r="AH106" s="32"/>
      <c r="AI106" s="32"/>
      <c r="AJ106" s="32"/>
      <c r="AK106" s="32">
        <v>0</v>
      </c>
      <c r="AL106" s="32"/>
      <c r="AM106" s="32"/>
      <c r="AN106" s="32"/>
      <c r="AO106" s="32"/>
      <c r="AP106" s="32">
        <v>105</v>
      </c>
      <c r="AQ106" s="32"/>
      <c r="AR106" s="32"/>
      <c r="AS106" s="32"/>
      <c r="AT106" s="32"/>
      <c r="AU106" s="32">
        <v>169</v>
      </c>
      <c r="AV106" s="32"/>
      <c r="AW106" s="32"/>
      <c r="AX106" s="32"/>
      <c r="AY106" s="32"/>
      <c r="AZ106" s="32">
        <v>0</v>
      </c>
      <c r="BA106" s="32"/>
      <c r="BB106" s="32"/>
      <c r="BC106" s="32"/>
      <c r="BD106" s="32"/>
      <c r="BE106" s="32">
        <v>169</v>
      </c>
      <c r="BF106" s="32"/>
      <c r="BG106" s="32"/>
      <c r="BH106" s="32"/>
      <c r="BI106" s="32"/>
      <c r="BJ106" s="32">
        <v>189</v>
      </c>
      <c r="BK106" s="32"/>
      <c r="BL106" s="32"/>
      <c r="BM106" s="32"/>
      <c r="BN106" s="32"/>
      <c r="BO106" s="32">
        <v>0</v>
      </c>
      <c r="BP106" s="32"/>
      <c r="BQ106" s="32"/>
      <c r="BR106" s="32"/>
      <c r="BS106" s="32"/>
      <c r="BT106" s="32">
        <v>189</v>
      </c>
      <c r="BU106" s="32"/>
      <c r="BV106" s="32"/>
      <c r="BW106" s="32"/>
      <c r="BX106" s="32"/>
    </row>
    <row r="107" spans="1:79" s="5" customFormat="1" ht="15" customHeight="1" x14ac:dyDescent="0.2">
      <c r="A107" s="38">
        <v>0</v>
      </c>
      <c r="B107" s="39"/>
      <c r="C107" s="39"/>
      <c r="D107" s="40" t="s">
        <v>183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3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</row>
    <row r="108" spans="1:79" s="5" customFormat="1" ht="28.5" customHeight="1" x14ac:dyDescent="0.2">
      <c r="A108" s="38">
        <v>0</v>
      </c>
      <c r="B108" s="39"/>
      <c r="C108" s="39"/>
      <c r="D108" s="40" t="s">
        <v>184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3"/>
      <c r="Q108" s="41" t="s">
        <v>179</v>
      </c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35">
        <v>392</v>
      </c>
      <c r="AG108" s="35"/>
      <c r="AH108" s="35"/>
      <c r="AI108" s="35"/>
      <c r="AJ108" s="35"/>
      <c r="AK108" s="35">
        <v>0</v>
      </c>
      <c r="AL108" s="35"/>
      <c r="AM108" s="35"/>
      <c r="AN108" s="35"/>
      <c r="AO108" s="35"/>
      <c r="AP108" s="35">
        <v>392</v>
      </c>
      <c r="AQ108" s="35"/>
      <c r="AR108" s="35"/>
      <c r="AS108" s="35"/>
      <c r="AT108" s="35"/>
      <c r="AU108" s="35">
        <v>909</v>
      </c>
      <c r="AV108" s="35"/>
      <c r="AW108" s="35"/>
      <c r="AX108" s="35"/>
      <c r="AY108" s="35"/>
      <c r="AZ108" s="35">
        <v>0</v>
      </c>
      <c r="BA108" s="35"/>
      <c r="BB108" s="35"/>
      <c r="BC108" s="35"/>
      <c r="BD108" s="35"/>
      <c r="BE108" s="35">
        <v>909</v>
      </c>
      <c r="BF108" s="35"/>
      <c r="BG108" s="35"/>
      <c r="BH108" s="35"/>
      <c r="BI108" s="35"/>
      <c r="BJ108" s="35">
        <v>1159</v>
      </c>
      <c r="BK108" s="35"/>
      <c r="BL108" s="35"/>
      <c r="BM108" s="35"/>
      <c r="BN108" s="35"/>
      <c r="BO108" s="35">
        <v>0</v>
      </c>
      <c r="BP108" s="35"/>
      <c r="BQ108" s="35"/>
      <c r="BR108" s="35"/>
      <c r="BS108" s="35"/>
      <c r="BT108" s="35">
        <v>1159</v>
      </c>
      <c r="BU108" s="35"/>
      <c r="BV108" s="35"/>
      <c r="BW108" s="35"/>
      <c r="BX108" s="35"/>
    </row>
    <row r="109" spans="1:79" s="4" customFormat="1" ht="15" customHeight="1" x14ac:dyDescent="0.2">
      <c r="A109" s="33">
        <v>1</v>
      </c>
      <c r="B109" s="34"/>
      <c r="C109" s="34"/>
      <c r="D109" s="36" t="s">
        <v>180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30"/>
      <c r="Q109" s="37" t="s">
        <v>179</v>
      </c>
      <c r="R109" s="37"/>
      <c r="S109" s="37"/>
      <c r="T109" s="37"/>
      <c r="U109" s="37"/>
      <c r="V109" s="37" t="s">
        <v>181</v>
      </c>
      <c r="W109" s="37"/>
      <c r="X109" s="37"/>
      <c r="Y109" s="37"/>
      <c r="Z109" s="37"/>
      <c r="AA109" s="37"/>
      <c r="AB109" s="37"/>
      <c r="AC109" s="37"/>
      <c r="AD109" s="37"/>
      <c r="AE109" s="37"/>
      <c r="AF109" s="32">
        <v>287</v>
      </c>
      <c r="AG109" s="32"/>
      <c r="AH109" s="32"/>
      <c r="AI109" s="32"/>
      <c r="AJ109" s="32"/>
      <c r="AK109" s="32">
        <v>0</v>
      </c>
      <c r="AL109" s="32"/>
      <c r="AM109" s="32"/>
      <c r="AN109" s="32"/>
      <c r="AO109" s="32"/>
      <c r="AP109" s="32">
        <v>287</v>
      </c>
      <c r="AQ109" s="32"/>
      <c r="AR109" s="32"/>
      <c r="AS109" s="32"/>
      <c r="AT109" s="32"/>
      <c r="AU109" s="32">
        <v>740</v>
      </c>
      <c r="AV109" s="32"/>
      <c r="AW109" s="32"/>
      <c r="AX109" s="32"/>
      <c r="AY109" s="32"/>
      <c r="AZ109" s="32">
        <v>0</v>
      </c>
      <c r="BA109" s="32"/>
      <c r="BB109" s="32"/>
      <c r="BC109" s="32"/>
      <c r="BD109" s="32"/>
      <c r="BE109" s="32">
        <v>740</v>
      </c>
      <c r="BF109" s="32"/>
      <c r="BG109" s="32"/>
      <c r="BH109" s="32"/>
      <c r="BI109" s="32"/>
      <c r="BJ109" s="32">
        <v>970</v>
      </c>
      <c r="BK109" s="32"/>
      <c r="BL109" s="32"/>
      <c r="BM109" s="32"/>
      <c r="BN109" s="32"/>
      <c r="BO109" s="32">
        <v>0</v>
      </c>
      <c r="BP109" s="32"/>
      <c r="BQ109" s="32"/>
      <c r="BR109" s="32"/>
      <c r="BS109" s="32"/>
      <c r="BT109" s="32">
        <v>970</v>
      </c>
      <c r="BU109" s="32"/>
      <c r="BV109" s="32"/>
      <c r="BW109" s="32"/>
      <c r="BX109" s="32"/>
    </row>
    <row r="110" spans="1:79" s="5" customFormat="1" ht="30" customHeight="1" x14ac:dyDescent="0.2">
      <c r="A110" s="38">
        <v>0</v>
      </c>
      <c r="B110" s="39"/>
      <c r="C110" s="39"/>
      <c r="D110" s="40" t="s">
        <v>184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3"/>
      <c r="Q110" s="41" t="s">
        <v>179</v>
      </c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35">
        <v>392</v>
      </c>
      <c r="AG110" s="35"/>
      <c r="AH110" s="35"/>
      <c r="AI110" s="35"/>
      <c r="AJ110" s="35"/>
      <c r="AK110" s="35">
        <v>0</v>
      </c>
      <c r="AL110" s="35"/>
      <c r="AM110" s="35"/>
      <c r="AN110" s="35"/>
      <c r="AO110" s="35"/>
      <c r="AP110" s="35">
        <v>392</v>
      </c>
      <c r="AQ110" s="35"/>
      <c r="AR110" s="35"/>
      <c r="AS110" s="35"/>
      <c r="AT110" s="35"/>
      <c r="AU110" s="35">
        <v>909</v>
      </c>
      <c r="AV110" s="35"/>
      <c r="AW110" s="35"/>
      <c r="AX110" s="35"/>
      <c r="AY110" s="35"/>
      <c r="AZ110" s="35">
        <v>0</v>
      </c>
      <c r="BA110" s="35"/>
      <c r="BB110" s="35"/>
      <c r="BC110" s="35"/>
      <c r="BD110" s="35"/>
      <c r="BE110" s="35">
        <v>909</v>
      </c>
      <c r="BF110" s="35"/>
      <c r="BG110" s="35"/>
      <c r="BH110" s="35"/>
      <c r="BI110" s="35"/>
      <c r="BJ110" s="35">
        <v>1159</v>
      </c>
      <c r="BK110" s="35"/>
      <c r="BL110" s="35"/>
      <c r="BM110" s="35"/>
      <c r="BN110" s="35"/>
      <c r="BO110" s="35">
        <v>0</v>
      </c>
      <c r="BP110" s="35"/>
      <c r="BQ110" s="35"/>
      <c r="BR110" s="35"/>
      <c r="BS110" s="35"/>
      <c r="BT110" s="35">
        <v>1159</v>
      </c>
      <c r="BU110" s="35"/>
      <c r="BV110" s="35"/>
      <c r="BW110" s="35"/>
      <c r="BX110" s="35"/>
    </row>
    <row r="111" spans="1:79" s="4" customFormat="1" ht="15" customHeight="1" x14ac:dyDescent="0.2">
      <c r="A111" s="33">
        <v>2</v>
      </c>
      <c r="B111" s="34"/>
      <c r="C111" s="34"/>
      <c r="D111" s="36" t="s">
        <v>182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30"/>
      <c r="Q111" s="37" t="s">
        <v>179</v>
      </c>
      <c r="R111" s="37"/>
      <c r="S111" s="37"/>
      <c r="T111" s="37"/>
      <c r="U111" s="37"/>
      <c r="V111" s="37" t="s">
        <v>181</v>
      </c>
      <c r="W111" s="37"/>
      <c r="X111" s="37"/>
      <c r="Y111" s="37"/>
      <c r="Z111" s="37"/>
      <c r="AA111" s="37"/>
      <c r="AB111" s="37"/>
      <c r="AC111" s="37"/>
      <c r="AD111" s="37"/>
      <c r="AE111" s="37"/>
      <c r="AF111" s="32">
        <v>105</v>
      </c>
      <c r="AG111" s="32"/>
      <c r="AH111" s="32"/>
      <c r="AI111" s="32"/>
      <c r="AJ111" s="32"/>
      <c r="AK111" s="32">
        <v>0</v>
      </c>
      <c r="AL111" s="32"/>
      <c r="AM111" s="32"/>
      <c r="AN111" s="32"/>
      <c r="AO111" s="32"/>
      <c r="AP111" s="32">
        <v>105</v>
      </c>
      <c r="AQ111" s="32"/>
      <c r="AR111" s="32"/>
      <c r="AS111" s="32"/>
      <c r="AT111" s="32"/>
      <c r="AU111" s="32">
        <v>169</v>
      </c>
      <c r="AV111" s="32"/>
      <c r="AW111" s="32"/>
      <c r="AX111" s="32"/>
      <c r="AY111" s="32"/>
      <c r="AZ111" s="32">
        <v>0</v>
      </c>
      <c r="BA111" s="32"/>
      <c r="BB111" s="32"/>
      <c r="BC111" s="32"/>
      <c r="BD111" s="32"/>
      <c r="BE111" s="32">
        <v>169</v>
      </c>
      <c r="BF111" s="32"/>
      <c r="BG111" s="32"/>
      <c r="BH111" s="32"/>
      <c r="BI111" s="32"/>
      <c r="BJ111" s="32">
        <v>189</v>
      </c>
      <c r="BK111" s="32"/>
      <c r="BL111" s="32"/>
      <c r="BM111" s="32"/>
      <c r="BN111" s="32"/>
      <c r="BO111" s="32">
        <v>0</v>
      </c>
      <c r="BP111" s="32"/>
      <c r="BQ111" s="32"/>
      <c r="BR111" s="32"/>
      <c r="BS111" s="32"/>
      <c r="BT111" s="32">
        <v>189</v>
      </c>
      <c r="BU111" s="32"/>
      <c r="BV111" s="32"/>
      <c r="BW111" s="32"/>
      <c r="BX111" s="32"/>
    </row>
    <row r="112" spans="1:79" s="5" customFormat="1" ht="15" customHeight="1" x14ac:dyDescent="0.2">
      <c r="A112" s="38">
        <v>0</v>
      </c>
      <c r="B112" s="39"/>
      <c r="C112" s="39"/>
      <c r="D112" s="40" t="s">
        <v>185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3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</row>
    <row r="113" spans="1:79" s="5" customFormat="1" ht="28.5" customHeight="1" x14ac:dyDescent="0.2">
      <c r="A113" s="38">
        <v>0</v>
      </c>
      <c r="B113" s="39"/>
      <c r="C113" s="39"/>
      <c r="D113" s="40" t="s">
        <v>186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41" t="s">
        <v>187</v>
      </c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35">
        <v>4409</v>
      </c>
      <c r="AG113" s="35"/>
      <c r="AH113" s="35"/>
      <c r="AI113" s="35"/>
      <c r="AJ113" s="35"/>
      <c r="AK113" s="35">
        <v>0</v>
      </c>
      <c r="AL113" s="35"/>
      <c r="AM113" s="35"/>
      <c r="AN113" s="35"/>
      <c r="AO113" s="35"/>
      <c r="AP113" s="35">
        <v>4409</v>
      </c>
      <c r="AQ113" s="35"/>
      <c r="AR113" s="35"/>
      <c r="AS113" s="35"/>
      <c r="AT113" s="35"/>
      <c r="AU113" s="35">
        <v>3473</v>
      </c>
      <c r="AV113" s="35"/>
      <c r="AW113" s="35"/>
      <c r="AX113" s="35"/>
      <c r="AY113" s="35"/>
      <c r="AZ113" s="35">
        <v>0</v>
      </c>
      <c r="BA113" s="35"/>
      <c r="BB113" s="35"/>
      <c r="BC113" s="35"/>
      <c r="BD113" s="35"/>
      <c r="BE113" s="35">
        <v>3473</v>
      </c>
      <c r="BF113" s="35"/>
      <c r="BG113" s="35"/>
      <c r="BH113" s="35"/>
      <c r="BI113" s="35"/>
      <c r="BJ113" s="35">
        <v>5739</v>
      </c>
      <c r="BK113" s="35"/>
      <c r="BL113" s="35"/>
      <c r="BM113" s="35"/>
      <c r="BN113" s="35"/>
      <c r="BO113" s="35">
        <v>0</v>
      </c>
      <c r="BP113" s="35"/>
      <c r="BQ113" s="35"/>
      <c r="BR113" s="35"/>
      <c r="BS113" s="35"/>
      <c r="BT113" s="35">
        <v>5739</v>
      </c>
      <c r="BU113" s="35"/>
      <c r="BV113" s="35"/>
      <c r="BW113" s="35"/>
      <c r="BX113" s="35"/>
    </row>
    <row r="114" spans="1:79" s="4" customFormat="1" ht="15" customHeight="1" x14ac:dyDescent="0.2">
      <c r="A114" s="33">
        <v>1</v>
      </c>
      <c r="B114" s="34"/>
      <c r="C114" s="34"/>
      <c r="D114" s="36" t="s">
        <v>180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30"/>
      <c r="Q114" s="37" t="s">
        <v>187</v>
      </c>
      <c r="R114" s="37"/>
      <c r="S114" s="37"/>
      <c r="T114" s="37"/>
      <c r="U114" s="37"/>
      <c r="V114" s="36" t="s">
        <v>188</v>
      </c>
      <c r="W114" s="29"/>
      <c r="X114" s="29"/>
      <c r="Y114" s="29"/>
      <c r="Z114" s="29"/>
      <c r="AA114" s="29"/>
      <c r="AB114" s="29"/>
      <c r="AC114" s="29"/>
      <c r="AD114" s="29"/>
      <c r="AE114" s="30"/>
      <c r="AF114" s="32">
        <v>1031</v>
      </c>
      <c r="AG114" s="32"/>
      <c r="AH114" s="32"/>
      <c r="AI114" s="32"/>
      <c r="AJ114" s="32"/>
      <c r="AK114" s="32">
        <v>0</v>
      </c>
      <c r="AL114" s="32"/>
      <c r="AM114" s="32"/>
      <c r="AN114" s="32"/>
      <c r="AO114" s="32"/>
      <c r="AP114" s="32">
        <v>1031</v>
      </c>
      <c r="AQ114" s="32"/>
      <c r="AR114" s="32"/>
      <c r="AS114" s="32"/>
      <c r="AT114" s="32"/>
      <c r="AU114" s="32">
        <v>946</v>
      </c>
      <c r="AV114" s="32"/>
      <c r="AW114" s="32"/>
      <c r="AX114" s="32"/>
      <c r="AY114" s="32"/>
      <c r="AZ114" s="32">
        <v>0</v>
      </c>
      <c r="BA114" s="32"/>
      <c r="BB114" s="32"/>
      <c r="BC114" s="32"/>
      <c r="BD114" s="32"/>
      <c r="BE114" s="32">
        <v>946</v>
      </c>
      <c r="BF114" s="32"/>
      <c r="BG114" s="32"/>
      <c r="BH114" s="32"/>
      <c r="BI114" s="32"/>
      <c r="BJ114" s="32">
        <v>2796</v>
      </c>
      <c r="BK114" s="32"/>
      <c r="BL114" s="32"/>
      <c r="BM114" s="32"/>
      <c r="BN114" s="32"/>
      <c r="BO114" s="32">
        <v>0</v>
      </c>
      <c r="BP114" s="32"/>
      <c r="BQ114" s="32"/>
      <c r="BR114" s="32"/>
      <c r="BS114" s="32"/>
      <c r="BT114" s="32">
        <v>2796</v>
      </c>
      <c r="BU114" s="32"/>
      <c r="BV114" s="32"/>
      <c r="BW114" s="32"/>
      <c r="BX114" s="32"/>
    </row>
    <row r="115" spans="1:79" s="5" customFormat="1" ht="30" customHeight="1" x14ac:dyDescent="0.2">
      <c r="A115" s="38">
        <v>0</v>
      </c>
      <c r="B115" s="39"/>
      <c r="C115" s="39"/>
      <c r="D115" s="40" t="s">
        <v>186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3"/>
      <c r="Q115" s="41" t="s">
        <v>187</v>
      </c>
      <c r="R115" s="41"/>
      <c r="S115" s="41"/>
      <c r="T115" s="41"/>
      <c r="U115" s="41"/>
      <c r="V115" s="40"/>
      <c r="W115" s="22"/>
      <c r="X115" s="22"/>
      <c r="Y115" s="22"/>
      <c r="Z115" s="22"/>
      <c r="AA115" s="22"/>
      <c r="AB115" s="22"/>
      <c r="AC115" s="22"/>
      <c r="AD115" s="22"/>
      <c r="AE115" s="23"/>
      <c r="AF115" s="35">
        <v>4409</v>
      </c>
      <c r="AG115" s="35"/>
      <c r="AH115" s="35"/>
      <c r="AI115" s="35"/>
      <c r="AJ115" s="35"/>
      <c r="AK115" s="35">
        <v>0</v>
      </c>
      <c r="AL115" s="35"/>
      <c r="AM115" s="35"/>
      <c r="AN115" s="35"/>
      <c r="AO115" s="35"/>
      <c r="AP115" s="35">
        <v>4409</v>
      </c>
      <c r="AQ115" s="35"/>
      <c r="AR115" s="35"/>
      <c r="AS115" s="35"/>
      <c r="AT115" s="35"/>
      <c r="AU115" s="35">
        <v>3473</v>
      </c>
      <c r="AV115" s="35"/>
      <c r="AW115" s="35"/>
      <c r="AX115" s="35"/>
      <c r="AY115" s="35"/>
      <c r="AZ115" s="35">
        <v>0</v>
      </c>
      <c r="BA115" s="35"/>
      <c r="BB115" s="35"/>
      <c r="BC115" s="35"/>
      <c r="BD115" s="35"/>
      <c r="BE115" s="35">
        <v>3473</v>
      </c>
      <c r="BF115" s="35"/>
      <c r="BG115" s="35"/>
      <c r="BH115" s="35"/>
      <c r="BI115" s="35"/>
      <c r="BJ115" s="35">
        <v>5739</v>
      </c>
      <c r="BK115" s="35"/>
      <c r="BL115" s="35"/>
      <c r="BM115" s="35"/>
      <c r="BN115" s="35"/>
      <c r="BO115" s="35">
        <v>0</v>
      </c>
      <c r="BP115" s="35"/>
      <c r="BQ115" s="35"/>
      <c r="BR115" s="35"/>
      <c r="BS115" s="35"/>
      <c r="BT115" s="35">
        <v>5739</v>
      </c>
      <c r="BU115" s="35"/>
      <c r="BV115" s="35"/>
      <c r="BW115" s="35"/>
      <c r="BX115" s="35"/>
    </row>
    <row r="116" spans="1:79" s="4" customFormat="1" ht="15" customHeight="1" x14ac:dyDescent="0.2">
      <c r="A116" s="33">
        <v>2</v>
      </c>
      <c r="B116" s="34"/>
      <c r="C116" s="34"/>
      <c r="D116" s="36" t="s">
        <v>182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30"/>
      <c r="Q116" s="37" t="s">
        <v>187</v>
      </c>
      <c r="R116" s="37"/>
      <c r="S116" s="37"/>
      <c r="T116" s="37"/>
      <c r="U116" s="37"/>
      <c r="V116" s="36" t="s">
        <v>188</v>
      </c>
      <c r="W116" s="29"/>
      <c r="X116" s="29"/>
      <c r="Y116" s="29"/>
      <c r="Z116" s="29"/>
      <c r="AA116" s="29"/>
      <c r="AB116" s="29"/>
      <c r="AC116" s="29"/>
      <c r="AD116" s="29"/>
      <c r="AE116" s="30"/>
      <c r="AF116" s="32">
        <v>3378</v>
      </c>
      <c r="AG116" s="32"/>
      <c r="AH116" s="32"/>
      <c r="AI116" s="32"/>
      <c r="AJ116" s="32"/>
      <c r="AK116" s="32">
        <v>0</v>
      </c>
      <c r="AL116" s="32"/>
      <c r="AM116" s="32"/>
      <c r="AN116" s="32"/>
      <c r="AO116" s="32"/>
      <c r="AP116" s="32">
        <v>3378</v>
      </c>
      <c r="AQ116" s="32"/>
      <c r="AR116" s="32"/>
      <c r="AS116" s="32"/>
      <c r="AT116" s="32"/>
      <c r="AU116" s="32">
        <v>2527</v>
      </c>
      <c r="AV116" s="32"/>
      <c r="AW116" s="32"/>
      <c r="AX116" s="32"/>
      <c r="AY116" s="32"/>
      <c r="AZ116" s="32">
        <v>0</v>
      </c>
      <c r="BA116" s="32"/>
      <c r="BB116" s="32"/>
      <c r="BC116" s="32"/>
      <c r="BD116" s="32"/>
      <c r="BE116" s="32">
        <v>2527</v>
      </c>
      <c r="BF116" s="32"/>
      <c r="BG116" s="32"/>
      <c r="BH116" s="32"/>
      <c r="BI116" s="32"/>
      <c r="BJ116" s="32">
        <v>2943</v>
      </c>
      <c r="BK116" s="32"/>
      <c r="BL116" s="32"/>
      <c r="BM116" s="32"/>
      <c r="BN116" s="32"/>
      <c r="BO116" s="32">
        <v>0</v>
      </c>
      <c r="BP116" s="32"/>
      <c r="BQ116" s="32"/>
      <c r="BR116" s="32"/>
      <c r="BS116" s="32"/>
      <c r="BT116" s="32">
        <v>2943</v>
      </c>
      <c r="BU116" s="32"/>
      <c r="BV116" s="32"/>
      <c r="BW116" s="32"/>
      <c r="BX116" s="32"/>
    </row>
    <row r="117" spans="1:79" s="5" customFormat="1" ht="15" customHeight="1" x14ac:dyDescent="0.2">
      <c r="A117" s="38">
        <v>0</v>
      </c>
      <c r="B117" s="39"/>
      <c r="C117" s="39"/>
      <c r="D117" s="40" t="s">
        <v>189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41"/>
      <c r="R117" s="41"/>
      <c r="S117" s="41"/>
      <c r="T117" s="41"/>
      <c r="U117" s="41"/>
      <c r="V117" s="40"/>
      <c r="W117" s="22"/>
      <c r="X117" s="22"/>
      <c r="Y117" s="22"/>
      <c r="Z117" s="22"/>
      <c r="AA117" s="22"/>
      <c r="AB117" s="22"/>
      <c r="AC117" s="22"/>
      <c r="AD117" s="22"/>
      <c r="AE117" s="23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</row>
    <row r="118" spans="1:79" s="5" customFormat="1" ht="28.5" customHeight="1" x14ac:dyDescent="0.2">
      <c r="A118" s="38">
        <v>0</v>
      </c>
      <c r="B118" s="39"/>
      <c r="C118" s="39"/>
      <c r="D118" s="40" t="s">
        <v>190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41" t="s">
        <v>191</v>
      </c>
      <c r="R118" s="41"/>
      <c r="S118" s="41"/>
      <c r="T118" s="41"/>
      <c r="U118" s="41"/>
      <c r="V118" s="40"/>
      <c r="W118" s="22"/>
      <c r="X118" s="22"/>
      <c r="Y118" s="22"/>
      <c r="Z118" s="22"/>
      <c r="AA118" s="22"/>
      <c r="AB118" s="22"/>
      <c r="AC118" s="22"/>
      <c r="AD118" s="22"/>
      <c r="AE118" s="23"/>
      <c r="AF118" s="35">
        <v>200</v>
      </c>
      <c r="AG118" s="35"/>
      <c r="AH118" s="35"/>
      <c r="AI118" s="35"/>
      <c r="AJ118" s="35"/>
      <c r="AK118" s="35">
        <v>0</v>
      </c>
      <c r="AL118" s="35"/>
      <c r="AM118" s="35"/>
      <c r="AN118" s="35"/>
      <c r="AO118" s="35"/>
      <c r="AP118" s="35">
        <v>200</v>
      </c>
      <c r="AQ118" s="35"/>
      <c r="AR118" s="35"/>
      <c r="AS118" s="35"/>
      <c r="AT118" s="35"/>
      <c r="AU118" s="35">
        <v>200</v>
      </c>
      <c r="AV118" s="35"/>
      <c r="AW118" s="35"/>
      <c r="AX118" s="35"/>
      <c r="AY118" s="35"/>
      <c r="AZ118" s="35">
        <v>0</v>
      </c>
      <c r="BA118" s="35"/>
      <c r="BB118" s="35"/>
      <c r="BC118" s="35"/>
      <c r="BD118" s="35"/>
      <c r="BE118" s="35">
        <v>200</v>
      </c>
      <c r="BF118" s="35"/>
      <c r="BG118" s="35"/>
      <c r="BH118" s="35"/>
      <c r="BI118" s="35"/>
      <c r="BJ118" s="35">
        <v>200</v>
      </c>
      <c r="BK118" s="35"/>
      <c r="BL118" s="35"/>
      <c r="BM118" s="35"/>
      <c r="BN118" s="35"/>
      <c r="BO118" s="35">
        <v>0</v>
      </c>
      <c r="BP118" s="35"/>
      <c r="BQ118" s="35"/>
      <c r="BR118" s="35"/>
      <c r="BS118" s="35"/>
      <c r="BT118" s="35">
        <v>200</v>
      </c>
      <c r="BU118" s="35"/>
      <c r="BV118" s="35"/>
      <c r="BW118" s="35"/>
      <c r="BX118" s="35"/>
    </row>
    <row r="119" spans="1:79" s="4" customFormat="1" ht="15" customHeight="1" x14ac:dyDescent="0.2">
      <c r="A119" s="33">
        <v>1</v>
      </c>
      <c r="B119" s="34"/>
      <c r="C119" s="34"/>
      <c r="D119" s="36" t="s">
        <v>180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30"/>
      <c r="Q119" s="37" t="s">
        <v>191</v>
      </c>
      <c r="R119" s="37"/>
      <c r="S119" s="37"/>
      <c r="T119" s="37"/>
      <c r="U119" s="37"/>
      <c r="V119" s="36" t="s">
        <v>181</v>
      </c>
      <c r="W119" s="29"/>
      <c r="X119" s="29"/>
      <c r="Y119" s="29"/>
      <c r="Z119" s="29"/>
      <c r="AA119" s="29"/>
      <c r="AB119" s="29"/>
      <c r="AC119" s="29"/>
      <c r="AD119" s="29"/>
      <c r="AE119" s="30"/>
      <c r="AF119" s="32">
        <v>100</v>
      </c>
      <c r="AG119" s="32"/>
      <c r="AH119" s="32"/>
      <c r="AI119" s="32"/>
      <c r="AJ119" s="32"/>
      <c r="AK119" s="32">
        <v>0</v>
      </c>
      <c r="AL119" s="32"/>
      <c r="AM119" s="32"/>
      <c r="AN119" s="32"/>
      <c r="AO119" s="32"/>
      <c r="AP119" s="32">
        <v>100</v>
      </c>
      <c r="AQ119" s="32"/>
      <c r="AR119" s="32"/>
      <c r="AS119" s="32"/>
      <c r="AT119" s="32"/>
      <c r="AU119" s="32">
        <v>100</v>
      </c>
      <c r="AV119" s="32"/>
      <c r="AW119" s="32"/>
      <c r="AX119" s="32"/>
      <c r="AY119" s="32"/>
      <c r="AZ119" s="32">
        <v>0</v>
      </c>
      <c r="BA119" s="32"/>
      <c r="BB119" s="32"/>
      <c r="BC119" s="32"/>
      <c r="BD119" s="32"/>
      <c r="BE119" s="32">
        <v>100</v>
      </c>
      <c r="BF119" s="32"/>
      <c r="BG119" s="32"/>
      <c r="BH119" s="32"/>
      <c r="BI119" s="32"/>
      <c r="BJ119" s="32">
        <v>100</v>
      </c>
      <c r="BK119" s="32"/>
      <c r="BL119" s="32"/>
      <c r="BM119" s="32"/>
      <c r="BN119" s="32"/>
      <c r="BO119" s="32">
        <v>0</v>
      </c>
      <c r="BP119" s="32"/>
      <c r="BQ119" s="32"/>
      <c r="BR119" s="32"/>
      <c r="BS119" s="32"/>
      <c r="BT119" s="32">
        <v>100</v>
      </c>
      <c r="BU119" s="32"/>
      <c r="BV119" s="32"/>
      <c r="BW119" s="32"/>
      <c r="BX119" s="32"/>
    </row>
    <row r="120" spans="1:79" s="5" customFormat="1" ht="30" customHeight="1" x14ac:dyDescent="0.2">
      <c r="A120" s="38">
        <v>0</v>
      </c>
      <c r="B120" s="39"/>
      <c r="C120" s="39"/>
      <c r="D120" s="40" t="s">
        <v>190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3"/>
      <c r="Q120" s="41" t="s">
        <v>191</v>
      </c>
      <c r="R120" s="41"/>
      <c r="S120" s="41"/>
      <c r="T120" s="41"/>
      <c r="U120" s="41"/>
      <c r="V120" s="40"/>
      <c r="W120" s="22"/>
      <c r="X120" s="22"/>
      <c r="Y120" s="22"/>
      <c r="Z120" s="22"/>
      <c r="AA120" s="22"/>
      <c r="AB120" s="22"/>
      <c r="AC120" s="22"/>
      <c r="AD120" s="22"/>
      <c r="AE120" s="23"/>
      <c r="AF120" s="35">
        <v>200</v>
      </c>
      <c r="AG120" s="35"/>
      <c r="AH120" s="35"/>
      <c r="AI120" s="35"/>
      <c r="AJ120" s="35"/>
      <c r="AK120" s="35">
        <v>0</v>
      </c>
      <c r="AL120" s="35"/>
      <c r="AM120" s="35"/>
      <c r="AN120" s="35"/>
      <c r="AO120" s="35"/>
      <c r="AP120" s="35">
        <v>200</v>
      </c>
      <c r="AQ120" s="35"/>
      <c r="AR120" s="35"/>
      <c r="AS120" s="35"/>
      <c r="AT120" s="35"/>
      <c r="AU120" s="35">
        <v>200</v>
      </c>
      <c r="AV120" s="35"/>
      <c r="AW120" s="35"/>
      <c r="AX120" s="35"/>
      <c r="AY120" s="35"/>
      <c r="AZ120" s="35">
        <v>0</v>
      </c>
      <c r="BA120" s="35"/>
      <c r="BB120" s="35"/>
      <c r="BC120" s="35"/>
      <c r="BD120" s="35"/>
      <c r="BE120" s="35">
        <v>200</v>
      </c>
      <c r="BF120" s="35"/>
      <c r="BG120" s="35"/>
      <c r="BH120" s="35"/>
      <c r="BI120" s="35"/>
      <c r="BJ120" s="35">
        <v>200</v>
      </c>
      <c r="BK120" s="35"/>
      <c r="BL120" s="35"/>
      <c r="BM120" s="35"/>
      <c r="BN120" s="35"/>
      <c r="BO120" s="35">
        <v>0</v>
      </c>
      <c r="BP120" s="35"/>
      <c r="BQ120" s="35"/>
      <c r="BR120" s="35"/>
      <c r="BS120" s="35"/>
      <c r="BT120" s="35">
        <v>200</v>
      </c>
      <c r="BU120" s="35"/>
      <c r="BV120" s="35"/>
      <c r="BW120" s="35"/>
      <c r="BX120" s="35"/>
    </row>
    <row r="121" spans="1:79" s="4" customFormat="1" ht="15" customHeight="1" x14ac:dyDescent="0.2">
      <c r="A121" s="33">
        <v>2</v>
      </c>
      <c r="B121" s="34"/>
      <c r="C121" s="34"/>
      <c r="D121" s="36" t="s">
        <v>182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30"/>
      <c r="Q121" s="37" t="s">
        <v>191</v>
      </c>
      <c r="R121" s="37"/>
      <c r="S121" s="37"/>
      <c r="T121" s="37"/>
      <c r="U121" s="37"/>
      <c r="V121" s="36" t="s">
        <v>181</v>
      </c>
      <c r="W121" s="29"/>
      <c r="X121" s="29"/>
      <c r="Y121" s="29"/>
      <c r="Z121" s="29"/>
      <c r="AA121" s="29"/>
      <c r="AB121" s="29"/>
      <c r="AC121" s="29"/>
      <c r="AD121" s="29"/>
      <c r="AE121" s="30"/>
      <c r="AF121" s="32">
        <v>100</v>
      </c>
      <c r="AG121" s="32"/>
      <c r="AH121" s="32"/>
      <c r="AI121" s="32"/>
      <c r="AJ121" s="32"/>
      <c r="AK121" s="32">
        <v>0</v>
      </c>
      <c r="AL121" s="32"/>
      <c r="AM121" s="32"/>
      <c r="AN121" s="32"/>
      <c r="AO121" s="32"/>
      <c r="AP121" s="32">
        <v>100</v>
      </c>
      <c r="AQ121" s="32"/>
      <c r="AR121" s="32"/>
      <c r="AS121" s="32"/>
      <c r="AT121" s="32"/>
      <c r="AU121" s="32">
        <v>100</v>
      </c>
      <c r="AV121" s="32"/>
      <c r="AW121" s="32"/>
      <c r="AX121" s="32"/>
      <c r="AY121" s="32"/>
      <c r="AZ121" s="32">
        <v>0</v>
      </c>
      <c r="BA121" s="32"/>
      <c r="BB121" s="32"/>
      <c r="BC121" s="32"/>
      <c r="BD121" s="32"/>
      <c r="BE121" s="32">
        <v>100</v>
      </c>
      <c r="BF121" s="32"/>
      <c r="BG121" s="32"/>
      <c r="BH121" s="32"/>
      <c r="BI121" s="32"/>
      <c r="BJ121" s="32">
        <v>100</v>
      </c>
      <c r="BK121" s="32"/>
      <c r="BL121" s="32"/>
      <c r="BM121" s="32"/>
      <c r="BN121" s="32"/>
      <c r="BO121" s="32">
        <v>0</v>
      </c>
      <c r="BP121" s="32"/>
      <c r="BQ121" s="32"/>
      <c r="BR121" s="32"/>
      <c r="BS121" s="32"/>
      <c r="BT121" s="32">
        <v>100</v>
      </c>
      <c r="BU121" s="32"/>
      <c r="BV121" s="32"/>
      <c r="BW121" s="32"/>
      <c r="BX121" s="32"/>
    </row>
    <row r="123" spans="1:79" ht="14.25" customHeight="1" x14ac:dyDescent="0.2">
      <c r="A123" s="57" t="s">
        <v>239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</row>
    <row r="124" spans="1:79" ht="23.1" customHeight="1" x14ac:dyDescent="0.2">
      <c r="A124" s="74" t="s">
        <v>6</v>
      </c>
      <c r="B124" s="75"/>
      <c r="C124" s="75"/>
      <c r="D124" s="37" t="s">
        <v>9</v>
      </c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 t="s">
        <v>8</v>
      </c>
      <c r="R124" s="37"/>
      <c r="S124" s="37"/>
      <c r="T124" s="37"/>
      <c r="U124" s="37"/>
      <c r="V124" s="37" t="s">
        <v>7</v>
      </c>
      <c r="W124" s="37"/>
      <c r="X124" s="37"/>
      <c r="Y124" s="37"/>
      <c r="Z124" s="37"/>
      <c r="AA124" s="37"/>
      <c r="AB124" s="37"/>
      <c r="AC124" s="37"/>
      <c r="AD124" s="37"/>
      <c r="AE124" s="37"/>
      <c r="AF124" s="70" t="s">
        <v>230</v>
      </c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2"/>
      <c r="AU124" s="70" t="s">
        <v>235</v>
      </c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2"/>
    </row>
    <row r="125" spans="1:79" ht="28.5" customHeight="1" x14ac:dyDescent="0.2">
      <c r="A125" s="77"/>
      <c r="B125" s="78"/>
      <c r="C125" s="78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 t="s">
        <v>4</v>
      </c>
      <c r="AG125" s="37"/>
      <c r="AH125" s="37"/>
      <c r="AI125" s="37"/>
      <c r="AJ125" s="37"/>
      <c r="AK125" s="37" t="s">
        <v>3</v>
      </c>
      <c r="AL125" s="37"/>
      <c r="AM125" s="37"/>
      <c r="AN125" s="37"/>
      <c r="AO125" s="37"/>
      <c r="AP125" s="37" t="s">
        <v>123</v>
      </c>
      <c r="AQ125" s="37"/>
      <c r="AR125" s="37"/>
      <c r="AS125" s="37"/>
      <c r="AT125" s="37"/>
      <c r="AU125" s="37" t="s">
        <v>4</v>
      </c>
      <c r="AV125" s="37"/>
      <c r="AW125" s="37"/>
      <c r="AX125" s="37"/>
      <c r="AY125" s="37"/>
      <c r="AZ125" s="37" t="s">
        <v>3</v>
      </c>
      <c r="BA125" s="37"/>
      <c r="BB125" s="37"/>
      <c r="BC125" s="37"/>
      <c r="BD125" s="37"/>
      <c r="BE125" s="37" t="s">
        <v>90</v>
      </c>
      <c r="BF125" s="37"/>
      <c r="BG125" s="37"/>
      <c r="BH125" s="37"/>
      <c r="BI125" s="37"/>
    </row>
    <row r="126" spans="1:79" ht="15" customHeight="1" x14ac:dyDescent="0.2">
      <c r="A126" s="70">
        <v>1</v>
      </c>
      <c r="B126" s="71"/>
      <c r="C126" s="71"/>
      <c r="D126" s="37">
        <v>2</v>
      </c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>
        <v>3</v>
      </c>
      <c r="R126" s="37"/>
      <c r="S126" s="37"/>
      <c r="T126" s="37"/>
      <c r="U126" s="37"/>
      <c r="V126" s="37">
        <v>4</v>
      </c>
      <c r="W126" s="37"/>
      <c r="X126" s="37"/>
      <c r="Y126" s="37"/>
      <c r="Z126" s="37"/>
      <c r="AA126" s="37"/>
      <c r="AB126" s="37"/>
      <c r="AC126" s="37"/>
      <c r="AD126" s="37"/>
      <c r="AE126" s="37"/>
      <c r="AF126" s="37">
        <v>5</v>
      </c>
      <c r="AG126" s="37"/>
      <c r="AH126" s="37"/>
      <c r="AI126" s="37"/>
      <c r="AJ126" s="37"/>
      <c r="AK126" s="37">
        <v>6</v>
      </c>
      <c r="AL126" s="37"/>
      <c r="AM126" s="37"/>
      <c r="AN126" s="37"/>
      <c r="AO126" s="37"/>
      <c r="AP126" s="37">
        <v>7</v>
      </c>
      <c r="AQ126" s="37"/>
      <c r="AR126" s="37"/>
      <c r="AS126" s="37"/>
      <c r="AT126" s="37"/>
      <c r="AU126" s="37">
        <v>8</v>
      </c>
      <c r="AV126" s="37"/>
      <c r="AW126" s="37"/>
      <c r="AX126" s="37"/>
      <c r="AY126" s="37"/>
      <c r="AZ126" s="37">
        <v>9</v>
      </c>
      <c r="BA126" s="37"/>
      <c r="BB126" s="37"/>
      <c r="BC126" s="37"/>
      <c r="BD126" s="37"/>
      <c r="BE126" s="37">
        <v>10</v>
      </c>
      <c r="BF126" s="37"/>
      <c r="BG126" s="37"/>
      <c r="BH126" s="37"/>
      <c r="BI126" s="37"/>
    </row>
    <row r="127" spans="1:79" ht="15.75" hidden="1" customHeight="1" x14ac:dyDescent="0.2">
      <c r="A127" s="83" t="s">
        <v>154</v>
      </c>
      <c r="B127" s="84"/>
      <c r="C127" s="84"/>
      <c r="D127" s="37" t="s">
        <v>57</v>
      </c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 t="s">
        <v>70</v>
      </c>
      <c r="R127" s="37"/>
      <c r="S127" s="37"/>
      <c r="T127" s="37"/>
      <c r="U127" s="37"/>
      <c r="V127" s="37" t="s">
        <v>71</v>
      </c>
      <c r="W127" s="37"/>
      <c r="X127" s="37"/>
      <c r="Y127" s="37"/>
      <c r="Z127" s="37"/>
      <c r="AA127" s="37"/>
      <c r="AB127" s="37"/>
      <c r="AC127" s="37"/>
      <c r="AD127" s="37"/>
      <c r="AE127" s="37"/>
      <c r="AF127" s="62" t="s">
        <v>107</v>
      </c>
      <c r="AG127" s="62"/>
      <c r="AH127" s="62"/>
      <c r="AI127" s="62"/>
      <c r="AJ127" s="62"/>
      <c r="AK127" s="60" t="s">
        <v>108</v>
      </c>
      <c r="AL127" s="60"/>
      <c r="AM127" s="60"/>
      <c r="AN127" s="60"/>
      <c r="AO127" s="60"/>
      <c r="AP127" s="80" t="s">
        <v>177</v>
      </c>
      <c r="AQ127" s="80"/>
      <c r="AR127" s="80"/>
      <c r="AS127" s="80"/>
      <c r="AT127" s="80"/>
      <c r="AU127" s="62" t="s">
        <v>109</v>
      </c>
      <c r="AV127" s="62"/>
      <c r="AW127" s="62"/>
      <c r="AX127" s="62"/>
      <c r="AY127" s="62"/>
      <c r="AZ127" s="60" t="s">
        <v>110</v>
      </c>
      <c r="BA127" s="60"/>
      <c r="BB127" s="60"/>
      <c r="BC127" s="60"/>
      <c r="BD127" s="60"/>
      <c r="BE127" s="80" t="s">
        <v>177</v>
      </c>
      <c r="BF127" s="80"/>
      <c r="BG127" s="80"/>
      <c r="BH127" s="80"/>
      <c r="BI127" s="80"/>
      <c r="CA127" t="s">
        <v>39</v>
      </c>
    </row>
    <row r="128" spans="1:79" s="5" customFormat="1" ht="14.25" x14ac:dyDescent="0.2">
      <c r="A128" s="38">
        <v>0</v>
      </c>
      <c r="B128" s="39"/>
      <c r="C128" s="39"/>
      <c r="D128" s="41" t="s">
        <v>176</v>
      </c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CA128" s="5" t="s">
        <v>40</v>
      </c>
    </row>
    <row r="129" spans="1:61" s="5" customFormat="1" ht="42.75" customHeight="1" x14ac:dyDescent="0.2">
      <c r="A129" s="38">
        <v>0</v>
      </c>
      <c r="B129" s="39"/>
      <c r="C129" s="39"/>
      <c r="D129" s="40" t="s">
        <v>178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3"/>
      <c r="Q129" s="41" t="s">
        <v>179</v>
      </c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35">
        <v>1159</v>
      </c>
      <c r="AG129" s="35"/>
      <c r="AH129" s="35"/>
      <c r="AI129" s="35"/>
      <c r="AJ129" s="35"/>
      <c r="AK129" s="35">
        <v>0</v>
      </c>
      <c r="AL129" s="35"/>
      <c r="AM129" s="35"/>
      <c r="AN129" s="35"/>
      <c r="AO129" s="35"/>
      <c r="AP129" s="35">
        <v>1159</v>
      </c>
      <c r="AQ129" s="35"/>
      <c r="AR129" s="35"/>
      <c r="AS129" s="35"/>
      <c r="AT129" s="35"/>
      <c r="AU129" s="35">
        <v>1159</v>
      </c>
      <c r="AV129" s="35"/>
      <c r="AW129" s="35"/>
      <c r="AX129" s="35"/>
      <c r="AY129" s="35"/>
      <c r="AZ129" s="35">
        <v>0</v>
      </c>
      <c r="BA129" s="35"/>
      <c r="BB129" s="35"/>
      <c r="BC129" s="35"/>
      <c r="BD129" s="35"/>
      <c r="BE129" s="35">
        <v>1159</v>
      </c>
      <c r="BF129" s="35"/>
      <c r="BG129" s="35"/>
      <c r="BH129" s="35"/>
      <c r="BI129" s="35"/>
    </row>
    <row r="130" spans="1:61" s="4" customFormat="1" ht="15" x14ac:dyDescent="0.2">
      <c r="A130" s="33">
        <v>1</v>
      </c>
      <c r="B130" s="34"/>
      <c r="C130" s="34"/>
      <c r="D130" s="36" t="s">
        <v>180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30"/>
      <c r="Q130" s="37" t="s">
        <v>179</v>
      </c>
      <c r="R130" s="37"/>
      <c r="S130" s="37"/>
      <c r="T130" s="37"/>
      <c r="U130" s="37"/>
      <c r="V130" s="37" t="s">
        <v>181</v>
      </c>
      <c r="W130" s="37"/>
      <c r="X130" s="37"/>
      <c r="Y130" s="37"/>
      <c r="Z130" s="37"/>
      <c r="AA130" s="37"/>
      <c r="AB130" s="37"/>
      <c r="AC130" s="37"/>
      <c r="AD130" s="37"/>
      <c r="AE130" s="37"/>
      <c r="AF130" s="32">
        <v>970</v>
      </c>
      <c r="AG130" s="32"/>
      <c r="AH130" s="32"/>
      <c r="AI130" s="32"/>
      <c r="AJ130" s="32"/>
      <c r="AK130" s="32">
        <v>0</v>
      </c>
      <c r="AL130" s="32"/>
      <c r="AM130" s="32"/>
      <c r="AN130" s="32"/>
      <c r="AO130" s="32"/>
      <c r="AP130" s="32">
        <v>970</v>
      </c>
      <c r="AQ130" s="32"/>
      <c r="AR130" s="32"/>
      <c r="AS130" s="32"/>
      <c r="AT130" s="32"/>
      <c r="AU130" s="32">
        <v>970</v>
      </c>
      <c r="AV130" s="32"/>
      <c r="AW130" s="32"/>
      <c r="AX130" s="32"/>
      <c r="AY130" s="32"/>
      <c r="AZ130" s="32">
        <v>0</v>
      </c>
      <c r="BA130" s="32"/>
      <c r="BB130" s="32"/>
      <c r="BC130" s="32"/>
      <c r="BD130" s="32"/>
      <c r="BE130" s="32">
        <v>970</v>
      </c>
      <c r="BF130" s="32"/>
      <c r="BG130" s="32"/>
      <c r="BH130" s="32"/>
      <c r="BI130" s="32"/>
    </row>
    <row r="131" spans="1:61" s="5" customFormat="1" ht="45" customHeight="1" x14ac:dyDescent="0.2">
      <c r="A131" s="38">
        <v>0</v>
      </c>
      <c r="B131" s="39"/>
      <c r="C131" s="39"/>
      <c r="D131" s="40" t="s">
        <v>178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3"/>
      <c r="Q131" s="41" t="s">
        <v>179</v>
      </c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35">
        <v>1159</v>
      </c>
      <c r="AG131" s="35"/>
      <c r="AH131" s="35"/>
      <c r="AI131" s="35"/>
      <c r="AJ131" s="35"/>
      <c r="AK131" s="35">
        <v>0</v>
      </c>
      <c r="AL131" s="35"/>
      <c r="AM131" s="35"/>
      <c r="AN131" s="35"/>
      <c r="AO131" s="35"/>
      <c r="AP131" s="35">
        <v>1159</v>
      </c>
      <c r="AQ131" s="35"/>
      <c r="AR131" s="35"/>
      <c r="AS131" s="35"/>
      <c r="AT131" s="35"/>
      <c r="AU131" s="35">
        <v>1159</v>
      </c>
      <c r="AV131" s="35"/>
      <c r="AW131" s="35"/>
      <c r="AX131" s="35"/>
      <c r="AY131" s="35"/>
      <c r="AZ131" s="35">
        <v>0</v>
      </c>
      <c r="BA131" s="35"/>
      <c r="BB131" s="35"/>
      <c r="BC131" s="35"/>
      <c r="BD131" s="35"/>
      <c r="BE131" s="35">
        <v>1159</v>
      </c>
      <c r="BF131" s="35"/>
      <c r="BG131" s="35"/>
      <c r="BH131" s="35"/>
      <c r="BI131" s="35"/>
    </row>
    <row r="132" spans="1:61" s="4" customFormat="1" ht="15" x14ac:dyDescent="0.2">
      <c r="A132" s="33">
        <v>2</v>
      </c>
      <c r="B132" s="34"/>
      <c r="C132" s="34"/>
      <c r="D132" s="36" t="s">
        <v>182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30"/>
      <c r="Q132" s="37" t="s">
        <v>179</v>
      </c>
      <c r="R132" s="37"/>
      <c r="S132" s="37"/>
      <c r="T132" s="37"/>
      <c r="U132" s="37"/>
      <c r="V132" s="37" t="s">
        <v>181</v>
      </c>
      <c r="W132" s="37"/>
      <c r="X132" s="37"/>
      <c r="Y132" s="37"/>
      <c r="Z132" s="37"/>
      <c r="AA132" s="37"/>
      <c r="AB132" s="37"/>
      <c r="AC132" s="37"/>
      <c r="AD132" s="37"/>
      <c r="AE132" s="37"/>
      <c r="AF132" s="32">
        <v>189</v>
      </c>
      <c r="AG132" s="32"/>
      <c r="AH132" s="32"/>
      <c r="AI132" s="32"/>
      <c r="AJ132" s="32"/>
      <c r="AK132" s="32">
        <v>0</v>
      </c>
      <c r="AL132" s="32"/>
      <c r="AM132" s="32"/>
      <c r="AN132" s="32"/>
      <c r="AO132" s="32"/>
      <c r="AP132" s="32">
        <v>189</v>
      </c>
      <c r="AQ132" s="32"/>
      <c r="AR132" s="32"/>
      <c r="AS132" s="32"/>
      <c r="AT132" s="32"/>
      <c r="AU132" s="32">
        <v>189</v>
      </c>
      <c r="AV132" s="32"/>
      <c r="AW132" s="32"/>
      <c r="AX132" s="32"/>
      <c r="AY132" s="32"/>
      <c r="AZ132" s="32">
        <v>0</v>
      </c>
      <c r="BA132" s="32"/>
      <c r="BB132" s="32"/>
      <c r="BC132" s="32"/>
      <c r="BD132" s="32"/>
      <c r="BE132" s="32">
        <v>189</v>
      </c>
      <c r="BF132" s="32"/>
      <c r="BG132" s="32"/>
      <c r="BH132" s="32"/>
      <c r="BI132" s="32"/>
    </row>
    <row r="133" spans="1:61" s="5" customFormat="1" ht="14.25" x14ac:dyDescent="0.2">
      <c r="A133" s="38">
        <v>0</v>
      </c>
      <c r="B133" s="39"/>
      <c r="C133" s="39"/>
      <c r="D133" s="40" t="s">
        <v>183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3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</row>
    <row r="134" spans="1:61" s="5" customFormat="1" ht="28.5" customHeight="1" x14ac:dyDescent="0.2">
      <c r="A134" s="38">
        <v>0</v>
      </c>
      <c r="B134" s="39"/>
      <c r="C134" s="39"/>
      <c r="D134" s="40" t="s">
        <v>184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41" t="s">
        <v>179</v>
      </c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35">
        <v>1159</v>
      </c>
      <c r="AG134" s="35"/>
      <c r="AH134" s="35"/>
      <c r="AI134" s="35"/>
      <c r="AJ134" s="35"/>
      <c r="AK134" s="35">
        <v>0</v>
      </c>
      <c r="AL134" s="35"/>
      <c r="AM134" s="35"/>
      <c r="AN134" s="35"/>
      <c r="AO134" s="35"/>
      <c r="AP134" s="35">
        <v>1159</v>
      </c>
      <c r="AQ134" s="35"/>
      <c r="AR134" s="35"/>
      <c r="AS134" s="35"/>
      <c r="AT134" s="35"/>
      <c r="AU134" s="35">
        <v>1159</v>
      </c>
      <c r="AV134" s="35"/>
      <c r="AW134" s="35"/>
      <c r="AX134" s="35"/>
      <c r="AY134" s="35"/>
      <c r="AZ134" s="35">
        <v>0</v>
      </c>
      <c r="BA134" s="35"/>
      <c r="BB134" s="35"/>
      <c r="BC134" s="35"/>
      <c r="BD134" s="35"/>
      <c r="BE134" s="35">
        <v>1159</v>
      </c>
      <c r="BF134" s="35"/>
      <c r="BG134" s="35"/>
      <c r="BH134" s="35"/>
      <c r="BI134" s="35"/>
    </row>
    <row r="135" spans="1:61" s="4" customFormat="1" ht="15" x14ac:dyDescent="0.2">
      <c r="A135" s="33">
        <v>1</v>
      </c>
      <c r="B135" s="34"/>
      <c r="C135" s="34"/>
      <c r="D135" s="36" t="s">
        <v>180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30"/>
      <c r="Q135" s="37" t="s">
        <v>179</v>
      </c>
      <c r="R135" s="37"/>
      <c r="S135" s="37"/>
      <c r="T135" s="37"/>
      <c r="U135" s="37"/>
      <c r="V135" s="37" t="s">
        <v>181</v>
      </c>
      <c r="W135" s="37"/>
      <c r="X135" s="37"/>
      <c r="Y135" s="37"/>
      <c r="Z135" s="37"/>
      <c r="AA135" s="37"/>
      <c r="AB135" s="37"/>
      <c r="AC135" s="37"/>
      <c r="AD135" s="37"/>
      <c r="AE135" s="37"/>
      <c r="AF135" s="32">
        <v>970</v>
      </c>
      <c r="AG135" s="32"/>
      <c r="AH135" s="32"/>
      <c r="AI135" s="32"/>
      <c r="AJ135" s="32"/>
      <c r="AK135" s="32">
        <v>0</v>
      </c>
      <c r="AL135" s="32"/>
      <c r="AM135" s="32"/>
      <c r="AN135" s="32"/>
      <c r="AO135" s="32"/>
      <c r="AP135" s="32">
        <v>970</v>
      </c>
      <c r="AQ135" s="32"/>
      <c r="AR135" s="32"/>
      <c r="AS135" s="32"/>
      <c r="AT135" s="32"/>
      <c r="AU135" s="32">
        <v>970</v>
      </c>
      <c r="AV135" s="32"/>
      <c r="AW135" s="32"/>
      <c r="AX135" s="32"/>
      <c r="AY135" s="32"/>
      <c r="AZ135" s="32">
        <v>0</v>
      </c>
      <c r="BA135" s="32"/>
      <c r="BB135" s="32"/>
      <c r="BC135" s="32"/>
      <c r="BD135" s="32"/>
      <c r="BE135" s="32">
        <v>970</v>
      </c>
      <c r="BF135" s="32"/>
      <c r="BG135" s="32"/>
      <c r="BH135" s="32"/>
      <c r="BI135" s="32"/>
    </row>
    <row r="136" spans="1:61" s="5" customFormat="1" ht="30" customHeight="1" x14ac:dyDescent="0.2">
      <c r="A136" s="38">
        <v>0</v>
      </c>
      <c r="B136" s="39"/>
      <c r="C136" s="39"/>
      <c r="D136" s="40" t="s">
        <v>184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3"/>
      <c r="Q136" s="41" t="s">
        <v>179</v>
      </c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35">
        <v>1159</v>
      </c>
      <c r="AG136" s="35"/>
      <c r="AH136" s="35"/>
      <c r="AI136" s="35"/>
      <c r="AJ136" s="35"/>
      <c r="AK136" s="35">
        <v>0</v>
      </c>
      <c r="AL136" s="35"/>
      <c r="AM136" s="35"/>
      <c r="AN136" s="35"/>
      <c r="AO136" s="35"/>
      <c r="AP136" s="35">
        <v>1159</v>
      </c>
      <c r="AQ136" s="35"/>
      <c r="AR136" s="35"/>
      <c r="AS136" s="35"/>
      <c r="AT136" s="35"/>
      <c r="AU136" s="35">
        <v>1159</v>
      </c>
      <c r="AV136" s="35"/>
      <c r="AW136" s="35"/>
      <c r="AX136" s="35"/>
      <c r="AY136" s="35"/>
      <c r="AZ136" s="35">
        <v>0</v>
      </c>
      <c r="BA136" s="35"/>
      <c r="BB136" s="35"/>
      <c r="BC136" s="35"/>
      <c r="BD136" s="35"/>
      <c r="BE136" s="35">
        <v>1159</v>
      </c>
      <c r="BF136" s="35"/>
      <c r="BG136" s="35"/>
      <c r="BH136" s="35"/>
      <c r="BI136" s="35"/>
    </row>
    <row r="137" spans="1:61" s="4" customFormat="1" ht="15" x14ac:dyDescent="0.2">
      <c r="A137" s="33">
        <v>2</v>
      </c>
      <c r="B137" s="34"/>
      <c r="C137" s="34"/>
      <c r="D137" s="36" t="s">
        <v>182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30"/>
      <c r="Q137" s="37" t="s">
        <v>179</v>
      </c>
      <c r="R137" s="37"/>
      <c r="S137" s="37"/>
      <c r="T137" s="37"/>
      <c r="U137" s="37"/>
      <c r="V137" s="37" t="s">
        <v>181</v>
      </c>
      <c r="W137" s="37"/>
      <c r="X137" s="37"/>
      <c r="Y137" s="37"/>
      <c r="Z137" s="37"/>
      <c r="AA137" s="37"/>
      <c r="AB137" s="37"/>
      <c r="AC137" s="37"/>
      <c r="AD137" s="37"/>
      <c r="AE137" s="37"/>
      <c r="AF137" s="32">
        <v>189</v>
      </c>
      <c r="AG137" s="32"/>
      <c r="AH137" s="32"/>
      <c r="AI137" s="32"/>
      <c r="AJ137" s="32"/>
      <c r="AK137" s="32">
        <v>0</v>
      </c>
      <c r="AL137" s="32"/>
      <c r="AM137" s="32"/>
      <c r="AN137" s="32"/>
      <c r="AO137" s="32"/>
      <c r="AP137" s="32">
        <v>189</v>
      </c>
      <c r="AQ137" s="32"/>
      <c r="AR137" s="32"/>
      <c r="AS137" s="32"/>
      <c r="AT137" s="32"/>
      <c r="AU137" s="32">
        <v>189</v>
      </c>
      <c r="AV137" s="32"/>
      <c r="AW137" s="32"/>
      <c r="AX137" s="32"/>
      <c r="AY137" s="32"/>
      <c r="AZ137" s="32">
        <v>0</v>
      </c>
      <c r="BA137" s="32"/>
      <c r="BB137" s="32"/>
      <c r="BC137" s="32"/>
      <c r="BD137" s="32"/>
      <c r="BE137" s="32">
        <v>189</v>
      </c>
      <c r="BF137" s="32"/>
      <c r="BG137" s="32"/>
      <c r="BH137" s="32"/>
      <c r="BI137" s="32"/>
    </row>
    <row r="138" spans="1:61" s="5" customFormat="1" ht="14.25" x14ac:dyDescent="0.2">
      <c r="A138" s="38">
        <v>0</v>
      </c>
      <c r="B138" s="39"/>
      <c r="C138" s="39"/>
      <c r="D138" s="40" t="s">
        <v>185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</row>
    <row r="139" spans="1:61" s="5" customFormat="1" ht="28.5" customHeight="1" x14ac:dyDescent="0.2">
      <c r="A139" s="38">
        <v>0</v>
      </c>
      <c r="B139" s="39"/>
      <c r="C139" s="39"/>
      <c r="D139" s="40" t="s">
        <v>186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41" t="s">
        <v>187</v>
      </c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35">
        <v>5739</v>
      </c>
      <c r="AG139" s="35"/>
      <c r="AH139" s="35"/>
      <c r="AI139" s="35"/>
      <c r="AJ139" s="35"/>
      <c r="AK139" s="35">
        <v>0</v>
      </c>
      <c r="AL139" s="35"/>
      <c r="AM139" s="35"/>
      <c r="AN139" s="35"/>
      <c r="AO139" s="35"/>
      <c r="AP139" s="35">
        <v>5739</v>
      </c>
      <c r="AQ139" s="35"/>
      <c r="AR139" s="35"/>
      <c r="AS139" s="35"/>
      <c r="AT139" s="35"/>
      <c r="AU139" s="35">
        <v>5739</v>
      </c>
      <c r="AV139" s="35"/>
      <c r="AW139" s="35"/>
      <c r="AX139" s="35"/>
      <c r="AY139" s="35"/>
      <c r="AZ139" s="35">
        <v>0</v>
      </c>
      <c r="BA139" s="35"/>
      <c r="BB139" s="35"/>
      <c r="BC139" s="35"/>
      <c r="BD139" s="35"/>
      <c r="BE139" s="35">
        <v>5739</v>
      </c>
      <c r="BF139" s="35"/>
      <c r="BG139" s="35"/>
      <c r="BH139" s="35"/>
      <c r="BI139" s="35"/>
    </row>
    <row r="140" spans="1:61" s="4" customFormat="1" ht="14.25" customHeight="1" x14ac:dyDescent="0.2">
      <c r="A140" s="33">
        <v>1</v>
      </c>
      <c r="B140" s="34"/>
      <c r="C140" s="34"/>
      <c r="D140" s="36" t="s">
        <v>180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30"/>
      <c r="Q140" s="37" t="s">
        <v>187</v>
      </c>
      <c r="R140" s="37"/>
      <c r="S140" s="37"/>
      <c r="T140" s="37"/>
      <c r="U140" s="37"/>
      <c r="V140" s="36" t="s">
        <v>188</v>
      </c>
      <c r="W140" s="29"/>
      <c r="X140" s="29"/>
      <c r="Y140" s="29"/>
      <c r="Z140" s="29"/>
      <c r="AA140" s="29"/>
      <c r="AB140" s="29"/>
      <c r="AC140" s="29"/>
      <c r="AD140" s="29"/>
      <c r="AE140" s="30"/>
      <c r="AF140" s="32">
        <v>2796</v>
      </c>
      <c r="AG140" s="32"/>
      <c r="AH140" s="32"/>
      <c r="AI140" s="32"/>
      <c r="AJ140" s="32"/>
      <c r="AK140" s="32">
        <v>0</v>
      </c>
      <c r="AL140" s="32"/>
      <c r="AM140" s="32"/>
      <c r="AN140" s="32"/>
      <c r="AO140" s="32"/>
      <c r="AP140" s="32">
        <v>2796</v>
      </c>
      <c r="AQ140" s="32"/>
      <c r="AR140" s="32"/>
      <c r="AS140" s="32"/>
      <c r="AT140" s="32"/>
      <c r="AU140" s="32">
        <v>2796</v>
      </c>
      <c r="AV140" s="32"/>
      <c r="AW140" s="32"/>
      <c r="AX140" s="32"/>
      <c r="AY140" s="32"/>
      <c r="AZ140" s="32">
        <v>0</v>
      </c>
      <c r="BA140" s="32"/>
      <c r="BB140" s="32"/>
      <c r="BC140" s="32"/>
      <c r="BD140" s="32"/>
      <c r="BE140" s="32">
        <v>2796</v>
      </c>
      <c r="BF140" s="32"/>
      <c r="BG140" s="32"/>
      <c r="BH140" s="32"/>
      <c r="BI140" s="32"/>
    </row>
    <row r="141" spans="1:61" s="5" customFormat="1" ht="30" customHeight="1" x14ac:dyDescent="0.2">
      <c r="A141" s="38">
        <v>0</v>
      </c>
      <c r="B141" s="39"/>
      <c r="C141" s="39"/>
      <c r="D141" s="40" t="s">
        <v>186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3"/>
      <c r="Q141" s="41" t="s">
        <v>187</v>
      </c>
      <c r="R141" s="41"/>
      <c r="S141" s="41"/>
      <c r="T141" s="41"/>
      <c r="U141" s="41"/>
      <c r="V141" s="40"/>
      <c r="W141" s="22"/>
      <c r="X141" s="22"/>
      <c r="Y141" s="22"/>
      <c r="Z141" s="22"/>
      <c r="AA141" s="22"/>
      <c r="AB141" s="22"/>
      <c r="AC141" s="22"/>
      <c r="AD141" s="22"/>
      <c r="AE141" s="23"/>
      <c r="AF141" s="35">
        <v>5739</v>
      </c>
      <c r="AG141" s="35"/>
      <c r="AH141" s="35"/>
      <c r="AI141" s="35"/>
      <c r="AJ141" s="35"/>
      <c r="AK141" s="35">
        <v>0</v>
      </c>
      <c r="AL141" s="35"/>
      <c r="AM141" s="35"/>
      <c r="AN141" s="35"/>
      <c r="AO141" s="35"/>
      <c r="AP141" s="35">
        <v>5739</v>
      </c>
      <c r="AQ141" s="35"/>
      <c r="AR141" s="35"/>
      <c r="AS141" s="35"/>
      <c r="AT141" s="35"/>
      <c r="AU141" s="35">
        <v>5739</v>
      </c>
      <c r="AV141" s="35"/>
      <c r="AW141" s="35"/>
      <c r="AX141" s="35"/>
      <c r="AY141" s="35"/>
      <c r="AZ141" s="35">
        <v>0</v>
      </c>
      <c r="BA141" s="35"/>
      <c r="BB141" s="35"/>
      <c r="BC141" s="35"/>
      <c r="BD141" s="35"/>
      <c r="BE141" s="35">
        <v>5739</v>
      </c>
      <c r="BF141" s="35"/>
      <c r="BG141" s="35"/>
      <c r="BH141" s="35"/>
      <c r="BI141" s="35"/>
    </row>
    <row r="142" spans="1:61" s="4" customFormat="1" ht="14.25" customHeight="1" x14ac:dyDescent="0.2">
      <c r="A142" s="33">
        <v>2</v>
      </c>
      <c r="B142" s="34"/>
      <c r="C142" s="34"/>
      <c r="D142" s="36" t="s">
        <v>182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30"/>
      <c r="Q142" s="37" t="s">
        <v>187</v>
      </c>
      <c r="R142" s="37"/>
      <c r="S142" s="37"/>
      <c r="T142" s="37"/>
      <c r="U142" s="37"/>
      <c r="V142" s="36" t="s">
        <v>188</v>
      </c>
      <c r="W142" s="29"/>
      <c r="X142" s="29"/>
      <c r="Y142" s="29"/>
      <c r="Z142" s="29"/>
      <c r="AA142" s="29"/>
      <c r="AB142" s="29"/>
      <c r="AC142" s="29"/>
      <c r="AD142" s="29"/>
      <c r="AE142" s="30"/>
      <c r="AF142" s="32">
        <v>2943</v>
      </c>
      <c r="AG142" s="32"/>
      <c r="AH142" s="32"/>
      <c r="AI142" s="32"/>
      <c r="AJ142" s="32"/>
      <c r="AK142" s="32">
        <v>0</v>
      </c>
      <c r="AL142" s="32"/>
      <c r="AM142" s="32"/>
      <c r="AN142" s="32"/>
      <c r="AO142" s="32"/>
      <c r="AP142" s="32">
        <v>2943</v>
      </c>
      <c r="AQ142" s="32"/>
      <c r="AR142" s="32"/>
      <c r="AS142" s="32"/>
      <c r="AT142" s="32"/>
      <c r="AU142" s="32">
        <v>2943</v>
      </c>
      <c r="AV142" s="32"/>
      <c r="AW142" s="32"/>
      <c r="AX142" s="32"/>
      <c r="AY142" s="32"/>
      <c r="AZ142" s="32">
        <v>0</v>
      </c>
      <c r="BA142" s="32"/>
      <c r="BB142" s="32"/>
      <c r="BC142" s="32"/>
      <c r="BD142" s="32"/>
      <c r="BE142" s="32">
        <v>2943</v>
      </c>
      <c r="BF142" s="32"/>
      <c r="BG142" s="32"/>
      <c r="BH142" s="32"/>
      <c r="BI142" s="32"/>
    </row>
    <row r="143" spans="1:61" s="5" customFormat="1" ht="14.25" x14ac:dyDescent="0.2">
      <c r="A143" s="38">
        <v>0</v>
      </c>
      <c r="B143" s="39"/>
      <c r="C143" s="39"/>
      <c r="D143" s="40" t="s">
        <v>189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3"/>
      <c r="Q143" s="41"/>
      <c r="R143" s="41"/>
      <c r="S143" s="41"/>
      <c r="T143" s="41"/>
      <c r="U143" s="41"/>
      <c r="V143" s="40"/>
      <c r="W143" s="22"/>
      <c r="X143" s="22"/>
      <c r="Y143" s="22"/>
      <c r="Z143" s="22"/>
      <c r="AA143" s="22"/>
      <c r="AB143" s="22"/>
      <c r="AC143" s="22"/>
      <c r="AD143" s="22"/>
      <c r="AE143" s="23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</row>
    <row r="144" spans="1:61" s="5" customFormat="1" ht="28.5" customHeight="1" x14ac:dyDescent="0.2">
      <c r="A144" s="38">
        <v>0</v>
      </c>
      <c r="B144" s="39"/>
      <c r="C144" s="39"/>
      <c r="D144" s="40" t="s">
        <v>190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3"/>
      <c r="Q144" s="41" t="s">
        <v>191</v>
      </c>
      <c r="R144" s="41"/>
      <c r="S144" s="41"/>
      <c r="T144" s="41"/>
      <c r="U144" s="41"/>
      <c r="V144" s="40"/>
      <c r="W144" s="22"/>
      <c r="X144" s="22"/>
      <c r="Y144" s="22"/>
      <c r="Z144" s="22"/>
      <c r="AA144" s="22"/>
      <c r="AB144" s="22"/>
      <c r="AC144" s="22"/>
      <c r="AD144" s="22"/>
      <c r="AE144" s="23"/>
      <c r="AF144" s="35">
        <v>200</v>
      </c>
      <c r="AG144" s="35"/>
      <c r="AH144" s="35"/>
      <c r="AI144" s="35"/>
      <c r="AJ144" s="35"/>
      <c r="AK144" s="35">
        <v>0</v>
      </c>
      <c r="AL144" s="35"/>
      <c r="AM144" s="35"/>
      <c r="AN144" s="35"/>
      <c r="AO144" s="35"/>
      <c r="AP144" s="35">
        <v>200</v>
      </c>
      <c r="AQ144" s="35"/>
      <c r="AR144" s="35"/>
      <c r="AS144" s="35"/>
      <c r="AT144" s="35"/>
      <c r="AU144" s="35">
        <v>200</v>
      </c>
      <c r="AV144" s="35"/>
      <c r="AW144" s="35"/>
      <c r="AX144" s="35"/>
      <c r="AY144" s="35"/>
      <c r="AZ144" s="35">
        <v>0</v>
      </c>
      <c r="BA144" s="35"/>
      <c r="BB144" s="35"/>
      <c r="BC144" s="35"/>
      <c r="BD144" s="35"/>
      <c r="BE144" s="35">
        <v>200</v>
      </c>
      <c r="BF144" s="35"/>
      <c r="BG144" s="35"/>
      <c r="BH144" s="35"/>
      <c r="BI144" s="35"/>
    </row>
    <row r="145" spans="1:79" s="4" customFormat="1" ht="15" x14ac:dyDescent="0.2">
      <c r="A145" s="33">
        <v>1</v>
      </c>
      <c r="B145" s="34"/>
      <c r="C145" s="34"/>
      <c r="D145" s="36" t="s">
        <v>180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30"/>
      <c r="Q145" s="37" t="s">
        <v>191</v>
      </c>
      <c r="R145" s="37"/>
      <c r="S145" s="37"/>
      <c r="T145" s="37"/>
      <c r="U145" s="37"/>
      <c r="V145" s="36" t="s">
        <v>181</v>
      </c>
      <c r="W145" s="29"/>
      <c r="X145" s="29"/>
      <c r="Y145" s="29"/>
      <c r="Z145" s="29"/>
      <c r="AA145" s="29"/>
      <c r="AB145" s="29"/>
      <c r="AC145" s="29"/>
      <c r="AD145" s="29"/>
      <c r="AE145" s="30"/>
      <c r="AF145" s="32">
        <v>100</v>
      </c>
      <c r="AG145" s="32"/>
      <c r="AH145" s="32"/>
      <c r="AI145" s="32"/>
      <c r="AJ145" s="32"/>
      <c r="AK145" s="32">
        <v>0</v>
      </c>
      <c r="AL145" s="32"/>
      <c r="AM145" s="32"/>
      <c r="AN145" s="32"/>
      <c r="AO145" s="32"/>
      <c r="AP145" s="32">
        <v>100</v>
      </c>
      <c r="AQ145" s="32"/>
      <c r="AR145" s="32"/>
      <c r="AS145" s="32"/>
      <c r="AT145" s="32"/>
      <c r="AU145" s="32">
        <v>100</v>
      </c>
      <c r="AV145" s="32"/>
      <c r="AW145" s="32"/>
      <c r="AX145" s="32"/>
      <c r="AY145" s="32"/>
      <c r="AZ145" s="32">
        <v>0</v>
      </c>
      <c r="BA145" s="32"/>
      <c r="BB145" s="32"/>
      <c r="BC145" s="32"/>
      <c r="BD145" s="32"/>
      <c r="BE145" s="32">
        <v>100</v>
      </c>
      <c r="BF145" s="32"/>
      <c r="BG145" s="32"/>
      <c r="BH145" s="32"/>
      <c r="BI145" s="32"/>
    </row>
    <row r="146" spans="1:79" s="5" customFormat="1" ht="30" customHeight="1" x14ac:dyDescent="0.2">
      <c r="A146" s="38">
        <v>0</v>
      </c>
      <c r="B146" s="39"/>
      <c r="C146" s="39"/>
      <c r="D146" s="40" t="s">
        <v>190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3"/>
      <c r="Q146" s="41" t="s">
        <v>191</v>
      </c>
      <c r="R146" s="41"/>
      <c r="S146" s="41"/>
      <c r="T146" s="41"/>
      <c r="U146" s="41"/>
      <c r="V146" s="40"/>
      <c r="W146" s="22"/>
      <c r="X146" s="22"/>
      <c r="Y146" s="22"/>
      <c r="Z146" s="22"/>
      <c r="AA146" s="22"/>
      <c r="AB146" s="22"/>
      <c r="AC146" s="22"/>
      <c r="AD146" s="22"/>
      <c r="AE146" s="23"/>
      <c r="AF146" s="35">
        <v>200</v>
      </c>
      <c r="AG146" s="35"/>
      <c r="AH146" s="35"/>
      <c r="AI146" s="35"/>
      <c r="AJ146" s="35"/>
      <c r="AK146" s="35">
        <v>0</v>
      </c>
      <c r="AL146" s="35"/>
      <c r="AM146" s="35"/>
      <c r="AN146" s="35"/>
      <c r="AO146" s="35"/>
      <c r="AP146" s="35">
        <v>200</v>
      </c>
      <c r="AQ146" s="35"/>
      <c r="AR146" s="35"/>
      <c r="AS146" s="35"/>
      <c r="AT146" s="35"/>
      <c r="AU146" s="35">
        <v>200</v>
      </c>
      <c r="AV146" s="35"/>
      <c r="AW146" s="35"/>
      <c r="AX146" s="35"/>
      <c r="AY146" s="35"/>
      <c r="AZ146" s="35">
        <v>0</v>
      </c>
      <c r="BA146" s="35"/>
      <c r="BB146" s="35"/>
      <c r="BC146" s="35"/>
      <c r="BD146" s="35"/>
      <c r="BE146" s="35">
        <v>200</v>
      </c>
      <c r="BF146" s="35"/>
      <c r="BG146" s="35"/>
      <c r="BH146" s="35"/>
      <c r="BI146" s="35"/>
    </row>
    <row r="147" spans="1:79" s="4" customFormat="1" ht="15" x14ac:dyDescent="0.2">
      <c r="A147" s="33">
        <v>2</v>
      </c>
      <c r="B147" s="34"/>
      <c r="C147" s="34"/>
      <c r="D147" s="36" t="s">
        <v>182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30"/>
      <c r="Q147" s="37" t="s">
        <v>191</v>
      </c>
      <c r="R147" s="37"/>
      <c r="S147" s="37"/>
      <c r="T147" s="37"/>
      <c r="U147" s="37"/>
      <c r="V147" s="36" t="s">
        <v>181</v>
      </c>
      <c r="W147" s="29"/>
      <c r="X147" s="29"/>
      <c r="Y147" s="29"/>
      <c r="Z147" s="29"/>
      <c r="AA147" s="29"/>
      <c r="AB147" s="29"/>
      <c r="AC147" s="29"/>
      <c r="AD147" s="29"/>
      <c r="AE147" s="30"/>
      <c r="AF147" s="32">
        <v>100</v>
      </c>
      <c r="AG147" s="32"/>
      <c r="AH147" s="32"/>
      <c r="AI147" s="32"/>
      <c r="AJ147" s="32"/>
      <c r="AK147" s="32">
        <v>0</v>
      </c>
      <c r="AL147" s="32"/>
      <c r="AM147" s="32"/>
      <c r="AN147" s="32"/>
      <c r="AO147" s="32"/>
      <c r="AP147" s="32">
        <v>100</v>
      </c>
      <c r="AQ147" s="32"/>
      <c r="AR147" s="32"/>
      <c r="AS147" s="32"/>
      <c r="AT147" s="32"/>
      <c r="AU147" s="32">
        <v>100</v>
      </c>
      <c r="AV147" s="32"/>
      <c r="AW147" s="32"/>
      <c r="AX147" s="32"/>
      <c r="AY147" s="32"/>
      <c r="AZ147" s="32">
        <v>0</v>
      </c>
      <c r="BA147" s="32"/>
      <c r="BB147" s="32"/>
      <c r="BC147" s="32"/>
      <c r="BD147" s="32"/>
      <c r="BE147" s="32">
        <v>100</v>
      </c>
      <c r="BF147" s="32"/>
      <c r="BG147" s="32"/>
      <c r="BH147" s="32"/>
      <c r="BI147" s="32"/>
    </row>
    <row r="149" spans="1:79" ht="14.25" customHeight="1" x14ac:dyDescent="0.2">
      <c r="A149" s="57" t="s">
        <v>124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</row>
    <row r="150" spans="1:79" ht="15" customHeight="1" x14ac:dyDescent="0.2">
      <c r="A150" s="73" t="s">
        <v>208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</row>
    <row r="151" spans="1:79" ht="12.95" customHeight="1" x14ac:dyDescent="0.2">
      <c r="A151" s="74" t="s">
        <v>19</v>
      </c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6"/>
      <c r="U151" s="37" t="s">
        <v>209</v>
      </c>
      <c r="V151" s="37"/>
      <c r="W151" s="37"/>
      <c r="X151" s="37"/>
      <c r="Y151" s="37"/>
      <c r="Z151" s="37"/>
      <c r="AA151" s="37"/>
      <c r="AB151" s="37"/>
      <c r="AC151" s="37"/>
      <c r="AD151" s="37"/>
      <c r="AE151" s="37" t="s">
        <v>212</v>
      </c>
      <c r="AF151" s="37"/>
      <c r="AG151" s="37"/>
      <c r="AH151" s="37"/>
      <c r="AI151" s="37"/>
      <c r="AJ151" s="37"/>
      <c r="AK151" s="37"/>
      <c r="AL151" s="37"/>
      <c r="AM151" s="37"/>
      <c r="AN151" s="37"/>
      <c r="AO151" s="37" t="s">
        <v>220</v>
      </c>
      <c r="AP151" s="37"/>
      <c r="AQ151" s="37"/>
      <c r="AR151" s="37"/>
      <c r="AS151" s="37"/>
      <c r="AT151" s="37"/>
      <c r="AU151" s="37"/>
      <c r="AV151" s="37"/>
      <c r="AW151" s="37"/>
      <c r="AX151" s="37"/>
      <c r="AY151" s="37" t="s">
        <v>230</v>
      </c>
      <c r="AZ151" s="37"/>
      <c r="BA151" s="37"/>
      <c r="BB151" s="37"/>
      <c r="BC151" s="37"/>
      <c r="BD151" s="37"/>
      <c r="BE151" s="37"/>
      <c r="BF151" s="37"/>
      <c r="BG151" s="37"/>
      <c r="BH151" s="37"/>
      <c r="BI151" s="37" t="s">
        <v>235</v>
      </c>
      <c r="BJ151" s="37"/>
      <c r="BK151" s="37"/>
      <c r="BL151" s="37"/>
      <c r="BM151" s="37"/>
      <c r="BN151" s="37"/>
      <c r="BO151" s="37"/>
      <c r="BP151" s="37"/>
      <c r="BQ151" s="37"/>
      <c r="BR151" s="37"/>
    </row>
    <row r="152" spans="1:79" ht="30" customHeight="1" x14ac:dyDescent="0.2">
      <c r="A152" s="77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9"/>
      <c r="U152" s="37" t="s">
        <v>4</v>
      </c>
      <c r="V152" s="37"/>
      <c r="W152" s="37"/>
      <c r="X152" s="37"/>
      <c r="Y152" s="37"/>
      <c r="Z152" s="37" t="s">
        <v>3</v>
      </c>
      <c r="AA152" s="37"/>
      <c r="AB152" s="37"/>
      <c r="AC152" s="37"/>
      <c r="AD152" s="37"/>
      <c r="AE152" s="37" t="s">
        <v>4</v>
      </c>
      <c r="AF152" s="37"/>
      <c r="AG152" s="37"/>
      <c r="AH152" s="37"/>
      <c r="AI152" s="37"/>
      <c r="AJ152" s="37" t="s">
        <v>3</v>
      </c>
      <c r="AK152" s="37"/>
      <c r="AL152" s="37"/>
      <c r="AM152" s="37"/>
      <c r="AN152" s="37"/>
      <c r="AO152" s="37" t="s">
        <v>4</v>
      </c>
      <c r="AP152" s="37"/>
      <c r="AQ152" s="37"/>
      <c r="AR152" s="37"/>
      <c r="AS152" s="37"/>
      <c r="AT152" s="37" t="s">
        <v>3</v>
      </c>
      <c r="AU152" s="37"/>
      <c r="AV152" s="37"/>
      <c r="AW152" s="37"/>
      <c r="AX152" s="37"/>
      <c r="AY152" s="37" t="s">
        <v>4</v>
      </c>
      <c r="AZ152" s="37"/>
      <c r="BA152" s="37"/>
      <c r="BB152" s="37"/>
      <c r="BC152" s="37"/>
      <c r="BD152" s="37" t="s">
        <v>3</v>
      </c>
      <c r="BE152" s="37"/>
      <c r="BF152" s="37"/>
      <c r="BG152" s="37"/>
      <c r="BH152" s="37"/>
      <c r="BI152" s="37" t="s">
        <v>4</v>
      </c>
      <c r="BJ152" s="37"/>
      <c r="BK152" s="37"/>
      <c r="BL152" s="37"/>
      <c r="BM152" s="37"/>
      <c r="BN152" s="37" t="s">
        <v>3</v>
      </c>
      <c r="BO152" s="37"/>
      <c r="BP152" s="37"/>
      <c r="BQ152" s="37"/>
      <c r="BR152" s="37"/>
    </row>
    <row r="153" spans="1:79" ht="15" customHeight="1" x14ac:dyDescent="0.2">
      <c r="A153" s="70">
        <v>1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2"/>
      <c r="U153" s="37">
        <v>2</v>
      </c>
      <c r="V153" s="37"/>
      <c r="W153" s="37"/>
      <c r="X153" s="37"/>
      <c r="Y153" s="37"/>
      <c r="Z153" s="37">
        <v>3</v>
      </c>
      <c r="AA153" s="37"/>
      <c r="AB153" s="37"/>
      <c r="AC153" s="37"/>
      <c r="AD153" s="37"/>
      <c r="AE153" s="37">
        <v>4</v>
      </c>
      <c r="AF153" s="37"/>
      <c r="AG153" s="37"/>
      <c r="AH153" s="37"/>
      <c r="AI153" s="37"/>
      <c r="AJ153" s="37">
        <v>5</v>
      </c>
      <c r="AK153" s="37"/>
      <c r="AL153" s="37"/>
      <c r="AM153" s="37"/>
      <c r="AN153" s="37"/>
      <c r="AO153" s="37">
        <v>6</v>
      </c>
      <c r="AP153" s="37"/>
      <c r="AQ153" s="37"/>
      <c r="AR153" s="37"/>
      <c r="AS153" s="37"/>
      <c r="AT153" s="37">
        <v>7</v>
      </c>
      <c r="AU153" s="37"/>
      <c r="AV153" s="37"/>
      <c r="AW153" s="37"/>
      <c r="AX153" s="37"/>
      <c r="AY153" s="37">
        <v>8</v>
      </c>
      <c r="AZ153" s="37"/>
      <c r="BA153" s="37"/>
      <c r="BB153" s="37"/>
      <c r="BC153" s="37"/>
      <c r="BD153" s="37">
        <v>9</v>
      </c>
      <c r="BE153" s="37"/>
      <c r="BF153" s="37"/>
      <c r="BG153" s="37"/>
      <c r="BH153" s="37"/>
      <c r="BI153" s="37">
        <v>10</v>
      </c>
      <c r="BJ153" s="37"/>
      <c r="BK153" s="37"/>
      <c r="BL153" s="37"/>
      <c r="BM153" s="37"/>
      <c r="BN153" s="37">
        <v>11</v>
      </c>
      <c r="BO153" s="37"/>
      <c r="BP153" s="37"/>
      <c r="BQ153" s="37"/>
      <c r="BR153" s="37"/>
    </row>
    <row r="154" spans="1:79" s="1" customFormat="1" ht="15.75" hidden="1" customHeight="1" x14ac:dyDescent="0.2">
      <c r="A154" s="83" t="s">
        <v>57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5"/>
      <c r="U154" s="62" t="s">
        <v>65</v>
      </c>
      <c r="V154" s="62"/>
      <c r="W154" s="62"/>
      <c r="X154" s="62"/>
      <c r="Y154" s="62"/>
      <c r="Z154" s="60" t="s">
        <v>66</v>
      </c>
      <c r="AA154" s="60"/>
      <c r="AB154" s="60"/>
      <c r="AC154" s="60"/>
      <c r="AD154" s="60"/>
      <c r="AE154" s="62" t="s">
        <v>67</v>
      </c>
      <c r="AF154" s="62"/>
      <c r="AG154" s="62"/>
      <c r="AH154" s="62"/>
      <c r="AI154" s="62"/>
      <c r="AJ154" s="60" t="s">
        <v>68</v>
      </c>
      <c r="AK154" s="60"/>
      <c r="AL154" s="60"/>
      <c r="AM154" s="60"/>
      <c r="AN154" s="60"/>
      <c r="AO154" s="62" t="s">
        <v>58</v>
      </c>
      <c r="AP154" s="62"/>
      <c r="AQ154" s="62"/>
      <c r="AR154" s="62"/>
      <c r="AS154" s="62"/>
      <c r="AT154" s="60" t="s">
        <v>59</v>
      </c>
      <c r="AU154" s="60"/>
      <c r="AV154" s="60"/>
      <c r="AW154" s="60"/>
      <c r="AX154" s="60"/>
      <c r="AY154" s="62" t="s">
        <v>60</v>
      </c>
      <c r="AZ154" s="62"/>
      <c r="BA154" s="62"/>
      <c r="BB154" s="62"/>
      <c r="BC154" s="62"/>
      <c r="BD154" s="60" t="s">
        <v>61</v>
      </c>
      <c r="BE154" s="60"/>
      <c r="BF154" s="60"/>
      <c r="BG154" s="60"/>
      <c r="BH154" s="60"/>
      <c r="BI154" s="62" t="s">
        <v>62</v>
      </c>
      <c r="BJ154" s="62"/>
      <c r="BK154" s="62"/>
      <c r="BL154" s="62"/>
      <c r="BM154" s="62"/>
      <c r="BN154" s="60" t="s">
        <v>63</v>
      </c>
      <c r="BO154" s="60"/>
      <c r="BP154" s="60"/>
      <c r="BQ154" s="60"/>
      <c r="BR154" s="60"/>
      <c r="CA154" t="s">
        <v>41</v>
      </c>
    </row>
    <row r="155" spans="1:79" s="5" customFormat="1" ht="12.75" customHeight="1" x14ac:dyDescent="0.2">
      <c r="A155" s="38" t="s">
        <v>147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46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CA155" s="5" t="s">
        <v>42</v>
      </c>
    </row>
    <row r="156" spans="1:79" s="4" customFormat="1" ht="38.25" customHeight="1" x14ac:dyDescent="0.2">
      <c r="A156" s="28" t="s">
        <v>192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30"/>
      <c r="U156" s="25" t="s">
        <v>173</v>
      </c>
      <c r="V156" s="25"/>
      <c r="W156" s="25"/>
      <c r="X156" s="25"/>
      <c r="Y156" s="25"/>
      <c r="Z156" s="25"/>
      <c r="AA156" s="25"/>
      <c r="AB156" s="25"/>
      <c r="AC156" s="25"/>
      <c r="AD156" s="25"/>
      <c r="AE156" s="25" t="s">
        <v>173</v>
      </c>
      <c r="AF156" s="25"/>
      <c r="AG156" s="25"/>
      <c r="AH156" s="25"/>
      <c r="AI156" s="25"/>
      <c r="AJ156" s="25"/>
      <c r="AK156" s="25"/>
      <c r="AL156" s="25"/>
      <c r="AM156" s="25"/>
      <c r="AN156" s="25"/>
      <c r="AO156" s="25" t="s">
        <v>173</v>
      </c>
      <c r="AP156" s="25"/>
      <c r="AQ156" s="25"/>
      <c r="AR156" s="25"/>
      <c r="AS156" s="25"/>
      <c r="AT156" s="25"/>
      <c r="AU156" s="25"/>
      <c r="AV156" s="25"/>
      <c r="AW156" s="25"/>
      <c r="AX156" s="25"/>
      <c r="AY156" s="25" t="s">
        <v>173</v>
      </c>
      <c r="AZ156" s="25"/>
      <c r="BA156" s="25"/>
      <c r="BB156" s="25"/>
      <c r="BC156" s="25"/>
      <c r="BD156" s="25"/>
      <c r="BE156" s="25"/>
      <c r="BF156" s="25"/>
      <c r="BG156" s="25"/>
      <c r="BH156" s="25"/>
      <c r="BI156" s="25" t="s">
        <v>173</v>
      </c>
      <c r="BJ156" s="25"/>
      <c r="BK156" s="25"/>
      <c r="BL156" s="25"/>
      <c r="BM156" s="25"/>
      <c r="BN156" s="25"/>
      <c r="BO156" s="25"/>
      <c r="BP156" s="25"/>
      <c r="BQ156" s="25"/>
      <c r="BR156" s="25"/>
    </row>
    <row r="158" spans="1:79" ht="14.25" customHeight="1" x14ac:dyDescent="0.2">
      <c r="A158" s="57" t="s">
        <v>125</v>
      </c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</row>
    <row r="159" spans="1:79" ht="15" customHeight="1" x14ac:dyDescent="0.2">
      <c r="A159" s="74" t="s">
        <v>6</v>
      </c>
      <c r="B159" s="75"/>
      <c r="C159" s="75"/>
      <c r="D159" s="74" t="s">
        <v>10</v>
      </c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6"/>
      <c r="W159" s="37" t="s">
        <v>209</v>
      </c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 t="s">
        <v>213</v>
      </c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 t="s">
        <v>225</v>
      </c>
      <c r="AV159" s="37"/>
      <c r="AW159" s="37"/>
      <c r="AX159" s="37"/>
      <c r="AY159" s="37"/>
      <c r="AZ159" s="37"/>
      <c r="BA159" s="37" t="s">
        <v>231</v>
      </c>
      <c r="BB159" s="37"/>
      <c r="BC159" s="37"/>
      <c r="BD159" s="37"/>
      <c r="BE159" s="37"/>
      <c r="BF159" s="37"/>
      <c r="BG159" s="37" t="s">
        <v>240</v>
      </c>
      <c r="BH159" s="37"/>
      <c r="BI159" s="37"/>
      <c r="BJ159" s="37"/>
      <c r="BK159" s="37"/>
      <c r="BL159" s="37"/>
    </row>
    <row r="160" spans="1:79" ht="15" customHeight="1" x14ac:dyDescent="0.2">
      <c r="A160" s="86"/>
      <c r="B160" s="87"/>
      <c r="C160" s="87"/>
      <c r="D160" s="86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8"/>
      <c r="W160" s="37" t="s">
        <v>4</v>
      </c>
      <c r="X160" s="37"/>
      <c r="Y160" s="37"/>
      <c r="Z160" s="37"/>
      <c r="AA160" s="37"/>
      <c r="AB160" s="37"/>
      <c r="AC160" s="37" t="s">
        <v>3</v>
      </c>
      <c r="AD160" s="37"/>
      <c r="AE160" s="37"/>
      <c r="AF160" s="37"/>
      <c r="AG160" s="37"/>
      <c r="AH160" s="37"/>
      <c r="AI160" s="37" t="s">
        <v>4</v>
      </c>
      <c r="AJ160" s="37"/>
      <c r="AK160" s="37"/>
      <c r="AL160" s="37"/>
      <c r="AM160" s="37"/>
      <c r="AN160" s="37"/>
      <c r="AO160" s="37" t="s">
        <v>3</v>
      </c>
      <c r="AP160" s="37"/>
      <c r="AQ160" s="37"/>
      <c r="AR160" s="37"/>
      <c r="AS160" s="37"/>
      <c r="AT160" s="37"/>
      <c r="AU160" s="64" t="s">
        <v>4</v>
      </c>
      <c r="AV160" s="64"/>
      <c r="AW160" s="64"/>
      <c r="AX160" s="64" t="s">
        <v>3</v>
      </c>
      <c r="AY160" s="64"/>
      <c r="AZ160" s="64"/>
      <c r="BA160" s="64" t="s">
        <v>4</v>
      </c>
      <c r="BB160" s="64"/>
      <c r="BC160" s="64"/>
      <c r="BD160" s="64" t="s">
        <v>3</v>
      </c>
      <c r="BE160" s="64"/>
      <c r="BF160" s="64"/>
      <c r="BG160" s="64" t="s">
        <v>4</v>
      </c>
      <c r="BH160" s="64"/>
      <c r="BI160" s="64"/>
      <c r="BJ160" s="64" t="s">
        <v>3</v>
      </c>
      <c r="BK160" s="64"/>
      <c r="BL160" s="64"/>
    </row>
    <row r="161" spans="1:79" ht="57" customHeight="1" x14ac:dyDescent="0.2">
      <c r="A161" s="77"/>
      <c r="B161" s="78"/>
      <c r="C161" s="78"/>
      <c r="D161" s="77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9"/>
      <c r="W161" s="37" t="s">
        <v>12</v>
      </c>
      <c r="X161" s="37"/>
      <c r="Y161" s="37"/>
      <c r="Z161" s="37" t="s">
        <v>11</v>
      </c>
      <c r="AA161" s="37"/>
      <c r="AB161" s="37"/>
      <c r="AC161" s="37" t="s">
        <v>12</v>
      </c>
      <c r="AD161" s="37"/>
      <c r="AE161" s="37"/>
      <c r="AF161" s="37" t="s">
        <v>11</v>
      </c>
      <c r="AG161" s="37"/>
      <c r="AH161" s="37"/>
      <c r="AI161" s="37" t="s">
        <v>12</v>
      </c>
      <c r="AJ161" s="37"/>
      <c r="AK161" s="37"/>
      <c r="AL161" s="37" t="s">
        <v>11</v>
      </c>
      <c r="AM161" s="37"/>
      <c r="AN161" s="37"/>
      <c r="AO161" s="37" t="s">
        <v>12</v>
      </c>
      <c r="AP161" s="37"/>
      <c r="AQ161" s="37"/>
      <c r="AR161" s="37" t="s">
        <v>11</v>
      </c>
      <c r="AS161" s="37"/>
      <c r="AT161" s="37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</row>
    <row r="162" spans="1:79" ht="15" customHeight="1" x14ac:dyDescent="0.2">
      <c r="A162" s="70">
        <v>1</v>
      </c>
      <c r="B162" s="71"/>
      <c r="C162" s="71"/>
      <c r="D162" s="70">
        <v>2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2"/>
      <c r="W162" s="37">
        <v>3</v>
      </c>
      <c r="X162" s="37"/>
      <c r="Y162" s="37"/>
      <c r="Z162" s="37">
        <v>4</v>
      </c>
      <c r="AA162" s="37"/>
      <c r="AB162" s="37"/>
      <c r="AC162" s="37">
        <v>5</v>
      </c>
      <c r="AD162" s="37"/>
      <c r="AE162" s="37"/>
      <c r="AF162" s="37">
        <v>6</v>
      </c>
      <c r="AG162" s="37"/>
      <c r="AH162" s="37"/>
      <c r="AI162" s="37">
        <v>7</v>
      </c>
      <c r="AJ162" s="37"/>
      <c r="AK162" s="37"/>
      <c r="AL162" s="37">
        <v>8</v>
      </c>
      <c r="AM162" s="37"/>
      <c r="AN162" s="37"/>
      <c r="AO162" s="37">
        <v>9</v>
      </c>
      <c r="AP162" s="37"/>
      <c r="AQ162" s="37"/>
      <c r="AR162" s="37">
        <v>10</v>
      </c>
      <c r="AS162" s="37"/>
      <c r="AT162" s="37"/>
      <c r="AU162" s="37">
        <v>11</v>
      </c>
      <c r="AV162" s="37"/>
      <c r="AW162" s="37"/>
      <c r="AX162" s="37">
        <v>12</v>
      </c>
      <c r="AY162" s="37"/>
      <c r="AZ162" s="37"/>
      <c r="BA162" s="37">
        <v>13</v>
      </c>
      <c r="BB162" s="37"/>
      <c r="BC162" s="37"/>
      <c r="BD162" s="37">
        <v>14</v>
      </c>
      <c r="BE162" s="37"/>
      <c r="BF162" s="37"/>
      <c r="BG162" s="37">
        <v>15</v>
      </c>
      <c r="BH162" s="37"/>
      <c r="BI162" s="37"/>
      <c r="BJ162" s="37">
        <v>16</v>
      </c>
      <c r="BK162" s="37"/>
      <c r="BL162" s="37"/>
    </row>
    <row r="163" spans="1:79" s="1" customFormat="1" ht="12.75" hidden="1" customHeight="1" x14ac:dyDescent="0.2">
      <c r="A163" s="83" t="s">
        <v>69</v>
      </c>
      <c r="B163" s="84"/>
      <c r="C163" s="84"/>
      <c r="D163" s="83" t="s">
        <v>57</v>
      </c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5"/>
      <c r="W163" s="62" t="s">
        <v>72</v>
      </c>
      <c r="X163" s="62"/>
      <c r="Y163" s="62"/>
      <c r="Z163" s="62" t="s">
        <v>73</v>
      </c>
      <c r="AA163" s="62"/>
      <c r="AB163" s="62"/>
      <c r="AC163" s="60" t="s">
        <v>74</v>
      </c>
      <c r="AD163" s="60"/>
      <c r="AE163" s="60"/>
      <c r="AF163" s="60" t="s">
        <v>75</v>
      </c>
      <c r="AG163" s="60"/>
      <c r="AH163" s="60"/>
      <c r="AI163" s="62" t="s">
        <v>76</v>
      </c>
      <c r="AJ163" s="62"/>
      <c r="AK163" s="62"/>
      <c r="AL163" s="62" t="s">
        <v>77</v>
      </c>
      <c r="AM163" s="62"/>
      <c r="AN163" s="62"/>
      <c r="AO163" s="60" t="s">
        <v>104</v>
      </c>
      <c r="AP163" s="60"/>
      <c r="AQ163" s="60"/>
      <c r="AR163" s="60" t="s">
        <v>78</v>
      </c>
      <c r="AS163" s="60"/>
      <c r="AT163" s="60"/>
      <c r="AU163" s="62" t="s">
        <v>105</v>
      </c>
      <c r="AV163" s="62"/>
      <c r="AW163" s="62"/>
      <c r="AX163" s="60" t="s">
        <v>106</v>
      </c>
      <c r="AY163" s="60"/>
      <c r="AZ163" s="60"/>
      <c r="BA163" s="62" t="s">
        <v>107</v>
      </c>
      <c r="BB163" s="62"/>
      <c r="BC163" s="62"/>
      <c r="BD163" s="60" t="s">
        <v>108</v>
      </c>
      <c r="BE163" s="60"/>
      <c r="BF163" s="60"/>
      <c r="BG163" s="62" t="s">
        <v>109</v>
      </c>
      <c r="BH163" s="62"/>
      <c r="BI163" s="62"/>
      <c r="BJ163" s="60" t="s">
        <v>110</v>
      </c>
      <c r="BK163" s="60"/>
      <c r="BL163" s="60"/>
      <c r="CA163" s="1" t="s">
        <v>103</v>
      </c>
    </row>
    <row r="164" spans="1:79" s="5" customFormat="1" ht="12.75" customHeight="1" x14ac:dyDescent="0.2">
      <c r="A164" s="38">
        <v>1</v>
      </c>
      <c r="B164" s="39"/>
      <c r="C164" s="39"/>
      <c r="D164" s="21" t="s">
        <v>193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3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CA164" s="5" t="s">
        <v>43</v>
      </c>
    </row>
    <row r="165" spans="1:79" s="4" customFormat="1" ht="25.5" customHeight="1" x14ac:dyDescent="0.2">
      <c r="A165" s="33">
        <v>2</v>
      </c>
      <c r="B165" s="34"/>
      <c r="C165" s="34"/>
      <c r="D165" s="28" t="s">
        <v>194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30"/>
      <c r="W165" s="32" t="s">
        <v>173</v>
      </c>
      <c r="X165" s="32"/>
      <c r="Y165" s="32"/>
      <c r="Z165" s="32" t="s">
        <v>173</v>
      </c>
      <c r="AA165" s="32"/>
      <c r="AB165" s="32"/>
      <c r="AC165" s="32"/>
      <c r="AD165" s="32"/>
      <c r="AE165" s="32"/>
      <c r="AF165" s="32"/>
      <c r="AG165" s="32"/>
      <c r="AH165" s="32"/>
      <c r="AI165" s="32" t="s">
        <v>173</v>
      </c>
      <c r="AJ165" s="32"/>
      <c r="AK165" s="32"/>
      <c r="AL165" s="32" t="s">
        <v>173</v>
      </c>
      <c r="AM165" s="32"/>
      <c r="AN165" s="32"/>
      <c r="AO165" s="32"/>
      <c r="AP165" s="32"/>
      <c r="AQ165" s="32"/>
      <c r="AR165" s="32"/>
      <c r="AS165" s="32"/>
      <c r="AT165" s="32"/>
      <c r="AU165" s="32" t="s">
        <v>173</v>
      </c>
      <c r="AV165" s="32"/>
      <c r="AW165" s="32"/>
      <c r="AX165" s="32"/>
      <c r="AY165" s="32"/>
      <c r="AZ165" s="32"/>
      <c r="BA165" s="32" t="s">
        <v>173</v>
      </c>
      <c r="BB165" s="32"/>
      <c r="BC165" s="32"/>
      <c r="BD165" s="32"/>
      <c r="BE165" s="32"/>
      <c r="BF165" s="32"/>
      <c r="BG165" s="32" t="s">
        <v>173</v>
      </c>
      <c r="BH165" s="32"/>
      <c r="BI165" s="32"/>
      <c r="BJ165" s="32"/>
      <c r="BK165" s="32"/>
      <c r="BL165" s="32"/>
    </row>
    <row r="167" spans="1:79" ht="14.25" customHeight="1" x14ac:dyDescent="0.2">
      <c r="A167" s="57" t="s">
        <v>153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</row>
    <row r="168" spans="1:79" ht="14.25" customHeight="1" x14ac:dyDescent="0.2">
      <c r="A168" s="57" t="s">
        <v>226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</row>
    <row r="169" spans="1:79" ht="15" customHeight="1" x14ac:dyDescent="0.2">
      <c r="A169" s="63" t="s">
        <v>208</v>
      </c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spans="1:79" ht="15" customHeight="1" x14ac:dyDescent="0.2">
      <c r="A170" s="37" t="s">
        <v>6</v>
      </c>
      <c r="B170" s="37"/>
      <c r="C170" s="37"/>
      <c r="D170" s="37"/>
      <c r="E170" s="37"/>
      <c r="F170" s="37"/>
      <c r="G170" s="37" t="s">
        <v>126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 t="s">
        <v>13</v>
      </c>
      <c r="U170" s="37"/>
      <c r="V170" s="37"/>
      <c r="W170" s="37"/>
      <c r="X170" s="37"/>
      <c r="Y170" s="37"/>
      <c r="Z170" s="37"/>
      <c r="AA170" s="70" t="s">
        <v>209</v>
      </c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2"/>
      <c r="AP170" s="70" t="s">
        <v>212</v>
      </c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2"/>
      <c r="BE170" s="70" t="s">
        <v>220</v>
      </c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2"/>
    </row>
    <row r="171" spans="1:79" ht="32.1" customHeight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 t="s">
        <v>4</v>
      </c>
      <c r="AB171" s="37"/>
      <c r="AC171" s="37"/>
      <c r="AD171" s="37"/>
      <c r="AE171" s="37"/>
      <c r="AF171" s="37" t="s">
        <v>3</v>
      </c>
      <c r="AG171" s="37"/>
      <c r="AH171" s="37"/>
      <c r="AI171" s="37"/>
      <c r="AJ171" s="37"/>
      <c r="AK171" s="37" t="s">
        <v>89</v>
      </c>
      <c r="AL171" s="37"/>
      <c r="AM171" s="37"/>
      <c r="AN171" s="37"/>
      <c r="AO171" s="37"/>
      <c r="AP171" s="37" t="s">
        <v>4</v>
      </c>
      <c r="AQ171" s="37"/>
      <c r="AR171" s="37"/>
      <c r="AS171" s="37"/>
      <c r="AT171" s="37"/>
      <c r="AU171" s="37" t="s">
        <v>3</v>
      </c>
      <c r="AV171" s="37"/>
      <c r="AW171" s="37"/>
      <c r="AX171" s="37"/>
      <c r="AY171" s="37"/>
      <c r="AZ171" s="37" t="s">
        <v>96</v>
      </c>
      <c r="BA171" s="37"/>
      <c r="BB171" s="37"/>
      <c r="BC171" s="37"/>
      <c r="BD171" s="37"/>
      <c r="BE171" s="37" t="s">
        <v>4</v>
      </c>
      <c r="BF171" s="37"/>
      <c r="BG171" s="37"/>
      <c r="BH171" s="37"/>
      <c r="BI171" s="37"/>
      <c r="BJ171" s="37" t="s">
        <v>3</v>
      </c>
      <c r="BK171" s="37"/>
      <c r="BL171" s="37"/>
      <c r="BM171" s="37"/>
      <c r="BN171" s="37"/>
      <c r="BO171" s="37" t="s">
        <v>127</v>
      </c>
      <c r="BP171" s="37"/>
      <c r="BQ171" s="37"/>
      <c r="BR171" s="37"/>
      <c r="BS171" s="37"/>
    </row>
    <row r="172" spans="1:79" ht="15" customHeight="1" x14ac:dyDescent="0.2">
      <c r="A172" s="37">
        <v>1</v>
      </c>
      <c r="B172" s="37"/>
      <c r="C172" s="37"/>
      <c r="D172" s="37"/>
      <c r="E172" s="37"/>
      <c r="F172" s="37"/>
      <c r="G172" s="37">
        <v>2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>
        <v>3</v>
      </c>
      <c r="U172" s="37"/>
      <c r="V172" s="37"/>
      <c r="W172" s="37"/>
      <c r="X172" s="37"/>
      <c r="Y172" s="37"/>
      <c r="Z172" s="37"/>
      <c r="AA172" s="37">
        <v>4</v>
      </c>
      <c r="AB172" s="37"/>
      <c r="AC172" s="37"/>
      <c r="AD172" s="37"/>
      <c r="AE172" s="37"/>
      <c r="AF172" s="37">
        <v>5</v>
      </c>
      <c r="AG172" s="37"/>
      <c r="AH172" s="37"/>
      <c r="AI172" s="37"/>
      <c r="AJ172" s="37"/>
      <c r="AK172" s="37">
        <v>6</v>
      </c>
      <c r="AL172" s="37"/>
      <c r="AM172" s="37"/>
      <c r="AN172" s="37"/>
      <c r="AO172" s="37"/>
      <c r="AP172" s="37">
        <v>7</v>
      </c>
      <c r="AQ172" s="37"/>
      <c r="AR172" s="37"/>
      <c r="AS172" s="37"/>
      <c r="AT172" s="37"/>
      <c r="AU172" s="37">
        <v>8</v>
      </c>
      <c r="AV172" s="37"/>
      <c r="AW172" s="37"/>
      <c r="AX172" s="37"/>
      <c r="AY172" s="37"/>
      <c r="AZ172" s="37">
        <v>9</v>
      </c>
      <c r="BA172" s="37"/>
      <c r="BB172" s="37"/>
      <c r="BC172" s="37"/>
      <c r="BD172" s="37"/>
      <c r="BE172" s="37">
        <v>10</v>
      </c>
      <c r="BF172" s="37"/>
      <c r="BG172" s="37"/>
      <c r="BH172" s="37"/>
      <c r="BI172" s="37"/>
      <c r="BJ172" s="37">
        <v>11</v>
      </c>
      <c r="BK172" s="37"/>
      <c r="BL172" s="37"/>
      <c r="BM172" s="37"/>
      <c r="BN172" s="37"/>
      <c r="BO172" s="37">
        <v>12</v>
      </c>
      <c r="BP172" s="37"/>
      <c r="BQ172" s="37"/>
      <c r="BR172" s="37"/>
      <c r="BS172" s="37"/>
    </row>
    <row r="173" spans="1:79" s="1" customFormat="1" ht="15" hidden="1" customHeight="1" x14ac:dyDescent="0.2">
      <c r="A173" s="62" t="s">
        <v>69</v>
      </c>
      <c r="B173" s="62"/>
      <c r="C173" s="62"/>
      <c r="D173" s="62"/>
      <c r="E173" s="62"/>
      <c r="F173" s="62"/>
      <c r="G173" s="61" t="s">
        <v>57</v>
      </c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 t="s">
        <v>79</v>
      </c>
      <c r="U173" s="61"/>
      <c r="V173" s="61"/>
      <c r="W173" s="61"/>
      <c r="X173" s="61"/>
      <c r="Y173" s="61"/>
      <c r="Z173" s="61"/>
      <c r="AA173" s="60" t="s">
        <v>65</v>
      </c>
      <c r="AB173" s="60"/>
      <c r="AC173" s="60"/>
      <c r="AD173" s="60"/>
      <c r="AE173" s="60"/>
      <c r="AF173" s="60" t="s">
        <v>66</v>
      </c>
      <c r="AG173" s="60"/>
      <c r="AH173" s="60"/>
      <c r="AI173" s="60"/>
      <c r="AJ173" s="60"/>
      <c r="AK173" s="80" t="s">
        <v>122</v>
      </c>
      <c r="AL173" s="80"/>
      <c r="AM173" s="80"/>
      <c r="AN173" s="80"/>
      <c r="AO173" s="80"/>
      <c r="AP173" s="60" t="s">
        <v>67</v>
      </c>
      <c r="AQ173" s="60"/>
      <c r="AR173" s="60"/>
      <c r="AS173" s="60"/>
      <c r="AT173" s="60"/>
      <c r="AU173" s="60" t="s">
        <v>68</v>
      </c>
      <c r="AV173" s="60"/>
      <c r="AW173" s="60"/>
      <c r="AX173" s="60"/>
      <c r="AY173" s="60"/>
      <c r="AZ173" s="80" t="s">
        <v>122</v>
      </c>
      <c r="BA173" s="80"/>
      <c r="BB173" s="80"/>
      <c r="BC173" s="80"/>
      <c r="BD173" s="80"/>
      <c r="BE173" s="60" t="s">
        <v>58</v>
      </c>
      <c r="BF173" s="60"/>
      <c r="BG173" s="60"/>
      <c r="BH173" s="60"/>
      <c r="BI173" s="60"/>
      <c r="BJ173" s="60" t="s">
        <v>59</v>
      </c>
      <c r="BK173" s="60"/>
      <c r="BL173" s="60"/>
      <c r="BM173" s="60"/>
      <c r="BN173" s="60"/>
      <c r="BO173" s="80" t="s">
        <v>122</v>
      </c>
      <c r="BP173" s="80"/>
      <c r="BQ173" s="80"/>
      <c r="BR173" s="80"/>
      <c r="BS173" s="80"/>
      <c r="CA173" s="1" t="s">
        <v>44</v>
      </c>
    </row>
    <row r="174" spans="1:79" s="4" customFormat="1" ht="51" customHeight="1" x14ac:dyDescent="0.2">
      <c r="A174" s="27">
        <v>1</v>
      </c>
      <c r="B174" s="27"/>
      <c r="C174" s="27"/>
      <c r="D174" s="27"/>
      <c r="E174" s="27"/>
      <c r="F174" s="27"/>
      <c r="G174" s="28" t="s">
        <v>195</v>
      </c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30"/>
      <c r="T174" s="31" t="s">
        <v>196</v>
      </c>
      <c r="U174" s="29"/>
      <c r="V174" s="29"/>
      <c r="W174" s="29"/>
      <c r="X174" s="29"/>
      <c r="Y174" s="29"/>
      <c r="Z174" s="30"/>
      <c r="AA174" s="25">
        <v>261992</v>
      </c>
      <c r="AB174" s="25"/>
      <c r="AC174" s="25"/>
      <c r="AD174" s="25"/>
      <c r="AE174" s="25"/>
      <c r="AF174" s="25">
        <v>0</v>
      </c>
      <c r="AG174" s="25"/>
      <c r="AH174" s="25"/>
      <c r="AI174" s="25"/>
      <c r="AJ174" s="25"/>
      <c r="AK174" s="25">
        <f>IF(ISNUMBER(AA174),AA174,0)+IF(ISNUMBER(AF174),AF174,0)</f>
        <v>261992</v>
      </c>
      <c r="AL174" s="25"/>
      <c r="AM174" s="25"/>
      <c r="AN174" s="25"/>
      <c r="AO174" s="25"/>
      <c r="AP174" s="25">
        <v>1127078</v>
      </c>
      <c r="AQ174" s="25"/>
      <c r="AR174" s="25"/>
      <c r="AS174" s="25"/>
      <c r="AT174" s="25"/>
      <c r="AU174" s="25">
        <v>0</v>
      </c>
      <c r="AV174" s="25"/>
      <c r="AW174" s="25"/>
      <c r="AX174" s="25"/>
      <c r="AY174" s="25"/>
      <c r="AZ174" s="25">
        <f>IF(ISNUMBER(AP174),AP174,0)+IF(ISNUMBER(AU174),AU174,0)</f>
        <v>1127078</v>
      </c>
      <c r="BA174" s="25"/>
      <c r="BB174" s="25"/>
      <c r="BC174" s="25"/>
      <c r="BD174" s="25"/>
      <c r="BE174" s="25">
        <v>536170</v>
      </c>
      <c r="BF174" s="25"/>
      <c r="BG174" s="25"/>
      <c r="BH174" s="25"/>
      <c r="BI174" s="25"/>
      <c r="BJ174" s="25">
        <v>0</v>
      </c>
      <c r="BK174" s="25"/>
      <c r="BL174" s="25"/>
      <c r="BM174" s="25"/>
      <c r="BN174" s="25"/>
      <c r="BO174" s="25">
        <f>IF(ISNUMBER(BE174),BE174,0)+IF(ISNUMBER(BJ174),BJ174,0)</f>
        <v>536170</v>
      </c>
      <c r="BP174" s="25"/>
      <c r="BQ174" s="25"/>
      <c r="BR174" s="25"/>
      <c r="BS174" s="25"/>
      <c r="CA174" s="4" t="s">
        <v>45</v>
      </c>
    </row>
    <row r="175" spans="1:79" s="4" customFormat="1" ht="76.5" customHeight="1" x14ac:dyDescent="0.2">
      <c r="A175" s="27">
        <v>2</v>
      </c>
      <c r="B175" s="27"/>
      <c r="C175" s="27"/>
      <c r="D175" s="27"/>
      <c r="E175" s="27"/>
      <c r="F175" s="27"/>
      <c r="G175" s="28" t="s">
        <v>197</v>
      </c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30"/>
      <c r="T175" s="31" t="s">
        <v>198</v>
      </c>
      <c r="U175" s="29"/>
      <c r="V175" s="29"/>
      <c r="W175" s="29"/>
      <c r="X175" s="29"/>
      <c r="Y175" s="29"/>
      <c r="Z175" s="30"/>
      <c r="AA175" s="25">
        <v>0</v>
      </c>
      <c r="AB175" s="25"/>
      <c r="AC175" s="25"/>
      <c r="AD175" s="25"/>
      <c r="AE175" s="25"/>
      <c r="AF175" s="25">
        <v>0</v>
      </c>
      <c r="AG175" s="25"/>
      <c r="AH175" s="25"/>
      <c r="AI175" s="25"/>
      <c r="AJ175" s="25"/>
      <c r="AK175" s="25">
        <f>IF(ISNUMBER(AA175),AA175,0)+IF(ISNUMBER(AF175),AF175,0)</f>
        <v>0</v>
      </c>
      <c r="AL175" s="25"/>
      <c r="AM175" s="25"/>
      <c r="AN175" s="25"/>
      <c r="AO175" s="25"/>
      <c r="AP175" s="25">
        <v>0</v>
      </c>
      <c r="AQ175" s="25"/>
      <c r="AR175" s="25"/>
      <c r="AS175" s="25"/>
      <c r="AT175" s="25"/>
      <c r="AU175" s="25">
        <v>0</v>
      </c>
      <c r="AV175" s="25"/>
      <c r="AW175" s="25"/>
      <c r="AX175" s="25"/>
      <c r="AY175" s="25"/>
      <c r="AZ175" s="25">
        <f>IF(ISNUMBER(AP175),AP175,0)+IF(ISNUMBER(AU175),AU175,0)</f>
        <v>0</v>
      </c>
      <c r="BA175" s="25"/>
      <c r="BB175" s="25"/>
      <c r="BC175" s="25"/>
      <c r="BD175" s="25"/>
      <c r="BE175" s="25">
        <v>2732000</v>
      </c>
      <c r="BF175" s="25"/>
      <c r="BG175" s="25"/>
      <c r="BH175" s="25"/>
      <c r="BI175" s="25"/>
      <c r="BJ175" s="25">
        <v>0</v>
      </c>
      <c r="BK175" s="25"/>
      <c r="BL175" s="25"/>
      <c r="BM175" s="25"/>
      <c r="BN175" s="25"/>
      <c r="BO175" s="25">
        <f>IF(ISNUMBER(BE175),BE175,0)+IF(ISNUMBER(BJ175),BJ175,0)</f>
        <v>2732000</v>
      </c>
      <c r="BP175" s="25"/>
      <c r="BQ175" s="25"/>
      <c r="BR175" s="25"/>
      <c r="BS175" s="25"/>
    </row>
    <row r="176" spans="1:79" s="5" customFormat="1" ht="12.75" customHeight="1" x14ac:dyDescent="0.2">
      <c r="A176" s="20"/>
      <c r="B176" s="20"/>
      <c r="C176" s="20"/>
      <c r="D176" s="20"/>
      <c r="E176" s="20"/>
      <c r="F176" s="20"/>
      <c r="G176" s="21" t="s">
        <v>147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6"/>
      <c r="U176" s="22"/>
      <c r="V176" s="22"/>
      <c r="W176" s="22"/>
      <c r="X176" s="22"/>
      <c r="Y176" s="22"/>
      <c r="Z176" s="23"/>
      <c r="AA176" s="24">
        <v>261992</v>
      </c>
      <c r="AB176" s="24"/>
      <c r="AC176" s="24"/>
      <c r="AD176" s="24"/>
      <c r="AE176" s="24"/>
      <c r="AF176" s="24">
        <v>0</v>
      </c>
      <c r="AG176" s="24"/>
      <c r="AH176" s="24"/>
      <c r="AI176" s="24"/>
      <c r="AJ176" s="24"/>
      <c r="AK176" s="24">
        <f>IF(ISNUMBER(AA176),AA176,0)+IF(ISNUMBER(AF176),AF176,0)</f>
        <v>261992</v>
      </c>
      <c r="AL176" s="24"/>
      <c r="AM176" s="24"/>
      <c r="AN176" s="24"/>
      <c r="AO176" s="24"/>
      <c r="AP176" s="24">
        <v>1127078</v>
      </c>
      <c r="AQ176" s="24"/>
      <c r="AR176" s="24"/>
      <c r="AS176" s="24"/>
      <c r="AT176" s="24"/>
      <c r="AU176" s="24">
        <v>0</v>
      </c>
      <c r="AV176" s="24"/>
      <c r="AW176" s="24"/>
      <c r="AX176" s="24"/>
      <c r="AY176" s="24"/>
      <c r="AZ176" s="24">
        <f>IF(ISNUMBER(AP176),AP176,0)+IF(ISNUMBER(AU176),AU176,0)</f>
        <v>1127078</v>
      </c>
      <c r="BA176" s="24"/>
      <c r="BB176" s="24"/>
      <c r="BC176" s="24"/>
      <c r="BD176" s="24"/>
      <c r="BE176" s="24">
        <v>3268170</v>
      </c>
      <c r="BF176" s="24"/>
      <c r="BG176" s="24"/>
      <c r="BH176" s="24"/>
      <c r="BI176" s="24"/>
      <c r="BJ176" s="24">
        <v>0</v>
      </c>
      <c r="BK176" s="24"/>
      <c r="BL176" s="24"/>
      <c r="BM176" s="24"/>
      <c r="BN176" s="24"/>
      <c r="BO176" s="24">
        <f>IF(ISNUMBER(BE176),BE176,0)+IF(ISNUMBER(BJ176),BJ176,0)</f>
        <v>3268170</v>
      </c>
      <c r="BP176" s="24"/>
      <c r="BQ176" s="24"/>
      <c r="BR176" s="24"/>
      <c r="BS176" s="24"/>
    </row>
    <row r="178" spans="1:79" ht="13.5" customHeight="1" x14ac:dyDescent="0.2">
      <c r="A178" s="57" t="s">
        <v>241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</row>
    <row r="179" spans="1:79" ht="15" customHeight="1" x14ac:dyDescent="0.2">
      <c r="A179" s="73" t="s">
        <v>208</v>
      </c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</row>
    <row r="180" spans="1:79" ht="15" customHeight="1" x14ac:dyDescent="0.2">
      <c r="A180" s="37" t="s">
        <v>6</v>
      </c>
      <c r="B180" s="37"/>
      <c r="C180" s="37"/>
      <c r="D180" s="37"/>
      <c r="E180" s="37"/>
      <c r="F180" s="37"/>
      <c r="G180" s="37" t="s">
        <v>126</v>
      </c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 t="s">
        <v>13</v>
      </c>
      <c r="U180" s="37"/>
      <c r="V180" s="37"/>
      <c r="W180" s="37"/>
      <c r="X180" s="37"/>
      <c r="Y180" s="37"/>
      <c r="Z180" s="37"/>
      <c r="AA180" s="70" t="s">
        <v>230</v>
      </c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2"/>
      <c r="AP180" s="70" t="s">
        <v>235</v>
      </c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2"/>
    </row>
    <row r="181" spans="1:79" ht="32.1" customHeight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 t="s">
        <v>4</v>
      </c>
      <c r="AB181" s="37"/>
      <c r="AC181" s="37"/>
      <c r="AD181" s="37"/>
      <c r="AE181" s="37"/>
      <c r="AF181" s="37" t="s">
        <v>3</v>
      </c>
      <c r="AG181" s="37"/>
      <c r="AH181" s="37"/>
      <c r="AI181" s="37"/>
      <c r="AJ181" s="37"/>
      <c r="AK181" s="37" t="s">
        <v>89</v>
      </c>
      <c r="AL181" s="37"/>
      <c r="AM181" s="37"/>
      <c r="AN181" s="37"/>
      <c r="AO181" s="37"/>
      <c r="AP181" s="37" t="s">
        <v>4</v>
      </c>
      <c r="AQ181" s="37"/>
      <c r="AR181" s="37"/>
      <c r="AS181" s="37"/>
      <c r="AT181" s="37"/>
      <c r="AU181" s="37" t="s">
        <v>3</v>
      </c>
      <c r="AV181" s="37"/>
      <c r="AW181" s="37"/>
      <c r="AX181" s="37"/>
      <c r="AY181" s="37"/>
      <c r="AZ181" s="37" t="s">
        <v>96</v>
      </c>
      <c r="BA181" s="37"/>
      <c r="BB181" s="37"/>
      <c r="BC181" s="37"/>
      <c r="BD181" s="37"/>
    </row>
    <row r="182" spans="1:79" ht="15" customHeight="1" x14ac:dyDescent="0.2">
      <c r="A182" s="37">
        <v>1</v>
      </c>
      <c r="B182" s="37"/>
      <c r="C182" s="37"/>
      <c r="D182" s="37"/>
      <c r="E182" s="37"/>
      <c r="F182" s="37"/>
      <c r="G182" s="37">
        <v>2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>
        <v>3</v>
      </c>
      <c r="U182" s="37"/>
      <c r="V182" s="37"/>
      <c r="W182" s="37"/>
      <c r="X182" s="37"/>
      <c r="Y182" s="37"/>
      <c r="Z182" s="37"/>
      <c r="AA182" s="37">
        <v>4</v>
      </c>
      <c r="AB182" s="37"/>
      <c r="AC182" s="37"/>
      <c r="AD182" s="37"/>
      <c r="AE182" s="37"/>
      <c r="AF182" s="37">
        <v>5</v>
      </c>
      <c r="AG182" s="37"/>
      <c r="AH182" s="37"/>
      <c r="AI182" s="37"/>
      <c r="AJ182" s="37"/>
      <c r="AK182" s="37">
        <v>6</v>
      </c>
      <c r="AL182" s="37"/>
      <c r="AM182" s="37"/>
      <c r="AN182" s="37"/>
      <c r="AO182" s="37"/>
      <c r="AP182" s="37">
        <v>7</v>
      </c>
      <c r="AQ182" s="37"/>
      <c r="AR182" s="37"/>
      <c r="AS182" s="37"/>
      <c r="AT182" s="37"/>
      <c r="AU182" s="37">
        <v>8</v>
      </c>
      <c r="AV182" s="37"/>
      <c r="AW182" s="37"/>
      <c r="AX182" s="37"/>
      <c r="AY182" s="37"/>
      <c r="AZ182" s="37">
        <v>9</v>
      </c>
      <c r="BA182" s="37"/>
      <c r="BB182" s="37"/>
      <c r="BC182" s="37"/>
      <c r="BD182" s="37"/>
    </row>
    <row r="183" spans="1:79" s="1" customFormat="1" ht="12" hidden="1" customHeight="1" x14ac:dyDescent="0.2">
      <c r="A183" s="62" t="s">
        <v>69</v>
      </c>
      <c r="B183" s="62"/>
      <c r="C183" s="62"/>
      <c r="D183" s="62"/>
      <c r="E183" s="62"/>
      <c r="F183" s="62"/>
      <c r="G183" s="61" t="s">
        <v>57</v>
      </c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 t="s">
        <v>79</v>
      </c>
      <c r="U183" s="61"/>
      <c r="V183" s="61"/>
      <c r="W183" s="61"/>
      <c r="X183" s="61"/>
      <c r="Y183" s="61"/>
      <c r="Z183" s="61"/>
      <c r="AA183" s="60" t="s">
        <v>60</v>
      </c>
      <c r="AB183" s="60"/>
      <c r="AC183" s="60"/>
      <c r="AD183" s="60"/>
      <c r="AE183" s="60"/>
      <c r="AF183" s="60" t="s">
        <v>61</v>
      </c>
      <c r="AG183" s="60"/>
      <c r="AH183" s="60"/>
      <c r="AI183" s="60"/>
      <c r="AJ183" s="60"/>
      <c r="AK183" s="80" t="s">
        <v>122</v>
      </c>
      <c r="AL183" s="80"/>
      <c r="AM183" s="80"/>
      <c r="AN183" s="80"/>
      <c r="AO183" s="80"/>
      <c r="AP183" s="60" t="s">
        <v>62</v>
      </c>
      <c r="AQ183" s="60"/>
      <c r="AR183" s="60"/>
      <c r="AS183" s="60"/>
      <c r="AT183" s="60"/>
      <c r="AU183" s="60" t="s">
        <v>63</v>
      </c>
      <c r="AV183" s="60"/>
      <c r="AW183" s="60"/>
      <c r="AX183" s="60"/>
      <c r="AY183" s="60"/>
      <c r="AZ183" s="80" t="s">
        <v>122</v>
      </c>
      <c r="BA183" s="80"/>
      <c r="BB183" s="80"/>
      <c r="BC183" s="80"/>
      <c r="BD183" s="80"/>
      <c r="CA183" s="1" t="s">
        <v>46</v>
      </c>
    </row>
    <row r="184" spans="1:79" s="4" customFormat="1" ht="51" customHeight="1" x14ac:dyDescent="0.2">
      <c r="A184" s="27">
        <v>1</v>
      </c>
      <c r="B184" s="27"/>
      <c r="C184" s="27"/>
      <c r="D184" s="27"/>
      <c r="E184" s="27"/>
      <c r="F184" s="27"/>
      <c r="G184" s="28" t="s">
        <v>195</v>
      </c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30"/>
      <c r="T184" s="31" t="s">
        <v>196</v>
      </c>
      <c r="U184" s="29"/>
      <c r="V184" s="29"/>
      <c r="W184" s="29"/>
      <c r="X184" s="29"/>
      <c r="Y184" s="29"/>
      <c r="Z184" s="30"/>
      <c r="AA184" s="25">
        <v>536170</v>
      </c>
      <c r="AB184" s="25"/>
      <c r="AC184" s="25"/>
      <c r="AD184" s="25"/>
      <c r="AE184" s="25"/>
      <c r="AF184" s="25">
        <v>0</v>
      </c>
      <c r="AG184" s="25"/>
      <c r="AH184" s="25"/>
      <c r="AI184" s="25"/>
      <c r="AJ184" s="25"/>
      <c r="AK184" s="25">
        <f>IF(ISNUMBER(AA184),AA184,0)+IF(ISNUMBER(AF184),AF184,0)</f>
        <v>536170</v>
      </c>
      <c r="AL184" s="25"/>
      <c r="AM184" s="25"/>
      <c r="AN184" s="25"/>
      <c r="AO184" s="25"/>
      <c r="AP184" s="25">
        <v>536170</v>
      </c>
      <c r="AQ184" s="25"/>
      <c r="AR184" s="25"/>
      <c r="AS184" s="25"/>
      <c r="AT184" s="25"/>
      <c r="AU184" s="25">
        <v>0</v>
      </c>
      <c r="AV184" s="25"/>
      <c r="AW184" s="25"/>
      <c r="AX184" s="25"/>
      <c r="AY184" s="25"/>
      <c r="AZ184" s="25">
        <f>IF(ISNUMBER(AP184),AP184,0)+IF(ISNUMBER(AU184),AU184,0)</f>
        <v>536170</v>
      </c>
      <c r="BA184" s="25"/>
      <c r="BB184" s="25"/>
      <c r="BC184" s="25"/>
      <c r="BD184" s="25"/>
      <c r="CA184" s="4" t="s">
        <v>47</v>
      </c>
    </row>
    <row r="185" spans="1:79" s="4" customFormat="1" ht="76.5" customHeight="1" x14ac:dyDescent="0.2">
      <c r="A185" s="27">
        <v>2</v>
      </c>
      <c r="B185" s="27"/>
      <c r="C185" s="27"/>
      <c r="D185" s="27"/>
      <c r="E185" s="27"/>
      <c r="F185" s="27"/>
      <c r="G185" s="28" t="s">
        <v>197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30"/>
      <c r="T185" s="31" t="s">
        <v>198</v>
      </c>
      <c r="U185" s="29"/>
      <c r="V185" s="29"/>
      <c r="W185" s="29"/>
      <c r="X185" s="29"/>
      <c r="Y185" s="29"/>
      <c r="Z185" s="30"/>
      <c r="AA185" s="25">
        <v>2732000</v>
      </c>
      <c r="AB185" s="25"/>
      <c r="AC185" s="25"/>
      <c r="AD185" s="25"/>
      <c r="AE185" s="25"/>
      <c r="AF185" s="25">
        <v>0</v>
      </c>
      <c r="AG185" s="25"/>
      <c r="AH185" s="25"/>
      <c r="AI185" s="25"/>
      <c r="AJ185" s="25"/>
      <c r="AK185" s="25">
        <f>IF(ISNUMBER(AA185),AA185,0)+IF(ISNUMBER(AF185),AF185,0)</f>
        <v>2732000</v>
      </c>
      <c r="AL185" s="25"/>
      <c r="AM185" s="25"/>
      <c r="AN185" s="25"/>
      <c r="AO185" s="25"/>
      <c r="AP185" s="25">
        <v>2732000</v>
      </c>
      <c r="AQ185" s="25"/>
      <c r="AR185" s="25"/>
      <c r="AS185" s="25"/>
      <c r="AT185" s="25"/>
      <c r="AU185" s="25">
        <v>0</v>
      </c>
      <c r="AV185" s="25"/>
      <c r="AW185" s="25"/>
      <c r="AX185" s="25"/>
      <c r="AY185" s="25"/>
      <c r="AZ185" s="25">
        <f>IF(ISNUMBER(AP185),AP185,0)+IF(ISNUMBER(AU185),AU185,0)</f>
        <v>2732000</v>
      </c>
      <c r="BA185" s="25"/>
      <c r="BB185" s="25"/>
      <c r="BC185" s="25"/>
      <c r="BD185" s="25"/>
    </row>
    <row r="186" spans="1:79" s="5" customFormat="1" x14ac:dyDescent="0.2">
      <c r="A186" s="20"/>
      <c r="B186" s="20"/>
      <c r="C186" s="20"/>
      <c r="D186" s="20"/>
      <c r="E186" s="20"/>
      <c r="F186" s="20"/>
      <c r="G186" s="21" t="s">
        <v>147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6"/>
      <c r="U186" s="22"/>
      <c r="V186" s="22"/>
      <c r="W186" s="22"/>
      <c r="X186" s="22"/>
      <c r="Y186" s="22"/>
      <c r="Z186" s="23"/>
      <c r="AA186" s="24">
        <v>3268170</v>
      </c>
      <c r="AB186" s="24"/>
      <c r="AC186" s="24"/>
      <c r="AD186" s="24"/>
      <c r="AE186" s="24"/>
      <c r="AF186" s="24">
        <v>0</v>
      </c>
      <c r="AG186" s="24"/>
      <c r="AH186" s="24"/>
      <c r="AI186" s="24"/>
      <c r="AJ186" s="24"/>
      <c r="AK186" s="24">
        <f>IF(ISNUMBER(AA186),AA186,0)+IF(ISNUMBER(AF186),AF186,0)</f>
        <v>3268170</v>
      </c>
      <c r="AL186" s="24"/>
      <c r="AM186" s="24"/>
      <c r="AN186" s="24"/>
      <c r="AO186" s="24"/>
      <c r="AP186" s="24">
        <v>3268170</v>
      </c>
      <c r="AQ186" s="24"/>
      <c r="AR186" s="24"/>
      <c r="AS186" s="24"/>
      <c r="AT186" s="24"/>
      <c r="AU186" s="24">
        <v>0</v>
      </c>
      <c r="AV186" s="24"/>
      <c r="AW186" s="24"/>
      <c r="AX186" s="24"/>
      <c r="AY186" s="24"/>
      <c r="AZ186" s="24">
        <f>IF(ISNUMBER(AP186),AP186,0)+IF(ISNUMBER(AU186),AU186,0)</f>
        <v>3268170</v>
      </c>
      <c r="BA186" s="24"/>
      <c r="BB186" s="24"/>
      <c r="BC186" s="24"/>
      <c r="BD186" s="24"/>
    </row>
    <row r="188" spans="1:79" ht="14.25" customHeight="1" x14ac:dyDescent="0.2">
      <c r="A188" s="57" t="s">
        <v>242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</row>
    <row r="189" spans="1:79" ht="15" customHeight="1" x14ac:dyDescent="0.2">
      <c r="A189" s="73" t="s">
        <v>208</v>
      </c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</row>
    <row r="190" spans="1:79" ht="23.1" customHeight="1" x14ac:dyDescent="0.2">
      <c r="A190" s="37" t="s">
        <v>128</v>
      </c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74" t="s">
        <v>129</v>
      </c>
      <c r="O190" s="75"/>
      <c r="P190" s="75"/>
      <c r="Q190" s="75"/>
      <c r="R190" s="75"/>
      <c r="S190" s="75"/>
      <c r="T190" s="75"/>
      <c r="U190" s="76"/>
      <c r="V190" s="74" t="s">
        <v>130</v>
      </c>
      <c r="W190" s="75"/>
      <c r="X190" s="75"/>
      <c r="Y190" s="75"/>
      <c r="Z190" s="76"/>
      <c r="AA190" s="37" t="s">
        <v>209</v>
      </c>
      <c r="AB190" s="37"/>
      <c r="AC190" s="37"/>
      <c r="AD190" s="37"/>
      <c r="AE190" s="37"/>
      <c r="AF190" s="37"/>
      <c r="AG190" s="37"/>
      <c r="AH190" s="37"/>
      <c r="AI190" s="37"/>
      <c r="AJ190" s="37" t="s">
        <v>212</v>
      </c>
      <c r="AK190" s="37"/>
      <c r="AL190" s="37"/>
      <c r="AM190" s="37"/>
      <c r="AN190" s="37"/>
      <c r="AO190" s="37"/>
      <c r="AP190" s="37"/>
      <c r="AQ190" s="37"/>
      <c r="AR190" s="37"/>
      <c r="AS190" s="37" t="s">
        <v>220</v>
      </c>
      <c r="AT190" s="37"/>
      <c r="AU190" s="37"/>
      <c r="AV190" s="37"/>
      <c r="AW190" s="37"/>
      <c r="AX190" s="37"/>
      <c r="AY190" s="37"/>
      <c r="AZ190" s="37"/>
      <c r="BA190" s="37"/>
      <c r="BB190" s="37" t="s">
        <v>230</v>
      </c>
      <c r="BC190" s="37"/>
      <c r="BD190" s="37"/>
      <c r="BE190" s="37"/>
      <c r="BF190" s="37"/>
      <c r="BG190" s="37"/>
      <c r="BH190" s="37"/>
      <c r="BI190" s="37"/>
      <c r="BJ190" s="37"/>
      <c r="BK190" s="37" t="s">
        <v>235</v>
      </c>
      <c r="BL190" s="37"/>
      <c r="BM190" s="37"/>
      <c r="BN190" s="37"/>
      <c r="BO190" s="37"/>
      <c r="BP190" s="37"/>
      <c r="BQ190" s="37"/>
      <c r="BR190" s="37"/>
      <c r="BS190" s="37"/>
    </row>
    <row r="191" spans="1:79" ht="95.25" customHeight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77"/>
      <c r="O191" s="78"/>
      <c r="P191" s="78"/>
      <c r="Q191" s="78"/>
      <c r="R191" s="78"/>
      <c r="S191" s="78"/>
      <c r="T191" s="78"/>
      <c r="U191" s="79"/>
      <c r="V191" s="77"/>
      <c r="W191" s="78"/>
      <c r="X191" s="78"/>
      <c r="Y191" s="78"/>
      <c r="Z191" s="79"/>
      <c r="AA191" s="64" t="s">
        <v>133</v>
      </c>
      <c r="AB191" s="64"/>
      <c r="AC191" s="64"/>
      <c r="AD191" s="64"/>
      <c r="AE191" s="64"/>
      <c r="AF191" s="64" t="s">
        <v>134</v>
      </c>
      <c r="AG191" s="64"/>
      <c r="AH191" s="64"/>
      <c r="AI191" s="64"/>
      <c r="AJ191" s="64" t="s">
        <v>133</v>
      </c>
      <c r="AK191" s="64"/>
      <c r="AL191" s="64"/>
      <c r="AM191" s="64"/>
      <c r="AN191" s="64"/>
      <c r="AO191" s="64" t="s">
        <v>134</v>
      </c>
      <c r="AP191" s="64"/>
      <c r="AQ191" s="64"/>
      <c r="AR191" s="64"/>
      <c r="AS191" s="64" t="s">
        <v>133</v>
      </c>
      <c r="AT191" s="64"/>
      <c r="AU191" s="64"/>
      <c r="AV191" s="64"/>
      <c r="AW191" s="64"/>
      <c r="AX191" s="64" t="s">
        <v>134</v>
      </c>
      <c r="AY191" s="64"/>
      <c r="AZ191" s="64"/>
      <c r="BA191" s="64"/>
      <c r="BB191" s="64" t="s">
        <v>133</v>
      </c>
      <c r="BC191" s="64"/>
      <c r="BD191" s="64"/>
      <c r="BE191" s="64"/>
      <c r="BF191" s="64"/>
      <c r="BG191" s="64" t="s">
        <v>134</v>
      </c>
      <c r="BH191" s="64"/>
      <c r="BI191" s="64"/>
      <c r="BJ191" s="64"/>
      <c r="BK191" s="64" t="s">
        <v>133</v>
      </c>
      <c r="BL191" s="64"/>
      <c r="BM191" s="64"/>
      <c r="BN191" s="64"/>
      <c r="BO191" s="64"/>
      <c r="BP191" s="64" t="s">
        <v>134</v>
      </c>
      <c r="BQ191" s="64"/>
      <c r="BR191" s="64"/>
      <c r="BS191" s="64"/>
    </row>
    <row r="192" spans="1:79" ht="15" customHeight="1" x14ac:dyDescent="0.2">
      <c r="A192" s="37">
        <v>1</v>
      </c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70">
        <v>2</v>
      </c>
      <c r="O192" s="71"/>
      <c r="P192" s="71"/>
      <c r="Q192" s="71"/>
      <c r="R192" s="71"/>
      <c r="S192" s="71"/>
      <c r="T192" s="71"/>
      <c r="U192" s="72"/>
      <c r="V192" s="37">
        <v>3</v>
      </c>
      <c r="W192" s="37"/>
      <c r="X192" s="37"/>
      <c r="Y192" s="37"/>
      <c r="Z192" s="37"/>
      <c r="AA192" s="37">
        <v>4</v>
      </c>
      <c r="AB192" s="37"/>
      <c r="AC192" s="37"/>
      <c r="AD192" s="37"/>
      <c r="AE192" s="37"/>
      <c r="AF192" s="37">
        <v>5</v>
      </c>
      <c r="AG192" s="37"/>
      <c r="AH192" s="37"/>
      <c r="AI192" s="37"/>
      <c r="AJ192" s="37">
        <v>6</v>
      </c>
      <c r="AK192" s="37"/>
      <c r="AL192" s="37"/>
      <c r="AM192" s="37"/>
      <c r="AN192" s="37"/>
      <c r="AO192" s="37">
        <v>7</v>
      </c>
      <c r="AP192" s="37"/>
      <c r="AQ192" s="37"/>
      <c r="AR192" s="37"/>
      <c r="AS192" s="37">
        <v>8</v>
      </c>
      <c r="AT192" s="37"/>
      <c r="AU192" s="37"/>
      <c r="AV192" s="37"/>
      <c r="AW192" s="37"/>
      <c r="AX192" s="37">
        <v>9</v>
      </c>
      <c r="AY192" s="37"/>
      <c r="AZ192" s="37"/>
      <c r="BA192" s="37"/>
      <c r="BB192" s="37">
        <v>10</v>
      </c>
      <c r="BC192" s="37"/>
      <c r="BD192" s="37"/>
      <c r="BE192" s="37"/>
      <c r="BF192" s="37"/>
      <c r="BG192" s="37">
        <v>11</v>
      </c>
      <c r="BH192" s="37"/>
      <c r="BI192" s="37"/>
      <c r="BJ192" s="37"/>
      <c r="BK192" s="37">
        <v>12</v>
      </c>
      <c r="BL192" s="37"/>
      <c r="BM192" s="37"/>
      <c r="BN192" s="37"/>
      <c r="BO192" s="37"/>
      <c r="BP192" s="37">
        <v>13</v>
      </c>
      <c r="BQ192" s="37"/>
      <c r="BR192" s="37"/>
      <c r="BS192" s="37"/>
    </row>
    <row r="193" spans="1:79" s="1" customFormat="1" ht="12" hidden="1" customHeight="1" x14ac:dyDescent="0.2">
      <c r="A193" s="61" t="s">
        <v>146</v>
      </c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2" t="s">
        <v>131</v>
      </c>
      <c r="O193" s="62"/>
      <c r="P193" s="62"/>
      <c r="Q193" s="62"/>
      <c r="R193" s="62"/>
      <c r="S193" s="62"/>
      <c r="T193" s="62"/>
      <c r="U193" s="62"/>
      <c r="V193" s="62" t="s">
        <v>132</v>
      </c>
      <c r="W193" s="62"/>
      <c r="X193" s="62"/>
      <c r="Y193" s="62"/>
      <c r="Z193" s="62"/>
      <c r="AA193" s="60" t="s">
        <v>65</v>
      </c>
      <c r="AB193" s="60"/>
      <c r="AC193" s="60"/>
      <c r="AD193" s="60"/>
      <c r="AE193" s="60"/>
      <c r="AF193" s="60" t="s">
        <v>66</v>
      </c>
      <c r="AG193" s="60"/>
      <c r="AH193" s="60"/>
      <c r="AI193" s="60"/>
      <c r="AJ193" s="60" t="s">
        <v>67</v>
      </c>
      <c r="AK193" s="60"/>
      <c r="AL193" s="60"/>
      <c r="AM193" s="60"/>
      <c r="AN193" s="60"/>
      <c r="AO193" s="60" t="s">
        <v>68</v>
      </c>
      <c r="AP193" s="60"/>
      <c r="AQ193" s="60"/>
      <c r="AR193" s="60"/>
      <c r="AS193" s="60" t="s">
        <v>58</v>
      </c>
      <c r="AT193" s="60"/>
      <c r="AU193" s="60"/>
      <c r="AV193" s="60"/>
      <c r="AW193" s="60"/>
      <c r="AX193" s="60" t="s">
        <v>59</v>
      </c>
      <c r="AY193" s="60"/>
      <c r="AZ193" s="60"/>
      <c r="BA193" s="60"/>
      <c r="BB193" s="60" t="s">
        <v>60</v>
      </c>
      <c r="BC193" s="60"/>
      <c r="BD193" s="60"/>
      <c r="BE193" s="60"/>
      <c r="BF193" s="60"/>
      <c r="BG193" s="60" t="s">
        <v>61</v>
      </c>
      <c r="BH193" s="60"/>
      <c r="BI193" s="60"/>
      <c r="BJ193" s="60"/>
      <c r="BK193" s="60" t="s">
        <v>62</v>
      </c>
      <c r="BL193" s="60"/>
      <c r="BM193" s="60"/>
      <c r="BN193" s="60"/>
      <c r="BO193" s="60"/>
      <c r="BP193" s="60" t="s">
        <v>63</v>
      </c>
      <c r="BQ193" s="60"/>
      <c r="BR193" s="60"/>
      <c r="BS193" s="60"/>
      <c r="CA193" s="1" t="s">
        <v>48</v>
      </c>
    </row>
    <row r="194" spans="1:79" s="5" customFormat="1" ht="12.75" customHeight="1" x14ac:dyDescent="0.2">
      <c r="A194" s="59" t="s">
        <v>147</v>
      </c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38"/>
      <c r="O194" s="39"/>
      <c r="P194" s="39"/>
      <c r="Q194" s="39"/>
      <c r="R194" s="39"/>
      <c r="S194" s="39"/>
      <c r="T194" s="39"/>
      <c r="U194" s="46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5"/>
      <c r="BQ194" s="66"/>
      <c r="BR194" s="66"/>
      <c r="BS194" s="67"/>
      <c r="CA194" s="5" t="s">
        <v>49</v>
      </c>
    </row>
    <row r="196" spans="1:79" ht="35.25" customHeight="1" x14ac:dyDescent="0.2">
      <c r="A196" s="57" t="s">
        <v>243</v>
      </c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</row>
    <row r="197" spans="1:79" ht="300" customHeight="1" x14ac:dyDescent="0.2">
      <c r="A197" s="58" t="s">
        <v>202</v>
      </c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</row>
    <row r="199" spans="1:79" ht="28.5" customHeight="1" x14ac:dyDescent="0.2">
      <c r="A199" s="68" t="s">
        <v>227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</row>
    <row r="200" spans="1:79" ht="14.25" customHeight="1" x14ac:dyDescent="0.2">
      <c r="A200" s="57" t="s">
        <v>210</v>
      </c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</row>
    <row r="201" spans="1:79" ht="15" customHeight="1" x14ac:dyDescent="0.2">
      <c r="A201" s="63" t="s">
        <v>208</v>
      </c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</row>
    <row r="202" spans="1:79" ht="42.95" customHeight="1" x14ac:dyDescent="0.2">
      <c r="A202" s="64" t="s">
        <v>135</v>
      </c>
      <c r="B202" s="64"/>
      <c r="C202" s="64"/>
      <c r="D202" s="64"/>
      <c r="E202" s="64"/>
      <c r="F202" s="64"/>
      <c r="G202" s="37" t="s">
        <v>19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 t="s">
        <v>15</v>
      </c>
      <c r="U202" s="37"/>
      <c r="V202" s="37"/>
      <c r="W202" s="37"/>
      <c r="X202" s="37"/>
      <c r="Y202" s="37"/>
      <c r="Z202" s="37" t="s">
        <v>14</v>
      </c>
      <c r="AA202" s="37"/>
      <c r="AB202" s="37"/>
      <c r="AC202" s="37"/>
      <c r="AD202" s="37"/>
      <c r="AE202" s="37" t="s">
        <v>136</v>
      </c>
      <c r="AF202" s="37"/>
      <c r="AG202" s="37"/>
      <c r="AH202" s="37"/>
      <c r="AI202" s="37"/>
      <c r="AJ202" s="37"/>
      <c r="AK202" s="37" t="s">
        <v>137</v>
      </c>
      <c r="AL202" s="37"/>
      <c r="AM202" s="37"/>
      <c r="AN202" s="37"/>
      <c r="AO202" s="37"/>
      <c r="AP202" s="37"/>
      <c r="AQ202" s="37" t="s">
        <v>138</v>
      </c>
      <c r="AR202" s="37"/>
      <c r="AS202" s="37"/>
      <c r="AT202" s="37"/>
      <c r="AU202" s="37"/>
      <c r="AV202" s="37"/>
      <c r="AW202" s="37" t="s">
        <v>98</v>
      </c>
      <c r="AX202" s="37"/>
      <c r="AY202" s="37"/>
      <c r="AZ202" s="37"/>
      <c r="BA202" s="37"/>
      <c r="BB202" s="37"/>
      <c r="BC202" s="37"/>
      <c r="BD202" s="37"/>
      <c r="BE202" s="37"/>
      <c r="BF202" s="37"/>
      <c r="BG202" s="37" t="s">
        <v>139</v>
      </c>
      <c r="BH202" s="37"/>
      <c r="BI202" s="37"/>
      <c r="BJ202" s="37"/>
      <c r="BK202" s="37"/>
      <c r="BL202" s="37"/>
    </row>
    <row r="203" spans="1:79" ht="39.950000000000003" customHeight="1" x14ac:dyDescent="0.2">
      <c r="A203" s="64"/>
      <c r="B203" s="64"/>
      <c r="C203" s="64"/>
      <c r="D203" s="64"/>
      <c r="E203" s="64"/>
      <c r="F203" s="64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 t="s">
        <v>17</v>
      </c>
      <c r="AX203" s="37"/>
      <c r="AY203" s="37"/>
      <c r="AZ203" s="37"/>
      <c r="BA203" s="37"/>
      <c r="BB203" s="37" t="s">
        <v>16</v>
      </c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</row>
    <row r="204" spans="1:79" ht="15" customHeight="1" x14ac:dyDescent="0.2">
      <c r="A204" s="37">
        <v>1</v>
      </c>
      <c r="B204" s="37"/>
      <c r="C204" s="37"/>
      <c r="D204" s="37"/>
      <c r="E204" s="37"/>
      <c r="F204" s="37"/>
      <c r="G204" s="37">
        <v>2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>
        <v>3</v>
      </c>
      <c r="U204" s="37"/>
      <c r="V204" s="37"/>
      <c r="W204" s="37"/>
      <c r="X204" s="37"/>
      <c r="Y204" s="37"/>
      <c r="Z204" s="37">
        <v>4</v>
      </c>
      <c r="AA204" s="37"/>
      <c r="AB204" s="37"/>
      <c r="AC204" s="37"/>
      <c r="AD204" s="37"/>
      <c r="AE204" s="37">
        <v>5</v>
      </c>
      <c r="AF204" s="37"/>
      <c r="AG204" s="37"/>
      <c r="AH204" s="37"/>
      <c r="AI204" s="37"/>
      <c r="AJ204" s="37"/>
      <c r="AK204" s="37">
        <v>6</v>
      </c>
      <c r="AL204" s="37"/>
      <c r="AM204" s="37"/>
      <c r="AN204" s="37"/>
      <c r="AO204" s="37"/>
      <c r="AP204" s="37"/>
      <c r="AQ204" s="37">
        <v>7</v>
      </c>
      <c r="AR204" s="37"/>
      <c r="AS204" s="37"/>
      <c r="AT204" s="37"/>
      <c r="AU204" s="37"/>
      <c r="AV204" s="37"/>
      <c r="AW204" s="37">
        <v>8</v>
      </c>
      <c r="AX204" s="37"/>
      <c r="AY204" s="37"/>
      <c r="AZ204" s="37"/>
      <c r="BA204" s="37"/>
      <c r="BB204" s="37">
        <v>9</v>
      </c>
      <c r="BC204" s="37"/>
      <c r="BD204" s="37"/>
      <c r="BE204" s="37"/>
      <c r="BF204" s="37"/>
      <c r="BG204" s="37">
        <v>10</v>
      </c>
      <c r="BH204" s="37"/>
      <c r="BI204" s="37"/>
      <c r="BJ204" s="37"/>
      <c r="BK204" s="37"/>
      <c r="BL204" s="37"/>
    </row>
    <row r="205" spans="1:79" s="1" customFormat="1" ht="12" hidden="1" customHeight="1" x14ac:dyDescent="0.2">
      <c r="A205" s="62" t="s">
        <v>64</v>
      </c>
      <c r="B205" s="62"/>
      <c r="C205" s="62"/>
      <c r="D205" s="62"/>
      <c r="E205" s="62"/>
      <c r="F205" s="62"/>
      <c r="G205" s="61" t="s">
        <v>57</v>
      </c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0" t="s">
        <v>80</v>
      </c>
      <c r="U205" s="60"/>
      <c r="V205" s="60"/>
      <c r="W205" s="60"/>
      <c r="X205" s="60"/>
      <c r="Y205" s="60"/>
      <c r="Z205" s="60" t="s">
        <v>81</v>
      </c>
      <c r="AA205" s="60"/>
      <c r="AB205" s="60"/>
      <c r="AC205" s="60"/>
      <c r="AD205" s="60"/>
      <c r="AE205" s="60" t="s">
        <v>82</v>
      </c>
      <c r="AF205" s="60"/>
      <c r="AG205" s="60"/>
      <c r="AH205" s="60"/>
      <c r="AI205" s="60"/>
      <c r="AJ205" s="60"/>
      <c r="AK205" s="60" t="s">
        <v>83</v>
      </c>
      <c r="AL205" s="60"/>
      <c r="AM205" s="60"/>
      <c r="AN205" s="60"/>
      <c r="AO205" s="60"/>
      <c r="AP205" s="60"/>
      <c r="AQ205" s="62" t="s">
        <v>99</v>
      </c>
      <c r="AR205" s="60"/>
      <c r="AS205" s="60"/>
      <c r="AT205" s="60"/>
      <c r="AU205" s="60"/>
      <c r="AV205" s="60"/>
      <c r="AW205" s="60" t="s">
        <v>84</v>
      </c>
      <c r="AX205" s="60"/>
      <c r="AY205" s="60"/>
      <c r="AZ205" s="60"/>
      <c r="BA205" s="60"/>
      <c r="BB205" s="60" t="s">
        <v>85</v>
      </c>
      <c r="BC205" s="60"/>
      <c r="BD205" s="60"/>
      <c r="BE205" s="60"/>
      <c r="BF205" s="60"/>
      <c r="BG205" s="62" t="s">
        <v>100</v>
      </c>
      <c r="BH205" s="60"/>
      <c r="BI205" s="60"/>
      <c r="BJ205" s="60"/>
      <c r="BK205" s="60"/>
      <c r="BL205" s="60"/>
      <c r="CA205" s="1" t="s">
        <v>50</v>
      </c>
    </row>
    <row r="206" spans="1:79" s="4" customFormat="1" ht="12.75" customHeight="1" x14ac:dyDescent="0.2">
      <c r="A206" s="27">
        <v>2730</v>
      </c>
      <c r="B206" s="27"/>
      <c r="C206" s="27"/>
      <c r="D206" s="27"/>
      <c r="E206" s="27"/>
      <c r="F206" s="27"/>
      <c r="G206" s="28" t="s">
        <v>174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30"/>
      <c r="T206" s="25">
        <v>270672</v>
      </c>
      <c r="U206" s="25"/>
      <c r="V206" s="25"/>
      <c r="W206" s="25"/>
      <c r="X206" s="25"/>
      <c r="Y206" s="25"/>
      <c r="Z206" s="25">
        <v>261992</v>
      </c>
      <c r="AA206" s="25"/>
      <c r="AB206" s="25"/>
      <c r="AC206" s="25"/>
      <c r="AD206" s="25"/>
      <c r="AE206" s="25">
        <v>0</v>
      </c>
      <c r="AF206" s="25"/>
      <c r="AG206" s="25"/>
      <c r="AH206" s="25"/>
      <c r="AI206" s="25"/>
      <c r="AJ206" s="25"/>
      <c r="AK206" s="25">
        <v>0</v>
      </c>
      <c r="AL206" s="25"/>
      <c r="AM206" s="25"/>
      <c r="AN206" s="25"/>
      <c r="AO206" s="25"/>
      <c r="AP206" s="25"/>
      <c r="AQ206" s="25">
        <f>IF(ISNUMBER(AK206),AK206,0)-IF(ISNUMBER(AE206),AE206,0)</f>
        <v>0</v>
      </c>
      <c r="AR206" s="25"/>
      <c r="AS206" s="25"/>
      <c r="AT206" s="25"/>
      <c r="AU206" s="25"/>
      <c r="AV206" s="25"/>
      <c r="AW206" s="25">
        <v>0</v>
      </c>
      <c r="AX206" s="25"/>
      <c r="AY206" s="25"/>
      <c r="AZ206" s="25"/>
      <c r="BA206" s="25"/>
      <c r="BB206" s="25">
        <v>0</v>
      </c>
      <c r="BC206" s="25"/>
      <c r="BD206" s="25"/>
      <c r="BE206" s="25"/>
      <c r="BF206" s="25"/>
      <c r="BG206" s="25">
        <f>IF(ISNUMBER(Z206),Z206,0)+IF(ISNUMBER(AK206),AK206,0)</f>
        <v>261992</v>
      </c>
      <c r="BH206" s="25"/>
      <c r="BI206" s="25"/>
      <c r="BJ206" s="25"/>
      <c r="BK206" s="25"/>
      <c r="BL206" s="25"/>
      <c r="CA206" s="4" t="s">
        <v>51</v>
      </c>
    </row>
    <row r="207" spans="1:79" s="5" customFormat="1" ht="12.75" customHeight="1" x14ac:dyDescent="0.2">
      <c r="A207" s="20"/>
      <c r="B207" s="20"/>
      <c r="C207" s="20"/>
      <c r="D207" s="20"/>
      <c r="E207" s="20"/>
      <c r="F207" s="20"/>
      <c r="G207" s="21" t="s">
        <v>147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4">
        <v>270672</v>
      </c>
      <c r="U207" s="24"/>
      <c r="V207" s="24"/>
      <c r="W207" s="24"/>
      <c r="X207" s="24"/>
      <c r="Y207" s="24"/>
      <c r="Z207" s="24">
        <v>261992</v>
      </c>
      <c r="AA207" s="24"/>
      <c r="AB207" s="24"/>
      <c r="AC207" s="24"/>
      <c r="AD207" s="24"/>
      <c r="AE207" s="24">
        <v>0</v>
      </c>
      <c r="AF207" s="24"/>
      <c r="AG207" s="24"/>
      <c r="AH207" s="24"/>
      <c r="AI207" s="24"/>
      <c r="AJ207" s="24"/>
      <c r="AK207" s="24">
        <v>0</v>
      </c>
      <c r="AL207" s="24"/>
      <c r="AM207" s="24"/>
      <c r="AN207" s="24"/>
      <c r="AO207" s="24"/>
      <c r="AP207" s="24"/>
      <c r="AQ207" s="24">
        <f>IF(ISNUMBER(AK207),AK207,0)-IF(ISNUMBER(AE207),AE207,0)</f>
        <v>0</v>
      </c>
      <c r="AR207" s="24"/>
      <c r="AS207" s="24"/>
      <c r="AT207" s="24"/>
      <c r="AU207" s="24"/>
      <c r="AV207" s="24"/>
      <c r="AW207" s="24">
        <v>0</v>
      </c>
      <c r="AX207" s="24"/>
      <c r="AY207" s="24"/>
      <c r="AZ207" s="24"/>
      <c r="BA207" s="24"/>
      <c r="BB207" s="24">
        <v>0</v>
      </c>
      <c r="BC207" s="24"/>
      <c r="BD207" s="24"/>
      <c r="BE207" s="24"/>
      <c r="BF207" s="24"/>
      <c r="BG207" s="24">
        <f>IF(ISNUMBER(Z207),Z207,0)+IF(ISNUMBER(AK207),AK207,0)</f>
        <v>261992</v>
      </c>
      <c r="BH207" s="24"/>
      <c r="BI207" s="24"/>
      <c r="BJ207" s="24"/>
      <c r="BK207" s="24"/>
      <c r="BL207" s="24"/>
    </row>
    <row r="209" spans="1:79" ht="14.25" customHeight="1" x14ac:dyDescent="0.2">
      <c r="A209" s="57" t="s">
        <v>228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</row>
    <row r="210" spans="1:79" ht="15" customHeight="1" x14ac:dyDescent="0.2">
      <c r="A210" s="63" t="s">
        <v>208</v>
      </c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</row>
    <row r="211" spans="1:79" ht="18" customHeight="1" x14ac:dyDescent="0.2">
      <c r="A211" s="37" t="s">
        <v>135</v>
      </c>
      <c r="B211" s="37"/>
      <c r="C211" s="37"/>
      <c r="D211" s="37"/>
      <c r="E211" s="37"/>
      <c r="F211" s="37"/>
      <c r="G211" s="37" t="s">
        <v>19</v>
      </c>
      <c r="H211" s="37"/>
      <c r="I211" s="37"/>
      <c r="J211" s="37"/>
      <c r="K211" s="37"/>
      <c r="L211" s="37"/>
      <c r="M211" s="37"/>
      <c r="N211" s="37"/>
      <c r="O211" s="37"/>
      <c r="P211" s="37"/>
      <c r="Q211" s="37" t="s">
        <v>214</v>
      </c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 t="s">
        <v>225</v>
      </c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</row>
    <row r="212" spans="1:79" ht="42.95" customHeight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 t="s">
        <v>140</v>
      </c>
      <c r="R212" s="37"/>
      <c r="S212" s="37"/>
      <c r="T212" s="37"/>
      <c r="U212" s="37"/>
      <c r="V212" s="64" t="s">
        <v>141</v>
      </c>
      <c r="W212" s="64"/>
      <c r="X212" s="64"/>
      <c r="Y212" s="64"/>
      <c r="Z212" s="37" t="s">
        <v>142</v>
      </c>
      <c r="AA212" s="37"/>
      <c r="AB212" s="37"/>
      <c r="AC212" s="37"/>
      <c r="AD212" s="37"/>
      <c r="AE212" s="37"/>
      <c r="AF212" s="37"/>
      <c r="AG212" s="37"/>
      <c r="AH212" s="37"/>
      <c r="AI212" s="37"/>
      <c r="AJ212" s="37" t="s">
        <v>143</v>
      </c>
      <c r="AK212" s="37"/>
      <c r="AL212" s="37"/>
      <c r="AM212" s="37"/>
      <c r="AN212" s="37"/>
      <c r="AO212" s="37" t="s">
        <v>20</v>
      </c>
      <c r="AP212" s="37"/>
      <c r="AQ212" s="37"/>
      <c r="AR212" s="37"/>
      <c r="AS212" s="37"/>
      <c r="AT212" s="64" t="s">
        <v>144</v>
      </c>
      <c r="AU212" s="64"/>
      <c r="AV212" s="64"/>
      <c r="AW212" s="64"/>
      <c r="AX212" s="37" t="s">
        <v>142</v>
      </c>
      <c r="AY212" s="37"/>
      <c r="AZ212" s="37"/>
      <c r="BA212" s="37"/>
      <c r="BB212" s="37"/>
      <c r="BC212" s="37"/>
      <c r="BD212" s="37"/>
      <c r="BE212" s="37"/>
      <c r="BF212" s="37"/>
      <c r="BG212" s="37"/>
      <c r="BH212" s="37" t="s">
        <v>145</v>
      </c>
      <c r="BI212" s="37"/>
      <c r="BJ212" s="37"/>
      <c r="BK212" s="37"/>
      <c r="BL212" s="37"/>
    </row>
    <row r="213" spans="1:79" ht="63" customHeight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64"/>
      <c r="W213" s="64"/>
      <c r="X213" s="64"/>
      <c r="Y213" s="64"/>
      <c r="Z213" s="37" t="s">
        <v>17</v>
      </c>
      <c r="AA213" s="37"/>
      <c r="AB213" s="37"/>
      <c r="AC213" s="37"/>
      <c r="AD213" s="37"/>
      <c r="AE213" s="37" t="s">
        <v>16</v>
      </c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64"/>
      <c r="AU213" s="64"/>
      <c r="AV213" s="64"/>
      <c r="AW213" s="64"/>
      <c r="AX213" s="37" t="s">
        <v>17</v>
      </c>
      <c r="AY213" s="37"/>
      <c r="AZ213" s="37"/>
      <c r="BA213" s="37"/>
      <c r="BB213" s="37"/>
      <c r="BC213" s="37" t="s">
        <v>16</v>
      </c>
      <c r="BD213" s="37"/>
      <c r="BE213" s="37"/>
      <c r="BF213" s="37"/>
      <c r="BG213" s="37"/>
      <c r="BH213" s="37"/>
      <c r="BI213" s="37"/>
      <c r="BJ213" s="37"/>
      <c r="BK213" s="37"/>
      <c r="BL213" s="37"/>
    </row>
    <row r="214" spans="1:79" ht="15" customHeight="1" x14ac:dyDescent="0.2">
      <c r="A214" s="37">
        <v>1</v>
      </c>
      <c r="B214" s="37"/>
      <c r="C214" s="37"/>
      <c r="D214" s="37"/>
      <c r="E214" s="37"/>
      <c r="F214" s="37"/>
      <c r="G214" s="37">
        <v>2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>
        <v>3</v>
      </c>
      <c r="R214" s="37"/>
      <c r="S214" s="37"/>
      <c r="T214" s="37"/>
      <c r="U214" s="37"/>
      <c r="V214" s="37">
        <v>4</v>
      </c>
      <c r="W214" s="37"/>
      <c r="X214" s="37"/>
      <c r="Y214" s="37"/>
      <c r="Z214" s="37">
        <v>5</v>
      </c>
      <c r="AA214" s="37"/>
      <c r="AB214" s="37"/>
      <c r="AC214" s="37"/>
      <c r="AD214" s="37"/>
      <c r="AE214" s="37">
        <v>6</v>
      </c>
      <c r="AF214" s="37"/>
      <c r="AG214" s="37"/>
      <c r="AH214" s="37"/>
      <c r="AI214" s="37"/>
      <c r="AJ214" s="37">
        <v>7</v>
      </c>
      <c r="AK214" s="37"/>
      <c r="AL214" s="37"/>
      <c r="AM214" s="37"/>
      <c r="AN214" s="37"/>
      <c r="AO214" s="37">
        <v>8</v>
      </c>
      <c r="AP214" s="37"/>
      <c r="AQ214" s="37"/>
      <c r="AR214" s="37"/>
      <c r="AS214" s="37"/>
      <c r="AT214" s="37">
        <v>9</v>
      </c>
      <c r="AU214" s="37"/>
      <c r="AV214" s="37"/>
      <c r="AW214" s="37"/>
      <c r="AX214" s="37">
        <v>10</v>
      </c>
      <c r="AY214" s="37"/>
      <c r="AZ214" s="37"/>
      <c r="BA214" s="37"/>
      <c r="BB214" s="37"/>
      <c r="BC214" s="37">
        <v>11</v>
      </c>
      <c r="BD214" s="37"/>
      <c r="BE214" s="37"/>
      <c r="BF214" s="37"/>
      <c r="BG214" s="37"/>
      <c r="BH214" s="37">
        <v>12</v>
      </c>
      <c r="BI214" s="37"/>
      <c r="BJ214" s="37"/>
      <c r="BK214" s="37"/>
      <c r="BL214" s="37"/>
    </row>
    <row r="215" spans="1:79" s="1" customFormat="1" ht="12" hidden="1" customHeight="1" x14ac:dyDescent="0.2">
      <c r="A215" s="62" t="s">
        <v>64</v>
      </c>
      <c r="B215" s="62"/>
      <c r="C215" s="62"/>
      <c r="D215" s="62"/>
      <c r="E215" s="62"/>
      <c r="F215" s="62"/>
      <c r="G215" s="61" t="s">
        <v>57</v>
      </c>
      <c r="H215" s="61"/>
      <c r="I215" s="61"/>
      <c r="J215" s="61"/>
      <c r="K215" s="61"/>
      <c r="L215" s="61"/>
      <c r="M215" s="61"/>
      <c r="N215" s="61"/>
      <c r="O215" s="61"/>
      <c r="P215" s="61"/>
      <c r="Q215" s="60" t="s">
        <v>80</v>
      </c>
      <c r="R215" s="60"/>
      <c r="S215" s="60"/>
      <c r="T215" s="60"/>
      <c r="U215" s="60"/>
      <c r="V215" s="60" t="s">
        <v>81</v>
      </c>
      <c r="W215" s="60"/>
      <c r="X215" s="60"/>
      <c r="Y215" s="60"/>
      <c r="Z215" s="60" t="s">
        <v>82</v>
      </c>
      <c r="AA215" s="60"/>
      <c r="AB215" s="60"/>
      <c r="AC215" s="60"/>
      <c r="AD215" s="60"/>
      <c r="AE215" s="60" t="s">
        <v>83</v>
      </c>
      <c r="AF215" s="60"/>
      <c r="AG215" s="60"/>
      <c r="AH215" s="60"/>
      <c r="AI215" s="60"/>
      <c r="AJ215" s="62" t="s">
        <v>101</v>
      </c>
      <c r="AK215" s="60"/>
      <c r="AL215" s="60"/>
      <c r="AM215" s="60"/>
      <c r="AN215" s="60"/>
      <c r="AO215" s="60" t="s">
        <v>84</v>
      </c>
      <c r="AP215" s="60"/>
      <c r="AQ215" s="60"/>
      <c r="AR215" s="60"/>
      <c r="AS215" s="60"/>
      <c r="AT215" s="62" t="s">
        <v>102</v>
      </c>
      <c r="AU215" s="60"/>
      <c r="AV215" s="60"/>
      <c r="AW215" s="60"/>
      <c r="AX215" s="60" t="s">
        <v>85</v>
      </c>
      <c r="AY215" s="60"/>
      <c r="AZ215" s="60"/>
      <c r="BA215" s="60"/>
      <c r="BB215" s="60"/>
      <c r="BC215" s="60" t="s">
        <v>86</v>
      </c>
      <c r="BD215" s="60"/>
      <c r="BE215" s="60"/>
      <c r="BF215" s="60"/>
      <c r="BG215" s="60"/>
      <c r="BH215" s="62" t="s">
        <v>101</v>
      </c>
      <c r="BI215" s="60"/>
      <c r="BJ215" s="60"/>
      <c r="BK215" s="60"/>
      <c r="BL215" s="60"/>
      <c r="CA215" s="1" t="s">
        <v>52</v>
      </c>
    </row>
    <row r="216" spans="1:79" s="4" customFormat="1" ht="12.75" customHeight="1" x14ac:dyDescent="0.2">
      <c r="A216" s="27">
        <v>2730</v>
      </c>
      <c r="B216" s="27"/>
      <c r="C216" s="27"/>
      <c r="D216" s="27"/>
      <c r="E216" s="27"/>
      <c r="F216" s="27"/>
      <c r="G216" s="28" t="s">
        <v>174</v>
      </c>
      <c r="H216" s="29"/>
      <c r="I216" s="29"/>
      <c r="J216" s="29"/>
      <c r="K216" s="29"/>
      <c r="L216" s="29"/>
      <c r="M216" s="29"/>
      <c r="N216" s="29"/>
      <c r="O216" s="29"/>
      <c r="P216" s="30"/>
      <c r="Q216" s="25">
        <v>1127078</v>
      </c>
      <c r="R216" s="25"/>
      <c r="S216" s="25"/>
      <c r="T216" s="25"/>
      <c r="U216" s="25"/>
      <c r="V216" s="25">
        <v>0</v>
      </c>
      <c r="W216" s="25"/>
      <c r="X216" s="25"/>
      <c r="Y216" s="25"/>
      <c r="Z216" s="25">
        <v>0</v>
      </c>
      <c r="AA216" s="25"/>
      <c r="AB216" s="25"/>
      <c r="AC216" s="25"/>
      <c r="AD216" s="25"/>
      <c r="AE216" s="25">
        <v>0</v>
      </c>
      <c r="AF216" s="25"/>
      <c r="AG216" s="25"/>
      <c r="AH216" s="25"/>
      <c r="AI216" s="25"/>
      <c r="AJ216" s="25">
        <f>IF(ISNUMBER(Q216),Q216,0)-IF(ISNUMBER(Z216),Z216,0)</f>
        <v>1127078</v>
      </c>
      <c r="AK216" s="25"/>
      <c r="AL216" s="25"/>
      <c r="AM216" s="25"/>
      <c r="AN216" s="25"/>
      <c r="AO216" s="25">
        <v>3268170</v>
      </c>
      <c r="AP216" s="25"/>
      <c r="AQ216" s="25"/>
      <c r="AR216" s="25"/>
      <c r="AS216" s="25"/>
      <c r="AT216" s="25">
        <f>IF(ISNUMBER(V216),V216,0)-IF(ISNUMBER(Z216),Z216,0)-IF(ISNUMBER(AE216),AE216,0)</f>
        <v>0</v>
      </c>
      <c r="AU216" s="25"/>
      <c r="AV216" s="25"/>
      <c r="AW216" s="25"/>
      <c r="AX216" s="25">
        <v>0</v>
      </c>
      <c r="AY216" s="25"/>
      <c r="AZ216" s="25"/>
      <c r="BA216" s="25"/>
      <c r="BB216" s="25"/>
      <c r="BC216" s="25">
        <v>0</v>
      </c>
      <c r="BD216" s="25"/>
      <c r="BE216" s="25"/>
      <c r="BF216" s="25"/>
      <c r="BG216" s="25"/>
      <c r="BH216" s="25">
        <f>IF(ISNUMBER(AO216),AO216,0)-IF(ISNUMBER(AX216),AX216,0)</f>
        <v>3268170</v>
      </c>
      <c r="BI216" s="25"/>
      <c r="BJ216" s="25"/>
      <c r="BK216" s="25"/>
      <c r="BL216" s="25"/>
      <c r="CA216" s="4" t="s">
        <v>53</v>
      </c>
    </row>
    <row r="217" spans="1:79" s="5" customFormat="1" ht="12.75" customHeight="1" x14ac:dyDescent="0.2">
      <c r="A217" s="20"/>
      <c r="B217" s="20"/>
      <c r="C217" s="20"/>
      <c r="D217" s="20"/>
      <c r="E217" s="20"/>
      <c r="F217" s="20"/>
      <c r="G217" s="21" t="s">
        <v>147</v>
      </c>
      <c r="H217" s="22"/>
      <c r="I217" s="22"/>
      <c r="J217" s="22"/>
      <c r="K217" s="22"/>
      <c r="L217" s="22"/>
      <c r="M217" s="22"/>
      <c r="N217" s="22"/>
      <c r="O217" s="22"/>
      <c r="P217" s="23"/>
      <c r="Q217" s="24">
        <v>1127078</v>
      </c>
      <c r="R217" s="24"/>
      <c r="S217" s="24"/>
      <c r="T217" s="24"/>
      <c r="U217" s="24"/>
      <c r="V217" s="24">
        <v>0</v>
      </c>
      <c r="W217" s="24"/>
      <c r="X217" s="24"/>
      <c r="Y217" s="24"/>
      <c r="Z217" s="24">
        <v>0</v>
      </c>
      <c r="AA217" s="24"/>
      <c r="AB217" s="24"/>
      <c r="AC217" s="24"/>
      <c r="AD217" s="24"/>
      <c r="AE217" s="24">
        <v>0</v>
      </c>
      <c r="AF217" s="24"/>
      <c r="AG217" s="24"/>
      <c r="AH217" s="24"/>
      <c r="AI217" s="24"/>
      <c r="AJ217" s="24">
        <f>IF(ISNUMBER(Q217),Q217,0)-IF(ISNUMBER(Z217),Z217,0)</f>
        <v>1127078</v>
      </c>
      <c r="AK217" s="24"/>
      <c r="AL217" s="24"/>
      <c r="AM217" s="24"/>
      <c r="AN217" s="24"/>
      <c r="AO217" s="24">
        <v>3268170</v>
      </c>
      <c r="AP217" s="24"/>
      <c r="AQ217" s="24"/>
      <c r="AR217" s="24"/>
      <c r="AS217" s="24"/>
      <c r="AT217" s="24">
        <f>IF(ISNUMBER(V217),V217,0)-IF(ISNUMBER(Z217),Z217,0)-IF(ISNUMBER(AE217),AE217,0)</f>
        <v>0</v>
      </c>
      <c r="AU217" s="24"/>
      <c r="AV217" s="24"/>
      <c r="AW217" s="24"/>
      <c r="AX217" s="24">
        <v>0</v>
      </c>
      <c r="AY217" s="24"/>
      <c r="AZ217" s="24"/>
      <c r="BA217" s="24"/>
      <c r="BB217" s="24"/>
      <c r="BC217" s="24">
        <v>0</v>
      </c>
      <c r="BD217" s="24"/>
      <c r="BE217" s="24"/>
      <c r="BF217" s="24"/>
      <c r="BG217" s="24"/>
      <c r="BH217" s="24">
        <f>IF(ISNUMBER(AO217),AO217,0)-IF(ISNUMBER(AX217),AX217,0)</f>
        <v>3268170</v>
      </c>
      <c r="BI217" s="24"/>
      <c r="BJ217" s="24"/>
      <c r="BK217" s="24"/>
      <c r="BL217" s="24"/>
    </row>
    <row r="219" spans="1:79" ht="14.25" customHeight="1" x14ac:dyDescent="0.2">
      <c r="A219" s="57" t="s">
        <v>215</v>
      </c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</row>
    <row r="220" spans="1:79" ht="15" customHeight="1" x14ac:dyDescent="0.2">
      <c r="A220" s="63" t="s">
        <v>208</v>
      </c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</row>
    <row r="221" spans="1:79" ht="42.95" customHeight="1" x14ac:dyDescent="0.2">
      <c r="A221" s="64" t="s">
        <v>135</v>
      </c>
      <c r="B221" s="64"/>
      <c r="C221" s="64"/>
      <c r="D221" s="64"/>
      <c r="E221" s="64"/>
      <c r="F221" s="64"/>
      <c r="G221" s="37" t="s">
        <v>19</v>
      </c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 t="s">
        <v>15</v>
      </c>
      <c r="U221" s="37"/>
      <c r="V221" s="37"/>
      <c r="W221" s="37"/>
      <c r="X221" s="37"/>
      <c r="Y221" s="37"/>
      <c r="Z221" s="37" t="s">
        <v>14</v>
      </c>
      <c r="AA221" s="37"/>
      <c r="AB221" s="37"/>
      <c r="AC221" s="37"/>
      <c r="AD221" s="37"/>
      <c r="AE221" s="37" t="s">
        <v>211</v>
      </c>
      <c r="AF221" s="37"/>
      <c r="AG221" s="37"/>
      <c r="AH221" s="37"/>
      <c r="AI221" s="37"/>
      <c r="AJ221" s="37"/>
      <c r="AK221" s="37" t="s">
        <v>216</v>
      </c>
      <c r="AL221" s="37"/>
      <c r="AM221" s="37"/>
      <c r="AN221" s="37"/>
      <c r="AO221" s="37"/>
      <c r="AP221" s="37"/>
      <c r="AQ221" s="37" t="s">
        <v>229</v>
      </c>
      <c r="AR221" s="37"/>
      <c r="AS221" s="37"/>
      <c r="AT221" s="37"/>
      <c r="AU221" s="37"/>
      <c r="AV221" s="37"/>
      <c r="AW221" s="37" t="s">
        <v>18</v>
      </c>
      <c r="AX221" s="37"/>
      <c r="AY221" s="37"/>
      <c r="AZ221" s="37"/>
      <c r="BA221" s="37"/>
      <c r="BB221" s="37"/>
      <c r="BC221" s="37"/>
      <c r="BD221" s="37"/>
      <c r="BE221" s="37" t="s">
        <v>156</v>
      </c>
      <c r="BF221" s="37"/>
      <c r="BG221" s="37"/>
      <c r="BH221" s="37"/>
      <c r="BI221" s="37"/>
      <c r="BJ221" s="37"/>
      <c r="BK221" s="37"/>
      <c r="BL221" s="37"/>
    </row>
    <row r="222" spans="1:79" ht="21.75" customHeight="1" x14ac:dyDescent="0.2">
      <c r="A222" s="64"/>
      <c r="B222" s="64"/>
      <c r="C222" s="64"/>
      <c r="D222" s="64"/>
      <c r="E222" s="64"/>
      <c r="F222" s="64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</row>
    <row r="223" spans="1:79" ht="15" customHeight="1" x14ac:dyDescent="0.2">
      <c r="A223" s="37">
        <v>1</v>
      </c>
      <c r="B223" s="37"/>
      <c r="C223" s="37"/>
      <c r="D223" s="37"/>
      <c r="E223" s="37"/>
      <c r="F223" s="37"/>
      <c r="G223" s="37">
        <v>2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>
        <v>3</v>
      </c>
      <c r="U223" s="37"/>
      <c r="V223" s="37"/>
      <c r="W223" s="37"/>
      <c r="X223" s="37"/>
      <c r="Y223" s="37"/>
      <c r="Z223" s="37">
        <v>4</v>
      </c>
      <c r="AA223" s="37"/>
      <c r="AB223" s="37"/>
      <c r="AC223" s="37"/>
      <c r="AD223" s="37"/>
      <c r="AE223" s="37">
        <v>5</v>
      </c>
      <c r="AF223" s="37"/>
      <c r="AG223" s="37"/>
      <c r="AH223" s="37"/>
      <c r="AI223" s="37"/>
      <c r="AJ223" s="37"/>
      <c r="AK223" s="37">
        <v>6</v>
      </c>
      <c r="AL223" s="37"/>
      <c r="AM223" s="37"/>
      <c r="AN223" s="37"/>
      <c r="AO223" s="37"/>
      <c r="AP223" s="37"/>
      <c r="AQ223" s="37">
        <v>7</v>
      </c>
      <c r="AR223" s="37"/>
      <c r="AS223" s="37"/>
      <c r="AT223" s="37"/>
      <c r="AU223" s="37"/>
      <c r="AV223" s="37"/>
      <c r="AW223" s="62">
        <v>8</v>
      </c>
      <c r="AX223" s="62"/>
      <c r="AY223" s="62"/>
      <c r="AZ223" s="62"/>
      <c r="BA223" s="62"/>
      <c r="BB223" s="62"/>
      <c r="BC223" s="62"/>
      <c r="BD223" s="62"/>
      <c r="BE223" s="62">
        <v>9</v>
      </c>
      <c r="BF223" s="62"/>
      <c r="BG223" s="62"/>
      <c r="BH223" s="62"/>
      <c r="BI223" s="62"/>
      <c r="BJ223" s="62"/>
      <c r="BK223" s="62"/>
      <c r="BL223" s="62"/>
    </row>
    <row r="224" spans="1:79" s="1" customFormat="1" ht="18.75" hidden="1" customHeight="1" x14ac:dyDescent="0.2">
      <c r="A224" s="62" t="s">
        <v>64</v>
      </c>
      <c r="B224" s="62"/>
      <c r="C224" s="62"/>
      <c r="D224" s="62"/>
      <c r="E224" s="62"/>
      <c r="F224" s="62"/>
      <c r="G224" s="61" t="s">
        <v>57</v>
      </c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0" t="s">
        <v>80</v>
      </c>
      <c r="U224" s="60"/>
      <c r="V224" s="60"/>
      <c r="W224" s="60"/>
      <c r="X224" s="60"/>
      <c r="Y224" s="60"/>
      <c r="Z224" s="60" t="s">
        <v>81</v>
      </c>
      <c r="AA224" s="60"/>
      <c r="AB224" s="60"/>
      <c r="AC224" s="60"/>
      <c r="AD224" s="60"/>
      <c r="AE224" s="60" t="s">
        <v>82</v>
      </c>
      <c r="AF224" s="60"/>
      <c r="AG224" s="60"/>
      <c r="AH224" s="60"/>
      <c r="AI224" s="60"/>
      <c r="AJ224" s="60"/>
      <c r="AK224" s="60" t="s">
        <v>83</v>
      </c>
      <c r="AL224" s="60"/>
      <c r="AM224" s="60"/>
      <c r="AN224" s="60"/>
      <c r="AO224" s="60"/>
      <c r="AP224" s="60"/>
      <c r="AQ224" s="60" t="s">
        <v>84</v>
      </c>
      <c r="AR224" s="60"/>
      <c r="AS224" s="60"/>
      <c r="AT224" s="60"/>
      <c r="AU224" s="60"/>
      <c r="AV224" s="60"/>
      <c r="AW224" s="61" t="s">
        <v>87</v>
      </c>
      <c r="AX224" s="61"/>
      <c r="AY224" s="61"/>
      <c r="AZ224" s="61"/>
      <c r="BA224" s="61"/>
      <c r="BB224" s="61"/>
      <c r="BC224" s="61"/>
      <c r="BD224" s="61"/>
      <c r="BE224" s="61" t="s">
        <v>88</v>
      </c>
      <c r="BF224" s="61"/>
      <c r="BG224" s="61"/>
      <c r="BH224" s="61"/>
      <c r="BI224" s="61"/>
      <c r="BJ224" s="61"/>
      <c r="BK224" s="61"/>
      <c r="BL224" s="61"/>
      <c r="CA224" s="1" t="s">
        <v>54</v>
      </c>
    </row>
    <row r="225" spans="1:79" s="4" customFormat="1" ht="12.75" customHeight="1" x14ac:dyDescent="0.2">
      <c r="A225" s="27">
        <v>2730</v>
      </c>
      <c r="B225" s="27"/>
      <c r="C225" s="27"/>
      <c r="D225" s="27"/>
      <c r="E225" s="27"/>
      <c r="F225" s="27"/>
      <c r="G225" s="28" t="s">
        <v>174</v>
      </c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30"/>
      <c r="T225" s="25">
        <v>270672</v>
      </c>
      <c r="U225" s="25"/>
      <c r="V225" s="25"/>
      <c r="W225" s="25"/>
      <c r="X225" s="25"/>
      <c r="Y225" s="25"/>
      <c r="Z225" s="25">
        <v>261992</v>
      </c>
      <c r="AA225" s="25"/>
      <c r="AB225" s="25"/>
      <c r="AC225" s="25"/>
      <c r="AD225" s="25"/>
      <c r="AE225" s="25">
        <v>0</v>
      </c>
      <c r="AF225" s="25"/>
      <c r="AG225" s="25"/>
      <c r="AH225" s="25"/>
      <c r="AI225" s="25"/>
      <c r="AJ225" s="25"/>
      <c r="AK225" s="25">
        <v>0</v>
      </c>
      <c r="AL225" s="25"/>
      <c r="AM225" s="25"/>
      <c r="AN225" s="25"/>
      <c r="AO225" s="25"/>
      <c r="AP225" s="25"/>
      <c r="AQ225" s="25">
        <v>0</v>
      </c>
      <c r="AR225" s="25"/>
      <c r="AS225" s="25"/>
      <c r="AT225" s="25"/>
      <c r="AU225" s="25"/>
      <c r="AV225" s="25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CA225" s="4" t="s">
        <v>55</v>
      </c>
    </row>
    <row r="226" spans="1:79" s="5" customFormat="1" ht="12.75" customHeight="1" x14ac:dyDescent="0.2">
      <c r="A226" s="20"/>
      <c r="B226" s="20"/>
      <c r="C226" s="20"/>
      <c r="D226" s="20"/>
      <c r="E226" s="20"/>
      <c r="F226" s="20"/>
      <c r="G226" s="21" t="s">
        <v>147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4">
        <v>270672</v>
      </c>
      <c r="U226" s="24"/>
      <c r="V226" s="24"/>
      <c r="W226" s="24"/>
      <c r="X226" s="24"/>
      <c r="Y226" s="24"/>
      <c r="Z226" s="24">
        <v>261992</v>
      </c>
      <c r="AA226" s="24"/>
      <c r="AB226" s="24"/>
      <c r="AC226" s="24"/>
      <c r="AD226" s="24"/>
      <c r="AE226" s="24">
        <v>0</v>
      </c>
      <c r="AF226" s="24"/>
      <c r="AG226" s="24"/>
      <c r="AH226" s="24"/>
      <c r="AI226" s="24"/>
      <c r="AJ226" s="24"/>
      <c r="AK226" s="24">
        <v>0</v>
      </c>
      <c r="AL226" s="24"/>
      <c r="AM226" s="24"/>
      <c r="AN226" s="24"/>
      <c r="AO226" s="24"/>
      <c r="AP226" s="24"/>
      <c r="AQ226" s="24">
        <v>0</v>
      </c>
      <c r="AR226" s="24"/>
      <c r="AS226" s="24"/>
      <c r="AT226" s="24"/>
      <c r="AU226" s="24"/>
      <c r="AV226" s="24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</row>
    <row r="228" spans="1:79" ht="14.25" customHeight="1" x14ac:dyDescent="0.2">
      <c r="A228" s="57" t="s">
        <v>217</v>
      </c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</row>
    <row r="229" spans="1:79" ht="75" customHeight="1" x14ac:dyDescent="0.2">
      <c r="A229" s="58" t="s">
        <v>203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</row>
    <row r="231" spans="1:79" ht="14.25" x14ac:dyDescent="0.2">
      <c r="A231" s="57" t="s">
        <v>244</v>
      </c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</row>
    <row r="232" spans="1:79" ht="14.25" x14ac:dyDescent="0.2">
      <c r="A232" s="57" t="s">
        <v>218</v>
      </c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</row>
    <row r="233" spans="1:79" ht="15" customHeight="1" x14ac:dyDescent="0.2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</row>
    <row r="234" spans="1:79" ht="18.95" customHeight="1" x14ac:dyDescent="0.2">
      <c r="A234" s="47" t="s">
        <v>251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17"/>
      <c r="AC234" s="17"/>
      <c r="AD234" s="17"/>
      <c r="AE234" s="17"/>
      <c r="AF234" s="17"/>
      <c r="AG234" s="17"/>
      <c r="AH234" s="54"/>
      <c r="AI234" s="54"/>
      <c r="AJ234" s="54"/>
      <c r="AK234" s="54"/>
      <c r="AL234" s="54"/>
      <c r="AM234" s="54"/>
      <c r="AN234" s="54"/>
      <c r="AO234" s="54"/>
      <c r="AP234" s="54"/>
      <c r="AQ234" s="17"/>
      <c r="AR234" s="17"/>
      <c r="AS234" s="17"/>
      <c r="AT234" s="17"/>
      <c r="AU234" s="55" t="s">
        <v>252</v>
      </c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</row>
    <row r="235" spans="1:79" ht="12.75" customHeight="1" x14ac:dyDescent="0.2">
      <c r="AB235" s="18"/>
      <c r="AC235" s="18"/>
      <c r="AD235" s="18"/>
      <c r="AE235" s="18"/>
      <c r="AF235" s="18"/>
      <c r="AG235" s="18"/>
      <c r="AH235" s="52" t="s">
        <v>1</v>
      </c>
      <c r="AI235" s="52"/>
      <c r="AJ235" s="52"/>
      <c r="AK235" s="52"/>
      <c r="AL235" s="52"/>
      <c r="AM235" s="52"/>
      <c r="AN235" s="52"/>
      <c r="AO235" s="52"/>
      <c r="AP235" s="52"/>
      <c r="AQ235" s="18"/>
      <c r="AR235" s="18"/>
      <c r="AS235" s="18"/>
      <c r="AT235" s="18"/>
      <c r="AU235" s="52" t="s">
        <v>171</v>
      </c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</row>
    <row r="236" spans="1:79" ht="15" x14ac:dyDescent="0.2">
      <c r="AB236" s="18"/>
      <c r="AC236" s="18"/>
      <c r="AD236" s="18"/>
      <c r="AE236" s="18"/>
      <c r="AF236" s="18"/>
      <c r="AG236" s="18"/>
      <c r="AH236" s="19"/>
      <c r="AI236" s="19"/>
      <c r="AJ236" s="19"/>
      <c r="AK236" s="19"/>
      <c r="AL236" s="19"/>
      <c r="AM236" s="19"/>
      <c r="AN236" s="19"/>
      <c r="AO236" s="19"/>
      <c r="AP236" s="19"/>
      <c r="AQ236" s="18"/>
      <c r="AR236" s="18"/>
      <c r="AS236" s="18"/>
      <c r="AT236" s="18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</row>
    <row r="237" spans="1:79" ht="18" customHeight="1" x14ac:dyDescent="0.2">
      <c r="A237" s="47" t="s">
        <v>253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18"/>
      <c r="AC237" s="18"/>
      <c r="AD237" s="18"/>
      <c r="AE237" s="18"/>
      <c r="AF237" s="18"/>
      <c r="AG237" s="18"/>
      <c r="AH237" s="49"/>
      <c r="AI237" s="49"/>
      <c r="AJ237" s="49"/>
      <c r="AK237" s="49"/>
      <c r="AL237" s="49"/>
      <c r="AM237" s="49"/>
      <c r="AN237" s="49"/>
      <c r="AO237" s="49"/>
      <c r="AP237" s="49"/>
      <c r="AQ237" s="18"/>
      <c r="AR237" s="18"/>
      <c r="AS237" s="18"/>
      <c r="AT237" s="18"/>
      <c r="AU237" s="50" t="s">
        <v>254</v>
      </c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</row>
    <row r="238" spans="1:79" ht="12" customHeight="1" x14ac:dyDescent="0.2">
      <c r="AB238" s="18"/>
      <c r="AC238" s="18"/>
      <c r="AD238" s="18"/>
      <c r="AE238" s="18"/>
      <c r="AF238" s="18"/>
      <c r="AG238" s="18"/>
      <c r="AH238" s="52" t="s">
        <v>1</v>
      </c>
      <c r="AI238" s="52"/>
      <c r="AJ238" s="52"/>
      <c r="AK238" s="52"/>
      <c r="AL238" s="52"/>
      <c r="AM238" s="52"/>
      <c r="AN238" s="52"/>
      <c r="AO238" s="52"/>
      <c r="AP238" s="52"/>
      <c r="AQ238" s="18"/>
      <c r="AR238" s="18"/>
      <c r="AS238" s="18"/>
      <c r="AT238" s="18"/>
      <c r="AU238" s="52" t="s">
        <v>171</v>
      </c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</row>
  </sheetData>
  <mergeCells count="1594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2:BY42"/>
    <mergeCell ref="A43:BY43"/>
    <mergeCell ref="A44:BY44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6:BY46"/>
    <mergeCell ref="A47:D47"/>
    <mergeCell ref="E47:T47"/>
    <mergeCell ref="U47:Y47"/>
    <mergeCell ref="Z47:AD47"/>
    <mergeCell ref="AE47:AH47"/>
    <mergeCell ref="AI47:AM47"/>
    <mergeCell ref="AN47:AR47"/>
    <mergeCell ref="AS47:AW47"/>
    <mergeCell ref="AX47:BA47"/>
    <mergeCell ref="AS46:AW46"/>
    <mergeCell ref="AX46:BA46"/>
    <mergeCell ref="BB46:BF46"/>
    <mergeCell ref="BG46:BK46"/>
    <mergeCell ref="BL46:BP46"/>
    <mergeCell ref="BQ46:BT46"/>
    <mergeCell ref="A45:D46"/>
    <mergeCell ref="E45:T46"/>
    <mergeCell ref="U45:AM45"/>
    <mergeCell ref="AN45:BF45"/>
    <mergeCell ref="BG45:BY45"/>
    <mergeCell ref="U46:Y46"/>
    <mergeCell ref="Z46:AD46"/>
    <mergeCell ref="AE46:AH46"/>
    <mergeCell ref="AI46:AM46"/>
    <mergeCell ref="AN46:AR46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BG55:BK55"/>
    <mergeCell ref="BL55:BP55"/>
    <mergeCell ref="BQ55:BT55"/>
    <mergeCell ref="BU55:BY55"/>
    <mergeCell ref="A56:E56"/>
    <mergeCell ref="F56:T56"/>
    <mergeCell ref="U56:Y56"/>
    <mergeCell ref="Z56:AD56"/>
    <mergeCell ref="AE56:AH56"/>
    <mergeCell ref="AI56:AM56"/>
    <mergeCell ref="AE55:AH55"/>
    <mergeCell ref="AI55:AM55"/>
    <mergeCell ref="AN55:AR55"/>
    <mergeCell ref="AS55:AW55"/>
    <mergeCell ref="AX55:BA55"/>
    <mergeCell ref="BB55:BF55"/>
    <mergeCell ref="BU49:BY49"/>
    <mergeCell ref="A52:BL52"/>
    <mergeCell ref="A53:BY53"/>
    <mergeCell ref="A54:E55"/>
    <mergeCell ref="F54:T55"/>
    <mergeCell ref="U54:AM54"/>
    <mergeCell ref="AN54:BF54"/>
    <mergeCell ref="BG54:BY54"/>
    <mergeCell ref="U55:Y55"/>
    <mergeCell ref="Z55:AD55"/>
    <mergeCell ref="AS49:AW49"/>
    <mergeCell ref="AX49:BA49"/>
    <mergeCell ref="BB49:BF49"/>
    <mergeCell ref="BG49:BK49"/>
    <mergeCell ref="BL49:BP49"/>
    <mergeCell ref="BQ49:BT49"/>
    <mergeCell ref="AX57:BA57"/>
    <mergeCell ref="BB57:BF57"/>
    <mergeCell ref="BG57:BK57"/>
    <mergeCell ref="BL57:BP57"/>
    <mergeCell ref="BQ57:BT57"/>
    <mergeCell ref="BU57:BY57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N57:AR57"/>
    <mergeCell ref="AS57:AW57"/>
    <mergeCell ref="AN56:AR56"/>
    <mergeCell ref="AS56:AW56"/>
    <mergeCell ref="AX56:BA56"/>
    <mergeCell ref="BB56:BF56"/>
    <mergeCell ref="BG56:BK56"/>
    <mergeCell ref="BL56:BP56"/>
    <mergeCell ref="BU58:BY58"/>
    <mergeCell ref="A60:BL60"/>
    <mergeCell ref="A61:BK61"/>
    <mergeCell ref="A62:D63"/>
    <mergeCell ref="E62:W63"/>
    <mergeCell ref="X62:AQ62"/>
    <mergeCell ref="AR62:BK62"/>
    <mergeCell ref="X63:AB63"/>
    <mergeCell ref="AC63:AG63"/>
    <mergeCell ref="AN58:AR58"/>
    <mergeCell ref="AS58:AW58"/>
    <mergeCell ref="AX58:BA58"/>
    <mergeCell ref="BB58:BF58"/>
    <mergeCell ref="BG58:BK58"/>
    <mergeCell ref="BL58:BP58"/>
    <mergeCell ref="A58:E58"/>
    <mergeCell ref="F58:T58"/>
    <mergeCell ref="U58:Y58"/>
    <mergeCell ref="Z58:AD58"/>
    <mergeCell ref="AE58:AH58"/>
    <mergeCell ref="AI58:AM58"/>
    <mergeCell ref="A69:BL69"/>
    <mergeCell ref="A70:BK70"/>
    <mergeCell ref="AW67:BA67"/>
    <mergeCell ref="BB67:BF67"/>
    <mergeCell ref="BG67:BK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R64:AV64"/>
    <mergeCell ref="AW64:BA64"/>
    <mergeCell ref="BB64:BF64"/>
    <mergeCell ref="BG64:BK64"/>
    <mergeCell ref="A65:D65"/>
    <mergeCell ref="E65:W65"/>
    <mergeCell ref="X65:AB65"/>
    <mergeCell ref="AC65:AG65"/>
    <mergeCell ref="AH65:AL65"/>
    <mergeCell ref="AM65:AQ65"/>
    <mergeCell ref="A64:D64"/>
    <mergeCell ref="E64:W64"/>
    <mergeCell ref="X64:AB64"/>
    <mergeCell ref="AC64:AG64"/>
    <mergeCell ref="AH64:AL64"/>
    <mergeCell ref="AM64:AQ64"/>
    <mergeCell ref="BB72:BF72"/>
    <mergeCell ref="BG72:BK72"/>
    <mergeCell ref="A73:E73"/>
    <mergeCell ref="F73:W73"/>
    <mergeCell ref="X73:AB73"/>
    <mergeCell ref="AC73:AG73"/>
    <mergeCell ref="AH73:AL73"/>
    <mergeCell ref="AM73:AQ73"/>
    <mergeCell ref="AR73:AV73"/>
    <mergeCell ref="AW73:BA73"/>
    <mergeCell ref="A71:E72"/>
    <mergeCell ref="F71:W72"/>
    <mergeCell ref="X71:AQ71"/>
    <mergeCell ref="AR71:BK71"/>
    <mergeCell ref="X72:AB72"/>
    <mergeCell ref="AC72:AG72"/>
    <mergeCell ref="AH72:AL72"/>
    <mergeCell ref="AM72:AQ72"/>
    <mergeCell ref="AR72:AV72"/>
    <mergeCell ref="AW72:BA72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X81:BA81"/>
    <mergeCell ref="BB81:BF81"/>
    <mergeCell ref="BG81:BK81"/>
    <mergeCell ref="BL81:BP81"/>
    <mergeCell ref="BQ81:BT81"/>
    <mergeCell ref="BU81:BY81"/>
    <mergeCell ref="U81:Y81"/>
    <mergeCell ref="Z81:AD81"/>
    <mergeCell ref="AE81:AH81"/>
    <mergeCell ref="AI81:AM81"/>
    <mergeCell ref="AN81:AR81"/>
    <mergeCell ref="AS81:AW81"/>
    <mergeCell ref="BB75:BF75"/>
    <mergeCell ref="BG75:BK75"/>
    <mergeCell ref="A77:BL77"/>
    <mergeCell ref="A78:BL78"/>
    <mergeCell ref="A79:BY79"/>
    <mergeCell ref="A80:C81"/>
    <mergeCell ref="D80:T81"/>
    <mergeCell ref="U80:AM80"/>
    <mergeCell ref="AN80:BF80"/>
    <mergeCell ref="BG80:BY80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BQ82:BT82"/>
    <mergeCell ref="BU82:BY82"/>
    <mergeCell ref="A83:C83"/>
    <mergeCell ref="D83:T83"/>
    <mergeCell ref="U83:Y83"/>
    <mergeCell ref="Z83:AD83"/>
    <mergeCell ref="AE83:AH83"/>
    <mergeCell ref="AI83:AM83"/>
    <mergeCell ref="AN83:AR83"/>
    <mergeCell ref="AS83:AW83"/>
    <mergeCell ref="AN82:AR82"/>
    <mergeCell ref="AS82:AW82"/>
    <mergeCell ref="AX82:BA82"/>
    <mergeCell ref="BB82:BF82"/>
    <mergeCell ref="BG82:BK82"/>
    <mergeCell ref="BL82:BP82"/>
    <mergeCell ref="A82:C82"/>
    <mergeCell ref="D82:T82"/>
    <mergeCell ref="U82:Y82"/>
    <mergeCell ref="Z82:AD82"/>
    <mergeCell ref="AE82:AH82"/>
    <mergeCell ref="AI82:AM82"/>
    <mergeCell ref="AE92:AI92"/>
    <mergeCell ref="AJ92:AN92"/>
    <mergeCell ref="A91:C91"/>
    <mergeCell ref="D91:T91"/>
    <mergeCell ref="U91:Y91"/>
    <mergeCell ref="Z91:AD91"/>
    <mergeCell ref="AE91:AI91"/>
    <mergeCell ref="AJ91:AN91"/>
    <mergeCell ref="AE90:AI90"/>
    <mergeCell ref="AJ90:AN90"/>
    <mergeCell ref="AO90:AS90"/>
    <mergeCell ref="AT90:AX90"/>
    <mergeCell ref="AY90:BC90"/>
    <mergeCell ref="BD90:BH90"/>
    <mergeCell ref="BQ84:BT84"/>
    <mergeCell ref="BU84:BY84"/>
    <mergeCell ref="A87:BL87"/>
    <mergeCell ref="A88:BH88"/>
    <mergeCell ref="A89:C90"/>
    <mergeCell ref="D89:T90"/>
    <mergeCell ref="U89:AN89"/>
    <mergeCell ref="AO89:BH89"/>
    <mergeCell ref="U90:Y90"/>
    <mergeCell ref="Z90:AD90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BJ98:BX98"/>
    <mergeCell ref="AF99:AJ99"/>
    <mergeCell ref="AK99:AO99"/>
    <mergeCell ref="AP99:AT99"/>
    <mergeCell ref="AU99:AY99"/>
    <mergeCell ref="AZ99:BD99"/>
    <mergeCell ref="BE99:BI99"/>
    <mergeCell ref="BJ99:BN99"/>
    <mergeCell ref="BO99:BS99"/>
    <mergeCell ref="BT99:BX99"/>
    <mergeCell ref="A98:C99"/>
    <mergeCell ref="D98:P99"/>
    <mergeCell ref="Q98:U99"/>
    <mergeCell ref="V98:AE99"/>
    <mergeCell ref="AF98:AT98"/>
    <mergeCell ref="AU98:BI98"/>
    <mergeCell ref="AO93:AS93"/>
    <mergeCell ref="AT93:AX93"/>
    <mergeCell ref="AY93:BC93"/>
    <mergeCell ref="BD93:BH93"/>
    <mergeCell ref="A96:BL96"/>
    <mergeCell ref="A97:BL97"/>
    <mergeCell ref="AJ94:AN94"/>
    <mergeCell ref="AO94:AS94"/>
    <mergeCell ref="AT94:AX94"/>
    <mergeCell ref="AY94:BC94"/>
    <mergeCell ref="A93:C93"/>
    <mergeCell ref="D93:T93"/>
    <mergeCell ref="U93:Y93"/>
    <mergeCell ref="Z93:AD93"/>
    <mergeCell ref="AE93:AI93"/>
    <mergeCell ref="AJ93:AN93"/>
    <mergeCell ref="BE101:BI101"/>
    <mergeCell ref="BJ101:BN101"/>
    <mergeCell ref="BO101:BS101"/>
    <mergeCell ref="BT101:BX101"/>
    <mergeCell ref="A102:C102"/>
    <mergeCell ref="D102:P102"/>
    <mergeCell ref="Q102:U102"/>
    <mergeCell ref="V102:AE102"/>
    <mergeCell ref="AF102:AJ102"/>
    <mergeCell ref="AK102:AO102"/>
    <mergeCell ref="BT100:BX100"/>
    <mergeCell ref="A101:C101"/>
    <mergeCell ref="D101:P101"/>
    <mergeCell ref="Q101:U101"/>
    <mergeCell ref="V101:AE101"/>
    <mergeCell ref="AF101:AJ101"/>
    <mergeCell ref="AK101:AO101"/>
    <mergeCell ref="AP101:AT101"/>
    <mergeCell ref="AU101:AY101"/>
    <mergeCell ref="AZ101:BD101"/>
    <mergeCell ref="AP100:AT100"/>
    <mergeCell ref="AU100:AY100"/>
    <mergeCell ref="AZ100:BD100"/>
    <mergeCell ref="BE100:BI100"/>
    <mergeCell ref="BJ100:BN100"/>
    <mergeCell ref="BO100:BS100"/>
    <mergeCell ref="A100:C100"/>
    <mergeCell ref="D100:P100"/>
    <mergeCell ref="Q100:U100"/>
    <mergeCell ref="V100:AE100"/>
    <mergeCell ref="AF100:AJ100"/>
    <mergeCell ref="AK100:AO100"/>
    <mergeCell ref="AP125:AT125"/>
    <mergeCell ref="AU125:AY125"/>
    <mergeCell ref="AZ125:BD125"/>
    <mergeCell ref="BE125:BI125"/>
    <mergeCell ref="A126:C126"/>
    <mergeCell ref="D126:P126"/>
    <mergeCell ref="Q126:U126"/>
    <mergeCell ref="V126:AE126"/>
    <mergeCell ref="AF126:AJ126"/>
    <mergeCell ref="AK126:AO126"/>
    <mergeCell ref="BT102:BX102"/>
    <mergeCell ref="A123:BL123"/>
    <mergeCell ref="A124:C125"/>
    <mergeCell ref="D124:P125"/>
    <mergeCell ref="Q124:U125"/>
    <mergeCell ref="V124:AE125"/>
    <mergeCell ref="AF124:AT124"/>
    <mergeCell ref="AU124:BI124"/>
    <mergeCell ref="AF125:AJ125"/>
    <mergeCell ref="AK125:AO125"/>
    <mergeCell ref="AP102:AT102"/>
    <mergeCell ref="AU102:AY102"/>
    <mergeCell ref="AZ102:BD102"/>
    <mergeCell ref="BE102:BI102"/>
    <mergeCell ref="BJ102:BN102"/>
    <mergeCell ref="BO102:BS102"/>
    <mergeCell ref="AP127:AT127"/>
    <mergeCell ref="AU127:AY127"/>
    <mergeCell ref="AZ127:BD127"/>
    <mergeCell ref="BE127:BI127"/>
    <mergeCell ref="A128:C128"/>
    <mergeCell ref="D128:P128"/>
    <mergeCell ref="Q128:U128"/>
    <mergeCell ref="V128:AE128"/>
    <mergeCell ref="AF128:AJ128"/>
    <mergeCell ref="AK128:AO128"/>
    <mergeCell ref="AP126:AT126"/>
    <mergeCell ref="AU126:AY126"/>
    <mergeCell ref="AZ126:BD126"/>
    <mergeCell ref="BE126:BI126"/>
    <mergeCell ref="A127:C127"/>
    <mergeCell ref="D127:P127"/>
    <mergeCell ref="Q127:U127"/>
    <mergeCell ref="V127:AE127"/>
    <mergeCell ref="AF127:AJ127"/>
    <mergeCell ref="AK127:AO127"/>
    <mergeCell ref="AO152:AS152"/>
    <mergeCell ref="AT152:AX152"/>
    <mergeCell ref="AY152:BC152"/>
    <mergeCell ref="BD152:BH152"/>
    <mergeCell ref="BI152:BM152"/>
    <mergeCell ref="BN152:BR152"/>
    <mergeCell ref="A151:T152"/>
    <mergeCell ref="U151:AD151"/>
    <mergeCell ref="AE151:AN151"/>
    <mergeCell ref="AO151:AX151"/>
    <mergeCell ref="AY151:BH151"/>
    <mergeCell ref="BI151:BR151"/>
    <mergeCell ref="U152:Y152"/>
    <mergeCell ref="Z152:AD152"/>
    <mergeCell ref="AE152:AI152"/>
    <mergeCell ref="AJ152:AN152"/>
    <mergeCell ref="AP128:AT128"/>
    <mergeCell ref="AU128:AY128"/>
    <mergeCell ref="AZ128:BD128"/>
    <mergeCell ref="BE128:BI128"/>
    <mergeCell ref="A149:BL149"/>
    <mergeCell ref="A150:BR150"/>
    <mergeCell ref="BE129:BI129"/>
    <mergeCell ref="A130:C130"/>
    <mergeCell ref="D130:P130"/>
    <mergeCell ref="Q130:U130"/>
    <mergeCell ref="AO154:AS154"/>
    <mergeCell ref="AT154:AX154"/>
    <mergeCell ref="AY154:BC154"/>
    <mergeCell ref="BD154:BH154"/>
    <mergeCell ref="BI154:BM154"/>
    <mergeCell ref="BN154:BR154"/>
    <mergeCell ref="AT153:AX153"/>
    <mergeCell ref="AY153:BC153"/>
    <mergeCell ref="BD153:BH153"/>
    <mergeCell ref="BI153:BM153"/>
    <mergeCell ref="BN153:BR153"/>
    <mergeCell ref="A154:T154"/>
    <mergeCell ref="U154:Y154"/>
    <mergeCell ref="Z154:AD154"/>
    <mergeCell ref="AE154:AI154"/>
    <mergeCell ref="AJ154:AN154"/>
    <mergeCell ref="A153:T153"/>
    <mergeCell ref="U153:Y153"/>
    <mergeCell ref="Z153:AD153"/>
    <mergeCell ref="AE153:AI153"/>
    <mergeCell ref="AJ153:AN153"/>
    <mergeCell ref="AO153:AS153"/>
    <mergeCell ref="A159:C161"/>
    <mergeCell ref="D159:V161"/>
    <mergeCell ref="W159:AH159"/>
    <mergeCell ref="AI159:AT159"/>
    <mergeCell ref="AU159:AZ159"/>
    <mergeCell ref="BA159:BF159"/>
    <mergeCell ref="AT155:AX155"/>
    <mergeCell ref="AY155:BC155"/>
    <mergeCell ref="BD155:BH155"/>
    <mergeCell ref="BI155:BM155"/>
    <mergeCell ref="BN155:BR155"/>
    <mergeCell ref="A158:BL158"/>
    <mergeCell ref="BI156:BM156"/>
    <mergeCell ref="BN156:BR156"/>
    <mergeCell ref="A155:T155"/>
    <mergeCell ref="U155:Y155"/>
    <mergeCell ref="Z155:AD155"/>
    <mergeCell ref="AE155:AI155"/>
    <mergeCell ref="AJ155:AN155"/>
    <mergeCell ref="AO155:AS155"/>
    <mergeCell ref="BJ160:BL161"/>
    <mergeCell ref="W161:Y161"/>
    <mergeCell ref="Z161:AB161"/>
    <mergeCell ref="AC161:AE161"/>
    <mergeCell ref="AF161:AH161"/>
    <mergeCell ref="AI161:AK161"/>
    <mergeCell ref="AL161:AN161"/>
    <mergeCell ref="AO161:AQ161"/>
    <mergeCell ref="AR161:AT161"/>
    <mergeCell ref="BG159:BL159"/>
    <mergeCell ref="W160:AB160"/>
    <mergeCell ref="AC160:AH160"/>
    <mergeCell ref="AI160:AN160"/>
    <mergeCell ref="AO160:AT160"/>
    <mergeCell ref="AU160:AW161"/>
    <mergeCell ref="AX160:AZ161"/>
    <mergeCell ref="BA160:BC161"/>
    <mergeCell ref="BD160:BF161"/>
    <mergeCell ref="BG160:BI161"/>
    <mergeCell ref="BD162:BF162"/>
    <mergeCell ref="BG162:BI162"/>
    <mergeCell ref="BJ162:BL162"/>
    <mergeCell ref="A163:C163"/>
    <mergeCell ref="D163:V163"/>
    <mergeCell ref="W163:Y163"/>
    <mergeCell ref="Z163:AB163"/>
    <mergeCell ref="AC163:AE163"/>
    <mergeCell ref="AF163:AH163"/>
    <mergeCell ref="AI162:AK162"/>
    <mergeCell ref="AL162:AN162"/>
    <mergeCell ref="AO162:AQ162"/>
    <mergeCell ref="AR162:AT162"/>
    <mergeCell ref="AU162:AW162"/>
    <mergeCell ref="AX162:AZ162"/>
    <mergeCell ref="A162:C162"/>
    <mergeCell ref="D162:V162"/>
    <mergeCell ref="W162:Y162"/>
    <mergeCell ref="Z162:AB162"/>
    <mergeCell ref="AC162:AE162"/>
    <mergeCell ref="AF162:AH162"/>
    <mergeCell ref="A169:BS169"/>
    <mergeCell ref="A170:F171"/>
    <mergeCell ref="G170:S171"/>
    <mergeCell ref="T170:Z171"/>
    <mergeCell ref="AA170:AO170"/>
    <mergeCell ref="AP170:BD170"/>
    <mergeCell ref="BE170:BS170"/>
    <mergeCell ref="AA171:AE171"/>
    <mergeCell ref="AF171:AJ171"/>
    <mergeCell ref="AK171:AO171"/>
    <mergeCell ref="BA164:BC164"/>
    <mergeCell ref="BD164:BF164"/>
    <mergeCell ref="BG164:BI164"/>
    <mergeCell ref="BJ164:BL164"/>
    <mergeCell ref="A167:BL167"/>
    <mergeCell ref="A168:BS168"/>
    <mergeCell ref="AL165:AN165"/>
    <mergeCell ref="AO165:AQ165"/>
    <mergeCell ref="AR165:AT165"/>
    <mergeCell ref="AU165:AW165"/>
    <mergeCell ref="AI164:AK164"/>
    <mergeCell ref="AL164:AN164"/>
    <mergeCell ref="AO164:AQ164"/>
    <mergeCell ref="AR164:AT164"/>
    <mergeCell ref="AU164:AW164"/>
    <mergeCell ref="AX164:AZ164"/>
    <mergeCell ref="A164:C164"/>
    <mergeCell ref="D164:V164"/>
    <mergeCell ref="W164:Y164"/>
    <mergeCell ref="Z164:AB164"/>
    <mergeCell ref="AC164:AE164"/>
    <mergeCell ref="AF164:AH164"/>
    <mergeCell ref="AP172:AT172"/>
    <mergeCell ref="AU172:AY172"/>
    <mergeCell ref="AZ172:BD172"/>
    <mergeCell ref="BE172:BI172"/>
    <mergeCell ref="BJ172:BN172"/>
    <mergeCell ref="BO172:BS172"/>
    <mergeCell ref="A172:F172"/>
    <mergeCell ref="G172:S172"/>
    <mergeCell ref="T172:Z172"/>
    <mergeCell ref="AA172:AE172"/>
    <mergeCell ref="AF172:AJ172"/>
    <mergeCell ref="AK172:AO172"/>
    <mergeCell ref="AP171:AT171"/>
    <mergeCell ref="AU171:AY171"/>
    <mergeCell ref="AZ171:BD171"/>
    <mergeCell ref="BE171:BI171"/>
    <mergeCell ref="BJ171:BN171"/>
    <mergeCell ref="BO171:BS171"/>
    <mergeCell ref="AP174:AT174"/>
    <mergeCell ref="AU174:AY174"/>
    <mergeCell ref="AZ174:BD174"/>
    <mergeCell ref="BE174:BI174"/>
    <mergeCell ref="BJ174:BN174"/>
    <mergeCell ref="BO174:BS174"/>
    <mergeCell ref="A174:F174"/>
    <mergeCell ref="G174:S174"/>
    <mergeCell ref="T174:Z174"/>
    <mergeCell ref="AA174:AE174"/>
    <mergeCell ref="AF174:AJ174"/>
    <mergeCell ref="AK174:AO174"/>
    <mergeCell ref="AP173:AT173"/>
    <mergeCell ref="AU173:AY173"/>
    <mergeCell ref="AZ173:BD173"/>
    <mergeCell ref="BE173:BI173"/>
    <mergeCell ref="BJ173:BN173"/>
    <mergeCell ref="BO173:BS173"/>
    <mergeCell ref="A173:F173"/>
    <mergeCell ref="G173:S173"/>
    <mergeCell ref="T173:Z173"/>
    <mergeCell ref="AA173:AE173"/>
    <mergeCell ref="AF173:AJ173"/>
    <mergeCell ref="AK173:AO173"/>
    <mergeCell ref="AP181:AT181"/>
    <mergeCell ref="AU181:AY181"/>
    <mergeCell ref="AZ181:BD181"/>
    <mergeCell ref="A182:F182"/>
    <mergeCell ref="G182:S182"/>
    <mergeCell ref="T182:Z182"/>
    <mergeCell ref="AA182:AE182"/>
    <mergeCell ref="AF182:AJ182"/>
    <mergeCell ref="AK182:AO182"/>
    <mergeCell ref="AP182:AT182"/>
    <mergeCell ref="A178:BL178"/>
    <mergeCell ref="A179:BD179"/>
    <mergeCell ref="A180:F181"/>
    <mergeCell ref="G180:S181"/>
    <mergeCell ref="T180:Z181"/>
    <mergeCell ref="AA180:AO180"/>
    <mergeCell ref="AP180:BD180"/>
    <mergeCell ref="AA181:AE181"/>
    <mergeCell ref="AF181:AJ181"/>
    <mergeCell ref="AK181:AO181"/>
    <mergeCell ref="AZ183:BD183"/>
    <mergeCell ref="A184:F184"/>
    <mergeCell ref="G184:S184"/>
    <mergeCell ref="T184:Z184"/>
    <mergeCell ref="AA184:AE184"/>
    <mergeCell ref="AF184:AJ184"/>
    <mergeCell ref="AK184:AO184"/>
    <mergeCell ref="AP184:AT184"/>
    <mergeCell ref="AU184:AY184"/>
    <mergeCell ref="AZ184:BD184"/>
    <mergeCell ref="AU182:AY182"/>
    <mergeCell ref="AZ182:BD182"/>
    <mergeCell ref="A183:F183"/>
    <mergeCell ref="G183:S183"/>
    <mergeCell ref="T183:Z183"/>
    <mergeCell ref="AA183:AE183"/>
    <mergeCell ref="AF183:AJ183"/>
    <mergeCell ref="AK183:AO183"/>
    <mergeCell ref="AP183:AT183"/>
    <mergeCell ref="AU183:AY183"/>
    <mergeCell ref="BB191:BF191"/>
    <mergeCell ref="BG191:BJ191"/>
    <mergeCell ref="BK191:BO191"/>
    <mergeCell ref="BP191:BS191"/>
    <mergeCell ref="A192:M192"/>
    <mergeCell ref="N192:U192"/>
    <mergeCell ref="V192:Z192"/>
    <mergeCell ref="AA192:AE192"/>
    <mergeCell ref="AF192:AI192"/>
    <mergeCell ref="AJ192:AN192"/>
    <mergeCell ref="AA191:AE191"/>
    <mergeCell ref="AF191:AI191"/>
    <mergeCell ref="AJ191:AN191"/>
    <mergeCell ref="AO191:AR191"/>
    <mergeCell ref="AS191:AW191"/>
    <mergeCell ref="AX191:BA191"/>
    <mergeCell ref="A188:BL188"/>
    <mergeCell ref="A189:BM189"/>
    <mergeCell ref="A190:M191"/>
    <mergeCell ref="N190:U191"/>
    <mergeCell ref="V190:Z191"/>
    <mergeCell ref="AA190:AI190"/>
    <mergeCell ref="AJ190:AR190"/>
    <mergeCell ref="AS190:BA190"/>
    <mergeCell ref="BB190:BJ190"/>
    <mergeCell ref="BK190:BS190"/>
    <mergeCell ref="BB193:BF193"/>
    <mergeCell ref="BG193:BJ193"/>
    <mergeCell ref="BK193:BO193"/>
    <mergeCell ref="BP193:BS193"/>
    <mergeCell ref="A194:M194"/>
    <mergeCell ref="N194:U194"/>
    <mergeCell ref="V194:Z194"/>
    <mergeCell ref="AA194:AE194"/>
    <mergeCell ref="AF194:AI194"/>
    <mergeCell ref="AJ194:AN194"/>
    <mergeCell ref="BP192:BS192"/>
    <mergeCell ref="A193:M193"/>
    <mergeCell ref="N193:U193"/>
    <mergeCell ref="V193:Z193"/>
    <mergeCell ref="AA193:AE193"/>
    <mergeCell ref="AF193:AI193"/>
    <mergeCell ref="AJ193:AN193"/>
    <mergeCell ref="AO193:AR193"/>
    <mergeCell ref="AS193:AW193"/>
    <mergeCell ref="AX193:BA193"/>
    <mergeCell ref="AO192:AR192"/>
    <mergeCell ref="AS192:AW192"/>
    <mergeCell ref="AX192:BA192"/>
    <mergeCell ref="BB192:BF192"/>
    <mergeCell ref="BG192:BJ192"/>
    <mergeCell ref="BK192:BO192"/>
    <mergeCell ref="AW202:BF202"/>
    <mergeCell ref="BG202:BL203"/>
    <mergeCell ref="AW203:BA203"/>
    <mergeCell ref="BB203:BF203"/>
    <mergeCell ref="A204:F204"/>
    <mergeCell ref="G204:S204"/>
    <mergeCell ref="T204:Y204"/>
    <mergeCell ref="Z204:AD204"/>
    <mergeCell ref="AE204:AJ204"/>
    <mergeCell ref="A202:F203"/>
    <mergeCell ref="G202:S203"/>
    <mergeCell ref="T202:Y203"/>
    <mergeCell ref="Z202:AD203"/>
    <mergeCell ref="AE202:AJ203"/>
    <mergeCell ref="AK202:AP203"/>
    <mergeCell ref="BP194:BS194"/>
    <mergeCell ref="A196:BL196"/>
    <mergeCell ref="A197:BL197"/>
    <mergeCell ref="A199:BL199"/>
    <mergeCell ref="A200:BL200"/>
    <mergeCell ref="A201:BL201"/>
    <mergeCell ref="AO194:AR194"/>
    <mergeCell ref="AS194:AW194"/>
    <mergeCell ref="AX194:BA194"/>
    <mergeCell ref="BB194:BF194"/>
    <mergeCell ref="BG194:BJ194"/>
    <mergeCell ref="BK194:BO194"/>
    <mergeCell ref="BG206:BL206"/>
    <mergeCell ref="A209:BL209"/>
    <mergeCell ref="BG207:BL207"/>
    <mergeCell ref="AK205:AP205"/>
    <mergeCell ref="AQ205:AV205"/>
    <mergeCell ref="AW205:BA205"/>
    <mergeCell ref="BB205:BF205"/>
    <mergeCell ref="BG205:BL205"/>
    <mergeCell ref="A206:F206"/>
    <mergeCell ref="G206:S206"/>
    <mergeCell ref="T206:Y206"/>
    <mergeCell ref="Z206:AD206"/>
    <mergeCell ref="AE206:AJ206"/>
    <mergeCell ref="AK204:AP204"/>
    <mergeCell ref="AQ204:AV204"/>
    <mergeCell ref="AW204:BA204"/>
    <mergeCell ref="BB204:BF204"/>
    <mergeCell ref="BG204:BL204"/>
    <mergeCell ref="A205:F205"/>
    <mergeCell ref="G205:S205"/>
    <mergeCell ref="T205:Y205"/>
    <mergeCell ref="Z205:AD205"/>
    <mergeCell ref="AE205:AJ205"/>
    <mergeCell ref="AT212:AW213"/>
    <mergeCell ref="AX212:BG212"/>
    <mergeCell ref="BH212:BL213"/>
    <mergeCell ref="Z213:AD213"/>
    <mergeCell ref="AE213:AI213"/>
    <mergeCell ref="AX213:BB213"/>
    <mergeCell ref="BC213:BG213"/>
    <mergeCell ref="A210:BL210"/>
    <mergeCell ref="A211:F213"/>
    <mergeCell ref="G211:P213"/>
    <mergeCell ref="Q211:AN211"/>
    <mergeCell ref="AO211:BL211"/>
    <mergeCell ref="Q212:U213"/>
    <mergeCell ref="V212:Y213"/>
    <mergeCell ref="Z212:AI212"/>
    <mergeCell ref="AJ212:AN213"/>
    <mergeCell ref="AO212:AS213"/>
    <mergeCell ref="AJ215:AN215"/>
    <mergeCell ref="AO215:AS215"/>
    <mergeCell ref="AT215:AW215"/>
    <mergeCell ref="AX215:BB215"/>
    <mergeCell ref="BC215:BG215"/>
    <mergeCell ref="BH215:BL215"/>
    <mergeCell ref="A215:F215"/>
    <mergeCell ref="G215:P215"/>
    <mergeCell ref="Q215:U215"/>
    <mergeCell ref="V215:Y215"/>
    <mergeCell ref="Z215:AD215"/>
    <mergeCell ref="AE215:AI215"/>
    <mergeCell ref="AJ214:AN214"/>
    <mergeCell ref="AO214:AS214"/>
    <mergeCell ref="AT214:AW214"/>
    <mergeCell ref="AX214:BB214"/>
    <mergeCell ref="BC214:BG214"/>
    <mergeCell ref="BH214:BL214"/>
    <mergeCell ref="A214:F214"/>
    <mergeCell ref="G214:P214"/>
    <mergeCell ref="Q214:U214"/>
    <mergeCell ref="V214:Y214"/>
    <mergeCell ref="Z214:AD214"/>
    <mergeCell ref="AE214:AI214"/>
    <mergeCell ref="Z221:AD222"/>
    <mergeCell ref="AE221:AJ222"/>
    <mergeCell ref="AK221:AP222"/>
    <mergeCell ref="AQ221:AV222"/>
    <mergeCell ref="AW221:BD222"/>
    <mergeCell ref="AJ216:AN216"/>
    <mergeCell ref="AO216:AS216"/>
    <mergeCell ref="AT216:AW216"/>
    <mergeCell ref="AX216:BB216"/>
    <mergeCell ref="BC216:BG216"/>
    <mergeCell ref="BH216:BL216"/>
    <mergeCell ref="A216:F216"/>
    <mergeCell ref="G216:P216"/>
    <mergeCell ref="Q216:U216"/>
    <mergeCell ref="V216:Y216"/>
    <mergeCell ref="Z216:AD216"/>
    <mergeCell ref="AE216:AI216"/>
    <mergeCell ref="A231:BL231"/>
    <mergeCell ref="A232:BL232"/>
    <mergeCell ref="AK226:AP226"/>
    <mergeCell ref="AQ226:AV226"/>
    <mergeCell ref="AW226:BD226"/>
    <mergeCell ref="BE226:BL226"/>
    <mergeCell ref="AQ224:AV224"/>
    <mergeCell ref="AW224:BD224"/>
    <mergeCell ref="BE224:BL224"/>
    <mergeCell ref="A225:F225"/>
    <mergeCell ref="G225:S225"/>
    <mergeCell ref="T225:Y225"/>
    <mergeCell ref="Z225:AD225"/>
    <mergeCell ref="AE225:AJ225"/>
    <mergeCell ref="AK225:AP225"/>
    <mergeCell ref="AQ225:AV225"/>
    <mergeCell ref="A224:F224"/>
    <mergeCell ref="G224:S224"/>
    <mergeCell ref="T224:Y224"/>
    <mergeCell ref="Z224:AD224"/>
    <mergeCell ref="AE224:AJ224"/>
    <mergeCell ref="AK224:AP224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37:AA237"/>
    <mergeCell ref="AH237:AP237"/>
    <mergeCell ref="AU237:BF237"/>
    <mergeCell ref="AH238:AP238"/>
    <mergeCell ref="AU238:BF238"/>
    <mergeCell ref="A31:D31"/>
    <mergeCell ref="E31:T31"/>
    <mergeCell ref="U31:Y31"/>
    <mergeCell ref="Z31:AD31"/>
    <mergeCell ref="AE31:AH31"/>
    <mergeCell ref="A233:BL233"/>
    <mergeCell ref="A234:AA234"/>
    <mergeCell ref="AH234:AP234"/>
    <mergeCell ref="AU234:BF234"/>
    <mergeCell ref="AH235:AP235"/>
    <mergeCell ref="AU235:BF235"/>
    <mergeCell ref="AW225:BD225"/>
    <mergeCell ref="BE225:BL225"/>
    <mergeCell ref="A228:BL228"/>
    <mergeCell ref="A229:BL229"/>
    <mergeCell ref="A67:D67"/>
    <mergeCell ref="E67:W67"/>
    <mergeCell ref="X67:AB67"/>
    <mergeCell ref="AC67:AG67"/>
    <mergeCell ref="AH67:AL67"/>
    <mergeCell ref="AM67:AQ67"/>
    <mergeCell ref="AR67:AV67"/>
    <mergeCell ref="BU50:BY50"/>
    <mergeCell ref="AS50:AW50"/>
    <mergeCell ref="AX50:BA50"/>
    <mergeCell ref="BB50:BF50"/>
    <mergeCell ref="BG50:BK50"/>
    <mergeCell ref="BL50:BP50"/>
    <mergeCell ref="BQ50:BT50"/>
    <mergeCell ref="A50:D50"/>
    <mergeCell ref="E50:T50"/>
    <mergeCell ref="U50:Y50"/>
    <mergeCell ref="Z50:AD50"/>
    <mergeCell ref="AE50:AH50"/>
    <mergeCell ref="AI50:AM50"/>
    <mergeCell ref="AN50:AR50"/>
    <mergeCell ref="AR66:AV66"/>
    <mergeCell ref="AW66:BA66"/>
    <mergeCell ref="BB66:BF66"/>
    <mergeCell ref="BG66:BK66"/>
    <mergeCell ref="AH63:AL63"/>
    <mergeCell ref="AM63:AQ63"/>
    <mergeCell ref="AR63:AV63"/>
    <mergeCell ref="AW63:BA63"/>
    <mergeCell ref="BB63:BF63"/>
    <mergeCell ref="BG63:BK63"/>
    <mergeCell ref="BQ58:BT58"/>
    <mergeCell ref="BD94:BH94"/>
    <mergeCell ref="A94:C94"/>
    <mergeCell ref="D94:T94"/>
    <mergeCell ref="U94:Y94"/>
    <mergeCell ref="Z94:AD94"/>
    <mergeCell ref="AE94:AI94"/>
    <mergeCell ref="BU85:BY85"/>
    <mergeCell ref="AS85:AW85"/>
    <mergeCell ref="AX85:BA85"/>
    <mergeCell ref="BB85:BF85"/>
    <mergeCell ref="BG85:BK85"/>
    <mergeCell ref="BL85:BP85"/>
    <mergeCell ref="BQ85:BT85"/>
    <mergeCell ref="A85:C85"/>
    <mergeCell ref="D85:T85"/>
    <mergeCell ref="U85:Y85"/>
    <mergeCell ref="Z85:AD85"/>
    <mergeCell ref="AE85:AH85"/>
    <mergeCell ref="AI85:AM85"/>
    <mergeCell ref="AN85:AR85"/>
    <mergeCell ref="AO92:AS92"/>
    <mergeCell ref="AT92:AX92"/>
    <mergeCell ref="AY92:BC92"/>
    <mergeCell ref="BD92:BH92"/>
    <mergeCell ref="AO91:AS91"/>
    <mergeCell ref="AT91:AX91"/>
    <mergeCell ref="AY91:BC91"/>
    <mergeCell ref="BD91:BH91"/>
    <mergeCell ref="A92:C92"/>
    <mergeCell ref="D92:T92"/>
    <mergeCell ref="U92:Y92"/>
    <mergeCell ref="Z92:AD92"/>
    <mergeCell ref="BE103:BI103"/>
    <mergeCell ref="BJ103:BN103"/>
    <mergeCell ref="BO103:BS103"/>
    <mergeCell ref="BT103:BX103"/>
    <mergeCell ref="A104:C104"/>
    <mergeCell ref="D104:P104"/>
    <mergeCell ref="Q104:U104"/>
    <mergeCell ref="V104:AE104"/>
    <mergeCell ref="AF104:AJ104"/>
    <mergeCell ref="AK104:AO104"/>
    <mergeCell ref="A103:C103"/>
    <mergeCell ref="D103:P103"/>
    <mergeCell ref="Q103:U103"/>
    <mergeCell ref="V103:AE103"/>
    <mergeCell ref="AF103:AJ103"/>
    <mergeCell ref="AK103:AO103"/>
    <mergeCell ref="AP103:AT103"/>
    <mergeCell ref="AU103:AY103"/>
    <mergeCell ref="AZ103:BD103"/>
    <mergeCell ref="BE105:BI105"/>
    <mergeCell ref="BJ105:BN105"/>
    <mergeCell ref="BO105:BS105"/>
    <mergeCell ref="BT105:BX105"/>
    <mergeCell ref="A106:C106"/>
    <mergeCell ref="D106:P106"/>
    <mergeCell ref="Q106:U106"/>
    <mergeCell ref="V106:AE106"/>
    <mergeCell ref="AF106:AJ106"/>
    <mergeCell ref="AK106:AO106"/>
    <mergeCell ref="BT104:BX104"/>
    <mergeCell ref="A105:C105"/>
    <mergeCell ref="D105:P105"/>
    <mergeCell ref="Q105:U105"/>
    <mergeCell ref="V105:AE105"/>
    <mergeCell ref="AF105:AJ105"/>
    <mergeCell ref="AK105:AO105"/>
    <mergeCell ref="AP105:AT105"/>
    <mergeCell ref="AU105:AY105"/>
    <mergeCell ref="AZ105:BD105"/>
    <mergeCell ref="AP104:AT104"/>
    <mergeCell ref="AU104:AY104"/>
    <mergeCell ref="AZ104:BD104"/>
    <mergeCell ref="BE104:BI104"/>
    <mergeCell ref="BJ104:BN104"/>
    <mergeCell ref="BO104:BS104"/>
    <mergeCell ref="BE107:BI107"/>
    <mergeCell ref="BJ107:BN107"/>
    <mergeCell ref="BO107:BS107"/>
    <mergeCell ref="BT107:BX107"/>
    <mergeCell ref="A108:C108"/>
    <mergeCell ref="D108:P108"/>
    <mergeCell ref="Q108:U108"/>
    <mergeCell ref="V108:AE108"/>
    <mergeCell ref="AF108:AJ108"/>
    <mergeCell ref="AK108:AO108"/>
    <mergeCell ref="BT106:BX106"/>
    <mergeCell ref="A107:C107"/>
    <mergeCell ref="D107:P107"/>
    <mergeCell ref="Q107:U107"/>
    <mergeCell ref="V107:AE107"/>
    <mergeCell ref="AF107:AJ107"/>
    <mergeCell ref="AK107:AO107"/>
    <mergeCell ref="AP107:AT107"/>
    <mergeCell ref="AU107:AY107"/>
    <mergeCell ref="AZ107:BD107"/>
    <mergeCell ref="AP106:AT106"/>
    <mergeCell ref="AU106:AY106"/>
    <mergeCell ref="AZ106:BD106"/>
    <mergeCell ref="BE106:BI106"/>
    <mergeCell ref="BJ106:BN106"/>
    <mergeCell ref="BO106:BS106"/>
    <mergeCell ref="BE109:BI109"/>
    <mergeCell ref="BJ109:BN109"/>
    <mergeCell ref="BO109:BS109"/>
    <mergeCell ref="BT109:BX109"/>
    <mergeCell ref="A110:C110"/>
    <mergeCell ref="D110:P110"/>
    <mergeCell ref="Q110:U110"/>
    <mergeCell ref="V110:AE110"/>
    <mergeCell ref="AF110:AJ110"/>
    <mergeCell ref="AK110:AO110"/>
    <mergeCell ref="BT108:BX108"/>
    <mergeCell ref="A109:C109"/>
    <mergeCell ref="D109:P109"/>
    <mergeCell ref="Q109:U109"/>
    <mergeCell ref="V109:AE109"/>
    <mergeCell ref="AF109:AJ109"/>
    <mergeCell ref="AK109:AO109"/>
    <mergeCell ref="AP109:AT109"/>
    <mergeCell ref="AU109:AY109"/>
    <mergeCell ref="AZ109:BD109"/>
    <mergeCell ref="AP108:AT108"/>
    <mergeCell ref="AU108:AY108"/>
    <mergeCell ref="AZ108:BD108"/>
    <mergeCell ref="BE108:BI108"/>
    <mergeCell ref="BJ108:BN108"/>
    <mergeCell ref="BO108:BS108"/>
    <mergeCell ref="BE111:BI111"/>
    <mergeCell ref="BJ111:BN111"/>
    <mergeCell ref="BO111:BS111"/>
    <mergeCell ref="BT111:BX111"/>
    <mergeCell ref="A112:C112"/>
    <mergeCell ref="D112:P112"/>
    <mergeCell ref="Q112:U112"/>
    <mergeCell ref="V112:AE112"/>
    <mergeCell ref="AF112:AJ112"/>
    <mergeCell ref="AK112:AO112"/>
    <mergeCell ref="BT110:BX110"/>
    <mergeCell ref="A111:C111"/>
    <mergeCell ref="D111:P111"/>
    <mergeCell ref="Q111:U111"/>
    <mergeCell ref="V111:AE111"/>
    <mergeCell ref="AF111:AJ111"/>
    <mergeCell ref="AK111:AO111"/>
    <mergeCell ref="AP111:AT111"/>
    <mergeCell ref="AU111:AY111"/>
    <mergeCell ref="AZ111:BD111"/>
    <mergeCell ref="AP110:AT110"/>
    <mergeCell ref="AU110:AY110"/>
    <mergeCell ref="AZ110:BD110"/>
    <mergeCell ref="BE110:BI110"/>
    <mergeCell ref="BJ110:BN110"/>
    <mergeCell ref="BO110:BS110"/>
    <mergeCell ref="BE113:BI113"/>
    <mergeCell ref="BJ113:BN113"/>
    <mergeCell ref="BO113:BS113"/>
    <mergeCell ref="BT113:BX113"/>
    <mergeCell ref="A114:C114"/>
    <mergeCell ref="D114:P114"/>
    <mergeCell ref="Q114:U114"/>
    <mergeCell ref="V114:AE114"/>
    <mergeCell ref="AF114:AJ114"/>
    <mergeCell ref="AK114:AO114"/>
    <mergeCell ref="BT112:BX112"/>
    <mergeCell ref="A113:C113"/>
    <mergeCell ref="D113:P113"/>
    <mergeCell ref="Q113:U113"/>
    <mergeCell ref="V113:AE113"/>
    <mergeCell ref="AF113:AJ113"/>
    <mergeCell ref="AK113:AO113"/>
    <mergeCell ref="AP113:AT113"/>
    <mergeCell ref="AU113:AY113"/>
    <mergeCell ref="AZ113:BD113"/>
    <mergeCell ref="AP112:AT112"/>
    <mergeCell ref="AU112:AY112"/>
    <mergeCell ref="AZ112:BD112"/>
    <mergeCell ref="BE112:BI112"/>
    <mergeCell ref="BJ112:BN112"/>
    <mergeCell ref="BO112:BS112"/>
    <mergeCell ref="BE115:BI115"/>
    <mergeCell ref="BJ115:BN115"/>
    <mergeCell ref="BO115:BS115"/>
    <mergeCell ref="BT115:BX115"/>
    <mergeCell ref="A116:C116"/>
    <mergeCell ref="D116:P116"/>
    <mergeCell ref="Q116:U116"/>
    <mergeCell ref="V116:AE116"/>
    <mergeCell ref="AF116:AJ116"/>
    <mergeCell ref="AK116:AO116"/>
    <mergeCell ref="BT114:BX114"/>
    <mergeCell ref="A115:C115"/>
    <mergeCell ref="D115:P115"/>
    <mergeCell ref="Q115:U115"/>
    <mergeCell ref="V115:AE115"/>
    <mergeCell ref="AF115:AJ115"/>
    <mergeCell ref="AK115:AO115"/>
    <mergeCell ref="AP115:AT115"/>
    <mergeCell ref="AU115:AY115"/>
    <mergeCell ref="AZ115:BD115"/>
    <mergeCell ref="AP114:AT114"/>
    <mergeCell ref="AU114:AY114"/>
    <mergeCell ref="AZ114:BD114"/>
    <mergeCell ref="BE114:BI114"/>
    <mergeCell ref="BJ114:BN114"/>
    <mergeCell ref="BO114:BS114"/>
    <mergeCell ref="BE117:BI117"/>
    <mergeCell ref="BJ117:BN117"/>
    <mergeCell ref="BO117:BS117"/>
    <mergeCell ref="BT117:BX117"/>
    <mergeCell ref="A118:C118"/>
    <mergeCell ref="D118:P118"/>
    <mergeCell ref="Q118:U118"/>
    <mergeCell ref="V118:AE118"/>
    <mergeCell ref="AF118:AJ118"/>
    <mergeCell ref="AK118:AO118"/>
    <mergeCell ref="BT116:BX116"/>
    <mergeCell ref="A117:C117"/>
    <mergeCell ref="D117:P117"/>
    <mergeCell ref="Q117:U117"/>
    <mergeCell ref="V117:AE117"/>
    <mergeCell ref="AF117:AJ117"/>
    <mergeCell ref="AK117:AO117"/>
    <mergeCell ref="AP117:AT117"/>
    <mergeCell ref="AU117:AY117"/>
    <mergeCell ref="AZ117:BD117"/>
    <mergeCell ref="AP116:AT116"/>
    <mergeCell ref="AU116:AY116"/>
    <mergeCell ref="AZ116:BD116"/>
    <mergeCell ref="BE116:BI116"/>
    <mergeCell ref="BJ116:BN116"/>
    <mergeCell ref="BO116:BS116"/>
    <mergeCell ref="BE119:BI119"/>
    <mergeCell ref="BJ119:BN119"/>
    <mergeCell ref="BO119:BS119"/>
    <mergeCell ref="BT119:BX119"/>
    <mergeCell ref="A120:C120"/>
    <mergeCell ref="D120:P120"/>
    <mergeCell ref="Q120:U120"/>
    <mergeCell ref="V120:AE120"/>
    <mergeCell ref="AF120:AJ120"/>
    <mergeCell ref="AK120:AO120"/>
    <mergeCell ref="BT118:BX118"/>
    <mergeCell ref="A119:C119"/>
    <mergeCell ref="D119:P119"/>
    <mergeCell ref="Q119:U119"/>
    <mergeCell ref="V119:AE119"/>
    <mergeCell ref="AF119:AJ119"/>
    <mergeCell ref="AK119:AO119"/>
    <mergeCell ref="AP119:AT119"/>
    <mergeCell ref="AU119:AY119"/>
    <mergeCell ref="AZ119:BD119"/>
    <mergeCell ref="AP118:AT118"/>
    <mergeCell ref="AU118:AY118"/>
    <mergeCell ref="AZ118:BD118"/>
    <mergeCell ref="BE118:BI118"/>
    <mergeCell ref="BJ118:BN118"/>
    <mergeCell ref="BO118:BS118"/>
    <mergeCell ref="BE121:BI121"/>
    <mergeCell ref="BJ121:BN121"/>
    <mergeCell ref="BO121:BS121"/>
    <mergeCell ref="BT121:BX121"/>
    <mergeCell ref="BT120:BX120"/>
    <mergeCell ref="A121:C121"/>
    <mergeCell ref="D121:P121"/>
    <mergeCell ref="Q121:U121"/>
    <mergeCell ref="V121:AE121"/>
    <mergeCell ref="AF121:AJ121"/>
    <mergeCell ref="AK121:AO121"/>
    <mergeCell ref="AP121:AT121"/>
    <mergeCell ref="AU121:AY121"/>
    <mergeCell ref="AZ121:BD121"/>
    <mergeCell ref="AP120:AT120"/>
    <mergeCell ref="AU120:AY120"/>
    <mergeCell ref="AZ120:BD120"/>
    <mergeCell ref="BE120:BI120"/>
    <mergeCell ref="BJ120:BN120"/>
    <mergeCell ref="BO120:BS120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V130:AE130"/>
    <mergeCell ref="AF130:AJ130"/>
    <mergeCell ref="AK130:AO130"/>
    <mergeCell ref="AP130:AT130"/>
    <mergeCell ref="AU130:AY130"/>
    <mergeCell ref="AZ130:BD130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BE132:BI132"/>
    <mergeCell ref="A133:C133"/>
    <mergeCell ref="D133:P133"/>
    <mergeCell ref="Q133:U133"/>
    <mergeCell ref="V133:AE133"/>
    <mergeCell ref="AF133:AJ133"/>
    <mergeCell ref="AK133:AO133"/>
    <mergeCell ref="AP133:AT133"/>
    <mergeCell ref="AU133:AY133"/>
    <mergeCell ref="AZ133:BD133"/>
    <mergeCell ref="BE131:BI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4:BI134"/>
    <mergeCell ref="A135:C135"/>
    <mergeCell ref="D135:P135"/>
    <mergeCell ref="Q135:U135"/>
    <mergeCell ref="V135:AE135"/>
    <mergeCell ref="AF135:AJ135"/>
    <mergeCell ref="AK135:AO135"/>
    <mergeCell ref="AP135:AT135"/>
    <mergeCell ref="AU135:AY135"/>
    <mergeCell ref="AZ135:BD135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BE136:BI136"/>
    <mergeCell ref="A137:C137"/>
    <mergeCell ref="D137:P137"/>
    <mergeCell ref="Q137:U137"/>
    <mergeCell ref="V137:AE137"/>
    <mergeCell ref="AF137:AJ137"/>
    <mergeCell ref="AK137:AO137"/>
    <mergeCell ref="AP137:AT137"/>
    <mergeCell ref="AU137:AY137"/>
    <mergeCell ref="AZ137:BD137"/>
    <mergeCell ref="BE135:BI135"/>
    <mergeCell ref="A136:C136"/>
    <mergeCell ref="D136:P136"/>
    <mergeCell ref="Q136:U136"/>
    <mergeCell ref="V136:AE136"/>
    <mergeCell ref="AF136:AJ136"/>
    <mergeCell ref="AK136:AO136"/>
    <mergeCell ref="AP136:AT136"/>
    <mergeCell ref="AU136:AY136"/>
    <mergeCell ref="AZ136:BD136"/>
    <mergeCell ref="BE138:BI138"/>
    <mergeCell ref="A139:C139"/>
    <mergeCell ref="D139:P139"/>
    <mergeCell ref="Q139:U139"/>
    <mergeCell ref="V139:AE139"/>
    <mergeCell ref="AF139:AJ139"/>
    <mergeCell ref="AK139:AO139"/>
    <mergeCell ref="AP139:AT139"/>
    <mergeCell ref="AU139:AY139"/>
    <mergeCell ref="AZ139:BD139"/>
    <mergeCell ref="BE137:BI137"/>
    <mergeCell ref="A138:C138"/>
    <mergeCell ref="D138:P138"/>
    <mergeCell ref="Q138:U138"/>
    <mergeCell ref="V138:AE138"/>
    <mergeCell ref="AF138:AJ138"/>
    <mergeCell ref="AK138:AO138"/>
    <mergeCell ref="AP138:AT138"/>
    <mergeCell ref="AU138:AY138"/>
    <mergeCell ref="AZ138:BD138"/>
    <mergeCell ref="BE140:BI140"/>
    <mergeCell ref="A141:C141"/>
    <mergeCell ref="D141:P141"/>
    <mergeCell ref="Q141:U141"/>
    <mergeCell ref="V141:AE141"/>
    <mergeCell ref="AF141:AJ141"/>
    <mergeCell ref="AK141:AO141"/>
    <mergeCell ref="AP141:AT141"/>
    <mergeCell ref="AU141:AY141"/>
    <mergeCell ref="AZ141:BD141"/>
    <mergeCell ref="BE139:BI139"/>
    <mergeCell ref="A140:C140"/>
    <mergeCell ref="D140:P140"/>
    <mergeCell ref="Q140:U140"/>
    <mergeCell ref="V140:AE140"/>
    <mergeCell ref="AF140:AJ140"/>
    <mergeCell ref="AK140:AO140"/>
    <mergeCell ref="AP140:AT140"/>
    <mergeCell ref="AU140:AY140"/>
    <mergeCell ref="AZ140:BD140"/>
    <mergeCell ref="BE142:BI142"/>
    <mergeCell ref="A143:C143"/>
    <mergeCell ref="D143:P143"/>
    <mergeCell ref="Q143:U143"/>
    <mergeCell ref="V143:AE143"/>
    <mergeCell ref="AF143:AJ143"/>
    <mergeCell ref="AK143:AO143"/>
    <mergeCell ref="AP143:AT143"/>
    <mergeCell ref="AU143:AY143"/>
    <mergeCell ref="AZ143:BD143"/>
    <mergeCell ref="BE141:BI141"/>
    <mergeCell ref="A142:C142"/>
    <mergeCell ref="D142:P142"/>
    <mergeCell ref="Q142:U142"/>
    <mergeCell ref="V142:AE142"/>
    <mergeCell ref="AF142:AJ142"/>
    <mergeCell ref="AK142:AO142"/>
    <mergeCell ref="AP142:AT142"/>
    <mergeCell ref="AU142:AY142"/>
    <mergeCell ref="AZ142:BD142"/>
    <mergeCell ref="BE144:BI144"/>
    <mergeCell ref="A145:C145"/>
    <mergeCell ref="D145:P145"/>
    <mergeCell ref="Q145:U145"/>
    <mergeCell ref="V145:AE145"/>
    <mergeCell ref="AF145:AJ145"/>
    <mergeCell ref="AK145:AO145"/>
    <mergeCell ref="AP145:AT145"/>
    <mergeCell ref="AU145:AY145"/>
    <mergeCell ref="AZ145:BD145"/>
    <mergeCell ref="BE143:BI143"/>
    <mergeCell ref="A144:C144"/>
    <mergeCell ref="D144:P144"/>
    <mergeCell ref="Q144:U144"/>
    <mergeCell ref="V144:AE144"/>
    <mergeCell ref="AF144:AJ144"/>
    <mergeCell ref="AK144:AO144"/>
    <mergeCell ref="AP144:AT144"/>
    <mergeCell ref="AU144:AY144"/>
    <mergeCell ref="AZ144:BD144"/>
    <mergeCell ref="BE147:BI147"/>
    <mergeCell ref="BE146:BI146"/>
    <mergeCell ref="A147:C147"/>
    <mergeCell ref="D147:P147"/>
    <mergeCell ref="Q147:U147"/>
    <mergeCell ref="V147:AE147"/>
    <mergeCell ref="AF147:AJ147"/>
    <mergeCell ref="AK147:AO147"/>
    <mergeCell ref="AP147:AT147"/>
    <mergeCell ref="AU147:AY147"/>
    <mergeCell ref="AZ147:BD147"/>
    <mergeCell ref="BE145:BI145"/>
    <mergeCell ref="A146:C146"/>
    <mergeCell ref="D146:P146"/>
    <mergeCell ref="Q146:U146"/>
    <mergeCell ref="V146:AE146"/>
    <mergeCell ref="AF146:AJ146"/>
    <mergeCell ref="AK146:AO146"/>
    <mergeCell ref="AP146:AT146"/>
    <mergeCell ref="AU146:AY146"/>
    <mergeCell ref="AZ146:BD146"/>
    <mergeCell ref="AX165:AZ165"/>
    <mergeCell ref="BA165:BC165"/>
    <mergeCell ref="BD165:BF165"/>
    <mergeCell ref="BG165:BI165"/>
    <mergeCell ref="BJ165:BL165"/>
    <mergeCell ref="A165:C165"/>
    <mergeCell ref="D165:V165"/>
    <mergeCell ref="W165:Y165"/>
    <mergeCell ref="Z165:AB165"/>
    <mergeCell ref="AC165:AE165"/>
    <mergeCell ref="AF165:AH165"/>
    <mergeCell ref="AI165:AK165"/>
    <mergeCell ref="A156:T156"/>
    <mergeCell ref="U156:Y156"/>
    <mergeCell ref="Z156:AD156"/>
    <mergeCell ref="AE156:AI156"/>
    <mergeCell ref="AJ156:AN156"/>
    <mergeCell ref="AO156:AS156"/>
    <mergeCell ref="AT156:AX156"/>
    <mergeCell ref="AY156:BC156"/>
    <mergeCell ref="BD156:BH156"/>
    <mergeCell ref="BA163:BC163"/>
    <mergeCell ref="BD163:BF163"/>
    <mergeCell ref="BG163:BI163"/>
    <mergeCell ref="BJ163:BL163"/>
    <mergeCell ref="AI163:AK163"/>
    <mergeCell ref="AL163:AN163"/>
    <mergeCell ref="AO163:AQ163"/>
    <mergeCell ref="AR163:AT163"/>
    <mergeCell ref="AU163:AW163"/>
    <mergeCell ref="AX163:AZ163"/>
    <mergeCell ref="BA162:BC162"/>
    <mergeCell ref="BE176:BI176"/>
    <mergeCell ref="BJ176:BN176"/>
    <mergeCell ref="BO176:BS176"/>
    <mergeCell ref="BO175:BS175"/>
    <mergeCell ref="A176:F176"/>
    <mergeCell ref="G176:S176"/>
    <mergeCell ref="T176:Z176"/>
    <mergeCell ref="AA176:AE176"/>
    <mergeCell ref="AF176:AJ176"/>
    <mergeCell ref="AK176:AO176"/>
    <mergeCell ref="AP176:AT176"/>
    <mergeCell ref="AU176:AY176"/>
    <mergeCell ref="AZ176:BD176"/>
    <mergeCell ref="AK175:AO175"/>
    <mergeCell ref="AP175:AT175"/>
    <mergeCell ref="AU175:AY175"/>
    <mergeCell ref="AZ175:BD175"/>
    <mergeCell ref="BE175:BI175"/>
    <mergeCell ref="BJ175:BN175"/>
    <mergeCell ref="A175:F175"/>
    <mergeCell ref="G175:S175"/>
    <mergeCell ref="T175:Z175"/>
    <mergeCell ref="AA175:AE175"/>
    <mergeCell ref="AF175:AJ175"/>
    <mergeCell ref="A207:F207"/>
    <mergeCell ref="G207:S207"/>
    <mergeCell ref="T207:Y207"/>
    <mergeCell ref="Z207:AD207"/>
    <mergeCell ref="AE207:AJ207"/>
    <mergeCell ref="AK207:AP207"/>
    <mergeCell ref="AQ207:AV207"/>
    <mergeCell ref="AW207:BA207"/>
    <mergeCell ref="BB207:BF207"/>
    <mergeCell ref="AP186:AT186"/>
    <mergeCell ref="AU186:AY186"/>
    <mergeCell ref="AZ186:BD186"/>
    <mergeCell ref="AK185:AO185"/>
    <mergeCell ref="AP185:AT185"/>
    <mergeCell ref="AU185:AY185"/>
    <mergeCell ref="AZ185:BD185"/>
    <mergeCell ref="A186:F186"/>
    <mergeCell ref="G186:S186"/>
    <mergeCell ref="T186:Z186"/>
    <mergeCell ref="AA186:AE186"/>
    <mergeCell ref="AF186:AJ186"/>
    <mergeCell ref="AK186:AO186"/>
    <mergeCell ref="A185:F185"/>
    <mergeCell ref="G185:S185"/>
    <mergeCell ref="T185:Z185"/>
    <mergeCell ref="AA185:AE185"/>
    <mergeCell ref="AF185:AJ185"/>
    <mergeCell ref="AK206:AP206"/>
    <mergeCell ref="AQ206:AV206"/>
    <mergeCell ref="AW206:BA206"/>
    <mergeCell ref="BB206:BF206"/>
    <mergeCell ref="AQ202:AV203"/>
    <mergeCell ref="A226:F226"/>
    <mergeCell ref="G226:S226"/>
    <mergeCell ref="T226:Y226"/>
    <mergeCell ref="Z226:AD226"/>
    <mergeCell ref="AE226:AJ226"/>
    <mergeCell ref="AX217:BB217"/>
    <mergeCell ref="BC217:BG217"/>
    <mergeCell ref="BH217:BL217"/>
    <mergeCell ref="A217:F217"/>
    <mergeCell ref="G217:P217"/>
    <mergeCell ref="Q217:U217"/>
    <mergeCell ref="V217:Y217"/>
    <mergeCell ref="Z217:AD217"/>
    <mergeCell ref="AE217:AI217"/>
    <mergeCell ref="AJ217:AN217"/>
    <mergeCell ref="AO217:AS217"/>
    <mergeCell ref="AT217:AW217"/>
    <mergeCell ref="BE221:BL222"/>
    <mergeCell ref="A223:F223"/>
    <mergeCell ref="G223:S223"/>
    <mergeCell ref="T223:Y223"/>
    <mergeCell ref="Z223:AD223"/>
    <mergeCell ref="AE223:AJ223"/>
    <mergeCell ref="AK223:AP223"/>
    <mergeCell ref="AQ223:AV223"/>
    <mergeCell ref="AW223:BD223"/>
    <mergeCell ref="BE223:BL223"/>
    <mergeCell ref="A219:BL219"/>
    <mergeCell ref="A220:BL220"/>
    <mergeCell ref="A221:F222"/>
    <mergeCell ref="G221:S222"/>
    <mergeCell ref="T221:Y222"/>
  </mergeCells>
  <conditionalFormatting sqref="A84 A164 A93">
    <cfRule type="cellIs" dxfId="82" priority="87" stopIfTrue="1" operator="equal">
      <formula>A83</formula>
    </cfRule>
  </conditionalFormatting>
  <conditionalFormatting sqref="A102:C102 A128:C128">
    <cfRule type="cellIs" dxfId="81" priority="88" stopIfTrue="1" operator="equal">
      <formula>A101</formula>
    </cfRule>
    <cfRule type="cellIs" dxfId="80" priority="89" stopIfTrue="1" operator="equal">
      <formula>0</formula>
    </cfRule>
  </conditionalFormatting>
  <conditionalFormatting sqref="A85">
    <cfRule type="cellIs" dxfId="79" priority="86" stopIfTrue="1" operator="equal">
      <formula>A84</formula>
    </cfRule>
  </conditionalFormatting>
  <conditionalFormatting sqref="A94">
    <cfRule type="cellIs" dxfId="77" priority="84" stopIfTrue="1" operator="equal">
      <formula>A93</formula>
    </cfRule>
  </conditionalFormatting>
  <conditionalFormatting sqref="A165">
    <cfRule type="cellIs" dxfId="76" priority="2" stopIfTrue="1" operator="equal">
      <formula>A164</formula>
    </cfRule>
  </conditionalFormatting>
  <conditionalFormatting sqref="A103:C103">
    <cfRule type="cellIs" dxfId="75" priority="81" stopIfTrue="1" operator="equal">
      <formula>A102</formula>
    </cfRule>
    <cfRule type="cellIs" dxfId="74" priority="82" stopIfTrue="1" operator="equal">
      <formula>0</formula>
    </cfRule>
  </conditionalFormatting>
  <conditionalFormatting sqref="A104:C104">
    <cfRule type="cellIs" dxfId="73" priority="79" stopIfTrue="1" operator="equal">
      <formula>A103</formula>
    </cfRule>
    <cfRule type="cellIs" dxfId="72" priority="80" stopIfTrue="1" operator="equal">
      <formula>0</formula>
    </cfRule>
  </conditionalFormatting>
  <conditionalFormatting sqref="A105:C105">
    <cfRule type="cellIs" dxfId="71" priority="77" stopIfTrue="1" operator="equal">
      <formula>A104</formula>
    </cfRule>
    <cfRule type="cellIs" dxfId="70" priority="78" stopIfTrue="1" operator="equal">
      <formula>0</formula>
    </cfRule>
  </conditionalFormatting>
  <conditionalFormatting sqref="A106:C106">
    <cfRule type="cellIs" dxfId="69" priority="75" stopIfTrue="1" operator="equal">
      <formula>A105</formula>
    </cfRule>
    <cfRule type="cellIs" dxfId="68" priority="76" stopIfTrue="1" operator="equal">
      <formula>0</formula>
    </cfRule>
  </conditionalFormatting>
  <conditionalFormatting sqref="A107:C107">
    <cfRule type="cellIs" dxfId="67" priority="73" stopIfTrue="1" operator="equal">
      <formula>A106</formula>
    </cfRule>
    <cfRule type="cellIs" dxfId="66" priority="74" stopIfTrue="1" operator="equal">
      <formula>0</formula>
    </cfRule>
  </conditionalFormatting>
  <conditionalFormatting sqref="A108:C108">
    <cfRule type="cellIs" dxfId="65" priority="71" stopIfTrue="1" operator="equal">
      <formula>A107</formula>
    </cfRule>
    <cfRule type="cellIs" dxfId="64" priority="72" stopIfTrue="1" operator="equal">
      <formula>0</formula>
    </cfRule>
  </conditionalFormatting>
  <conditionalFormatting sqref="A109:C109">
    <cfRule type="cellIs" dxfId="63" priority="69" stopIfTrue="1" operator="equal">
      <formula>A108</formula>
    </cfRule>
    <cfRule type="cellIs" dxfId="62" priority="70" stopIfTrue="1" operator="equal">
      <formula>0</formula>
    </cfRule>
  </conditionalFormatting>
  <conditionalFormatting sqref="A110:C110">
    <cfRule type="cellIs" dxfId="61" priority="67" stopIfTrue="1" operator="equal">
      <formula>A109</formula>
    </cfRule>
    <cfRule type="cellIs" dxfId="60" priority="68" stopIfTrue="1" operator="equal">
      <formula>0</formula>
    </cfRule>
  </conditionalFormatting>
  <conditionalFormatting sqref="A111:C111">
    <cfRule type="cellIs" dxfId="59" priority="65" stopIfTrue="1" operator="equal">
      <formula>A110</formula>
    </cfRule>
    <cfRule type="cellIs" dxfId="58" priority="66" stopIfTrue="1" operator="equal">
      <formula>0</formula>
    </cfRule>
  </conditionalFormatting>
  <conditionalFormatting sqref="A112:C112">
    <cfRule type="cellIs" dxfId="57" priority="63" stopIfTrue="1" operator="equal">
      <formula>A111</formula>
    </cfRule>
    <cfRule type="cellIs" dxfId="56" priority="64" stopIfTrue="1" operator="equal">
      <formula>0</formula>
    </cfRule>
  </conditionalFormatting>
  <conditionalFormatting sqref="A113:C113">
    <cfRule type="cellIs" dxfId="55" priority="61" stopIfTrue="1" operator="equal">
      <formula>A112</formula>
    </cfRule>
    <cfRule type="cellIs" dxfId="54" priority="62" stopIfTrue="1" operator="equal">
      <formula>0</formula>
    </cfRule>
  </conditionalFormatting>
  <conditionalFormatting sqref="A114:C114">
    <cfRule type="cellIs" dxfId="53" priority="59" stopIfTrue="1" operator="equal">
      <formula>A113</formula>
    </cfRule>
    <cfRule type="cellIs" dxfId="52" priority="60" stopIfTrue="1" operator="equal">
      <formula>0</formula>
    </cfRule>
  </conditionalFormatting>
  <conditionalFormatting sqref="A115:C115">
    <cfRule type="cellIs" dxfId="51" priority="57" stopIfTrue="1" operator="equal">
      <formula>A114</formula>
    </cfRule>
    <cfRule type="cellIs" dxfId="50" priority="58" stopIfTrue="1" operator="equal">
      <formula>0</formula>
    </cfRule>
  </conditionalFormatting>
  <conditionalFormatting sqref="A116:C116">
    <cfRule type="cellIs" dxfId="49" priority="55" stopIfTrue="1" operator="equal">
      <formula>A115</formula>
    </cfRule>
    <cfRule type="cellIs" dxfId="48" priority="56" stopIfTrue="1" operator="equal">
      <formula>0</formula>
    </cfRule>
  </conditionalFormatting>
  <conditionalFormatting sqref="A117:C117">
    <cfRule type="cellIs" dxfId="47" priority="53" stopIfTrue="1" operator="equal">
      <formula>A116</formula>
    </cfRule>
    <cfRule type="cellIs" dxfId="46" priority="54" stopIfTrue="1" operator="equal">
      <formula>0</formula>
    </cfRule>
  </conditionalFormatting>
  <conditionalFormatting sqref="A118:C118">
    <cfRule type="cellIs" dxfId="45" priority="51" stopIfTrue="1" operator="equal">
      <formula>A117</formula>
    </cfRule>
    <cfRule type="cellIs" dxfId="44" priority="52" stopIfTrue="1" operator="equal">
      <formula>0</formula>
    </cfRule>
  </conditionalFormatting>
  <conditionalFormatting sqref="A119:C119">
    <cfRule type="cellIs" dxfId="43" priority="49" stopIfTrue="1" operator="equal">
      <formula>A118</formula>
    </cfRule>
    <cfRule type="cellIs" dxfId="42" priority="50" stopIfTrue="1" operator="equal">
      <formula>0</formula>
    </cfRule>
  </conditionalFormatting>
  <conditionalFormatting sqref="A120:C120">
    <cfRule type="cellIs" dxfId="41" priority="47" stopIfTrue="1" operator="equal">
      <formula>A119</formula>
    </cfRule>
    <cfRule type="cellIs" dxfId="40" priority="48" stopIfTrue="1" operator="equal">
      <formula>0</formula>
    </cfRule>
  </conditionalFormatting>
  <conditionalFormatting sqref="A121:C121">
    <cfRule type="cellIs" dxfId="39" priority="45" stopIfTrue="1" operator="equal">
      <formula>A120</formula>
    </cfRule>
    <cfRule type="cellIs" dxfId="38" priority="46" stopIfTrue="1" operator="equal">
      <formula>0</formula>
    </cfRule>
  </conditionalFormatting>
  <conditionalFormatting sqref="A129:C129">
    <cfRule type="cellIs" dxfId="37" priority="41" stopIfTrue="1" operator="equal">
      <formula>A128</formula>
    </cfRule>
    <cfRule type="cellIs" dxfId="36" priority="42" stopIfTrue="1" operator="equal">
      <formula>0</formula>
    </cfRule>
  </conditionalFormatting>
  <conditionalFormatting sqref="A130:C130">
    <cfRule type="cellIs" dxfId="35" priority="39" stopIfTrue="1" operator="equal">
      <formula>A129</formula>
    </cfRule>
    <cfRule type="cellIs" dxfId="34" priority="40" stopIfTrue="1" operator="equal">
      <formula>0</formula>
    </cfRule>
  </conditionalFormatting>
  <conditionalFormatting sqref="A131:C131">
    <cfRule type="cellIs" dxfId="33" priority="37" stopIfTrue="1" operator="equal">
      <formula>A130</formula>
    </cfRule>
    <cfRule type="cellIs" dxfId="32" priority="38" stopIfTrue="1" operator="equal">
      <formula>0</formula>
    </cfRule>
  </conditionalFormatting>
  <conditionalFormatting sqref="A132:C132">
    <cfRule type="cellIs" dxfId="31" priority="35" stopIfTrue="1" operator="equal">
      <formula>A131</formula>
    </cfRule>
    <cfRule type="cellIs" dxfId="30" priority="36" stopIfTrue="1" operator="equal">
      <formula>0</formula>
    </cfRule>
  </conditionalFormatting>
  <conditionalFormatting sqref="A133:C133">
    <cfRule type="cellIs" dxfId="29" priority="33" stopIfTrue="1" operator="equal">
      <formula>A132</formula>
    </cfRule>
    <cfRule type="cellIs" dxfId="28" priority="34" stopIfTrue="1" operator="equal">
      <formula>0</formula>
    </cfRule>
  </conditionalFormatting>
  <conditionalFormatting sqref="A134:C134">
    <cfRule type="cellIs" dxfId="27" priority="31" stopIfTrue="1" operator="equal">
      <formula>A133</formula>
    </cfRule>
    <cfRule type="cellIs" dxfId="26" priority="32" stopIfTrue="1" operator="equal">
      <formula>0</formula>
    </cfRule>
  </conditionalFormatting>
  <conditionalFormatting sqref="A135:C135">
    <cfRule type="cellIs" dxfId="25" priority="29" stopIfTrue="1" operator="equal">
      <formula>A134</formula>
    </cfRule>
    <cfRule type="cellIs" dxfId="24" priority="30" stopIfTrue="1" operator="equal">
      <formula>0</formula>
    </cfRule>
  </conditionalFormatting>
  <conditionalFormatting sqref="A136:C136">
    <cfRule type="cellIs" dxfId="23" priority="27" stopIfTrue="1" operator="equal">
      <formula>A135</formula>
    </cfRule>
    <cfRule type="cellIs" dxfId="22" priority="28" stopIfTrue="1" operator="equal">
      <formula>0</formula>
    </cfRule>
  </conditionalFormatting>
  <conditionalFormatting sqref="A137:C137">
    <cfRule type="cellIs" dxfId="21" priority="25" stopIfTrue="1" operator="equal">
      <formula>A136</formula>
    </cfRule>
    <cfRule type="cellIs" dxfId="20" priority="26" stopIfTrue="1" operator="equal">
      <formula>0</formula>
    </cfRule>
  </conditionalFormatting>
  <conditionalFormatting sqref="A138:C138">
    <cfRule type="cellIs" dxfId="19" priority="23" stopIfTrue="1" operator="equal">
      <formula>A137</formula>
    </cfRule>
    <cfRule type="cellIs" dxfId="18" priority="24" stopIfTrue="1" operator="equal">
      <formula>0</formula>
    </cfRule>
  </conditionalFormatting>
  <conditionalFormatting sqref="A139:C139">
    <cfRule type="cellIs" dxfId="17" priority="21" stopIfTrue="1" operator="equal">
      <formula>A138</formula>
    </cfRule>
    <cfRule type="cellIs" dxfId="16" priority="22" stopIfTrue="1" operator="equal">
      <formula>0</formula>
    </cfRule>
  </conditionalFormatting>
  <conditionalFormatting sqref="A140:C140">
    <cfRule type="cellIs" dxfId="15" priority="19" stopIfTrue="1" operator="equal">
      <formula>A139</formula>
    </cfRule>
    <cfRule type="cellIs" dxfId="14" priority="20" stopIfTrue="1" operator="equal">
      <formula>0</formula>
    </cfRule>
  </conditionalFormatting>
  <conditionalFormatting sqref="A141:C141">
    <cfRule type="cellIs" dxfId="13" priority="17" stopIfTrue="1" operator="equal">
      <formula>A140</formula>
    </cfRule>
    <cfRule type="cellIs" dxfId="12" priority="18" stopIfTrue="1" operator="equal">
      <formula>0</formula>
    </cfRule>
  </conditionalFormatting>
  <conditionalFormatting sqref="A142:C142">
    <cfRule type="cellIs" dxfId="11" priority="15" stopIfTrue="1" operator="equal">
      <formula>A141</formula>
    </cfRule>
    <cfRule type="cellIs" dxfId="10" priority="16" stopIfTrue="1" operator="equal">
      <formula>0</formula>
    </cfRule>
  </conditionalFormatting>
  <conditionalFormatting sqref="A143:C143">
    <cfRule type="cellIs" dxfId="9" priority="13" stopIfTrue="1" operator="equal">
      <formula>A142</formula>
    </cfRule>
    <cfRule type="cellIs" dxfId="8" priority="14" stopIfTrue="1" operator="equal">
      <formula>0</formula>
    </cfRule>
  </conditionalFormatting>
  <conditionalFormatting sqref="A144:C144">
    <cfRule type="cellIs" dxfId="7" priority="11" stopIfTrue="1" operator="equal">
      <formula>A143</formula>
    </cfRule>
    <cfRule type="cellIs" dxfId="6" priority="12" stopIfTrue="1" operator="equal">
      <formula>0</formula>
    </cfRule>
  </conditionalFormatting>
  <conditionalFormatting sqref="A145:C145">
    <cfRule type="cellIs" dxfId="5" priority="9" stopIfTrue="1" operator="equal">
      <formula>A144</formula>
    </cfRule>
    <cfRule type="cellIs" dxfId="4" priority="10" stopIfTrue="1" operator="equal">
      <formula>0</formula>
    </cfRule>
  </conditionalFormatting>
  <conditionalFormatting sqref="A146:C146">
    <cfRule type="cellIs" dxfId="3" priority="7" stopIfTrue="1" operator="equal">
      <formula>A145</formula>
    </cfRule>
    <cfRule type="cellIs" dxfId="2" priority="8" stopIfTrue="1" operator="equal">
      <formula>0</formula>
    </cfRule>
  </conditionalFormatting>
  <conditionalFormatting sqref="A147:C147">
    <cfRule type="cellIs" dxfId="1" priority="5" stopIfTrue="1" operator="equal">
      <formula>A146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КПК0113242</vt:lpstr>
      <vt:lpstr>'Додаток2 КПК0113242'!Область_печати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2025-01-14T12:58:10Z</cp:lastPrinted>
  <dcterms:created xsi:type="dcterms:W3CDTF">2016-07-02T12:27:50Z</dcterms:created>
  <dcterms:modified xsi:type="dcterms:W3CDTF">2025-01-14T12:58:15Z</dcterms:modified>
</cp:coreProperties>
</file>