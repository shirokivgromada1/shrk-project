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ЙТ\БЮДЖЕТНІ ЗАПИТИ на 2025 рік\"/>
    </mc:Choice>
  </mc:AlternateContent>
  <xr:revisionPtr revIDLastSave="0" documentId="13_ncr:1_{18443BB8-6F42-4C82-B29B-258F68677B9C}" xr6:coauthVersionLast="46" xr6:coauthVersionMax="46" xr10:uidLastSave="{00000000-0000-0000-0000-000000000000}"/>
  <bookViews>
    <workbookView xWindow="-120" yWindow="-120" windowWidth="29040" windowHeight="15840" tabRatio="522" activeTab="1" xr2:uid="{00000000-000D-0000-FFFF-FFFF00000000}"/>
  </bookViews>
  <sheets>
    <sheet name="Додаток1" sheetId="1" r:id="rId1"/>
    <sheet name="Додаток2 КПК0910160" sheetId="2" r:id="rId2"/>
  </sheets>
  <definedNames>
    <definedName name="_xlnm.Print_Area" localSheetId="0">Додаток1!$A$1:$BL$41</definedName>
    <definedName name="_xlnm.Print_Area" localSheetId="1">'Додаток2 КПК0910160'!$A$1:$BY$253</definedName>
  </definedNames>
  <calcPr calcId="191029"/>
</workbook>
</file>

<file path=xl/calcChain.xml><?xml version="1.0" encoding="utf-8"?>
<calcChain xmlns="http://schemas.openxmlformats.org/spreadsheetml/2006/main">
  <c r="BH225" i="2" l="1"/>
  <c r="AT225" i="2"/>
  <c r="AJ225" i="2"/>
  <c r="BH224" i="2"/>
  <c r="AT224" i="2"/>
  <c r="AJ224" i="2"/>
  <c r="BH223" i="2"/>
  <c r="AT223" i="2"/>
  <c r="AJ223" i="2"/>
  <c r="BH222" i="2"/>
  <c r="AT222" i="2"/>
  <c r="AJ222" i="2"/>
  <c r="BH221" i="2"/>
  <c r="AT221" i="2"/>
  <c r="AJ221" i="2"/>
  <c r="BH220" i="2"/>
  <c r="AT220" i="2"/>
  <c r="AJ220" i="2"/>
  <c r="BG211" i="2"/>
  <c r="AQ211" i="2"/>
  <c r="BG210" i="2"/>
  <c r="AQ210" i="2"/>
  <c r="BG209" i="2"/>
  <c r="AQ209" i="2"/>
  <c r="BG208" i="2"/>
  <c r="AQ208" i="2"/>
  <c r="BG207" i="2"/>
  <c r="AQ207" i="2"/>
  <c r="BG206" i="2"/>
  <c r="AQ206" i="2"/>
  <c r="AZ183" i="2"/>
  <c r="AK183" i="2"/>
  <c r="BO175" i="2"/>
  <c r="AZ175" i="2"/>
  <c r="AK175" i="2"/>
  <c r="BD104" i="2"/>
  <c r="AJ104" i="2"/>
  <c r="BD103" i="2"/>
  <c r="AJ103" i="2"/>
  <c r="BU95" i="2"/>
  <c r="BB95" i="2"/>
  <c r="AI95" i="2"/>
  <c r="BU94" i="2"/>
  <c r="BB94" i="2"/>
  <c r="AI94" i="2"/>
  <c r="BG84" i="2"/>
  <c r="AM84" i="2"/>
  <c r="BG76" i="2"/>
  <c r="AM76" i="2"/>
  <c r="BG75" i="2"/>
  <c r="AM75" i="2"/>
  <c r="BG74" i="2"/>
  <c r="AM74" i="2"/>
  <c r="BG73" i="2"/>
  <c r="AM73" i="2"/>
  <c r="BG72" i="2"/>
  <c r="AM72" i="2"/>
  <c r="BG71" i="2"/>
  <c r="AM71" i="2"/>
  <c r="BU63" i="2"/>
  <c r="BB63" i="2"/>
  <c r="AI63" i="2"/>
  <c r="BU55" i="2"/>
  <c r="BB55" i="2"/>
  <c r="AI55" i="2"/>
  <c r="BU54" i="2"/>
  <c r="BB54" i="2"/>
  <c r="AI54" i="2"/>
  <c r="BU53" i="2"/>
  <c r="BB53" i="2"/>
  <c r="AI53" i="2"/>
  <c r="BU52" i="2"/>
  <c r="BB52" i="2"/>
  <c r="AI52" i="2"/>
  <c r="BU51" i="2"/>
  <c r="BB51" i="2"/>
  <c r="AI51" i="2"/>
  <c r="BU50" i="2"/>
  <c r="BB50" i="2"/>
  <c r="AI50" i="2"/>
  <c r="BG40" i="2"/>
  <c r="AM40" i="2"/>
  <c r="BG39" i="2"/>
  <c r="AM39" i="2"/>
  <c r="BU31" i="2"/>
  <c r="BB31" i="2"/>
  <c r="AI31" i="2"/>
  <c r="BU30" i="2"/>
  <c r="BB30" i="2"/>
  <c r="AI30" i="2"/>
</calcChain>
</file>

<file path=xl/sharedStrings.xml><?xml version="1.0" encoding="utf-8"?>
<sst xmlns="http://schemas.openxmlformats.org/spreadsheetml/2006/main" count="821" uniqueCount="307">
  <si>
    <t xml:space="preserve">                (найменування головного розпорядника коштів місцевого бюджету)                        </t>
  </si>
  <si>
    <t/>
  </si>
  <si>
    <t xml:space="preserve"> (підпис)</t>
  </si>
  <si>
    <t>Одиниця виміру</t>
  </si>
  <si>
    <t>kpk</t>
  </si>
  <si>
    <t>kpk_name</t>
  </si>
  <si>
    <t>p1.3</t>
  </si>
  <si>
    <t>s1.3</t>
  </si>
  <si>
    <t>p1.4</t>
  </si>
  <si>
    <t>s1.4</t>
  </si>
  <si>
    <t>y1</t>
  </si>
  <si>
    <t>y2</t>
  </si>
  <si>
    <t>y3</t>
  </si>
  <si>
    <t>y4</t>
  </si>
  <si>
    <t>y5</t>
  </si>
  <si>
    <t>od_vim</t>
  </si>
  <si>
    <t>Код Функціональної класифікації видатків та кредитування бюджету</t>
  </si>
  <si>
    <t>kfk</t>
  </si>
  <si>
    <t>УСЬОГО</t>
  </si>
  <si>
    <t>2. Мета діяльності головного розпорядника коштів місцевого бюджету.</t>
  </si>
  <si>
    <t>3. Цілі державної політики у відповідній сфері діяльності, формування та/або реалізацію якої забезпечує головний розпорядник коштів місцевого бюджету, і показники їх досягнення</t>
  </si>
  <si>
    <t>Код Типової програмної класифікації видатків та кредитування місцевого бюджету</t>
  </si>
  <si>
    <t>Найменування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</si>
  <si>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Номер цілі державної політики</t>
  </si>
  <si>
    <t>(код за ЄДРПОУ)</t>
  </si>
  <si>
    <t>(код бюджету)</t>
  </si>
  <si>
    <t>1.</t>
  </si>
  <si>
    <t>p1.2</t>
  </si>
  <si>
    <t>s1.2</t>
  </si>
  <si>
    <t>ktkvmb</t>
  </si>
  <si>
    <t>Найменування показника результату</t>
  </si>
  <si>
    <t>name_cil_rez</t>
  </si>
  <si>
    <t xml:space="preserve"> (ініціали та прізвище)</t>
  </si>
  <si>
    <t>(код Типової відомчої класифікації видатків та кредитування місцевого бюджету)</t>
  </si>
  <si>
    <t>Код Програмної класифікації видатків та кредитування місцевого бюджету</t>
  </si>
  <si>
    <t>pp</t>
  </si>
  <si>
    <t>ЗАТВЕРДЖЕНО
Наказ Міністерства фінансів України
17 липня 2015 року № 648</t>
  </si>
  <si>
    <t>Ціль державної політики № 1 - Забезпечення ефективного соціального захисту дітей, обліку дітей, які опинились у складних життєвих обставинах, дітей-сиріт та дітей позбавлених батьківського піклування, усиновлених, влаштованих до прийомних сімей, дитячих будинків сімейного типу</t>
  </si>
  <si>
    <t>A15:BL15</t>
  </si>
  <si>
    <t>кількість виконаних листів, звернень, заяв, скарг на одного працівника</t>
  </si>
  <si>
    <t>од.</t>
  </si>
  <si>
    <t>витрати на утримання однією штатної одиниці</t>
  </si>
  <si>
    <t>грн.</t>
  </si>
  <si>
    <t>0910000</t>
  </si>
  <si>
    <t>Служба (відділ) у справах дітей Широківської сільської ради Запорізького району Запорізької області</t>
  </si>
  <si>
    <t>0910160</t>
  </si>
  <si>
    <t>Керівництво і управління у відповідній сфері у містах (місті Києві), селищах, селах, територіальних громадах</t>
  </si>
  <si>
    <t>0111</t>
  </si>
  <si>
    <t xml:space="preserve"> </t>
  </si>
  <si>
    <t>Забезпечення ефективого соціального захисту дітей, обліку дітей, які опинились у складних життєвих обставинах, дітей-сиріт та дітей позбавлених батьківського піклування, усиновлених, влаштованих до прийомних сімей, дитячих будинків сімейного типу</t>
  </si>
  <si>
    <t>(0)(9)</t>
  </si>
  <si>
    <t>В. В. Рак</t>
  </si>
  <si>
    <t>Н. Б. Стукалова</t>
  </si>
  <si>
    <t>44993001</t>
  </si>
  <si>
    <t>0852300000</t>
  </si>
  <si>
    <t>(грн)</t>
  </si>
  <si>
    <t>2023 рік (звіт)</t>
  </si>
  <si>
    <t>2024 рік (затверджено)</t>
  </si>
  <si>
    <t>2025 рік (проект)</t>
  </si>
  <si>
    <t>2026 рік (прогноз)</t>
  </si>
  <si>
    <t>БЮДЖЕТНИЙ ЗАПИТ НА 2025-2027  РОКИ загальний (Форма 2025-1)</t>
  </si>
  <si>
    <t>2027 рік (прогноз)</t>
  </si>
  <si>
    <t>4. Розподіл граничних показників видатків бюджету та надання кредитів з бюджету загального фонду місцевого бюджету на 2023 - 2027 роки за бюджетними програмами:</t>
  </si>
  <si>
    <t>5. Розподіл граничних показників видатків бюджету та надання кредитів з бюджету спеціального фонду місцевого бюджету на 2023 - 2027 роки за бюджетними програмами:</t>
  </si>
  <si>
    <t xml:space="preserve">Начальник Служби (відділу) у справах дітей Широківської сільської ради Запорізького району Запорізької області </t>
  </si>
  <si>
    <t>Головний спеціаліст Служби (відділу) у справах дітей Широківської сільської ради Запорізького району Запорізької області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</si>
  <si>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</si>
  <si>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БЮДЖЕТНИЙ ЗАПИТ НА 2025-2027 РОКИ індивідуальний (Форма 2025-2)</t>
  </si>
  <si>
    <t>2.</t>
  </si>
  <si>
    <t>(0)(9)(1)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</si>
  <si>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</si>
  <si>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</si>
  <si>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</si>
  <si>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(0)(9)(1)(0)(1)(6)(0)</t>
  </si>
  <si>
    <t>(0)(1)(6)(0)</t>
  </si>
  <si>
    <t>(0)(1)(1)(1)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</si>
  <si>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</si>
  <si>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</si>
  <si>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</si>
  <si>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</si>
  <si>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4. Мета та завдання бюджетної програми на 2025 - 2027 роки</t>
  </si>
  <si>
    <t>1) мета бюджетної програми, строки її реалізації;</t>
  </si>
  <si>
    <t>Керівництво і управління у сфері соціального захисту дітей-дітей, позбавлених батьківсього піклування та дітей, які опинилися у складних  життєвих обставинах</t>
  </si>
  <si>
    <t xml:space="preserve">2) завдання бюджетної програми; </t>
  </si>
  <si>
    <t xml:space="preserve">Забезпечення Службою (відділом) у справах дітей Широківської сільської ради Запорізького району Запорізької області наданих законодавством повноважень у сфері служби у справах дітей; _x000D_
; _x000D_
</t>
  </si>
  <si>
    <t>3) підстави реалізації бюджетної програми.</t>
  </si>
  <si>
    <t>Бюджетний кодекс України від 08.07.2010 №2456-VI; Закон України "Про місцеве самоврядування в Україні" від 21.05.1997 №280/97-15ВР (із змінами та доповненнями); Закон України "Про службу в органах місцевого самоврядування" від 07.06.2001 №2493-III; Наказ Міністерства фінансів України "Про деякі питання запровадження програмно-цільового методу складання місцевих бюджетів"; 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Службу (відділ) у справах дітей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02.05.2023 №7; Постанова Кабінету Міністрів України "Питання діяльності органів опіки та піклування, пов'язаної із захистом прав дитини" від 24.09.2008 №866 Київ (із змінами).</t>
  </si>
  <si>
    <t>5. Надходження для виконання бюджетної програми:</t>
  </si>
  <si>
    <t>1) надходження для виконання бюджетної програми у 2023 - 2025 роках:</t>
  </si>
  <si>
    <t>Код</t>
  </si>
  <si>
    <t>Найменування</t>
  </si>
  <si>
    <t>загальний фонд</t>
  </si>
  <si>
    <t>спеціальний фонд</t>
  </si>
  <si>
    <t>у тому числі бюджет розвитку</t>
  </si>
  <si>
    <t xml:space="preserve">разом (3+4) </t>
  </si>
  <si>
    <t xml:space="preserve">разом (7+8) </t>
  </si>
  <si>
    <t xml:space="preserve">разом (11+12) </t>
  </si>
  <si>
    <t>dcode</t>
  </si>
  <si>
    <t>name</t>
  </si>
  <si>
    <t>z1</t>
  </si>
  <si>
    <t>s1</t>
  </si>
  <si>
    <t>br1</t>
  </si>
  <si>
    <t>formula=IF(ISNUMBER(RC[-14]),RC[-14],0)+IF(ISNUMBER(RC[-9]),RC[-9],0)</t>
  </si>
  <si>
    <t>z2</t>
  </si>
  <si>
    <t>s2</t>
  </si>
  <si>
    <t>br2</t>
  </si>
  <si>
    <t>z3</t>
  </si>
  <si>
    <t>s3</t>
  </si>
  <si>
    <t>br3</t>
  </si>
  <si>
    <t>p2.5.1</t>
  </si>
  <si>
    <t>Надходження із загального фонду бюджету</t>
  </si>
  <si>
    <t>X</t>
  </si>
  <si>
    <t>s2.5.1</t>
  </si>
  <si>
    <t>2) надходження для виконання бюджетної програми  у 2026 - 2027 роках:</t>
  </si>
  <si>
    <t>z4</t>
  </si>
  <si>
    <t>s4</t>
  </si>
  <si>
    <t>br4</t>
  </si>
  <si>
    <t>formula=IF(ISNUMBER(RC[-15]),RC[-15],0)+IF(ISNUMBER(RC[-10]),RC[-10],0)</t>
  </si>
  <si>
    <t>z5</t>
  </si>
  <si>
    <t>s5</t>
  </si>
  <si>
    <t>br5</t>
  </si>
  <si>
    <t>p2.5.2</t>
  </si>
  <si>
    <t>s2.5.2</t>
  </si>
  <si>
    <t>6. Витрати за кодами Економічної класифікації видатків / Класифікації кредитування бюджету:</t>
  </si>
  <si>
    <t>1) видатки за кодами Економічної класифікації видатків бюджету у 2023 - 2025 роках:</t>
  </si>
  <si>
    <t>Код Економічної класифікації видатків бюджету</t>
  </si>
  <si>
    <t>ecode</t>
  </si>
  <si>
    <t>p2.6.1</t>
  </si>
  <si>
    <t>Заробітна плата</t>
  </si>
  <si>
    <t>s2.6.1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</si>
  <si>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</si>
  <si>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</si>
  <si>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</si>
  <si>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</si>
  <si>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2) надання кредитів за кодами Класифікації кредитування бюджету у 2023 - 2025 роках:</t>
  </si>
  <si>
    <t>Код Класифікації кредитування бюджету</t>
  </si>
  <si>
    <t>p2.6.2</t>
  </si>
  <si>
    <t>s2.6.2</t>
  </si>
  <si>
    <t>3) видатки за кодами Економічної класифікації видатків бюджету у 2026 - 2027 роках:</t>
  </si>
  <si>
    <t>p2.6.3</t>
  </si>
  <si>
    <t>s2.6.3</t>
  </si>
  <si>
    <t>4) надання кредитів за кодами Класифікації кредитування бюджету у 2026 - 2027 роках:</t>
  </si>
  <si>
    <t>p2.6.4</t>
  </si>
  <si>
    <t>s2.6.4</t>
  </si>
  <si>
    <t>7. Витрати за напрямами використання бюджетних коштів:</t>
  </si>
  <si>
    <t>1) витрати за напрямами використання бюджетних коштів у 2023 - 2025 роках:</t>
  </si>
  <si>
    <t>№ з/п</t>
  </si>
  <si>
    <t>Напрями використання бюджетних коштів</t>
  </si>
  <si>
    <t>npp</t>
  </si>
  <si>
    <t>p2.7.1</t>
  </si>
  <si>
    <t>Здійснення Службою (відділом) у справах дітей Широківської сільської ради Запорізького району Запорізької області наданих законодавством повноважень у сфері соціального захисту дітей-сиріт, дітей, позбавлених батьківського піклування та дітей, які опинили</t>
  </si>
  <si>
    <t>s2.7.1</t>
  </si>
  <si>
    <t>2) витрати за напрямами використання бюджетних коштів у 2026 - 2027 роках:</t>
  </si>
  <si>
    <t xml:space="preserve">  </t>
  </si>
  <si>
    <t>p2.7.2</t>
  </si>
  <si>
    <t>s2.7.2</t>
  </si>
  <si>
    <t>8. Результативні показники бюджетної програми:</t>
  </si>
  <si>
    <t>1) результативні показники бюджетної програми у 2023 - 2025 роках:</t>
  </si>
  <si>
    <t>Показники</t>
  </si>
  <si>
    <t>Джерело інформації</t>
  </si>
  <si>
    <t xml:space="preserve">разом (5+6) </t>
  </si>
  <si>
    <t xml:space="preserve">разом (8+9) </t>
  </si>
  <si>
    <t>zp</t>
  </si>
  <si>
    <t>dger_inf</t>
  </si>
  <si>
    <t>zp1</t>
  </si>
  <si>
    <t>sp1</t>
  </si>
  <si>
    <t xml:space="preserve">formula=RC[-16]+RC[-8]                          </t>
  </si>
  <si>
    <t>zp2</t>
  </si>
  <si>
    <t>sp2</t>
  </si>
  <si>
    <t>zp3</t>
  </si>
  <si>
    <t>sp3</t>
  </si>
  <si>
    <t>p2.8.1</t>
  </si>
  <si>
    <t>затрат</t>
  </si>
  <si>
    <t>s2.8.1</t>
  </si>
  <si>
    <t>кількість штатних одиниць</t>
  </si>
  <si>
    <t>штатний розпис</t>
  </si>
  <si>
    <t>продукту</t>
  </si>
  <si>
    <t>кількість отриманих листів, звернень, заяв, скарг</t>
  </si>
  <si>
    <t>журнал вхідної кореспонденції</t>
  </si>
  <si>
    <t>ефективності</t>
  </si>
  <si>
    <t>розрахунковий показник</t>
  </si>
  <si>
    <t>витрати на утримання однієї штатної одиниці</t>
  </si>
  <si>
    <t>якості</t>
  </si>
  <si>
    <t>кількість своєчасно виконаних листів, звернень, заяв, скарг</t>
  </si>
  <si>
    <t>відс.</t>
  </si>
  <si>
    <t>звітність</t>
  </si>
  <si>
    <t>2) результативні показники бюджетної програми у 2026 - 2027 роках:</t>
  </si>
  <si>
    <t>zp4</t>
  </si>
  <si>
    <t>sp4</t>
  </si>
  <si>
    <t>zp5</t>
  </si>
  <si>
    <t>sp5</t>
  </si>
  <si>
    <t>p2.8.2</t>
  </si>
  <si>
    <t>s2.8.2</t>
  </si>
  <si>
    <t>9. Структура видатків на оплату праці:</t>
  </si>
  <si>
    <t>p2.9</t>
  </si>
  <si>
    <t>Обов’язкові виплати, у тому числі:</t>
  </si>
  <si>
    <t>s2.9</t>
  </si>
  <si>
    <t>посадовий оклад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</si>
  <si>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</si>
  <si>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</si>
  <si>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</si>
  <si>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</si>
  <si>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на соціально-побутові потреби</t>
  </si>
  <si>
    <t>Інші виплати</t>
  </si>
  <si>
    <t>у тому числі оплата праці  штатних одиниць за загальним фондом, що враховані також у спеціальному фонді</t>
  </si>
  <si>
    <t>10. Чисельність зайнятих у бюджетних установах:</t>
  </si>
  <si>
    <t>Категорії працівників</t>
  </si>
  <si>
    <t>2024 рік (план)</t>
  </si>
  <si>
    <t>2025 рік</t>
  </si>
  <si>
    <t>2026 рік</t>
  </si>
  <si>
    <t xml:space="preserve">2027 рік </t>
  </si>
  <si>
    <t>затверджено</t>
  </si>
  <si>
    <t>фактич но зайняті</t>
  </si>
  <si>
    <t>zz1</t>
  </si>
  <si>
    <t>zf1</t>
  </si>
  <si>
    <t>sz1</t>
  </si>
  <si>
    <t>sf1</t>
  </si>
  <si>
    <t>zz2</t>
  </si>
  <si>
    <t>zf2</t>
  </si>
  <si>
    <t>sz2</t>
  </si>
  <si>
    <t>sf2</t>
  </si>
  <si>
    <t>p2.10</t>
  </si>
  <si>
    <t>010 - Керівники</t>
  </si>
  <si>
    <t>s2.10</t>
  </si>
  <si>
    <t>030 - Спеціалісти</t>
  </si>
  <si>
    <t>УСЬОГО штатних одиниць</t>
  </si>
  <si>
    <t>з них штатні одиниці за загальним фондом, що враховані також у спеціальному фонді</t>
  </si>
  <si>
    <t>11. Місцеві/регіональні програми, які виконуються в межах бюджетної програми:</t>
  </si>
  <si>
    <t>1) місцеві/регіональні програми, які виконуються в межах бюджетної програми у 2023 - 2025 роках:</t>
  </si>
  <si>
    <t>Найменування місцевої/ регіональної програми</t>
  </si>
  <si>
    <t>Коли та яким документом затверджена</t>
  </si>
  <si>
    <t xml:space="preserve">разом (4+5) </t>
  </si>
  <si>
    <t xml:space="preserve">разом (10+11) </t>
  </si>
  <si>
    <t>pidstava</t>
  </si>
  <si>
    <t>formula=IF(ISNUMBER(RC[-10]),RC[-10],0)+IF(ISNUMBER(RC[-5]),RC[-5],0)</t>
  </si>
  <si>
    <t>p2.11.1</t>
  </si>
  <si>
    <t>s2.11.1</t>
  </si>
  <si>
    <t>2) місцеві/регіональні програми, які виконуються в межах бюджетної програми у 2026 - 2027 роках:</t>
  </si>
  <si>
    <t>p2.11.2</t>
  </si>
  <si>
    <t>s2.11.2</t>
  </si>
  <si>
    <t>12. Об’єкти, які виконуються в межах бюджетної програми за рахунок коштів бюджету розвитку у 2023 - 2027 роках: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</si>
  <si>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</si>
  <si>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</si>
  <si>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</si>
  <si>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</si>
  <si>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</si>
  <si>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invest_pr</t>
  </si>
  <si>
    <t>strok</t>
  </si>
  <si>
    <t>vartist</t>
  </si>
  <si>
    <t>p2.12.1</t>
  </si>
  <si>
    <t>s2.12.1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</si>
  <si>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</si>
  <si>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>Розрахунок видатків, затвреджених на 2024 рік забезпечує діяльність Служби (відділу) у справах дітей Широківської сільської ради Запорізького району Запорізької області  необхідними  ресурсами та надає можливість виконувати повноваження в повному обсязі. _x000D_
З метою реалізації завдань бюджетної програми необхідно продовжувати її фінансування в 2025 році для виконання визначених бюджетною програмою мети та завдань згідно до напрямків діяльності. _x000D_
На 2025 рік результативні показники обраховано відповідно до фактичних даних попереднього та поточного бюджетних періодів, очікуваного виконання в наступному році, враховуючи зміни до нормативних положень законодавства._x000D_
Програма залишається актуальною для подальшої її реалізації.</t>
  </si>
  <si>
    <t>14. Бюджетні зобов’язання у 2023 - 2025 роках:</t>
  </si>
  <si>
    <t>1) кредиторська заборгованість місцевого бюджету у 2023 році:</t>
  </si>
  <si>
    <t>Код Економічної класифікації видатків бюджету / код Класифікації кредитування бюджету</t>
  </si>
  <si>
    <t>Затверджено з урахуванням змін</t>
  </si>
  <si>
    <t>Касові видатки/ надання кредитів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</si>
  <si>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</si>
  <si>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</si>
  <si>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</si>
  <si>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Погашено кредиторську заборгованість за рахунок коштів</t>
  </si>
  <si>
    <t>Бюджетні зобов’язання (4+6)</t>
  </si>
  <si>
    <t>загального фонду</t>
  </si>
  <si>
    <t>спеціального фонду</t>
  </si>
  <si>
    <t>st1</t>
  </si>
  <si>
    <t>st2</t>
  </si>
  <si>
    <t>st3</t>
  </si>
  <si>
    <t>st4</t>
  </si>
  <si>
    <t>formula=IF(ISNUMBER(RC[-6]),RC[-6],0)-IF(ISNUMBER(RC[-12]),RC[-12],0)</t>
  </si>
  <si>
    <t>st5</t>
  </si>
  <si>
    <t>st6</t>
  </si>
  <si>
    <t>formula=IF(ISNUMBER(RC[-33]),RC[-33],0)+IF(ISNUMBER(RC[-22]),RC[-22],0)</t>
  </si>
  <si>
    <t>p2.13.1</t>
  </si>
  <si>
    <t>s2.13.1</t>
  </si>
  <si>
    <t xml:space="preserve">2) кредиторська заборгованість місцевого бюджету у 2024 - 2025 роках: </t>
  </si>
  <si>
    <t>2024 рік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</si>
  <si>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</si>
  <si>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</si>
  <si>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</si>
  <si>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</si>
  <si>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граничний обсяг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</si>
  <si>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</si>
  <si>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</si>
  <si>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formula=IF(ISNUMBER(RC[-19]),RC[-19],0)-IF(ISNUMBER(RC[-10]),RC[-10],0)</t>
  </si>
  <si>
    <t>formula=IF(ISNUMBER(RC[-24]),RC[-24],0)-IF(ISNUMBER(RC[-20]),RC[-20],0)-IF(ISNUMBER(RC[-15]),RC[-15],0)</t>
  </si>
  <si>
    <t>st7</t>
  </si>
  <si>
    <t>p2.13.2</t>
  </si>
  <si>
    <t>s2.13.2</t>
  </si>
  <si>
    <t>3) дебіторська заборгованість у 2023 - 2024 роках:</t>
  </si>
  <si>
    <t>Дебіторська заборгованість на 01.01.2023</t>
  </si>
  <si>
    <t>Дебіторська заборгованість на 01.01.2024</t>
  </si>
  <si>
    <t>Очікувана дебіторська заборгованость  на 01.01.2025</t>
  </si>
  <si>
    <t>Причини виникнення заборгованості</t>
  </si>
  <si>
    <t>Вжиті заходи щодо погашення заборгованості</t>
  </si>
  <si>
    <t>prich</t>
  </si>
  <si>
    <t>zahodi</t>
  </si>
  <si>
    <t>p2.13.3</t>
  </si>
  <si>
    <t>s2.13.3</t>
  </si>
  <si>
    <t>4) аналіз управління бюджетними зобов'язаннями та пропозиції щодо упорядкування бюджетних зобов'язань у 2024 році.</t>
  </si>
  <si>
    <t>Станом на 01.01.2024  кредиторська заборгованість відсутня._x000D_
Відповідно до положень статті 48 Бюджетного кодексу України із змінами Службою (відділом)  у справах дітей Широківської сільської ради Запорізького району Запорізької області реєструються бюджетні зобов'язання та здійснюються платежі тільки в межах бюджетних асигнувань, затверджених кошторисом на 2024 рік. Бюджетні зобов'язання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</si>
  <si>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</si>
  <si>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внаслідок використання коштів спеціального фонду бюджету у 2023 році, та очікувані результати у 2024 році.</t>
  </si>
  <si>
    <t>Начальник Служби (відділу) у справах дітей Штроківської сільської ради Запорізького району Запорізької області</t>
  </si>
  <si>
    <t>Рак В. В.</t>
  </si>
  <si>
    <t>(прізвище та ініціали)</t>
  </si>
  <si>
    <t>Стукалова Н. 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</si>
</sst>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sz val="9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1"/>
      <name val="Times New Roman CYR"/>
      <family val="1"/>
      <charset val="204"/>
    </font>
    <font>
      <sz val="8"/>
      <name val="Times New Roman"/>
      <family val="1"/>
    </font>
    <font>
      <sz val="10"/>
      <color indexed="9"/>
      <name val="Arial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14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2" fillId="0" borderId="5" xfId="0" quotePrefix="1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0" borderId="5" xfId="0" quotePrefix="1" applyFont="1" applyBorder="1" applyAlignment="1">
      <alignment horizontal="left" vertical="top" wrapText="1"/>
    </xf>
    <xf numFmtId="164" fontId="1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1" fillId="0" borderId="5" xfId="0" quotePrefix="1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10" fillId="0" borderId="5" xfId="0" quotePrefix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top" wrapText="1"/>
    </xf>
    <xf numFmtId="3" fontId="4" fillId="0" borderId="4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3" fontId="0" fillId="0" borderId="1" xfId="0" applyNumberFormat="1" applyBorder="1" applyAlignment="1">
      <alignment horizontal="center" vertical="top" wrapText="1"/>
    </xf>
    <xf numFmtId="3" fontId="0" fillId="0" borderId="2" xfId="0" applyNumberFormat="1" applyBorder="1" applyAlignment="1">
      <alignment horizontal="center" vertical="top" wrapText="1"/>
    </xf>
    <xf numFmtId="3" fontId="0" fillId="0" borderId="3" xfId="0" applyNumberFormat="1" applyBorder="1" applyAlignment="1">
      <alignment horizontal="center" vertical="top" wrapText="1"/>
    </xf>
    <xf numFmtId="3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quotePrefix="1" applyBorder="1" applyAlignment="1">
      <alignment horizontal="center" vertical="top" wrapText="1"/>
    </xf>
    <xf numFmtId="0" fontId="0" fillId="0" borderId="4" xfId="0" quotePrefix="1" applyBorder="1" applyAlignment="1">
      <alignment horizontal="center" vertical="top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" fillId="0" borderId="0" xfId="0" applyFont="1"/>
    <xf numFmtId="0" fontId="10" fillId="0" borderId="5" xfId="0" quotePrefix="1" applyFont="1" applyBorder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4" xfId="0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3" fontId="4" fillId="0" borderId="4" xfId="0" applyNumberFormat="1" applyFont="1" applyBorder="1" applyAlignment="1">
      <alignment horizontal="right" vertical="center" wrapText="1"/>
    </xf>
    <xf numFmtId="3" fontId="0" fillId="0" borderId="4" xfId="0" applyNumberFormat="1" applyBorder="1" applyAlignment="1">
      <alignment horizontal="righ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CB42"/>
  <sheetViews>
    <sheetView topLeftCell="A22" zoomScaleNormal="100" workbookViewId="0">
      <selection activeCell="AE44" sqref="AE44"/>
    </sheetView>
  </sheetViews>
  <sheetFormatPr defaultRowHeight="12.75" x14ac:dyDescent="0.2"/>
  <cols>
    <col min="1" max="64" width="2.85546875" customWidth="1"/>
    <col min="79" max="79" width="4.140625" hidden="1" customWidth="1"/>
  </cols>
  <sheetData>
    <row r="1" spans="1:80" ht="34.5" customHeight="1" x14ac:dyDescent="0.2">
      <c r="BA1" s="28" t="s">
        <v>36</v>
      </c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</row>
    <row r="2" spans="1:80" x14ac:dyDescent="0.2">
      <c r="BA2" s="8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</row>
    <row r="3" spans="1:80" ht="14.25" customHeight="1" x14ac:dyDescent="0.2">
      <c r="A3" s="32" t="s">
        <v>60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</row>
    <row r="5" spans="1:80" ht="28.5" customHeight="1" x14ac:dyDescent="0.2">
      <c r="A5" s="7" t="s">
        <v>26</v>
      </c>
      <c r="B5" s="35" t="s">
        <v>44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6"/>
      <c r="AH5" s="40" t="s">
        <v>50</v>
      </c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6"/>
      <c r="AT5" s="6"/>
      <c r="AU5" s="39" t="s">
        <v>53</v>
      </c>
      <c r="AV5" s="40"/>
      <c r="AW5" s="40"/>
      <c r="AX5" s="40"/>
      <c r="AY5" s="40"/>
      <c r="AZ5" s="40"/>
      <c r="BA5" s="40"/>
      <c r="BB5" s="40"/>
      <c r="BC5" s="6"/>
      <c r="BD5" s="6"/>
      <c r="BE5" s="39" t="s">
        <v>54</v>
      </c>
      <c r="BF5" s="40"/>
      <c r="BG5" s="40"/>
      <c r="BH5" s="40"/>
      <c r="BI5" s="40"/>
      <c r="BJ5" s="40"/>
      <c r="BK5" s="40"/>
      <c r="BL5" s="40"/>
    </row>
    <row r="6" spans="1:80" s="5" customFormat="1" ht="24.75" customHeight="1" x14ac:dyDescent="0.2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4"/>
      <c r="AH6" s="34" t="s">
        <v>33</v>
      </c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4"/>
      <c r="AT6" s="4"/>
      <c r="AU6" s="34" t="s">
        <v>24</v>
      </c>
      <c r="AV6" s="34"/>
      <c r="AW6" s="34"/>
      <c r="AX6" s="34"/>
      <c r="AY6" s="34"/>
      <c r="AZ6" s="34"/>
      <c r="BA6" s="34"/>
      <c r="BB6" s="34"/>
      <c r="BC6" s="4"/>
      <c r="BD6" s="4"/>
      <c r="BE6" s="34" t="s">
        <v>25</v>
      </c>
      <c r="BF6" s="34"/>
      <c r="BG6" s="34"/>
      <c r="BH6" s="34"/>
      <c r="BI6" s="34"/>
      <c r="BJ6" s="34"/>
      <c r="BK6" s="34"/>
      <c r="BL6" s="34"/>
    </row>
    <row r="7" spans="1:80" ht="15" customHeight="1" x14ac:dyDescent="0.2"/>
    <row r="8" spans="1:80" ht="14.25" customHeight="1" x14ac:dyDescent="0.2">
      <c r="A8" s="31" t="s">
        <v>19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</row>
    <row r="9" spans="1:80" ht="30" customHeight="1" x14ac:dyDescent="0.2">
      <c r="A9" s="33" t="s">
        <v>49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spans="1:80" x14ac:dyDescent="0.2">
      <c r="A10" s="36" t="s">
        <v>20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</row>
    <row r="11" spans="1:80" ht="15" customHeight="1" x14ac:dyDescent="0.2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</row>
    <row r="12" spans="1:80" ht="37.5" customHeight="1" x14ac:dyDescent="0.2">
      <c r="A12" s="45" t="s">
        <v>30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7"/>
      <c r="X12" s="45" t="s">
        <v>3</v>
      </c>
      <c r="Y12" s="46"/>
      <c r="Z12" s="46"/>
      <c r="AA12" s="46"/>
      <c r="AB12" s="46"/>
      <c r="AC12" s="46"/>
      <c r="AD12" s="46"/>
      <c r="AE12" s="46"/>
      <c r="AF12" s="46"/>
      <c r="AG12" s="46"/>
      <c r="AH12" s="47"/>
      <c r="AI12" s="37" t="s">
        <v>56</v>
      </c>
      <c r="AJ12" s="37"/>
      <c r="AK12" s="37"/>
      <c r="AL12" s="37"/>
      <c r="AM12" s="37"/>
      <c r="AN12" s="37"/>
      <c r="AO12" s="37" t="s">
        <v>57</v>
      </c>
      <c r="AP12" s="37"/>
      <c r="AQ12" s="37"/>
      <c r="AR12" s="37"/>
      <c r="AS12" s="37"/>
      <c r="AT12" s="37"/>
      <c r="AU12" s="37" t="s">
        <v>58</v>
      </c>
      <c r="AV12" s="37"/>
      <c r="AW12" s="37"/>
      <c r="AX12" s="37"/>
      <c r="AY12" s="37"/>
      <c r="AZ12" s="37"/>
      <c r="BA12" s="37" t="s">
        <v>59</v>
      </c>
      <c r="BB12" s="37"/>
      <c r="BC12" s="37"/>
      <c r="BD12" s="37"/>
      <c r="BE12" s="37"/>
      <c r="BF12" s="37"/>
      <c r="BG12" s="37" t="s">
        <v>61</v>
      </c>
      <c r="BH12" s="37"/>
      <c r="BI12" s="37"/>
      <c r="BJ12" s="37"/>
      <c r="BK12" s="37"/>
      <c r="BL12" s="37"/>
    </row>
    <row r="13" spans="1:80" ht="15" customHeight="1" x14ac:dyDescent="0.2">
      <c r="A13" s="48">
        <v>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50"/>
      <c r="X13" s="48">
        <v>2</v>
      </c>
      <c r="Y13" s="49"/>
      <c r="Z13" s="49"/>
      <c r="AA13" s="49"/>
      <c r="AB13" s="49"/>
      <c r="AC13" s="49"/>
      <c r="AD13" s="49"/>
      <c r="AE13" s="49"/>
      <c r="AF13" s="49"/>
      <c r="AG13" s="49"/>
      <c r="AH13" s="50"/>
      <c r="AI13" s="41">
        <v>3</v>
      </c>
      <c r="AJ13" s="41"/>
      <c r="AK13" s="41"/>
      <c r="AL13" s="41"/>
      <c r="AM13" s="41"/>
      <c r="AN13" s="41"/>
      <c r="AO13" s="41">
        <v>4</v>
      </c>
      <c r="AP13" s="41"/>
      <c r="AQ13" s="41"/>
      <c r="AR13" s="41"/>
      <c r="AS13" s="41"/>
      <c r="AT13" s="41"/>
      <c r="AU13" s="41">
        <v>5</v>
      </c>
      <c r="AV13" s="41"/>
      <c r="AW13" s="41"/>
      <c r="AX13" s="41"/>
      <c r="AY13" s="41"/>
      <c r="AZ13" s="41"/>
      <c r="BA13" s="41">
        <v>6</v>
      </c>
      <c r="BB13" s="41"/>
      <c r="BC13" s="41"/>
      <c r="BD13" s="41"/>
      <c r="BE13" s="41"/>
      <c r="BF13" s="41"/>
      <c r="BG13" s="41">
        <v>7</v>
      </c>
      <c r="BH13" s="41"/>
      <c r="BI13" s="41"/>
      <c r="BJ13" s="41"/>
      <c r="BK13" s="41"/>
      <c r="BL13" s="41"/>
    </row>
    <row r="14" spans="1:80" hidden="1" x14ac:dyDescent="0.2">
      <c r="A14" s="51" t="s">
        <v>31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3"/>
      <c r="X14" s="51" t="s">
        <v>15</v>
      </c>
      <c r="Y14" s="52"/>
      <c r="Z14" s="52"/>
      <c r="AA14" s="52"/>
      <c r="AB14" s="52"/>
      <c r="AC14" s="52"/>
      <c r="AD14" s="52"/>
      <c r="AE14" s="52"/>
      <c r="AF14" s="52"/>
      <c r="AG14" s="52"/>
      <c r="AH14" s="53"/>
      <c r="AI14" s="27" t="s">
        <v>10</v>
      </c>
      <c r="AJ14" s="27"/>
      <c r="AK14" s="27"/>
      <c r="AL14" s="27"/>
      <c r="AM14" s="27"/>
      <c r="AN14" s="27"/>
      <c r="AO14" s="27" t="s">
        <v>11</v>
      </c>
      <c r="AP14" s="27"/>
      <c r="AQ14" s="27"/>
      <c r="AR14" s="27"/>
      <c r="AS14" s="27"/>
      <c r="AT14" s="27"/>
      <c r="AU14" s="27" t="s">
        <v>12</v>
      </c>
      <c r="AV14" s="27"/>
      <c r="AW14" s="27"/>
      <c r="AX14" s="27"/>
      <c r="AY14" s="27"/>
      <c r="AZ14" s="27"/>
      <c r="BA14" s="27" t="s">
        <v>13</v>
      </c>
      <c r="BB14" s="27"/>
      <c r="BC14" s="27"/>
      <c r="BD14" s="27"/>
      <c r="BE14" s="27"/>
      <c r="BF14" s="27"/>
      <c r="BG14" s="27" t="s">
        <v>14</v>
      </c>
      <c r="BH14" s="27"/>
      <c r="BI14" s="27"/>
      <c r="BJ14" s="27"/>
      <c r="BK14" s="27"/>
      <c r="BL14" s="27"/>
      <c r="CA14" t="s">
        <v>27</v>
      </c>
    </row>
    <row r="15" spans="1:80" s="2" customFormat="1" ht="25.5" customHeight="1" x14ac:dyDescent="0.2">
      <c r="A15" s="44" t="s">
        <v>37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20"/>
      <c r="CA15" s="2" t="s">
        <v>28</v>
      </c>
      <c r="CB15" s="13" t="s">
        <v>38</v>
      </c>
    </row>
    <row r="16" spans="1:80" s="14" customFormat="1" ht="12.75" customHeight="1" x14ac:dyDescent="0.2">
      <c r="A16" s="56" t="s">
        <v>39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8"/>
      <c r="X16" s="56" t="s">
        <v>40</v>
      </c>
      <c r="Y16" s="57"/>
      <c r="Z16" s="57"/>
      <c r="AA16" s="57"/>
      <c r="AB16" s="57"/>
      <c r="AC16" s="57"/>
      <c r="AD16" s="57"/>
      <c r="AE16" s="57"/>
      <c r="AF16" s="57"/>
      <c r="AG16" s="57"/>
      <c r="AH16" s="58"/>
      <c r="AI16" s="59">
        <v>78</v>
      </c>
      <c r="AJ16" s="60"/>
      <c r="AK16" s="60"/>
      <c r="AL16" s="60"/>
      <c r="AM16" s="60"/>
      <c r="AN16" s="61"/>
      <c r="AO16" s="59">
        <v>117</v>
      </c>
      <c r="AP16" s="60"/>
      <c r="AQ16" s="60"/>
      <c r="AR16" s="60"/>
      <c r="AS16" s="60"/>
      <c r="AT16" s="61"/>
      <c r="AU16" s="59">
        <v>117</v>
      </c>
      <c r="AV16" s="60"/>
      <c r="AW16" s="60"/>
      <c r="AX16" s="60"/>
      <c r="AY16" s="60"/>
      <c r="AZ16" s="61"/>
      <c r="BA16" s="59">
        <v>117</v>
      </c>
      <c r="BB16" s="60"/>
      <c r="BC16" s="60"/>
      <c r="BD16" s="60"/>
      <c r="BE16" s="60"/>
      <c r="BF16" s="61"/>
      <c r="BG16" s="59">
        <v>117</v>
      </c>
      <c r="BH16" s="60"/>
      <c r="BI16" s="60"/>
      <c r="BJ16" s="60"/>
      <c r="BK16" s="60"/>
      <c r="BL16" s="61"/>
    </row>
    <row r="17" spans="1:79" s="14" customFormat="1" ht="12.75" customHeight="1" x14ac:dyDescent="0.2">
      <c r="A17" s="56" t="s">
        <v>41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8"/>
      <c r="X17" s="56" t="s">
        <v>42</v>
      </c>
      <c r="Y17" s="57"/>
      <c r="Z17" s="57"/>
      <c r="AA17" s="57"/>
      <c r="AB17" s="57"/>
      <c r="AC17" s="57"/>
      <c r="AD17" s="57"/>
      <c r="AE17" s="57"/>
      <c r="AF17" s="57"/>
      <c r="AG17" s="57"/>
      <c r="AH17" s="58"/>
      <c r="AI17" s="59">
        <v>201124</v>
      </c>
      <c r="AJ17" s="60"/>
      <c r="AK17" s="60"/>
      <c r="AL17" s="60"/>
      <c r="AM17" s="60"/>
      <c r="AN17" s="61"/>
      <c r="AO17" s="59">
        <v>390752</v>
      </c>
      <c r="AP17" s="60"/>
      <c r="AQ17" s="60"/>
      <c r="AR17" s="60"/>
      <c r="AS17" s="60"/>
      <c r="AT17" s="61"/>
      <c r="AU17" s="59">
        <v>570188</v>
      </c>
      <c r="AV17" s="60"/>
      <c r="AW17" s="60"/>
      <c r="AX17" s="60"/>
      <c r="AY17" s="60"/>
      <c r="AZ17" s="61"/>
      <c r="BA17" s="59">
        <v>570084</v>
      </c>
      <c r="BB17" s="60"/>
      <c r="BC17" s="60"/>
      <c r="BD17" s="60"/>
      <c r="BE17" s="60"/>
      <c r="BF17" s="61"/>
      <c r="BG17" s="59">
        <v>573768</v>
      </c>
      <c r="BH17" s="60"/>
      <c r="BI17" s="60"/>
      <c r="BJ17" s="60"/>
      <c r="BK17" s="60"/>
      <c r="BL17" s="61"/>
    </row>
    <row r="19" spans="1:79" x14ac:dyDescent="0.2">
      <c r="A19" s="36" t="s">
        <v>62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</row>
    <row r="20" spans="1:79" x14ac:dyDescent="0.2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</row>
    <row r="21" spans="1:79" ht="15" customHeight="1" x14ac:dyDescent="0.2">
      <c r="A21" s="30" t="s">
        <v>55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</row>
    <row r="22" spans="1:79" ht="84.75" customHeight="1" x14ac:dyDescent="0.2">
      <c r="A22" s="37" t="s">
        <v>34</v>
      </c>
      <c r="B22" s="37"/>
      <c r="C22" s="37"/>
      <c r="D22" s="37"/>
      <c r="E22" s="37"/>
      <c r="F22" s="37" t="s">
        <v>21</v>
      </c>
      <c r="G22" s="37"/>
      <c r="H22" s="37"/>
      <c r="I22" s="37"/>
      <c r="J22" s="37" t="s">
        <v>16</v>
      </c>
      <c r="K22" s="37"/>
      <c r="L22" s="37"/>
      <c r="M22" s="37"/>
      <c r="N22" s="37" t="s">
        <v>22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56</v>
      </c>
      <c r="AE22" s="37"/>
      <c r="AF22" s="37"/>
      <c r="AG22" s="37"/>
      <c r="AH22" s="37"/>
      <c r="AI22" s="37"/>
      <c r="AJ22" s="37" t="s">
        <v>57</v>
      </c>
      <c r="AK22" s="37"/>
      <c r="AL22" s="37"/>
      <c r="AM22" s="37"/>
      <c r="AN22" s="37"/>
      <c r="AO22" s="37"/>
      <c r="AP22" s="37" t="s">
        <v>58</v>
      </c>
      <c r="AQ22" s="37"/>
      <c r="AR22" s="37"/>
      <c r="AS22" s="37"/>
      <c r="AT22" s="37"/>
      <c r="AU22" s="37"/>
      <c r="AV22" s="37" t="s">
        <v>59</v>
      </c>
      <c r="AW22" s="37"/>
      <c r="AX22" s="37"/>
      <c r="AY22" s="37"/>
      <c r="AZ22" s="37"/>
      <c r="BA22" s="37"/>
      <c r="BB22" s="37" t="s">
        <v>61</v>
      </c>
      <c r="BC22" s="37"/>
      <c r="BD22" s="37"/>
      <c r="BE22" s="37"/>
      <c r="BF22" s="37"/>
      <c r="BG22" s="37"/>
      <c r="BH22" s="37" t="s">
        <v>23</v>
      </c>
      <c r="BI22" s="37"/>
      <c r="BJ22" s="37"/>
      <c r="BK22" s="37"/>
      <c r="BL22" s="37"/>
    </row>
    <row r="23" spans="1:79" ht="15" customHeight="1" x14ac:dyDescent="0.2">
      <c r="A23" s="41">
        <v>1</v>
      </c>
      <c r="B23" s="41"/>
      <c r="C23" s="41"/>
      <c r="D23" s="41"/>
      <c r="E23" s="41"/>
      <c r="F23" s="41">
        <v>2</v>
      </c>
      <c r="G23" s="41"/>
      <c r="H23" s="41"/>
      <c r="I23" s="41"/>
      <c r="J23" s="41">
        <v>3</v>
      </c>
      <c r="K23" s="41"/>
      <c r="L23" s="41"/>
      <c r="M23" s="41"/>
      <c r="N23" s="41">
        <v>4</v>
      </c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>
        <v>5</v>
      </c>
      <c r="AE23" s="41"/>
      <c r="AF23" s="41"/>
      <c r="AG23" s="41"/>
      <c r="AH23" s="41"/>
      <c r="AI23" s="41"/>
      <c r="AJ23" s="41">
        <v>6</v>
      </c>
      <c r="AK23" s="41"/>
      <c r="AL23" s="41"/>
      <c r="AM23" s="41"/>
      <c r="AN23" s="41"/>
      <c r="AO23" s="41"/>
      <c r="AP23" s="41">
        <v>7</v>
      </c>
      <c r="AQ23" s="41"/>
      <c r="AR23" s="41"/>
      <c r="AS23" s="41"/>
      <c r="AT23" s="41"/>
      <c r="AU23" s="41"/>
      <c r="AV23" s="41">
        <v>8</v>
      </c>
      <c r="AW23" s="41"/>
      <c r="AX23" s="41"/>
      <c r="AY23" s="41"/>
      <c r="AZ23" s="41"/>
      <c r="BA23" s="41"/>
      <c r="BB23" s="41">
        <v>9</v>
      </c>
      <c r="BC23" s="41"/>
      <c r="BD23" s="41"/>
      <c r="BE23" s="41"/>
      <c r="BF23" s="41"/>
      <c r="BG23" s="41"/>
      <c r="BH23" s="41">
        <v>10</v>
      </c>
      <c r="BI23" s="41"/>
      <c r="BJ23" s="41"/>
      <c r="BK23" s="41"/>
      <c r="BL23" s="41"/>
    </row>
    <row r="24" spans="1:79" ht="9.75" hidden="1" customHeight="1" x14ac:dyDescent="0.2">
      <c r="A24" s="17" t="s">
        <v>4</v>
      </c>
      <c r="B24" s="17"/>
      <c r="C24" s="17"/>
      <c r="D24" s="17"/>
      <c r="E24" s="17"/>
      <c r="F24" s="17" t="s">
        <v>29</v>
      </c>
      <c r="G24" s="17"/>
      <c r="H24" s="17"/>
      <c r="I24" s="17"/>
      <c r="J24" s="17" t="s">
        <v>17</v>
      </c>
      <c r="K24" s="17"/>
      <c r="L24" s="17"/>
      <c r="M24" s="17"/>
      <c r="N24" s="17" t="s">
        <v>5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27" t="s">
        <v>10</v>
      </c>
      <c r="AE24" s="27"/>
      <c r="AF24" s="27"/>
      <c r="AG24" s="27"/>
      <c r="AH24" s="27"/>
      <c r="AI24" s="27"/>
      <c r="AJ24" s="27" t="s">
        <v>11</v>
      </c>
      <c r="AK24" s="27"/>
      <c r="AL24" s="27"/>
      <c r="AM24" s="27"/>
      <c r="AN24" s="27"/>
      <c r="AO24" s="27"/>
      <c r="AP24" s="27" t="s">
        <v>12</v>
      </c>
      <c r="AQ24" s="27"/>
      <c r="AR24" s="27"/>
      <c r="AS24" s="27"/>
      <c r="AT24" s="27"/>
      <c r="AU24" s="27"/>
      <c r="AV24" s="27" t="s">
        <v>13</v>
      </c>
      <c r="AW24" s="27"/>
      <c r="AX24" s="27"/>
      <c r="AY24" s="27"/>
      <c r="AZ24" s="27"/>
      <c r="BA24" s="27"/>
      <c r="BB24" s="27" t="s">
        <v>14</v>
      </c>
      <c r="BC24" s="27"/>
      <c r="BD24" s="27"/>
      <c r="BE24" s="27"/>
      <c r="BF24" s="27"/>
      <c r="BG24" s="27"/>
      <c r="BH24" s="17" t="s">
        <v>35</v>
      </c>
      <c r="BI24" s="17"/>
      <c r="BJ24" s="17"/>
      <c r="BK24" s="17"/>
      <c r="BL24" s="17"/>
      <c r="CA24" t="s">
        <v>6</v>
      </c>
    </row>
    <row r="25" spans="1:79" s="3" customFormat="1" ht="38.25" customHeight="1" x14ac:dyDescent="0.2">
      <c r="A25" s="18" t="s">
        <v>43</v>
      </c>
      <c r="B25" s="19"/>
      <c r="C25" s="19"/>
      <c r="D25" s="19"/>
      <c r="E25" s="20"/>
      <c r="F25" s="21"/>
      <c r="G25" s="21"/>
      <c r="H25" s="21"/>
      <c r="I25" s="21"/>
      <c r="J25" s="42" t="s">
        <v>1</v>
      </c>
      <c r="K25" s="21"/>
      <c r="L25" s="21"/>
      <c r="M25" s="21"/>
      <c r="N25" s="44" t="s">
        <v>44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20"/>
      <c r="AD25" s="43">
        <v>603372</v>
      </c>
      <c r="AE25" s="43"/>
      <c r="AF25" s="43"/>
      <c r="AG25" s="43"/>
      <c r="AH25" s="43"/>
      <c r="AI25" s="43"/>
      <c r="AJ25" s="43">
        <v>1172257</v>
      </c>
      <c r="AK25" s="43"/>
      <c r="AL25" s="43"/>
      <c r="AM25" s="43"/>
      <c r="AN25" s="43"/>
      <c r="AO25" s="43"/>
      <c r="AP25" s="43">
        <v>1710563</v>
      </c>
      <c r="AQ25" s="43"/>
      <c r="AR25" s="43"/>
      <c r="AS25" s="43"/>
      <c r="AT25" s="43"/>
      <c r="AU25" s="43"/>
      <c r="AV25" s="43">
        <v>1716252</v>
      </c>
      <c r="AW25" s="43"/>
      <c r="AX25" s="43"/>
      <c r="AY25" s="43"/>
      <c r="AZ25" s="43"/>
      <c r="BA25" s="43"/>
      <c r="BB25" s="43">
        <v>1721305</v>
      </c>
      <c r="BC25" s="43"/>
      <c r="BD25" s="43"/>
      <c r="BE25" s="43"/>
      <c r="BF25" s="43"/>
      <c r="BG25" s="43"/>
      <c r="BH25" s="21"/>
      <c r="BI25" s="21"/>
      <c r="BJ25" s="21"/>
      <c r="BK25" s="21"/>
      <c r="BL25" s="21"/>
      <c r="CA25" s="3" t="s">
        <v>7</v>
      </c>
    </row>
    <row r="26" spans="1:79" s="14" customFormat="1" ht="38.25" customHeight="1" x14ac:dyDescent="0.2">
      <c r="A26" s="64" t="s">
        <v>45</v>
      </c>
      <c r="B26" s="57"/>
      <c r="C26" s="57"/>
      <c r="D26" s="57"/>
      <c r="E26" s="58"/>
      <c r="F26" s="63">
        <v>160</v>
      </c>
      <c r="G26" s="63"/>
      <c r="H26" s="63"/>
      <c r="I26" s="63"/>
      <c r="J26" s="65" t="s">
        <v>47</v>
      </c>
      <c r="K26" s="63"/>
      <c r="L26" s="63"/>
      <c r="M26" s="63"/>
      <c r="N26" s="56" t="s">
        <v>46</v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8"/>
      <c r="AD26" s="62">
        <v>603372</v>
      </c>
      <c r="AE26" s="62"/>
      <c r="AF26" s="62"/>
      <c r="AG26" s="62"/>
      <c r="AH26" s="62"/>
      <c r="AI26" s="62"/>
      <c r="AJ26" s="62">
        <v>1172257</v>
      </c>
      <c r="AK26" s="62"/>
      <c r="AL26" s="62"/>
      <c r="AM26" s="62"/>
      <c r="AN26" s="62"/>
      <c r="AO26" s="62"/>
      <c r="AP26" s="62">
        <v>1710563</v>
      </c>
      <c r="AQ26" s="62"/>
      <c r="AR26" s="62"/>
      <c r="AS26" s="62"/>
      <c r="AT26" s="62"/>
      <c r="AU26" s="62"/>
      <c r="AV26" s="62">
        <v>1716252</v>
      </c>
      <c r="AW26" s="62"/>
      <c r="AX26" s="62"/>
      <c r="AY26" s="62"/>
      <c r="AZ26" s="62"/>
      <c r="BA26" s="62"/>
      <c r="BB26" s="62">
        <v>1721305</v>
      </c>
      <c r="BC26" s="62"/>
      <c r="BD26" s="62"/>
      <c r="BE26" s="62"/>
      <c r="BF26" s="62"/>
      <c r="BG26" s="62"/>
      <c r="BH26" s="63"/>
      <c r="BI26" s="63"/>
      <c r="BJ26" s="63"/>
      <c r="BK26" s="63"/>
      <c r="BL26" s="63"/>
    </row>
    <row r="27" spans="1:79" s="3" customFormat="1" x14ac:dyDescent="0.2">
      <c r="A27" s="18" t="s">
        <v>48</v>
      </c>
      <c r="B27" s="19"/>
      <c r="C27" s="19"/>
      <c r="D27" s="19"/>
      <c r="E27" s="20"/>
      <c r="F27" s="21"/>
      <c r="G27" s="21"/>
      <c r="H27" s="21"/>
      <c r="I27" s="21"/>
      <c r="J27" s="42" t="s">
        <v>1</v>
      </c>
      <c r="K27" s="21"/>
      <c r="L27" s="21"/>
      <c r="M27" s="21"/>
      <c r="N27" s="44" t="s">
        <v>18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0"/>
      <c r="AD27" s="43">
        <v>603372</v>
      </c>
      <c r="AE27" s="43"/>
      <c r="AF27" s="43"/>
      <c r="AG27" s="43"/>
      <c r="AH27" s="43"/>
      <c r="AI27" s="43"/>
      <c r="AJ27" s="43">
        <v>1172257</v>
      </c>
      <c r="AK27" s="43"/>
      <c r="AL27" s="43"/>
      <c r="AM27" s="43"/>
      <c r="AN27" s="43"/>
      <c r="AO27" s="43"/>
      <c r="AP27" s="43">
        <v>1710563</v>
      </c>
      <c r="AQ27" s="43"/>
      <c r="AR27" s="43"/>
      <c r="AS27" s="43"/>
      <c r="AT27" s="43"/>
      <c r="AU27" s="43"/>
      <c r="AV27" s="43">
        <v>1716252</v>
      </c>
      <c r="AW27" s="43"/>
      <c r="AX27" s="43"/>
      <c r="AY27" s="43"/>
      <c r="AZ27" s="43"/>
      <c r="BA27" s="43"/>
      <c r="BB27" s="43">
        <v>1721305</v>
      </c>
      <c r="BC27" s="43"/>
      <c r="BD27" s="43"/>
      <c r="BE27" s="43"/>
      <c r="BF27" s="43"/>
      <c r="BG27" s="43"/>
      <c r="BH27" s="21"/>
      <c r="BI27" s="21"/>
      <c r="BJ27" s="21"/>
      <c r="BK27" s="21"/>
      <c r="BL27" s="21"/>
    </row>
    <row r="29" spans="1:79" ht="28.5" customHeight="1" x14ac:dyDescent="0.2">
      <c r="A29" s="36" t="s">
        <v>63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</row>
    <row r="30" spans="1:79" ht="15" customHeight="1" x14ac:dyDescent="0.2">
      <c r="A30" s="30" t="s">
        <v>55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</row>
    <row r="31" spans="1:79" ht="84.75" customHeight="1" x14ac:dyDescent="0.2">
      <c r="A31" s="37" t="s">
        <v>34</v>
      </c>
      <c r="B31" s="37"/>
      <c r="C31" s="37"/>
      <c r="D31" s="37"/>
      <c r="E31" s="37"/>
      <c r="F31" s="37" t="s">
        <v>21</v>
      </c>
      <c r="G31" s="37"/>
      <c r="H31" s="37"/>
      <c r="I31" s="37"/>
      <c r="J31" s="37" t="s">
        <v>16</v>
      </c>
      <c r="K31" s="37"/>
      <c r="L31" s="37"/>
      <c r="M31" s="37"/>
      <c r="N31" s="37" t="s">
        <v>22</v>
      </c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 t="s">
        <v>56</v>
      </c>
      <c r="AE31" s="37"/>
      <c r="AF31" s="37"/>
      <c r="AG31" s="37"/>
      <c r="AH31" s="37"/>
      <c r="AI31" s="37"/>
      <c r="AJ31" s="37" t="s">
        <v>57</v>
      </c>
      <c r="AK31" s="37"/>
      <c r="AL31" s="37"/>
      <c r="AM31" s="37"/>
      <c r="AN31" s="37"/>
      <c r="AO31" s="37"/>
      <c r="AP31" s="37" t="s">
        <v>58</v>
      </c>
      <c r="AQ31" s="37"/>
      <c r="AR31" s="37"/>
      <c r="AS31" s="37"/>
      <c r="AT31" s="37"/>
      <c r="AU31" s="37"/>
      <c r="AV31" s="37" t="s">
        <v>59</v>
      </c>
      <c r="AW31" s="37"/>
      <c r="AX31" s="37"/>
      <c r="AY31" s="37"/>
      <c r="AZ31" s="37"/>
      <c r="BA31" s="37"/>
      <c r="BB31" s="37" t="s">
        <v>61</v>
      </c>
      <c r="BC31" s="37"/>
      <c r="BD31" s="37"/>
      <c r="BE31" s="37"/>
      <c r="BF31" s="37"/>
      <c r="BG31" s="37"/>
      <c r="BH31" s="37" t="s">
        <v>23</v>
      </c>
      <c r="BI31" s="37"/>
      <c r="BJ31" s="37"/>
      <c r="BK31" s="37"/>
      <c r="BL31" s="37"/>
    </row>
    <row r="32" spans="1:79" ht="15" customHeight="1" x14ac:dyDescent="0.2">
      <c r="A32" s="41">
        <v>1</v>
      </c>
      <c r="B32" s="41"/>
      <c r="C32" s="41"/>
      <c r="D32" s="41"/>
      <c r="E32" s="41"/>
      <c r="F32" s="41">
        <v>2</v>
      </c>
      <c r="G32" s="41"/>
      <c r="H32" s="41"/>
      <c r="I32" s="41"/>
      <c r="J32" s="41">
        <v>3</v>
      </c>
      <c r="K32" s="41"/>
      <c r="L32" s="41"/>
      <c r="M32" s="41"/>
      <c r="N32" s="41">
        <v>4</v>
      </c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>
        <v>5</v>
      </c>
      <c r="AE32" s="41"/>
      <c r="AF32" s="41"/>
      <c r="AG32" s="41"/>
      <c r="AH32" s="41"/>
      <c r="AI32" s="41"/>
      <c r="AJ32" s="41">
        <v>6</v>
      </c>
      <c r="AK32" s="41"/>
      <c r="AL32" s="41"/>
      <c r="AM32" s="41"/>
      <c r="AN32" s="41"/>
      <c r="AO32" s="41"/>
      <c r="AP32" s="41">
        <v>7</v>
      </c>
      <c r="AQ32" s="41"/>
      <c r="AR32" s="41"/>
      <c r="AS32" s="41"/>
      <c r="AT32" s="41"/>
      <c r="AU32" s="41"/>
      <c r="AV32" s="41">
        <v>8</v>
      </c>
      <c r="AW32" s="41"/>
      <c r="AX32" s="41"/>
      <c r="AY32" s="41"/>
      <c r="AZ32" s="41"/>
      <c r="BA32" s="41"/>
      <c r="BB32" s="41">
        <v>9</v>
      </c>
      <c r="BC32" s="41"/>
      <c r="BD32" s="41"/>
      <c r="BE32" s="41"/>
      <c r="BF32" s="41"/>
      <c r="BG32" s="41"/>
      <c r="BH32" s="41">
        <v>10</v>
      </c>
      <c r="BI32" s="41"/>
      <c r="BJ32" s="41"/>
      <c r="BK32" s="41"/>
      <c r="BL32" s="41"/>
    </row>
    <row r="33" spans="1:79" ht="9.75" hidden="1" customHeight="1" x14ac:dyDescent="0.2">
      <c r="A33" s="17" t="s">
        <v>4</v>
      </c>
      <c r="B33" s="17"/>
      <c r="C33" s="17"/>
      <c r="D33" s="17"/>
      <c r="E33" s="17"/>
      <c r="F33" s="17" t="s">
        <v>29</v>
      </c>
      <c r="G33" s="17"/>
      <c r="H33" s="17"/>
      <c r="I33" s="17"/>
      <c r="J33" s="17" t="s">
        <v>17</v>
      </c>
      <c r="K33" s="17"/>
      <c r="L33" s="17"/>
      <c r="M33" s="17"/>
      <c r="N33" s="17" t="s">
        <v>5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27" t="s">
        <v>10</v>
      </c>
      <c r="AE33" s="27"/>
      <c r="AF33" s="27"/>
      <c r="AG33" s="27"/>
      <c r="AH33" s="27"/>
      <c r="AI33" s="27"/>
      <c r="AJ33" s="27" t="s">
        <v>11</v>
      </c>
      <c r="AK33" s="27"/>
      <c r="AL33" s="27"/>
      <c r="AM33" s="27"/>
      <c r="AN33" s="27"/>
      <c r="AO33" s="27"/>
      <c r="AP33" s="27" t="s">
        <v>12</v>
      </c>
      <c r="AQ33" s="27"/>
      <c r="AR33" s="27"/>
      <c r="AS33" s="27"/>
      <c r="AT33" s="27"/>
      <c r="AU33" s="27"/>
      <c r="AV33" s="27" t="s">
        <v>13</v>
      </c>
      <c r="AW33" s="27"/>
      <c r="AX33" s="27"/>
      <c r="AY33" s="27"/>
      <c r="AZ33" s="27"/>
      <c r="BA33" s="27"/>
      <c r="BB33" s="27" t="s">
        <v>14</v>
      </c>
      <c r="BC33" s="27"/>
      <c r="BD33" s="27"/>
      <c r="BE33" s="27"/>
      <c r="BF33" s="27"/>
      <c r="BG33" s="27"/>
      <c r="BH33" s="17" t="s">
        <v>35</v>
      </c>
      <c r="BI33" s="17"/>
      <c r="BJ33" s="17"/>
      <c r="BK33" s="17"/>
      <c r="BL33" s="17"/>
      <c r="CA33" t="s">
        <v>8</v>
      </c>
    </row>
    <row r="34" spans="1:79" s="3" customFormat="1" x14ac:dyDescent="0.2">
      <c r="A34" s="18" t="s">
        <v>48</v>
      </c>
      <c r="B34" s="19"/>
      <c r="C34" s="19"/>
      <c r="D34" s="19"/>
      <c r="E34" s="20"/>
      <c r="F34" s="21"/>
      <c r="G34" s="21"/>
      <c r="H34" s="21"/>
      <c r="I34" s="21"/>
      <c r="J34" s="42" t="s">
        <v>1</v>
      </c>
      <c r="K34" s="21"/>
      <c r="L34" s="21"/>
      <c r="M34" s="21"/>
      <c r="N34" s="21" t="s">
        <v>18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21"/>
      <c r="BI34" s="21"/>
      <c r="BJ34" s="21"/>
      <c r="BK34" s="21"/>
      <c r="BL34" s="21"/>
      <c r="CA34" s="3" t="s">
        <v>9</v>
      </c>
    </row>
    <row r="37" spans="1:79" ht="30.75" customHeight="1" x14ac:dyDescent="0.2">
      <c r="A37" s="24" t="s">
        <v>64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10"/>
      <c r="AC37" s="10"/>
      <c r="AD37" s="10"/>
      <c r="AE37" s="10"/>
      <c r="AF37" s="10"/>
      <c r="AG37" s="10"/>
      <c r="AH37" s="54"/>
      <c r="AI37" s="54"/>
      <c r="AJ37" s="54"/>
      <c r="AK37" s="54"/>
      <c r="AL37" s="54"/>
      <c r="AM37" s="54"/>
      <c r="AN37" s="54"/>
      <c r="AO37" s="54"/>
      <c r="AP37" s="54"/>
      <c r="AQ37" s="10"/>
      <c r="AR37" s="10"/>
      <c r="AS37" s="10"/>
      <c r="AT37" s="10"/>
      <c r="AU37" s="26" t="s">
        <v>51</v>
      </c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</row>
    <row r="38" spans="1:79" ht="12.75" customHeight="1" x14ac:dyDescent="0.2">
      <c r="AB38" s="11"/>
      <c r="AC38" s="11"/>
      <c r="AD38" s="11"/>
      <c r="AE38" s="11"/>
      <c r="AF38" s="11"/>
      <c r="AG38" s="11"/>
      <c r="AH38" s="16" t="s">
        <v>2</v>
      </c>
      <c r="AI38" s="16"/>
      <c r="AJ38" s="16"/>
      <c r="AK38" s="16"/>
      <c r="AL38" s="16"/>
      <c r="AM38" s="16"/>
      <c r="AN38" s="16"/>
      <c r="AO38" s="16"/>
      <c r="AP38" s="16"/>
      <c r="AQ38" s="11"/>
      <c r="AR38" s="11"/>
      <c r="AS38" s="11"/>
      <c r="AT38" s="11"/>
      <c r="AU38" s="16" t="s">
        <v>32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</row>
    <row r="39" spans="1:79" ht="15" x14ac:dyDescent="0.2">
      <c r="AB39" s="11"/>
      <c r="AC39" s="11"/>
      <c r="AD39" s="11"/>
      <c r="AE39" s="11"/>
      <c r="AF39" s="11"/>
      <c r="AG39" s="11"/>
      <c r="AH39" s="12"/>
      <c r="AI39" s="12"/>
      <c r="AJ39" s="12"/>
      <c r="AK39" s="12"/>
      <c r="AL39" s="12"/>
      <c r="AM39" s="12"/>
      <c r="AN39" s="12"/>
      <c r="AO39" s="12"/>
      <c r="AP39" s="12"/>
      <c r="AQ39" s="11"/>
      <c r="AR39" s="11"/>
      <c r="AS39" s="11"/>
      <c r="AT39" s="11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</row>
    <row r="40" spans="1:79" ht="33" customHeight="1" x14ac:dyDescent="0.2">
      <c r="A40" s="24" t="s">
        <v>65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11"/>
      <c r="AC40" s="11"/>
      <c r="AD40" s="11"/>
      <c r="AE40" s="11"/>
      <c r="AF40" s="11"/>
      <c r="AG40" s="11"/>
      <c r="AH40" s="55"/>
      <c r="AI40" s="55"/>
      <c r="AJ40" s="55"/>
      <c r="AK40" s="55"/>
      <c r="AL40" s="55"/>
      <c r="AM40" s="55"/>
      <c r="AN40" s="55"/>
      <c r="AO40" s="55"/>
      <c r="AP40" s="55"/>
      <c r="AQ40" s="11"/>
      <c r="AR40" s="11"/>
      <c r="AS40" s="11"/>
      <c r="AT40" s="11"/>
      <c r="AU40" s="22" t="s">
        <v>52</v>
      </c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</row>
    <row r="41" spans="1:79" ht="12" customHeight="1" x14ac:dyDescent="0.2">
      <c r="AB41" s="11"/>
      <c r="AC41" s="11"/>
      <c r="AD41" s="11"/>
      <c r="AE41" s="11"/>
      <c r="AF41" s="11"/>
      <c r="AG41" s="11"/>
      <c r="AH41" s="16" t="s">
        <v>2</v>
      </c>
      <c r="AI41" s="16"/>
      <c r="AJ41" s="16"/>
      <c r="AK41" s="16"/>
      <c r="AL41" s="16"/>
      <c r="AM41" s="16"/>
      <c r="AN41" s="16"/>
      <c r="AO41" s="16"/>
      <c r="AP41" s="16"/>
      <c r="AQ41" s="11"/>
      <c r="AR41" s="11"/>
      <c r="AS41" s="11"/>
      <c r="AT41" s="11"/>
      <c r="AU41" s="16" t="s">
        <v>32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</row>
    <row r="42" spans="1:79" x14ac:dyDescent="0.2">
      <c r="A42" s="1"/>
    </row>
  </sheetData>
  <mergeCells count="163">
    <mergeCell ref="F26:I26"/>
    <mergeCell ref="J26:M26"/>
    <mergeCell ref="N26:AC26"/>
    <mergeCell ref="AD26:AI26"/>
    <mergeCell ref="AJ26:AO26"/>
    <mergeCell ref="A14:W14"/>
    <mergeCell ref="AD32:AI32"/>
    <mergeCell ref="N33:AC33"/>
    <mergeCell ref="N34:AC34"/>
    <mergeCell ref="AD34:AI34"/>
    <mergeCell ref="A15:BL15"/>
    <mergeCell ref="AU16:AZ16"/>
    <mergeCell ref="BA16:BF16"/>
    <mergeCell ref="BG16:BL16"/>
    <mergeCell ref="A17:W17"/>
    <mergeCell ref="X17:AH17"/>
    <mergeCell ref="AI17:AN17"/>
    <mergeCell ref="AO17:AT17"/>
    <mergeCell ref="AU17:AZ17"/>
    <mergeCell ref="BA17:BF17"/>
    <mergeCell ref="BG17:BL17"/>
    <mergeCell ref="AP27:AU27"/>
    <mergeCell ref="AV27:BA27"/>
    <mergeCell ref="BB27:BG27"/>
    <mergeCell ref="BH27:BL27"/>
    <mergeCell ref="AP26:AU26"/>
    <mergeCell ref="AV26:BA26"/>
    <mergeCell ref="BB26:BG26"/>
    <mergeCell ref="BH26:BL26"/>
    <mergeCell ref="AH5:AR5"/>
    <mergeCell ref="AH6:AR6"/>
    <mergeCell ref="F25:I25"/>
    <mergeCell ref="J25:M25"/>
    <mergeCell ref="N25:AC25"/>
    <mergeCell ref="AD25:AI25"/>
    <mergeCell ref="X12:AH12"/>
    <mergeCell ref="X13:AH13"/>
    <mergeCell ref="X14:AH14"/>
    <mergeCell ref="A12:W12"/>
    <mergeCell ref="A13:W13"/>
    <mergeCell ref="AJ22:AO22"/>
    <mergeCell ref="J23:M23"/>
    <mergeCell ref="N23:AC23"/>
    <mergeCell ref="AD23:AI23"/>
    <mergeCell ref="AJ23:AO23"/>
    <mergeCell ref="AP22:AU22"/>
    <mergeCell ref="AD24:AI24"/>
    <mergeCell ref="AD22:AI22"/>
    <mergeCell ref="AP23:AU23"/>
    <mergeCell ref="A16:W16"/>
    <mergeCell ref="X16:AH16"/>
    <mergeCell ref="AI16:AN16"/>
    <mergeCell ref="AO16:AT16"/>
    <mergeCell ref="BH34:BL34"/>
    <mergeCell ref="AJ34:AO34"/>
    <mergeCell ref="BB34:BG34"/>
    <mergeCell ref="AJ33:AO33"/>
    <mergeCell ref="AP33:AU33"/>
    <mergeCell ref="AV33:BA33"/>
    <mergeCell ref="AP34:AU34"/>
    <mergeCell ref="BH32:BL32"/>
    <mergeCell ref="BH33:BL33"/>
    <mergeCell ref="BB22:BG22"/>
    <mergeCell ref="BB25:BG25"/>
    <mergeCell ref="BH22:BL22"/>
    <mergeCell ref="BB23:BG23"/>
    <mergeCell ref="AI14:AN14"/>
    <mergeCell ref="AO14:AT14"/>
    <mergeCell ref="AU14:AZ14"/>
    <mergeCell ref="BA14:BF14"/>
    <mergeCell ref="BH25:BL25"/>
    <mergeCell ref="BB24:BG24"/>
    <mergeCell ref="BH24:BL24"/>
    <mergeCell ref="AJ25:AO25"/>
    <mergeCell ref="AP25:AU25"/>
    <mergeCell ref="AV25:BA25"/>
    <mergeCell ref="AJ24:AO24"/>
    <mergeCell ref="AP24:AU24"/>
    <mergeCell ref="AV24:BA24"/>
    <mergeCell ref="AV23:BA23"/>
    <mergeCell ref="AV22:BA22"/>
    <mergeCell ref="BH23:BL23"/>
    <mergeCell ref="AD31:AI31"/>
    <mergeCell ref="AJ31:AO31"/>
    <mergeCell ref="A31:E31"/>
    <mergeCell ref="A25:E25"/>
    <mergeCell ref="F24:I24"/>
    <mergeCell ref="A32:E32"/>
    <mergeCell ref="N32:AC32"/>
    <mergeCell ref="F33:I33"/>
    <mergeCell ref="J32:M32"/>
    <mergeCell ref="J33:M33"/>
    <mergeCell ref="F32:I32"/>
    <mergeCell ref="AP32:AU32"/>
    <mergeCell ref="AV32:BA32"/>
    <mergeCell ref="BB32:BG32"/>
    <mergeCell ref="BB33:BG33"/>
    <mergeCell ref="AJ32:AO32"/>
    <mergeCell ref="A27:E27"/>
    <mergeCell ref="F27:I27"/>
    <mergeCell ref="J27:M27"/>
    <mergeCell ref="N27:AC27"/>
    <mergeCell ref="AD27:AI27"/>
    <mergeCell ref="AJ27:AO27"/>
    <mergeCell ref="A26:E26"/>
    <mergeCell ref="J24:M24"/>
    <mergeCell ref="A22:E22"/>
    <mergeCell ref="A23:E23"/>
    <mergeCell ref="N24:AC24"/>
    <mergeCell ref="F22:I22"/>
    <mergeCell ref="J22:M22"/>
    <mergeCell ref="N22:AC22"/>
    <mergeCell ref="A24:E24"/>
    <mergeCell ref="F23:I23"/>
    <mergeCell ref="A29:BL29"/>
    <mergeCell ref="A30:BL30"/>
    <mergeCell ref="BH31:BL31"/>
    <mergeCell ref="BB31:BG31"/>
    <mergeCell ref="N31:AC31"/>
    <mergeCell ref="AP31:AU31"/>
    <mergeCell ref="AV31:BA31"/>
    <mergeCell ref="J31:M31"/>
    <mergeCell ref="F31:I31"/>
    <mergeCell ref="BA1:BL1"/>
    <mergeCell ref="A21:BL21"/>
    <mergeCell ref="A8:BL8"/>
    <mergeCell ref="A3:BL3"/>
    <mergeCell ref="A9:BL9"/>
    <mergeCell ref="BE6:BL6"/>
    <mergeCell ref="B5:AF5"/>
    <mergeCell ref="A10:BL11"/>
    <mergeCell ref="AU12:AZ12"/>
    <mergeCell ref="BA12:BF12"/>
    <mergeCell ref="A6:AF6"/>
    <mergeCell ref="BE5:BL5"/>
    <mergeCell ref="BG12:BL12"/>
    <mergeCell ref="AI13:AN13"/>
    <mergeCell ref="AO13:AT13"/>
    <mergeCell ref="AU13:AZ13"/>
    <mergeCell ref="BA13:BF13"/>
    <mergeCell ref="BG13:BL13"/>
    <mergeCell ref="AI12:AN12"/>
    <mergeCell ref="AO12:AT12"/>
    <mergeCell ref="A19:BL20"/>
    <mergeCell ref="BG14:BL14"/>
    <mergeCell ref="AU5:BB5"/>
    <mergeCell ref="AU6:BB6"/>
    <mergeCell ref="AU41:BF41"/>
    <mergeCell ref="AU38:BF38"/>
    <mergeCell ref="A33:E33"/>
    <mergeCell ref="A34:E34"/>
    <mergeCell ref="F34:I34"/>
    <mergeCell ref="AU40:BF40"/>
    <mergeCell ref="A37:AA37"/>
    <mergeCell ref="AU37:BF37"/>
    <mergeCell ref="A40:AA40"/>
    <mergeCell ref="AD33:AI33"/>
    <mergeCell ref="J34:M34"/>
    <mergeCell ref="AV34:BA34"/>
    <mergeCell ref="AH37:AP37"/>
    <mergeCell ref="AH40:AP40"/>
    <mergeCell ref="AH41:AP41"/>
    <mergeCell ref="AH38:AP38"/>
  </mergeCells>
  <phoneticPr fontId="5" type="noConversion"/>
  <pageMargins left="0.31496062992125984" right="0.31496062992125984" top="0.39370078740157483" bottom="0.39370078740157483" header="0" footer="0"/>
  <pageSetup paperSize="9" scale="79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4E34-144C-4F66-91CC-32BCCEE9B352}">
  <sheetPr>
    <pageSetUpPr fitToPage="1"/>
  </sheetPr>
  <dimension ref="A1:CA254"/>
  <sheetViews>
    <sheetView tabSelected="1" topLeftCell="A224" zoomScaleNormal="100" workbookViewId="0">
      <selection activeCell="V257" sqref="V257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7" t="s">
        <v>66</v>
      </c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</row>
    <row r="2" spans="1:79" ht="14.25" customHeight="1" x14ac:dyDescent="0.2">
      <c r="A2" s="32" t="s">
        <v>67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28.5" customHeight="1" x14ac:dyDescent="0.2">
      <c r="A4" s="7" t="s">
        <v>26</v>
      </c>
      <c r="B4" s="35" t="s">
        <v>44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6"/>
      <c r="AH4" s="40" t="s">
        <v>50</v>
      </c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6"/>
      <c r="AT4" s="39" t="s">
        <v>53</v>
      </c>
      <c r="AU4" s="40"/>
      <c r="AV4" s="40"/>
      <c r="AW4" s="40"/>
      <c r="AX4" s="40"/>
      <c r="AY4" s="40"/>
      <c r="AZ4" s="40"/>
      <c r="BA4" s="40"/>
      <c r="BB4" s="68"/>
      <c r="BC4" s="6"/>
      <c r="BD4" s="6"/>
      <c r="BE4" s="69"/>
      <c r="BF4" s="69"/>
      <c r="BG4" s="69"/>
      <c r="BH4" s="69"/>
      <c r="BI4" s="69"/>
      <c r="BJ4" s="69"/>
      <c r="BK4" s="69"/>
      <c r="BL4" s="69"/>
    </row>
    <row r="5" spans="1:79" ht="24" customHeight="1" x14ac:dyDescent="0.2">
      <c r="A5" s="38" t="s">
        <v>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4"/>
      <c r="AH5" s="34" t="s">
        <v>33</v>
      </c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4"/>
      <c r="AT5" s="34" t="s">
        <v>24</v>
      </c>
      <c r="AU5" s="34"/>
      <c r="AV5" s="34"/>
      <c r="AW5" s="34"/>
      <c r="AX5" s="34"/>
      <c r="AY5" s="34"/>
      <c r="AZ5" s="34"/>
      <c r="BA5" s="34"/>
      <c r="BB5" s="70"/>
      <c r="BC5" s="4"/>
      <c r="BD5" s="4"/>
      <c r="BE5" s="70"/>
      <c r="BF5" s="70"/>
      <c r="BG5" s="70"/>
      <c r="BH5" s="70"/>
      <c r="BI5" s="70"/>
      <c r="BJ5" s="70"/>
      <c r="BK5" s="70"/>
      <c r="BL5" s="70"/>
    </row>
    <row r="6" spans="1:79" x14ac:dyDescent="0.2">
      <c r="BE6" s="71"/>
      <c r="BF6" s="71"/>
      <c r="BG6" s="71"/>
      <c r="BH6" s="71"/>
      <c r="BI6" s="71"/>
      <c r="BJ6" s="71"/>
      <c r="BK6" s="71"/>
      <c r="BL6" s="71"/>
    </row>
    <row r="7" spans="1:79" ht="28.5" customHeight="1" x14ac:dyDescent="0.2">
      <c r="A7" s="7" t="s">
        <v>68</v>
      </c>
      <c r="B7" s="35" t="s">
        <v>44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6"/>
      <c r="AH7" s="40" t="s">
        <v>69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68"/>
      <c r="BC7" s="39" t="s">
        <v>53</v>
      </c>
      <c r="BD7" s="40"/>
      <c r="BE7" s="40"/>
      <c r="BF7" s="40"/>
      <c r="BG7" s="40"/>
      <c r="BH7" s="40"/>
      <c r="BI7" s="40"/>
      <c r="BJ7" s="40"/>
      <c r="BK7" s="68"/>
      <c r="BL7" s="69"/>
      <c r="BP7" s="68"/>
      <c r="BQ7" s="68"/>
      <c r="BR7" s="68"/>
      <c r="BS7" s="68"/>
      <c r="BT7" s="68"/>
      <c r="BU7" s="68"/>
      <c r="BV7" s="68"/>
      <c r="BW7" s="68"/>
    </row>
    <row r="8" spans="1:79" ht="24" customHeight="1" x14ac:dyDescent="0.2">
      <c r="A8" s="38" t="s">
        <v>70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4"/>
      <c r="AH8" s="34" t="s">
        <v>71</v>
      </c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70"/>
      <c r="BC8" s="34" t="s">
        <v>24</v>
      </c>
      <c r="BD8" s="34"/>
      <c r="BE8" s="34"/>
      <c r="BF8" s="34"/>
      <c r="BG8" s="34"/>
      <c r="BH8" s="34"/>
      <c r="BI8" s="34"/>
      <c r="BJ8" s="34"/>
      <c r="BK8" s="70"/>
      <c r="BL8" s="70"/>
      <c r="BP8" s="70"/>
      <c r="BQ8" s="70"/>
      <c r="BR8" s="70"/>
      <c r="BS8" s="70"/>
      <c r="BT8" s="70"/>
      <c r="BU8" s="70"/>
      <c r="BV8" s="70"/>
      <c r="BW8" s="70"/>
    </row>
    <row r="10" spans="1:79" ht="28.5" customHeight="1" x14ac:dyDescent="0.2">
      <c r="A10" s="7" t="s">
        <v>72</v>
      </c>
      <c r="B10" s="40" t="s">
        <v>73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N10" s="40" t="s">
        <v>74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68"/>
      <c r="AA10" s="40" t="s">
        <v>75</v>
      </c>
      <c r="AB10" s="40"/>
      <c r="AC10" s="40"/>
      <c r="AD10" s="40"/>
      <c r="AE10" s="40"/>
      <c r="AF10" s="40"/>
      <c r="AG10" s="40"/>
      <c r="AH10" s="40"/>
      <c r="AI10" s="40"/>
      <c r="AJ10" s="68"/>
      <c r="AK10" s="72" t="s">
        <v>46</v>
      </c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73"/>
      <c r="BL10" s="39" t="s">
        <v>54</v>
      </c>
      <c r="BM10" s="40"/>
      <c r="BN10" s="40"/>
      <c r="BO10" s="40"/>
      <c r="BP10" s="40"/>
      <c r="BQ10" s="40"/>
      <c r="BR10" s="40"/>
      <c r="BS10" s="40"/>
      <c r="BT10" s="68"/>
      <c r="BU10" s="68"/>
      <c r="BV10" s="68"/>
      <c r="BW10" s="68"/>
      <c r="BX10" s="68"/>
      <c r="BY10" s="68"/>
      <c r="BZ10" s="68"/>
      <c r="CA10" s="68"/>
    </row>
    <row r="11" spans="1:79" ht="25.5" customHeight="1" x14ac:dyDescent="0.2">
      <c r="B11" s="34" t="s">
        <v>76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N11" s="34" t="s">
        <v>77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70"/>
      <c r="AA11" s="74" t="s">
        <v>78</v>
      </c>
      <c r="AB11" s="74"/>
      <c r="AC11" s="74"/>
      <c r="AD11" s="74"/>
      <c r="AE11" s="74"/>
      <c r="AF11" s="74"/>
      <c r="AG11" s="74"/>
      <c r="AH11" s="74"/>
      <c r="AI11" s="74"/>
      <c r="AJ11" s="70"/>
      <c r="AK11" s="75" t="s">
        <v>79</v>
      </c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6"/>
      <c r="BL11" s="34" t="s">
        <v>25</v>
      </c>
      <c r="BM11" s="34"/>
      <c r="BN11" s="34"/>
      <c r="BO11" s="34"/>
      <c r="BP11" s="34"/>
      <c r="BQ11" s="34"/>
      <c r="BR11" s="34"/>
      <c r="BS11" s="34"/>
      <c r="BT11" s="70"/>
      <c r="BU11" s="70"/>
      <c r="BV11" s="70"/>
      <c r="BW11" s="70"/>
      <c r="BX11" s="70"/>
      <c r="BY11" s="70"/>
      <c r="BZ11" s="70"/>
      <c r="CA11" s="70"/>
    </row>
    <row r="13" spans="1:79" ht="14.25" customHeight="1" x14ac:dyDescent="0.2">
      <c r="A13" s="77" t="s">
        <v>80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</row>
    <row r="14" spans="1:79" ht="14.25" customHeight="1" x14ac:dyDescent="0.2">
      <c r="A14" s="77" t="s">
        <v>81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</row>
    <row r="15" spans="1:79" ht="15" customHeight="1" x14ac:dyDescent="0.2">
      <c r="A15" s="33" t="s">
        <v>82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</row>
    <row r="16" spans="1:79" ht="15" customHeight="1" x14ac:dyDescent="0.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</row>
    <row r="17" spans="1:79" ht="15" customHeight="1" x14ac:dyDescent="0.25">
      <c r="A17" s="79" t="s">
        <v>83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</row>
    <row r="18" spans="1:79" ht="45" customHeight="1" x14ac:dyDescent="0.2">
      <c r="A18" s="33" t="s">
        <v>84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</row>
    <row r="19" spans="1:79" ht="15" customHeight="1" x14ac:dyDescent="0.2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</row>
    <row r="20" spans="1:79" ht="14.25" customHeight="1" x14ac:dyDescent="0.2">
      <c r="A20" s="77" t="s">
        <v>85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</row>
    <row r="21" spans="1:79" ht="75" customHeight="1" x14ac:dyDescent="0.2">
      <c r="A21" s="33" t="s">
        <v>86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</row>
    <row r="22" spans="1:79" ht="15" customHeight="1" x14ac:dyDescent="0.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</row>
    <row r="23" spans="1:79" ht="14.25" customHeight="1" x14ac:dyDescent="0.2">
      <c r="A23" s="77" t="s">
        <v>87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</row>
    <row r="24" spans="1:79" ht="14.25" customHeight="1" x14ac:dyDescent="0.2">
      <c r="A24" s="77" t="s">
        <v>88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</row>
    <row r="25" spans="1:79" ht="15" customHeight="1" x14ac:dyDescent="0.2">
      <c r="A25" s="30" t="s">
        <v>55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</row>
    <row r="26" spans="1:79" ht="23.1" customHeight="1" x14ac:dyDescent="0.2">
      <c r="A26" s="80" t="s">
        <v>89</v>
      </c>
      <c r="B26" s="81"/>
      <c r="C26" s="81"/>
      <c r="D26" s="82"/>
      <c r="E26" s="80" t="s">
        <v>90</v>
      </c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41" t="s">
        <v>56</v>
      </c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 t="s">
        <v>57</v>
      </c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 t="s">
        <v>58</v>
      </c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</row>
    <row r="27" spans="1:79" ht="54.75" customHeight="1" x14ac:dyDescent="0.2">
      <c r="A27" s="83"/>
      <c r="B27" s="84"/>
      <c r="C27" s="84"/>
      <c r="D27" s="85"/>
      <c r="E27" s="83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48" t="s">
        <v>91</v>
      </c>
      <c r="V27" s="49"/>
      <c r="W27" s="49"/>
      <c r="X27" s="49"/>
      <c r="Y27" s="50"/>
      <c r="Z27" s="48" t="s">
        <v>92</v>
      </c>
      <c r="AA27" s="49"/>
      <c r="AB27" s="49"/>
      <c r="AC27" s="49"/>
      <c r="AD27" s="50"/>
      <c r="AE27" s="86" t="s">
        <v>93</v>
      </c>
      <c r="AF27" s="87"/>
      <c r="AG27" s="87"/>
      <c r="AH27" s="88"/>
      <c r="AI27" s="48" t="s">
        <v>94</v>
      </c>
      <c r="AJ27" s="49"/>
      <c r="AK27" s="49"/>
      <c r="AL27" s="49"/>
      <c r="AM27" s="50"/>
      <c r="AN27" s="48" t="s">
        <v>91</v>
      </c>
      <c r="AO27" s="49"/>
      <c r="AP27" s="49"/>
      <c r="AQ27" s="49"/>
      <c r="AR27" s="50"/>
      <c r="AS27" s="48" t="s">
        <v>92</v>
      </c>
      <c r="AT27" s="49"/>
      <c r="AU27" s="49"/>
      <c r="AV27" s="49"/>
      <c r="AW27" s="50"/>
      <c r="AX27" s="86" t="s">
        <v>93</v>
      </c>
      <c r="AY27" s="87"/>
      <c r="AZ27" s="87"/>
      <c r="BA27" s="88"/>
      <c r="BB27" s="48" t="s">
        <v>95</v>
      </c>
      <c r="BC27" s="49"/>
      <c r="BD27" s="49"/>
      <c r="BE27" s="49"/>
      <c r="BF27" s="50"/>
      <c r="BG27" s="48" t="s">
        <v>91</v>
      </c>
      <c r="BH27" s="49"/>
      <c r="BI27" s="49"/>
      <c r="BJ27" s="49"/>
      <c r="BK27" s="50"/>
      <c r="BL27" s="48" t="s">
        <v>92</v>
      </c>
      <c r="BM27" s="49"/>
      <c r="BN27" s="49"/>
      <c r="BO27" s="49"/>
      <c r="BP27" s="50"/>
      <c r="BQ27" s="86" t="s">
        <v>93</v>
      </c>
      <c r="BR27" s="87"/>
      <c r="BS27" s="87"/>
      <c r="BT27" s="88"/>
      <c r="BU27" s="48" t="s">
        <v>96</v>
      </c>
      <c r="BV27" s="49"/>
      <c r="BW27" s="49"/>
      <c r="BX27" s="49"/>
      <c r="BY27" s="50"/>
    </row>
    <row r="28" spans="1:79" ht="15" customHeight="1" x14ac:dyDescent="0.2">
      <c r="A28" s="48">
        <v>1</v>
      </c>
      <c r="B28" s="49"/>
      <c r="C28" s="49"/>
      <c r="D28" s="50"/>
      <c r="E28" s="48">
        <v>2</v>
      </c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8">
        <v>3</v>
      </c>
      <c r="V28" s="49"/>
      <c r="W28" s="49"/>
      <c r="X28" s="49"/>
      <c r="Y28" s="50"/>
      <c r="Z28" s="48">
        <v>4</v>
      </c>
      <c r="AA28" s="49"/>
      <c r="AB28" s="49"/>
      <c r="AC28" s="49"/>
      <c r="AD28" s="50"/>
      <c r="AE28" s="48">
        <v>5</v>
      </c>
      <c r="AF28" s="49"/>
      <c r="AG28" s="49"/>
      <c r="AH28" s="50"/>
      <c r="AI28" s="48">
        <v>6</v>
      </c>
      <c r="AJ28" s="49"/>
      <c r="AK28" s="49"/>
      <c r="AL28" s="49"/>
      <c r="AM28" s="50"/>
      <c r="AN28" s="48">
        <v>7</v>
      </c>
      <c r="AO28" s="49"/>
      <c r="AP28" s="49"/>
      <c r="AQ28" s="49"/>
      <c r="AR28" s="50"/>
      <c r="AS28" s="48">
        <v>8</v>
      </c>
      <c r="AT28" s="49"/>
      <c r="AU28" s="49"/>
      <c r="AV28" s="49"/>
      <c r="AW28" s="50"/>
      <c r="AX28" s="48">
        <v>9</v>
      </c>
      <c r="AY28" s="49"/>
      <c r="AZ28" s="49"/>
      <c r="BA28" s="50"/>
      <c r="BB28" s="48">
        <v>10</v>
      </c>
      <c r="BC28" s="49"/>
      <c r="BD28" s="49"/>
      <c r="BE28" s="49"/>
      <c r="BF28" s="50"/>
      <c r="BG28" s="48">
        <v>11</v>
      </c>
      <c r="BH28" s="49"/>
      <c r="BI28" s="49"/>
      <c r="BJ28" s="49"/>
      <c r="BK28" s="50"/>
      <c r="BL28" s="48">
        <v>12</v>
      </c>
      <c r="BM28" s="49"/>
      <c r="BN28" s="49"/>
      <c r="BO28" s="49"/>
      <c r="BP28" s="50"/>
      <c r="BQ28" s="48">
        <v>13</v>
      </c>
      <c r="BR28" s="49"/>
      <c r="BS28" s="49"/>
      <c r="BT28" s="50"/>
      <c r="BU28" s="48">
        <v>14</v>
      </c>
      <c r="BV28" s="49"/>
      <c r="BW28" s="49"/>
      <c r="BX28" s="49"/>
      <c r="BY28" s="50"/>
    </row>
    <row r="29" spans="1:79" ht="13.5" hidden="1" customHeight="1" x14ac:dyDescent="0.2">
      <c r="A29" s="51" t="s">
        <v>97</v>
      </c>
      <c r="B29" s="52"/>
      <c r="C29" s="52"/>
      <c r="D29" s="53"/>
      <c r="E29" s="51" t="s">
        <v>98</v>
      </c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1" t="s">
        <v>99</v>
      </c>
      <c r="V29" s="52"/>
      <c r="W29" s="52"/>
      <c r="X29" s="52"/>
      <c r="Y29" s="53"/>
      <c r="Z29" s="51" t="s">
        <v>100</v>
      </c>
      <c r="AA29" s="52"/>
      <c r="AB29" s="52"/>
      <c r="AC29" s="52"/>
      <c r="AD29" s="53"/>
      <c r="AE29" s="51" t="s">
        <v>101</v>
      </c>
      <c r="AF29" s="52"/>
      <c r="AG29" s="52"/>
      <c r="AH29" s="53"/>
      <c r="AI29" s="89" t="s">
        <v>102</v>
      </c>
      <c r="AJ29" s="90"/>
      <c r="AK29" s="90"/>
      <c r="AL29" s="90"/>
      <c r="AM29" s="91"/>
      <c r="AN29" s="51" t="s">
        <v>103</v>
      </c>
      <c r="AO29" s="52"/>
      <c r="AP29" s="52"/>
      <c r="AQ29" s="52"/>
      <c r="AR29" s="53"/>
      <c r="AS29" s="51" t="s">
        <v>104</v>
      </c>
      <c r="AT29" s="52"/>
      <c r="AU29" s="52"/>
      <c r="AV29" s="52"/>
      <c r="AW29" s="53"/>
      <c r="AX29" s="51" t="s">
        <v>105</v>
      </c>
      <c r="AY29" s="52"/>
      <c r="AZ29" s="52"/>
      <c r="BA29" s="53"/>
      <c r="BB29" s="89" t="s">
        <v>102</v>
      </c>
      <c r="BC29" s="90"/>
      <c r="BD29" s="90"/>
      <c r="BE29" s="90"/>
      <c r="BF29" s="91"/>
      <c r="BG29" s="51" t="s">
        <v>106</v>
      </c>
      <c r="BH29" s="52"/>
      <c r="BI29" s="52"/>
      <c r="BJ29" s="52"/>
      <c r="BK29" s="53"/>
      <c r="BL29" s="51" t="s">
        <v>107</v>
      </c>
      <c r="BM29" s="52"/>
      <c r="BN29" s="52"/>
      <c r="BO29" s="52"/>
      <c r="BP29" s="53"/>
      <c r="BQ29" s="51" t="s">
        <v>108</v>
      </c>
      <c r="BR29" s="52"/>
      <c r="BS29" s="52"/>
      <c r="BT29" s="53"/>
      <c r="BU29" s="89" t="s">
        <v>102</v>
      </c>
      <c r="BV29" s="90"/>
      <c r="BW29" s="90"/>
      <c r="BX29" s="90"/>
      <c r="BY29" s="91"/>
      <c r="CA29" t="s">
        <v>109</v>
      </c>
    </row>
    <row r="30" spans="1:79" s="14" customFormat="1" ht="12.75" customHeight="1" x14ac:dyDescent="0.2">
      <c r="A30" s="92"/>
      <c r="B30" s="93"/>
      <c r="C30" s="93"/>
      <c r="D30" s="94"/>
      <c r="E30" s="56" t="s">
        <v>110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8"/>
      <c r="U30" s="95">
        <v>603372</v>
      </c>
      <c r="V30" s="95"/>
      <c r="W30" s="95"/>
      <c r="X30" s="95"/>
      <c r="Y30" s="95"/>
      <c r="Z30" s="95" t="s">
        <v>111</v>
      </c>
      <c r="AA30" s="95"/>
      <c r="AB30" s="95"/>
      <c r="AC30" s="95"/>
      <c r="AD30" s="95"/>
      <c r="AE30" s="96" t="s">
        <v>111</v>
      </c>
      <c r="AF30" s="97"/>
      <c r="AG30" s="97"/>
      <c r="AH30" s="98"/>
      <c r="AI30" s="96">
        <f>IF(ISNUMBER(U30),U30,0)+IF(ISNUMBER(Z30),Z30,0)</f>
        <v>603372</v>
      </c>
      <c r="AJ30" s="97"/>
      <c r="AK30" s="97"/>
      <c r="AL30" s="97"/>
      <c r="AM30" s="98"/>
      <c r="AN30" s="96">
        <v>1172257</v>
      </c>
      <c r="AO30" s="97"/>
      <c r="AP30" s="97"/>
      <c r="AQ30" s="97"/>
      <c r="AR30" s="98"/>
      <c r="AS30" s="96" t="s">
        <v>111</v>
      </c>
      <c r="AT30" s="97"/>
      <c r="AU30" s="97"/>
      <c r="AV30" s="97"/>
      <c r="AW30" s="98"/>
      <c r="AX30" s="96" t="s">
        <v>111</v>
      </c>
      <c r="AY30" s="97"/>
      <c r="AZ30" s="97"/>
      <c r="BA30" s="98"/>
      <c r="BB30" s="96">
        <f>IF(ISNUMBER(AN30),AN30,0)+IF(ISNUMBER(AS30),AS30,0)</f>
        <v>1172257</v>
      </c>
      <c r="BC30" s="97"/>
      <c r="BD30" s="97"/>
      <c r="BE30" s="97"/>
      <c r="BF30" s="98"/>
      <c r="BG30" s="96">
        <v>1710563</v>
      </c>
      <c r="BH30" s="97"/>
      <c r="BI30" s="97"/>
      <c r="BJ30" s="97"/>
      <c r="BK30" s="98"/>
      <c r="BL30" s="96" t="s">
        <v>111</v>
      </c>
      <c r="BM30" s="97"/>
      <c r="BN30" s="97"/>
      <c r="BO30" s="97"/>
      <c r="BP30" s="98"/>
      <c r="BQ30" s="96" t="s">
        <v>111</v>
      </c>
      <c r="BR30" s="97"/>
      <c r="BS30" s="97"/>
      <c r="BT30" s="98"/>
      <c r="BU30" s="96">
        <f>IF(ISNUMBER(BG30),BG30,0)+IF(ISNUMBER(BL30),BL30,0)</f>
        <v>1710563</v>
      </c>
      <c r="BV30" s="97"/>
      <c r="BW30" s="97"/>
      <c r="BX30" s="97"/>
      <c r="BY30" s="98"/>
      <c r="CA30" s="14" t="s">
        <v>112</v>
      </c>
    </row>
    <row r="31" spans="1:79" s="3" customFormat="1" ht="12.75" customHeight="1" x14ac:dyDescent="0.2">
      <c r="A31" s="99"/>
      <c r="B31" s="100"/>
      <c r="C31" s="100"/>
      <c r="D31" s="101"/>
      <c r="E31" s="44" t="s">
        <v>18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  <c r="U31" s="102">
        <v>603372</v>
      </c>
      <c r="V31" s="102"/>
      <c r="W31" s="102"/>
      <c r="X31" s="102"/>
      <c r="Y31" s="102"/>
      <c r="Z31" s="102">
        <v>0</v>
      </c>
      <c r="AA31" s="102"/>
      <c r="AB31" s="102"/>
      <c r="AC31" s="102"/>
      <c r="AD31" s="102"/>
      <c r="AE31" s="103">
        <v>0</v>
      </c>
      <c r="AF31" s="104"/>
      <c r="AG31" s="104"/>
      <c r="AH31" s="105"/>
      <c r="AI31" s="103">
        <f>IF(ISNUMBER(U31),U31,0)+IF(ISNUMBER(Z31),Z31,0)</f>
        <v>603372</v>
      </c>
      <c r="AJ31" s="104"/>
      <c r="AK31" s="104"/>
      <c r="AL31" s="104"/>
      <c r="AM31" s="105"/>
      <c r="AN31" s="103">
        <v>1172257</v>
      </c>
      <c r="AO31" s="104"/>
      <c r="AP31" s="104"/>
      <c r="AQ31" s="104"/>
      <c r="AR31" s="105"/>
      <c r="AS31" s="103">
        <v>0</v>
      </c>
      <c r="AT31" s="104"/>
      <c r="AU31" s="104"/>
      <c r="AV31" s="104"/>
      <c r="AW31" s="105"/>
      <c r="AX31" s="103">
        <v>0</v>
      </c>
      <c r="AY31" s="104"/>
      <c r="AZ31" s="104"/>
      <c r="BA31" s="105"/>
      <c r="BB31" s="103">
        <f>IF(ISNUMBER(AN31),AN31,0)+IF(ISNUMBER(AS31),AS31,0)</f>
        <v>1172257</v>
      </c>
      <c r="BC31" s="104"/>
      <c r="BD31" s="104"/>
      <c r="BE31" s="104"/>
      <c r="BF31" s="105"/>
      <c r="BG31" s="103">
        <v>1710563</v>
      </c>
      <c r="BH31" s="104"/>
      <c r="BI31" s="104"/>
      <c r="BJ31" s="104"/>
      <c r="BK31" s="105"/>
      <c r="BL31" s="103">
        <v>0</v>
      </c>
      <c r="BM31" s="104"/>
      <c r="BN31" s="104"/>
      <c r="BO31" s="104"/>
      <c r="BP31" s="105"/>
      <c r="BQ31" s="103">
        <v>0</v>
      </c>
      <c r="BR31" s="104"/>
      <c r="BS31" s="104"/>
      <c r="BT31" s="105"/>
      <c r="BU31" s="103">
        <f>IF(ISNUMBER(BG31),BG31,0)+IF(ISNUMBER(BL31),BL31,0)</f>
        <v>1710563</v>
      </c>
      <c r="BV31" s="104"/>
      <c r="BW31" s="104"/>
      <c r="BX31" s="104"/>
      <c r="BY31" s="105"/>
    </row>
    <row r="33" spans="1:79" ht="14.25" customHeight="1" x14ac:dyDescent="0.2">
      <c r="A33" s="77" t="s">
        <v>113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15" customHeight="1" x14ac:dyDescent="0.2">
      <c r="A34" s="106" t="s">
        <v>55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</row>
    <row r="35" spans="1:79" ht="22.5" customHeight="1" x14ac:dyDescent="0.2">
      <c r="A35" s="80" t="s">
        <v>89</v>
      </c>
      <c r="B35" s="81"/>
      <c r="C35" s="81"/>
      <c r="D35" s="82"/>
      <c r="E35" s="80" t="s">
        <v>90</v>
      </c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2"/>
      <c r="X35" s="48" t="s">
        <v>59</v>
      </c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50"/>
      <c r="AR35" s="41" t="s">
        <v>61</v>
      </c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</row>
    <row r="36" spans="1:79" ht="36" customHeight="1" x14ac:dyDescent="0.2">
      <c r="A36" s="83"/>
      <c r="B36" s="84"/>
      <c r="C36" s="84"/>
      <c r="D36" s="85"/>
      <c r="E36" s="83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5"/>
      <c r="X36" s="41" t="s">
        <v>91</v>
      </c>
      <c r="Y36" s="41"/>
      <c r="Z36" s="41"/>
      <c r="AA36" s="41"/>
      <c r="AB36" s="41"/>
      <c r="AC36" s="41" t="s">
        <v>92</v>
      </c>
      <c r="AD36" s="41"/>
      <c r="AE36" s="41"/>
      <c r="AF36" s="41"/>
      <c r="AG36" s="41"/>
      <c r="AH36" s="86" t="s">
        <v>93</v>
      </c>
      <c r="AI36" s="87"/>
      <c r="AJ36" s="87"/>
      <c r="AK36" s="87"/>
      <c r="AL36" s="88"/>
      <c r="AM36" s="48" t="s">
        <v>94</v>
      </c>
      <c r="AN36" s="49"/>
      <c r="AO36" s="49"/>
      <c r="AP36" s="49"/>
      <c r="AQ36" s="50"/>
      <c r="AR36" s="48" t="s">
        <v>91</v>
      </c>
      <c r="AS36" s="49"/>
      <c r="AT36" s="49"/>
      <c r="AU36" s="49"/>
      <c r="AV36" s="50"/>
      <c r="AW36" s="48" t="s">
        <v>92</v>
      </c>
      <c r="AX36" s="49"/>
      <c r="AY36" s="49"/>
      <c r="AZ36" s="49"/>
      <c r="BA36" s="50"/>
      <c r="BB36" s="86" t="s">
        <v>93</v>
      </c>
      <c r="BC36" s="87"/>
      <c r="BD36" s="87"/>
      <c r="BE36" s="87"/>
      <c r="BF36" s="88"/>
      <c r="BG36" s="48" t="s">
        <v>95</v>
      </c>
      <c r="BH36" s="49"/>
      <c r="BI36" s="49"/>
      <c r="BJ36" s="49"/>
      <c r="BK36" s="50"/>
    </row>
    <row r="37" spans="1:79" ht="15" customHeight="1" x14ac:dyDescent="0.2">
      <c r="A37" s="48">
        <v>1</v>
      </c>
      <c r="B37" s="49"/>
      <c r="C37" s="49"/>
      <c r="D37" s="50"/>
      <c r="E37" s="48">
        <v>2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50"/>
      <c r="X37" s="41">
        <v>3</v>
      </c>
      <c r="Y37" s="41"/>
      <c r="Z37" s="41"/>
      <c r="AA37" s="41"/>
      <c r="AB37" s="41"/>
      <c r="AC37" s="41">
        <v>4</v>
      </c>
      <c r="AD37" s="41"/>
      <c r="AE37" s="41"/>
      <c r="AF37" s="41"/>
      <c r="AG37" s="41"/>
      <c r="AH37" s="41">
        <v>5</v>
      </c>
      <c r="AI37" s="41"/>
      <c r="AJ37" s="41"/>
      <c r="AK37" s="41"/>
      <c r="AL37" s="41"/>
      <c r="AM37" s="41">
        <v>6</v>
      </c>
      <c r="AN37" s="41"/>
      <c r="AO37" s="41"/>
      <c r="AP37" s="41"/>
      <c r="AQ37" s="41"/>
      <c r="AR37" s="48">
        <v>7</v>
      </c>
      <c r="AS37" s="49"/>
      <c r="AT37" s="49"/>
      <c r="AU37" s="49"/>
      <c r="AV37" s="50"/>
      <c r="AW37" s="48">
        <v>8</v>
      </c>
      <c r="AX37" s="49"/>
      <c r="AY37" s="49"/>
      <c r="AZ37" s="49"/>
      <c r="BA37" s="50"/>
      <c r="BB37" s="48">
        <v>9</v>
      </c>
      <c r="BC37" s="49"/>
      <c r="BD37" s="49"/>
      <c r="BE37" s="49"/>
      <c r="BF37" s="50"/>
      <c r="BG37" s="48">
        <v>10</v>
      </c>
      <c r="BH37" s="49"/>
      <c r="BI37" s="49"/>
      <c r="BJ37" s="49"/>
      <c r="BK37" s="50"/>
    </row>
    <row r="38" spans="1:79" ht="20.25" hidden="1" customHeight="1" x14ac:dyDescent="0.2">
      <c r="A38" s="51" t="s">
        <v>97</v>
      </c>
      <c r="B38" s="52"/>
      <c r="C38" s="52"/>
      <c r="D38" s="53"/>
      <c r="E38" s="51" t="s">
        <v>98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3"/>
      <c r="X38" s="17" t="s">
        <v>114</v>
      </c>
      <c r="Y38" s="17"/>
      <c r="Z38" s="17"/>
      <c r="AA38" s="17"/>
      <c r="AB38" s="17"/>
      <c r="AC38" s="17" t="s">
        <v>115</v>
      </c>
      <c r="AD38" s="17"/>
      <c r="AE38" s="17"/>
      <c r="AF38" s="17"/>
      <c r="AG38" s="17"/>
      <c r="AH38" s="51" t="s">
        <v>116</v>
      </c>
      <c r="AI38" s="52"/>
      <c r="AJ38" s="52"/>
      <c r="AK38" s="52"/>
      <c r="AL38" s="53"/>
      <c r="AM38" s="89" t="s">
        <v>117</v>
      </c>
      <c r="AN38" s="90"/>
      <c r="AO38" s="90"/>
      <c r="AP38" s="90"/>
      <c r="AQ38" s="91"/>
      <c r="AR38" s="51" t="s">
        <v>118</v>
      </c>
      <c r="AS38" s="52"/>
      <c r="AT38" s="52"/>
      <c r="AU38" s="52"/>
      <c r="AV38" s="53"/>
      <c r="AW38" s="51" t="s">
        <v>119</v>
      </c>
      <c r="AX38" s="52"/>
      <c r="AY38" s="52"/>
      <c r="AZ38" s="52"/>
      <c r="BA38" s="53"/>
      <c r="BB38" s="51" t="s">
        <v>120</v>
      </c>
      <c r="BC38" s="52"/>
      <c r="BD38" s="52"/>
      <c r="BE38" s="52"/>
      <c r="BF38" s="53"/>
      <c r="BG38" s="89" t="s">
        <v>117</v>
      </c>
      <c r="BH38" s="90"/>
      <c r="BI38" s="90"/>
      <c r="BJ38" s="90"/>
      <c r="BK38" s="91"/>
      <c r="CA38" t="s">
        <v>121</v>
      </c>
    </row>
    <row r="39" spans="1:79" s="14" customFormat="1" ht="12.75" customHeight="1" x14ac:dyDescent="0.2">
      <c r="A39" s="92"/>
      <c r="B39" s="93"/>
      <c r="C39" s="93"/>
      <c r="D39" s="94"/>
      <c r="E39" s="56" t="s">
        <v>110</v>
      </c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8"/>
      <c r="X39" s="96">
        <v>1716252</v>
      </c>
      <c r="Y39" s="97"/>
      <c r="Z39" s="97"/>
      <c r="AA39" s="97"/>
      <c r="AB39" s="98"/>
      <c r="AC39" s="96" t="s">
        <v>111</v>
      </c>
      <c r="AD39" s="97"/>
      <c r="AE39" s="97"/>
      <c r="AF39" s="97"/>
      <c r="AG39" s="98"/>
      <c r="AH39" s="96" t="s">
        <v>111</v>
      </c>
      <c r="AI39" s="97"/>
      <c r="AJ39" s="97"/>
      <c r="AK39" s="97"/>
      <c r="AL39" s="98"/>
      <c r="AM39" s="96">
        <f>IF(ISNUMBER(X39),X39,0)+IF(ISNUMBER(AC39),AC39,0)</f>
        <v>1716252</v>
      </c>
      <c r="AN39" s="97"/>
      <c r="AO39" s="97"/>
      <c r="AP39" s="97"/>
      <c r="AQ39" s="98"/>
      <c r="AR39" s="96">
        <v>1721305</v>
      </c>
      <c r="AS39" s="97"/>
      <c r="AT39" s="97"/>
      <c r="AU39" s="97"/>
      <c r="AV39" s="98"/>
      <c r="AW39" s="96" t="s">
        <v>111</v>
      </c>
      <c r="AX39" s="97"/>
      <c r="AY39" s="97"/>
      <c r="AZ39" s="97"/>
      <c r="BA39" s="98"/>
      <c r="BB39" s="96" t="s">
        <v>111</v>
      </c>
      <c r="BC39" s="97"/>
      <c r="BD39" s="97"/>
      <c r="BE39" s="97"/>
      <c r="BF39" s="98"/>
      <c r="BG39" s="95">
        <f>IF(ISNUMBER(AR39),AR39,0)+IF(ISNUMBER(AW39),AW39,0)</f>
        <v>1721305</v>
      </c>
      <c r="BH39" s="95"/>
      <c r="BI39" s="95"/>
      <c r="BJ39" s="95"/>
      <c r="BK39" s="95"/>
      <c r="CA39" s="14" t="s">
        <v>122</v>
      </c>
    </row>
    <row r="40" spans="1:79" s="3" customFormat="1" ht="12.75" customHeight="1" x14ac:dyDescent="0.2">
      <c r="A40" s="99"/>
      <c r="B40" s="100"/>
      <c r="C40" s="100"/>
      <c r="D40" s="101"/>
      <c r="E40" s="44" t="s">
        <v>18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20"/>
      <c r="X40" s="103">
        <v>1716252</v>
      </c>
      <c r="Y40" s="104"/>
      <c r="Z40" s="104"/>
      <c r="AA40" s="104"/>
      <c r="AB40" s="105"/>
      <c r="AC40" s="103">
        <v>0</v>
      </c>
      <c r="AD40" s="104"/>
      <c r="AE40" s="104"/>
      <c r="AF40" s="104"/>
      <c r="AG40" s="105"/>
      <c r="AH40" s="103">
        <v>0</v>
      </c>
      <c r="AI40" s="104"/>
      <c r="AJ40" s="104"/>
      <c r="AK40" s="104"/>
      <c r="AL40" s="105"/>
      <c r="AM40" s="103">
        <f>IF(ISNUMBER(X40),X40,0)+IF(ISNUMBER(AC40),AC40,0)</f>
        <v>1716252</v>
      </c>
      <c r="AN40" s="104"/>
      <c r="AO40" s="104"/>
      <c r="AP40" s="104"/>
      <c r="AQ40" s="105"/>
      <c r="AR40" s="103">
        <v>1721305</v>
      </c>
      <c r="AS40" s="104"/>
      <c r="AT40" s="104"/>
      <c r="AU40" s="104"/>
      <c r="AV40" s="105"/>
      <c r="AW40" s="103">
        <v>0</v>
      </c>
      <c r="AX40" s="104"/>
      <c r="AY40" s="104"/>
      <c r="AZ40" s="104"/>
      <c r="BA40" s="105"/>
      <c r="BB40" s="103">
        <v>0</v>
      </c>
      <c r="BC40" s="104"/>
      <c r="BD40" s="104"/>
      <c r="BE40" s="104"/>
      <c r="BF40" s="105"/>
      <c r="BG40" s="102">
        <f>IF(ISNUMBER(AR40),AR40,0)+IF(ISNUMBER(AW40),AW40,0)</f>
        <v>1721305</v>
      </c>
      <c r="BH40" s="102"/>
      <c r="BI40" s="102"/>
      <c r="BJ40" s="102"/>
      <c r="BK40" s="102"/>
    </row>
    <row r="41" spans="1:79" s="14" customFormat="1" ht="12.75" customHeight="1" x14ac:dyDescent="0.2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</row>
    <row r="43" spans="1:79" s="15" customFormat="1" ht="14.25" customHeight="1" x14ac:dyDescent="0.2">
      <c r="A43" s="77" t="s">
        <v>123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109"/>
    </row>
    <row r="44" spans="1:79" ht="14.25" customHeight="1" x14ac:dyDescent="0.2">
      <c r="A44" s="77" t="s">
        <v>124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</row>
    <row r="45" spans="1:79" ht="15" customHeight="1" x14ac:dyDescent="0.2">
      <c r="A45" s="30" t="s">
        <v>55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</row>
    <row r="46" spans="1:79" ht="23.1" customHeight="1" x14ac:dyDescent="0.2">
      <c r="A46" s="110" t="s">
        <v>125</v>
      </c>
      <c r="B46" s="111"/>
      <c r="C46" s="111"/>
      <c r="D46" s="112"/>
      <c r="E46" s="41" t="s">
        <v>90</v>
      </c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8" t="s">
        <v>56</v>
      </c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50"/>
      <c r="AN46" s="48" t="s">
        <v>57</v>
      </c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50"/>
      <c r="BG46" s="48" t="s">
        <v>58</v>
      </c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50"/>
    </row>
    <row r="47" spans="1:79" ht="48.75" customHeight="1" x14ac:dyDescent="0.2">
      <c r="A47" s="113"/>
      <c r="B47" s="114"/>
      <c r="C47" s="114"/>
      <c r="D47" s="115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8" t="s">
        <v>91</v>
      </c>
      <c r="V47" s="49"/>
      <c r="W47" s="49"/>
      <c r="X47" s="49"/>
      <c r="Y47" s="50"/>
      <c r="Z47" s="48" t="s">
        <v>92</v>
      </c>
      <c r="AA47" s="49"/>
      <c r="AB47" s="49"/>
      <c r="AC47" s="49"/>
      <c r="AD47" s="50"/>
      <c r="AE47" s="86" t="s">
        <v>93</v>
      </c>
      <c r="AF47" s="87"/>
      <c r="AG47" s="87"/>
      <c r="AH47" s="88"/>
      <c r="AI47" s="48" t="s">
        <v>94</v>
      </c>
      <c r="AJ47" s="49"/>
      <c r="AK47" s="49"/>
      <c r="AL47" s="49"/>
      <c r="AM47" s="50"/>
      <c r="AN47" s="48" t="s">
        <v>91</v>
      </c>
      <c r="AO47" s="49"/>
      <c r="AP47" s="49"/>
      <c r="AQ47" s="49"/>
      <c r="AR47" s="50"/>
      <c r="AS47" s="48" t="s">
        <v>92</v>
      </c>
      <c r="AT47" s="49"/>
      <c r="AU47" s="49"/>
      <c r="AV47" s="49"/>
      <c r="AW47" s="50"/>
      <c r="AX47" s="86" t="s">
        <v>93</v>
      </c>
      <c r="AY47" s="87"/>
      <c r="AZ47" s="87"/>
      <c r="BA47" s="88"/>
      <c r="BB47" s="48" t="s">
        <v>95</v>
      </c>
      <c r="BC47" s="49"/>
      <c r="BD47" s="49"/>
      <c r="BE47" s="49"/>
      <c r="BF47" s="50"/>
      <c r="BG47" s="48" t="s">
        <v>91</v>
      </c>
      <c r="BH47" s="49"/>
      <c r="BI47" s="49"/>
      <c r="BJ47" s="49"/>
      <c r="BK47" s="50"/>
      <c r="BL47" s="48" t="s">
        <v>92</v>
      </c>
      <c r="BM47" s="49"/>
      <c r="BN47" s="49"/>
      <c r="BO47" s="49"/>
      <c r="BP47" s="50"/>
      <c r="BQ47" s="86" t="s">
        <v>93</v>
      </c>
      <c r="BR47" s="87"/>
      <c r="BS47" s="87"/>
      <c r="BT47" s="88"/>
      <c r="BU47" s="48" t="s">
        <v>96</v>
      </c>
      <c r="BV47" s="49"/>
      <c r="BW47" s="49"/>
      <c r="BX47" s="49"/>
      <c r="BY47" s="50"/>
    </row>
    <row r="48" spans="1:79" ht="15" customHeight="1" x14ac:dyDescent="0.2">
      <c r="A48" s="48">
        <v>1</v>
      </c>
      <c r="B48" s="49"/>
      <c r="C48" s="49"/>
      <c r="D48" s="50"/>
      <c r="E48" s="48">
        <v>2</v>
      </c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0"/>
      <c r="U48" s="48">
        <v>3</v>
      </c>
      <c r="V48" s="49"/>
      <c r="W48" s="49"/>
      <c r="X48" s="49"/>
      <c r="Y48" s="50"/>
      <c r="Z48" s="48">
        <v>4</v>
      </c>
      <c r="AA48" s="49"/>
      <c r="AB48" s="49"/>
      <c r="AC48" s="49"/>
      <c r="AD48" s="50"/>
      <c r="AE48" s="48">
        <v>5</v>
      </c>
      <c r="AF48" s="49"/>
      <c r="AG48" s="49"/>
      <c r="AH48" s="50"/>
      <c r="AI48" s="48">
        <v>6</v>
      </c>
      <c r="AJ48" s="49"/>
      <c r="AK48" s="49"/>
      <c r="AL48" s="49"/>
      <c r="AM48" s="50"/>
      <c r="AN48" s="48">
        <v>7</v>
      </c>
      <c r="AO48" s="49"/>
      <c r="AP48" s="49"/>
      <c r="AQ48" s="49"/>
      <c r="AR48" s="50"/>
      <c r="AS48" s="48">
        <v>8</v>
      </c>
      <c r="AT48" s="49"/>
      <c r="AU48" s="49"/>
      <c r="AV48" s="49"/>
      <c r="AW48" s="50"/>
      <c r="AX48" s="48">
        <v>9</v>
      </c>
      <c r="AY48" s="49"/>
      <c r="AZ48" s="49"/>
      <c r="BA48" s="50"/>
      <c r="BB48" s="48">
        <v>10</v>
      </c>
      <c r="BC48" s="49"/>
      <c r="BD48" s="49"/>
      <c r="BE48" s="49"/>
      <c r="BF48" s="50"/>
      <c r="BG48" s="48">
        <v>11</v>
      </c>
      <c r="BH48" s="49"/>
      <c r="BI48" s="49"/>
      <c r="BJ48" s="49"/>
      <c r="BK48" s="50"/>
      <c r="BL48" s="48">
        <v>12</v>
      </c>
      <c r="BM48" s="49"/>
      <c r="BN48" s="49"/>
      <c r="BO48" s="49"/>
      <c r="BP48" s="50"/>
      <c r="BQ48" s="48">
        <v>13</v>
      </c>
      <c r="BR48" s="49"/>
      <c r="BS48" s="49"/>
      <c r="BT48" s="50"/>
      <c r="BU48" s="48">
        <v>14</v>
      </c>
      <c r="BV48" s="49"/>
      <c r="BW48" s="49"/>
      <c r="BX48" s="49"/>
      <c r="BY48" s="50"/>
    </row>
    <row r="49" spans="1:79" s="71" customFormat="1" ht="12.75" hidden="1" customHeight="1" x14ac:dyDescent="0.2">
      <c r="A49" s="51" t="s">
        <v>126</v>
      </c>
      <c r="B49" s="52"/>
      <c r="C49" s="52"/>
      <c r="D49" s="53"/>
      <c r="E49" s="51" t="s">
        <v>98</v>
      </c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3"/>
      <c r="U49" s="51" t="s">
        <v>99</v>
      </c>
      <c r="V49" s="52"/>
      <c r="W49" s="52"/>
      <c r="X49" s="52"/>
      <c r="Y49" s="53"/>
      <c r="Z49" s="51" t="s">
        <v>100</v>
      </c>
      <c r="AA49" s="52"/>
      <c r="AB49" s="52"/>
      <c r="AC49" s="52"/>
      <c r="AD49" s="53"/>
      <c r="AE49" s="51" t="s">
        <v>101</v>
      </c>
      <c r="AF49" s="52"/>
      <c r="AG49" s="52"/>
      <c r="AH49" s="53"/>
      <c r="AI49" s="89" t="s">
        <v>102</v>
      </c>
      <c r="AJ49" s="90"/>
      <c r="AK49" s="90"/>
      <c r="AL49" s="90"/>
      <c r="AM49" s="91"/>
      <c r="AN49" s="51" t="s">
        <v>103</v>
      </c>
      <c r="AO49" s="52"/>
      <c r="AP49" s="52"/>
      <c r="AQ49" s="52"/>
      <c r="AR49" s="53"/>
      <c r="AS49" s="51" t="s">
        <v>104</v>
      </c>
      <c r="AT49" s="52"/>
      <c r="AU49" s="52"/>
      <c r="AV49" s="52"/>
      <c r="AW49" s="53"/>
      <c r="AX49" s="51" t="s">
        <v>105</v>
      </c>
      <c r="AY49" s="52"/>
      <c r="AZ49" s="52"/>
      <c r="BA49" s="53"/>
      <c r="BB49" s="89" t="s">
        <v>102</v>
      </c>
      <c r="BC49" s="90"/>
      <c r="BD49" s="90"/>
      <c r="BE49" s="90"/>
      <c r="BF49" s="91"/>
      <c r="BG49" s="51" t="s">
        <v>106</v>
      </c>
      <c r="BH49" s="52"/>
      <c r="BI49" s="52"/>
      <c r="BJ49" s="52"/>
      <c r="BK49" s="53"/>
      <c r="BL49" s="51" t="s">
        <v>107</v>
      </c>
      <c r="BM49" s="52"/>
      <c r="BN49" s="52"/>
      <c r="BO49" s="52"/>
      <c r="BP49" s="53"/>
      <c r="BQ49" s="51" t="s">
        <v>108</v>
      </c>
      <c r="BR49" s="52"/>
      <c r="BS49" s="52"/>
      <c r="BT49" s="53"/>
      <c r="BU49" s="89" t="s">
        <v>102</v>
      </c>
      <c r="BV49" s="90"/>
      <c r="BW49" s="90"/>
      <c r="BX49" s="90"/>
      <c r="BY49" s="91"/>
      <c r="CA49" t="s">
        <v>127</v>
      </c>
    </row>
    <row r="50" spans="1:79" s="14" customFormat="1" ht="12.75" customHeight="1" x14ac:dyDescent="0.2">
      <c r="A50" s="92">
        <v>2111</v>
      </c>
      <c r="B50" s="93"/>
      <c r="C50" s="93"/>
      <c r="D50" s="94"/>
      <c r="E50" s="56" t="s">
        <v>128</v>
      </c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8"/>
      <c r="U50" s="96">
        <v>487025</v>
      </c>
      <c r="V50" s="97"/>
      <c r="W50" s="97"/>
      <c r="X50" s="97"/>
      <c r="Y50" s="98"/>
      <c r="Z50" s="96">
        <v>0</v>
      </c>
      <c r="AA50" s="97"/>
      <c r="AB50" s="97"/>
      <c r="AC50" s="97"/>
      <c r="AD50" s="98"/>
      <c r="AE50" s="96">
        <v>0</v>
      </c>
      <c r="AF50" s="97"/>
      <c r="AG50" s="97"/>
      <c r="AH50" s="98"/>
      <c r="AI50" s="96">
        <f t="shared" ref="AI50:AI55" si="0">IF(ISNUMBER(U50),U50,0)+IF(ISNUMBER(Z50),Z50,0)</f>
        <v>487025</v>
      </c>
      <c r="AJ50" s="97"/>
      <c r="AK50" s="97"/>
      <c r="AL50" s="97"/>
      <c r="AM50" s="98"/>
      <c r="AN50" s="96">
        <v>939830</v>
      </c>
      <c r="AO50" s="97"/>
      <c r="AP50" s="97"/>
      <c r="AQ50" s="97"/>
      <c r="AR50" s="98"/>
      <c r="AS50" s="96">
        <v>0</v>
      </c>
      <c r="AT50" s="97"/>
      <c r="AU50" s="97"/>
      <c r="AV50" s="97"/>
      <c r="AW50" s="98"/>
      <c r="AX50" s="96">
        <v>0</v>
      </c>
      <c r="AY50" s="97"/>
      <c r="AZ50" s="97"/>
      <c r="BA50" s="98"/>
      <c r="BB50" s="96">
        <f t="shared" ref="BB50:BB55" si="1">IF(ISNUMBER(AN50),AN50,0)+IF(ISNUMBER(AS50),AS50,0)</f>
        <v>939830</v>
      </c>
      <c r="BC50" s="97"/>
      <c r="BD50" s="97"/>
      <c r="BE50" s="97"/>
      <c r="BF50" s="98"/>
      <c r="BG50" s="96">
        <v>1355000</v>
      </c>
      <c r="BH50" s="97"/>
      <c r="BI50" s="97"/>
      <c r="BJ50" s="97"/>
      <c r="BK50" s="98"/>
      <c r="BL50" s="96">
        <v>0</v>
      </c>
      <c r="BM50" s="97"/>
      <c r="BN50" s="97"/>
      <c r="BO50" s="97"/>
      <c r="BP50" s="98"/>
      <c r="BQ50" s="96">
        <v>0</v>
      </c>
      <c r="BR50" s="97"/>
      <c r="BS50" s="97"/>
      <c r="BT50" s="98"/>
      <c r="BU50" s="96">
        <f t="shared" ref="BU50:BU55" si="2">IF(ISNUMBER(BG50),BG50,0)+IF(ISNUMBER(BL50),BL50,0)</f>
        <v>1355000</v>
      </c>
      <c r="BV50" s="97"/>
      <c r="BW50" s="97"/>
      <c r="BX50" s="97"/>
      <c r="BY50" s="98"/>
      <c r="CA50" s="14" t="s">
        <v>129</v>
      </c>
    </row>
    <row r="51" spans="1:79" s="14" customFormat="1" ht="12.75" customHeight="1" x14ac:dyDescent="0.2">
      <c r="A51" s="92">
        <v>2120</v>
      </c>
      <c r="B51" s="93"/>
      <c r="C51" s="93"/>
      <c r="D51" s="94"/>
      <c r="E51" s="56" t="s">
        <v>130</v>
      </c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8"/>
      <c r="U51" s="96">
        <v>107145</v>
      </c>
      <c r="V51" s="97"/>
      <c r="W51" s="97"/>
      <c r="X51" s="97"/>
      <c r="Y51" s="98"/>
      <c r="Z51" s="96">
        <v>0</v>
      </c>
      <c r="AA51" s="97"/>
      <c r="AB51" s="97"/>
      <c r="AC51" s="97"/>
      <c r="AD51" s="98"/>
      <c r="AE51" s="96">
        <v>0</v>
      </c>
      <c r="AF51" s="97"/>
      <c r="AG51" s="97"/>
      <c r="AH51" s="98"/>
      <c r="AI51" s="96">
        <f t="shared" si="0"/>
        <v>107145</v>
      </c>
      <c r="AJ51" s="97"/>
      <c r="AK51" s="97"/>
      <c r="AL51" s="97"/>
      <c r="AM51" s="98"/>
      <c r="AN51" s="96">
        <v>206763</v>
      </c>
      <c r="AO51" s="97"/>
      <c r="AP51" s="97"/>
      <c r="AQ51" s="97"/>
      <c r="AR51" s="98"/>
      <c r="AS51" s="96">
        <v>0</v>
      </c>
      <c r="AT51" s="97"/>
      <c r="AU51" s="97"/>
      <c r="AV51" s="97"/>
      <c r="AW51" s="98"/>
      <c r="AX51" s="96">
        <v>0</v>
      </c>
      <c r="AY51" s="97"/>
      <c r="AZ51" s="97"/>
      <c r="BA51" s="98"/>
      <c r="BB51" s="96">
        <f t="shared" si="1"/>
        <v>206763</v>
      </c>
      <c r="BC51" s="97"/>
      <c r="BD51" s="97"/>
      <c r="BE51" s="97"/>
      <c r="BF51" s="98"/>
      <c r="BG51" s="96">
        <v>298100</v>
      </c>
      <c r="BH51" s="97"/>
      <c r="BI51" s="97"/>
      <c r="BJ51" s="97"/>
      <c r="BK51" s="98"/>
      <c r="BL51" s="96">
        <v>0</v>
      </c>
      <c r="BM51" s="97"/>
      <c r="BN51" s="97"/>
      <c r="BO51" s="97"/>
      <c r="BP51" s="98"/>
      <c r="BQ51" s="96">
        <v>0</v>
      </c>
      <c r="BR51" s="97"/>
      <c r="BS51" s="97"/>
      <c r="BT51" s="98"/>
      <c r="BU51" s="96">
        <f t="shared" si="2"/>
        <v>298100</v>
      </c>
      <c r="BV51" s="97"/>
      <c r="BW51" s="97"/>
      <c r="BX51" s="97"/>
      <c r="BY51" s="98"/>
    </row>
    <row r="52" spans="1:79" s="14" customFormat="1" ht="12.75" customHeight="1" x14ac:dyDescent="0.2">
      <c r="A52" s="92">
        <v>2210</v>
      </c>
      <c r="B52" s="93"/>
      <c r="C52" s="93"/>
      <c r="D52" s="94"/>
      <c r="E52" s="56" t="s">
        <v>131</v>
      </c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8"/>
      <c r="U52" s="96">
        <v>4080</v>
      </c>
      <c r="V52" s="97"/>
      <c r="W52" s="97"/>
      <c r="X52" s="97"/>
      <c r="Y52" s="98"/>
      <c r="Z52" s="96">
        <v>0</v>
      </c>
      <c r="AA52" s="97"/>
      <c r="AB52" s="97"/>
      <c r="AC52" s="97"/>
      <c r="AD52" s="98"/>
      <c r="AE52" s="96">
        <v>0</v>
      </c>
      <c r="AF52" s="97"/>
      <c r="AG52" s="97"/>
      <c r="AH52" s="98"/>
      <c r="AI52" s="96">
        <f t="shared" si="0"/>
        <v>4080</v>
      </c>
      <c r="AJ52" s="97"/>
      <c r="AK52" s="97"/>
      <c r="AL52" s="97"/>
      <c r="AM52" s="98"/>
      <c r="AN52" s="96">
        <v>12864</v>
      </c>
      <c r="AO52" s="97"/>
      <c r="AP52" s="97"/>
      <c r="AQ52" s="97"/>
      <c r="AR52" s="98"/>
      <c r="AS52" s="96">
        <v>0</v>
      </c>
      <c r="AT52" s="97"/>
      <c r="AU52" s="97"/>
      <c r="AV52" s="97"/>
      <c r="AW52" s="98"/>
      <c r="AX52" s="96">
        <v>0</v>
      </c>
      <c r="AY52" s="97"/>
      <c r="AZ52" s="97"/>
      <c r="BA52" s="98"/>
      <c r="BB52" s="96">
        <f t="shared" si="1"/>
        <v>12864</v>
      </c>
      <c r="BC52" s="97"/>
      <c r="BD52" s="97"/>
      <c r="BE52" s="97"/>
      <c r="BF52" s="98"/>
      <c r="BG52" s="96">
        <v>14843</v>
      </c>
      <c r="BH52" s="97"/>
      <c r="BI52" s="97"/>
      <c r="BJ52" s="97"/>
      <c r="BK52" s="98"/>
      <c r="BL52" s="96">
        <v>0</v>
      </c>
      <c r="BM52" s="97"/>
      <c r="BN52" s="97"/>
      <c r="BO52" s="97"/>
      <c r="BP52" s="98"/>
      <c r="BQ52" s="96">
        <v>0</v>
      </c>
      <c r="BR52" s="97"/>
      <c r="BS52" s="97"/>
      <c r="BT52" s="98"/>
      <c r="BU52" s="96">
        <f t="shared" si="2"/>
        <v>14843</v>
      </c>
      <c r="BV52" s="97"/>
      <c r="BW52" s="97"/>
      <c r="BX52" s="97"/>
      <c r="BY52" s="98"/>
    </row>
    <row r="53" spans="1:79" s="14" customFormat="1" ht="12.75" customHeight="1" x14ac:dyDescent="0.2">
      <c r="A53" s="92">
        <v>2240</v>
      </c>
      <c r="B53" s="93"/>
      <c r="C53" s="93"/>
      <c r="D53" s="94"/>
      <c r="E53" s="56" t="s">
        <v>132</v>
      </c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8"/>
      <c r="U53" s="96">
        <v>5122</v>
      </c>
      <c r="V53" s="97"/>
      <c r="W53" s="97"/>
      <c r="X53" s="97"/>
      <c r="Y53" s="98"/>
      <c r="Z53" s="96">
        <v>0</v>
      </c>
      <c r="AA53" s="97"/>
      <c r="AB53" s="97"/>
      <c r="AC53" s="97"/>
      <c r="AD53" s="98"/>
      <c r="AE53" s="96">
        <v>0</v>
      </c>
      <c r="AF53" s="97"/>
      <c r="AG53" s="97"/>
      <c r="AH53" s="98"/>
      <c r="AI53" s="96">
        <f t="shared" si="0"/>
        <v>5122</v>
      </c>
      <c r="AJ53" s="97"/>
      <c r="AK53" s="97"/>
      <c r="AL53" s="97"/>
      <c r="AM53" s="98"/>
      <c r="AN53" s="96">
        <v>6000</v>
      </c>
      <c r="AO53" s="97"/>
      <c r="AP53" s="97"/>
      <c r="AQ53" s="97"/>
      <c r="AR53" s="98"/>
      <c r="AS53" s="96">
        <v>0</v>
      </c>
      <c r="AT53" s="97"/>
      <c r="AU53" s="97"/>
      <c r="AV53" s="97"/>
      <c r="AW53" s="98"/>
      <c r="AX53" s="96">
        <v>0</v>
      </c>
      <c r="AY53" s="97"/>
      <c r="AZ53" s="97"/>
      <c r="BA53" s="98"/>
      <c r="BB53" s="96">
        <f t="shared" si="1"/>
        <v>6000</v>
      </c>
      <c r="BC53" s="97"/>
      <c r="BD53" s="97"/>
      <c r="BE53" s="97"/>
      <c r="BF53" s="98"/>
      <c r="BG53" s="96">
        <v>6500</v>
      </c>
      <c r="BH53" s="97"/>
      <c r="BI53" s="97"/>
      <c r="BJ53" s="97"/>
      <c r="BK53" s="98"/>
      <c r="BL53" s="96">
        <v>0</v>
      </c>
      <c r="BM53" s="97"/>
      <c r="BN53" s="97"/>
      <c r="BO53" s="97"/>
      <c r="BP53" s="98"/>
      <c r="BQ53" s="96">
        <v>0</v>
      </c>
      <c r="BR53" s="97"/>
      <c r="BS53" s="97"/>
      <c r="BT53" s="98"/>
      <c r="BU53" s="96">
        <f t="shared" si="2"/>
        <v>6500</v>
      </c>
      <c r="BV53" s="97"/>
      <c r="BW53" s="97"/>
      <c r="BX53" s="97"/>
      <c r="BY53" s="98"/>
    </row>
    <row r="54" spans="1:79" s="14" customFormat="1" ht="12.75" customHeight="1" x14ac:dyDescent="0.2">
      <c r="A54" s="92">
        <v>2250</v>
      </c>
      <c r="B54" s="93"/>
      <c r="C54" s="93"/>
      <c r="D54" s="94"/>
      <c r="E54" s="56" t="s">
        <v>133</v>
      </c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8"/>
      <c r="U54" s="96">
        <v>0</v>
      </c>
      <c r="V54" s="97"/>
      <c r="W54" s="97"/>
      <c r="X54" s="97"/>
      <c r="Y54" s="98"/>
      <c r="Z54" s="96">
        <v>0</v>
      </c>
      <c r="AA54" s="97"/>
      <c r="AB54" s="97"/>
      <c r="AC54" s="97"/>
      <c r="AD54" s="98"/>
      <c r="AE54" s="96">
        <v>0</v>
      </c>
      <c r="AF54" s="97"/>
      <c r="AG54" s="97"/>
      <c r="AH54" s="98"/>
      <c r="AI54" s="96">
        <f t="shared" si="0"/>
        <v>0</v>
      </c>
      <c r="AJ54" s="97"/>
      <c r="AK54" s="97"/>
      <c r="AL54" s="97"/>
      <c r="AM54" s="98"/>
      <c r="AN54" s="96">
        <v>6800</v>
      </c>
      <c r="AO54" s="97"/>
      <c r="AP54" s="97"/>
      <c r="AQ54" s="97"/>
      <c r="AR54" s="98"/>
      <c r="AS54" s="96">
        <v>0</v>
      </c>
      <c r="AT54" s="97"/>
      <c r="AU54" s="97"/>
      <c r="AV54" s="97"/>
      <c r="AW54" s="98"/>
      <c r="AX54" s="96">
        <v>0</v>
      </c>
      <c r="AY54" s="97"/>
      <c r="AZ54" s="97"/>
      <c r="BA54" s="98"/>
      <c r="BB54" s="96">
        <f t="shared" si="1"/>
        <v>6800</v>
      </c>
      <c r="BC54" s="97"/>
      <c r="BD54" s="97"/>
      <c r="BE54" s="97"/>
      <c r="BF54" s="98"/>
      <c r="BG54" s="96">
        <v>36120</v>
      </c>
      <c r="BH54" s="97"/>
      <c r="BI54" s="97"/>
      <c r="BJ54" s="97"/>
      <c r="BK54" s="98"/>
      <c r="BL54" s="96">
        <v>0</v>
      </c>
      <c r="BM54" s="97"/>
      <c r="BN54" s="97"/>
      <c r="BO54" s="97"/>
      <c r="BP54" s="98"/>
      <c r="BQ54" s="96">
        <v>0</v>
      </c>
      <c r="BR54" s="97"/>
      <c r="BS54" s="97"/>
      <c r="BT54" s="98"/>
      <c r="BU54" s="96">
        <f t="shared" si="2"/>
        <v>36120</v>
      </c>
      <c r="BV54" s="97"/>
      <c r="BW54" s="97"/>
      <c r="BX54" s="97"/>
      <c r="BY54" s="98"/>
    </row>
    <row r="55" spans="1:79" s="3" customFormat="1" ht="12.75" customHeight="1" x14ac:dyDescent="0.2">
      <c r="A55" s="99"/>
      <c r="B55" s="100"/>
      <c r="C55" s="100"/>
      <c r="D55" s="101"/>
      <c r="E55" s="44" t="s">
        <v>18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  <c r="U55" s="103">
        <v>603372</v>
      </c>
      <c r="V55" s="104"/>
      <c r="W55" s="104"/>
      <c r="X55" s="104"/>
      <c r="Y55" s="105"/>
      <c r="Z55" s="103">
        <v>0</v>
      </c>
      <c r="AA55" s="104"/>
      <c r="AB55" s="104"/>
      <c r="AC55" s="104"/>
      <c r="AD55" s="105"/>
      <c r="AE55" s="103">
        <v>0</v>
      </c>
      <c r="AF55" s="104"/>
      <c r="AG55" s="104"/>
      <c r="AH55" s="105"/>
      <c r="AI55" s="103">
        <f t="shared" si="0"/>
        <v>603372</v>
      </c>
      <c r="AJ55" s="104"/>
      <c r="AK55" s="104"/>
      <c r="AL55" s="104"/>
      <c r="AM55" s="105"/>
      <c r="AN55" s="103">
        <v>1172257</v>
      </c>
      <c r="AO55" s="104"/>
      <c r="AP55" s="104"/>
      <c r="AQ55" s="104"/>
      <c r="AR55" s="105"/>
      <c r="AS55" s="103">
        <v>0</v>
      </c>
      <c r="AT55" s="104"/>
      <c r="AU55" s="104"/>
      <c r="AV55" s="104"/>
      <c r="AW55" s="105"/>
      <c r="AX55" s="103">
        <v>0</v>
      </c>
      <c r="AY55" s="104"/>
      <c r="AZ55" s="104"/>
      <c r="BA55" s="105"/>
      <c r="BB55" s="103">
        <f t="shared" si="1"/>
        <v>1172257</v>
      </c>
      <c r="BC55" s="104"/>
      <c r="BD55" s="104"/>
      <c r="BE55" s="104"/>
      <c r="BF55" s="105"/>
      <c r="BG55" s="103">
        <v>1710563</v>
      </c>
      <c r="BH55" s="104"/>
      <c r="BI55" s="104"/>
      <c r="BJ55" s="104"/>
      <c r="BK55" s="105"/>
      <c r="BL55" s="103">
        <v>0</v>
      </c>
      <c r="BM55" s="104"/>
      <c r="BN55" s="104"/>
      <c r="BO55" s="104"/>
      <c r="BP55" s="105"/>
      <c r="BQ55" s="103">
        <v>0</v>
      </c>
      <c r="BR55" s="104"/>
      <c r="BS55" s="104"/>
      <c r="BT55" s="105"/>
      <c r="BU55" s="103">
        <f t="shared" si="2"/>
        <v>1710563</v>
      </c>
      <c r="BV55" s="104"/>
      <c r="BW55" s="104"/>
      <c r="BX55" s="104"/>
      <c r="BY55" s="105"/>
    </row>
    <row r="57" spans="1:79" ht="14.25" customHeight="1" x14ac:dyDescent="0.2">
      <c r="A57" s="77" t="s">
        <v>134</v>
      </c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</row>
    <row r="58" spans="1:79" ht="15" customHeight="1" x14ac:dyDescent="0.2">
      <c r="A58" s="106" t="s">
        <v>55</v>
      </c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  <c r="BX58" s="106"/>
      <c r="BY58" s="106"/>
    </row>
    <row r="59" spans="1:79" ht="23.1" customHeight="1" x14ac:dyDescent="0.2">
      <c r="A59" s="110" t="s">
        <v>135</v>
      </c>
      <c r="B59" s="111"/>
      <c r="C59" s="111"/>
      <c r="D59" s="111"/>
      <c r="E59" s="112"/>
      <c r="F59" s="41" t="s">
        <v>90</v>
      </c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8" t="s">
        <v>56</v>
      </c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50"/>
      <c r="AN59" s="48" t="s">
        <v>57</v>
      </c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50"/>
      <c r="BG59" s="48" t="s">
        <v>58</v>
      </c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50"/>
    </row>
    <row r="60" spans="1:79" ht="51.75" customHeight="1" x14ac:dyDescent="0.2">
      <c r="A60" s="113"/>
      <c r="B60" s="114"/>
      <c r="C60" s="114"/>
      <c r="D60" s="114"/>
      <c r="E60" s="115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8" t="s">
        <v>91</v>
      </c>
      <c r="V60" s="49"/>
      <c r="W60" s="49"/>
      <c r="X60" s="49"/>
      <c r="Y60" s="50"/>
      <c r="Z60" s="48" t="s">
        <v>92</v>
      </c>
      <c r="AA60" s="49"/>
      <c r="AB60" s="49"/>
      <c r="AC60" s="49"/>
      <c r="AD60" s="50"/>
      <c r="AE60" s="86" t="s">
        <v>93</v>
      </c>
      <c r="AF60" s="87"/>
      <c r="AG60" s="87"/>
      <c r="AH60" s="88"/>
      <c r="AI60" s="48" t="s">
        <v>94</v>
      </c>
      <c r="AJ60" s="49"/>
      <c r="AK60" s="49"/>
      <c r="AL60" s="49"/>
      <c r="AM60" s="50"/>
      <c r="AN60" s="48" t="s">
        <v>91</v>
      </c>
      <c r="AO60" s="49"/>
      <c r="AP60" s="49"/>
      <c r="AQ60" s="49"/>
      <c r="AR60" s="50"/>
      <c r="AS60" s="48" t="s">
        <v>92</v>
      </c>
      <c r="AT60" s="49"/>
      <c r="AU60" s="49"/>
      <c r="AV60" s="49"/>
      <c r="AW60" s="50"/>
      <c r="AX60" s="86" t="s">
        <v>93</v>
      </c>
      <c r="AY60" s="87"/>
      <c r="AZ60" s="87"/>
      <c r="BA60" s="88"/>
      <c r="BB60" s="48" t="s">
        <v>95</v>
      </c>
      <c r="BC60" s="49"/>
      <c r="BD60" s="49"/>
      <c r="BE60" s="49"/>
      <c r="BF60" s="50"/>
      <c r="BG60" s="48" t="s">
        <v>91</v>
      </c>
      <c r="BH60" s="49"/>
      <c r="BI60" s="49"/>
      <c r="BJ60" s="49"/>
      <c r="BK60" s="50"/>
      <c r="BL60" s="48" t="s">
        <v>92</v>
      </c>
      <c r="BM60" s="49"/>
      <c r="BN60" s="49"/>
      <c r="BO60" s="49"/>
      <c r="BP60" s="50"/>
      <c r="BQ60" s="86" t="s">
        <v>93</v>
      </c>
      <c r="BR60" s="87"/>
      <c r="BS60" s="87"/>
      <c r="BT60" s="88"/>
      <c r="BU60" s="41" t="s">
        <v>96</v>
      </c>
      <c r="BV60" s="41"/>
      <c r="BW60" s="41"/>
      <c r="BX60" s="41"/>
      <c r="BY60" s="41"/>
    </row>
    <row r="61" spans="1:79" ht="15" customHeight="1" x14ac:dyDescent="0.2">
      <c r="A61" s="48">
        <v>1</v>
      </c>
      <c r="B61" s="49"/>
      <c r="C61" s="49"/>
      <c r="D61" s="49"/>
      <c r="E61" s="50"/>
      <c r="F61" s="48">
        <v>2</v>
      </c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50"/>
      <c r="U61" s="48">
        <v>3</v>
      </c>
      <c r="V61" s="49"/>
      <c r="W61" s="49"/>
      <c r="X61" s="49"/>
      <c r="Y61" s="50"/>
      <c r="Z61" s="48">
        <v>4</v>
      </c>
      <c r="AA61" s="49"/>
      <c r="AB61" s="49"/>
      <c r="AC61" s="49"/>
      <c r="AD61" s="50"/>
      <c r="AE61" s="48">
        <v>5</v>
      </c>
      <c r="AF61" s="49"/>
      <c r="AG61" s="49"/>
      <c r="AH61" s="50"/>
      <c r="AI61" s="48">
        <v>6</v>
      </c>
      <c r="AJ61" s="49"/>
      <c r="AK61" s="49"/>
      <c r="AL61" s="49"/>
      <c r="AM61" s="50"/>
      <c r="AN61" s="48">
        <v>7</v>
      </c>
      <c r="AO61" s="49"/>
      <c r="AP61" s="49"/>
      <c r="AQ61" s="49"/>
      <c r="AR61" s="50"/>
      <c r="AS61" s="48">
        <v>8</v>
      </c>
      <c r="AT61" s="49"/>
      <c r="AU61" s="49"/>
      <c r="AV61" s="49"/>
      <c r="AW61" s="50"/>
      <c r="AX61" s="48">
        <v>9</v>
      </c>
      <c r="AY61" s="49"/>
      <c r="AZ61" s="49"/>
      <c r="BA61" s="50"/>
      <c r="BB61" s="48">
        <v>10</v>
      </c>
      <c r="BC61" s="49"/>
      <c r="BD61" s="49"/>
      <c r="BE61" s="49"/>
      <c r="BF61" s="50"/>
      <c r="BG61" s="48">
        <v>11</v>
      </c>
      <c r="BH61" s="49"/>
      <c r="BI61" s="49"/>
      <c r="BJ61" s="49"/>
      <c r="BK61" s="50"/>
      <c r="BL61" s="48">
        <v>12</v>
      </c>
      <c r="BM61" s="49"/>
      <c r="BN61" s="49"/>
      <c r="BO61" s="49"/>
      <c r="BP61" s="50"/>
      <c r="BQ61" s="48">
        <v>13</v>
      </c>
      <c r="BR61" s="49"/>
      <c r="BS61" s="49"/>
      <c r="BT61" s="50"/>
      <c r="BU61" s="41">
        <v>14</v>
      </c>
      <c r="BV61" s="41"/>
      <c r="BW61" s="41"/>
      <c r="BX61" s="41"/>
      <c r="BY61" s="41"/>
    </row>
    <row r="62" spans="1:79" s="71" customFormat="1" ht="13.5" hidden="1" customHeight="1" x14ac:dyDescent="0.2">
      <c r="A62" s="51" t="s">
        <v>126</v>
      </c>
      <c r="B62" s="52"/>
      <c r="C62" s="52"/>
      <c r="D62" s="52"/>
      <c r="E62" s="53"/>
      <c r="F62" s="51" t="s">
        <v>98</v>
      </c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51" t="s">
        <v>99</v>
      </c>
      <c r="V62" s="52"/>
      <c r="W62" s="52"/>
      <c r="X62" s="52"/>
      <c r="Y62" s="53"/>
      <c r="Z62" s="51" t="s">
        <v>100</v>
      </c>
      <c r="AA62" s="52"/>
      <c r="AB62" s="52"/>
      <c r="AC62" s="52"/>
      <c r="AD62" s="53"/>
      <c r="AE62" s="51" t="s">
        <v>101</v>
      </c>
      <c r="AF62" s="52"/>
      <c r="AG62" s="52"/>
      <c r="AH62" s="53"/>
      <c r="AI62" s="89" t="s">
        <v>102</v>
      </c>
      <c r="AJ62" s="90"/>
      <c r="AK62" s="90"/>
      <c r="AL62" s="90"/>
      <c r="AM62" s="91"/>
      <c r="AN62" s="51" t="s">
        <v>103</v>
      </c>
      <c r="AO62" s="52"/>
      <c r="AP62" s="52"/>
      <c r="AQ62" s="52"/>
      <c r="AR62" s="53"/>
      <c r="AS62" s="51" t="s">
        <v>104</v>
      </c>
      <c r="AT62" s="52"/>
      <c r="AU62" s="52"/>
      <c r="AV62" s="52"/>
      <c r="AW62" s="53"/>
      <c r="AX62" s="51" t="s">
        <v>105</v>
      </c>
      <c r="AY62" s="52"/>
      <c r="AZ62" s="52"/>
      <c r="BA62" s="53"/>
      <c r="BB62" s="89" t="s">
        <v>102</v>
      </c>
      <c r="BC62" s="90"/>
      <c r="BD62" s="90"/>
      <c r="BE62" s="90"/>
      <c r="BF62" s="91"/>
      <c r="BG62" s="51" t="s">
        <v>106</v>
      </c>
      <c r="BH62" s="52"/>
      <c r="BI62" s="52"/>
      <c r="BJ62" s="52"/>
      <c r="BK62" s="53"/>
      <c r="BL62" s="51" t="s">
        <v>107</v>
      </c>
      <c r="BM62" s="52"/>
      <c r="BN62" s="52"/>
      <c r="BO62" s="52"/>
      <c r="BP62" s="53"/>
      <c r="BQ62" s="51" t="s">
        <v>108</v>
      </c>
      <c r="BR62" s="52"/>
      <c r="BS62" s="52"/>
      <c r="BT62" s="53"/>
      <c r="BU62" s="116" t="s">
        <v>102</v>
      </c>
      <c r="BV62" s="116"/>
      <c r="BW62" s="116"/>
      <c r="BX62" s="116"/>
      <c r="BY62" s="116"/>
      <c r="CA62" t="s">
        <v>136</v>
      </c>
    </row>
    <row r="63" spans="1:79" s="3" customFormat="1" ht="12.75" customHeight="1" x14ac:dyDescent="0.2">
      <c r="A63" s="99"/>
      <c r="B63" s="100"/>
      <c r="C63" s="100"/>
      <c r="D63" s="100"/>
      <c r="E63" s="101"/>
      <c r="F63" s="99" t="s">
        <v>18</v>
      </c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1"/>
      <c r="U63" s="103"/>
      <c r="V63" s="104"/>
      <c r="W63" s="104"/>
      <c r="X63" s="104"/>
      <c r="Y63" s="105"/>
      <c r="Z63" s="103"/>
      <c r="AA63" s="104"/>
      <c r="AB63" s="104"/>
      <c r="AC63" s="104"/>
      <c r="AD63" s="105"/>
      <c r="AE63" s="103"/>
      <c r="AF63" s="104"/>
      <c r="AG63" s="104"/>
      <c r="AH63" s="105"/>
      <c r="AI63" s="103">
        <f>IF(ISNUMBER(U63),U63,0)+IF(ISNUMBER(Z63),Z63,0)</f>
        <v>0</v>
      </c>
      <c r="AJ63" s="104"/>
      <c r="AK63" s="104"/>
      <c r="AL63" s="104"/>
      <c r="AM63" s="105"/>
      <c r="AN63" s="103"/>
      <c r="AO63" s="104"/>
      <c r="AP63" s="104"/>
      <c r="AQ63" s="104"/>
      <c r="AR63" s="105"/>
      <c r="AS63" s="103"/>
      <c r="AT63" s="104"/>
      <c r="AU63" s="104"/>
      <c r="AV63" s="104"/>
      <c r="AW63" s="105"/>
      <c r="AX63" s="103"/>
      <c r="AY63" s="104"/>
      <c r="AZ63" s="104"/>
      <c r="BA63" s="105"/>
      <c r="BB63" s="103">
        <f>IF(ISNUMBER(AN63),AN63,0)+IF(ISNUMBER(AS63),AS63,0)</f>
        <v>0</v>
      </c>
      <c r="BC63" s="104"/>
      <c r="BD63" s="104"/>
      <c r="BE63" s="104"/>
      <c r="BF63" s="105"/>
      <c r="BG63" s="103"/>
      <c r="BH63" s="104"/>
      <c r="BI63" s="104"/>
      <c r="BJ63" s="104"/>
      <c r="BK63" s="105"/>
      <c r="BL63" s="103"/>
      <c r="BM63" s="104"/>
      <c r="BN63" s="104"/>
      <c r="BO63" s="104"/>
      <c r="BP63" s="105"/>
      <c r="BQ63" s="103"/>
      <c r="BR63" s="104"/>
      <c r="BS63" s="104"/>
      <c r="BT63" s="105"/>
      <c r="BU63" s="103">
        <f>IF(ISNUMBER(BG63),BG63,0)+IF(ISNUMBER(BL63),BL63,0)</f>
        <v>0</v>
      </c>
      <c r="BV63" s="104"/>
      <c r="BW63" s="104"/>
      <c r="BX63" s="104"/>
      <c r="BY63" s="105"/>
      <c r="CA63" s="3" t="s">
        <v>137</v>
      </c>
    </row>
    <row r="65" spans="1:79" ht="14.25" customHeight="1" x14ac:dyDescent="0.2">
      <c r="A65" s="77" t="s">
        <v>138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</row>
    <row r="66" spans="1:79" ht="15" customHeight="1" x14ac:dyDescent="0.2">
      <c r="A66" s="106" t="s">
        <v>55</v>
      </c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106"/>
      <c r="AL66" s="106"/>
      <c r="AM66" s="106"/>
      <c r="AN66" s="106"/>
      <c r="AO66" s="106"/>
      <c r="AP66" s="106"/>
      <c r="AQ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06"/>
      <c r="BC66" s="106"/>
      <c r="BD66" s="106"/>
      <c r="BE66" s="106"/>
      <c r="BF66" s="106"/>
      <c r="BG66" s="106"/>
      <c r="BH66" s="106"/>
      <c r="BI66" s="106"/>
      <c r="BJ66" s="106"/>
      <c r="BK66" s="106"/>
    </row>
    <row r="67" spans="1:79" ht="23.1" customHeight="1" x14ac:dyDescent="0.2">
      <c r="A67" s="110" t="s">
        <v>125</v>
      </c>
      <c r="B67" s="111"/>
      <c r="C67" s="111"/>
      <c r="D67" s="112"/>
      <c r="E67" s="80" t="s">
        <v>90</v>
      </c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2"/>
      <c r="X67" s="48" t="s">
        <v>59</v>
      </c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50"/>
      <c r="AR67" s="41" t="s">
        <v>61</v>
      </c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</row>
    <row r="68" spans="1:79" ht="48.75" customHeight="1" x14ac:dyDescent="0.2">
      <c r="A68" s="113"/>
      <c r="B68" s="114"/>
      <c r="C68" s="114"/>
      <c r="D68" s="115"/>
      <c r="E68" s="83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5"/>
      <c r="X68" s="80" t="s">
        <v>91</v>
      </c>
      <c r="Y68" s="81"/>
      <c r="Z68" s="81"/>
      <c r="AA68" s="81"/>
      <c r="AB68" s="82"/>
      <c r="AC68" s="80" t="s">
        <v>92</v>
      </c>
      <c r="AD68" s="81"/>
      <c r="AE68" s="81"/>
      <c r="AF68" s="81"/>
      <c r="AG68" s="82"/>
      <c r="AH68" s="86" t="s">
        <v>93</v>
      </c>
      <c r="AI68" s="87"/>
      <c r="AJ68" s="87"/>
      <c r="AK68" s="87"/>
      <c r="AL68" s="88"/>
      <c r="AM68" s="48" t="s">
        <v>94</v>
      </c>
      <c r="AN68" s="49"/>
      <c r="AO68" s="49"/>
      <c r="AP68" s="49"/>
      <c r="AQ68" s="50"/>
      <c r="AR68" s="48" t="s">
        <v>91</v>
      </c>
      <c r="AS68" s="49"/>
      <c r="AT68" s="49"/>
      <c r="AU68" s="49"/>
      <c r="AV68" s="50"/>
      <c r="AW68" s="48" t="s">
        <v>92</v>
      </c>
      <c r="AX68" s="49"/>
      <c r="AY68" s="49"/>
      <c r="AZ68" s="49"/>
      <c r="BA68" s="50"/>
      <c r="BB68" s="86" t="s">
        <v>93</v>
      </c>
      <c r="BC68" s="87"/>
      <c r="BD68" s="87"/>
      <c r="BE68" s="87"/>
      <c r="BF68" s="88"/>
      <c r="BG68" s="48" t="s">
        <v>95</v>
      </c>
      <c r="BH68" s="49"/>
      <c r="BI68" s="49"/>
      <c r="BJ68" s="49"/>
      <c r="BK68" s="50"/>
    </row>
    <row r="69" spans="1:79" ht="12.75" customHeight="1" x14ac:dyDescent="0.2">
      <c r="A69" s="48">
        <v>1</v>
      </c>
      <c r="B69" s="49"/>
      <c r="C69" s="49"/>
      <c r="D69" s="50"/>
      <c r="E69" s="48">
        <v>2</v>
      </c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50"/>
      <c r="X69" s="48">
        <v>3</v>
      </c>
      <c r="Y69" s="49"/>
      <c r="Z69" s="49"/>
      <c r="AA69" s="49"/>
      <c r="AB69" s="50"/>
      <c r="AC69" s="48">
        <v>4</v>
      </c>
      <c r="AD69" s="49"/>
      <c r="AE69" s="49"/>
      <c r="AF69" s="49"/>
      <c r="AG69" s="50"/>
      <c r="AH69" s="48">
        <v>5</v>
      </c>
      <c r="AI69" s="49"/>
      <c r="AJ69" s="49"/>
      <c r="AK69" s="49"/>
      <c r="AL69" s="50"/>
      <c r="AM69" s="48">
        <v>6</v>
      </c>
      <c r="AN69" s="49"/>
      <c r="AO69" s="49"/>
      <c r="AP69" s="49"/>
      <c r="AQ69" s="50"/>
      <c r="AR69" s="48">
        <v>7</v>
      </c>
      <c r="AS69" s="49"/>
      <c r="AT69" s="49"/>
      <c r="AU69" s="49"/>
      <c r="AV69" s="50"/>
      <c r="AW69" s="48">
        <v>8</v>
      </c>
      <c r="AX69" s="49"/>
      <c r="AY69" s="49"/>
      <c r="AZ69" s="49"/>
      <c r="BA69" s="50"/>
      <c r="BB69" s="48">
        <v>9</v>
      </c>
      <c r="BC69" s="49"/>
      <c r="BD69" s="49"/>
      <c r="BE69" s="49"/>
      <c r="BF69" s="50"/>
      <c r="BG69" s="48">
        <v>10</v>
      </c>
      <c r="BH69" s="49"/>
      <c r="BI69" s="49"/>
      <c r="BJ69" s="49"/>
      <c r="BK69" s="50"/>
    </row>
    <row r="70" spans="1:79" s="71" customFormat="1" ht="12.75" hidden="1" customHeight="1" x14ac:dyDescent="0.2">
      <c r="A70" s="51" t="s">
        <v>126</v>
      </c>
      <c r="B70" s="52"/>
      <c r="C70" s="52"/>
      <c r="D70" s="53"/>
      <c r="E70" s="51" t="s">
        <v>98</v>
      </c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3"/>
      <c r="X70" s="117" t="s">
        <v>114</v>
      </c>
      <c r="Y70" s="118"/>
      <c r="Z70" s="118"/>
      <c r="AA70" s="118"/>
      <c r="AB70" s="119"/>
      <c r="AC70" s="117" t="s">
        <v>115</v>
      </c>
      <c r="AD70" s="118"/>
      <c r="AE70" s="118"/>
      <c r="AF70" s="118"/>
      <c r="AG70" s="119"/>
      <c r="AH70" s="51" t="s">
        <v>116</v>
      </c>
      <c r="AI70" s="52"/>
      <c r="AJ70" s="52"/>
      <c r="AK70" s="52"/>
      <c r="AL70" s="53"/>
      <c r="AM70" s="89" t="s">
        <v>117</v>
      </c>
      <c r="AN70" s="90"/>
      <c r="AO70" s="90"/>
      <c r="AP70" s="90"/>
      <c r="AQ70" s="91"/>
      <c r="AR70" s="51" t="s">
        <v>118</v>
      </c>
      <c r="AS70" s="52"/>
      <c r="AT70" s="52"/>
      <c r="AU70" s="52"/>
      <c r="AV70" s="53"/>
      <c r="AW70" s="51" t="s">
        <v>119</v>
      </c>
      <c r="AX70" s="52"/>
      <c r="AY70" s="52"/>
      <c r="AZ70" s="52"/>
      <c r="BA70" s="53"/>
      <c r="BB70" s="51" t="s">
        <v>120</v>
      </c>
      <c r="BC70" s="52"/>
      <c r="BD70" s="52"/>
      <c r="BE70" s="52"/>
      <c r="BF70" s="53"/>
      <c r="BG70" s="89" t="s">
        <v>117</v>
      </c>
      <c r="BH70" s="90"/>
      <c r="BI70" s="90"/>
      <c r="BJ70" s="90"/>
      <c r="BK70" s="91"/>
      <c r="CA70" t="s">
        <v>139</v>
      </c>
    </row>
    <row r="71" spans="1:79" s="14" customFormat="1" ht="12.75" customHeight="1" x14ac:dyDescent="0.2">
      <c r="A71" s="92">
        <v>2111</v>
      </c>
      <c r="B71" s="93"/>
      <c r="C71" s="93"/>
      <c r="D71" s="94"/>
      <c r="E71" s="56" t="s">
        <v>128</v>
      </c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8"/>
      <c r="X71" s="96">
        <v>1355000</v>
      </c>
      <c r="Y71" s="97"/>
      <c r="Z71" s="97"/>
      <c r="AA71" s="97"/>
      <c r="AB71" s="98"/>
      <c r="AC71" s="96">
        <v>0</v>
      </c>
      <c r="AD71" s="97"/>
      <c r="AE71" s="97"/>
      <c r="AF71" s="97"/>
      <c r="AG71" s="98"/>
      <c r="AH71" s="96">
        <v>0</v>
      </c>
      <c r="AI71" s="97"/>
      <c r="AJ71" s="97"/>
      <c r="AK71" s="97"/>
      <c r="AL71" s="98"/>
      <c r="AM71" s="96">
        <f t="shared" ref="AM71:AM76" si="3">IF(ISNUMBER(X71),X71,0)+IF(ISNUMBER(AC71),AC71,0)</f>
        <v>1355000</v>
      </c>
      <c r="AN71" s="97"/>
      <c r="AO71" s="97"/>
      <c r="AP71" s="97"/>
      <c r="AQ71" s="98"/>
      <c r="AR71" s="96">
        <v>1355000</v>
      </c>
      <c r="AS71" s="97"/>
      <c r="AT71" s="97"/>
      <c r="AU71" s="97"/>
      <c r="AV71" s="98"/>
      <c r="AW71" s="96">
        <v>0</v>
      </c>
      <c r="AX71" s="97"/>
      <c r="AY71" s="97"/>
      <c r="AZ71" s="97"/>
      <c r="BA71" s="98"/>
      <c r="BB71" s="96">
        <v>0</v>
      </c>
      <c r="BC71" s="97"/>
      <c r="BD71" s="97"/>
      <c r="BE71" s="97"/>
      <c r="BF71" s="98"/>
      <c r="BG71" s="95">
        <f t="shared" ref="BG71:BG76" si="4">IF(ISNUMBER(AR71),AR71,0)+IF(ISNUMBER(AW71),AW71,0)</f>
        <v>1355000</v>
      </c>
      <c r="BH71" s="95"/>
      <c r="BI71" s="95"/>
      <c r="BJ71" s="95"/>
      <c r="BK71" s="95"/>
      <c r="CA71" s="14" t="s">
        <v>140</v>
      </c>
    </row>
    <row r="72" spans="1:79" s="14" customFormat="1" ht="12.75" customHeight="1" x14ac:dyDescent="0.2">
      <c r="A72" s="92">
        <v>2120</v>
      </c>
      <c r="B72" s="93"/>
      <c r="C72" s="93"/>
      <c r="D72" s="94"/>
      <c r="E72" s="56" t="s">
        <v>130</v>
      </c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8"/>
      <c r="X72" s="96">
        <v>298100</v>
      </c>
      <c r="Y72" s="97"/>
      <c r="Z72" s="97"/>
      <c r="AA72" s="97"/>
      <c r="AB72" s="98"/>
      <c r="AC72" s="96">
        <v>0</v>
      </c>
      <c r="AD72" s="97"/>
      <c r="AE72" s="97"/>
      <c r="AF72" s="97"/>
      <c r="AG72" s="98"/>
      <c r="AH72" s="96">
        <v>0</v>
      </c>
      <c r="AI72" s="97"/>
      <c r="AJ72" s="97"/>
      <c r="AK72" s="97"/>
      <c r="AL72" s="98"/>
      <c r="AM72" s="96">
        <f t="shared" si="3"/>
        <v>298100</v>
      </c>
      <c r="AN72" s="97"/>
      <c r="AO72" s="97"/>
      <c r="AP72" s="97"/>
      <c r="AQ72" s="98"/>
      <c r="AR72" s="96">
        <v>298100</v>
      </c>
      <c r="AS72" s="97"/>
      <c r="AT72" s="97"/>
      <c r="AU72" s="97"/>
      <c r="AV72" s="98"/>
      <c r="AW72" s="96">
        <v>0</v>
      </c>
      <c r="AX72" s="97"/>
      <c r="AY72" s="97"/>
      <c r="AZ72" s="97"/>
      <c r="BA72" s="98"/>
      <c r="BB72" s="96">
        <v>0</v>
      </c>
      <c r="BC72" s="97"/>
      <c r="BD72" s="97"/>
      <c r="BE72" s="97"/>
      <c r="BF72" s="98"/>
      <c r="BG72" s="95">
        <f t="shared" si="4"/>
        <v>298100</v>
      </c>
      <c r="BH72" s="95"/>
      <c r="BI72" s="95"/>
      <c r="BJ72" s="95"/>
      <c r="BK72" s="95"/>
    </row>
    <row r="73" spans="1:79" s="14" customFormat="1" ht="12.75" customHeight="1" x14ac:dyDescent="0.2">
      <c r="A73" s="92">
        <v>2210</v>
      </c>
      <c r="B73" s="93"/>
      <c r="C73" s="93"/>
      <c r="D73" s="94"/>
      <c r="E73" s="56" t="s">
        <v>131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8"/>
      <c r="X73" s="96">
        <v>16312</v>
      </c>
      <c r="Y73" s="97"/>
      <c r="Z73" s="97"/>
      <c r="AA73" s="97"/>
      <c r="AB73" s="98"/>
      <c r="AC73" s="96">
        <v>0</v>
      </c>
      <c r="AD73" s="97"/>
      <c r="AE73" s="97"/>
      <c r="AF73" s="97"/>
      <c r="AG73" s="98"/>
      <c r="AH73" s="96">
        <v>0</v>
      </c>
      <c r="AI73" s="97"/>
      <c r="AJ73" s="97"/>
      <c r="AK73" s="97"/>
      <c r="AL73" s="98"/>
      <c r="AM73" s="96">
        <f t="shared" si="3"/>
        <v>16312</v>
      </c>
      <c r="AN73" s="97"/>
      <c r="AO73" s="97"/>
      <c r="AP73" s="97"/>
      <c r="AQ73" s="98"/>
      <c r="AR73" s="96">
        <v>17617</v>
      </c>
      <c r="AS73" s="97"/>
      <c r="AT73" s="97"/>
      <c r="AU73" s="97"/>
      <c r="AV73" s="98"/>
      <c r="AW73" s="96">
        <v>0</v>
      </c>
      <c r="AX73" s="97"/>
      <c r="AY73" s="97"/>
      <c r="AZ73" s="97"/>
      <c r="BA73" s="98"/>
      <c r="BB73" s="96">
        <v>0</v>
      </c>
      <c r="BC73" s="97"/>
      <c r="BD73" s="97"/>
      <c r="BE73" s="97"/>
      <c r="BF73" s="98"/>
      <c r="BG73" s="95">
        <f t="shared" si="4"/>
        <v>17617</v>
      </c>
      <c r="BH73" s="95"/>
      <c r="BI73" s="95"/>
      <c r="BJ73" s="95"/>
      <c r="BK73" s="95"/>
    </row>
    <row r="74" spans="1:79" s="14" customFormat="1" ht="12.75" customHeight="1" x14ac:dyDescent="0.2">
      <c r="A74" s="92">
        <v>2240</v>
      </c>
      <c r="B74" s="93"/>
      <c r="C74" s="93"/>
      <c r="D74" s="94"/>
      <c r="E74" s="56" t="s">
        <v>132</v>
      </c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8"/>
      <c r="X74" s="96">
        <v>7144</v>
      </c>
      <c r="Y74" s="97"/>
      <c r="Z74" s="97"/>
      <c r="AA74" s="97"/>
      <c r="AB74" s="98"/>
      <c r="AC74" s="96">
        <v>0</v>
      </c>
      <c r="AD74" s="97"/>
      <c r="AE74" s="97"/>
      <c r="AF74" s="97"/>
      <c r="AG74" s="98"/>
      <c r="AH74" s="96">
        <v>0</v>
      </c>
      <c r="AI74" s="97"/>
      <c r="AJ74" s="97"/>
      <c r="AK74" s="97"/>
      <c r="AL74" s="98"/>
      <c r="AM74" s="96">
        <f t="shared" si="3"/>
        <v>7144</v>
      </c>
      <c r="AN74" s="97"/>
      <c r="AO74" s="97"/>
      <c r="AP74" s="97"/>
      <c r="AQ74" s="98"/>
      <c r="AR74" s="96">
        <v>7716</v>
      </c>
      <c r="AS74" s="97"/>
      <c r="AT74" s="97"/>
      <c r="AU74" s="97"/>
      <c r="AV74" s="98"/>
      <c r="AW74" s="96">
        <v>0</v>
      </c>
      <c r="AX74" s="97"/>
      <c r="AY74" s="97"/>
      <c r="AZ74" s="97"/>
      <c r="BA74" s="98"/>
      <c r="BB74" s="96">
        <v>0</v>
      </c>
      <c r="BC74" s="97"/>
      <c r="BD74" s="97"/>
      <c r="BE74" s="97"/>
      <c r="BF74" s="98"/>
      <c r="BG74" s="95">
        <f t="shared" si="4"/>
        <v>7716</v>
      </c>
      <c r="BH74" s="95"/>
      <c r="BI74" s="95"/>
      <c r="BJ74" s="95"/>
      <c r="BK74" s="95"/>
    </row>
    <row r="75" spans="1:79" s="14" customFormat="1" ht="12.75" customHeight="1" x14ac:dyDescent="0.2">
      <c r="A75" s="92">
        <v>2250</v>
      </c>
      <c r="B75" s="93"/>
      <c r="C75" s="93"/>
      <c r="D75" s="94"/>
      <c r="E75" s="56" t="s">
        <v>133</v>
      </c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8"/>
      <c r="X75" s="96">
        <v>39696</v>
      </c>
      <c r="Y75" s="97"/>
      <c r="Z75" s="97"/>
      <c r="AA75" s="97"/>
      <c r="AB75" s="98"/>
      <c r="AC75" s="96">
        <v>0</v>
      </c>
      <c r="AD75" s="97"/>
      <c r="AE75" s="97"/>
      <c r="AF75" s="97"/>
      <c r="AG75" s="98"/>
      <c r="AH75" s="96">
        <v>0</v>
      </c>
      <c r="AI75" s="97"/>
      <c r="AJ75" s="97"/>
      <c r="AK75" s="97"/>
      <c r="AL75" s="98"/>
      <c r="AM75" s="96">
        <f t="shared" si="3"/>
        <v>39696</v>
      </c>
      <c r="AN75" s="97"/>
      <c r="AO75" s="97"/>
      <c r="AP75" s="97"/>
      <c r="AQ75" s="98"/>
      <c r="AR75" s="96">
        <v>42872</v>
      </c>
      <c r="AS75" s="97"/>
      <c r="AT75" s="97"/>
      <c r="AU75" s="97"/>
      <c r="AV75" s="98"/>
      <c r="AW75" s="96">
        <v>0</v>
      </c>
      <c r="AX75" s="97"/>
      <c r="AY75" s="97"/>
      <c r="AZ75" s="97"/>
      <c r="BA75" s="98"/>
      <c r="BB75" s="96">
        <v>0</v>
      </c>
      <c r="BC75" s="97"/>
      <c r="BD75" s="97"/>
      <c r="BE75" s="97"/>
      <c r="BF75" s="98"/>
      <c r="BG75" s="95">
        <f t="shared" si="4"/>
        <v>42872</v>
      </c>
      <c r="BH75" s="95"/>
      <c r="BI75" s="95"/>
      <c r="BJ75" s="95"/>
      <c r="BK75" s="95"/>
    </row>
    <row r="76" spans="1:79" s="3" customFormat="1" ht="12.75" customHeight="1" x14ac:dyDescent="0.2">
      <c r="A76" s="99"/>
      <c r="B76" s="100"/>
      <c r="C76" s="100"/>
      <c r="D76" s="101"/>
      <c r="E76" s="44" t="s">
        <v>18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20"/>
      <c r="X76" s="103">
        <v>1716252</v>
      </c>
      <c r="Y76" s="104"/>
      <c r="Z76" s="104"/>
      <c r="AA76" s="104"/>
      <c r="AB76" s="105"/>
      <c r="AC76" s="103">
        <v>0</v>
      </c>
      <c r="AD76" s="104"/>
      <c r="AE76" s="104"/>
      <c r="AF76" s="104"/>
      <c r="AG76" s="105"/>
      <c r="AH76" s="103">
        <v>0</v>
      </c>
      <c r="AI76" s="104"/>
      <c r="AJ76" s="104"/>
      <c r="AK76" s="104"/>
      <c r="AL76" s="105"/>
      <c r="AM76" s="103">
        <f t="shared" si="3"/>
        <v>1716252</v>
      </c>
      <c r="AN76" s="104"/>
      <c r="AO76" s="104"/>
      <c r="AP76" s="104"/>
      <c r="AQ76" s="105"/>
      <c r="AR76" s="103">
        <v>1721305</v>
      </c>
      <c r="AS76" s="104"/>
      <c r="AT76" s="104"/>
      <c r="AU76" s="104"/>
      <c r="AV76" s="105"/>
      <c r="AW76" s="103">
        <v>0</v>
      </c>
      <c r="AX76" s="104"/>
      <c r="AY76" s="104"/>
      <c r="AZ76" s="104"/>
      <c r="BA76" s="105"/>
      <c r="BB76" s="103">
        <v>0</v>
      </c>
      <c r="BC76" s="104"/>
      <c r="BD76" s="104"/>
      <c r="BE76" s="104"/>
      <c r="BF76" s="105"/>
      <c r="BG76" s="102">
        <f t="shared" si="4"/>
        <v>1721305</v>
      </c>
      <c r="BH76" s="102"/>
      <c r="BI76" s="102"/>
      <c r="BJ76" s="102"/>
      <c r="BK76" s="102"/>
    </row>
    <row r="78" spans="1:79" ht="14.25" customHeight="1" x14ac:dyDescent="0.2">
      <c r="A78" s="77" t="s">
        <v>141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</row>
    <row r="79" spans="1:79" ht="15" customHeight="1" x14ac:dyDescent="0.2">
      <c r="A79" s="106" t="s">
        <v>55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</row>
    <row r="80" spans="1:79" ht="23.1" customHeight="1" x14ac:dyDescent="0.2">
      <c r="A80" s="110" t="s">
        <v>135</v>
      </c>
      <c r="B80" s="111"/>
      <c r="C80" s="111"/>
      <c r="D80" s="111"/>
      <c r="E80" s="112"/>
      <c r="F80" s="80" t="s">
        <v>90</v>
      </c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2"/>
      <c r="X80" s="41" t="s">
        <v>59</v>
      </c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8" t="s">
        <v>61</v>
      </c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50"/>
    </row>
    <row r="81" spans="1:79" ht="53.25" customHeight="1" x14ac:dyDescent="0.2">
      <c r="A81" s="113"/>
      <c r="B81" s="114"/>
      <c r="C81" s="114"/>
      <c r="D81" s="114"/>
      <c r="E81" s="115"/>
      <c r="F81" s="83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5"/>
      <c r="X81" s="48" t="s">
        <v>91</v>
      </c>
      <c r="Y81" s="49"/>
      <c r="Z81" s="49"/>
      <c r="AA81" s="49"/>
      <c r="AB81" s="50"/>
      <c r="AC81" s="48" t="s">
        <v>92</v>
      </c>
      <c r="AD81" s="49"/>
      <c r="AE81" s="49"/>
      <c r="AF81" s="49"/>
      <c r="AG81" s="50"/>
      <c r="AH81" s="86" t="s">
        <v>93</v>
      </c>
      <c r="AI81" s="87"/>
      <c r="AJ81" s="87"/>
      <c r="AK81" s="87"/>
      <c r="AL81" s="88"/>
      <c r="AM81" s="48" t="s">
        <v>94</v>
      </c>
      <c r="AN81" s="49"/>
      <c r="AO81" s="49"/>
      <c r="AP81" s="49"/>
      <c r="AQ81" s="50"/>
      <c r="AR81" s="48" t="s">
        <v>91</v>
      </c>
      <c r="AS81" s="49"/>
      <c r="AT81" s="49"/>
      <c r="AU81" s="49"/>
      <c r="AV81" s="50"/>
      <c r="AW81" s="48" t="s">
        <v>92</v>
      </c>
      <c r="AX81" s="49"/>
      <c r="AY81" s="49"/>
      <c r="AZ81" s="49"/>
      <c r="BA81" s="50"/>
      <c r="BB81" s="120" t="s">
        <v>93</v>
      </c>
      <c r="BC81" s="120"/>
      <c r="BD81" s="120"/>
      <c r="BE81" s="120"/>
      <c r="BF81" s="120"/>
      <c r="BG81" s="48" t="s">
        <v>95</v>
      </c>
      <c r="BH81" s="49"/>
      <c r="BI81" s="49"/>
      <c r="BJ81" s="49"/>
      <c r="BK81" s="50"/>
    </row>
    <row r="82" spans="1:79" ht="15" customHeight="1" x14ac:dyDescent="0.2">
      <c r="A82" s="48">
        <v>1</v>
      </c>
      <c r="B82" s="49"/>
      <c r="C82" s="49"/>
      <c r="D82" s="49"/>
      <c r="E82" s="50"/>
      <c r="F82" s="48">
        <v>2</v>
      </c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50"/>
      <c r="X82" s="48">
        <v>3</v>
      </c>
      <c r="Y82" s="49"/>
      <c r="Z82" s="49"/>
      <c r="AA82" s="49"/>
      <c r="AB82" s="50"/>
      <c r="AC82" s="48">
        <v>4</v>
      </c>
      <c r="AD82" s="49"/>
      <c r="AE82" s="49"/>
      <c r="AF82" s="49"/>
      <c r="AG82" s="50"/>
      <c r="AH82" s="48">
        <v>5</v>
      </c>
      <c r="AI82" s="49"/>
      <c r="AJ82" s="49"/>
      <c r="AK82" s="49"/>
      <c r="AL82" s="50"/>
      <c r="AM82" s="48">
        <v>6</v>
      </c>
      <c r="AN82" s="49"/>
      <c r="AO82" s="49"/>
      <c r="AP82" s="49"/>
      <c r="AQ82" s="50"/>
      <c r="AR82" s="48">
        <v>7</v>
      </c>
      <c r="AS82" s="49"/>
      <c r="AT82" s="49"/>
      <c r="AU82" s="49"/>
      <c r="AV82" s="50"/>
      <c r="AW82" s="48">
        <v>8</v>
      </c>
      <c r="AX82" s="49"/>
      <c r="AY82" s="49"/>
      <c r="AZ82" s="49"/>
      <c r="BA82" s="50"/>
      <c r="BB82" s="48">
        <v>9</v>
      </c>
      <c r="BC82" s="49"/>
      <c r="BD82" s="49"/>
      <c r="BE82" s="49"/>
      <c r="BF82" s="50"/>
      <c r="BG82" s="48">
        <v>10</v>
      </c>
      <c r="BH82" s="49"/>
      <c r="BI82" s="49"/>
      <c r="BJ82" s="49"/>
      <c r="BK82" s="50"/>
    </row>
    <row r="83" spans="1:79" s="71" customFormat="1" ht="15" hidden="1" customHeight="1" x14ac:dyDescent="0.2">
      <c r="A83" s="51" t="s">
        <v>126</v>
      </c>
      <c r="B83" s="52"/>
      <c r="C83" s="52"/>
      <c r="D83" s="52"/>
      <c r="E83" s="53"/>
      <c r="F83" s="51" t="s">
        <v>98</v>
      </c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3"/>
      <c r="X83" s="51" t="s">
        <v>114</v>
      </c>
      <c r="Y83" s="52"/>
      <c r="Z83" s="52"/>
      <c r="AA83" s="52"/>
      <c r="AB83" s="53"/>
      <c r="AC83" s="51" t="s">
        <v>115</v>
      </c>
      <c r="AD83" s="52"/>
      <c r="AE83" s="52"/>
      <c r="AF83" s="52"/>
      <c r="AG83" s="53"/>
      <c r="AH83" s="51" t="s">
        <v>116</v>
      </c>
      <c r="AI83" s="52"/>
      <c r="AJ83" s="52"/>
      <c r="AK83" s="52"/>
      <c r="AL83" s="53"/>
      <c r="AM83" s="89" t="s">
        <v>117</v>
      </c>
      <c r="AN83" s="90"/>
      <c r="AO83" s="90"/>
      <c r="AP83" s="90"/>
      <c r="AQ83" s="91"/>
      <c r="AR83" s="51" t="s">
        <v>118</v>
      </c>
      <c r="AS83" s="52"/>
      <c r="AT83" s="52"/>
      <c r="AU83" s="52"/>
      <c r="AV83" s="53"/>
      <c r="AW83" s="51" t="s">
        <v>119</v>
      </c>
      <c r="AX83" s="52"/>
      <c r="AY83" s="52"/>
      <c r="AZ83" s="52"/>
      <c r="BA83" s="53"/>
      <c r="BB83" s="51" t="s">
        <v>120</v>
      </c>
      <c r="BC83" s="52"/>
      <c r="BD83" s="52"/>
      <c r="BE83" s="52"/>
      <c r="BF83" s="53"/>
      <c r="BG83" s="89" t="s">
        <v>117</v>
      </c>
      <c r="BH83" s="90"/>
      <c r="BI83" s="90"/>
      <c r="BJ83" s="90"/>
      <c r="BK83" s="91"/>
      <c r="CA83" t="s">
        <v>142</v>
      </c>
    </row>
    <row r="84" spans="1:79" s="3" customFormat="1" ht="12.75" customHeight="1" x14ac:dyDescent="0.2">
      <c r="A84" s="99"/>
      <c r="B84" s="100"/>
      <c r="C84" s="100"/>
      <c r="D84" s="100"/>
      <c r="E84" s="101"/>
      <c r="F84" s="99" t="s">
        <v>18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1"/>
      <c r="X84" s="121"/>
      <c r="Y84" s="122"/>
      <c r="Z84" s="122"/>
      <c r="AA84" s="122"/>
      <c r="AB84" s="123"/>
      <c r="AC84" s="121"/>
      <c r="AD84" s="122"/>
      <c r="AE84" s="122"/>
      <c r="AF84" s="122"/>
      <c r="AG84" s="123"/>
      <c r="AH84" s="102"/>
      <c r="AI84" s="102"/>
      <c r="AJ84" s="102"/>
      <c r="AK84" s="102"/>
      <c r="AL84" s="102"/>
      <c r="AM84" s="102">
        <f>IF(ISNUMBER(X84),X84,0)+IF(ISNUMBER(AC84),AC84,0)</f>
        <v>0</v>
      </c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>
        <f>IF(ISNUMBER(AR84),AR84,0)+IF(ISNUMBER(AW84),AW84,0)</f>
        <v>0</v>
      </c>
      <c r="BH84" s="102"/>
      <c r="BI84" s="102"/>
      <c r="BJ84" s="102"/>
      <c r="BK84" s="102"/>
      <c r="CA84" s="3" t="s">
        <v>143</v>
      </c>
    </row>
    <row r="87" spans="1:79" ht="14.25" customHeight="1" x14ac:dyDescent="0.2">
      <c r="A87" s="77" t="s">
        <v>144</v>
      </c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</row>
    <row r="88" spans="1:79" ht="14.25" customHeight="1" x14ac:dyDescent="0.2">
      <c r="A88" s="77" t="s">
        <v>145</v>
      </c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</row>
    <row r="89" spans="1:79" ht="15" customHeight="1" x14ac:dyDescent="0.2">
      <c r="A89" s="106" t="s">
        <v>55</v>
      </c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6"/>
      <c r="BY89" s="106"/>
    </row>
    <row r="90" spans="1:79" ht="23.1" customHeight="1" x14ac:dyDescent="0.2">
      <c r="A90" s="80" t="s">
        <v>146</v>
      </c>
      <c r="B90" s="81"/>
      <c r="C90" s="81"/>
      <c r="D90" s="80" t="s">
        <v>147</v>
      </c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2"/>
      <c r="U90" s="48" t="s">
        <v>56</v>
      </c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50"/>
      <c r="AN90" s="48" t="s">
        <v>57</v>
      </c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50"/>
      <c r="BG90" s="41" t="s">
        <v>58</v>
      </c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</row>
    <row r="91" spans="1:79" ht="52.5" customHeight="1" x14ac:dyDescent="0.2">
      <c r="A91" s="83"/>
      <c r="B91" s="84"/>
      <c r="C91" s="84"/>
      <c r="D91" s="83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5"/>
      <c r="U91" s="48" t="s">
        <v>91</v>
      </c>
      <c r="V91" s="49"/>
      <c r="W91" s="49"/>
      <c r="X91" s="49"/>
      <c r="Y91" s="50"/>
      <c r="Z91" s="48" t="s">
        <v>92</v>
      </c>
      <c r="AA91" s="49"/>
      <c r="AB91" s="49"/>
      <c r="AC91" s="49"/>
      <c r="AD91" s="50"/>
      <c r="AE91" s="86" t="s">
        <v>93</v>
      </c>
      <c r="AF91" s="87"/>
      <c r="AG91" s="87"/>
      <c r="AH91" s="88"/>
      <c r="AI91" s="48" t="s">
        <v>94</v>
      </c>
      <c r="AJ91" s="49"/>
      <c r="AK91" s="49"/>
      <c r="AL91" s="49"/>
      <c r="AM91" s="50"/>
      <c r="AN91" s="48" t="s">
        <v>91</v>
      </c>
      <c r="AO91" s="49"/>
      <c r="AP91" s="49"/>
      <c r="AQ91" s="49"/>
      <c r="AR91" s="50"/>
      <c r="AS91" s="48" t="s">
        <v>92</v>
      </c>
      <c r="AT91" s="49"/>
      <c r="AU91" s="49"/>
      <c r="AV91" s="49"/>
      <c r="AW91" s="50"/>
      <c r="AX91" s="86" t="s">
        <v>93</v>
      </c>
      <c r="AY91" s="87"/>
      <c r="AZ91" s="87"/>
      <c r="BA91" s="88"/>
      <c r="BB91" s="48" t="s">
        <v>95</v>
      </c>
      <c r="BC91" s="49"/>
      <c r="BD91" s="49"/>
      <c r="BE91" s="49"/>
      <c r="BF91" s="50"/>
      <c r="BG91" s="48" t="s">
        <v>91</v>
      </c>
      <c r="BH91" s="49"/>
      <c r="BI91" s="49"/>
      <c r="BJ91" s="49"/>
      <c r="BK91" s="50"/>
      <c r="BL91" s="41" t="s">
        <v>92</v>
      </c>
      <c r="BM91" s="41"/>
      <c r="BN91" s="41"/>
      <c r="BO91" s="41"/>
      <c r="BP91" s="41"/>
      <c r="BQ91" s="120" t="s">
        <v>93</v>
      </c>
      <c r="BR91" s="120"/>
      <c r="BS91" s="120"/>
      <c r="BT91" s="120"/>
      <c r="BU91" s="48" t="s">
        <v>96</v>
      </c>
      <c r="BV91" s="49"/>
      <c r="BW91" s="49"/>
      <c r="BX91" s="49"/>
      <c r="BY91" s="50"/>
    </row>
    <row r="92" spans="1:79" ht="15" customHeight="1" x14ac:dyDescent="0.2">
      <c r="A92" s="48">
        <v>1</v>
      </c>
      <c r="B92" s="49"/>
      <c r="C92" s="49"/>
      <c r="D92" s="48">
        <v>2</v>
      </c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50"/>
      <c r="U92" s="48">
        <v>3</v>
      </c>
      <c r="V92" s="49"/>
      <c r="W92" s="49"/>
      <c r="X92" s="49"/>
      <c r="Y92" s="50"/>
      <c r="Z92" s="48">
        <v>4</v>
      </c>
      <c r="AA92" s="49"/>
      <c r="AB92" s="49"/>
      <c r="AC92" s="49"/>
      <c r="AD92" s="50"/>
      <c r="AE92" s="48">
        <v>5</v>
      </c>
      <c r="AF92" s="49"/>
      <c r="AG92" s="49"/>
      <c r="AH92" s="50"/>
      <c r="AI92" s="48">
        <v>6</v>
      </c>
      <c r="AJ92" s="49"/>
      <c r="AK92" s="49"/>
      <c r="AL92" s="49"/>
      <c r="AM92" s="50"/>
      <c r="AN92" s="48">
        <v>7</v>
      </c>
      <c r="AO92" s="49"/>
      <c r="AP92" s="49"/>
      <c r="AQ92" s="49"/>
      <c r="AR92" s="50"/>
      <c r="AS92" s="48">
        <v>8</v>
      </c>
      <c r="AT92" s="49"/>
      <c r="AU92" s="49"/>
      <c r="AV92" s="49"/>
      <c r="AW92" s="50"/>
      <c r="AX92" s="41">
        <v>9</v>
      </c>
      <c r="AY92" s="41"/>
      <c r="AZ92" s="41"/>
      <c r="BA92" s="41"/>
      <c r="BB92" s="48">
        <v>10</v>
      </c>
      <c r="BC92" s="49"/>
      <c r="BD92" s="49"/>
      <c r="BE92" s="49"/>
      <c r="BF92" s="50"/>
      <c r="BG92" s="48">
        <v>11</v>
      </c>
      <c r="BH92" s="49"/>
      <c r="BI92" s="49"/>
      <c r="BJ92" s="49"/>
      <c r="BK92" s="50"/>
      <c r="BL92" s="41">
        <v>12</v>
      </c>
      <c r="BM92" s="41"/>
      <c r="BN92" s="41"/>
      <c r="BO92" s="41"/>
      <c r="BP92" s="41"/>
      <c r="BQ92" s="48">
        <v>13</v>
      </c>
      <c r="BR92" s="49"/>
      <c r="BS92" s="49"/>
      <c r="BT92" s="50"/>
      <c r="BU92" s="48">
        <v>14</v>
      </c>
      <c r="BV92" s="49"/>
      <c r="BW92" s="49"/>
      <c r="BX92" s="49"/>
      <c r="BY92" s="50"/>
    </row>
    <row r="93" spans="1:79" s="71" customFormat="1" ht="14.25" hidden="1" customHeight="1" x14ac:dyDescent="0.2">
      <c r="A93" s="51" t="s">
        <v>148</v>
      </c>
      <c r="B93" s="52"/>
      <c r="C93" s="52"/>
      <c r="D93" s="51" t="s">
        <v>98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17" t="s">
        <v>99</v>
      </c>
      <c r="V93" s="17"/>
      <c r="W93" s="17"/>
      <c r="X93" s="17"/>
      <c r="Y93" s="17"/>
      <c r="Z93" s="17" t="s">
        <v>100</v>
      </c>
      <c r="AA93" s="17"/>
      <c r="AB93" s="17"/>
      <c r="AC93" s="17"/>
      <c r="AD93" s="17"/>
      <c r="AE93" s="17" t="s">
        <v>101</v>
      </c>
      <c r="AF93" s="17"/>
      <c r="AG93" s="17"/>
      <c r="AH93" s="17"/>
      <c r="AI93" s="116" t="s">
        <v>102</v>
      </c>
      <c r="AJ93" s="116"/>
      <c r="AK93" s="116"/>
      <c r="AL93" s="116"/>
      <c r="AM93" s="116"/>
      <c r="AN93" s="17" t="s">
        <v>103</v>
      </c>
      <c r="AO93" s="17"/>
      <c r="AP93" s="17"/>
      <c r="AQ93" s="17"/>
      <c r="AR93" s="17"/>
      <c r="AS93" s="17" t="s">
        <v>104</v>
      </c>
      <c r="AT93" s="17"/>
      <c r="AU93" s="17"/>
      <c r="AV93" s="17"/>
      <c r="AW93" s="17"/>
      <c r="AX93" s="17" t="s">
        <v>105</v>
      </c>
      <c r="AY93" s="17"/>
      <c r="AZ93" s="17"/>
      <c r="BA93" s="17"/>
      <c r="BB93" s="116" t="s">
        <v>102</v>
      </c>
      <c r="BC93" s="116"/>
      <c r="BD93" s="116"/>
      <c r="BE93" s="116"/>
      <c r="BF93" s="116"/>
      <c r="BG93" s="17" t="s">
        <v>106</v>
      </c>
      <c r="BH93" s="17"/>
      <c r="BI93" s="17"/>
      <c r="BJ93" s="17"/>
      <c r="BK93" s="17"/>
      <c r="BL93" s="17" t="s">
        <v>107</v>
      </c>
      <c r="BM93" s="17"/>
      <c r="BN93" s="17"/>
      <c r="BO93" s="17"/>
      <c r="BP93" s="17"/>
      <c r="BQ93" s="17" t="s">
        <v>108</v>
      </c>
      <c r="BR93" s="17"/>
      <c r="BS93" s="17"/>
      <c r="BT93" s="17"/>
      <c r="BU93" s="116" t="s">
        <v>102</v>
      </c>
      <c r="BV93" s="116"/>
      <c r="BW93" s="116"/>
      <c r="BX93" s="116"/>
      <c r="BY93" s="116"/>
      <c r="CA93" t="s">
        <v>149</v>
      </c>
    </row>
    <row r="94" spans="1:79" s="14" customFormat="1" ht="76.5" customHeight="1" x14ac:dyDescent="0.2">
      <c r="A94" s="92">
        <v>1</v>
      </c>
      <c r="B94" s="93"/>
      <c r="C94" s="93"/>
      <c r="D94" s="56" t="s">
        <v>150</v>
      </c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8"/>
      <c r="U94" s="96">
        <v>603372</v>
      </c>
      <c r="V94" s="97"/>
      <c r="W94" s="97"/>
      <c r="X94" s="97"/>
      <c r="Y94" s="98"/>
      <c r="Z94" s="96">
        <v>0</v>
      </c>
      <c r="AA94" s="97"/>
      <c r="AB94" s="97"/>
      <c r="AC94" s="97"/>
      <c r="AD94" s="98"/>
      <c r="AE94" s="96">
        <v>0</v>
      </c>
      <c r="AF94" s="97"/>
      <c r="AG94" s="97"/>
      <c r="AH94" s="98"/>
      <c r="AI94" s="96">
        <f>IF(ISNUMBER(U94),U94,0)+IF(ISNUMBER(Z94),Z94,0)</f>
        <v>603372</v>
      </c>
      <c r="AJ94" s="97"/>
      <c r="AK94" s="97"/>
      <c r="AL94" s="97"/>
      <c r="AM94" s="98"/>
      <c r="AN94" s="96">
        <v>1172257</v>
      </c>
      <c r="AO94" s="97"/>
      <c r="AP94" s="97"/>
      <c r="AQ94" s="97"/>
      <c r="AR94" s="98"/>
      <c r="AS94" s="96">
        <v>0</v>
      </c>
      <c r="AT94" s="97"/>
      <c r="AU94" s="97"/>
      <c r="AV94" s="97"/>
      <c r="AW94" s="98"/>
      <c r="AX94" s="96">
        <v>0</v>
      </c>
      <c r="AY94" s="97"/>
      <c r="AZ94" s="97"/>
      <c r="BA94" s="98"/>
      <c r="BB94" s="96">
        <f>IF(ISNUMBER(AN94),AN94,0)+IF(ISNUMBER(AS94),AS94,0)</f>
        <v>1172257</v>
      </c>
      <c r="BC94" s="97"/>
      <c r="BD94" s="97"/>
      <c r="BE94" s="97"/>
      <c r="BF94" s="98"/>
      <c r="BG94" s="96">
        <v>1710563</v>
      </c>
      <c r="BH94" s="97"/>
      <c r="BI94" s="97"/>
      <c r="BJ94" s="97"/>
      <c r="BK94" s="98"/>
      <c r="BL94" s="96">
        <v>0</v>
      </c>
      <c r="BM94" s="97"/>
      <c r="BN94" s="97"/>
      <c r="BO94" s="97"/>
      <c r="BP94" s="98"/>
      <c r="BQ94" s="96">
        <v>0</v>
      </c>
      <c r="BR94" s="97"/>
      <c r="BS94" s="97"/>
      <c r="BT94" s="98"/>
      <c r="BU94" s="96">
        <f>IF(ISNUMBER(BG94),BG94,0)+IF(ISNUMBER(BL94),BL94,0)</f>
        <v>1710563</v>
      </c>
      <c r="BV94" s="97"/>
      <c r="BW94" s="97"/>
      <c r="BX94" s="97"/>
      <c r="BY94" s="98"/>
      <c r="CA94" s="14" t="s">
        <v>151</v>
      </c>
    </row>
    <row r="95" spans="1:79" s="3" customFormat="1" ht="12.75" customHeight="1" x14ac:dyDescent="0.2">
      <c r="A95" s="99"/>
      <c r="B95" s="100"/>
      <c r="C95" s="100"/>
      <c r="D95" s="44" t="s">
        <v>18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103">
        <v>603372</v>
      </c>
      <c r="V95" s="104"/>
      <c r="W95" s="104"/>
      <c r="X95" s="104"/>
      <c r="Y95" s="105"/>
      <c r="Z95" s="103">
        <v>0</v>
      </c>
      <c r="AA95" s="104"/>
      <c r="AB95" s="104"/>
      <c r="AC95" s="104"/>
      <c r="AD95" s="105"/>
      <c r="AE95" s="103">
        <v>0</v>
      </c>
      <c r="AF95" s="104"/>
      <c r="AG95" s="104"/>
      <c r="AH95" s="105"/>
      <c r="AI95" s="103">
        <f>IF(ISNUMBER(U95),U95,0)+IF(ISNUMBER(Z95),Z95,0)</f>
        <v>603372</v>
      </c>
      <c r="AJ95" s="104"/>
      <c r="AK95" s="104"/>
      <c r="AL95" s="104"/>
      <c r="AM95" s="105"/>
      <c r="AN95" s="103">
        <v>1172257</v>
      </c>
      <c r="AO95" s="104"/>
      <c r="AP95" s="104"/>
      <c r="AQ95" s="104"/>
      <c r="AR95" s="105"/>
      <c r="AS95" s="103">
        <v>0</v>
      </c>
      <c r="AT95" s="104"/>
      <c r="AU95" s="104"/>
      <c r="AV95" s="104"/>
      <c r="AW95" s="105"/>
      <c r="AX95" s="103">
        <v>0</v>
      </c>
      <c r="AY95" s="104"/>
      <c r="AZ95" s="104"/>
      <c r="BA95" s="105"/>
      <c r="BB95" s="103">
        <f>IF(ISNUMBER(AN95),AN95,0)+IF(ISNUMBER(AS95),AS95,0)</f>
        <v>1172257</v>
      </c>
      <c r="BC95" s="104"/>
      <c r="BD95" s="104"/>
      <c r="BE95" s="104"/>
      <c r="BF95" s="105"/>
      <c r="BG95" s="103">
        <v>1710563</v>
      </c>
      <c r="BH95" s="104"/>
      <c r="BI95" s="104"/>
      <c r="BJ95" s="104"/>
      <c r="BK95" s="105"/>
      <c r="BL95" s="103">
        <v>0</v>
      </c>
      <c r="BM95" s="104"/>
      <c r="BN95" s="104"/>
      <c r="BO95" s="104"/>
      <c r="BP95" s="105"/>
      <c r="BQ95" s="103">
        <v>0</v>
      </c>
      <c r="BR95" s="104"/>
      <c r="BS95" s="104"/>
      <c r="BT95" s="105"/>
      <c r="BU95" s="103">
        <f>IF(ISNUMBER(BG95),BG95,0)+IF(ISNUMBER(BL95),BL95,0)</f>
        <v>1710563</v>
      </c>
      <c r="BV95" s="104"/>
      <c r="BW95" s="104"/>
      <c r="BX95" s="104"/>
      <c r="BY95" s="105"/>
    </row>
    <row r="97" spans="1:79" ht="14.25" customHeight="1" x14ac:dyDescent="0.2">
      <c r="A97" s="77" t="s">
        <v>152</v>
      </c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</row>
    <row r="98" spans="1:79" ht="15" customHeight="1" x14ac:dyDescent="0.2">
      <c r="A98" s="30" t="s">
        <v>55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</row>
    <row r="99" spans="1:79" ht="23.1" customHeight="1" x14ac:dyDescent="0.2">
      <c r="A99" s="80" t="s">
        <v>146</v>
      </c>
      <c r="B99" s="81"/>
      <c r="C99" s="81"/>
      <c r="D99" s="80" t="s">
        <v>147</v>
      </c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2"/>
      <c r="U99" s="41" t="s">
        <v>59</v>
      </c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 t="s">
        <v>61</v>
      </c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</row>
    <row r="100" spans="1:79" ht="54" customHeight="1" x14ac:dyDescent="0.2">
      <c r="A100" s="83"/>
      <c r="B100" s="84"/>
      <c r="C100" s="84"/>
      <c r="D100" s="83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5"/>
      <c r="U100" s="48" t="s">
        <v>91</v>
      </c>
      <c r="V100" s="49"/>
      <c r="W100" s="49"/>
      <c r="X100" s="49"/>
      <c r="Y100" s="50"/>
      <c r="Z100" s="48" t="s">
        <v>92</v>
      </c>
      <c r="AA100" s="49"/>
      <c r="AB100" s="49"/>
      <c r="AC100" s="49"/>
      <c r="AD100" s="50"/>
      <c r="AE100" s="86" t="s">
        <v>93</v>
      </c>
      <c r="AF100" s="87"/>
      <c r="AG100" s="87"/>
      <c r="AH100" s="87"/>
      <c r="AI100" s="88"/>
      <c r="AJ100" s="48" t="s">
        <v>94</v>
      </c>
      <c r="AK100" s="49"/>
      <c r="AL100" s="49"/>
      <c r="AM100" s="49"/>
      <c r="AN100" s="50"/>
      <c r="AO100" s="48" t="s">
        <v>91</v>
      </c>
      <c r="AP100" s="49"/>
      <c r="AQ100" s="49"/>
      <c r="AR100" s="49"/>
      <c r="AS100" s="50"/>
      <c r="AT100" s="48" t="s">
        <v>92</v>
      </c>
      <c r="AU100" s="49"/>
      <c r="AV100" s="49"/>
      <c r="AW100" s="49"/>
      <c r="AX100" s="50"/>
      <c r="AY100" s="86" t="s">
        <v>93</v>
      </c>
      <c r="AZ100" s="87"/>
      <c r="BA100" s="87"/>
      <c r="BB100" s="87"/>
      <c r="BC100" s="88"/>
      <c r="BD100" s="41" t="s">
        <v>95</v>
      </c>
      <c r="BE100" s="41"/>
      <c r="BF100" s="41"/>
      <c r="BG100" s="41"/>
      <c r="BH100" s="41"/>
    </row>
    <row r="101" spans="1:79" ht="15" customHeight="1" x14ac:dyDescent="0.2">
      <c r="A101" s="48" t="s">
        <v>153</v>
      </c>
      <c r="B101" s="49"/>
      <c r="C101" s="49"/>
      <c r="D101" s="48">
        <v>2</v>
      </c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50"/>
      <c r="U101" s="48">
        <v>3</v>
      </c>
      <c r="V101" s="49"/>
      <c r="W101" s="49"/>
      <c r="X101" s="49"/>
      <c r="Y101" s="50"/>
      <c r="Z101" s="48">
        <v>4</v>
      </c>
      <c r="AA101" s="49"/>
      <c r="AB101" s="49"/>
      <c r="AC101" s="49"/>
      <c r="AD101" s="50"/>
      <c r="AE101" s="48">
        <v>5</v>
      </c>
      <c r="AF101" s="49"/>
      <c r="AG101" s="49"/>
      <c r="AH101" s="49"/>
      <c r="AI101" s="50"/>
      <c r="AJ101" s="48">
        <v>6</v>
      </c>
      <c r="AK101" s="49"/>
      <c r="AL101" s="49"/>
      <c r="AM101" s="49"/>
      <c r="AN101" s="50"/>
      <c r="AO101" s="48">
        <v>7</v>
      </c>
      <c r="AP101" s="49"/>
      <c r="AQ101" s="49"/>
      <c r="AR101" s="49"/>
      <c r="AS101" s="50"/>
      <c r="AT101" s="48">
        <v>8</v>
      </c>
      <c r="AU101" s="49"/>
      <c r="AV101" s="49"/>
      <c r="AW101" s="49"/>
      <c r="AX101" s="50"/>
      <c r="AY101" s="48">
        <v>9</v>
      </c>
      <c r="AZ101" s="49"/>
      <c r="BA101" s="49"/>
      <c r="BB101" s="49"/>
      <c r="BC101" s="50"/>
      <c r="BD101" s="48">
        <v>10</v>
      </c>
      <c r="BE101" s="49"/>
      <c r="BF101" s="49"/>
      <c r="BG101" s="49"/>
      <c r="BH101" s="50"/>
    </row>
    <row r="102" spans="1:79" s="71" customFormat="1" ht="12.75" hidden="1" customHeight="1" x14ac:dyDescent="0.2">
      <c r="A102" s="51" t="s">
        <v>148</v>
      </c>
      <c r="B102" s="52"/>
      <c r="C102" s="52"/>
      <c r="D102" s="51" t="s">
        <v>98</v>
      </c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3"/>
      <c r="U102" s="51" t="s">
        <v>114</v>
      </c>
      <c r="V102" s="52"/>
      <c r="W102" s="52"/>
      <c r="X102" s="52"/>
      <c r="Y102" s="53"/>
      <c r="Z102" s="51" t="s">
        <v>115</v>
      </c>
      <c r="AA102" s="52"/>
      <c r="AB102" s="52"/>
      <c r="AC102" s="52"/>
      <c r="AD102" s="53"/>
      <c r="AE102" s="51" t="s">
        <v>116</v>
      </c>
      <c r="AF102" s="52"/>
      <c r="AG102" s="52"/>
      <c r="AH102" s="52"/>
      <c r="AI102" s="53"/>
      <c r="AJ102" s="89" t="s">
        <v>117</v>
      </c>
      <c r="AK102" s="90"/>
      <c r="AL102" s="90"/>
      <c r="AM102" s="90"/>
      <c r="AN102" s="91"/>
      <c r="AO102" s="51" t="s">
        <v>118</v>
      </c>
      <c r="AP102" s="52"/>
      <c r="AQ102" s="52"/>
      <c r="AR102" s="52"/>
      <c r="AS102" s="53"/>
      <c r="AT102" s="51" t="s">
        <v>119</v>
      </c>
      <c r="AU102" s="52"/>
      <c r="AV102" s="52"/>
      <c r="AW102" s="52"/>
      <c r="AX102" s="53"/>
      <c r="AY102" s="51" t="s">
        <v>120</v>
      </c>
      <c r="AZ102" s="52"/>
      <c r="BA102" s="52"/>
      <c r="BB102" s="52"/>
      <c r="BC102" s="53"/>
      <c r="BD102" s="116" t="s">
        <v>117</v>
      </c>
      <c r="BE102" s="116"/>
      <c r="BF102" s="116"/>
      <c r="BG102" s="116"/>
      <c r="BH102" s="116"/>
      <c r="CA102" s="71" t="s">
        <v>154</v>
      </c>
    </row>
    <row r="103" spans="1:79" s="14" customFormat="1" ht="76.5" customHeight="1" x14ac:dyDescent="0.2">
      <c r="A103" s="92">
        <v>1</v>
      </c>
      <c r="B103" s="93"/>
      <c r="C103" s="93"/>
      <c r="D103" s="56" t="s">
        <v>150</v>
      </c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8"/>
      <c r="U103" s="96">
        <v>1716252</v>
      </c>
      <c r="V103" s="97"/>
      <c r="W103" s="97"/>
      <c r="X103" s="97"/>
      <c r="Y103" s="98"/>
      <c r="Z103" s="96">
        <v>0</v>
      </c>
      <c r="AA103" s="97"/>
      <c r="AB103" s="97"/>
      <c r="AC103" s="97"/>
      <c r="AD103" s="98"/>
      <c r="AE103" s="95">
        <v>0</v>
      </c>
      <c r="AF103" s="95"/>
      <c r="AG103" s="95"/>
      <c r="AH103" s="95"/>
      <c r="AI103" s="95"/>
      <c r="AJ103" s="124">
        <f>IF(ISNUMBER(U103),U103,0)+IF(ISNUMBER(Z103),Z103,0)</f>
        <v>1716252</v>
      </c>
      <c r="AK103" s="124"/>
      <c r="AL103" s="124"/>
      <c r="AM103" s="124"/>
      <c r="AN103" s="124"/>
      <c r="AO103" s="95">
        <v>1721305</v>
      </c>
      <c r="AP103" s="95"/>
      <c r="AQ103" s="95"/>
      <c r="AR103" s="95"/>
      <c r="AS103" s="95"/>
      <c r="AT103" s="124">
        <v>0</v>
      </c>
      <c r="AU103" s="124"/>
      <c r="AV103" s="124"/>
      <c r="AW103" s="124"/>
      <c r="AX103" s="124"/>
      <c r="AY103" s="95">
        <v>0</v>
      </c>
      <c r="AZ103" s="95"/>
      <c r="BA103" s="95"/>
      <c r="BB103" s="95"/>
      <c r="BC103" s="95"/>
      <c r="BD103" s="124">
        <f>IF(ISNUMBER(AO103),AO103,0)+IF(ISNUMBER(AT103),AT103,0)</f>
        <v>1721305</v>
      </c>
      <c r="BE103" s="124"/>
      <c r="BF103" s="124"/>
      <c r="BG103" s="124"/>
      <c r="BH103" s="124"/>
      <c r="CA103" s="14" t="s">
        <v>155</v>
      </c>
    </row>
    <row r="104" spans="1:79" s="3" customFormat="1" ht="12.75" customHeight="1" x14ac:dyDescent="0.2">
      <c r="A104" s="99"/>
      <c r="B104" s="100"/>
      <c r="C104" s="100"/>
      <c r="D104" s="44" t="s">
        <v>18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20"/>
      <c r="U104" s="103">
        <v>1716252</v>
      </c>
      <c r="V104" s="104"/>
      <c r="W104" s="104"/>
      <c r="X104" s="104"/>
      <c r="Y104" s="105"/>
      <c r="Z104" s="103">
        <v>0</v>
      </c>
      <c r="AA104" s="104"/>
      <c r="AB104" s="104"/>
      <c r="AC104" s="104"/>
      <c r="AD104" s="105"/>
      <c r="AE104" s="102">
        <v>0</v>
      </c>
      <c r="AF104" s="102"/>
      <c r="AG104" s="102"/>
      <c r="AH104" s="102"/>
      <c r="AI104" s="102"/>
      <c r="AJ104" s="125">
        <f>IF(ISNUMBER(U104),U104,0)+IF(ISNUMBER(Z104),Z104,0)</f>
        <v>1716252</v>
      </c>
      <c r="AK104" s="125"/>
      <c r="AL104" s="125"/>
      <c r="AM104" s="125"/>
      <c r="AN104" s="125"/>
      <c r="AO104" s="102">
        <v>1721305</v>
      </c>
      <c r="AP104" s="102"/>
      <c r="AQ104" s="102"/>
      <c r="AR104" s="102"/>
      <c r="AS104" s="102"/>
      <c r="AT104" s="125">
        <v>0</v>
      </c>
      <c r="AU104" s="125"/>
      <c r="AV104" s="125"/>
      <c r="AW104" s="125"/>
      <c r="AX104" s="125"/>
      <c r="AY104" s="102">
        <v>0</v>
      </c>
      <c r="AZ104" s="102"/>
      <c r="BA104" s="102"/>
      <c r="BB104" s="102"/>
      <c r="BC104" s="102"/>
      <c r="BD104" s="125">
        <f>IF(ISNUMBER(AO104),AO104,0)+IF(ISNUMBER(AT104),AT104,0)</f>
        <v>1721305</v>
      </c>
      <c r="BE104" s="125"/>
      <c r="BF104" s="125"/>
      <c r="BG104" s="125"/>
      <c r="BH104" s="125"/>
    </row>
    <row r="105" spans="1:79" s="2" customFormat="1" ht="12.75" customHeight="1" x14ac:dyDescent="0.2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</row>
    <row r="107" spans="1:79" ht="14.25" customHeight="1" x14ac:dyDescent="0.2">
      <c r="A107" s="77" t="s">
        <v>156</v>
      </c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</row>
    <row r="108" spans="1:79" ht="14.25" customHeight="1" x14ac:dyDescent="0.2">
      <c r="A108" s="77" t="s">
        <v>157</v>
      </c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</row>
    <row r="109" spans="1:79" ht="23.1" customHeight="1" x14ac:dyDescent="0.2">
      <c r="A109" s="80" t="s">
        <v>146</v>
      </c>
      <c r="B109" s="81"/>
      <c r="C109" s="81"/>
      <c r="D109" s="41" t="s">
        <v>158</v>
      </c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 t="s">
        <v>3</v>
      </c>
      <c r="R109" s="41"/>
      <c r="S109" s="41"/>
      <c r="T109" s="41"/>
      <c r="U109" s="41"/>
      <c r="V109" s="41" t="s">
        <v>159</v>
      </c>
      <c r="W109" s="41"/>
      <c r="X109" s="41"/>
      <c r="Y109" s="41"/>
      <c r="Z109" s="41"/>
      <c r="AA109" s="41"/>
      <c r="AB109" s="41"/>
      <c r="AC109" s="41"/>
      <c r="AD109" s="41"/>
      <c r="AE109" s="41"/>
      <c r="AF109" s="48" t="s">
        <v>56</v>
      </c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50"/>
      <c r="AU109" s="48" t="s">
        <v>57</v>
      </c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50"/>
      <c r="BJ109" s="48" t="s">
        <v>58</v>
      </c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50"/>
    </row>
    <row r="110" spans="1:79" ht="32.25" customHeight="1" x14ac:dyDescent="0.2">
      <c r="A110" s="83"/>
      <c r="B110" s="84"/>
      <c r="C110" s="84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 t="s">
        <v>91</v>
      </c>
      <c r="AG110" s="41"/>
      <c r="AH110" s="41"/>
      <c r="AI110" s="41"/>
      <c r="AJ110" s="41"/>
      <c r="AK110" s="41" t="s">
        <v>92</v>
      </c>
      <c r="AL110" s="41"/>
      <c r="AM110" s="41"/>
      <c r="AN110" s="41"/>
      <c r="AO110" s="41"/>
      <c r="AP110" s="41" t="s">
        <v>160</v>
      </c>
      <c r="AQ110" s="41"/>
      <c r="AR110" s="41"/>
      <c r="AS110" s="41"/>
      <c r="AT110" s="41"/>
      <c r="AU110" s="41" t="s">
        <v>91</v>
      </c>
      <c r="AV110" s="41"/>
      <c r="AW110" s="41"/>
      <c r="AX110" s="41"/>
      <c r="AY110" s="41"/>
      <c r="AZ110" s="41" t="s">
        <v>92</v>
      </c>
      <c r="BA110" s="41"/>
      <c r="BB110" s="41"/>
      <c r="BC110" s="41"/>
      <c r="BD110" s="41"/>
      <c r="BE110" s="41" t="s">
        <v>161</v>
      </c>
      <c r="BF110" s="41"/>
      <c r="BG110" s="41"/>
      <c r="BH110" s="41"/>
      <c r="BI110" s="41"/>
      <c r="BJ110" s="41" t="s">
        <v>91</v>
      </c>
      <c r="BK110" s="41"/>
      <c r="BL110" s="41"/>
      <c r="BM110" s="41"/>
      <c r="BN110" s="41"/>
      <c r="BO110" s="41" t="s">
        <v>92</v>
      </c>
      <c r="BP110" s="41"/>
      <c r="BQ110" s="41"/>
      <c r="BR110" s="41"/>
      <c r="BS110" s="41"/>
      <c r="BT110" s="41" t="s">
        <v>96</v>
      </c>
      <c r="BU110" s="41"/>
      <c r="BV110" s="41"/>
      <c r="BW110" s="41"/>
      <c r="BX110" s="41"/>
    </row>
    <row r="111" spans="1:79" ht="15" customHeight="1" x14ac:dyDescent="0.2">
      <c r="A111" s="48">
        <v>1</v>
      </c>
      <c r="B111" s="49"/>
      <c r="C111" s="49"/>
      <c r="D111" s="41">
        <v>2</v>
      </c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>
        <v>3</v>
      </c>
      <c r="R111" s="41"/>
      <c r="S111" s="41"/>
      <c r="T111" s="41"/>
      <c r="U111" s="41"/>
      <c r="V111" s="41">
        <v>4</v>
      </c>
      <c r="W111" s="41"/>
      <c r="X111" s="41"/>
      <c r="Y111" s="41"/>
      <c r="Z111" s="41"/>
      <c r="AA111" s="41"/>
      <c r="AB111" s="41"/>
      <c r="AC111" s="41"/>
      <c r="AD111" s="41"/>
      <c r="AE111" s="41"/>
      <c r="AF111" s="41">
        <v>5</v>
      </c>
      <c r="AG111" s="41"/>
      <c r="AH111" s="41"/>
      <c r="AI111" s="41"/>
      <c r="AJ111" s="41"/>
      <c r="AK111" s="41">
        <v>6</v>
      </c>
      <c r="AL111" s="41"/>
      <c r="AM111" s="41"/>
      <c r="AN111" s="41"/>
      <c r="AO111" s="41"/>
      <c r="AP111" s="41">
        <v>7</v>
      </c>
      <c r="AQ111" s="41"/>
      <c r="AR111" s="41"/>
      <c r="AS111" s="41"/>
      <c r="AT111" s="41"/>
      <c r="AU111" s="41">
        <v>8</v>
      </c>
      <c r="AV111" s="41"/>
      <c r="AW111" s="41"/>
      <c r="AX111" s="41"/>
      <c r="AY111" s="41"/>
      <c r="AZ111" s="41">
        <v>9</v>
      </c>
      <c r="BA111" s="41"/>
      <c r="BB111" s="41"/>
      <c r="BC111" s="41"/>
      <c r="BD111" s="41"/>
      <c r="BE111" s="41">
        <v>10</v>
      </c>
      <c r="BF111" s="41"/>
      <c r="BG111" s="41"/>
      <c r="BH111" s="41"/>
      <c r="BI111" s="41"/>
      <c r="BJ111" s="41">
        <v>11</v>
      </c>
      <c r="BK111" s="41"/>
      <c r="BL111" s="41"/>
      <c r="BM111" s="41"/>
      <c r="BN111" s="41"/>
      <c r="BO111" s="41">
        <v>12</v>
      </c>
      <c r="BP111" s="41"/>
      <c r="BQ111" s="41"/>
      <c r="BR111" s="41"/>
      <c r="BS111" s="41"/>
      <c r="BT111" s="41">
        <v>13</v>
      </c>
      <c r="BU111" s="41"/>
      <c r="BV111" s="41"/>
      <c r="BW111" s="41"/>
      <c r="BX111" s="41"/>
    </row>
    <row r="112" spans="1:79" ht="10.5" hidden="1" customHeight="1" x14ac:dyDescent="0.2">
      <c r="A112" s="51" t="s">
        <v>162</v>
      </c>
      <c r="B112" s="52"/>
      <c r="C112" s="52"/>
      <c r="D112" s="41" t="s">
        <v>98</v>
      </c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 t="s">
        <v>15</v>
      </c>
      <c r="R112" s="41"/>
      <c r="S112" s="41"/>
      <c r="T112" s="41"/>
      <c r="U112" s="41"/>
      <c r="V112" s="41" t="s">
        <v>163</v>
      </c>
      <c r="W112" s="41"/>
      <c r="X112" s="41"/>
      <c r="Y112" s="41"/>
      <c r="Z112" s="41"/>
      <c r="AA112" s="41"/>
      <c r="AB112" s="41"/>
      <c r="AC112" s="41"/>
      <c r="AD112" s="41"/>
      <c r="AE112" s="41"/>
      <c r="AF112" s="17" t="s">
        <v>164</v>
      </c>
      <c r="AG112" s="17"/>
      <c r="AH112" s="17"/>
      <c r="AI112" s="17"/>
      <c r="AJ112" s="17"/>
      <c r="AK112" s="27" t="s">
        <v>165</v>
      </c>
      <c r="AL112" s="27"/>
      <c r="AM112" s="27"/>
      <c r="AN112" s="27"/>
      <c r="AO112" s="27"/>
      <c r="AP112" s="116" t="s">
        <v>166</v>
      </c>
      <c r="AQ112" s="116"/>
      <c r="AR112" s="116"/>
      <c r="AS112" s="116"/>
      <c r="AT112" s="116"/>
      <c r="AU112" s="17" t="s">
        <v>167</v>
      </c>
      <c r="AV112" s="17"/>
      <c r="AW112" s="17"/>
      <c r="AX112" s="17"/>
      <c r="AY112" s="17"/>
      <c r="AZ112" s="27" t="s">
        <v>168</v>
      </c>
      <c r="BA112" s="27"/>
      <c r="BB112" s="27"/>
      <c r="BC112" s="27"/>
      <c r="BD112" s="27"/>
      <c r="BE112" s="116" t="s">
        <v>166</v>
      </c>
      <c r="BF112" s="116"/>
      <c r="BG112" s="116"/>
      <c r="BH112" s="116"/>
      <c r="BI112" s="116"/>
      <c r="BJ112" s="17" t="s">
        <v>169</v>
      </c>
      <c r="BK112" s="17"/>
      <c r="BL112" s="17"/>
      <c r="BM112" s="17"/>
      <c r="BN112" s="17"/>
      <c r="BO112" s="27" t="s">
        <v>170</v>
      </c>
      <c r="BP112" s="27"/>
      <c r="BQ112" s="27"/>
      <c r="BR112" s="27"/>
      <c r="BS112" s="27"/>
      <c r="BT112" s="116" t="s">
        <v>166</v>
      </c>
      <c r="BU112" s="116"/>
      <c r="BV112" s="116"/>
      <c r="BW112" s="116"/>
      <c r="BX112" s="116"/>
      <c r="CA112" t="s">
        <v>171</v>
      </c>
    </row>
    <row r="113" spans="1:79" s="3" customFormat="1" ht="15" customHeight="1" x14ac:dyDescent="0.2">
      <c r="A113" s="99">
        <v>0</v>
      </c>
      <c r="B113" s="100"/>
      <c r="C113" s="100"/>
      <c r="D113" s="126" t="s">
        <v>172</v>
      </c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  <c r="BK113" s="127"/>
      <c r="BL113" s="127"/>
      <c r="BM113" s="127"/>
      <c r="BN113" s="127"/>
      <c r="BO113" s="127"/>
      <c r="BP113" s="127"/>
      <c r="BQ113" s="127"/>
      <c r="BR113" s="127"/>
      <c r="BS113" s="127"/>
      <c r="BT113" s="127"/>
      <c r="BU113" s="127"/>
      <c r="BV113" s="127"/>
      <c r="BW113" s="127"/>
      <c r="BX113" s="127"/>
      <c r="CA113" s="3" t="s">
        <v>173</v>
      </c>
    </row>
    <row r="114" spans="1:79" s="14" customFormat="1" ht="15" customHeight="1" x14ac:dyDescent="0.2">
      <c r="A114" s="92">
        <v>0</v>
      </c>
      <c r="B114" s="93"/>
      <c r="C114" s="93"/>
      <c r="D114" s="128" t="s">
        <v>174</v>
      </c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8"/>
      <c r="Q114" s="41" t="s">
        <v>40</v>
      </c>
      <c r="R114" s="41"/>
      <c r="S114" s="41"/>
      <c r="T114" s="41"/>
      <c r="U114" s="41"/>
      <c r="V114" s="41" t="s">
        <v>175</v>
      </c>
      <c r="W114" s="41"/>
      <c r="X114" s="41"/>
      <c r="Y114" s="41"/>
      <c r="Z114" s="41"/>
      <c r="AA114" s="41"/>
      <c r="AB114" s="41"/>
      <c r="AC114" s="41"/>
      <c r="AD114" s="41"/>
      <c r="AE114" s="41"/>
      <c r="AF114" s="129">
        <v>3</v>
      </c>
      <c r="AG114" s="129"/>
      <c r="AH114" s="129"/>
      <c r="AI114" s="129"/>
      <c r="AJ114" s="129"/>
      <c r="AK114" s="129">
        <v>0</v>
      </c>
      <c r="AL114" s="129"/>
      <c r="AM114" s="129"/>
      <c r="AN114" s="129"/>
      <c r="AO114" s="129"/>
      <c r="AP114" s="129">
        <v>3</v>
      </c>
      <c r="AQ114" s="129"/>
      <c r="AR114" s="129"/>
      <c r="AS114" s="129"/>
      <c r="AT114" s="129"/>
      <c r="AU114" s="129">
        <v>3</v>
      </c>
      <c r="AV114" s="129"/>
      <c r="AW114" s="129"/>
      <c r="AX114" s="129"/>
      <c r="AY114" s="129"/>
      <c r="AZ114" s="129">
        <v>0</v>
      </c>
      <c r="BA114" s="129"/>
      <c r="BB114" s="129"/>
      <c r="BC114" s="129"/>
      <c r="BD114" s="129"/>
      <c r="BE114" s="129">
        <v>3</v>
      </c>
      <c r="BF114" s="129"/>
      <c r="BG114" s="129"/>
      <c r="BH114" s="129"/>
      <c r="BI114" s="129"/>
      <c r="BJ114" s="129">
        <v>4</v>
      </c>
      <c r="BK114" s="129"/>
      <c r="BL114" s="129"/>
      <c r="BM114" s="129"/>
      <c r="BN114" s="129"/>
      <c r="BO114" s="129">
        <v>0</v>
      </c>
      <c r="BP114" s="129"/>
      <c r="BQ114" s="129"/>
      <c r="BR114" s="129"/>
      <c r="BS114" s="129"/>
      <c r="BT114" s="129">
        <v>4</v>
      </c>
      <c r="BU114" s="129"/>
      <c r="BV114" s="129"/>
      <c r="BW114" s="129"/>
      <c r="BX114" s="129"/>
    </row>
    <row r="115" spans="1:79" s="3" customFormat="1" ht="15" customHeight="1" x14ac:dyDescent="0.2">
      <c r="A115" s="99">
        <v>0</v>
      </c>
      <c r="B115" s="100"/>
      <c r="C115" s="100"/>
      <c r="D115" s="130" t="s">
        <v>176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  <c r="BJ115" s="127"/>
      <c r="BK115" s="127"/>
      <c r="BL115" s="127"/>
      <c r="BM115" s="127"/>
      <c r="BN115" s="127"/>
      <c r="BO115" s="127"/>
      <c r="BP115" s="127"/>
      <c r="BQ115" s="127"/>
      <c r="BR115" s="127"/>
      <c r="BS115" s="127"/>
      <c r="BT115" s="127"/>
      <c r="BU115" s="127"/>
      <c r="BV115" s="127"/>
      <c r="BW115" s="127"/>
      <c r="BX115" s="127"/>
    </row>
    <row r="116" spans="1:79" s="14" customFormat="1" ht="28.5" customHeight="1" x14ac:dyDescent="0.2">
      <c r="A116" s="92">
        <v>0</v>
      </c>
      <c r="B116" s="93"/>
      <c r="C116" s="93"/>
      <c r="D116" s="128" t="s">
        <v>177</v>
      </c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8"/>
      <c r="Q116" s="41" t="s">
        <v>40</v>
      </c>
      <c r="R116" s="41"/>
      <c r="S116" s="41"/>
      <c r="T116" s="41"/>
      <c r="U116" s="41"/>
      <c r="V116" s="128" t="s">
        <v>178</v>
      </c>
      <c r="W116" s="57"/>
      <c r="X116" s="57"/>
      <c r="Y116" s="57"/>
      <c r="Z116" s="57"/>
      <c r="AA116" s="57"/>
      <c r="AB116" s="57"/>
      <c r="AC116" s="57"/>
      <c r="AD116" s="57"/>
      <c r="AE116" s="58"/>
      <c r="AF116" s="129">
        <v>156</v>
      </c>
      <c r="AG116" s="129"/>
      <c r="AH116" s="129"/>
      <c r="AI116" s="129"/>
      <c r="AJ116" s="129"/>
      <c r="AK116" s="129">
        <v>0</v>
      </c>
      <c r="AL116" s="129"/>
      <c r="AM116" s="129"/>
      <c r="AN116" s="129"/>
      <c r="AO116" s="129"/>
      <c r="AP116" s="129">
        <v>156</v>
      </c>
      <c r="AQ116" s="129"/>
      <c r="AR116" s="129"/>
      <c r="AS116" s="129"/>
      <c r="AT116" s="129"/>
      <c r="AU116" s="129">
        <v>258</v>
      </c>
      <c r="AV116" s="129"/>
      <c r="AW116" s="129"/>
      <c r="AX116" s="129"/>
      <c r="AY116" s="129"/>
      <c r="AZ116" s="129">
        <v>0</v>
      </c>
      <c r="BA116" s="129"/>
      <c r="BB116" s="129"/>
      <c r="BC116" s="129"/>
      <c r="BD116" s="129"/>
      <c r="BE116" s="129">
        <v>258</v>
      </c>
      <c r="BF116" s="129"/>
      <c r="BG116" s="129"/>
      <c r="BH116" s="129"/>
      <c r="BI116" s="129"/>
      <c r="BJ116" s="129">
        <v>258</v>
      </c>
      <c r="BK116" s="129"/>
      <c r="BL116" s="129"/>
      <c r="BM116" s="129"/>
      <c r="BN116" s="129"/>
      <c r="BO116" s="129">
        <v>0</v>
      </c>
      <c r="BP116" s="129"/>
      <c r="BQ116" s="129"/>
      <c r="BR116" s="129"/>
      <c r="BS116" s="129"/>
      <c r="BT116" s="129">
        <v>258</v>
      </c>
      <c r="BU116" s="129"/>
      <c r="BV116" s="129"/>
      <c r="BW116" s="129"/>
      <c r="BX116" s="129"/>
    </row>
    <row r="117" spans="1:79" s="3" customFormat="1" ht="15" customHeight="1" x14ac:dyDescent="0.2">
      <c r="A117" s="99">
        <v>0</v>
      </c>
      <c r="B117" s="100"/>
      <c r="C117" s="100"/>
      <c r="D117" s="130" t="s">
        <v>179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20"/>
      <c r="Q117" s="126"/>
      <c r="R117" s="126"/>
      <c r="S117" s="126"/>
      <c r="T117" s="126"/>
      <c r="U117" s="126"/>
      <c r="V117" s="130"/>
      <c r="W117" s="19"/>
      <c r="X117" s="19"/>
      <c r="Y117" s="19"/>
      <c r="Z117" s="19"/>
      <c r="AA117" s="19"/>
      <c r="AB117" s="19"/>
      <c r="AC117" s="19"/>
      <c r="AD117" s="19"/>
      <c r="AE117" s="20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  <c r="BJ117" s="127"/>
      <c r="BK117" s="127"/>
      <c r="BL117" s="127"/>
      <c r="BM117" s="127"/>
      <c r="BN117" s="127"/>
      <c r="BO117" s="127"/>
      <c r="BP117" s="127"/>
      <c r="BQ117" s="127"/>
      <c r="BR117" s="127"/>
      <c r="BS117" s="127"/>
      <c r="BT117" s="127"/>
      <c r="BU117" s="127"/>
      <c r="BV117" s="127"/>
      <c r="BW117" s="127"/>
      <c r="BX117" s="127"/>
    </row>
    <row r="118" spans="1:79" s="14" customFormat="1" ht="42.75" customHeight="1" x14ac:dyDescent="0.2">
      <c r="A118" s="92">
        <v>0</v>
      </c>
      <c r="B118" s="93"/>
      <c r="C118" s="93"/>
      <c r="D118" s="128" t="s">
        <v>39</v>
      </c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8"/>
      <c r="Q118" s="41" t="s">
        <v>40</v>
      </c>
      <c r="R118" s="41"/>
      <c r="S118" s="41"/>
      <c r="T118" s="41"/>
      <c r="U118" s="41"/>
      <c r="V118" s="128" t="s">
        <v>180</v>
      </c>
      <c r="W118" s="57"/>
      <c r="X118" s="57"/>
      <c r="Y118" s="57"/>
      <c r="Z118" s="57"/>
      <c r="AA118" s="57"/>
      <c r="AB118" s="57"/>
      <c r="AC118" s="57"/>
      <c r="AD118" s="57"/>
      <c r="AE118" s="58"/>
      <c r="AF118" s="129">
        <v>78</v>
      </c>
      <c r="AG118" s="129"/>
      <c r="AH118" s="129"/>
      <c r="AI118" s="129"/>
      <c r="AJ118" s="129"/>
      <c r="AK118" s="129">
        <v>0</v>
      </c>
      <c r="AL118" s="129"/>
      <c r="AM118" s="129"/>
      <c r="AN118" s="129"/>
      <c r="AO118" s="129"/>
      <c r="AP118" s="129">
        <v>78</v>
      </c>
      <c r="AQ118" s="129"/>
      <c r="AR118" s="129"/>
      <c r="AS118" s="129"/>
      <c r="AT118" s="129"/>
      <c r="AU118" s="129">
        <v>117</v>
      </c>
      <c r="AV118" s="129"/>
      <c r="AW118" s="129"/>
      <c r="AX118" s="129"/>
      <c r="AY118" s="129"/>
      <c r="AZ118" s="129">
        <v>0</v>
      </c>
      <c r="BA118" s="129"/>
      <c r="BB118" s="129"/>
      <c r="BC118" s="129"/>
      <c r="BD118" s="129"/>
      <c r="BE118" s="129">
        <v>117</v>
      </c>
      <c r="BF118" s="129"/>
      <c r="BG118" s="129"/>
      <c r="BH118" s="129"/>
      <c r="BI118" s="129"/>
      <c r="BJ118" s="129">
        <v>117</v>
      </c>
      <c r="BK118" s="129"/>
      <c r="BL118" s="129"/>
      <c r="BM118" s="129"/>
      <c r="BN118" s="129"/>
      <c r="BO118" s="129">
        <v>0</v>
      </c>
      <c r="BP118" s="129"/>
      <c r="BQ118" s="129"/>
      <c r="BR118" s="129"/>
      <c r="BS118" s="129"/>
      <c r="BT118" s="129">
        <v>117</v>
      </c>
      <c r="BU118" s="129"/>
      <c r="BV118" s="129"/>
      <c r="BW118" s="129"/>
      <c r="BX118" s="129"/>
    </row>
    <row r="119" spans="1:79" s="14" customFormat="1" ht="30" customHeight="1" x14ac:dyDescent="0.2">
      <c r="A119" s="92">
        <v>0</v>
      </c>
      <c r="B119" s="93"/>
      <c r="C119" s="93"/>
      <c r="D119" s="128" t="s">
        <v>181</v>
      </c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8"/>
      <c r="Q119" s="41" t="s">
        <v>42</v>
      </c>
      <c r="R119" s="41"/>
      <c r="S119" s="41"/>
      <c r="T119" s="41"/>
      <c r="U119" s="41"/>
      <c r="V119" s="128" t="s">
        <v>180</v>
      </c>
      <c r="W119" s="57"/>
      <c r="X119" s="57"/>
      <c r="Y119" s="57"/>
      <c r="Z119" s="57"/>
      <c r="AA119" s="57"/>
      <c r="AB119" s="57"/>
      <c r="AC119" s="57"/>
      <c r="AD119" s="57"/>
      <c r="AE119" s="58"/>
      <c r="AF119" s="129">
        <v>201124</v>
      </c>
      <c r="AG119" s="129"/>
      <c r="AH119" s="129"/>
      <c r="AI119" s="129"/>
      <c r="AJ119" s="129"/>
      <c r="AK119" s="129">
        <v>0</v>
      </c>
      <c r="AL119" s="129"/>
      <c r="AM119" s="129"/>
      <c r="AN119" s="129"/>
      <c r="AO119" s="129"/>
      <c r="AP119" s="129">
        <v>201124</v>
      </c>
      <c r="AQ119" s="129"/>
      <c r="AR119" s="129"/>
      <c r="AS119" s="129"/>
      <c r="AT119" s="129"/>
      <c r="AU119" s="129">
        <v>390752</v>
      </c>
      <c r="AV119" s="129"/>
      <c r="AW119" s="129"/>
      <c r="AX119" s="129"/>
      <c r="AY119" s="129"/>
      <c r="AZ119" s="129">
        <v>0</v>
      </c>
      <c r="BA119" s="129"/>
      <c r="BB119" s="129"/>
      <c r="BC119" s="129"/>
      <c r="BD119" s="129"/>
      <c r="BE119" s="129">
        <v>390752</v>
      </c>
      <c r="BF119" s="129"/>
      <c r="BG119" s="129"/>
      <c r="BH119" s="129"/>
      <c r="BI119" s="129"/>
      <c r="BJ119" s="129">
        <v>570188</v>
      </c>
      <c r="BK119" s="129"/>
      <c r="BL119" s="129"/>
      <c r="BM119" s="129"/>
      <c r="BN119" s="129"/>
      <c r="BO119" s="129">
        <v>0</v>
      </c>
      <c r="BP119" s="129"/>
      <c r="BQ119" s="129"/>
      <c r="BR119" s="129"/>
      <c r="BS119" s="129"/>
      <c r="BT119" s="129">
        <v>570188</v>
      </c>
      <c r="BU119" s="129"/>
      <c r="BV119" s="129"/>
      <c r="BW119" s="129"/>
      <c r="BX119" s="129"/>
    </row>
    <row r="120" spans="1:79" s="3" customFormat="1" ht="15" customHeight="1" x14ac:dyDescent="0.2">
      <c r="A120" s="99">
        <v>0</v>
      </c>
      <c r="B120" s="100"/>
      <c r="C120" s="100"/>
      <c r="D120" s="130" t="s">
        <v>182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/>
      <c r="Q120" s="126"/>
      <c r="R120" s="126"/>
      <c r="S120" s="126"/>
      <c r="T120" s="126"/>
      <c r="U120" s="126"/>
      <c r="V120" s="130"/>
      <c r="W120" s="19"/>
      <c r="X120" s="19"/>
      <c r="Y120" s="19"/>
      <c r="Z120" s="19"/>
      <c r="AA120" s="19"/>
      <c r="AB120" s="19"/>
      <c r="AC120" s="19"/>
      <c r="AD120" s="19"/>
      <c r="AE120" s="20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  <c r="BJ120" s="127"/>
      <c r="BK120" s="127"/>
      <c r="BL120" s="127"/>
      <c r="BM120" s="127"/>
      <c r="BN120" s="127"/>
      <c r="BO120" s="127"/>
      <c r="BP120" s="127"/>
      <c r="BQ120" s="127"/>
      <c r="BR120" s="127"/>
      <c r="BS120" s="127"/>
      <c r="BT120" s="127"/>
      <c r="BU120" s="127"/>
      <c r="BV120" s="127"/>
      <c r="BW120" s="127"/>
      <c r="BX120" s="127"/>
    </row>
    <row r="121" spans="1:79" s="14" customFormat="1" ht="28.5" customHeight="1" x14ac:dyDescent="0.2">
      <c r="A121" s="92">
        <v>0</v>
      </c>
      <c r="B121" s="93"/>
      <c r="C121" s="93"/>
      <c r="D121" s="128" t="s">
        <v>183</v>
      </c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8"/>
      <c r="Q121" s="41" t="s">
        <v>184</v>
      </c>
      <c r="R121" s="41"/>
      <c r="S121" s="41"/>
      <c r="T121" s="41"/>
      <c r="U121" s="41"/>
      <c r="V121" s="128" t="s">
        <v>185</v>
      </c>
      <c r="W121" s="57"/>
      <c r="X121" s="57"/>
      <c r="Y121" s="57"/>
      <c r="Z121" s="57"/>
      <c r="AA121" s="57"/>
      <c r="AB121" s="57"/>
      <c r="AC121" s="57"/>
      <c r="AD121" s="57"/>
      <c r="AE121" s="58"/>
      <c r="AF121" s="129">
        <v>100</v>
      </c>
      <c r="AG121" s="129"/>
      <c r="AH121" s="129"/>
      <c r="AI121" s="129"/>
      <c r="AJ121" s="129"/>
      <c r="AK121" s="129">
        <v>0</v>
      </c>
      <c r="AL121" s="129"/>
      <c r="AM121" s="129"/>
      <c r="AN121" s="129"/>
      <c r="AO121" s="129"/>
      <c r="AP121" s="129">
        <v>100</v>
      </c>
      <c r="AQ121" s="129"/>
      <c r="AR121" s="129"/>
      <c r="AS121" s="129"/>
      <c r="AT121" s="129"/>
      <c r="AU121" s="129">
        <v>100</v>
      </c>
      <c r="AV121" s="129"/>
      <c r="AW121" s="129"/>
      <c r="AX121" s="129"/>
      <c r="AY121" s="129"/>
      <c r="AZ121" s="129">
        <v>0</v>
      </c>
      <c r="BA121" s="129"/>
      <c r="BB121" s="129"/>
      <c r="BC121" s="129"/>
      <c r="BD121" s="129"/>
      <c r="BE121" s="129">
        <v>100</v>
      </c>
      <c r="BF121" s="129"/>
      <c r="BG121" s="129"/>
      <c r="BH121" s="129"/>
      <c r="BI121" s="129"/>
      <c r="BJ121" s="129">
        <v>100</v>
      </c>
      <c r="BK121" s="129"/>
      <c r="BL121" s="129"/>
      <c r="BM121" s="129"/>
      <c r="BN121" s="129"/>
      <c r="BO121" s="129">
        <v>0</v>
      </c>
      <c r="BP121" s="129"/>
      <c r="BQ121" s="129"/>
      <c r="BR121" s="129"/>
      <c r="BS121" s="129"/>
      <c r="BT121" s="129">
        <v>100</v>
      </c>
      <c r="BU121" s="129"/>
      <c r="BV121" s="129"/>
      <c r="BW121" s="129"/>
      <c r="BX121" s="129"/>
    </row>
    <row r="123" spans="1:79" ht="14.25" customHeight="1" x14ac:dyDescent="0.2">
      <c r="A123" s="77" t="s">
        <v>186</v>
      </c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</row>
    <row r="124" spans="1:79" ht="23.1" customHeight="1" x14ac:dyDescent="0.2">
      <c r="A124" s="80" t="s">
        <v>146</v>
      </c>
      <c r="B124" s="81"/>
      <c r="C124" s="81"/>
      <c r="D124" s="41" t="s">
        <v>158</v>
      </c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 t="s">
        <v>3</v>
      </c>
      <c r="R124" s="41"/>
      <c r="S124" s="41"/>
      <c r="T124" s="41"/>
      <c r="U124" s="41"/>
      <c r="V124" s="41" t="s">
        <v>159</v>
      </c>
      <c r="W124" s="41"/>
      <c r="X124" s="41"/>
      <c r="Y124" s="41"/>
      <c r="Z124" s="41"/>
      <c r="AA124" s="41"/>
      <c r="AB124" s="41"/>
      <c r="AC124" s="41"/>
      <c r="AD124" s="41"/>
      <c r="AE124" s="41"/>
      <c r="AF124" s="48" t="s">
        <v>59</v>
      </c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50"/>
      <c r="AU124" s="48" t="s">
        <v>61</v>
      </c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50"/>
    </row>
    <row r="125" spans="1:79" ht="28.5" customHeight="1" x14ac:dyDescent="0.2">
      <c r="A125" s="83"/>
      <c r="B125" s="84"/>
      <c r="C125" s="84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 t="s">
        <v>91</v>
      </c>
      <c r="AG125" s="41"/>
      <c r="AH125" s="41"/>
      <c r="AI125" s="41"/>
      <c r="AJ125" s="41"/>
      <c r="AK125" s="41" t="s">
        <v>92</v>
      </c>
      <c r="AL125" s="41"/>
      <c r="AM125" s="41"/>
      <c r="AN125" s="41"/>
      <c r="AO125" s="41"/>
      <c r="AP125" s="41" t="s">
        <v>160</v>
      </c>
      <c r="AQ125" s="41"/>
      <c r="AR125" s="41"/>
      <c r="AS125" s="41"/>
      <c r="AT125" s="41"/>
      <c r="AU125" s="41" t="s">
        <v>91</v>
      </c>
      <c r="AV125" s="41"/>
      <c r="AW125" s="41"/>
      <c r="AX125" s="41"/>
      <c r="AY125" s="41"/>
      <c r="AZ125" s="41" t="s">
        <v>92</v>
      </c>
      <c r="BA125" s="41"/>
      <c r="BB125" s="41"/>
      <c r="BC125" s="41"/>
      <c r="BD125" s="41"/>
      <c r="BE125" s="41" t="s">
        <v>161</v>
      </c>
      <c r="BF125" s="41"/>
      <c r="BG125" s="41"/>
      <c r="BH125" s="41"/>
      <c r="BI125" s="41"/>
    </row>
    <row r="126" spans="1:79" ht="15" customHeight="1" x14ac:dyDescent="0.2">
      <c r="A126" s="48">
        <v>1</v>
      </c>
      <c r="B126" s="49"/>
      <c r="C126" s="49"/>
      <c r="D126" s="41">
        <v>2</v>
      </c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>
        <v>3</v>
      </c>
      <c r="R126" s="41"/>
      <c r="S126" s="41"/>
      <c r="T126" s="41"/>
      <c r="U126" s="41"/>
      <c r="V126" s="41">
        <v>4</v>
      </c>
      <c r="W126" s="41"/>
      <c r="X126" s="41"/>
      <c r="Y126" s="41"/>
      <c r="Z126" s="41"/>
      <c r="AA126" s="41"/>
      <c r="AB126" s="41"/>
      <c r="AC126" s="41"/>
      <c r="AD126" s="41"/>
      <c r="AE126" s="41"/>
      <c r="AF126" s="41">
        <v>5</v>
      </c>
      <c r="AG126" s="41"/>
      <c r="AH126" s="41"/>
      <c r="AI126" s="41"/>
      <c r="AJ126" s="41"/>
      <c r="AK126" s="41">
        <v>6</v>
      </c>
      <c r="AL126" s="41"/>
      <c r="AM126" s="41"/>
      <c r="AN126" s="41"/>
      <c r="AO126" s="41"/>
      <c r="AP126" s="41">
        <v>7</v>
      </c>
      <c r="AQ126" s="41"/>
      <c r="AR126" s="41"/>
      <c r="AS126" s="41"/>
      <c r="AT126" s="41"/>
      <c r="AU126" s="41">
        <v>8</v>
      </c>
      <c r="AV126" s="41"/>
      <c r="AW126" s="41"/>
      <c r="AX126" s="41"/>
      <c r="AY126" s="41"/>
      <c r="AZ126" s="41">
        <v>9</v>
      </c>
      <c r="BA126" s="41"/>
      <c r="BB126" s="41"/>
      <c r="BC126" s="41"/>
      <c r="BD126" s="41"/>
      <c r="BE126" s="41">
        <v>10</v>
      </c>
      <c r="BF126" s="41"/>
      <c r="BG126" s="41"/>
      <c r="BH126" s="41"/>
      <c r="BI126" s="41"/>
    </row>
    <row r="127" spans="1:79" ht="15.75" hidden="1" customHeight="1" x14ac:dyDescent="0.2">
      <c r="A127" s="51" t="s">
        <v>162</v>
      </c>
      <c r="B127" s="52"/>
      <c r="C127" s="52"/>
      <c r="D127" s="41" t="s">
        <v>98</v>
      </c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 t="s">
        <v>15</v>
      </c>
      <c r="R127" s="41"/>
      <c r="S127" s="41"/>
      <c r="T127" s="41"/>
      <c r="U127" s="41"/>
      <c r="V127" s="41" t="s">
        <v>163</v>
      </c>
      <c r="W127" s="41"/>
      <c r="X127" s="41"/>
      <c r="Y127" s="41"/>
      <c r="Z127" s="41"/>
      <c r="AA127" s="41"/>
      <c r="AB127" s="41"/>
      <c r="AC127" s="41"/>
      <c r="AD127" s="41"/>
      <c r="AE127" s="41"/>
      <c r="AF127" s="17" t="s">
        <v>187</v>
      </c>
      <c r="AG127" s="17"/>
      <c r="AH127" s="17"/>
      <c r="AI127" s="17"/>
      <c r="AJ127" s="17"/>
      <c r="AK127" s="27" t="s">
        <v>188</v>
      </c>
      <c r="AL127" s="27"/>
      <c r="AM127" s="27"/>
      <c r="AN127" s="27"/>
      <c r="AO127" s="27"/>
      <c r="AP127" s="116" t="s">
        <v>166</v>
      </c>
      <c r="AQ127" s="116"/>
      <c r="AR127" s="116"/>
      <c r="AS127" s="116"/>
      <c r="AT127" s="116"/>
      <c r="AU127" s="17" t="s">
        <v>189</v>
      </c>
      <c r="AV127" s="17"/>
      <c r="AW127" s="17"/>
      <c r="AX127" s="17"/>
      <c r="AY127" s="17"/>
      <c r="AZ127" s="27" t="s">
        <v>190</v>
      </c>
      <c r="BA127" s="27"/>
      <c r="BB127" s="27"/>
      <c r="BC127" s="27"/>
      <c r="BD127" s="27"/>
      <c r="BE127" s="116" t="s">
        <v>166</v>
      </c>
      <c r="BF127" s="116"/>
      <c r="BG127" s="116"/>
      <c r="BH127" s="116"/>
      <c r="BI127" s="116"/>
      <c r="CA127" t="s">
        <v>191</v>
      </c>
    </row>
    <row r="128" spans="1:79" s="3" customFormat="1" ht="14.25" x14ac:dyDescent="0.2">
      <c r="A128" s="99">
        <v>0</v>
      </c>
      <c r="B128" s="100"/>
      <c r="C128" s="100"/>
      <c r="D128" s="126" t="s">
        <v>172</v>
      </c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CA128" s="3" t="s">
        <v>192</v>
      </c>
    </row>
    <row r="129" spans="1:79" s="14" customFormat="1" ht="14.25" customHeight="1" x14ac:dyDescent="0.2">
      <c r="A129" s="92">
        <v>0</v>
      </c>
      <c r="B129" s="93"/>
      <c r="C129" s="93"/>
      <c r="D129" s="128" t="s">
        <v>174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8"/>
      <c r="Q129" s="41" t="s">
        <v>40</v>
      </c>
      <c r="R129" s="41"/>
      <c r="S129" s="41"/>
      <c r="T129" s="41"/>
      <c r="U129" s="41"/>
      <c r="V129" s="41" t="s">
        <v>175</v>
      </c>
      <c r="W129" s="41"/>
      <c r="X129" s="41"/>
      <c r="Y129" s="41"/>
      <c r="Z129" s="41"/>
      <c r="AA129" s="41"/>
      <c r="AB129" s="41"/>
      <c r="AC129" s="41"/>
      <c r="AD129" s="41"/>
      <c r="AE129" s="41"/>
      <c r="AF129" s="129">
        <v>4</v>
      </c>
      <c r="AG129" s="129"/>
      <c r="AH129" s="129"/>
      <c r="AI129" s="129"/>
      <c r="AJ129" s="129"/>
      <c r="AK129" s="129">
        <v>0</v>
      </c>
      <c r="AL129" s="129"/>
      <c r="AM129" s="129"/>
      <c r="AN129" s="129"/>
      <c r="AO129" s="129"/>
      <c r="AP129" s="129">
        <v>4</v>
      </c>
      <c r="AQ129" s="129"/>
      <c r="AR129" s="129"/>
      <c r="AS129" s="129"/>
      <c r="AT129" s="129"/>
      <c r="AU129" s="129">
        <v>4</v>
      </c>
      <c r="AV129" s="129"/>
      <c r="AW129" s="129"/>
      <c r="AX129" s="129"/>
      <c r="AY129" s="129"/>
      <c r="AZ129" s="129">
        <v>0</v>
      </c>
      <c r="BA129" s="129"/>
      <c r="BB129" s="129"/>
      <c r="BC129" s="129"/>
      <c r="BD129" s="129"/>
      <c r="BE129" s="129">
        <v>4</v>
      </c>
      <c r="BF129" s="129"/>
      <c r="BG129" s="129"/>
      <c r="BH129" s="129"/>
      <c r="BI129" s="129"/>
    </row>
    <row r="130" spans="1:79" s="3" customFormat="1" ht="14.25" x14ac:dyDescent="0.2">
      <c r="A130" s="99">
        <v>0</v>
      </c>
      <c r="B130" s="100"/>
      <c r="C130" s="100"/>
      <c r="D130" s="130" t="s">
        <v>176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20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79" s="14" customFormat="1" ht="28.5" customHeight="1" x14ac:dyDescent="0.2">
      <c r="A131" s="92">
        <v>0</v>
      </c>
      <c r="B131" s="93"/>
      <c r="C131" s="93"/>
      <c r="D131" s="128" t="s">
        <v>177</v>
      </c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8"/>
      <c r="Q131" s="41" t="s">
        <v>40</v>
      </c>
      <c r="R131" s="41"/>
      <c r="S131" s="41"/>
      <c r="T131" s="41"/>
      <c r="U131" s="41"/>
      <c r="V131" s="128" t="s">
        <v>178</v>
      </c>
      <c r="W131" s="57"/>
      <c r="X131" s="57"/>
      <c r="Y131" s="57"/>
      <c r="Z131" s="57"/>
      <c r="AA131" s="57"/>
      <c r="AB131" s="57"/>
      <c r="AC131" s="57"/>
      <c r="AD131" s="57"/>
      <c r="AE131" s="58"/>
      <c r="AF131" s="129">
        <v>258</v>
      </c>
      <c r="AG131" s="129"/>
      <c r="AH131" s="129"/>
      <c r="AI131" s="129"/>
      <c r="AJ131" s="129"/>
      <c r="AK131" s="129">
        <v>0</v>
      </c>
      <c r="AL131" s="129"/>
      <c r="AM131" s="129"/>
      <c r="AN131" s="129"/>
      <c r="AO131" s="129"/>
      <c r="AP131" s="129">
        <v>258</v>
      </c>
      <c r="AQ131" s="129"/>
      <c r="AR131" s="129"/>
      <c r="AS131" s="129"/>
      <c r="AT131" s="129"/>
      <c r="AU131" s="129">
        <v>258</v>
      </c>
      <c r="AV131" s="129"/>
      <c r="AW131" s="129"/>
      <c r="AX131" s="129"/>
      <c r="AY131" s="129"/>
      <c r="AZ131" s="129">
        <v>0</v>
      </c>
      <c r="BA131" s="129"/>
      <c r="BB131" s="129"/>
      <c r="BC131" s="129"/>
      <c r="BD131" s="129"/>
      <c r="BE131" s="129">
        <v>258</v>
      </c>
      <c r="BF131" s="129"/>
      <c r="BG131" s="129"/>
      <c r="BH131" s="129"/>
      <c r="BI131" s="129"/>
    </row>
    <row r="132" spans="1:79" s="3" customFormat="1" ht="14.25" x14ac:dyDescent="0.2">
      <c r="A132" s="99">
        <v>0</v>
      </c>
      <c r="B132" s="100"/>
      <c r="C132" s="100"/>
      <c r="D132" s="130" t="s">
        <v>179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/>
      <c r="Q132" s="126"/>
      <c r="R132" s="126"/>
      <c r="S132" s="126"/>
      <c r="T132" s="126"/>
      <c r="U132" s="126"/>
      <c r="V132" s="130"/>
      <c r="W132" s="19"/>
      <c r="X132" s="19"/>
      <c r="Y132" s="19"/>
      <c r="Z132" s="19"/>
      <c r="AA132" s="19"/>
      <c r="AB132" s="19"/>
      <c r="AC132" s="19"/>
      <c r="AD132" s="19"/>
      <c r="AE132" s="20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79" s="14" customFormat="1" ht="42.75" customHeight="1" x14ac:dyDescent="0.2">
      <c r="A133" s="92">
        <v>0</v>
      </c>
      <c r="B133" s="93"/>
      <c r="C133" s="93"/>
      <c r="D133" s="128" t="s">
        <v>39</v>
      </c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8"/>
      <c r="Q133" s="41" t="s">
        <v>40</v>
      </c>
      <c r="R133" s="41"/>
      <c r="S133" s="41"/>
      <c r="T133" s="41"/>
      <c r="U133" s="41"/>
      <c r="V133" s="128" t="s">
        <v>180</v>
      </c>
      <c r="W133" s="57"/>
      <c r="X133" s="57"/>
      <c r="Y133" s="57"/>
      <c r="Z133" s="57"/>
      <c r="AA133" s="57"/>
      <c r="AB133" s="57"/>
      <c r="AC133" s="57"/>
      <c r="AD133" s="57"/>
      <c r="AE133" s="58"/>
      <c r="AF133" s="129">
        <v>117</v>
      </c>
      <c r="AG133" s="129"/>
      <c r="AH133" s="129"/>
      <c r="AI133" s="129"/>
      <c r="AJ133" s="129"/>
      <c r="AK133" s="129">
        <v>0</v>
      </c>
      <c r="AL133" s="129"/>
      <c r="AM133" s="129"/>
      <c r="AN133" s="129"/>
      <c r="AO133" s="129"/>
      <c r="AP133" s="129">
        <v>117</v>
      </c>
      <c r="AQ133" s="129"/>
      <c r="AR133" s="129"/>
      <c r="AS133" s="129"/>
      <c r="AT133" s="129"/>
      <c r="AU133" s="129">
        <v>117</v>
      </c>
      <c r="AV133" s="129"/>
      <c r="AW133" s="129"/>
      <c r="AX133" s="129"/>
      <c r="AY133" s="129"/>
      <c r="AZ133" s="129">
        <v>0</v>
      </c>
      <c r="BA133" s="129"/>
      <c r="BB133" s="129"/>
      <c r="BC133" s="129"/>
      <c r="BD133" s="129"/>
      <c r="BE133" s="129">
        <v>117</v>
      </c>
      <c r="BF133" s="129"/>
      <c r="BG133" s="129"/>
      <c r="BH133" s="129"/>
      <c r="BI133" s="129"/>
    </row>
    <row r="134" spans="1:79" s="14" customFormat="1" ht="30" customHeight="1" x14ac:dyDescent="0.2">
      <c r="A134" s="92">
        <v>0</v>
      </c>
      <c r="B134" s="93"/>
      <c r="C134" s="93"/>
      <c r="D134" s="128" t="s">
        <v>181</v>
      </c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8"/>
      <c r="Q134" s="41" t="s">
        <v>42</v>
      </c>
      <c r="R134" s="41"/>
      <c r="S134" s="41"/>
      <c r="T134" s="41"/>
      <c r="U134" s="41"/>
      <c r="V134" s="128" t="s">
        <v>180</v>
      </c>
      <c r="W134" s="57"/>
      <c r="X134" s="57"/>
      <c r="Y134" s="57"/>
      <c r="Z134" s="57"/>
      <c r="AA134" s="57"/>
      <c r="AB134" s="57"/>
      <c r="AC134" s="57"/>
      <c r="AD134" s="57"/>
      <c r="AE134" s="58"/>
      <c r="AF134" s="129">
        <v>572084</v>
      </c>
      <c r="AG134" s="129"/>
      <c r="AH134" s="129"/>
      <c r="AI134" s="129"/>
      <c r="AJ134" s="129"/>
      <c r="AK134" s="129">
        <v>0</v>
      </c>
      <c r="AL134" s="129"/>
      <c r="AM134" s="129"/>
      <c r="AN134" s="129"/>
      <c r="AO134" s="129"/>
      <c r="AP134" s="129">
        <v>572084</v>
      </c>
      <c r="AQ134" s="129"/>
      <c r="AR134" s="129"/>
      <c r="AS134" s="129"/>
      <c r="AT134" s="129"/>
      <c r="AU134" s="129">
        <v>573768</v>
      </c>
      <c r="AV134" s="129"/>
      <c r="AW134" s="129"/>
      <c r="AX134" s="129"/>
      <c r="AY134" s="129"/>
      <c r="AZ134" s="129">
        <v>0</v>
      </c>
      <c r="BA134" s="129"/>
      <c r="BB134" s="129"/>
      <c r="BC134" s="129"/>
      <c r="BD134" s="129"/>
      <c r="BE134" s="129">
        <v>573768</v>
      </c>
      <c r="BF134" s="129"/>
      <c r="BG134" s="129"/>
      <c r="BH134" s="129"/>
      <c r="BI134" s="129"/>
    </row>
    <row r="135" spans="1:79" s="3" customFormat="1" ht="14.25" x14ac:dyDescent="0.2">
      <c r="A135" s="99">
        <v>0</v>
      </c>
      <c r="B135" s="100"/>
      <c r="C135" s="100"/>
      <c r="D135" s="130" t="s">
        <v>182</v>
      </c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0"/>
      <c r="Q135" s="126"/>
      <c r="R135" s="126"/>
      <c r="S135" s="126"/>
      <c r="T135" s="126"/>
      <c r="U135" s="126"/>
      <c r="V135" s="130"/>
      <c r="W135" s="19"/>
      <c r="X135" s="19"/>
      <c r="Y135" s="19"/>
      <c r="Z135" s="19"/>
      <c r="AA135" s="19"/>
      <c r="AB135" s="19"/>
      <c r="AC135" s="19"/>
      <c r="AD135" s="19"/>
      <c r="AE135" s="20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79" s="14" customFormat="1" ht="28.5" customHeight="1" x14ac:dyDescent="0.2">
      <c r="A136" s="92">
        <v>0</v>
      </c>
      <c r="B136" s="93"/>
      <c r="C136" s="93"/>
      <c r="D136" s="128" t="s">
        <v>183</v>
      </c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8"/>
      <c r="Q136" s="41" t="s">
        <v>184</v>
      </c>
      <c r="R136" s="41"/>
      <c r="S136" s="41"/>
      <c r="T136" s="41"/>
      <c r="U136" s="41"/>
      <c r="V136" s="128" t="s">
        <v>185</v>
      </c>
      <c r="W136" s="57"/>
      <c r="X136" s="57"/>
      <c r="Y136" s="57"/>
      <c r="Z136" s="57"/>
      <c r="AA136" s="57"/>
      <c r="AB136" s="57"/>
      <c r="AC136" s="57"/>
      <c r="AD136" s="57"/>
      <c r="AE136" s="58"/>
      <c r="AF136" s="129">
        <v>100</v>
      </c>
      <c r="AG136" s="129"/>
      <c r="AH136" s="129"/>
      <c r="AI136" s="129"/>
      <c r="AJ136" s="129"/>
      <c r="AK136" s="129">
        <v>0</v>
      </c>
      <c r="AL136" s="129"/>
      <c r="AM136" s="129"/>
      <c r="AN136" s="129"/>
      <c r="AO136" s="129"/>
      <c r="AP136" s="129">
        <v>100</v>
      </c>
      <c r="AQ136" s="129"/>
      <c r="AR136" s="129"/>
      <c r="AS136" s="129"/>
      <c r="AT136" s="129"/>
      <c r="AU136" s="129">
        <v>100</v>
      </c>
      <c r="AV136" s="129"/>
      <c r="AW136" s="129"/>
      <c r="AX136" s="129"/>
      <c r="AY136" s="129"/>
      <c r="AZ136" s="129">
        <v>0</v>
      </c>
      <c r="BA136" s="129"/>
      <c r="BB136" s="129"/>
      <c r="BC136" s="129"/>
      <c r="BD136" s="129"/>
      <c r="BE136" s="129">
        <v>100</v>
      </c>
      <c r="BF136" s="129"/>
      <c r="BG136" s="129"/>
      <c r="BH136" s="129"/>
      <c r="BI136" s="129"/>
    </row>
    <row r="138" spans="1:79" ht="14.25" customHeight="1" x14ac:dyDescent="0.2">
      <c r="A138" s="77" t="s">
        <v>193</v>
      </c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</row>
    <row r="139" spans="1:79" ht="15" customHeight="1" x14ac:dyDescent="0.2">
      <c r="A139" s="106" t="s">
        <v>55</v>
      </c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</row>
    <row r="140" spans="1:79" ht="12.95" customHeight="1" x14ac:dyDescent="0.2">
      <c r="A140" s="80" t="s">
        <v>90</v>
      </c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2"/>
      <c r="U140" s="41" t="s">
        <v>56</v>
      </c>
      <c r="V140" s="41"/>
      <c r="W140" s="41"/>
      <c r="X140" s="41"/>
      <c r="Y140" s="41"/>
      <c r="Z140" s="41"/>
      <c r="AA140" s="41"/>
      <c r="AB140" s="41"/>
      <c r="AC140" s="41"/>
      <c r="AD140" s="41"/>
      <c r="AE140" s="41" t="s">
        <v>57</v>
      </c>
      <c r="AF140" s="41"/>
      <c r="AG140" s="41"/>
      <c r="AH140" s="41"/>
      <c r="AI140" s="41"/>
      <c r="AJ140" s="41"/>
      <c r="AK140" s="41"/>
      <c r="AL140" s="41"/>
      <c r="AM140" s="41"/>
      <c r="AN140" s="41"/>
      <c r="AO140" s="41" t="s">
        <v>58</v>
      </c>
      <c r="AP140" s="41"/>
      <c r="AQ140" s="41"/>
      <c r="AR140" s="41"/>
      <c r="AS140" s="41"/>
      <c r="AT140" s="41"/>
      <c r="AU140" s="41"/>
      <c r="AV140" s="41"/>
      <c r="AW140" s="41"/>
      <c r="AX140" s="41"/>
      <c r="AY140" s="41" t="s">
        <v>59</v>
      </c>
      <c r="AZ140" s="41"/>
      <c r="BA140" s="41"/>
      <c r="BB140" s="41"/>
      <c r="BC140" s="41"/>
      <c r="BD140" s="41"/>
      <c r="BE140" s="41"/>
      <c r="BF140" s="41"/>
      <c r="BG140" s="41"/>
      <c r="BH140" s="41"/>
      <c r="BI140" s="41" t="s">
        <v>61</v>
      </c>
      <c r="BJ140" s="41"/>
      <c r="BK140" s="41"/>
      <c r="BL140" s="41"/>
      <c r="BM140" s="41"/>
      <c r="BN140" s="41"/>
      <c r="BO140" s="41"/>
      <c r="BP140" s="41"/>
      <c r="BQ140" s="41"/>
      <c r="BR140" s="41"/>
    </row>
    <row r="141" spans="1:79" ht="30" customHeight="1" x14ac:dyDescent="0.2">
      <c r="A141" s="83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5"/>
      <c r="U141" s="41" t="s">
        <v>91</v>
      </c>
      <c r="V141" s="41"/>
      <c r="W141" s="41"/>
      <c r="X141" s="41"/>
      <c r="Y141" s="41"/>
      <c r="Z141" s="41" t="s">
        <v>92</v>
      </c>
      <c r="AA141" s="41"/>
      <c r="AB141" s="41"/>
      <c r="AC141" s="41"/>
      <c r="AD141" s="41"/>
      <c r="AE141" s="41" t="s">
        <v>91</v>
      </c>
      <c r="AF141" s="41"/>
      <c r="AG141" s="41"/>
      <c r="AH141" s="41"/>
      <c r="AI141" s="41"/>
      <c r="AJ141" s="41" t="s">
        <v>92</v>
      </c>
      <c r="AK141" s="41"/>
      <c r="AL141" s="41"/>
      <c r="AM141" s="41"/>
      <c r="AN141" s="41"/>
      <c r="AO141" s="41" t="s">
        <v>91</v>
      </c>
      <c r="AP141" s="41"/>
      <c r="AQ141" s="41"/>
      <c r="AR141" s="41"/>
      <c r="AS141" s="41"/>
      <c r="AT141" s="41" t="s">
        <v>92</v>
      </c>
      <c r="AU141" s="41"/>
      <c r="AV141" s="41"/>
      <c r="AW141" s="41"/>
      <c r="AX141" s="41"/>
      <c r="AY141" s="41" t="s">
        <v>91</v>
      </c>
      <c r="AZ141" s="41"/>
      <c r="BA141" s="41"/>
      <c r="BB141" s="41"/>
      <c r="BC141" s="41"/>
      <c r="BD141" s="41" t="s">
        <v>92</v>
      </c>
      <c r="BE141" s="41"/>
      <c r="BF141" s="41"/>
      <c r="BG141" s="41"/>
      <c r="BH141" s="41"/>
      <c r="BI141" s="41" t="s">
        <v>91</v>
      </c>
      <c r="BJ141" s="41"/>
      <c r="BK141" s="41"/>
      <c r="BL141" s="41"/>
      <c r="BM141" s="41"/>
      <c r="BN141" s="41" t="s">
        <v>92</v>
      </c>
      <c r="BO141" s="41"/>
      <c r="BP141" s="41"/>
      <c r="BQ141" s="41"/>
      <c r="BR141" s="41"/>
    </row>
    <row r="142" spans="1:79" ht="15" customHeight="1" x14ac:dyDescent="0.2">
      <c r="A142" s="48">
        <v>1</v>
      </c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50"/>
      <c r="U142" s="41">
        <v>2</v>
      </c>
      <c r="V142" s="41"/>
      <c r="W142" s="41"/>
      <c r="X142" s="41"/>
      <c r="Y142" s="41"/>
      <c r="Z142" s="41">
        <v>3</v>
      </c>
      <c r="AA142" s="41"/>
      <c r="AB142" s="41"/>
      <c r="AC142" s="41"/>
      <c r="AD142" s="41"/>
      <c r="AE142" s="41">
        <v>4</v>
      </c>
      <c r="AF142" s="41"/>
      <c r="AG142" s="41"/>
      <c r="AH142" s="41"/>
      <c r="AI142" s="41"/>
      <c r="AJ142" s="41">
        <v>5</v>
      </c>
      <c r="AK142" s="41"/>
      <c r="AL142" s="41"/>
      <c r="AM142" s="41"/>
      <c r="AN142" s="41"/>
      <c r="AO142" s="41">
        <v>6</v>
      </c>
      <c r="AP142" s="41"/>
      <c r="AQ142" s="41"/>
      <c r="AR142" s="41"/>
      <c r="AS142" s="41"/>
      <c r="AT142" s="41">
        <v>7</v>
      </c>
      <c r="AU142" s="41"/>
      <c r="AV142" s="41"/>
      <c r="AW142" s="41"/>
      <c r="AX142" s="41"/>
      <c r="AY142" s="41">
        <v>8</v>
      </c>
      <c r="AZ142" s="41"/>
      <c r="BA142" s="41"/>
      <c r="BB142" s="41"/>
      <c r="BC142" s="41"/>
      <c r="BD142" s="41">
        <v>9</v>
      </c>
      <c r="BE142" s="41"/>
      <c r="BF142" s="41"/>
      <c r="BG142" s="41"/>
      <c r="BH142" s="41"/>
      <c r="BI142" s="41">
        <v>10</v>
      </c>
      <c r="BJ142" s="41"/>
      <c r="BK142" s="41"/>
      <c r="BL142" s="41"/>
      <c r="BM142" s="41"/>
      <c r="BN142" s="41">
        <v>11</v>
      </c>
      <c r="BO142" s="41"/>
      <c r="BP142" s="41"/>
      <c r="BQ142" s="41"/>
      <c r="BR142" s="41"/>
    </row>
    <row r="143" spans="1:79" s="71" customFormat="1" ht="15.75" hidden="1" customHeight="1" x14ac:dyDescent="0.2">
      <c r="A143" s="51" t="s">
        <v>98</v>
      </c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3"/>
      <c r="U143" s="17" t="s">
        <v>99</v>
      </c>
      <c r="V143" s="17"/>
      <c r="W143" s="17"/>
      <c r="X143" s="17"/>
      <c r="Y143" s="17"/>
      <c r="Z143" s="27" t="s">
        <v>100</v>
      </c>
      <c r="AA143" s="27"/>
      <c r="AB143" s="27"/>
      <c r="AC143" s="27"/>
      <c r="AD143" s="27"/>
      <c r="AE143" s="17" t="s">
        <v>103</v>
      </c>
      <c r="AF143" s="17"/>
      <c r="AG143" s="17"/>
      <c r="AH143" s="17"/>
      <c r="AI143" s="17"/>
      <c r="AJ143" s="27" t="s">
        <v>104</v>
      </c>
      <c r="AK143" s="27"/>
      <c r="AL143" s="27"/>
      <c r="AM143" s="27"/>
      <c r="AN143" s="27"/>
      <c r="AO143" s="17" t="s">
        <v>106</v>
      </c>
      <c r="AP143" s="17"/>
      <c r="AQ143" s="17"/>
      <c r="AR143" s="17"/>
      <c r="AS143" s="17"/>
      <c r="AT143" s="27" t="s">
        <v>107</v>
      </c>
      <c r="AU143" s="27"/>
      <c r="AV143" s="27"/>
      <c r="AW143" s="27"/>
      <c r="AX143" s="27"/>
      <c r="AY143" s="17" t="s">
        <v>114</v>
      </c>
      <c r="AZ143" s="17"/>
      <c r="BA143" s="17"/>
      <c r="BB143" s="17"/>
      <c r="BC143" s="17"/>
      <c r="BD143" s="27" t="s">
        <v>115</v>
      </c>
      <c r="BE143" s="27"/>
      <c r="BF143" s="27"/>
      <c r="BG143" s="27"/>
      <c r="BH143" s="27"/>
      <c r="BI143" s="17" t="s">
        <v>118</v>
      </c>
      <c r="BJ143" s="17"/>
      <c r="BK143" s="17"/>
      <c r="BL143" s="17"/>
      <c r="BM143" s="17"/>
      <c r="BN143" s="27" t="s">
        <v>119</v>
      </c>
      <c r="BO143" s="27"/>
      <c r="BP143" s="27"/>
      <c r="BQ143" s="27"/>
      <c r="BR143" s="27"/>
      <c r="CA143" t="s">
        <v>194</v>
      </c>
    </row>
    <row r="144" spans="1:79" s="3" customFormat="1" ht="12.75" customHeight="1" x14ac:dyDescent="0.2">
      <c r="A144" s="44" t="s">
        <v>195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20"/>
      <c r="U144" s="131">
        <v>256563</v>
      </c>
      <c r="V144" s="131"/>
      <c r="W144" s="131"/>
      <c r="X144" s="131"/>
      <c r="Y144" s="131"/>
      <c r="Z144" s="131">
        <v>0</v>
      </c>
      <c r="AA144" s="131"/>
      <c r="AB144" s="131"/>
      <c r="AC144" s="131"/>
      <c r="AD144" s="131"/>
      <c r="AE144" s="131">
        <v>394740</v>
      </c>
      <c r="AF144" s="131"/>
      <c r="AG144" s="131"/>
      <c r="AH144" s="131"/>
      <c r="AI144" s="131"/>
      <c r="AJ144" s="131">
        <v>0</v>
      </c>
      <c r="AK144" s="131"/>
      <c r="AL144" s="131"/>
      <c r="AM144" s="131"/>
      <c r="AN144" s="131"/>
      <c r="AO144" s="131">
        <v>596624</v>
      </c>
      <c r="AP144" s="131"/>
      <c r="AQ144" s="131"/>
      <c r="AR144" s="131"/>
      <c r="AS144" s="131"/>
      <c r="AT144" s="131">
        <v>0</v>
      </c>
      <c r="AU144" s="131"/>
      <c r="AV144" s="131"/>
      <c r="AW144" s="131"/>
      <c r="AX144" s="131"/>
      <c r="AY144" s="131">
        <v>596624</v>
      </c>
      <c r="AZ144" s="131"/>
      <c r="BA144" s="131"/>
      <c r="BB144" s="131"/>
      <c r="BC144" s="131"/>
      <c r="BD144" s="131">
        <v>0</v>
      </c>
      <c r="BE144" s="131"/>
      <c r="BF144" s="131"/>
      <c r="BG144" s="131"/>
      <c r="BH144" s="131"/>
      <c r="BI144" s="131">
        <v>596624</v>
      </c>
      <c r="BJ144" s="131"/>
      <c r="BK144" s="131"/>
      <c r="BL144" s="131"/>
      <c r="BM144" s="131"/>
      <c r="BN144" s="131">
        <v>0</v>
      </c>
      <c r="BO144" s="131"/>
      <c r="BP144" s="131"/>
      <c r="BQ144" s="131"/>
      <c r="BR144" s="131"/>
      <c r="CA144" s="3" t="s">
        <v>196</v>
      </c>
    </row>
    <row r="145" spans="1:70" s="14" customFormat="1" ht="12.75" customHeight="1" x14ac:dyDescent="0.2">
      <c r="A145" s="56" t="s">
        <v>197</v>
      </c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8"/>
      <c r="U145" s="132">
        <v>182956</v>
      </c>
      <c r="V145" s="132"/>
      <c r="W145" s="132"/>
      <c r="X145" s="132"/>
      <c r="Y145" s="132"/>
      <c r="Z145" s="132">
        <v>0</v>
      </c>
      <c r="AA145" s="132"/>
      <c r="AB145" s="132"/>
      <c r="AC145" s="132"/>
      <c r="AD145" s="132"/>
      <c r="AE145" s="132">
        <v>210000</v>
      </c>
      <c r="AF145" s="132"/>
      <c r="AG145" s="132"/>
      <c r="AH145" s="132"/>
      <c r="AI145" s="132"/>
      <c r="AJ145" s="132">
        <v>0</v>
      </c>
      <c r="AK145" s="132"/>
      <c r="AL145" s="132"/>
      <c r="AM145" s="132"/>
      <c r="AN145" s="132"/>
      <c r="AO145" s="132">
        <v>406992</v>
      </c>
      <c r="AP145" s="132"/>
      <c r="AQ145" s="132"/>
      <c r="AR145" s="132"/>
      <c r="AS145" s="132"/>
      <c r="AT145" s="132">
        <v>0</v>
      </c>
      <c r="AU145" s="132"/>
      <c r="AV145" s="132"/>
      <c r="AW145" s="132"/>
      <c r="AX145" s="132"/>
      <c r="AY145" s="132">
        <v>406992</v>
      </c>
      <c r="AZ145" s="132"/>
      <c r="BA145" s="132"/>
      <c r="BB145" s="132"/>
      <c r="BC145" s="132"/>
      <c r="BD145" s="132">
        <v>0</v>
      </c>
      <c r="BE145" s="132"/>
      <c r="BF145" s="132"/>
      <c r="BG145" s="132"/>
      <c r="BH145" s="132"/>
      <c r="BI145" s="132">
        <v>406992</v>
      </c>
      <c r="BJ145" s="132"/>
      <c r="BK145" s="132"/>
      <c r="BL145" s="132"/>
      <c r="BM145" s="132"/>
      <c r="BN145" s="132">
        <v>0</v>
      </c>
      <c r="BO145" s="132"/>
      <c r="BP145" s="132"/>
      <c r="BQ145" s="132"/>
      <c r="BR145" s="132"/>
    </row>
    <row r="146" spans="1:70" s="14" customFormat="1" ht="12.75" customHeight="1" x14ac:dyDescent="0.2">
      <c r="A146" s="56" t="s">
        <v>198</v>
      </c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8"/>
      <c r="U146" s="132">
        <v>73607</v>
      </c>
      <c r="V146" s="132"/>
      <c r="W146" s="132"/>
      <c r="X146" s="132"/>
      <c r="Y146" s="132"/>
      <c r="Z146" s="132">
        <v>0</v>
      </c>
      <c r="AA146" s="132"/>
      <c r="AB146" s="132"/>
      <c r="AC146" s="132"/>
      <c r="AD146" s="132"/>
      <c r="AE146" s="132">
        <v>184740</v>
      </c>
      <c r="AF146" s="132"/>
      <c r="AG146" s="132"/>
      <c r="AH146" s="132"/>
      <c r="AI146" s="132"/>
      <c r="AJ146" s="132">
        <v>0</v>
      </c>
      <c r="AK146" s="132"/>
      <c r="AL146" s="132"/>
      <c r="AM146" s="132"/>
      <c r="AN146" s="132"/>
      <c r="AO146" s="132">
        <v>189632</v>
      </c>
      <c r="AP146" s="132"/>
      <c r="AQ146" s="132"/>
      <c r="AR146" s="132"/>
      <c r="AS146" s="132"/>
      <c r="AT146" s="132">
        <v>0</v>
      </c>
      <c r="AU146" s="132"/>
      <c r="AV146" s="132"/>
      <c r="AW146" s="132"/>
      <c r="AX146" s="132"/>
      <c r="AY146" s="132">
        <v>189632</v>
      </c>
      <c r="AZ146" s="132"/>
      <c r="BA146" s="132"/>
      <c r="BB146" s="132"/>
      <c r="BC146" s="132"/>
      <c r="BD146" s="132">
        <v>0</v>
      </c>
      <c r="BE146" s="132"/>
      <c r="BF146" s="132"/>
      <c r="BG146" s="132"/>
      <c r="BH146" s="132"/>
      <c r="BI146" s="132">
        <v>189632</v>
      </c>
      <c r="BJ146" s="132"/>
      <c r="BK146" s="132"/>
      <c r="BL146" s="132"/>
      <c r="BM146" s="132"/>
      <c r="BN146" s="132">
        <v>0</v>
      </c>
      <c r="BO146" s="132"/>
      <c r="BP146" s="132"/>
      <c r="BQ146" s="132"/>
      <c r="BR146" s="132"/>
    </row>
    <row r="147" spans="1:70" s="14" customFormat="1" ht="12.75" customHeight="1" x14ac:dyDescent="0.2">
      <c r="A147" s="56" t="s">
        <v>199</v>
      </c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8"/>
      <c r="U147" s="132">
        <v>163928</v>
      </c>
      <c r="V147" s="132"/>
      <c r="W147" s="132"/>
      <c r="X147" s="132"/>
      <c r="Y147" s="132"/>
      <c r="Z147" s="132">
        <v>0</v>
      </c>
      <c r="AA147" s="132"/>
      <c r="AB147" s="132"/>
      <c r="AC147" s="132"/>
      <c r="AD147" s="132"/>
      <c r="AE147" s="132">
        <v>402500</v>
      </c>
      <c r="AF147" s="132"/>
      <c r="AG147" s="132"/>
      <c r="AH147" s="132"/>
      <c r="AI147" s="132"/>
      <c r="AJ147" s="132">
        <v>0</v>
      </c>
      <c r="AK147" s="132"/>
      <c r="AL147" s="132"/>
      <c r="AM147" s="132"/>
      <c r="AN147" s="132"/>
      <c r="AO147" s="132">
        <v>576572</v>
      </c>
      <c r="AP147" s="132"/>
      <c r="AQ147" s="132"/>
      <c r="AR147" s="132"/>
      <c r="AS147" s="132"/>
      <c r="AT147" s="132">
        <v>0</v>
      </c>
      <c r="AU147" s="132"/>
      <c r="AV147" s="132"/>
      <c r="AW147" s="132"/>
      <c r="AX147" s="132"/>
      <c r="AY147" s="132">
        <v>576572</v>
      </c>
      <c r="AZ147" s="132"/>
      <c r="BA147" s="132"/>
      <c r="BB147" s="132"/>
      <c r="BC147" s="132"/>
      <c r="BD147" s="132">
        <v>0</v>
      </c>
      <c r="BE147" s="132"/>
      <c r="BF147" s="132"/>
      <c r="BG147" s="132"/>
      <c r="BH147" s="132"/>
      <c r="BI147" s="132">
        <v>576572</v>
      </c>
      <c r="BJ147" s="132"/>
      <c r="BK147" s="132"/>
      <c r="BL147" s="132"/>
      <c r="BM147" s="132"/>
      <c r="BN147" s="132">
        <v>0</v>
      </c>
      <c r="BO147" s="132"/>
      <c r="BP147" s="132"/>
      <c r="BQ147" s="132"/>
      <c r="BR147" s="132"/>
    </row>
    <row r="148" spans="1:70" s="3" customFormat="1" ht="12.75" customHeight="1" x14ac:dyDescent="0.2">
      <c r="A148" s="44" t="s">
        <v>200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20"/>
      <c r="U148" s="131">
        <v>50485</v>
      </c>
      <c r="V148" s="131"/>
      <c r="W148" s="131"/>
      <c r="X148" s="131"/>
      <c r="Y148" s="131"/>
      <c r="Z148" s="131">
        <v>0</v>
      </c>
      <c r="AA148" s="131"/>
      <c r="AB148" s="131"/>
      <c r="AC148" s="131"/>
      <c r="AD148" s="131"/>
      <c r="AE148" s="131">
        <v>118290</v>
      </c>
      <c r="AF148" s="131"/>
      <c r="AG148" s="131"/>
      <c r="AH148" s="131"/>
      <c r="AI148" s="131"/>
      <c r="AJ148" s="131">
        <v>0</v>
      </c>
      <c r="AK148" s="131"/>
      <c r="AL148" s="131"/>
      <c r="AM148" s="131"/>
      <c r="AN148" s="131"/>
      <c r="AO148" s="131">
        <v>167270</v>
      </c>
      <c r="AP148" s="131"/>
      <c r="AQ148" s="131"/>
      <c r="AR148" s="131"/>
      <c r="AS148" s="131"/>
      <c r="AT148" s="131">
        <v>0</v>
      </c>
      <c r="AU148" s="131"/>
      <c r="AV148" s="131"/>
      <c r="AW148" s="131"/>
      <c r="AX148" s="131"/>
      <c r="AY148" s="131">
        <v>167270</v>
      </c>
      <c r="AZ148" s="131"/>
      <c r="BA148" s="131"/>
      <c r="BB148" s="131"/>
      <c r="BC148" s="131"/>
      <c r="BD148" s="131">
        <v>0</v>
      </c>
      <c r="BE148" s="131"/>
      <c r="BF148" s="131"/>
      <c r="BG148" s="131"/>
      <c r="BH148" s="131"/>
      <c r="BI148" s="131">
        <v>167270</v>
      </c>
      <c r="BJ148" s="131"/>
      <c r="BK148" s="131"/>
      <c r="BL148" s="131"/>
      <c r="BM148" s="131"/>
      <c r="BN148" s="131">
        <v>0</v>
      </c>
      <c r="BO148" s="131"/>
      <c r="BP148" s="131"/>
      <c r="BQ148" s="131"/>
      <c r="BR148" s="131"/>
    </row>
    <row r="149" spans="1:70" s="14" customFormat="1" ht="12.75" customHeight="1" x14ac:dyDescent="0.2">
      <c r="A149" s="56" t="s">
        <v>201</v>
      </c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8"/>
      <c r="U149" s="132">
        <v>0</v>
      </c>
      <c r="V149" s="132"/>
      <c r="W149" s="132"/>
      <c r="X149" s="132"/>
      <c r="Y149" s="132"/>
      <c r="Z149" s="132">
        <v>0</v>
      </c>
      <c r="AA149" s="132"/>
      <c r="AB149" s="132"/>
      <c r="AC149" s="132"/>
      <c r="AD149" s="132"/>
      <c r="AE149" s="132">
        <v>59145</v>
      </c>
      <c r="AF149" s="132"/>
      <c r="AG149" s="132"/>
      <c r="AH149" s="132"/>
      <c r="AI149" s="132"/>
      <c r="AJ149" s="132">
        <v>0</v>
      </c>
      <c r="AK149" s="132"/>
      <c r="AL149" s="132"/>
      <c r="AM149" s="132"/>
      <c r="AN149" s="132"/>
      <c r="AO149" s="132">
        <v>83635</v>
      </c>
      <c r="AP149" s="132"/>
      <c r="AQ149" s="132"/>
      <c r="AR149" s="132"/>
      <c r="AS149" s="132"/>
      <c r="AT149" s="132">
        <v>0</v>
      </c>
      <c r="AU149" s="132"/>
      <c r="AV149" s="132"/>
      <c r="AW149" s="132"/>
      <c r="AX149" s="132"/>
      <c r="AY149" s="132">
        <v>83635</v>
      </c>
      <c r="AZ149" s="132"/>
      <c r="BA149" s="132"/>
      <c r="BB149" s="132"/>
      <c r="BC149" s="132"/>
      <c r="BD149" s="132">
        <v>0</v>
      </c>
      <c r="BE149" s="132"/>
      <c r="BF149" s="132"/>
      <c r="BG149" s="132"/>
      <c r="BH149" s="132"/>
      <c r="BI149" s="132">
        <v>83635</v>
      </c>
      <c r="BJ149" s="132"/>
      <c r="BK149" s="132"/>
      <c r="BL149" s="132"/>
      <c r="BM149" s="132"/>
      <c r="BN149" s="132">
        <v>0</v>
      </c>
      <c r="BO149" s="132"/>
      <c r="BP149" s="132"/>
      <c r="BQ149" s="132"/>
      <c r="BR149" s="132"/>
    </row>
    <row r="150" spans="1:70" s="14" customFormat="1" ht="12.75" customHeight="1" x14ac:dyDescent="0.2">
      <c r="A150" s="56" t="s">
        <v>202</v>
      </c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8"/>
      <c r="U150" s="132">
        <v>50485</v>
      </c>
      <c r="V150" s="132"/>
      <c r="W150" s="132"/>
      <c r="X150" s="132"/>
      <c r="Y150" s="132"/>
      <c r="Z150" s="132">
        <v>0</v>
      </c>
      <c r="AA150" s="132"/>
      <c r="AB150" s="132"/>
      <c r="AC150" s="132"/>
      <c r="AD150" s="132"/>
      <c r="AE150" s="132">
        <v>59145</v>
      </c>
      <c r="AF150" s="132"/>
      <c r="AG150" s="132"/>
      <c r="AH150" s="132"/>
      <c r="AI150" s="132"/>
      <c r="AJ150" s="132">
        <v>0</v>
      </c>
      <c r="AK150" s="132"/>
      <c r="AL150" s="132"/>
      <c r="AM150" s="132"/>
      <c r="AN150" s="132"/>
      <c r="AO150" s="132">
        <v>83635</v>
      </c>
      <c r="AP150" s="132"/>
      <c r="AQ150" s="132"/>
      <c r="AR150" s="132"/>
      <c r="AS150" s="132"/>
      <c r="AT150" s="132">
        <v>0</v>
      </c>
      <c r="AU150" s="132"/>
      <c r="AV150" s="132"/>
      <c r="AW150" s="132"/>
      <c r="AX150" s="132"/>
      <c r="AY150" s="132">
        <v>83635</v>
      </c>
      <c r="AZ150" s="132"/>
      <c r="BA150" s="132"/>
      <c r="BB150" s="132"/>
      <c r="BC150" s="132"/>
      <c r="BD150" s="132">
        <v>0</v>
      </c>
      <c r="BE150" s="132"/>
      <c r="BF150" s="132"/>
      <c r="BG150" s="132"/>
      <c r="BH150" s="132"/>
      <c r="BI150" s="132">
        <v>83635</v>
      </c>
      <c r="BJ150" s="132"/>
      <c r="BK150" s="132"/>
      <c r="BL150" s="132"/>
      <c r="BM150" s="132"/>
      <c r="BN150" s="132">
        <v>0</v>
      </c>
      <c r="BO150" s="132"/>
      <c r="BP150" s="132"/>
      <c r="BQ150" s="132"/>
      <c r="BR150" s="132"/>
    </row>
    <row r="151" spans="1:70" s="14" customFormat="1" ht="12.75" customHeight="1" x14ac:dyDescent="0.2">
      <c r="A151" s="56" t="s">
        <v>203</v>
      </c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8"/>
      <c r="U151" s="132">
        <v>16049</v>
      </c>
      <c r="V151" s="132"/>
      <c r="W151" s="132"/>
      <c r="X151" s="132"/>
      <c r="Y151" s="132"/>
      <c r="Z151" s="132">
        <v>0</v>
      </c>
      <c r="AA151" s="132"/>
      <c r="AB151" s="132"/>
      <c r="AC151" s="132"/>
      <c r="AD151" s="132"/>
      <c r="AE151" s="132">
        <v>24300</v>
      </c>
      <c r="AF151" s="132"/>
      <c r="AG151" s="132"/>
      <c r="AH151" s="132"/>
      <c r="AI151" s="132"/>
      <c r="AJ151" s="132">
        <v>0</v>
      </c>
      <c r="AK151" s="132"/>
      <c r="AL151" s="132"/>
      <c r="AM151" s="132"/>
      <c r="AN151" s="132"/>
      <c r="AO151" s="132">
        <v>14534</v>
      </c>
      <c r="AP151" s="132"/>
      <c r="AQ151" s="132"/>
      <c r="AR151" s="132"/>
      <c r="AS151" s="132"/>
      <c r="AT151" s="132">
        <v>0</v>
      </c>
      <c r="AU151" s="132"/>
      <c r="AV151" s="132"/>
      <c r="AW151" s="132"/>
      <c r="AX151" s="132"/>
      <c r="AY151" s="132">
        <v>14534</v>
      </c>
      <c r="AZ151" s="132"/>
      <c r="BA151" s="132"/>
      <c r="BB151" s="132"/>
      <c r="BC151" s="132"/>
      <c r="BD151" s="132">
        <v>0</v>
      </c>
      <c r="BE151" s="132"/>
      <c r="BF151" s="132"/>
      <c r="BG151" s="132"/>
      <c r="BH151" s="132"/>
      <c r="BI151" s="132">
        <v>14534</v>
      </c>
      <c r="BJ151" s="132"/>
      <c r="BK151" s="132"/>
      <c r="BL151" s="132"/>
      <c r="BM151" s="132"/>
      <c r="BN151" s="132">
        <v>0</v>
      </c>
      <c r="BO151" s="132"/>
      <c r="BP151" s="132"/>
      <c r="BQ151" s="132"/>
      <c r="BR151" s="132"/>
    </row>
    <row r="152" spans="1:70" s="3" customFormat="1" ht="12.75" customHeight="1" x14ac:dyDescent="0.2">
      <c r="A152" s="44" t="s">
        <v>18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20"/>
      <c r="U152" s="131">
        <v>487025</v>
      </c>
      <c r="V152" s="131"/>
      <c r="W152" s="131"/>
      <c r="X152" s="131"/>
      <c r="Y152" s="131"/>
      <c r="Z152" s="131">
        <v>0</v>
      </c>
      <c r="AA152" s="131"/>
      <c r="AB152" s="131"/>
      <c r="AC152" s="131"/>
      <c r="AD152" s="131"/>
      <c r="AE152" s="131">
        <v>939830</v>
      </c>
      <c r="AF152" s="131"/>
      <c r="AG152" s="131"/>
      <c r="AH152" s="131"/>
      <c r="AI152" s="131"/>
      <c r="AJ152" s="131">
        <v>0</v>
      </c>
      <c r="AK152" s="131"/>
      <c r="AL152" s="131"/>
      <c r="AM152" s="131"/>
      <c r="AN152" s="131"/>
      <c r="AO152" s="131">
        <v>1355000</v>
      </c>
      <c r="AP152" s="131"/>
      <c r="AQ152" s="131"/>
      <c r="AR152" s="131"/>
      <c r="AS152" s="131"/>
      <c r="AT152" s="131">
        <v>0</v>
      </c>
      <c r="AU152" s="131"/>
      <c r="AV152" s="131"/>
      <c r="AW152" s="131"/>
      <c r="AX152" s="131"/>
      <c r="AY152" s="131">
        <v>1355000</v>
      </c>
      <c r="AZ152" s="131"/>
      <c r="BA152" s="131"/>
      <c r="BB152" s="131"/>
      <c r="BC152" s="131"/>
      <c r="BD152" s="131">
        <v>0</v>
      </c>
      <c r="BE152" s="131"/>
      <c r="BF152" s="131"/>
      <c r="BG152" s="131"/>
      <c r="BH152" s="131"/>
      <c r="BI152" s="131">
        <v>1355000</v>
      </c>
      <c r="BJ152" s="131"/>
      <c r="BK152" s="131"/>
      <c r="BL152" s="131"/>
      <c r="BM152" s="131"/>
      <c r="BN152" s="131">
        <v>0</v>
      </c>
      <c r="BO152" s="131"/>
      <c r="BP152" s="131"/>
      <c r="BQ152" s="131"/>
      <c r="BR152" s="131"/>
    </row>
    <row r="153" spans="1:70" s="14" customFormat="1" ht="38.25" customHeight="1" x14ac:dyDescent="0.2">
      <c r="A153" s="56" t="s">
        <v>204</v>
      </c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8"/>
      <c r="U153" s="132" t="s">
        <v>111</v>
      </c>
      <c r="V153" s="132"/>
      <c r="W153" s="132"/>
      <c r="X153" s="132"/>
      <c r="Y153" s="132"/>
      <c r="Z153" s="132"/>
      <c r="AA153" s="132"/>
      <c r="AB153" s="132"/>
      <c r="AC153" s="132"/>
      <c r="AD153" s="132"/>
      <c r="AE153" s="132" t="s">
        <v>111</v>
      </c>
      <c r="AF153" s="132"/>
      <c r="AG153" s="132"/>
      <c r="AH153" s="132"/>
      <c r="AI153" s="132"/>
      <c r="AJ153" s="132"/>
      <c r="AK153" s="132"/>
      <c r="AL153" s="132"/>
      <c r="AM153" s="132"/>
      <c r="AN153" s="132"/>
      <c r="AO153" s="132" t="s">
        <v>111</v>
      </c>
      <c r="AP153" s="132"/>
      <c r="AQ153" s="132"/>
      <c r="AR153" s="132"/>
      <c r="AS153" s="132"/>
      <c r="AT153" s="132"/>
      <c r="AU153" s="132"/>
      <c r="AV153" s="132"/>
      <c r="AW153" s="132"/>
      <c r="AX153" s="132"/>
      <c r="AY153" s="132" t="s">
        <v>111</v>
      </c>
      <c r="AZ153" s="132"/>
      <c r="BA153" s="132"/>
      <c r="BB153" s="132"/>
      <c r="BC153" s="132"/>
      <c r="BD153" s="132"/>
      <c r="BE153" s="132"/>
      <c r="BF153" s="132"/>
      <c r="BG153" s="132"/>
      <c r="BH153" s="132"/>
      <c r="BI153" s="132" t="s">
        <v>111</v>
      </c>
      <c r="BJ153" s="132"/>
      <c r="BK153" s="132"/>
      <c r="BL153" s="132"/>
      <c r="BM153" s="132"/>
      <c r="BN153" s="132"/>
      <c r="BO153" s="132"/>
      <c r="BP153" s="132"/>
      <c r="BQ153" s="132"/>
      <c r="BR153" s="132"/>
    </row>
    <row r="156" spans="1:70" ht="14.25" customHeight="1" x14ac:dyDescent="0.2">
      <c r="A156" s="77" t="s">
        <v>205</v>
      </c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</row>
    <row r="157" spans="1:70" ht="15" customHeight="1" x14ac:dyDescent="0.2">
      <c r="A157" s="80" t="s">
        <v>146</v>
      </c>
      <c r="B157" s="81"/>
      <c r="C157" s="81"/>
      <c r="D157" s="80" t="s">
        <v>206</v>
      </c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2"/>
      <c r="W157" s="41" t="s">
        <v>56</v>
      </c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 t="s">
        <v>207</v>
      </c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 t="s">
        <v>208</v>
      </c>
      <c r="AV157" s="41"/>
      <c r="AW157" s="41"/>
      <c r="AX157" s="41"/>
      <c r="AY157" s="41"/>
      <c r="AZ157" s="41"/>
      <c r="BA157" s="41" t="s">
        <v>209</v>
      </c>
      <c r="BB157" s="41"/>
      <c r="BC157" s="41"/>
      <c r="BD157" s="41"/>
      <c r="BE157" s="41"/>
      <c r="BF157" s="41"/>
      <c r="BG157" s="41" t="s">
        <v>210</v>
      </c>
      <c r="BH157" s="41"/>
      <c r="BI157" s="41"/>
      <c r="BJ157" s="41"/>
      <c r="BK157" s="41"/>
      <c r="BL157" s="41"/>
    </row>
    <row r="158" spans="1:70" ht="15" customHeight="1" x14ac:dyDescent="0.2">
      <c r="A158" s="133"/>
      <c r="B158" s="134"/>
      <c r="C158" s="134"/>
      <c r="D158" s="133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5"/>
      <c r="W158" s="41" t="s">
        <v>91</v>
      </c>
      <c r="X158" s="41"/>
      <c r="Y158" s="41"/>
      <c r="Z158" s="41"/>
      <c r="AA158" s="41"/>
      <c r="AB158" s="41"/>
      <c r="AC158" s="41" t="s">
        <v>92</v>
      </c>
      <c r="AD158" s="41"/>
      <c r="AE158" s="41"/>
      <c r="AF158" s="41"/>
      <c r="AG158" s="41"/>
      <c r="AH158" s="41"/>
      <c r="AI158" s="41" t="s">
        <v>91</v>
      </c>
      <c r="AJ158" s="41"/>
      <c r="AK158" s="41"/>
      <c r="AL158" s="41"/>
      <c r="AM158" s="41"/>
      <c r="AN158" s="41"/>
      <c r="AO158" s="41" t="s">
        <v>92</v>
      </c>
      <c r="AP158" s="41"/>
      <c r="AQ158" s="41"/>
      <c r="AR158" s="41"/>
      <c r="AS158" s="41"/>
      <c r="AT158" s="41"/>
      <c r="AU158" s="120" t="s">
        <v>91</v>
      </c>
      <c r="AV158" s="120"/>
      <c r="AW158" s="120"/>
      <c r="AX158" s="120" t="s">
        <v>92</v>
      </c>
      <c r="AY158" s="120"/>
      <c r="AZ158" s="120"/>
      <c r="BA158" s="120" t="s">
        <v>91</v>
      </c>
      <c r="BB158" s="120"/>
      <c r="BC158" s="120"/>
      <c r="BD158" s="120" t="s">
        <v>92</v>
      </c>
      <c r="BE158" s="120"/>
      <c r="BF158" s="120"/>
      <c r="BG158" s="120" t="s">
        <v>91</v>
      </c>
      <c r="BH158" s="120"/>
      <c r="BI158" s="120"/>
      <c r="BJ158" s="120" t="s">
        <v>92</v>
      </c>
      <c r="BK158" s="120"/>
      <c r="BL158" s="120"/>
    </row>
    <row r="159" spans="1:70" ht="57" customHeight="1" x14ac:dyDescent="0.2">
      <c r="A159" s="83"/>
      <c r="B159" s="84"/>
      <c r="C159" s="84"/>
      <c r="D159" s="83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5"/>
      <c r="W159" s="41" t="s">
        <v>211</v>
      </c>
      <c r="X159" s="41"/>
      <c r="Y159" s="41"/>
      <c r="Z159" s="41" t="s">
        <v>212</v>
      </c>
      <c r="AA159" s="41"/>
      <c r="AB159" s="41"/>
      <c r="AC159" s="41" t="s">
        <v>211</v>
      </c>
      <c r="AD159" s="41"/>
      <c r="AE159" s="41"/>
      <c r="AF159" s="41" t="s">
        <v>212</v>
      </c>
      <c r="AG159" s="41"/>
      <c r="AH159" s="41"/>
      <c r="AI159" s="41" t="s">
        <v>211</v>
      </c>
      <c r="AJ159" s="41"/>
      <c r="AK159" s="41"/>
      <c r="AL159" s="41" t="s">
        <v>212</v>
      </c>
      <c r="AM159" s="41"/>
      <c r="AN159" s="41"/>
      <c r="AO159" s="41" t="s">
        <v>211</v>
      </c>
      <c r="AP159" s="41"/>
      <c r="AQ159" s="41"/>
      <c r="AR159" s="41" t="s">
        <v>212</v>
      </c>
      <c r="AS159" s="41"/>
      <c r="AT159" s="41"/>
      <c r="AU159" s="120"/>
      <c r="AV159" s="120"/>
      <c r="AW159" s="120"/>
      <c r="AX159" s="120"/>
      <c r="AY159" s="120"/>
      <c r="AZ159" s="120"/>
      <c r="BA159" s="120"/>
      <c r="BB159" s="120"/>
      <c r="BC159" s="120"/>
      <c r="BD159" s="120"/>
      <c r="BE159" s="120"/>
      <c r="BF159" s="120"/>
      <c r="BG159" s="120"/>
      <c r="BH159" s="120"/>
      <c r="BI159" s="120"/>
      <c r="BJ159" s="120"/>
      <c r="BK159" s="120"/>
      <c r="BL159" s="120"/>
    </row>
    <row r="160" spans="1:70" ht="15" customHeight="1" x14ac:dyDescent="0.2">
      <c r="A160" s="48">
        <v>1</v>
      </c>
      <c r="B160" s="49"/>
      <c r="C160" s="49"/>
      <c r="D160" s="48">
        <v>2</v>
      </c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50"/>
      <c r="W160" s="41">
        <v>3</v>
      </c>
      <c r="X160" s="41"/>
      <c r="Y160" s="41"/>
      <c r="Z160" s="41">
        <v>4</v>
      </c>
      <c r="AA160" s="41"/>
      <c r="AB160" s="41"/>
      <c r="AC160" s="41">
        <v>5</v>
      </c>
      <c r="AD160" s="41"/>
      <c r="AE160" s="41"/>
      <c r="AF160" s="41">
        <v>6</v>
      </c>
      <c r="AG160" s="41"/>
      <c r="AH160" s="41"/>
      <c r="AI160" s="41">
        <v>7</v>
      </c>
      <c r="AJ160" s="41"/>
      <c r="AK160" s="41"/>
      <c r="AL160" s="41">
        <v>8</v>
      </c>
      <c r="AM160" s="41"/>
      <c r="AN160" s="41"/>
      <c r="AO160" s="41">
        <v>9</v>
      </c>
      <c r="AP160" s="41"/>
      <c r="AQ160" s="41"/>
      <c r="AR160" s="41">
        <v>10</v>
      </c>
      <c r="AS160" s="41"/>
      <c r="AT160" s="41"/>
      <c r="AU160" s="41">
        <v>11</v>
      </c>
      <c r="AV160" s="41"/>
      <c r="AW160" s="41"/>
      <c r="AX160" s="41">
        <v>12</v>
      </c>
      <c r="AY160" s="41"/>
      <c r="AZ160" s="41"/>
      <c r="BA160" s="41">
        <v>13</v>
      </c>
      <c r="BB160" s="41"/>
      <c r="BC160" s="41"/>
      <c r="BD160" s="41">
        <v>14</v>
      </c>
      <c r="BE160" s="41"/>
      <c r="BF160" s="41"/>
      <c r="BG160" s="41">
        <v>15</v>
      </c>
      <c r="BH160" s="41"/>
      <c r="BI160" s="41"/>
      <c r="BJ160" s="41">
        <v>16</v>
      </c>
      <c r="BK160" s="41"/>
      <c r="BL160" s="41"/>
    </row>
    <row r="161" spans="1:79" s="71" customFormat="1" ht="12.75" hidden="1" customHeight="1" x14ac:dyDescent="0.2">
      <c r="A161" s="51" t="s">
        <v>148</v>
      </c>
      <c r="B161" s="52"/>
      <c r="C161" s="52"/>
      <c r="D161" s="51" t="s">
        <v>98</v>
      </c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3"/>
      <c r="W161" s="17" t="s">
        <v>213</v>
      </c>
      <c r="X161" s="17"/>
      <c r="Y161" s="17"/>
      <c r="Z161" s="17" t="s">
        <v>214</v>
      </c>
      <c r="AA161" s="17"/>
      <c r="AB161" s="17"/>
      <c r="AC161" s="27" t="s">
        <v>215</v>
      </c>
      <c r="AD161" s="27"/>
      <c r="AE161" s="27"/>
      <c r="AF161" s="27" t="s">
        <v>216</v>
      </c>
      <c r="AG161" s="27"/>
      <c r="AH161" s="27"/>
      <c r="AI161" s="17" t="s">
        <v>217</v>
      </c>
      <c r="AJ161" s="17"/>
      <c r="AK161" s="17"/>
      <c r="AL161" s="17" t="s">
        <v>218</v>
      </c>
      <c r="AM161" s="17"/>
      <c r="AN161" s="17"/>
      <c r="AO161" s="27" t="s">
        <v>219</v>
      </c>
      <c r="AP161" s="27"/>
      <c r="AQ161" s="27"/>
      <c r="AR161" s="27" t="s">
        <v>220</v>
      </c>
      <c r="AS161" s="27"/>
      <c r="AT161" s="27"/>
      <c r="AU161" s="17" t="s">
        <v>169</v>
      </c>
      <c r="AV161" s="17"/>
      <c r="AW161" s="17"/>
      <c r="AX161" s="27" t="s">
        <v>170</v>
      </c>
      <c r="AY161" s="27"/>
      <c r="AZ161" s="27"/>
      <c r="BA161" s="17" t="s">
        <v>187</v>
      </c>
      <c r="BB161" s="17"/>
      <c r="BC161" s="17"/>
      <c r="BD161" s="27" t="s">
        <v>188</v>
      </c>
      <c r="BE161" s="27"/>
      <c r="BF161" s="27"/>
      <c r="BG161" s="17" t="s">
        <v>189</v>
      </c>
      <c r="BH161" s="17"/>
      <c r="BI161" s="17"/>
      <c r="BJ161" s="27" t="s">
        <v>190</v>
      </c>
      <c r="BK161" s="27"/>
      <c r="BL161" s="27"/>
      <c r="CA161" s="71" t="s">
        <v>221</v>
      </c>
    </row>
    <row r="162" spans="1:79" s="14" customFormat="1" ht="12.75" customHeight="1" x14ac:dyDescent="0.2">
      <c r="A162" s="92">
        <v>1</v>
      </c>
      <c r="B162" s="93"/>
      <c r="C162" s="93"/>
      <c r="D162" s="56" t="s">
        <v>222</v>
      </c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8"/>
      <c r="W162" s="129">
        <v>1</v>
      </c>
      <c r="X162" s="129"/>
      <c r="Y162" s="129"/>
      <c r="Z162" s="129">
        <v>1</v>
      </c>
      <c r="AA162" s="129"/>
      <c r="AB162" s="129"/>
      <c r="AC162" s="129">
        <v>0</v>
      </c>
      <c r="AD162" s="129"/>
      <c r="AE162" s="129"/>
      <c r="AF162" s="129">
        <v>0</v>
      </c>
      <c r="AG162" s="129"/>
      <c r="AH162" s="129"/>
      <c r="AI162" s="129">
        <v>1</v>
      </c>
      <c r="AJ162" s="129"/>
      <c r="AK162" s="129"/>
      <c r="AL162" s="129"/>
      <c r="AM162" s="129"/>
      <c r="AN162" s="129"/>
      <c r="AO162" s="129">
        <v>0</v>
      </c>
      <c r="AP162" s="129"/>
      <c r="AQ162" s="129"/>
      <c r="AR162" s="129">
        <v>0</v>
      </c>
      <c r="AS162" s="129"/>
      <c r="AT162" s="129"/>
      <c r="AU162" s="129">
        <v>1</v>
      </c>
      <c r="AV162" s="129"/>
      <c r="AW162" s="129"/>
      <c r="AX162" s="129">
        <v>0</v>
      </c>
      <c r="AY162" s="129"/>
      <c r="AZ162" s="129"/>
      <c r="BA162" s="129">
        <v>1</v>
      </c>
      <c r="BB162" s="129"/>
      <c r="BC162" s="129"/>
      <c r="BD162" s="129">
        <v>0</v>
      </c>
      <c r="BE162" s="129"/>
      <c r="BF162" s="129"/>
      <c r="BG162" s="129">
        <v>1</v>
      </c>
      <c r="BH162" s="129"/>
      <c r="BI162" s="129"/>
      <c r="BJ162" s="129">
        <v>0</v>
      </c>
      <c r="BK162" s="129"/>
      <c r="BL162" s="129"/>
      <c r="CA162" s="14" t="s">
        <v>223</v>
      </c>
    </row>
    <row r="163" spans="1:79" s="14" customFormat="1" ht="12.75" customHeight="1" x14ac:dyDescent="0.2">
      <c r="A163" s="92">
        <v>2</v>
      </c>
      <c r="B163" s="93"/>
      <c r="C163" s="93"/>
      <c r="D163" s="56" t="s">
        <v>224</v>
      </c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8"/>
      <c r="W163" s="129">
        <v>2</v>
      </c>
      <c r="X163" s="129"/>
      <c r="Y163" s="129"/>
      <c r="Z163" s="129">
        <v>2</v>
      </c>
      <c r="AA163" s="129"/>
      <c r="AB163" s="129"/>
      <c r="AC163" s="129">
        <v>0</v>
      </c>
      <c r="AD163" s="129"/>
      <c r="AE163" s="129"/>
      <c r="AF163" s="129">
        <v>0</v>
      </c>
      <c r="AG163" s="129"/>
      <c r="AH163" s="129"/>
      <c r="AI163" s="129">
        <v>2</v>
      </c>
      <c r="AJ163" s="129"/>
      <c r="AK163" s="129"/>
      <c r="AL163" s="129"/>
      <c r="AM163" s="129"/>
      <c r="AN163" s="129"/>
      <c r="AO163" s="129">
        <v>0</v>
      </c>
      <c r="AP163" s="129"/>
      <c r="AQ163" s="129"/>
      <c r="AR163" s="129">
        <v>0</v>
      </c>
      <c r="AS163" s="129"/>
      <c r="AT163" s="129"/>
      <c r="AU163" s="129">
        <v>3</v>
      </c>
      <c r="AV163" s="129"/>
      <c r="AW163" s="129"/>
      <c r="AX163" s="129">
        <v>0</v>
      </c>
      <c r="AY163" s="129"/>
      <c r="AZ163" s="129"/>
      <c r="BA163" s="129">
        <v>3</v>
      </c>
      <c r="BB163" s="129"/>
      <c r="BC163" s="129"/>
      <c r="BD163" s="129">
        <v>0</v>
      </c>
      <c r="BE163" s="129"/>
      <c r="BF163" s="129"/>
      <c r="BG163" s="129">
        <v>3</v>
      </c>
      <c r="BH163" s="129"/>
      <c r="BI163" s="129"/>
      <c r="BJ163" s="129">
        <v>0</v>
      </c>
      <c r="BK163" s="129"/>
      <c r="BL163" s="129"/>
    </row>
    <row r="164" spans="1:79" s="3" customFormat="1" ht="12.75" customHeight="1" x14ac:dyDescent="0.2">
      <c r="A164" s="99">
        <v>3</v>
      </c>
      <c r="B164" s="100"/>
      <c r="C164" s="100"/>
      <c r="D164" s="44" t="s">
        <v>225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20"/>
      <c r="W164" s="127">
        <v>3</v>
      </c>
      <c r="X164" s="127"/>
      <c r="Y164" s="127"/>
      <c r="Z164" s="127">
        <v>3</v>
      </c>
      <c r="AA164" s="127"/>
      <c r="AB164" s="127"/>
      <c r="AC164" s="127">
        <v>0</v>
      </c>
      <c r="AD164" s="127"/>
      <c r="AE164" s="127"/>
      <c r="AF164" s="127">
        <v>0</v>
      </c>
      <c r="AG164" s="127"/>
      <c r="AH164" s="127"/>
      <c r="AI164" s="127">
        <v>3</v>
      </c>
      <c r="AJ164" s="127"/>
      <c r="AK164" s="127"/>
      <c r="AL164" s="127"/>
      <c r="AM164" s="127"/>
      <c r="AN164" s="127"/>
      <c r="AO164" s="127">
        <v>0</v>
      </c>
      <c r="AP164" s="127"/>
      <c r="AQ164" s="127"/>
      <c r="AR164" s="127">
        <v>0</v>
      </c>
      <c r="AS164" s="127"/>
      <c r="AT164" s="127"/>
      <c r="AU164" s="127">
        <v>4</v>
      </c>
      <c r="AV164" s="127"/>
      <c r="AW164" s="127"/>
      <c r="AX164" s="127">
        <v>0</v>
      </c>
      <c r="AY164" s="127"/>
      <c r="AZ164" s="127"/>
      <c r="BA164" s="127">
        <v>4</v>
      </c>
      <c r="BB164" s="127"/>
      <c r="BC164" s="127"/>
      <c r="BD164" s="127">
        <v>0</v>
      </c>
      <c r="BE164" s="127"/>
      <c r="BF164" s="127"/>
      <c r="BG164" s="127">
        <v>4</v>
      </c>
      <c r="BH164" s="127"/>
      <c r="BI164" s="127"/>
      <c r="BJ164" s="127">
        <v>0</v>
      </c>
      <c r="BK164" s="127"/>
      <c r="BL164" s="127"/>
    </row>
    <row r="165" spans="1:79" s="14" customFormat="1" ht="25.5" customHeight="1" x14ac:dyDescent="0.2">
      <c r="A165" s="92">
        <v>4</v>
      </c>
      <c r="B165" s="93"/>
      <c r="C165" s="93"/>
      <c r="D165" s="56" t="s">
        <v>226</v>
      </c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8"/>
      <c r="W165" s="129" t="s">
        <v>111</v>
      </c>
      <c r="X165" s="129"/>
      <c r="Y165" s="129"/>
      <c r="Z165" s="129" t="s">
        <v>111</v>
      </c>
      <c r="AA165" s="129"/>
      <c r="AB165" s="129"/>
      <c r="AC165" s="129"/>
      <c r="AD165" s="129"/>
      <c r="AE165" s="129"/>
      <c r="AF165" s="129"/>
      <c r="AG165" s="129"/>
      <c r="AH165" s="129"/>
      <c r="AI165" s="129" t="s">
        <v>111</v>
      </c>
      <c r="AJ165" s="129"/>
      <c r="AK165" s="129"/>
      <c r="AL165" s="129" t="s">
        <v>111</v>
      </c>
      <c r="AM165" s="129"/>
      <c r="AN165" s="129"/>
      <c r="AO165" s="129"/>
      <c r="AP165" s="129"/>
      <c r="AQ165" s="129"/>
      <c r="AR165" s="129"/>
      <c r="AS165" s="129"/>
      <c r="AT165" s="129"/>
      <c r="AU165" s="129" t="s">
        <v>111</v>
      </c>
      <c r="AV165" s="129"/>
      <c r="AW165" s="129"/>
      <c r="AX165" s="129"/>
      <c r="AY165" s="129"/>
      <c r="AZ165" s="129"/>
      <c r="BA165" s="129" t="s">
        <v>111</v>
      </c>
      <c r="BB165" s="129"/>
      <c r="BC165" s="129"/>
      <c r="BD165" s="129"/>
      <c r="BE165" s="129"/>
      <c r="BF165" s="129"/>
      <c r="BG165" s="129" t="s">
        <v>111</v>
      </c>
      <c r="BH165" s="129"/>
      <c r="BI165" s="129"/>
      <c r="BJ165" s="129"/>
      <c r="BK165" s="129"/>
      <c r="BL165" s="129"/>
    </row>
    <row r="168" spans="1:79" ht="14.25" customHeight="1" x14ac:dyDescent="0.2">
      <c r="A168" s="77" t="s">
        <v>227</v>
      </c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</row>
    <row r="169" spans="1:79" ht="14.25" customHeight="1" x14ac:dyDescent="0.2">
      <c r="A169" s="77" t="s">
        <v>228</v>
      </c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7"/>
      <c r="BQ169" s="77"/>
      <c r="BR169" s="77"/>
      <c r="BS169" s="77"/>
    </row>
    <row r="170" spans="1:79" ht="15" customHeight="1" x14ac:dyDescent="0.2">
      <c r="A170" s="30" t="s">
        <v>55</v>
      </c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</row>
    <row r="171" spans="1:79" ht="15" customHeight="1" x14ac:dyDescent="0.2">
      <c r="A171" s="41" t="s">
        <v>146</v>
      </c>
      <c r="B171" s="41"/>
      <c r="C171" s="41"/>
      <c r="D171" s="41"/>
      <c r="E171" s="41"/>
      <c r="F171" s="41"/>
      <c r="G171" s="41" t="s">
        <v>229</v>
      </c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 t="s">
        <v>230</v>
      </c>
      <c r="U171" s="41"/>
      <c r="V171" s="41"/>
      <c r="W171" s="41"/>
      <c r="X171" s="41"/>
      <c r="Y171" s="41"/>
      <c r="Z171" s="41"/>
      <c r="AA171" s="48" t="s">
        <v>56</v>
      </c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7"/>
      <c r="AP171" s="48" t="s">
        <v>57</v>
      </c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50"/>
      <c r="BE171" s="48" t="s">
        <v>58</v>
      </c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50"/>
    </row>
    <row r="172" spans="1:79" ht="32.1" customHeight="1" x14ac:dyDescent="0.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 t="s">
        <v>91</v>
      </c>
      <c r="AB172" s="41"/>
      <c r="AC172" s="41"/>
      <c r="AD172" s="41"/>
      <c r="AE172" s="41"/>
      <c r="AF172" s="41" t="s">
        <v>92</v>
      </c>
      <c r="AG172" s="41"/>
      <c r="AH172" s="41"/>
      <c r="AI172" s="41"/>
      <c r="AJ172" s="41"/>
      <c r="AK172" s="41" t="s">
        <v>231</v>
      </c>
      <c r="AL172" s="41"/>
      <c r="AM172" s="41"/>
      <c r="AN172" s="41"/>
      <c r="AO172" s="41"/>
      <c r="AP172" s="41" t="s">
        <v>91</v>
      </c>
      <c r="AQ172" s="41"/>
      <c r="AR172" s="41"/>
      <c r="AS172" s="41"/>
      <c r="AT172" s="41"/>
      <c r="AU172" s="41" t="s">
        <v>92</v>
      </c>
      <c r="AV172" s="41"/>
      <c r="AW172" s="41"/>
      <c r="AX172" s="41"/>
      <c r="AY172" s="41"/>
      <c r="AZ172" s="41" t="s">
        <v>95</v>
      </c>
      <c r="BA172" s="41"/>
      <c r="BB172" s="41"/>
      <c r="BC172" s="41"/>
      <c r="BD172" s="41"/>
      <c r="BE172" s="41" t="s">
        <v>91</v>
      </c>
      <c r="BF172" s="41"/>
      <c r="BG172" s="41"/>
      <c r="BH172" s="41"/>
      <c r="BI172" s="41"/>
      <c r="BJ172" s="41" t="s">
        <v>92</v>
      </c>
      <c r="BK172" s="41"/>
      <c r="BL172" s="41"/>
      <c r="BM172" s="41"/>
      <c r="BN172" s="41"/>
      <c r="BO172" s="41" t="s">
        <v>232</v>
      </c>
      <c r="BP172" s="41"/>
      <c r="BQ172" s="41"/>
      <c r="BR172" s="41"/>
      <c r="BS172" s="41"/>
    </row>
    <row r="173" spans="1:79" ht="15" customHeight="1" x14ac:dyDescent="0.2">
      <c r="A173" s="41">
        <v>1</v>
      </c>
      <c r="B173" s="41"/>
      <c r="C173" s="41"/>
      <c r="D173" s="41"/>
      <c r="E173" s="41"/>
      <c r="F173" s="41"/>
      <c r="G173" s="41">
        <v>2</v>
      </c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>
        <v>3</v>
      </c>
      <c r="U173" s="41"/>
      <c r="V173" s="41"/>
      <c r="W173" s="41"/>
      <c r="X173" s="41"/>
      <c r="Y173" s="41"/>
      <c r="Z173" s="41"/>
      <c r="AA173" s="41">
        <v>4</v>
      </c>
      <c r="AB173" s="41"/>
      <c r="AC173" s="41"/>
      <c r="AD173" s="41"/>
      <c r="AE173" s="41"/>
      <c r="AF173" s="41">
        <v>5</v>
      </c>
      <c r="AG173" s="41"/>
      <c r="AH173" s="41"/>
      <c r="AI173" s="41"/>
      <c r="AJ173" s="41"/>
      <c r="AK173" s="41">
        <v>6</v>
      </c>
      <c r="AL173" s="41"/>
      <c r="AM173" s="41"/>
      <c r="AN173" s="41"/>
      <c r="AO173" s="41"/>
      <c r="AP173" s="41">
        <v>7</v>
      </c>
      <c r="AQ173" s="41"/>
      <c r="AR173" s="41"/>
      <c r="AS173" s="41"/>
      <c r="AT173" s="41"/>
      <c r="AU173" s="41">
        <v>8</v>
      </c>
      <c r="AV173" s="41"/>
      <c r="AW173" s="41"/>
      <c r="AX173" s="41"/>
      <c r="AY173" s="41"/>
      <c r="AZ173" s="41">
        <v>9</v>
      </c>
      <c r="BA173" s="41"/>
      <c r="BB173" s="41"/>
      <c r="BC173" s="41"/>
      <c r="BD173" s="41"/>
      <c r="BE173" s="41">
        <v>10</v>
      </c>
      <c r="BF173" s="41"/>
      <c r="BG173" s="41"/>
      <c r="BH173" s="41"/>
      <c r="BI173" s="41"/>
      <c r="BJ173" s="41">
        <v>11</v>
      </c>
      <c r="BK173" s="41"/>
      <c r="BL173" s="41"/>
      <c r="BM173" s="41"/>
      <c r="BN173" s="41"/>
      <c r="BO173" s="41">
        <v>12</v>
      </c>
      <c r="BP173" s="41"/>
      <c r="BQ173" s="41"/>
      <c r="BR173" s="41"/>
      <c r="BS173" s="41"/>
    </row>
    <row r="174" spans="1:79" s="71" customFormat="1" ht="15" hidden="1" customHeight="1" x14ac:dyDescent="0.2">
      <c r="A174" s="17" t="s">
        <v>148</v>
      </c>
      <c r="B174" s="17"/>
      <c r="C174" s="17"/>
      <c r="D174" s="17"/>
      <c r="E174" s="17"/>
      <c r="F174" s="17"/>
      <c r="G174" s="138" t="s">
        <v>98</v>
      </c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 t="s">
        <v>233</v>
      </c>
      <c r="U174" s="138"/>
      <c r="V174" s="138"/>
      <c r="W174" s="138"/>
      <c r="X174" s="138"/>
      <c r="Y174" s="138"/>
      <c r="Z174" s="138"/>
      <c r="AA174" s="27" t="s">
        <v>99</v>
      </c>
      <c r="AB174" s="27"/>
      <c r="AC174" s="27"/>
      <c r="AD174" s="27"/>
      <c r="AE174" s="27"/>
      <c r="AF174" s="27" t="s">
        <v>100</v>
      </c>
      <c r="AG174" s="27"/>
      <c r="AH174" s="27"/>
      <c r="AI174" s="27"/>
      <c r="AJ174" s="27"/>
      <c r="AK174" s="116" t="s">
        <v>234</v>
      </c>
      <c r="AL174" s="116"/>
      <c r="AM174" s="116"/>
      <c r="AN174" s="116"/>
      <c r="AO174" s="116"/>
      <c r="AP174" s="27" t="s">
        <v>103</v>
      </c>
      <c r="AQ174" s="27"/>
      <c r="AR174" s="27"/>
      <c r="AS174" s="27"/>
      <c r="AT174" s="27"/>
      <c r="AU174" s="27" t="s">
        <v>104</v>
      </c>
      <c r="AV174" s="27"/>
      <c r="AW174" s="27"/>
      <c r="AX174" s="27"/>
      <c r="AY174" s="27"/>
      <c r="AZ174" s="116" t="s">
        <v>234</v>
      </c>
      <c r="BA174" s="116"/>
      <c r="BB174" s="116"/>
      <c r="BC174" s="116"/>
      <c r="BD174" s="116"/>
      <c r="BE174" s="27" t="s">
        <v>106</v>
      </c>
      <c r="BF174" s="27"/>
      <c r="BG174" s="27"/>
      <c r="BH174" s="27"/>
      <c r="BI174" s="27"/>
      <c r="BJ174" s="27" t="s">
        <v>107</v>
      </c>
      <c r="BK174" s="27"/>
      <c r="BL174" s="27"/>
      <c r="BM174" s="27"/>
      <c r="BN174" s="27"/>
      <c r="BO174" s="116" t="s">
        <v>234</v>
      </c>
      <c r="BP174" s="116"/>
      <c r="BQ174" s="116"/>
      <c r="BR174" s="116"/>
      <c r="BS174" s="116"/>
      <c r="CA174" s="71" t="s">
        <v>235</v>
      </c>
    </row>
    <row r="175" spans="1:79" s="3" customFormat="1" ht="12.75" customHeight="1" x14ac:dyDescent="0.2">
      <c r="A175" s="125"/>
      <c r="B175" s="125"/>
      <c r="C175" s="125"/>
      <c r="D175" s="125"/>
      <c r="E175" s="125"/>
      <c r="F175" s="125"/>
      <c r="G175" s="139" t="s">
        <v>18</v>
      </c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40"/>
      <c r="U175" s="140"/>
      <c r="V175" s="140"/>
      <c r="W175" s="140"/>
      <c r="X175" s="140"/>
      <c r="Y175" s="140"/>
      <c r="Z175" s="140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>
        <f>IF(ISNUMBER(AA175),AA175,0)+IF(ISNUMBER(AF175),AF175,0)</f>
        <v>0</v>
      </c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>
        <f>IF(ISNUMBER(AP175),AP175,0)+IF(ISNUMBER(AU175),AU175,0)</f>
        <v>0</v>
      </c>
      <c r="BA175" s="131"/>
      <c r="BB175" s="131"/>
      <c r="BC175" s="131"/>
      <c r="BD175" s="131"/>
      <c r="BE175" s="131"/>
      <c r="BF175" s="131"/>
      <c r="BG175" s="131"/>
      <c r="BH175" s="131"/>
      <c r="BI175" s="131"/>
      <c r="BJ175" s="131"/>
      <c r="BK175" s="131"/>
      <c r="BL175" s="131"/>
      <c r="BM175" s="131"/>
      <c r="BN175" s="131"/>
      <c r="BO175" s="131">
        <f>IF(ISNUMBER(BE175),BE175,0)+IF(ISNUMBER(BJ175),BJ175,0)</f>
        <v>0</v>
      </c>
      <c r="BP175" s="131"/>
      <c r="BQ175" s="131"/>
      <c r="BR175" s="131"/>
      <c r="BS175" s="131"/>
      <c r="CA175" s="3" t="s">
        <v>236</v>
      </c>
    </row>
    <row r="177" spans="1:79" ht="13.5" customHeight="1" x14ac:dyDescent="0.2">
      <c r="A177" s="77" t="s">
        <v>237</v>
      </c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</row>
    <row r="178" spans="1:79" ht="15" customHeight="1" x14ac:dyDescent="0.2">
      <c r="A178" s="106" t="s">
        <v>55</v>
      </c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</row>
    <row r="179" spans="1:79" ht="15" customHeight="1" x14ac:dyDescent="0.2">
      <c r="A179" s="41" t="s">
        <v>146</v>
      </c>
      <c r="B179" s="41"/>
      <c r="C179" s="41"/>
      <c r="D179" s="41"/>
      <c r="E179" s="41"/>
      <c r="F179" s="41"/>
      <c r="G179" s="41" t="s">
        <v>229</v>
      </c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 t="s">
        <v>230</v>
      </c>
      <c r="U179" s="41"/>
      <c r="V179" s="41"/>
      <c r="W179" s="41"/>
      <c r="X179" s="41"/>
      <c r="Y179" s="41"/>
      <c r="Z179" s="41"/>
      <c r="AA179" s="48" t="s">
        <v>59</v>
      </c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7"/>
      <c r="AP179" s="48" t="s">
        <v>61</v>
      </c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50"/>
    </row>
    <row r="180" spans="1:79" ht="32.1" customHeight="1" x14ac:dyDescent="0.2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 t="s">
        <v>91</v>
      </c>
      <c r="AB180" s="41"/>
      <c r="AC180" s="41"/>
      <c r="AD180" s="41"/>
      <c r="AE180" s="41"/>
      <c r="AF180" s="41" t="s">
        <v>92</v>
      </c>
      <c r="AG180" s="41"/>
      <c r="AH180" s="41"/>
      <c r="AI180" s="41"/>
      <c r="AJ180" s="41"/>
      <c r="AK180" s="41" t="s">
        <v>231</v>
      </c>
      <c r="AL180" s="41"/>
      <c r="AM180" s="41"/>
      <c r="AN180" s="41"/>
      <c r="AO180" s="41"/>
      <c r="AP180" s="41" t="s">
        <v>91</v>
      </c>
      <c r="AQ180" s="41"/>
      <c r="AR180" s="41"/>
      <c r="AS180" s="41"/>
      <c r="AT180" s="41"/>
      <c r="AU180" s="41" t="s">
        <v>92</v>
      </c>
      <c r="AV180" s="41"/>
      <c r="AW180" s="41"/>
      <c r="AX180" s="41"/>
      <c r="AY180" s="41"/>
      <c r="AZ180" s="41" t="s">
        <v>95</v>
      </c>
      <c r="BA180" s="41"/>
      <c r="BB180" s="41"/>
      <c r="BC180" s="41"/>
      <c r="BD180" s="41"/>
    </row>
    <row r="181" spans="1:79" ht="15" customHeight="1" x14ac:dyDescent="0.2">
      <c r="A181" s="41">
        <v>1</v>
      </c>
      <c r="B181" s="41"/>
      <c r="C181" s="41"/>
      <c r="D181" s="41"/>
      <c r="E181" s="41"/>
      <c r="F181" s="41"/>
      <c r="G181" s="41">
        <v>2</v>
      </c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>
        <v>3</v>
      </c>
      <c r="U181" s="41"/>
      <c r="V181" s="41"/>
      <c r="W181" s="41"/>
      <c r="X181" s="41"/>
      <c r="Y181" s="41"/>
      <c r="Z181" s="41"/>
      <c r="AA181" s="41">
        <v>4</v>
      </c>
      <c r="AB181" s="41"/>
      <c r="AC181" s="41"/>
      <c r="AD181" s="41"/>
      <c r="AE181" s="41"/>
      <c r="AF181" s="41">
        <v>5</v>
      </c>
      <c r="AG181" s="41"/>
      <c r="AH181" s="41"/>
      <c r="AI181" s="41"/>
      <c r="AJ181" s="41"/>
      <c r="AK181" s="41">
        <v>6</v>
      </c>
      <c r="AL181" s="41"/>
      <c r="AM181" s="41"/>
      <c r="AN181" s="41"/>
      <c r="AO181" s="41"/>
      <c r="AP181" s="41">
        <v>7</v>
      </c>
      <c r="AQ181" s="41"/>
      <c r="AR181" s="41"/>
      <c r="AS181" s="41"/>
      <c r="AT181" s="41"/>
      <c r="AU181" s="41">
        <v>8</v>
      </c>
      <c r="AV181" s="41"/>
      <c r="AW181" s="41"/>
      <c r="AX181" s="41"/>
      <c r="AY181" s="41"/>
      <c r="AZ181" s="41">
        <v>9</v>
      </c>
      <c r="BA181" s="41"/>
      <c r="BB181" s="41"/>
      <c r="BC181" s="41"/>
      <c r="BD181" s="41"/>
    </row>
    <row r="182" spans="1:79" s="71" customFormat="1" ht="12" hidden="1" customHeight="1" x14ac:dyDescent="0.2">
      <c r="A182" s="17" t="s">
        <v>148</v>
      </c>
      <c r="B182" s="17"/>
      <c r="C182" s="17"/>
      <c r="D182" s="17"/>
      <c r="E182" s="17"/>
      <c r="F182" s="17"/>
      <c r="G182" s="138" t="s">
        <v>98</v>
      </c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 t="s">
        <v>233</v>
      </c>
      <c r="U182" s="138"/>
      <c r="V182" s="138"/>
      <c r="W182" s="138"/>
      <c r="X182" s="138"/>
      <c r="Y182" s="138"/>
      <c r="Z182" s="138"/>
      <c r="AA182" s="27" t="s">
        <v>114</v>
      </c>
      <c r="AB182" s="27"/>
      <c r="AC182" s="27"/>
      <c r="AD182" s="27"/>
      <c r="AE182" s="27"/>
      <c r="AF182" s="27" t="s">
        <v>115</v>
      </c>
      <c r="AG182" s="27"/>
      <c r="AH182" s="27"/>
      <c r="AI182" s="27"/>
      <c r="AJ182" s="27"/>
      <c r="AK182" s="116" t="s">
        <v>234</v>
      </c>
      <c r="AL182" s="116"/>
      <c r="AM182" s="116"/>
      <c r="AN182" s="116"/>
      <c r="AO182" s="116"/>
      <c r="AP182" s="27" t="s">
        <v>118</v>
      </c>
      <c r="AQ182" s="27"/>
      <c r="AR182" s="27"/>
      <c r="AS182" s="27"/>
      <c r="AT182" s="27"/>
      <c r="AU182" s="27" t="s">
        <v>119</v>
      </c>
      <c r="AV182" s="27"/>
      <c r="AW182" s="27"/>
      <c r="AX182" s="27"/>
      <c r="AY182" s="27"/>
      <c r="AZ182" s="116" t="s">
        <v>234</v>
      </c>
      <c r="BA182" s="116"/>
      <c r="BB182" s="116"/>
      <c r="BC182" s="116"/>
      <c r="BD182" s="116"/>
      <c r="CA182" s="71" t="s">
        <v>238</v>
      </c>
    </row>
    <row r="183" spans="1:79" s="3" customFormat="1" x14ac:dyDescent="0.2">
      <c r="A183" s="125"/>
      <c r="B183" s="125"/>
      <c r="C183" s="125"/>
      <c r="D183" s="125"/>
      <c r="E183" s="125"/>
      <c r="F183" s="125"/>
      <c r="G183" s="139" t="s">
        <v>18</v>
      </c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40"/>
      <c r="U183" s="140"/>
      <c r="V183" s="140"/>
      <c r="W183" s="140"/>
      <c r="X183" s="140"/>
      <c r="Y183" s="140"/>
      <c r="Z183" s="140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>
        <f>IF(ISNUMBER(AA183),AA183,0)+IF(ISNUMBER(AF183),AF183,0)</f>
        <v>0</v>
      </c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>
        <f>IF(ISNUMBER(AP183),AP183,0)+IF(ISNUMBER(AU183),AU183,0)</f>
        <v>0</v>
      </c>
      <c r="BA183" s="131"/>
      <c r="BB183" s="131"/>
      <c r="BC183" s="131"/>
      <c r="BD183" s="131"/>
      <c r="CA183" s="3" t="s">
        <v>239</v>
      </c>
    </row>
    <row r="186" spans="1:79" ht="14.25" customHeight="1" x14ac:dyDescent="0.2">
      <c r="A186" s="77" t="s">
        <v>240</v>
      </c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</row>
    <row r="187" spans="1:79" ht="15" customHeight="1" x14ac:dyDescent="0.2">
      <c r="A187" s="106" t="s">
        <v>55</v>
      </c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</row>
    <row r="188" spans="1:79" ht="23.1" customHeight="1" x14ac:dyDescent="0.2">
      <c r="A188" s="41" t="s">
        <v>241</v>
      </c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80" t="s">
        <v>242</v>
      </c>
      <c r="O188" s="81"/>
      <c r="P188" s="81"/>
      <c r="Q188" s="81"/>
      <c r="R188" s="81"/>
      <c r="S188" s="81"/>
      <c r="T188" s="81"/>
      <c r="U188" s="82"/>
      <c r="V188" s="80" t="s">
        <v>243</v>
      </c>
      <c r="W188" s="81"/>
      <c r="X188" s="81"/>
      <c r="Y188" s="81"/>
      <c r="Z188" s="82"/>
      <c r="AA188" s="41" t="s">
        <v>56</v>
      </c>
      <c r="AB188" s="41"/>
      <c r="AC188" s="41"/>
      <c r="AD188" s="41"/>
      <c r="AE188" s="41"/>
      <c r="AF188" s="41"/>
      <c r="AG188" s="41"/>
      <c r="AH188" s="41"/>
      <c r="AI188" s="41"/>
      <c r="AJ188" s="41" t="s">
        <v>57</v>
      </c>
      <c r="AK188" s="41"/>
      <c r="AL188" s="41"/>
      <c r="AM188" s="41"/>
      <c r="AN188" s="41"/>
      <c r="AO188" s="41"/>
      <c r="AP188" s="41"/>
      <c r="AQ188" s="41"/>
      <c r="AR188" s="41"/>
      <c r="AS188" s="41" t="s">
        <v>58</v>
      </c>
      <c r="AT188" s="41"/>
      <c r="AU188" s="41"/>
      <c r="AV188" s="41"/>
      <c r="AW188" s="41"/>
      <c r="AX188" s="41"/>
      <c r="AY188" s="41"/>
      <c r="AZ188" s="41"/>
      <c r="BA188" s="41"/>
      <c r="BB188" s="41" t="s">
        <v>59</v>
      </c>
      <c r="BC188" s="41"/>
      <c r="BD188" s="41"/>
      <c r="BE188" s="41"/>
      <c r="BF188" s="41"/>
      <c r="BG188" s="41"/>
      <c r="BH188" s="41"/>
      <c r="BI188" s="41"/>
      <c r="BJ188" s="41"/>
      <c r="BK188" s="41" t="s">
        <v>61</v>
      </c>
      <c r="BL188" s="41"/>
      <c r="BM188" s="41"/>
      <c r="BN188" s="41"/>
      <c r="BO188" s="41"/>
      <c r="BP188" s="41"/>
      <c r="BQ188" s="41"/>
      <c r="BR188" s="41"/>
      <c r="BS188" s="41"/>
    </row>
    <row r="189" spans="1:79" ht="95.25" customHeight="1" x14ac:dyDescent="0.2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83"/>
      <c r="O189" s="84"/>
      <c r="P189" s="84"/>
      <c r="Q189" s="84"/>
      <c r="R189" s="84"/>
      <c r="S189" s="84"/>
      <c r="T189" s="84"/>
      <c r="U189" s="85"/>
      <c r="V189" s="83"/>
      <c r="W189" s="84"/>
      <c r="X189" s="84"/>
      <c r="Y189" s="84"/>
      <c r="Z189" s="85"/>
      <c r="AA189" s="120" t="s">
        <v>244</v>
      </c>
      <c r="AB189" s="120"/>
      <c r="AC189" s="120"/>
      <c r="AD189" s="120"/>
      <c r="AE189" s="120"/>
      <c r="AF189" s="120" t="s">
        <v>245</v>
      </c>
      <c r="AG189" s="120"/>
      <c r="AH189" s="120"/>
      <c r="AI189" s="120"/>
      <c r="AJ189" s="120" t="s">
        <v>244</v>
      </c>
      <c r="AK189" s="120"/>
      <c r="AL189" s="120"/>
      <c r="AM189" s="120"/>
      <c r="AN189" s="120"/>
      <c r="AO189" s="120" t="s">
        <v>245</v>
      </c>
      <c r="AP189" s="120"/>
      <c r="AQ189" s="120"/>
      <c r="AR189" s="120"/>
      <c r="AS189" s="120" t="s">
        <v>244</v>
      </c>
      <c r="AT189" s="120"/>
      <c r="AU189" s="120"/>
      <c r="AV189" s="120"/>
      <c r="AW189" s="120"/>
      <c r="AX189" s="120" t="s">
        <v>245</v>
      </c>
      <c r="AY189" s="120"/>
      <c r="AZ189" s="120"/>
      <c r="BA189" s="120"/>
      <c r="BB189" s="120" t="s">
        <v>244</v>
      </c>
      <c r="BC189" s="120"/>
      <c r="BD189" s="120"/>
      <c r="BE189" s="120"/>
      <c r="BF189" s="120"/>
      <c r="BG189" s="120" t="s">
        <v>245</v>
      </c>
      <c r="BH189" s="120"/>
      <c r="BI189" s="120"/>
      <c r="BJ189" s="120"/>
      <c r="BK189" s="120" t="s">
        <v>244</v>
      </c>
      <c r="BL189" s="120"/>
      <c r="BM189" s="120"/>
      <c r="BN189" s="120"/>
      <c r="BO189" s="120"/>
      <c r="BP189" s="120" t="s">
        <v>245</v>
      </c>
      <c r="BQ189" s="120"/>
      <c r="BR189" s="120"/>
      <c r="BS189" s="120"/>
    </row>
    <row r="190" spans="1:79" ht="15" customHeight="1" x14ac:dyDescent="0.2">
      <c r="A190" s="41">
        <v>1</v>
      </c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8">
        <v>2</v>
      </c>
      <c r="O190" s="49"/>
      <c r="P190" s="49"/>
      <c r="Q190" s="49"/>
      <c r="R190" s="49"/>
      <c r="S190" s="49"/>
      <c r="T190" s="49"/>
      <c r="U190" s="50"/>
      <c r="V190" s="41">
        <v>3</v>
      </c>
      <c r="W190" s="41"/>
      <c r="X190" s="41"/>
      <c r="Y190" s="41"/>
      <c r="Z190" s="41"/>
      <c r="AA190" s="41">
        <v>4</v>
      </c>
      <c r="AB190" s="41"/>
      <c r="AC190" s="41"/>
      <c r="AD190" s="41"/>
      <c r="AE190" s="41"/>
      <c r="AF190" s="41">
        <v>5</v>
      </c>
      <c r="AG190" s="41"/>
      <c r="AH190" s="41"/>
      <c r="AI190" s="41"/>
      <c r="AJ190" s="41">
        <v>6</v>
      </c>
      <c r="AK190" s="41"/>
      <c r="AL190" s="41"/>
      <c r="AM190" s="41"/>
      <c r="AN190" s="41"/>
      <c r="AO190" s="41">
        <v>7</v>
      </c>
      <c r="AP190" s="41"/>
      <c r="AQ190" s="41"/>
      <c r="AR190" s="41"/>
      <c r="AS190" s="41">
        <v>8</v>
      </c>
      <c r="AT190" s="41"/>
      <c r="AU190" s="41"/>
      <c r="AV190" s="41"/>
      <c r="AW190" s="41"/>
      <c r="AX190" s="41">
        <v>9</v>
      </c>
      <c r="AY190" s="41"/>
      <c r="AZ190" s="41"/>
      <c r="BA190" s="41"/>
      <c r="BB190" s="41">
        <v>10</v>
      </c>
      <c r="BC190" s="41"/>
      <c r="BD190" s="41"/>
      <c r="BE190" s="41"/>
      <c r="BF190" s="41"/>
      <c r="BG190" s="41">
        <v>11</v>
      </c>
      <c r="BH190" s="41"/>
      <c r="BI190" s="41"/>
      <c r="BJ190" s="41"/>
      <c r="BK190" s="41">
        <v>12</v>
      </c>
      <c r="BL190" s="41"/>
      <c r="BM190" s="41"/>
      <c r="BN190" s="41"/>
      <c r="BO190" s="41"/>
      <c r="BP190" s="41">
        <v>13</v>
      </c>
      <c r="BQ190" s="41"/>
      <c r="BR190" s="41"/>
      <c r="BS190" s="41"/>
    </row>
    <row r="191" spans="1:79" s="71" customFormat="1" ht="12" hidden="1" customHeight="1" x14ac:dyDescent="0.2">
      <c r="A191" s="138" t="s">
        <v>246</v>
      </c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7" t="s">
        <v>247</v>
      </c>
      <c r="O191" s="17"/>
      <c r="P191" s="17"/>
      <c r="Q191" s="17"/>
      <c r="R191" s="17"/>
      <c r="S191" s="17"/>
      <c r="T191" s="17"/>
      <c r="U191" s="17"/>
      <c r="V191" s="17" t="s">
        <v>248</v>
      </c>
      <c r="W191" s="17"/>
      <c r="X191" s="17"/>
      <c r="Y191" s="17"/>
      <c r="Z191" s="17"/>
      <c r="AA191" s="27" t="s">
        <v>99</v>
      </c>
      <c r="AB191" s="27"/>
      <c r="AC191" s="27"/>
      <c r="AD191" s="27"/>
      <c r="AE191" s="27"/>
      <c r="AF191" s="27" t="s">
        <v>100</v>
      </c>
      <c r="AG191" s="27"/>
      <c r="AH191" s="27"/>
      <c r="AI191" s="27"/>
      <c r="AJ191" s="27" t="s">
        <v>103</v>
      </c>
      <c r="AK191" s="27"/>
      <c r="AL191" s="27"/>
      <c r="AM191" s="27"/>
      <c r="AN191" s="27"/>
      <c r="AO191" s="27" t="s">
        <v>104</v>
      </c>
      <c r="AP191" s="27"/>
      <c r="AQ191" s="27"/>
      <c r="AR191" s="27"/>
      <c r="AS191" s="27" t="s">
        <v>106</v>
      </c>
      <c r="AT191" s="27"/>
      <c r="AU191" s="27"/>
      <c r="AV191" s="27"/>
      <c r="AW191" s="27"/>
      <c r="AX191" s="27" t="s">
        <v>107</v>
      </c>
      <c r="AY191" s="27"/>
      <c r="AZ191" s="27"/>
      <c r="BA191" s="27"/>
      <c r="BB191" s="27" t="s">
        <v>114</v>
      </c>
      <c r="BC191" s="27"/>
      <c r="BD191" s="27"/>
      <c r="BE191" s="27"/>
      <c r="BF191" s="27"/>
      <c r="BG191" s="27" t="s">
        <v>115</v>
      </c>
      <c r="BH191" s="27"/>
      <c r="BI191" s="27"/>
      <c r="BJ191" s="27"/>
      <c r="BK191" s="27" t="s">
        <v>118</v>
      </c>
      <c r="BL191" s="27"/>
      <c r="BM191" s="27"/>
      <c r="BN191" s="27"/>
      <c r="BO191" s="27"/>
      <c r="BP191" s="27" t="s">
        <v>119</v>
      </c>
      <c r="BQ191" s="27"/>
      <c r="BR191" s="27"/>
      <c r="BS191" s="27"/>
      <c r="CA191" s="71" t="s">
        <v>249</v>
      </c>
    </row>
    <row r="192" spans="1:79" s="3" customFormat="1" ht="12.75" customHeight="1" x14ac:dyDescent="0.2">
      <c r="A192" s="139" t="s">
        <v>18</v>
      </c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99"/>
      <c r="O192" s="100"/>
      <c r="P192" s="100"/>
      <c r="Q192" s="100"/>
      <c r="R192" s="100"/>
      <c r="S192" s="100"/>
      <c r="T192" s="100"/>
      <c r="U192" s="10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41"/>
      <c r="AJ192" s="141"/>
      <c r="AK192" s="141"/>
      <c r="AL192" s="141"/>
      <c r="AM192" s="141"/>
      <c r="AN192" s="141"/>
      <c r="AO192" s="141"/>
      <c r="AP192" s="141"/>
      <c r="AQ192" s="141"/>
      <c r="AR192" s="141"/>
      <c r="AS192" s="141"/>
      <c r="AT192" s="141"/>
      <c r="AU192" s="141"/>
      <c r="AV192" s="141"/>
      <c r="AW192" s="141"/>
      <c r="AX192" s="141"/>
      <c r="AY192" s="141"/>
      <c r="AZ192" s="141"/>
      <c r="BA192" s="141"/>
      <c r="BB192" s="141"/>
      <c r="BC192" s="141"/>
      <c r="BD192" s="141"/>
      <c r="BE192" s="141"/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2"/>
      <c r="BQ192" s="143"/>
      <c r="BR192" s="143"/>
      <c r="BS192" s="144"/>
      <c r="CA192" s="3" t="s">
        <v>250</v>
      </c>
    </row>
    <row r="195" spans="1:79" ht="35.25" customHeight="1" x14ac:dyDescent="0.2">
      <c r="A195" s="77" t="s">
        <v>251</v>
      </c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</row>
    <row r="196" spans="1:79" ht="105" customHeight="1" x14ac:dyDescent="0.2">
      <c r="A196" s="33" t="s">
        <v>252</v>
      </c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spans="1:79" ht="15" x14ac:dyDescent="0.2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</row>
    <row r="199" spans="1:79" ht="28.5" customHeight="1" x14ac:dyDescent="0.2">
      <c r="A199" s="36" t="s">
        <v>253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</row>
    <row r="200" spans="1:79" ht="14.25" customHeight="1" x14ac:dyDescent="0.2">
      <c r="A200" s="77" t="s">
        <v>254</v>
      </c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</row>
    <row r="201" spans="1:79" ht="15" customHeight="1" x14ac:dyDescent="0.2">
      <c r="A201" s="30" t="s">
        <v>55</v>
      </c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</row>
    <row r="202" spans="1:79" ht="42.95" customHeight="1" x14ac:dyDescent="0.2">
      <c r="A202" s="120" t="s">
        <v>255</v>
      </c>
      <c r="B202" s="120"/>
      <c r="C202" s="120"/>
      <c r="D202" s="120"/>
      <c r="E202" s="120"/>
      <c r="F202" s="120"/>
      <c r="G202" s="41" t="s">
        <v>90</v>
      </c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 t="s">
        <v>256</v>
      </c>
      <c r="U202" s="41"/>
      <c r="V202" s="41"/>
      <c r="W202" s="41"/>
      <c r="X202" s="41"/>
      <c r="Y202" s="41"/>
      <c r="Z202" s="41" t="s">
        <v>257</v>
      </c>
      <c r="AA202" s="41"/>
      <c r="AB202" s="41"/>
      <c r="AC202" s="41"/>
      <c r="AD202" s="41"/>
      <c r="AE202" s="41" t="s">
        <v>258</v>
      </c>
      <c r="AF202" s="41"/>
      <c r="AG202" s="41"/>
      <c r="AH202" s="41"/>
      <c r="AI202" s="41"/>
      <c r="AJ202" s="41"/>
      <c r="AK202" s="41" t="s">
        <v>259</v>
      </c>
      <c r="AL202" s="41"/>
      <c r="AM202" s="41"/>
      <c r="AN202" s="41"/>
      <c r="AO202" s="41"/>
      <c r="AP202" s="41"/>
      <c r="AQ202" s="41" t="s">
        <v>260</v>
      </c>
      <c r="AR202" s="41"/>
      <c r="AS202" s="41"/>
      <c r="AT202" s="41"/>
      <c r="AU202" s="41"/>
      <c r="AV202" s="41"/>
      <c r="AW202" s="41" t="s">
        <v>261</v>
      </c>
      <c r="AX202" s="41"/>
      <c r="AY202" s="41"/>
      <c r="AZ202" s="41"/>
      <c r="BA202" s="41"/>
      <c r="BB202" s="41"/>
      <c r="BC202" s="41"/>
      <c r="BD202" s="41"/>
      <c r="BE202" s="41"/>
      <c r="BF202" s="41"/>
      <c r="BG202" s="41" t="s">
        <v>262</v>
      </c>
      <c r="BH202" s="41"/>
      <c r="BI202" s="41"/>
      <c r="BJ202" s="41"/>
      <c r="BK202" s="41"/>
      <c r="BL202" s="41"/>
    </row>
    <row r="203" spans="1:79" ht="39.950000000000003" customHeight="1" x14ac:dyDescent="0.2">
      <c r="A203" s="120"/>
      <c r="B203" s="120"/>
      <c r="C203" s="120"/>
      <c r="D203" s="120"/>
      <c r="E203" s="120"/>
      <c r="F203" s="120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 t="s">
        <v>263</v>
      </c>
      <c r="AX203" s="41"/>
      <c r="AY203" s="41"/>
      <c r="AZ203" s="41"/>
      <c r="BA203" s="41"/>
      <c r="BB203" s="41" t="s">
        <v>264</v>
      </c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</row>
    <row r="204" spans="1:79" ht="15" customHeight="1" x14ac:dyDescent="0.2">
      <c r="A204" s="41">
        <v>1</v>
      </c>
      <c r="B204" s="41"/>
      <c r="C204" s="41"/>
      <c r="D204" s="41"/>
      <c r="E204" s="41"/>
      <c r="F204" s="41"/>
      <c r="G204" s="41">
        <v>2</v>
      </c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>
        <v>3</v>
      </c>
      <c r="U204" s="41"/>
      <c r="V204" s="41"/>
      <c r="W204" s="41"/>
      <c r="X204" s="41"/>
      <c r="Y204" s="41"/>
      <c r="Z204" s="41">
        <v>4</v>
      </c>
      <c r="AA204" s="41"/>
      <c r="AB204" s="41"/>
      <c r="AC204" s="41"/>
      <c r="AD204" s="41"/>
      <c r="AE204" s="41">
        <v>5</v>
      </c>
      <c r="AF204" s="41"/>
      <c r="AG204" s="41"/>
      <c r="AH204" s="41"/>
      <c r="AI204" s="41"/>
      <c r="AJ204" s="41"/>
      <c r="AK204" s="41">
        <v>6</v>
      </c>
      <c r="AL204" s="41"/>
      <c r="AM204" s="41"/>
      <c r="AN204" s="41"/>
      <c r="AO204" s="41"/>
      <c r="AP204" s="41"/>
      <c r="AQ204" s="41">
        <v>7</v>
      </c>
      <c r="AR204" s="41"/>
      <c r="AS204" s="41"/>
      <c r="AT204" s="41"/>
      <c r="AU204" s="41"/>
      <c r="AV204" s="41"/>
      <c r="AW204" s="41">
        <v>8</v>
      </c>
      <c r="AX204" s="41"/>
      <c r="AY204" s="41"/>
      <c r="AZ204" s="41"/>
      <c r="BA204" s="41"/>
      <c r="BB204" s="41">
        <v>9</v>
      </c>
      <c r="BC204" s="41"/>
      <c r="BD204" s="41"/>
      <c r="BE204" s="41"/>
      <c r="BF204" s="41"/>
      <c r="BG204" s="41">
        <v>10</v>
      </c>
      <c r="BH204" s="41"/>
      <c r="BI204" s="41"/>
      <c r="BJ204" s="41"/>
      <c r="BK204" s="41"/>
      <c r="BL204" s="41"/>
    </row>
    <row r="205" spans="1:79" s="71" customFormat="1" ht="12" hidden="1" customHeight="1" x14ac:dyDescent="0.2">
      <c r="A205" s="17" t="s">
        <v>126</v>
      </c>
      <c r="B205" s="17"/>
      <c r="C205" s="17"/>
      <c r="D205" s="17"/>
      <c r="E205" s="17"/>
      <c r="F205" s="17"/>
      <c r="G205" s="138" t="s">
        <v>98</v>
      </c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27" t="s">
        <v>265</v>
      </c>
      <c r="U205" s="27"/>
      <c r="V205" s="27"/>
      <c r="W205" s="27"/>
      <c r="X205" s="27"/>
      <c r="Y205" s="27"/>
      <c r="Z205" s="27" t="s">
        <v>266</v>
      </c>
      <c r="AA205" s="27"/>
      <c r="AB205" s="27"/>
      <c r="AC205" s="27"/>
      <c r="AD205" s="27"/>
      <c r="AE205" s="27" t="s">
        <v>267</v>
      </c>
      <c r="AF205" s="27"/>
      <c r="AG205" s="27"/>
      <c r="AH205" s="27"/>
      <c r="AI205" s="27"/>
      <c r="AJ205" s="27"/>
      <c r="AK205" s="27" t="s">
        <v>268</v>
      </c>
      <c r="AL205" s="27"/>
      <c r="AM205" s="27"/>
      <c r="AN205" s="27"/>
      <c r="AO205" s="27"/>
      <c r="AP205" s="27"/>
      <c r="AQ205" s="17" t="s">
        <v>269</v>
      </c>
      <c r="AR205" s="27"/>
      <c r="AS205" s="27"/>
      <c r="AT205" s="27"/>
      <c r="AU205" s="27"/>
      <c r="AV205" s="27"/>
      <c r="AW205" s="27" t="s">
        <v>270</v>
      </c>
      <c r="AX205" s="27"/>
      <c r="AY205" s="27"/>
      <c r="AZ205" s="27"/>
      <c r="BA205" s="27"/>
      <c r="BB205" s="27" t="s">
        <v>271</v>
      </c>
      <c r="BC205" s="27"/>
      <c r="BD205" s="27"/>
      <c r="BE205" s="27"/>
      <c r="BF205" s="27"/>
      <c r="BG205" s="17" t="s">
        <v>272</v>
      </c>
      <c r="BH205" s="27"/>
      <c r="BI205" s="27"/>
      <c r="BJ205" s="27"/>
      <c r="BK205" s="27"/>
      <c r="BL205" s="27"/>
      <c r="CA205" s="71" t="s">
        <v>273</v>
      </c>
    </row>
    <row r="206" spans="1:79" s="14" customFormat="1" ht="12.75" customHeight="1" x14ac:dyDescent="0.2">
      <c r="A206" s="124">
        <v>2111</v>
      </c>
      <c r="B206" s="124"/>
      <c r="C206" s="124"/>
      <c r="D206" s="124"/>
      <c r="E206" s="124"/>
      <c r="F206" s="124"/>
      <c r="G206" s="56" t="s">
        <v>128</v>
      </c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8"/>
      <c r="T206" s="132">
        <v>489900</v>
      </c>
      <c r="U206" s="132"/>
      <c r="V206" s="132"/>
      <c r="W206" s="132"/>
      <c r="X206" s="132"/>
      <c r="Y206" s="132"/>
      <c r="Z206" s="132">
        <v>487025</v>
      </c>
      <c r="AA206" s="132"/>
      <c r="AB206" s="132"/>
      <c r="AC206" s="132"/>
      <c r="AD206" s="132"/>
      <c r="AE206" s="132">
        <v>0</v>
      </c>
      <c r="AF206" s="132"/>
      <c r="AG206" s="132"/>
      <c r="AH206" s="132"/>
      <c r="AI206" s="132"/>
      <c r="AJ206" s="132"/>
      <c r="AK206" s="132">
        <v>0</v>
      </c>
      <c r="AL206" s="132"/>
      <c r="AM206" s="132"/>
      <c r="AN206" s="132"/>
      <c r="AO206" s="132"/>
      <c r="AP206" s="132"/>
      <c r="AQ206" s="132">
        <f t="shared" ref="AQ206:AQ211" si="5">IF(ISNUMBER(AK206),AK206,0)-IF(ISNUMBER(AE206),AE206,0)</f>
        <v>0</v>
      </c>
      <c r="AR206" s="132"/>
      <c r="AS206" s="132"/>
      <c r="AT206" s="132"/>
      <c r="AU206" s="132"/>
      <c r="AV206" s="132"/>
      <c r="AW206" s="132">
        <v>0</v>
      </c>
      <c r="AX206" s="132"/>
      <c r="AY206" s="132"/>
      <c r="AZ206" s="132"/>
      <c r="BA206" s="132"/>
      <c r="BB206" s="132">
        <v>0</v>
      </c>
      <c r="BC206" s="132"/>
      <c r="BD206" s="132"/>
      <c r="BE206" s="132"/>
      <c r="BF206" s="132"/>
      <c r="BG206" s="132">
        <f t="shared" ref="BG206:BG211" si="6">IF(ISNUMBER(Z206),Z206,0)+IF(ISNUMBER(AK206),AK206,0)</f>
        <v>487025</v>
      </c>
      <c r="BH206" s="132"/>
      <c r="BI206" s="132"/>
      <c r="BJ206" s="132"/>
      <c r="BK206" s="132"/>
      <c r="BL206" s="132"/>
      <c r="CA206" s="14" t="s">
        <v>274</v>
      </c>
    </row>
    <row r="207" spans="1:79" s="14" customFormat="1" ht="12.75" customHeight="1" x14ac:dyDescent="0.2">
      <c r="A207" s="124">
        <v>2120</v>
      </c>
      <c r="B207" s="124"/>
      <c r="C207" s="124"/>
      <c r="D207" s="124"/>
      <c r="E207" s="124"/>
      <c r="F207" s="124"/>
      <c r="G207" s="56" t="s">
        <v>130</v>
      </c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8"/>
      <c r="T207" s="132">
        <v>107978</v>
      </c>
      <c r="U207" s="132"/>
      <c r="V207" s="132"/>
      <c r="W207" s="132"/>
      <c r="X207" s="132"/>
      <c r="Y207" s="132"/>
      <c r="Z207" s="132">
        <v>107145</v>
      </c>
      <c r="AA207" s="132"/>
      <c r="AB207" s="132"/>
      <c r="AC207" s="132"/>
      <c r="AD207" s="132"/>
      <c r="AE207" s="132">
        <v>0</v>
      </c>
      <c r="AF207" s="132"/>
      <c r="AG207" s="132"/>
      <c r="AH207" s="132"/>
      <c r="AI207" s="132"/>
      <c r="AJ207" s="132"/>
      <c r="AK207" s="132">
        <v>0</v>
      </c>
      <c r="AL207" s="132"/>
      <c r="AM207" s="132"/>
      <c r="AN207" s="132"/>
      <c r="AO207" s="132"/>
      <c r="AP207" s="132"/>
      <c r="AQ207" s="132">
        <f t="shared" si="5"/>
        <v>0</v>
      </c>
      <c r="AR207" s="132"/>
      <c r="AS207" s="132"/>
      <c r="AT207" s="132"/>
      <c r="AU207" s="132"/>
      <c r="AV207" s="132"/>
      <c r="AW207" s="132">
        <v>0</v>
      </c>
      <c r="AX207" s="132"/>
      <c r="AY207" s="132"/>
      <c r="AZ207" s="132"/>
      <c r="BA207" s="132"/>
      <c r="BB207" s="132">
        <v>0</v>
      </c>
      <c r="BC207" s="132"/>
      <c r="BD207" s="132"/>
      <c r="BE207" s="132"/>
      <c r="BF207" s="132"/>
      <c r="BG207" s="132">
        <f t="shared" si="6"/>
        <v>107145</v>
      </c>
      <c r="BH207" s="132"/>
      <c r="BI207" s="132"/>
      <c r="BJ207" s="132"/>
      <c r="BK207" s="132"/>
      <c r="BL207" s="132"/>
    </row>
    <row r="208" spans="1:79" s="14" customFormat="1" ht="25.5" customHeight="1" x14ac:dyDescent="0.2">
      <c r="A208" s="124">
        <v>2210</v>
      </c>
      <c r="B208" s="124"/>
      <c r="C208" s="124"/>
      <c r="D208" s="124"/>
      <c r="E208" s="124"/>
      <c r="F208" s="124"/>
      <c r="G208" s="56" t="s">
        <v>131</v>
      </c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8"/>
      <c r="T208" s="132">
        <v>5520</v>
      </c>
      <c r="U208" s="132"/>
      <c r="V208" s="132"/>
      <c r="W208" s="132"/>
      <c r="X208" s="132"/>
      <c r="Y208" s="132"/>
      <c r="Z208" s="132">
        <v>4080</v>
      </c>
      <c r="AA208" s="132"/>
      <c r="AB208" s="132"/>
      <c r="AC208" s="132"/>
      <c r="AD208" s="132"/>
      <c r="AE208" s="132">
        <v>0</v>
      </c>
      <c r="AF208" s="132"/>
      <c r="AG208" s="132"/>
      <c r="AH208" s="132"/>
      <c r="AI208" s="132"/>
      <c r="AJ208" s="132"/>
      <c r="AK208" s="132">
        <v>0</v>
      </c>
      <c r="AL208" s="132"/>
      <c r="AM208" s="132"/>
      <c r="AN208" s="132"/>
      <c r="AO208" s="132"/>
      <c r="AP208" s="132"/>
      <c r="AQ208" s="132">
        <f t="shared" si="5"/>
        <v>0</v>
      </c>
      <c r="AR208" s="132"/>
      <c r="AS208" s="132"/>
      <c r="AT208" s="132"/>
      <c r="AU208" s="132"/>
      <c r="AV208" s="132"/>
      <c r="AW208" s="132">
        <v>0</v>
      </c>
      <c r="AX208" s="132"/>
      <c r="AY208" s="132"/>
      <c r="AZ208" s="132"/>
      <c r="BA208" s="132"/>
      <c r="BB208" s="132">
        <v>0</v>
      </c>
      <c r="BC208" s="132"/>
      <c r="BD208" s="132"/>
      <c r="BE208" s="132"/>
      <c r="BF208" s="132"/>
      <c r="BG208" s="132">
        <f t="shared" si="6"/>
        <v>4080</v>
      </c>
      <c r="BH208" s="132"/>
      <c r="BI208" s="132"/>
      <c r="BJ208" s="132"/>
      <c r="BK208" s="132"/>
      <c r="BL208" s="132"/>
    </row>
    <row r="209" spans="1:79" s="14" customFormat="1" ht="12.75" customHeight="1" x14ac:dyDescent="0.2">
      <c r="A209" s="124">
        <v>2240</v>
      </c>
      <c r="B209" s="124"/>
      <c r="C209" s="124"/>
      <c r="D209" s="124"/>
      <c r="E209" s="124"/>
      <c r="F209" s="124"/>
      <c r="G209" s="56" t="s">
        <v>132</v>
      </c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8"/>
      <c r="T209" s="132">
        <v>5220</v>
      </c>
      <c r="U209" s="132"/>
      <c r="V209" s="132"/>
      <c r="W209" s="132"/>
      <c r="X209" s="132"/>
      <c r="Y209" s="132"/>
      <c r="Z209" s="132">
        <v>5122</v>
      </c>
      <c r="AA209" s="132"/>
      <c r="AB209" s="132"/>
      <c r="AC209" s="132"/>
      <c r="AD209" s="132"/>
      <c r="AE209" s="132">
        <v>0</v>
      </c>
      <c r="AF209" s="132"/>
      <c r="AG209" s="132"/>
      <c r="AH209" s="132"/>
      <c r="AI209" s="132"/>
      <c r="AJ209" s="132"/>
      <c r="AK209" s="132">
        <v>0</v>
      </c>
      <c r="AL209" s="132"/>
      <c r="AM209" s="132"/>
      <c r="AN209" s="132"/>
      <c r="AO209" s="132"/>
      <c r="AP209" s="132"/>
      <c r="AQ209" s="132">
        <f t="shared" si="5"/>
        <v>0</v>
      </c>
      <c r="AR209" s="132"/>
      <c r="AS209" s="132"/>
      <c r="AT209" s="132"/>
      <c r="AU209" s="132"/>
      <c r="AV209" s="132"/>
      <c r="AW209" s="132">
        <v>0</v>
      </c>
      <c r="AX209" s="132"/>
      <c r="AY209" s="132"/>
      <c r="AZ209" s="132"/>
      <c r="BA209" s="132"/>
      <c r="BB209" s="132">
        <v>0</v>
      </c>
      <c r="BC209" s="132"/>
      <c r="BD209" s="132"/>
      <c r="BE209" s="132"/>
      <c r="BF209" s="132"/>
      <c r="BG209" s="132">
        <f t="shared" si="6"/>
        <v>5122</v>
      </c>
      <c r="BH209" s="132"/>
      <c r="BI209" s="132"/>
      <c r="BJ209" s="132"/>
      <c r="BK209" s="132"/>
      <c r="BL209" s="132"/>
    </row>
    <row r="210" spans="1:79" s="14" customFormat="1" ht="12.75" customHeight="1" x14ac:dyDescent="0.2">
      <c r="A210" s="124">
        <v>2250</v>
      </c>
      <c r="B210" s="124"/>
      <c r="C210" s="124"/>
      <c r="D210" s="124"/>
      <c r="E210" s="124"/>
      <c r="F210" s="124"/>
      <c r="G210" s="56" t="s">
        <v>133</v>
      </c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8"/>
      <c r="T210" s="132">
        <v>4000</v>
      </c>
      <c r="U210" s="132"/>
      <c r="V210" s="132"/>
      <c r="W210" s="132"/>
      <c r="X210" s="132"/>
      <c r="Y210" s="132"/>
      <c r="Z210" s="132">
        <v>0</v>
      </c>
      <c r="AA210" s="132"/>
      <c r="AB210" s="132"/>
      <c r="AC210" s="132"/>
      <c r="AD210" s="132"/>
      <c r="AE210" s="132">
        <v>0</v>
      </c>
      <c r="AF210" s="132"/>
      <c r="AG210" s="132"/>
      <c r="AH210" s="132"/>
      <c r="AI210" s="132"/>
      <c r="AJ210" s="132"/>
      <c r="AK210" s="132">
        <v>0</v>
      </c>
      <c r="AL210" s="132"/>
      <c r="AM210" s="132"/>
      <c r="AN210" s="132"/>
      <c r="AO210" s="132"/>
      <c r="AP210" s="132"/>
      <c r="AQ210" s="132">
        <f t="shared" si="5"/>
        <v>0</v>
      </c>
      <c r="AR210" s="132"/>
      <c r="AS210" s="132"/>
      <c r="AT210" s="132"/>
      <c r="AU210" s="132"/>
      <c r="AV210" s="132"/>
      <c r="AW210" s="132">
        <v>0</v>
      </c>
      <c r="AX210" s="132"/>
      <c r="AY210" s="132"/>
      <c r="AZ210" s="132"/>
      <c r="BA210" s="132"/>
      <c r="BB210" s="132">
        <v>0</v>
      </c>
      <c r="BC210" s="132"/>
      <c r="BD210" s="132"/>
      <c r="BE210" s="132"/>
      <c r="BF210" s="132"/>
      <c r="BG210" s="132">
        <f t="shared" si="6"/>
        <v>0</v>
      </c>
      <c r="BH210" s="132"/>
      <c r="BI210" s="132"/>
      <c r="BJ210" s="132"/>
      <c r="BK210" s="132"/>
      <c r="BL210" s="132"/>
    </row>
    <row r="211" spans="1:79" s="3" customFormat="1" ht="12.75" customHeight="1" x14ac:dyDescent="0.2">
      <c r="A211" s="125"/>
      <c r="B211" s="125"/>
      <c r="C211" s="125"/>
      <c r="D211" s="125"/>
      <c r="E211" s="125"/>
      <c r="F211" s="125"/>
      <c r="G211" s="44" t="s">
        <v>18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20"/>
      <c r="T211" s="131">
        <v>612618</v>
      </c>
      <c r="U211" s="131"/>
      <c r="V211" s="131"/>
      <c r="W211" s="131"/>
      <c r="X211" s="131"/>
      <c r="Y211" s="131"/>
      <c r="Z211" s="131">
        <v>603372</v>
      </c>
      <c r="AA211" s="131"/>
      <c r="AB211" s="131"/>
      <c r="AC211" s="131"/>
      <c r="AD211" s="131"/>
      <c r="AE211" s="131">
        <v>0</v>
      </c>
      <c r="AF211" s="131"/>
      <c r="AG211" s="131"/>
      <c r="AH211" s="131"/>
      <c r="AI211" s="131"/>
      <c r="AJ211" s="131"/>
      <c r="AK211" s="131">
        <v>0</v>
      </c>
      <c r="AL211" s="131"/>
      <c r="AM211" s="131"/>
      <c r="AN211" s="131"/>
      <c r="AO211" s="131"/>
      <c r="AP211" s="131"/>
      <c r="AQ211" s="131">
        <f t="shared" si="5"/>
        <v>0</v>
      </c>
      <c r="AR211" s="131"/>
      <c r="AS211" s="131"/>
      <c r="AT211" s="131"/>
      <c r="AU211" s="131"/>
      <c r="AV211" s="131"/>
      <c r="AW211" s="131">
        <v>0</v>
      </c>
      <c r="AX211" s="131"/>
      <c r="AY211" s="131"/>
      <c r="AZ211" s="131"/>
      <c r="BA211" s="131"/>
      <c r="BB211" s="131">
        <v>0</v>
      </c>
      <c r="BC211" s="131"/>
      <c r="BD211" s="131"/>
      <c r="BE211" s="131"/>
      <c r="BF211" s="131"/>
      <c r="BG211" s="131">
        <f t="shared" si="6"/>
        <v>603372</v>
      </c>
      <c r="BH211" s="131"/>
      <c r="BI211" s="131"/>
      <c r="BJ211" s="131"/>
      <c r="BK211" s="131"/>
      <c r="BL211" s="131"/>
    </row>
    <row r="213" spans="1:79" ht="14.25" customHeight="1" x14ac:dyDescent="0.2">
      <c r="A213" s="77" t="s">
        <v>275</v>
      </c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</row>
    <row r="214" spans="1:79" ht="15" customHeight="1" x14ac:dyDescent="0.2">
      <c r="A214" s="30" t="s">
        <v>55</v>
      </c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</row>
    <row r="215" spans="1:79" ht="18" customHeight="1" x14ac:dyDescent="0.2">
      <c r="A215" s="41" t="s">
        <v>255</v>
      </c>
      <c r="B215" s="41"/>
      <c r="C215" s="41"/>
      <c r="D215" s="41"/>
      <c r="E215" s="41"/>
      <c r="F215" s="41"/>
      <c r="G215" s="41" t="s">
        <v>90</v>
      </c>
      <c r="H215" s="41"/>
      <c r="I215" s="41"/>
      <c r="J215" s="41"/>
      <c r="K215" s="41"/>
      <c r="L215" s="41"/>
      <c r="M215" s="41"/>
      <c r="N215" s="41"/>
      <c r="O215" s="41"/>
      <c r="P215" s="41"/>
      <c r="Q215" s="41" t="s">
        <v>276</v>
      </c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 t="s">
        <v>208</v>
      </c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</row>
    <row r="216" spans="1:79" ht="42.95" customHeight="1" x14ac:dyDescent="0.2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 t="s">
        <v>277</v>
      </c>
      <c r="R216" s="41"/>
      <c r="S216" s="41"/>
      <c r="T216" s="41"/>
      <c r="U216" s="41"/>
      <c r="V216" s="120" t="s">
        <v>278</v>
      </c>
      <c r="W216" s="120"/>
      <c r="X216" s="120"/>
      <c r="Y216" s="120"/>
      <c r="Z216" s="41" t="s">
        <v>279</v>
      </c>
      <c r="AA216" s="41"/>
      <c r="AB216" s="41"/>
      <c r="AC216" s="41"/>
      <c r="AD216" s="41"/>
      <c r="AE216" s="41"/>
      <c r="AF216" s="41"/>
      <c r="AG216" s="41"/>
      <c r="AH216" s="41"/>
      <c r="AI216" s="41"/>
      <c r="AJ216" s="41" t="s">
        <v>280</v>
      </c>
      <c r="AK216" s="41"/>
      <c r="AL216" s="41"/>
      <c r="AM216" s="41"/>
      <c r="AN216" s="41"/>
      <c r="AO216" s="41" t="s">
        <v>281</v>
      </c>
      <c r="AP216" s="41"/>
      <c r="AQ216" s="41"/>
      <c r="AR216" s="41"/>
      <c r="AS216" s="41"/>
      <c r="AT216" s="120" t="s">
        <v>282</v>
      </c>
      <c r="AU216" s="120"/>
      <c r="AV216" s="120"/>
      <c r="AW216" s="120"/>
      <c r="AX216" s="41" t="s">
        <v>279</v>
      </c>
      <c r="AY216" s="41"/>
      <c r="AZ216" s="41"/>
      <c r="BA216" s="41"/>
      <c r="BB216" s="41"/>
      <c r="BC216" s="41"/>
      <c r="BD216" s="41"/>
      <c r="BE216" s="41"/>
      <c r="BF216" s="41"/>
      <c r="BG216" s="41"/>
      <c r="BH216" s="41" t="s">
        <v>283</v>
      </c>
      <c r="BI216" s="41"/>
      <c r="BJ216" s="41"/>
      <c r="BK216" s="41"/>
      <c r="BL216" s="41"/>
    </row>
    <row r="217" spans="1:79" ht="63" customHeight="1" x14ac:dyDescent="0.2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120"/>
      <c r="W217" s="120"/>
      <c r="X217" s="120"/>
      <c r="Y217" s="120"/>
      <c r="Z217" s="41" t="s">
        <v>263</v>
      </c>
      <c r="AA217" s="41"/>
      <c r="AB217" s="41"/>
      <c r="AC217" s="41"/>
      <c r="AD217" s="41"/>
      <c r="AE217" s="41" t="s">
        <v>264</v>
      </c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120"/>
      <c r="AU217" s="120"/>
      <c r="AV217" s="120"/>
      <c r="AW217" s="120"/>
      <c r="AX217" s="41" t="s">
        <v>263</v>
      </c>
      <c r="AY217" s="41"/>
      <c r="AZ217" s="41"/>
      <c r="BA217" s="41"/>
      <c r="BB217" s="41"/>
      <c r="BC217" s="41" t="s">
        <v>264</v>
      </c>
      <c r="BD217" s="41"/>
      <c r="BE217" s="41"/>
      <c r="BF217" s="41"/>
      <c r="BG217" s="41"/>
      <c r="BH217" s="41"/>
      <c r="BI217" s="41"/>
      <c r="BJ217" s="41"/>
      <c r="BK217" s="41"/>
      <c r="BL217" s="41"/>
    </row>
    <row r="218" spans="1:79" ht="15" customHeight="1" x14ac:dyDescent="0.2">
      <c r="A218" s="41">
        <v>1</v>
      </c>
      <c r="B218" s="41"/>
      <c r="C218" s="41"/>
      <c r="D218" s="41"/>
      <c r="E218" s="41"/>
      <c r="F218" s="41"/>
      <c r="G218" s="41">
        <v>2</v>
      </c>
      <c r="H218" s="41"/>
      <c r="I218" s="41"/>
      <c r="J218" s="41"/>
      <c r="K218" s="41"/>
      <c r="L218" s="41"/>
      <c r="M218" s="41"/>
      <c r="N218" s="41"/>
      <c r="O218" s="41"/>
      <c r="P218" s="41"/>
      <c r="Q218" s="41">
        <v>3</v>
      </c>
      <c r="R218" s="41"/>
      <c r="S218" s="41"/>
      <c r="T218" s="41"/>
      <c r="U218" s="41"/>
      <c r="V218" s="41">
        <v>4</v>
      </c>
      <c r="W218" s="41"/>
      <c r="X218" s="41"/>
      <c r="Y218" s="41"/>
      <c r="Z218" s="41">
        <v>5</v>
      </c>
      <c r="AA218" s="41"/>
      <c r="AB218" s="41"/>
      <c r="AC218" s="41"/>
      <c r="AD218" s="41"/>
      <c r="AE218" s="41">
        <v>6</v>
      </c>
      <c r="AF218" s="41"/>
      <c r="AG218" s="41"/>
      <c r="AH218" s="41"/>
      <c r="AI218" s="41"/>
      <c r="AJ218" s="41">
        <v>7</v>
      </c>
      <c r="AK218" s="41"/>
      <c r="AL218" s="41"/>
      <c r="AM218" s="41"/>
      <c r="AN218" s="41"/>
      <c r="AO218" s="41">
        <v>8</v>
      </c>
      <c r="AP218" s="41"/>
      <c r="AQ218" s="41"/>
      <c r="AR218" s="41"/>
      <c r="AS218" s="41"/>
      <c r="AT218" s="41">
        <v>9</v>
      </c>
      <c r="AU218" s="41"/>
      <c r="AV218" s="41"/>
      <c r="AW218" s="41"/>
      <c r="AX218" s="41">
        <v>10</v>
      </c>
      <c r="AY218" s="41"/>
      <c r="AZ218" s="41"/>
      <c r="BA218" s="41"/>
      <c r="BB218" s="41"/>
      <c r="BC218" s="41">
        <v>11</v>
      </c>
      <c r="BD218" s="41"/>
      <c r="BE218" s="41"/>
      <c r="BF218" s="41"/>
      <c r="BG218" s="41"/>
      <c r="BH218" s="41">
        <v>12</v>
      </c>
      <c r="BI218" s="41"/>
      <c r="BJ218" s="41"/>
      <c r="BK218" s="41"/>
      <c r="BL218" s="41"/>
    </row>
    <row r="219" spans="1:79" s="71" customFormat="1" ht="12" hidden="1" customHeight="1" x14ac:dyDescent="0.2">
      <c r="A219" s="17" t="s">
        <v>126</v>
      </c>
      <c r="B219" s="17"/>
      <c r="C219" s="17"/>
      <c r="D219" s="17"/>
      <c r="E219" s="17"/>
      <c r="F219" s="17"/>
      <c r="G219" s="138" t="s">
        <v>98</v>
      </c>
      <c r="H219" s="138"/>
      <c r="I219" s="138"/>
      <c r="J219" s="138"/>
      <c r="K219" s="138"/>
      <c r="L219" s="138"/>
      <c r="M219" s="138"/>
      <c r="N219" s="138"/>
      <c r="O219" s="138"/>
      <c r="P219" s="138"/>
      <c r="Q219" s="27" t="s">
        <v>265</v>
      </c>
      <c r="R219" s="27"/>
      <c r="S219" s="27"/>
      <c r="T219" s="27"/>
      <c r="U219" s="27"/>
      <c r="V219" s="27" t="s">
        <v>266</v>
      </c>
      <c r="W219" s="27"/>
      <c r="X219" s="27"/>
      <c r="Y219" s="27"/>
      <c r="Z219" s="27" t="s">
        <v>267</v>
      </c>
      <c r="AA219" s="27"/>
      <c r="AB219" s="27"/>
      <c r="AC219" s="27"/>
      <c r="AD219" s="27"/>
      <c r="AE219" s="27" t="s">
        <v>268</v>
      </c>
      <c r="AF219" s="27"/>
      <c r="AG219" s="27"/>
      <c r="AH219" s="27"/>
      <c r="AI219" s="27"/>
      <c r="AJ219" s="17" t="s">
        <v>284</v>
      </c>
      <c r="AK219" s="27"/>
      <c r="AL219" s="27"/>
      <c r="AM219" s="27"/>
      <c r="AN219" s="27"/>
      <c r="AO219" s="27" t="s">
        <v>270</v>
      </c>
      <c r="AP219" s="27"/>
      <c r="AQ219" s="27"/>
      <c r="AR219" s="27"/>
      <c r="AS219" s="27"/>
      <c r="AT219" s="17" t="s">
        <v>285</v>
      </c>
      <c r="AU219" s="27"/>
      <c r="AV219" s="27"/>
      <c r="AW219" s="27"/>
      <c r="AX219" s="27" t="s">
        <v>271</v>
      </c>
      <c r="AY219" s="27"/>
      <c r="AZ219" s="27"/>
      <c r="BA219" s="27"/>
      <c r="BB219" s="27"/>
      <c r="BC219" s="27" t="s">
        <v>286</v>
      </c>
      <c r="BD219" s="27"/>
      <c r="BE219" s="27"/>
      <c r="BF219" s="27"/>
      <c r="BG219" s="27"/>
      <c r="BH219" s="17" t="s">
        <v>284</v>
      </c>
      <c r="BI219" s="27"/>
      <c r="BJ219" s="27"/>
      <c r="BK219" s="27"/>
      <c r="BL219" s="27"/>
      <c r="CA219" s="71" t="s">
        <v>287</v>
      </c>
    </row>
    <row r="220" spans="1:79" s="14" customFormat="1" ht="12.75" customHeight="1" x14ac:dyDescent="0.2">
      <c r="A220" s="124">
        <v>2111</v>
      </c>
      <c r="B220" s="124"/>
      <c r="C220" s="124"/>
      <c r="D220" s="124"/>
      <c r="E220" s="124"/>
      <c r="F220" s="124"/>
      <c r="G220" s="56" t="s">
        <v>128</v>
      </c>
      <c r="H220" s="57"/>
      <c r="I220" s="57"/>
      <c r="J220" s="57"/>
      <c r="K220" s="57"/>
      <c r="L220" s="57"/>
      <c r="M220" s="57"/>
      <c r="N220" s="57"/>
      <c r="O220" s="57"/>
      <c r="P220" s="58"/>
      <c r="Q220" s="132">
        <v>939830</v>
      </c>
      <c r="R220" s="132"/>
      <c r="S220" s="132"/>
      <c r="T220" s="132"/>
      <c r="U220" s="132"/>
      <c r="V220" s="132">
        <v>0</v>
      </c>
      <c r="W220" s="132"/>
      <c r="X220" s="132"/>
      <c r="Y220" s="132"/>
      <c r="Z220" s="132">
        <v>0</v>
      </c>
      <c r="AA220" s="132"/>
      <c r="AB220" s="132"/>
      <c r="AC220" s="132"/>
      <c r="AD220" s="132"/>
      <c r="AE220" s="132">
        <v>0</v>
      </c>
      <c r="AF220" s="132"/>
      <c r="AG220" s="132"/>
      <c r="AH220" s="132"/>
      <c r="AI220" s="132"/>
      <c r="AJ220" s="132">
        <f t="shared" ref="AJ220:AJ225" si="7">IF(ISNUMBER(Q220),Q220,0)-IF(ISNUMBER(Z220),Z220,0)</f>
        <v>939830</v>
      </c>
      <c r="AK220" s="132"/>
      <c r="AL220" s="132"/>
      <c r="AM220" s="132"/>
      <c r="AN220" s="132"/>
      <c r="AO220" s="132">
        <v>1355000</v>
      </c>
      <c r="AP220" s="132"/>
      <c r="AQ220" s="132"/>
      <c r="AR220" s="132"/>
      <c r="AS220" s="132"/>
      <c r="AT220" s="132">
        <f t="shared" ref="AT220:AT225" si="8">IF(ISNUMBER(V220),V220,0)-IF(ISNUMBER(Z220),Z220,0)-IF(ISNUMBER(AE220),AE220,0)</f>
        <v>0</v>
      </c>
      <c r="AU220" s="132"/>
      <c r="AV220" s="132"/>
      <c r="AW220" s="132"/>
      <c r="AX220" s="132">
        <v>0</v>
      </c>
      <c r="AY220" s="132"/>
      <c r="AZ220" s="132"/>
      <c r="BA220" s="132"/>
      <c r="BB220" s="132"/>
      <c r="BC220" s="132">
        <v>0</v>
      </c>
      <c r="BD220" s="132"/>
      <c r="BE220" s="132"/>
      <c r="BF220" s="132"/>
      <c r="BG220" s="132"/>
      <c r="BH220" s="132">
        <f t="shared" ref="BH220:BH225" si="9">IF(ISNUMBER(AO220),AO220,0)-IF(ISNUMBER(AX220),AX220,0)</f>
        <v>1355000</v>
      </c>
      <c r="BI220" s="132"/>
      <c r="BJ220" s="132"/>
      <c r="BK220" s="132"/>
      <c r="BL220" s="132"/>
      <c r="CA220" s="14" t="s">
        <v>288</v>
      </c>
    </row>
    <row r="221" spans="1:79" s="14" customFormat="1" ht="12.75" customHeight="1" x14ac:dyDescent="0.2">
      <c r="A221" s="124">
        <v>2120</v>
      </c>
      <c r="B221" s="124"/>
      <c r="C221" s="124"/>
      <c r="D221" s="124"/>
      <c r="E221" s="124"/>
      <c r="F221" s="124"/>
      <c r="G221" s="56" t="s">
        <v>130</v>
      </c>
      <c r="H221" s="57"/>
      <c r="I221" s="57"/>
      <c r="J221" s="57"/>
      <c r="K221" s="57"/>
      <c r="L221" s="57"/>
      <c r="M221" s="57"/>
      <c r="N221" s="57"/>
      <c r="O221" s="57"/>
      <c r="P221" s="58"/>
      <c r="Q221" s="132">
        <v>206763</v>
      </c>
      <c r="R221" s="132"/>
      <c r="S221" s="132"/>
      <c r="T221" s="132"/>
      <c r="U221" s="132"/>
      <c r="V221" s="132">
        <v>0</v>
      </c>
      <c r="W221" s="132"/>
      <c r="X221" s="132"/>
      <c r="Y221" s="132"/>
      <c r="Z221" s="132">
        <v>0</v>
      </c>
      <c r="AA221" s="132"/>
      <c r="AB221" s="132"/>
      <c r="AC221" s="132"/>
      <c r="AD221" s="132"/>
      <c r="AE221" s="132">
        <v>0</v>
      </c>
      <c r="AF221" s="132"/>
      <c r="AG221" s="132"/>
      <c r="AH221" s="132"/>
      <c r="AI221" s="132"/>
      <c r="AJ221" s="132">
        <f t="shared" si="7"/>
        <v>206763</v>
      </c>
      <c r="AK221" s="132"/>
      <c r="AL221" s="132"/>
      <c r="AM221" s="132"/>
      <c r="AN221" s="132"/>
      <c r="AO221" s="132">
        <v>298100</v>
      </c>
      <c r="AP221" s="132"/>
      <c r="AQ221" s="132"/>
      <c r="AR221" s="132"/>
      <c r="AS221" s="132"/>
      <c r="AT221" s="132">
        <f t="shared" si="8"/>
        <v>0</v>
      </c>
      <c r="AU221" s="132"/>
      <c r="AV221" s="132"/>
      <c r="AW221" s="132"/>
      <c r="AX221" s="132">
        <v>0</v>
      </c>
      <c r="AY221" s="132"/>
      <c r="AZ221" s="132"/>
      <c r="BA221" s="132"/>
      <c r="BB221" s="132"/>
      <c r="BC221" s="132">
        <v>0</v>
      </c>
      <c r="BD221" s="132"/>
      <c r="BE221" s="132"/>
      <c r="BF221" s="132"/>
      <c r="BG221" s="132"/>
      <c r="BH221" s="132">
        <f t="shared" si="9"/>
        <v>298100</v>
      </c>
      <c r="BI221" s="132"/>
      <c r="BJ221" s="132"/>
      <c r="BK221" s="132"/>
      <c r="BL221" s="132"/>
    </row>
    <row r="222" spans="1:79" s="14" customFormat="1" ht="25.5" customHeight="1" x14ac:dyDescent="0.2">
      <c r="A222" s="124">
        <v>2210</v>
      </c>
      <c r="B222" s="124"/>
      <c r="C222" s="124"/>
      <c r="D222" s="124"/>
      <c r="E222" s="124"/>
      <c r="F222" s="124"/>
      <c r="G222" s="56" t="s">
        <v>131</v>
      </c>
      <c r="H222" s="57"/>
      <c r="I222" s="57"/>
      <c r="J222" s="57"/>
      <c r="K222" s="57"/>
      <c r="L222" s="57"/>
      <c r="M222" s="57"/>
      <c r="N222" s="57"/>
      <c r="O222" s="57"/>
      <c r="P222" s="58"/>
      <c r="Q222" s="132">
        <v>12864</v>
      </c>
      <c r="R222" s="132"/>
      <c r="S222" s="132"/>
      <c r="T222" s="132"/>
      <c r="U222" s="132"/>
      <c r="V222" s="132">
        <v>0</v>
      </c>
      <c r="W222" s="132"/>
      <c r="X222" s="132"/>
      <c r="Y222" s="132"/>
      <c r="Z222" s="132">
        <v>0</v>
      </c>
      <c r="AA222" s="132"/>
      <c r="AB222" s="132"/>
      <c r="AC222" s="132"/>
      <c r="AD222" s="132"/>
      <c r="AE222" s="132">
        <v>0</v>
      </c>
      <c r="AF222" s="132"/>
      <c r="AG222" s="132"/>
      <c r="AH222" s="132"/>
      <c r="AI222" s="132"/>
      <c r="AJ222" s="132">
        <f t="shared" si="7"/>
        <v>12864</v>
      </c>
      <c r="AK222" s="132"/>
      <c r="AL222" s="132"/>
      <c r="AM222" s="132"/>
      <c r="AN222" s="132"/>
      <c r="AO222" s="132">
        <v>14843</v>
      </c>
      <c r="AP222" s="132"/>
      <c r="AQ222" s="132"/>
      <c r="AR222" s="132"/>
      <c r="AS222" s="132"/>
      <c r="AT222" s="132">
        <f t="shared" si="8"/>
        <v>0</v>
      </c>
      <c r="AU222" s="132"/>
      <c r="AV222" s="132"/>
      <c r="AW222" s="132"/>
      <c r="AX222" s="132">
        <v>0</v>
      </c>
      <c r="AY222" s="132"/>
      <c r="AZ222" s="132"/>
      <c r="BA222" s="132"/>
      <c r="BB222" s="132"/>
      <c r="BC222" s="132">
        <v>0</v>
      </c>
      <c r="BD222" s="132"/>
      <c r="BE222" s="132"/>
      <c r="BF222" s="132"/>
      <c r="BG222" s="132"/>
      <c r="BH222" s="132">
        <f t="shared" si="9"/>
        <v>14843</v>
      </c>
      <c r="BI222" s="132"/>
      <c r="BJ222" s="132"/>
      <c r="BK222" s="132"/>
      <c r="BL222" s="132"/>
    </row>
    <row r="223" spans="1:79" s="14" customFormat="1" ht="25.5" customHeight="1" x14ac:dyDescent="0.2">
      <c r="A223" s="124">
        <v>2240</v>
      </c>
      <c r="B223" s="124"/>
      <c r="C223" s="124"/>
      <c r="D223" s="124"/>
      <c r="E223" s="124"/>
      <c r="F223" s="124"/>
      <c r="G223" s="56" t="s">
        <v>132</v>
      </c>
      <c r="H223" s="57"/>
      <c r="I223" s="57"/>
      <c r="J223" s="57"/>
      <c r="K223" s="57"/>
      <c r="L223" s="57"/>
      <c r="M223" s="57"/>
      <c r="N223" s="57"/>
      <c r="O223" s="57"/>
      <c r="P223" s="58"/>
      <c r="Q223" s="132">
        <v>6000</v>
      </c>
      <c r="R223" s="132"/>
      <c r="S223" s="132"/>
      <c r="T223" s="132"/>
      <c r="U223" s="132"/>
      <c r="V223" s="132">
        <v>0</v>
      </c>
      <c r="W223" s="132"/>
      <c r="X223" s="132"/>
      <c r="Y223" s="132"/>
      <c r="Z223" s="132">
        <v>0</v>
      </c>
      <c r="AA223" s="132"/>
      <c r="AB223" s="132"/>
      <c r="AC223" s="132"/>
      <c r="AD223" s="132"/>
      <c r="AE223" s="132">
        <v>0</v>
      </c>
      <c r="AF223" s="132"/>
      <c r="AG223" s="132"/>
      <c r="AH223" s="132"/>
      <c r="AI223" s="132"/>
      <c r="AJ223" s="132">
        <f t="shared" si="7"/>
        <v>6000</v>
      </c>
      <c r="AK223" s="132"/>
      <c r="AL223" s="132"/>
      <c r="AM223" s="132"/>
      <c r="AN223" s="132"/>
      <c r="AO223" s="132">
        <v>6500</v>
      </c>
      <c r="AP223" s="132"/>
      <c r="AQ223" s="132"/>
      <c r="AR223" s="132"/>
      <c r="AS223" s="132"/>
      <c r="AT223" s="132">
        <f t="shared" si="8"/>
        <v>0</v>
      </c>
      <c r="AU223" s="132"/>
      <c r="AV223" s="132"/>
      <c r="AW223" s="132"/>
      <c r="AX223" s="132">
        <v>0</v>
      </c>
      <c r="AY223" s="132"/>
      <c r="AZ223" s="132"/>
      <c r="BA223" s="132"/>
      <c r="BB223" s="132"/>
      <c r="BC223" s="132">
        <v>0</v>
      </c>
      <c r="BD223" s="132"/>
      <c r="BE223" s="132"/>
      <c r="BF223" s="132"/>
      <c r="BG223" s="132"/>
      <c r="BH223" s="132">
        <f t="shared" si="9"/>
        <v>6500</v>
      </c>
      <c r="BI223" s="132"/>
      <c r="BJ223" s="132"/>
      <c r="BK223" s="132"/>
      <c r="BL223" s="132"/>
    </row>
    <row r="224" spans="1:79" s="14" customFormat="1" ht="12.75" customHeight="1" x14ac:dyDescent="0.2">
      <c r="A224" s="124">
        <v>2250</v>
      </c>
      <c r="B224" s="124"/>
      <c r="C224" s="124"/>
      <c r="D224" s="124"/>
      <c r="E224" s="124"/>
      <c r="F224" s="124"/>
      <c r="G224" s="56" t="s">
        <v>133</v>
      </c>
      <c r="H224" s="57"/>
      <c r="I224" s="57"/>
      <c r="J224" s="57"/>
      <c r="K224" s="57"/>
      <c r="L224" s="57"/>
      <c r="M224" s="57"/>
      <c r="N224" s="57"/>
      <c r="O224" s="57"/>
      <c r="P224" s="58"/>
      <c r="Q224" s="132">
        <v>6800</v>
      </c>
      <c r="R224" s="132"/>
      <c r="S224" s="132"/>
      <c r="T224" s="132"/>
      <c r="U224" s="132"/>
      <c r="V224" s="132">
        <v>0</v>
      </c>
      <c r="W224" s="132"/>
      <c r="X224" s="132"/>
      <c r="Y224" s="132"/>
      <c r="Z224" s="132">
        <v>0</v>
      </c>
      <c r="AA224" s="132"/>
      <c r="AB224" s="132"/>
      <c r="AC224" s="132"/>
      <c r="AD224" s="132"/>
      <c r="AE224" s="132">
        <v>0</v>
      </c>
      <c r="AF224" s="132"/>
      <c r="AG224" s="132"/>
      <c r="AH224" s="132"/>
      <c r="AI224" s="132"/>
      <c r="AJ224" s="132">
        <f t="shared" si="7"/>
        <v>6800</v>
      </c>
      <c r="AK224" s="132"/>
      <c r="AL224" s="132"/>
      <c r="AM224" s="132"/>
      <c r="AN224" s="132"/>
      <c r="AO224" s="132">
        <v>36120</v>
      </c>
      <c r="AP224" s="132"/>
      <c r="AQ224" s="132"/>
      <c r="AR224" s="132"/>
      <c r="AS224" s="132"/>
      <c r="AT224" s="132">
        <f t="shared" si="8"/>
        <v>0</v>
      </c>
      <c r="AU224" s="132"/>
      <c r="AV224" s="132"/>
      <c r="AW224" s="132"/>
      <c r="AX224" s="132">
        <v>0</v>
      </c>
      <c r="AY224" s="132"/>
      <c r="AZ224" s="132"/>
      <c r="BA224" s="132"/>
      <c r="BB224" s="132"/>
      <c r="BC224" s="132">
        <v>0</v>
      </c>
      <c r="BD224" s="132"/>
      <c r="BE224" s="132"/>
      <c r="BF224" s="132"/>
      <c r="BG224" s="132"/>
      <c r="BH224" s="132">
        <f t="shared" si="9"/>
        <v>36120</v>
      </c>
      <c r="BI224" s="132"/>
      <c r="BJ224" s="132"/>
      <c r="BK224" s="132"/>
      <c r="BL224" s="132"/>
    </row>
    <row r="225" spans="1:79" s="3" customFormat="1" ht="12.75" customHeight="1" x14ac:dyDescent="0.2">
      <c r="A225" s="125"/>
      <c r="B225" s="125"/>
      <c r="C225" s="125"/>
      <c r="D225" s="125"/>
      <c r="E225" s="125"/>
      <c r="F225" s="125"/>
      <c r="G225" s="44" t="s">
        <v>18</v>
      </c>
      <c r="H225" s="19"/>
      <c r="I225" s="19"/>
      <c r="J225" s="19"/>
      <c r="K225" s="19"/>
      <c r="L225" s="19"/>
      <c r="M225" s="19"/>
      <c r="N225" s="19"/>
      <c r="O225" s="19"/>
      <c r="P225" s="20"/>
      <c r="Q225" s="131">
        <v>1172257</v>
      </c>
      <c r="R225" s="131"/>
      <c r="S225" s="131"/>
      <c r="T225" s="131"/>
      <c r="U225" s="131"/>
      <c r="V225" s="131">
        <v>0</v>
      </c>
      <c r="W225" s="131"/>
      <c r="X225" s="131"/>
      <c r="Y225" s="131"/>
      <c r="Z225" s="131">
        <v>0</v>
      </c>
      <c r="AA225" s="131"/>
      <c r="AB225" s="131"/>
      <c r="AC225" s="131"/>
      <c r="AD225" s="131"/>
      <c r="AE225" s="131">
        <v>0</v>
      </c>
      <c r="AF225" s="131"/>
      <c r="AG225" s="131"/>
      <c r="AH225" s="131"/>
      <c r="AI225" s="131"/>
      <c r="AJ225" s="131">
        <f t="shared" si="7"/>
        <v>1172257</v>
      </c>
      <c r="AK225" s="131"/>
      <c r="AL225" s="131"/>
      <c r="AM225" s="131"/>
      <c r="AN225" s="131"/>
      <c r="AO225" s="131">
        <v>1710563</v>
      </c>
      <c r="AP225" s="131"/>
      <c r="AQ225" s="131"/>
      <c r="AR225" s="131"/>
      <c r="AS225" s="131"/>
      <c r="AT225" s="131">
        <f t="shared" si="8"/>
        <v>0</v>
      </c>
      <c r="AU225" s="131"/>
      <c r="AV225" s="131"/>
      <c r="AW225" s="131"/>
      <c r="AX225" s="131">
        <v>0</v>
      </c>
      <c r="AY225" s="131"/>
      <c r="AZ225" s="131"/>
      <c r="BA225" s="131"/>
      <c r="BB225" s="131"/>
      <c r="BC225" s="131">
        <v>0</v>
      </c>
      <c r="BD225" s="131"/>
      <c r="BE225" s="131"/>
      <c r="BF225" s="131"/>
      <c r="BG225" s="131"/>
      <c r="BH225" s="131">
        <f t="shared" si="9"/>
        <v>1710563</v>
      </c>
      <c r="BI225" s="131"/>
      <c r="BJ225" s="131"/>
      <c r="BK225" s="131"/>
      <c r="BL225" s="131"/>
    </row>
    <row r="227" spans="1:79" ht="14.25" customHeight="1" x14ac:dyDescent="0.2">
      <c r="A227" s="77" t="s">
        <v>289</v>
      </c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</row>
    <row r="228" spans="1:79" ht="15" customHeight="1" x14ac:dyDescent="0.2">
      <c r="A228" s="30" t="s">
        <v>55</v>
      </c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</row>
    <row r="229" spans="1:79" ht="42.95" customHeight="1" x14ac:dyDescent="0.2">
      <c r="A229" s="120" t="s">
        <v>255</v>
      </c>
      <c r="B229" s="120"/>
      <c r="C229" s="120"/>
      <c r="D229" s="120"/>
      <c r="E229" s="120"/>
      <c r="F229" s="120"/>
      <c r="G229" s="41" t="s">
        <v>90</v>
      </c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 t="s">
        <v>256</v>
      </c>
      <c r="U229" s="41"/>
      <c r="V229" s="41"/>
      <c r="W229" s="41"/>
      <c r="X229" s="41"/>
      <c r="Y229" s="41"/>
      <c r="Z229" s="41" t="s">
        <v>257</v>
      </c>
      <c r="AA229" s="41"/>
      <c r="AB229" s="41"/>
      <c r="AC229" s="41"/>
      <c r="AD229" s="41"/>
      <c r="AE229" s="41" t="s">
        <v>290</v>
      </c>
      <c r="AF229" s="41"/>
      <c r="AG229" s="41"/>
      <c r="AH229" s="41"/>
      <c r="AI229" s="41"/>
      <c r="AJ229" s="41"/>
      <c r="AK229" s="41" t="s">
        <v>291</v>
      </c>
      <c r="AL229" s="41"/>
      <c r="AM229" s="41"/>
      <c r="AN229" s="41"/>
      <c r="AO229" s="41"/>
      <c r="AP229" s="41"/>
      <c r="AQ229" s="41" t="s">
        <v>292</v>
      </c>
      <c r="AR229" s="41"/>
      <c r="AS229" s="41"/>
      <c r="AT229" s="41"/>
      <c r="AU229" s="41"/>
      <c r="AV229" s="41"/>
      <c r="AW229" s="41" t="s">
        <v>293</v>
      </c>
      <c r="AX229" s="41"/>
      <c r="AY229" s="41"/>
      <c r="AZ229" s="41"/>
      <c r="BA229" s="41"/>
      <c r="BB229" s="41"/>
      <c r="BC229" s="41"/>
      <c r="BD229" s="41"/>
      <c r="BE229" s="41" t="s">
        <v>294</v>
      </c>
      <c r="BF229" s="41"/>
      <c r="BG229" s="41"/>
      <c r="BH229" s="41"/>
      <c r="BI229" s="41"/>
      <c r="BJ229" s="41"/>
      <c r="BK229" s="41"/>
      <c r="BL229" s="41"/>
    </row>
    <row r="230" spans="1:79" ht="21.75" customHeight="1" x14ac:dyDescent="0.2">
      <c r="A230" s="120"/>
      <c r="B230" s="120"/>
      <c r="C230" s="120"/>
      <c r="D230" s="120"/>
      <c r="E230" s="120"/>
      <c r="F230" s="120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</row>
    <row r="231" spans="1:79" ht="15" customHeight="1" x14ac:dyDescent="0.2">
      <c r="A231" s="41">
        <v>1</v>
      </c>
      <c r="B231" s="41"/>
      <c r="C231" s="41"/>
      <c r="D231" s="41"/>
      <c r="E231" s="41"/>
      <c r="F231" s="41"/>
      <c r="G231" s="41">
        <v>2</v>
      </c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>
        <v>3</v>
      </c>
      <c r="U231" s="41"/>
      <c r="V231" s="41"/>
      <c r="W231" s="41"/>
      <c r="X231" s="41"/>
      <c r="Y231" s="41"/>
      <c r="Z231" s="41">
        <v>4</v>
      </c>
      <c r="AA231" s="41"/>
      <c r="AB231" s="41"/>
      <c r="AC231" s="41"/>
      <c r="AD231" s="41"/>
      <c r="AE231" s="41">
        <v>5</v>
      </c>
      <c r="AF231" s="41"/>
      <c r="AG231" s="41"/>
      <c r="AH231" s="41"/>
      <c r="AI231" s="41"/>
      <c r="AJ231" s="41"/>
      <c r="AK231" s="41">
        <v>6</v>
      </c>
      <c r="AL231" s="41"/>
      <c r="AM231" s="41"/>
      <c r="AN231" s="41"/>
      <c r="AO231" s="41"/>
      <c r="AP231" s="41"/>
      <c r="AQ231" s="41">
        <v>7</v>
      </c>
      <c r="AR231" s="41"/>
      <c r="AS231" s="41"/>
      <c r="AT231" s="41"/>
      <c r="AU231" s="41"/>
      <c r="AV231" s="41"/>
      <c r="AW231" s="17">
        <v>8</v>
      </c>
      <c r="AX231" s="17"/>
      <c r="AY231" s="17"/>
      <c r="AZ231" s="17"/>
      <c r="BA231" s="17"/>
      <c r="BB231" s="17"/>
      <c r="BC231" s="17"/>
      <c r="BD231" s="17"/>
      <c r="BE231" s="17">
        <v>9</v>
      </c>
      <c r="BF231" s="17"/>
      <c r="BG231" s="17"/>
      <c r="BH231" s="17"/>
      <c r="BI231" s="17"/>
      <c r="BJ231" s="17"/>
      <c r="BK231" s="17"/>
      <c r="BL231" s="17"/>
    </row>
    <row r="232" spans="1:79" s="71" customFormat="1" ht="18.75" hidden="1" customHeight="1" x14ac:dyDescent="0.2">
      <c r="A232" s="17" t="s">
        <v>126</v>
      </c>
      <c r="B232" s="17"/>
      <c r="C232" s="17"/>
      <c r="D232" s="17"/>
      <c r="E232" s="17"/>
      <c r="F232" s="17"/>
      <c r="G232" s="138" t="s">
        <v>98</v>
      </c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27" t="s">
        <v>265</v>
      </c>
      <c r="U232" s="27"/>
      <c r="V232" s="27"/>
      <c r="W232" s="27"/>
      <c r="X232" s="27"/>
      <c r="Y232" s="27"/>
      <c r="Z232" s="27" t="s">
        <v>266</v>
      </c>
      <c r="AA232" s="27"/>
      <c r="AB232" s="27"/>
      <c r="AC232" s="27"/>
      <c r="AD232" s="27"/>
      <c r="AE232" s="27" t="s">
        <v>267</v>
      </c>
      <c r="AF232" s="27"/>
      <c r="AG232" s="27"/>
      <c r="AH232" s="27"/>
      <c r="AI232" s="27"/>
      <c r="AJ232" s="27"/>
      <c r="AK232" s="27" t="s">
        <v>268</v>
      </c>
      <c r="AL232" s="27"/>
      <c r="AM232" s="27"/>
      <c r="AN232" s="27"/>
      <c r="AO232" s="27"/>
      <c r="AP232" s="27"/>
      <c r="AQ232" s="27" t="s">
        <v>270</v>
      </c>
      <c r="AR232" s="27"/>
      <c r="AS232" s="27"/>
      <c r="AT232" s="27"/>
      <c r="AU232" s="27"/>
      <c r="AV232" s="27"/>
      <c r="AW232" s="138" t="s">
        <v>295</v>
      </c>
      <c r="AX232" s="138"/>
      <c r="AY232" s="138"/>
      <c r="AZ232" s="138"/>
      <c r="BA232" s="138"/>
      <c r="BB232" s="138"/>
      <c r="BC232" s="138"/>
      <c r="BD232" s="138"/>
      <c r="BE232" s="138" t="s">
        <v>296</v>
      </c>
      <c r="BF232" s="138"/>
      <c r="BG232" s="138"/>
      <c r="BH232" s="138"/>
      <c r="BI232" s="138"/>
      <c r="BJ232" s="138"/>
      <c r="BK232" s="138"/>
      <c r="BL232" s="138"/>
      <c r="CA232" s="71" t="s">
        <v>297</v>
      </c>
    </row>
    <row r="233" spans="1:79" s="14" customFormat="1" ht="12.75" customHeight="1" x14ac:dyDescent="0.2">
      <c r="A233" s="124">
        <v>2111</v>
      </c>
      <c r="B233" s="124"/>
      <c r="C233" s="124"/>
      <c r="D233" s="124"/>
      <c r="E233" s="124"/>
      <c r="F233" s="124"/>
      <c r="G233" s="56" t="s">
        <v>128</v>
      </c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8"/>
      <c r="T233" s="132">
        <v>489900</v>
      </c>
      <c r="U233" s="132"/>
      <c r="V233" s="132"/>
      <c r="W233" s="132"/>
      <c r="X233" s="132"/>
      <c r="Y233" s="132"/>
      <c r="Z233" s="132">
        <v>487025</v>
      </c>
      <c r="AA233" s="132"/>
      <c r="AB233" s="132"/>
      <c r="AC233" s="132"/>
      <c r="AD233" s="132"/>
      <c r="AE233" s="132">
        <v>0</v>
      </c>
      <c r="AF233" s="132"/>
      <c r="AG233" s="132"/>
      <c r="AH233" s="132"/>
      <c r="AI233" s="132"/>
      <c r="AJ233" s="132"/>
      <c r="AK233" s="132">
        <v>0</v>
      </c>
      <c r="AL233" s="132"/>
      <c r="AM233" s="132"/>
      <c r="AN233" s="132"/>
      <c r="AO233" s="132"/>
      <c r="AP233" s="132"/>
      <c r="AQ233" s="132">
        <v>0</v>
      </c>
      <c r="AR233" s="132"/>
      <c r="AS233" s="132"/>
      <c r="AT233" s="132"/>
      <c r="AU233" s="132"/>
      <c r="AV233" s="132"/>
      <c r="AW233" s="145"/>
      <c r="AX233" s="145"/>
      <c r="AY233" s="145"/>
      <c r="AZ233" s="145"/>
      <c r="BA233" s="145"/>
      <c r="BB233" s="145"/>
      <c r="BC233" s="145"/>
      <c r="BD233" s="145"/>
      <c r="BE233" s="145"/>
      <c r="BF233" s="145"/>
      <c r="BG233" s="145"/>
      <c r="BH233" s="145"/>
      <c r="BI233" s="145"/>
      <c r="BJ233" s="145"/>
      <c r="BK233" s="145"/>
      <c r="BL233" s="145"/>
      <c r="CA233" s="14" t="s">
        <v>298</v>
      </c>
    </row>
    <row r="234" spans="1:79" s="14" customFormat="1" ht="12.75" customHeight="1" x14ac:dyDescent="0.2">
      <c r="A234" s="124">
        <v>2120</v>
      </c>
      <c r="B234" s="124"/>
      <c r="C234" s="124"/>
      <c r="D234" s="124"/>
      <c r="E234" s="124"/>
      <c r="F234" s="124"/>
      <c r="G234" s="56" t="s">
        <v>130</v>
      </c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8"/>
      <c r="T234" s="132">
        <v>107978</v>
      </c>
      <c r="U234" s="132"/>
      <c r="V234" s="132"/>
      <c r="W234" s="132"/>
      <c r="X234" s="132"/>
      <c r="Y234" s="132"/>
      <c r="Z234" s="132">
        <v>107145</v>
      </c>
      <c r="AA234" s="132"/>
      <c r="AB234" s="132"/>
      <c r="AC234" s="132"/>
      <c r="AD234" s="132"/>
      <c r="AE234" s="132">
        <v>0</v>
      </c>
      <c r="AF234" s="132"/>
      <c r="AG234" s="132"/>
      <c r="AH234" s="132"/>
      <c r="AI234" s="132"/>
      <c r="AJ234" s="132"/>
      <c r="AK234" s="132">
        <v>0</v>
      </c>
      <c r="AL234" s="132"/>
      <c r="AM234" s="132"/>
      <c r="AN234" s="132"/>
      <c r="AO234" s="132"/>
      <c r="AP234" s="132"/>
      <c r="AQ234" s="132">
        <v>0</v>
      </c>
      <c r="AR234" s="132"/>
      <c r="AS234" s="132"/>
      <c r="AT234" s="132"/>
      <c r="AU234" s="132"/>
      <c r="AV234" s="132"/>
      <c r="AW234" s="145"/>
      <c r="AX234" s="145"/>
      <c r="AY234" s="145"/>
      <c r="AZ234" s="145"/>
      <c r="BA234" s="145"/>
      <c r="BB234" s="145"/>
      <c r="BC234" s="145"/>
      <c r="BD234" s="145"/>
      <c r="BE234" s="145"/>
      <c r="BF234" s="145"/>
      <c r="BG234" s="145"/>
      <c r="BH234" s="145"/>
      <c r="BI234" s="145"/>
      <c r="BJ234" s="145"/>
      <c r="BK234" s="145"/>
      <c r="BL234" s="145"/>
    </row>
    <row r="235" spans="1:79" s="14" customFormat="1" ht="25.5" customHeight="1" x14ac:dyDescent="0.2">
      <c r="A235" s="124">
        <v>2210</v>
      </c>
      <c r="B235" s="124"/>
      <c r="C235" s="124"/>
      <c r="D235" s="124"/>
      <c r="E235" s="124"/>
      <c r="F235" s="124"/>
      <c r="G235" s="56" t="s">
        <v>131</v>
      </c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8"/>
      <c r="T235" s="132">
        <v>5520</v>
      </c>
      <c r="U235" s="132"/>
      <c r="V235" s="132"/>
      <c r="W235" s="132"/>
      <c r="X235" s="132"/>
      <c r="Y235" s="132"/>
      <c r="Z235" s="132">
        <v>4080</v>
      </c>
      <c r="AA235" s="132"/>
      <c r="AB235" s="132"/>
      <c r="AC235" s="132"/>
      <c r="AD235" s="132"/>
      <c r="AE235" s="132">
        <v>0</v>
      </c>
      <c r="AF235" s="132"/>
      <c r="AG235" s="132"/>
      <c r="AH235" s="132"/>
      <c r="AI235" s="132"/>
      <c r="AJ235" s="132"/>
      <c r="AK235" s="132">
        <v>0</v>
      </c>
      <c r="AL235" s="132"/>
      <c r="AM235" s="132"/>
      <c r="AN235" s="132"/>
      <c r="AO235" s="132"/>
      <c r="AP235" s="132"/>
      <c r="AQ235" s="132">
        <v>0</v>
      </c>
      <c r="AR235" s="132"/>
      <c r="AS235" s="132"/>
      <c r="AT235" s="132"/>
      <c r="AU235" s="132"/>
      <c r="AV235" s="132"/>
      <c r="AW235" s="145"/>
      <c r="AX235" s="145"/>
      <c r="AY235" s="145"/>
      <c r="AZ235" s="145"/>
      <c r="BA235" s="145"/>
      <c r="BB235" s="145"/>
      <c r="BC235" s="145"/>
      <c r="BD235" s="145"/>
      <c r="BE235" s="145"/>
      <c r="BF235" s="145"/>
      <c r="BG235" s="145"/>
      <c r="BH235" s="145"/>
      <c r="BI235" s="145"/>
      <c r="BJ235" s="145"/>
      <c r="BK235" s="145"/>
      <c r="BL235" s="145"/>
    </row>
    <row r="236" spans="1:79" s="14" customFormat="1" ht="12.75" customHeight="1" x14ac:dyDescent="0.2">
      <c r="A236" s="124">
        <v>2240</v>
      </c>
      <c r="B236" s="124"/>
      <c r="C236" s="124"/>
      <c r="D236" s="124"/>
      <c r="E236" s="124"/>
      <c r="F236" s="124"/>
      <c r="G236" s="56" t="s">
        <v>132</v>
      </c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8"/>
      <c r="T236" s="132">
        <v>5220</v>
      </c>
      <c r="U236" s="132"/>
      <c r="V236" s="132"/>
      <c r="W236" s="132"/>
      <c r="X236" s="132"/>
      <c r="Y236" s="132"/>
      <c r="Z236" s="132">
        <v>5122</v>
      </c>
      <c r="AA236" s="132"/>
      <c r="AB236" s="132"/>
      <c r="AC236" s="132"/>
      <c r="AD236" s="132"/>
      <c r="AE236" s="132">
        <v>0</v>
      </c>
      <c r="AF236" s="132"/>
      <c r="AG236" s="132"/>
      <c r="AH236" s="132"/>
      <c r="AI236" s="132"/>
      <c r="AJ236" s="132"/>
      <c r="AK236" s="132">
        <v>0</v>
      </c>
      <c r="AL236" s="132"/>
      <c r="AM236" s="132"/>
      <c r="AN236" s="132"/>
      <c r="AO236" s="132"/>
      <c r="AP236" s="132"/>
      <c r="AQ236" s="132">
        <v>0</v>
      </c>
      <c r="AR236" s="132"/>
      <c r="AS236" s="132"/>
      <c r="AT236" s="132"/>
      <c r="AU236" s="132"/>
      <c r="AV236" s="132"/>
      <c r="AW236" s="145"/>
      <c r="AX236" s="145"/>
      <c r="AY236" s="145"/>
      <c r="AZ236" s="145"/>
      <c r="BA236" s="145"/>
      <c r="BB236" s="145"/>
      <c r="BC236" s="145"/>
      <c r="BD236" s="145"/>
      <c r="BE236" s="145"/>
      <c r="BF236" s="145"/>
      <c r="BG236" s="145"/>
      <c r="BH236" s="145"/>
      <c r="BI236" s="145"/>
      <c r="BJ236" s="145"/>
      <c r="BK236" s="145"/>
      <c r="BL236" s="145"/>
    </row>
    <row r="237" spans="1:79" s="14" customFormat="1" ht="12.75" customHeight="1" x14ac:dyDescent="0.2">
      <c r="A237" s="124">
        <v>2250</v>
      </c>
      <c r="B237" s="124"/>
      <c r="C237" s="124"/>
      <c r="D237" s="124"/>
      <c r="E237" s="124"/>
      <c r="F237" s="124"/>
      <c r="G237" s="56" t="s">
        <v>133</v>
      </c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8"/>
      <c r="T237" s="132">
        <v>4000</v>
      </c>
      <c r="U237" s="132"/>
      <c r="V237" s="132"/>
      <c r="W237" s="132"/>
      <c r="X237" s="132"/>
      <c r="Y237" s="132"/>
      <c r="Z237" s="132">
        <v>0</v>
      </c>
      <c r="AA237" s="132"/>
      <c r="AB237" s="132"/>
      <c r="AC237" s="132"/>
      <c r="AD237" s="132"/>
      <c r="AE237" s="132">
        <v>0</v>
      </c>
      <c r="AF237" s="132"/>
      <c r="AG237" s="132"/>
      <c r="AH237" s="132"/>
      <c r="AI237" s="132"/>
      <c r="AJ237" s="132"/>
      <c r="AK237" s="132">
        <v>0</v>
      </c>
      <c r="AL237" s="132"/>
      <c r="AM237" s="132"/>
      <c r="AN237" s="132"/>
      <c r="AO237" s="132"/>
      <c r="AP237" s="132"/>
      <c r="AQ237" s="132">
        <v>0</v>
      </c>
      <c r="AR237" s="132"/>
      <c r="AS237" s="132"/>
      <c r="AT237" s="132"/>
      <c r="AU237" s="132"/>
      <c r="AV237" s="132"/>
      <c r="AW237" s="145"/>
      <c r="AX237" s="145"/>
      <c r="AY237" s="145"/>
      <c r="AZ237" s="145"/>
      <c r="BA237" s="145"/>
      <c r="BB237" s="145"/>
      <c r="BC237" s="145"/>
      <c r="BD237" s="145"/>
      <c r="BE237" s="145"/>
      <c r="BF237" s="145"/>
      <c r="BG237" s="145"/>
      <c r="BH237" s="145"/>
      <c r="BI237" s="145"/>
      <c r="BJ237" s="145"/>
      <c r="BK237" s="145"/>
      <c r="BL237" s="145"/>
    </row>
    <row r="238" spans="1:79" s="3" customFormat="1" ht="12.75" customHeight="1" x14ac:dyDescent="0.2">
      <c r="A238" s="125"/>
      <c r="B238" s="125"/>
      <c r="C238" s="125"/>
      <c r="D238" s="125"/>
      <c r="E238" s="125"/>
      <c r="F238" s="125"/>
      <c r="G238" s="44" t="s">
        <v>18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20"/>
      <c r="T238" s="131">
        <v>612618</v>
      </c>
      <c r="U238" s="131"/>
      <c r="V238" s="131"/>
      <c r="W238" s="131"/>
      <c r="X238" s="131"/>
      <c r="Y238" s="131"/>
      <c r="Z238" s="131">
        <v>603372</v>
      </c>
      <c r="AA238" s="131"/>
      <c r="AB238" s="131"/>
      <c r="AC238" s="131"/>
      <c r="AD238" s="131"/>
      <c r="AE238" s="131">
        <v>0</v>
      </c>
      <c r="AF238" s="131"/>
      <c r="AG238" s="131"/>
      <c r="AH238" s="131"/>
      <c r="AI238" s="131"/>
      <c r="AJ238" s="131"/>
      <c r="AK238" s="131">
        <v>0</v>
      </c>
      <c r="AL238" s="131"/>
      <c r="AM238" s="131"/>
      <c r="AN238" s="131"/>
      <c r="AO238" s="131"/>
      <c r="AP238" s="131"/>
      <c r="AQ238" s="131">
        <v>0</v>
      </c>
      <c r="AR238" s="131"/>
      <c r="AS238" s="131"/>
      <c r="AT238" s="131"/>
      <c r="AU238" s="131"/>
      <c r="AV238" s="131"/>
      <c r="AW238" s="139"/>
      <c r="AX238" s="139"/>
      <c r="AY238" s="139"/>
      <c r="AZ238" s="139"/>
      <c r="BA238" s="139"/>
      <c r="BB238" s="139"/>
      <c r="BC238" s="139"/>
      <c r="BD238" s="139"/>
      <c r="BE238" s="139"/>
      <c r="BF238" s="139"/>
      <c r="BG238" s="139"/>
      <c r="BH238" s="139"/>
      <c r="BI238" s="139"/>
      <c r="BJ238" s="139"/>
      <c r="BK238" s="139"/>
      <c r="BL238" s="139"/>
    </row>
    <row r="240" spans="1:79" ht="14.25" customHeight="1" x14ac:dyDescent="0.2">
      <c r="A240" s="77" t="s">
        <v>299</v>
      </c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</row>
    <row r="241" spans="1:64" ht="60" customHeight="1" x14ac:dyDescent="0.2">
      <c r="A241" s="33" t="s">
        <v>300</v>
      </c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spans="1:64" ht="15" customHeight="1" x14ac:dyDescent="0.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</row>
    <row r="244" spans="1:64" ht="14.25" x14ac:dyDescent="0.2">
      <c r="A244" s="77" t="s">
        <v>301</v>
      </c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</row>
    <row r="245" spans="1:64" ht="14.25" x14ac:dyDescent="0.2">
      <c r="A245" s="77" t="s">
        <v>302</v>
      </c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</row>
    <row r="246" spans="1:64" ht="15" customHeight="1" x14ac:dyDescent="0.2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  <c r="AW246" s="146"/>
      <c r="AX246" s="146"/>
      <c r="AY246" s="146"/>
      <c r="AZ246" s="146"/>
      <c r="BA246" s="146"/>
      <c r="BB246" s="146"/>
      <c r="BC246" s="146"/>
      <c r="BD246" s="146"/>
      <c r="BE246" s="146"/>
      <c r="BF246" s="146"/>
      <c r="BG246" s="146"/>
      <c r="BH246" s="146"/>
      <c r="BI246" s="146"/>
      <c r="BJ246" s="146"/>
      <c r="BK246" s="146"/>
      <c r="BL246" s="146"/>
    </row>
    <row r="247" spans="1:64" ht="15" customHeight="1" x14ac:dyDescent="0.2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</row>
    <row r="250" spans="1:64" ht="29.25" customHeight="1" x14ac:dyDescent="0.2">
      <c r="A250" s="24" t="s">
        <v>303</v>
      </c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10"/>
      <c r="AC250" s="10"/>
      <c r="AD250" s="10"/>
      <c r="AE250" s="10"/>
      <c r="AF250" s="10"/>
      <c r="AG250" s="10"/>
      <c r="AH250" s="54"/>
      <c r="AI250" s="54"/>
      <c r="AJ250" s="54"/>
      <c r="AK250" s="54"/>
      <c r="AL250" s="54"/>
      <c r="AM250" s="54"/>
      <c r="AN250" s="54"/>
      <c r="AO250" s="54"/>
      <c r="AP250" s="54"/>
      <c r="AQ250" s="10"/>
      <c r="AR250" s="10"/>
      <c r="AS250" s="10"/>
      <c r="AT250" s="10"/>
      <c r="AU250" s="26" t="s">
        <v>304</v>
      </c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</row>
    <row r="251" spans="1:64" ht="12.75" customHeight="1" x14ac:dyDescent="0.2">
      <c r="AB251" s="11"/>
      <c r="AC251" s="11"/>
      <c r="AD251" s="11"/>
      <c r="AE251" s="11"/>
      <c r="AF251" s="11"/>
      <c r="AG251" s="11"/>
      <c r="AH251" s="16" t="s">
        <v>2</v>
      </c>
      <c r="AI251" s="16"/>
      <c r="AJ251" s="16"/>
      <c r="AK251" s="16"/>
      <c r="AL251" s="16"/>
      <c r="AM251" s="16"/>
      <c r="AN251" s="16"/>
      <c r="AO251" s="16"/>
      <c r="AP251" s="16"/>
      <c r="AQ251" s="11"/>
      <c r="AR251" s="11"/>
      <c r="AS251" s="11"/>
      <c r="AT251" s="11"/>
      <c r="AU251" s="16" t="s">
        <v>305</v>
      </c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</row>
    <row r="252" spans="1:64" ht="15" x14ac:dyDescent="0.2">
      <c r="AB252" s="11"/>
      <c r="AC252" s="11"/>
      <c r="AD252" s="11"/>
      <c r="AE252" s="11"/>
      <c r="AF252" s="11"/>
      <c r="AG252" s="11"/>
      <c r="AH252" s="12"/>
      <c r="AI252" s="12"/>
      <c r="AJ252" s="12"/>
      <c r="AK252" s="12"/>
      <c r="AL252" s="12"/>
      <c r="AM252" s="12"/>
      <c r="AN252" s="12"/>
      <c r="AO252" s="12"/>
      <c r="AP252" s="12"/>
      <c r="AQ252" s="11"/>
      <c r="AR252" s="11"/>
      <c r="AS252" s="11"/>
      <c r="AT252" s="11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</row>
    <row r="253" spans="1:64" ht="27.75" customHeight="1" x14ac:dyDescent="0.2">
      <c r="A253" s="24" t="s">
        <v>65</v>
      </c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11"/>
      <c r="AC253" s="11"/>
      <c r="AD253" s="11"/>
      <c r="AE253" s="11"/>
      <c r="AF253" s="11"/>
      <c r="AG253" s="11"/>
      <c r="AH253" s="55"/>
      <c r="AI253" s="55"/>
      <c r="AJ253" s="55"/>
      <c r="AK253" s="55"/>
      <c r="AL253" s="55"/>
      <c r="AM253" s="55"/>
      <c r="AN253" s="55"/>
      <c r="AO253" s="55"/>
      <c r="AP253" s="55"/>
      <c r="AQ253" s="11"/>
      <c r="AR253" s="11"/>
      <c r="AS253" s="11"/>
      <c r="AT253" s="11"/>
      <c r="AU253" s="22" t="s">
        <v>306</v>
      </c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</row>
    <row r="254" spans="1:64" ht="12" customHeight="1" x14ac:dyDescent="0.2">
      <c r="AB254" s="11"/>
      <c r="AC254" s="11"/>
      <c r="AD254" s="11"/>
      <c r="AE254" s="11"/>
      <c r="AF254" s="11"/>
      <c r="AG254" s="11"/>
      <c r="AH254" s="16" t="s">
        <v>2</v>
      </c>
      <c r="AI254" s="16"/>
      <c r="AJ254" s="16"/>
      <c r="AK254" s="16"/>
      <c r="AL254" s="16"/>
      <c r="AM254" s="16"/>
      <c r="AN254" s="16"/>
      <c r="AO254" s="16"/>
      <c r="AP254" s="16"/>
      <c r="AQ254" s="11"/>
      <c r="AR254" s="11"/>
      <c r="AS254" s="11"/>
      <c r="AT254" s="11"/>
      <c r="AU254" s="16" t="s">
        <v>305</v>
      </c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</row>
  </sheetData>
  <mergeCells count="1639">
    <mergeCell ref="AH254:AP254"/>
    <mergeCell ref="AU254:BF254"/>
    <mergeCell ref="A250:AA250"/>
    <mergeCell ref="AH250:AP250"/>
    <mergeCell ref="AU250:BF250"/>
    <mergeCell ref="AH251:AP251"/>
    <mergeCell ref="AU251:BF251"/>
    <mergeCell ref="A253:AA253"/>
    <mergeCell ref="AH253:AP253"/>
    <mergeCell ref="AU253:BF253"/>
    <mergeCell ref="BE238:BL238"/>
    <mergeCell ref="A240:BL240"/>
    <mergeCell ref="A241:BL241"/>
    <mergeCell ref="A244:BL244"/>
    <mergeCell ref="A245:BL245"/>
    <mergeCell ref="A246:BL246"/>
    <mergeCell ref="AW237:BD237"/>
    <mergeCell ref="BE237:BL237"/>
    <mergeCell ref="A238:F238"/>
    <mergeCell ref="G238:S238"/>
    <mergeCell ref="T238:Y238"/>
    <mergeCell ref="Z238:AD238"/>
    <mergeCell ref="AE238:AJ238"/>
    <mergeCell ref="AK238:AP238"/>
    <mergeCell ref="AQ238:AV238"/>
    <mergeCell ref="AW238:BD238"/>
    <mergeCell ref="AQ236:AV236"/>
    <mergeCell ref="AW236:BD236"/>
    <mergeCell ref="BE236:BL236"/>
    <mergeCell ref="A237:F237"/>
    <mergeCell ref="G237:S237"/>
    <mergeCell ref="T237:Y237"/>
    <mergeCell ref="Z237:AD237"/>
    <mergeCell ref="AE237:AJ237"/>
    <mergeCell ref="AK237:AP237"/>
    <mergeCell ref="AQ237:AV237"/>
    <mergeCell ref="A236:F236"/>
    <mergeCell ref="G236:S236"/>
    <mergeCell ref="T236:Y236"/>
    <mergeCell ref="Z236:AD236"/>
    <mergeCell ref="AE236:AJ236"/>
    <mergeCell ref="AK236:AP236"/>
    <mergeCell ref="BE234:BL234"/>
    <mergeCell ref="A235:F235"/>
    <mergeCell ref="G235:S235"/>
    <mergeCell ref="T235:Y235"/>
    <mergeCell ref="Z235:AD235"/>
    <mergeCell ref="AE235:AJ235"/>
    <mergeCell ref="AK235:AP235"/>
    <mergeCell ref="AQ235:AV235"/>
    <mergeCell ref="AW235:BD235"/>
    <mergeCell ref="BE235:BL235"/>
    <mergeCell ref="AW233:BD233"/>
    <mergeCell ref="BE233:BL233"/>
    <mergeCell ref="A234:F234"/>
    <mergeCell ref="G234:S234"/>
    <mergeCell ref="T234:Y234"/>
    <mergeCell ref="Z234:AD234"/>
    <mergeCell ref="AE234:AJ234"/>
    <mergeCell ref="AK234:AP234"/>
    <mergeCell ref="AQ234:AV234"/>
    <mergeCell ref="AW234:BD234"/>
    <mergeCell ref="AQ232:AV232"/>
    <mergeCell ref="AW232:BD232"/>
    <mergeCell ref="BE232:BL232"/>
    <mergeCell ref="A233:F233"/>
    <mergeCell ref="G233:S233"/>
    <mergeCell ref="T233:Y233"/>
    <mergeCell ref="Z233:AD233"/>
    <mergeCell ref="AE233:AJ233"/>
    <mergeCell ref="AK233:AP233"/>
    <mergeCell ref="AQ233:AV233"/>
    <mergeCell ref="A232:F232"/>
    <mergeCell ref="G232:S232"/>
    <mergeCell ref="T232:Y232"/>
    <mergeCell ref="Z232:AD232"/>
    <mergeCell ref="AE232:AJ232"/>
    <mergeCell ref="AK232:AP232"/>
    <mergeCell ref="BE229:BL230"/>
    <mergeCell ref="A231:F231"/>
    <mergeCell ref="G231:S231"/>
    <mergeCell ref="T231:Y231"/>
    <mergeCell ref="Z231:AD231"/>
    <mergeCell ref="AE231:AJ231"/>
    <mergeCell ref="AK231:AP231"/>
    <mergeCell ref="AQ231:AV231"/>
    <mergeCell ref="AW231:BD231"/>
    <mergeCell ref="BE231:BL231"/>
    <mergeCell ref="A227:BL227"/>
    <mergeCell ref="A228:BL228"/>
    <mergeCell ref="A229:F230"/>
    <mergeCell ref="G229:S230"/>
    <mergeCell ref="T229:Y230"/>
    <mergeCell ref="Z229:AD230"/>
    <mergeCell ref="AE229:AJ230"/>
    <mergeCell ref="AK229:AP230"/>
    <mergeCell ref="AQ229:AV230"/>
    <mergeCell ref="AW229:BD230"/>
    <mergeCell ref="AJ225:AN225"/>
    <mergeCell ref="AO225:AS225"/>
    <mergeCell ref="AT225:AW225"/>
    <mergeCell ref="AX225:BB225"/>
    <mergeCell ref="BC225:BG225"/>
    <mergeCell ref="BH225:BL225"/>
    <mergeCell ref="A225:F225"/>
    <mergeCell ref="G225:P225"/>
    <mergeCell ref="Q225:U225"/>
    <mergeCell ref="V225:Y225"/>
    <mergeCell ref="Z225:AD225"/>
    <mergeCell ref="AE225:AI225"/>
    <mergeCell ref="AJ224:AN224"/>
    <mergeCell ref="AO224:AS224"/>
    <mergeCell ref="AT224:AW224"/>
    <mergeCell ref="AX224:BB224"/>
    <mergeCell ref="BC224:BG224"/>
    <mergeCell ref="BH224:BL224"/>
    <mergeCell ref="A224:F224"/>
    <mergeCell ref="G224:P224"/>
    <mergeCell ref="Q224:U224"/>
    <mergeCell ref="V224:Y224"/>
    <mergeCell ref="Z224:AD224"/>
    <mergeCell ref="AE224:AI224"/>
    <mergeCell ref="AJ223:AN223"/>
    <mergeCell ref="AO223:AS223"/>
    <mergeCell ref="AT223:AW223"/>
    <mergeCell ref="AX223:BB223"/>
    <mergeCell ref="BC223:BG223"/>
    <mergeCell ref="BH223:BL223"/>
    <mergeCell ref="A223:F223"/>
    <mergeCell ref="G223:P223"/>
    <mergeCell ref="Q223:U223"/>
    <mergeCell ref="V223:Y223"/>
    <mergeCell ref="Z223:AD223"/>
    <mergeCell ref="AE223:AI223"/>
    <mergeCell ref="AJ222:AN222"/>
    <mergeCell ref="AO222:AS222"/>
    <mergeCell ref="AT222:AW222"/>
    <mergeCell ref="AX222:BB222"/>
    <mergeCell ref="BC222:BG222"/>
    <mergeCell ref="BH222:BL222"/>
    <mergeCell ref="A222:F222"/>
    <mergeCell ref="G222:P222"/>
    <mergeCell ref="Q222:U222"/>
    <mergeCell ref="V222:Y222"/>
    <mergeCell ref="Z222:AD222"/>
    <mergeCell ref="AE222:AI222"/>
    <mergeCell ref="AJ221:AN221"/>
    <mergeCell ref="AO221:AS221"/>
    <mergeCell ref="AT221:AW221"/>
    <mergeCell ref="AX221:BB221"/>
    <mergeCell ref="BC221:BG221"/>
    <mergeCell ref="BH221:BL221"/>
    <mergeCell ref="A221:F221"/>
    <mergeCell ref="G221:P221"/>
    <mergeCell ref="Q221:U221"/>
    <mergeCell ref="V221:Y221"/>
    <mergeCell ref="Z221:AD221"/>
    <mergeCell ref="AE221:AI221"/>
    <mergeCell ref="AJ220:AN220"/>
    <mergeCell ref="AO220:AS220"/>
    <mergeCell ref="AT220:AW220"/>
    <mergeCell ref="AX220:BB220"/>
    <mergeCell ref="BC220:BG220"/>
    <mergeCell ref="BH220:BL220"/>
    <mergeCell ref="A220:F220"/>
    <mergeCell ref="G220:P220"/>
    <mergeCell ref="Q220:U220"/>
    <mergeCell ref="V220:Y220"/>
    <mergeCell ref="Z220:AD220"/>
    <mergeCell ref="AE220:AI220"/>
    <mergeCell ref="AJ219:AN219"/>
    <mergeCell ref="AO219:AS219"/>
    <mergeCell ref="AT219:AW219"/>
    <mergeCell ref="AX219:BB219"/>
    <mergeCell ref="BC219:BG219"/>
    <mergeCell ref="BH219:BL219"/>
    <mergeCell ref="A219:F219"/>
    <mergeCell ref="G219:P219"/>
    <mergeCell ref="Q219:U219"/>
    <mergeCell ref="V219:Y219"/>
    <mergeCell ref="Z219:AD219"/>
    <mergeCell ref="AE219:AI219"/>
    <mergeCell ref="AJ218:AN218"/>
    <mergeCell ref="AO218:AS218"/>
    <mergeCell ref="AT218:AW218"/>
    <mergeCell ref="AX218:BB218"/>
    <mergeCell ref="BC218:BG218"/>
    <mergeCell ref="BH218:BL218"/>
    <mergeCell ref="A218:F218"/>
    <mergeCell ref="G218:P218"/>
    <mergeCell ref="Q218:U218"/>
    <mergeCell ref="V218:Y218"/>
    <mergeCell ref="Z218:AD218"/>
    <mergeCell ref="AE218:AI218"/>
    <mergeCell ref="AT216:AW217"/>
    <mergeCell ref="AX216:BG216"/>
    <mergeCell ref="BH216:BL217"/>
    <mergeCell ref="Z217:AD217"/>
    <mergeCell ref="AE217:AI217"/>
    <mergeCell ref="AX217:BB217"/>
    <mergeCell ref="BC217:BG217"/>
    <mergeCell ref="A214:BL214"/>
    <mergeCell ref="A215:F217"/>
    <mergeCell ref="G215:P217"/>
    <mergeCell ref="Q215:AN215"/>
    <mergeCell ref="AO215:BL215"/>
    <mergeCell ref="Q216:U217"/>
    <mergeCell ref="V216:Y217"/>
    <mergeCell ref="Z216:AI216"/>
    <mergeCell ref="AJ216:AN217"/>
    <mergeCell ref="AO216:AS217"/>
    <mergeCell ref="AK211:AP211"/>
    <mergeCell ref="AQ211:AV211"/>
    <mergeCell ref="AW211:BA211"/>
    <mergeCell ref="BB211:BF211"/>
    <mergeCell ref="BG211:BL211"/>
    <mergeCell ref="A213:BL213"/>
    <mergeCell ref="AK210:AP210"/>
    <mergeCell ref="AQ210:AV210"/>
    <mergeCell ref="AW210:BA210"/>
    <mergeCell ref="BB210:BF210"/>
    <mergeCell ref="BG210:BL210"/>
    <mergeCell ref="A211:F211"/>
    <mergeCell ref="G211:S211"/>
    <mergeCell ref="T211:Y211"/>
    <mergeCell ref="Z211:AD211"/>
    <mergeCell ref="AE211:AJ211"/>
    <mergeCell ref="AK209:AP209"/>
    <mergeCell ref="AQ209:AV209"/>
    <mergeCell ref="AW209:BA209"/>
    <mergeCell ref="BB209:BF209"/>
    <mergeCell ref="BG209:BL209"/>
    <mergeCell ref="A210:F210"/>
    <mergeCell ref="G210:S210"/>
    <mergeCell ref="T210:Y210"/>
    <mergeCell ref="Z210:AD210"/>
    <mergeCell ref="AE210:AJ210"/>
    <mergeCell ref="AK208:AP208"/>
    <mergeCell ref="AQ208:AV208"/>
    <mergeCell ref="AW208:BA208"/>
    <mergeCell ref="BB208:BF208"/>
    <mergeCell ref="BG208:BL208"/>
    <mergeCell ref="A209:F209"/>
    <mergeCell ref="G209:S209"/>
    <mergeCell ref="T209:Y209"/>
    <mergeCell ref="Z209:AD209"/>
    <mergeCell ref="AE209:AJ209"/>
    <mergeCell ref="AK207:AP207"/>
    <mergeCell ref="AQ207:AV207"/>
    <mergeCell ref="AW207:BA207"/>
    <mergeCell ref="BB207:BF207"/>
    <mergeCell ref="BG207:BL207"/>
    <mergeCell ref="A208:F208"/>
    <mergeCell ref="G208:S208"/>
    <mergeCell ref="T208:Y208"/>
    <mergeCell ref="Z208:AD208"/>
    <mergeCell ref="AE208:AJ208"/>
    <mergeCell ref="AK206:AP206"/>
    <mergeCell ref="AQ206:AV206"/>
    <mergeCell ref="AW206:BA206"/>
    <mergeCell ref="BB206:BF206"/>
    <mergeCell ref="BG206:BL206"/>
    <mergeCell ref="A207:F207"/>
    <mergeCell ref="G207:S207"/>
    <mergeCell ref="T207:Y207"/>
    <mergeCell ref="Z207:AD207"/>
    <mergeCell ref="AE207:AJ207"/>
    <mergeCell ref="AK205:AP205"/>
    <mergeCell ref="AQ205:AV205"/>
    <mergeCell ref="AW205:BA205"/>
    <mergeCell ref="BB205:BF205"/>
    <mergeCell ref="BG205:BL205"/>
    <mergeCell ref="A206:F206"/>
    <mergeCell ref="G206:S206"/>
    <mergeCell ref="T206:Y206"/>
    <mergeCell ref="Z206:AD206"/>
    <mergeCell ref="AE206:AJ206"/>
    <mergeCell ref="AK204:AP204"/>
    <mergeCell ref="AQ204:AV204"/>
    <mergeCell ref="AW204:BA204"/>
    <mergeCell ref="BB204:BF204"/>
    <mergeCell ref="BG204:BL204"/>
    <mergeCell ref="A205:F205"/>
    <mergeCell ref="G205:S205"/>
    <mergeCell ref="T205:Y205"/>
    <mergeCell ref="Z205:AD205"/>
    <mergeCell ref="AE205:AJ205"/>
    <mergeCell ref="AQ202:AV203"/>
    <mergeCell ref="AW202:BF202"/>
    <mergeCell ref="BG202:BL203"/>
    <mergeCell ref="AW203:BA203"/>
    <mergeCell ref="BB203:BF203"/>
    <mergeCell ref="A204:F204"/>
    <mergeCell ref="G204:S204"/>
    <mergeCell ref="T204:Y204"/>
    <mergeCell ref="Z204:AD204"/>
    <mergeCell ref="AE204:AJ204"/>
    <mergeCell ref="A202:F203"/>
    <mergeCell ref="G202:S203"/>
    <mergeCell ref="T202:Y203"/>
    <mergeCell ref="Z202:AD203"/>
    <mergeCell ref="AE202:AJ203"/>
    <mergeCell ref="AK202:AP203"/>
    <mergeCell ref="BP192:BS192"/>
    <mergeCell ref="A195:BL195"/>
    <mergeCell ref="A196:BL196"/>
    <mergeCell ref="A199:BL199"/>
    <mergeCell ref="A200:BL200"/>
    <mergeCell ref="A201:BL201"/>
    <mergeCell ref="AO192:AR192"/>
    <mergeCell ref="AS192:AW192"/>
    <mergeCell ref="AX192:BA192"/>
    <mergeCell ref="BB192:BF192"/>
    <mergeCell ref="BG192:BJ192"/>
    <mergeCell ref="BK192:BO192"/>
    <mergeCell ref="BB191:BF191"/>
    <mergeCell ref="BG191:BJ191"/>
    <mergeCell ref="BK191:BO191"/>
    <mergeCell ref="BP191:BS191"/>
    <mergeCell ref="A192:M192"/>
    <mergeCell ref="N192:U192"/>
    <mergeCell ref="V192:Z192"/>
    <mergeCell ref="AA192:AE192"/>
    <mergeCell ref="AF192:AI192"/>
    <mergeCell ref="AJ192:AN192"/>
    <mergeCell ref="BP190:BS190"/>
    <mergeCell ref="A191:M191"/>
    <mergeCell ref="N191:U191"/>
    <mergeCell ref="V191:Z191"/>
    <mergeCell ref="AA191:AE191"/>
    <mergeCell ref="AF191:AI191"/>
    <mergeCell ref="AJ191:AN191"/>
    <mergeCell ref="AO191:AR191"/>
    <mergeCell ref="AS191:AW191"/>
    <mergeCell ref="AX191:BA191"/>
    <mergeCell ref="AO190:AR190"/>
    <mergeCell ref="AS190:AW190"/>
    <mergeCell ref="AX190:BA190"/>
    <mergeCell ref="BB190:BF190"/>
    <mergeCell ref="BG190:BJ190"/>
    <mergeCell ref="BK190:BO190"/>
    <mergeCell ref="BB189:BF189"/>
    <mergeCell ref="BG189:BJ189"/>
    <mergeCell ref="BK189:BO189"/>
    <mergeCell ref="BP189:BS189"/>
    <mergeCell ref="A190:M190"/>
    <mergeCell ref="N190:U190"/>
    <mergeCell ref="V190:Z190"/>
    <mergeCell ref="AA190:AE190"/>
    <mergeCell ref="AF190:AI190"/>
    <mergeCell ref="AJ190:AN190"/>
    <mergeCell ref="AA189:AE189"/>
    <mergeCell ref="AF189:AI189"/>
    <mergeCell ref="AJ189:AN189"/>
    <mergeCell ref="AO189:AR189"/>
    <mergeCell ref="AS189:AW189"/>
    <mergeCell ref="AX189:BA189"/>
    <mergeCell ref="A186:BL186"/>
    <mergeCell ref="A187:BM187"/>
    <mergeCell ref="A188:M189"/>
    <mergeCell ref="N188:U189"/>
    <mergeCell ref="V188:Z189"/>
    <mergeCell ref="AA188:AI188"/>
    <mergeCell ref="AJ188:AR188"/>
    <mergeCell ref="AS188:BA188"/>
    <mergeCell ref="BB188:BJ188"/>
    <mergeCell ref="BK188:BS188"/>
    <mergeCell ref="AZ182:BD182"/>
    <mergeCell ref="A183:F183"/>
    <mergeCell ref="G183:S183"/>
    <mergeCell ref="T183:Z183"/>
    <mergeCell ref="AA183:AE183"/>
    <mergeCell ref="AF183:AJ183"/>
    <mergeCell ref="AK183:AO183"/>
    <mergeCell ref="AP183:AT183"/>
    <mergeCell ref="AU183:AY183"/>
    <mergeCell ref="AZ183:BD183"/>
    <mergeCell ref="AU181:AY181"/>
    <mergeCell ref="AZ181:BD181"/>
    <mergeCell ref="A182:F182"/>
    <mergeCell ref="G182:S182"/>
    <mergeCell ref="T182:Z182"/>
    <mergeCell ref="AA182:AE182"/>
    <mergeCell ref="AF182:AJ182"/>
    <mergeCell ref="AK182:AO182"/>
    <mergeCell ref="AP182:AT182"/>
    <mergeCell ref="AU182:AY182"/>
    <mergeCell ref="AP180:AT180"/>
    <mergeCell ref="AU180:AY180"/>
    <mergeCell ref="AZ180:BD180"/>
    <mergeCell ref="A181:F181"/>
    <mergeCell ref="G181:S181"/>
    <mergeCell ref="T181:Z181"/>
    <mergeCell ref="AA181:AE181"/>
    <mergeCell ref="AF181:AJ181"/>
    <mergeCell ref="AK181:AO181"/>
    <mergeCell ref="AP181:AT181"/>
    <mergeCell ref="A177:BL177"/>
    <mergeCell ref="A178:BD178"/>
    <mergeCell ref="A179:F180"/>
    <mergeCell ref="G179:S180"/>
    <mergeCell ref="T179:Z180"/>
    <mergeCell ref="AA179:AO179"/>
    <mergeCell ref="AP179:BD179"/>
    <mergeCell ref="AA180:AE180"/>
    <mergeCell ref="AF180:AJ180"/>
    <mergeCell ref="AK180:AO180"/>
    <mergeCell ref="AP175:AT175"/>
    <mergeCell ref="AU175:AY175"/>
    <mergeCell ref="AZ175:BD175"/>
    <mergeCell ref="BE175:BI175"/>
    <mergeCell ref="BJ175:BN175"/>
    <mergeCell ref="BO175:BS175"/>
    <mergeCell ref="A175:F175"/>
    <mergeCell ref="G175:S175"/>
    <mergeCell ref="T175:Z175"/>
    <mergeCell ref="AA175:AE175"/>
    <mergeCell ref="AF175:AJ175"/>
    <mergeCell ref="AK175:AO175"/>
    <mergeCell ref="AP174:AT174"/>
    <mergeCell ref="AU174:AY174"/>
    <mergeCell ref="AZ174:BD174"/>
    <mergeCell ref="BE174:BI174"/>
    <mergeCell ref="BJ174:BN174"/>
    <mergeCell ref="BO174:BS174"/>
    <mergeCell ref="A174:F174"/>
    <mergeCell ref="G174:S174"/>
    <mergeCell ref="T174:Z174"/>
    <mergeCell ref="AA174:AE174"/>
    <mergeCell ref="AF174:AJ174"/>
    <mergeCell ref="AK174:AO174"/>
    <mergeCell ref="AP173:AT173"/>
    <mergeCell ref="AU173:AY173"/>
    <mergeCell ref="AZ173:BD173"/>
    <mergeCell ref="BE173:BI173"/>
    <mergeCell ref="BJ173:BN173"/>
    <mergeCell ref="BO173:BS173"/>
    <mergeCell ref="A173:F173"/>
    <mergeCell ref="G173:S173"/>
    <mergeCell ref="T173:Z173"/>
    <mergeCell ref="AA173:AE173"/>
    <mergeCell ref="AF173:AJ173"/>
    <mergeCell ref="AK173:AO173"/>
    <mergeCell ref="AP172:AT172"/>
    <mergeCell ref="AU172:AY172"/>
    <mergeCell ref="AZ172:BD172"/>
    <mergeCell ref="BE172:BI172"/>
    <mergeCell ref="BJ172:BN172"/>
    <mergeCell ref="BO172:BS172"/>
    <mergeCell ref="A170:BS170"/>
    <mergeCell ref="A171:F172"/>
    <mergeCell ref="G171:S172"/>
    <mergeCell ref="T171:Z172"/>
    <mergeCell ref="AA171:AO171"/>
    <mergeCell ref="AP171:BD171"/>
    <mergeCell ref="BE171:BS171"/>
    <mergeCell ref="AA172:AE172"/>
    <mergeCell ref="AF172:AJ172"/>
    <mergeCell ref="AK172:AO172"/>
    <mergeCell ref="BA165:BC165"/>
    <mergeCell ref="BD165:BF165"/>
    <mergeCell ref="BG165:BI165"/>
    <mergeCell ref="BJ165:BL165"/>
    <mergeCell ref="A168:BL168"/>
    <mergeCell ref="A169:BS169"/>
    <mergeCell ref="AI165:AK165"/>
    <mergeCell ref="AL165:AN165"/>
    <mergeCell ref="AO165:AQ165"/>
    <mergeCell ref="AR165:AT165"/>
    <mergeCell ref="AU165:AW165"/>
    <mergeCell ref="AX165:AZ165"/>
    <mergeCell ref="BA164:BC164"/>
    <mergeCell ref="BD164:BF164"/>
    <mergeCell ref="BG164:BI164"/>
    <mergeCell ref="BJ164:BL164"/>
    <mergeCell ref="A165:C165"/>
    <mergeCell ref="D165:V165"/>
    <mergeCell ref="W165:Y165"/>
    <mergeCell ref="Z165:AB165"/>
    <mergeCell ref="AC165:AE165"/>
    <mergeCell ref="AF165:AH165"/>
    <mergeCell ref="AI164:AK164"/>
    <mergeCell ref="AL164:AN164"/>
    <mergeCell ref="AO164:AQ164"/>
    <mergeCell ref="AR164:AT164"/>
    <mergeCell ref="AU164:AW164"/>
    <mergeCell ref="AX164:AZ164"/>
    <mergeCell ref="BA163:BC163"/>
    <mergeCell ref="BD163:BF163"/>
    <mergeCell ref="BG163:BI163"/>
    <mergeCell ref="BJ163:BL163"/>
    <mergeCell ref="A164:C164"/>
    <mergeCell ref="D164:V164"/>
    <mergeCell ref="W164:Y164"/>
    <mergeCell ref="Z164:AB164"/>
    <mergeCell ref="AC164:AE164"/>
    <mergeCell ref="AF164:AH164"/>
    <mergeCell ref="AI163:AK163"/>
    <mergeCell ref="AL163:AN163"/>
    <mergeCell ref="AO163:AQ163"/>
    <mergeCell ref="AR163:AT163"/>
    <mergeCell ref="AU163:AW163"/>
    <mergeCell ref="AX163:AZ163"/>
    <mergeCell ref="BA162:BC162"/>
    <mergeCell ref="BD162:BF162"/>
    <mergeCell ref="BG162:BI162"/>
    <mergeCell ref="BJ162:BL162"/>
    <mergeCell ref="A163:C163"/>
    <mergeCell ref="D163:V163"/>
    <mergeCell ref="W163:Y163"/>
    <mergeCell ref="Z163:AB163"/>
    <mergeCell ref="AC163:AE163"/>
    <mergeCell ref="AF163:AH163"/>
    <mergeCell ref="AI162:AK162"/>
    <mergeCell ref="AL162:AN162"/>
    <mergeCell ref="AO162:AQ162"/>
    <mergeCell ref="AR162:AT162"/>
    <mergeCell ref="AU162:AW162"/>
    <mergeCell ref="AX162:AZ162"/>
    <mergeCell ref="BA161:BC161"/>
    <mergeCell ref="BD161:BF161"/>
    <mergeCell ref="BG161:BI161"/>
    <mergeCell ref="BJ161:BL161"/>
    <mergeCell ref="A162:C162"/>
    <mergeCell ref="D162:V162"/>
    <mergeCell ref="W162:Y162"/>
    <mergeCell ref="Z162:AB162"/>
    <mergeCell ref="AC162:AE162"/>
    <mergeCell ref="AF162:AH162"/>
    <mergeCell ref="AI161:AK161"/>
    <mergeCell ref="AL161:AN161"/>
    <mergeCell ref="AO161:AQ161"/>
    <mergeCell ref="AR161:AT161"/>
    <mergeCell ref="AU161:AW161"/>
    <mergeCell ref="AX161:AZ161"/>
    <mergeCell ref="BA160:BC160"/>
    <mergeCell ref="BD160:BF160"/>
    <mergeCell ref="BG160:BI160"/>
    <mergeCell ref="BJ160:BL160"/>
    <mergeCell ref="A161:C161"/>
    <mergeCell ref="D161:V161"/>
    <mergeCell ref="W161:Y161"/>
    <mergeCell ref="Z161:AB161"/>
    <mergeCell ref="AC161:AE161"/>
    <mergeCell ref="AF161:AH161"/>
    <mergeCell ref="AI160:AK160"/>
    <mergeCell ref="AL160:AN160"/>
    <mergeCell ref="AO160:AQ160"/>
    <mergeCell ref="AR160:AT160"/>
    <mergeCell ref="AU160:AW160"/>
    <mergeCell ref="AX160:AZ160"/>
    <mergeCell ref="A160:C160"/>
    <mergeCell ref="D160:V160"/>
    <mergeCell ref="W160:Y160"/>
    <mergeCell ref="Z160:AB160"/>
    <mergeCell ref="AC160:AE160"/>
    <mergeCell ref="AF160:AH160"/>
    <mergeCell ref="BG158:BI159"/>
    <mergeCell ref="BJ158:BL159"/>
    <mergeCell ref="W159:Y159"/>
    <mergeCell ref="Z159:AB159"/>
    <mergeCell ref="AC159:AE159"/>
    <mergeCell ref="AF159:AH159"/>
    <mergeCell ref="AI159:AK159"/>
    <mergeCell ref="AL159:AN159"/>
    <mergeCell ref="AO159:AQ159"/>
    <mergeCell ref="AR159:AT159"/>
    <mergeCell ref="AI158:AN158"/>
    <mergeCell ref="AO158:AT158"/>
    <mergeCell ref="AU158:AW159"/>
    <mergeCell ref="AX158:AZ159"/>
    <mergeCell ref="BA158:BC159"/>
    <mergeCell ref="BD158:BF159"/>
    <mergeCell ref="A156:BL156"/>
    <mergeCell ref="A157:C159"/>
    <mergeCell ref="D157:V159"/>
    <mergeCell ref="W157:AH157"/>
    <mergeCell ref="AI157:AT157"/>
    <mergeCell ref="AU157:AZ157"/>
    <mergeCell ref="BA157:BF157"/>
    <mergeCell ref="BG157:BL157"/>
    <mergeCell ref="W158:AB158"/>
    <mergeCell ref="AC158:AH158"/>
    <mergeCell ref="AO153:AS153"/>
    <mergeCell ref="AT153:AX153"/>
    <mergeCell ref="AY153:BC153"/>
    <mergeCell ref="BD153:BH153"/>
    <mergeCell ref="BI153:BM153"/>
    <mergeCell ref="BN153:BR153"/>
    <mergeCell ref="AT152:AX152"/>
    <mergeCell ref="AY152:BC152"/>
    <mergeCell ref="BD152:BH152"/>
    <mergeCell ref="BI152:BM152"/>
    <mergeCell ref="BN152:BR152"/>
    <mergeCell ref="A153:T153"/>
    <mergeCell ref="U153:Y153"/>
    <mergeCell ref="Z153:AD153"/>
    <mergeCell ref="AE153:AI153"/>
    <mergeCell ref="AJ153:AN153"/>
    <mergeCell ref="A152:T152"/>
    <mergeCell ref="U152:Y152"/>
    <mergeCell ref="Z152:AD152"/>
    <mergeCell ref="AE152:AI152"/>
    <mergeCell ref="AJ152:AN152"/>
    <mergeCell ref="AO152:AS152"/>
    <mergeCell ref="AO151:AS151"/>
    <mergeCell ref="AT151:AX151"/>
    <mergeCell ref="AY151:BC151"/>
    <mergeCell ref="BD151:BH151"/>
    <mergeCell ref="BI151:BM151"/>
    <mergeCell ref="BN151:BR151"/>
    <mergeCell ref="AT150:AX150"/>
    <mergeCell ref="AY150:BC150"/>
    <mergeCell ref="BD150:BH150"/>
    <mergeCell ref="BI150:BM150"/>
    <mergeCell ref="BN150:BR150"/>
    <mergeCell ref="A151:T151"/>
    <mergeCell ref="U151:Y151"/>
    <mergeCell ref="Z151:AD151"/>
    <mergeCell ref="AE151:AI151"/>
    <mergeCell ref="AJ151:AN151"/>
    <mergeCell ref="A150:T150"/>
    <mergeCell ref="U150:Y150"/>
    <mergeCell ref="Z150:AD150"/>
    <mergeCell ref="AE150:AI150"/>
    <mergeCell ref="AJ150:AN150"/>
    <mergeCell ref="AO150:AS150"/>
    <mergeCell ref="AO149:AS149"/>
    <mergeCell ref="AT149:AX149"/>
    <mergeCell ref="AY149:BC149"/>
    <mergeCell ref="BD149:BH149"/>
    <mergeCell ref="BI149:BM149"/>
    <mergeCell ref="BN149:BR149"/>
    <mergeCell ref="AT148:AX148"/>
    <mergeCell ref="AY148:BC148"/>
    <mergeCell ref="BD148:BH148"/>
    <mergeCell ref="BI148:BM148"/>
    <mergeCell ref="BN148:BR148"/>
    <mergeCell ref="A149:T149"/>
    <mergeCell ref="U149:Y149"/>
    <mergeCell ref="Z149:AD149"/>
    <mergeCell ref="AE149:AI149"/>
    <mergeCell ref="AJ149:AN149"/>
    <mergeCell ref="A148:T148"/>
    <mergeCell ref="U148:Y148"/>
    <mergeCell ref="Z148:AD148"/>
    <mergeCell ref="AE148:AI148"/>
    <mergeCell ref="AJ148:AN148"/>
    <mergeCell ref="AO148:AS148"/>
    <mergeCell ref="AO147:AS147"/>
    <mergeCell ref="AT147:AX147"/>
    <mergeCell ref="AY147:BC147"/>
    <mergeCell ref="BD147:BH147"/>
    <mergeCell ref="BI147:BM147"/>
    <mergeCell ref="BN147:BR147"/>
    <mergeCell ref="AT146:AX146"/>
    <mergeCell ref="AY146:BC146"/>
    <mergeCell ref="BD146:BH146"/>
    <mergeCell ref="BI146:BM146"/>
    <mergeCell ref="BN146:BR146"/>
    <mergeCell ref="A147:T147"/>
    <mergeCell ref="U147:Y147"/>
    <mergeCell ref="Z147:AD147"/>
    <mergeCell ref="AE147:AI147"/>
    <mergeCell ref="AJ147:AN147"/>
    <mergeCell ref="A146:T146"/>
    <mergeCell ref="U146:Y146"/>
    <mergeCell ref="Z146:AD146"/>
    <mergeCell ref="AE146:AI146"/>
    <mergeCell ref="AJ146:AN146"/>
    <mergeCell ref="AO146:AS146"/>
    <mergeCell ref="AO145:AS145"/>
    <mergeCell ref="AT145:AX145"/>
    <mergeCell ref="AY145:BC145"/>
    <mergeCell ref="BD145:BH145"/>
    <mergeCell ref="BI145:BM145"/>
    <mergeCell ref="BN145:BR145"/>
    <mergeCell ref="AT144:AX144"/>
    <mergeCell ref="AY144:BC144"/>
    <mergeCell ref="BD144:BH144"/>
    <mergeCell ref="BI144:BM144"/>
    <mergeCell ref="BN144:BR144"/>
    <mergeCell ref="A145:T145"/>
    <mergeCell ref="U145:Y145"/>
    <mergeCell ref="Z145:AD145"/>
    <mergeCell ref="AE145:AI145"/>
    <mergeCell ref="AJ145:AN145"/>
    <mergeCell ref="A144:T144"/>
    <mergeCell ref="U144:Y144"/>
    <mergeCell ref="Z144:AD144"/>
    <mergeCell ref="AE144:AI144"/>
    <mergeCell ref="AJ144:AN144"/>
    <mergeCell ref="AO144:AS144"/>
    <mergeCell ref="AO143:AS143"/>
    <mergeCell ref="AT143:AX143"/>
    <mergeCell ref="AY143:BC143"/>
    <mergeCell ref="BD143:BH143"/>
    <mergeCell ref="BI143:BM143"/>
    <mergeCell ref="BN143:BR143"/>
    <mergeCell ref="AT142:AX142"/>
    <mergeCell ref="AY142:BC142"/>
    <mergeCell ref="BD142:BH142"/>
    <mergeCell ref="BI142:BM142"/>
    <mergeCell ref="BN142:BR142"/>
    <mergeCell ref="A143:T143"/>
    <mergeCell ref="U143:Y143"/>
    <mergeCell ref="Z143:AD143"/>
    <mergeCell ref="AE143:AI143"/>
    <mergeCell ref="AJ143:AN143"/>
    <mergeCell ref="A142:T142"/>
    <mergeCell ref="U142:Y142"/>
    <mergeCell ref="Z142:AD142"/>
    <mergeCell ref="AE142:AI142"/>
    <mergeCell ref="AJ142:AN142"/>
    <mergeCell ref="AO142:AS142"/>
    <mergeCell ref="AO141:AS141"/>
    <mergeCell ref="AT141:AX141"/>
    <mergeCell ref="AY141:BC141"/>
    <mergeCell ref="BD141:BH141"/>
    <mergeCell ref="BI141:BM141"/>
    <mergeCell ref="BN141:BR141"/>
    <mergeCell ref="A140:T141"/>
    <mergeCell ref="U140:AD140"/>
    <mergeCell ref="AE140:AN140"/>
    <mergeCell ref="AO140:AX140"/>
    <mergeCell ref="AY140:BH140"/>
    <mergeCell ref="BI140:BR140"/>
    <mergeCell ref="U141:Y141"/>
    <mergeCell ref="Z141:AD141"/>
    <mergeCell ref="AE141:AI141"/>
    <mergeCell ref="AJ141:AN141"/>
    <mergeCell ref="AP136:AT136"/>
    <mergeCell ref="AU136:AY136"/>
    <mergeCell ref="AZ136:BD136"/>
    <mergeCell ref="BE136:BI136"/>
    <mergeCell ref="A138:BL138"/>
    <mergeCell ref="A139:BR139"/>
    <mergeCell ref="AP135:AT135"/>
    <mergeCell ref="AU135:AY135"/>
    <mergeCell ref="AZ135:BD135"/>
    <mergeCell ref="BE135:BI135"/>
    <mergeCell ref="A136:C136"/>
    <mergeCell ref="D136:P136"/>
    <mergeCell ref="Q136:U136"/>
    <mergeCell ref="V136:AE136"/>
    <mergeCell ref="AF136:AJ136"/>
    <mergeCell ref="AK136:AO136"/>
    <mergeCell ref="AP134:AT134"/>
    <mergeCell ref="AU134:AY134"/>
    <mergeCell ref="AZ134:BD134"/>
    <mergeCell ref="BE134:BI134"/>
    <mergeCell ref="A135:C135"/>
    <mergeCell ref="D135:P135"/>
    <mergeCell ref="Q135:U135"/>
    <mergeCell ref="V135:AE135"/>
    <mergeCell ref="AF135:AJ135"/>
    <mergeCell ref="AK135:AO135"/>
    <mergeCell ref="AP133:AT133"/>
    <mergeCell ref="AU133:AY133"/>
    <mergeCell ref="AZ133:BD133"/>
    <mergeCell ref="BE133:BI133"/>
    <mergeCell ref="A134:C134"/>
    <mergeCell ref="D134:P134"/>
    <mergeCell ref="Q134:U134"/>
    <mergeCell ref="V134:AE134"/>
    <mergeCell ref="AF134:AJ134"/>
    <mergeCell ref="AK134:AO134"/>
    <mergeCell ref="AP132:AT132"/>
    <mergeCell ref="AU132:AY132"/>
    <mergeCell ref="AZ132:BD132"/>
    <mergeCell ref="BE132:BI132"/>
    <mergeCell ref="A133:C133"/>
    <mergeCell ref="D133:P133"/>
    <mergeCell ref="Q133:U133"/>
    <mergeCell ref="V133:AE133"/>
    <mergeCell ref="AF133:AJ133"/>
    <mergeCell ref="AK133:AO133"/>
    <mergeCell ref="AP131:AT131"/>
    <mergeCell ref="AU131:AY131"/>
    <mergeCell ref="AZ131:BD131"/>
    <mergeCell ref="BE131:BI131"/>
    <mergeCell ref="A132:C132"/>
    <mergeCell ref="D132:P132"/>
    <mergeCell ref="Q132:U132"/>
    <mergeCell ref="V132:AE132"/>
    <mergeCell ref="AF132:AJ132"/>
    <mergeCell ref="AK132:AO132"/>
    <mergeCell ref="AP130:AT130"/>
    <mergeCell ref="AU130:AY130"/>
    <mergeCell ref="AZ130:BD130"/>
    <mergeCell ref="BE130:BI130"/>
    <mergeCell ref="A131:C131"/>
    <mergeCell ref="D131:P131"/>
    <mergeCell ref="Q131:U131"/>
    <mergeCell ref="V131:AE131"/>
    <mergeCell ref="AF131:AJ131"/>
    <mergeCell ref="AK131:AO131"/>
    <mergeCell ref="AP129:AT129"/>
    <mergeCell ref="AU129:AY129"/>
    <mergeCell ref="AZ129:BD129"/>
    <mergeCell ref="BE129:BI129"/>
    <mergeCell ref="A130:C130"/>
    <mergeCell ref="D130:P130"/>
    <mergeCell ref="Q130:U130"/>
    <mergeCell ref="V130:AE130"/>
    <mergeCell ref="AF130:AJ130"/>
    <mergeCell ref="AK130:AO130"/>
    <mergeCell ref="AP128:AT128"/>
    <mergeCell ref="AU128:AY128"/>
    <mergeCell ref="AZ128:BD128"/>
    <mergeCell ref="BE128:BI128"/>
    <mergeCell ref="A129:C129"/>
    <mergeCell ref="D129:P129"/>
    <mergeCell ref="Q129:U129"/>
    <mergeCell ref="V129:AE129"/>
    <mergeCell ref="AF129:AJ129"/>
    <mergeCell ref="AK129:AO129"/>
    <mergeCell ref="AP127:AT127"/>
    <mergeCell ref="AU127:AY127"/>
    <mergeCell ref="AZ127:BD127"/>
    <mergeCell ref="BE127:BI127"/>
    <mergeCell ref="A128:C128"/>
    <mergeCell ref="D128:P128"/>
    <mergeCell ref="Q128:U128"/>
    <mergeCell ref="V128:AE128"/>
    <mergeCell ref="AF128:AJ128"/>
    <mergeCell ref="AK128:AO128"/>
    <mergeCell ref="AP126:AT126"/>
    <mergeCell ref="AU126:AY126"/>
    <mergeCell ref="AZ126:BD126"/>
    <mergeCell ref="BE126:BI126"/>
    <mergeCell ref="A127:C127"/>
    <mergeCell ref="D127:P127"/>
    <mergeCell ref="Q127:U127"/>
    <mergeCell ref="V127:AE127"/>
    <mergeCell ref="AF127:AJ127"/>
    <mergeCell ref="AK127:AO127"/>
    <mergeCell ref="AP125:AT125"/>
    <mergeCell ref="AU125:AY125"/>
    <mergeCell ref="AZ125:BD125"/>
    <mergeCell ref="BE125:BI125"/>
    <mergeCell ref="A126:C126"/>
    <mergeCell ref="D126:P126"/>
    <mergeCell ref="Q126:U126"/>
    <mergeCell ref="V126:AE126"/>
    <mergeCell ref="AF126:AJ126"/>
    <mergeCell ref="AK126:AO126"/>
    <mergeCell ref="BT121:BX121"/>
    <mergeCell ref="A123:BL123"/>
    <mergeCell ref="A124:C125"/>
    <mergeCell ref="D124:P125"/>
    <mergeCell ref="Q124:U125"/>
    <mergeCell ref="V124:AE125"/>
    <mergeCell ref="AF124:AT124"/>
    <mergeCell ref="AU124:BI124"/>
    <mergeCell ref="AF125:AJ125"/>
    <mergeCell ref="AK125:AO125"/>
    <mergeCell ref="AP121:AT121"/>
    <mergeCell ref="AU121:AY121"/>
    <mergeCell ref="AZ121:BD121"/>
    <mergeCell ref="BE121:BI121"/>
    <mergeCell ref="BJ121:BN121"/>
    <mergeCell ref="BO121:BS121"/>
    <mergeCell ref="BE120:BI120"/>
    <mergeCell ref="BJ120:BN120"/>
    <mergeCell ref="BO120:BS120"/>
    <mergeCell ref="BT120:BX120"/>
    <mergeCell ref="A121:C121"/>
    <mergeCell ref="D121:P121"/>
    <mergeCell ref="Q121:U121"/>
    <mergeCell ref="V121:AE121"/>
    <mergeCell ref="AF121:AJ121"/>
    <mergeCell ref="AK121:AO121"/>
    <mergeCell ref="BT119:BX119"/>
    <mergeCell ref="A120:C120"/>
    <mergeCell ref="D120:P120"/>
    <mergeCell ref="Q120:U120"/>
    <mergeCell ref="V120:AE120"/>
    <mergeCell ref="AF120:AJ120"/>
    <mergeCell ref="AK120:AO120"/>
    <mergeCell ref="AP120:AT120"/>
    <mergeCell ref="AU120:AY120"/>
    <mergeCell ref="AZ120:BD120"/>
    <mergeCell ref="AP119:AT119"/>
    <mergeCell ref="AU119:AY119"/>
    <mergeCell ref="AZ119:BD119"/>
    <mergeCell ref="BE119:BI119"/>
    <mergeCell ref="BJ119:BN119"/>
    <mergeCell ref="BO119:BS119"/>
    <mergeCell ref="BE118:BI118"/>
    <mergeCell ref="BJ118:BN118"/>
    <mergeCell ref="BO118:BS118"/>
    <mergeCell ref="BT118:BX118"/>
    <mergeCell ref="A119:C119"/>
    <mergeCell ref="D119:P119"/>
    <mergeCell ref="Q119:U119"/>
    <mergeCell ref="V119:AE119"/>
    <mergeCell ref="AF119:AJ119"/>
    <mergeCell ref="AK119:AO119"/>
    <mergeCell ref="BT117:BX117"/>
    <mergeCell ref="A118:C118"/>
    <mergeCell ref="D118:P118"/>
    <mergeCell ref="Q118:U118"/>
    <mergeCell ref="V118:AE118"/>
    <mergeCell ref="AF118:AJ118"/>
    <mergeCell ref="AK118:AO118"/>
    <mergeCell ref="AP118:AT118"/>
    <mergeCell ref="AU118:AY118"/>
    <mergeCell ref="AZ118:BD118"/>
    <mergeCell ref="AP117:AT117"/>
    <mergeCell ref="AU117:AY117"/>
    <mergeCell ref="AZ117:BD117"/>
    <mergeCell ref="BE117:BI117"/>
    <mergeCell ref="BJ117:BN117"/>
    <mergeCell ref="BO117:BS117"/>
    <mergeCell ref="BE116:BI116"/>
    <mergeCell ref="BJ116:BN116"/>
    <mergeCell ref="BO116:BS116"/>
    <mergeCell ref="BT116:BX116"/>
    <mergeCell ref="A117:C117"/>
    <mergeCell ref="D117:P117"/>
    <mergeCell ref="Q117:U117"/>
    <mergeCell ref="V117:AE117"/>
    <mergeCell ref="AF117:AJ117"/>
    <mergeCell ref="AK117:AO117"/>
    <mergeCell ref="BT115:BX115"/>
    <mergeCell ref="A116:C116"/>
    <mergeCell ref="D116:P116"/>
    <mergeCell ref="Q116:U116"/>
    <mergeCell ref="V116:AE116"/>
    <mergeCell ref="AF116:AJ116"/>
    <mergeCell ref="AK116:AO116"/>
    <mergeCell ref="AP116:AT116"/>
    <mergeCell ref="AU116:AY116"/>
    <mergeCell ref="AZ116:BD116"/>
    <mergeCell ref="AP115:AT115"/>
    <mergeCell ref="AU115:AY115"/>
    <mergeCell ref="AZ115:BD115"/>
    <mergeCell ref="BE115:BI115"/>
    <mergeCell ref="BJ115:BN115"/>
    <mergeCell ref="BO115:BS115"/>
    <mergeCell ref="BE114:BI114"/>
    <mergeCell ref="BJ114:BN114"/>
    <mergeCell ref="BO114:BS114"/>
    <mergeCell ref="BT114:BX114"/>
    <mergeCell ref="A115:C115"/>
    <mergeCell ref="D115:P115"/>
    <mergeCell ref="Q115:U115"/>
    <mergeCell ref="V115:AE115"/>
    <mergeCell ref="AF115:AJ115"/>
    <mergeCell ref="AK115:AO115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A111:C111"/>
    <mergeCell ref="D111:P111"/>
    <mergeCell ref="Q111:U111"/>
    <mergeCell ref="V111:AE111"/>
    <mergeCell ref="AF111:AJ111"/>
    <mergeCell ref="AK111:AO111"/>
    <mergeCell ref="BJ109:BX109"/>
    <mergeCell ref="AF110:AJ110"/>
    <mergeCell ref="AK110:AO110"/>
    <mergeCell ref="AP110:AT110"/>
    <mergeCell ref="AU110:AY110"/>
    <mergeCell ref="AZ110:BD110"/>
    <mergeCell ref="BE110:BI110"/>
    <mergeCell ref="BJ110:BN110"/>
    <mergeCell ref="BO110:BS110"/>
    <mergeCell ref="BT110:BX110"/>
    <mergeCell ref="A109:C110"/>
    <mergeCell ref="D109:P110"/>
    <mergeCell ref="Q109:U110"/>
    <mergeCell ref="V109:AE110"/>
    <mergeCell ref="AF109:AT109"/>
    <mergeCell ref="AU109:BI109"/>
    <mergeCell ref="AO104:AS104"/>
    <mergeCell ref="AT104:AX104"/>
    <mergeCell ref="AY104:BC104"/>
    <mergeCell ref="BD104:BH104"/>
    <mergeCell ref="A107:BL107"/>
    <mergeCell ref="A108:BL108"/>
    <mergeCell ref="AO103:AS103"/>
    <mergeCell ref="AT103:AX103"/>
    <mergeCell ref="AY103:BC103"/>
    <mergeCell ref="BD103:BH103"/>
    <mergeCell ref="A104:C104"/>
    <mergeCell ref="D104:T104"/>
    <mergeCell ref="U104:Y104"/>
    <mergeCell ref="Z104:AD104"/>
    <mergeCell ref="AE104:AI104"/>
    <mergeCell ref="AJ104:AN104"/>
    <mergeCell ref="AO102:AS102"/>
    <mergeCell ref="AT102:AX102"/>
    <mergeCell ref="AY102:BC102"/>
    <mergeCell ref="BD102:BH102"/>
    <mergeCell ref="A103:C103"/>
    <mergeCell ref="D103:T103"/>
    <mergeCell ref="U103:Y103"/>
    <mergeCell ref="Z103:AD103"/>
    <mergeCell ref="AE103:AI103"/>
    <mergeCell ref="AJ103:AN103"/>
    <mergeCell ref="AO101:AS101"/>
    <mergeCell ref="AT101:AX101"/>
    <mergeCell ref="AY101:BC101"/>
    <mergeCell ref="BD101:BH101"/>
    <mergeCell ref="A102:C102"/>
    <mergeCell ref="D102:T102"/>
    <mergeCell ref="U102:Y102"/>
    <mergeCell ref="Z102:AD102"/>
    <mergeCell ref="AE102:AI102"/>
    <mergeCell ref="AJ102:AN102"/>
    <mergeCell ref="AO100:AS100"/>
    <mergeCell ref="AT100:AX100"/>
    <mergeCell ref="AY100:BC100"/>
    <mergeCell ref="BD100:BH100"/>
    <mergeCell ref="A101:C101"/>
    <mergeCell ref="D101:T101"/>
    <mergeCell ref="U101:Y101"/>
    <mergeCell ref="Z101:AD101"/>
    <mergeCell ref="AE101:AI101"/>
    <mergeCell ref="AJ101:AN101"/>
    <mergeCell ref="A97:BL97"/>
    <mergeCell ref="A98:BH98"/>
    <mergeCell ref="A99:C100"/>
    <mergeCell ref="D99:T100"/>
    <mergeCell ref="U99:AN99"/>
    <mergeCell ref="AO99:BH99"/>
    <mergeCell ref="U100:Y100"/>
    <mergeCell ref="Z100:AD100"/>
    <mergeCell ref="AE100:AI100"/>
    <mergeCell ref="AJ100:AN100"/>
    <mergeCell ref="AX95:BA95"/>
    <mergeCell ref="BB95:BF95"/>
    <mergeCell ref="BG95:BK95"/>
    <mergeCell ref="BL95:BP95"/>
    <mergeCell ref="BQ95:BT95"/>
    <mergeCell ref="BU95:BY95"/>
    <mergeCell ref="BQ94:BT94"/>
    <mergeCell ref="BU94:BY94"/>
    <mergeCell ref="A95:C95"/>
    <mergeCell ref="D95:T95"/>
    <mergeCell ref="U95:Y95"/>
    <mergeCell ref="Z95:AD95"/>
    <mergeCell ref="AE95:AH95"/>
    <mergeCell ref="AI95:AM95"/>
    <mergeCell ref="AN95:AR95"/>
    <mergeCell ref="AS95:AW95"/>
    <mergeCell ref="AN94:AR94"/>
    <mergeCell ref="AS94:AW94"/>
    <mergeCell ref="AX94:BA94"/>
    <mergeCell ref="BB94:BF94"/>
    <mergeCell ref="BG94:BK94"/>
    <mergeCell ref="BL94:BP94"/>
    <mergeCell ref="A94:C94"/>
    <mergeCell ref="D94:T94"/>
    <mergeCell ref="U94:Y94"/>
    <mergeCell ref="Z94:AD94"/>
    <mergeCell ref="AE94:AH94"/>
    <mergeCell ref="AI94:AM94"/>
    <mergeCell ref="AX93:BA93"/>
    <mergeCell ref="BB93:BF93"/>
    <mergeCell ref="BG93:BK93"/>
    <mergeCell ref="BL93:BP93"/>
    <mergeCell ref="BQ93:BT93"/>
    <mergeCell ref="BU93:BY93"/>
    <mergeCell ref="BQ92:BT92"/>
    <mergeCell ref="BU92:BY92"/>
    <mergeCell ref="A93:C93"/>
    <mergeCell ref="D93:T93"/>
    <mergeCell ref="U93:Y93"/>
    <mergeCell ref="Z93:AD93"/>
    <mergeCell ref="AE93:AH93"/>
    <mergeCell ref="AI93:AM93"/>
    <mergeCell ref="AN93:AR93"/>
    <mergeCell ref="AS93:AW93"/>
    <mergeCell ref="AN92:AR92"/>
    <mergeCell ref="AS92:AW92"/>
    <mergeCell ref="AX92:BA92"/>
    <mergeCell ref="BB92:BF92"/>
    <mergeCell ref="BG92:BK92"/>
    <mergeCell ref="BL92:BP92"/>
    <mergeCell ref="A92:C92"/>
    <mergeCell ref="D92:T92"/>
    <mergeCell ref="U92:Y92"/>
    <mergeCell ref="Z92:AD92"/>
    <mergeCell ref="AE92:AH92"/>
    <mergeCell ref="AI92:AM92"/>
    <mergeCell ref="AX91:BA91"/>
    <mergeCell ref="BB91:BF91"/>
    <mergeCell ref="BG91:BK91"/>
    <mergeCell ref="BL91:BP91"/>
    <mergeCell ref="BQ91:BT91"/>
    <mergeCell ref="BU91:BY91"/>
    <mergeCell ref="U91:Y91"/>
    <mergeCell ref="Z91:AD91"/>
    <mergeCell ref="AE91:AH91"/>
    <mergeCell ref="AI91:AM91"/>
    <mergeCell ref="AN91:AR91"/>
    <mergeCell ref="AS91:AW91"/>
    <mergeCell ref="BB84:BF84"/>
    <mergeCell ref="BG84:BK84"/>
    <mergeCell ref="A87:BL87"/>
    <mergeCell ref="A88:BL88"/>
    <mergeCell ref="A89:BY89"/>
    <mergeCell ref="A90:C91"/>
    <mergeCell ref="D90:T91"/>
    <mergeCell ref="U90:AM90"/>
    <mergeCell ref="AN90:BF90"/>
    <mergeCell ref="BG90:BY90"/>
    <mergeCell ref="BB83:BF83"/>
    <mergeCell ref="BG83:BK83"/>
    <mergeCell ref="A84:E84"/>
    <mergeCell ref="F84:W84"/>
    <mergeCell ref="X84:AB84"/>
    <mergeCell ref="AC84:AG84"/>
    <mergeCell ref="AH84:AL84"/>
    <mergeCell ref="AM84:AQ84"/>
    <mergeCell ref="AR84:AV84"/>
    <mergeCell ref="AW84:BA84"/>
    <mergeCell ref="BB82:BF82"/>
    <mergeCell ref="BG82:BK82"/>
    <mergeCell ref="A83:E83"/>
    <mergeCell ref="F83:W83"/>
    <mergeCell ref="X83:AB83"/>
    <mergeCell ref="AC83:AG83"/>
    <mergeCell ref="AH83:AL83"/>
    <mergeCell ref="AM83:AQ83"/>
    <mergeCell ref="AR83:AV83"/>
    <mergeCell ref="AW83:BA83"/>
    <mergeCell ref="BB81:BF81"/>
    <mergeCell ref="BG81:BK81"/>
    <mergeCell ref="A82:E82"/>
    <mergeCell ref="F82:W82"/>
    <mergeCell ref="X82:AB82"/>
    <mergeCell ref="AC82:AG82"/>
    <mergeCell ref="AH82:AL82"/>
    <mergeCell ref="AM82:AQ82"/>
    <mergeCell ref="AR82:AV82"/>
    <mergeCell ref="AW82:BA82"/>
    <mergeCell ref="A80:E81"/>
    <mergeCell ref="F80:W81"/>
    <mergeCell ref="X80:AQ80"/>
    <mergeCell ref="AR80:BK80"/>
    <mergeCell ref="X81:AB81"/>
    <mergeCell ref="AC81:AG81"/>
    <mergeCell ref="AH81:AL81"/>
    <mergeCell ref="AM81:AQ81"/>
    <mergeCell ref="AR81:AV81"/>
    <mergeCell ref="AW81:BA81"/>
    <mergeCell ref="AR76:AV76"/>
    <mergeCell ref="AW76:BA76"/>
    <mergeCell ref="BB76:BF76"/>
    <mergeCell ref="BG76:BK76"/>
    <mergeCell ref="A78:BL78"/>
    <mergeCell ref="A79:BK79"/>
    <mergeCell ref="AR75:AV75"/>
    <mergeCell ref="AW75:BA75"/>
    <mergeCell ref="BB75:BF75"/>
    <mergeCell ref="BG75:BK75"/>
    <mergeCell ref="A76:D76"/>
    <mergeCell ref="E76:W76"/>
    <mergeCell ref="X76:AB76"/>
    <mergeCell ref="AC76:AG76"/>
    <mergeCell ref="AH76:AL76"/>
    <mergeCell ref="AM76:AQ76"/>
    <mergeCell ref="AR74:AV74"/>
    <mergeCell ref="AW74:BA74"/>
    <mergeCell ref="BB74:BF74"/>
    <mergeCell ref="BG74:BK74"/>
    <mergeCell ref="A75:D75"/>
    <mergeCell ref="E75:W75"/>
    <mergeCell ref="X75:AB75"/>
    <mergeCell ref="AC75:AG75"/>
    <mergeCell ref="AH75:AL75"/>
    <mergeCell ref="AM75:AQ75"/>
    <mergeCell ref="AR73:AV73"/>
    <mergeCell ref="AW73:BA73"/>
    <mergeCell ref="BB73:BF73"/>
    <mergeCell ref="BG73:BK73"/>
    <mergeCell ref="A74:D74"/>
    <mergeCell ref="E74:W74"/>
    <mergeCell ref="X74:AB74"/>
    <mergeCell ref="AC74:AG74"/>
    <mergeCell ref="AH74:AL74"/>
    <mergeCell ref="AM74:AQ74"/>
    <mergeCell ref="AR72:AV72"/>
    <mergeCell ref="AW72:BA72"/>
    <mergeCell ref="BB72:BF72"/>
    <mergeCell ref="BG72:BK72"/>
    <mergeCell ref="A73:D73"/>
    <mergeCell ref="E73:W73"/>
    <mergeCell ref="X73:AB73"/>
    <mergeCell ref="AC73:AG73"/>
    <mergeCell ref="AH73:AL73"/>
    <mergeCell ref="AM73:AQ73"/>
    <mergeCell ref="AR71:AV71"/>
    <mergeCell ref="AW71:BA71"/>
    <mergeCell ref="BB71:BF71"/>
    <mergeCell ref="BG71:BK71"/>
    <mergeCell ref="A72:D72"/>
    <mergeCell ref="E72:W72"/>
    <mergeCell ref="X72:AB72"/>
    <mergeCell ref="AC72:AG72"/>
    <mergeCell ref="AH72:AL72"/>
    <mergeCell ref="AM72:AQ72"/>
    <mergeCell ref="AR70:AV70"/>
    <mergeCell ref="AW70:BA70"/>
    <mergeCell ref="BB70:BF70"/>
    <mergeCell ref="BG70:BK70"/>
    <mergeCell ref="A71:D71"/>
    <mergeCell ref="E71:W71"/>
    <mergeCell ref="X71:AB71"/>
    <mergeCell ref="AC71:AG71"/>
    <mergeCell ref="AH71:AL71"/>
    <mergeCell ref="AM71:AQ71"/>
    <mergeCell ref="AR69:AV69"/>
    <mergeCell ref="AW69:BA69"/>
    <mergeCell ref="BB69:BF69"/>
    <mergeCell ref="BG69:BK69"/>
    <mergeCell ref="A70:D70"/>
    <mergeCell ref="E70:W70"/>
    <mergeCell ref="X70:AB70"/>
    <mergeCell ref="AC70:AG70"/>
    <mergeCell ref="AH70:AL70"/>
    <mergeCell ref="AM70:AQ70"/>
    <mergeCell ref="A69:D69"/>
    <mergeCell ref="E69:W69"/>
    <mergeCell ref="X69:AB69"/>
    <mergeCell ref="AC69:AG69"/>
    <mergeCell ref="AH69:AL69"/>
    <mergeCell ref="AM69:AQ69"/>
    <mergeCell ref="AH68:AL68"/>
    <mergeCell ref="AM68:AQ68"/>
    <mergeCell ref="AR68:AV68"/>
    <mergeCell ref="AW68:BA68"/>
    <mergeCell ref="BB68:BF68"/>
    <mergeCell ref="BG68:BK68"/>
    <mergeCell ref="BQ63:BT63"/>
    <mergeCell ref="BU63:BY63"/>
    <mergeCell ref="A65:BL65"/>
    <mergeCell ref="A66:BK66"/>
    <mergeCell ref="A67:D68"/>
    <mergeCell ref="E67:W68"/>
    <mergeCell ref="X67:AQ67"/>
    <mergeCell ref="AR67:BK67"/>
    <mergeCell ref="X68:AB68"/>
    <mergeCell ref="AC68:AG68"/>
    <mergeCell ref="AN63:AR63"/>
    <mergeCell ref="AS63:AW63"/>
    <mergeCell ref="AX63:BA63"/>
    <mergeCell ref="BB63:BF63"/>
    <mergeCell ref="BG63:BK63"/>
    <mergeCell ref="BL63:BP63"/>
    <mergeCell ref="A63:E63"/>
    <mergeCell ref="F63:T63"/>
    <mergeCell ref="U63:Y63"/>
    <mergeCell ref="Z63:AD63"/>
    <mergeCell ref="AE63:AH63"/>
    <mergeCell ref="AI63:AM63"/>
    <mergeCell ref="AX62:BA62"/>
    <mergeCell ref="BB62:BF62"/>
    <mergeCell ref="BG62:BK62"/>
    <mergeCell ref="BL62:BP62"/>
    <mergeCell ref="BQ62:BT62"/>
    <mergeCell ref="BU62:BY62"/>
    <mergeCell ref="BQ61:BT61"/>
    <mergeCell ref="BU61:BY61"/>
    <mergeCell ref="A62:E62"/>
    <mergeCell ref="F62:T62"/>
    <mergeCell ref="U62:Y62"/>
    <mergeCell ref="Z62:AD62"/>
    <mergeCell ref="AE62:AH62"/>
    <mergeCell ref="AI62:AM62"/>
    <mergeCell ref="AN62:AR62"/>
    <mergeCell ref="AS62:AW62"/>
    <mergeCell ref="AN61:AR61"/>
    <mergeCell ref="AS61:AW61"/>
    <mergeCell ref="AX61:BA61"/>
    <mergeCell ref="BB61:BF61"/>
    <mergeCell ref="BG61:BK61"/>
    <mergeCell ref="BL61:BP61"/>
    <mergeCell ref="BG60:BK60"/>
    <mergeCell ref="BL60:BP60"/>
    <mergeCell ref="BQ60:BT60"/>
    <mergeCell ref="BU60:BY60"/>
    <mergeCell ref="A61:E61"/>
    <mergeCell ref="F61:T61"/>
    <mergeCell ref="U61:Y61"/>
    <mergeCell ref="Z61:AD61"/>
    <mergeCell ref="AE61:AH61"/>
    <mergeCell ref="AI61:AM61"/>
    <mergeCell ref="AE60:AH60"/>
    <mergeCell ref="AI60:AM60"/>
    <mergeCell ref="AN60:AR60"/>
    <mergeCell ref="AS60:AW60"/>
    <mergeCell ref="AX60:BA60"/>
    <mergeCell ref="BB60:BF60"/>
    <mergeCell ref="BU55:BY55"/>
    <mergeCell ref="A57:BL57"/>
    <mergeCell ref="A58:BY58"/>
    <mergeCell ref="A59:E60"/>
    <mergeCell ref="F59:T60"/>
    <mergeCell ref="U59:AM59"/>
    <mergeCell ref="AN59:BF59"/>
    <mergeCell ref="BG59:BY59"/>
    <mergeCell ref="U60:Y60"/>
    <mergeCell ref="Z60:AD60"/>
    <mergeCell ref="AS55:AW55"/>
    <mergeCell ref="AX55:BA55"/>
    <mergeCell ref="BB55:BF55"/>
    <mergeCell ref="BG55:BK55"/>
    <mergeCell ref="BL55:BP55"/>
    <mergeCell ref="BQ55:BT55"/>
    <mergeCell ref="BL54:BP54"/>
    <mergeCell ref="BQ54:BT54"/>
    <mergeCell ref="BU54:BY54"/>
    <mergeCell ref="A55:D55"/>
    <mergeCell ref="E55:T55"/>
    <mergeCell ref="U55:Y55"/>
    <mergeCell ref="Z55:AD55"/>
    <mergeCell ref="AE55:AH55"/>
    <mergeCell ref="AI55:AM55"/>
    <mergeCell ref="AN55:AR55"/>
    <mergeCell ref="AI54:AM54"/>
    <mergeCell ref="AN54:AR54"/>
    <mergeCell ref="AS54:AW54"/>
    <mergeCell ref="AX54:BA54"/>
    <mergeCell ref="BB54:BF54"/>
    <mergeCell ref="BG54:BK54"/>
    <mergeCell ref="BB53:BF53"/>
    <mergeCell ref="BG53:BK53"/>
    <mergeCell ref="BL53:BP53"/>
    <mergeCell ref="BQ53:BT53"/>
    <mergeCell ref="BU53:BY53"/>
    <mergeCell ref="A54:D54"/>
    <mergeCell ref="E54:T54"/>
    <mergeCell ref="U54:Y54"/>
    <mergeCell ref="Z54:AD54"/>
    <mergeCell ref="AE54:AH54"/>
    <mergeCell ref="BU52:BY52"/>
    <mergeCell ref="A53:D53"/>
    <mergeCell ref="E53:T53"/>
    <mergeCell ref="U53:Y53"/>
    <mergeCell ref="Z53:AD53"/>
    <mergeCell ref="AE53:AH53"/>
    <mergeCell ref="AI53:AM53"/>
    <mergeCell ref="AN53:AR53"/>
    <mergeCell ref="AS53:AW53"/>
    <mergeCell ref="AX53:BA53"/>
    <mergeCell ref="AS52:AW52"/>
    <mergeCell ref="AX52:BA52"/>
    <mergeCell ref="BB52:BF52"/>
    <mergeCell ref="BG52:BK52"/>
    <mergeCell ref="BL52:BP52"/>
    <mergeCell ref="BQ52:BT52"/>
    <mergeCell ref="BL51:BP51"/>
    <mergeCell ref="BQ51:BT51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I51:AM51"/>
    <mergeCell ref="AN51:AR51"/>
    <mergeCell ref="AS51:AW51"/>
    <mergeCell ref="AX51:BA51"/>
    <mergeCell ref="BB51:BF51"/>
    <mergeCell ref="BG51:BK51"/>
    <mergeCell ref="BB50:BF50"/>
    <mergeCell ref="BG50:BK50"/>
    <mergeCell ref="BL50:BP50"/>
    <mergeCell ref="BQ50:BT50"/>
    <mergeCell ref="BU50:BY50"/>
    <mergeCell ref="A51:D51"/>
    <mergeCell ref="E51:T51"/>
    <mergeCell ref="U51:Y51"/>
    <mergeCell ref="Z51:AD51"/>
    <mergeCell ref="AE51:AH51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S50:AW50"/>
    <mergeCell ref="AX50:BA50"/>
    <mergeCell ref="AS49:AW49"/>
    <mergeCell ref="AX49:BA49"/>
    <mergeCell ref="BB49:BF49"/>
    <mergeCell ref="BG49:BK49"/>
    <mergeCell ref="BL49:BP49"/>
    <mergeCell ref="BQ49:BT49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AI49:AM49"/>
    <mergeCell ref="AN49:AR49"/>
    <mergeCell ref="AI48:AM48"/>
    <mergeCell ref="AN48:AR48"/>
    <mergeCell ref="AS48:AW48"/>
    <mergeCell ref="AX48:BA48"/>
    <mergeCell ref="BB48:BF48"/>
    <mergeCell ref="BG48:BK48"/>
    <mergeCell ref="BB47:BF47"/>
    <mergeCell ref="BG47:BK47"/>
    <mergeCell ref="BL47:BP47"/>
    <mergeCell ref="BQ47:BT47"/>
    <mergeCell ref="BU47:BY47"/>
    <mergeCell ref="A48:D48"/>
    <mergeCell ref="E48:T48"/>
    <mergeCell ref="U48:Y48"/>
    <mergeCell ref="Z48:AD48"/>
    <mergeCell ref="AE48:AH48"/>
    <mergeCell ref="Z47:AD47"/>
    <mergeCell ref="AE47:AH47"/>
    <mergeCell ref="AI47:AM47"/>
    <mergeCell ref="AN47:AR47"/>
    <mergeCell ref="AS47:AW47"/>
    <mergeCell ref="AX47:BA47"/>
    <mergeCell ref="BG40:BK40"/>
    <mergeCell ref="A43:BY43"/>
    <mergeCell ref="A44:BY44"/>
    <mergeCell ref="A45:BY45"/>
    <mergeCell ref="A46:D47"/>
    <mergeCell ref="E46:T47"/>
    <mergeCell ref="U46:AM46"/>
    <mergeCell ref="AN46:BF46"/>
    <mergeCell ref="BG46:BY46"/>
    <mergeCell ref="U47:Y47"/>
    <mergeCell ref="BG39:BK39"/>
    <mergeCell ref="A40:D40"/>
    <mergeCell ref="E40:W40"/>
    <mergeCell ref="X40:AB40"/>
    <mergeCell ref="AC40:AG40"/>
    <mergeCell ref="AH40:AL40"/>
    <mergeCell ref="AM40:AQ40"/>
    <mergeCell ref="AR40:AV40"/>
    <mergeCell ref="AW40:BA40"/>
    <mergeCell ref="BB40:BF40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9:BA39"/>
    <mergeCell ref="BB39:BF39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8:BA38"/>
    <mergeCell ref="BB38:BF38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7:BA37"/>
    <mergeCell ref="BB37:BF37"/>
    <mergeCell ref="AC36:AG36"/>
    <mergeCell ref="AH36:AL36"/>
    <mergeCell ref="AM36:AQ36"/>
    <mergeCell ref="AR36:AV36"/>
    <mergeCell ref="AW36:BA36"/>
    <mergeCell ref="BB36:BF36"/>
    <mergeCell ref="BL31:BP31"/>
    <mergeCell ref="BQ31:BT31"/>
    <mergeCell ref="BU31:BY31"/>
    <mergeCell ref="A33:BL33"/>
    <mergeCell ref="A34:BK34"/>
    <mergeCell ref="A35:D36"/>
    <mergeCell ref="E35:W36"/>
    <mergeCell ref="X35:AQ35"/>
    <mergeCell ref="AR35:BK35"/>
    <mergeCell ref="X36:AB36"/>
    <mergeCell ref="AI31:AM31"/>
    <mergeCell ref="AN31:AR31"/>
    <mergeCell ref="AS31:AW31"/>
    <mergeCell ref="AX31:BA31"/>
    <mergeCell ref="BB31:BF31"/>
    <mergeCell ref="BG31:BK31"/>
    <mergeCell ref="BB30:BF30"/>
    <mergeCell ref="BG30:BK30"/>
    <mergeCell ref="BL30:BP30"/>
    <mergeCell ref="BQ30:BT30"/>
    <mergeCell ref="BU30:BY30"/>
    <mergeCell ref="A31:D31"/>
    <mergeCell ref="E31:T31"/>
    <mergeCell ref="U31:Y31"/>
    <mergeCell ref="Z31:AD31"/>
    <mergeCell ref="AE31:AH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94 A162 A103">
    <cfRule type="cellIs" dxfId="40" priority="38" stopIfTrue="1" operator="equal">
      <formula>A93</formula>
    </cfRule>
  </conditionalFormatting>
  <conditionalFormatting sqref="A113:C113 A128:C128">
    <cfRule type="cellIs" dxfId="39" priority="39" stopIfTrue="1" operator="equal">
      <formula>A112</formula>
    </cfRule>
    <cfRule type="cellIs" dxfId="38" priority="40" stopIfTrue="1" operator="equal">
      <formula>0</formula>
    </cfRule>
  </conditionalFormatting>
  <conditionalFormatting sqref="A95">
    <cfRule type="cellIs" dxfId="37" priority="37" stopIfTrue="1" operator="equal">
      <formula>A94</formula>
    </cfRule>
  </conditionalFormatting>
  <conditionalFormatting sqref="A105">
    <cfRule type="cellIs" dxfId="36" priority="41" stopIfTrue="1" operator="equal">
      <formula>A103</formula>
    </cfRule>
  </conditionalFormatting>
  <conditionalFormatting sqref="A104">
    <cfRule type="cellIs" dxfId="35" priority="36" stopIfTrue="1" operator="equal">
      <formula>A103</formula>
    </cfRule>
  </conditionalFormatting>
  <conditionalFormatting sqref="A163">
    <cfRule type="cellIs" dxfId="34" priority="3" stopIfTrue="1" operator="equal">
      <formula>A162</formula>
    </cfRule>
  </conditionalFormatting>
  <conditionalFormatting sqref="A114:C114">
    <cfRule type="cellIs" dxfId="33" priority="34" stopIfTrue="1" operator="equal">
      <formula>A113</formula>
    </cfRule>
    <cfRule type="cellIs" dxfId="32" priority="35" stopIfTrue="1" operator="equal">
      <formula>0</formula>
    </cfRule>
  </conditionalFormatting>
  <conditionalFormatting sqref="A115:C115">
    <cfRule type="cellIs" dxfId="31" priority="32" stopIfTrue="1" operator="equal">
      <formula>A114</formula>
    </cfRule>
    <cfRule type="cellIs" dxfId="30" priority="33" stopIfTrue="1" operator="equal">
      <formula>0</formula>
    </cfRule>
  </conditionalFormatting>
  <conditionalFormatting sqref="A116:C116">
    <cfRule type="cellIs" dxfId="29" priority="30" stopIfTrue="1" operator="equal">
      <formula>A115</formula>
    </cfRule>
    <cfRule type="cellIs" dxfId="28" priority="31" stopIfTrue="1" operator="equal">
      <formula>0</formula>
    </cfRule>
  </conditionalFormatting>
  <conditionalFormatting sqref="A117:C117">
    <cfRule type="cellIs" dxfId="27" priority="28" stopIfTrue="1" operator="equal">
      <formula>A116</formula>
    </cfRule>
    <cfRule type="cellIs" dxfId="26" priority="29" stopIfTrue="1" operator="equal">
      <formula>0</formula>
    </cfRule>
  </conditionalFormatting>
  <conditionalFormatting sqref="A118:C118">
    <cfRule type="cellIs" dxfId="25" priority="26" stopIfTrue="1" operator="equal">
      <formula>A117</formula>
    </cfRule>
    <cfRule type="cellIs" dxfId="24" priority="27" stopIfTrue="1" operator="equal">
      <formula>0</formula>
    </cfRule>
  </conditionalFormatting>
  <conditionalFormatting sqref="A119:C119">
    <cfRule type="cellIs" dxfId="23" priority="24" stopIfTrue="1" operator="equal">
      <formula>A118</formula>
    </cfRule>
    <cfRule type="cellIs" dxfId="22" priority="25" stopIfTrue="1" operator="equal">
      <formula>0</formula>
    </cfRule>
  </conditionalFormatting>
  <conditionalFormatting sqref="A120:C120">
    <cfRule type="cellIs" dxfId="21" priority="22" stopIfTrue="1" operator="equal">
      <formula>A119</formula>
    </cfRule>
    <cfRule type="cellIs" dxfId="20" priority="23" stopIfTrue="1" operator="equal">
      <formula>0</formula>
    </cfRule>
  </conditionalFormatting>
  <conditionalFormatting sqref="A121:C121">
    <cfRule type="cellIs" dxfId="19" priority="20" stopIfTrue="1" operator="equal">
      <formula>A120</formula>
    </cfRule>
    <cfRule type="cellIs" dxfId="18" priority="21" stopIfTrue="1" operator="equal">
      <formula>0</formula>
    </cfRule>
  </conditionalFormatting>
  <conditionalFormatting sqref="A129:C129">
    <cfRule type="cellIs" dxfId="17" priority="18" stopIfTrue="1" operator="equal">
      <formula>A128</formula>
    </cfRule>
    <cfRule type="cellIs" dxfId="16" priority="19" stopIfTrue="1" operator="equal">
      <formula>0</formula>
    </cfRule>
  </conditionalFormatting>
  <conditionalFormatting sqref="A130:C130">
    <cfRule type="cellIs" dxfId="15" priority="16" stopIfTrue="1" operator="equal">
      <formula>A129</formula>
    </cfRule>
    <cfRule type="cellIs" dxfId="14" priority="17" stopIfTrue="1" operator="equal">
      <formula>0</formula>
    </cfRule>
  </conditionalFormatting>
  <conditionalFormatting sqref="A131:C131">
    <cfRule type="cellIs" dxfId="13" priority="14" stopIfTrue="1" operator="equal">
      <formula>A130</formula>
    </cfRule>
    <cfRule type="cellIs" dxfId="12" priority="15" stopIfTrue="1" operator="equal">
      <formula>0</formula>
    </cfRule>
  </conditionalFormatting>
  <conditionalFormatting sqref="A132:C132">
    <cfRule type="cellIs" dxfId="11" priority="12" stopIfTrue="1" operator="equal">
      <formula>A131</formula>
    </cfRule>
    <cfRule type="cellIs" dxfId="10" priority="13" stopIfTrue="1" operator="equal">
      <formula>0</formula>
    </cfRule>
  </conditionalFormatting>
  <conditionalFormatting sqref="A133:C133">
    <cfRule type="cellIs" dxfId="9" priority="10" stopIfTrue="1" operator="equal">
      <formula>A132</formula>
    </cfRule>
    <cfRule type="cellIs" dxfId="8" priority="11" stopIfTrue="1" operator="equal">
      <formula>0</formula>
    </cfRule>
  </conditionalFormatting>
  <conditionalFormatting sqref="A134:C134">
    <cfRule type="cellIs" dxfId="7" priority="8" stopIfTrue="1" operator="equal">
      <formula>A133</formula>
    </cfRule>
    <cfRule type="cellIs" dxfId="6" priority="9" stopIfTrue="1" operator="equal">
      <formula>0</formula>
    </cfRule>
  </conditionalFormatting>
  <conditionalFormatting sqref="A135:C135">
    <cfRule type="cellIs" dxfId="5" priority="6" stopIfTrue="1" operator="equal">
      <formula>A134</formula>
    </cfRule>
    <cfRule type="cellIs" dxfId="4" priority="7" stopIfTrue="1" operator="equal">
      <formula>0</formula>
    </cfRule>
  </conditionalFormatting>
  <conditionalFormatting sqref="A136:C136">
    <cfRule type="cellIs" dxfId="3" priority="4" stopIfTrue="1" operator="equal">
      <formula>A135</formula>
    </cfRule>
    <cfRule type="cellIs" dxfId="2" priority="5" stopIfTrue="1" operator="equal">
      <formula>0</formula>
    </cfRule>
  </conditionalFormatting>
  <conditionalFormatting sqref="A164">
    <cfRule type="cellIs" dxfId="1" priority="2" stopIfTrue="1" operator="equal">
      <formula>A163</formula>
    </cfRule>
  </conditionalFormatting>
  <conditionalFormatting sqref="A165">
    <cfRule type="cellIs" dxfId="0" priority="1" stopIfTrue="1" operator="equal">
      <formula>A164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Додаток1</vt:lpstr>
      <vt:lpstr>Додаток2 КПК0910160</vt:lpstr>
      <vt:lpstr>Додаток1!Область_печати</vt:lpstr>
      <vt:lpstr>'Додаток2 КПК0910160'!Область_печати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</cp:lastModifiedBy>
  <cp:lastPrinted>2025-01-06T08:38:50Z</cp:lastPrinted>
  <dcterms:created xsi:type="dcterms:W3CDTF">2016-07-02T12:27:50Z</dcterms:created>
  <dcterms:modified xsi:type="dcterms:W3CDTF">2025-01-27T07:00:57Z</dcterms:modified>
</cp:coreProperties>
</file>