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FC48DB6B-4A65-4A34-9E3E-96209C645DE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1" r:id="rId1"/>
  </sheets>
  <definedNames>
    <definedName name="_xlnm.Print_Area" localSheetId="0">КПК0116020!$A$1:$BQ$119</definedName>
  </definedNames>
  <calcPr calcId="191029"/>
</workbook>
</file>

<file path=xl/calcChain.xml><?xml version="1.0" encoding="utf-8"?>
<calcChain xmlns="http://schemas.openxmlformats.org/spreadsheetml/2006/main">
  <c r="BH95" i="1" l="1"/>
  <c r="BC95" i="1"/>
  <c r="BH93" i="1"/>
  <c r="BC93" i="1"/>
  <c r="BH91" i="1"/>
  <c r="BC91" i="1"/>
  <c r="BH89" i="1"/>
  <c r="BC89" i="1"/>
  <c r="BD79" i="1"/>
  <c r="AY79" i="1"/>
  <c r="BI79" i="1" s="1"/>
  <c r="AS79" i="1"/>
  <c r="AC79" i="1"/>
  <c r="BD78" i="1"/>
  <c r="AY78" i="1"/>
  <c r="AS78" i="1"/>
  <c r="AC78" i="1"/>
  <c r="BI57" i="1"/>
  <c r="BD57" i="1"/>
  <c r="AZ57" i="1"/>
  <c r="AK57" i="1"/>
  <c r="BI56" i="1"/>
  <c r="BD56" i="1"/>
  <c r="AZ56" i="1"/>
  <c r="AK56" i="1"/>
  <c r="BI55" i="1"/>
  <c r="BD55" i="1"/>
  <c r="AZ55" i="1"/>
  <c r="AK55" i="1"/>
  <c r="BI54" i="1"/>
  <c r="BD54" i="1"/>
  <c r="AZ54" i="1"/>
  <c r="AK54" i="1"/>
  <c r="BI53" i="1"/>
  <c r="BD53" i="1"/>
  <c r="AZ53" i="1"/>
  <c r="AK53" i="1"/>
  <c r="BI52" i="1"/>
  <c r="BD52" i="1"/>
  <c r="AZ52" i="1"/>
  <c r="AK52" i="1"/>
  <c r="BI51" i="1"/>
  <c r="BD51" i="1"/>
  <c r="AZ51" i="1"/>
  <c r="AK51" i="1"/>
  <c r="BI50" i="1"/>
  <c r="BD50" i="1"/>
  <c r="AZ50" i="1"/>
  <c r="AK50" i="1"/>
  <c r="BI49" i="1"/>
  <c r="BD49" i="1"/>
  <c r="AZ49" i="1"/>
  <c r="AK49" i="1"/>
  <c r="BI48" i="1"/>
  <c r="BD48" i="1"/>
  <c r="AZ48" i="1"/>
  <c r="AK48" i="1"/>
  <c r="BI47" i="1"/>
  <c r="BD47" i="1"/>
  <c r="AZ47" i="1"/>
  <c r="AK47" i="1"/>
  <c r="BI46" i="1"/>
  <c r="BD46" i="1"/>
  <c r="AZ46" i="1"/>
  <c r="AK46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I78" i="1" l="1"/>
  <c r="BN57" i="1"/>
  <c r="BN56" i="1"/>
  <c r="BN55" i="1"/>
  <c r="BN54" i="1"/>
  <c r="BN53" i="1"/>
  <c r="BN52" i="1"/>
  <c r="BN51" i="1"/>
  <c r="BN50" i="1"/>
  <c r="BN48" i="1"/>
  <c r="BN49" i="1"/>
  <c r="BN47" i="1"/>
  <c r="BN46" i="1"/>
  <c r="BN45" i="1"/>
  <c r="BN44" i="1"/>
  <c r="BN43" i="1"/>
</calcChain>
</file>

<file path=xl/sharedStrings.xml><?xml version="1.0" encoding="utf-8"?>
<sst xmlns="http://schemas.openxmlformats.org/spreadsheetml/2006/main" count="224" uniqueCount="136">
  <si>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</si>
  <si>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</si>
  <si>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</si>
  <si>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</si>
  <si>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</si>
  <si>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</si>
  <si>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</si>
  <si>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</si>
  <si>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</si>
  <si>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</si>
  <si>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</si>
  <si>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</si>
  <si>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</si>
  <si>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</si>
  <si>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</si>
  <si>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</si>
  <si>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</si>
  <si>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</si>
  <si>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</si>
  <si>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</si>
  <si>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</si>
  <si>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</si>
  <si>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</si>
  <si>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</si>
  <si>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</si>
  <si>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</si>
  <si>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</si>
  <si>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</si>
  <si>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</si>
  <si>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</si>
  <si>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</si>
  <si>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</si>
  <si>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</si>
  <si>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</si>
  <si>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</si>
  <si>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</si>
  <si>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</si>
  <si>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</si>
  <si>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</si>
  <si>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</si>
  <si>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</si>
  <si>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</si>
  <si>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</si>
  <si>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</si>
  <si>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</si>
  <si>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</si>
  <si>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</si>
  <si>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</si>
  <si>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</si>
  <si>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</si>
  <si>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</si>
  <si>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</si>
  <si>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</si>
  <si>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</si>
  <si>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</si>
  <si>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</si>
  <si>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</si>
  <si>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</si>
  <si>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</si>
  <si>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</si>
  <si>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</si>
  <si>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</si>
  <si>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</si>
  <si>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</si>
  <si>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</si>
  <si>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</si>
  <si>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</si>
  <si>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</si>
  <si>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</si>
  <si>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</si>
  <si>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</si>
  <si>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</si>
  <si>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</si>
  <si>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</si>
  <si>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</si>
  <si>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</si>
  <si>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</si>
  <si>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</si>
  <si>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</si>
  <si>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</si>
  <si>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Оплата водопостачання та водовідведення</t>
  </si>
  <si>
    <t>Оплата електроенергії</t>
  </si>
  <si>
    <t>Оплата послуг з охорони</t>
  </si>
  <si>
    <t>Оплата послуг з технічного обслуговування електричного і механічного устаткування</t>
  </si>
  <si>
    <t>Оплата інформаційних послуг (розробка проектної документації для отримання дозволу на спеціальне водокористування)</t>
  </si>
  <si>
    <t>Оплата послуг з технічного обслуговування та регламентної експлуатації водопровідних мереж</t>
  </si>
  <si>
    <t>Оплата послуг з технічного обслуговування та поточного ремонту транспортних засобів</t>
  </si>
  <si>
    <t>Оплата послуг з поточного ремонту водопровідних мереж</t>
  </si>
  <si>
    <t>Придбання гіпохлориту натрію для знезараження води в системах централізованого питного водопостачання</t>
  </si>
  <si>
    <t>Заробітна плата</t>
  </si>
  <si>
    <t>Нарахування на оплату праці</t>
  </si>
  <si>
    <t>Придбання шин</t>
  </si>
  <si>
    <t>Придбання пально-мастильних матеріалів</t>
  </si>
  <si>
    <t>Оплата послуг з проведення поточного ремонту і технічного обслуговування техніки і механізмів мережі водозабезпечення вул.Шляхова, 5, с.Лукашеве</t>
  </si>
  <si>
    <t>УСЬОГО</t>
  </si>
  <si>
    <t>Відключення електропостачання під час проведення планових та аварійних робіт</t>
  </si>
  <si>
    <t>Оплата проводилася згідно наданих актів виконаних робіт</t>
  </si>
  <si>
    <t>Придбання гіпохлориту натрію в обсязі, меншому ніж заплановано</t>
  </si>
  <si>
    <t>Відхилення між запланованими та фактичними видатками виникла в межах округлення до повних гривень. Сума відхилення є незначною та не вплинула на реалізацію бюджетної програми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</si>
  <si>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2024 рік</t>
  </si>
  <si>
    <t>Усього</t>
  </si>
  <si>
    <t>затрат</t>
  </si>
  <si>
    <t/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</si>
  <si>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</si>
  <si>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</si>
  <si>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</si>
  <si>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</si>
  <si>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</si>
  <si>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</si>
  <si>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</si>
  <si>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</si>
  <si>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</si>
  <si>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</si>
  <si>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</si>
  <si>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</si>
  <si>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</si>
  <si>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Використання фінансової підтримки не в повному обсязі</t>
  </si>
  <si>
    <t>Забезпечення належної та безперебійної роботи КП "Благводсервіс Широківської громади" із надання послуг населенню</t>
  </si>
  <si>
    <t>Мета бюджетної програми виконана в повному обсязіі._x000D_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реалізовані заходи та завдання Програми фінансової підтримки комунального підприємства "Благводсервіс Широківської громади Широківської сільської ради Запорізького району Запорізької області на 2024 рік._x000D_
У 2024 році КП "Благводсервіс Широківської громади":_x000D_
-  виконувались роботи з утримання в належному стані водопровідних мереж (проведення загальних та періодичних оглядів трубопроводів питного водопостачання на предмет течі, перевірка оглядових колодязів та запірної арматури, виведення повітря з системи північно-групового водоводу, очищення фільтрів, заміна прокладок у фланцевих з"єднаннях трубопроводу, регулювання засувок на системі північно-групового водоводу, вимірювання тиску в системах трубопроводів та регулювання тиску, ревізія та діагностика насосоного обладнання, обслуговування насосоного обладнання, ліквідація поривів на мережех трубопроводів, підвезення води населенню);_x000D_
- виконувались роботи зі збирання та утилізації твердих побутових відходів (на території громади розташовано 381 сміттєвий контейнер)._x000D_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</si>
  <si>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</si>
  <si>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</si>
  <si>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</si>
  <si>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</si>
  <si>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</si>
  <si>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</si>
  <si>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</si>
  <si>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</si>
  <si>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</si>
  <si>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</si>
  <si>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</si>
  <si>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</si>
  <si>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Широківська сільська рада Запорізького району Запорізької області</t>
  </si>
  <si>
    <t>0110000</t>
  </si>
  <si>
    <t>6020</t>
  </si>
  <si>
    <t>0620</t>
  </si>
  <si>
    <t>Результативні показники бюджетної програми виконані в повному обсязі.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</si>
</sst>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9"/>
  <sheetViews>
    <sheetView tabSelected="1" topLeftCell="A12" zoomScaleNormal="100" workbookViewId="0">
      <selection activeCell="A118" sqref="A118:V118"/>
    </sheetView>
  </sheetViews>
  <sheetFormatPr defaultRowHeight="12.75" x14ac:dyDescent="0.2"/>
  <cols>
    <col min="1" max="1" width="3.28515625" style="1" customWidth="1"/>
    <col min="2" max="2" width="3.42578125" style="1" customWidth="1"/>
    <col min="3" max="54" width="2.85546875" style="1" customWidth="1"/>
    <col min="55" max="55" width="4.28515625" style="1" customWidth="1"/>
    <col min="56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6" t="s">
        <v>59</v>
      </c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</row>
    <row r="3" spans="1:64" ht="9" customHeight="1" x14ac:dyDescent="0.2"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</row>
    <row r="4" spans="1:64" ht="15.75" customHeight="1" x14ac:dyDescent="0.2"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</row>
    <row r="7" spans="1:64" ht="9.75" hidden="1" customHeight="1" x14ac:dyDescent="0.2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</row>
    <row r="8" spans="1:64" ht="9.75" hidden="1" customHeight="1" x14ac:dyDescent="0.2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</row>
    <row r="9" spans="1:64" ht="8.25" hidden="1" customHeight="1" x14ac:dyDescent="0.2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</row>
    <row r="10" spans="1:64" ht="15.75" x14ac:dyDescent="0.2">
      <c r="A10" s="88" t="s">
        <v>18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</row>
    <row r="11" spans="1:64" ht="15.75" customHeight="1" x14ac:dyDescent="0.2">
      <c r="A11" s="88" t="s">
        <v>35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</row>
    <row r="12" spans="1:64" ht="15.75" customHeight="1" x14ac:dyDescent="0.2">
      <c r="A12" s="88" t="s">
        <v>128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70" t="s">
        <v>119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15"/>
      <c r="N14" s="75" t="s">
        <v>120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16"/>
      <c r="AU14" s="70" t="s">
        <v>125</v>
      </c>
      <c r="AV14" s="71"/>
      <c r="AW14" s="71"/>
      <c r="AX14" s="71"/>
      <c r="AY14" s="71"/>
      <c r="AZ14" s="71"/>
      <c r="BA14" s="71"/>
      <c r="BB14" s="71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9" t="s">
        <v>51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17"/>
      <c r="N15" s="76" t="s">
        <v>52</v>
      </c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17"/>
      <c r="AU15" s="69" t="s">
        <v>53</v>
      </c>
      <c r="AV15" s="69"/>
      <c r="AW15" s="69"/>
      <c r="AX15" s="69"/>
      <c r="AY15" s="69"/>
      <c r="AZ15" s="69"/>
      <c r="BA15" s="69"/>
      <c r="BB15" s="69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70" t="s">
        <v>132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15"/>
      <c r="N17" s="75" t="s">
        <v>131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16"/>
      <c r="AU17" s="70" t="s">
        <v>125</v>
      </c>
      <c r="AV17" s="71"/>
      <c r="AW17" s="71"/>
      <c r="AX17" s="71"/>
      <c r="AY17" s="71"/>
      <c r="AZ17" s="71"/>
      <c r="BA17" s="71"/>
      <c r="BB17" s="71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9" t="s">
        <v>51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17"/>
      <c r="N18" s="76" t="s">
        <v>54</v>
      </c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17"/>
      <c r="AU18" s="69" t="s">
        <v>53</v>
      </c>
      <c r="AV18" s="69"/>
      <c r="AW18" s="69"/>
      <c r="AX18" s="69"/>
      <c r="AY18" s="69"/>
      <c r="AZ18" s="69"/>
      <c r="BA18" s="69"/>
      <c r="BB18" s="69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42.75" customHeight="1" x14ac:dyDescent="0.2">
      <c r="A20" s="14" t="s">
        <v>34</v>
      </c>
      <c r="B20" s="70" t="s">
        <v>129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/>
      <c r="N20" s="70" t="s">
        <v>133</v>
      </c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19"/>
      <c r="AA20" s="70" t="s">
        <v>134</v>
      </c>
      <c r="AB20" s="71"/>
      <c r="AC20" s="71"/>
      <c r="AD20" s="71"/>
      <c r="AE20" s="71"/>
      <c r="AF20" s="71"/>
      <c r="AG20" s="71"/>
      <c r="AH20" s="71"/>
      <c r="AI20" s="71"/>
      <c r="AJ20" s="19"/>
      <c r="AK20" s="72" t="s">
        <v>130</v>
      </c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19"/>
      <c r="BE20" s="70" t="s">
        <v>126</v>
      </c>
      <c r="BF20" s="71"/>
      <c r="BG20" s="71"/>
      <c r="BH20" s="71"/>
      <c r="BI20" s="71"/>
      <c r="BJ20" s="71"/>
      <c r="BK20" s="71"/>
      <c r="BL20" s="71"/>
    </row>
    <row r="21" spans="1:79" ht="23.25" customHeight="1" x14ac:dyDescent="0.2">
      <c r="A21"/>
      <c r="B21" s="69" t="s">
        <v>51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/>
      <c r="N21" s="69" t="s">
        <v>55</v>
      </c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21"/>
      <c r="AA21" s="74" t="s">
        <v>56</v>
      </c>
      <c r="AB21" s="74"/>
      <c r="AC21" s="74"/>
      <c r="AD21" s="74"/>
      <c r="AE21" s="74"/>
      <c r="AF21" s="74"/>
      <c r="AG21" s="74"/>
      <c r="AH21" s="74"/>
      <c r="AI21" s="74"/>
      <c r="AJ21" s="21"/>
      <c r="AK21" s="81" t="s">
        <v>57</v>
      </c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21"/>
      <c r="BE21" s="69" t="s">
        <v>58</v>
      </c>
      <c r="BF21" s="69"/>
      <c r="BG21" s="69"/>
      <c r="BH21" s="69"/>
      <c r="BI21" s="69"/>
      <c r="BJ21" s="69"/>
      <c r="BK21" s="69"/>
      <c r="BL21" s="69"/>
    </row>
    <row r="22" spans="1:79" ht="6.75" customHeight="1" x14ac:dyDescent="0.2"/>
    <row r="23" spans="1:79" ht="15.75" customHeight="1" x14ac:dyDescent="0.2">
      <c r="A23" s="56" t="s">
        <v>77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</row>
    <row r="24" spans="1:79" ht="27.75" customHeight="1" x14ac:dyDescent="0.2">
      <c r="A24" s="77" t="s">
        <v>3</v>
      </c>
      <c r="B24" s="77"/>
      <c r="C24" s="77"/>
      <c r="D24" s="77"/>
      <c r="E24" s="77"/>
      <c r="F24" s="77"/>
      <c r="G24" s="78" t="s">
        <v>38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80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2" t="s">
        <v>14</v>
      </c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4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6" t="s">
        <v>40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15.95" customHeight="1" x14ac:dyDescent="0.2">
      <c r="A29" s="114" t="s">
        <v>117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6" t="s">
        <v>41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</row>
    <row r="32" spans="1:79" ht="27.75" customHeight="1" x14ac:dyDescent="0.2">
      <c r="A32" s="77" t="s">
        <v>3</v>
      </c>
      <c r="B32" s="77"/>
      <c r="C32" s="77"/>
      <c r="D32" s="77"/>
      <c r="E32" s="77"/>
      <c r="F32" s="77"/>
      <c r="G32" s="78" t="s">
        <v>39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80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2" t="s">
        <v>14</v>
      </c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4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6" t="s">
        <v>72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</row>
    <row r="37" spans="1:79" ht="15.75" customHeight="1" x14ac:dyDescent="0.2">
      <c r="A37" s="56" t="s">
        <v>73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</row>
    <row r="38" spans="1:79" ht="15" customHeight="1" x14ac:dyDescent="0.2">
      <c r="A38" s="99" t="s">
        <v>127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2" t="s">
        <v>3</v>
      </c>
      <c r="B39" s="62"/>
      <c r="C39" s="62" t="s">
        <v>67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 t="s">
        <v>25</v>
      </c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 t="s">
        <v>44</v>
      </c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 t="s">
        <v>0</v>
      </c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</row>
    <row r="40" spans="1:79" ht="29.1" customHeight="1" x14ac:dyDescent="0.2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 t="s">
        <v>2</v>
      </c>
      <c r="AB40" s="62"/>
      <c r="AC40" s="62"/>
      <c r="AD40" s="62"/>
      <c r="AE40" s="62"/>
      <c r="AF40" s="62" t="s">
        <v>1</v>
      </c>
      <c r="AG40" s="62"/>
      <c r="AH40" s="62"/>
      <c r="AI40" s="62"/>
      <c r="AJ40" s="62"/>
      <c r="AK40" s="62" t="s">
        <v>26</v>
      </c>
      <c r="AL40" s="62"/>
      <c r="AM40" s="62"/>
      <c r="AN40" s="62"/>
      <c r="AO40" s="62"/>
      <c r="AP40" s="62" t="s">
        <v>2</v>
      </c>
      <c r="AQ40" s="62"/>
      <c r="AR40" s="62"/>
      <c r="AS40" s="62"/>
      <c r="AT40" s="62"/>
      <c r="AU40" s="62" t="s">
        <v>1</v>
      </c>
      <c r="AV40" s="62"/>
      <c r="AW40" s="62"/>
      <c r="AX40" s="62"/>
      <c r="AY40" s="62"/>
      <c r="AZ40" s="62" t="s">
        <v>26</v>
      </c>
      <c r="BA40" s="62"/>
      <c r="BB40" s="62"/>
      <c r="BC40" s="62"/>
      <c r="BD40" s="62" t="s">
        <v>2</v>
      </c>
      <c r="BE40" s="62"/>
      <c r="BF40" s="62"/>
      <c r="BG40" s="62"/>
      <c r="BH40" s="62"/>
      <c r="BI40" s="62" t="s">
        <v>1</v>
      </c>
      <c r="BJ40" s="62"/>
      <c r="BK40" s="62"/>
      <c r="BL40" s="62"/>
      <c r="BM40" s="62"/>
      <c r="BN40" s="62" t="s">
        <v>27</v>
      </c>
      <c r="BO40" s="62"/>
      <c r="BP40" s="62"/>
      <c r="BQ40" s="62"/>
    </row>
    <row r="41" spans="1:79" ht="15.95" customHeight="1" x14ac:dyDescent="0.2">
      <c r="A41" s="62">
        <v>1</v>
      </c>
      <c r="B41" s="62"/>
      <c r="C41" s="62">
        <v>2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7">
        <v>3</v>
      </c>
      <c r="AB41" s="63"/>
      <c r="AC41" s="63"/>
      <c r="AD41" s="63"/>
      <c r="AE41" s="64"/>
      <c r="AF41" s="57">
        <v>4</v>
      </c>
      <c r="AG41" s="63"/>
      <c r="AH41" s="63"/>
      <c r="AI41" s="63"/>
      <c r="AJ41" s="64"/>
      <c r="AK41" s="57">
        <v>5</v>
      </c>
      <c r="AL41" s="63"/>
      <c r="AM41" s="63"/>
      <c r="AN41" s="63"/>
      <c r="AO41" s="64"/>
      <c r="AP41" s="57">
        <v>6</v>
      </c>
      <c r="AQ41" s="63"/>
      <c r="AR41" s="63"/>
      <c r="AS41" s="63"/>
      <c r="AT41" s="64"/>
      <c r="AU41" s="57">
        <v>7</v>
      </c>
      <c r="AV41" s="63"/>
      <c r="AW41" s="63"/>
      <c r="AX41" s="63"/>
      <c r="AY41" s="64"/>
      <c r="AZ41" s="57">
        <v>8</v>
      </c>
      <c r="BA41" s="63"/>
      <c r="BB41" s="63"/>
      <c r="BC41" s="64"/>
      <c r="BD41" s="57">
        <v>9</v>
      </c>
      <c r="BE41" s="63"/>
      <c r="BF41" s="63"/>
      <c r="BG41" s="63"/>
      <c r="BH41" s="64"/>
      <c r="BI41" s="62">
        <v>10</v>
      </c>
      <c r="BJ41" s="62"/>
      <c r="BK41" s="62"/>
      <c r="BL41" s="62"/>
      <c r="BM41" s="62"/>
      <c r="BN41" s="62">
        <v>11</v>
      </c>
      <c r="BO41" s="62"/>
      <c r="BP41" s="62"/>
      <c r="BQ41" s="62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55"/>
      <c r="AA42" s="65" t="s">
        <v>10</v>
      </c>
      <c r="AB42" s="65"/>
      <c r="AC42" s="65"/>
      <c r="AD42" s="65"/>
      <c r="AE42" s="65"/>
      <c r="AF42" s="65" t="s">
        <v>9</v>
      </c>
      <c r="AG42" s="65"/>
      <c r="AH42" s="65"/>
      <c r="AI42" s="65"/>
      <c r="AJ42" s="65"/>
      <c r="AK42" s="31" t="s">
        <v>16</v>
      </c>
      <c r="AL42" s="31"/>
      <c r="AM42" s="31"/>
      <c r="AN42" s="31"/>
      <c r="AO42" s="31"/>
      <c r="AP42" s="65" t="s">
        <v>11</v>
      </c>
      <c r="AQ42" s="65"/>
      <c r="AR42" s="65"/>
      <c r="AS42" s="65"/>
      <c r="AT42" s="65"/>
      <c r="AU42" s="65" t="s">
        <v>12</v>
      </c>
      <c r="AV42" s="65"/>
      <c r="AW42" s="65"/>
      <c r="AX42" s="65"/>
      <c r="AY42" s="65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15" customHeight="1" x14ac:dyDescent="0.2">
      <c r="A43" s="39">
        <v>1</v>
      </c>
      <c r="B43" s="39"/>
      <c r="C43" s="40" t="s">
        <v>80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3447000</v>
      </c>
      <c r="AB43" s="47"/>
      <c r="AC43" s="47"/>
      <c r="AD43" s="47"/>
      <c r="AE43" s="47"/>
      <c r="AF43" s="47">
        <v>0</v>
      </c>
      <c r="AG43" s="47"/>
      <c r="AH43" s="47"/>
      <c r="AI43" s="47"/>
      <c r="AJ43" s="47"/>
      <c r="AK43" s="47">
        <f t="shared" ref="AK43:AK57" si="0">AA43+AF43</f>
        <v>3447000</v>
      </c>
      <c r="AL43" s="47"/>
      <c r="AM43" s="47"/>
      <c r="AN43" s="47"/>
      <c r="AO43" s="47"/>
      <c r="AP43" s="47">
        <v>3445864.71</v>
      </c>
      <c r="AQ43" s="47"/>
      <c r="AR43" s="47"/>
      <c r="AS43" s="47"/>
      <c r="AT43" s="47"/>
      <c r="AU43" s="47">
        <v>0</v>
      </c>
      <c r="AV43" s="47"/>
      <c r="AW43" s="47"/>
      <c r="AX43" s="47"/>
      <c r="AY43" s="47"/>
      <c r="AZ43" s="47">
        <f t="shared" ref="AZ43:AZ57" si="1">AP43+AU43</f>
        <v>3445864.71</v>
      </c>
      <c r="BA43" s="47"/>
      <c r="BB43" s="47"/>
      <c r="BC43" s="47"/>
      <c r="BD43" s="47">
        <f t="shared" ref="BD43:BD57" si="2">AP43-AA43</f>
        <v>-1135.2900000000373</v>
      </c>
      <c r="BE43" s="47"/>
      <c r="BF43" s="47"/>
      <c r="BG43" s="47"/>
      <c r="BH43" s="47"/>
      <c r="BI43" s="47">
        <f t="shared" ref="BI43:BI57" si="3">AU43-AF43</f>
        <v>0</v>
      </c>
      <c r="BJ43" s="47"/>
      <c r="BK43" s="47"/>
      <c r="BL43" s="47"/>
      <c r="BM43" s="47"/>
      <c r="BN43" s="47">
        <f t="shared" ref="BN43:BN57" si="4">BD43+BI43</f>
        <v>-1135.2900000000373</v>
      </c>
      <c r="BO43" s="47"/>
      <c r="BP43" s="47"/>
      <c r="BQ43" s="47"/>
      <c r="CA43" s="1" t="s">
        <v>20</v>
      </c>
    </row>
    <row r="44" spans="1:79" ht="15" customHeight="1" x14ac:dyDescent="0.2">
      <c r="A44" s="39">
        <v>2</v>
      </c>
      <c r="B44" s="39"/>
      <c r="C44" s="40" t="s">
        <v>81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2"/>
      <c r="AA44" s="47">
        <v>2535000</v>
      </c>
      <c r="AB44" s="47"/>
      <c r="AC44" s="47"/>
      <c r="AD44" s="47"/>
      <c r="AE44" s="47"/>
      <c r="AF44" s="47">
        <v>0</v>
      </c>
      <c r="AG44" s="47"/>
      <c r="AH44" s="47"/>
      <c r="AI44" s="47"/>
      <c r="AJ44" s="47"/>
      <c r="AK44" s="47">
        <f t="shared" si="0"/>
        <v>2535000</v>
      </c>
      <c r="AL44" s="47"/>
      <c r="AM44" s="47"/>
      <c r="AN44" s="47"/>
      <c r="AO44" s="47"/>
      <c r="AP44" s="47">
        <v>2525567.9300000002</v>
      </c>
      <c r="AQ44" s="47"/>
      <c r="AR44" s="47"/>
      <c r="AS44" s="47"/>
      <c r="AT44" s="47"/>
      <c r="AU44" s="47">
        <v>0</v>
      </c>
      <c r="AV44" s="47"/>
      <c r="AW44" s="47"/>
      <c r="AX44" s="47"/>
      <c r="AY44" s="47"/>
      <c r="AZ44" s="47">
        <f t="shared" si="1"/>
        <v>2525567.9300000002</v>
      </c>
      <c r="BA44" s="47"/>
      <c r="BB44" s="47"/>
      <c r="BC44" s="47"/>
      <c r="BD44" s="47">
        <f t="shared" si="2"/>
        <v>-9432.0699999998324</v>
      </c>
      <c r="BE44" s="47"/>
      <c r="BF44" s="47"/>
      <c r="BG44" s="47"/>
      <c r="BH44" s="47"/>
      <c r="BI44" s="47">
        <f t="shared" si="3"/>
        <v>0</v>
      </c>
      <c r="BJ44" s="47"/>
      <c r="BK44" s="47"/>
      <c r="BL44" s="47"/>
      <c r="BM44" s="47"/>
      <c r="BN44" s="47">
        <f t="shared" si="4"/>
        <v>-9432.0699999998324</v>
      </c>
      <c r="BO44" s="47"/>
      <c r="BP44" s="47"/>
      <c r="BQ44" s="47"/>
    </row>
    <row r="45" spans="1:79" ht="15" customHeight="1" x14ac:dyDescent="0.2">
      <c r="A45" s="39">
        <v>3</v>
      </c>
      <c r="B45" s="39"/>
      <c r="C45" s="40" t="s">
        <v>82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2"/>
      <c r="AA45" s="47">
        <v>144360</v>
      </c>
      <c r="AB45" s="47"/>
      <c r="AC45" s="47"/>
      <c r="AD45" s="47"/>
      <c r="AE45" s="47"/>
      <c r="AF45" s="47">
        <v>0</v>
      </c>
      <c r="AG45" s="47"/>
      <c r="AH45" s="47"/>
      <c r="AI45" s="47"/>
      <c r="AJ45" s="47"/>
      <c r="AK45" s="47">
        <f t="shared" si="0"/>
        <v>144360</v>
      </c>
      <c r="AL45" s="47"/>
      <c r="AM45" s="47"/>
      <c r="AN45" s="47"/>
      <c r="AO45" s="47"/>
      <c r="AP45" s="47">
        <v>144312</v>
      </c>
      <c r="AQ45" s="47"/>
      <c r="AR45" s="47"/>
      <c r="AS45" s="47"/>
      <c r="AT45" s="47"/>
      <c r="AU45" s="47">
        <v>0</v>
      </c>
      <c r="AV45" s="47"/>
      <c r="AW45" s="47"/>
      <c r="AX45" s="47"/>
      <c r="AY45" s="47"/>
      <c r="AZ45" s="47">
        <f t="shared" si="1"/>
        <v>144312</v>
      </c>
      <c r="BA45" s="47"/>
      <c r="BB45" s="47"/>
      <c r="BC45" s="47"/>
      <c r="BD45" s="47">
        <f t="shared" si="2"/>
        <v>-48</v>
      </c>
      <c r="BE45" s="47"/>
      <c r="BF45" s="47"/>
      <c r="BG45" s="47"/>
      <c r="BH45" s="47"/>
      <c r="BI45" s="47">
        <f t="shared" si="3"/>
        <v>0</v>
      </c>
      <c r="BJ45" s="47"/>
      <c r="BK45" s="47"/>
      <c r="BL45" s="47"/>
      <c r="BM45" s="47"/>
      <c r="BN45" s="47">
        <f t="shared" si="4"/>
        <v>-48</v>
      </c>
      <c r="BO45" s="47"/>
      <c r="BP45" s="47"/>
      <c r="BQ45" s="47"/>
    </row>
    <row r="46" spans="1:79" ht="25.5" customHeight="1" x14ac:dyDescent="0.2">
      <c r="A46" s="39">
        <v>4</v>
      </c>
      <c r="B46" s="39"/>
      <c r="C46" s="40" t="s">
        <v>83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2"/>
      <c r="AA46" s="47">
        <v>4042450</v>
      </c>
      <c r="AB46" s="47"/>
      <c r="AC46" s="47"/>
      <c r="AD46" s="47"/>
      <c r="AE46" s="47"/>
      <c r="AF46" s="47">
        <v>0</v>
      </c>
      <c r="AG46" s="47"/>
      <c r="AH46" s="47"/>
      <c r="AI46" s="47"/>
      <c r="AJ46" s="47"/>
      <c r="AK46" s="47">
        <f t="shared" si="0"/>
        <v>4042450</v>
      </c>
      <c r="AL46" s="47"/>
      <c r="AM46" s="47"/>
      <c r="AN46" s="47"/>
      <c r="AO46" s="47"/>
      <c r="AP46" s="47">
        <v>4042450</v>
      </c>
      <c r="AQ46" s="47"/>
      <c r="AR46" s="47"/>
      <c r="AS46" s="47"/>
      <c r="AT46" s="47"/>
      <c r="AU46" s="47">
        <v>0</v>
      </c>
      <c r="AV46" s="47"/>
      <c r="AW46" s="47"/>
      <c r="AX46" s="47"/>
      <c r="AY46" s="47"/>
      <c r="AZ46" s="47">
        <f t="shared" si="1"/>
        <v>4042450</v>
      </c>
      <c r="BA46" s="47"/>
      <c r="BB46" s="47"/>
      <c r="BC46" s="47"/>
      <c r="BD46" s="47">
        <f t="shared" si="2"/>
        <v>0</v>
      </c>
      <c r="BE46" s="47"/>
      <c r="BF46" s="47"/>
      <c r="BG46" s="47"/>
      <c r="BH46" s="47"/>
      <c r="BI46" s="47">
        <f t="shared" si="3"/>
        <v>0</v>
      </c>
      <c r="BJ46" s="47"/>
      <c r="BK46" s="47"/>
      <c r="BL46" s="47"/>
      <c r="BM46" s="47"/>
      <c r="BN46" s="47">
        <f t="shared" si="4"/>
        <v>0</v>
      </c>
      <c r="BO46" s="47"/>
      <c r="BP46" s="47"/>
      <c r="BQ46" s="47"/>
    </row>
    <row r="47" spans="1:79" ht="25.5" customHeight="1" x14ac:dyDescent="0.2">
      <c r="A47" s="39">
        <v>5</v>
      </c>
      <c r="B47" s="39"/>
      <c r="C47" s="40" t="s">
        <v>84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2"/>
      <c r="AA47" s="47">
        <v>45000</v>
      </c>
      <c r="AB47" s="47"/>
      <c r="AC47" s="47"/>
      <c r="AD47" s="47"/>
      <c r="AE47" s="47"/>
      <c r="AF47" s="47">
        <v>0</v>
      </c>
      <c r="AG47" s="47"/>
      <c r="AH47" s="47"/>
      <c r="AI47" s="47"/>
      <c r="AJ47" s="47"/>
      <c r="AK47" s="47">
        <f t="shared" si="0"/>
        <v>45000</v>
      </c>
      <c r="AL47" s="47"/>
      <c r="AM47" s="47"/>
      <c r="AN47" s="47"/>
      <c r="AO47" s="47"/>
      <c r="AP47" s="47">
        <v>45000</v>
      </c>
      <c r="AQ47" s="47"/>
      <c r="AR47" s="47"/>
      <c r="AS47" s="47"/>
      <c r="AT47" s="47"/>
      <c r="AU47" s="47">
        <v>0</v>
      </c>
      <c r="AV47" s="47"/>
      <c r="AW47" s="47"/>
      <c r="AX47" s="47"/>
      <c r="AY47" s="47"/>
      <c r="AZ47" s="47">
        <f t="shared" si="1"/>
        <v>45000</v>
      </c>
      <c r="BA47" s="47"/>
      <c r="BB47" s="47"/>
      <c r="BC47" s="47"/>
      <c r="BD47" s="47">
        <f t="shared" si="2"/>
        <v>0</v>
      </c>
      <c r="BE47" s="47"/>
      <c r="BF47" s="47"/>
      <c r="BG47" s="47"/>
      <c r="BH47" s="47"/>
      <c r="BI47" s="47">
        <f t="shared" si="3"/>
        <v>0</v>
      </c>
      <c r="BJ47" s="47"/>
      <c r="BK47" s="47"/>
      <c r="BL47" s="47"/>
      <c r="BM47" s="47"/>
      <c r="BN47" s="47">
        <f t="shared" si="4"/>
        <v>0</v>
      </c>
      <c r="BO47" s="47"/>
      <c r="BP47" s="47"/>
      <c r="BQ47" s="47"/>
    </row>
    <row r="48" spans="1:79" ht="25.5" customHeight="1" x14ac:dyDescent="0.2">
      <c r="A48" s="39">
        <v>6</v>
      </c>
      <c r="B48" s="39"/>
      <c r="C48" s="40" t="s">
        <v>85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2"/>
      <c r="AA48" s="47">
        <v>24311096</v>
      </c>
      <c r="AB48" s="47"/>
      <c r="AC48" s="47"/>
      <c r="AD48" s="47"/>
      <c r="AE48" s="47"/>
      <c r="AF48" s="47">
        <v>0</v>
      </c>
      <c r="AG48" s="47"/>
      <c r="AH48" s="47"/>
      <c r="AI48" s="47"/>
      <c r="AJ48" s="47"/>
      <c r="AK48" s="47">
        <f t="shared" si="0"/>
        <v>24311096</v>
      </c>
      <c r="AL48" s="47"/>
      <c r="AM48" s="47"/>
      <c r="AN48" s="47"/>
      <c r="AO48" s="47"/>
      <c r="AP48" s="47">
        <v>24311096</v>
      </c>
      <c r="AQ48" s="47"/>
      <c r="AR48" s="47"/>
      <c r="AS48" s="47"/>
      <c r="AT48" s="47"/>
      <c r="AU48" s="47">
        <v>0</v>
      </c>
      <c r="AV48" s="47"/>
      <c r="AW48" s="47"/>
      <c r="AX48" s="47"/>
      <c r="AY48" s="47"/>
      <c r="AZ48" s="47">
        <f t="shared" si="1"/>
        <v>24311096</v>
      </c>
      <c r="BA48" s="47"/>
      <c r="BB48" s="47"/>
      <c r="BC48" s="47"/>
      <c r="BD48" s="47">
        <f t="shared" si="2"/>
        <v>0</v>
      </c>
      <c r="BE48" s="47"/>
      <c r="BF48" s="47"/>
      <c r="BG48" s="47"/>
      <c r="BH48" s="47"/>
      <c r="BI48" s="47">
        <f t="shared" si="3"/>
        <v>0</v>
      </c>
      <c r="BJ48" s="47"/>
      <c r="BK48" s="47"/>
      <c r="BL48" s="47"/>
      <c r="BM48" s="47"/>
      <c r="BN48" s="47">
        <f t="shared" si="4"/>
        <v>0</v>
      </c>
      <c r="BO48" s="47"/>
      <c r="BP48" s="47"/>
      <c r="BQ48" s="47"/>
    </row>
    <row r="49" spans="1:79" ht="25.5" customHeight="1" x14ac:dyDescent="0.2">
      <c r="A49" s="39">
        <v>7</v>
      </c>
      <c r="B49" s="39"/>
      <c r="C49" s="40" t="s">
        <v>86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2"/>
      <c r="AA49" s="47">
        <v>358720</v>
      </c>
      <c r="AB49" s="47"/>
      <c r="AC49" s="47"/>
      <c r="AD49" s="47"/>
      <c r="AE49" s="47"/>
      <c r="AF49" s="47">
        <v>0</v>
      </c>
      <c r="AG49" s="47"/>
      <c r="AH49" s="47"/>
      <c r="AI49" s="47"/>
      <c r="AJ49" s="47"/>
      <c r="AK49" s="47">
        <f t="shared" si="0"/>
        <v>358720</v>
      </c>
      <c r="AL49" s="47"/>
      <c r="AM49" s="47"/>
      <c r="AN49" s="47"/>
      <c r="AO49" s="47"/>
      <c r="AP49" s="47">
        <v>358530</v>
      </c>
      <c r="AQ49" s="47"/>
      <c r="AR49" s="47"/>
      <c r="AS49" s="47"/>
      <c r="AT49" s="47"/>
      <c r="AU49" s="47">
        <v>0</v>
      </c>
      <c r="AV49" s="47"/>
      <c r="AW49" s="47"/>
      <c r="AX49" s="47"/>
      <c r="AY49" s="47"/>
      <c r="AZ49" s="47">
        <f t="shared" si="1"/>
        <v>358530</v>
      </c>
      <c r="BA49" s="47"/>
      <c r="BB49" s="47"/>
      <c r="BC49" s="47"/>
      <c r="BD49" s="47">
        <f t="shared" si="2"/>
        <v>-190</v>
      </c>
      <c r="BE49" s="47"/>
      <c r="BF49" s="47"/>
      <c r="BG49" s="47"/>
      <c r="BH49" s="47"/>
      <c r="BI49" s="47">
        <f t="shared" si="3"/>
        <v>0</v>
      </c>
      <c r="BJ49" s="47"/>
      <c r="BK49" s="47"/>
      <c r="BL49" s="47"/>
      <c r="BM49" s="47"/>
      <c r="BN49" s="47">
        <f t="shared" si="4"/>
        <v>-190</v>
      </c>
      <c r="BO49" s="47"/>
      <c r="BP49" s="47"/>
      <c r="BQ49" s="47"/>
    </row>
    <row r="50" spans="1:79" ht="15" customHeight="1" x14ac:dyDescent="0.2">
      <c r="A50" s="39">
        <v>8</v>
      </c>
      <c r="B50" s="39"/>
      <c r="C50" s="40" t="s">
        <v>87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2"/>
      <c r="AA50" s="47">
        <v>438500</v>
      </c>
      <c r="AB50" s="47"/>
      <c r="AC50" s="47"/>
      <c r="AD50" s="47"/>
      <c r="AE50" s="47"/>
      <c r="AF50" s="47">
        <v>0</v>
      </c>
      <c r="AG50" s="47"/>
      <c r="AH50" s="47"/>
      <c r="AI50" s="47"/>
      <c r="AJ50" s="47"/>
      <c r="AK50" s="47">
        <f t="shared" si="0"/>
        <v>438500</v>
      </c>
      <c r="AL50" s="47"/>
      <c r="AM50" s="47"/>
      <c r="AN50" s="47"/>
      <c r="AO50" s="47"/>
      <c r="AP50" s="47">
        <v>438456.31</v>
      </c>
      <c r="AQ50" s="47"/>
      <c r="AR50" s="47"/>
      <c r="AS50" s="47"/>
      <c r="AT50" s="47"/>
      <c r="AU50" s="47">
        <v>0</v>
      </c>
      <c r="AV50" s="47"/>
      <c r="AW50" s="47"/>
      <c r="AX50" s="47"/>
      <c r="AY50" s="47"/>
      <c r="AZ50" s="47">
        <f t="shared" si="1"/>
        <v>438456.31</v>
      </c>
      <c r="BA50" s="47"/>
      <c r="BB50" s="47"/>
      <c r="BC50" s="47"/>
      <c r="BD50" s="47">
        <f t="shared" si="2"/>
        <v>-43.690000000002328</v>
      </c>
      <c r="BE50" s="47"/>
      <c r="BF50" s="47"/>
      <c r="BG50" s="47"/>
      <c r="BH50" s="47"/>
      <c r="BI50" s="47">
        <f t="shared" si="3"/>
        <v>0</v>
      </c>
      <c r="BJ50" s="47"/>
      <c r="BK50" s="47"/>
      <c r="BL50" s="47"/>
      <c r="BM50" s="47"/>
      <c r="BN50" s="47">
        <f t="shared" si="4"/>
        <v>-43.690000000002328</v>
      </c>
      <c r="BO50" s="47"/>
      <c r="BP50" s="47"/>
      <c r="BQ50" s="47"/>
    </row>
    <row r="51" spans="1:79" ht="25.5" customHeight="1" x14ac:dyDescent="0.2">
      <c r="A51" s="39">
        <v>9</v>
      </c>
      <c r="B51" s="39"/>
      <c r="C51" s="40" t="s">
        <v>88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2"/>
      <c r="AA51" s="47">
        <v>291540</v>
      </c>
      <c r="AB51" s="47"/>
      <c r="AC51" s="47"/>
      <c r="AD51" s="47"/>
      <c r="AE51" s="47"/>
      <c r="AF51" s="47">
        <v>0</v>
      </c>
      <c r="AG51" s="47"/>
      <c r="AH51" s="47"/>
      <c r="AI51" s="47"/>
      <c r="AJ51" s="47"/>
      <c r="AK51" s="47">
        <f t="shared" si="0"/>
        <v>291540</v>
      </c>
      <c r="AL51" s="47"/>
      <c r="AM51" s="47"/>
      <c r="AN51" s="47"/>
      <c r="AO51" s="47"/>
      <c r="AP51" s="47">
        <v>286999.2</v>
      </c>
      <c r="AQ51" s="47"/>
      <c r="AR51" s="47"/>
      <c r="AS51" s="47"/>
      <c r="AT51" s="47"/>
      <c r="AU51" s="47">
        <v>0</v>
      </c>
      <c r="AV51" s="47"/>
      <c r="AW51" s="47"/>
      <c r="AX51" s="47"/>
      <c r="AY51" s="47"/>
      <c r="AZ51" s="47">
        <f t="shared" si="1"/>
        <v>286999.2</v>
      </c>
      <c r="BA51" s="47"/>
      <c r="BB51" s="47"/>
      <c r="BC51" s="47"/>
      <c r="BD51" s="47">
        <f t="shared" si="2"/>
        <v>-4540.7999999999884</v>
      </c>
      <c r="BE51" s="47"/>
      <c r="BF51" s="47"/>
      <c r="BG51" s="47"/>
      <c r="BH51" s="47"/>
      <c r="BI51" s="47">
        <f t="shared" si="3"/>
        <v>0</v>
      </c>
      <c r="BJ51" s="47"/>
      <c r="BK51" s="47"/>
      <c r="BL51" s="47"/>
      <c r="BM51" s="47"/>
      <c r="BN51" s="47">
        <f t="shared" si="4"/>
        <v>-4540.7999999999884</v>
      </c>
      <c r="BO51" s="47"/>
      <c r="BP51" s="47"/>
      <c r="BQ51" s="47"/>
    </row>
    <row r="52" spans="1:79" ht="15" customHeight="1" x14ac:dyDescent="0.2">
      <c r="A52" s="39">
        <v>10</v>
      </c>
      <c r="B52" s="39"/>
      <c r="C52" s="40" t="s">
        <v>89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2"/>
      <c r="AA52" s="47">
        <v>967211</v>
      </c>
      <c r="AB52" s="47"/>
      <c r="AC52" s="47"/>
      <c r="AD52" s="47"/>
      <c r="AE52" s="47"/>
      <c r="AF52" s="47">
        <v>0</v>
      </c>
      <c r="AG52" s="47"/>
      <c r="AH52" s="47"/>
      <c r="AI52" s="47"/>
      <c r="AJ52" s="47"/>
      <c r="AK52" s="47">
        <f t="shared" si="0"/>
        <v>967211</v>
      </c>
      <c r="AL52" s="47"/>
      <c r="AM52" s="47"/>
      <c r="AN52" s="47"/>
      <c r="AO52" s="47"/>
      <c r="AP52" s="47">
        <v>967211</v>
      </c>
      <c r="AQ52" s="47"/>
      <c r="AR52" s="47"/>
      <c r="AS52" s="47"/>
      <c r="AT52" s="47"/>
      <c r="AU52" s="47">
        <v>0</v>
      </c>
      <c r="AV52" s="47"/>
      <c r="AW52" s="47"/>
      <c r="AX52" s="47"/>
      <c r="AY52" s="47"/>
      <c r="AZ52" s="47">
        <f t="shared" si="1"/>
        <v>967211</v>
      </c>
      <c r="BA52" s="47"/>
      <c r="BB52" s="47"/>
      <c r="BC52" s="47"/>
      <c r="BD52" s="47">
        <f t="shared" si="2"/>
        <v>0</v>
      </c>
      <c r="BE52" s="47"/>
      <c r="BF52" s="47"/>
      <c r="BG52" s="47"/>
      <c r="BH52" s="47"/>
      <c r="BI52" s="47">
        <f t="shared" si="3"/>
        <v>0</v>
      </c>
      <c r="BJ52" s="47"/>
      <c r="BK52" s="47"/>
      <c r="BL52" s="47"/>
      <c r="BM52" s="47"/>
      <c r="BN52" s="47">
        <f t="shared" si="4"/>
        <v>0</v>
      </c>
      <c r="BO52" s="47"/>
      <c r="BP52" s="47"/>
      <c r="BQ52" s="47"/>
    </row>
    <row r="53" spans="1:79" ht="15" customHeight="1" x14ac:dyDescent="0.2">
      <c r="A53" s="39">
        <v>11</v>
      </c>
      <c r="B53" s="39"/>
      <c r="C53" s="40" t="s">
        <v>90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2"/>
      <c r="AA53" s="47">
        <v>212789</v>
      </c>
      <c r="AB53" s="47"/>
      <c r="AC53" s="47"/>
      <c r="AD53" s="47"/>
      <c r="AE53" s="47"/>
      <c r="AF53" s="47">
        <v>0</v>
      </c>
      <c r="AG53" s="47"/>
      <c r="AH53" s="47"/>
      <c r="AI53" s="47"/>
      <c r="AJ53" s="47"/>
      <c r="AK53" s="47">
        <f t="shared" si="0"/>
        <v>212789</v>
      </c>
      <c r="AL53" s="47"/>
      <c r="AM53" s="47"/>
      <c r="AN53" s="47"/>
      <c r="AO53" s="47"/>
      <c r="AP53" s="47">
        <v>212789</v>
      </c>
      <c r="AQ53" s="47"/>
      <c r="AR53" s="47"/>
      <c r="AS53" s="47"/>
      <c r="AT53" s="47"/>
      <c r="AU53" s="47">
        <v>0</v>
      </c>
      <c r="AV53" s="47"/>
      <c r="AW53" s="47"/>
      <c r="AX53" s="47"/>
      <c r="AY53" s="47"/>
      <c r="AZ53" s="47">
        <f t="shared" si="1"/>
        <v>212789</v>
      </c>
      <c r="BA53" s="47"/>
      <c r="BB53" s="47"/>
      <c r="BC53" s="47"/>
      <c r="BD53" s="47">
        <f t="shared" si="2"/>
        <v>0</v>
      </c>
      <c r="BE53" s="47"/>
      <c r="BF53" s="47"/>
      <c r="BG53" s="47"/>
      <c r="BH53" s="47"/>
      <c r="BI53" s="47">
        <f t="shared" si="3"/>
        <v>0</v>
      </c>
      <c r="BJ53" s="47"/>
      <c r="BK53" s="47"/>
      <c r="BL53" s="47"/>
      <c r="BM53" s="47"/>
      <c r="BN53" s="47">
        <f t="shared" si="4"/>
        <v>0</v>
      </c>
      <c r="BO53" s="47"/>
      <c r="BP53" s="47"/>
      <c r="BQ53" s="47"/>
    </row>
    <row r="54" spans="1:79" ht="15" customHeight="1" x14ac:dyDescent="0.2">
      <c r="A54" s="39">
        <v>12</v>
      </c>
      <c r="B54" s="39"/>
      <c r="C54" s="40" t="s">
        <v>91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2"/>
      <c r="AA54" s="47">
        <v>48000</v>
      </c>
      <c r="AB54" s="47"/>
      <c r="AC54" s="47"/>
      <c r="AD54" s="47"/>
      <c r="AE54" s="47"/>
      <c r="AF54" s="47">
        <v>0</v>
      </c>
      <c r="AG54" s="47"/>
      <c r="AH54" s="47"/>
      <c r="AI54" s="47"/>
      <c r="AJ54" s="47"/>
      <c r="AK54" s="47">
        <f t="shared" si="0"/>
        <v>48000</v>
      </c>
      <c r="AL54" s="47"/>
      <c r="AM54" s="47"/>
      <c r="AN54" s="47"/>
      <c r="AO54" s="47"/>
      <c r="AP54" s="47">
        <v>48000</v>
      </c>
      <c r="AQ54" s="47"/>
      <c r="AR54" s="47"/>
      <c r="AS54" s="47"/>
      <c r="AT54" s="47"/>
      <c r="AU54" s="47">
        <v>0</v>
      </c>
      <c r="AV54" s="47"/>
      <c r="AW54" s="47"/>
      <c r="AX54" s="47"/>
      <c r="AY54" s="47"/>
      <c r="AZ54" s="47">
        <f t="shared" si="1"/>
        <v>48000</v>
      </c>
      <c r="BA54" s="47"/>
      <c r="BB54" s="47"/>
      <c r="BC54" s="47"/>
      <c r="BD54" s="47">
        <f t="shared" si="2"/>
        <v>0</v>
      </c>
      <c r="BE54" s="47"/>
      <c r="BF54" s="47"/>
      <c r="BG54" s="47"/>
      <c r="BH54" s="47"/>
      <c r="BI54" s="47">
        <f t="shared" si="3"/>
        <v>0</v>
      </c>
      <c r="BJ54" s="47"/>
      <c r="BK54" s="47"/>
      <c r="BL54" s="47"/>
      <c r="BM54" s="47"/>
      <c r="BN54" s="47">
        <f t="shared" si="4"/>
        <v>0</v>
      </c>
      <c r="BO54" s="47"/>
      <c r="BP54" s="47"/>
      <c r="BQ54" s="47"/>
    </row>
    <row r="55" spans="1:79" ht="15" customHeight="1" x14ac:dyDescent="0.2">
      <c r="A55" s="39">
        <v>13</v>
      </c>
      <c r="B55" s="39"/>
      <c r="C55" s="40" t="s">
        <v>92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2"/>
      <c r="AA55" s="47">
        <v>298970</v>
      </c>
      <c r="AB55" s="47"/>
      <c r="AC55" s="47"/>
      <c r="AD55" s="47"/>
      <c r="AE55" s="47"/>
      <c r="AF55" s="47">
        <v>0</v>
      </c>
      <c r="AG55" s="47"/>
      <c r="AH55" s="47"/>
      <c r="AI55" s="47"/>
      <c r="AJ55" s="47"/>
      <c r="AK55" s="47">
        <f t="shared" si="0"/>
        <v>298970</v>
      </c>
      <c r="AL55" s="47"/>
      <c r="AM55" s="47"/>
      <c r="AN55" s="47"/>
      <c r="AO55" s="47"/>
      <c r="AP55" s="47">
        <v>298970</v>
      </c>
      <c r="AQ55" s="47"/>
      <c r="AR55" s="47"/>
      <c r="AS55" s="47"/>
      <c r="AT55" s="47"/>
      <c r="AU55" s="47">
        <v>0</v>
      </c>
      <c r="AV55" s="47"/>
      <c r="AW55" s="47"/>
      <c r="AX55" s="47"/>
      <c r="AY55" s="47"/>
      <c r="AZ55" s="47">
        <f t="shared" si="1"/>
        <v>298970</v>
      </c>
      <c r="BA55" s="47"/>
      <c r="BB55" s="47"/>
      <c r="BC55" s="47"/>
      <c r="BD55" s="47">
        <f t="shared" si="2"/>
        <v>0</v>
      </c>
      <c r="BE55" s="47"/>
      <c r="BF55" s="47"/>
      <c r="BG55" s="47"/>
      <c r="BH55" s="47"/>
      <c r="BI55" s="47">
        <f t="shared" si="3"/>
        <v>0</v>
      </c>
      <c r="BJ55" s="47"/>
      <c r="BK55" s="47"/>
      <c r="BL55" s="47"/>
      <c r="BM55" s="47"/>
      <c r="BN55" s="47">
        <f t="shared" si="4"/>
        <v>0</v>
      </c>
      <c r="BO55" s="47"/>
      <c r="BP55" s="47"/>
      <c r="BQ55" s="47"/>
    </row>
    <row r="56" spans="1:79" ht="25.5" customHeight="1" x14ac:dyDescent="0.2">
      <c r="A56" s="39">
        <v>14</v>
      </c>
      <c r="B56" s="39"/>
      <c r="C56" s="40" t="s">
        <v>93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2"/>
      <c r="AA56" s="47">
        <v>1398582</v>
      </c>
      <c r="AB56" s="47"/>
      <c r="AC56" s="47"/>
      <c r="AD56" s="47"/>
      <c r="AE56" s="47"/>
      <c r="AF56" s="47">
        <v>0</v>
      </c>
      <c r="AG56" s="47"/>
      <c r="AH56" s="47"/>
      <c r="AI56" s="47"/>
      <c r="AJ56" s="47"/>
      <c r="AK56" s="47">
        <f t="shared" si="0"/>
        <v>1398582</v>
      </c>
      <c r="AL56" s="47"/>
      <c r="AM56" s="47"/>
      <c r="AN56" s="47"/>
      <c r="AO56" s="47"/>
      <c r="AP56" s="47">
        <v>1398581.77</v>
      </c>
      <c r="AQ56" s="47"/>
      <c r="AR56" s="47"/>
      <c r="AS56" s="47"/>
      <c r="AT56" s="47"/>
      <c r="AU56" s="47">
        <v>0</v>
      </c>
      <c r="AV56" s="47"/>
      <c r="AW56" s="47"/>
      <c r="AX56" s="47"/>
      <c r="AY56" s="47"/>
      <c r="AZ56" s="47">
        <f t="shared" si="1"/>
        <v>1398581.77</v>
      </c>
      <c r="BA56" s="47"/>
      <c r="BB56" s="47"/>
      <c r="BC56" s="47"/>
      <c r="BD56" s="47">
        <f t="shared" si="2"/>
        <v>-0.22999999998137355</v>
      </c>
      <c r="BE56" s="47"/>
      <c r="BF56" s="47"/>
      <c r="BG56" s="47"/>
      <c r="BH56" s="47"/>
      <c r="BI56" s="47">
        <f t="shared" si="3"/>
        <v>0</v>
      </c>
      <c r="BJ56" s="47"/>
      <c r="BK56" s="47"/>
      <c r="BL56" s="47"/>
      <c r="BM56" s="47"/>
      <c r="BN56" s="47">
        <f t="shared" si="4"/>
        <v>-0.22999999998137355</v>
      </c>
      <c r="BO56" s="47"/>
      <c r="BP56" s="47"/>
      <c r="BQ56" s="47"/>
    </row>
    <row r="57" spans="1:79" s="27" customFormat="1" ht="15" customHeight="1" x14ac:dyDescent="0.2">
      <c r="A57" s="31"/>
      <c r="B57" s="31"/>
      <c r="C57" s="32" t="s">
        <v>94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4"/>
      <c r="AA57" s="48">
        <v>38539218</v>
      </c>
      <c r="AB57" s="48"/>
      <c r="AC57" s="48"/>
      <c r="AD57" s="48"/>
      <c r="AE57" s="48"/>
      <c r="AF57" s="48">
        <v>0</v>
      </c>
      <c r="AG57" s="48"/>
      <c r="AH57" s="48"/>
      <c r="AI57" s="48"/>
      <c r="AJ57" s="48"/>
      <c r="AK57" s="48">
        <f t="shared" si="0"/>
        <v>38539218</v>
      </c>
      <c r="AL57" s="48"/>
      <c r="AM57" s="48"/>
      <c r="AN57" s="48"/>
      <c r="AO57" s="48"/>
      <c r="AP57" s="48">
        <v>38523827.920000009</v>
      </c>
      <c r="AQ57" s="48"/>
      <c r="AR57" s="48"/>
      <c r="AS57" s="48"/>
      <c r="AT57" s="48"/>
      <c r="AU57" s="48">
        <v>0</v>
      </c>
      <c r="AV57" s="48"/>
      <c r="AW57" s="48"/>
      <c r="AX57" s="48"/>
      <c r="AY57" s="48"/>
      <c r="AZ57" s="48">
        <f t="shared" si="1"/>
        <v>38523827.920000009</v>
      </c>
      <c r="BA57" s="48"/>
      <c r="BB57" s="48"/>
      <c r="BC57" s="48"/>
      <c r="BD57" s="48">
        <f t="shared" si="2"/>
        <v>-15390.079999990761</v>
      </c>
      <c r="BE57" s="48"/>
      <c r="BF57" s="48"/>
      <c r="BG57" s="48"/>
      <c r="BH57" s="48"/>
      <c r="BI57" s="48">
        <f t="shared" si="3"/>
        <v>0</v>
      </c>
      <c r="BJ57" s="48"/>
      <c r="BK57" s="48"/>
      <c r="BL57" s="48"/>
      <c r="BM57" s="48"/>
      <c r="BN57" s="48">
        <f t="shared" si="4"/>
        <v>-15390.079999990761</v>
      </c>
      <c r="BO57" s="48"/>
      <c r="BP57" s="48"/>
      <c r="BQ57" s="48"/>
    </row>
    <row r="59" spans="1:79" ht="29.25" customHeight="1" x14ac:dyDescent="0.2">
      <c r="A59" s="56" t="s">
        <v>74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</row>
    <row r="60" spans="1:79" ht="9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</row>
    <row r="61" spans="1:79" ht="15.75" customHeight="1" x14ac:dyDescent="0.2">
      <c r="A61" s="62" t="s">
        <v>3</v>
      </c>
      <c r="B61" s="62"/>
      <c r="C61" s="62" t="s">
        <v>60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</row>
    <row r="62" spans="1:79" ht="15.75" x14ac:dyDescent="0.2">
      <c r="A62" s="62">
        <v>1</v>
      </c>
      <c r="B62" s="62"/>
      <c r="C62" s="100">
        <v>2</v>
      </c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</row>
    <row r="63" spans="1:79" hidden="1" x14ac:dyDescent="0.2">
      <c r="A63" s="97" t="s">
        <v>13</v>
      </c>
      <c r="B63" s="98"/>
      <c r="C63" s="101" t="s">
        <v>14</v>
      </c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3"/>
      <c r="CA63" s="1" t="s">
        <v>68</v>
      </c>
    </row>
    <row r="64" spans="1:79" ht="14.25" customHeight="1" x14ac:dyDescent="0.2">
      <c r="A64" s="54">
        <v>1</v>
      </c>
      <c r="B64" s="55"/>
      <c r="C64" s="40" t="s">
        <v>95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2"/>
      <c r="CA64" s="1" t="s">
        <v>61</v>
      </c>
    </row>
    <row r="65" spans="1:79" ht="14.25" customHeight="1" x14ac:dyDescent="0.2">
      <c r="A65" s="54">
        <v>2</v>
      </c>
      <c r="B65" s="55"/>
      <c r="C65" s="40" t="s">
        <v>95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2"/>
    </row>
    <row r="66" spans="1:79" ht="14.25" customHeight="1" x14ac:dyDescent="0.2">
      <c r="A66" s="54">
        <v>3</v>
      </c>
      <c r="B66" s="55"/>
      <c r="C66" s="40" t="s">
        <v>96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2"/>
    </row>
    <row r="67" spans="1:79" ht="14.25" customHeight="1" x14ac:dyDescent="0.2">
      <c r="A67" s="54">
        <v>7</v>
      </c>
      <c r="B67" s="55"/>
      <c r="C67" s="40" t="s">
        <v>96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2"/>
    </row>
    <row r="68" spans="1:79" ht="14.25" customHeight="1" x14ac:dyDescent="0.2">
      <c r="A68" s="54">
        <v>8</v>
      </c>
      <c r="B68" s="55"/>
      <c r="C68" s="40" t="s">
        <v>96</v>
      </c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2"/>
    </row>
    <row r="69" spans="1:79" ht="14.25" customHeight="1" x14ac:dyDescent="0.2">
      <c r="A69" s="54">
        <v>9</v>
      </c>
      <c r="B69" s="55"/>
      <c r="C69" s="40" t="s">
        <v>97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2"/>
    </row>
    <row r="70" spans="1:79" ht="14.25" customHeight="1" x14ac:dyDescent="0.2">
      <c r="A70" s="54">
        <v>14</v>
      </c>
      <c r="B70" s="55"/>
      <c r="C70" s="40" t="s">
        <v>98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2"/>
    </row>
    <row r="72" spans="1:79" ht="15.75" customHeight="1" x14ac:dyDescent="0.2">
      <c r="A72" s="56" t="s">
        <v>42</v>
      </c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</row>
    <row r="73" spans="1:79" ht="15" customHeight="1" x14ac:dyDescent="0.2">
      <c r="A73" s="99" t="s">
        <v>127</v>
      </c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</row>
    <row r="74" spans="1:79" ht="28.5" customHeight="1" x14ac:dyDescent="0.2">
      <c r="A74" s="66" t="s">
        <v>3</v>
      </c>
      <c r="B74" s="68"/>
      <c r="C74" s="62" t="s">
        <v>28</v>
      </c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 t="s">
        <v>25</v>
      </c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 t="s">
        <v>44</v>
      </c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 t="s">
        <v>0</v>
      </c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2"/>
      <c r="BP74" s="2"/>
      <c r="BQ74" s="2"/>
    </row>
    <row r="75" spans="1:79" ht="29.1" customHeight="1" x14ac:dyDescent="0.2">
      <c r="A75" s="104"/>
      <c r="B75" s="106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 t="s">
        <v>2</v>
      </c>
      <c r="T75" s="62"/>
      <c r="U75" s="62"/>
      <c r="V75" s="62"/>
      <c r="W75" s="62"/>
      <c r="X75" s="62" t="s">
        <v>1</v>
      </c>
      <c r="Y75" s="62"/>
      <c r="Z75" s="62"/>
      <c r="AA75" s="62"/>
      <c r="AB75" s="62"/>
      <c r="AC75" s="62" t="s">
        <v>26</v>
      </c>
      <c r="AD75" s="62"/>
      <c r="AE75" s="62"/>
      <c r="AF75" s="62"/>
      <c r="AG75" s="62"/>
      <c r="AH75" s="62"/>
      <c r="AI75" s="62" t="s">
        <v>2</v>
      </c>
      <c r="AJ75" s="62"/>
      <c r="AK75" s="62"/>
      <c r="AL75" s="62"/>
      <c r="AM75" s="62"/>
      <c r="AN75" s="62" t="s">
        <v>1</v>
      </c>
      <c r="AO75" s="62"/>
      <c r="AP75" s="62"/>
      <c r="AQ75" s="62"/>
      <c r="AR75" s="62"/>
      <c r="AS75" s="62" t="s">
        <v>26</v>
      </c>
      <c r="AT75" s="62"/>
      <c r="AU75" s="62"/>
      <c r="AV75" s="62"/>
      <c r="AW75" s="62"/>
      <c r="AX75" s="62"/>
      <c r="AY75" s="57" t="s">
        <v>2</v>
      </c>
      <c r="AZ75" s="63"/>
      <c r="BA75" s="63"/>
      <c r="BB75" s="63"/>
      <c r="BC75" s="64"/>
      <c r="BD75" s="57" t="s">
        <v>1</v>
      </c>
      <c r="BE75" s="63"/>
      <c r="BF75" s="63"/>
      <c r="BG75" s="63"/>
      <c r="BH75" s="64"/>
      <c r="BI75" s="62" t="s">
        <v>26</v>
      </c>
      <c r="BJ75" s="62"/>
      <c r="BK75" s="62"/>
      <c r="BL75" s="62"/>
      <c r="BM75" s="62"/>
      <c r="BN75" s="62"/>
      <c r="BO75" s="2"/>
      <c r="BP75" s="2"/>
      <c r="BQ75" s="2"/>
    </row>
    <row r="76" spans="1:79" ht="15.95" customHeight="1" x14ac:dyDescent="0.25">
      <c r="A76" s="62">
        <v>1</v>
      </c>
      <c r="B76" s="62"/>
      <c r="C76" s="62">
        <v>2</v>
      </c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>
        <v>3</v>
      </c>
      <c r="T76" s="62"/>
      <c r="U76" s="62"/>
      <c r="V76" s="62"/>
      <c r="W76" s="62"/>
      <c r="X76" s="62">
        <v>4</v>
      </c>
      <c r="Y76" s="62"/>
      <c r="Z76" s="62"/>
      <c r="AA76" s="62"/>
      <c r="AB76" s="62"/>
      <c r="AC76" s="62">
        <v>5</v>
      </c>
      <c r="AD76" s="62"/>
      <c r="AE76" s="62"/>
      <c r="AF76" s="62"/>
      <c r="AG76" s="62"/>
      <c r="AH76" s="62"/>
      <c r="AI76" s="62">
        <v>6</v>
      </c>
      <c r="AJ76" s="62"/>
      <c r="AK76" s="62"/>
      <c r="AL76" s="62"/>
      <c r="AM76" s="62"/>
      <c r="AN76" s="62">
        <v>7</v>
      </c>
      <c r="AO76" s="62"/>
      <c r="AP76" s="62"/>
      <c r="AQ76" s="62"/>
      <c r="AR76" s="62"/>
      <c r="AS76" s="62">
        <v>8</v>
      </c>
      <c r="AT76" s="62"/>
      <c r="AU76" s="62"/>
      <c r="AV76" s="62"/>
      <c r="AW76" s="62"/>
      <c r="AX76" s="62"/>
      <c r="AY76" s="62">
        <v>9</v>
      </c>
      <c r="AZ76" s="62"/>
      <c r="BA76" s="62"/>
      <c r="BB76" s="62"/>
      <c r="BC76" s="62"/>
      <c r="BD76" s="62">
        <v>10</v>
      </c>
      <c r="BE76" s="62"/>
      <c r="BF76" s="62"/>
      <c r="BG76" s="62"/>
      <c r="BH76" s="62"/>
      <c r="BI76" s="57">
        <v>11</v>
      </c>
      <c r="BJ76" s="63"/>
      <c r="BK76" s="63"/>
      <c r="BL76" s="63"/>
      <c r="BM76" s="63"/>
      <c r="BN76" s="64"/>
      <c r="BO76" s="6"/>
      <c r="BP76" s="6"/>
      <c r="BQ76" s="6"/>
    </row>
    <row r="77" spans="1:79" ht="18" hidden="1" customHeight="1" x14ac:dyDescent="0.2">
      <c r="A77" s="39" t="s">
        <v>13</v>
      </c>
      <c r="B77" s="39"/>
      <c r="C77" s="107" t="s">
        <v>14</v>
      </c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65" t="s">
        <v>10</v>
      </c>
      <c r="T77" s="65"/>
      <c r="U77" s="65"/>
      <c r="V77" s="65"/>
      <c r="W77" s="65"/>
      <c r="X77" s="65" t="s">
        <v>9</v>
      </c>
      <c r="Y77" s="65"/>
      <c r="Z77" s="65"/>
      <c r="AA77" s="65"/>
      <c r="AB77" s="65"/>
      <c r="AC77" s="31" t="s">
        <v>16</v>
      </c>
      <c r="AD77" s="108"/>
      <c r="AE77" s="108"/>
      <c r="AF77" s="108"/>
      <c r="AG77" s="108"/>
      <c r="AH77" s="108"/>
      <c r="AI77" s="65" t="s">
        <v>11</v>
      </c>
      <c r="AJ77" s="65"/>
      <c r="AK77" s="65"/>
      <c r="AL77" s="65"/>
      <c r="AM77" s="65"/>
      <c r="AN77" s="65" t="s">
        <v>12</v>
      </c>
      <c r="AO77" s="65"/>
      <c r="AP77" s="65"/>
      <c r="AQ77" s="65"/>
      <c r="AR77" s="65"/>
      <c r="AS77" s="31" t="s">
        <v>16</v>
      </c>
      <c r="AT77" s="108"/>
      <c r="AU77" s="108"/>
      <c r="AV77" s="108"/>
      <c r="AW77" s="108"/>
      <c r="AX77" s="108"/>
      <c r="AY77" s="54" t="s">
        <v>17</v>
      </c>
      <c r="AZ77" s="109"/>
      <c r="BA77" s="109"/>
      <c r="BB77" s="109"/>
      <c r="BC77" s="55"/>
      <c r="BD77" s="54" t="s">
        <v>17</v>
      </c>
      <c r="BE77" s="109"/>
      <c r="BF77" s="109"/>
      <c r="BG77" s="109"/>
      <c r="BH77" s="55"/>
      <c r="BI77" s="108" t="s">
        <v>16</v>
      </c>
      <c r="BJ77" s="108"/>
      <c r="BK77" s="108"/>
      <c r="BL77" s="108"/>
      <c r="BM77" s="108"/>
      <c r="BN77" s="108"/>
      <c r="BO77" s="7"/>
      <c r="BP77" s="7"/>
      <c r="BQ77" s="7"/>
      <c r="CA77" s="1" t="s">
        <v>21</v>
      </c>
    </row>
    <row r="78" spans="1:79" ht="51" customHeight="1" x14ac:dyDescent="0.2">
      <c r="A78" s="39">
        <v>1</v>
      </c>
      <c r="B78" s="39"/>
      <c r="C78" s="40" t="s">
        <v>99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2"/>
      <c r="S78" s="47">
        <v>38539218</v>
      </c>
      <c r="T78" s="47"/>
      <c r="U78" s="47"/>
      <c r="V78" s="47"/>
      <c r="W78" s="47"/>
      <c r="X78" s="47">
        <v>0</v>
      </c>
      <c r="Y78" s="47"/>
      <c r="Z78" s="47"/>
      <c r="AA78" s="47"/>
      <c r="AB78" s="47"/>
      <c r="AC78" s="47">
        <f>S78+X78</f>
        <v>38539218</v>
      </c>
      <c r="AD78" s="47"/>
      <c r="AE78" s="47"/>
      <c r="AF78" s="47"/>
      <c r="AG78" s="47"/>
      <c r="AH78" s="47"/>
      <c r="AI78" s="47">
        <v>38523827.920000002</v>
      </c>
      <c r="AJ78" s="47"/>
      <c r="AK78" s="47"/>
      <c r="AL78" s="47"/>
      <c r="AM78" s="47"/>
      <c r="AN78" s="47">
        <v>0</v>
      </c>
      <c r="AO78" s="47"/>
      <c r="AP78" s="47"/>
      <c r="AQ78" s="47"/>
      <c r="AR78" s="47"/>
      <c r="AS78" s="47">
        <f>AI78+AN78</f>
        <v>38523827.920000002</v>
      </c>
      <c r="AT78" s="47"/>
      <c r="AU78" s="47"/>
      <c r="AV78" s="47"/>
      <c r="AW78" s="47"/>
      <c r="AX78" s="47"/>
      <c r="AY78" s="47">
        <f>AI78-S78</f>
        <v>-15390.079999998212</v>
      </c>
      <c r="AZ78" s="47"/>
      <c r="BA78" s="47"/>
      <c r="BB78" s="47"/>
      <c r="BC78" s="47"/>
      <c r="BD78" s="113">
        <f>AN78-X78</f>
        <v>0</v>
      </c>
      <c r="BE78" s="113"/>
      <c r="BF78" s="113"/>
      <c r="BG78" s="113"/>
      <c r="BH78" s="113"/>
      <c r="BI78" s="113">
        <f>AY78+BD78</f>
        <v>-15390.079999998212</v>
      </c>
      <c r="BJ78" s="113"/>
      <c r="BK78" s="113"/>
      <c r="BL78" s="113"/>
      <c r="BM78" s="113"/>
      <c r="BN78" s="113"/>
      <c r="BO78" s="8"/>
      <c r="BP78" s="8"/>
      <c r="BQ78" s="8"/>
      <c r="CA78" s="1" t="s">
        <v>22</v>
      </c>
    </row>
    <row r="79" spans="1:79" s="27" customFormat="1" ht="15" customHeight="1" x14ac:dyDescent="0.2">
      <c r="A79" s="31"/>
      <c r="B79" s="31"/>
      <c r="C79" s="32" t="s">
        <v>100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4"/>
      <c r="S79" s="48">
        <v>38539218</v>
      </c>
      <c r="T79" s="48"/>
      <c r="U79" s="48"/>
      <c r="V79" s="48"/>
      <c r="W79" s="48"/>
      <c r="X79" s="48">
        <v>0</v>
      </c>
      <c r="Y79" s="48"/>
      <c r="Z79" s="48"/>
      <c r="AA79" s="48"/>
      <c r="AB79" s="48"/>
      <c r="AC79" s="48">
        <f>S79+X79</f>
        <v>38539218</v>
      </c>
      <c r="AD79" s="48"/>
      <c r="AE79" s="48"/>
      <c r="AF79" s="48"/>
      <c r="AG79" s="48"/>
      <c r="AH79" s="48"/>
      <c r="AI79" s="48">
        <v>38523827.920000002</v>
      </c>
      <c r="AJ79" s="48"/>
      <c r="AK79" s="48"/>
      <c r="AL79" s="48"/>
      <c r="AM79" s="48"/>
      <c r="AN79" s="48">
        <v>0</v>
      </c>
      <c r="AO79" s="48"/>
      <c r="AP79" s="48"/>
      <c r="AQ79" s="48"/>
      <c r="AR79" s="48"/>
      <c r="AS79" s="48">
        <f>AI79+AN79</f>
        <v>38523827.920000002</v>
      </c>
      <c r="AT79" s="48"/>
      <c r="AU79" s="48"/>
      <c r="AV79" s="48"/>
      <c r="AW79" s="48"/>
      <c r="AX79" s="48"/>
      <c r="AY79" s="48">
        <f>AI79-S79</f>
        <v>-15390.079999998212</v>
      </c>
      <c r="AZ79" s="48"/>
      <c r="BA79" s="48"/>
      <c r="BB79" s="48"/>
      <c r="BC79" s="48"/>
      <c r="BD79" s="53">
        <f>AN79-X79</f>
        <v>0</v>
      </c>
      <c r="BE79" s="53"/>
      <c r="BF79" s="53"/>
      <c r="BG79" s="53"/>
      <c r="BH79" s="53"/>
      <c r="BI79" s="53">
        <f>AY79+BD79</f>
        <v>-15390.079999998212</v>
      </c>
      <c r="BJ79" s="53"/>
      <c r="BK79" s="53"/>
      <c r="BL79" s="53"/>
      <c r="BM79" s="53"/>
      <c r="BN79" s="53"/>
      <c r="BO79" s="28"/>
      <c r="BP79" s="28"/>
      <c r="BQ79" s="28"/>
    </row>
    <row r="81" spans="1:79" ht="15.75" customHeight="1" x14ac:dyDescent="0.2">
      <c r="A81" s="56" t="s">
        <v>43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</row>
    <row r="82" spans="1:79" ht="15.75" customHeight="1" x14ac:dyDescent="0.2">
      <c r="A82" s="56" t="s">
        <v>62</v>
      </c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</row>
    <row r="83" spans="1:79" ht="8.25" customHeight="1" x14ac:dyDescent="0.2"/>
    <row r="84" spans="1:79" ht="45" customHeight="1" x14ac:dyDescent="0.2">
      <c r="A84" s="66" t="s">
        <v>3</v>
      </c>
      <c r="B84" s="68"/>
      <c r="C84" s="66" t="s">
        <v>6</v>
      </c>
      <c r="D84" s="67"/>
      <c r="E84" s="67"/>
      <c r="F84" s="67"/>
      <c r="G84" s="67"/>
      <c r="H84" s="67"/>
      <c r="I84" s="68"/>
      <c r="J84" s="66" t="s">
        <v>5</v>
      </c>
      <c r="K84" s="67"/>
      <c r="L84" s="67"/>
      <c r="M84" s="67"/>
      <c r="N84" s="68"/>
      <c r="O84" s="66" t="s">
        <v>4</v>
      </c>
      <c r="P84" s="67"/>
      <c r="Q84" s="67"/>
      <c r="R84" s="67"/>
      <c r="S84" s="67"/>
      <c r="T84" s="67"/>
      <c r="U84" s="67"/>
      <c r="V84" s="67"/>
      <c r="W84" s="67"/>
      <c r="X84" s="68"/>
      <c r="Y84" s="62" t="s">
        <v>25</v>
      </c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 t="s">
        <v>45</v>
      </c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85" t="s">
        <v>0</v>
      </c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9"/>
      <c r="BS84" s="9"/>
      <c r="BT84" s="9"/>
      <c r="BU84" s="9"/>
      <c r="BV84" s="9"/>
      <c r="BW84" s="9"/>
      <c r="BX84" s="9"/>
      <c r="BY84" s="9"/>
    </row>
    <row r="85" spans="1:79" ht="32.25" customHeight="1" x14ac:dyDescent="0.2">
      <c r="A85" s="104"/>
      <c r="B85" s="106"/>
      <c r="C85" s="104"/>
      <c r="D85" s="105"/>
      <c r="E85" s="105"/>
      <c r="F85" s="105"/>
      <c r="G85" s="105"/>
      <c r="H85" s="105"/>
      <c r="I85" s="106"/>
      <c r="J85" s="104"/>
      <c r="K85" s="105"/>
      <c r="L85" s="105"/>
      <c r="M85" s="105"/>
      <c r="N85" s="106"/>
      <c r="O85" s="104"/>
      <c r="P85" s="105"/>
      <c r="Q85" s="105"/>
      <c r="R85" s="105"/>
      <c r="S85" s="105"/>
      <c r="T85" s="105"/>
      <c r="U85" s="105"/>
      <c r="V85" s="105"/>
      <c r="W85" s="105"/>
      <c r="X85" s="106"/>
      <c r="Y85" s="57" t="s">
        <v>2</v>
      </c>
      <c r="Z85" s="63"/>
      <c r="AA85" s="63"/>
      <c r="AB85" s="63"/>
      <c r="AC85" s="64"/>
      <c r="AD85" s="57" t="s">
        <v>1</v>
      </c>
      <c r="AE85" s="63"/>
      <c r="AF85" s="63"/>
      <c r="AG85" s="63"/>
      <c r="AH85" s="64"/>
      <c r="AI85" s="62" t="s">
        <v>26</v>
      </c>
      <c r="AJ85" s="62"/>
      <c r="AK85" s="62"/>
      <c r="AL85" s="62"/>
      <c r="AM85" s="62"/>
      <c r="AN85" s="62" t="s">
        <v>2</v>
      </c>
      <c r="AO85" s="62"/>
      <c r="AP85" s="62"/>
      <c r="AQ85" s="62"/>
      <c r="AR85" s="62"/>
      <c r="AS85" s="62" t="s">
        <v>1</v>
      </c>
      <c r="AT85" s="62"/>
      <c r="AU85" s="62"/>
      <c r="AV85" s="62"/>
      <c r="AW85" s="62"/>
      <c r="AX85" s="62" t="s">
        <v>26</v>
      </c>
      <c r="AY85" s="62"/>
      <c r="AZ85" s="62"/>
      <c r="BA85" s="62"/>
      <c r="BB85" s="62"/>
      <c r="BC85" s="62" t="s">
        <v>2</v>
      </c>
      <c r="BD85" s="62"/>
      <c r="BE85" s="62"/>
      <c r="BF85" s="62"/>
      <c r="BG85" s="62"/>
      <c r="BH85" s="62" t="s">
        <v>1</v>
      </c>
      <c r="BI85" s="62"/>
      <c r="BJ85" s="62"/>
      <c r="BK85" s="62"/>
      <c r="BL85" s="62"/>
      <c r="BM85" s="62" t="s">
        <v>26</v>
      </c>
      <c r="BN85" s="62"/>
      <c r="BO85" s="62"/>
      <c r="BP85" s="62"/>
      <c r="BQ85" s="62"/>
      <c r="BR85" s="2"/>
      <c r="BS85" s="2"/>
      <c r="BT85" s="2"/>
      <c r="BU85" s="2"/>
      <c r="BV85" s="2"/>
      <c r="BW85" s="2"/>
      <c r="BX85" s="2"/>
      <c r="BY85" s="2"/>
    </row>
    <row r="86" spans="1:79" ht="15.95" customHeight="1" x14ac:dyDescent="0.2">
      <c r="A86" s="62">
        <v>1</v>
      </c>
      <c r="B86" s="62"/>
      <c r="C86" s="62">
        <v>2</v>
      </c>
      <c r="D86" s="62"/>
      <c r="E86" s="62"/>
      <c r="F86" s="62"/>
      <c r="G86" s="62"/>
      <c r="H86" s="62"/>
      <c r="I86" s="62"/>
      <c r="J86" s="62">
        <v>3</v>
      </c>
      <c r="K86" s="62"/>
      <c r="L86" s="62"/>
      <c r="M86" s="62"/>
      <c r="N86" s="62"/>
      <c r="O86" s="62">
        <v>4</v>
      </c>
      <c r="P86" s="62"/>
      <c r="Q86" s="62"/>
      <c r="R86" s="62"/>
      <c r="S86" s="62"/>
      <c r="T86" s="62"/>
      <c r="U86" s="62"/>
      <c r="V86" s="62"/>
      <c r="W86" s="62"/>
      <c r="X86" s="62"/>
      <c r="Y86" s="62">
        <v>5</v>
      </c>
      <c r="Z86" s="62"/>
      <c r="AA86" s="62"/>
      <c r="AB86" s="62"/>
      <c r="AC86" s="62"/>
      <c r="AD86" s="62">
        <v>6</v>
      </c>
      <c r="AE86" s="62"/>
      <c r="AF86" s="62"/>
      <c r="AG86" s="62"/>
      <c r="AH86" s="62"/>
      <c r="AI86" s="62">
        <v>7</v>
      </c>
      <c r="AJ86" s="62"/>
      <c r="AK86" s="62"/>
      <c r="AL86" s="62"/>
      <c r="AM86" s="62"/>
      <c r="AN86" s="57">
        <v>8</v>
      </c>
      <c r="AO86" s="63"/>
      <c r="AP86" s="63"/>
      <c r="AQ86" s="63"/>
      <c r="AR86" s="64"/>
      <c r="AS86" s="57">
        <v>9</v>
      </c>
      <c r="AT86" s="63"/>
      <c r="AU86" s="63"/>
      <c r="AV86" s="63"/>
      <c r="AW86" s="64"/>
      <c r="AX86" s="57">
        <v>10</v>
      </c>
      <c r="AY86" s="63"/>
      <c r="AZ86" s="63"/>
      <c r="BA86" s="63"/>
      <c r="BB86" s="64"/>
      <c r="BC86" s="57">
        <v>11</v>
      </c>
      <c r="BD86" s="63"/>
      <c r="BE86" s="63"/>
      <c r="BF86" s="63"/>
      <c r="BG86" s="64"/>
      <c r="BH86" s="57">
        <v>12</v>
      </c>
      <c r="BI86" s="63"/>
      <c r="BJ86" s="63"/>
      <c r="BK86" s="63"/>
      <c r="BL86" s="64"/>
      <c r="BM86" s="57">
        <v>13</v>
      </c>
      <c r="BN86" s="63"/>
      <c r="BO86" s="63"/>
      <c r="BP86" s="63"/>
      <c r="BQ86" s="64"/>
      <c r="BR86" s="2"/>
      <c r="BS86" s="2"/>
      <c r="BT86" s="2"/>
      <c r="BU86" s="2"/>
      <c r="BV86" s="2"/>
      <c r="BW86" s="2"/>
      <c r="BX86" s="2"/>
      <c r="BY86" s="2"/>
    </row>
    <row r="87" spans="1:79" ht="12.75" hidden="1" customHeight="1" x14ac:dyDescent="0.2">
      <c r="A87" s="39" t="s">
        <v>36</v>
      </c>
      <c r="B87" s="39"/>
      <c r="C87" s="82" t="s">
        <v>14</v>
      </c>
      <c r="D87" s="83"/>
      <c r="E87" s="83"/>
      <c r="F87" s="83"/>
      <c r="G87" s="83"/>
      <c r="H87" s="83"/>
      <c r="I87" s="84"/>
      <c r="J87" s="39" t="s">
        <v>15</v>
      </c>
      <c r="K87" s="39"/>
      <c r="L87" s="39"/>
      <c r="M87" s="39"/>
      <c r="N87" s="39"/>
      <c r="O87" s="107" t="s">
        <v>37</v>
      </c>
      <c r="P87" s="107"/>
      <c r="Q87" s="107"/>
      <c r="R87" s="107"/>
      <c r="S87" s="107"/>
      <c r="T87" s="107"/>
      <c r="U87" s="107"/>
      <c r="V87" s="107"/>
      <c r="W87" s="107"/>
      <c r="X87" s="82"/>
      <c r="Y87" s="65" t="s">
        <v>10</v>
      </c>
      <c r="Z87" s="65"/>
      <c r="AA87" s="65"/>
      <c r="AB87" s="65"/>
      <c r="AC87" s="65"/>
      <c r="AD87" s="65" t="s">
        <v>29</v>
      </c>
      <c r="AE87" s="65"/>
      <c r="AF87" s="65"/>
      <c r="AG87" s="65"/>
      <c r="AH87" s="65"/>
      <c r="AI87" s="65" t="s">
        <v>75</v>
      </c>
      <c r="AJ87" s="65"/>
      <c r="AK87" s="65"/>
      <c r="AL87" s="65"/>
      <c r="AM87" s="65"/>
      <c r="AN87" s="65" t="s">
        <v>30</v>
      </c>
      <c r="AO87" s="65"/>
      <c r="AP87" s="65"/>
      <c r="AQ87" s="65"/>
      <c r="AR87" s="65"/>
      <c r="AS87" s="65" t="s">
        <v>11</v>
      </c>
      <c r="AT87" s="65"/>
      <c r="AU87" s="65"/>
      <c r="AV87" s="65"/>
      <c r="AW87" s="65"/>
      <c r="AX87" s="65" t="s">
        <v>76</v>
      </c>
      <c r="AY87" s="65"/>
      <c r="AZ87" s="65"/>
      <c r="BA87" s="65"/>
      <c r="BB87" s="65"/>
      <c r="BC87" s="65" t="s">
        <v>32</v>
      </c>
      <c r="BD87" s="65"/>
      <c r="BE87" s="65"/>
      <c r="BF87" s="65"/>
      <c r="BG87" s="65"/>
      <c r="BH87" s="65" t="s">
        <v>32</v>
      </c>
      <c r="BI87" s="65"/>
      <c r="BJ87" s="65"/>
      <c r="BK87" s="65"/>
      <c r="BL87" s="65"/>
      <c r="BM87" s="89" t="s">
        <v>16</v>
      </c>
      <c r="BN87" s="89"/>
      <c r="BO87" s="89"/>
      <c r="BP87" s="89"/>
      <c r="BQ87" s="89"/>
      <c r="CA87" s="1" t="s">
        <v>23</v>
      </c>
    </row>
    <row r="88" spans="1:79" s="27" customFormat="1" ht="15.75" x14ac:dyDescent="0.2">
      <c r="A88" s="31">
        <v>0</v>
      </c>
      <c r="B88" s="31"/>
      <c r="C88" s="52" t="s">
        <v>101</v>
      </c>
      <c r="D88" s="52"/>
      <c r="E88" s="52"/>
      <c r="F88" s="52"/>
      <c r="G88" s="52"/>
      <c r="H88" s="52"/>
      <c r="I88" s="52"/>
      <c r="J88" s="52" t="s">
        <v>102</v>
      </c>
      <c r="K88" s="52"/>
      <c r="L88" s="52"/>
      <c r="M88" s="52"/>
      <c r="N88" s="52"/>
      <c r="O88" s="52" t="s">
        <v>102</v>
      </c>
      <c r="P88" s="52"/>
      <c r="Q88" s="52"/>
      <c r="R88" s="52"/>
      <c r="S88" s="52"/>
      <c r="T88" s="52"/>
      <c r="U88" s="52"/>
      <c r="V88" s="52"/>
      <c r="W88" s="52"/>
      <c r="X88" s="52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29"/>
      <c r="BS88" s="29"/>
      <c r="BT88" s="29"/>
      <c r="BU88" s="29"/>
      <c r="BV88" s="29"/>
      <c r="BW88" s="29"/>
      <c r="BX88" s="29"/>
      <c r="BY88" s="29"/>
      <c r="CA88" s="27" t="s">
        <v>24</v>
      </c>
    </row>
    <row r="89" spans="1:79" ht="89.25" customHeight="1" x14ac:dyDescent="0.2">
      <c r="A89" s="39">
        <v>1</v>
      </c>
      <c r="B89" s="39"/>
      <c r="C89" s="49" t="s">
        <v>103</v>
      </c>
      <c r="D89" s="41"/>
      <c r="E89" s="41"/>
      <c r="F89" s="41"/>
      <c r="G89" s="41"/>
      <c r="H89" s="41"/>
      <c r="I89" s="42"/>
      <c r="J89" s="50" t="s">
        <v>104</v>
      </c>
      <c r="K89" s="50"/>
      <c r="L89" s="50"/>
      <c r="M89" s="50"/>
      <c r="N89" s="50"/>
      <c r="O89" s="50" t="s">
        <v>105</v>
      </c>
      <c r="P89" s="50"/>
      <c r="Q89" s="50"/>
      <c r="R89" s="50"/>
      <c r="S89" s="50"/>
      <c r="T89" s="50"/>
      <c r="U89" s="50"/>
      <c r="V89" s="50"/>
      <c r="W89" s="50"/>
      <c r="X89" s="50"/>
      <c r="Y89" s="47">
        <v>1</v>
      </c>
      <c r="Z89" s="47"/>
      <c r="AA89" s="47"/>
      <c r="AB89" s="47"/>
      <c r="AC89" s="47"/>
      <c r="AD89" s="47">
        <v>0</v>
      </c>
      <c r="AE89" s="47"/>
      <c r="AF89" s="47"/>
      <c r="AG89" s="47"/>
      <c r="AH89" s="47"/>
      <c r="AI89" s="47">
        <v>1</v>
      </c>
      <c r="AJ89" s="47"/>
      <c r="AK89" s="47"/>
      <c r="AL89" s="47"/>
      <c r="AM89" s="47"/>
      <c r="AN89" s="47">
        <v>1</v>
      </c>
      <c r="AO89" s="47"/>
      <c r="AP89" s="47"/>
      <c r="AQ89" s="47"/>
      <c r="AR89" s="47"/>
      <c r="AS89" s="47">
        <v>0</v>
      </c>
      <c r="AT89" s="47"/>
      <c r="AU89" s="47"/>
      <c r="AV89" s="47"/>
      <c r="AW89" s="47"/>
      <c r="AX89" s="47">
        <v>1</v>
      </c>
      <c r="AY89" s="47"/>
      <c r="AZ89" s="47"/>
      <c r="BA89" s="47"/>
      <c r="BB89" s="47"/>
      <c r="BC89" s="47">
        <f>AN89-Y89</f>
        <v>0</v>
      </c>
      <c r="BD89" s="47"/>
      <c r="BE89" s="47"/>
      <c r="BF89" s="47"/>
      <c r="BG89" s="47"/>
      <c r="BH89" s="47">
        <f>AS89-AD89</f>
        <v>0</v>
      </c>
      <c r="BI89" s="47"/>
      <c r="BJ89" s="47"/>
      <c r="BK89" s="47"/>
      <c r="BL89" s="47"/>
      <c r="BM89" s="47">
        <v>0</v>
      </c>
      <c r="BN89" s="47"/>
      <c r="BO89" s="47"/>
      <c r="BP89" s="47"/>
      <c r="BQ89" s="47"/>
      <c r="BR89" s="10"/>
      <c r="BS89" s="10"/>
      <c r="BT89" s="10"/>
      <c r="BU89" s="10"/>
      <c r="BV89" s="10"/>
      <c r="BW89" s="10"/>
      <c r="BX89" s="10"/>
      <c r="BY89" s="10"/>
    </row>
    <row r="90" spans="1:79" s="27" customFormat="1" ht="15.75" x14ac:dyDescent="0.2">
      <c r="A90" s="31">
        <v>0</v>
      </c>
      <c r="B90" s="31"/>
      <c r="C90" s="51" t="s">
        <v>106</v>
      </c>
      <c r="D90" s="33"/>
      <c r="E90" s="33"/>
      <c r="F90" s="33"/>
      <c r="G90" s="33"/>
      <c r="H90" s="33"/>
      <c r="I90" s="34"/>
      <c r="J90" s="52" t="s">
        <v>102</v>
      </c>
      <c r="K90" s="52"/>
      <c r="L90" s="52"/>
      <c r="M90" s="52"/>
      <c r="N90" s="52"/>
      <c r="O90" s="52" t="s">
        <v>102</v>
      </c>
      <c r="P90" s="52"/>
      <c r="Q90" s="52"/>
      <c r="R90" s="52"/>
      <c r="S90" s="52"/>
      <c r="T90" s="52"/>
      <c r="U90" s="52"/>
      <c r="V90" s="52"/>
      <c r="W90" s="52"/>
      <c r="X90" s="52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29"/>
      <c r="BS90" s="29"/>
      <c r="BT90" s="29"/>
      <c r="BU90" s="29"/>
      <c r="BV90" s="29"/>
      <c r="BW90" s="29"/>
      <c r="BX90" s="29"/>
      <c r="BY90" s="29"/>
    </row>
    <row r="91" spans="1:79" ht="102" customHeight="1" x14ac:dyDescent="0.2">
      <c r="A91" s="39">
        <v>1</v>
      </c>
      <c r="B91" s="39"/>
      <c r="C91" s="49" t="s">
        <v>107</v>
      </c>
      <c r="D91" s="41"/>
      <c r="E91" s="41"/>
      <c r="F91" s="41"/>
      <c r="G91" s="41"/>
      <c r="H91" s="41"/>
      <c r="I91" s="42"/>
      <c r="J91" s="50" t="s">
        <v>104</v>
      </c>
      <c r="K91" s="50"/>
      <c r="L91" s="50"/>
      <c r="M91" s="50"/>
      <c r="N91" s="50"/>
      <c r="O91" s="50" t="s">
        <v>108</v>
      </c>
      <c r="P91" s="50"/>
      <c r="Q91" s="50"/>
      <c r="R91" s="50"/>
      <c r="S91" s="50"/>
      <c r="T91" s="50"/>
      <c r="U91" s="50"/>
      <c r="V91" s="50"/>
      <c r="W91" s="50"/>
      <c r="X91" s="50"/>
      <c r="Y91" s="47">
        <v>1</v>
      </c>
      <c r="Z91" s="47"/>
      <c r="AA91" s="47"/>
      <c r="AB91" s="47"/>
      <c r="AC91" s="47"/>
      <c r="AD91" s="47">
        <v>0</v>
      </c>
      <c r="AE91" s="47"/>
      <c r="AF91" s="47"/>
      <c r="AG91" s="47"/>
      <c r="AH91" s="47"/>
      <c r="AI91" s="47">
        <v>1</v>
      </c>
      <c r="AJ91" s="47"/>
      <c r="AK91" s="47"/>
      <c r="AL91" s="47"/>
      <c r="AM91" s="47"/>
      <c r="AN91" s="47">
        <v>1</v>
      </c>
      <c r="AO91" s="47"/>
      <c r="AP91" s="47"/>
      <c r="AQ91" s="47"/>
      <c r="AR91" s="47"/>
      <c r="AS91" s="47">
        <v>0</v>
      </c>
      <c r="AT91" s="47"/>
      <c r="AU91" s="47"/>
      <c r="AV91" s="47"/>
      <c r="AW91" s="47"/>
      <c r="AX91" s="47">
        <v>1</v>
      </c>
      <c r="AY91" s="47"/>
      <c r="AZ91" s="47"/>
      <c r="BA91" s="47"/>
      <c r="BB91" s="47"/>
      <c r="BC91" s="47">
        <f>AN91-Y91</f>
        <v>0</v>
      </c>
      <c r="BD91" s="47"/>
      <c r="BE91" s="47"/>
      <c r="BF91" s="47"/>
      <c r="BG91" s="47"/>
      <c r="BH91" s="47">
        <f>AS91-AD91</f>
        <v>0</v>
      </c>
      <c r="BI91" s="47"/>
      <c r="BJ91" s="47"/>
      <c r="BK91" s="47"/>
      <c r="BL91" s="47"/>
      <c r="BM91" s="47">
        <v>0</v>
      </c>
      <c r="BN91" s="47"/>
      <c r="BO91" s="47"/>
      <c r="BP91" s="47"/>
      <c r="BQ91" s="47"/>
      <c r="BR91" s="10"/>
      <c r="BS91" s="10"/>
      <c r="BT91" s="10"/>
      <c r="BU91" s="10"/>
      <c r="BV91" s="10"/>
      <c r="BW91" s="10"/>
      <c r="BX91" s="10"/>
      <c r="BY91" s="10"/>
    </row>
    <row r="92" spans="1:79" s="27" customFormat="1" ht="15.75" x14ac:dyDescent="0.2">
      <c r="A92" s="31">
        <v>0</v>
      </c>
      <c r="B92" s="31"/>
      <c r="C92" s="51" t="s">
        <v>109</v>
      </c>
      <c r="D92" s="33"/>
      <c r="E92" s="33"/>
      <c r="F92" s="33"/>
      <c r="G92" s="33"/>
      <c r="H92" s="33"/>
      <c r="I92" s="34"/>
      <c r="J92" s="52" t="s">
        <v>102</v>
      </c>
      <c r="K92" s="52"/>
      <c r="L92" s="52"/>
      <c r="M92" s="52"/>
      <c r="N92" s="52"/>
      <c r="O92" s="52" t="s">
        <v>102</v>
      </c>
      <c r="P92" s="52"/>
      <c r="Q92" s="52"/>
      <c r="R92" s="52"/>
      <c r="S92" s="52"/>
      <c r="T92" s="52"/>
      <c r="U92" s="52"/>
      <c r="V92" s="52"/>
      <c r="W92" s="52"/>
      <c r="X92" s="52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29"/>
      <c r="BS92" s="29"/>
      <c r="BT92" s="29"/>
      <c r="BU92" s="29"/>
      <c r="BV92" s="29"/>
      <c r="BW92" s="29"/>
      <c r="BX92" s="29"/>
      <c r="BY92" s="29"/>
    </row>
    <row r="93" spans="1:79" ht="76.5" customHeight="1" x14ac:dyDescent="0.2">
      <c r="A93" s="39">
        <v>1</v>
      </c>
      <c r="B93" s="39"/>
      <c r="C93" s="49" t="s">
        <v>110</v>
      </c>
      <c r="D93" s="41"/>
      <c r="E93" s="41"/>
      <c r="F93" s="41"/>
      <c r="G93" s="41"/>
      <c r="H93" s="41"/>
      <c r="I93" s="42"/>
      <c r="J93" s="50" t="s">
        <v>111</v>
      </c>
      <c r="K93" s="50"/>
      <c r="L93" s="50"/>
      <c r="M93" s="50"/>
      <c r="N93" s="50"/>
      <c r="O93" s="49" t="s">
        <v>112</v>
      </c>
      <c r="P93" s="41"/>
      <c r="Q93" s="41"/>
      <c r="R93" s="41"/>
      <c r="S93" s="41"/>
      <c r="T93" s="41"/>
      <c r="U93" s="41"/>
      <c r="V93" s="41"/>
      <c r="W93" s="41"/>
      <c r="X93" s="42"/>
      <c r="Y93" s="47">
        <v>38539218</v>
      </c>
      <c r="Z93" s="47"/>
      <c r="AA93" s="47"/>
      <c r="AB93" s="47"/>
      <c r="AC93" s="47"/>
      <c r="AD93" s="47">
        <v>0</v>
      </c>
      <c r="AE93" s="47"/>
      <c r="AF93" s="47"/>
      <c r="AG93" s="47"/>
      <c r="AH93" s="47"/>
      <c r="AI93" s="47">
        <v>38539218</v>
      </c>
      <c r="AJ93" s="47"/>
      <c r="AK93" s="47"/>
      <c r="AL93" s="47"/>
      <c r="AM93" s="47"/>
      <c r="AN93" s="47">
        <v>38523827.920000002</v>
      </c>
      <c r="AO93" s="47"/>
      <c r="AP93" s="47"/>
      <c r="AQ93" s="47"/>
      <c r="AR93" s="47"/>
      <c r="AS93" s="47">
        <v>0</v>
      </c>
      <c r="AT93" s="47"/>
      <c r="AU93" s="47"/>
      <c r="AV93" s="47"/>
      <c r="AW93" s="47"/>
      <c r="AX93" s="47">
        <v>38523827.920000002</v>
      </c>
      <c r="AY93" s="47"/>
      <c r="AZ93" s="47"/>
      <c r="BA93" s="47"/>
      <c r="BB93" s="47"/>
      <c r="BC93" s="47">
        <f>AN93-Y93</f>
        <v>-15390.079999998212</v>
      </c>
      <c r="BD93" s="47"/>
      <c r="BE93" s="47"/>
      <c r="BF93" s="47"/>
      <c r="BG93" s="47"/>
      <c r="BH93" s="47">
        <f>AS93-AD93</f>
        <v>0</v>
      </c>
      <c r="BI93" s="47"/>
      <c r="BJ93" s="47"/>
      <c r="BK93" s="47"/>
      <c r="BL93" s="47"/>
      <c r="BM93" s="47">
        <v>-15390.079999998212</v>
      </c>
      <c r="BN93" s="47"/>
      <c r="BO93" s="47"/>
      <c r="BP93" s="47"/>
      <c r="BQ93" s="47"/>
      <c r="BR93" s="10"/>
      <c r="BS93" s="10"/>
      <c r="BT93" s="10"/>
      <c r="BU93" s="10"/>
      <c r="BV93" s="10"/>
      <c r="BW93" s="10"/>
      <c r="BX93" s="10"/>
      <c r="BY93" s="10"/>
    </row>
    <row r="94" spans="1:79" s="27" customFormat="1" ht="15.75" x14ac:dyDescent="0.2">
      <c r="A94" s="31">
        <v>0</v>
      </c>
      <c r="B94" s="31"/>
      <c r="C94" s="51" t="s">
        <v>113</v>
      </c>
      <c r="D94" s="33"/>
      <c r="E94" s="33"/>
      <c r="F94" s="33"/>
      <c r="G94" s="33"/>
      <c r="H94" s="33"/>
      <c r="I94" s="34"/>
      <c r="J94" s="52" t="s">
        <v>102</v>
      </c>
      <c r="K94" s="52"/>
      <c r="L94" s="52"/>
      <c r="M94" s="52"/>
      <c r="N94" s="52"/>
      <c r="O94" s="51" t="s">
        <v>102</v>
      </c>
      <c r="P94" s="33"/>
      <c r="Q94" s="33"/>
      <c r="R94" s="33"/>
      <c r="S94" s="33"/>
      <c r="T94" s="33"/>
      <c r="U94" s="33"/>
      <c r="V94" s="33"/>
      <c r="W94" s="33"/>
      <c r="X94" s="34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29"/>
      <c r="BS94" s="29"/>
      <c r="BT94" s="29"/>
      <c r="BU94" s="29"/>
      <c r="BV94" s="29"/>
      <c r="BW94" s="29"/>
      <c r="BX94" s="29"/>
      <c r="BY94" s="29"/>
    </row>
    <row r="95" spans="1:79" ht="114.75" customHeight="1" x14ac:dyDescent="0.2">
      <c r="A95" s="39">
        <v>1</v>
      </c>
      <c r="B95" s="39"/>
      <c r="C95" s="49" t="s">
        <v>114</v>
      </c>
      <c r="D95" s="41"/>
      <c r="E95" s="41"/>
      <c r="F95" s="41"/>
      <c r="G95" s="41"/>
      <c r="H95" s="41"/>
      <c r="I95" s="42"/>
      <c r="J95" s="50" t="s">
        <v>115</v>
      </c>
      <c r="K95" s="50"/>
      <c r="L95" s="50"/>
      <c r="M95" s="50"/>
      <c r="N95" s="50"/>
      <c r="O95" s="49" t="s">
        <v>105</v>
      </c>
      <c r="P95" s="41"/>
      <c r="Q95" s="41"/>
      <c r="R95" s="41"/>
      <c r="S95" s="41"/>
      <c r="T95" s="41"/>
      <c r="U95" s="41"/>
      <c r="V95" s="41"/>
      <c r="W95" s="41"/>
      <c r="X95" s="42"/>
      <c r="Y95" s="47">
        <v>100</v>
      </c>
      <c r="Z95" s="47"/>
      <c r="AA95" s="47"/>
      <c r="AB95" s="47"/>
      <c r="AC95" s="47"/>
      <c r="AD95" s="47">
        <v>0</v>
      </c>
      <c r="AE95" s="47"/>
      <c r="AF95" s="47"/>
      <c r="AG95" s="47"/>
      <c r="AH95" s="47"/>
      <c r="AI95" s="47">
        <v>100</v>
      </c>
      <c r="AJ95" s="47"/>
      <c r="AK95" s="47"/>
      <c r="AL95" s="47"/>
      <c r="AM95" s="47"/>
      <c r="AN95" s="47">
        <v>100</v>
      </c>
      <c r="AO95" s="47"/>
      <c r="AP95" s="47"/>
      <c r="AQ95" s="47"/>
      <c r="AR95" s="47"/>
      <c r="AS95" s="47">
        <v>0</v>
      </c>
      <c r="AT95" s="47"/>
      <c r="AU95" s="47"/>
      <c r="AV95" s="47"/>
      <c r="AW95" s="47"/>
      <c r="AX95" s="47">
        <v>100</v>
      </c>
      <c r="AY95" s="47"/>
      <c r="AZ95" s="47"/>
      <c r="BA95" s="47"/>
      <c r="BB95" s="47"/>
      <c r="BC95" s="47">
        <f>AN95-Y95</f>
        <v>0</v>
      </c>
      <c r="BD95" s="47"/>
      <c r="BE95" s="47"/>
      <c r="BF95" s="47"/>
      <c r="BG95" s="47"/>
      <c r="BH95" s="47">
        <f>AS95-AD95</f>
        <v>0</v>
      </c>
      <c r="BI95" s="47"/>
      <c r="BJ95" s="47"/>
      <c r="BK95" s="47"/>
      <c r="BL95" s="47"/>
      <c r="BM95" s="47">
        <v>0</v>
      </c>
      <c r="BN95" s="47"/>
      <c r="BO95" s="47"/>
      <c r="BP95" s="47"/>
      <c r="BQ95" s="47"/>
      <c r="BR95" s="10"/>
      <c r="BS95" s="10"/>
      <c r="BT95" s="10"/>
      <c r="BU95" s="10"/>
      <c r="BV95" s="10"/>
      <c r="BW95" s="10"/>
      <c r="BX95" s="10"/>
      <c r="BY95" s="10"/>
    </row>
    <row r="96" spans="1:79" ht="15.75" x14ac:dyDescent="0.2">
      <c r="A96" s="23"/>
      <c r="B96" s="23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10"/>
      <c r="BS96" s="10"/>
      <c r="BT96" s="10"/>
      <c r="BU96" s="10"/>
      <c r="BV96" s="10"/>
      <c r="BW96" s="10"/>
      <c r="BX96" s="10"/>
      <c r="BY96" s="10"/>
    </row>
    <row r="97" spans="1:79" ht="15.75" customHeight="1" x14ac:dyDescent="0.2">
      <c r="A97" s="56" t="s">
        <v>63</v>
      </c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</row>
    <row r="98" spans="1:79" ht="9" customHeight="1" x14ac:dyDescent="0.2">
      <c r="A98" s="23"/>
      <c r="B98" s="23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10"/>
      <c r="BS98" s="10"/>
      <c r="BT98" s="10"/>
      <c r="BU98" s="10"/>
      <c r="BV98" s="10"/>
      <c r="BW98" s="10"/>
      <c r="BX98" s="10"/>
      <c r="BY98" s="10"/>
    </row>
    <row r="99" spans="1:79" ht="45" customHeight="1" x14ac:dyDescent="0.2">
      <c r="A99" s="66" t="s">
        <v>3</v>
      </c>
      <c r="B99" s="68"/>
      <c r="C99" s="66" t="s">
        <v>6</v>
      </c>
      <c r="D99" s="67"/>
      <c r="E99" s="67"/>
      <c r="F99" s="67"/>
      <c r="G99" s="67"/>
      <c r="H99" s="67"/>
      <c r="I99" s="68"/>
      <c r="J99" s="66" t="s">
        <v>5</v>
      </c>
      <c r="K99" s="67"/>
      <c r="L99" s="67"/>
      <c r="M99" s="67"/>
      <c r="N99" s="68"/>
      <c r="O99" s="57" t="s">
        <v>64</v>
      </c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9"/>
      <c r="BR99" s="9"/>
      <c r="BS99" s="9"/>
      <c r="BT99" s="9"/>
      <c r="BU99" s="9"/>
      <c r="BV99" s="9"/>
      <c r="BW99" s="9"/>
      <c r="BX99" s="9"/>
      <c r="BY99" s="9"/>
    </row>
    <row r="100" spans="1:79" ht="15.95" customHeight="1" x14ac:dyDescent="0.2">
      <c r="A100" s="62">
        <v>1</v>
      </c>
      <c r="B100" s="62"/>
      <c r="C100" s="62">
        <v>2</v>
      </c>
      <c r="D100" s="62"/>
      <c r="E100" s="62"/>
      <c r="F100" s="62"/>
      <c r="G100" s="62"/>
      <c r="H100" s="62"/>
      <c r="I100" s="62"/>
      <c r="J100" s="62">
        <v>3</v>
      </c>
      <c r="K100" s="62"/>
      <c r="L100" s="62"/>
      <c r="M100" s="62"/>
      <c r="N100" s="62"/>
      <c r="O100" s="57">
        <v>4</v>
      </c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1"/>
      <c r="BR100" s="2"/>
      <c r="BS100" s="2"/>
      <c r="BT100" s="2"/>
      <c r="BU100" s="2"/>
      <c r="BV100" s="2"/>
      <c r="BW100" s="2"/>
      <c r="BX100" s="2"/>
      <c r="BY100" s="2"/>
    </row>
    <row r="101" spans="1:79" ht="12.75" hidden="1" customHeight="1" x14ac:dyDescent="0.2">
      <c r="A101" s="39" t="s">
        <v>36</v>
      </c>
      <c r="B101" s="39"/>
      <c r="C101" s="82" t="s">
        <v>14</v>
      </c>
      <c r="D101" s="83"/>
      <c r="E101" s="83"/>
      <c r="F101" s="83"/>
      <c r="G101" s="83"/>
      <c r="H101" s="83"/>
      <c r="I101" s="84"/>
      <c r="J101" s="39" t="s">
        <v>15</v>
      </c>
      <c r="K101" s="39"/>
      <c r="L101" s="39"/>
      <c r="M101" s="39"/>
      <c r="N101" s="39"/>
      <c r="O101" s="40" t="s">
        <v>70</v>
      </c>
      <c r="P101" s="92"/>
      <c r="Q101" s="92"/>
      <c r="R101" s="92"/>
      <c r="S101" s="92"/>
      <c r="T101" s="92"/>
      <c r="U101" s="92"/>
      <c r="V101" s="92"/>
      <c r="W101" s="92"/>
      <c r="X101" s="92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3"/>
      <c r="BH101" s="93"/>
      <c r="BI101" s="93"/>
      <c r="BJ101" s="93"/>
      <c r="BK101" s="93"/>
      <c r="BL101" s="93"/>
      <c r="BM101" s="93"/>
      <c r="BN101" s="93"/>
      <c r="BO101" s="93"/>
      <c r="BP101" s="93"/>
      <c r="BQ101" s="94"/>
      <c r="CA101" s="1" t="s">
        <v>69</v>
      </c>
    </row>
    <row r="102" spans="1:79" s="27" customFormat="1" ht="15.75" x14ac:dyDescent="0.2">
      <c r="A102" s="31">
        <v>0</v>
      </c>
      <c r="B102" s="31"/>
      <c r="C102" s="31" t="s">
        <v>101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8"/>
      <c r="BR102" s="30"/>
      <c r="BS102" s="30"/>
      <c r="BT102" s="30"/>
      <c r="BU102" s="30"/>
      <c r="BV102" s="30"/>
      <c r="BW102" s="30"/>
      <c r="BX102" s="30"/>
      <c r="BY102" s="30"/>
      <c r="CA102" s="27" t="s">
        <v>66</v>
      </c>
    </row>
    <row r="103" spans="1:79" s="27" customFormat="1" ht="15.75" x14ac:dyDescent="0.2">
      <c r="A103" s="31">
        <v>0</v>
      </c>
      <c r="B103" s="31"/>
      <c r="C103" s="31" t="s">
        <v>106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8"/>
      <c r="BR103" s="30"/>
      <c r="BS103" s="30"/>
      <c r="BT103" s="30"/>
      <c r="BU103" s="30"/>
      <c r="BV103" s="30"/>
      <c r="BW103" s="30"/>
      <c r="BX103" s="30"/>
      <c r="BY103" s="30"/>
    </row>
    <row r="104" spans="1:79" s="27" customFormat="1" ht="15.75" x14ac:dyDescent="0.2">
      <c r="A104" s="31">
        <v>0</v>
      </c>
      <c r="B104" s="31"/>
      <c r="C104" s="31" t="s">
        <v>109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8"/>
      <c r="BR104" s="30"/>
      <c r="BS104" s="30"/>
      <c r="BT104" s="30"/>
      <c r="BU104" s="30"/>
      <c r="BV104" s="30"/>
      <c r="BW104" s="30"/>
      <c r="BX104" s="30"/>
      <c r="BY104" s="30"/>
    </row>
    <row r="105" spans="1:79" ht="76.5" customHeight="1" x14ac:dyDescent="0.2">
      <c r="A105" s="39">
        <v>1</v>
      </c>
      <c r="B105" s="39"/>
      <c r="C105" s="40" t="s">
        <v>110</v>
      </c>
      <c r="D105" s="41"/>
      <c r="E105" s="41"/>
      <c r="F105" s="41"/>
      <c r="G105" s="41"/>
      <c r="H105" s="41"/>
      <c r="I105" s="42"/>
      <c r="J105" s="39" t="s">
        <v>111</v>
      </c>
      <c r="K105" s="39"/>
      <c r="L105" s="39"/>
      <c r="M105" s="39"/>
      <c r="N105" s="39"/>
      <c r="O105" s="43" t="s">
        <v>116</v>
      </c>
      <c r="P105" s="44"/>
      <c r="Q105" s="44"/>
      <c r="R105" s="44"/>
      <c r="S105" s="44"/>
      <c r="T105" s="44"/>
      <c r="U105" s="44"/>
      <c r="V105" s="44"/>
      <c r="W105" s="44"/>
      <c r="X105" s="44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6"/>
      <c r="BR105" s="2"/>
      <c r="BS105" s="2"/>
      <c r="BT105" s="2"/>
      <c r="BU105" s="2"/>
      <c r="BV105" s="2"/>
      <c r="BW105" s="2"/>
      <c r="BX105" s="2"/>
      <c r="BY105" s="2"/>
    </row>
    <row r="106" spans="1:79" s="27" customFormat="1" ht="15.75" x14ac:dyDescent="0.2">
      <c r="A106" s="31">
        <v>0</v>
      </c>
      <c r="B106" s="31"/>
      <c r="C106" s="32" t="s">
        <v>113</v>
      </c>
      <c r="D106" s="33"/>
      <c r="E106" s="33"/>
      <c r="F106" s="33"/>
      <c r="G106" s="33"/>
      <c r="H106" s="33"/>
      <c r="I106" s="34"/>
      <c r="J106" s="31"/>
      <c r="K106" s="31"/>
      <c r="L106" s="31"/>
      <c r="M106" s="31"/>
      <c r="N106" s="31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8"/>
      <c r="BR106" s="30"/>
      <c r="BS106" s="30"/>
      <c r="BT106" s="30"/>
      <c r="BU106" s="30"/>
      <c r="BV106" s="30"/>
      <c r="BW106" s="30"/>
      <c r="BX106" s="30"/>
      <c r="BY106" s="30"/>
    </row>
    <row r="107" spans="1:79" ht="15.75" x14ac:dyDescent="0.2">
      <c r="A107" s="23"/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10"/>
      <c r="BS107" s="10"/>
      <c r="BT107" s="10"/>
      <c r="BU107" s="10"/>
      <c r="BV107" s="10"/>
      <c r="BW107" s="10"/>
      <c r="BX107" s="10"/>
      <c r="BY107" s="10"/>
    </row>
    <row r="108" spans="1:79" ht="15.95" customHeight="1" x14ac:dyDescent="0.2">
      <c r="A108" s="56" t="s">
        <v>65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</row>
    <row r="109" spans="1:79" ht="15.95" customHeight="1" x14ac:dyDescent="0.2">
      <c r="A109" s="116" t="s">
        <v>135</v>
      </c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117"/>
      <c r="BF109" s="117"/>
      <c r="BG109" s="117"/>
      <c r="BH109" s="117"/>
      <c r="BI109" s="117"/>
      <c r="BJ109" s="117"/>
      <c r="BK109" s="117"/>
      <c r="BL109" s="117"/>
    </row>
    <row r="110" spans="1:79" ht="15.75" x14ac:dyDescent="0.2">
      <c r="A110" s="23"/>
      <c r="B110" s="23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10"/>
      <c r="BS110" s="10"/>
      <c r="BT110" s="10"/>
      <c r="BU110" s="10"/>
      <c r="BV110" s="10"/>
      <c r="BW110" s="10"/>
      <c r="BX110" s="10"/>
      <c r="BY110" s="10"/>
    </row>
    <row r="111" spans="1:79" ht="15.95" customHeight="1" x14ac:dyDescent="0.2">
      <c r="A111" s="56" t="s">
        <v>46</v>
      </c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</row>
    <row r="112" spans="1:79" ht="207.75" customHeight="1" x14ac:dyDescent="0.2">
      <c r="A112" s="116" t="s">
        <v>118</v>
      </c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  <c r="AW112" s="117"/>
      <c r="AX112" s="117"/>
      <c r="AY112" s="117"/>
      <c r="AZ112" s="117"/>
      <c r="BA112" s="117"/>
      <c r="BB112" s="117"/>
      <c r="BC112" s="117"/>
      <c r="BD112" s="117"/>
      <c r="BE112" s="117"/>
      <c r="BF112" s="117"/>
      <c r="BG112" s="117"/>
      <c r="BH112" s="117"/>
      <c r="BI112" s="117"/>
      <c r="BJ112" s="117"/>
      <c r="BK112" s="117"/>
      <c r="BL112" s="117"/>
    </row>
    <row r="113" spans="1:64" ht="15.95" customHeight="1" x14ac:dyDescent="0.25">
      <c r="A113" s="2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</row>
    <row r="114" spans="1:64" ht="42" customHeight="1" x14ac:dyDescent="0.25">
      <c r="A114" s="116" t="s">
        <v>121</v>
      </c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3"/>
      <c r="AO114" s="3"/>
      <c r="AP114" s="95" t="s">
        <v>123</v>
      </c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</row>
    <row r="115" spans="1:64" x14ac:dyDescent="0.2">
      <c r="W115" s="90" t="s">
        <v>8</v>
      </c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4"/>
      <c r="AO115" s="4"/>
      <c r="AP115" s="90" t="s">
        <v>71</v>
      </c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</row>
    <row r="118" spans="1:64" ht="31.5" customHeight="1" x14ac:dyDescent="0.25">
      <c r="A118" s="116" t="s">
        <v>122</v>
      </c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3"/>
      <c r="AO118" s="3"/>
      <c r="AP118" s="95" t="s">
        <v>124</v>
      </c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</row>
    <row r="119" spans="1:64" x14ac:dyDescent="0.2">
      <c r="W119" s="90" t="s">
        <v>8</v>
      </c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4"/>
      <c r="AO119" s="4"/>
      <c r="AP119" s="90" t="s">
        <v>71</v>
      </c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</row>
  </sheetData>
  <mergeCells count="525">
    <mergeCell ref="AI78:AM78"/>
    <mergeCell ref="AN78:AR78"/>
    <mergeCell ref="AS78:AX78"/>
    <mergeCell ref="AY78:BC78"/>
    <mergeCell ref="A74:B75"/>
    <mergeCell ref="A76:B76"/>
    <mergeCell ref="A77:B77"/>
    <mergeCell ref="A78:B78"/>
    <mergeCell ref="C78:R78"/>
    <mergeCell ref="S78:W78"/>
    <mergeCell ref="BD42:BH42"/>
    <mergeCell ref="A111:BL111"/>
    <mergeCell ref="AK40:AO40"/>
    <mergeCell ref="A42:B42"/>
    <mergeCell ref="AD86:AH86"/>
    <mergeCell ref="AF40:AJ40"/>
    <mergeCell ref="A59:BQ59"/>
    <mergeCell ref="AY74:BN74"/>
    <mergeCell ref="AI76:AM76"/>
    <mergeCell ref="AY77:BC77"/>
    <mergeCell ref="AY75:BC75"/>
    <mergeCell ref="BD75:BH75"/>
    <mergeCell ref="AI77:AM77"/>
    <mergeCell ref="AN77:AR77"/>
    <mergeCell ref="AS77:AX77"/>
    <mergeCell ref="AN76:AR76"/>
    <mergeCell ref="AS76:AX76"/>
    <mergeCell ref="AY76:BC76"/>
    <mergeCell ref="BI75:BN75"/>
    <mergeCell ref="BI77:BN77"/>
    <mergeCell ref="BD78:BH78"/>
    <mergeCell ref="BD76:BH76"/>
    <mergeCell ref="BI76:BN76"/>
    <mergeCell ref="BI78:BN78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38:BQ38"/>
    <mergeCell ref="C39:Z40"/>
    <mergeCell ref="BI40:BM40"/>
    <mergeCell ref="BD40:BH40"/>
    <mergeCell ref="AZ40:BC40"/>
    <mergeCell ref="BD43:BH43"/>
    <mergeCell ref="AP119:BH119"/>
    <mergeCell ref="A118:V118"/>
    <mergeCell ref="W118:AM118"/>
    <mergeCell ref="AP118:BH118"/>
    <mergeCell ref="W119:AM119"/>
    <mergeCell ref="AP115:BH115"/>
    <mergeCell ref="A112:BL112"/>
    <mergeCell ref="A64:B64"/>
    <mergeCell ref="A62:B62"/>
    <mergeCell ref="A63:B63"/>
    <mergeCell ref="A73:BN73"/>
    <mergeCell ref="A72:BN72"/>
    <mergeCell ref="C64:BQ64"/>
    <mergeCell ref="C62:BQ62"/>
    <mergeCell ref="C63:BQ63"/>
    <mergeCell ref="A66:B66"/>
    <mergeCell ref="C66:BQ66"/>
    <mergeCell ref="A81:BQ81"/>
    <mergeCell ref="C86:I86"/>
    <mergeCell ref="J101:N101"/>
    <mergeCell ref="A100:B100"/>
    <mergeCell ref="A87:B87"/>
    <mergeCell ref="O88:X88"/>
    <mergeCell ref="Y88:AC88"/>
    <mergeCell ref="W115:AM115"/>
    <mergeCell ref="A114:V114"/>
    <mergeCell ref="W114:AM114"/>
    <mergeCell ref="A88:B88"/>
    <mergeCell ref="AD88:AH88"/>
    <mergeCell ref="A97:BQ97"/>
    <mergeCell ref="A99:B99"/>
    <mergeCell ref="C99:I99"/>
    <mergeCell ref="BC88:BG88"/>
    <mergeCell ref="J88:N88"/>
    <mergeCell ref="O101:BQ101"/>
    <mergeCell ref="C100:I100"/>
    <mergeCell ref="J100:N100"/>
    <mergeCell ref="AP114:BH114"/>
    <mergeCell ref="C88:I88"/>
    <mergeCell ref="BM88:BQ88"/>
    <mergeCell ref="BH88:BL88"/>
    <mergeCell ref="A43:B43"/>
    <mergeCell ref="A61:B61"/>
    <mergeCell ref="AF43:AJ43"/>
    <mergeCell ref="AZ43:BC43"/>
    <mergeCell ref="AU43:AY43"/>
    <mergeCell ref="AA43:AE43"/>
    <mergeCell ref="C43:Z43"/>
    <mergeCell ref="AK43:AO43"/>
    <mergeCell ref="Y87:AC87"/>
    <mergeCell ref="C87:I87"/>
    <mergeCell ref="C84:I85"/>
    <mergeCell ref="J84:N85"/>
    <mergeCell ref="O84:X85"/>
    <mergeCell ref="Y85:AC85"/>
    <mergeCell ref="AN86:AR86"/>
    <mergeCell ref="AN84:BB84"/>
    <mergeCell ref="J87:N87"/>
    <mergeCell ref="O87:X87"/>
    <mergeCell ref="C76:R76"/>
    <mergeCell ref="S76:W76"/>
    <mergeCell ref="X76:AB76"/>
    <mergeCell ref="AC76:AH76"/>
    <mergeCell ref="BC86:BG86"/>
    <mergeCell ref="BC87:BG87"/>
    <mergeCell ref="BC85:BG85"/>
    <mergeCell ref="A82:BQ82"/>
    <mergeCell ref="AD87:AH87"/>
    <mergeCell ref="AI86:AM86"/>
    <mergeCell ref="BH86:BL86"/>
    <mergeCell ref="BM86:BQ86"/>
    <mergeCell ref="BM87:BQ87"/>
    <mergeCell ref="BH87:BL87"/>
    <mergeCell ref="A86:B86"/>
    <mergeCell ref="O86:X86"/>
    <mergeCell ref="Y84:AM84"/>
    <mergeCell ref="J86:N86"/>
    <mergeCell ref="Y86:AC86"/>
    <mergeCell ref="A84:B85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Z41:BC41"/>
    <mergeCell ref="BD41:BH41"/>
    <mergeCell ref="AP41:AT41"/>
    <mergeCell ref="AP43:AT43"/>
    <mergeCell ref="A41:B41"/>
    <mergeCell ref="A28:BL28"/>
    <mergeCell ref="A29:BL29"/>
    <mergeCell ref="A31:BL31"/>
    <mergeCell ref="AA42:AE42"/>
    <mergeCell ref="C41:Z41"/>
    <mergeCell ref="AS85:AW85"/>
    <mergeCell ref="AN85:AR85"/>
    <mergeCell ref="AI85:AM85"/>
    <mergeCell ref="BC84:BQ84"/>
    <mergeCell ref="BN41:BQ41"/>
    <mergeCell ref="BM85:BQ85"/>
    <mergeCell ref="BH85:BL85"/>
    <mergeCell ref="AD85:AH85"/>
    <mergeCell ref="BI43:BM43"/>
    <mergeCell ref="AZ42:BC42"/>
    <mergeCell ref="AU42:AY42"/>
    <mergeCell ref="S75:W75"/>
    <mergeCell ref="X75:AB75"/>
    <mergeCell ref="AC75:AH75"/>
    <mergeCell ref="AI75:AM75"/>
    <mergeCell ref="AN75:AR75"/>
    <mergeCell ref="C61:BQ61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85:BB85"/>
    <mergeCell ref="AX86:BB86"/>
    <mergeCell ref="AS86:AW86"/>
    <mergeCell ref="AI87:AM87"/>
    <mergeCell ref="AN87:AR87"/>
    <mergeCell ref="AS87:AW87"/>
    <mergeCell ref="AI88:AM88"/>
    <mergeCell ref="AN88:AR88"/>
    <mergeCell ref="AS88:AW88"/>
    <mergeCell ref="AX88:BB88"/>
    <mergeCell ref="AX87:BB87"/>
    <mergeCell ref="A108:BL108"/>
    <mergeCell ref="A109:BL109"/>
    <mergeCell ref="O99:BQ99"/>
    <mergeCell ref="O100:BQ100"/>
    <mergeCell ref="O102:BQ102"/>
    <mergeCell ref="A102:B102"/>
    <mergeCell ref="C102:I102"/>
    <mergeCell ref="J102:N102"/>
    <mergeCell ref="A101:B101"/>
    <mergeCell ref="A103:B103"/>
    <mergeCell ref="J99:N99"/>
    <mergeCell ref="C101:I101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P44:AT44"/>
    <mergeCell ref="A47:B47"/>
    <mergeCell ref="C47:Z47"/>
    <mergeCell ref="AA47:AE47"/>
    <mergeCell ref="AF47:AJ47"/>
    <mergeCell ref="AK47:AO47"/>
    <mergeCell ref="A46:B46"/>
    <mergeCell ref="C46:Z46"/>
    <mergeCell ref="AA46:AE46"/>
    <mergeCell ref="AF46:AJ46"/>
    <mergeCell ref="AK46:AO46"/>
    <mergeCell ref="AP47:AT47"/>
    <mergeCell ref="AU47:AY47"/>
    <mergeCell ref="AZ47:BC47"/>
    <mergeCell ref="BD47:BH47"/>
    <mergeCell ref="BI47:BM47"/>
    <mergeCell ref="BN47:BQ47"/>
    <mergeCell ref="AU46:AY46"/>
    <mergeCell ref="AZ46:BC46"/>
    <mergeCell ref="BD46:BH46"/>
    <mergeCell ref="BI46:BM46"/>
    <mergeCell ref="BN46:BQ46"/>
    <mergeCell ref="AP46:AT46"/>
    <mergeCell ref="A49:B49"/>
    <mergeCell ref="C49:Z49"/>
    <mergeCell ref="AA49:AE49"/>
    <mergeCell ref="AF49:AJ49"/>
    <mergeCell ref="AK49:AO49"/>
    <mergeCell ref="A48:B48"/>
    <mergeCell ref="C48:Z48"/>
    <mergeCell ref="AA48:AE48"/>
    <mergeCell ref="AF48:AJ48"/>
    <mergeCell ref="AK48:AO48"/>
    <mergeCell ref="AP49:AT49"/>
    <mergeCell ref="AU49:AY49"/>
    <mergeCell ref="AZ49:BC49"/>
    <mergeCell ref="BD49:BH49"/>
    <mergeCell ref="BI49:BM49"/>
    <mergeCell ref="BN49:BQ49"/>
    <mergeCell ref="AU48:AY48"/>
    <mergeCell ref="AZ48:BC48"/>
    <mergeCell ref="BD48:BH48"/>
    <mergeCell ref="BI48:BM48"/>
    <mergeCell ref="BN48:BQ48"/>
    <mergeCell ref="AP48:AT48"/>
    <mergeCell ref="A51:B51"/>
    <mergeCell ref="C51:Z51"/>
    <mergeCell ref="AA51:AE51"/>
    <mergeCell ref="AF51:AJ51"/>
    <mergeCell ref="AK51:AO51"/>
    <mergeCell ref="A50:B50"/>
    <mergeCell ref="C50:Z50"/>
    <mergeCell ref="AA50:AE50"/>
    <mergeCell ref="AF50:AJ50"/>
    <mergeCell ref="AK50:AO50"/>
    <mergeCell ref="AP51:AT51"/>
    <mergeCell ref="AU51:AY51"/>
    <mergeCell ref="AZ51:BC51"/>
    <mergeCell ref="BD51:BH51"/>
    <mergeCell ref="BI51:BM51"/>
    <mergeCell ref="BN51:BQ51"/>
    <mergeCell ref="AU50:AY50"/>
    <mergeCell ref="AZ50:BC50"/>
    <mergeCell ref="BD50:BH50"/>
    <mergeCell ref="BI50:BM50"/>
    <mergeCell ref="BN50:BQ50"/>
    <mergeCell ref="AP50:AT50"/>
    <mergeCell ref="A53:B53"/>
    <mergeCell ref="C53:Z53"/>
    <mergeCell ref="AA53:AE53"/>
    <mergeCell ref="AF53:AJ53"/>
    <mergeCell ref="AK53:AO53"/>
    <mergeCell ref="A52:B52"/>
    <mergeCell ref="C52:Z52"/>
    <mergeCell ref="AA52:AE52"/>
    <mergeCell ref="AF52:AJ52"/>
    <mergeCell ref="AK52:AO52"/>
    <mergeCell ref="AP53:AT53"/>
    <mergeCell ref="AU53:AY53"/>
    <mergeCell ref="AZ53:BC53"/>
    <mergeCell ref="BD53:BH53"/>
    <mergeCell ref="BI53:BM53"/>
    <mergeCell ref="BN53:BQ53"/>
    <mergeCell ref="AU52:AY52"/>
    <mergeCell ref="AZ52:BC52"/>
    <mergeCell ref="BD52:BH52"/>
    <mergeCell ref="BI52:BM52"/>
    <mergeCell ref="BN52:BQ52"/>
    <mergeCell ref="AP52:AT52"/>
    <mergeCell ref="A55:B55"/>
    <mergeCell ref="C55:Z55"/>
    <mergeCell ref="AA55:AE55"/>
    <mergeCell ref="AF55:AJ55"/>
    <mergeCell ref="AK55:AO55"/>
    <mergeCell ref="A54:B54"/>
    <mergeCell ref="C54:Z54"/>
    <mergeCell ref="AA54:AE54"/>
    <mergeCell ref="AF54:AJ54"/>
    <mergeCell ref="AK54:AO54"/>
    <mergeCell ref="AP55:AT55"/>
    <mergeCell ref="AU55:AY55"/>
    <mergeCell ref="AZ55:BC55"/>
    <mergeCell ref="BD55:BH55"/>
    <mergeCell ref="BI55:BM55"/>
    <mergeCell ref="BN55:BQ55"/>
    <mergeCell ref="AU54:AY54"/>
    <mergeCell ref="AZ54:BC54"/>
    <mergeCell ref="BD54:BH54"/>
    <mergeCell ref="BI54:BM54"/>
    <mergeCell ref="BN54:BQ54"/>
    <mergeCell ref="AP54:AT54"/>
    <mergeCell ref="AU56:AY56"/>
    <mergeCell ref="AZ56:BC56"/>
    <mergeCell ref="BD56:BH56"/>
    <mergeCell ref="BI56:BM56"/>
    <mergeCell ref="BN56:BQ56"/>
    <mergeCell ref="A57:B57"/>
    <mergeCell ref="C57:Z57"/>
    <mergeCell ref="AA57:AE57"/>
    <mergeCell ref="AF57:AJ57"/>
    <mergeCell ref="AK57:AO57"/>
    <mergeCell ref="A56:B56"/>
    <mergeCell ref="C56:Z56"/>
    <mergeCell ref="AA56:AE56"/>
    <mergeCell ref="AF56:AJ56"/>
    <mergeCell ref="AK56:AO56"/>
    <mergeCell ref="AP56:AT56"/>
    <mergeCell ref="A67:B67"/>
    <mergeCell ref="C67:BQ67"/>
    <mergeCell ref="A68:B68"/>
    <mergeCell ref="C68:BQ68"/>
    <mergeCell ref="A69:B69"/>
    <mergeCell ref="C69:BQ69"/>
    <mergeCell ref="A65:B65"/>
    <mergeCell ref="C65:BQ65"/>
    <mergeCell ref="AP57:AT57"/>
    <mergeCell ref="AU57:AY57"/>
    <mergeCell ref="AZ57:BC57"/>
    <mergeCell ref="BD57:BH57"/>
    <mergeCell ref="BI57:BM57"/>
    <mergeCell ref="BN57:BQ57"/>
    <mergeCell ref="AN79:AR79"/>
    <mergeCell ref="AS79:AX79"/>
    <mergeCell ref="AY79:BC79"/>
    <mergeCell ref="BD79:BH79"/>
    <mergeCell ref="BI79:BN79"/>
    <mergeCell ref="A70:B70"/>
    <mergeCell ref="C70:BQ70"/>
    <mergeCell ref="A79:B79"/>
    <mergeCell ref="C79:R79"/>
    <mergeCell ref="S79:W79"/>
    <mergeCell ref="X79:AB79"/>
    <mergeCell ref="AC79:AH79"/>
    <mergeCell ref="AI79:AM79"/>
    <mergeCell ref="C74:R75"/>
    <mergeCell ref="S74:AH74"/>
    <mergeCell ref="AI74:AX74"/>
    <mergeCell ref="AS75:AX75"/>
    <mergeCell ref="BD77:BH77"/>
    <mergeCell ref="X78:AB78"/>
    <mergeCell ref="AC78:AH78"/>
    <mergeCell ref="C77:R77"/>
    <mergeCell ref="S77:W77"/>
    <mergeCell ref="X77:AB77"/>
    <mergeCell ref="AC77:AH77"/>
    <mergeCell ref="A90:B90"/>
    <mergeCell ref="C90:I90"/>
    <mergeCell ref="J90:N90"/>
    <mergeCell ref="O90:X90"/>
    <mergeCell ref="Y90:AC90"/>
    <mergeCell ref="AD90:AH90"/>
    <mergeCell ref="AI90:AM90"/>
    <mergeCell ref="A89:B89"/>
    <mergeCell ref="C89:I89"/>
    <mergeCell ref="J89:N89"/>
    <mergeCell ref="O89:X89"/>
    <mergeCell ref="Y89:AC89"/>
    <mergeCell ref="AD89:AH89"/>
    <mergeCell ref="AI89:AM89"/>
    <mergeCell ref="AN90:AR90"/>
    <mergeCell ref="AS90:AW90"/>
    <mergeCell ref="AX90:BB90"/>
    <mergeCell ref="BC90:BG90"/>
    <mergeCell ref="BH90:BL90"/>
    <mergeCell ref="BM90:BQ90"/>
    <mergeCell ref="BC89:BG89"/>
    <mergeCell ref="BH89:BL89"/>
    <mergeCell ref="BM89:BQ89"/>
    <mergeCell ref="AN89:AR89"/>
    <mergeCell ref="AS89:AW89"/>
    <mergeCell ref="AX89:BB89"/>
    <mergeCell ref="BM91:BQ91"/>
    <mergeCell ref="A92:B92"/>
    <mergeCell ref="C92:I92"/>
    <mergeCell ref="J92:N92"/>
    <mergeCell ref="O92:X92"/>
    <mergeCell ref="Y92:AC92"/>
    <mergeCell ref="AD92:AH92"/>
    <mergeCell ref="AI92:AM92"/>
    <mergeCell ref="AN92:AR92"/>
    <mergeCell ref="AS92:AW92"/>
    <mergeCell ref="AI91:AM91"/>
    <mergeCell ref="AN91:AR91"/>
    <mergeCell ref="AS91:AW91"/>
    <mergeCell ref="AX91:BB91"/>
    <mergeCell ref="BC91:BG91"/>
    <mergeCell ref="BH91:BL91"/>
    <mergeCell ref="A91:B91"/>
    <mergeCell ref="C91:I91"/>
    <mergeCell ref="J91:N91"/>
    <mergeCell ref="O91:X91"/>
    <mergeCell ref="Y91:AC91"/>
    <mergeCell ref="AD91:AH91"/>
    <mergeCell ref="AX92:BB92"/>
    <mergeCell ref="BC92:BG92"/>
    <mergeCell ref="BH92:BL92"/>
    <mergeCell ref="BM92:BQ92"/>
    <mergeCell ref="A93:B93"/>
    <mergeCell ref="C93:I93"/>
    <mergeCell ref="J93:N93"/>
    <mergeCell ref="O93:X93"/>
    <mergeCell ref="Y93:AC93"/>
    <mergeCell ref="AD93:AH93"/>
    <mergeCell ref="BM93:BQ93"/>
    <mergeCell ref="A94:B94"/>
    <mergeCell ref="C94:I94"/>
    <mergeCell ref="J94:N94"/>
    <mergeCell ref="O94:X94"/>
    <mergeCell ref="Y94:AC94"/>
    <mergeCell ref="AD94:AH94"/>
    <mergeCell ref="AI94:AM94"/>
    <mergeCell ref="AN94:AR94"/>
    <mergeCell ref="AS94:AW94"/>
    <mergeCell ref="AI93:AM93"/>
    <mergeCell ref="AN93:AR93"/>
    <mergeCell ref="AS93:AW93"/>
    <mergeCell ref="AX93:BB93"/>
    <mergeCell ref="BC93:BG93"/>
    <mergeCell ref="BH93:BL93"/>
    <mergeCell ref="AX94:BB94"/>
    <mergeCell ref="BC94:BG94"/>
    <mergeCell ref="BH94:BL94"/>
    <mergeCell ref="BM94:BQ94"/>
    <mergeCell ref="A95:B95"/>
    <mergeCell ref="C95:I95"/>
    <mergeCell ref="J95:N95"/>
    <mergeCell ref="O95:X95"/>
    <mergeCell ref="Y95:AC95"/>
    <mergeCell ref="AD95:AH95"/>
    <mergeCell ref="BM95:BQ95"/>
    <mergeCell ref="AI95:AM95"/>
    <mergeCell ref="AN95:AR95"/>
    <mergeCell ref="AS95:AW95"/>
    <mergeCell ref="AX95:BB95"/>
    <mergeCell ref="BC95:BG95"/>
    <mergeCell ref="BH95:BL95"/>
    <mergeCell ref="A104:B104"/>
    <mergeCell ref="C104:I104"/>
    <mergeCell ref="J104:N104"/>
    <mergeCell ref="O104:BQ104"/>
    <mergeCell ref="C103:I103"/>
    <mergeCell ref="J103:N103"/>
    <mergeCell ref="O103:BQ103"/>
    <mergeCell ref="A105:B105"/>
    <mergeCell ref="C105:I105"/>
    <mergeCell ref="J105:N105"/>
    <mergeCell ref="O105:BQ105"/>
    <mergeCell ref="A106:B106"/>
    <mergeCell ref="C106:I106"/>
    <mergeCell ref="J106:N106"/>
    <mergeCell ref="O106:BQ106"/>
  </mergeCells>
  <phoneticPr fontId="0" type="noConversion"/>
  <conditionalFormatting sqref="C98 C110 C88 C102">
    <cfRule type="cellIs" dxfId="34" priority="37" stopIfTrue="1" operator="equal">
      <formula>$C87</formula>
    </cfRule>
  </conditionalFormatting>
  <conditionalFormatting sqref="A88:B88 A98:B98 A102:B102 A110:B110 A78:B78 A96:B96 A107:B107">
    <cfRule type="cellIs" dxfId="33" priority="38" stopIfTrue="1" operator="equal">
      <formula>0</formula>
    </cfRule>
  </conditionalFormatting>
  <conditionalFormatting sqref="A79:B79">
    <cfRule type="cellIs" dxfId="32" priority="36" stopIfTrue="1" operator="equal">
      <formula>0</formula>
    </cfRule>
  </conditionalFormatting>
  <conditionalFormatting sqref="C96">
    <cfRule type="cellIs" dxfId="31" priority="40" stopIfTrue="1" operator="equal">
      <formula>$C88</formula>
    </cfRule>
  </conditionalFormatting>
  <conditionalFormatting sqref="C89">
    <cfRule type="cellIs" dxfId="30" priority="33" stopIfTrue="1" operator="equal">
      <formula>$C88</formula>
    </cfRule>
  </conditionalFormatting>
  <conditionalFormatting sqref="A89:B89">
    <cfRule type="cellIs" dxfId="29" priority="34" stopIfTrue="1" operator="equal">
      <formula>0</formula>
    </cfRule>
  </conditionalFormatting>
  <conditionalFormatting sqref="C90">
    <cfRule type="cellIs" dxfId="28" priority="31" stopIfTrue="1" operator="equal">
      <formula>$C89</formula>
    </cfRule>
  </conditionalFormatting>
  <conditionalFormatting sqref="A90:B90">
    <cfRule type="cellIs" dxfId="27" priority="32" stopIfTrue="1" operator="equal">
      <formula>0</formula>
    </cfRule>
  </conditionalFormatting>
  <conditionalFormatting sqref="C91">
    <cfRule type="cellIs" dxfId="26" priority="29" stopIfTrue="1" operator="equal">
      <formula>$C90</formula>
    </cfRule>
  </conditionalFormatting>
  <conditionalFormatting sqref="A91:B91">
    <cfRule type="cellIs" dxfId="25" priority="30" stopIfTrue="1" operator="equal">
      <formula>0</formula>
    </cfRule>
  </conditionalFormatting>
  <conditionalFormatting sqref="C92">
    <cfRule type="cellIs" dxfId="24" priority="27" stopIfTrue="1" operator="equal">
      <formula>$C91</formula>
    </cfRule>
  </conditionalFormatting>
  <conditionalFormatting sqref="A92:B92">
    <cfRule type="cellIs" dxfId="23" priority="28" stopIfTrue="1" operator="equal">
      <formula>0</formula>
    </cfRule>
  </conditionalFormatting>
  <conditionalFormatting sqref="C93">
    <cfRule type="cellIs" dxfId="22" priority="25" stopIfTrue="1" operator="equal">
      <formula>$C92</formula>
    </cfRule>
  </conditionalFormatting>
  <conditionalFormatting sqref="A93:B93">
    <cfRule type="cellIs" dxfId="21" priority="26" stopIfTrue="1" operator="equal">
      <formula>0</formula>
    </cfRule>
  </conditionalFormatting>
  <conditionalFormatting sqref="C94">
    <cfRule type="cellIs" dxfId="20" priority="23" stopIfTrue="1" operator="equal">
      <formula>$C93</formula>
    </cfRule>
  </conditionalFormatting>
  <conditionalFormatting sqref="A94:B94">
    <cfRule type="cellIs" dxfId="19" priority="24" stopIfTrue="1" operator="equal">
      <formula>0</formula>
    </cfRule>
  </conditionalFormatting>
  <conditionalFormatting sqref="C95">
    <cfRule type="cellIs" dxfId="18" priority="21" stopIfTrue="1" operator="equal">
      <formula>$C94</formula>
    </cfRule>
  </conditionalFormatting>
  <conditionalFormatting sqref="A95:B95">
    <cfRule type="cellIs" dxfId="17" priority="22" stopIfTrue="1" operator="equal">
      <formula>0</formula>
    </cfRule>
  </conditionalFormatting>
  <conditionalFormatting sqref="C107">
    <cfRule type="cellIs" dxfId="16" priority="42" stopIfTrue="1" operator="equal">
      <formula>$C102</formula>
    </cfRule>
  </conditionalFormatting>
  <conditionalFormatting sqref="C103">
    <cfRule type="cellIs" dxfId="13" priority="15" stopIfTrue="1" operator="equal">
      <formula>#REF!</formula>
    </cfRule>
  </conditionalFormatting>
  <conditionalFormatting sqref="A103:B103">
    <cfRule type="cellIs" dxfId="12" priority="16" stopIfTrue="1" operator="equal">
      <formula>0</formula>
    </cfRule>
  </conditionalFormatting>
  <conditionalFormatting sqref="C104">
    <cfRule type="cellIs" dxfId="9" priority="11" stopIfTrue="1" operator="equal">
      <formula>#REF!</formula>
    </cfRule>
  </conditionalFormatting>
  <conditionalFormatting sqref="A104:B104">
    <cfRule type="cellIs" dxfId="8" priority="12" stopIfTrue="1" operator="equal">
      <formula>0</formula>
    </cfRule>
  </conditionalFormatting>
  <conditionalFormatting sqref="C105">
    <cfRule type="cellIs" dxfId="5" priority="7" stopIfTrue="1" operator="equal">
      <formula>#REF!</formula>
    </cfRule>
  </conditionalFormatting>
  <conditionalFormatting sqref="A105:B105">
    <cfRule type="cellIs" dxfId="4" priority="8" stopIfTrue="1" operator="equal">
      <formula>0</formula>
    </cfRule>
  </conditionalFormatting>
  <conditionalFormatting sqref="C106">
    <cfRule type="cellIs" dxfId="3" priority="5" stopIfTrue="1" operator="equal">
      <formula>$C105</formula>
    </cfRule>
  </conditionalFormatting>
  <conditionalFormatting sqref="A106:B106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2025-06-27T08:56:58Z</cp:lastPrinted>
  <dcterms:created xsi:type="dcterms:W3CDTF">2016-08-10T10:53:25Z</dcterms:created>
  <dcterms:modified xsi:type="dcterms:W3CDTF">2025-06-27T08:57:03Z</dcterms:modified>
</cp:coreProperties>
</file>