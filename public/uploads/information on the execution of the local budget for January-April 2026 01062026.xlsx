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ВИКОНАННЯ БЮДЖЕТУ 2026 рік\"/>
    </mc:Choice>
  </mc:AlternateContent>
  <xr:revisionPtr revIDLastSave="0" documentId="13_ncr:1_{ED6B4142-C7A6-4982-A116-076331056302}" xr6:coauthVersionLast="46" xr6:coauthVersionMax="46" xr10:uidLastSave="{00000000-0000-0000-0000-000000000000}"/>
  <bookViews>
    <workbookView xWindow="-120" yWindow="-120" windowWidth="29040" windowHeight="15840" activeTab="1" xr2:uid="{0679B01E-55D2-48F0-B10D-D7283A35C3AC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2" l="1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<sst xmlns="http://schemas.openxmlformats.org/spreadsheetml/2006/main" count="166" uniqueCount="157">
  <si>
    <t>ККД</t>
  </si>
  <si>
    <t>Доходи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</si>
  <si>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</si>
  <si>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</si>
  <si>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</si>
  <si>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</si>
  <si>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</si>
  <si>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</si>
  <si>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</si>
  <si>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</si>
  <si>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</si>
  <si>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</si>
  <si>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</si>
  <si>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</si>
  <si>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</si>
  <si>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</si>
  <si>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</si>
  <si>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</si>
  <si>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</si>
  <si>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</si>
  <si>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</si>
  <si>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</si>
  <si>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</si>
  <si>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</si>
  <si>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</si>
  <si>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</si>
  <si>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</si>
  <si>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</si>
  <si>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</si>
  <si>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</si>
  <si>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</si>
  <si>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</si>
  <si>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</si>
  <si>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</si>
  <si>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</si>
  <si>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</si>
  <si>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</si>
  <si>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</si>
  <si>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</si>
  <si>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</si>
  <si>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</si>
  <si>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</si>
  <si>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</si>
  <si>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</si>
  <si>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</si>
  <si>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</si>
  <si>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</si>
  <si>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</si>
  <si>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</si>
  <si>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</si>
  <si>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</si>
  <si>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</si>
  <si>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</si>
  <si>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</si>
  <si>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</si>
  <si>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</si>
  <si>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</si>
  <si>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</si>
  <si>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</si>
  <si>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</si>
  <si>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</si>
  <si>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</si>
  <si>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функціонування територій, на яких ведуться бойові дії</t>
  </si>
  <si>
    <t>Додаткові дотації з державного бюджету місцевим бюджетам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</si>
  <si>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</si>
  <si>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</si>
  <si>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Субвенція з державного бюджету місцевим бюджетам на забезпечення харчуванням учнів закладів загальної середньої освіти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</si>
  <si>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</si>
  <si>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</si>
  <si>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</si>
  <si>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</si>
  <si>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</si>
  <si>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</si>
  <si>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</si>
  <si>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</si>
  <si>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</si>
  <si>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</si>
  <si>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</si>
  <si>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</si>
  <si>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</si>
  <si>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</si>
  <si>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</si>
  <si>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</si>
  <si>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</si>
  <si>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</si>
  <si>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</si>
  <si>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</si>
  <si>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</si>
  <si>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</si>
  <si>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</si>
  <si>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</si>
  <si>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</si>
  <si>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</si>
  <si>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</si>
  <si>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</si>
  <si>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</si>
  <si>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0112152</t>
  </si>
  <si>
    <t>Інші програми та заходи у сфері охорони здоров`я</t>
  </si>
  <si>
    <t>0113031</t>
  </si>
  <si>
    <t>Надання інших пільг окремим категоріям громадян відповідно до законодавства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</si>
  <si>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</si>
  <si>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</si>
  <si>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</si>
  <si>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</si>
  <si>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</si>
  <si>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</si>
  <si>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</si>
  <si>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</si>
  <si>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</si>
  <si>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</si>
  <si>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</si>
  <si>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та заклади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</si>
  <si>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</si>
  <si>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</si>
  <si>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</si>
  <si>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</si>
  <si>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</si>
  <si>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</si>
  <si>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</si>
  <si>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</si>
  <si>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0117461</t>
  </si>
  <si>
    <t>Утримання та розвиток автомобільних доріг та дорожньої інфраструктури за рахунок коштів місцевого бюджету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</si>
  <si>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</si>
  <si>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</si>
  <si>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</si>
  <si>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</si>
  <si>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</si>
  <si>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</si>
  <si>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</si>
  <si>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</si>
  <si>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</si>
  <si>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</si>
  <si>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</si>
  <si>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</si>
  <si>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</si>
  <si>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</si>
  <si>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</si>
  <si>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</si>
  <si>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</si>
  <si>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</si>
  <si>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1617350</t>
  </si>
  <si>
    <t>Розроблення схем планування та забудови територій (містобудівної документації)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</si>
  <si>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</si>
  <si>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</si>
  <si>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</si>
  <si>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</si>
  <si>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</si>
  <si>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0852300000 - Бюджет Широківської сільської територіальної громади</t>
  </si>
  <si>
    <t>ІНФОРМАЦІЯ</t>
  </si>
  <si>
    <t>про виконання доходної частини місцевого бюджету</t>
  </si>
  <si>
    <t>загальний фонд</t>
  </si>
  <si>
    <t>за січень-квітень 2026 року</t>
  </si>
  <si>
    <t>тис. грн</t>
  </si>
  <si>
    <t>Всього без урахування трансфертів</t>
  </si>
  <si>
    <t>ВСЬОГО</t>
  </si>
  <si>
    <t>про виконання видатковвої частини місцевого бюджету</t>
  </si>
  <si>
    <t xml:space="preserve">% виконання на вказаний період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</si>
</sst>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2" fillId="0" borderId="0" xfId="1" applyAlignment="1">
      <alignment horizontal="right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4" fontId="2" fillId="0" borderId="1" xfId="1" applyNumberFormat="1" applyBorder="1" applyAlignment="1">
      <alignment vertic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  <xf numFmtId="4" fontId="5" fillId="3" borderId="1" xfId="1" applyNumberFormat="1" applyFont="1" applyFill="1" applyBorder="1" applyAlignment="1">
      <alignment vertical="center"/>
    </xf>
    <xf numFmtId="4" fontId="7" fillId="3" borderId="1" xfId="1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6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4" fontId="12" fillId="0" borderId="1" xfId="0" applyNumberFormat="1" applyFont="1" applyBorder="1"/>
    <xf numFmtId="164" fontId="12" fillId="0" borderId="1" xfId="0" applyNumberFormat="1" applyFont="1" applyBorder="1"/>
    <xf numFmtId="0" fontId="13" fillId="0" borderId="0" xfId="0" applyFont="1"/>
    <xf numFmtId="0" fontId="11" fillId="0" borderId="1" xfId="0" applyFont="1" applyBorder="1" applyAlignment="1">
      <alignment vertical="top" wrapText="1"/>
    </xf>
    <xf numFmtId="4" fontId="11" fillId="0" borderId="1" xfId="0" applyNumberFormat="1" applyFont="1" applyBorder="1"/>
    <xf numFmtId="164" fontId="11" fillId="0" borderId="1" xfId="0" applyNumberFormat="1" applyFont="1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/>
    <xf numFmtId="4" fontId="12" fillId="2" borderId="1" xfId="0" applyNumberFormat="1" applyFont="1" applyFill="1" applyBorder="1"/>
    <xf numFmtId="164" fontId="12" fillId="2" borderId="1" xfId="0" applyNumberFormat="1" applyFont="1" applyFill="1" applyBorder="1"/>
    <xf numFmtId="4" fontId="5" fillId="0" borderId="0" xfId="1" applyNumberFormat="1" applyFont="1" applyAlignment="1">
      <alignment vertical="center"/>
    </xf>
    <xf numFmtId="0" fontId="5" fillId="0" borderId="0" xfId="1" applyFont="1"/>
    <xf numFmtId="0" fontId="9" fillId="0" borderId="0" xfId="0" applyFont="1" applyAlignment="1">
      <alignment horizontal="center"/>
    </xf>
    <xf numFmtId="0" fontId="12" fillId="2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0" borderId="0" xfId="1" applyFont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vertical="center" wrapText="1"/>
    </xf>
    <xf numFmtId="4" fontId="5" fillId="4" borderId="1" xfId="1" applyNumberFormat="1" applyFont="1" applyFill="1" applyBorder="1" applyAlignment="1">
      <alignment vertical="center"/>
    </xf>
  </cellXfs>
  <cellStyles count="2">
    <cellStyle name="Обычный" xfId="0" builtinId="0"/>
    <cellStyle name="Обычный 2" xfId="1" xr:uid="{E6734A4D-A0F9-40D6-B2AA-2A0EF11AE78F}"/>
  </cellStyles>
  <dxfs count="48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BAE5-8086-423C-89CA-ED5E2164F2FE}">
  <dimension ref="A2:O81"/>
  <sheetViews>
    <sheetView topLeftCell="A10" workbookViewId="0">
      <selection activeCell="L69" sqref="L69"/>
    </sheetView>
  </sheetViews>
  <sheetFormatPr defaultRowHeight="15" x14ac:dyDescent="0.25"/>
  <cols>
    <col min="1" max="1" width="11" style="15" customWidth="1"/>
    <col min="2" max="2" width="61.28515625" customWidth="1"/>
    <col min="3" max="4" width="13.85546875" customWidth="1"/>
    <col min="5" max="5" width="11.42578125" customWidth="1"/>
    <col min="6" max="6" width="10.5703125" customWidth="1"/>
    <col min="7" max="7" width="10.140625" customWidth="1"/>
  </cols>
  <sheetData>
    <row r="2" spans="1:10" x14ac:dyDescent="0.25">
      <c r="A2" s="42" t="s">
        <v>148</v>
      </c>
      <c r="B2" s="42"/>
      <c r="C2" s="42"/>
      <c r="D2" s="42"/>
      <c r="E2" s="42"/>
      <c r="F2" s="42"/>
      <c r="G2" s="42"/>
      <c r="H2" s="1"/>
      <c r="I2" s="1"/>
      <c r="J2" s="1"/>
    </row>
    <row r="3" spans="1:10" x14ac:dyDescent="0.25">
      <c r="A3" s="42" t="s">
        <v>149</v>
      </c>
      <c r="B3" s="42"/>
      <c r="C3" s="42"/>
      <c r="D3" s="42"/>
      <c r="E3" s="42"/>
      <c r="F3" s="42"/>
      <c r="G3" s="42"/>
      <c r="H3" s="1"/>
      <c r="I3" s="1"/>
      <c r="J3" s="1"/>
    </row>
    <row r="4" spans="1:10" x14ac:dyDescent="0.25">
      <c r="A4" s="42" t="s">
        <v>150</v>
      </c>
      <c r="B4" s="42"/>
      <c r="C4" s="42"/>
      <c r="D4" s="42"/>
      <c r="E4" s="42"/>
      <c r="F4" s="42"/>
      <c r="G4" s="42"/>
      <c r="H4" s="1"/>
      <c r="I4" s="1"/>
      <c r="J4" s="1"/>
    </row>
    <row r="5" spans="1:10" x14ac:dyDescent="0.25">
      <c r="A5" s="42" t="s">
        <v>151</v>
      </c>
      <c r="B5" s="42"/>
      <c r="C5" s="42"/>
      <c r="D5" s="42"/>
      <c r="E5" s="42"/>
      <c r="F5" s="42"/>
      <c r="G5" s="42"/>
      <c r="H5" s="1"/>
      <c r="I5" s="1"/>
      <c r="J5" s="1"/>
    </row>
    <row r="6" spans="1:10" s="23" customFormat="1" ht="12.75" x14ac:dyDescent="0.2">
      <c r="A6" s="21"/>
      <c r="B6" s="22"/>
      <c r="C6" s="22"/>
      <c r="D6" s="22"/>
      <c r="E6" s="22"/>
      <c r="F6" s="22" t="s">
        <v>152</v>
      </c>
      <c r="G6" s="22"/>
    </row>
    <row r="7" spans="1:10" s="23" customFormat="1" ht="12.75" x14ac:dyDescent="0.2">
      <c r="A7" s="44" t="s">
        <v>0</v>
      </c>
      <c r="B7" s="44" t="s">
        <v>1</v>
      </c>
      <c r="C7" s="46" t="s">
        <v>147</v>
      </c>
      <c r="D7" s="46"/>
      <c r="E7" s="46"/>
      <c r="F7" s="46"/>
      <c r="G7" s="46"/>
    </row>
    <row r="8" spans="1:10" s="23" customFormat="1" ht="28.5" customHeight="1" x14ac:dyDescent="0.2">
      <c r="A8" s="45"/>
      <c r="B8" s="45"/>
      <c r="C8" s="25" t="s">
        <v>2</v>
      </c>
      <c r="D8" s="25" t="s">
        <v>3</v>
      </c>
      <c r="E8" s="24" t="s">
        <v>4</v>
      </c>
      <c r="F8" s="24" t="s">
        <v>5</v>
      </c>
      <c r="G8" s="24" t="s">
        <v>6</v>
      </c>
    </row>
    <row r="9" spans="1:10" s="30" customFormat="1" ht="12.75" x14ac:dyDescent="0.2">
      <c r="A9" s="26">
        <v>10000000</v>
      </c>
      <c r="B9" s="27" t="s">
        <v>7</v>
      </c>
      <c r="C9" s="28">
        <v>155951.76300000001</v>
      </c>
      <c r="D9" s="28">
        <v>59438.642999999996</v>
      </c>
      <c r="E9" s="28">
        <v>74542.855680000008</v>
      </c>
      <c r="F9" s="28">
        <f t="shared" ref="F9:F40" si="0">E9-D9</f>
        <v>15104.212680000011</v>
      </c>
      <c r="G9" s="29">
        <f t="shared" ref="G9:G40" si="1">IF(D9=0,0,E9/D9*100)</f>
        <v>125.41143592393253</v>
      </c>
    </row>
    <row r="10" spans="1:10" s="23" customFormat="1" ht="25.5" x14ac:dyDescent="0.2">
      <c r="A10" s="20">
        <v>11000000</v>
      </c>
      <c r="B10" s="31" t="s">
        <v>8</v>
      </c>
      <c r="C10" s="32">
        <v>70678.8</v>
      </c>
      <c r="D10" s="32">
        <v>26834.6</v>
      </c>
      <c r="E10" s="32">
        <v>31486.335019999999</v>
      </c>
      <c r="F10" s="32">
        <f t="shared" si="0"/>
        <v>4651.7350200000001</v>
      </c>
      <c r="G10" s="33">
        <f t="shared" si="1"/>
        <v>117.3348401690355</v>
      </c>
    </row>
    <row r="11" spans="1:10" s="23" customFormat="1" ht="20.25" customHeight="1" x14ac:dyDescent="0.2">
      <c r="A11" s="20">
        <v>11010000</v>
      </c>
      <c r="B11" s="34" t="s">
        <v>9</v>
      </c>
      <c r="C11" s="32">
        <v>70578.8</v>
      </c>
      <c r="D11" s="32">
        <v>26784.6</v>
      </c>
      <c r="E11" s="32">
        <v>31380.442019999999</v>
      </c>
      <c r="F11" s="32">
        <f t="shared" si="0"/>
        <v>4595.84202</v>
      </c>
      <c r="G11" s="33">
        <f t="shared" si="1"/>
        <v>117.15852400259851</v>
      </c>
    </row>
    <row r="12" spans="1:10" s="23" customFormat="1" ht="0.75" customHeight="1" x14ac:dyDescent="0.2">
      <c r="A12" s="20">
        <v>11010100</v>
      </c>
      <c r="B12" s="31" t="s">
        <v>10</v>
      </c>
      <c r="C12" s="32">
        <v>60530.8</v>
      </c>
      <c r="D12" s="32">
        <v>25739</v>
      </c>
      <c r="E12" s="32">
        <v>29386.045340000001</v>
      </c>
      <c r="F12" s="32">
        <f t="shared" si="0"/>
        <v>3647.0453400000006</v>
      </c>
      <c r="G12" s="33">
        <f t="shared" si="1"/>
        <v>114.16933579393138</v>
      </c>
    </row>
    <row r="13" spans="1:10" s="23" customFormat="1" ht="25.5" hidden="1" x14ac:dyDescent="0.2">
      <c r="A13" s="20">
        <v>11010400</v>
      </c>
      <c r="B13" s="31" t="s">
        <v>11</v>
      </c>
      <c r="C13" s="32">
        <v>8406</v>
      </c>
      <c r="D13" s="32">
        <v>567</v>
      </c>
      <c r="E13" s="32">
        <v>1277.9883400000001</v>
      </c>
      <c r="F13" s="32">
        <f t="shared" si="0"/>
        <v>710.98834000000011</v>
      </c>
      <c r="G13" s="33">
        <f t="shared" si="1"/>
        <v>225.39476895943565</v>
      </c>
    </row>
    <row r="14" spans="1:10" s="23" customFormat="1" ht="25.5" hidden="1" x14ac:dyDescent="0.2">
      <c r="A14" s="20">
        <v>11010500</v>
      </c>
      <c r="B14" s="31" t="s">
        <v>12</v>
      </c>
      <c r="C14" s="32">
        <v>1360</v>
      </c>
      <c r="D14" s="32">
        <v>234</v>
      </c>
      <c r="E14" s="32">
        <v>350.03874000000002</v>
      </c>
      <c r="F14" s="32">
        <f t="shared" si="0"/>
        <v>116.03874000000002</v>
      </c>
      <c r="G14" s="33">
        <f t="shared" si="1"/>
        <v>149.58920512820512</v>
      </c>
    </row>
    <row r="15" spans="1:10" s="23" customFormat="1" ht="25.5" hidden="1" x14ac:dyDescent="0.2">
      <c r="A15" s="20">
        <v>11011300</v>
      </c>
      <c r="B15" s="31" t="s">
        <v>13</v>
      </c>
      <c r="C15" s="32">
        <v>282</v>
      </c>
      <c r="D15" s="32">
        <v>244.6</v>
      </c>
      <c r="E15" s="32">
        <v>366.36959999999999</v>
      </c>
      <c r="F15" s="32">
        <f t="shared" si="0"/>
        <v>121.7696</v>
      </c>
      <c r="G15" s="33">
        <f t="shared" si="1"/>
        <v>149.78315617334422</v>
      </c>
    </row>
    <row r="16" spans="1:10" s="23" customFormat="1" ht="18" customHeight="1" x14ac:dyDescent="0.2">
      <c r="A16" s="20">
        <v>11020000</v>
      </c>
      <c r="B16" s="31" t="s">
        <v>14</v>
      </c>
      <c r="C16" s="32">
        <v>100</v>
      </c>
      <c r="D16" s="32">
        <v>50</v>
      </c>
      <c r="E16" s="32">
        <v>105.893</v>
      </c>
      <c r="F16" s="32">
        <f t="shared" si="0"/>
        <v>55.893000000000001</v>
      </c>
      <c r="G16" s="33">
        <f t="shared" si="1"/>
        <v>211.78599999999997</v>
      </c>
    </row>
    <row r="17" spans="1:15" s="23" customFormat="1" ht="25.5" hidden="1" x14ac:dyDescent="0.2">
      <c r="A17" s="20">
        <v>11020200</v>
      </c>
      <c r="B17" s="31" t="s">
        <v>15</v>
      </c>
      <c r="C17" s="32">
        <v>100</v>
      </c>
      <c r="D17" s="32">
        <v>50</v>
      </c>
      <c r="E17" s="32">
        <v>105.893</v>
      </c>
      <c r="F17" s="32">
        <f t="shared" si="0"/>
        <v>55.893000000000001</v>
      </c>
      <c r="G17" s="33">
        <f t="shared" si="1"/>
        <v>211.78599999999997</v>
      </c>
    </row>
    <row r="18" spans="1:15" s="23" customFormat="1" ht="17.25" customHeight="1" x14ac:dyDescent="0.2">
      <c r="A18" s="20">
        <v>13000000</v>
      </c>
      <c r="B18" s="31" t="s">
        <v>16</v>
      </c>
      <c r="C18" s="32">
        <v>1.3</v>
      </c>
      <c r="D18" s="32">
        <v>0.62</v>
      </c>
      <c r="E18" s="32">
        <v>0.79479999999999995</v>
      </c>
      <c r="F18" s="32">
        <f t="shared" si="0"/>
        <v>0.17479999999999996</v>
      </c>
      <c r="G18" s="33">
        <f t="shared" si="1"/>
        <v>128.19354838709677</v>
      </c>
    </row>
    <row r="19" spans="1:15" s="23" customFormat="1" ht="25.5" hidden="1" x14ac:dyDescent="0.2">
      <c r="A19" s="20">
        <v>13030000</v>
      </c>
      <c r="B19" s="31" t="s">
        <v>17</v>
      </c>
      <c r="C19" s="32">
        <v>1.3</v>
      </c>
      <c r="D19" s="32">
        <v>0.62</v>
      </c>
      <c r="E19" s="32">
        <v>0.79479999999999995</v>
      </c>
      <c r="F19" s="32">
        <f t="shared" si="0"/>
        <v>0.17479999999999996</v>
      </c>
      <c r="G19" s="33">
        <f t="shared" si="1"/>
        <v>128.19354838709677</v>
      </c>
    </row>
    <row r="20" spans="1:15" s="23" customFormat="1" ht="38.25" hidden="1" x14ac:dyDescent="0.2">
      <c r="A20" s="20">
        <v>13030100</v>
      </c>
      <c r="B20" s="31" t="s">
        <v>18</v>
      </c>
      <c r="C20" s="32">
        <v>1.3</v>
      </c>
      <c r="D20" s="32">
        <v>0.62</v>
      </c>
      <c r="E20" s="32">
        <v>0.79479999999999995</v>
      </c>
      <c r="F20" s="32">
        <f t="shared" si="0"/>
        <v>0.17479999999999996</v>
      </c>
      <c r="G20" s="33">
        <f t="shared" si="1"/>
        <v>128.19354838709677</v>
      </c>
    </row>
    <row r="21" spans="1:15" s="23" customFormat="1" ht="12.75" x14ac:dyDescent="0.2">
      <c r="A21" s="20">
        <v>14000000</v>
      </c>
      <c r="B21" s="31" t="s">
        <v>19</v>
      </c>
      <c r="C21" s="32">
        <v>29759.88</v>
      </c>
      <c r="D21" s="32">
        <v>10169.280000000001</v>
      </c>
      <c r="E21" s="32">
        <v>13384.029689999999</v>
      </c>
      <c r="F21" s="32">
        <f t="shared" si="0"/>
        <v>3214.7496899999987</v>
      </c>
      <c r="G21" s="33">
        <f t="shared" si="1"/>
        <v>131.61236282214668</v>
      </c>
    </row>
    <row r="22" spans="1:15" s="23" customFormat="1" ht="0.75" customHeight="1" x14ac:dyDescent="0.2">
      <c r="A22" s="20">
        <v>14020000</v>
      </c>
      <c r="B22" s="35" t="s">
        <v>20</v>
      </c>
      <c r="C22" s="32">
        <v>2752</v>
      </c>
      <c r="D22" s="32">
        <v>917.2</v>
      </c>
      <c r="E22" s="32">
        <v>1099.2451999999998</v>
      </c>
      <c r="F22" s="32">
        <f t="shared" si="0"/>
        <v>182.0451999999998</v>
      </c>
      <c r="G22" s="33">
        <f t="shared" si="1"/>
        <v>119.84792847797642</v>
      </c>
    </row>
    <row r="23" spans="1:15" s="23" customFormat="1" ht="12.75" hidden="1" x14ac:dyDescent="0.2">
      <c r="A23" s="20">
        <v>14021900</v>
      </c>
      <c r="B23" s="35" t="s">
        <v>21</v>
      </c>
      <c r="C23" s="32">
        <v>2752</v>
      </c>
      <c r="D23" s="32">
        <v>917.2</v>
      </c>
      <c r="E23" s="32">
        <v>1099.2451999999998</v>
      </c>
      <c r="F23" s="32">
        <f t="shared" si="0"/>
        <v>182.0451999999998</v>
      </c>
      <c r="G23" s="33">
        <f t="shared" si="1"/>
        <v>119.84792847797642</v>
      </c>
    </row>
    <row r="24" spans="1:15" s="23" customFormat="1" ht="25.5" hidden="1" x14ac:dyDescent="0.2">
      <c r="A24" s="20">
        <v>14030000</v>
      </c>
      <c r="B24" s="35" t="s">
        <v>22</v>
      </c>
      <c r="C24" s="32">
        <v>19520.88</v>
      </c>
      <c r="D24" s="32">
        <v>6852.88</v>
      </c>
      <c r="E24" s="32">
        <v>9622.2182100000009</v>
      </c>
      <c r="F24" s="32">
        <f t="shared" si="0"/>
        <v>2769.3382100000008</v>
      </c>
      <c r="G24" s="33">
        <f t="shared" si="1"/>
        <v>140.41130459018692</v>
      </c>
    </row>
    <row r="25" spans="1:15" s="23" customFormat="1" ht="12.75" hidden="1" x14ac:dyDescent="0.2">
      <c r="A25" s="20">
        <v>14031900</v>
      </c>
      <c r="B25" s="35" t="s">
        <v>21</v>
      </c>
      <c r="C25" s="32">
        <v>19520.88</v>
      </c>
      <c r="D25" s="32">
        <v>6852.88</v>
      </c>
      <c r="E25" s="32">
        <v>9622.2182100000009</v>
      </c>
      <c r="F25" s="32">
        <f t="shared" si="0"/>
        <v>2769.3382100000008</v>
      </c>
      <c r="G25" s="33">
        <f t="shared" si="1"/>
        <v>140.41130459018692</v>
      </c>
    </row>
    <row r="26" spans="1:15" s="23" customFormat="1" ht="25.5" hidden="1" x14ac:dyDescent="0.2">
      <c r="A26" s="20">
        <v>14040000</v>
      </c>
      <c r="B26" s="35" t="s">
        <v>23</v>
      </c>
      <c r="C26" s="32">
        <v>7487</v>
      </c>
      <c r="D26" s="32">
        <v>2399.1999999999998</v>
      </c>
      <c r="E26" s="32">
        <v>2662.5662800000005</v>
      </c>
      <c r="F26" s="32">
        <f t="shared" si="0"/>
        <v>263.36628000000064</v>
      </c>
      <c r="G26" s="33">
        <f t="shared" si="1"/>
        <v>110.97725408469492</v>
      </c>
    </row>
    <row r="27" spans="1:15" s="23" customFormat="1" ht="63.75" hidden="1" x14ac:dyDescent="0.2">
      <c r="A27" s="20">
        <v>14040100</v>
      </c>
      <c r="B27" s="35" t="s">
        <v>24</v>
      </c>
      <c r="C27" s="32">
        <v>5330</v>
      </c>
      <c r="D27" s="32">
        <v>1775.2</v>
      </c>
      <c r="E27" s="32">
        <v>1902.1695300000001</v>
      </c>
      <c r="F27" s="32">
        <f t="shared" si="0"/>
        <v>126.96953000000008</v>
      </c>
      <c r="G27" s="33">
        <f t="shared" si="1"/>
        <v>107.15240705272646</v>
      </c>
    </row>
    <row r="28" spans="1:15" s="23" customFormat="1" ht="51" hidden="1" x14ac:dyDescent="0.2">
      <c r="A28" s="20">
        <v>14040200</v>
      </c>
      <c r="B28" s="35" t="s">
        <v>25</v>
      </c>
      <c r="C28" s="32">
        <v>2157</v>
      </c>
      <c r="D28" s="32">
        <v>624</v>
      </c>
      <c r="E28" s="32">
        <v>760.39675</v>
      </c>
      <c r="F28" s="32">
        <f t="shared" si="0"/>
        <v>136.39675</v>
      </c>
      <c r="G28" s="33">
        <f t="shared" si="1"/>
        <v>121.85845352564102</v>
      </c>
    </row>
    <row r="29" spans="1:15" s="30" customFormat="1" ht="25.5" x14ac:dyDescent="0.2">
      <c r="A29" s="26">
        <v>18000000</v>
      </c>
      <c r="B29" s="36" t="s">
        <v>26</v>
      </c>
      <c r="C29" s="28">
        <v>55511.783000000003</v>
      </c>
      <c r="D29" s="28">
        <v>22434.143</v>
      </c>
      <c r="E29" s="28">
        <v>29671.696170000003</v>
      </c>
      <c r="F29" s="28">
        <f t="shared" si="0"/>
        <v>7237.5531700000029</v>
      </c>
      <c r="G29" s="29">
        <f t="shared" si="1"/>
        <v>132.26133117721503</v>
      </c>
      <c r="O29" s="37"/>
    </row>
    <row r="30" spans="1:15" s="23" customFormat="1" ht="12.75" x14ac:dyDescent="0.2">
      <c r="A30" s="20">
        <v>18010000</v>
      </c>
      <c r="B30" s="35" t="s">
        <v>27</v>
      </c>
      <c r="C30" s="32">
        <v>17618.599999999999</v>
      </c>
      <c r="D30" s="32">
        <v>4284.96</v>
      </c>
      <c r="E30" s="32">
        <v>7040.8884899999994</v>
      </c>
      <c r="F30" s="32">
        <f t="shared" si="0"/>
        <v>2755.9284899999993</v>
      </c>
      <c r="G30" s="33">
        <f t="shared" si="1"/>
        <v>164.31631777192783</v>
      </c>
    </row>
    <row r="31" spans="1:15" s="23" customFormat="1" ht="38.25" hidden="1" x14ac:dyDescent="0.2">
      <c r="A31" s="20">
        <v>18010100</v>
      </c>
      <c r="B31" s="35" t="s">
        <v>28</v>
      </c>
      <c r="C31" s="32">
        <v>80</v>
      </c>
      <c r="D31" s="32">
        <v>23.6</v>
      </c>
      <c r="E31" s="32">
        <v>56.030620000000006</v>
      </c>
      <c r="F31" s="32">
        <f t="shared" si="0"/>
        <v>32.430620000000005</v>
      </c>
      <c r="G31" s="33">
        <f t="shared" si="1"/>
        <v>237.41788135593222</v>
      </c>
    </row>
    <row r="32" spans="1:15" s="23" customFormat="1" ht="38.25" hidden="1" x14ac:dyDescent="0.2">
      <c r="A32" s="20">
        <v>18010200</v>
      </c>
      <c r="B32" s="35" t="s">
        <v>29</v>
      </c>
      <c r="C32" s="32">
        <v>2288</v>
      </c>
      <c r="D32" s="32">
        <v>0</v>
      </c>
      <c r="E32" s="32">
        <v>713.33920000000001</v>
      </c>
      <c r="F32" s="32">
        <f t="shared" si="0"/>
        <v>713.33920000000001</v>
      </c>
      <c r="G32" s="33">
        <f t="shared" si="1"/>
        <v>0</v>
      </c>
    </row>
    <row r="33" spans="1:7" s="23" customFormat="1" ht="38.25" hidden="1" x14ac:dyDescent="0.2">
      <c r="A33" s="20">
        <v>18010300</v>
      </c>
      <c r="B33" s="35" t="s">
        <v>30</v>
      </c>
      <c r="C33" s="32">
        <v>1000</v>
      </c>
      <c r="D33" s="32">
        <v>0</v>
      </c>
      <c r="E33" s="32">
        <v>30.206959999999999</v>
      </c>
      <c r="F33" s="32">
        <f t="shared" si="0"/>
        <v>30.206959999999999</v>
      </c>
      <c r="G33" s="33">
        <f t="shared" si="1"/>
        <v>0</v>
      </c>
    </row>
    <row r="34" spans="1:7" s="23" customFormat="1" ht="38.25" hidden="1" x14ac:dyDescent="0.2">
      <c r="A34" s="20">
        <v>18010400</v>
      </c>
      <c r="B34" s="35" t="s">
        <v>31</v>
      </c>
      <c r="C34" s="32">
        <v>2320</v>
      </c>
      <c r="D34" s="32">
        <v>898</v>
      </c>
      <c r="E34" s="32">
        <v>1522.5477800000001</v>
      </c>
      <c r="F34" s="32">
        <f t="shared" si="0"/>
        <v>624.5477800000001</v>
      </c>
      <c r="G34" s="33">
        <f t="shared" si="1"/>
        <v>169.54875055679287</v>
      </c>
    </row>
    <row r="35" spans="1:7" s="23" customFormat="1" ht="12.75" hidden="1" x14ac:dyDescent="0.2">
      <c r="A35" s="20">
        <v>18010500</v>
      </c>
      <c r="B35" s="35" t="s">
        <v>32</v>
      </c>
      <c r="C35" s="32">
        <v>1747.2</v>
      </c>
      <c r="D35" s="32">
        <v>572.20000000000005</v>
      </c>
      <c r="E35" s="32">
        <v>871.1505699999999</v>
      </c>
      <c r="F35" s="32">
        <f t="shared" si="0"/>
        <v>298.95056999999986</v>
      </c>
      <c r="G35" s="33">
        <f t="shared" si="1"/>
        <v>152.24581789584059</v>
      </c>
    </row>
    <row r="36" spans="1:7" s="23" customFormat="1" ht="12.75" hidden="1" x14ac:dyDescent="0.2">
      <c r="A36" s="20">
        <v>18010600</v>
      </c>
      <c r="B36" s="35" t="s">
        <v>33</v>
      </c>
      <c r="C36" s="32">
        <v>7645</v>
      </c>
      <c r="D36" s="32">
        <v>2485</v>
      </c>
      <c r="E36" s="32">
        <v>3215.4559800000002</v>
      </c>
      <c r="F36" s="32">
        <f t="shared" si="0"/>
        <v>730.45598000000018</v>
      </c>
      <c r="G36" s="33">
        <f t="shared" si="1"/>
        <v>129.39460684104628</v>
      </c>
    </row>
    <row r="37" spans="1:7" s="23" customFormat="1" ht="12.75" hidden="1" x14ac:dyDescent="0.2">
      <c r="A37" s="20">
        <v>18010700</v>
      </c>
      <c r="B37" s="35" t="s">
        <v>34</v>
      </c>
      <c r="C37" s="32">
        <v>1500</v>
      </c>
      <c r="D37" s="32">
        <v>0</v>
      </c>
      <c r="E37" s="32">
        <v>346.34441999999996</v>
      </c>
      <c r="F37" s="32">
        <f t="shared" si="0"/>
        <v>346.34441999999996</v>
      </c>
      <c r="G37" s="33">
        <f t="shared" si="1"/>
        <v>0</v>
      </c>
    </row>
    <row r="38" spans="1:7" s="23" customFormat="1" ht="12.75" hidden="1" x14ac:dyDescent="0.2">
      <c r="A38" s="20">
        <v>18010900</v>
      </c>
      <c r="B38" s="35" t="s">
        <v>35</v>
      </c>
      <c r="C38" s="32">
        <v>1032.4000000000001</v>
      </c>
      <c r="D38" s="32">
        <v>300.16000000000003</v>
      </c>
      <c r="E38" s="32">
        <v>214.97961999999998</v>
      </c>
      <c r="F38" s="32">
        <f t="shared" si="0"/>
        <v>-85.180380000000042</v>
      </c>
      <c r="G38" s="33">
        <f t="shared" si="1"/>
        <v>71.6216751066098</v>
      </c>
    </row>
    <row r="39" spans="1:7" s="23" customFormat="1" ht="12.75" hidden="1" x14ac:dyDescent="0.2">
      <c r="A39" s="20">
        <v>18011000</v>
      </c>
      <c r="B39" s="35" t="s">
        <v>36</v>
      </c>
      <c r="C39" s="32">
        <v>0</v>
      </c>
      <c r="D39" s="32">
        <v>0</v>
      </c>
      <c r="E39" s="32">
        <v>54.166669999999996</v>
      </c>
      <c r="F39" s="32">
        <f t="shared" si="0"/>
        <v>54.166669999999996</v>
      </c>
      <c r="G39" s="33">
        <f t="shared" si="1"/>
        <v>0</v>
      </c>
    </row>
    <row r="40" spans="1:7" s="23" customFormat="1" ht="12.75" hidden="1" x14ac:dyDescent="0.2">
      <c r="A40" s="20">
        <v>18011100</v>
      </c>
      <c r="B40" s="35" t="s">
        <v>37</v>
      </c>
      <c r="C40" s="32">
        <v>6</v>
      </c>
      <c r="D40" s="32">
        <v>6</v>
      </c>
      <c r="E40" s="32">
        <v>16.66667</v>
      </c>
      <c r="F40" s="32">
        <f t="shared" si="0"/>
        <v>10.66667</v>
      </c>
      <c r="G40" s="33">
        <f t="shared" si="1"/>
        <v>277.77783333333332</v>
      </c>
    </row>
    <row r="41" spans="1:7" s="23" customFormat="1" ht="12.75" x14ac:dyDescent="0.2">
      <c r="A41" s="20">
        <v>18050000</v>
      </c>
      <c r="B41" s="35" t="s">
        <v>38</v>
      </c>
      <c r="C41" s="32">
        <v>37893.182999999997</v>
      </c>
      <c r="D41" s="32">
        <v>18149.183000000001</v>
      </c>
      <c r="E41" s="32">
        <v>22630.807679999998</v>
      </c>
      <c r="F41" s="32">
        <f t="shared" ref="F41:F72" si="2">E41-D41</f>
        <v>4481.6246799999972</v>
      </c>
      <c r="G41" s="33">
        <f t="shared" ref="G41:G72" si="3">IF(D41=0,0,E41/D41*100)</f>
        <v>124.69325853400673</v>
      </c>
    </row>
    <row r="42" spans="1:7" s="23" customFormat="1" ht="12.75" hidden="1" x14ac:dyDescent="0.2">
      <c r="A42" s="20">
        <v>18050300</v>
      </c>
      <c r="B42" s="35" t="s">
        <v>39</v>
      </c>
      <c r="C42" s="32">
        <v>3461</v>
      </c>
      <c r="D42" s="32">
        <v>1529</v>
      </c>
      <c r="E42" s="32">
        <v>1630.7666200000001</v>
      </c>
      <c r="F42" s="32">
        <f t="shared" si="2"/>
        <v>101.7666200000001</v>
      </c>
      <c r="G42" s="33">
        <f t="shared" si="3"/>
        <v>106.6557632439503</v>
      </c>
    </row>
    <row r="43" spans="1:7" s="23" customFormat="1" ht="12.75" hidden="1" x14ac:dyDescent="0.2">
      <c r="A43" s="20">
        <v>18050400</v>
      </c>
      <c r="B43" s="35" t="s">
        <v>40</v>
      </c>
      <c r="C43" s="32">
        <v>24640</v>
      </c>
      <c r="D43" s="32">
        <v>11428</v>
      </c>
      <c r="E43" s="32">
        <v>11840.224550000001</v>
      </c>
      <c r="F43" s="32">
        <f t="shared" si="2"/>
        <v>412.22455000000082</v>
      </c>
      <c r="G43" s="33">
        <f t="shared" si="3"/>
        <v>103.60714516975848</v>
      </c>
    </row>
    <row r="44" spans="1:7" s="23" customFormat="1" ht="38.25" hidden="1" x14ac:dyDescent="0.2">
      <c r="A44" s="20">
        <v>18050500</v>
      </c>
      <c r="B44" s="35" t="s">
        <v>41</v>
      </c>
      <c r="C44" s="32">
        <v>9792.1830000000009</v>
      </c>
      <c r="D44" s="32">
        <v>5192.183</v>
      </c>
      <c r="E44" s="32">
        <v>9159.8165100000006</v>
      </c>
      <c r="F44" s="32">
        <f t="shared" si="2"/>
        <v>3967.6335100000006</v>
      </c>
      <c r="G44" s="33">
        <f t="shared" si="3"/>
        <v>176.41551751931704</v>
      </c>
    </row>
    <row r="45" spans="1:7" s="30" customFormat="1" ht="12.75" x14ac:dyDescent="0.2">
      <c r="A45" s="26">
        <v>20000000</v>
      </c>
      <c r="B45" s="27" t="s">
        <v>42</v>
      </c>
      <c r="C45" s="28">
        <v>2509.3000000000002</v>
      </c>
      <c r="D45" s="28">
        <v>1131.04</v>
      </c>
      <c r="E45" s="28">
        <v>2416.9051400000003</v>
      </c>
      <c r="F45" s="28">
        <f t="shared" si="2"/>
        <v>1285.8651400000003</v>
      </c>
      <c r="G45" s="29">
        <f t="shared" si="3"/>
        <v>213.68874133540814</v>
      </c>
    </row>
    <row r="46" spans="1:7" s="23" customFormat="1" ht="0.75" customHeight="1" x14ac:dyDescent="0.2">
      <c r="A46" s="20">
        <v>21000000</v>
      </c>
      <c r="B46" s="35" t="s">
        <v>43</v>
      </c>
      <c r="C46" s="32">
        <v>151</v>
      </c>
      <c r="D46" s="32">
        <v>43.2</v>
      </c>
      <c r="E46" s="32">
        <v>129.27213</v>
      </c>
      <c r="F46" s="32">
        <f t="shared" si="2"/>
        <v>86.072130000000001</v>
      </c>
      <c r="G46" s="33">
        <f t="shared" si="3"/>
        <v>299.24104166666666</v>
      </c>
    </row>
    <row r="47" spans="1:7" s="23" customFormat="1" ht="63.75" hidden="1" x14ac:dyDescent="0.2">
      <c r="A47" s="20">
        <v>21010000</v>
      </c>
      <c r="B47" s="35" t="s">
        <v>44</v>
      </c>
      <c r="C47" s="32">
        <v>1</v>
      </c>
      <c r="D47" s="32">
        <v>0</v>
      </c>
      <c r="E47" s="32">
        <v>1.0317100000000001</v>
      </c>
      <c r="F47" s="32">
        <f t="shared" si="2"/>
        <v>1.0317100000000001</v>
      </c>
      <c r="G47" s="33">
        <f t="shared" si="3"/>
        <v>0</v>
      </c>
    </row>
    <row r="48" spans="1:7" s="23" customFormat="1" ht="38.25" hidden="1" x14ac:dyDescent="0.2">
      <c r="A48" s="20">
        <v>21010300</v>
      </c>
      <c r="B48" s="35" t="s">
        <v>45</v>
      </c>
      <c r="C48" s="32">
        <v>1</v>
      </c>
      <c r="D48" s="32">
        <v>0</v>
      </c>
      <c r="E48" s="32">
        <v>1.0317100000000001</v>
      </c>
      <c r="F48" s="32">
        <f t="shared" si="2"/>
        <v>1.0317100000000001</v>
      </c>
      <c r="G48" s="33">
        <f t="shared" si="3"/>
        <v>0</v>
      </c>
    </row>
    <row r="49" spans="1:7" s="23" customFormat="1" ht="12.75" hidden="1" x14ac:dyDescent="0.2">
      <c r="A49" s="20">
        <v>21080000</v>
      </c>
      <c r="B49" s="35" t="s">
        <v>46</v>
      </c>
      <c r="C49" s="32">
        <v>150</v>
      </c>
      <c r="D49" s="32">
        <v>43.2</v>
      </c>
      <c r="E49" s="32">
        <v>128.24042</v>
      </c>
      <c r="F49" s="32">
        <f t="shared" si="2"/>
        <v>85.040419999999997</v>
      </c>
      <c r="G49" s="33">
        <f t="shared" si="3"/>
        <v>296.85282407407408</v>
      </c>
    </row>
    <row r="50" spans="1:7" s="23" customFormat="1" ht="12.75" hidden="1" x14ac:dyDescent="0.2">
      <c r="A50" s="20">
        <v>21081100</v>
      </c>
      <c r="B50" s="35" t="s">
        <v>47</v>
      </c>
      <c r="C50" s="32">
        <v>50</v>
      </c>
      <c r="D50" s="32">
        <v>10</v>
      </c>
      <c r="E50" s="32">
        <v>50.226680000000002</v>
      </c>
      <c r="F50" s="32">
        <f t="shared" si="2"/>
        <v>40.226680000000002</v>
      </c>
      <c r="G50" s="33">
        <f t="shared" si="3"/>
        <v>502.26680000000005</v>
      </c>
    </row>
    <row r="51" spans="1:7" s="23" customFormat="1" ht="38.25" hidden="1" x14ac:dyDescent="0.2">
      <c r="A51" s="20">
        <v>21081800</v>
      </c>
      <c r="B51" s="35" t="s">
        <v>48</v>
      </c>
      <c r="C51" s="32">
        <v>100</v>
      </c>
      <c r="D51" s="32">
        <v>33.200000000000003</v>
      </c>
      <c r="E51" s="32">
        <v>78.013739999999999</v>
      </c>
      <c r="F51" s="32">
        <f t="shared" si="2"/>
        <v>44.813739999999996</v>
      </c>
      <c r="G51" s="33">
        <f t="shared" si="3"/>
        <v>234.98114457831326</v>
      </c>
    </row>
    <row r="52" spans="1:7" s="23" customFormat="1" ht="25.5" hidden="1" x14ac:dyDescent="0.2">
      <c r="A52" s="20">
        <v>22000000</v>
      </c>
      <c r="B52" s="35" t="s">
        <v>49</v>
      </c>
      <c r="C52" s="32">
        <v>1803.3</v>
      </c>
      <c r="D52" s="32">
        <v>532.84</v>
      </c>
      <c r="E52" s="32">
        <v>191.27089999999998</v>
      </c>
      <c r="F52" s="32">
        <f t="shared" si="2"/>
        <v>-341.56910000000005</v>
      </c>
      <c r="G52" s="33">
        <f t="shared" si="3"/>
        <v>35.896498010659855</v>
      </c>
    </row>
    <row r="53" spans="1:7" s="23" customFormat="1" ht="12.75" hidden="1" x14ac:dyDescent="0.2">
      <c r="A53" s="20">
        <v>22010000</v>
      </c>
      <c r="B53" s="35" t="s">
        <v>50</v>
      </c>
      <c r="C53" s="32">
        <v>1760</v>
      </c>
      <c r="D53" s="32">
        <v>520</v>
      </c>
      <c r="E53" s="32">
        <v>173.38656</v>
      </c>
      <c r="F53" s="32">
        <f t="shared" si="2"/>
        <v>-346.61343999999997</v>
      </c>
      <c r="G53" s="33">
        <f t="shared" si="3"/>
        <v>33.343569230769234</v>
      </c>
    </row>
    <row r="54" spans="1:7" s="23" customFormat="1" ht="12.75" hidden="1" x14ac:dyDescent="0.2">
      <c r="A54" s="20">
        <v>22012500</v>
      </c>
      <c r="B54" s="35" t="s">
        <v>51</v>
      </c>
      <c r="C54" s="32">
        <v>1700</v>
      </c>
      <c r="D54" s="32">
        <v>500</v>
      </c>
      <c r="E54" s="32">
        <v>145.40385999999998</v>
      </c>
      <c r="F54" s="32">
        <f t="shared" si="2"/>
        <v>-354.59613999999999</v>
      </c>
      <c r="G54" s="33">
        <f t="shared" si="3"/>
        <v>29.080771999999993</v>
      </c>
    </row>
    <row r="55" spans="1:7" s="23" customFormat="1" ht="25.5" hidden="1" x14ac:dyDescent="0.2">
      <c r="A55" s="20">
        <v>22012600</v>
      </c>
      <c r="B55" s="35" t="s">
        <v>52</v>
      </c>
      <c r="C55" s="32">
        <v>60</v>
      </c>
      <c r="D55" s="32">
        <v>20</v>
      </c>
      <c r="E55" s="32">
        <v>27.982700000000001</v>
      </c>
      <c r="F55" s="32">
        <f t="shared" si="2"/>
        <v>7.9827000000000012</v>
      </c>
      <c r="G55" s="33">
        <f t="shared" si="3"/>
        <v>139.9135</v>
      </c>
    </row>
    <row r="56" spans="1:7" s="23" customFormat="1" ht="12.75" hidden="1" x14ac:dyDescent="0.2">
      <c r="A56" s="20">
        <v>22090000</v>
      </c>
      <c r="B56" s="35" t="s">
        <v>53</v>
      </c>
      <c r="C56" s="32">
        <v>40.200000000000003</v>
      </c>
      <c r="D56" s="32">
        <v>12.84</v>
      </c>
      <c r="E56" s="32">
        <v>17.884340000000002</v>
      </c>
      <c r="F56" s="32">
        <f t="shared" si="2"/>
        <v>5.0443400000000018</v>
      </c>
      <c r="G56" s="33">
        <f t="shared" si="3"/>
        <v>139.2861370716511</v>
      </c>
    </row>
    <row r="57" spans="1:7" s="23" customFormat="1" ht="38.25" hidden="1" x14ac:dyDescent="0.2">
      <c r="A57" s="20">
        <v>22090100</v>
      </c>
      <c r="B57" s="35" t="s">
        <v>54</v>
      </c>
      <c r="C57" s="32">
        <v>40</v>
      </c>
      <c r="D57" s="32">
        <v>12.8</v>
      </c>
      <c r="E57" s="32">
        <v>17.884340000000002</v>
      </c>
      <c r="F57" s="32">
        <f t="shared" si="2"/>
        <v>5.084340000000001</v>
      </c>
      <c r="G57" s="33">
        <f t="shared" si="3"/>
        <v>139.72140625</v>
      </c>
    </row>
    <row r="58" spans="1:7" s="23" customFormat="1" ht="25.5" hidden="1" x14ac:dyDescent="0.2">
      <c r="A58" s="20">
        <v>22090400</v>
      </c>
      <c r="B58" s="35" t="s">
        <v>55</v>
      </c>
      <c r="C58" s="32">
        <v>0.2</v>
      </c>
      <c r="D58" s="32">
        <v>0.04</v>
      </c>
      <c r="E58" s="32">
        <v>0</v>
      </c>
      <c r="F58" s="32">
        <f t="shared" si="2"/>
        <v>-0.04</v>
      </c>
      <c r="G58" s="33">
        <f t="shared" si="3"/>
        <v>0</v>
      </c>
    </row>
    <row r="59" spans="1:7" s="23" customFormat="1" ht="63.75" hidden="1" x14ac:dyDescent="0.2">
      <c r="A59" s="20">
        <v>22130000</v>
      </c>
      <c r="B59" s="35" t="s">
        <v>56</v>
      </c>
      <c r="C59" s="32">
        <v>3.1</v>
      </c>
      <c r="D59" s="32">
        <v>0</v>
      </c>
      <c r="E59" s="32">
        <v>0</v>
      </c>
      <c r="F59" s="32">
        <f t="shared" si="2"/>
        <v>0</v>
      </c>
      <c r="G59" s="33">
        <f t="shared" si="3"/>
        <v>0</v>
      </c>
    </row>
    <row r="60" spans="1:7" s="23" customFormat="1" ht="12.75" hidden="1" x14ac:dyDescent="0.2">
      <c r="A60" s="20">
        <v>24000000</v>
      </c>
      <c r="B60" s="35" t="s">
        <v>57</v>
      </c>
      <c r="C60" s="32">
        <v>555</v>
      </c>
      <c r="D60" s="32">
        <v>555</v>
      </c>
      <c r="E60" s="32">
        <v>2096.36211</v>
      </c>
      <c r="F60" s="32">
        <f t="shared" si="2"/>
        <v>1541.36211</v>
      </c>
      <c r="G60" s="33">
        <f t="shared" si="3"/>
        <v>377.7229027027027</v>
      </c>
    </row>
    <row r="61" spans="1:7" s="23" customFormat="1" ht="12.75" hidden="1" x14ac:dyDescent="0.2">
      <c r="A61" s="20">
        <v>24060000</v>
      </c>
      <c r="B61" s="35" t="s">
        <v>46</v>
      </c>
      <c r="C61" s="32">
        <v>555</v>
      </c>
      <c r="D61" s="32">
        <v>555</v>
      </c>
      <c r="E61" s="32">
        <v>2096.36211</v>
      </c>
      <c r="F61" s="32">
        <f t="shared" si="2"/>
        <v>1541.36211</v>
      </c>
      <c r="G61" s="33">
        <f t="shared" si="3"/>
        <v>377.7229027027027</v>
      </c>
    </row>
    <row r="62" spans="1:7" s="23" customFormat="1" ht="12.75" hidden="1" x14ac:dyDescent="0.2">
      <c r="A62" s="20">
        <v>24060300</v>
      </c>
      <c r="B62" s="35" t="s">
        <v>46</v>
      </c>
      <c r="C62" s="32">
        <v>555</v>
      </c>
      <c r="D62" s="32">
        <v>555</v>
      </c>
      <c r="E62" s="32">
        <v>2096.36211</v>
      </c>
      <c r="F62" s="32">
        <f t="shared" si="2"/>
        <v>1541.36211</v>
      </c>
      <c r="G62" s="33">
        <f t="shared" si="3"/>
        <v>377.7229027027027</v>
      </c>
    </row>
    <row r="63" spans="1:7" s="30" customFormat="1" ht="12.75" x14ac:dyDescent="0.2">
      <c r="A63" s="26">
        <v>40000000</v>
      </c>
      <c r="B63" s="27" t="s">
        <v>58</v>
      </c>
      <c r="C63" s="28">
        <v>88450.463000000003</v>
      </c>
      <c r="D63" s="28">
        <v>37543.678999999996</v>
      </c>
      <c r="E63" s="28">
        <v>37331.792000000001</v>
      </c>
      <c r="F63" s="28">
        <f t="shared" si="2"/>
        <v>-211.88699999999517</v>
      </c>
      <c r="G63" s="29">
        <f t="shared" si="3"/>
        <v>99.435625368520775</v>
      </c>
    </row>
    <row r="64" spans="1:7" s="23" customFormat="1" ht="12.75" hidden="1" x14ac:dyDescent="0.2">
      <c r="A64" s="20">
        <v>41000000</v>
      </c>
      <c r="B64" s="35" t="s">
        <v>59</v>
      </c>
      <c r="C64" s="32">
        <v>88450.463000000003</v>
      </c>
      <c r="D64" s="32">
        <v>37543.678999999996</v>
      </c>
      <c r="E64" s="32">
        <v>37331.792000000001</v>
      </c>
      <c r="F64" s="32">
        <f t="shared" si="2"/>
        <v>-211.88699999999517</v>
      </c>
      <c r="G64" s="33">
        <f t="shared" si="3"/>
        <v>99.435625368520775</v>
      </c>
    </row>
    <row r="65" spans="1:7" s="23" customFormat="1" ht="12.75" hidden="1" x14ac:dyDescent="0.2">
      <c r="A65" s="20">
        <v>41020000</v>
      </c>
      <c r="B65" s="35" t="s">
        <v>60</v>
      </c>
      <c r="C65" s="32">
        <v>38984.699999999997</v>
      </c>
      <c r="D65" s="32">
        <v>12994.8</v>
      </c>
      <c r="E65" s="32">
        <v>12994.8</v>
      </c>
      <c r="F65" s="32">
        <f t="shared" si="2"/>
        <v>0</v>
      </c>
      <c r="G65" s="33">
        <f t="shared" si="3"/>
        <v>100</v>
      </c>
    </row>
    <row r="66" spans="1:7" s="23" customFormat="1" ht="12.75" x14ac:dyDescent="0.2">
      <c r="A66" s="20">
        <v>41020100</v>
      </c>
      <c r="B66" s="35" t="s">
        <v>61</v>
      </c>
      <c r="C66" s="32">
        <v>22616</v>
      </c>
      <c r="D66" s="32">
        <v>7538.8</v>
      </c>
      <c r="E66" s="32">
        <v>7538.8</v>
      </c>
      <c r="F66" s="32">
        <f t="shared" si="2"/>
        <v>0</v>
      </c>
      <c r="G66" s="33">
        <f t="shared" si="3"/>
        <v>100</v>
      </c>
    </row>
    <row r="67" spans="1:7" s="23" customFormat="1" ht="30" customHeight="1" x14ac:dyDescent="0.2">
      <c r="A67" s="20">
        <v>41020300</v>
      </c>
      <c r="B67" s="35" t="s">
        <v>62</v>
      </c>
      <c r="C67" s="32">
        <v>6228.3</v>
      </c>
      <c r="D67" s="32">
        <v>2076</v>
      </c>
      <c r="E67" s="32">
        <v>2076</v>
      </c>
      <c r="F67" s="32">
        <f t="shared" si="2"/>
        <v>0</v>
      </c>
      <c r="G67" s="33">
        <f t="shared" si="3"/>
        <v>100</v>
      </c>
    </row>
    <row r="68" spans="1:7" s="23" customFormat="1" ht="12.75" hidden="1" x14ac:dyDescent="0.2">
      <c r="A68" s="20">
        <v>41020400</v>
      </c>
      <c r="B68" s="35" t="s">
        <v>63</v>
      </c>
      <c r="C68" s="32">
        <v>0</v>
      </c>
      <c r="D68" s="32">
        <v>0</v>
      </c>
      <c r="E68" s="32">
        <v>0</v>
      </c>
      <c r="F68" s="32">
        <f t="shared" si="2"/>
        <v>0</v>
      </c>
      <c r="G68" s="33">
        <f t="shared" si="3"/>
        <v>0</v>
      </c>
    </row>
    <row r="69" spans="1:7" s="23" customFormat="1" ht="68.25" customHeight="1" x14ac:dyDescent="0.2">
      <c r="A69" s="20">
        <v>41021400</v>
      </c>
      <c r="B69" s="31" t="s">
        <v>64</v>
      </c>
      <c r="C69" s="32">
        <v>10140.4</v>
      </c>
      <c r="D69" s="32">
        <v>3380</v>
      </c>
      <c r="E69" s="32">
        <v>3380</v>
      </c>
      <c r="F69" s="32">
        <f t="shared" si="2"/>
        <v>0</v>
      </c>
      <c r="G69" s="33">
        <f t="shared" si="3"/>
        <v>100</v>
      </c>
    </row>
    <row r="70" spans="1:7" s="23" customFormat="1" ht="12.75" hidden="1" x14ac:dyDescent="0.2">
      <c r="A70" s="20">
        <v>41030000</v>
      </c>
      <c r="B70" s="35" t="s">
        <v>65</v>
      </c>
      <c r="C70" s="32">
        <v>48142.1</v>
      </c>
      <c r="D70" s="32">
        <v>23966.400000000001</v>
      </c>
      <c r="E70" s="32">
        <v>23966.400000000001</v>
      </c>
      <c r="F70" s="32">
        <f t="shared" si="2"/>
        <v>0</v>
      </c>
      <c r="G70" s="33">
        <f t="shared" si="3"/>
        <v>100</v>
      </c>
    </row>
    <row r="71" spans="1:7" s="23" customFormat="1" ht="38.25" x14ac:dyDescent="0.2">
      <c r="A71" s="20">
        <v>41031100</v>
      </c>
      <c r="B71" s="34" t="s">
        <v>66</v>
      </c>
      <c r="C71" s="32">
        <v>2060.1999999999998</v>
      </c>
      <c r="D71" s="32">
        <v>1648</v>
      </c>
      <c r="E71" s="32">
        <v>1648</v>
      </c>
      <c r="F71" s="32">
        <f t="shared" si="2"/>
        <v>0</v>
      </c>
      <c r="G71" s="33">
        <f t="shared" si="3"/>
        <v>100</v>
      </c>
    </row>
    <row r="72" spans="1:7" s="23" customFormat="1" ht="18.75" customHeight="1" x14ac:dyDescent="0.2">
      <c r="A72" s="20">
        <v>41033900</v>
      </c>
      <c r="B72" s="35" t="s">
        <v>67</v>
      </c>
      <c r="C72" s="32">
        <v>40191.9</v>
      </c>
      <c r="D72" s="32">
        <v>18392</v>
      </c>
      <c r="E72" s="32">
        <v>18392</v>
      </c>
      <c r="F72" s="32">
        <f t="shared" si="2"/>
        <v>0</v>
      </c>
      <c r="G72" s="33">
        <f t="shared" si="3"/>
        <v>100</v>
      </c>
    </row>
    <row r="73" spans="1:7" s="23" customFormat="1" ht="25.5" x14ac:dyDescent="0.2">
      <c r="A73" s="20">
        <v>41035400</v>
      </c>
      <c r="B73" s="35" t="s">
        <v>68</v>
      </c>
      <c r="C73" s="32">
        <v>161</v>
      </c>
      <c r="D73" s="32">
        <v>107.2</v>
      </c>
      <c r="E73" s="32">
        <v>107.2</v>
      </c>
      <c r="F73" s="32">
        <f t="shared" ref="F73:F79" si="4">E73-D73</f>
        <v>0</v>
      </c>
      <c r="G73" s="33">
        <f t="shared" ref="G73:G79" si="5">IF(D73=0,0,E73/D73*100)</f>
        <v>100</v>
      </c>
    </row>
    <row r="74" spans="1:7" s="23" customFormat="1" ht="33.75" customHeight="1" x14ac:dyDescent="0.2">
      <c r="A74" s="20">
        <v>41036300</v>
      </c>
      <c r="B74" s="31" t="s">
        <v>69</v>
      </c>
      <c r="C74" s="32">
        <v>5729</v>
      </c>
      <c r="D74" s="32">
        <v>3819.2</v>
      </c>
      <c r="E74" s="32">
        <v>3819.2</v>
      </c>
      <c r="F74" s="32">
        <f t="shared" si="4"/>
        <v>0</v>
      </c>
      <c r="G74" s="33">
        <f t="shared" si="5"/>
        <v>100</v>
      </c>
    </row>
    <row r="75" spans="1:7" s="23" customFormat="1" ht="12.75" x14ac:dyDescent="0.2">
      <c r="A75" s="20">
        <v>41050000</v>
      </c>
      <c r="B75" s="35" t="s">
        <v>70</v>
      </c>
      <c r="C75" s="32">
        <v>1323.663</v>
      </c>
      <c r="D75" s="32">
        <v>582.47900000000004</v>
      </c>
      <c r="E75" s="32">
        <v>370.59199999999998</v>
      </c>
      <c r="F75" s="32">
        <f t="shared" si="4"/>
        <v>-211.88700000000006</v>
      </c>
      <c r="G75" s="33">
        <f t="shared" si="5"/>
        <v>63.623237919306952</v>
      </c>
    </row>
    <row r="76" spans="1:7" s="23" customFormat="1" ht="12.75" x14ac:dyDescent="0.2">
      <c r="A76" s="20">
        <v>41053900</v>
      </c>
      <c r="B76" s="35" t="s">
        <v>71</v>
      </c>
      <c r="C76" s="32">
        <v>211.887</v>
      </c>
      <c r="D76" s="32">
        <v>211.887</v>
      </c>
      <c r="E76" s="32">
        <v>0</v>
      </c>
      <c r="F76" s="32">
        <f t="shared" si="4"/>
        <v>-211.887</v>
      </c>
      <c r="G76" s="33">
        <f t="shared" si="5"/>
        <v>0</v>
      </c>
    </row>
    <row r="77" spans="1:7" s="23" customFormat="1" ht="56.25" customHeight="1" x14ac:dyDescent="0.2">
      <c r="A77" s="20">
        <v>41059300</v>
      </c>
      <c r="B77" s="31" t="s">
        <v>72</v>
      </c>
      <c r="C77" s="32">
        <v>1111.7760000000001</v>
      </c>
      <c r="D77" s="32">
        <v>370.59199999999998</v>
      </c>
      <c r="E77" s="32">
        <v>370.59199999999998</v>
      </c>
      <c r="F77" s="32">
        <f t="shared" si="4"/>
        <v>0</v>
      </c>
      <c r="G77" s="33">
        <f t="shared" si="5"/>
        <v>100</v>
      </c>
    </row>
    <row r="78" spans="1:7" s="23" customFormat="1" ht="12.75" x14ac:dyDescent="0.2">
      <c r="A78" s="43" t="s">
        <v>153</v>
      </c>
      <c r="B78" s="43"/>
      <c r="C78" s="38">
        <v>158461.06299999999</v>
      </c>
      <c r="D78" s="38">
        <v>60569.682999999997</v>
      </c>
      <c r="E78" s="38">
        <v>76959.76082000001</v>
      </c>
      <c r="F78" s="38">
        <f t="shared" si="4"/>
        <v>16390.077820000013</v>
      </c>
      <c r="G78" s="39">
        <f t="shared" si="5"/>
        <v>127.05987056263777</v>
      </c>
    </row>
    <row r="79" spans="1:7" s="23" customFormat="1" ht="12.75" x14ac:dyDescent="0.2">
      <c r="A79" s="43" t="s">
        <v>154</v>
      </c>
      <c r="B79" s="43"/>
      <c r="C79" s="38">
        <v>246911.52600000001</v>
      </c>
      <c r="D79" s="38">
        <v>98113.361999999994</v>
      </c>
      <c r="E79" s="38">
        <v>114291.55282000001</v>
      </c>
      <c r="F79" s="38">
        <f t="shared" si="4"/>
        <v>16178.190820000018</v>
      </c>
      <c r="G79" s="39">
        <f t="shared" si="5"/>
        <v>116.48928391629268</v>
      </c>
    </row>
    <row r="80" spans="1:7" x14ac:dyDescent="0.25">
      <c r="A80" s="18"/>
      <c r="B80" s="19"/>
      <c r="C80" s="19"/>
      <c r="D80" s="19"/>
      <c r="E80" s="19"/>
      <c r="F80" s="19"/>
      <c r="G80" s="19"/>
    </row>
    <row r="81" spans="1:7" x14ac:dyDescent="0.25">
      <c r="A81" s="18"/>
      <c r="B81" s="19"/>
      <c r="C81" s="19"/>
      <c r="D81" s="19"/>
      <c r="E81" s="19"/>
      <c r="F81" s="19"/>
      <c r="G81" s="19"/>
    </row>
  </sheetData>
  <mergeCells count="9">
    <mergeCell ref="A79:B79"/>
    <mergeCell ref="A7:A8"/>
    <mergeCell ref="B7:B8"/>
    <mergeCell ref="C7:G7"/>
    <mergeCell ref="A2:G2"/>
    <mergeCell ref="A3:G3"/>
    <mergeCell ref="A4:G4"/>
    <mergeCell ref="A5:G5"/>
    <mergeCell ref="A78:B78"/>
  </mergeCells>
  <pageMargins left="0.59055118110236227" right="0.19685039370078741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AE21-EDCB-4C73-B5CC-2D0D8709FFAA}">
  <sheetPr>
    <pageSetUpPr fitToPage="1"/>
  </sheetPr>
  <dimension ref="A2:I53"/>
  <sheetViews>
    <sheetView tabSelected="1" workbookViewId="0">
      <selection activeCell="O29" sqref="O29"/>
    </sheetView>
  </sheetViews>
  <sheetFormatPr defaultRowHeight="12.75" x14ac:dyDescent="0.2"/>
  <cols>
    <col min="1" max="1" width="12.7109375" style="3" customWidth="1"/>
    <col min="2" max="2" width="50.7109375" style="4" customWidth="1"/>
    <col min="3" max="8" width="15.7109375" style="2" customWidth="1"/>
    <col min="9" max="248" width="9.140625" style="2"/>
    <col min="249" max="249" width="12.7109375" style="2" customWidth="1"/>
    <col min="250" max="250" width="50.7109375" style="2" customWidth="1"/>
    <col min="251" max="264" width="15.7109375" style="2" customWidth="1"/>
    <col min="265" max="504" width="9.140625" style="2"/>
    <col min="505" max="505" width="12.7109375" style="2" customWidth="1"/>
    <col min="506" max="506" width="50.7109375" style="2" customWidth="1"/>
    <col min="507" max="520" width="15.7109375" style="2" customWidth="1"/>
    <col min="521" max="760" width="9.140625" style="2"/>
    <col min="761" max="761" width="12.7109375" style="2" customWidth="1"/>
    <col min="762" max="762" width="50.7109375" style="2" customWidth="1"/>
    <col min="763" max="776" width="15.7109375" style="2" customWidth="1"/>
    <col min="777" max="1016" width="9.140625" style="2"/>
    <col min="1017" max="1017" width="12.7109375" style="2" customWidth="1"/>
    <col min="1018" max="1018" width="50.7109375" style="2" customWidth="1"/>
    <col min="1019" max="1032" width="15.7109375" style="2" customWidth="1"/>
    <col min="1033" max="1272" width="9.140625" style="2"/>
    <col min="1273" max="1273" width="12.7109375" style="2" customWidth="1"/>
    <col min="1274" max="1274" width="50.7109375" style="2" customWidth="1"/>
    <col min="1275" max="1288" width="15.7109375" style="2" customWidth="1"/>
    <col min="1289" max="1528" width="9.140625" style="2"/>
    <col min="1529" max="1529" width="12.7109375" style="2" customWidth="1"/>
    <col min="1530" max="1530" width="50.7109375" style="2" customWidth="1"/>
    <col min="1531" max="1544" width="15.7109375" style="2" customWidth="1"/>
    <col min="1545" max="1784" width="9.140625" style="2"/>
    <col min="1785" max="1785" width="12.7109375" style="2" customWidth="1"/>
    <col min="1786" max="1786" width="50.7109375" style="2" customWidth="1"/>
    <col min="1787" max="1800" width="15.7109375" style="2" customWidth="1"/>
    <col min="1801" max="2040" width="9.140625" style="2"/>
    <col min="2041" max="2041" width="12.7109375" style="2" customWidth="1"/>
    <col min="2042" max="2042" width="50.7109375" style="2" customWidth="1"/>
    <col min="2043" max="2056" width="15.7109375" style="2" customWidth="1"/>
    <col min="2057" max="2296" width="9.140625" style="2"/>
    <col min="2297" max="2297" width="12.7109375" style="2" customWidth="1"/>
    <col min="2298" max="2298" width="50.7109375" style="2" customWidth="1"/>
    <col min="2299" max="2312" width="15.7109375" style="2" customWidth="1"/>
    <col min="2313" max="2552" width="9.140625" style="2"/>
    <col min="2553" max="2553" width="12.7109375" style="2" customWidth="1"/>
    <col min="2554" max="2554" width="50.7109375" style="2" customWidth="1"/>
    <col min="2555" max="2568" width="15.7109375" style="2" customWidth="1"/>
    <col min="2569" max="2808" width="9.140625" style="2"/>
    <col min="2809" max="2809" width="12.7109375" style="2" customWidth="1"/>
    <col min="2810" max="2810" width="50.7109375" style="2" customWidth="1"/>
    <col min="2811" max="2824" width="15.7109375" style="2" customWidth="1"/>
    <col min="2825" max="3064" width="9.140625" style="2"/>
    <col min="3065" max="3065" width="12.7109375" style="2" customWidth="1"/>
    <col min="3066" max="3066" width="50.7109375" style="2" customWidth="1"/>
    <col min="3067" max="3080" width="15.7109375" style="2" customWidth="1"/>
    <col min="3081" max="3320" width="9.140625" style="2"/>
    <col min="3321" max="3321" width="12.7109375" style="2" customWidth="1"/>
    <col min="3322" max="3322" width="50.7109375" style="2" customWidth="1"/>
    <col min="3323" max="3336" width="15.7109375" style="2" customWidth="1"/>
    <col min="3337" max="3576" width="9.140625" style="2"/>
    <col min="3577" max="3577" width="12.7109375" style="2" customWidth="1"/>
    <col min="3578" max="3578" width="50.7109375" style="2" customWidth="1"/>
    <col min="3579" max="3592" width="15.7109375" style="2" customWidth="1"/>
    <col min="3593" max="3832" width="9.140625" style="2"/>
    <col min="3833" max="3833" width="12.7109375" style="2" customWidth="1"/>
    <col min="3834" max="3834" width="50.7109375" style="2" customWidth="1"/>
    <col min="3835" max="3848" width="15.7109375" style="2" customWidth="1"/>
    <col min="3849" max="4088" width="9.140625" style="2"/>
    <col min="4089" max="4089" width="12.7109375" style="2" customWidth="1"/>
    <col min="4090" max="4090" width="50.7109375" style="2" customWidth="1"/>
    <col min="4091" max="4104" width="15.7109375" style="2" customWidth="1"/>
    <col min="4105" max="4344" width="9.140625" style="2"/>
    <col min="4345" max="4345" width="12.7109375" style="2" customWidth="1"/>
    <col min="4346" max="4346" width="50.7109375" style="2" customWidth="1"/>
    <col min="4347" max="4360" width="15.7109375" style="2" customWidth="1"/>
    <col min="4361" max="4600" width="9.140625" style="2"/>
    <col min="4601" max="4601" width="12.7109375" style="2" customWidth="1"/>
    <col min="4602" max="4602" width="50.7109375" style="2" customWidth="1"/>
    <col min="4603" max="4616" width="15.7109375" style="2" customWidth="1"/>
    <col min="4617" max="4856" width="9.140625" style="2"/>
    <col min="4857" max="4857" width="12.7109375" style="2" customWidth="1"/>
    <col min="4858" max="4858" width="50.7109375" style="2" customWidth="1"/>
    <col min="4859" max="4872" width="15.7109375" style="2" customWidth="1"/>
    <col min="4873" max="5112" width="9.140625" style="2"/>
    <col min="5113" max="5113" width="12.7109375" style="2" customWidth="1"/>
    <col min="5114" max="5114" width="50.7109375" style="2" customWidth="1"/>
    <col min="5115" max="5128" width="15.7109375" style="2" customWidth="1"/>
    <col min="5129" max="5368" width="9.140625" style="2"/>
    <col min="5369" max="5369" width="12.7109375" style="2" customWidth="1"/>
    <col min="5370" max="5370" width="50.7109375" style="2" customWidth="1"/>
    <col min="5371" max="5384" width="15.7109375" style="2" customWidth="1"/>
    <col min="5385" max="5624" width="9.140625" style="2"/>
    <col min="5625" max="5625" width="12.7109375" style="2" customWidth="1"/>
    <col min="5626" max="5626" width="50.7109375" style="2" customWidth="1"/>
    <col min="5627" max="5640" width="15.7109375" style="2" customWidth="1"/>
    <col min="5641" max="5880" width="9.140625" style="2"/>
    <col min="5881" max="5881" width="12.7109375" style="2" customWidth="1"/>
    <col min="5882" max="5882" width="50.7109375" style="2" customWidth="1"/>
    <col min="5883" max="5896" width="15.7109375" style="2" customWidth="1"/>
    <col min="5897" max="6136" width="9.140625" style="2"/>
    <col min="6137" max="6137" width="12.7109375" style="2" customWidth="1"/>
    <col min="6138" max="6138" width="50.7109375" style="2" customWidth="1"/>
    <col min="6139" max="6152" width="15.7109375" style="2" customWidth="1"/>
    <col min="6153" max="6392" width="9.140625" style="2"/>
    <col min="6393" max="6393" width="12.7109375" style="2" customWidth="1"/>
    <col min="6394" max="6394" width="50.7109375" style="2" customWidth="1"/>
    <col min="6395" max="6408" width="15.7109375" style="2" customWidth="1"/>
    <col min="6409" max="6648" width="9.140625" style="2"/>
    <col min="6649" max="6649" width="12.7109375" style="2" customWidth="1"/>
    <col min="6650" max="6650" width="50.7109375" style="2" customWidth="1"/>
    <col min="6651" max="6664" width="15.7109375" style="2" customWidth="1"/>
    <col min="6665" max="6904" width="9.140625" style="2"/>
    <col min="6905" max="6905" width="12.7109375" style="2" customWidth="1"/>
    <col min="6906" max="6906" width="50.7109375" style="2" customWidth="1"/>
    <col min="6907" max="6920" width="15.7109375" style="2" customWidth="1"/>
    <col min="6921" max="7160" width="9.140625" style="2"/>
    <col min="7161" max="7161" width="12.7109375" style="2" customWidth="1"/>
    <col min="7162" max="7162" width="50.7109375" style="2" customWidth="1"/>
    <col min="7163" max="7176" width="15.7109375" style="2" customWidth="1"/>
    <col min="7177" max="7416" width="9.140625" style="2"/>
    <col min="7417" max="7417" width="12.7109375" style="2" customWidth="1"/>
    <col min="7418" max="7418" width="50.7109375" style="2" customWidth="1"/>
    <col min="7419" max="7432" width="15.7109375" style="2" customWidth="1"/>
    <col min="7433" max="7672" width="9.140625" style="2"/>
    <col min="7673" max="7673" width="12.7109375" style="2" customWidth="1"/>
    <col min="7674" max="7674" width="50.7109375" style="2" customWidth="1"/>
    <col min="7675" max="7688" width="15.7109375" style="2" customWidth="1"/>
    <col min="7689" max="7928" width="9.140625" style="2"/>
    <col min="7929" max="7929" width="12.7109375" style="2" customWidth="1"/>
    <col min="7930" max="7930" width="50.7109375" style="2" customWidth="1"/>
    <col min="7931" max="7944" width="15.7109375" style="2" customWidth="1"/>
    <col min="7945" max="8184" width="9.140625" style="2"/>
    <col min="8185" max="8185" width="12.7109375" style="2" customWidth="1"/>
    <col min="8186" max="8186" width="50.7109375" style="2" customWidth="1"/>
    <col min="8187" max="8200" width="15.7109375" style="2" customWidth="1"/>
    <col min="8201" max="8440" width="9.140625" style="2"/>
    <col min="8441" max="8441" width="12.7109375" style="2" customWidth="1"/>
    <col min="8442" max="8442" width="50.7109375" style="2" customWidth="1"/>
    <col min="8443" max="8456" width="15.7109375" style="2" customWidth="1"/>
    <col min="8457" max="8696" width="9.140625" style="2"/>
    <col min="8697" max="8697" width="12.7109375" style="2" customWidth="1"/>
    <col min="8698" max="8698" width="50.7109375" style="2" customWidth="1"/>
    <col min="8699" max="8712" width="15.7109375" style="2" customWidth="1"/>
    <col min="8713" max="8952" width="9.140625" style="2"/>
    <col min="8953" max="8953" width="12.7109375" style="2" customWidth="1"/>
    <col min="8954" max="8954" width="50.7109375" style="2" customWidth="1"/>
    <col min="8955" max="8968" width="15.7109375" style="2" customWidth="1"/>
    <col min="8969" max="9208" width="9.140625" style="2"/>
    <col min="9209" max="9209" width="12.7109375" style="2" customWidth="1"/>
    <col min="9210" max="9210" width="50.7109375" style="2" customWidth="1"/>
    <col min="9211" max="9224" width="15.7109375" style="2" customWidth="1"/>
    <col min="9225" max="9464" width="9.140625" style="2"/>
    <col min="9465" max="9465" width="12.7109375" style="2" customWidth="1"/>
    <col min="9466" max="9466" width="50.7109375" style="2" customWidth="1"/>
    <col min="9467" max="9480" width="15.7109375" style="2" customWidth="1"/>
    <col min="9481" max="9720" width="9.140625" style="2"/>
    <col min="9721" max="9721" width="12.7109375" style="2" customWidth="1"/>
    <col min="9722" max="9722" width="50.7109375" style="2" customWidth="1"/>
    <col min="9723" max="9736" width="15.7109375" style="2" customWidth="1"/>
    <col min="9737" max="9976" width="9.140625" style="2"/>
    <col min="9977" max="9977" width="12.7109375" style="2" customWidth="1"/>
    <col min="9978" max="9978" width="50.7109375" style="2" customWidth="1"/>
    <col min="9979" max="9992" width="15.7109375" style="2" customWidth="1"/>
    <col min="9993" max="10232" width="9.140625" style="2"/>
    <col min="10233" max="10233" width="12.7109375" style="2" customWidth="1"/>
    <col min="10234" max="10234" width="50.7109375" style="2" customWidth="1"/>
    <col min="10235" max="10248" width="15.7109375" style="2" customWidth="1"/>
    <col min="10249" max="10488" width="9.140625" style="2"/>
    <col min="10489" max="10489" width="12.7109375" style="2" customWidth="1"/>
    <col min="10490" max="10490" width="50.7109375" style="2" customWidth="1"/>
    <col min="10491" max="10504" width="15.7109375" style="2" customWidth="1"/>
    <col min="10505" max="10744" width="9.140625" style="2"/>
    <col min="10745" max="10745" width="12.7109375" style="2" customWidth="1"/>
    <col min="10746" max="10746" width="50.7109375" style="2" customWidth="1"/>
    <col min="10747" max="10760" width="15.7109375" style="2" customWidth="1"/>
    <col min="10761" max="11000" width="9.140625" style="2"/>
    <col min="11001" max="11001" width="12.7109375" style="2" customWidth="1"/>
    <col min="11002" max="11002" width="50.7109375" style="2" customWidth="1"/>
    <col min="11003" max="11016" width="15.7109375" style="2" customWidth="1"/>
    <col min="11017" max="11256" width="9.140625" style="2"/>
    <col min="11257" max="11257" width="12.7109375" style="2" customWidth="1"/>
    <col min="11258" max="11258" width="50.7109375" style="2" customWidth="1"/>
    <col min="11259" max="11272" width="15.7109375" style="2" customWidth="1"/>
    <col min="11273" max="11512" width="9.140625" style="2"/>
    <col min="11513" max="11513" width="12.7109375" style="2" customWidth="1"/>
    <col min="11514" max="11514" width="50.7109375" style="2" customWidth="1"/>
    <col min="11515" max="11528" width="15.7109375" style="2" customWidth="1"/>
    <col min="11529" max="11768" width="9.140625" style="2"/>
    <col min="11769" max="11769" width="12.7109375" style="2" customWidth="1"/>
    <col min="11770" max="11770" width="50.7109375" style="2" customWidth="1"/>
    <col min="11771" max="11784" width="15.7109375" style="2" customWidth="1"/>
    <col min="11785" max="12024" width="9.140625" style="2"/>
    <col min="12025" max="12025" width="12.7109375" style="2" customWidth="1"/>
    <col min="12026" max="12026" width="50.7109375" style="2" customWidth="1"/>
    <col min="12027" max="12040" width="15.7109375" style="2" customWidth="1"/>
    <col min="12041" max="12280" width="9.140625" style="2"/>
    <col min="12281" max="12281" width="12.7109375" style="2" customWidth="1"/>
    <col min="12282" max="12282" width="50.7109375" style="2" customWidth="1"/>
    <col min="12283" max="12296" width="15.7109375" style="2" customWidth="1"/>
    <col min="12297" max="12536" width="9.140625" style="2"/>
    <col min="12537" max="12537" width="12.7109375" style="2" customWidth="1"/>
    <col min="12538" max="12538" width="50.7109375" style="2" customWidth="1"/>
    <col min="12539" max="12552" width="15.7109375" style="2" customWidth="1"/>
    <col min="12553" max="12792" width="9.140625" style="2"/>
    <col min="12793" max="12793" width="12.7109375" style="2" customWidth="1"/>
    <col min="12794" max="12794" width="50.7109375" style="2" customWidth="1"/>
    <col min="12795" max="12808" width="15.7109375" style="2" customWidth="1"/>
    <col min="12809" max="13048" width="9.140625" style="2"/>
    <col min="13049" max="13049" width="12.7109375" style="2" customWidth="1"/>
    <col min="13050" max="13050" width="50.7109375" style="2" customWidth="1"/>
    <col min="13051" max="13064" width="15.7109375" style="2" customWidth="1"/>
    <col min="13065" max="13304" width="9.140625" style="2"/>
    <col min="13305" max="13305" width="12.7109375" style="2" customWidth="1"/>
    <col min="13306" max="13306" width="50.7109375" style="2" customWidth="1"/>
    <col min="13307" max="13320" width="15.7109375" style="2" customWidth="1"/>
    <col min="13321" max="13560" width="9.140625" style="2"/>
    <col min="13561" max="13561" width="12.7109375" style="2" customWidth="1"/>
    <col min="13562" max="13562" width="50.7109375" style="2" customWidth="1"/>
    <col min="13563" max="13576" width="15.7109375" style="2" customWidth="1"/>
    <col min="13577" max="13816" width="9.140625" style="2"/>
    <col min="13817" max="13817" width="12.7109375" style="2" customWidth="1"/>
    <col min="13818" max="13818" width="50.7109375" style="2" customWidth="1"/>
    <col min="13819" max="13832" width="15.7109375" style="2" customWidth="1"/>
    <col min="13833" max="14072" width="9.140625" style="2"/>
    <col min="14073" max="14073" width="12.7109375" style="2" customWidth="1"/>
    <col min="14074" max="14074" width="50.7109375" style="2" customWidth="1"/>
    <col min="14075" max="14088" width="15.7109375" style="2" customWidth="1"/>
    <col min="14089" max="14328" width="9.140625" style="2"/>
    <col min="14329" max="14329" width="12.7109375" style="2" customWidth="1"/>
    <col min="14330" max="14330" width="50.7109375" style="2" customWidth="1"/>
    <col min="14331" max="14344" width="15.7109375" style="2" customWidth="1"/>
    <col min="14345" max="14584" width="9.140625" style="2"/>
    <col min="14585" max="14585" width="12.7109375" style="2" customWidth="1"/>
    <col min="14586" max="14586" width="50.7109375" style="2" customWidth="1"/>
    <col min="14587" max="14600" width="15.7109375" style="2" customWidth="1"/>
    <col min="14601" max="14840" width="9.140625" style="2"/>
    <col min="14841" max="14841" width="12.7109375" style="2" customWidth="1"/>
    <col min="14842" max="14842" width="50.7109375" style="2" customWidth="1"/>
    <col min="14843" max="14856" width="15.7109375" style="2" customWidth="1"/>
    <col min="14857" max="15096" width="9.140625" style="2"/>
    <col min="15097" max="15097" width="12.7109375" style="2" customWidth="1"/>
    <col min="15098" max="15098" width="50.7109375" style="2" customWidth="1"/>
    <col min="15099" max="15112" width="15.7109375" style="2" customWidth="1"/>
    <col min="15113" max="15352" width="9.140625" style="2"/>
    <col min="15353" max="15353" width="12.7109375" style="2" customWidth="1"/>
    <col min="15354" max="15354" width="50.7109375" style="2" customWidth="1"/>
    <col min="15355" max="15368" width="15.7109375" style="2" customWidth="1"/>
    <col min="15369" max="15608" width="9.140625" style="2"/>
    <col min="15609" max="15609" width="12.7109375" style="2" customWidth="1"/>
    <col min="15610" max="15610" width="50.7109375" style="2" customWidth="1"/>
    <col min="15611" max="15624" width="15.7109375" style="2" customWidth="1"/>
    <col min="15625" max="15864" width="9.140625" style="2"/>
    <col min="15865" max="15865" width="12.7109375" style="2" customWidth="1"/>
    <col min="15866" max="15866" width="50.7109375" style="2" customWidth="1"/>
    <col min="15867" max="15880" width="15.7109375" style="2" customWidth="1"/>
    <col min="15881" max="16120" width="9.140625" style="2"/>
    <col min="16121" max="16121" width="12.7109375" style="2" customWidth="1"/>
    <col min="16122" max="16122" width="50.7109375" style="2" customWidth="1"/>
    <col min="16123" max="16136" width="15.7109375" style="2" customWidth="1"/>
    <col min="16137" max="16384" width="9.140625" style="2"/>
  </cols>
  <sheetData>
    <row r="2" spans="1:9" ht="15" x14ac:dyDescent="0.25">
      <c r="A2" s="47" t="s">
        <v>148</v>
      </c>
      <c r="B2" s="47"/>
      <c r="C2" s="47"/>
      <c r="D2" s="47"/>
      <c r="E2" s="47"/>
      <c r="F2" s="47"/>
      <c r="G2" s="47"/>
      <c r="H2" s="47"/>
    </row>
    <row r="3" spans="1:9" ht="15" x14ac:dyDescent="0.25">
      <c r="A3" s="47" t="s">
        <v>155</v>
      </c>
      <c r="B3" s="47"/>
      <c r="C3" s="47"/>
      <c r="D3" s="47"/>
      <c r="E3" s="47"/>
      <c r="F3" s="47"/>
      <c r="G3" s="47"/>
      <c r="H3" s="47"/>
    </row>
    <row r="4" spans="1:9" ht="15" x14ac:dyDescent="0.25">
      <c r="A4" s="47" t="s">
        <v>150</v>
      </c>
      <c r="B4" s="47"/>
      <c r="C4" s="47"/>
      <c r="D4" s="47"/>
      <c r="E4" s="47"/>
      <c r="F4" s="47"/>
      <c r="G4" s="47"/>
      <c r="H4" s="47"/>
    </row>
    <row r="5" spans="1:9" ht="19.5" customHeight="1" x14ac:dyDescent="0.25">
      <c r="A5" s="47" t="s">
        <v>151</v>
      </c>
      <c r="B5" s="47"/>
      <c r="C5" s="47"/>
      <c r="D5" s="47"/>
      <c r="E5" s="47"/>
      <c r="F5" s="47"/>
      <c r="G5" s="47"/>
      <c r="H5" s="47"/>
    </row>
    <row r="6" spans="1:9" x14ac:dyDescent="0.2">
      <c r="H6" s="5"/>
    </row>
    <row r="7" spans="1:9" s="7" customFormat="1" ht="63.75" x14ac:dyDescent="0.2">
      <c r="A7" s="6" t="s">
        <v>73</v>
      </c>
      <c r="B7" s="6" t="s">
        <v>74</v>
      </c>
      <c r="C7" s="6" t="s">
        <v>75</v>
      </c>
      <c r="D7" s="6" t="s">
        <v>76</v>
      </c>
      <c r="E7" s="6" t="s">
        <v>77</v>
      </c>
      <c r="F7" s="6" t="s">
        <v>78</v>
      </c>
      <c r="G7" s="6" t="s">
        <v>79</v>
      </c>
      <c r="H7" s="6" t="s">
        <v>156</v>
      </c>
    </row>
    <row r="8" spans="1:9" x14ac:dyDescent="0.2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</row>
    <row r="9" spans="1:9" ht="51" x14ac:dyDescent="0.2">
      <c r="A9" s="9" t="s">
        <v>80</v>
      </c>
      <c r="B9" s="10" t="s">
        <v>81</v>
      </c>
      <c r="C9" s="11">
        <v>52435.469000000005</v>
      </c>
      <c r="D9" s="11">
        <v>52435.469000000005</v>
      </c>
      <c r="E9" s="11">
        <v>10880.909319999999</v>
      </c>
      <c r="F9" s="17">
        <f t="shared" ref="F9:F43" si="0">C9-E9</f>
        <v>41554.559680000006</v>
      </c>
      <c r="G9" s="17">
        <f t="shared" ref="G9:G43" si="1">D9-E9</f>
        <v>41554.559680000006</v>
      </c>
      <c r="H9" s="17">
        <f t="shared" ref="H9:H43" si="2">IF(D9=0,0,(E9/D9)*100)</f>
        <v>20.751047959540511</v>
      </c>
      <c r="I9" s="12"/>
    </row>
    <row r="10" spans="1:9" ht="38.25" x14ac:dyDescent="0.2">
      <c r="A10" s="9" t="s">
        <v>82</v>
      </c>
      <c r="B10" s="10" t="s">
        <v>83</v>
      </c>
      <c r="C10" s="11">
        <v>29601.903000000002</v>
      </c>
      <c r="D10" s="11">
        <v>29601.903000000002</v>
      </c>
      <c r="E10" s="11">
        <v>11074.60482</v>
      </c>
      <c r="F10" s="17">
        <f t="shared" si="0"/>
        <v>18527.298180000002</v>
      </c>
      <c r="G10" s="17">
        <f t="shared" si="1"/>
        <v>18527.298180000002</v>
      </c>
      <c r="H10" s="17">
        <f t="shared" si="2"/>
        <v>37.411800248112428</v>
      </c>
      <c r="I10" s="12"/>
    </row>
    <row r="11" spans="1:9" ht="38.25" x14ac:dyDescent="0.2">
      <c r="A11" s="9" t="s">
        <v>84</v>
      </c>
      <c r="B11" s="10" t="s">
        <v>85</v>
      </c>
      <c r="C11" s="11">
        <v>40191.9</v>
      </c>
      <c r="D11" s="11">
        <v>40191.9</v>
      </c>
      <c r="E11" s="11">
        <v>18280.250780000002</v>
      </c>
      <c r="F11" s="17">
        <f t="shared" si="0"/>
        <v>21911.649219999999</v>
      </c>
      <c r="G11" s="17">
        <f t="shared" si="1"/>
        <v>21911.649219999999</v>
      </c>
      <c r="H11" s="17">
        <f t="shared" si="2"/>
        <v>45.482425015985811</v>
      </c>
      <c r="I11" s="12"/>
    </row>
    <row r="12" spans="1:9" ht="63.75" x14ac:dyDescent="0.2">
      <c r="A12" s="9" t="s">
        <v>86</v>
      </c>
      <c r="B12" s="10" t="s">
        <v>87</v>
      </c>
      <c r="C12" s="11">
        <v>161</v>
      </c>
      <c r="D12" s="11">
        <v>161</v>
      </c>
      <c r="E12" s="11">
        <v>107.09112000000002</v>
      </c>
      <c r="F12" s="17">
        <f t="shared" si="0"/>
        <v>53.908879999999982</v>
      </c>
      <c r="G12" s="17">
        <f t="shared" si="1"/>
        <v>53.908879999999982</v>
      </c>
      <c r="H12" s="17">
        <f t="shared" si="2"/>
        <v>66.516223602484487</v>
      </c>
      <c r="I12" s="12"/>
    </row>
    <row r="13" spans="1:9" ht="38.25" x14ac:dyDescent="0.2">
      <c r="A13" s="9" t="s">
        <v>88</v>
      </c>
      <c r="B13" s="10" t="s">
        <v>89</v>
      </c>
      <c r="C13" s="11">
        <v>5729</v>
      </c>
      <c r="D13" s="11">
        <v>5729</v>
      </c>
      <c r="E13" s="11">
        <v>3549.2479600000001</v>
      </c>
      <c r="F13" s="17">
        <f t="shared" si="0"/>
        <v>2179.7520399999999</v>
      </c>
      <c r="G13" s="17">
        <f t="shared" si="1"/>
        <v>2179.7520399999999</v>
      </c>
      <c r="H13" s="17">
        <f t="shared" si="2"/>
        <v>61.952312096351889</v>
      </c>
      <c r="I13" s="12"/>
    </row>
    <row r="14" spans="1:9" ht="38.25" x14ac:dyDescent="0.2">
      <c r="A14" s="9" t="s">
        <v>90</v>
      </c>
      <c r="B14" s="10" t="s">
        <v>91</v>
      </c>
      <c r="C14" s="11">
        <v>2060.1999999999998</v>
      </c>
      <c r="D14" s="11">
        <v>2060.1999999999998</v>
      </c>
      <c r="E14" s="11">
        <v>546.92399999999998</v>
      </c>
      <c r="F14" s="17">
        <f t="shared" si="0"/>
        <v>1513.2759999999998</v>
      </c>
      <c r="G14" s="17">
        <f t="shared" si="1"/>
        <v>1513.2759999999998</v>
      </c>
      <c r="H14" s="17">
        <f t="shared" si="2"/>
        <v>26.547131346471218</v>
      </c>
      <c r="I14" s="12"/>
    </row>
    <row r="15" spans="1:9" ht="25.5" x14ac:dyDescent="0.2">
      <c r="A15" s="9" t="s">
        <v>92</v>
      </c>
      <c r="B15" s="10" t="s">
        <v>93</v>
      </c>
      <c r="C15" s="11">
        <v>2903</v>
      </c>
      <c r="D15" s="11">
        <v>2903</v>
      </c>
      <c r="E15" s="11">
        <v>1530.4572900000001</v>
      </c>
      <c r="F15" s="17">
        <f t="shared" si="0"/>
        <v>1372.5427099999999</v>
      </c>
      <c r="G15" s="17">
        <f t="shared" si="1"/>
        <v>1372.5427099999999</v>
      </c>
      <c r="H15" s="17">
        <f t="shared" si="2"/>
        <v>52.719851532896996</v>
      </c>
      <c r="I15" s="12"/>
    </row>
    <row r="16" spans="1:9" ht="25.5" x14ac:dyDescent="0.2">
      <c r="A16" s="9" t="s">
        <v>94</v>
      </c>
      <c r="B16" s="10" t="s">
        <v>95</v>
      </c>
      <c r="C16" s="11">
        <v>640.26</v>
      </c>
      <c r="D16" s="11">
        <v>640.26</v>
      </c>
      <c r="E16" s="11">
        <v>626.33736999999996</v>
      </c>
      <c r="F16" s="17">
        <f t="shared" si="0"/>
        <v>13.922630000000026</v>
      </c>
      <c r="G16" s="17">
        <f t="shared" si="1"/>
        <v>13.922630000000026</v>
      </c>
      <c r="H16" s="17">
        <f t="shared" si="2"/>
        <v>97.825472464311375</v>
      </c>
      <c r="I16" s="12"/>
    </row>
    <row r="17" spans="1:9" x14ac:dyDescent="0.2">
      <c r="A17" s="9" t="s">
        <v>96</v>
      </c>
      <c r="B17" s="10" t="s">
        <v>97</v>
      </c>
      <c r="C17" s="11">
        <v>1405</v>
      </c>
      <c r="D17" s="11">
        <v>1405</v>
      </c>
      <c r="E17" s="11">
        <v>849.26368000000002</v>
      </c>
      <c r="F17" s="17">
        <f t="shared" si="0"/>
        <v>555.73631999999998</v>
      </c>
      <c r="G17" s="17">
        <f t="shared" si="1"/>
        <v>555.73631999999998</v>
      </c>
      <c r="H17" s="17">
        <f t="shared" si="2"/>
        <v>60.445813523131676</v>
      </c>
      <c r="I17" s="12"/>
    </row>
    <row r="18" spans="1:9" ht="25.5" x14ac:dyDescent="0.2">
      <c r="A18" s="9" t="s">
        <v>98</v>
      </c>
      <c r="B18" s="10" t="s">
        <v>99</v>
      </c>
      <c r="C18" s="11">
        <v>60</v>
      </c>
      <c r="D18" s="11">
        <v>60</v>
      </c>
      <c r="E18" s="11">
        <v>0</v>
      </c>
      <c r="F18" s="17">
        <f t="shared" si="0"/>
        <v>60</v>
      </c>
      <c r="G18" s="17">
        <f t="shared" si="1"/>
        <v>60</v>
      </c>
      <c r="H18" s="17">
        <f t="shared" si="2"/>
        <v>0</v>
      </c>
      <c r="I18" s="12"/>
    </row>
    <row r="19" spans="1:9" ht="25.5" x14ac:dyDescent="0.2">
      <c r="A19" s="9" t="s">
        <v>100</v>
      </c>
      <c r="B19" s="10" t="s">
        <v>101</v>
      </c>
      <c r="C19" s="11">
        <v>30</v>
      </c>
      <c r="D19" s="11">
        <v>30</v>
      </c>
      <c r="E19" s="11">
        <v>0</v>
      </c>
      <c r="F19" s="17">
        <f t="shared" si="0"/>
        <v>30</v>
      </c>
      <c r="G19" s="17">
        <f t="shared" si="1"/>
        <v>30</v>
      </c>
      <c r="H19" s="17">
        <f t="shared" si="2"/>
        <v>0</v>
      </c>
      <c r="I19" s="12"/>
    </row>
    <row r="20" spans="1:9" ht="51" x14ac:dyDescent="0.2">
      <c r="A20" s="9" t="s">
        <v>102</v>
      </c>
      <c r="B20" s="10" t="s">
        <v>103</v>
      </c>
      <c r="C20" s="11">
        <v>370</v>
      </c>
      <c r="D20" s="11">
        <v>370</v>
      </c>
      <c r="E20" s="11">
        <v>0</v>
      </c>
      <c r="F20" s="17">
        <f t="shared" si="0"/>
        <v>370</v>
      </c>
      <c r="G20" s="17">
        <f t="shared" si="1"/>
        <v>370</v>
      </c>
      <c r="H20" s="17">
        <f t="shared" si="2"/>
        <v>0</v>
      </c>
      <c r="I20" s="12"/>
    </row>
    <row r="21" spans="1:9" ht="63.75" x14ac:dyDescent="0.2">
      <c r="A21" s="9" t="s">
        <v>104</v>
      </c>
      <c r="B21" s="10" t="s">
        <v>105</v>
      </c>
      <c r="C21" s="11">
        <v>508.8</v>
      </c>
      <c r="D21" s="11">
        <v>508.8</v>
      </c>
      <c r="E21" s="11">
        <v>55.639120000000005</v>
      </c>
      <c r="F21" s="17">
        <f t="shared" si="0"/>
        <v>453.16088000000002</v>
      </c>
      <c r="G21" s="17">
        <f t="shared" si="1"/>
        <v>453.16088000000002</v>
      </c>
      <c r="H21" s="17">
        <f t="shared" si="2"/>
        <v>10.935361635220127</v>
      </c>
      <c r="I21" s="12"/>
    </row>
    <row r="22" spans="1:9" ht="51" x14ac:dyDescent="0.2">
      <c r="A22" s="9" t="s">
        <v>106</v>
      </c>
      <c r="B22" s="10" t="s">
        <v>107</v>
      </c>
      <c r="C22" s="11">
        <v>1111.7760000000001</v>
      </c>
      <c r="D22" s="11">
        <v>1111.7760000000001</v>
      </c>
      <c r="E22" s="11">
        <v>356.02646999999996</v>
      </c>
      <c r="F22" s="17">
        <f t="shared" si="0"/>
        <v>755.74953000000005</v>
      </c>
      <c r="G22" s="17">
        <f t="shared" si="1"/>
        <v>755.74953000000005</v>
      </c>
      <c r="H22" s="17">
        <f t="shared" si="2"/>
        <v>32.023219605388128</v>
      </c>
      <c r="I22" s="12"/>
    </row>
    <row r="23" spans="1:9" ht="38.25" x14ac:dyDescent="0.2">
      <c r="A23" s="9" t="s">
        <v>108</v>
      </c>
      <c r="B23" s="10" t="s">
        <v>109</v>
      </c>
      <c r="C23" s="11">
        <v>12905.383</v>
      </c>
      <c r="D23" s="11">
        <v>12905.383</v>
      </c>
      <c r="E23" s="11">
        <v>3476.1628300000002</v>
      </c>
      <c r="F23" s="17">
        <f t="shared" si="0"/>
        <v>9429.2201700000005</v>
      </c>
      <c r="G23" s="17">
        <f t="shared" si="1"/>
        <v>9429.2201700000005</v>
      </c>
      <c r="H23" s="17">
        <f t="shared" si="2"/>
        <v>26.935758745013615</v>
      </c>
      <c r="I23" s="12"/>
    </row>
    <row r="24" spans="1:9" ht="25.5" x14ac:dyDescent="0.2">
      <c r="A24" s="9" t="s">
        <v>110</v>
      </c>
      <c r="B24" s="10" t="s">
        <v>111</v>
      </c>
      <c r="C24" s="11">
        <v>3590.2870000000003</v>
      </c>
      <c r="D24" s="11">
        <v>3590.2870000000003</v>
      </c>
      <c r="E24" s="11">
        <v>224.01599999999999</v>
      </c>
      <c r="F24" s="17">
        <f t="shared" si="0"/>
        <v>3366.2710000000002</v>
      </c>
      <c r="G24" s="17">
        <f t="shared" si="1"/>
        <v>3366.2710000000002</v>
      </c>
      <c r="H24" s="17">
        <f t="shared" si="2"/>
        <v>6.2395011875095214</v>
      </c>
      <c r="I24" s="12"/>
    </row>
    <row r="25" spans="1:9" ht="25.5" x14ac:dyDescent="0.2">
      <c r="A25" s="9" t="s">
        <v>112</v>
      </c>
      <c r="B25" s="10" t="s">
        <v>113</v>
      </c>
      <c r="C25" s="11">
        <v>11465.532000000001</v>
      </c>
      <c r="D25" s="11">
        <v>11465.532000000001</v>
      </c>
      <c r="E25" s="11">
        <v>3057.5749899999992</v>
      </c>
      <c r="F25" s="17">
        <f t="shared" si="0"/>
        <v>8407.9570100000019</v>
      </c>
      <c r="G25" s="17">
        <f t="shared" si="1"/>
        <v>8407.9570100000019</v>
      </c>
      <c r="H25" s="17">
        <f t="shared" si="2"/>
        <v>26.667537014418507</v>
      </c>
      <c r="I25" s="12"/>
    </row>
    <row r="26" spans="1:9" ht="38.25" x14ac:dyDescent="0.2">
      <c r="A26" s="9" t="s">
        <v>114</v>
      </c>
      <c r="B26" s="10" t="s">
        <v>115</v>
      </c>
      <c r="C26" s="11">
        <v>13499.220000000001</v>
      </c>
      <c r="D26" s="11">
        <v>13499.220000000001</v>
      </c>
      <c r="E26" s="11">
        <v>11664.576590000001</v>
      </c>
      <c r="F26" s="17">
        <f t="shared" si="0"/>
        <v>1834.6434100000006</v>
      </c>
      <c r="G26" s="17">
        <f t="shared" si="1"/>
        <v>1834.6434100000006</v>
      </c>
      <c r="H26" s="17">
        <f t="shared" si="2"/>
        <v>86.409263572265644</v>
      </c>
      <c r="I26" s="12"/>
    </row>
    <row r="27" spans="1:9" x14ac:dyDescent="0.2">
      <c r="A27" s="9" t="s">
        <v>116</v>
      </c>
      <c r="B27" s="10" t="s">
        <v>117</v>
      </c>
      <c r="C27" s="11">
        <v>29771.366000000002</v>
      </c>
      <c r="D27" s="11">
        <v>29771.366000000002</v>
      </c>
      <c r="E27" s="11">
        <v>9943.5726400000003</v>
      </c>
      <c r="F27" s="17">
        <f t="shared" si="0"/>
        <v>19827.793360000003</v>
      </c>
      <c r="G27" s="17">
        <f t="shared" si="1"/>
        <v>19827.793360000003</v>
      </c>
      <c r="H27" s="17">
        <f t="shared" si="2"/>
        <v>33.399786358476128</v>
      </c>
      <c r="I27" s="12"/>
    </row>
    <row r="28" spans="1:9" x14ac:dyDescent="0.2">
      <c r="A28" s="9" t="s">
        <v>118</v>
      </c>
      <c r="B28" s="10" t="s">
        <v>119</v>
      </c>
      <c r="C28" s="11">
        <v>198.999</v>
      </c>
      <c r="D28" s="11">
        <v>198.999</v>
      </c>
      <c r="E28" s="11">
        <v>0</v>
      </c>
      <c r="F28" s="17">
        <f t="shared" si="0"/>
        <v>198.999</v>
      </c>
      <c r="G28" s="17">
        <f t="shared" si="1"/>
        <v>198.999</v>
      </c>
      <c r="H28" s="17">
        <f t="shared" si="2"/>
        <v>0</v>
      </c>
      <c r="I28" s="12"/>
    </row>
    <row r="29" spans="1:9" ht="38.25" x14ac:dyDescent="0.2">
      <c r="A29" s="9" t="s">
        <v>120</v>
      </c>
      <c r="B29" s="10" t="s">
        <v>121</v>
      </c>
      <c r="C29" s="11">
        <v>587.20000000000005</v>
      </c>
      <c r="D29" s="11">
        <v>587.20000000000005</v>
      </c>
      <c r="E29" s="11">
        <v>0</v>
      </c>
      <c r="F29" s="17">
        <f t="shared" si="0"/>
        <v>587.20000000000005</v>
      </c>
      <c r="G29" s="17">
        <f t="shared" si="1"/>
        <v>587.20000000000005</v>
      </c>
      <c r="H29" s="17">
        <f t="shared" si="2"/>
        <v>0</v>
      </c>
      <c r="I29" s="12"/>
    </row>
    <row r="30" spans="1:9" ht="25.5" x14ac:dyDescent="0.2">
      <c r="A30" s="9" t="s">
        <v>122</v>
      </c>
      <c r="B30" s="10" t="s">
        <v>123</v>
      </c>
      <c r="C30" s="11">
        <v>138.62700000000001</v>
      </c>
      <c r="D30" s="11">
        <v>138.62700000000001</v>
      </c>
      <c r="E30" s="11">
        <v>78.453000000000003</v>
      </c>
      <c r="F30" s="17">
        <f t="shared" si="0"/>
        <v>60.174000000000007</v>
      </c>
      <c r="G30" s="17">
        <f t="shared" si="1"/>
        <v>60.174000000000007</v>
      </c>
      <c r="H30" s="17">
        <f t="shared" si="2"/>
        <v>56.592871518535347</v>
      </c>
      <c r="I30" s="12"/>
    </row>
    <row r="31" spans="1:9" x14ac:dyDescent="0.2">
      <c r="A31" s="9" t="s">
        <v>124</v>
      </c>
      <c r="B31" s="10" t="s">
        <v>125</v>
      </c>
      <c r="C31" s="11">
        <v>7079.2759999999998</v>
      </c>
      <c r="D31" s="11">
        <v>7079.2759999999998</v>
      </c>
      <c r="E31" s="11">
        <v>2595.0118700000003</v>
      </c>
      <c r="F31" s="17">
        <f t="shared" si="0"/>
        <v>4484.2641299999996</v>
      </c>
      <c r="G31" s="17">
        <f t="shared" si="1"/>
        <v>4484.2641299999996</v>
      </c>
      <c r="H31" s="17">
        <f t="shared" si="2"/>
        <v>36.656458513554213</v>
      </c>
      <c r="I31" s="12"/>
    </row>
    <row r="32" spans="1:9" ht="25.5" x14ac:dyDescent="0.2">
      <c r="A32" s="9" t="s">
        <v>126</v>
      </c>
      <c r="B32" s="10" t="s">
        <v>127</v>
      </c>
      <c r="C32" s="11">
        <v>445</v>
      </c>
      <c r="D32" s="11">
        <v>445</v>
      </c>
      <c r="E32" s="11">
        <v>0</v>
      </c>
      <c r="F32" s="17">
        <f t="shared" si="0"/>
        <v>445</v>
      </c>
      <c r="G32" s="17">
        <f t="shared" si="1"/>
        <v>445</v>
      </c>
      <c r="H32" s="17">
        <f t="shared" si="2"/>
        <v>0</v>
      </c>
      <c r="I32" s="12"/>
    </row>
    <row r="33" spans="1:9" ht="25.5" x14ac:dyDescent="0.2">
      <c r="A33" s="9" t="s">
        <v>128</v>
      </c>
      <c r="B33" s="10" t="s">
        <v>129</v>
      </c>
      <c r="C33" s="11">
        <v>8908.0310000000009</v>
      </c>
      <c r="D33" s="11">
        <v>8908.0310000000009</v>
      </c>
      <c r="E33" s="11">
        <v>2618.0321200000003</v>
      </c>
      <c r="F33" s="17">
        <f t="shared" si="0"/>
        <v>6289.998880000001</v>
      </c>
      <c r="G33" s="17">
        <f t="shared" si="1"/>
        <v>6289.998880000001</v>
      </c>
      <c r="H33" s="17">
        <f t="shared" si="2"/>
        <v>29.389571275627581</v>
      </c>
      <c r="I33" s="12"/>
    </row>
    <row r="34" spans="1:9" x14ac:dyDescent="0.2">
      <c r="A34" s="9" t="s">
        <v>130</v>
      </c>
      <c r="B34" s="10" t="s">
        <v>131</v>
      </c>
      <c r="C34" s="11">
        <v>100</v>
      </c>
      <c r="D34" s="11">
        <v>100</v>
      </c>
      <c r="E34" s="11">
        <v>0</v>
      </c>
      <c r="F34" s="17">
        <f t="shared" si="0"/>
        <v>100</v>
      </c>
      <c r="G34" s="17">
        <f t="shared" si="1"/>
        <v>100</v>
      </c>
      <c r="H34" s="17">
        <f t="shared" si="2"/>
        <v>0</v>
      </c>
      <c r="I34" s="12"/>
    </row>
    <row r="35" spans="1:9" x14ac:dyDescent="0.2">
      <c r="A35" s="9" t="s">
        <v>132</v>
      </c>
      <c r="B35" s="10" t="s">
        <v>133</v>
      </c>
      <c r="C35" s="11">
        <v>495.35</v>
      </c>
      <c r="D35" s="11">
        <v>495.35</v>
      </c>
      <c r="E35" s="11">
        <v>98.67</v>
      </c>
      <c r="F35" s="17">
        <f t="shared" si="0"/>
        <v>396.68</v>
      </c>
      <c r="G35" s="17">
        <f t="shared" si="1"/>
        <v>396.68</v>
      </c>
      <c r="H35" s="17">
        <f t="shared" si="2"/>
        <v>19.919249015847377</v>
      </c>
      <c r="I35" s="12"/>
    </row>
    <row r="36" spans="1:9" ht="38.25" x14ac:dyDescent="0.2">
      <c r="A36" s="9" t="s">
        <v>134</v>
      </c>
      <c r="B36" s="10" t="s">
        <v>135</v>
      </c>
      <c r="C36" s="11">
        <v>2788.7660000000001</v>
      </c>
      <c r="D36" s="11">
        <v>2788.7660000000001</v>
      </c>
      <c r="E36" s="11">
        <v>2641.9</v>
      </c>
      <c r="F36" s="17">
        <f t="shared" si="0"/>
        <v>146.86599999999999</v>
      </c>
      <c r="G36" s="17">
        <f t="shared" si="1"/>
        <v>146.86599999999999</v>
      </c>
      <c r="H36" s="17">
        <f t="shared" si="2"/>
        <v>94.733656391393183</v>
      </c>
      <c r="I36" s="12"/>
    </row>
    <row r="37" spans="1:9" ht="25.5" x14ac:dyDescent="0.2">
      <c r="A37" s="9" t="s">
        <v>136</v>
      </c>
      <c r="B37" s="10" t="s">
        <v>137</v>
      </c>
      <c r="C37" s="11">
        <v>2037.9059999999999</v>
      </c>
      <c r="D37" s="11">
        <v>2037.9059999999999</v>
      </c>
      <c r="E37" s="11">
        <v>467.41374999999999</v>
      </c>
      <c r="F37" s="17">
        <f t="shared" si="0"/>
        <v>1570.49225</v>
      </c>
      <c r="G37" s="17">
        <f t="shared" si="1"/>
        <v>1570.49225</v>
      </c>
      <c r="H37" s="17">
        <f t="shared" si="2"/>
        <v>22.935981836257412</v>
      </c>
      <c r="I37" s="12"/>
    </row>
    <row r="38" spans="1:9" ht="25.5" x14ac:dyDescent="0.2">
      <c r="A38" s="9" t="s">
        <v>138</v>
      </c>
      <c r="B38" s="10" t="s">
        <v>137</v>
      </c>
      <c r="C38" s="11">
        <v>10317.755999999999</v>
      </c>
      <c r="D38" s="11">
        <v>10317.755999999999</v>
      </c>
      <c r="E38" s="11">
        <v>3381.1001000000006</v>
      </c>
      <c r="F38" s="17">
        <f t="shared" si="0"/>
        <v>6936.6558999999988</v>
      </c>
      <c r="G38" s="17">
        <f t="shared" si="1"/>
        <v>6936.6558999999988</v>
      </c>
      <c r="H38" s="17">
        <f t="shared" si="2"/>
        <v>32.769723377835263</v>
      </c>
      <c r="I38" s="12"/>
    </row>
    <row r="39" spans="1:9" x14ac:dyDescent="0.2">
      <c r="A39" s="9" t="s">
        <v>139</v>
      </c>
      <c r="B39" s="10" t="s">
        <v>117</v>
      </c>
      <c r="C39" s="11">
        <v>2779</v>
      </c>
      <c r="D39" s="11">
        <v>2779</v>
      </c>
      <c r="E39" s="11">
        <v>1158.98</v>
      </c>
      <c r="F39" s="17">
        <f t="shared" si="0"/>
        <v>1620.02</v>
      </c>
      <c r="G39" s="17">
        <f t="shared" si="1"/>
        <v>1620.02</v>
      </c>
      <c r="H39" s="17">
        <f t="shared" si="2"/>
        <v>41.704929830874413</v>
      </c>
      <c r="I39" s="12"/>
    </row>
    <row r="40" spans="1:9" ht="25.5" x14ac:dyDescent="0.2">
      <c r="A40" s="9" t="s">
        <v>140</v>
      </c>
      <c r="B40" s="10" t="s">
        <v>141</v>
      </c>
      <c r="C40" s="11">
        <v>600</v>
      </c>
      <c r="D40" s="11">
        <v>600</v>
      </c>
      <c r="E40" s="11">
        <v>299.67450000000002</v>
      </c>
      <c r="F40" s="17">
        <f t="shared" si="0"/>
        <v>300.32549999999998</v>
      </c>
      <c r="G40" s="17">
        <f t="shared" si="1"/>
        <v>300.32549999999998</v>
      </c>
      <c r="H40" s="17">
        <f t="shared" si="2"/>
        <v>49.945750000000004</v>
      </c>
      <c r="I40" s="12"/>
    </row>
    <row r="41" spans="1:9" ht="25.5" x14ac:dyDescent="0.2">
      <c r="A41" s="9" t="s">
        <v>142</v>
      </c>
      <c r="B41" s="10" t="s">
        <v>137</v>
      </c>
      <c r="C41" s="11">
        <v>2677.1640000000002</v>
      </c>
      <c r="D41" s="11">
        <v>2677.1640000000002</v>
      </c>
      <c r="E41" s="11">
        <v>668.9511</v>
      </c>
      <c r="F41" s="17">
        <f t="shared" si="0"/>
        <v>2008.2129000000002</v>
      </c>
      <c r="G41" s="17">
        <f t="shared" si="1"/>
        <v>2008.2129000000002</v>
      </c>
      <c r="H41" s="17">
        <f t="shared" si="2"/>
        <v>24.987303728871296</v>
      </c>
      <c r="I41" s="12"/>
    </row>
    <row r="42" spans="1:9" x14ac:dyDescent="0.2">
      <c r="A42" s="9" t="s">
        <v>143</v>
      </c>
      <c r="B42" s="10" t="s">
        <v>144</v>
      </c>
      <c r="C42" s="11">
        <v>100</v>
      </c>
      <c r="D42" s="11">
        <v>100</v>
      </c>
      <c r="E42" s="11">
        <v>0</v>
      </c>
      <c r="F42" s="16">
        <f t="shared" si="0"/>
        <v>100</v>
      </c>
      <c r="G42" s="16">
        <f t="shared" si="1"/>
        <v>100</v>
      </c>
      <c r="H42" s="16">
        <f t="shared" si="2"/>
        <v>0</v>
      </c>
      <c r="I42" s="12"/>
    </row>
    <row r="43" spans="1:9" s="41" customFormat="1" ht="18" customHeight="1" x14ac:dyDescent="0.2">
      <c r="A43" s="48" t="s">
        <v>145</v>
      </c>
      <c r="B43" s="49" t="s">
        <v>146</v>
      </c>
      <c r="C43" s="50">
        <v>247693.17100000006</v>
      </c>
      <c r="D43" s="50">
        <v>247693.17100000006</v>
      </c>
      <c r="E43" s="50">
        <v>90230.841419999982</v>
      </c>
      <c r="F43" s="50">
        <f t="shared" si="0"/>
        <v>157462.32958000008</v>
      </c>
      <c r="G43" s="50">
        <f t="shared" si="1"/>
        <v>157462.32958000008</v>
      </c>
      <c r="H43" s="50">
        <f t="shared" si="2"/>
        <v>36.428473605354242</v>
      </c>
      <c r="I43" s="40"/>
    </row>
    <row r="45" spans="1:9" x14ac:dyDescent="0.2">
      <c r="A45" s="13"/>
      <c r="B45" s="14"/>
      <c r="C45" s="12"/>
      <c r="D45" s="12"/>
      <c r="E45" s="12"/>
      <c r="F45" s="12"/>
      <c r="G45" s="12"/>
      <c r="H45" s="12"/>
    </row>
    <row r="53" hidden="1" x14ac:dyDescent="0.2"/>
  </sheetData>
  <mergeCells count="4">
    <mergeCell ref="A2:H2"/>
    <mergeCell ref="A5:H5"/>
    <mergeCell ref="A3:H3"/>
    <mergeCell ref="A4:H4"/>
  </mergeCells>
  <conditionalFormatting sqref="A9:A43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9:B43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9:C43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9:D43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9:E43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9:F43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9:G43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9:H43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45:A54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45:B54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45:C54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45:D54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45:E54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45:F54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45:G54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45:H54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2026-05-01T05:41:04Z</cp:lastPrinted>
  <dcterms:created xsi:type="dcterms:W3CDTF">2026-05-01T05:06:53Z</dcterms:created>
  <dcterms:modified xsi:type="dcterms:W3CDTF">2026-05-01T05:41:16Z</dcterms:modified>
</cp:coreProperties>
</file>