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OTDEL\БЮДЖЕТ на 2025 рік\ВИКОНАННЯ БЮДЖЕТУ 2025 рік\Виконання місцевого бюджету за 2025 рік\"/>
    </mc:Choice>
  </mc:AlternateContent>
  <xr:revisionPtr revIDLastSave="0" documentId="13_ncr:1_{04DF3656-643C-4785-9945-0E3B33F77312}" xr6:coauthVersionLast="46" xr6:coauthVersionMax="46" xr10:uidLastSave="{00000000-0000-0000-0000-000000000000}"/>
  <bookViews>
    <workbookView xWindow="-120" yWindow="-120" windowWidth="29040" windowHeight="15840" activeTab="1" xr2:uid="{E27FBA55-5FFC-4609-A852-2FA01AC761A4}"/>
  </bookViews>
  <sheets>
    <sheet name="доходи ЗФ" sheetId="10" r:id="rId1"/>
    <sheet name="доходи СФ" sheetId="12" r:id="rId2"/>
    <sheet name="видатки ЗФ" sheetId="13" r:id="rId3"/>
    <sheet name="видатки СФ" sheetId="14" r:id="rId4"/>
    <sheet name="порівнял аналіз доходів ЗФ" sheetId="3" r:id="rId5"/>
    <sheet name="порівнял аналіз доходів СФ" sheetId="4" r:id="rId6"/>
  </sheets>
  <definedNames>
    <definedName name="CREXPORT" localSheetId="2">#REF!</definedName>
    <definedName name="CREXPORT" localSheetId="3">#REF!</definedName>
    <definedName name="CREXPORT">#REF!</definedName>
    <definedName name="n" localSheetId="2" hidden="1">{#N/A,#N/A,FALSE,"Лист4"}</definedName>
    <definedName name="n" localSheetId="3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2" hidden="1">{#N/A,#N/A,FALSE,"Лист4"}</definedName>
    <definedName name="wrn.Інструкція." localSheetId="3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а" localSheetId="2" hidden="1">{#N/A,#N/A,FALSE,"Лист4"}</definedName>
    <definedName name="аа" localSheetId="3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2" hidden="1">{#N/A,#N/A,FALSE,"Лист4"}</definedName>
    <definedName name="аааа" localSheetId="3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2" hidden="1">{#N/A,#N/A,FALSE,"Лист4"}</definedName>
    <definedName name="ааааа" localSheetId="3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2" hidden="1">{#N/A,#N/A,FALSE,"Лист4"}</definedName>
    <definedName name="аааг" localSheetId="3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2" hidden="1">{#N/A,#N/A,FALSE,"Лист4"}</definedName>
    <definedName name="ааао" localSheetId="3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2" hidden="1">{#N/A,#N/A,FALSE,"Лист4"}</definedName>
    <definedName name="аааоркк" localSheetId="3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2" hidden="1">{#N/A,#N/A,FALSE,"Лист4"}</definedName>
    <definedName name="аарр" localSheetId="3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2" hidden="1">{#N/A,#N/A,FALSE,"Лист4"}</definedName>
    <definedName name="амп" localSheetId="3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2" hidden="1">{#N/A,#N/A,FALSE,"Лист4"}</definedName>
    <definedName name="ап" localSheetId="3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2" hidden="1">{#N/A,#N/A,FALSE,"Лист4"}</definedName>
    <definedName name="апро" localSheetId="3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2" hidden="1">{#N/A,#N/A,FALSE,"Лист4"}</definedName>
    <definedName name="аунуну" localSheetId="3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2" hidden="1">{#N/A,#N/A,FALSE,"Лист4"}</definedName>
    <definedName name="бб" localSheetId="3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2" hidden="1">{#N/A,#N/A,FALSE,"Лист4"}</definedName>
    <definedName name="вап" localSheetId="3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2" hidden="1">{#N/A,#N/A,FALSE,"Лист4"}</definedName>
    <definedName name="вапа" localSheetId="3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2" hidden="1">{#N/A,#N/A,FALSE,"Лист4"}</definedName>
    <definedName name="вапро" localSheetId="3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2" hidden="1">{#N/A,#N/A,FALSE,"Лист4"}</definedName>
    <definedName name="вау" localSheetId="3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2" hidden="1">{#N/A,#N/A,FALSE,"Лист4"}</definedName>
    <definedName name="вв" localSheetId="3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2" hidden="1">{#N/A,#N/A,FALSE,"Лист4"}</definedName>
    <definedName name="вмр" localSheetId="3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2" hidden="1">{#N/A,#N/A,FALSE,"Лист4"}</definedName>
    <definedName name="вруу" localSheetId="3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2" hidden="1">{#N/A,#N/A,FALSE,"Лист4"}</definedName>
    <definedName name="врууунуууу" localSheetId="3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2" hidden="1">{#N/A,#N/A,FALSE,"Лист4"}</definedName>
    <definedName name="гг" localSheetId="3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2" hidden="1">{#N/A,#N/A,FALSE,"Лист4"}</definedName>
    <definedName name="ггг" localSheetId="3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2" hidden="1">{#N/A,#N/A,FALSE,"Лист4"}</definedName>
    <definedName name="гго" localSheetId="3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2" hidden="1">{#N/A,#N/A,FALSE,"Лист4"}</definedName>
    <definedName name="ггшшз" localSheetId="3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2" hidden="1">{#N/A,#N/A,FALSE,"Лист4"}</definedName>
    <definedName name="гр" localSheetId="3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2" hidden="1">{#N/A,#N/A,FALSE,"Лист4"}</definedName>
    <definedName name="ддд" localSheetId="3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2" hidden="1">{#N/A,#N/A,FALSE,"Лист4"}</definedName>
    <definedName name="е" localSheetId="3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2" hidden="1">{#N/A,#N/A,FALSE,"Лист4"}</definedName>
    <definedName name="ее" localSheetId="3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2" hidden="1">{#N/A,#N/A,FALSE,"Лист4"}</definedName>
    <definedName name="ееге" localSheetId="3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2" hidden="1">{#N/A,#N/A,FALSE,"Лист4"}</definedName>
    <definedName name="еегше" localSheetId="3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2" hidden="1">{#N/A,#N/A,FALSE,"Лист4"}</definedName>
    <definedName name="еее" localSheetId="3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2" hidden="1">{#N/A,#N/A,FALSE,"Лист4"}</definedName>
    <definedName name="ееее" localSheetId="3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2" hidden="1">{#N/A,#N/A,FALSE,"Лист4"}</definedName>
    <definedName name="ееекк" localSheetId="3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2" hidden="1">{#N/A,#N/A,FALSE,"Лист4"}</definedName>
    <definedName name="еепке" localSheetId="3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2" hidden="1">{#N/A,#N/A,FALSE,"Лист4"}</definedName>
    <definedName name="еешгег" localSheetId="3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2" hidden="1">{#N/A,#N/A,FALSE,"Лист4"}</definedName>
    <definedName name="екуц" localSheetId="3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2" hidden="1">{#N/A,#N/A,FALSE,"Лист4"}</definedName>
    <definedName name="енг" localSheetId="3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2" hidden="1">{#N/A,#N/A,FALSE,"Лист4"}</definedName>
    <definedName name="епи" localSheetId="3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2" hidden="1">{#N/A,#N/A,FALSE,"Лист4"}</definedName>
    <definedName name="ешгееуу" localSheetId="3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2" hidden="1">{#N/A,#N/A,FALSE,"Лист4"}</definedName>
    <definedName name="є" localSheetId="3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2" hidden="1">{#N/A,#N/A,FALSE,"Лист4"}</definedName>
    <definedName name="єєє" localSheetId="3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2" hidden="1">{#N/A,#N/A,FALSE,"Лист4"}</definedName>
    <definedName name="єєєєєє" localSheetId="3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2" hidden="1">{#N/A,#N/A,FALSE,"Лист4"}</definedName>
    <definedName name="єєєєєєє" localSheetId="3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2" hidden="1">{#N/A,#N/A,FALSE,"Лист4"}</definedName>
    <definedName name="єєєєєєє." localSheetId="3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2" hidden="1">{#N/A,#N/A,FALSE,"Лист4"}</definedName>
    <definedName name="єж" localSheetId="3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2" hidden="1">{#N/A,#N/A,FALSE,"Лист4"}</definedName>
    <definedName name="жж" localSheetId="3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2" hidden="1">{#N/A,#N/A,FALSE,"Лист4"}</definedName>
    <definedName name="житлове" localSheetId="3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ЗФ'!$6:$7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2" hidden="1">{#N/A,#N/A,FALSE,"Лист4"}</definedName>
    <definedName name="здоровя" localSheetId="3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2" hidden="1">{#N/A,#N/A,FALSE,"Лист4"}</definedName>
    <definedName name="зз" localSheetId="3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2" hidden="1">{#N/A,#N/A,FALSE,"Лист4"}</definedName>
    <definedName name="ззз" localSheetId="3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2" hidden="1">{#N/A,#N/A,FALSE,"Лист4"}</definedName>
    <definedName name="зззз" localSheetId="3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2" hidden="1">{#N/A,#N/A,FALSE,"Лист4"}</definedName>
    <definedName name="ип" localSheetId="3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2" hidden="1">{#N/A,#N/A,FALSE,"Лист4"}</definedName>
    <definedName name="ить" localSheetId="3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2" hidden="1">{#N/A,#N/A,FALSE,"Лист4"}</definedName>
    <definedName name="іваа" localSheetId="3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2" hidden="1">{#N/A,#N/A,FALSE,"Лист4"}</definedName>
    <definedName name="івап" localSheetId="3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2" hidden="1">{#N/A,#N/A,FALSE,"Лист4"}</definedName>
    <definedName name="івпа" localSheetId="3" hidden="1">{#N/A,#N/A,FALSE,"Лист4"}</definedName>
    <definedName name="івпа" localSheetId="5" hidden="1">{#N/A,#N/A,FALSE,"Лист4"}</definedName>
    <definedName name="івпа" hidden="1">{#N/A,#N/A,FALSE,"Лист4"}</definedName>
    <definedName name="іі" localSheetId="2" hidden="1">{#N/A,#N/A,FALSE,"Лист4"}</definedName>
    <definedName name="іі" localSheetId="3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2" hidden="1">{#N/A,#N/A,FALSE,"Лист4"}</definedName>
    <definedName name="ііі" localSheetId="3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2" hidden="1">{#N/A,#N/A,FALSE,"Лист4"}</definedName>
    <definedName name="іііі" localSheetId="3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2" hidden="1">{#N/A,#N/A,FALSE,"Лист4"}</definedName>
    <definedName name="ін" localSheetId="3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2" hidden="1">{#N/A,#N/A,FALSE,"Лист4"}</definedName>
    <definedName name="інші" localSheetId="3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2" hidden="1">{#N/A,#N/A,FALSE,"Лист4"}</definedName>
    <definedName name="іук" localSheetId="3" hidden="1">{#N/A,#N/A,FALSE,"Лист4"}</definedName>
    <definedName name="іук" localSheetId="5" hidden="1">{#N/A,#N/A,FALSE,"Лист4"}</definedName>
    <definedName name="іук" hidden="1">{#N/A,#N/A,FALSE,"Лист4"}</definedName>
    <definedName name="їжд" localSheetId="2" hidden="1">{#N/A,#N/A,FALSE,"Лист4"}</definedName>
    <definedName name="їжд" localSheetId="3" hidden="1">{#N/A,#N/A,FALSE,"Лист4"}</definedName>
    <definedName name="їжд" localSheetId="5" hidden="1">{#N/A,#N/A,FALSE,"Лист4"}</definedName>
    <definedName name="їжд" hidden="1">{#N/A,#N/A,FALSE,"Лист4"}</definedName>
    <definedName name="ййй" localSheetId="2" hidden="1">{#N/A,#N/A,FALSE,"Лист4"}</definedName>
    <definedName name="ййй" localSheetId="3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2" hidden="1">{#N/A,#N/A,FALSE,"Лист4"}</definedName>
    <definedName name="йййй" localSheetId="3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2" hidden="1">{#N/A,#N/A,FALSE,"Лист4"}</definedName>
    <definedName name="кгккг" localSheetId="3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2" hidden="1">{#N/A,#N/A,FALSE,"Лист4"}</definedName>
    <definedName name="кгкккк" localSheetId="3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2" hidden="1">{#N/A,#N/A,FALSE,"Лист4"}</definedName>
    <definedName name="кеуц" localSheetId="3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2" hidden="1">{#N/A,#N/A,FALSE,"Лист4"}</definedName>
    <definedName name="кк" localSheetId="3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2" hidden="1">{#N/A,#N/A,FALSE,"Лист4"}</definedName>
    <definedName name="ккгкг" localSheetId="3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2" hidden="1">{#N/A,#N/A,FALSE,"Лист4"}</definedName>
    <definedName name="ккк" localSheetId="3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2" hidden="1">{#N/A,#N/A,FALSE,"Лист4"}</definedName>
    <definedName name="кккну" localSheetId="3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2" hidden="1">{#N/A,#N/A,FALSE,"Лист4"}</definedName>
    <definedName name="кккокк" localSheetId="3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2" hidden="1">{#N/A,#N/A,FALSE,"Лист4"}</definedName>
    <definedName name="комунальне" localSheetId="3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2" hidden="1">{#N/A,#N/A,FALSE,"Лист4"}</definedName>
    <definedName name="кот" localSheetId="3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2" hidden="1">{#N/A,#N/A,FALSE,"Лист4"}</definedName>
    <definedName name="кр" localSheetId="3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2" hidden="1">{#N/A,#N/A,FALSE,"Лист4"}</definedName>
    <definedName name="культура" localSheetId="3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2" hidden="1">{#N/A,#N/A,FALSE,"Лист4"}</definedName>
    <definedName name="л" localSheetId="3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2" hidden="1">{#N/A,#N/A,FALSE,"Лист4"}</definedName>
    <definedName name="лд" localSheetId="3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2" hidden="1">{#N/A,#N/A,FALSE,"Лист4"}</definedName>
    <definedName name="лл" localSheetId="3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2" hidden="1">{#N/A,#N/A,FALSE,"Лист4"}</definedName>
    <definedName name="ллл" localSheetId="3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2" hidden="1">{#N/A,#N/A,FALSE,"Лист4"}</definedName>
    <definedName name="лнпллпл" localSheetId="3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2" hidden="1">{#N/A,#N/A,FALSE,"Лист4"}</definedName>
    <definedName name="мак" localSheetId="3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2" hidden="1">{#N/A,#N/A,FALSE,"Лист4"}</definedName>
    <definedName name="мм" localSheetId="3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2" hidden="1">{#N/A,#N/A,FALSE,"Лист4"}</definedName>
    <definedName name="мпе" localSheetId="3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2" hidden="1">{#N/A,#N/A,FALSE,"Лист4"}</definedName>
    <definedName name="нгнгш" localSheetId="3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2" hidden="1">{#N/A,#N/A,FALSE,"Лист4"}</definedName>
    <definedName name="ннггг" localSheetId="3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2" hidden="1">{#N/A,#N/A,FALSE,"Лист4"}</definedName>
    <definedName name="ннн" localSheetId="3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2" hidden="1">{#N/A,#N/A,FALSE,"Лист4"}</definedName>
    <definedName name="ннннг" localSheetId="3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2" hidden="1">{#N/A,#N/A,FALSE,"Лист4"}</definedName>
    <definedName name="нннннннн" localSheetId="3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2" hidden="1">{#N/A,#N/A,FALSE,"Лист4"}</definedName>
    <definedName name="ннншенгке" localSheetId="3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2" hidden="1">{#N/A,#N/A,FALSE,"Лист4"}</definedName>
    <definedName name="нншекк" localSheetId="3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2" hidden="1">{#N/A,#N/A,FALSE,"Лист4"}</definedName>
    <definedName name="оггне" localSheetId="3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2" hidden="1">{#N/A,#N/A,FALSE,"Лист4"}</definedName>
    <definedName name="оллд" localSheetId="3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2" hidden="1">{#N/A,#N/A,FALSE,"Лист4"}</definedName>
    <definedName name="олол" localSheetId="3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2" hidden="1">{#N/A,#N/A,FALSE,"Лист4"}</definedName>
    <definedName name="оо" localSheetId="3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2" hidden="1">{#N/A,#N/A,FALSE,"Лист4"}</definedName>
    <definedName name="ооо" localSheetId="3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2" hidden="1">{#N/A,#N/A,FALSE,"Лист4"}</definedName>
    <definedName name="орнг" localSheetId="3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2" hidden="1">{#N/A,#N/A,FALSE,"Лист4"}</definedName>
    <definedName name="освіта" localSheetId="3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2" hidden="1">{#N/A,#N/A,FALSE,"Лист4"}</definedName>
    <definedName name="ох" localSheetId="3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2" hidden="1">{#N/A,#N/A,FALSE,"Лист4"}</definedName>
    <definedName name="охорона" localSheetId="3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2" hidden="1">{#N/A,#N/A,FALSE,"Лист4"}</definedName>
    <definedName name="плеккккг" localSheetId="3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2" hidden="1">{#N/A,#N/A,FALSE,"Лист4"}</definedName>
    <definedName name="пллеелш" localSheetId="3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2" hidden="1">{#N/A,#N/A,FALSE,"Лист4"}</definedName>
    <definedName name="попле" localSheetId="3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2" hidden="1">{#N/A,#N/A,FALSE,"Лист4"}</definedName>
    <definedName name="пот" localSheetId="3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2" hidden="1">{#N/A,#N/A,FALSE,"Лист4"}</definedName>
    <definedName name="пп" localSheetId="3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2" hidden="1">{#N/A,#N/A,FALSE,"Лист4"}</definedName>
    <definedName name="ппше" localSheetId="3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2" hidden="1">{#N/A,#N/A,FALSE,"Лист4"}</definedName>
    <definedName name="про" localSheetId="3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2" hidden="1">{#N/A,#N/A,FALSE,"Лист4"}</definedName>
    <definedName name="прое" localSheetId="3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2" hidden="1">{#N/A,#N/A,FALSE,"Лист4"}</definedName>
    <definedName name="прои" localSheetId="3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2" hidden="1">{#N/A,#N/A,FALSE,"Лист4"}</definedName>
    <definedName name="рор" localSheetId="3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2" hidden="1">{#N/A,#N/A,FALSE,"Лист4"}</definedName>
    <definedName name="роро" localSheetId="3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2" hidden="1">{#N/A,#N/A,FALSE,"Лист4"}</definedName>
    <definedName name="рррр" localSheetId="3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2" hidden="1">{#N/A,#N/A,FALSE,"Лист4"}</definedName>
    <definedName name="сми" localSheetId="3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2" hidden="1">{#N/A,#N/A,FALSE,"Лист4"}</definedName>
    <definedName name="сс" localSheetId="3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2" hidden="1">{#N/A,#N/A,FALSE,"Лист4"}</definedName>
    <definedName name="сум" localSheetId="3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2" hidden="1">{#N/A,#N/A,FALSE,"Лист4"}</definedName>
    <definedName name="Суми" localSheetId="3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2" hidden="1">{#N/A,#N/A,FALSE,"Лист4"}</definedName>
    <definedName name="счу" localSheetId="3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2" hidden="1">{#N/A,#N/A,FALSE,"Лист4"}</definedName>
    <definedName name="счя" localSheetId="3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2" hidden="1">{#N/A,#N/A,FALSE,"Лист4"}</definedName>
    <definedName name="тогн" localSheetId="3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2" hidden="1">{#N/A,#N/A,FALSE,"Лист4"}</definedName>
    <definedName name="трн" localSheetId="3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2" hidden="1">{#N/A,#N/A,FALSE,"Лист4"}</definedName>
    <definedName name="ттт" localSheetId="3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2" hidden="1">{#N/A,#N/A,FALSE,"Лист4"}</definedName>
    <definedName name="ть" localSheetId="3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2" hidden="1">{#N/A,#N/A,FALSE,"Лист4"}</definedName>
    <definedName name="уа" localSheetId="3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2" hidden="1">{#N/A,#N/A,FALSE,"Лист4"}</definedName>
    <definedName name="увке" localSheetId="3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2" hidden="1">{#N/A,#N/A,FALSE,"Лист4"}</definedName>
    <definedName name="уеунукнун" localSheetId="3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2" hidden="1">{#N/A,#N/A,FALSE,"Лист4"}</definedName>
    <definedName name="уке" localSheetId="3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2" hidden="1">{#N/A,#N/A,FALSE,"Лист4"}</definedName>
    <definedName name="укй" localSheetId="3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2" hidden="1">{#N/A,#N/A,FALSE,"Лист4"}</definedName>
    <definedName name="укунн" localSheetId="3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2" hidden="1">{#N/A,#N/A,FALSE,"Лист4"}</definedName>
    <definedName name="унунен" localSheetId="3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2" hidden="1">{#N/A,#N/A,FALSE,"Лист4"}</definedName>
    <definedName name="унунун" localSheetId="3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2" hidden="1">{#N/A,#N/A,FALSE,"Лист4"}</definedName>
    <definedName name="унуу" localSheetId="3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2" hidden="1">{#N/A,#N/A,FALSE,"Лист4"}</definedName>
    <definedName name="унуун" localSheetId="3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2" hidden="1">{#N/A,#N/A,FALSE,"Лист4"}</definedName>
    <definedName name="унууу" localSheetId="3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2" hidden="1">{#N/A,#N/A,FALSE,"Лист4"}</definedName>
    <definedName name="управ" localSheetId="3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2" hidden="1">{#N/A,#N/A,FALSE,"Лист4"}</definedName>
    <definedName name="управління" localSheetId="3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2" hidden="1">{#N/A,#N/A,FALSE,"Лист4"}</definedName>
    <definedName name="уукее" localSheetId="3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2" hidden="1">{#N/A,#N/A,FALSE,"Лист4"}</definedName>
    <definedName name="ууннну" localSheetId="3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2" hidden="1">{#N/A,#N/A,FALSE,"Лист4"}</definedName>
    <definedName name="ууну" localSheetId="3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2" hidden="1">{#N/A,#N/A,FALSE,"Лист4"}</definedName>
    <definedName name="уунунг" localSheetId="3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2" hidden="1">{#N/A,#N/A,FALSE,"Лист4"}</definedName>
    <definedName name="уунунууу" localSheetId="3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2" hidden="1">{#N/A,#N/A,FALSE,"Лист4"}</definedName>
    <definedName name="уунуурр" localSheetId="3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2" hidden="1">{#N/A,#N/A,FALSE,"Лист4"}</definedName>
    <definedName name="уунуууу" localSheetId="3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2" hidden="1">{#N/A,#N/A,FALSE,"Лист4"}</definedName>
    <definedName name="ууу" localSheetId="3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2" hidden="1">{#N/A,#N/A,FALSE,"Лист4"}</definedName>
    <definedName name="ууунну" localSheetId="3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2" hidden="1">{#N/A,#N/A,FALSE,"Лист4"}</definedName>
    <definedName name="ууунууууу" localSheetId="3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2" hidden="1">{#N/A,#N/A,FALSE,"Лист4"}</definedName>
    <definedName name="уууу" localSheetId="3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2" hidden="1">{#N/A,#N/A,FALSE,"Лист4"}</definedName>
    <definedName name="уууу32" localSheetId="3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2" hidden="1">{#N/A,#N/A,FALSE,"Лист4"}</definedName>
    <definedName name="уууун" localSheetId="3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2" hidden="1">{#N/A,#N/A,FALSE,"Лист4"}</definedName>
    <definedName name="фф" localSheetId="3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2" hidden="1">{#N/A,#N/A,FALSE,"Лист4"}</definedName>
    <definedName name="ффф" localSheetId="3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2" hidden="1">{#N/A,#N/A,FALSE,"Лист4"}</definedName>
    <definedName name="фффф" localSheetId="3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2" hidden="1">{#N/A,#N/A,FALSE,"Лист4"}</definedName>
    <definedName name="ффффф" localSheetId="3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2" hidden="1">{#N/A,#N/A,FALSE,"Лист4"}</definedName>
    <definedName name="хз" localSheetId="3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2" hidden="1">{#N/A,#N/A,FALSE,"Лист4"}</definedName>
    <definedName name="хїз" localSheetId="3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2" hidden="1">{#N/A,#N/A,FALSE,"Лист4"}</definedName>
    <definedName name="ххх" localSheetId="3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2" hidden="1">{#N/A,#N/A,FALSE,"Лист4"}</definedName>
    <definedName name="ц" localSheetId="3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2" hidden="1">{#N/A,#N/A,FALSE,"Лист4"}</definedName>
    <definedName name="цва" localSheetId="3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2" hidden="1">{#N/A,#N/A,FALSE,"Лист4"}</definedName>
    <definedName name="цекццецце" localSheetId="3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2" hidden="1">{#N/A,#N/A,FALSE,"Лист4"}</definedName>
    <definedName name="цеце" localSheetId="3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2" hidden="1">{#N/A,#N/A,FALSE,"Лист4"}</definedName>
    <definedName name="цецеце" localSheetId="3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2" hidden="1">{#N/A,#N/A,FALSE,"Лист4"}</definedName>
    <definedName name="цук" localSheetId="3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2" hidden="1">{#N/A,#N/A,FALSE,"Лист4"}</definedName>
    <definedName name="цуку" localSheetId="3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2" hidden="1">{#N/A,#N/A,FALSE,"Лист4"}</definedName>
    <definedName name="цууу" localSheetId="3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2" hidden="1">{#N/A,#N/A,FALSE,"Лист4"}</definedName>
    <definedName name="цц" localSheetId="3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2" hidden="1">{#N/A,#N/A,FALSE,"Лист4"}</definedName>
    <definedName name="ццвва" localSheetId="3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2" hidden="1">{#N/A,#N/A,FALSE,"Лист4"}</definedName>
    <definedName name="ццецц" localSheetId="3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2" hidden="1">{#N/A,#N/A,FALSE,"Лист4"}</definedName>
    <definedName name="ццеццке" localSheetId="3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2" hidden="1">{#N/A,#N/A,FALSE,"Лист4"}</definedName>
    <definedName name="ццеццкевап" localSheetId="3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2" hidden="1">{#N/A,#N/A,FALSE,"Лист4"}</definedName>
    <definedName name="ццке" localSheetId="3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2" hidden="1">{#N/A,#N/A,FALSE,"Лист4"}</definedName>
    <definedName name="ццук" localSheetId="3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2" hidden="1">{#N/A,#N/A,FALSE,"Лист4"}</definedName>
    <definedName name="цццецц" localSheetId="3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2" hidden="1">{#N/A,#N/A,FALSE,"Лист4"}</definedName>
    <definedName name="цццкеец" localSheetId="3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2" hidden="1">{#N/A,#N/A,FALSE,"Лист4"}</definedName>
    <definedName name="цццц" localSheetId="3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2" hidden="1">{#N/A,#N/A,FALSE,"Лист4"}</definedName>
    <definedName name="ццццкц" localSheetId="3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2" hidden="1">{#N/A,#N/A,FALSE,"Лист4"}</definedName>
    <definedName name="ццццц" localSheetId="3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2" hidden="1">{#N/A,#N/A,FALSE,"Лист4"}</definedName>
    <definedName name="цццццц" localSheetId="3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2" hidden="1">{#N/A,#N/A,FALSE,"Лист4"}</definedName>
    <definedName name="чву" localSheetId="3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2" hidden="1">{#N/A,#N/A,FALSE,"Лист4"}</definedName>
    <definedName name="чч" localSheetId="3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2" hidden="1">{#N/A,#N/A,FALSE,"Лист4"}</definedName>
    <definedName name="ччч" localSheetId="3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2" hidden="1">{#N/A,#N/A,FALSE,"Лист4"}</definedName>
    <definedName name="шш" localSheetId="3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2" hidden="1">{#N/A,#N/A,FALSE,"Лист4"}</definedName>
    <definedName name="шшшш" localSheetId="3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2" hidden="1">{#N/A,#N/A,FALSE,"Лист4"}</definedName>
    <definedName name="щщ" localSheetId="3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2" hidden="1">{#N/A,#N/A,FALSE,"Лист4"}</definedName>
    <definedName name="щщщ" localSheetId="3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2" hidden="1">{#N/A,#N/A,FALSE,"Лист4"}</definedName>
    <definedName name="щщщшг" localSheetId="3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2" hidden="1">{#N/A,#N/A,FALSE,"Лист4"}</definedName>
    <definedName name="юю" localSheetId="3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2" hidden="1">{#N/A,#N/A,FALSE,"Лист4"}</definedName>
    <definedName name="ююю" localSheetId="3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2" hidden="1">{#N/A,#N/A,FALSE,"Лист4"}</definedName>
    <definedName name="яяя" localSheetId="3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2" hidden="1">{#N/A,#N/A,FALSE,"Лист4"}</definedName>
    <definedName name="яяяя" localSheetId="3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3" l="1"/>
  <c r="F32" i="13"/>
  <c r="D24" i="12"/>
  <c r="D11" i="12"/>
  <c r="E11" i="12" s="1"/>
  <c r="G30" i="4"/>
  <c r="E15" i="12"/>
  <c r="F15" i="12"/>
  <c r="D13" i="12"/>
  <c r="F13" i="12" s="1"/>
  <c r="F41" i="14"/>
  <c r="E41" i="14"/>
  <c r="F40" i="14"/>
  <c r="E40" i="14"/>
  <c r="F39" i="14"/>
  <c r="E39" i="14"/>
  <c r="F38" i="14"/>
  <c r="E38" i="14"/>
  <c r="F37" i="14"/>
  <c r="E37" i="14"/>
  <c r="F36" i="14"/>
  <c r="E36" i="14"/>
  <c r="F35" i="14"/>
  <c r="E35" i="14"/>
  <c r="F34" i="14"/>
  <c r="E34" i="14"/>
  <c r="F33" i="14"/>
  <c r="E33" i="14"/>
  <c r="F32" i="14"/>
  <c r="E32" i="14"/>
  <c r="F31" i="14"/>
  <c r="E31" i="14"/>
  <c r="F30" i="14"/>
  <c r="E30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F23" i="14"/>
  <c r="E23" i="14"/>
  <c r="F22" i="14"/>
  <c r="E22" i="14"/>
  <c r="F21" i="14"/>
  <c r="E21" i="14"/>
  <c r="F20" i="14"/>
  <c r="E20" i="14"/>
  <c r="F19" i="14"/>
  <c r="E19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26" i="4"/>
  <c r="F23" i="4"/>
  <c r="G23" i="4"/>
  <c r="F20" i="4"/>
  <c r="G20" i="4"/>
  <c r="F21" i="4"/>
  <c r="G21" i="4"/>
  <c r="F23" i="12"/>
  <c r="E23" i="12"/>
  <c r="F22" i="12"/>
  <c r="E22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4" i="12"/>
  <c r="E14" i="12"/>
  <c r="F12" i="12"/>
  <c r="E12" i="12"/>
  <c r="F11" i="12"/>
  <c r="F10" i="12"/>
  <c r="E10" i="12"/>
  <c r="F9" i="12"/>
  <c r="E9" i="12"/>
  <c r="F8" i="12"/>
  <c r="E8" i="12"/>
  <c r="D28" i="4"/>
  <c r="D18" i="4"/>
  <c r="D15" i="4"/>
  <c r="D12" i="4"/>
  <c r="D9" i="4" s="1"/>
  <c r="D7" i="4"/>
  <c r="D6" i="4" s="1"/>
  <c r="F33" i="3"/>
  <c r="G33" i="3"/>
  <c r="F41" i="3"/>
  <c r="G41" i="3"/>
  <c r="F31" i="3"/>
  <c r="G31" i="3"/>
  <c r="F27" i="3"/>
  <c r="G27" i="3"/>
  <c r="F26" i="3"/>
  <c r="G26" i="3"/>
  <c r="E22" i="10"/>
  <c r="F22" i="10"/>
  <c r="D23" i="3"/>
  <c r="D15" i="3"/>
  <c r="D12" i="3"/>
  <c r="D7" i="3"/>
  <c r="F38" i="10"/>
  <c r="E38" i="10"/>
  <c r="F37" i="10"/>
  <c r="E37" i="10"/>
  <c r="F36" i="10"/>
  <c r="E36" i="10"/>
  <c r="F35" i="10"/>
  <c r="E35" i="10"/>
  <c r="F34" i="10"/>
  <c r="E34" i="10"/>
  <c r="F33" i="10"/>
  <c r="E33" i="10"/>
  <c r="F32" i="10"/>
  <c r="E32" i="10"/>
  <c r="F31" i="10"/>
  <c r="E31" i="10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1" i="10"/>
  <c r="E21" i="10"/>
  <c r="F20" i="10"/>
  <c r="E20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24" i="4"/>
  <c r="G24" i="4"/>
  <c r="F22" i="4"/>
  <c r="G22" i="4"/>
  <c r="E18" i="4"/>
  <c r="G16" i="4"/>
  <c r="F16" i="4"/>
  <c r="G17" i="4"/>
  <c r="F17" i="4"/>
  <c r="F38" i="3"/>
  <c r="G38" i="3"/>
  <c r="F39" i="3"/>
  <c r="G39" i="3"/>
  <c r="F35" i="3"/>
  <c r="G35" i="3"/>
  <c r="F36" i="3"/>
  <c r="G36" i="3"/>
  <c r="F32" i="3"/>
  <c r="G32" i="3"/>
  <c r="F29" i="3"/>
  <c r="G29" i="3"/>
  <c r="F28" i="3"/>
  <c r="G28" i="3"/>
  <c r="E15" i="3"/>
  <c r="F20" i="3"/>
  <c r="G20" i="3"/>
  <c r="G26" i="4"/>
  <c r="E13" i="12" l="1"/>
  <c r="D30" i="4"/>
  <c r="D6" i="3"/>
  <c r="D43" i="3" s="1"/>
  <c r="D44" i="3" s="1"/>
  <c r="F27" i="4"/>
  <c r="G27" i="4"/>
  <c r="G40" i="3"/>
  <c r="F40" i="3"/>
  <c r="F34" i="3"/>
  <c r="G34" i="3"/>
  <c r="E15" i="4"/>
  <c r="G29" i="4"/>
  <c r="F29" i="4"/>
  <c r="E28" i="4"/>
  <c r="G25" i="4"/>
  <c r="F25" i="4"/>
  <c r="G19" i="4"/>
  <c r="F19" i="4"/>
  <c r="G18" i="4"/>
  <c r="G14" i="4"/>
  <c r="F14" i="4"/>
  <c r="G13" i="4"/>
  <c r="F13" i="4"/>
  <c r="E12" i="4"/>
  <c r="G11" i="4"/>
  <c r="F11" i="4"/>
  <c r="G10" i="4"/>
  <c r="F10" i="4"/>
  <c r="G8" i="4"/>
  <c r="F8" i="4"/>
  <c r="E7" i="4"/>
  <c r="E6" i="4" s="1"/>
  <c r="G42" i="3"/>
  <c r="F42" i="3"/>
  <c r="G37" i="3"/>
  <c r="F37" i="3"/>
  <c r="G30" i="3"/>
  <c r="F30" i="3"/>
  <c r="G25" i="3"/>
  <c r="F25" i="3"/>
  <c r="G24" i="3"/>
  <c r="F24" i="3"/>
  <c r="E23" i="3"/>
  <c r="G22" i="3"/>
  <c r="F22" i="3"/>
  <c r="G21" i="3"/>
  <c r="F21" i="3"/>
  <c r="G19" i="3"/>
  <c r="F19" i="3"/>
  <c r="G18" i="3"/>
  <c r="F18" i="3"/>
  <c r="G17" i="3"/>
  <c r="F17" i="3"/>
  <c r="G16" i="3"/>
  <c r="F16" i="3"/>
  <c r="G14" i="3"/>
  <c r="F14" i="3"/>
  <c r="G13" i="3"/>
  <c r="F13" i="3"/>
  <c r="E12" i="3"/>
  <c r="G11" i="3"/>
  <c r="F11" i="3"/>
  <c r="G10" i="3"/>
  <c r="F10" i="3"/>
  <c r="G9" i="3"/>
  <c r="F9" i="3"/>
  <c r="G8" i="3"/>
  <c r="F8" i="3"/>
  <c r="E7" i="3"/>
  <c r="D25" i="12" l="1"/>
  <c r="E24" i="12"/>
  <c r="F24" i="12"/>
  <c r="F18" i="4"/>
  <c r="G12" i="3"/>
  <c r="G28" i="4"/>
  <c r="G6" i="4"/>
  <c r="F23" i="3"/>
  <c r="F7" i="3"/>
  <c r="F12" i="3"/>
  <c r="F28" i="4"/>
  <c r="F12" i="4"/>
  <c r="E9" i="4"/>
  <c r="F9" i="4" s="1"/>
  <c r="G12" i="4"/>
  <c r="F7" i="4"/>
  <c r="G23" i="3"/>
  <c r="G15" i="3"/>
  <c r="F15" i="3"/>
  <c r="E6" i="3"/>
  <c r="E43" i="3" s="1"/>
  <c r="E44" i="3" s="1"/>
  <c r="G7" i="3"/>
  <c r="G15" i="4"/>
  <c r="F6" i="4"/>
  <c r="F15" i="4"/>
  <c r="G7" i="4"/>
  <c r="F25" i="12" l="1"/>
  <c r="E25" i="12"/>
  <c r="E30" i="4"/>
  <c r="E31" i="4" s="1"/>
  <c r="G9" i="4"/>
  <c r="G6" i="3"/>
  <c r="F6" i="3"/>
  <c r="D31" i="4"/>
  <c r="G44" i="3"/>
  <c r="G43" i="3"/>
  <c r="F43" i="3"/>
  <c r="F44" i="3" l="1"/>
  <c r="G31" i="4"/>
  <c r="F30" i="4"/>
  <c r="F31" i="4"/>
</calcChain>
</file>

<file path=xl/sharedStrings.xml><?xml version="1.0" encoding="utf-8"?>
<sst xmlns="http://schemas.openxmlformats.org/spreadsheetml/2006/main" count="324" uniqueCount="214">
  <si>
    <t>Аналіз виконання плану по доходах</t>
  </si>
  <si>
    <t>тис. грн.</t>
  </si>
  <si>
    <t>ККД</t>
  </si>
  <si>
    <t>Доходи</t>
  </si>
  <si>
    <t>Податок та збір на доходи фізичних осіб</t>
  </si>
  <si>
    <t>Рентна плата та плата за використання інших природних ресурсів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</si>
  <si>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</si>
  <si>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</si>
  <si>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Інші надходження</t>
  </si>
  <si>
    <t>Плата за надання адміністративних послуг</t>
  </si>
  <si>
    <t>Базова дотація</t>
  </si>
  <si>
    <t>Освітня субвенція з державного бюджету місцевим бюджетам</t>
  </si>
  <si>
    <t>Всього</t>
  </si>
  <si>
    <t>% виконання</t>
  </si>
  <si>
    <t>Надходження коштів від відшкодування втрат сільськогосподарського і лісогосподарського виробництва</t>
  </si>
  <si>
    <t>Доходи від операцій з капіталом</t>
  </si>
  <si>
    <t>Кошти від відчуження майна, що належить Автономній Республіці Крим та майна, що перебуває в комунальній власності</t>
  </si>
  <si>
    <t>Інші субвенції з місцевого бюджету</t>
  </si>
  <si>
    <t>Порівняльний аналіз виконання дохідної частини бюджету Широківської сільської ТГ</t>
  </si>
  <si>
    <t>Загальний фонд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</si>
  <si>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</si>
  <si>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</si>
  <si>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</si>
  <si>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</si>
  <si>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</si>
  <si>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</si>
  <si>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</si>
  <si>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</si>
  <si>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</si>
  <si>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</si>
  <si>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</si>
  <si>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</si>
  <si>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місцевого бюджету на надання державної підтримки особам з особливими освітніми потребами за рахунок відповідної субвенції з державного бюджету</t>
  </si>
  <si>
    <t>Всього без урахування трансфертів</t>
  </si>
  <si>
    <t>Спеціальний фонд</t>
  </si>
  <si>
    <t>станом на 01.07.2018 року</t>
  </si>
  <si>
    <t>Інші податки та збори </t>
  </si>
  <si>
    <t>Екологічний податок 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</si>
  <si>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</si>
  <si>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</si>
  <si>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</si>
  <si>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</si>
  <si>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</si>
  <si>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здійснення переданих видатків у сфері освіти за рахунок коштів освітньої субвенції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</si>
  <si>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</si>
  <si>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Субвенція з місцевого бюджету на проектування, відновлення, будівництво, модернізацію, облаштування, ремонт об`єктів будівництва громадського призначення, соціальної сфери, культурної спадщини, житлово-комунального господарства, інших об`єктів, що мають вплив на життєдіяльність населення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</si>
  <si>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</si>
  <si>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</si>
  <si>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Інші дотації з місцевого бюджету</t>
  </si>
  <si>
    <t>Факт за                              2024 рік</t>
  </si>
  <si>
    <t xml:space="preserve">Виконання дохідної частини бюджету Широківської сільської територіальної громади </t>
  </si>
  <si>
    <t>загальний фонд</t>
  </si>
  <si>
    <t>тис. грн</t>
  </si>
  <si>
    <t>0852300000 - Бюджет Широкiвської сiльської територiальної громади</t>
  </si>
  <si>
    <t xml:space="preserve"> Уточнений річний план</t>
  </si>
  <si>
    <t>Факт</t>
  </si>
  <si>
    <t>-/+ відхилення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</si>
  <si>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</si>
  <si>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</si>
  <si>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на прибуток підприємств</t>
  </si>
  <si>
    <t>Єдиний податок</t>
  </si>
  <si>
    <t>Неподаткові надходження</t>
  </si>
  <si>
    <t>Державне мито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</si>
  <si>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</si>
  <si>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Офіційні трансферти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</si>
  <si>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</si>
  <si>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початкових класів закладів загальної середньої освіти</t>
  </si>
  <si>
    <t>Субвенція з державного бюджету місцевим бюджетам на придбання обладнання, створення та модернізацію (проведення реконструкції та капітального ремонту) їдалень (харчоблоків) закладів загальної середньої освіти</t>
  </si>
  <si>
    <t>Субвенція з державного бюджету місцевим бюджетам на створення мережі спеціалізованих служб підтримки осіб, які постраждали від домашнього насильства та/або насильства за ознакою статі</t>
  </si>
  <si>
    <t>Субвенція з місцевого бюджету за рахунок залишку коштів освітньої субвенції, що утворився на початок бюджетного періоду</t>
  </si>
  <si>
    <t>Субвенція з місцевого бюджету на забезпечення якісної, сучасної та доступної загальної середньої освіти `Нова українська школа` за рахунок відповідної субвенції з державного бюджету</t>
  </si>
  <si>
    <t>Субвенція з місцевого бюджету за рахунок залишку коштів субвенції на надання державної підтримки особам з особливими освітніми потребами, що утворився на початок бюджетного періоду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</si>
  <si>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</si>
  <si>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ВСЬОГО</t>
  </si>
  <si>
    <t>спеціальний фонд</t>
  </si>
  <si>
    <t>Інші податки та збори</t>
  </si>
  <si>
    <t>Екологічний податок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</si>
  <si>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</si>
  <si>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</si>
  <si>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</si>
  <si>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субвенціїз державного бюджету</t>
  </si>
  <si>
    <t>Код</t>
  </si>
  <si>
    <t>Показник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</si>
  <si>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</si>
  <si>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</si>
  <si>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</si>
  <si>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</si>
  <si>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</si>
  <si>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</si>
  <si>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</si>
  <si>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</si>
  <si>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</si>
  <si>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</si>
  <si>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</si>
  <si>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</si>
  <si>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0112152</t>
  </si>
  <si>
    <t>Інші програми та заходи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</si>
  <si>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</si>
  <si>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</si>
  <si>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</si>
  <si>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</si>
  <si>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</si>
  <si>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</si>
  <si>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</si>
  <si>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</si>
  <si>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</si>
  <si>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</si>
  <si>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</si>
  <si>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</si>
  <si>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</si>
  <si>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</si>
  <si>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</si>
  <si>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</si>
  <si>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</si>
  <si>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</si>
  <si>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</si>
  <si>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</si>
  <si>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</si>
  <si>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</si>
  <si>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</si>
  <si>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</si>
  <si>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</si>
  <si>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</si>
  <si>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</si>
  <si>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</si>
  <si>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</si>
  <si>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</si>
  <si>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</si>
  <si>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</si>
  <si>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</si>
  <si>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</si>
  <si>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</si>
  <si>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</si>
  <si>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0119150</t>
  </si>
  <si>
    <t>0119770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</si>
  <si>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</si>
  <si>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</si>
  <si>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</si>
  <si>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</si>
  <si>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</si>
  <si>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</si>
  <si>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</si>
  <si>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</si>
  <si>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</si>
  <si>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</si>
  <si>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</si>
  <si>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Аналіз фінансування установ Широківської сільської територіальної громади</t>
  </si>
  <si>
    <t>План на рік з урахуванням змін</t>
  </si>
  <si>
    <t>Касові видатки за звітний період</t>
  </si>
  <si>
    <t>Залишки планна період відносно касових</t>
  </si>
  <si>
    <t xml:space="preserve">% виконання </t>
  </si>
  <si>
    <t>0111261</t>
  </si>
  <si>
    <t>0111262</t>
  </si>
  <si>
    <t>0113210</t>
  </si>
  <si>
    <t>Будівництво освітніх установ та закладів</t>
  </si>
  <si>
    <t>0117330</t>
  </si>
  <si>
    <t>Будівництво інших об`єктів комунальної власності</t>
  </si>
  <si>
    <t>0117384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</si>
  <si>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</si>
  <si>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0118312</t>
  </si>
  <si>
    <t>Внутрішні податки на товари та послуги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</si>
  <si>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</si>
  <si>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Субвенція з державного бюджету місцевим бюджетам на забезпечення харчуванням учнів закладів загальної середньої освіти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</si>
  <si>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</si>
  <si>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</si>
  <si>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</si>
  <si>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</si>
  <si>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</si>
  <si>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за 2025 рік</t>
  </si>
  <si>
    <t>Факт за                              2025 рік</t>
  </si>
  <si>
    <t>Субвенція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</si>
  <si>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Субвенція з державного бюджету місцевим бюджетам на реалізацію проектів в рамках Програми відновлення України ІІІ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</si>
  <si>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</si>
  <si>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</si>
  <si>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</si>
  <si>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</si>
  <si>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</si>
  <si>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</si>
  <si>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</si>
  <si>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</si>
  <si>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</si>
  <si>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</si>
  <si>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</si>
  <si>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0116013</t>
  </si>
  <si>
    <t>Забезпечення діяльності водопровідно-каналізаційного господарства</t>
  </si>
  <si>
    <t>Інші заходи у сфері медіа (засобів масової інформації)</t>
  </si>
  <si>
    <t>0111231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</si>
  <si>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</t>
  </si>
  <si>
    <t>0111232</t>
  </si>
  <si>
    <t>Виконання заходів щодо забезпечення реалізації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</si>
  <si>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</si>
  <si>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</t>
  </si>
  <si>
    <t>0111273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</si>
  <si>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</t>
  </si>
  <si>
    <t>0111274</t>
  </si>
  <si>
    <t>Реалізація заходів за рахунок освітньої субвенції з державного бюджету місцевим бюджетам (за спеціальним фондом державного бюджету) на придбання обладнання, створення та модернізації (проведення реконструкції та капітального ремонту) їдалень (харчоблоків)</t>
  </si>
  <si>
    <t>0111279</t>
  </si>
  <si>
    <t>Реалізація заходів за рахунок освітньої субвенції з державного бюджету місцевим бюджетам (за спеціальним фондом державного бюджету) на забезпечення харчуванням учнів закладів загальної середньої освіти</t>
  </si>
  <si>
    <t>0111300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</si>
  <si>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</si>
  <si>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</t>
  </si>
  <si>
    <t>0112170</t>
  </si>
  <si>
    <t>Будівництво закладів охорони здоров`я</t>
  </si>
  <si>
    <t>Організація та проведення громадських робіт</t>
  </si>
  <si>
    <t>0117367</t>
  </si>
  <si>
    <t>Реалізація проектів у рамках Програми відновлення України ІІІ</t>
  </si>
  <si>
    <t>0117670</t>
  </si>
  <si>
    <t>Внески до статутного капіталу суб`єктів господарювання</t>
  </si>
  <si>
    <t>Оброблення (відновлення, у тому числі сортування, та видалення) відходів</t>
  </si>
  <si>
    <t>1617350</t>
  </si>
  <si>
    <t>Розроблення схем планування та забудови територій (містобудівної документації)</t>
  </si>
  <si>
    <t>Інші джерела власних надходжень бюджетних установ</t>
  </si>
  <si>
    <t>0117130</t>
  </si>
  <si>
    <t>Здійснення заходів із землеустрою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</si>
</sst>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0"/>
      <name val="Arial"/>
      <family val="2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9" fillId="0" borderId="0"/>
    <xf numFmtId="0" fontId="10" fillId="0" borderId="0"/>
  </cellStyleXfs>
  <cellXfs count="10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/>
    <xf numFmtId="0" fontId="7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wrapText="1"/>
    </xf>
    <xf numFmtId="164" fontId="2" fillId="4" borderId="1" xfId="1" applyNumberFormat="1" applyFont="1" applyFill="1" applyBorder="1" applyAlignment="1">
      <alignment horizontal="center"/>
    </xf>
    <xf numFmtId="4" fontId="4" fillId="0" borderId="0" xfId="1" applyNumberFormat="1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wrapText="1"/>
    </xf>
    <xf numFmtId="164" fontId="2" fillId="3" borderId="1" xfId="1" applyNumberFormat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wrapText="1"/>
    </xf>
    <xf numFmtId="164" fontId="3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1" fillId="0" borderId="0" xfId="1" applyFont="1"/>
    <xf numFmtId="0" fontId="2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wrapText="1"/>
    </xf>
    <xf numFmtId="0" fontId="3" fillId="0" borderId="1" xfId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/>
    </xf>
    <xf numFmtId="0" fontId="4" fillId="0" borderId="0" xfId="1" applyAlignment="1">
      <alignment horizontal="center"/>
    </xf>
    <xf numFmtId="0" fontId="4" fillId="3" borderId="0" xfId="1" applyFill="1" applyAlignment="1">
      <alignment horizontal="center"/>
    </xf>
    <xf numFmtId="0" fontId="7" fillId="0" borderId="1" xfId="1" applyFont="1" applyBorder="1"/>
    <xf numFmtId="0" fontId="2" fillId="5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wrapText="1"/>
    </xf>
    <xf numFmtId="164" fontId="2" fillId="5" borderId="1" xfId="1" applyNumberFormat="1" applyFont="1" applyFill="1" applyBorder="1" applyAlignment="1">
      <alignment horizontal="center"/>
    </xf>
    <xf numFmtId="0" fontId="2" fillId="0" borderId="1" xfId="1" applyFont="1" applyBorder="1"/>
    <xf numFmtId="0" fontId="6" fillId="0" borderId="0" xfId="1" applyFont="1"/>
    <xf numFmtId="164" fontId="3" fillId="5" borderId="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12" fillId="0" borderId="0" xfId="0" applyFont="1"/>
    <xf numFmtId="164" fontId="3" fillId="0" borderId="1" xfId="0" applyNumberFormat="1" applyFont="1" applyBorder="1"/>
    <xf numFmtId="164" fontId="2" fillId="6" borderId="1" xfId="0" applyNumberFormat="1" applyFont="1" applyFill="1" applyBorder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0" borderId="0" xfId="3" applyAlignment="1">
      <alignment horizontal="center"/>
    </xf>
    <xf numFmtId="0" fontId="10" fillId="0" borderId="0" xfId="3" applyAlignment="1">
      <alignment wrapText="1"/>
    </xf>
    <xf numFmtId="0" fontId="10" fillId="0" borderId="0" xfId="3"/>
    <xf numFmtId="0" fontId="14" fillId="0" borderId="0" xfId="3" applyFont="1" applyAlignment="1">
      <alignment horizontal="center"/>
    </xf>
    <xf numFmtId="4" fontId="10" fillId="0" borderId="0" xfId="3" applyNumberFormat="1" applyAlignment="1">
      <alignment vertical="center"/>
    </xf>
    <xf numFmtId="0" fontId="10" fillId="0" borderId="0" xfId="3" applyAlignment="1">
      <alignment horizontal="center" vertical="center"/>
    </xf>
    <xf numFmtId="0" fontId="10" fillId="0" borderId="0" xfId="3" applyAlignment="1">
      <alignment vertical="center" wrapText="1"/>
    </xf>
    <xf numFmtId="0" fontId="17" fillId="0" borderId="1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/>
    </xf>
    <xf numFmtId="0" fontId="16" fillId="0" borderId="1" xfId="3" applyFont="1" applyBorder="1" applyAlignment="1">
      <alignment vertical="center" wrapText="1"/>
    </xf>
    <xf numFmtId="164" fontId="16" fillId="0" borderId="1" xfId="3" applyNumberFormat="1" applyFont="1" applyBorder="1" applyAlignment="1">
      <alignment vertical="center"/>
    </xf>
    <xf numFmtId="164" fontId="16" fillId="3" borderId="1" xfId="3" applyNumberFormat="1" applyFont="1" applyFill="1" applyBorder="1" applyAlignment="1">
      <alignment vertical="center"/>
    </xf>
    <xf numFmtId="0" fontId="17" fillId="6" borderId="1" xfId="3" applyFont="1" applyFill="1" applyBorder="1" applyAlignment="1">
      <alignment vertical="center" wrapText="1"/>
    </xf>
    <xf numFmtId="0" fontId="9" fillId="0" borderId="0" xfId="2" applyAlignment="1">
      <alignment horizontal="center"/>
    </xf>
    <xf numFmtId="0" fontId="9" fillId="0" borderId="0" xfId="2" applyAlignment="1">
      <alignment wrapText="1"/>
    </xf>
    <xf numFmtId="0" fontId="9" fillId="0" borderId="0" xfId="2"/>
    <xf numFmtId="0" fontId="9" fillId="0" borderId="0" xfId="2" applyAlignment="1">
      <alignment horizontal="right"/>
    </xf>
    <xf numFmtId="0" fontId="2" fillId="5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8" fillId="0" borderId="0" xfId="3" applyFont="1" applyAlignment="1">
      <alignment horizontal="center"/>
    </xf>
    <xf numFmtId="0" fontId="18" fillId="0" borderId="0" xfId="3" applyFont="1" applyAlignment="1">
      <alignment wrapText="1"/>
    </xf>
    <xf numFmtId="0" fontId="18" fillId="0" borderId="0" xfId="3" applyFont="1"/>
    <xf numFmtId="0" fontId="18" fillId="0" borderId="0" xfId="3" applyFont="1" applyAlignment="1">
      <alignment horizontal="right"/>
    </xf>
    <xf numFmtId="0" fontId="19" fillId="6" borderId="1" xfId="3" applyFont="1" applyFill="1" applyBorder="1" applyAlignment="1">
      <alignment horizontal="center" vertical="center"/>
    </xf>
    <xf numFmtId="164" fontId="19" fillId="6" borderId="1" xfId="3" applyNumberFormat="1" applyFont="1" applyFill="1" applyBorder="1" applyAlignment="1">
      <alignment vertical="center"/>
    </xf>
    <xf numFmtId="164" fontId="18" fillId="0" borderId="0" xfId="3" applyNumberFormat="1" applyFont="1"/>
    <xf numFmtId="0" fontId="17" fillId="0" borderId="1" xfId="2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/>
    </xf>
    <xf numFmtId="164" fontId="17" fillId="6" borderId="1" xfId="3" applyNumberFormat="1" applyFont="1" applyFill="1" applyBorder="1" applyAlignment="1">
      <alignment vertical="center"/>
    </xf>
    <xf numFmtId="49" fontId="16" fillId="0" borderId="1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/>
    <xf numFmtId="0" fontId="5" fillId="0" borderId="2" xfId="0" quotePrefix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0" borderId="0" xfId="3" applyFont="1" applyAlignment="1">
      <alignment horizontal="center"/>
    </xf>
    <xf numFmtId="0" fontId="11" fillId="0" borderId="0" xfId="1" applyFont="1" applyAlignment="1">
      <alignment horizontal="center"/>
    </xf>
    <xf numFmtId="0" fontId="2" fillId="2" borderId="1" xfId="1" applyFont="1" applyFill="1" applyBorder="1"/>
    <xf numFmtId="0" fontId="3" fillId="0" borderId="1" xfId="1" applyFont="1" applyBorder="1"/>
    <xf numFmtId="164" fontId="10" fillId="0" borderId="0" xfId="3" applyNumberFormat="1"/>
  </cellXfs>
  <cellStyles count="4">
    <cellStyle name="Обычный" xfId="0" builtinId="0"/>
    <cellStyle name="Обычный 2" xfId="1" xr:uid="{831F9E21-0123-4738-A922-98F65F0AA2CC}"/>
    <cellStyle name="Обычный 2 2" xfId="2" xr:uid="{C4B94E48-AED5-49F4-A743-8AE80988F00A}"/>
    <cellStyle name="Обычный 2 3" xfId="3" xr:uid="{97C04826-919E-4199-A721-132D2277006C}"/>
  </cellStyles>
  <dxfs count="63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1FA6-8CE1-4E50-AF8D-57F32A7D8830}">
  <dimension ref="A1:I44"/>
  <sheetViews>
    <sheetView topLeftCell="A28" workbookViewId="0">
      <selection activeCell="B26" sqref="B26"/>
    </sheetView>
  </sheetViews>
  <sheetFormatPr defaultRowHeight="15" x14ac:dyDescent="0.25"/>
  <cols>
    <col min="1" max="1" width="12.42578125" style="49" customWidth="1"/>
    <col min="2" max="2" width="65.85546875" customWidth="1"/>
    <col min="3" max="3" width="17.7109375" customWidth="1"/>
    <col min="4" max="4" width="15.85546875" customWidth="1"/>
    <col min="5" max="5" width="14.85546875" customWidth="1"/>
    <col min="6" max="6" width="11.5703125" customWidth="1"/>
  </cols>
  <sheetData>
    <row r="1" spans="1:9" x14ac:dyDescent="0.25">
      <c r="A1" s="74"/>
      <c r="B1" s="75"/>
      <c r="C1" s="75"/>
      <c r="D1" s="75"/>
      <c r="E1" s="75"/>
      <c r="F1" s="75"/>
      <c r="G1" s="75"/>
      <c r="H1" s="75"/>
      <c r="I1" s="75"/>
    </row>
    <row r="2" spans="1:9" ht="18.75" x14ac:dyDescent="0.25">
      <c r="A2" s="88" t="s">
        <v>50</v>
      </c>
      <c r="B2" s="88"/>
      <c r="C2" s="88"/>
      <c r="D2" s="88"/>
      <c r="E2" s="88"/>
      <c r="F2" s="88"/>
      <c r="G2" s="75"/>
      <c r="H2" s="75"/>
      <c r="I2" s="75"/>
    </row>
    <row r="3" spans="1:9" x14ac:dyDescent="0.25">
      <c r="A3" s="89" t="s">
        <v>168</v>
      </c>
      <c r="B3" s="89"/>
      <c r="C3" s="89"/>
      <c r="D3" s="89"/>
      <c r="E3" s="89"/>
      <c r="F3" s="89"/>
      <c r="G3" s="75"/>
      <c r="H3" s="75"/>
      <c r="I3" s="75"/>
    </row>
    <row r="4" spans="1:9" x14ac:dyDescent="0.25">
      <c r="A4" s="89" t="s">
        <v>51</v>
      </c>
      <c r="B4" s="89"/>
      <c r="C4" s="89"/>
      <c r="D4" s="89"/>
      <c r="E4" s="89"/>
      <c r="F4" s="89"/>
      <c r="G4" s="75"/>
      <c r="H4" s="75"/>
      <c r="I4" s="75"/>
    </row>
    <row r="5" spans="1:9" x14ac:dyDescent="0.25">
      <c r="A5" s="39"/>
      <c r="B5" s="40"/>
      <c r="C5" s="40"/>
      <c r="D5" s="40"/>
      <c r="E5" s="40"/>
      <c r="F5" s="40" t="s">
        <v>52</v>
      </c>
      <c r="G5" s="40"/>
      <c r="H5" s="40"/>
      <c r="I5" s="40"/>
    </row>
    <row r="6" spans="1:9" x14ac:dyDescent="0.25">
      <c r="A6" s="94" t="s">
        <v>2</v>
      </c>
      <c r="B6" s="94" t="s">
        <v>3</v>
      </c>
      <c r="C6" s="91" t="s">
        <v>53</v>
      </c>
      <c r="D6" s="92"/>
      <c r="E6" s="92"/>
      <c r="F6" s="93"/>
      <c r="G6" s="40"/>
      <c r="H6" s="40"/>
      <c r="I6" s="40"/>
    </row>
    <row r="7" spans="1:9" ht="28.5" customHeight="1" x14ac:dyDescent="0.25">
      <c r="A7" s="95"/>
      <c r="B7" s="95"/>
      <c r="C7" s="42" t="s">
        <v>54</v>
      </c>
      <c r="D7" s="41" t="s">
        <v>55</v>
      </c>
      <c r="E7" s="43" t="s">
        <v>56</v>
      </c>
      <c r="F7" s="42" t="s">
        <v>13</v>
      </c>
      <c r="G7" s="40"/>
      <c r="H7" s="40"/>
      <c r="I7" s="40"/>
    </row>
    <row r="8" spans="1:9" x14ac:dyDescent="0.25">
      <c r="A8" s="41">
        <v>10000000</v>
      </c>
      <c r="B8" s="44" t="s">
        <v>57</v>
      </c>
      <c r="C8" s="45">
        <v>163064.4</v>
      </c>
      <c r="D8" s="45">
        <v>169734.77296</v>
      </c>
      <c r="E8" s="45">
        <f t="shared" ref="E8:E29" si="0">D8-C8</f>
        <v>6670.3729600000079</v>
      </c>
      <c r="F8" s="45">
        <f t="shared" ref="F8:F29" si="1">IF(C8=0,0,D8/C8*100)</f>
        <v>104.09063717157147</v>
      </c>
      <c r="G8" s="40"/>
      <c r="H8" s="40"/>
      <c r="I8" s="40"/>
    </row>
    <row r="9" spans="1:9" ht="29.25" x14ac:dyDescent="0.25">
      <c r="A9" s="41">
        <v>11000000</v>
      </c>
      <c r="B9" s="44" t="s">
        <v>58</v>
      </c>
      <c r="C9" s="45">
        <v>69729.3</v>
      </c>
      <c r="D9" s="45">
        <v>73180.563520000011</v>
      </c>
      <c r="E9" s="45">
        <f t="shared" si="0"/>
        <v>3451.2635200000077</v>
      </c>
      <c r="F9" s="45">
        <f t="shared" si="1"/>
        <v>104.94951694624785</v>
      </c>
      <c r="G9" s="40"/>
      <c r="H9" s="40"/>
      <c r="I9" s="40"/>
    </row>
    <row r="10" spans="1:9" x14ac:dyDescent="0.25">
      <c r="A10" s="1">
        <v>11010000</v>
      </c>
      <c r="B10" s="2" t="s">
        <v>4</v>
      </c>
      <c r="C10" s="47">
        <v>69452.600000000006</v>
      </c>
      <c r="D10" s="47">
        <v>72903.26890000001</v>
      </c>
      <c r="E10" s="47">
        <f t="shared" si="0"/>
        <v>3450.6689000000042</v>
      </c>
      <c r="F10" s="47">
        <f t="shared" si="1"/>
        <v>104.96837972948458</v>
      </c>
      <c r="G10" s="40"/>
      <c r="H10" s="40"/>
      <c r="I10" s="40"/>
    </row>
    <row r="11" spans="1:9" x14ac:dyDescent="0.25">
      <c r="A11" s="1">
        <v>11020000</v>
      </c>
      <c r="B11" s="2" t="s">
        <v>59</v>
      </c>
      <c r="C11" s="47">
        <v>276.7</v>
      </c>
      <c r="D11" s="47">
        <v>277.29462000000001</v>
      </c>
      <c r="E11" s="47">
        <f t="shared" si="0"/>
        <v>0.59462000000002035</v>
      </c>
      <c r="F11" s="47">
        <f t="shared" si="1"/>
        <v>100.21489700036142</v>
      </c>
      <c r="G11" s="40"/>
      <c r="H11" s="40"/>
      <c r="I11" s="40"/>
    </row>
    <row r="12" spans="1:9" x14ac:dyDescent="0.25">
      <c r="A12" s="1">
        <v>13000000</v>
      </c>
      <c r="B12" s="2" t="s">
        <v>5</v>
      </c>
      <c r="C12" s="47">
        <v>3</v>
      </c>
      <c r="D12" s="47">
        <v>1.8088599999999999</v>
      </c>
      <c r="E12" s="47">
        <f t="shared" si="0"/>
        <v>-1.1911400000000001</v>
      </c>
      <c r="F12" s="47">
        <f t="shared" si="1"/>
        <v>60.295333333333332</v>
      </c>
      <c r="G12" s="40"/>
      <c r="H12" s="40"/>
      <c r="I12" s="40"/>
    </row>
    <row r="13" spans="1:9" x14ac:dyDescent="0.25">
      <c r="A13" s="1">
        <v>14000000</v>
      </c>
      <c r="B13" s="2" t="s">
        <v>160</v>
      </c>
      <c r="C13" s="47">
        <v>31738.400000000001</v>
      </c>
      <c r="D13" s="47">
        <v>33679.883710000002</v>
      </c>
      <c r="E13" s="47">
        <f t="shared" si="0"/>
        <v>1941.4837100000004</v>
      </c>
      <c r="F13" s="47">
        <f t="shared" si="1"/>
        <v>106.11714424797722</v>
      </c>
      <c r="G13" s="40"/>
      <c r="H13" s="40"/>
      <c r="I13" s="40"/>
    </row>
    <row r="14" spans="1:9" s="46" customFormat="1" ht="29.25" x14ac:dyDescent="0.25">
      <c r="A14" s="41">
        <v>18000000</v>
      </c>
      <c r="B14" s="44" t="s">
        <v>6</v>
      </c>
      <c r="C14" s="45">
        <v>61593.7</v>
      </c>
      <c r="D14" s="45">
        <v>62872.516869999999</v>
      </c>
      <c r="E14" s="45">
        <f t="shared" si="0"/>
        <v>1278.8168700000024</v>
      </c>
      <c r="F14" s="45">
        <f t="shared" si="1"/>
        <v>102.07621375238051</v>
      </c>
      <c r="G14" s="76"/>
      <c r="H14" s="76"/>
      <c r="I14" s="76"/>
    </row>
    <row r="15" spans="1:9" x14ac:dyDescent="0.25">
      <c r="A15" s="1">
        <v>18010000</v>
      </c>
      <c r="B15" s="2" t="s">
        <v>7</v>
      </c>
      <c r="C15" s="47">
        <v>21243.8</v>
      </c>
      <c r="D15" s="47">
        <v>22203.916309999997</v>
      </c>
      <c r="E15" s="47">
        <f t="shared" si="0"/>
        <v>960.11630999999761</v>
      </c>
      <c r="F15" s="47">
        <f t="shared" si="1"/>
        <v>104.5195130343912</v>
      </c>
      <c r="G15" s="40"/>
      <c r="H15" s="40"/>
      <c r="I15" s="40"/>
    </row>
    <row r="16" spans="1:9" x14ac:dyDescent="0.25">
      <c r="A16" s="1">
        <v>18050000</v>
      </c>
      <c r="B16" s="2" t="s">
        <v>60</v>
      </c>
      <c r="C16" s="47">
        <v>40349.9</v>
      </c>
      <c r="D16" s="47">
        <v>40668.600559999992</v>
      </c>
      <c r="E16" s="47">
        <f t="shared" si="0"/>
        <v>318.70055999999022</v>
      </c>
      <c r="F16" s="47">
        <f t="shared" si="1"/>
        <v>100.78984225487547</v>
      </c>
      <c r="G16" s="40"/>
      <c r="H16" s="40"/>
      <c r="I16" s="40"/>
    </row>
    <row r="17" spans="1:9" s="46" customFormat="1" x14ac:dyDescent="0.25">
      <c r="A17" s="41">
        <v>20000000</v>
      </c>
      <c r="B17" s="44" t="s">
        <v>61</v>
      </c>
      <c r="C17" s="45">
        <v>5846.8</v>
      </c>
      <c r="D17" s="45">
        <v>5559.4</v>
      </c>
      <c r="E17" s="45">
        <f t="shared" si="0"/>
        <v>-287.40000000000055</v>
      </c>
      <c r="F17" s="45">
        <f t="shared" si="1"/>
        <v>95.084490661558448</v>
      </c>
      <c r="G17" s="76"/>
      <c r="H17" s="76"/>
      <c r="I17" s="76"/>
    </row>
    <row r="18" spans="1:9" ht="45" x14ac:dyDescent="0.25">
      <c r="A18" s="1">
        <v>21010300</v>
      </c>
      <c r="B18" s="50" t="s">
        <v>161</v>
      </c>
      <c r="C18" s="47">
        <v>15.5</v>
      </c>
      <c r="D18" s="47">
        <v>18.329369999999997</v>
      </c>
      <c r="E18" s="47">
        <f t="shared" si="0"/>
        <v>2.8293699999999973</v>
      </c>
      <c r="F18" s="47">
        <f t="shared" si="1"/>
        <v>118.25399999999999</v>
      </c>
      <c r="G18" s="40"/>
      <c r="H18" s="40"/>
      <c r="I18" s="40"/>
    </row>
    <row r="19" spans="1:9" ht="16.5" customHeight="1" x14ac:dyDescent="0.25">
      <c r="A19" s="1">
        <v>21080000</v>
      </c>
      <c r="B19" s="2" t="s">
        <v>8</v>
      </c>
      <c r="C19" s="47">
        <v>602.20000000000005</v>
      </c>
      <c r="D19" s="47">
        <v>609.96947</v>
      </c>
      <c r="E19" s="47">
        <f t="shared" si="0"/>
        <v>7.7694699999999557</v>
      </c>
      <c r="F19" s="47">
        <f t="shared" si="1"/>
        <v>101.29018100298903</v>
      </c>
      <c r="G19" s="40"/>
      <c r="H19" s="40"/>
      <c r="I19" s="40"/>
    </row>
    <row r="20" spans="1:9" ht="18" customHeight="1" x14ac:dyDescent="0.25">
      <c r="A20" s="1">
        <v>22010000</v>
      </c>
      <c r="B20" s="2" t="s">
        <v>9</v>
      </c>
      <c r="C20" s="47">
        <v>2162.4</v>
      </c>
      <c r="D20" s="47">
        <v>1847.7</v>
      </c>
      <c r="E20" s="47">
        <f t="shared" si="0"/>
        <v>-314.70000000000005</v>
      </c>
      <c r="F20" s="47">
        <f t="shared" si="1"/>
        <v>85.446725860155382</v>
      </c>
      <c r="G20" s="40"/>
      <c r="H20" s="40"/>
      <c r="I20" s="40"/>
    </row>
    <row r="21" spans="1:9" ht="19.5" customHeight="1" x14ac:dyDescent="0.25">
      <c r="A21" s="1">
        <v>22090000</v>
      </c>
      <c r="B21" s="2" t="s">
        <v>62</v>
      </c>
      <c r="C21" s="47">
        <v>62.5</v>
      </c>
      <c r="D21" s="47">
        <v>70.036490000000001</v>
      </c>
      <c r="E21" s="47">
        <f t="shared" si="0"/>
        <v>7.5364900000000006</v>
      </c>
      <c r="F21" s="47">
        <f t="shared" si="1"/>
        <v>112.05838400000002</v>
      </c>
      <c r="G21" s="40"/>
      <c r="H21" s="40"/>
      <c r="I21" s="40"/>
    </row>
    <row r="22" spans="1:9" ht="68.25" customHeight="1" x14ac:dyDescent="0.25">
      <c r="A22" s="1">
        <v>22130000</v>
      </c>
      <c r="B22" s="50" t="s">
        <v>63</v>
      </c>
      <c r="C22" s="47">
        <v>9.6999999999999993</v>
      </c>
      <c r="D22" s="47">
        <v>8.9</v>
      </c>
      <c r="E22" s="47">
        <f t="shared" ref="E22" si="2">D22-C22</f>
        <v>-0.79999999999999893</v>
      </c>
      <c r="F22" s="47">
        <f t="shared" ref="F22" si="3">IF(C22=0,0,D22/C22*100)</f>
        <v>91.75257731958763</v>
      </c>
      <c r="G22" s="40"/>
      <c r="H22" s="40"/>
      <c r="I22" s="40"/>
    </row>
    <row r="23" spans="1:9" ht="19.5" customHeight="1" x14ac:dyDescent="0.25">
      <c r="A23" s="1">
        <v>24060000</v>
      </c>
      <c r="B23" s="2" t="s">
        <v>8</v>
      </c>
      <c r="C23" s="47">
        <v>2994.5</v>
      </c>
      <c r="D23" s="47">
        <v>3004.5347900000002</v>
      </c>
      <c r="E23" s="47">
        <f t="shared" si="0"/>
        <v>10.034790000000157</v>
      </c>
      <c r="F23" s="47">
        <f t="shared" si="1"/>
        <v>100.33510736349976</v>
      </c>
      <c r="G23" s="40"/>
      <c r="H23" s="40"/>
      <c r="I23" s="40"/>
    </row>
    <row r="24" spans="1:9" s="46" customFormat="1" x14ac:dyDescent="0.25">
      <c r="A24" s="41">
        <v>40000000</v>
      </c>
      <c r="B24" s="44" t="s">
        <v>64</v>
      </c>
      <c r="C24" s="45">
        <v>109395.46</v>
      </c>
      <c r="D24" s="45">
        <v>108336.38469999997</v>
      </c>
      <c r="E24" s="45">
        <f t="shared" si="0"/>
        <v>-1059.0753000000404</v>
      </c>
      <c r="F24" s="45">
        <f t="shared" si="1"/>
        <v>99.031883681461693</v>
      </c>
      <c r="G24" s="76"/>
      <c r="H24" s="76"/>
      <c r="I24" s="76"/>
    </row>
    <row r="25" spans="1:9" x14ac:dyDescent="0.25">
      <c r="A25" s="1">
        <v>41020100</v>
      </c>
      <c r="B25" s="2" t="s">
        <v>10</v>
      </c>
      <c r="C25" s="47">
        <v>17634.2</v>
      </c>
      <c r="D25" s="47">
        <v>17634.2</v>
      </c>
      <c r="E25" s="47">
        <f t="shared" si="0"/>
        <v>0</v>
      </c>
      <c r="F25" s="47">
        <f t="shared" si="1"/>
        <v>100</v>
      </c>
      <c r="G25" s="40"/>
      <c r="H25" s="40"/>
      <c r="I25" s="40"/>
    </row>
    <row r="26" spans="1:9" ht="75" x14ac:dyDescent="0.25">
      <c r="A26" s="1">
        <v>41021400</v>
      </c>
      <c r="B26" s="2" t="s">
        <v>65</v>
      </c>
      <c r="C26" s="47">
        <v>19759.7</v>
      </c>
      <c r="D26" s="47">
        <v>19759.7</v>
      </c>
      <c r="E26" s="47">
        <f t="shared" si="0"/>
        <v>0</v>
      </c>
      <c r="F26" s="47">
        <f t="shared" si="1"/>
        <v>100</v>
      </c>
      <c r="G26" s="40"/>
      <c r="H26" s="40"/>
      <c r="I26" s="40"/>
    </row>
    <row r="27" spans="1:9" ht="30" x14ac:dyDescent="0.25">
      <c r="A27" s="1">
        <v>41031100</v>
      </c>
      <c r="B27" s="50" t="s">
        <v>162</v>
      </c>
      <c r="C27" s="47">
        <v>549.9</v>
      </c>
      <c r="D27" s="47">
        <v>406.565</v>
      </c>
      <c r="E27" s="47">
        <f t="shared" si="0"/>
        <v>-143.33499999999998</v>
      </c>
      <c r="F27" s="47">
        <f t="shared" si="1"/>
        <v>73.934351700309151</v>
      </c>
      <c r="G27" s="40"/>
      <c r="H27" s="40"/>
      <c r="I27" s="40"/>
    </row>
    <row r="28" spans="1:9" ht="60" x14ac:dyDescent="0.25">
      <c r="A28" s="1">
        <v>41032800</v>
      </c>
      <c r="B28" s="50" t="s">
        <v>163</v>
      </c>
      <c r="C28" s="47">
        <v>15032.1</v>
      </c>
      <c r="D28" s="47">
        <v>14733.357039999999</v>
      </c>
      <c r="E28" s="47">
        <f t="shared" si="0"/>
        <v>-298.7429600000014</v>
      </c>
      <c r="F28" s="47">
        <f t="shared" si="1"/>
        <v>98.012633231551135</v>
      </c>
      <c r="G28" s="40"/>
      <c r="H28" s="40"/>
      <c r="I28" s="40"/>
    </row>
    <row r="29" spans="1:9" x14ac:dyDescent="0.25">
      <c r="A29" s="1">
        <v>41033900</v>
      </c>
      <c r="B29" s="50" t="s">
        <v>11</v>
      </c>
      <c r="C29" s="47">
        <v>47438.9</v>
      </c>
      <c r="D29" s="47">
        <v>47438.9</v>
      </c>
      <c r="E29" s="47">
        <f t="shared" si="0"/>
        <v>0</v>
      </c>
      <c r="F29" s="47">
        <f t="shared" si="1"/>
        <v>100</v>
      </c>
      <c r="G29" s="40"/>
      <c r="H29" s="40"/>
      <c r="I29" s="40"/>
    </row>
    <row r="30" spans="1:9" ht="39" customHeight="1" x14ac:dyDescent="0.25">
      <c r="A30" s="1">
        <v>41035400</v>
      </c>
      <c r="B30" s="50" t="s">
        <v>164</v>
      </c>
      <c r="C30" s="47">
        <v>205.4</v>
      </c>
      <c r="D30" s="47">
        <v>205.4</v>
      </c>
      <c r="E30" s="47">
        <f t="shared" ref="E30:E38" si="4">D30-C30</f>
        <v>0</v>
      </c>
      <c r="F30" s="47">
        <f t="shared" ref="F30:F38" si="5">IF(C30=0,0,D30/C30*100)</f>
        <v>100</v>
      </c>
      <c r="G30" s="40"/>
      <c r="H30" s="40"/>
      <c r="I30" s="40"/>
    </row>
    <row r="31" spans="1:9" ht="45" x14ac:dyDescent="0.25">
      <c r="A31" s="1">
        <v>41036000</v>
      </c>
      <c r="B31" s="50" t="s">
        <v>165</v>
      </c>
      <c r="C31" s="47">
        <v>253.6</v>
      </c>
      <c r="D31" s="47">
        <v>253.6</v>
      </c>
      <c r="E31" s="47">
        <f t="shared" si="4"/>
        <v>0</v>
      </c>
      <c r="F31" s="47">
        <f t="shared" si="5"/>
        <v>100</v>
      </c>
      <c r="G31" s="40"/>
      <c r="H31" s="40"/>
      <c r="I31" s="40"/>
    </row>
    <row r="32" spans="1:9" ht="30" x14ac:dyDescent="0.25">
      <c r="A32" s="1">
        <v>41036300</v>
      </c>
      <c r="B32" s="50" t="s">
        <v>166</v>
      </c>
      <c r="C32" s="47">
        <v>5608.1</v>
      </c>
      <c r="D32" s="47">
        <v>5334.6497099999997</v>
      </c>
      <c r="E32" s="47">
        <f t="shared" si="4"/>
        <v>-273.45029000000068</v>
      </c>
      <c r="F32" s="47">
        <f t="shared" si="5"/>
        <v>95.124011875679798</v>
      </c>
      <c r="G32" s="40"/>
      <c r="H32" s="40"/>
      <c r="I32" s="40"/>
    </row>
    <row r="33" spans="1:9" ht="30" x14ac:dyDescent="0.25">
      <c r="A33" s="1">
        <v>41051000</v>
      </c>
      <c r="B33" s="50" t="s">
        <v>43</v>
      </c>
      <c r="C33" s="47">
        <v>881.43200000000002</v>
      </c>
      <c r="D33" s="47">
        <v>881.43173999999999</v>
      </c>
      <c r="E33" s="47">
        <f t="shared" si="4"/>
        <v>-2.6000000002568413E-4</v>
      </c>
      <c r="F33" s="47">
        <f t="shared" si="5"/>
        <v>99.99997050254585</v>
      </c>
      <c r="G33" s="40"/>
      <c r="H33" s="40"/>
      <c r="I33" s="40"/>
    </row>
    <row r="34" spans="1:9" x14ac:dyDescent="0.25">
      <c r="A34" s="1">
        <v>41053900</v>
      </c>
      <c r="B34" s="2" t="s">
        <v>17</v>
      </c>
      <c r="C34" s="47">
        <v>508</v>
      </c>
      <c r="D34" s="47">
        <v>294.60000000000002</v>
      </c>
      <c r="E34" s="47">
        <f t="shared" si="4"/>
        <v>-213.39999999999998</v>
      </c>
      <c r="F34" s="47">
        <f t="shared" si="5"/>
        <v>57.992125984251977</v>
      </c>
      <c r="G34" s="40"/>
      <c r="H34" s="40"/>
      <c r="I34" s="40"/>
    </row>
    <row r="35" spans="1:9" ht="75" x14ac:dyDescent="0.25">
      <c r="A35" s="1">
        <v>41057900</v>
      </c>
      <c r="B35" s="50" t="s">
        <v>167</v>
      </c>
      <c r="C35" s="47">
        <v>883.3</v>
      </c>
      <c r="D35" s="47">
        <v>883.3</v>
      </c>
      <c r="E35" s="47">
        <f t="shared" si="4"/>
        <v>0</v>
      </c>
      <c r="F35" s="47">
        <f t="shared" si="5"/>
        <v>100</v>
      </c>
      <c r="G35" s="40"/>
      <c r="H35" s="40"/>
      <c r="I35" s="40"/>
    </row>
    <row r="36" spans="1:9" ht="60" x14ac:dyDescent="0.25">
      <c r="A36" s="1">
        <v>41059300</v>
      </c>
      <c r="B36" s="50" t="s">
        <v>72</v>
      </c>
      <c r="C36" s="47">
        <v>640.82799999999997</v>
      </c>
      <c r="D36" s="47">
        <v>510.68121000000002</v>
      </c>
      <c r="E36" s="47">
        <f t="shared" si="4"/>
        <v>-130.14678999999995</v>
      </c>
      <c r="F36" s="47">
        <f t="shared" si="5"/>
        <v>79.690839039492673</v>
      </c>
      <c r="G36" s="40"/>
      <c r="H36" s="40"/>
      <c r="I36" s="40"/>
    </row>
    <row r="37" spans="1:9" x14ac:dyDescent="0.25">
      <c r="A37" s="90" t="s">
        <v>33</v>
      </c>
      <c r="B37" s="90"/>
      <c r="C37" s="48">
        <v>168911.2</v>
      </c>
      <c r="D37" s="48">
        <v>175294.24508999998</v>
      </c>
      <c r="E37" s="48">
        <f t="shared" si="4"/>
        <v>6383.0450899999705</v>
      </c>
      <c r="F37" s="48">
        <f t="shared" si="5"/>
        <v>103.77893537551091</v>
      </c>
      <c r="G37" s="40"/>
      <c r="H37" s="40"/>
      <c r="I37" s="40"/>
    </row>
    <row r="38" spans="1:9" x14ac:dyDescent="0.25">
      <c r="A38" s="90" t="s">
        <v>73</v>
      </c>
      <c r="B38" s="90"/>
      <c r="C38" s="48">
        <v>278306.65999999997</v>
      </c>
      <c r="D38" s="48">
        <v>283630.62978999998</v>
      </c>
      <c r="E38" s="48">
        <f t="shared" si="4"/>
        <v>5323.9697900000028</v>
      </c>
      <c r="F38" s="48">
        <f t="shared" si="5"/>
        <v>101.91298684336192</v>
      </c>
      <c r="G38" s="40"/>
      <c r="H38" s="40"/>
      <c r="I38" s="40"/>
    </row>
    <row r="39" spans="1:9" x14ac:dyDescent="0.25">
      <c r="A39" s="39"/>
      <c r="B39" s="40"/>
      <c r="C39" s="40"/>
      <c r="D39" s="40"/>
      <c r="E39" s="40"/>
      <c r="F39" s="40"/>
      <c r="G39" s="40"/>
      <c r="H39" s="40"/>
      <c r="I39" s="40"/>
    </row>
    <row r="40" spans="1:9" x14ac:dyDescent="0.25">
      <c r="A40" s="39"/>
      <c r="B40" s="40"/>
      <c r="C40" s="40"/>
      <c r="D40" s="40"/>
      <c r="E40" s="40"/>
      <c r="F40" s="40"/>
      <c r="G40" s="40"/>
      <c r="H40" s="40"/>
      <c r="I40" s="40"/>
    </row>
    <row r="41" spans="1:9" x14ac:dyDescent="0.25">
      <c r="A41" s="39"/>
      <c r="B41" s="40"/>
      <c r="C41" s="40"/>
      <c r="D41" s="40"/>
      <c r="E41" s="40"/>
      <c r="F41" s="40"/>
      <c r="G41" s="40"/>
      <c r="H41" s="40"/>
      <c r="I41" s="40"/>
    </row>
    <row r="42" spans="1:9" x14ac:dyDescent="0.25">
      <c r="A42" s="39"/>
      <c r="B42" s="40"/>
      <c r="C42" s="40"/>
      <c r="D42" s="40"/>
      <c r="E42" s="40"/>
      <c r="F42" s="40"/>
      <c r="G42" s="40"/>
      <c r="H42" s="40"/>
      <c r="I42" s="40"/>
    </row>
    <row r="43" spans="1:9" x14ac:dyDescent="0.25">
      <c r="A43" s="39"/>
      <c r="B43" s="40"/>
      <c r="C43" s="40"/>
      <c r="D43" s="40"/>
      <c r="E43" s="40"/>
      <c r="F43" s="40"/>
      <c r="G43" s="40"/>
      <c r="H43" s="40"/>
      <c r="I43" s="40"/>
    </row>
    <row r="44" spans="1:9" x14ac:dyDescent="0.25">
      <c r="A44" s="39"/>
      <c r="B44" s="40"/>
      <c r="C44" s="40"/>
      <c r="D44" s="40"/>
      <c r="E44" s="40"/>
      <c r="F44" s="40"/>
      <c r="G44" s="40"/>
      <c r="H44" s="40"/>
      <c r="I44" s="40"/>
    </row>
  </sheetData>
  <mergeCells count="8">
    <mergeCell ref="A2:F2"/>
    <mergeCell ref="A3:F3"/>
    <mergeCell ref="A4:F4"/>
    <mergeCell ref="A37:B37"/>
    <mergeCell ref="A38:B38"/>
    <mergeCell ref="C6:F6"/>
    <mergeCell ref="A6:A7"/>
    <mergeCell ref="B6:B7"/>
  </mergeCells>
  <pageMargins left="0.78740157480314965" right="0.39370078740157483" top="0.39370078740157483" bottom="0.39370078740157483" header="0" footer="0"/>
  <pageSetup paperSize="9" scale="65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E3D8-3D73-4BEE-9166-7FF3DCBE366C}">
  <dimension ref="A2:I82"/>
  <sheetViews>
    <sheetView tabSelected="1" workbookViewId="0">
      <selection activeCell="K20" sqref="K20"/>
    </sheetView>
  </sheetViews>
  <sheetFormatPr defaultRowHeight="15" x14ac:dyDescent="0.25"/>
  <cols>
    <col min="1" max="1" width="13.42578125" style="49" customWidth="1"/>
    <col min="2" max="2" width="61.5703125" customWidth="1"/>
    <col min="3" max="3" width="16.5703125" customWidth="1"/>
    <col min="4" max="4" width="15.28515625" customWidth="1"/>
    <col min="5" max="5" width="13.140625" customWidth="1"/>
    <col min="6" max="6" width="13.5703125" customWidth="1"/>
  </cols>
  <sheetData>
    <row r="2" spans="1:9" ht="18.75" x14ac:dyDescent="0.25">
      <c r="A2" s="88" t="s">
        <v>50</v>
      </c>
      <c r="B2" s="88"/>
      <c r="C2" s="88"/>
      <c r="D2" s="88"/>
      <c r="E2" s="88"/>
      <c r="F2" s="88"/>
      <c r="G2" s="40"/>
    </row>
    <row r="3" spans="1:9" x14ac:dyDescent="0.25">
      <c r="A3" s="89" t="s">
        <v>168</v>
      </c>
      <c r="B3" s="89"/>
      <c r="C3" s="89"/>
      <c r="D3" s="89"/>
      <c r="E3" s="89"/>
      <c r="F3" s="89"/>
      <c r="G3" s="75"/>
      <c r="H3" s="38"/>
      <c r="I3" s="38"/>
    </row>
    <row r="4" spans="1:9" x14ac:dyDescent="0.25">
      <c r="A4" s="89" t="s">
        <v>74</v>
      </c>
      <c r="B4" s="89"/>
      <c r="C4" s="89"/>
      <c r="D4" s="89"/>
      <c r="E4" s="89"/>
      <c r="F4" s="89"/>
      <c r="G4" s="75"/>
      <c r="H4" s="38"/>
      <c r="I4" s="38"/>
    </row>
    <row r="5" spans="1:9" x14ac:dyDescent="0.25">
      <c r="A5" s="39"/>
      <c r="B5" s="40"/>
      <c r="C5" s="40"/>
      <c r="D5" s="40"/>
      <c r="E5" s="40" t="s">
        <v>52</v>
      </c>
      <c r="F5" s="40"/>
      <c r="G5" s="40"/>
    </row>
    <row r="6" spans="1:9" x14ac:dyDescent="0.25">
      <c r="A6" s="94" t="s">
        <v>2</v>
      </c>
      <c r="B6" s="94" t="s">
        <v>3</v>
      </c>
      <c r="C6" s="96" t="s">
        <v>53</v>
      </c>
      <c r="D6" s="97"/>
      <c r="E6" s="97"/>
      <c r="F6" s="97"/>
      <c r="G6" s="40"/>
    </row>
    <row r="7" spans="1:9" ht="28.5" customHeight="1" x14ac:dyDescent="0.25">
      <c r="A7" s="95"/>
      <c r="B7" s="95"/>
      <c r="C7" s="42" t="s">
        <v>54</v>
      </c>
      <c r="D7" s="41" t="s">
        <v>55</v>
      </c>
      <c r="E7" s="43" t="s">
        <v>56</v>
      </c>
      <c r="F7" s="42" t="s">
        <v>13</v>
      </c>
      <c r="G7" s="40"/>
    </row>
    <row r="8" spans="1:9" s="46" customFormat="1" x14ac:dyDescent="0.25">
      <c r="A8" s="41">
        <v>10000000</v>
      </c>
      <c r="B8" s="44" t="s">
        <v>57</v>
      </c>
      <c r="C8" s="45">
        <v>41.677</v>
      </c>
      <c r="D8" s="45">
        <v>36</v>
      </c>
      <c r="E8" s="45">
        <f t="shared" ref="E8:E25" si="0">D8-C8</f>
        <v>-5.6769999999999996</v>
      </c>
      <c r="F8" s="45">
        <f t="shared" ref="F8:F25" si="1">IF(C8=0,0,D8/C8*100)</f>
        <v>86.378578112628063</v>
      </c>
      <c r="G8" s="76"/>
    </row>
    <row r="9" spans="1:9" x14ac:dyDescent="0.25">
      <c r="A9" s="1">
        <v>19000000</v>
      </c>
      <c r="B9" s="2" t="s">
        <v>75</v>
      </c>
      <c r="C9" s="47">
        <v>41.677</v>
      </c>
      <c r="D9" s="47">
        <v>35.968350000000008</v>
      </c>
      <c r="E9" s="47">
        <f t="shared" si="0"/>
        <v>-5.7086499999999916</v>
      </c>
      <c r="F9" s="47">
        <f t="shared" si="1"/>
        <v>86.30263694603741</v>
      </c>
      <c r="G9" s="40"/>
    </row>
    <row r="10" spans="1:9" x14ac:dyDescent="0.25">
      <c r="A10" s="1">
        <v>19010000</v>
      </c>
      <c r="B10" s="2" t="s">
        <v>76</v>
      </c>
      <c r="C10" s="47">
        <v>41.677</v>
      </c>
      <c r="D10" s="47">
        <v>35.968350000000008</v>
      </c>
      <c r="E10" s="47">
        <f t="shared" si="0"/>
        <v>-5.7086499999999916</v>
      </c>
      <c r="F10" s="47">
        <f t="shared" si="1"/>
        <v>86.30263694603741</v>
      </c>
      <c r="G10" s="40"/>
    </row>
    <row r="11" spans="1:9" s="46" customFormat="1" x14ac:dyDescent="0.25">
      <c r="A11" s="41">
        <v>20000000</v>
      </c>
      <c r="B11" s="44" t="s">
        <v>61</v>
      </c>
      <c r="C11" s="45">
        <v>200</v>
      </c>
      <c r="D11" s="45">
        <f>D13+D12</f>
        <v>36695.078679999999</v>
      </c>
      <c r="E11" s="45">
        <f t="shared" si="0"/>
        <v>36495.078679999999</v>
      </c>
      <c r="F11" s="45">
        <f t="shared" si="1"/>
        <v>18347.539339999999</v>
      </c>
      <c r="G11" s="76"/>
    </row>
    <row r="12" spans="1:9" x14ac:dyDescent="0.25">
      <c r="A12" s="1">
        <v>24060000</v>
      </c>
      <c r="B12" s="2" t="s">
        <v>8</v>
      </c>
      <c r="C12" s="47">
        <v>0</v>
      </c>
      <c r="D12" s="47">
        <v>41.978679999999997</v>
      </c>
      <c r="E12" s="47">
        <f t="shared" si="0"/>
        <v>41.978679999999997</v>
      </c>
      <c r="F12" s="47">
        <f t="shared" si="1"/>
        <v>0</v>
      </c>
      <c r="G12" s="40"/>
    </row>
    <row r="13" spans="1:9" s="46" customFormat="1" x14ac:dyDescent="0.25">
      <c r="A13" s="41">
        <v>25000000</v>
      </c>
      <c r="B13" s="44" t="s">
        <v>77</v>
      </c>
      <c r="C13" s="45">
        <v>200</v>
      </c>
      <c r="D13" s="45">
        <f>D14+D15</f>
        <v>36653.1</v>
      </c>
      <c r="E13" s="45">
        <f t="shared" si="0"/>
        <v>36453.1</v>
      </c>
      <c r="F13" s="45">
        <f t="shared" si="1"/>
        <v>18326.55</v>
      </c>
      <c r="G13" s="76"/>
    </row>
    <row r="14" spans="1:9" ht="30" x14ac:dyDescent="0.25">
      <c r="A14" s="1">
        <v>25010000</v>
      </c>
      <c r="B14" s="2" t="s">
        <v>78</v>
      </c>
      <c r="C14" s="47">
        <v>200</v>
      </c>
      <c r="D14" s="47">
        <v>414.6</v>
      </c>
      <c r="E14" s="47">
        <f t="shared" si="0"/>
        <v>214.60000000000002</v>
      </c>
      <c r="F14" s="47">
        <f t="shared" si="1"/>
        <v>207.29999999999998</v>
      </c>
      <c r="G14" s="40"/>
    </row>
    <row r="15" spans="1:9" x14ac:dyDescent="0.25">
      <c r="A15" s="1">
        <v>25020000</v>
      </c>
      <c r="B15" s="2" t="s">
        <v>211</v>
      </c>
      <c r="C15" s="47">
        <v>0</v>
      </c>
      <c r="D15" s="47">
        <v>36238.5</v>
      </c>
      <c r="E15" s="47">
        <f t="shared" ref="E15" si="2">D15-C15</f>
        <v>36238.5</v>
      </c>
      <c r="F15" s="47">
        <f t="shared" ref="F15" si="3">IF(C15=0,0,D15/C15*100)</f>
        <v>0</v>
      </c>
      <c r="G15" s="40"/>
    </row>
    <row r="16" spans="1:9" s="46" customFormat="1" x14ac:dyDescent="0.25">
      <c r="A16" s="41">
        <v>30000000</v>
      </c>
      <c r="B16" s="44" t="s">
        <v>15</v>
      </c>
      <c r="C16" s="45">
        <v>0</v>
      </c>
      <c r="D16" s="45">
        <v>38.842599999999997</v>
      </c>
      <c r="E16" s="45">
        <f t="shared" si="0"/>
        <v>38.842599999999997</v>
      </c>
      <c r="F16" s="45">
        <f t="shared" si="1"/>
        <v>0</v>
      </c>
      <c r="G16" s="76"/>
    </row>
    <row r="17" spans="1:7" ht="30" x14ac:dyDescent="0.25">
      <c r="A17" s="1">
        <v>31030000</v>
      </c>
      <c r="B17" s="50" t="s">
        <v>16</v>
      </c>
      <c r="C17" s="47">
        <v>0</v>
      </c>
      <c r="D17" s="47">
        <v>38.842599999999997</v>
      </c>
      <c r="E17" s="47">
        <f t="shared" si="0"/>
        <v>38.842599999999997</v>
      </c>
      <c r="F17" s="47">
        <f t="shared" si="1"/>
        <v>0</v>
      </c>
      <c r="G17" s="40"/>
    </row>
    <row r="18" spans="1:7" s="46" customFormat="1" x14ac:dyDescent="0.25">
      <c r="A18" s="41">
        <v>40000000</v>
      </c>
      <c r="B18" s="44" t="s">
        <v>64</v>
      </c>
      <c r="C18" s="45">
        <v>9777.91</v>
      </c>
      <c r="D18" s="45">
        <v>8513.575780000001</v>
      </c>
      <c r="E18" s="45">
        <f t="shared" si="0"/>
        <v>-1264.3342199999988</v>
      </c>
      <c r="F18" s="45">
        <f t="shared" si="1"/>
        <v>87.069483969478156</v>
      </c>
      <c r="G18" s="76"/>
    </row>
    <row r="19" spans="1:7" x14ac:dyDescent="0.25">
      <c r="A19" s="1">
        <v>41033900</v>
      </c>
      <c r="B19" s="2" t="s">
        <v>11</v>
      </c>
      <c r="C19" s="47">
        <v>1830.5</v>
      </c>
      <c r="D19" s="47">
        <v>1786.9018000000001</v>
      </c>
      <c r="E19" s="47">
        <f t="shared" si="0"/>
        <v>-43.598199999999906</v>
      </c>
      <c r="F19" s="47">
        <f t="shared" si="1"/>
        <v>97.618235454793776</v>
      </c>
      <c r="G19" s="40"/>
    </row>
    <row r="20" spans="1:7" ht="45" x14ac:dyDescent="0.25">
      <c r="A20" s="1">
        <v>41035400</v>
      </c>
      <c r="B20" s="50" t="s">
        <v>164</v>
      </c>
      <c r="C20" s="47">
        <v>62</v>
      </c>
      <c r="D20" s="47">
        <v>62</v>
      </c>
      <c r="E20" s="47">
        <f t="shared" si="0"/>
        <v>0</v>
      </c>
      <c r="F20" s="47">
        <f t="shared" si="1"/>
        <v>100</v>
      </c>
      <c r="G20" s="40"/>
    </row>
    <row r="21" spans="1:7" ht="60" x14ac:dyDescent="0.25">
      <c r="A21" s="1">
        <v>41037400</v>
      </c>
      <c r="B21" s="2" t="s">
        <v>170</v>
      </c>
      <c r="C21" s="47">
        <v>157.30000000000001</v>
      </c>
      <c r="D21" s="47">
        <v>92.761499999999998</v>
      </c>
      <c r="E21" s="47">
        <f t="shared" si="0"/>
        <v>-64.538500000000013</v>
      </c>
      <c r="F21" s="47">
        <f t="shared" si="1"/>
        <v>58.971074380165291</v>
      </c>
      <c r="G21" s="40"/>
    </row>
    <row r="22" spans="1:7" ht="32.25" customHeight="1" x14ac:dyDescent="0.25">
      <c r="A22" s="1">
        <v>41038800</v>
      </c>
      <c r="B22" s="2" t="s">
        <v>171</v>
      </c>
      <c r="C22" s="47">
        <v>2000</v>
      </c>
      <c r="D22" s="47">
        <v>1998.3113500000002</v>
      </c>
      <c r="E22" s="47">
        <f t="shared" si="0"/>
        <v>-1.688649999999825</v>
      </c>
      <c r="F22" s="47">
        <f t="shared" si="1"/>
        <v>99.915567500000009</v>
      </c>
      <c r="G22" s="40"/>
    </row>
    <row r="23" spans="1:7" ht="18" customHeight="1" x14ac:dyDescent="0.25">
      <c r="A23" s="1">
        <v>41053900</v>
      </c>
      <c r="B23" s="2" t="s">
        <v>17</v>
      </c>
      <c r="C23" s="47">
        <v>5728.11</v>
      </c>
      <c r="D23" s="47">
        <v>4573.60113</v>
      </c>
      <c r="E23" s="47">
        <f t="shared" si="0"/>
        <v>-1154.5088699999997</v>
      </c>
      <c r="F23" s="47">
        <f t="shared" si="1"/>
        <v>79.844855109276892</v>
      </c>
      <c r="G23" s="40"/>
    </row>
    <row r="24" spans="1:7" ht="16.5" customHeight="1" x14ac:dyDescent="0.25">
      <c r="A24" s="90" t="s">
        <v>33</v>
      </c>
      <c r="B24" s="90"/>
      <c r="C24" s="48">
        <v>241.67699999999999</v>
      </c>
      <c r="D24" s="48">
        <f>D8+D11+D16</f>
        <v>36769.921280000002</v>
      </c>
      <c r="E24" s="48">
        <f t="shared" si="0"/>
        <v>36528.244279999999</v>
      </c>
      <c r="F24" s="48">
        <f t="shared" si="1"/>
        <v>15214.489289423489</v>
      </c>
      <c r="G24" s="40"/>
    </row>
    <row r="25" spans="1:7" x14ac:dyDescent="0.25">
      <c r="A25" s="90" t="s">
        <v>73</v>
      </c>
      <c r="B25" s="90"/>
      <c r="C25" s="48">
        <v>10019.587</v>
      </c>
      <c r="D25" s="48">
        <f>D18+D24</f>
        <v>45283.497060000002</v>
      </c>
      <c r="E25" s="48">
        <f t="shared" si="0"/>
        <v>35263.910060000002</v>
      </c>
      <c r="F25" s="48">
        <f t="shared" si="1"/>
        <v>451.94973665082205</v>
      </c>
      <c r="G25" s="40"/>
    </row>
    <row r="26" spans="1:7" x14ac:dyDescent="0.25">
      <c r="A26" s="39"/>
      <c r="B26" s="40"/>
      <c r="C26" s="40"/>
      <c r="D26" s="40"/>
      <c r="E26" s="40"/>
      <c r="F26" s="40"/>
      <c r="G26" s="40"/>
    </row>
    <row r="27" spans="1:7" x14ac:dyDescent="0.25">
      <c r="A27" s="39"/>
      <c r="B27" s="40"/>
      <c r="C27" s="40"/>
      <c r="D27" s="40"/>
      <c r="E27" s="40"/>
      <c r="F27" s="40"/>
      <c r="G27" s="40"/>
    </row>
    <row r="28" spans="1:7" x14ac:dyDescent="0.25">
      <c r="A28" s="39"/>
      <c r="B28" s="40"/>
      <c r="C28" s="40"/>
      <c r="D28" s="40"/>
      <c r="E28" s="40"/>
      <c r="F28" s="40"/>
      <c r="G28" s="40"/>
    </row>
    <row r="29" spans="1:7" x14ac:dyDescent="0.25">
      <c r="A29" s="39"/>
      <c r="B29" s="40"/>
      <c r="C29" s="40"/>
      <c r="D29" s="40"/>
      <c r="E29" s="40"/>
      <c r="F29" s="40"/>
      <c r="G29" s="40"/>
    </row>
    <row r="30" spans="1:7" x14ac:dyDescent="0.25">
      <c r="A30" s="39"/>
      <c r="B30" s="40"/>
      <c r="C30" s="40"/>
      <c r="D30" s="40"/>
      <c r="E30" s="40"/>
      <c r="F30" s="40"/>
      <c r="G30" s="40"/>
    </row>
    <row r="31" spans="1:7" x14ac:dyDescent="0.25">
      <c r="A31" s="39"/>
      <c r="B31" s="40"/>
      <c r="C31" s="40"/>
      <c r="D31" s="40"/>
      <c r="E31" s="40"/>
      <c r="F31" s="40"/>
      <c r="G31" s="40"/>
    </row>
    <row r="32" spans="1:7" x14ac:dyDescent="0.25">
      <c r="A32" s="39"/>
      <c r="B32" s="40"/>
      <c r="C32" s="40"/>
      <c r="D32" s="40"/>
      <c r="E32" s="40"/>
      <c r="F32" s="40"/>
      <c r="G32" s="40"/>
    </row>
    <row r="33" spans="1:7" x14ac:dyDescent="0.25">
      <c r="A33" s="39"/>
      <c r="B33" s="40"/>
      <c r="C33" s="40"/>
      <c r="D33" s="40"/>
      <c r="E33" s="40"/>
      <c r="F33" s="40"/>
      <c r="G33" s="40"/>
    </row>
    <row r="34" spans="1:7" x14ac:dyDescent="0.25">
      <c r="A34" s="39"/>
      <c r="B34" s="40"/>
      <c r="C34" s="40"/>
      <c r="D34" s="40"/>
      <c r="E34" s="40"/>
      <c r="F34" s="40"/>
      <c r="G34" s="40"/>
    </row>
    <row r="35" spans="1:7" x14ac:dyDescent="0.25">
      <c r="A35" s="39"/>
      <c r="B35" s="40"/>
      <c r="C35" s="40"/>
      <c r="D35" s="40"/>
      <c r="E35" s="40"/>
      <c r="F35" s="40"/>
      <c r="G35" s="40"/>
    </row>
    <row r="36" spans="1:7" x14ac:dyDescent="0.25">
      <c r="A36" s="39"/>
      <c r="B36" s="40"/>
      <c r="C36" s="40"/>
      <c r="D36" s="40"/>
      <c r="E36" s="40"/>
      <c r="F36" s="40"/>
      <c r="G36" s="40"/>
    </row>
    <row r="37" spans="1:7" x14ac:dyDescent="0.25">
      <c r="A37" s="39"/>
      <c r="B37" s="40"/>
      <c r="C37" s="40"/>
      <c r="D37" s="40"/>
      <c r="E37" s="40"/>
      <c r="F37" s="40"/>
      <c r="G37" s="40"/>
    </row>
    <row r="38" spans="1:7" x14ac:dyDescent="0.25">
      <c r="A38" s="39"/>
      <c r="B38" s="40"/>
      <c r="C38" s="40"/>
      <c r="D38" s="40"/>
      <c r="E38" s="40"/>
      <c r="F38" s="40"/>
      <c r="G38" s="40"/>
    </row>
    <row r="39" spans="1:7" x14ac:dyDescent="0.25">
      <c r="A39" s="39"/>
      <c r="B39" s="40"/>
      <c r="C39" s="40"/>
      <c r="D39" s="40"/>
      <c r="E39" s="40"/>
      <c r="F39" s="40"/>
      <c r="G39" s="40"/>
    </row>
    <row r="40" spans="1:7" x14ac:dyDescent="0.25">
      <c r="A40" s="39"/>
      <c r="B40" s="40"/>
      <c r="C40" s="40"/>
      <c r="D40" s="40"/>
      <c r="E40" s="40"/>
      <c r="F40" s="40"/>
      <c r="G40" s="40"/>
    </row>
    <row r="41" spans="1:7" x14ac:dyDescent="0.25">
      <c r="A41" s="39"/>
      <c r="B41" s="40"/>
      <c r="C41" s="40"/>
      <c r="D41" s="40"/>
      <c r="E41" s="40"/>
      <c r="F41" s="40"/>
      <c r="G41" s="40"/>
    </row>
    <row r="42" spans="1:7" x14ac:dyDescent="0.25">
      <c r="A42" s="39"/>
      <c r="B42" s="40"/>
      <c r="C42" s="40"/>
      <c r="D42" s="40"/>
      <c r="E42" s="40"/>
      <c r="F42" s="40"/>
      <c r="G42" s="40"/>
    </row>
    <row r="43" spans="1:7" x14ac:dyDescent="0.25">
      <c r="A43" s="39"/>
      <c r="B43" s="40"/>
      <c r="C43" s="40"/>
      <c r="D43" s="40"/>
      <c r="E43" s="40"/>
      <c r="F43" s="40"/>
      <c r="G43" s="40"/>
    </row>
    <row r="44" spans="1:7" x14ac:dyDescent="0.25">
      <c r="A44" s="39"/>
      <c r="B44" s="40"/>
      <c r="C44" s="40"/>
      <c r="D44" s="40"/>
      <c r="E44" s="40"/>
      <c r="F44" s="40"/>
      <c r="G44" s="40"/>
    </row>
    <row r="45" spans="1:7" x14ac:dyDescent="0.25">
      <c r="A45" s="39"/>
      <c r="B45" s="40"/>
      <c r="C45" s="40"/>
      <c r="D45" s="40"/>
      <c r="E45" s="40"/>
      <c r="F45" s="40"/>
      <c r="G45" s="40"/>
    </row>
    <row r="46" spans="1:7" x14ac:dyDescent="0.25">
      <c r="A46" s="39"/>
      <c r="B46" s="40"/>
      <c r="C46" s="40"/>
      <c r="D46" s="40"/>
      <c r="E46" s="40"/>
      <c r="F46" s="40"/>
      <c r="G46" s="40"/>
    </row>
    <row r="47" spans="1:7" x14ac:dyDescent="0.25">
      <c r="A47" s="39"/>
      <c r="B47" s="40"/>
      <c r="C47" s="40"/>
      <c r="D47" s="40"/>
      <c r="E47" s="40"/>
      <c r="F47" s="40"/>
      <c r="G47" s="40"/>
    </row>
    <row r="48" spans="1:7" x14ac:dyDescent="0.25">
      <c r="A48" s="39"/>
      <c r="B48" s="40"/>
      <c r="C48" s="40"/>
      <c r="D48" s="40"/>
      <c r="E48" s="40"/>
      <c r="F48" s="40"/>
      <c r="G48" s="40"/>
    </row>
    <row r="49" spans="1:7" x14ac:dyDescent="0.25">
      <c r="A49" s="39"/>
      <c r="B49" s="40"/>
      <c r="C49" s="40"/>
      <c r="D49" s="40"/>
      <c r="E49" s="40"/>
      <c r="F49" s="40"/>
      <c r="G49" s="40"/>
    </row>
    <row r="50" spans="1:7" x14ac:dyDescent="0.25">
      <c r="A50" s="39"/>
      <c r="B50" s="40"/>
      <c r="C50" s="40"/>
      <c r="D50" s="40"/>
      <c r="E50" s="40"/>
      <c r="F50" s="40"/>
      <c r="G50" s="40"/>
    </row>
    <row r="51" spans="1:7" x14ac:dyDescent="0.25">
      <c r="A51" s="39"/>
      <c r="B51" s="40"/>
      <c r="C51" s="40"/>
      <c r="D51" s="40"/>
      <c r="E51" s="40"/>
      <c r="F51" s="40"/>
      <c r="G51" s="40"/>
    </row>
    <row r="52" spans="1:7" x14ac:dyDescent="0.25">
      <c r="A52" s="39"/>
      <c r="B52" s="40"/>
      <c r="C52" s="40"/>
      <c r="D52" s="40"/>
      <c r="E52" s="40"/>
      <c r="F52" s="40"/>
      <c r="G52" s="40"/>
    </row>
    <row r="53" spans="1:7" x14ac:dyDescent="0.25">
      <c r="A53" s="39"/>
      <c r="B53" s="40"/>
      <c r="C53" s="40"/>
      <c r="D53" s="40"/>
      <c r="E53" s="40"/>
      <c r="F53" s="40"/>
      <c r="G53" s="40"/>
    </row>
    <row r="54" spans="1:7" x14ac:dyDescent="0.25">
      <c r="A54" s="39"/>
      <c r="B54" s="40"/>
      <c r="C54" s="40"/>
      <c r="D54" s="40"/>
      <c r="E54" s="40"/>
      <c r="F54" s="40"/>
      <c r="G54" s="40"/>
    </row>
    <row r="55" spans="1:7" x14ac:dyDescent="0.25">
      <c r="A55" s="39"/>
      <c r="B55" s="40"/>
      <c r="C55" s="40"/>
      <c r="D55" s="40"/>
      <c r="E55" s="40"/>
      <c r="F55" s="40"/>
      <c r="G55" s="40"/>
    </row>
    <row r="56" spans="1:7" x14ac:dyDescent="0.25">
      <c r="A56" s="39"/>
      <c r="B56" s="40"/>
      <c r="C56" s="40"/>
      <c r="D56" s="40"/>
      <c r="E56" s="40"/>
      <c r="F56" s="40"/>
      <c r="G56" s="40"/>
    </row>
    <row r="57" spans="1:7" x14ac:dyDescent="0.25">
      <c r="A57" s="39"/>
      <c r="B57" s="40"/>
      <c r="C57" s="40"/>
      <c r="D57" s="40"/>
      <c r="E57" s="40"/>
      <c r="F57" s="40"/>
      <c r="G57" s="40"/>
    </row>
    <row r="58" spans="1:7" x14ac:dyDescent="0.25">
      <c r="A58" s="39"/>
      <c r="B58" s="40"/>
      <c r="C58" s="40"/>
      <c r="D58" s="40"/>
      <c r="E58" s="40"/>
      <c r="F58" s="40"/>
      <c r="G58" s="40"/>
    </row>
    <row r="59" spans="1:7" x14ac:dyDescent="0.25">
      <c r="A59" s="39"/>
      <c r="B59" s="40"/>
      <c r="C59" s="40"/>
      <c r="D59" s="40"/>
      <c r="E59" s="40"/>
      <c r="F59" s="40"/>
      <c r="G59" s="40"/>
    </row>
    <row r="60" spans="1:7" x14ac:dyDescent="0.25">
      <c r="A60" s="39"/>
      <c r="B60" s="40"/>
      <c r="C60" s="40"/>
      <c r="D60" s="40"/>
      <c r="E60" s="40"/>
      <c r="F60" s="40"/>
      <c r="G60" s="40"/>
    </row>
    <row r="61" spans="1:7" x14ac:dyDescent="0.25">
      <c r="A61" s="39"/>
      <c r="B61" s="40"/>
      <c r="C61" s="40"/>
      <c r="D61" s="40"/>
      <c r="E61" s="40"/>
      <c r="F61" s="40"/>
      <c r="G61" s="40"/>
    </row>
    <row r="62" spans="1:7" x14ac:dyDescent="0.25">
      <c r="A62" s="39"/>
      <c r="B62" s="40"/>
      <c r="C62" s="40"/>
      <c r="D62" s="40"/>
      <c r="E62" s="40"/>
      <c r="F62" s="40"/>
      <c r="G62" s="40"/>
    </row>
    <row r="63" spans="1:7" x14ac:dyDescent="0.25">
      <c r="A63" s="39"/>
      <c r="B63" s="40"/>
      <c r="C63" s="40"/>
      <c r="D63" s="40"/>
      <c r="E63" s="40"/>
      <c r="F63" s="40"/>
      <c r="G63" s="40"/>
    </row>
    <row r="64" spans="1:7" x14ac:dyDescent="0.25">
      <c r="A64" s="39"/>
      <c r="B64" s="40"/>
      <c r="C64" s="40"/>
      <c r="D64" s="40"/>
      <c r="E64" s="40"/>
      <c r="F64" s="40"/>
      <c r="G64" s="40"/>
    </row>
    <row r="65" spans="1:7" x14ac:dyDescent="0.25">
      <c r="A65" s="39"/>
      <c r="B65" s="40"/>
      <c r="C65" s="40"/>
      <c r="D65" s="40"/>
      <c r="E65" s="40"/>
      <c r="F65" s="40"/>
      <c r="G65" s="40"/>
    </row>
    <row r="66" spans="1:7" x14ac:dyDescent="0.25">
      <c r="A66" s="39"/>
      <c r="B66" s="40"/>
      <c r="C66" s="40"/>
      <c r="D66" s="40"/>
      <c r="E66" s="40"/>
      <c r="F66" s="40"/>
      <c r="G66" s="40"/>
    </row>
    <row r="67" spans="1:7" x14ac:dyDescent="0.25">
      <c r="A67" s="39"/>
      <c r="B67" s="40"/>
      <c r="C67" s="40"/>
      <c r="D67" s="40"/>
      <c r="E67" s="40"/>
      <c r="F67" s="40"/>
      <c r="G67" s="40"/>
    </row>
    <row r="68" spans="1:7" x14ac:dyDescent="0.25">
      <c r="A68" s="39"/>
      <c r="B68" s="40"/>
      <c r="C68" s="40"/>
      <c r="D68" s="40"/>
      <c r="E68" s="40"/>
      <c r="F68" s="40"/>
      <c r="G68" s="40"/>
    </row>
    <row r="69" spans="1:7" x14ac:dyDescent="0.25">
      <c r="A69" s="39"/>
      <c r="B69" s="40"/>
      <c r="C69" s="40"/>
      <c r="D69" s="40"/>
      <c r="E69" s="40"/>
      <c r="F69" s="40"/>
      <c r="G69" s="40"/>
    </row>
    <row r="70" spans="1:7" x14ac:dyDescent="0.25">
      <c r="A70" s="39"/>
      <c r="B70" s="40"/>
      <c r="C70" s="40"/>
      <c r="D70" s="40"/>
      <c r="E70" s="40"/>
      <c r="F70" s="40"/>
      <c r="G70" s="40"/>
    </row>
    <row r="71" spans="1:7" x14ac:dyDescent="0.25">
      <c r="A71" s="39"/>
      <c r="B71" s="40"/>
      <c r="C71" s="40"/>
      <c r="D71" s="40"/>
      <c r="E71" s="40"/>
      <c r="F71" s="40"/>
      <c r="G71" s="40"/>
    </row>
    <row r="72" spans="1:7" x14ac:dyDescent="0.25">
      <c r="A72" s="39"/>
      <c r="B72" s="40"/>
      <c r="C72" s="40"/>
      <c r="D72" s="40"/>
      <c r="E72" s="40"/>
      <c r="F72" s="40"/>
      <c r="G72" s="40"/>
    </row>
    <row r="73" spans="1:7" x14ac:dyDescent="0.25">
      <c r="A73" s="39"/>
      <c r="B73" s="40"/>
      <c r="C73" s="40"/>
      <c r="D73" s="40"/>
      <c r="E73" s="40"/>
      <c r="F73" s="40"/>
      <c r="G73" s="40"/>
    </row>
    <row r="74" spans="1:7" x14ac:dyDescent="0.25">
      <c r="A74" s="39"/>
      <c r="B74" s="40"/>
      <c r="C74" s="40"/>
      <c r="D74" s="40"/>
      <c r="E74" s="40"/>
      <c r="F74" s="40"/>
      <c r="G74" s="40"/>
    </row>
    <row r="75" spans="1:7" x14ac:dyDescent="0.25">
      <c r="A75" s="39"/>
      <c r="B75" s="40"/>
      <c r="C75" s="40"/>
      <c r="D75" s="40"/>
      <c r="E75" s="40"/>
      <c r="F75" s="40"/>
      <c r="G75" s="40"/>
    </row>
    <row r="76" spans="1:7" x14ac:dyDescent="0.25">
      <c r="A76" s="39"/>
      <c r="B76" s="40"/>
      <c r="C76" s="40"/>
      <c r="D76" s="40"/>
      <c r="E76" s="40"/>
      <c r="F76" s="40"/>
      <c r="G76" s="40"/>
    </row>
    <row r="77" spans="1:7" x14ac:dyDescent="0.25">
      <c r="A77" s="39"/>
      <c r="B77" s="40"/>
      <c r="C77" s="40"/>
      <c r="D77" s="40"/>
      <c r="E77" s="40"/>
      <c r="F77" s="40"/>
      <c r="G77" s="40"/>
    </row>
    <row r="78" spans="1:7" x14ac:dyDescent="0.25">
      <c r="A78" s="39"/>
      <c r="B78" s="40"/>
      <c r="C78" s="40"/>
      <c r="D78" s="40"/>
      <c r="E78" s="40"/>
      <c r="F78" s="40"/>
      <c r="G78" s="40"/>
    </row>
    <row r="79" spans="1:7" x14ac:dyDescent="0.25">
      <c r="A79" s="39"/>
      <c r="B79" s="40"/>
      <c r="C79" s="40"/>
      <c r="D79" s="40"/>
      <c r="E79" s="40"/>
      <c r="F79" s="40"/>
      <c r="G79" s="40"/>
    </row>
    <row r="80" spans="1:7" x14ac:dyDescent="0.25">
      <c r="A80" s="39"/>
      <c r="B80" s="40"/>
      <c r="C80" s="40"/>
      <c r="D80" s="40"/>
      <c r="E80" s="40"/>
      <c r="F80" s="40"/>
      <c r="G80" s="40"/>
    </row>
    <row r="81" spans="1:7" x14ac:dyDescent="0.25">
      <c r="A81" s="39"/>
      <c r="B81" s="40"/>
      <c r="C81" s="40"/>
      <c r="D81" s="40"/>
      <c r="E81" s="40"/>
      <c r="F81" s="40"/>
      <c r="G81" s="40"/>
    </row>
    <row r="82" spans="1:7" x14ac:dyDescent="0.25">
      <c r="A82" s="39"/>
      <c r="B82" s="40"/>
      <c r="C82" s="40"/>
      <c r="D82" s="40"/>
      <c r="E82" s="40"/>
      <c r="F82" s="40"/>
      <c r="G82" s="40"/>
    </row>
  </sheetData>
  <mergeCells count="8">
    <mergeCell ref="A24:B24"/>
    <mergeCell ref="A25:B25"/>
    <mergeCell ref="A2:F2"/>
    <mergeCell ref="A3:F3"/>
    <mergeCell ref="A4:F4"/>
    <mergeCell ref="A6:A7"/>
    <mergeCell ref="B6:B7"/>
    <mergeCell ref="C6:F6"/>
  </mergeCells>
  <pageMargins left="0.78740157480314965" right="0.59055118110236227" top="0.39370078740157483" bottom="0.39370078740157483" header="0" footer="0"/>
  <pageSetup paperSize="9" scale="65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13F0-0337-4D5B-9497-7D13E2ED8585}">
  <sheetPr>
    <pageSetUpPr fitToPage="1"/>
  </sheetPr>
  <dimension ref="A2:F57"/>
  <sheetViews>
    <sheetView topLeftCell="A34" workbookViewId="0">
      <selection activeCell="K56" sqref="K56"/>
    </sheetView>
  </sheetViews>
  <sheetFormatPr defaultRowHeight="12.75" x14ac:dyDescent="0.2"/>
  <cols>
    <col min="1" max="1" width="12.7109375" style="53" customWidth="1"/>
    <col min="2" max="2" width="50.7109375" style="54" customWidth="1"/>
    <col min="3" max="6" width="15.7109375" style="55" customWidth="1"/>
    <col min="7" max="244" width="9.140625" style="55"/>
    <col min="245" max="245" width="12.7109375" style="55" customWidth="1"/>
    <col min="246" max="246" width="50.7109375" style="55" customWidth="1"/>
    <col min="247" max="260" width="15.7109375" style="55" customWidth="1"/>
    <col min="261" max="500" width="9.140625" style="55"/>
    <col min="501" max="501" width="12.7109375" style="55" customWidth="1"/>
    <col min="502" max="502" width="50.7109375" style="55" customWidth="1"/>
    <col min="503" max="516" width="15.7109375" style="55" customWidth="1"/>
    <col min="517" max="756" width="9.140625" style="55"/>
    <col min="757" max="757" width="12.7109375" style="55" customWidth="1"/>
    <col min="758" max="758" width="50.7109375" style="55" customWidth="1"/>
    <col min="759" max="772" width="15.7109375" style="55" customWidth="1"/>
    <col min="773" max="1012" width="9.140625" style="55"/>
    <col min="1013" max="1013" width="12.7109375" style="55" customWidth="1"/>
    <col min="1014" max="1014" width="50.7109375" style="55" customWidth="1"/>
    <col min="1015" max="1028" width="15.7109375" style="55" customWidth="1"/>
    <col min="1029" max="1268" width="9.140625" style="55"/>
    <col min="1269" max="1269" width="12.7109375" style="55" customWidth="1"/>
    <col min="1270" max="1270" width="50.7109375" style="55" customWidth="1"/>
    <col min="1271" max="1284" width="15.7109375" style="55" customWidth="1"/>
    <col min="1285" max="1524" width="9.140625" style="55"/>
    <col min="1525" max="1525" width="12.7109375" style="55" customWidth="1"/>
    <col min="1526" max="1526" width="50.7109375" style="55" customWidth="1"/>
    <col min="1527" max="1540" width="15.7109375" style="55" customWidth="1"/>
    <col min="1541" max="1780" width="9.140625" style="55"/>
    <col min="1781" max="1781" width="12.7109375" style="55" customWidth="1"/>
    <col min="1782" max="1782" width="50.7109375" style="55" customWidth="1"/>
    <col min="1783" max="1796" width="15.7109375" style="55" customWidth="1"/>
    <col min="1797" max="2036" width="9.140625" style="55"/>
    <col min="2037" max="2037" width="12.7109375" style="55" customWidth="1"/>
    <col min="2038" max="2038" width="50.7109375" style="55" customWidth="1"/>
    <col min="2039" max="2052" width="15.7109375" style="55" customWidth="1"/>
    <col min="2053" max="2292" width="9.140625" style="55"/>
    <col min="2293" max="2293" width="12.7109375" style="55" customWidth="1"/>
    <col min="2294" max="2294" width="50.7109375" style="55" customWidth="1"/>
    <col min="2295" max="2308" width="15.7109375" style="55" customWidth="1"/>
    <col min="2309" max="2548" width="9.140625" style="55"/>
    <col min="2549" max="2549" width="12.7109375" style="55" customWidth="1"/>
    <col min="2550" max="2550" width="50.7109375" style="55" customWidth="1"/>
    <col min="2551" max="2564" width="15.7109375" style="55" customWidth="1"/>
    <col min="2565" max="2804" width="9.140625" style="55"/>
    <col min="2805" max="2805" width="12.7109375" style="55" customWidth="1"/>
    <col min="2806" max="2806" width="50.7109375" style="55" customWidth="1"/>
    <col min="2807" max="2820" width="15.7109375" style="55" customWidth="1"/>
    <col min="2821" max="3060" width="9.140625" style="55"/>
    <col min="3061" max="3061" width="12.7109375" style="55" customWidth="1"/>
    <col min="3062" max="3062" width="50.7109375" style="55" customWidth="1"/>
    <col min="3063" max="3076" width="15.7109375" style="55" customWidth="1"/>
    <col min="3077" max="3316" width="9.140625" style="55"/>
    <col min="3317" max="3317" width="12.7109375" style="55" customWidth="1"/>
    <col min="3318" max="3318" width="50.7109375" style="55" customWidth="1"/>
    <col min="3319" max="3332" width="15.7109375" style="55" customWidth="1"/>
    <col min="3333" max="3572" width="9.140625" style="55"/>
    <col min="3573" max="3573" width="12.7109375" style="55" customWidth="1"/>
    <col min="3574" max="3574" width="50.7109375" style="55" customWidth="1"/>
    <col min="3575" max="3588" width="15.7109375" style="55" customWidth="1"/>
    <col min="3589" max="3828" width="9.140625" style="55"/>
    <col min="3829" max="3829" width="12.7109375" style="55" customWidth="1"/>
    <col min="3830" max="3830" width="50.7109375" style="55" customWidth="1"/>
    <col min="3831" max="3844" width="15.7109375" style="55" customWidth="1"/>
    <col min="3845" max="4084" width="9.140625" style="55"/>
    <col min="4085" max="4085" width="12.7109375" style="55" customWidth="1"/>
    <col min="4086" max="4086" width="50.7109375" style="55" customWidth="1"/>
    <col min="4087" max="4100" width="15.7109375" style="55" customWidth="1"/>
    <col min="4101" max="4340" width="9.140625" style="55"/>
    <col min="4341" max="4341" width="12.7109375" style="55" customWidth="1"/>
    <col min="4342" max="4342" width="50.7109375" style="55" customWidth="1"/>
    <col min="4343" max="4356" width="15.7109375" style="55" customWidth="1"/>
    <col min="4357" max="4596" width="9.140625" style="55"/>
    <col min="4597" max="4597" width="12.7109375" style="55" customWidth="1"/>
    <col min="4598" max="4598" width="50.7109375" style="55" customWidth="1"/>
    <col min="4599" max="4612" width="15.7109375" style="55" customWidth="1"/>
    <col min="4613" max="4852" width="9.140625" style="55"/>
    <col min="4853" max="4853" width="12.7109375" style="55" customWidth="1"/>
    <col min="4854" max="4854" width="50.7109375" style="55" customWidth="1"/>
    <col min="4855" max="4868" width="15.7109375" style="55" customWidth="1"/>
    <col min="4869" max="5108" width="9.140625" style="55"/>
    <col min="5109" max="5109" width="12.7109375" style="55" customWidth="1"/>
    <col min="5110" max="5110" width="50.7109375" style="55" customWidth="1"/>
    <col min="5111" max="5124" width="15.7109375" style="55" customWidth="1"/>
    <col min="5125" max="5364" width="9.140625" style="55"/>
    <col min="5365" max="5365" width="12.7109375" style="55" customWidth="1"/>
    <col min="5366" max="5366" width="50.7109375" style="55" customWidth="1"/>
    <col min="5367" max="5380" width="15.7109375" style="55" customWidth="1"/>
    <col min="5381" max="5620" width="9.140625" style="55"/>
    <col min="5621" max="5621" width="12.7109375" style="55" customWidth="1"/>
    <col min="5622" max="5622" width="50.7109375" style="55" customWidth="1"/>
    <col min="5623" max="5636" width="15.7109375" style="55" customWidth="1"/>
    <col min="5637" max="5876" width="9.140625" style="55"/>
    <col min="5877" max="5877" width="12.7109375" style="55" customWidth="1"/>
    <col min="5878" max="5878" width="50.7109375" style="55" customWidth="1"/>
    <col min="5879" max="5892" width="15.7109375" style="55" customWidth="1"/>
    <col min="5893" max="6132" width="9.140625" style="55"/>
    <col min="6133" max="6133" width="12.7109375" style="55" customWidth="1"/>
    <col min="6134" max="6134" width="50.7109375" style="55" customWidth="1"/>
    <col min="6135" max="6148" width="15.7109375" style="55" customWidth="1"/>
    <col min="6149" max="6388" width="9.140625" style="55"/>
    <col min="6389" max="6389" width="12.7109375" style="55" customWidth="1"/>
    <col min="6390" max="6390" width="50.7109375" style="55" customWidth="1"/>
    <col min="6391" max="6404" width="15.7109375" style="55" customWidth="1"/>
    <col min="6405" max="6644" width="9.140625" style="55"/>
    <col min="6645" max="6645" width="12.7109375" style="55" customWidth="1"/>
    <col min="6646" max="6646" width="50.7109375" style="55" customWidth="1"/>
    <col min="6647" max="6660" width="15.7109375" style="55" customWidth="1"/>
    <col min="6661" max="6900" width="9.140625" style="55"/>
    <col min="6901" max="6901" width="12.7109375" style="55" customWidth="1"/>
    <col min="6902" max="6902" width="50.7109375" style="55" customWidth="1"/>
    <col min="6903" max="6916" width="15.7109375" style="55" customWidth="1"/>
    <col min="6917" max="7156" width="9.140625" style="55"/>
    <col min="7157" max="7157" width="12.7109375" style="55" customWidth="1"/>
    <col min="7158" max="7158" width="50.7109375" style="55" customWidth="1"/>
    <col min="7159" max="7172" width="15.7109375" style="55" customWidth="1"/>
    <col min="7173" max="7412" width="9.140625" style="55"/>
    <col min="7413" max="7413" width="12.7109375" style="55" customWidth="1"/>
    <col min="7414" max="7414" width="50.7109375" style="55" customWidth="1"/>
    <col min="7415" max="7428" width="15.7109375" style="55" customWidth="1"/>
    <col min="7429" max="7668" width="9.140625" style="55"/>
    <col min="7669" max="7669" width="12.7109375" style="55" customWidth="1"/>
    <col min="7670" max="7670" width="50.7109375" style="55" customWidth="1"/>
    <col min="7671" max="7684" width="15.7109375" style="55" customWidth="1"/>
    <col min="7685" max="7924" width="9.140625" style="55"/>
    <col min="7925" max="7925" width="12.7109375" style="55" customWidth="1"/>
    <col min="7926" max="7926" width="50.7109375" style="55" customWidth="1"/>
    <col min="7927" max="7940" width="15.7109375" style="55" customWidth="1"/>
    <col min="7941" max="8180" width="9.140625" style="55"/>
    <col min="8181" max="8181" width="12.7109375" style="55" customWidth="1"/>
    <col min="8182" max="8182" width="50.7109375" style="55" customWidth="1"/>
    <col min="8183" max="8196" width="15.7109375" style="55" customWidth="1"/>
    <col min="8197" max="8436" width="9.140625" style="55"/>
    <col min="8437" max="8437" width="12.7109375" style="55" customWidth="1"/>
    <col min="8438" max="8438" width="50.7109375" style="55" customWidth="1"/>
    <col min="8439" max="8452" width="15.7109375" style="55" customWidth="1"/>
    <col min="8453" max="8692" width="9.140625" style="55"/>
    <col min="8693" max="8693" width="12.7109375" style="55" customWidth="1"/>
    <col min="8694" max="8694" width="50.7109375" style="55" customWidth="1"/>
    <col min="8695" max="8708" width="15.7109375" style="55" customWidth="1"/>
    <col min="8709" max="8948" width="9.140625" style="55"/>
    <col min="8949" max="8949" width="12.7109375" style="55" customWidth="1"/>
    <col min="8950" max="8950" width="50.7109375" style="55" customWidth="1"/>
    <col min="8951" max="8964" width="15.7109375" style="55" customWidth="1"/>
    <col min="8965" max="9204" width="9.140625" style="55"/>
    <col min="9205" max="9205" width="12.7109375" style="55" customWidth="1"/>
    <col min="9206" max="9206" width="50.7109375" style="55" customWidth="1"/>
    <col min="9207" max="9220" width="15.7109375" style="55" customWidth="1"/>
    <col min="9221" max="9460" width="9.140625" style="55"/>
    <col min="9461" max="9461" width="12.7109375" style="55" customWidth="1"/>
    <col min="9462" max="9462" width="50.7109375" style="55" customWidth="1"/>
    <col min="9463" max="9476" width="15.7109375" style="55" customWidth="1"/>
    <col min="9477" max="9716" width="9.140625" style="55"/>
    <col min="9717" max="9717" width="12.7109375" style="55" customWidth="1"/>
    <col min="9718" max="9718" width="50.7109375" style="55" customWidth="1"/>
    <col min="9719" max="9732" width="15.7109375" style="55" customWidth="1"/>
    <col min="9733" max="9972" width="9.140625" style="55"/>
    <col min="9973" max="9973" width="12.7109375" style="55" customWidth="1"/>
    <col min="9974" max="9974" width="50.7109375" style="55" customWidth="1"/>
    <col min="9975" max="9988" width="15.7109375" style="55" customWidth="1"/>
    <col min="9989" max="10228" width="9.140625" style="55"/>
    <col min="10229" max="10229" width="12.7109375" style="55" customWidth="1"/>
    <col min="10230" max="10230" width="50.7109375" style="55" customWidth="1"/>
    <col min="10231" max="10244" width="15.7109375" style="55" customWidth="1"/>
    <col min="10245" max="10484" width="9.140625" style="55"/>
    <col min="10485" max="10485" width="12.7109375" style="55" customWidth="1"/>
    <col min="10486" max="10486" width="50.7109375" style="55" customWidth="1"/>
    <col min="10487" max="10500" width="15.7109375" style="55" customWidth="1"/>
    <col min="10501" max="10740" width="9.140625" style="55"/>
    <col min="10741" max="10741" width="12.7109375" style="55" customWidth="1"/>
    <col min="10742" max="10742" width="50.7109375" style="55" customWidth="1"/>
    <col min="10743" max="10756" width="15.7109375" style="55" customWidth="1"/>
    <col min="10757" max="10996" width="9.140625" style="55"/>
    <col min="10997" max="10997" width="12.7109375" style="55" customWidth="1"/>
    <col min="10998" max="10998" width="50.7109375" style="55" customWidth="1"/>
    <col min="10999" max="11012" width="15.7109375" style="55" customWidth="1"/>
    <col min="11013" max="11252" width="9.140625" style="55"/>
    <col min="11253" max="11253" width="12.7109375" style="55" customWidth="1"/>
    <col min="11254" max="11254" width="50.7109375" style="55" customWidth="1"/>
    <col min="11255" max="11268" width="15.7109375" style="55" customWidth="1"/>
    <col min="11269" max="11508" width="9.140625" style="55"/>
    <col min="11509" max="11509" width="12.7109375" style="55" customWidth="1"/>
    <col min="11510" max="11510" width="50.7109375" style="55" customWidth="1"/>
    <col min="11511" max="11524" width="15.7109375" style="55" customWidth="1"/>
    <col min="11525" max="11764" width="9.140625" style="55"/>
    <col min="11765" max="11765" width="12.7109375" style="55" customWidth="1"/>
    <col min="11766" max="11766" width="50.7109375" style="55" customWidth="1"/>
    <col min="11767" max="11780" width="15.7109375" style="55" customWidth="1"/>
    <col min="11781" max="12020" width="9.140625" style="55"/>
    <col min="12021" max="12021" width="12.7109375" style="55" customWidth="1"/>
    <col min="12022" max="12022" width="50.7109375" style="55" customWidth="1"/>
    <col min="12023" max="12036" width="15.7109375" style="55" customWidth="1"/>
    <col min="12037" max="12276" width="9.140625" style="55"/>
    <col min="12277" max="12277" width="12.7109375" style="55" customWidth="1"/>
    <col min="12278" max="12278" width="50.7109375" style="55" customWidth="1"/>
    <col min="12279" max="12292" width="15.7109375" style="55" customWidth="1"/>
    <col min="12293" max="12532" width="9.140625" style="55"/>
    <col min="12533" max="12533" width="12.7109375" style="55" customWidth="1"/>
    <col min="12534" max="12534" width="50.7109375" style="55" customWidth="1"/>
    <col min="12535" max="12548" width="15.7109375" style="55" customWidth="1"/>
    <col min="12549" max="12788" width="9.140625" style="55"/>
    <col min="12789" max="12789" width="12.7109375" style="55" customWidth="1"/>
    <col min="12790" max="12790" width="50.7109375" style="55" customWidth="1"/>
    <col min="12791" max="12804" width="15.7109375" style="55" customWidth="1"/>
    <col min="12805" max="13044" width="9.140625" style="55"/>
    <col min="13045" max="13045" width="12.7109375" style="55" customWidth="1"/>
    <col min="13046" max="13046" width="50.7109375" style="55" customWidth="1"/>
    <col min="13047" max="13060" width="15.7109375" style="55" customWidth="1"/>
    <col min="13061" max="13300" width="9.140625" style="55"/>
    <col min="13301" max="13301" width="12.7109375" style="55" customWidth="1"/>
    <col min="13302" max="13302" width="50.7109375" style="55" customWidth="1"/>
    <col min="13303" max="13316" width="15.7109375" style="55" customWidth="1"/>
    <col min="13317" max="13556" width="9.140625" style="55"/>
    <col min="13557" max="13557" width="12.7109375" style="55" customWidth="1"/>
    <col min="13558" max="13558" width="50.7109375" style="55" customWidth="1"/>
    <col min="13559" max="13572" width="15.7109375" style="55" customWidth="1"/>
    <col min="13573" max="13812" width="9.140625" style="55"/>
    <col min="13813" max="13813" width="12.7109375" style="55" customWidth="1"/>
    <col min="13814" max="13814" width="50.7109375" style="55" customWidth="1"/>
    <col min="13815" max="13828" width="15.7109375" style="55" customWidth="1"/>
    <col min="13829" max="14068" width="9.140625" style="55"/>
    <col min="14069" max="14069" width="12.7109375" style="55" customWidth="1"/>
    <col min="14070" max="14070" width="50.7109375" style="55" customWidth="1"/>
    <col min="14071" max="14084" width="15.7109375" style="55" customWidth="1"/>
    <col min="14085" max="14324" width="9.140625" style="55"/>
    <col min="14325" max="14325" width="12.7109375" style="55" customWidth="1"/>
    <col min="14326" max="14326" width="50.7109375" style="55" customWidth="1"/>
    <col min="14327" max="14340" width="15.7109375" style="55" customWidth="1"/>
    <col min="14341" max="14580" width="9.140625" style="55"/>
    <col min="14581" max="14581" width="12.7109375" style="55" customWidth="1"/>
    <col min="14582" max="14582" width="50.7109375" style="55" customWidth="1"/>
    <col min="14583" max="14596" width="15.7109375" style="55" customWidth="1"/>
    <col min="14597" max="14836" width="9.140625" style="55"/>
    <col min="14837" max="14837" width="12.7109375" style="55" customWidth="1"/>
    <col min="14838" max="14838" width="50.7109375" style="55" customWidth="1"/>
    <col min="14839" max="14852" width="15.7109375" style="55" customWidth="1"/>
    <col min="14853" max="15092" width="9.140625" style="55"/>
    <col min="15093" max="15093" width="12.7109375" style="55" customWidth="1"/>
    <col min="15094" max="15094" width="50.7109375" style="55" customWidth="1"/>
    <col min="15095" max="15108" width="15.7109375" style="55" customWidth="1"/>
    <col min="15109" max="15348" width="9.140625" style="55"/>
    <col min="15349" max="15349" width="12.7109375" style="55" customWidth="1"/>
    <col min="15350" max="15350" width="50.7109375" style="55" customWidth="1"/>
    <col min="15351" max="15364" width="15.7109375" style="55" customWidth="1"/>
    <col min="15365" max="15604" width="9.140625" style="55"/>
    <col min="15605" max="15605" width="12.7109375" style="55" customWidth="1"/>
    <col min="15606" max="15606" width="50.7109375" style="55" customWidth="1"/>
    <col min="15607" max="15620" width="15.7109375" style="55" customWidth="1"/>
    <col min="15621" max="15860" width="9.140625" style="55"/>
    <col min="15861" max="15861" width="12.7109375" style="55" customWidth="1"/>
    <col min="15862" max="15862" width="50.7109375" style="55" customWidth="1"/>
    <col min="15863" max="15876" width="15.7109375" style="55" customWidth="1"/>
    <col min="15877" max="16116" width="9.140625" style="55"/>
    <col min="16117" max="16117" width="12.7109375" style="55" customWidth="1"/>
    <col min="16118" max="16118" width="50.7109375" style="55" customWidth="1"/>
    <col min="16119" max="16132" width="15.7109375" style="55" customWidth="1"/>
    <col min="16133" max="16384" width="9.140625" style="55"/>
  </cols>
  <sheetData>
    <row r="2" spans="1:6" ht="15.75" x14ac:dyDescent="0.25">
      <c r="A2" s="98" t="s">
        <v>146</v>
      </c>
      <c r="B2" s="98"/>
      <c r="C2" s="98"/>
      <c r="D2" s="98"/>
      <c r="E2" s="98"/>
      <c r="F2" s="98"/>
    </row>
    <row r="3" spans="1:6" ht="15.75" x14ac:dyDescent="0.25">
      <c r="A3" s="98" t="s">
        <v>168</v>
      </c>
      <c r="B3" s="98"/>
      <c r="C3" s="98"/>
      <c r="D3" s="98"/>
      <c r="E3" s="98"/>
      <c r="F3" s="98"/>
    </row>
    <row r="4" spans="1:6" ht="15.75" x14ac:dyDescent="0.25">
      <c r="A4" s="98" t="s">
        <v>51</v>
      </c>
      <c r="B4" s="98"/>
      <c r="C4" s="98"/>
      <c r="D4" s="98"/>
      <c r="E4" s="98"/>
      <c r="F4" s="98"/>
    </row>
    <row r="5" spans="1:6" x14ac:dyDescent="0.2">
      <c r="A5" s="77"/>
      <c r="B5" s="78"/>
      <c r="C5" s="79"/>
      <c r="D5" s="79"/>
      <c r="E5" s="79"/>
      <c r="F5" s="80" t="s">
        <v>52</v>
      </c>
    </row>
    <row r="6" spans="1:6" s="56" customFormat="1" ht="57" x14ac:dyDescent="0.2">
      <c r="A6" s="60" t="s">
        <v>81</v>
      </c>
      <c r="B6" s="60" t="s">
        <v>82</v>
      </c>
      <c r="C6" s="60" t="s">
        <v>147</v>
      </c>
      <c r="D6" s="60" t="s">
        <v>148</v>
      </c>
      <c r="E6" s="60" t="s">
        <v>149</v>
      </c>
      <c r="F6" s="60" t="s">
        <v>150</v>
      </c>
    </row>
    <row r="7" spans="1:6" ht="14.25" x14ac:dyDescent="0.2">
      <c r="A7" s="60">
        <v>1</v>
      </c>
      <c r="B7" s="60">
        <v>2</v>
      </c>
      <c r="C7" s="60">
        <v>3</v>
      </c>
      <c r="D7" s="60">
        <v>4</v>
      </c>
      <c r="E7" s="60">
        <v>5</v>
      </c>
      <c r="F7" s="60">
        <v>6</v>
      </c>
    </row>
    <row r="8" spans="1:6" ht="60" x14ac:dyDescent="0.2">
      <c r="A8" s="61" t="s">
        <v>83</v>
      </c>
      <c r="B8" s="62" t="s">
        <v>84</v>
      </c>
      <c r="C8" s="63">
        <v>35662.98000000001</v>
      </c>
      <c r="D8" s="63">
        <v>33193.123100000004</v>
      </c>
      <c r="E8" s="64">
        <f t="shared" ref="E8:E47" si="0">C8-D8</f>
        <v>2469.8569000000061</v>
      </c>
      <c r="F8" s="64">
        <f t="shared" ref="F8:F47" si="1">IF(C8=0,0,(D8/C8)*100)</f>
        <v>93.074451714354751</v>
      </c>
    </row>
    <row r="9" spans="1:6" ht="45" x14ac:dyDescent="0.2">
      <c r="A9" s="61" t="s">
        <v>85</v>
      </c>
      <c r="B9" s="62" t="s">
        <v>86</v>
      </c>
      <c r="C9" s="63">
        <v>23732.766000000003</v>
      </c>
      <c r="D9" s="63">
        <v>22180.660540000004</v>
      </c>
      <c r="E9" s="64">
        <f t="shared" si="0"/>
        <v>1552.1054599999989</v>
      </c>
      <c r="F9" s="64">
        <f t="shared" si="1"/>
        <v>93.4600734697338</v>
      </c>
    </row>
    <row r="10" spans="1:6" ht="45" x14ac:dyDescent="0.2">
      <c r="A10" s="61" t="s">
        <v>87</v>
      </c>
      <c r="B10" s="62" t="s">
        <v>88</v>
      </c>
      <c r="C10" s="63">
        <v>48320.332000000002</v>
      </c>
      <c r="D10" s="63">
        <v>48316.377959999998</v>
      </c>
      <c r="E10" s="64">
        <f t="shared" si="0"/>
        <v>3.95404000000417</v>
      </c>
      <c r="F10" s="64">
        <f t="shared" si="1"/>
        <v>99.991817026422737</v>
      </c>
    </row>
    <row r="11" spans="1:6" ht="90" x14ac:dyDescent="0.2">
      <c r="A11" s="61" t="s">
        <v>172</v>
      </c>
      <c r="B11" s="62" t="s">
        <v>173</v>
      </c>
      <c r="C11" s="63">
        <v>41.698</v>
      </c>
      <c r="D11" s="63">
        <v>41.681550000000001</v>
      </c>
      <c r="E11" s="64">
        <f t="shared" si="0"/>
        <v>1.6449999999998965E-2</v>
      </c>
      <c r="F11" s="64">
        <f t="shared" si="1"/>
        <v>99.960549666650678</v>
      </c>
    </row>
    <row r="12" spans="1:6" ht="75" x14ac:dyDescent="0.2">
      <c r="A12" s="61" t="s">
        <v>174</v>
      </c>
      <c r="B12" s="62" t="s">
        <v>175</v>
      </c>
      <c r="C12" s="63">
        <v>253.60000000000002</v>
      </c>
      <c r="D12" s="63">
        <v>253.60000000000002</v>
      </c>
      <c r="E12" s="64">
        <f t="shared" si="0"/>
        <v>0</v>
      </c>
      <c r="F12" s="64">
        <f t="shared" si="1"/>
        <v>100</v>
      </c>
    </row>
    <row r="13" spans="1:6" ht="66" customHeight="1" x14ac:dyDescent="0.2">
      <c r="A13" s="61" t="s">
        <v>176</v>
      </c>
      <c r="B13" s="62" t="s">
        <v>177</v>
      </c>
      <c r="C13" s="63">
        <v>205.4</v>
      </c>
      <c r="D13" s="63">
        <v>205.31952000000001</v>
      </c>
      <c r="E13" s="64">
        <f t="shared" si="0"/>
        <v>8.0479999999994334E-2</v>
      </c>
      <c r="F13" s="64">
        <f t="shared" si="1"/>
        <v>99.960817916260964</v>
      </c>
    </row>
    <row r="14" spans="1:6" ht="45" x14ac:dyDescent="0.2">
      <c r="A14" s="61" t="s">
        <v>178</v>
      </c>
      <c r="B14" s="62" t="s">
        <v>179</v>
      </c>
      <c r="C14" s="63">
        <v>5608.1</v>
      </c>
      <c r="D14" s="63">
        <v>5334.6497100000006</v>
      </c>
      <c r="E14" s="64">
        <f t="shared" si="0"/>
        <v>273.45028999999977</v>
      </c>
      <c r="F14" s="64">
        <f t="shared" si="1"/>
        <v>95.124011875679827</v>
      </c>
    </row>
    <row r="15" spans="1:6" ht="45" x14ac:dyDescent="0.2">
      <c r="A15" s="61" t="s">
        <v>180</v>
      </c>
      <c r="B15" s="62" t="s">
        <v>181</v>
      </c>
      <c r="C15" s="63">
        <v>549.9</v>
      </c>
      <c r="D15" s="63">
        <v>406.565</v>
      </c>
      <c r="E15" s="64">
        <f t="shared" si="0"/>
        <v>143.33499999999998</v>
      </c>
      <c r="F15" s="64">
        <f t="shared" si="1"/>
        <v>73.934351700309151</v>
      </c>
    </row>
    <row r="16" spans="1:6" ht="30" x14ac:dyDescent="0.2">
      <c r="A16" s="61" t="s">
        <v>91</v>
      </c>
      <c r="B16" s="62" t="s">
        <v>92</v>
      </c>
      <c r="C16" s="63">
        <v>3387.5059999999999</v>
      </c>
      <c r="D16" s="63">
        <v>3386.5880000000002</v>
      </c>
      <c r="E16" s="64">
        <f t="shared" si="0"/>
        <v>0.91799999999966531</v>
      </c>
      <c r="F16" s="64">
        <f t="shared" si="1"/>
        <v>99.972900417002961</v>
      </c>
    </row>
    <row r="17" spans="1:6" ht="30" x14ac:dyDescent="0.2">
      <c r="A17" s="61" t="s">
        <v>93</v>
      </c>
      <c r="B17" s="62" t="s">
        <v>94</v>
      </c>
      <c r="C17" s="63">
        <v>1596.971</v>
      </c>
      <c r="D17" s="63">
        <v>1383.71551</v>
      </c>
      <c r="E17" s="64">
        <f t="shared" si="0"/>
        <v>213.25549000000001</v>
      </c>
      <c r="F17" s="64">
        <f t="shared" si="1"/>
        <v>86.646251559984506</v>
      </c>
    </row>
    <row r="18" spans="1:6" ht="30" x14ac:dyDescent="0.2">
      <c r="A18" s="61" t="s">
        <v>97</v>
      </c>
      <c r="B18" s="62" t="s">
        <v>98</v>
      </c>
      <c r="C18" s="63">
        <v>60</v>
      </c>
      <c r="D18" s="63">
        <v>0</v>
      </c>
      <c r="E18" s="64">
        <f t="shared" si="0"/>
        <v>60</v>
      </c>
      <c r="F18" s="64">
        <f t="shared" si="1"/>
        <v>0</v>
      </c>
    </row>
    <row r="19" spans="1:6" ht="30" x14ac:dyDescent="0.2">
      <c r="A19" s="61" t="s">
        <v>99</v>
      </c>
      <c r="B19" s="62" t="s">
        <v>100</v>
      </c>
      <c r="C19" s="63">
        <v>1.62</v>
      </c>
      <c r="D19" s="63">
        <v>0</v>
      </c>
      <c r="E19" s="64">
        <f t="shared" si="0"/>
        <v>1.62</v>
      </c>
      <c r="F19" s="64">
        <f t="shared" si="1"/>
        <v>0</v>
      </c>
    </row>
    <row r="20" spans="1:6" ht="30" x14ac:dyDescent="0.2">
      <c r="A20" s="61" t="s">
        <v>101</v>
      </c>
      <c r="B20" s="62" t="s">
        <v>102</v>
      </c>
      <c r="C20" s="63">
        <v>0</v>
      </c>
      <c r="D20" s="63">
        <v>0</v>
      </c>
      <c r="E20" s="64">
        <f t="shared" si="0"/>
        <v>0</v>
      </c>
      <c r="F20" s="64">
        <f t="shared" si="1"/>
        <v>0</v>
      </c>
    </row>
    <row r="21" spans="1:6" ht="30" x14ac:dyDescent="0.2">
      <c r="A21" s="61" t="s">
        <v>103</v>
      </c>
      <c r="B21" s="62" t="s">
        <v>104</v>
      </c>
      <c r="C21" s="63">
        <v>28.8</v>
      </c>
      <c r="D21" s="63">
        <v>14</v>
      </c>
      <c r="E21" s="64">
        <f t="shared" si="0"/>
        <v>14.8</v>
      </c>
      <c r="F21" s="64">
        <f t="shared" si="1"/>
        <v>48.611111111111107</v>
      </c>
    </row>
    <row r="22" spans="1:6" ht="60" x14ac:dyDescent="0.2">
      <c r="A22" s="61" t="s">
        <v>105</v>
      </c>
      <c r="B22" s="62" t="s">
        <v>106</v>
      </c>
      <c r="C22" s="63">
        <v>720</v>
      </c>
      <c r="D22" s="63">
        <v>311.60000000000002</v>
      </c>
      <c r="E22" s="64">
        <f t="shared" si="0"/>
        <v>408.4</v>
      </c>
      <c r="F22" s="64">
        <f t="shared" si="1"/>
        <v>43.277777777777779</v>
      </c>
    </row>
    <row r="23" spans="1:6" ht="75" x14ac:dyDescent="0.2">
      <c r="A23" s="61" t="s">
        <v>107</v>
      </c>
      <c r="B23" s="62" t="s">
        <v>108</v>
      </c>
      <c r="C23" s="63">
        <v>824.00200000000007</v>
      </c>
      <c r="D23" s="63">
        <v>277.11227000000002</v>
      </c>
      <c r="E23" s="64">
        <f t="shared" si="0"/>
        <v>546.8897300000001</v>
      </c>
      <c r="F23" s="64">
        <f t="shared" si="1"/>
        <v>33.630048228038284</v>
      </c>
    </row>
    <row r="24" spans="1:6" ht="60" x14ac:dyDescent="0.2">
      <c r="A24" s="61" t="s">
        <v>109</v>
      </c>
      <c r="B24" s="62" t="s">
        <v>110</v>
      </c>
      <c r="C24" s="63">
        <v>640.82799999999997</v>
      </c>
      <c r="D24" s="63">
        <v>510.68121000000002</v>
      </c>
      <c r="E24" s="64">
        <f t="shared" si="0"/>
        <v>130.14678999999995</v>
      </c>
      <c r="F24" s="64">
        <f t="shared" si="1"/>
        <v>79.690839039492673</v>
      </c>
    </row>
    <row r="25" spans="1:6" ht="45" x14ac:dyDescent="0.2">
      <c r="A25" s="61" t="s">
        <v>111</v>
      </c>
      <c r="B25" s="62" t="s">
        <v>112</v>
      </c>
      <c r="C25" s="63">
        <v>1194</v>
      </c>
      <c r="D25" s="63">
        <v>1187.4773200000002</v>
      </c>
      <c r="E25" s="64">
        <f t="shared" si="0"/>
        <v>6.5226799999998093</v>
      </c>
      <c r="F25" s="64">
        <f t="shared" si="1"/>
        <v>99.45371189279733</v>
      </c>
    </row>
    <row r="26" spans="1:6" ht="45" x14ac:dyDescent="0.2">
      <c r="A26" s="61" t="s">
        <v>113</v>
      </c>
      <c r="B26" s="62" t="s">
        <v>182</v>
      </c>
      <c r="C26" s="63">
        <v>9741.6730000000007</v>
      </c>
      <c r="D26" s="63">
        <v>8467.0914300000004</v>
      </c>
      <c r="E26" s="64">
        <f t="shared" si="0"/>
        <v>1274.5815700000003</v>
      </c>
      <c r="F26" s="64">
        <f t="shared" si="1"/>
        <v>86.916194271764198</v>
      </c>
    </row>
    <row r="27" spans="1:6" ht="30" x14ac:dyDescent="0.2">
      <c r="A27" s="61" t="s">
        <v>114</v>
      </c>
      <c r="B27" s="62" t="s">
        <v>115</v>
      </c>
      <c r="C27" s="63">
        <v>3376.17</v>
      </c>
      <c r="D27" s="63">
        <v>859.09973000000002</v>
      </c>
      <c r="E27" s="64">
        <f t="shared" si="0"/>
        <v>2517.0702700000002</v>
      </c>
      <c r="F27" s="64">
        <f t="shared" si="1"/>
        <v>25.445985539827674</v>
      </c>
    </row>
    <row r="28" spans="1:6" ht="30" x14ac:dyDescent="0.2">
      <c r="A28" s="61" t="s">
        <v>116</v>
      </c>
      <c r="B28" s="62" t="s">
        <v>117</v>
      </c>
      <c r="C28" s="63">
        <v>10476.731</v>
      </c>
      <c r="D28" s="63">
        <v>9321.2812099999992</v>
      </c>
      <c r="E28" s="64">
        <f t="shared" si="0"/>
        <v>1155.4497900000006</v>
      </c>
      <c r="F28" s="64">
        <f t="shared" si="1"/>
        <v>88.971275582049387</v>
      </c>
    </row>
    <row r="29" spans="1:6" ht="30" x14ac:dyDescent="0.2">
      <c r="A29" s="61" t="s">
        <v>183</v>
      </c>
      <c r="B29" s="62" t="s">
        <v>184</v>
      </c>
      <c r="C29" s="63">
        <v>100</v>
      </c>
      <c r="D29" s="63">
        <v>99.984999999999999</v>
      </c>
      <c r="E29" s="64">
        <f t="shared" si="0"/>
        <v>1.5000000000000568E-2</v>
      </c>
      <c r="F29" s="64">
        <f t="shared" si="1"/>
        <v>99.984999999999999</v>
      </c>
    </row>
    <row r="30" spans="1:6" ht="45" x14ac:dyDescent="0.2">
      <c r="A30" s="61" t="s">
        <v>118</v>
      </c>
      <c r="B30" s="62" t="s">
        <v>119</v>
      </c>
      <c r="C30" s="63">
        <v>46933.508999999998</v>
      </c>
      <c r="D30" s="63">
        <v>46902.171320000001</v>
      </c>
      <c r="E30" s="64">
        <f t="shared" si="0"/>
        <v>31.337679999996908</v>
      </c>
      <c r="F30" s="64">
        <f t="shared" si="1"/>
        <v>99.933229624914688</v>
      </c>
    </row>
    <row r="31" spans="1:6" ht="15" x14ac:dyDescent="0.2">
      <c r="A31" s="61" t="s">
        <v>120</v>
      </c>
      <c r="B31" s="62" t="s">
        <v>121</v>
      </c>
      <c r="C31" s="63">
        <v>30624.481000000003</v>
      </c>
      <c r="D31" s="63">
        <v>29988.290720000001</v>
      </c>
      <c r="E31" s="64">
        <f t="shared" si="0"/>
        <v>636.19028000000253</v>
      </c>
      <c r="F31" s="64">
        <f t="shared" si="1"/>
        <v>97.922608778251615</v>
      </c>
    </row>
    <row r="32" spans="1:6" ht="15" x14ac:dyDescent="0.2">
      <c r="A32" s="87" t="s">
        <v>212</v>
      </c>
      <c r="B32" s="62" t="s">
        <v>213</v>
      </c>
      <c r="C32" s="63">
        <v>798</v>
      </c>
      <c r="D32" s="63">
        <v>798</v>
      </c>
      <c r="E32" s="64">
        <f t="shared" si="0"/>
        <v>0</v>
      </c>
      <c r="F32" s="64">
        <f t="shared" si="1"/>
        <v>100</v>
      </c>
    </row>
    <row r="33" spans="1:6" ht="30" x14ac:dyDescent="0.2">
      <c r="A33" s="61" t="s">
        <v>122</v>
      </c>
      <c r="B33" s="62" t="s">
        <v>123</v>
      </c>
      <c r="C33" s="63">
        <v>133.892</v>
      </c>
      <c r="D33" s="63">
        <v>114.8045</v>
      </c>
      <c r="E33" s="64">
        <f t="shared" si="0"/>
        <v>19.087499999999991</v>
      </c>
      <c r="F33" s="64">
        <f t="shared" si="1"/>
        <v>85.744107190870253</v>
      </c>
    </row>
    <row r="34" spans="1:6" ht="15" x14ac:dyDescent="0.2">
      <c r="A34" s="61" t="s">
        <v>124</v>
      </c>
      <c r="B34" s="62" t="s">
        <v>125</v>
      </c>
      <c r="C34" s="63">
        <v>6296.4340000000002</v>
      </c>
      <c r="D34" s="63">
        <v>5937.2739500000007</v>
      </c>
      <c r="E34" s="64">
        <f t="shared" si="0"/>
        <v>359.1600499999995</v>
      </c>
      <c r="F34" s="64">
        <f t="shared" si="1"/>
        <v>94.295818077343469</v>
      </c>
    </row>
    <row r="35" spans="1:6" ht="30" x14ac:dyDescent="0.2">
      <c r="A35" s="61" t="s">
        <v>126</v>
      </c>
      <c r="B35" s="62" t="s">
        <v>127</v>
      </c>
      <c r="C35" s="63">
        <v>599.70000000000005</v>
      </c>
      <c r="D35" s="63">
        <v>473.06282000000004</v>
      </c>
      <c r="E35" s="64">
        <f t="shared" si="0"/>
        <v>126.63718</v>
      </c>
      <c r="F35" s="64">
        <f t="shared" si="1"/>
        <v>78.883244955811236</v>
      </c>
    </row>
    <row r="36" spans="1:6" ht="30" x14ac:dyDescent="0.2">
      <c r="A36" s="61" t="s">
        <v>128</v>
      </c>
      <c r="B36" s="62" t="s">
        <v>129</v>
      </c>
      <c r="C36" s="63">
        <v>7878.4589999999998</v>
      </c>
      <c r="D36" s="63">
        <v>6833.9560899999997</v>
      </c>
      <c r="E36" s="64">
        <f t="shared" si="0"/>
        <v>1044.5029100000002</v>
      </c>
      <c r="F36" s="64">
        <f t="shared" si="1"/>
        <v>86.742294273537496</v>
      </c>
    </row>
    <row r="37" spans="1:6" ht="15" x14ac:dyDescent="0.2">
      <c r="A37" s="61" t="s">
        <v>130</v>
      </c>
      <c r="B37" s="62" t="s">
        <v>131</v>
      </c>
      <c r="C37" s="63">
        <v>400</v>
      </c>
      <c r="D37" s="63">
        <v>300</v>
      </c>
      <c r="E37" s="64">
        <f t="shared" si="0"/>
        <v>100</v>
      </c>
      <c r="F37" s="64">
        <f t="shared" si="1"/>
        <v>75</v>
      </c>
    </row>
    <row r="38" spans="1:6" ht="15" x14ac:dyDescent="0.2">
      <c r="A38" s="61" t="s">
        <v>132</v>
      </c>
      <c r="B38" s="62" t="s">
        <v>185</v>
      </c>
      <c r="C38" s="63">
        <v>428.93799999999999</v>
      </c>
      <c r="D38" s="63">
        <v>369.13870000000003</v>
      </c>
      <c r="E38" s="64">
        <f t="shared" si="0"/>
        <v>59.79929999999996</v>
      </c>
      <c r="F38" s="64">
        <f t="shared" si="1"/>
        <v>86.058754412059557</v>
      </c>
    </row>
    <row r="39" spans="1:6" ht="15" x14ac:dyDescent="0.2">
      <c r="A39" s="61" t="s">
        <v>133</v>
      </c>
      <c r="B39" s="62" t="s">
        <v>48</v>
      </c>
      <c r="C39" s="63">
        <v>3000</v>
      </c>
      <c r="D39" s="63">
        <v>3000</v>
      </c>
      <c r="E39" s="64">
        <f t="shared" si="0"/>
        <v>0</v>
      </c>
      <c r="F39" s="64">
        <f t="shared" si="1"/>
        <v>100</v>
      </c>
    </row>
    <row r="40" spans="1:6" ht="15" x14ac:dyDescent="0.2">
      <c r="A40" s="61" t="s">
        <v>134</v>
      </c>
      <c r="B40" s="62" t="s">
        <v>17</v>
      </c>
      <c r="C40" s="63">
        <v>19.911999999999999</v>
      </c>
      <c r="D40" s="63">
        <v>19.911999999999999</v>
      </c>
      <c r="E40" s="64">
        <f t="shared" si="0"/>
        <v>0</v>
      </c>
      <c r="F40" s="64">
        <f t="shared" si="1"/>
        <v>100</v>
      </c>
    </row>
    <row r="41" spans="1:6" ht="45" x14ac:dyDescent="0.2">
      <c r="A41" s="61" t="s">
        <v>135</v>
      </c>
      <c r="B41" s="62" t="s">
        <v>136</v>
      </c>
      <c r="C41" s="63">
        <v>918.20299999999997</v>
      </c>
      <c r="D41" s="63">
        <v>917.07246999999995</v>
      </c>
      <c r="E41" s="64">
        <f t="shared" si="0"/>
        <v>1.1305300000000216</v>
      </c>
      <c r="F41" s="64">
        <f t="shared" si="1"/>
        <v>99.876875810686741</v>
      </c>
    </row>
    <row r="42" spans="1:6" ht="45" x14ac:dyDescent="0.2">
      <c r="A42" s="61" t="s">
        <v>137</v>
      </c>
      <c r="B42" s="62" t="s">
        <v>138</v>
      </c>
      <c r="C42" s="63">
        <v>1710.5629999999999</v>
      </c>
      <c r="D42" s="63">
        <v>1397.1079100000002</v>
      </c>
      <c r="E42" s="64">
        <f t="shared" si="0"/>
        <v>313.4550899999997</v>
      </c>
      <c r="F42" s="64">
        <f t="shared" si="1"/>
        <v>81.675326193773643</v>
      </c>
    </row>
    <row r="43" spans="1:6" ht="45" x14ac:dyDescent="0.2">
      <c r="A43" s="61" t="s">
        <v>139</v>
      </c>
      <c r="B43" s="62" t="s">
        <v>138</v>
      </c>
      <c r="C43" s="63">
        <v>9107.4050000000007</v>
      </c>
      <c r="D43" s="63">
        <v>8847.3145399999994</v>
      </c>
      <c r="E43" s="64">
        <f t="shared" si="0"/>
        <v>260.09046000000126</v>
      </c>
      <c r="F43" s="64">
        <f t="shared" si="1"/>
        <v>97.144186955559775</v>
      </c>
    </row>
    <row r="44" spans="1:6" ht="15" x14ac:dyDescent="0.2">
      <c r="A44" s="61" t="s">
        <v>140</v>
      </c>
      <c r="B44" s="62" t="s">
        <v>121</v>
      </c>
      <c r="C44" s="63">
        <v>2686</v>
      </c>
      <c r="D44" s="63">
        <v>2681.9160000000002</v>
      </c>
      <c r="E44" s="64">
        <f t="shared" si="0"/>
        <v>4.0839999999998327</v>
      </c>
      <c r="F44" s="64">
        <f t="shared" si="1"/>
        <v>99.847952345495159</v>
      </c>
    </row>
    <row r="45" spans="1:6" ht="45" x14ac:dyDescent="0.2">
      <c r="A45" s="61" t="s">
        <v>141</v>
      </c>
      <c r="B45" s="62" t="s">
        <v>138</v>
      </c>
      <c r="C45" s="63">
        <v>2380.7290000000003</v>
      </c>
      <c r="D45" s="63">
        <v>1993.4646500000001</v>
      </c>
      <c r="E45" s="64">
        <f t="shared" si="0"/>
        <v>387.26435000000015</v>
      </c>
      <c r="F45" s="64">
        <f t="shared" si="1"/>
        <v>83.733371164882684</v>
      </c>
    </row>
    <row r="46" spans="1:6" ht="15" x14ac:dyDescent="0.2">
      <c r="A46" s="61" t="s">
        <v>142</v>
      </c>
      <c r="B46" s="62" t="s">
        <v>143</v>
      </c>
      <c r="C46" s="63">
        <v>100</v>
      </c>
      <c r="D46" s="63">
        <v>0</v>
      </c>
      <c r="E46" s="64">
        <f t="shared" si="0"/>
        <v>100</v>
      </c>
      <c r="F46" s="64">
        <f t="shared" si="1"/>
        <v>0</v>
      </c>
    </row>
    <row r="47" spans="1:6" ht="14.25" x14ac:dyDescent="0.2">
      <c r="A47" s="81" t="s">
        <v>144</v>
      </c>
      <c r="B47" s="65" t="s">
        <v>145</v>
      </c>
      <c r="C47" s="82">
        <v>260539.29599999997</v>
      </c>
      <c r="D47" s="82">
        <v>246324.08873000002</v>
      </c>
      <c r="E47" s="82">
        <f t="shared" si="0"/>
        <v>14215.207269999955</v>
      </c>
      <c r="F47" s="82">
        <f t="shared" si="1"/>
        <v>94.543929653513786</v>
      </c>
    </row>
    <row r="48" spans="1:6" x14ac:dyDescent="0.2">
      <c r="A48" s="77"/>
      <c r="B48" s="78"/>
      <c r="C48" s="83"/>
      <c r="D48" s="83"/>
      <c r="E48" s="83"/>
      <c r="F48" s="83"/>
    </row>
    <row r="49" spans="1:6" x14ac:dyDescent="0.2">
      <c r="A49" s="58"/>
      <c r="B49" s="59"/>
      <c r="C49" s="57"/>
      <c r="D49" s="57"/>
      <c r="E49" s="57"/>
      <c r="F49" s="57"/>
    </row>
    <row r="50" spans="1:6" x14ac:dyDescent="0.2">
      <c r="D50" s="102"/>
    </row>
    <row r="57" spans="1:6" hidden="1" x14ac:dyDescent="0.2"/>
  </sheetData>
  <mergeCells count="3">
    <mergeCell ref="A3:F3"/>
    <mergeCell ref="A4:F4"/>
    <mergeCell ref="A2:F2"/>
  </mergeCells>
  <phoneticPr fontId="20" type="noConversion"/>
  <conditionalFormatting sqref="A8:A47">
    <cfRule type="expression" dxfId="62" priority="22" stopIfTrue="1">
      <formula>#REF!=1</formula>
    </cfRule>
    <cfRule type="expression" dxfId="61" priority="23" stopIfTrue="1">
      <formula>#REF!=2</formula>
    </cfRule>
    <cfRule type="expression" dxfId="60" priority="24" stopIfTrue="1">
      <formula>#REF!=3</formula>
    </cfRule>
  </conditionalFormatting>
  <conditionalFormatting sqref="B8:B46">
    <cfRule type="expression" dxfId="59" priority="25" stopIfTrue="1">
      <formula>#REF!=1</formula>
    </cfRule>
    <cfRule type="expression" dxfId="58" priority="26" stopIfTrue="1">
      <formula>#REF!=2</formula>
    </cfRule>
    <cfRule type="expression" dxfId="57" priority="27" stopIfTrue="1">
      <formula>#REF!=3</formula>
    </cfRule>
  </conditionalFormatting>
  <conditionalFormatting sqref="C8:C47">
    <cfRule type="expression" dxfId="56" priority="28" stopIfTrue="1">
      <formula>#REF!=1</formula>
    </cfRule>
    <cfRule type="expression" dxfId="55" priority="29" stopIfTrue="1">
      <formula>#REF!=2</formula>
    </cfRule>
    <cfRule type="expression" dxfId="54" priority="30" stopIfTrue="1">
      <formula>#REF!=3</formula>
    </cfRule>
  </conditionalFormatting>
  <conditionalFormatting sqref="D8:D47">
    <cfRule type="expression" dxfId="53" priority="31" stopIfTrue="1">
      <formula>#REF!=1</formula>
    </cfRule>
    <cfRule type="expression" dxfId="52" priority="32" stopIfTrue="1">
      <formula>#REF!=2</formula>
    </cfRule>
    <cfRule type="expression" dxfId="51" priority="33" stopIfTrue="1">
      <formula>#REF!=3</formula>
    </cfRule>
  </conditionalFormatting>
  <conditionalFormatting sqref="E8:E47">
    <cfRule type="expression" dxfId="50" priority="34" stopIfTrue="1">
      <formula>#REF!=1</formula>
    </cfRule>
    <cfRule type="expression" dxfId="49" priority="35" stopIfTrue="1">
      <formula>#REF!=2</formula>
    </cfRule>
    <cfRule type="expression" dxfId="48" priority="36" stopIfTrue="1">
      <formula>#REF!=3</formula>
    </cfRule>
  </conditionalFormatting>
  <conditionalFormatting sqref="F8:F47">
    <cfRule type="expression" dxfId="47" priority="37" stopIfTrue="1">
      <formula>#REF!=1</formula>
    </cfRule>
    <cfRule type="expression" dxfId="46" priority="38" stopIfTrue="1">
      <formula>#REF!=2</formula>
    </cfRule>
    <cfRule type="expression" dxfId="45" priority="39" stopIfTrue="1">
      <formula>#REF!=3</formula>
    </cfRule>
  </conditionalFormatting>
  <conditionalFormatting sqref="A49:A58">
    <cfRule type="expression" dxfId="44" priority="4" stopIfTrue="1">
      <formula>#REF!=1</formula>
    </cfRule>
    <cfRule type="expression" dxfId="43" priority="5" stopIfTrue="1">
      <formula>#REF!=2</formula>
    </cfRule>
    <cfRule type="expression" dxfId="42" priority="6" stopIfTrue="1">
      <formula>#REF!=3</formula>
    </cfRule>
  </conditionalFormatting>
  <conditionalFormatting sqref="B49:B58">
    <cfRule type="expression" dxfId="41" priority="7" stopIfTrue="1">
      <formula>#REF!=1</formula>
    </cfRule>
    <cfRule type="expression" dxfId="40" priority="8" stopIfTrue="1">
      <formula>#REF!=2</formula>
    </cfRule>
    <cfRule type="expression" dxfId="39" priority="9" stopIfTrue="1">
      <formula>#REF!=3</formula>
    </cfRule>
  </conditionalFormatting>
  <conditionalFormatting sqref="C49:C58">
    <cfRule type="expression" dxfId="38" priority="10" stopIfTrue="1">
      <formula>#REF!=1</formula>
    </cfRule>
    <cfRule type="expression" dxfId="37" priority="11" stopIfTrue="1">
      <formula>#REF!=2</formula>
    </cfRule>
    <cfRule type="expression" dxfId="36" priority="12" stopIfTrue="1">
      <formula>#REF!=3</formula>
    </cfRule>
  </conditionalFormatting>
  <conditionalFormatting sqref="D49:D58">
    <cfRule type="expression" dxfId="35" priority="13" stopIfTrue="1">
      <formula>#REF!=1</formula>
    </cfRule>
    <cfRule type="expression" dxfId="34" priority="14" stopIfTrue="1">
      <formula>#REF!=2</formula>
    </cfRule>
    <cfRule type="expression" dxfId="33" priority="15" stopIfTrue="1">
      <formula>#REF!=3</formula>
    </cfRule>
  </conditionalFormatting>
  <conditionalFormatting sqref="E49:E58">
    <cfRule type="expression" dxfId="32" priority="16" stopIfTrue="1">
      <formula>#REF!=1</formula>
    </cfRule>
    <cfRule type="expression" dxfId="31" priority="17" stopIfTrue="1">
      <formula>#REF!=2</formula>
    </cfRule>
    <cfRule type="expression" dxfId="30" priority="18" stopIfTrue="1">
      <formula>#REF!=3</formula>
    </cfRule>
  </conditionalFormatting>
  <conditionalFormatting sqref="F49:F58">
    <cfRule type="expression" dxfId="29" priority="19" stopIfTrue="1">
      <formula>#REF!=1</formula>
    </cfRule>
    <cfRule type="expression" dxfId="28" priority="20" stopIfTrue="1">
      <formula>#REF!=2</formula>
    </cfRule>
    <cfRule type="expression" dxfId="27" priority="21" stopIfTrue="1">
      <formula>#REF!=3</formula>
    </cfRule>
  </conditionalFormatting>
  <conditionalFormatting sqref="B47">
    <cfRule type="expression" dxfId="26" priority="1" stopIfTrue="1">
      <formula>#REF!=1</formula>
    </cfRule>
    <cfRule type="expression" dxfId="25" priority="2" stopIfTrue="1">
      <formula>#REF!=2</formula>
    </cfRule>
    <cfRule type="expression" dxfId="24" priority="3" stopIfTrue="1">
      <formula>#REF!=3</formula>
    </cfRule>
  </conditionalFormatting>
  <pageMargins left="0.32" right="0.33" top="0.39370078740157499" bottom="0.39370078740157499" header="0" footer="0"/>
  <pageSetup paperSize="9" scale="76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6C2F-AF13-4F6B-9A6E-1E0005718F59}">
  <sheetPr>
    <pageSetUpPr fitToPage="1"/>
  </sheetPr>
  <dimension ref="A2:G51"/>
  <sheetViews>
    <sheetView topLeftCell="A35" workbookViewId="0">
      <selection activeCell="M31" sqref="M31"/>
    </sheetView>
  </sheetViews>
  <sheetFormatPr defaultRowHeight="12.75" x14ac:dyDescent="0.2"/>
  <cols>
    <col min="1" max="1" width="12.7109375" style="53" customWidth="1"/>
    <col min="2" max="2" width="50.7109375" style="54" customWidth="1"/>
    <col min="3" max="6" width="15.7109375" style="55" customWidth="1"/>
    <col min="7" max="246" width="9.140625" style="55"/>
    <col min="247" max="247" width="12.7109375" style="55" customWidth="1"/>
    <col min="248" max="248" width="50.7109375" style="55" customWidth="1"/>
    <col min="249" max="262" width="15.7109375" style="55" customWidth="1"/>
    <col min="263" max="502" width="9.140625" style="55"/>
    <col min="503" max="503" width="12.7109375" style="55" customWidth="1"/>
    <col min="504" max="504" width="50.7109375" style="55" customWidth="1"/>
    <col min="505" max="518" width="15.7109375" style="55" customWidth="1"/>
    <col min="519" max="758" width="9.140625" style="55"/>
    <col min="759" max="759" width="12.7109375" style="55" customWidth="1"/>
    <col min="760" max="760" width="50.7109375" style="55" customWidth="1"/>
    <col min="761" max="774" width="15.7109375" style="55" customWidth="1"/>
    <col min="775" max="1014" width="9.140625" style="55"/>
    <col min="1015" max="1015" width="12.7109375" style="55" customWidth="1"/>
    <col min="1016" max="1016" width="50.7109375" style="55" customWidth="1"/>
    <col min="1017" max="1030" width="15.7109375" style="55" customWidth="1"/>
    <col min="1031" max="1270" width="9.140625" style="55"/>
    <col min="1271" max="1271" width="12.7109375" style="55" customWidth="1"/>
    <col min="1272" max="1272" width="50.7109375" style="55" customWidth="1"/>
    <col min="1273" max="1286" width="15.7109375" style="55" customWidth="1"/>
    <col min="1287" max="1526" width="9.140625" style="55"/>
    <col min="1527" max="1527" width="12.7109375" style="55" customWidth="1"/>
    <col min="1528" max="1528" width="50.7109375" style="55" customWidth="1"/>
    <col min="1529" max="1542" width="15.7109375" style="55" customWidth="1"/>
    <col min="1543" max="1782" width="9.140625" style="55"/>
    <col min="1783" max="1783" width="12.7109375" style="55" customWidth="1"/>
    <col min="1784" max="1784" width="50.7109375" style="55" customWidth="1"/>
    <col min="1785" max="1798" width="15.7109375" style="55" customWidth="1"/>
    <col min="1799" max="2038" width="9.140625" style="55"/>
    <col min="2039" max="2039" width="12.7109375" style="55" customWidth="1"/>
    <col min="2040" max="2040" width="50.7109375" style="55" customWidth="1"/>
    <col min="2041" max="2054" width="15.7109375" style="55" customWidth="1"/>
    <col min="2055" max="2294" width="9.140625" style="55"/>
    <col min="2295" max="2295" width="12.7109375" style="55" customWidth="1"/>
    <col min="2296" max="2296" width="50.7109375" style="55" customWidth="1"/>
    <col min="2297" max="2310" width="15.7109375" style="55" customWidth="1"/>
    <col min="2311" max="2550" width="9.140625" style="55"/>
    <col min="2551" max="2551" width="12.7109375" style="55" customWidth="1"/>
    <col min="2552" max="2552" width="50.7109375" style="55" customWidth="1"/>
    <col min="2553" max="2566" width="15.7109375" style="55" customWidth="1"/>
    <col min="2567" max="2806" width="9.140625" style="55"/>
    <col min="2807" max="2807" width="12.7109375" style="55" customWidth="1"/>
    <col min="2808" max="2808" width="50.7109375" style="55" customWidth="1"/>
    <col min="2809" max="2822" width="15.7109375" style="55" customWidth="1"/>
    <col min="2823" max="3062" width="9.140625" style="55"/>
    <col min="3063" max="3063" width="12.7109375" style="55" customWidth="1"/>
    <col min="3064" max="3064" width="50.7109375" style="55" customWidth="1"/>
    <col min="3065" max="3078" width="15.7109375" style="55" customWidth="1"/>
    <col min="3079" max="3318" width="9.140625" style="55"/>
    <col min="3319" max="3319" width="12.7109375" style="55" customWidth="1"/>
    <col min="3320" max="3320" width="50.7109375" style="55" customWidth="1"/>
    <col min="3321" max="3334" width="15.7109375" style="55" customWidth="1"/>
    <col min="3335" max="3574" width="9.140625" style="55"/>
    <col min="3575" max="3575" width="12.7109375" style="55" customWidth="1"/>
    <col min="3576" max="3576" width="50.7109375" style="55" customWidth="1"/>
    <col min="3577" max="3590" width="15.7109375" style="55" customWidth="1"/>
    <col min="3591" max="3830" width="9.140625" style="55"/>
    <col min="3831" max="3831" width="12.7109375" style="55" customWidth="1"/>
    <col min="3832" max="3832" width="50.7109375" style="55" customWidth="1"/>
    <col min="3833" max="3846" width="15.7109375" style="55" customWidth="1"/>
    <col min="3847" max="4086" width="9.140625" style="55"/>
    <col min="4087" max="4087" width="12.7109375" style="55" customWidth="1"/>
    <col min="4088" max="4088" width="50.7109375" style="55" customWidth="1"/>
    <col min="4089" max="4102" width="15.7109375" style="55" customWidth="1"/>
    <col min="4103" max="4342" width="9.140625" style="55"/>
    <col min="4343" max="4343" width="12.7109375" style="55" customWidth="1"/>
    <col min="4344" max="4344" width="50.7109375" style="55" customWidth="1"/>
    <col min="4345" max="4358" width="15.7109375" style="55" customWidth="1"/>
    <col min="4359" max="4598" width="9.140625" style="55"/>
    <col min="4599" max="4599" width="12.7109375" style="55" customWidth="1"/>
    <col min="4600" max="4600" width="50.7109375" style="55" customWidth="1"/>
    <col min="4601" max="4614" width="15.7109375" style="55" customWidth="1"/>
    <col min="4615" max="4854" width="9.140625" style="55"/>
    <col min="4855" max="4855" width="12.7109375" style="55" customWidth="1"/>
    <col min="4856" max="4856" width="50.7109375" style="55" customWidth="1"/>
    <col min="4857" max="4870" width="15.7109375" style="55" customWidth="1"/>
    <col min="4871" max="5110" width="9.140625" style="55"/>
    <col min="5111" max="5111" width="12.7109375" style="55" customWidth="1"/>
    <col min="5112" max="5112" width="50.7109375" style="55" customWidth="1"/>
    <col min="5113" max="5126" width="15.7109375" style="55" customWidth="1"/>
    <col min="5127" max="5366" width="9.140625" style="55"/>
    <col min="5367" max="5367" width="12.7109375" style="55" customWidth="1"/>
    <col min="5368" max="5368" width="50.7109375" style="55" customWidth="1"/>
    <col min="5369" max="5382" width="15.7109375" style="55" customWidth="1"/>
    <col min="5383" max="5622" width="9.140625" style="55"/>
    <col min="5623" max="5623" width="12.7109375" style="55" customWidth="1"/>
    <col min="5624" max="5624" width="50.7109375" style="55" customWidth="1"/>
    <col min="5625" max="5638" width="15.7109375" style="55" customWidth="1"/>
    <col min="5639" max="5878" width="9.140625" style="55"/>
    <col min="5879" max="5879" width="12.7109375" style="55" customWidth="1"/>
    <col min="5880" max="5880" width="50.7109375" style="55" customWidth="1"/>
    <col min="5881" max="5894" width="15.7109375" style="55" customWidth="1"/>
    <col min="5895" max="6134" width="9.140625" style="55"/>
    <col min="6135" max="6135" width="12.7109375" style="55" customWidth="1"/>
    <col min="6136" max="6136" width="50.7109375" style="55" customWidth="1"/>
    <col min="6137" max="6150" width="15.7109375" style="55" customWidth="1"/>
    <col min="6151" max="6390" width="9.140625" style="55"/>
    <col min="6391" max="6391" width="12.7109375" style="55" customWidth="1"/>
    <col min="6392" max="6392" width="50.7109375" style="55" customWidth="1"/>
    <col min="6393" max="6406" width="15.7109375" style="55" customWidth="1"/>
    <col min="6407" max="6646" width="9.140625" style="55"/>
    <col min="6647" max="6647" width="12.7109375" style="55" customWidth="1"/>
    <col min="6648" max="6648" width="50.7109375" style="55" customWidth="1"/>
    <col min="6649" max="6662" width="15.7109375" style="55" customWidth="1"/>
    <col min="6663" max="6902" width="9.140625" style="55"/>
    <col min="6903" max="6903" width="12.7109375" style="55" customWidth="1"/>
    <col min="6904" max="6904" width="50.7109375" style="55" customWidth="1"/>
    <col min="6905" max="6918" width="15.7109375" style="55" customWidth="1"/>
    <col min="6919" max="7158" width="9.140625" style="55"/>
    <col min="7159" max="7159" width="12.7109375" style="55" customWidth="1"/>
    <col min="7160" max="7160" width="50.7109375" style="55" customWidth="1"/>
    <col min="7161" max="7174" width="15.7109375" style="55" customWidth="1"/>
    <col min="7175" max="7414" width="9.140625" style="55"/>
    <col min="7415" max="7415" width="12.7109375" style="55" customWidth="1"/>
    <col min="7416" max="7416" width="50.7109375" style="55" customWidth="1"/>
    <col min="7417" max="7430" width="15.7109375" style="55" customWidth="1"/>
    <col min="7431" max="7670" width="9.140625" style="55"/>
    <col min="7671" max="7671" width="12.7109375" style="55" customWidth="1"/>
    <col min="7672" max="7672" width="50.7109375" style="55" customWidth="1"/>
    <col min="7673" max="7686" width="15.7109375" style="55" customWidth="1"/>
    <col min="7687" max="7926" width="9.140625" style="55"/>
    <col min="7927" max="7927" width="12.7109375" style="55" customWidth="1"/>
    <col min="7928" max="7928" width="50.7109375" style="55" customWidth="1"/>
    <col min="7929" max="7942" width="15.7109375" style="55" customWidth="1"/>
    <col min="7943" max="8182" width="9.140625" style="55"/>
    <col min="8183" max="8183" width="12.7109375" style="55" customWidth="1"/>
    <col min="8184" max="8184" width="50.7109375" style="55" customWidth="1"/>
    <col min="8185" max="8198" width="15.7109375" style="55" customWidth="1"/>
    <col min="8199" max="8438" width="9.140625" style="55"/>
    <col min="8439" max="8439" width="12.7109375" style="55" customWidth="1"/>
    <col min="8440" max="8440" width="50.7109375" style="55" customWidth="1"/>
    <col min="8441" max="8454" width="15.7109375" style="55" customWidth="1"/>
    <col min="8455" max="8694" width="9.140625" style="55"/>
    <col min="8695" max="8695" width="12.7109375" style="55" customWidth="1"/>
    <col min="8696" max="8696" width="50.7109375" style="55" customWidth="1"/>
    <col min="8697" max="8710" width="15.7109375" style="55" customWidth="1"/>
    <col min="8711" max="8950" width="9.140625" style="55"/>
    <col min="8951" max="8951" width="12.7109375" style="55" customWidth="1"/>
    <col min="8952" max="8952" width="50.7109375" style="55" customWidth="1"/>
    <col min="8953" max="8966" width="15.7109375" style="55" customWidth="1"/>
    <col min="8967" max="9206" width="9.140625" style="55"/>
    <col min="9207" max="9207" width="12.7109375" style="55" customWidth="1"/>
    <col min="9208" max="9208" width="50.7109375" style="55" customWidth="1"/>
    <col min="9209" max="9222" width="15.7109375" style="55" customWidth="1"/>
    <col min="9223" max="9462" width="9.140625" style="55"/>
    <col min="9463" max="9463" width="12.7109375" style="55" customWidth="1"/>
    <col min="9464" max="9464" width="50.7109375" style="55" customWidth="1"/>
    <col min="9465" max="9478" width="15.7109375" style="55" customWidth="1"/>
    <col min="9479" max="9718" width="9.140625" style="55"/>
    <col min="9719" max="9719" width="12.7109375" style="55" customWidth="1"/>
    <col min="9720" max="9720" width="50.7109375" style="55" customWidth="1"/>
    <col min="9721" max="9734" width="15.7109375" style="55" customWidth="1"/>
    <col min="9735" max="9974" width="9.140625" style="55"/>
    <col min="9975" max="9975" width="12.7109375" style="55" customWidth="1"/>
    <col min="9976" max="9976" width="50.7109375" style="55" customWidth="1"/>
    <col min="9977" max="9990" width="15.7109375" style="55" customWidth="1"/>
    <col min="9991" max="10230" width="9.140625" style="55"/>
    <col min="10231" max="10231" width="12.7109375" style="55" customWidth="1"/>
    <col min="10232" max="10232" width="50.7109375" style="55" customWidth="1"/>
    <col min="10233" max="10246" width="15.7109375" style="55" customWidth="1"/>
    <col min="10247" max="10486" width="9.140625" style="55"/>
    <col min="10487" max="10487" width="12.7109375" style="55" customWidth="1"/>
    <col min="10488" max="10488" width="50.7109375" style="55" customWidth="1"/>
    <col min="10489" max="10502" width="15.7109375" style="55" customWidth="1"/>
    <col min="10503" max="10742" width="9.140625" style="55"/>
    <col min="10743" max="10743" width="12.7109375" style="55" customWidth="1"/>
    <col min="10744" max="10744" width="50.7109375" style="55" customWidth="1"/>
    <col min="10745" max="10758" width="15.7109375" style="55" customWidth="1"/>
    <col min="10759" max="10998" width="9.140625" style="55"/>
    <col min="10999" max="10999" width="12.7109375" style="55" customWidth="1"/>
    <col min="11000" max="11000" width="50.7109375" style="55" customWidth="1"/>
    <col min="11001" max="11014" width="15.7109375" style="55" customWidth="1"/>
    <col min="11015" max="11254" width="9.140625" style="55"/>
    <col min="11255" max="11255" width="12.7109375" style="55" customWidth="1"/>
    <col min="11256" max="11256" width="50.7109375" style="55" customWidth="1"/>
    <col min="11257" max="11270" width="15.7109375" style="55" customWidth="1"/>
    <col min="11271" max="11510" width="9.140625" style="55"/>
    <col min="11511" max="11511" width="12.7109375" style="55" customWidth="1"/>
    <col min="11512" max="11512" width="50.7109375" style="55" customWidth="1"/>
    <col min="11513" max="11526" width="15.7109375" style="55" customWidth="1"/>
    <col min="11527" max="11766" width="9.140625" style="55"/>
    <col min="11767" max="11767" width="12.7109375" style="55" customWidth="1"/>
    <col min="11768" max="11768" width="50.7109375" style="55" customWidth="1"/>
    <col min="11769" max="11782" width="15.7109375" style="55" customWidth="1"/>
    <col min="11783" max="12022" width="9.140625" style="55"/>
    <col min="12023" max="12023" width="12.7109375" style="55" customWidth="1"/>
    <col min="12024" max="12024" width="50.7109375" style="55" customWidth="1"/>
    <col min="12025" max="12038" width="15.7109375" style="55" customWidth="1"/>
    <col min="12039" max="12278" width="9.140625" style="55"/>
    <col min="12279" max="12279" width="12.7109375" style="55" customWidth="1"/>
    <col min="12280" max="12280" width="50.7109375" style="55" customWidth="1"/>
    <col min="12281" max="12294" width="15.7109375" style="55" customWidth="1"/>
    <col min="12295" max="12534" width="9.140625" style="55"/>
    <col min="12535" max="12535" width="12.7109375" style="55" customWidth="1"/>
    <col min="12536" max="12536" width="50.7109375" style="55" customWidth="1"/>
    <col min="12537" max="12550" width="15.7109375" style="55" customWidth="1"/>
    <col min="12551" max="12790" width="9.140625" style="55"/>
    <col min="12791" max="12791" width="12.7109375" style="55" customWidth="1"/>
    <col min="12792" max="12792" width="50.7109375" style="55" customWidth="1"/>
    <col min="12793" max="12806" width="15.7109375" style="55" customWidth="1"/>
    <col min="12807" max="13046" width="9.140625" style="55"/>
    <col min="13047" max="13047" width="12.7109375" style="55" customWidth="1"/>
    <col min="13048" max="13048" width="50.7109375" style="55" customWidth="1"/>
    <col min="13049" max="13062" width="15.7109375" style="55" customWidth="1"/>
    <col min="13063" max="13302" width="9.140625" style="55"/>
    <col min="13303" max="13303" width="12.7109375" style="55" customWidth="1"/>
    <col min="13304" max="13304" width="50.7109375" style="55" customWidth="1"/>
    <col min="13305" max="13318" width="15.7109375" style="55" customWidth="1"/>
    <col min="13319" max="13558" width="9.140625" style="55"/>
    <col min="13559" max="13559" width="12.7109375" style="55" customWidth="1"/>
    <col min="13560" max="13560" width="50.7109375" style="55" customWidth="1"/>
    <col min="13561" max="13574" width="15.7109375" style="55" customWidth="1"/>
    <col min="13575" max="13814" width="9.140625" style="55"/>
    <col min="13815" max="13815" width="12.7109375" style="55" customWidth="1"/>
    <col min="13816" max="13816" width="50.7109375" style="55" customWidth="1"/>
    <col min="13817" max="13830" width="15.7109375" style="55" customWidth="1"/>
    <col min="13831" max="14070" width="9.140625" style="55"/>
    <col min="14071" max="14071" width="12.7109375" style="55" customWidth="1"/>
    <col min="14072" max="14072" width="50.7109375" style="55" customWidth="1"/>
    <col min="14073" max="14086" width="15.7109375" style="55" customWidth="1"/>
    <col min="14087" max="14326" width="9.140625" style="55"/>
    <col min="14327" max="14327" width="12.7109375" style="55" customWidth="1"/>
    <col min="14328" max="14328" width="50.7109375" style="55" customWidth="1"/>
    <col min="14329" max="14342" width="15.7109375" style="55" customWidth="1"/>
    <col min="14343" max="14582" width="9.140625" style="55"/>
    <col min="14583" max="14583" width="12.7109375" style="55" customWidth="1"/>
    <col min="14584" max="14584" width="50.7109375" style="55" customWidth="1"/>
    <col min="14585" max="14598" width="15.7109375" style="55" customWidth="1"/>
    <col min="14599" max="14838" width="9.140625" style="55"/>
    <col min="14839" max="14839" width="12.7109375" style="55" customWidth="1"/>
    <col min="14840" max="14840" width="50.7109375" style="55" customWidth="1"/>
    <col min="14841" max="14854" width="15.7109375" style="55" customWidth="1"/>
    <col min="14855" max="15094" width="9.140625" style="55"/>
    <col min="15095" max="15095" width="12.7109375" style="55" customWidth="1"/>
    <col min="15096" max="15096" width="50.7109375" style="55" customWidth="1"/>
    <col min="15097" max="15110" width="15.7109375" style="55" customWidth="1"/>
    <col min="15111" max="15350" width="9.140625" style="55"/>
    <col min="15351" max="15351" width="12.7109375" style="55" customWidth="1"/>
    <col min="15352" max="15352" width="50.7109375" style="55" customWidth="1"/>
    <col min="15353" max="15366" width="15.7109375" style="55" customWidth="1"/>
    <col min="15367" max="15606" width="9.140625" style="55"/>
    <col min="15607" max="15607" width="12.7109375" style="55" customWidth="1"/>
    <col min="15608" max="15608" width="50.7109375" style="55" customWidth="1"/>
    <col min="15609" max="15622" width="15.7109375" style="55" customWidth="1"/>
    <col min="15623" max="15862" width="9.140625" style="55"/>
    <col min="15863" max="15863" width="12.7109375" style="55" customWidth="1"/>
    <col min="15864" max="15864" width="50.7109375" style="55" customWidth="1"/>
    <col min="15865" max="15878" width="15.7109375" style="55" customWidth="1"/>
    <col min="15879" max="16118" width="9.140625" style="55"/>
    <col min="16119" max="16119" width="12.7109375" style="55" customWidth="1"/>
    <col min="16120" max="16120" width="50.7109375" style="55" customWidth="1"/>
    <col min="16121" max="16134" width="15.7109375" style="55" customWidth="1"/>
    <col min="16135" max="16384" width="9.140625" style="55"/>
  </cols>
  <sheetData>
    <row r="2" spans="1:7" ht="15.75" x14ac:dyDescent="0.25">
      <c r="A2" s="98" t="s">
        <v>146</v>
      </c>
      <c r="B2" s="98"/>
      <c r="C2" s="98"/>
      <c r="D2" s="98"/>
      <c r="E2" s="98"/>
      <c r="F2" s="98"/>
    </row>
    <row r="3" spans="1:7" ht="15.75" x14ac:dyDescent="0.25">
      <c r="A3" s="98" t="s">
        <v>168</v>
      </c>
      <c r="B3" s="98"/>
      <c r="C3" s="98"/>
      <c r="D3" s="98"/>
      <c r="E3" s="98"/>
      <c r="F3" s="98"/>
    </row>
    <row r="4" spans="1:7" ht="15.75" x14ac:dyDescent="0.25">
      <c r="A4" s="98" t="s">
        <v>74</v>
      </c>
      <c r="B4" s="98"/>
      <c r="C4" s="98"/>
      <c r="D4" s="98"/>
      <c r="E4" s="98"/>
      <c r="F4" s="98"/>
    </row>
    <row r="5" spans="1:7" x14ac:dyDescent="0.2">
      <c r="A5" s="66"/>
      <c r="B5" s="67"/>
      <c r="C5" s="68"/>
      <c r="D5" s="68"/>
      <c r="E5" s="68"/>
      <c r="F5" s="69" t="s">
        <v>52</v>
      </c>
    </row>
    <row r="6" spans="1:7" s="56" customFormat="1" ht="57" x14ac:dyDescent="0.2">
      <c r="A6" s="84" t="s">
        <v>81</v>
      </c>
      <c r="B6" s="84" t="s">
        <v>82</v>
      </c>
      <c r="C6" s="60" t="s">
        <v>147</v>
      </c>
      <c r="D6" s="60" t="s">
        <v>148</v>
      </c>
      <c r="E6" s="60" t="s">
        <v>149</v>
      </c>
      <c r="F6" s="60" t="s">
        <v>150</v>
      </c>
    </row>
    <row r="7" spans="1:7" ht="14.25" x14ac:dyDescent="0.2">
      <c r="A7" s="84">
        <v>1</v>
      </c>
      <c r="B7" s="84">
        <v>2</v>
      </c>
      <c r="C7" s="84">
        <v>3</v>
      </c>
      <c r="D7" s="84">
        <v>4</v>
      </c>
      <c r="E7" s="84">
        <v>5</v>
      </c>
      <c r="F7" s="84">
        <v>6</v>
      </c>
    </row>
    <row r="8" spans="1:7" ht="60" x14ac:dyDescent="0.2">
      <c r="A8" s="61" t="s">
        <v>83</v>
      </c>
      <c r="B8" s="62" t="s">
        <v>84</v>
      </c>
      <c r="C8" s="63">
        <v>792.40900000000011</v>
      </c>
      <c r="D8" s="63">
        <v>30381.358330000003</v>
      </c>
      <c r="E8" s="64">
        <f t="shared" ref="E8:E20" si="0">C8-D8</f>
        <v>-29588.949330000003</v>
      </c>
      <c r="F8" s="64">
        <f t="shared" ref="F8:F20" si="1">IF(C8=0,0,(D8/C8)*100)</f>
        <v>3834.0501344633894</v>
      </c>
      <c r="G8" s="57"/>
    </row>
    <row r="9" spans="1:7" ht="45" x14ac:dyDescent="0.2">
      <c r="A9" s="61" t="s">
        <v>85</v>
      </c>
      <c r="B9" s="62" t="s">
        <v>86</v>
      </c>
      <c r="C9" s="63">
        <v>246.351</v>
      </c>
      <c r="D9" s="63">
        <v>543.34649999999999</v>
      </c>
      <c r="E9" s="64">
        <f t="shared" si="0"/>
        <v>-296.99549999999999</v>
      </c>
      <c r="F9" s="64">
        <f t="shared" si="1"/>
        <v>220.55786256195429</v>
      </c>
      <c r="G9" s="57"/>
    </row>
    <row r="10" spans="1:7" ht="75" x14ac:dyDescent="0.2">
      <c r="A10" s="61" t="s">
        <v>176</v>
      </c>
      <c r="B10" s="62" t="s">
        <v>177</v>
      </c>
      <c r="C10" s="63">
        <v>62</v>
      </c>
      <c r="D10" s="63">
        <v>61.866280000000003</v>
      </c>
      <c r="E10" s="64">
        <f t="shared" si="0"/>
        <v>0.13371999999999673</v>
      </c>
      <c r="F10" s="64">
        <f t="shared" si="1"/>
        <v>99.784322580645167</v>
      </c>
      <c r="G10" s="57"/>
    </row>
    <row r="11" spans="1:7" ht="90" x14ac:dyDescent="0.2">
      <c r="A11" s="61" t="s">
        <v>186</v>
      </c>
      <c r="B11" s="62" t="s">
        <v>187</v>
      </c>
      <c r="C11" s="63">
        <v>622.702</v>
      </c>
      <c r="D11" s="63">
        <v>622.70101</v>
      </c>
      <c r="E11" s="64">
        <f t="shared" si="0"/>
        <v>9.9000000000160071E-4</v>
      </c>
      <c r="F11" s="64">
        <f t="shared" si="1"/>
        <v>99.999841015445583</v>
      </c>
      <c r="G11" s="57"/>
    </row>
    <row r="12" spans="1:7" ht="90" x14ac:dyDescent="0.2">
      <c r="A12" s="61" t="s">
        <v>188</v>
      </c>
      <c r="B12" s="62" t="s">
        <v>189</v>
      </c>
      <c r="C12" s="63">
        <v>883.30000000000007</v>
      </c>
      <c r="D12" s="63">
        <v>883.30000000000007</v>
      </c>
      <c r="E12" s="64">
        <f t="shared" si="0"/>
        <v>0</v>
      </c>
      <c r="F12" s="64">
        <f t="shared" si="1"/>
        <v>100</v>
      </c>
      <c r="G12" s="57"/>
    </row>
    <row r="13" spans="1:7" ht="90" x14ac:dyDescent="0.2">
      <c r="A13" s="61" t="s">
        <v>151</v>
      </c>
      <c r="B13" s="62" t="s">
        <v>190</v>
      </c>
      <c r="C13" s="63">
        <v>1611.557</v>
      </c>
      <c r="D13" s="63">
        <v>1611.28721</v>
      </c>
      <c r="E13" s="64">
        <f t="shared" si="0"/>
        <v>0.26979000000005726</v>
      </c>
      <c r="F13" s="64">
        <f t="shared" si="1"/>
        <v>99.983259046996167</v>
      </c>
      <c r="G13" s="57"/>
    </row>
    <row r="14" spans="1:7" ht="90" x14ac:dyDescent="0.2">
      <c r="A14" s="61" t="s">
        <v>152</v>
      </c>
      <c r="B14" s="62" t="s">
        <v>191</v>
      </c>
      <c r="C14" s="63">
        <v>15032.1</v>
      </c>
      <c r="D14" s="63">
        <v>14733.357039999999</v>
      </c>
      <c r="E14" s="64">
        <f t="shared" si="0"/>
        <v>298.7429600000014</v>
      </c>
      <c r="F14" s="64">
        <f t="shared" si="1"/>
        <v>98.012633231551135</v>
      </c>
      <c r="G14" s="57"/>
    </row>
    <row r="15" spans="1:7" ht="90" x14ac:dyDescent="0.2">
      <c r="A15" s="61" t="s">
        <v>192</v>
      </c>
      <c r="B15" s="62" t="s">
        <v>193</v>
      </c>
      <c r="C15" s="63">
        <v>392.07600000000002</v>
      </c>
      <c r="D15" s="63">
        <v>392.07544000000001</v>
      </c>
      <c r="E15" s="64">
        <f t="shared" si="0"/>
        <v>5.6000000000722139E-4</v>
      </c>
      <c r="F15" s="64">
        <f t="shared" si="1"/>
        <v>99.999857170548566</v>
      </c>
      <c r="G15" s="57"/>
    </row>
    <row r="16" spans="1:7" ht="90" x14ac:dyDescent="0.2">
      <c r="A16" s="61" t="s">
        <v>194</v>
      </c>
      <c r="B16" s="62" t="s">
        <v>195</v>
      </c>
      <c r="C16" s="63">
        <v>1611.9</v>
      </c>
      <c r="D16" s="63">
        <v>1568.3018000000002</v>
      </c>
      <c r="E16" s="64">
        <f t="shared" si="0"/>
        <v>43.598199999999906</v>
      </c>
      <c r="F16" s="64">
        <f t="shared" si="1"/>
        <v>97.29522923258267</v>
      </c>
      <c r="G16" s="57"/>
    </row>
    <row r="17" spans="1:7" ht="75" x14ac:dyDescent="0.2">
      <c r="A17" s="61" t="s">
        <v>196</v>
      </c>
      <c r="B17" s="62" t="s">
        <v>197</v>
      </c>
      <c r="C17" s="63">
        <v>218.6</v>
      </c>
      <c r="D17" s="63">
        <v>218.6</v>
      </c>
      <c r="E17" s="64">
        <f t="shared" si="0"/>
        <v>0</v>
      </c>
      <c r="F17" s="64">
        <f t="shared" si="1"/>
        <v>100</v>
      </c>
      <c r="G17" s="57"/>
    </row>
    <row r="18" spans="1:7" ht="15" x14ac:dyDescent="0.2">
      <c r="A18" s="61" t="s">
        <v>198</v>
      </c>
      <c r="B18" s="62" t="s">
        <v>154</v>
      </c>
      <c r="C18" s="63">
        <v>5062.6450000000004</v>
      </c>
      <c r="D18" s="63">
        <v>3870.42328</v>
      </c>
      <c r="E18" s="64">
        <f t="shared" si="0"/>
        <v>1192.2217200000005</v>
      </c>
      <c r="F18" s="64">
        <f t="shared" si="1"/>
        <v>76.450615834213124</v>
      </c>
      <c r="G18" s="57"/>
    </row>
    <row r="19" spans="1:7" ht="60" x14ac:dyDescent="0.2">
      <c r="A19" s="61" t="s">
        <v>89</v>
      </c>
      <c r="B19" s="62" t="s">
        <v>90</v>
      </c>
      <c r="C19" s="63">
        <v>224</v>
      </c>
      <c r="D19" s="63">
        <v>224</v>
      </c>
      <c r="E19" s="64">
        <f t="shared" si="0"/>
        <v>0</v>
      </c>
      <c r="F19" s="64">
        <f t="shared" si="1"/>
        <v>100</v>
      </c>
      <c r="G19" s="57"/>
    </row>
    <row r="20" spans="1:7" ht="75" x14ac:dyDescent="0.2">
      <c r="A20" s="61" t="s">
        <v>199</v>
      </c>
      <c r="B20" s="62" t="s">
        <v>200</v>
      </c>
      <c r="C20" s="63">
        <v>271.60000000000002</v>
      </c>
      <c r="D20" s="63">
        <v>207.0615</v>
      </c>
      <c r="E20" s="64">
        <f t="shared" si="0"/>
        <v>64.538500000000028</v>
      </c>
      <c r="F20" s="64">
        <f t="shared" si="1"/>
        <v>76.237665684830631</v>
      </c>
      <c r="G20" s="57"/>
    </row>
    <row r="21" spans="1:7" ht="15" x14ac:dyDescent="0.2">
      <c r="A21" s="61" t="s">
        <v>95</v>
      </c>
      <c r="B21" s="62" t="s">
        <v>96</v>
      </c>
      <c r="C21" s="63">
        <v>2373.491</v>
      </c>
      <c r="D21" s="63">
        <v>1953.63339</v>
      </c>
      <c r="E21" s="64">
        <f t="shared" ref="E21:E34" si="2">C21-D21</f>
        <v>419.85761000000002</v>
      </c>
      <c r="F21" s="64">
        <f t="shared" ref="F21:F34" si="3">IF(C21=0,0,(D21/C21)*100)</f>
        <v>82.310545521343883</v>
      </c>
      <c r="G21" s="57"/>
    </row>
    <row r="22" spans="1:7" ht="15" x14ac:dyDescent="0.2">
      <c r="A22" s="61" t="s">
        <v>201</v>
      </c>
      <c r="B22" s="62" t="s">
        <v>202</v>
      </c>
      <c r="C22" s="63">
        <v>599.99900000000002</v>
      </c>
      <c r="D22" s="63">
        <v>425.80018000000001</v>
      </c>
      <c r="E22" s="64">
        <f t="shared" si="2"/>
        <v>174.19882000000001</v>
      </c>
      <c r="F22" s="64">
        <f t="shared" si="3"/>
        <v>70.966814944691563</v>
      </c>
      <c r="G22" s="57"/>
    </row>
    <row r="23" spans="1:7" ht="15" x14ac:dyDescent="0.2">
      <c r="A23" s="61" t="s">
        <v>153</v>
      </c>
      <c r="B23" s="62" t="s">
        <v>203</v>
      </c>
      <c r="C23" s="63">
        <v>0</v>
      </c>
      <c r="D23" s="63">
        <v>6192.5310399999998</v>
      </c>
      <c r="E23" s="64">
        <f t="shared" si="2"/>
        <v>-6192.5310399999998</v>
      </c>
      <c r="F23" s="64">
        <f t="shared" si="3"/>
        <v>0</v>
      </c>
      <c r="G23" s="57"/>
    </row>
    <row r="24" spans="1:7" ht="45" x14ac:dyDescent="0.2">
      <c r="A24" s="61" t="s">
        <v>113</v>
      </c>
      <c r="B24" s="62" t="s">
        <v>182</v>
      </c>
      <c r="C24" s="63">
        <v>99.501000000000005</v>
      </c>
      <c r="D24" s="63">
        <v>99.500799999999998</v>
      </c>
      <c r="E24" s="64">
        <f t="shared" si="2"/>
        <v>2.0000000000663931E-4</v>
      </c>
      <c r="F24" s="64">
        <f t="shared" si="3"/>
        <v>99.999798996994997</v>
      </c>
      <c r="G24" s="57"/>
    </row>
    <row r="25" spans="1:7" ht="30" x14ac:dyDescent="0.2">
      <c r="A25" s="61" t="s">
        <v>116</v>
      </c>
      <c r="B25" s="62" t="s">
        <v>117</v>
      </c>
      <c r="C25" s="63">
        <v>99.501000000000005</v>
      </c>
      <c r="D25" s="63">
        <v>365.42719999999997</v>
      </c>
      <c r="E25" s="64">
        <f t="shared" si="2"/>
        <v>-265.92619999999999</v>
      </c>
      <c r="F25" s="64">
        <f t="shared" si="3"/>
        <v>367.25982653440667</v>
      </c>
      <c r="G25" s="57"/>
    </row>
    <row r="26" spans="1:7" ht="30" x14ac:dyDescent="0.2">
      <c r="A26" s="61" t="s">
        <v>183</v>
      </c>
      <c r="B26" s="62" t="s">
        <v>184</v>
      </c>
      <c r="C26" s="63">
        <v>2755.6710000000003</v>
      </c>
      <c r="D26" s="63">
        <v>2642.5297</v>
      </c>
      <c r="E26" s="64">
        <f t="shared" si="2"/>
        <v>113.14130000000023</v>
      </c>
      <c r="F26" s="64">
        <f t="shared" si="3"/>
        <v>95.894237737378646</v>
      </c>
      <c r="G26" s="57"/>
    </row>
    <row r="27" spans="1:7" ht="45" x14ac:dyDescent="0.2">
      <c r="A27" s="61" t="s">
        <v>118</v>
      </c>
      <c r="B27" s="62" t="s">
        <v>119</v>
      </c>
      <c r="C27" s="63">
        <v>5</v>
      </c>
      <c r="D27" s="63">
        <v>0</v>
      </c>
      <c r="E27" s="64">
        <f t="shared" si="2"/>
        <v>5</v>
      </c>
      <c r="F27" s="64">
        <f t="shared" si="3"/>
        <v>0</v>
      </c>
      <c r="G27" s="57"/>
    </row>
    <row r="28" spans="1:7" ht="15" x14ac:dyDescent="0.2">
      <c r="A28" s="61" t="s">
        <v>120</v>
      </c>
      <c r="B28" s="62" t="s">
        <v>121</v>
      </c>
      <c r="C28" s="63">
        <v>793.40100000000007</v>
      </c>
      <c r="D28" s="63">
        <v>793.40080000000012</v>
      </c>
      <c r="E28" s="64">
        <f t="shared" si="2"/>
        <v>1.9999999994979589E-4</v>
      </c>
      <c r="F28" s="64">
        <f t="shared" si="3"/>
        <v>99.999974792066055</v>
      </c>
      <c r="G28" s="57"/>
    </row>
    <row r="29" spans="1:7" ht="15" x14ac:dyDescent="0.2">
      <c r="A29" s="61" t="s">
        <v>155</v>
      </c>
      <c r="B29" s="62" t="s">
        <v>156</v>
      </c>
      <c r="C29" s="63">
        <v>7673.1500000000005</v>
      </c>
      <c r="D29" s="63">
        <v>7582.1388900000002</v>
      </c>
      <c r="E29" s="64">
        <f t="shared" si="2"/>
        <v>91.011110000000372</v>
      </c>
      <c r="F29" s="64">
        <f t="shared" si="3"/>
        <v>98.813901591914657</v>
      </c>
      <c r="G29" s="57"/>
    </row>
    <row r="30" spans="1:7" ht="30" x14ac:dyDescent="0.2">
      <c r="A30" s="61" t="s">
        <v>204</v>
      </c>
      <c r="B30" s="62" t="s">
        <v>205</v>
      </c>
      <c r="C30" s="63">
        <v>2000</v>
      </c>
      <c r="D30" s="63">
        <v>1998.3113500000002</v>
      </c>
      <c r="E30" s="64">
        <f t="shared" si="2"/>
        <v>1.688649999999825</v>
      </c>
      <c r="F30" s="64">
        <f t="shared" si="3"/>
        <v>99.915567500000009</v>
      </c>
      <c r="G30" s="57"/>
    </row>
    <row r="31" spans="1:7" ht="75" x14ac:dyDescent="0.2">
      <c r="A31" s="61" t="s">
        <v>157</v>
      </c>
      <c r="B31" s="62" t="s">
        <v>158</v>
      </c>
      <c r="C31" s="63">
        <v>209.43299999999999</v>
      </c>
      <c r="D31" s="63">
        <v>209.43299999999999</v>
      </c>
      <c r="E31" s="64">
        <f t="shared" si="2"/>
        <v>0</v>
      </c>
      <c r="F31" s="64">
        <f t="shared" si="3"/>
        <v>100</v>
      </c>
      <c r="G31" s="57"/>
    </row>
    <row r="32" spans="1:7" ht="30" x14ac:dyDescent="0.2">
      <c r="A32" s="61" t="s">
        <v>206</v>
      </c>
      <c r="B32" s="62" t="s">
        <v>207</v>
      </c>
      <c r="C32" s="63">
        <v>198</v>
      </c>
      <c r="D32" s="63">
        <v>198</v>
      </c>
      <c r="E32" s="64">
        <f t="shared" si="2"/>
        <v>0</v>
      </c>
      <c r="F32" s="64">
        <f t="shared" si="3"/>
        <v>100</v>
      </c>
      <c r="G32" s="57"/>
    </row>
    <row r="33" spans="1:7" ht="15" x14ac:dyDescent="0.2">
      <c r="A33" s="61" t="s">
        <v>124</v>
      </c>
      <c r="B33" s="62" t="s">
        <v>125</v>
      </c>
      <c r="C33" s="63">
        <v>99.501000000000005</v>
      </c>
      <c r="D33" s="63">
        <v>99.500799999999998</v>
      </c>
      <c r="E33" s="64">
        <f t="shared" si="2"/>
        <v>2.0000000000663931E-4</v>
      </c>
      <c r="F33" s="64">
        <f t="shared" si="3"/>
        <v>99.999798996994997</v>
      </c>
      <c r="G33" s="57"/>
    </row>
    <row r="34" spans="1:7" ht="30" x14ac:dyDescent="0.2">
      <c r="A34" s="61" t="s">
        <v>128</v>
      </c>
      <c r="B34" s="62" t="s">
        <v>129</v>
      </c>
      <c r="C34" s="63">
        <v>70.045000000000002</v>
      </c>
      <c r="D34" s="63">
        <v>70.045000000000002</v>
      </c>
      <c r="E34" s="64">
        <f t="shared" si="2"/>
        <v>0</v>
      </c>
      <c r="F34" s="64">
        <f t="shared" si="3"/>
        <v>100</v>
      </c>
      <c r="G34" s="57"/>
    </row>
    <row r="35" spans="1:7" ht="30" x14ac:dyDescent="0.2">
      <c r="A35" s="61" t="s">
        <v>159</v>
      </c>
      <c r="B35" s="62" t="s">
        <v>208</v>
      </c>
      <c r="C35" s="63">
        <v>99</v>
      </c>
      <c r="D35" s="63">
        <v>99</v>
      </c>
      <c r="E35" s="64">
        <f t="shared" ref="E35:E41" si="4">C35-D35</f>
        <v>0</v>
      </c>
      <c r="F35" s="64">
        <f t="shared" ref="F35:F41" si="5">IF(C35=0,0,(D35/C35)*100)</f>
        <v>100</v>
      </c>
      <c r="G35" s="57"/>
    </row>
    <row r="36" spans="1:7" ht="15" x14ac:dyDescent="0.2">
      <c r="A36" s="61" t="s">
        <v>134</v>
      </c>
      <c r="B36" s="62" t="s">
        <v>17</v>
      </c>
      <c r="C36" s="63">
        <v>1002</v>
      </c>
      <c r="D36" s="63">
        <v>1002</v>
      </c>
      <c r="E36" s="64">
        <f t="shared" si="4"/>
        <v>0</v>
      </c>
      <c r="F36" s="64">
        <f t="shared" si="5"/>
        <v>100</v>
      </c>
      <c r="G36" s="57"/>
    </row>
    <row r="37" spans="1:7" ht="45" x14ac:dyDescent="0.2">
      <c r="A37" s="61" t="s">
        <v>137</v>
      </c>
      <c r="B37" s="62" t="s">
        <v>138</v>
      </c>
      <c r="C37" s="63">
        <v>0</v>
      </c>
      <c r="D37" s="63">
        <v>125.069</v>
      </c>
      <c r="E37" s="64">
        <f t="shared" si="4"/>
        <v>-125.069</v>
      </c>
      <c r="F37" s="64">
        <f t="shared" si="5"/>
        <v>0</v>
      </c>
      <c r="G37" s="57"/>
    </row>
    <row r="38" spans="1:7" ht="45" x14ac:dyDescent="0.2">
      <c r="A38" s="61" t="s">
        <v>139</v>
      </c>
      <c r="B38" s="62" t="s">
        <v>138</v>
      </c>
      <c r="C38" s="63">
        <v>655.43799999999999</v>
      </c>
      <c r="D38" s="63">
        <v>655.43799999999999</v>
      </c>
      <c r="E38" s="64">
        <f t="shared" si="4"/>
        <v>0</v>
      </c>
      <c r="F38" s="64">
        <f t="shared" si="5"/>
        <v>100</v>
      </c>
      <c r="G38" s="57"/>
    </row>
    <row r="39" spans="1:7" ht="15" x14ac:dyDescent="0.2">
      <c r="A39" s="61" t="s">
        <v>140</v>
      </c>
      <c r="B39" s="62" t="s">
        <v>121</v>
      </c>
      <c r="C39" s="63">
        <v>99.501000000000005</v>
      </c>
      <c r="D39" s="63">
        <v>99.500799999999998</v>
      </c>
      <c r="E39" s="64">
        <f t="shared" si="4"/>
        <v>2.0000000000663931E-4</v>
      </c>
      <c r="F39" s="64">
        <f t="shared" si="5"/>
        <v>99.999798996994997</v>
      </c>
      <c r="G39" s="57"/>
    </row>
    <row r="40" spans="1:7" ht="30" x14ac:dyDescent="0.2">
      <c r="A40" s="61" t="s">
        <v>209</v>
      </c>
      <c r="B40" s="62" t="s">
        <v>210</v>
      </c>
      <c r="C40" s="63">
        <v>90</v>
      </c>
      <c r="D40" s="63">
        <v>0</v>
      </c>
      <c r="E40" s="64">
        <f t="shared" si="4"/>
        <v>90</v>
      </c>
      <c r="F40" s="64">
        <f t="shared" si="5"/>
        <v>0</v>
      </c>
      <c r="G40" s="57"/>
    </row>
    <row r="41" spans="1:7" ht="14.25" x14ac:dyDescent="0.2">
      <c r="A41" s="85" t="s">
        <v>144</v>
      </c>
      <c r="B41" s="65" t="s">
        <v>145</v>
      </c>
      <c r="C41" s="86">
        <v>45953.871999999988</v>
      </c>
      <c r="D41" s="86">
        <v>79928.938340000022</v>
      </c>
      <c r="E41" s="86">
        <f t="shared" si="4"/>
        <v>-33975.066340000034</v>
      </c>
      <c r="F41" s="86">
        <f t="shared" si="5"/>
        <v>173.93297857468909</v>
      </c>
      <c r="G41" s="57"/>
    </row>
    <row r="43" spans="1:7" x14ac:dyDescent="0.2">
      <c r="A43" s="58"/>
      <c r="B43" s="59"/>
      <c r="C43" s="57"/>
      <c r="D43" s="57"/>
      <c r="E43" s="57"/>
      <c r="F43" s="57"/>
    </row>
    <row r="51" hidden="1" x14ac:dyDescent="0.2"/>
  </sheetData>
  <mergeCells count="3">
    <mergeCell ref="A2:F2"/>
    <mergeCell ref="A4:F4"/>
    <mergeCell ref="A3:F3"/>
  </mergeCells>
  <conditionalFormatting sqref="A8:A41">
    <cfRule type="expression" dxfId="23" priority="19" stopIfTrue="1">
      <formula>#REF!=1</formula>
    </cfRule>
    <cfRule type="expression" dxfId="22" priority="20" stopIfTrue="1">
      <formula>#REF!=2</formula>
    </cfRule>
    <cfRule type="expression" dxfId="21" priority="21" stopIfTrue="1">
      <formula>#REF!=3</formula>
    </cfRule>
  </conditionalFormatting>
  <conditionalFormatting sqref="B8:F41">
    <cfRule type="expression" dxfId="20" priority="22" stopIfTrue="1">
      <formula>#REF!=1</formula>
    </cfRule>
    <cfRule type="expression" dxfId="19" priority="23" stopIfTrue="1">
      <formula>#REF!=2</formula>
    </cfRule>
    <cfRule type="expression" dxfId="18" priority="24" stopIfTrue="1">
      <formula>#REF!=3</formula>
    </cfRule>
  </conditionalFormatting>
  <conditionalFormatting sqref="A43:A52">
    <cfRule type="expression" dxfId="17" priority="1" stopIfTrue="1">
      <formula>#REF!=1</formula>
    </cfRule>
    <cfRule type="expression" dxfId="16" priority="2" stopIfTrue="1">
      <formula>#REF!=2</formula>
    </cfRule>
    <cfRule type="expression" dxfId="15" priority="3" stopIfTrue="1">
      <formula>#REF!=3</formula>
    </cfRule>
  </conditionalFormatting>
  <conditionalFormatting sqref="B43:B52">
    <cfRule type="expression" dxfId="14" priority="4" stopIfTrue="1">
      <formula>#REF!=1</formula>
    </cfRule>
    <cfRule type="expression" dxfId="13" priority="5" stopIfTrue="1">
      <formula>#REF!=2</formula>
    </cfRule>
    <cfRule type="expression" dxfId="12" priority="6" stopIfTrue="1">
      <formula>#REF!=3</formula>
    </cfRule>
  </conditionalFormatting>
  <conditionalFormatting sqref="C43:C52">
    <cfRule type="expression" dxfId="11" priority="7" stopIfTrue="1">
      <formula>#REF!=1</formula>
    </cfRule>
    <cfRule type="expression" dxfId="10" priority="8" stopIfTrue="1">
      <formula>#REF!=2</formula>
    </cfRule>
    <cfRule type="expression" dxfId="9" priority="9" stopIfTrue="1">
      <formula>#REF!=3</formula>
    </cfRule>
  </conditionalFormatting>
  <conditionalFormatting sqref="D43:D52">
    <cfRule type="expression" dxfId="8" priority="10" stopIfTrue="1">
      <formula>#REF!=1</formula>
    </cfRule>
    <cfRule type="expression" dxfId="7" priority="11" stopIfTrue="1">
      <formula>#REF!=2</formula>
    </cfRule>
    <cfRule type="expression" dxfId="6" priority="12" stopIfTrue="1">
      <formula>#REF!=3</formula>
    </cfRule>
  </conditionalFormatting>
  <conditionalFormatting sqref="E43:E52">
    <cfRule type="expression" dxfId="5" priority="13" stopIfTrue="1">
      <formula>#REF!=1</formula>
    </cfRule>
    <cfRule type="expression" dxfId="4" priority="14" stopIfTrue="1">
      <formula>#REF!=2</formula>
    </cfRule>
    <cfRule type="expression" dxfId="3" priority="15" stopIfTrue="1">
      <formula>#REF!=3</formula>
    </cfRule>
  </conditionalFormatting>
  <conditionalFormatting sqref="F43:F52">
    <cfRule type="expression" dxfId="2" priority="16" stopIfTrue="1">
      <formula>#REF!=1</formula>
    </cfRule>
    <cfRule type="expression" dxfId="1" priority="17" stopIfTrue="1">
      <formula>#REF!=2</formula>
    </cfRule>
    <cfRule type="expression" dxfId="0" priority="18" stopIfTrue="1">
      <formula>#REF!=3</formula>
    </cfRule>
  </conditionalFormatting>
  <pageMargins left="0.32" right="0.33" top="0.39370078740157499" bottom="0.39370078740157499" header="0" footer="0"/>
  <pageSetup paperSize="9" scale="76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1BF8-E0F5-48CA-B1B3-CB9288A80106}">
  <dimension ref="A2:J46"/>
  <sheetViews>
    <sheetView workbookViewId="0">
      <selection activeCell="D28" sqref="D28"/>
    </sheetView>
  </sheetViews>
  <sheetFormatPr defaultRowHeight="12.75" x14ac:dyDescent="0.2"/>
  <cols>
    <col min="1" max="1" width="0.140625" style="5" customWidth="1"/>
    <col min="2" max="2" width="11.5703125" style="29" customWidth="1"/>
    <col min="3" max="3" width="54.85546875" style="5" customWidth="1"/>
    <col min="4" max="4" width="16.140625" style="29" customWidth="1"/>
    <col min="5" max="5" width="16.5703125" style="29" customWidth="1"/>
    <col min="6" max="6" width="14.5703125" style="29" customWidth="1"/>
    <col min="7" max="7" width="14.7109375" style="29" customWidth="1"/>
    <col min="8" max="8" width="7.42578125" style="5" customWidth="1"/>
    <col min="9" max="16384" width="9.140625" style="5"/>
  </cols>
  <sheetData>
    <row r="2" spans="1:10" ht="15.75" x14ac:dyDescent="0.25">
      <c r="A2" s="3"/>
      <c r="B2" s="99" t="s">
        <v>18</v>
      </c>
      <c r="C2" s="99"/>
      <c r="D2" s="99"/>
      <c r="E2" s="99"/>
      <c r="F2" s="99"/>
      <c r="G2" s="99"/>
      <c r="H2" s="4"/>
      <c r="I2" s="4"/>
      <c r="J2" s="4"/>
    </row>
    <row r="3" spans="1:10" ht="15.75" x14ac:dyDescent="0.25">
      <c r="A3" s="3"/>
      <c r="B3" s="99" t="s">
        <v>19</v>
      </c>
      <c r="C3" s="99"/>
      <c r="D3" s="99"/>
      <c r="E3" s="99"/>
      <c r="F3" s="99"/>
      <c r="G3" s="99"/>
      <c r="H3" s="4"/>
      <c r="I3" s="4"/>
      <c r="J3" s="4"/>
    </row>
    <row r="4" spans="1:10" ht="15.75" x14ac:dyDescent="0.25">
      <c r="A4" s="6"/>
      <c r="B4" s="7"/>
      <c r="C4" s="6"/>
      <c r="D4" s="7"/>
      <c r="E4" s="8"/>
      <c r="F4" s="7"/>
      <c r="G4" s="8" t="s">
        <v>52</v>
      </c>
    </row>
    <row r="5" spans="1:10" ht="68.25" customHeight="1" x14ac:dyDescent="0.25">
      <c r="A5" s="9"/>
      <c r="B5" s="10" t="s">
        <v>2</v>
      </c>
      <c r="C5" s="10" t="s">
        <v>3</v>
      </c>
      <c r="D5" s="11" t="s">
        <v>49</v>
      </c>
      <c r="E5" s="11" t="s">
        <v>169</v>
      </c>
      <c r="F5" s="11" t="s">
        <v>20</v>
      </c>
      <c r="G5" s="11" t="s">
        <v>13</v>
      </c>
    </row>
    <row r="6" spans="1:10" ht="15" x14ac:dyDescent="0.25">
      <c r="A6" s="9"/>
      <c r="B6" s="12">
        <v>10000000</v>
      </c>
      <c r="C6" s="13" t="s">
        <v>21</v>
      </c>
      <c r="D6" s="14">
        <f>D7+D11+D12+D10</f>
        <v>138242.80000000002</v>
      </c>
      <c r="E6" s="14">
        <f>E7+E11+E12+E10</f>
        <v>169734.8</v>
      </c>
      <c r="F6" s="14">
        <f t="shared" ref="F6:F44" si="0">E6-D6</f>
        <v>31491.999999999971</v>
      </c>
      <c r="G6" s="14">
        <f t="shared" ref="G6:G44" si="1">IF(D6=0,0,E6/D6*100)</f>
        <v>122.78020989158203</v>
      </c>
      <c r="H6" s="15"/>
    </row>
    <row r="7" spans="1:10" ht="29.25" x14ac:dyDescent="0.25">
      <c r="A7" s="9"/>
      <c r="B7" s="16">
        <v>11000000</v>
      </c>
      <c r="C7" s="17" t="s">
        <v>22</v>
      </c>
      <c r="D7" s="18">
        <f>D8+D9</f>
        <v>63373.8</v>
      </c>
      <c r="E7" s="18">
        <f>E8+E9</f>
        <v>73180.600000000006</v>
      </c>
      <c r="F7" s="19">
        <f t="shared" si="0"/>
        <v>9806.8000000000029</v>
      </c>
      <c r="G7" s="19">
        <f t="shared" si="1"/>
        <v>115.47453364008472</v>
      </c>
      <c r="H7" s="15"/>
    </row>
    <row r="8" spans="1:10" ht="15" x14ac:dyDescent="0.25">
      <c r="A8" s="9"/>
      <c r="B8" s="20">
        <v>11010000</v>
      </c>
      <c r="C8" s="21" t="s">
        <v>4</v>
      </c>
      <c r="D8" s="22">
        <v>62731.3</v>
      </c>
      <c r="E8" s="22">
        <v>72903.3</v>
      </c>
      <c r="F8" s="23">
        <f t="shared" si="0"/>
        <v>10172</v>
      </c>
      <c r="G8" s="23">
        <f t="shared" si="1"/>
        <v>116.21519082180664</v>
      </c>
    </row>
    <row r="9" spans="1:10" s="24" customFormat="1" ht="15" x14ac:dyDescent="0.25">
      <c r="A9" s="9"/>
      <c r="B9" s="20">
        <v>11020000</v>
      </c>
      <c r="C9" s="21" t="s">
        <v>23</v>
      </c>
      <c r="D9" s="22">
        <v>642.5</v>
      </c>
      <c r="E9" s="22">
        <v>277.3</v>
      </c>
      <c r="F9" s="23">
        <f t="shared" si="0"/>
        <v>-365.2</v>
      </c>
      <c r="G9" s="23">
        <f t="shared" si="1"/>
        <v>43.159533073929964</v>
      </c>
    </row>
    <row r="10" spans="1:10" s="24" customFormat="1" ht="34.5" customHeight="1" x14ac:dyDescent="0.25">
      <c r="A10" s="9"/>
      <c r="B10" s="16">
        <v>13000000</v>
      </c>
      <c r="C10" s="17" t="s">
        <v>5</v>
      </c>
      <c r="D10" s="18">
        <v>10.6</v>
      </c>
      <c r="E10" s="18">
        <v>1.8</v>
      </c>
      <c r="F10" s="19">
        <f t="shared" si="0"/>
        <v>-8.7999999999999989</v>
      </c>
      <c r="G10" s="19">
        <f t="shared" si="1"/>
        <v>16.981132075471699</v>
      </c>
    </row>
    <row r="11" spans="1:10" s="24" customFormat="1" ht="29.25" x14ac:dyDescent="0.25">
      <c r="A11" s="9"/>
      <c r="B11" s="16">
        <v>14000000</v>
      </c>
      <c r="C11" s="17" t="s">
        <v>24</v>
      </c>
      <c r="D11" s="18">
        <v>22249.200000000001</v>
      </c>
      <c r="E11" s="18">
        <v>33679.9</v>
      </c>
      <c r="F11" s="19">
        <f t="shared" si="0"/>
        <v>11430.7</v>
      </c>
      <c r="G11" s="19">
        <f t="shared" si="1"/>
        <v>151.37577980331878</v>
      </c>
    </row>
    <row r="12" spans="1:10" ht="45.75" customHeight="1" x14ac:dyDescent="0.25">
      <c r="A12" s="9"/>
      <c r="B12" s="25">
        <v>18000000</v>
      </c>
      <c r="C12" s="26" t="s">
        <v>6</v>
      </c>
      <c r="D12" s="18">
        <f t="shared" ref="D12" si="2">D13+D14</f>
        <v>52609.2</v>
      </c>
      <c r="E12" s="18">
        <f t="shared" ref="E12:F12" si="3">E13+E14</f>
        <v>62872.5</v>
      </c>
      <c r="F12" s="18">
        <f t="shared" si="3"/>
        <v>10263.299999999999</v>
      </c>
      <c r="G12" s="18">
        <f t="shared" si="1"/>
        <v>119.5085650418558</v>
      </c>
    </row>
    <row r="13" spans="1:10" ht="18" customHeight="1" x14ac:dyDescent="0.25">
      <c r="A13" s="9"/>
      <c r="B13" s="20">
        <v>18010000</v>
      </c>
      <c r="C13" s="21" t="s">
        <v>7</v>
      </c>
      <c r="D13" s="22">
        <v>15273.7</v>
      </c>
      <c r="E13" s="22">
        <v>22203.9</v>
      </c>
      <c r="F13" s="23">
        <f>E13-D13</f>
        <v>6930.2000000000007</v>
      </c>
      <c r="G13" s="23">
        <f t="shared" si="1"/>
        <v>145.37341966910441</v>
      </c>
    </row>
    <row r="14" spans="1:10" ht="15" x14ac:dyDescent="0.25">
      <c r="A14" s="9"/>
      <c r="B14" s="20">
        <v>18050000</v>
      </c>
      <c r="C14" s="21" t="s">
        <v>25</v>
      </c>
      <c r="D14" s="22">
        <v>37335.5</v>
      </c>
      <c r="E14" s="22">
        <v>40668.6</v>
      </c>
      <c r="F14" s="23">
        <f>E14-D14</f>
        <v>3333.0999999999985</v>
      </c>
      <c r="G14" s="23">
        <f t="shared" si="1"/>
        <v>108.9274283188922</v>
      </c>
    </row>
    <row r="15" spans="1:10" ht="13.5" customHeight="1" x14ac:dyDescent="0.25">
      <c r="A15" s="9"/>
      <c r="B15" s="12">
        <v>20000000</v>
      </c>
      <c r="C15" s="13" t="s">
        <v>26</v>
      </c>
      <c r="D15" s="14">
        <f>D21+D16+D17+D18+D19+D20</f>
        <v>15922.6</v>
      </c>
      <c r="E15" s="14">
        <f>E21+E16+E17+E18+E19+E20</f>
        <v>5559.4</v>
      </c>
      <c r="F15" s="14">
        <f t="shared" ref="F15" si="4">F21+F16+F17+F18+F19</f>
        <v>-10368.9</v>
      </c>
      <c r="G15" s="14">
        <f t="shared" si="1"/>
        <v>34.915152048032354</v>
      </c>
      <c r="H15" s="15"/>
    </row>
    <row r="16" spans="1:10" ht="87.75" customHeight="1" x14ac:dyDescent="0.25">
      <c r="A16" s="9"/>
      <c r="B16" s="16">
        <v>21010000</v>
      </c>
      <c r="C16" s="17" t="s">
        <v>27</v>
      </c>
      <c r="D16" s="18">
        <v>13.6</v>
      </c>
      <c r="E16" s="18">
        <v>18.3</v>
      </c>
      <c r="F16" s="19">
        <f t="shared" si="0"/>
        <v>4.7000000000000011</v>
      </c>
      <c r="G16" s="19">
        <f t="shared" si="1"/>
        <v>134.55882352941177</v>
      </c>
    </row>
    <row r="17" spans="1:7" ht="17.25" customHeight="1" x14ac:dyDescent="0.25">
      <c r="A17" s="9"/>
      <c r="B17" s="16">
        <v>21080000</v>
      </c>
      <c r="C17" s="17" t="s">
        <v>28</v>
      </c>
      <c r="D17" s="18">
        <v>650.79999999999995</v>
      </c>
      <c r="E17" s="18">
        <v>610</v>
      </c>
      <c r="F17" s="19">
        <f t="shared" si="0"/>
        <v>-40.799999999999955</v>
      </c>
      <c r="G17" s="19">
        <f t="shared" si="1"/>
        <v>93.730792870313465</v>
      </c>
    </row>
    <row r="18" spans="1:7" ht="21.75" customHeight="1" x14ac:dyDescent="0.25">
      <c r="A18" s="9"/>
      <c r="B18" s="16">
        <v>22010000</v>
      </c>
      <c r="C18" s="17" t="s">
        <v>9</v>
      </c>
      <c r="D18" s="18">
        <v>2185.6999999999998</v>
      </c>
      <c r="E18" s="18">
        <v>1847.7</v>
      </c>
      <c r="F18" s="19">
        <f t="shared" si="0"/>
        <v>-337.99999999999977</v>
      </c>
      <c r="G18" s="19">
        <f t="shared" si="1"/>
        <v>84.535846639520528</v>
      </c>
    </row>
    <row r="19" spans="1:7" ht="16.5" customHeight="1" x14ac:dyDescent="0.25">
      <c r="A19" s="9"/>
      <c r="B19" s="16">
        <v>22090000</v>
      </c>
      <c r="C19" s="17" t="s">
        <v>29</v>
      </c>
      <c r="D19" s="18">
        <v>59.6</v>
      </c>
      <c r="E19" s="18">
        <v>70</v>
      </c>
      <c r="F19" s="19">
        <f t="shared" si="0"/>
        <v>10.399999999999999</v>
      </c>
      <c r="G19" s="19">
        <f t="shared" si="1"/>
        <v>117.4496644295302</v>
      </c>
    </row>
    <row r="20" spans="1:7" ht="94.5" customHeight="1" x14ac:dyDescent="0.25">
      <c r="A20" s="9"/>
      <c r="B20" s="41">
        <v>22130000</v>
      </c>
      <c r="C20" s="52" t="s">
        <v>63</v>
      </c>
      <c r="D20" s="18">
        <v>3.2</v>
      </c>
      <c r="E20" s="18">
        <v>8.9</v>
      </c>
      <c r="F20" s="19">
        <f t="shared" si="0"/>
        <v>5.7</v>
      </c>
      <c r="G20" s="19">
        <f t="shared" si="1"/>
        <v>278.125</v>
      </c>
    </row>
    <row r="21" spans="1:7" ht="15" customHeight="1" x14ac:dyDescent="0.25">
      <c r="A21" s="9"/>
      <c r="B21" s="16">
        <v>24060000</v>
      </c>
      <c r="C21" s="17" t="s">
        <v>28</v>
      </c>
      <c r="D21" s="18">
        <v>13009.7</v>
      </c>
      <c r="E21" s="18">
        <v>3004.5</v>
      </c>
      <c r="F21" s="19">
        <f t="shared" si="0"/>
        <v>-10005.200000000001</v>
      </c>
      <c r="G21" s="19">
        <f t="shared" si="1"/>
        <v>23.094306555877537</v>
      </c>
    </row>
    <row r="22" spans="1:7" ht="15" customHeight="1" x14ac:dyDescent="0.25">
      <c r="A22" s="9"/>
      <c r="B22" s="16">
        <v>30000000</v>
      </c>
      <c r="C22" s="17" t="s">
        <v>15</v>
      </c>
      <c r="D22" s="18">
        <v>0</v>
      </c>
      <c r="E22" s="18">
        <v>0</v>
      </c>
      <c r="F22" s="19">
        <f t="shared" si="0"/>
        <v>0</v>
      </c>
      <c r="G22" s="19">
        <f t="shared" si="1"/>
        <v>0</v>
      </c>
    </row>
    <row r="23" spans="1:7" ht="15" x14ac:dyDescent="0.25">
      <c r="A23" s="9"/>
      <c r="B23" s="12">
        <v>40000000</v>
      </c>
      <c r="C23" s="13" t="s">
        <v>30</v>
      </c>
      <c r="D23" s="14">
        <f>SUM(D24:D42)</f>
        <v>147830.70000000001</v>
      </c>
      <c r="E23" s="14">
        <f>SUM(E24:E42)</f>
        <v>108336.40000000001</v>
      </c>
      <c r="F23" s="14">
        <f t="shared" si="0"/>
        <v>-39494.300000000003</v>
      </c>
      <c r="G23" s="14">
        <f t="shared" si="1"/>
        <v>73.28410134024935</v>
      </c>
    </row>
    <row r="24" spans="1:7" ht="15" x14ac:dyDescent="0.25">
      <c r="A24" s="9"/>
      <c r="B24" s="20">
        <v>41020100</v>
      </c>
      <c r="C24" s="51" t="s">
        <v>10</v>
      </c>
      <c r="D24" s="22">
        <v>7320.6</v>
      </c>
      <c r="E24" s="22">
        <v>17634.2</v>
      </c>
      <c r="F24" s="23">
        <f t="shared" si="0"/>
        <v>10313.6</v>
      </c>
      <c r="G24" s="23">
        <f t="shared" si="1"/>
        <v>240.88462694314674</v>
      </c>
    </row>
    <row r="25" spans="1:7" ht="81.75" customHeight="1" x14ac:dyDescent="0.25">
      <c r="A25" s="9"/>
      <c r="B25" s="27">
        <v>41021400</v>
      </c>
      <c r="C25" s="51" t="s">
        <v>31</v>
      </c>
      <c r="D25" s="22">
        <v>16613.8</v>
      </c>
      <c r="E25" s="22">
        <v>19759.7</v>
      </c>
      <c r="F25" s="23">
        <f t="shared" si="0"/>
        <v>3145.9000000000015</v>
      </c>
      <c r="G25" s="23">
        <f t="shared" si="1"/>
        <v>118.93546328955446</v>
      </c>
    </row>
    <row r="26" spans="1:7" ht="54.75" customHeight="1" x14ac:dyDescent="0.25">
      <c r="A26" s="9"/>
      <c r="B26" s="1">
        <v>41031100</v>
      </c>
      <c r="C26" s="50" t="s">
        <v>162</v>
      </c>
      <c r="D26" s="22">
        <v>0</v>
      </c>
      <c r="E26" s="22">
        <v>406.6</v>
      </c>
      <c r="F26" s="23">
        <f t="shared" ref="F26:F28" si="5">E26-D26</f>
        <v>406.6</v>
      </c>
      <c r="G26" s="23">
        <f t="shared" ref="G26:G28" si="6">IF(D26=0,0,E26/D26*100)</f>
        <v>0</v>
      </c>
    </row>
    <row r="27" spans="1:7" ht="81" customHeight="1" x14ac:dyDescent="0.25">
      <c r="A27" s="9"/>
      <c r="B27" s="1">
        <v>41032800</v>
      </c>
      <c r="C27" s="50" t="s">
        <v>163</v>
      </c>
      <c r="D27" s="22">
        <v>47537.599999999999</v>
      </c>
      <c r="E27" s="22">
        <v>14733.4</v>
      </c>
      <c r="F27" s="23">
        <f t="shared" si="5"/>
        <v>-32804.199999999997</v>
      </c>
      <c r="G27" s="23">
        <f t="shared" si="6"/>
        <v>30.993150684931507</v>
      </c>
    </row>
    <row r="28" spans="1:7" ht="49.5" customHeight="1" x14ac:dyDescent="0.25">
      <c r="A28" s="9"/>
      <c r="B28" s="27">
        <v>41033300</v>
      </c>
      <c r="C28" s="50" t="s">
        <v>66</v>
      </c>
      <c r="D28" s="22">
        <v>88.2</v>
      </c>
      <c r="E28" s="22">
        <v>0</v>
      </c>
      <c r="F28" s="23">
        <f t="shared" si="5"/>
        <v>-88.2</v>
      </c>
      <c r="G28" s="23">
        <f t="shared" si="6"/>
        <v>0</v>
      </c>
    </row>
    <row r="29" spans="1:7" ht="64.5" customHeight="1" x14ac:dyDescent="0.25">
      <c r="A29" s="9"/>
      <c r="B29" s="27">
        <v>41033500</v>
      </c>
      <c r="C29" s="50" t="s">
        <v>67</v>
      </c>
      <c r="D29" s="22">
        <v>12832</v>
      </c>
      <c r="E29" s="22">
        <v>0</v>
      </c>
      <c r="F29" s="23">
        <f t="shared" ref="F29" si="7">E29-D29</f>
        <v>-12832</v>
      </c>
      <c r="G29" s="23">
        <f t="shared" ref="G29" si="8">IF(D29=0,0,E29/D29*100)</f>
        <v>0</v>
      </c>
    </row>
    <row r="30" spans="1:7" ht="31.5" customHeight="1" x14ac:dyDescent="0.25">
      <c r="A30" s="9"/>
      <c r="B30" s="27">
        <v>41033900</v>
      </c>
      <c r="C30" s="21" t="s">
        <v>11</v>
      </c>
      <c r="D30" s="22">
        <v>44991.5</v>
      </c>
      <c r="E30" s="22">
        <v>47438.9</v>
      </c>
      <c r="F30" s="23">
        <f t="shared" si="0"/>
        <v>2447.4000000000015</v>
      </c>
      <c r="G30" s="23">
        <f t="shared" si="1"/>
        <v>105.43969416445329</v>
      </c>
    </row>
    <row r="31" spans="1:7" ht="48" customHeight="1" x14ac:dyDescent="0.25">
      <c r="A31" s="9"/>
      <c r="B31" s="1">
        <v>41035400</v>
      </c>
      <c r="C31" s="50" t="s">
        <v>164</v>
      </c>
      <c r="D31" s="22">
        <v>0</v>
      </c>
      <c r="E31" s="22">
        <v>205.4</v>
      </c>
      <c r="F31" s="23">
        <f t="shared" si="0"/>
        <v>205.4</v>
      </c>
      <c r="G31" s="23">
        <f t="shared" si="1"/>
        <v>0</v>
      </c>
    </row>
    <row r="32" spans="1:7" ht="66.75" customHeight="1" x14ac:dyDescent="0.25">
      <c r="A32" s="9"/>
      <c r="B32" s="27">
        <v>41035600</v>
      </c>
      <c r="C32" s="50" t="s">
        <v>68</v>
      </c>
      <c r="D32" s="22">
        <v>2000</v>
      </c>
      <c r="E32" s="22">
        <v>0</v>
      </c>
      <c r="F32" s="23">
        <f t="shared" ref="F32:F33" si="9">E32-D32</f>
        <v>-2000</v>
      </c>
      <c r="G32" s="23">
        <f t="shared" ref="G32:G33" si="10">IF(D32=0,0,E32/D32*100)</f>
        <v>0</v>
      </c>
    </row>
    <row r="33" spans="1:7" ht="66.75" customHeight="1" x14ac:dyDescent="0.25">
      <c r="A33" s="9"/>
      <c r="B33" s="1">
        <v>41036000</v>
      </c>
      <c r="C33" s="50" t="s">
        <v>165</v>
      </c>
      <c r="D33" s="22">
        <v>0</v>
      </c>
      <c r="E33" s="22">
        <v>253.6</v>
      </c>
      <c r="F33" s="23">
        <f t="shared" si="9"/>
        <v>253.6</v>
      </c>
      <c r="G33" s="23">
        <f t="shared" si="10"/>
        <v>0</v>
      </c>
    </row>
    <row r="34" spans="1:7" ht="54" customHeight="1" x14ac:dyDescent="0.25">
      <c r="A34" s="9"/>
      <c r="B34" s="1">
        <v>41036300</v>
      </c>
      <c r="C34" s="50" t="s">
        <v>166</v>
      </c>
      <c r="D34" s="22">
        <v>0</v>
      </c>
      <c r="E34" s="22">
        <v>5334.6</v>
      </c>
      <c r="F34" s="23">
        <f t="shared" si="0"/>
        <v>5334.6</v>
      </c>
      <c r="G34" s="23">
        <f t="shared" si="1"/>
        <v>0</v>
      </c>
    </row>
    <row r="35" spans="1:7" ht="33" customHeight="1" x14ac:dyDescent="0.25">
      <c r="A35" s="9"/>
      <c r="B35" s="27">
        <v>41051000</v>
      </c>
      <c r="C35" s="50" t="s">
        <v>43</v>
      </c>
      <c r="D35" s="22">
        <v>900.3</v>
      </c>
      <c r="E35" s="22">
        <v>881.4</v>
      </c>
      <c r="F35" s="23">
        <f t="shared" ref="F35:F36" si="11">E35-D35</f>
        <v>-18.899999999999977</v>
      </c>
      <c r="G35" s="23">
        <f t="shared" ref="G35:G36" si="12">IF(D35=0,0,E35/D35*100)</f>
        <v>97.900699766744424</v>
      </c>
    </row>
    <row r="36" spans="1:7" ht="48.75" customHeight="1" x14ac:dyDescent="0.25">
      <c r="A36" s="9"/>
      <c r="B36" s="27">
        <v>41051100</v>
      </c>
      <c r="C36" s="50" t="s">
        <v>69</v>
      </c>
      <c r="D36" s="22">
        <v>7793.7</v>
      </c>
      <c r="E36" s="22">
        <v>0</v>
      </c>
      <c r="F36" s="23">
        <f t="shared" si="11"/>
        <v>-7793.7</v>
      </c>
      <c r="G36" s="23">
        <f t="shared" si="12"/>
        <v>0</v>
      </c>
    </row>
    <row r="37" spans="1:7" ht="52.5" customHeight="1" x14ac:dyDescent="0.25">
      <c r="A37" s="9"/>
      <c r="B37" s="27">
        <v>41051200</v>
      </c>
      <c r="C37" s="51" t="s">
        <v>32</v>
      </c>
      <c r="D37" s="22">
        <v>0</v>
      </c>
      <c r="E37" s="22">
        <v>0</v>
      </c>
      <c r="F37" s="23">
        <f t="shared" si="0"/>
        <v>0</v>
      </c>
      <c r="G37" s="23">
        <f t="shared" si="1"/>
        <v>0</v>
      </c>
    </row>
    <row r="38" spans="1:7" ht="69.75" customHeight="1" x14ac:dyDescent="0.25">
      <c r="A38" s="9"/>
      <c r="B38" s="27">
        <v>41051400</v>
      </c>
      <c r="C38" s="50" t="s">
        <v>70</v>
      </c>
      <c r="D38" s="22">
        <v>1247.5</v>
      </c>
      <c r="E38" s="22">
        <v>0</v>
      </c>
      <c r="F38" s="23">
        <f t="shared" ref="F38:F39" si="13">E38-D38</f>
        <v>-1247.5</v>
      </c>
      <c r="G38" s="23">
        <f t="shared" ref="G38:G39" si="14">IF(D38=0,0,E38/D38*100)</f>
        <v>0</v>
      </c>
    </row>
    <row r="39" spans="1:7" ht="64.5" customHeight="1" x14ac:dyDescent="0.25">
      <c r="A39" s="9"/>
      <c r="B39" s="27">
        <v>41051700</v>
      </c>
      <c r="C39" s="50" t="s">
        <v>71</v>
      </c>
      <c r="D39" s="22">
        <v>845.5</v>
      </c>
      <c r="E39" s="22">
        <v>0</v>
      </c>
      <c r="F39" s="23">
        <f t="shared" si="13"/>
        <v>-845.5</v>
      </c>
      <c r="G39" s="23">
        <f t="shared" si="14"/>
        <v>0</v>
      </c>
    </row>
    <row r="40" spans="1:7" ht="25.5" customHeight="1" x14ac:dyDescent="0.25">
      <c r="A40" s="9"/>
      <c r="B40" s="27">
        <v>41053900</v>
      </c>
      <c r="C40" s="51" t="s">
        <v>17</v>
      </c>
      <c r="D40" s="23">
        <v>5632.7</v>
      </c>
      <c r="E40" s="23">
        <v>294.60000000000002</v>
      </c>
      <c r="F40" s="23">
        <f t="shared" ref="F40" si="15">E40-D40</f>
        <v>-5338.0999999999995</v>
      </c>
      <c r="G40" s="23">
        <f t="shared" ref="G40" si="16">IF(D40=0,0,E40/D40*100)</f>
        <v>5.230173806522628</v>
      </c>
    </row>
    <row r="41" spans="1:7" ht="81.75" customHeight="1" x14ac:dyDescent="0.25">
      <c r="A41" s="9"/>
      <c r="B41" s="1">
        <v>41057900</v>
      </c>
      <c r="C41" s="50" t="s">
        <v>167</v>
      </c>
      <c r="D41" s="23">
        <v>0</v>
      </c>
      <c r="E41" s="23">
        <v>883.3</v>
      </c>
      <c r="F41" s="23">
        <f t="shared" ref="F41" si="17">E41-D41</f>
        <v>883.3</v>
      </c>
      <c r="G41" s="23">
        <f t="shared" ref="G41" si="18">IF(D41=0,0,E41/D41*100)</f>
        <v>0</v>
      </c>
    </row>
    <row r="42" spans="1:7" ht="91.5" customHeight="1" x14ac:dyDescent="0.25">
      <c r="A42" s="9"/>
      <c r="B42" s="27">
        <v>41059300</v>
      </c>
      <c r="C42" s="50" t="s">
        <v>80</v>
      </c>
      <c r="D42" s="23">
        <v>27.3</v>
      </c>
      <c r="E42" s="23">
        <v>510.7</v>
      </c>
      <c r="F42" s="23">
        <f t="shared" si="0"/>
        <v>483.4</v>
      </c>
      <c r="G42" s="23">
        <f t="shared" si="1"/>
        <v>1870.6959706959703</v>
      </c>
    </row>
    <row r="43" spans="1:7" ht="15" x14ac:dyDescent="0.25">
      <c r="A43" s="100" t="s">
        <v>33</v>
      </c>
      <c r="B43" s="101"/>
      <c r="C43" s="101"/>
      <c r="D43" s="28">
        <f>D6+D15</f>
        <v>154165.40000000002</v>
      </c>
      <c r="E43" s="28">
        <f>E6+E15</f>
        <v>175294.19999999998</v>
      </c>
      <c r="F43" s="28">
        <f t="shared" si="0"/>
        <v>21128.799999999959</v>
      </c>
      <c r="G43" s="28">
        <f t="shared" si="1"/>
        <v>113.70528017311274</v>
      </c>
    </row>
    <row r="44" spans="1:7" ht="15" x14ac:dyDescent="0.25">
      <c r="A44" s="100" t="s">
        <v>12</v>
      </c>
      <c r="B44" s="101"/>
      <c r="C44" s="101"/>
      <c r="D44" s="28">
        <f>D43+D23</f>
        <v>301996.10000000003</v>
      </c>
      <c r="E44" s="28">
        <f>E43+E23</f>
        <v>283630.59999999998</v>
      </c>
      <c r="F44" s="28">
        <f t="shared" si="0"/>
        <v>-18365.500000000058</v>
      </c>
      <c r="G44" s="28">
        <f t="shared" si="1"/>
        <v>93.91863007502414</v>
      </c>
    </row>
    <row r="46" spans="1:7" x14ac:dyDescent="0.2">
      <c r="D46" s="30"/>
    </row>
  </sheetData>
  <mergeCells count="4">
    <mergeCell ref="B2:G2"/>
    <mergeCell ref="B3:G3"/>
    <mergeCell ref="A43:C43"/>
    <mergeCell ref="A44:C44"/>
  </mergeCells>
  <pageMargins left="0.98425196850393704" right="0.19685039370078741" top="0.39370078740157483" bottom="0.39370078740157483" header="0" footer="0"/>
  <pageSetup paperSize="9" scale="70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217-1988-4425-9A99-172D75048D5D}">
  <dimension ref="A2:J31"/>
  <sheetViews>
    <sheetView workbookViewId="0">
      <selection activeCell="P19" sqref="P19"/>
    </sheetView>
  </sheetViews>
  <sheetFormatPr defaultRowHeight="12.75" x14ac:dyDescent="0.2"/>
  <cols>
    <col min="1" max="1" width="0.140625" style="5" customWidth="1"/>
    <col min="2" max="2" width="10.42578125" style="29" customWidth="1"/>
    <col min="3" max="3" width="49.140625" style="5" customWidth="1"/>
    <col min="4" max="4" width="17.5703125" style="29" customWidth="1"/>
    <col min="5" max="5" width="16.5703125" style="29" customWidth="1"/>
    <col min="6" max="6" width="13.7109375" style="29" customWidth="1"/>
    <col min="7" max="7" width="13.85546875" style="29" customWidth="1"/>
    <col min="8" max="16384" width="9.140625" style="5"/>
  </cols>
  <sheetData>
    <row r="2" spans="1:10" ht="15.75" x14ac:dyDescent="0.25">
      <c r="A2" s="6" t="s">
        <v>0</v>
      </c>
      <c r="B2" s="99" t="s">
        <v>18</v>
      </c>
      <c r="C2" s="99"/>
      <c r="D2" s="99"/>
      <c r="E2" s="99"/>
      <c r="F2" s="99"/>
      <c r="G2" s="99"/>
    </row>
    <row r="3" spans="1:10" ht="15.75" x14ac:dyDescent="0.25">
      <c r="A3" s="3" t="s">
        <v>35</v>
      </c>
      <c r="B3" s="99" t="s">
        <v>34</v>
      </c>
      <c r="C3" s="99"/>
      <c r="D3" s="99"/>
      <c r="E3" s="99"/>
      <c r="F3" s="99"/>
      <c r="G3" s="99"/>
      <c r="H3" s="4"/>
      <c r="I3" s="4"/>
      <c r="J3" s="4"/>
    </row>
    <row r="4" spans="1:10" x14ac:dyDescent="0.2">
      <c r="A4" s="6"/>
      <c r="B4" s="7"/>
      <c r="C4" s="6"/>
      <c r="D4" s="7"/>
      <c r="E4" s="7"/>
      <c r="F4" s="7"/>
      <c r="G4" s="7" t="s">
        <v>1</v>
      </c>
    </row>
    <row r="5" spans="1:10" ht="49.5" customHeight="1" x14ac:dyDescent="0.2">
      <c r="A5" s="31"/>
      <c r="B5" s="10" t="s">
        <v>2</v>
      </c>
      <c r="C5" s="10" t="s">
        <v>3</v>
      </c>
      <c r="D5" s="11" t="s">
        <v>49</v>
      </c>
      <c r="E5" s="11" t="s">
        <v>169</v>
      </c>
      <c r="F5" s="11" t="s">
        <v>20</v>
      </c>
      <c r="G5" s="11" t="s">
        <v>13</v>
      </c>
    </row>
    <row r="6" spans="1:10" ht="19.5" customHeight="1" x14ac:dyDescent="0.25">
      <c r="A6" s="9"/>
      <c r="B6" s="32">
        <v>10000000</v>
      </c>
      <c r="C6" s="33" t="s">
        <v>21</v>
      </c>
      <c r="D6" s="34">
        <f>D7</f>
        <v>40.299999999999997</v>
      </c>
      <c r="E6" s="34">
        <f>E7</f>
        <v>36</v>
      </c>
      <c r="F6" s="34">
        <f t="shared" ref="F6:F31" si="0">E6-D6</f>
        <v>-4.2999999999999972</v>
      </c>
      <c r="G6" s="34">
        <f t="shared" ref="G6:G31" si="1">IF(D6=0,0,E6/D6*100)</f>
        <v>89.33002481389579</v>
      </c>
    </row>
    <row r="7" spans="1:10" ht="18.75" customHeight="1" x14ac:dyDescent="0.25">
      <c r="A7" s="9"/>
      <c r="B7" s="16">
        <v>19000000</v>
      </c>
      <c r="C7" s="17" t="s">
        <v>36</v>
      </c>
      <c r="D7" s="19">
        <f>D8</f>
        <v>40.299999999999997</v>
      </c>
      <c r="E7" s="19">
        <f>E8</f>
        <v>36</v>
      </c>
      <c r="F7" s="19">
        <f t="shared" si="0"/>
        <v>-4.2999999999999972</v>
      </c>
      <c r="G7" s="19">
        <f t="shared" si="1"/>
        <v>89.33002481389579</v>
      </c>
    </row>
    <row r="8" spans="1:10" s="36" customFormat="1" ht="18.75" customHeight="1" x14ac:dyDescent="0.25">
      <c r="A8" s="35"/>
      <c r="B8" s="20">
        <v>19010000</v>
      </c>
      <c r="C8" s="21" t="s">
        <v>37</v>
      </c>
      <c r="D8" s="23">
        <v>40.299999999999997</v>
      </c>
      <c r="E8" s="23">
        <v>36</v>
      </c>
      <c r="F8" s="23">
        <f t="shared" si="0"/>
        <v>-4.2999999999999972</v>
      </c>
      <c r="G8" s="23">
        <f t="shared" si="1"/>
        <v>89.33002481389579</v>
      </c>
    </row>
    <row r="9" spans="1:10" ht="24" customHeight="1" x14ac:dyDescent="0.25">
      <c r="A9" s="9"/>
      <c r="B9" s="32">
        <v>20000000</v>
      </c>
      <c r="C9" s="33" t="s">
        <v>26</v>
      </c>
      <c r="D9" s="34">
        <f>D12+D10+D11</f>
        <v>36214</v>
      </c>
      <c r="E9" s="34">
        <f>E12+E10+E11</f>
        <v>36695.1</v>
      </c>
      <c r="F9" s="34">
        <f t="shared" si="0"/>
        <v>481.09999999999854</v>
      </c>
      <c r="G9" s="37">
        <f t="shared" si="1"/>
        <v>101.32849174352461</v>
      </c>
    </row>
    <row r="10" spans="1:10" ht="51" customHeight="1" x14ac:dyDescent="0.25">
      <c r="A10" s="9"/>
      <c r="B10" s="1">
        <v>21110000</v>
      </c>
      <c r="C10" s="50" t="s">
        <v>14</v>
      </c>
      <c r="D10" s="22">
        <v>78</v>
      </c>
      <c r="E10" s="22">
        <v>0</v>
      </c>
      <c r="F10" s="23">
        <f t="shared" si="0"/>
        <v>-78</v>
      </c>
      <c r="G10" s="23">
        <f t="shared" si="1"/>
        <v>0</v>
      </c>
    </row>
    <row r="11" spans="1:10" ht="18" customHeight="1" x14ac:dyDescent="0.25">
      <c r="A11" s="9"/>
      <c r="B11" s="1">
        <v>24060000</v>
      </c>
      <c r="C11" s="2" t="s">
        <v>8</v>
      </c>
      <c r="D11" s="22">
        <v>20.6</v>
      </c>
      <c r="E11" s="22">
        <v>42</v>
      </c>
      <c r="F11" s="23">
        <f t="shared" si="0"/>
        <v>21.4</v>
      </c>
      <c r="G11" s="23">
        <f t="shared" si="1"/>
        <v>203.88349514563106</v>
      </c>
    </row>
    <row r="12" spans="1:10" ht="19.5" customHeight="1" x14ac:dyDescent="0.25">
      <c r="A12" s="9"/>
      <c r="B12" s="10">
        <v>25000000</v>
      </c>
      <c r="C12" s="17" t="s">
        <v>38</v>
      </c>
      <c r="D12" s="19">
        <f>D13+D14</f>
        <v>36115.4</v>
      </c>
      <c r="E12" s="19">
        <f>E13+E14</f>
        <v>36653.1</v>
      </c>
      <c r="F12" s="19">
        <f t="shared" si="0"/>
        <v>537.69999999999709</v>
      </c>
      <c r="G12" s="19">
        <f t="shared" si="1"/>
        <v>101.4888385564053</v>
      </c>
    </row>
    <row r="13" spans="1:10" ht="35.25" customHeight="1" x14ac:dyDescent="0.25">
      <c r="A13" s="9"/>
      <c r="B13" s="27">
        <v>25010000</v>
      </c>
      <c r="C13" s="51" t="s">
        <v>39</v>
      </c>
      <c r="D13" s="23">
        <v>237.3</v>
      </c>
      <c r="E13" s="23">
        <v>414.6</v>
      </c>
      <c r="F13" s="23">
        <f t="shared" si="0"/>
        <v>177.3</v>
      </c>
      <c r="G13" s="23">
        <f t="shared" si="1"/>
        <v>174.71554993678888</v>
      </c>
    </row>
    <row r="14" spans="1:10" ht="30" x14ac:dyDescent="0.25">
      <c r="A14" s="9"/>
      <c r="B14" s="27">
        <v>25020000</v>
      </c>
      <c r="C14" s="51" t="s">
        <v>40</v>
      </c>
      <c r="D14" s="23">
        <v>35878.1</v>
      </c>
      <c r="E14" s="23">
        <v>36238.5</v>
      </c>
      <c r="F14" s="23">
        <f t="shared" si="0"/>
        <v>360.40000000000146</v>
      </c>
      <c r="G14" s="23">
        <f t="shared" si="1"/>
        <v>101.00451250205558</v>
      </c>
    </row>
    <row r="15" spans="1:10" ht="18.75" customHeight="1" x14ac:dyDescent="0.25">
      <c r="A15" s="9"/>
      <c r="B15" s="70">
        <v>30000000</v>
      </c>
      <c r="C15" s="33" t="s">
        <v>41</v>
      </c>
      <c r="D15" s="34">
        <f>SUM(D16:D17)</f>
        <v>1101.5999999999999</v>
      </c>
      <c r="E15" s="34">
        <f>SUM(E16:E17)</f>
        <v>38.799999999999997</v>
      </c>
      <c r="F15" s="34">
        <f>E15-D15</f>
        <v>-1062.8</v>
      </c>
      <c r="G15" s="34">
        <f t="shared" si="1"/>
        <v>3.5221496005809731</v>
      </c>
    </row>
    <row r="16" spans="1:10" ht="47.25" customHeight="1" x14ac:dyDescent="0.25">
      <c r="A16" s="9"/>
      <c r="B16" s="27">
        <v>31030000</v>
      </c>
      <c r="C16" s="2" t="s">
        <v>16</v>
      </c>
      <c r="D16" s="23">
        <v>407.4</v>
      </c>
      <c r="E16" s="23">
        <v>38.799999999999997</v>
      </c>
      <c r="F16" s="23">
        <f t="shared" ref="F16" si="2">E16-D16</f>
        <v>-368.59999999999997</v>
      </c>
      <c r="G16" s="23">
        <f t="shared" ref="G16" si="3">IF(D16=0,0,E16/D16*100)</f>
        <v>9.5238095238095237</v>
      </c>
    </row>
    <row r="17" spans="1:7" ht="24" customHeight="1" x14ac:dyDescent="0.25">
      <c r="A17" s="9"/>
      <c r="B17" s="27">
        <v>33010000</v>
      </c>
      <c r="C17" s="51" t="s">
        <v>42</v>
      </c>
      <c r="D17" s="23">
        <v>694.2</v>
      </c>
      <c r="E17" s="23">
        <v>0</v>
      </c>
      <c r="F17" s="23">
        <f t="shared" ref="F17" si="4">E17-D17</f>
        <v>-694.2</v>
      </c>
      <c r="G17" s="23">
        <f t="shared" ref="G17" si="5">IF(D17=0,0,E17/D17*100)</f>
        <v>0</v>
      </c>
    </row>
    <row r="18" spans="1:7" ht="20.25" customHeight="1" x14ac:dyDescent="0.25">
      <c r="A18" s="9"/>
      <c r="B18" s="70">
        <v>40000000</v>
      </c>
      <c r="C18" s="33" t="s">
        <v>30</v>
      </c>
      <c r="D18" s="34">
        <f>SUM(D19:D27)</f>
        <v>70969.099999999991</v>
      </c>
      <c r="E18" s="34">
        <f>SUM(E19:E27)</f>
        <v>8513.6</v>
      </c>
      <c r="F18" s="34">
        <f t="shared" si="0"/>
        <v>-62455.499999999993</v>
      </c>
      <c r="G18" s="34">
        <f t="shared" si="1"/>
        <v>11.996206799860786</v>
      </c>
    </row>
    <row r="19" spans="1:7" ht="60" x14ac:dyDescent="0.25">
      <c r="A19" s="9"/>
      <c r="B19" s="1">
        <v>41033300</v>
      </c>
      <c r="C19" s="50" t="s">
        <v>66</v>
      </c>
      <c r="D19" s="22">
        <v>224</v>
      </c>
      <c r="E19" s="22">
        <v>0</v>
      </c>
      <c r="F19" s="23">
        <f t="shared" si="0"/>
        <v>-224</v>
      </c>
      <c r="G19" s="23">
        <f t="shared" si="1"/>
        <v>0</v>
      </c>
    </row>
    <row r="20" spans="1:7" ht="30" x14ac:dyDescent="0.25">
      <c r="A20" s="9"/>
      <c r="B20" s="1">
        <v>41033900</v>
      </c>
      <c r="C20" s="2" t="s">
        <v>11</v>
      </c>
      <c r="D20" s="22">
        <v>0</v>
      </c>
      <c r="E20" s="22">
        <v>1786.9</v>
      </c>
      <c r="F20" s="23">
        <f t="shared" ref="F20" si="6">E20-D20</f>
        <v>1786.9</v>
      </c>
      <c r="G20" s="23">
        <f t="shared" ref="G20" si="7">IF(D20=0,0,E20/D20*100)</f>
        <v>0</v>
      </c>
    </row>
    <row r="21" spans="1:7" ht="45" x14ac:dyDescent="0.25">
      <c r="A21" s="9"/>
      <c r="B21" s="1">
        <v>41035400</v>
      </c>
      <c r="C21" s="50" t="s">
        <v>164</v>
      </c>
      <c r="D21" s="22">
        <v>0</v>
      </c>
      <c r="E21" s="22">
        <v>62</v>
      </c>
      <c r="F21" s="23">
        <f t="shared" ref="F21" si="8">E21-D21</f>
        <v>62</v>
      </c>
      <c r="G21" s="23">
        <f t="shared" ref="G21" si="9">IF(D21=0,0,E21/D21*100)</f>
        <v>0</v>
      </c>
    </row>
    <row r="22" spans="1:7" ht="63" customHeight="1" x14ac:dyDescent="0.25">
      <c r="A22" s="9"/>
      <c r="B22" s="1">
        <v>41037400</v>
      </c>
      <c r="C22" s="50" t="s">
        <v>79</v>
      </c>
      <c r="D22" s="22">
        <v>114.3</v>
      </c>
      <c r="E22" s="22">
        <v>92.8</v>
      </c>
      <c r="F22" s="23">
        <f t="shared" ref="F22:F23" si="10">E22-D22</f>
        <v>-21.5</v>
      </c>
      <c r="G22" s="23">
        <f t="shared" ref="G22:G23" si="11">IF(D22=0,0,E22/D22*100)</f>
        <v>81.189851268591426</v>
      </c>
    </row>
    <row r="23" spans="1:7" ht="63" customHeight="1" x14ac:dyDescent="0.25">
      <c r="A23" s="9"/>
      <c r="B23" s="1">
        <v>41038800</v>
      </c>
      <c r="C23" s="50" t="s">
        <v>171</v>
      </c>
      <c r="D23" s="22">
        <v>0</v>
      </c>
      <c r="E23" s="22">
        <v>1998.3</v>
      </c>
      <c r="F23" s="23">
        <f t="shared" si="10"/>
        <v>1998.3</v>
      </c>
      <c r="G23" s="23">
        <f t="shared" si="11"/>
        <v>0</v>
      </c>
    </row>
    <row r="24" spans="1:7" ht="45" x14ac:dyDescent="0.25">
      <c r="A24" s="9"/>
      <c r="B24" s="1">
        <v>41051100</v>
      </c>
      <c r="C24" s="2" t="s">
        <v>69</v>
      </c>
      <c r="D24" s="22">
        <v>55.9</v>
      </c>
      <c r="E24" s="22">
        <v>0</v>
      </c>
      <c r="F24" s="23">
        <f t="shared" ref="F24" si="12">E24-D24</f>
        <v>-55.9</v>
      </c>
      <c r="G24" s="23">
        <f t="shared" ref="G24" si="13">IF(D24=0,0,E24/D24*100)</f>
        <v>0</v>
      </c>
    </row>
    <row r="25" spans="1:7" ht="20.25" customHeight="1" x14ac:dyDescent="0.25">
      <c r="A25" s="9"/>
      <c r="B25" s="71">
        <v>41053900</v>
      </c>
      <c r="C25" s="72" t="s">
        <v>17</v>
      </c>
      <c r="D25" s="22">
        <v>23017.9</v>
      </c>
      <c r="E25" s="22">
        <v>4573.6000000000004</v>
      </c>
      <c r="F25" s="23">
        <f t="shared" si="0"/>
        <v>-18444.300000000003</v>
      </c>
      <c r="G25" s="23">
        <f t="shared" si="1"/>
        <v>19.869753539636545</v>
      </c>
    </row>
    <row r="26" spans="1:7" ht="60" x14ac:dyDescent="0.25">
      <c r="A26" s="9"/>
      <c r="B26" s="27">
        <v>41059100</v>
      </c>
      <c r="C26" s="50" t="s">
        <v>44</v>
      </c>
      <c r="D26" s="23">
        <v>42272.6</v>
      </c>
      <c r="E26" s="23">
        <v>0</v>
      </c>
      <c r="F26" s="23">
        <f>E26-D26</f>
        <v>-42272.6</v>
      </c>
      <c r="G26" s="23">
        <f t="shared" ref="G26" si="14">IF(D26=0,0,E26/D26*100)</f>
        <v>0</v>
      </c>
    </row>
    <row r="27" spans="1:7" ht="114" customHeight="1" x14ac:dyDescent="0.25">
      <c r="A27" s="9"/>
      <c r="B27" s="1">
        <v>41059200</v>
      </c>
      <c r="C27" s="50" t="s">
        <v>45</v>
      </c>
      <c r="D27" s="23">
        <v>5284.4</v>
      </c>
      <c r="E27" s="23">
        <v>0</v>
      </c>
      <c r="F27" s="23">
        <f t="shared" ref="F27" si="15">E27-D27</f>
        <v>-5284.4</v>
      </c>
      <c r="G27" s="23">
        <f t="shared" ref="G27" si="16">IF(D27=0,0,E27/D27*100)</f>
        <v>0</v>
      </c>
    </row>
    <row r="28" spans="1:7" ht="17.25" customHeight="1" x14ac:dyDescent="0.25">
      <c r="A28" s="9"/>
      <c r="B28" s="10">
        <v>50000000</v>
      </c>
      <c r="C28" s="73" t="s">
        <v>46</v>
      </c>
      <c r="D28" s="19">
        <f>D29</f>
        <v>5.5</v>
      </c>
      <c r="E28" s="19">
        <f>E29</f>
        <v>0</v>
      </c>
      <c r="F28" s="19">
        <f t="shared" si="0"/>
        <v>-5.5</v>
      </c>
      <c r="G28" s="19">
        <f t="shared" si="1"/>
        <v>0</v>
      </c>
    </row>
    <row r="29" spans="1:7" ht="44.25" customHeight="1" x14ac:dyDescent="0.25">
      <c r="A29" s="9"/>
      <c r="B29" s="27">
        <v>50110000</v>
      </c>
      <c r="C29" s="51" t="s">
        <v>47</v>
      </c>
      <c r="D29" s="23">
        <v>5.5</v>
      </c>
      <c r="E29" s="23">
        <v>0</v>
      </c>
      <c r="F29" s="23">
        <f t="shared" si="0"/>
        <v>-5.5</v>
      </c>
      <c r="G29" s="23">
        <f t="shared" si="1"/>
        <v>0</v>
      </c>
    </row>
    <row r="30" spans="1:7" ht="17.25" customHeight="1" x14ac:dyDescent="0.25">
      <c r="A30" s="100" t="s">
        <v>33</v>
      </c>
      <c r="B30" s="101"/>
      <c r="C30" s="101"/>
      <c r="D30" s="28">
        <f>D6+D9+D15+D28</f>
        <v>37361.4</v>
      </c>
      <c r="E30" s="28">
        <f>E6+E9+E15+E28</f>
        <v>36769.9</v>
      </c>
      <c r="F30" s="28">
        <f t="shared" si="0"/>
        <v>-591.5</v>
      </c>
      <c r="G30" s="28">
        <f>IF(D30=0,0,E30/D30*100)</f>
        <v>98.416815215703906</v>
      </c>
    </row>
    <row r="31" spans="1:7" ht="17.25" customHeight="1" x14ac:dyDescent="0.25">
      <c r="A31" s="100" t="s">
        <v>12</v>
      </c>
      <c r="B31" s="101"/>
      <c r="C31" s="101"/>
      <c r="D31" s="28">
        <f>D30+D18</f>
        <v>108330.5</v>
      </c>
      <c r="E31" s="28">
        <f>E30+E18</f>
        <v>45283.5</v>
      </c>
      <c r="F31" s="28">
        <f t="shared" si="0"/>
        <v>-63047</v>
      </c>
      <c r="G31" s="28">
        <f t="shared" si="1"/>
        <v>41.801247109539787</v>
      </c>
    </row>
  </sheetData>
  <mergeCells count="4">
    <mergeCell ref="B2:G2"/>
    <mergeCell ref="B3:G3"/>
    <mergeCell ref="A30:C30"/>
    <mergeCell ref="A31:C31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2026-01-13T11:33:51Z</cp:lastPrinted>
  <dcterms:created xsi:type="dcterms:W3CDTF">2024-04-01T06:52:13Z</dcterms:created>
  <dcterms:modified xsi:type="dcterms:W3CDTF">2026-01-19T11:31:42Z</dcterms:modified>
</cp:coreProperties>
</file>