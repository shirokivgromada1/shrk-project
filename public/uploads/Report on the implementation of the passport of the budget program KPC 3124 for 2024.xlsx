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4737FE4D-1AEE-4A6B-9838-A8245B99F0C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24" sheetId="1" r:id="rId1"/>
  </sheets>
  <definedNames>
    <definedName name="_xlnm.Print_Area" localSheetId="0">КПК0113124!$A$1:$BQ$103</definedName>
  </definedNames>
  <calcPr calcId="191029"/>
</workbook>
</file>

<file path=xl/calcChain.xml><?xml version="1.0" encoding="utf-8"?>
<calcChain xmlns="http://schemas.openxmlformats.org/spreadsheetml/2006/main">
  <c r="BH78" i="1" l="1"/>
  <c r="BC78" i="1"/>
  <c r="BH76" i="1"/>
  <c r="BC76" i="1"/>
  <c r="BH74" i="1"/>
  <c r="BC74" i="1"/>
  <c r="BH72" i="1"/>
  <c r="BC72" i="1"/>
  <c r="BD62" i="1"/>
  <c r="AY62" i="1"/>
  <c r="AS62" i="1"/>
  <c r="AC62" i="1"/>
  <c r="BD61" i="1"/>
  <c r="AY61" i="1"/>
  <c r="AS61" i="1"/>
  <c r="AC61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62" i="1" l="1"/>
  <c r="BI61" i="1"/>
  <c r="BN45" i="1"/>
  <c r="BN44" i="1"/>
  <c r="BN43" i="1"/>
</calcChain>
</file>

<file path=xl/sharedStrings.xml><?xml version="1.0" encoding="utf-8"?>
<sst xmlns="http://schemas.openxmlformats.org/spreadsheetml/2006/main" count="210" uniqueCount="121">
  <si>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</si>
  <si>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</si>
  <si>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</si>
  <si>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</si>
  <si>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</si>
  <si>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</si>
  <si>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</si>
  <si>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</si>
  <si>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</si>
  <si>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</si>
  <si>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</si>
  <si>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</si>
  <si>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</si>
  <si>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</si>
  <si>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</si>
  <si>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</si>
  <si>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</si>
  <si>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</si>
  <si>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</si>
  <si>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</si>
  <si>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</si>
  <si>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</si>
  <si>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</si>
  <si>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</si>
  <si>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</si>
  <si>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</si>
  <si>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</si>
  <si>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</si>
  <si>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</si>
  <si>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</si>
  <si>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</si>
  <si>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</si>
  <si>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</si>
  <si>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</si>
  <si>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</si>
  <si>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</si>
  <si>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</si>
  <si>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</si>
  <si>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</si>
  <si>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</si>
  <si>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</si>
  <si>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</si>
  <si>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</si>
  <si>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</si>
  <si>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</si>
  <si>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</si>
  <si>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</si>
  <si>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</si>
  <si>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</si>
  <si>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</si>
  <si>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</si>
  <si>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</si>
  <si>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</si>
  <si>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</si>
  <si>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</si>
  <si>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</si>
  <si>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</si>
  <si>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</si>
  <si>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</si>
  <si>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</si>
  <si>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</si>
  <si>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</si>
  <si>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</si>
  <si>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</si>
  <si>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</si>
  <si>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</si>
  <si>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</si>
  <si>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</si>
  <si>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</si>
  <si>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</si>
  <si>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</si>
  <si>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</si>
  <si>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</si>
  <si>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</si>
  <si>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</si>
  <si>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</si>
  <si>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</si>
  <si>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</si>
  <si>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Надання постраждалим особам за місцем безпечного тимчасового цілодобового перебування комплексної допомоги (психологічних, соціально-побутових, соціально-медичних, інформаційних, юридичних та інших послуг)</t>
  </si>
  <si>
    <t>Реконструкція будівлі притулку для осіб, які постраждали від домашнього насильства та/або насильства за ознакою статі</t>
  </si>
  <si>
    <t>Реконструкція будівлі для облаштування денного центру соціально-психологічної допомоги особам, які постраждали від домашнього насильства та/або насильства за ознакою статі, за адресою: вул. Центральна, 7-а, с. Лукашеве Запорізького району Запорізької області.» Коригування (технічний та авторський нагляд)</t>
  </si>
  <si>
    <t>Придбання автомобіля для мобільних бригад соціально-психологічної допомоги особам, які постраждали від домашнього насильства</t>
  </si>
  <si>
    <t>УСЬОГО</t>
  </si>
  <si>
    <t>Оплата за виготовлення проектно-кошторисної документації проводилась за фактично виконані роботи на підставі наданих актів виконаних робіт</t>
  </si>
  <si>
    <t>Один з учасників торгів запропонівав найбільш низьку, економічно вигідну ціну, меншу від очікуваної вартості.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</si>
  <si>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</si>
  <si>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</si>
  <si>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</si>
  <si>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</si>
  <si>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Обсяг видатків на проведення коригування ПКД</t>
  </si>
  <si>
    <t>грн.</t>
  </si>
  <si>
    <t>рішення сесії</t>
  </si>
  <si>
    <t>продукту</t>
  </si>
  <si>
    <t>Кількість об"єктів по яким буде проведено коригування ПКД</t>
  </si>
  <si>
    <t>од.</t>
  </si>
  <si>
    <t>ефективності</t>
  </si>
  <si>
    <t>Середні витрати на проведення одного коригування ПКД</t>
  </si>
  <si>
    <t>розрахунковий показник</t>
  </si>
  <si>
    <t>якості</t>
  </si>
  <si>
    <t>Відсоток готовності ПКД після проведення коригування до проведення експертизи</t>
  </si>
  <si>
    <t>відс.</t>
  </si>
  <si>
    <t>звітність</t>
  </si>
  <si>
    <t>Забезпечення діяльності спеціалізованої служби для підтримки осіб, які постраждали від домашнього насильства та/або насильства за ознакою статі Широківської сільської ради</t>
  </si>
  <si>
    <t>Результативні показники бюджетної програми виконані в повному обсязі.</t>
  </si>
  <si>
    <t>Мета бюджетної програми виконана в повному обсяз._x000D_
Кошти спрямовано на:_x000D_
- придбання автомобіля для мобільних бригад соціально-психологічної допомоги у сумі 2 350,0 тис. грн (кошти субвенції з державного бюджету місцевим бюджетам на створення мережі спеціалізованих служб підтримки осіб, які постраждали від домашнього насильства та/або насильства за ознакою статі – 2 000,0 тис. грн; кошти місцевого бюджету (співфінансування) – 350,0 тис. грн);_x000D_
-  реконструкцію будівлі для облаштування денного центру соціально-психологічної допомоги особам, які постраждали від домашнього насильства та/або насильства за ознакою статі, за адресою: вул. Центральна, 7-а, село Лукашеве Запорізького району Запорізької області. Коригування - 319,2 тис.грн._x000D_
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</si>
  <si>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</si>
  <si>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</si>
  <si>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</si>
  <si>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</si>
  <si>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</si>
  <si>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</si>
  <si>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</si>
  <si>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</si>
  <si>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</si>
  <si>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</si>
  <si>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0113124</t>
  </si>
  <si>
    <t>Створення та забезпечення діяльності спеціалізованих служб підтримки осіб, які постраждали від домашнього насильства та/або насильства за ознакою статі</t>
  </si>
  <si>
    <t>Широківська сільська рада Запорізького району Запорізької області</t>
  </si>
  <si>
    <t>0110000</t>
  </si>
  <si>
    <t>3124</t>
  </si>
  <si>
    <t>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</si>
</sst>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3" zoomScaleNormal="100" workbookViewId="0">
      <selection activeCell="A102" sqref="A102:V102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6" t="s">
        <v>59</v>
      </c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</row>
    <row r="3" spans="1:64" ht="9" customHeight="1" x14ac:dyDescent="0.2"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15.75" customHeight="1" x14ac:dyDescent="0.2"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</row>
    <row r="7" spans="1:64" ht="9.75" hidden="1" customHeight="1" x14ac:dyDescent="0.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9.75" hidden="1" customHeight="1" x14ac:dyDescent="0.2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8.25" hidden="1" customHeigh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</row>
    <row r="10" spans="1:64" ht="15.75" x14ac:dyDescent="0.2">
      <c r="A10" s="88" t="s">
        <v>18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</row>
    <row r="11" spans="1:64" ht="15.75" customHeight="1" x14ac:dyDescent="0.2">
      <c r="A11" s="88" t="s">
        <v>35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</row>
    <row r="12" spans="1:64" ht="15.75" customHeight="1" x14ac:dyDescent="0.2">
      <c r="A12" s="88" t="s">
        <v>114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70" t="s">
        <v>105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15"/>
      <c r="N14" s="75" t="s">
        <v>106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6"/>
      <c r="AU14" s="70" t="s">
        <v>111</v>
      </c>
      <c r="AV14" s="71"/>
      <c r="AW14" s="71"/>
      <c r="AX14" s="71"/>
      <c r="AY14" s="71"/>
      <c r="AZ14" s="71"/>
      <c r="BA14" s="71"/>
      <c r="BB14" s="71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9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7"/>
      <c r="N15" s="76" t="s">
        <v>52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17"/>
      <c r="AU15" s="69" t="s">
        <v>53</v>
      </c>
      <c r="AV15" s="69"/>
      <c r="AW15" s="69"/>
      <c r="AX15" s="69"/>
      <c r="AY15" s="69"/>
      <c r="AZ15" s="69"/>
      <c r="BA15" s="69"/>
      <c r="BB15" s="69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70" t="s">
        <v>118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15"/>
      <c r="N17" s="75" t="s">
        <v>117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16"/>
      <c r="AU17" s="70" t="s">
        <v>111</v>
      </c>
      <c r="AV17" s="71"/>
      <c r="AW17" s="71"/>
      <c r="AX17" s="71"/>
      <c r="AY17" s="71"/>
      <c r="AZ17" s="71"/>
      <c r="BA17" s="71"/>
      <c r="BB17" s="71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9" t="s">
        <v>51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17"/>
      <c r="N18" s="76" t="s">
        <v>54</v>
      </c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17"/>
      <c r="AU18" s="69" t="s">
        <v>53</v>
      </c>
      <c r="AV18" s="69"/>
      <c r="AW18" s="69"/>
      <c r="AX18" s="69"/>
      <c r="AY18" s="69"/>
      <c r="AZ18" s="69"/>
      <c r="BA18" s="69"/>
      <c r="BB18" s="69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57" customHeight="1" x14ac:dyDescent="0.2">
      <c r="A20" s="14" t="s">
        <v>34</v>
      </c>
      <c r="B20" s="70" t="s">
        <v>115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/>
      <c r="N20" s="70" t="s">
        <v>119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19"/>
      <c r="AA20" s="70" t="s">
        <v>120</v>
      </c>
      <c r="AB20" s="71"/>
      <c r="AC20" s="71"/>
      <c r="AD20" s="71"/>
      <c r="AE20" s="71"/>
      <c r="AF20" s="71"/>
      <c r="AG20" s="71"/>
      <c r="AH20" s="71"/>
      <c r="AI20" s="71"/>
      <c r="AJ20" s="19"/>
      <c r="AK20" s="72" t="s">
        <v>116</v>
      </c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19"/>
      <c r="BE20" s="70" t="s">
        <v>112</v>
      </c>
      <c r="BF20" s="71"/>
      <c r="BG20" s="71"/>
      <c r="BH20" s="71"/>
      <c r="BI20" s="71"/>
      <c r="BJ20" s="71"/>
      <c r="BK20" s="71"/>
      <c r="BL20" s="71"/>
    </row>
    <row r="21" spans="1:79" ht="23.25" customHeight="1" x14ac:dyDescent="0.2">
      <c r="A21"/>
      <c r="B21" s="69" t="s">
        <v>51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/>
      <c r="N21" s="69" t="s">
        <v>55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1"/>
      <c r="AA21" s="74" t="s">
        <v>56</v>
      </c>
      <c r="AB21" s="74"/>
      <c r="AC21" s="74"/>
      <c r="AD21" s="74"/>
      <c r="AE21" s="74"/>
      <c r="AF21" s="74"/>
      <c r="AG21" s="74"/>
      <c r="AH21" s="74"/>
      <c r="AI21" s="74"/>
      <c r="AJ21" s="21"/>
      <c r="AK21" s="81" t="s">
        <v>57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21"/>
      <c r="BE21" s="69" t="s">
        <v>58</v>
      </c>
      <c r="BF21" s="69"/>
      <c r="BG21" s="69"/>
      <c r="BH21" s="69"/>
      <c r="BI21" s="69"/>
      <c r="BJ21" s="69"/>
      <c r="BK21" s="69"/>
      <c r="BL21" s="69"/>
    </row>
    <row r="22" spans="1:79" ht="6.75" customHeight="1" x14ac:dyDescent="0.2"/>
    <row r="23" spans="1:79" ht="15.75" customHeight="1" x14ac:dyDescent="0.2">
      <c r="A23" s="56" t="s">
        <v>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">
      <c r="A24" s="77" t="s">
        <v>3</v>
      </c>
      <c r="B24" s="77"/>
      <c r="C24" s="77"/>
      <c r="D24" s="77"/>
      <c r="E24" s="77"/>
      <c r="F24" s="77"/>
      <c r="G24" s="78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2" t="s">
        <v>14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CA25" s="1" t="s">
        <v>49</v>
      </c>
    </row>
    <row r="26" spans="1:79" ht="25.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6" t="s">
        <v>40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18.75" customHeight="1" x14ac:dyDescent="0.2">
      <c r="A29" s="114" t="s">
        <v>102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6" t="s">
        <v>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">
      <c r="A32" s="77" t="s">
        <v>3</v>
      </c>
      <c r="B32" s="77"/>
      <c r="C32" s="77"/>
      <c r="D32" s="77"/>
      <c r="E32" s="77"/>
      <c r="F32" s="77"/>
      <c r="G32" s="78" t="s">
        <v>39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2" t="s">
        <v>14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6" t="s">
        <v>72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">
      <c r="A37" s="56" t="s">
        <v>73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">
      <c r="A38" s="99" t="s">
        <v>113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2" t="s">
        <v>3</v>
      </c>
      <c r="B39" s="62"/>
      <c r="C39" s="62" t="s">
        <v>67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 t="s">
        <v>25</v>
      </c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 t="s">
        <v>44</v>
      </c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 t="s">
        <v>0</v>
      </c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</row>
    <row r="40" spans="1:79" ht="29.1" customHeight="1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 t="s">
        <v>2</v>
      </c>
      <c r="AB40" s="62"/>
      <c r="AC40" s="62"/>
      <c r="AD40" s="62"/>
      <c r="AE40" s="62"/>
      <c r="AF40" s="62" t="s">
        <v>1</v>
      </c>
      <c r="AG40" s="62"/>
      <c r="AH40" s="62"/>
      <c r="AI40" s="62"/>
      <c r="AJ40" s="62"/>
      <c r="AK40" s="62" t="s">
        <v>26</v>
      </c>
      <c r="AL40" s="62"/>
      <c r="AM40" s="62"/>
      <c r="AN40" s="62"/>
      <c r="AO40" s="62"/>
      <c r="AP40" s="62" t="s">
        <v>2</v>
      </c>
      <c r="AQ40" s="62"/>
      <c r="AR40" s="62"/>
      <c r="AS40" s="62"/>
      <c r="AT40" s="62"/>
      <c r="AU40" s="62" t="s">
        <v>1</v>
      </c>
      <c r="AV40" s="62"/>
      <c r="AW40" s="62"/>
      <c r="AX40" s="62"/>
      <c r="AY40" s="62"/>
      <c r="AZ40" s="62" t="s">
        <v>26</v>
      </c>
      <c r="BA40" s="62"/>
      <c r="BB40" s="62"/>
      <c r="BC40" s="62"/>
      <c r="BD40" s="62" t="s">
        <v>2</v>
      </c>
      <c r="BE40" s="62"/>
      <c r="BF40" s="62"/>
      <c r="BG40" s="62"/>
      <c r="BH40" s="62"/>
      <c r="BI40" s="62" t="s">
        <v>1</v>
      </c>
      <c r="BJ40" s="62"/>
      <c r="BK40" s="62"/>
      <c r="BL40" s="62"/>
      <c r="BM40" s="62"/>
      <c r="BN40" s="62" t="s">
        <v>27</v>
      </c>
      <c r="BO40" s="62"/>
      <c r="BP40" s="62"/>
      <c r="BQ40" s="62"/>
    </row>
    <row r="41" spans="1:79" ht="15.95" customHeight="1" x14ac:dyDescent="0.2">
      <c r="A41" s="62">
        <v>1</v>
      </c>
      <c r="B41" s="62"/>
      <c r="C41" s="62">
        <v>2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7">
        <v>3</v>
      </c>
      <c r="AB41" s="63"/>
      <c r="AC41" s="63"/>
      <c r="AD41" s="63"/>
      <c r="AE41" s="64"/>
      <c r="AF41" s="57">
        <v>4</v>
      </c>
      <c r="AG41" s="63"/>
      <c r="AH41" s="63"/>
      <c r="AI41" s="63"/>
      <c r="AJ41" s="64"/>
      <c r="AK41" s="57">
        <v>5</v>
      </c>
      <c r="AL41" s="63"/>
      <c r="AM41" s="63"/>
      <c r="AN41" s="63"/>
      <c r="AO41" s="64"/>
      <c r="AP41" s="57">
        <v>6</v>
      </c>
      <c r="AQ41" s="63"/>
      <c r="AR41" s="63"/>
      <c r="AS41" s="63"/>
      <c r="AT41" s="64"/>
      <c r="AU41" s="57">
        <v>7</v>
      </c>
      <c r="AV41" s="63"/>
      <c r="AW41" s="63"/>
      <c r="AX41" s="63"/>
      <c r="AY41" s="64"/>
      <c r="AZ41" s="57">
        <v>8</v>
      </c>
      <c r="BA41" s="63"/>
      <c r="BB41" s="63"/>
      <c r="BC41" s="64"/>
      <c r="BD41" s="57">
        <v>9</v>
      </c>
      <c r="BE41" s="63"/>
      <c r="BF41" s="63"/>
      <c r="BG41" s="63"/>
      <c r="BH41" s="64"/>
      <c r="BI41" s="62">
        <v>10</v>
      </c>
      <c r="BJ41" s="62"/>
      <c r="BK41" s="62"/>
      <c r="BL41" s="62"/>
      <c r="BM41" s="62"/>
      <c r="BN41" s="62">
        <v>11</v>
      </c>
      <c r="BO41" s="62"/>
      <c r="BP41" s="62"/>
      <c r="BQ41" s="62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55"/>
      <c r="AA42" s="65" t="s">
        <v>10</v>
      </c>
      <c r="AB42" s="65"/>
      <c r="AC42" s="65"/>
      <c r="AD42" s="65"/>
      <c r="AE42" s="65"/>
      <c r="AF42" s="65" t="s">
        <v>9</v>
      </c>
      <c r="AG42" s="65"/>
      <c r="AH42" s="65"/>
      <c r="AI42" s="65"/>
      <c r="AJ42" s="65"/>
      <c r="AK42" s="31" t="s">
        <v>16</v>
      </c>
      <c r="AL42" s="31"/>
      <c r="AM42" s="31"/>
      <c r="AN42" s="31"/>
      <c r="AO42" s="31"/>
      <c r="AP42" s="65" t="s">
        <v>11</v>
      </c>
      <c r="AQ42" s="65"/>
      <c r="AR42" s="65"/>
      <c r="AS42" s="65"/>
      <c r="AT42" s="65"/>
      <c r="AU42" s="65" t="s">
        <v>12</v>
      </c>
      <c r="AV42" s="65"/>
      <c r="AW42" s="65"/>
      <c r="AX42" s="65"/>
      <c r="AY42" s="65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51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0</v>
      </c>
      <c r="AB43" s="47"/>
      <c r="AC43" s="47"/>
      <c r="AD43" s="47"/>
      <c r="AE43" s="47"/>
      <c r="AF43" s="47">
        <v>453615</v>
      </c>
      <c r="AG43" s="47"/>
      <c r="AH43" s="47"/>
      <c r="AI43" s="47"/>
      <c r="AJ43" s="47"/>
      <c r="AK43" s="47">
        <f>AA43+AF43</f>
        <v>453615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319242.92</v>
      </c>
      <c r="AV43" s="47"/>
      <c r="AW43" s="47"/>
      <c r="AX43" s="47"/>
      <c r="AY43" s="47"/>
      <c r="AZ43" s="47">
        <f>AP43+AU43</f>
        <v>319242.92</v>
      </c>
      <c r="BA43" s="47"/>
      <c r="BB43" s="47"/>
      <c r="BC43" s="47"/>
      <c r="BD43" s="47">
        <f>AP43-AA43</f>
        <v>0</v>
      </c>
      <c r="BE43" s="47"/>
      <c r="BF43" s="47"/>
      <c r="BG43" s="47"/>
      <c r="BH43" s="47"/>
      <c r="BI43" s="47">
        <f>AU43-AF43</f>
        <v>-134372.08000000002</v>
      </c>
      <c r="BJ43" s="47"/>
      <c r="BK43" s="47"/>
      <c r="BL43" s="47"/>
      <c r="BM43" s="47"/>
      <c r="BN43" s="47">
        <f>BD43+BI43</f>
        <v>-134372.08000000002</v>
      </c>
      <c r="BO43" s="47"/>
      <c r="BP43" s="47"/>
      <c r="BQ43" s="47"/>
      <c r="CA43" s="1" t="s">
        <v>20</v>
      </c>
    </row>
    <row r="44" spans="1:79" ht="25.5" customHeight="1" x14ac:dyDescent="0.2">
      <c r="A44" s="39">
        <v>2</v>
      </c>
      <c r="B44" s="39"/>
      <c r="C44" s="40" t="s">
        <v>81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0</v>
      </c>
      <c r="AB44" s="47"/>
      <c r="AC44" s="47"/>
      <c r="AD44" s="47"/>
      <c r="AE44" s="47"/>
      <c r="AF44" s="47">
        <v>2360000</v>
      </c>
      <c r="AG44" s="47"/>
      <c r="AH44" s="47"/>
      <c r="AI44" s="47"/>
      <c r="AJ44" s="47"/>
      <c r="AK44" s="47">
        <f>AA44+AF44</f>
        <v>2360000</v>
      </c>
      <c r="AL44" s="47"/>
      <c r="AM44" s="47"/>
      <c r="AN44" s="47"/>
      <c r="AO44" s="47"/>
      <c r="AP44" s="47">
        <v>0</v>
      </c>
      <c r="AQ44" s="47"/>
      <c r="AR44" s="47"/>
      <c r="AS44" s="47"/>
      <c r="AT44" s="47"/>
      <c r="AU44" s="47">
        <v>2350000</v>
      </c>
      <c r="AV44" s="47"/>
      <c r="AW44" s="47"/>
      <c r="AX44" s="47"/>
      <c r="AY44" s="47"/>
      <c r="AZ44" s="47">
        <f>AP44+AU44</f>
        <v>2350000</v>
      </c>
      <c r="BA44" s="47"/>
      <c r="BB44" s="47"/>
      <c r="BC44" s="47"/>
      <c r="BD44" s="47">
        <f>AP44-AA44</f>
        <v>0</v>
      </c>
      <c r="BE44" s="47"/>
      <c r="BF44" s="47"/>
      <c r="BG44" s="47"/>
      <c r="BH44" s="47"/>
      <c r="BI44" s="47">
        <f>AU44-AF44</f>
        <v>-10000</v>
      </c>
      <c r="BJ44" s="47"/>
      <c r="BK44" s="47"/>
      <c r="BL44" s="47"/>
      <c r="BM44" s="47"/>
      <c r="BN44" s="47">
        <f>BD44+BI44</f>
        <v>-10000</v>
      </c>
      <c r="BO44" s="47"/>
      <c r="BP44" s="47"/>
      <c r="BQ44" s="47"/>
    </row>
    <row r="45" spans="1:79" s="27" customFormat="1" ht="15" customHeight="1" x14ac:dyDescent="0.2">
      <c r="A45" s="31"/>
      <c r="B45" s="31"/>
      <c r="C45" s="32" t="s">
        <v>82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4"/>
      <c r="AA45" s="48">
        <v>0</v>
      </c>
      <c r="AB45" s="48"/>
      <c r="AC45" s="48"/>
      <c r="AD45" s="48"/>
      <c r="AE45" s="48"/>
      <c r="AF45" s="48">
        <v>2813615</v>
      </c>
      <c r="AG45" s="48"/>
      <c r="AH45" s="48"/>
      <c r="AI45" s="48"/>
      <c r="AJ45" s="48"/>
      <c r="AK45" s="48">
        <f>AA45+AF45</f>
        <v>2813615</v>
      </c>
      <c r="AL45" s="48"/>
      <c r="AM45" s="48"/>
      <c r="AN45" s="48"/>
      <c r="AO45" s="48"/>
      <c r="AP45" s="48">
        <v>0</v>
      </c>
      <c r="AQ45" s="48"/>
      <c r="AR45" s="48"/>
      <c r="AS45" s="48"/>
      <c r="AT45" s="48"/>
      <c r="AU45" s="48">
        <v>2669242.92</v>
      </c>
      <c r="AV45" s="48"/>
      <c r="AW45" s="48"/>
      <c r="AX45" s="48"/>
      <c r="AY45" s="48"/>
      <c r="AZ45" s="48">
        <f>AP45+AU45</f>
        <v>2669242.92</v>
      </c>
      <c r="BA45" s="48"/>
      <c r="BB45" s="48"/>
      <c r="BC45" s="48"/>
      <c r="BD45" s="48">
        <f>AP45-AA45</f>
        <v>0</v>
      </c>
      <c r="BE45" s="48"/>
      <c r="BF45" s="48"/>
      <c r="BG45" s="48"/>
      <c r="BH45" s="48"/>
      <c r="BI45" s="48">
        <f>AU45-AF45</f>
        <v>-144372.08000000007</v>
      </c>
      <c r="BJ45" s="48"/>
      <c r="BK45" s="48"/>
      <c r="BL45" s="48"/>
      <c r="BM45" s="48"/>
      <c r="BN45" s="48">
        <f>BD45+BI45</f>
        <v>-144372.08000000007</v>
      </c>
      <c r="BO45" s="48"/>
      <c r="BP45" s="48"/>
      <c r="BQ45" s="48"/>
    </row>
    <row r="47" spans="1:79" ht="29.25" customHeight="1" x14ac:dyDescent="0.2">
      <c r="A47" s="56" t="s">
        <v>74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</row>
    <row r="48" spans="1:79" ht="9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79" ht="15.75" customHeight="1" x14ac:dyDescent="0.2">
      <c r="A49" s="62" t="s">
        <v>3</v>
      </c>
      <c r="B49" s="62"/>
      <c r="C49" s="62" t="s">
        <v>60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</row>
    <row r="50" spans="1:79" ht="15.75" x14ac:dyDescent="0.2">
      <c r="A50" s="62">
        <v>1</v>
      </c>
      <c r="B50" s="62"/>
      <c r="C50" s="100">
        <v>2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</row>
    <row r="51" spans="1:79" hidden="1" x14ac:dyDescent="0.2">
      <c r="A51" s="97" t="s">
        <v>13</v>
      </c>
      <c r="B51" s="98"/>
      <c r="C51" s="101" t="s">
        <v>14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3"/>
      <c r="CA51" s="1" t="s">
        <v>68</v>
      </c>
    </row>
    <row r="52" spans="1:79" ht="14.25" customHeight="1" x14ac:dyDescent="0.2">
      <c r="A52" s="54">
        <v>1</v>
      </c>
      <c r="B52" s="55"/>
      <c r="C52" s="40" t="s">
        <v>83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2"/>
      <c r="CA52" s="1" t="s">
        <v>61</v>
      </c>
    </row>
    <row r="53" spans="1:79" ht="14.25" customHeight="1" x14ac:dyDescent="0.2">
      <c r="A53" s="54">
        <v>2</v>
      </c>
      <c r="B53" s="55"/>
      <c r="C53" s="40" t="s">
        <v>84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2"/>
    </row>
    <row r="55" spans="1:79" ht="15.75" customHeight="1" x14ac:dyDescent="0.2">
      <c r="A55" s="56" t="s">
        <v>42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</row>
    <row r="56" spans="1:79" ht="15" customHeight="1" x14ac:dyDescent="0.2">
      <c r="A56" s="99" t="s">
        <v>113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</row>
    <row r="57" spans="1:79" ht="28.5" customHeight="1" x14ac:dyDescent="0.2">
      <c r="A57" s="66" t="s">
        <v>3</v>
      </c>
      <c r="B57" s="68"/>
      <c r="C57" s="62" t="s">
        <v>28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 t="s">
        <v>25</v>
      </c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 t="s">
        <v>44</v>
      </c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 t="s">
        <v>0</v>
      </c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2"/>
      <c r="BP57" s="2"/>
      <c r="BQ57" s="2"/>
    </row>
    <row r="58" spans="1:79" ht="29.1" customHeight="1" x14ac:dyDescent="0.2">
      <c r="A58" s="104"/>
      <c r="B58" s="106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 t="s">
        <v>2</v>
      </c>
      <c r="T58" s="62"/>
      <c r="U58" s="62"/>
      <c r="V58" s="62"/>
      <c r="W58" s="62"/>
      <c r="X58" s="62" t="s">
        <v>1</v>
      </c>
      <c r="Y58" s="62"/>
      <c r="Z58" s="62"/>
      <c r="AA58" s="62"/>
      <c r="AB58" s="62"/>
      <c r="AC58" s="62" t="s">
        <v>26</v>
      </c>
      <c r="AD58" s="62"/>
      <c r="AE58" s="62"/>
      <c r="AF58" s="62"/>
      <c r="AG58" s="62"/>
      <c r="AH58" s="62"/>
      <c r="AI58" s="62" t="s">
        <v>2</v>
      </c>
      <c r="AJ58" s="62"/>
      <c r="AK58" s="62"/>
      <c r="AL58" s="62"/>
      <c r="AM58" s="62"/>
      <c r="AN58" s="62" t="s">
        <v>1</v>
      </c>
      <c r="AO58" s="62"/>
      <c r="AP58" s="62"/>
      <c r="AQ58" s="62"/>
      <c r="AR58" s="62"/>
      <c r="AS58" s="62" t="s">
        <v>26</v>
      </c>
      <c r="AT58" s="62"/>
      <c r="AU58" s="62"/>
      <c r="AV58" s="62"/>
      <c r="AW58" s="62"/>
      <c r="AX58" s="62"/>
      <c r="AY58" s="57" t="s">
        <v>2</v>
      </c>
      <c r="AZ58" s="63"/>
      <c r="BA58" s="63"/>
      <c r="BB58" s="63"/>
      <c r="BC58" s="64"/>
      <c r="BD58" s="57" t="s">
        <v>1</v>
      </c>
      <c r="BE58" s="63"/>
      <c r="BF58" s="63"/>
      <c r="BG58" s="63"/>
      <c r="BH58" s="64"/>
      <c r="BI58" s="62" t="s">
        <v>26</v>
      </c>
      <c r="BJ58" s="62"/>
      <c r="BK58" s="62"/>
      <c r="BL58" s="62"/>
      <c r="BM58" s="62"/>
      <c r="BN58" s="62"/>
      <c r="BO58" s="2"/>
      <c r="BP58" s="2"/>
      <c r="BQ58" s="2"/>
    </row>
    <row r="59" spans="1:79" ht="15.95" customHeight="1" x14ac:dyDescent="0.25">
      <c r="A59" s="62">
        <v>1</v>
      </c>
      <c r="B59" s="62"/>
      <c r="C59" s="62">
        <v>2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>
        <v>3</v>
      </c>
      <c r="T59" s="62"/>
      <c r="U59" s="62"/>
      <c r="V59" s="62"/>
      <c r="W59" s="62"/>
      <c r="X59" s="62">
        <v>4</v>
      </c>
      <c r="Y59" s="62"/>
      <c r="Z59" s="62"/>
      <c r="AA59" s="62"/>
      <c r="AB59" s="62"/>
      <c r="AC59" s="62">
        <v>5</v>
      </c>
      <c r="AD59" s="62"/>
      <c r="AE59" s="62"/>
      <c r="AF59" s="62"/>
      <c r="AG59" s="62"/>
      <c r="AH59" s="62"/>
      <c r="AI59" s="62">
        <v>6</v>
      </c>
      <c r="AJ59" s="62"/>
      <c r="AK59" s="62"/>
      <c r="AL59" s="62"/>
      <c r="AM59" s="62"/>
      <c r="AN59" s="62">
        <v>7</v>
      </c>
      <c r="AO59" s="62"/>
      <c r="AP59" s="62"/>
      <c r="AQ59" s="62"/>
      <c r="AR59" s="62"/>
      <c r="AS59" s="62">
        <v>8</v>
      </c>
      <c r="AT59" s="62"/>
      <c r="AU59" s="62"/>
      <c r="AV59" s="62"/>
      <c r="AW59" s="62"/>
      <c r="AX59" s="62"/>
      <c r="AY59" s="62">
        <v>9</v>
      </c>
      <c r="AZ59" s="62"/>
      <c r="BA59" s="62"/>
      <c r="BB59" s="62"/>
      <c r="BC59" s="62"/>
      <c r="BD59" s="62">
        <v>10</v>
      </c>
      <c r="BE59" s="62"/>
      <c r="BF59" s="62"/>
      <c r="BG59" s="62"/>
      <c r="BH59" s="62"/>
      <c r="BI59" s="57">
        <v>11</v>
      </c>
      <c r="BJ59" s="63"/>
      <c r="BK59" s="63"/>
      <c r="BL59" s="63"/>
      <c r="BM59" s="63"/>
      <c r="BN59" s="64"/>
      <c r="BO59" s="6"/>
      <c r="BP59" s="6"/>
      <c r="BQ59" s="6"/>
    </row>
    <row r="60" spans="1:79" ht="18" hidden="1" customHeight="1" x14ac:dyDescent="0.2">
      <c r="A60" s="39" t="s">
        <v>13</v>
      </c>
      <c r="B60" s="39"/>
      <c r="C60" s="107" t="s">
        <v>14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65" t="s">
        <v>10</v>
      </c>
      <c r="T60" s="65"/>
      <c r="U60" s="65"/>
      <c r="V60" s="65"/>
      <c r="W60" s="65"/>
      <c r="X60" s="65" t="s">
        <v>9</v>
      </c>
      <c r="Y60" s="65"/>
      <c r="Z60" s="65"/>
      <c r="AA60" s="65"/>
      <c r="AB60" s="65"/>
      <c r="AC60" s="31" t="s">
        <v>16</v>
      </c>
      <c r="AD60" s="108"/>
      <c r="AE60" s="108"/>
      <c r="AF60" s="108"/>
      <c r="AG60" s="108"/>
      <c r="AH60" s="108"/>
      <c r="AI60" s="65" t="s">
        <v>11</v>
      </c>
      <c r="AJ60" s="65"/>
      <c r="AK60" s="65"/>
      <c r="AL60" s="65"/>
      <c r="AM60" s="65"/>
      <c r="AN60" s="65" t="s">
        <v>12</v>
      </c>
      <c r="AO60" s="65"/>
      <c r="AP60" s="65"/>
      <c r="AQ60" s="65"/>
      <c r="AR60" s="65"/>
      <c r="AS60" s="31" t="s">
        <v>16</v>
      </c>
      <c r="AT60" s="108"/>
      <c r="AU60" s="108"/>
      <c r="AV60" s="108"/>
      <c r="AW60" s="108"/>
      <c r="AX60" s="108"/>
      <c r="AY60" s="54" t="s">
        <v>17</v>
      </c>
      <c r="AZ60" s="109"/>
      <c r="BA60" s="109"/>
      <c r="BB60" s="109"/>
      <c r="BC60" s="55"/>
      <c r="BD60" s="54" t="s">
        <v>17</v>
      </c>
      <c r="BE60" s="109"/>
      <c r="BF60" s="109"/>
      <c r="BG60" s="109"/>
      <c r="BH60" s="55"/>
      <c r="BI60" s="108" t="s">
        <v>16</v>
      </c>
      <c r="BJ60" s="108"/>
      <c r="BK60" s="108"/>
      <c r="BL60" s="108"/>
      <c r="BM60" s="108"/>
      <c r="BN60" s="108"/>
      <c r="BO60" s="7"/>
      <c r="BP60" s="7"/>
      <c r="BQ60" s="7"/>
      <c r="CA60" s="1" t="s">
        <v>21</v>
      </c>
    </row>
    <row r="61" spans="1:79" ht="38.25" customHeight="1" x14ac:dyDescent="0.2">
      <c r="A61" s="39">
        <v>1</v>
      </c>
      <c r="B61" s="39"/>
      <c r="C61" s="40" t="s">
        <v>85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47">
        <v>0</v>
      </c>
      <c r="T61" s="47"/>
      <c r="U61" s="47"/>
      <c r="V61" s="47"/>
      <c r="W61" s="47"/>
      <c r="X61" s="47">
        <v>453615</v>
      </c>
      <c r="Y61" s="47"/>
      <c r="Z61" s="47"/>
      <c r="AA61" s="47"/>
      <c r="AB61" s="47"/>
      <c r="AC61" s="47">
        <f>S61+X61</f>
        <v>453615</v>
      </c>
      <c r="AD61" s="47"/>
      <c r="AE61" s="47"/>
      <c r="AF61" s="47"/>
      <c r="AG61" s="47"/>
      <c r="AH61" s="47"/>
      <c r="AI61" s="47">
        <v>0</v>
      </c>
      <c r="AJ61" s="47"/>
      <c r="AK61" s="47"/>
      <c r="AL61" s="47"/>
      <c r="AM61" s="47"/>
      <c r="AN61" s="47">
        <v>319242.92</v>
      </c>
      <c r="AO61" s="47"/>
      <c r="AP61" s="47"/>
      <c r="AQ61" s="47"/>
      <c r="AR61" s="47"/>
      <c r="AS61" s="47">
        <f>AI61+AN61</f>
        <v>319242.92</v>
      </c>
      <c r="AT61" s="47"/>
      <c r="AU61" s="47"/>
      <c r="AV61" s="47"/>
      <c r="AW61" s="47"/>
      <c r="AX61" s="47"/>
      <c r="AY61" s="47">
        <f>AI61-S61</f>
        <v>0</v>
      </c>
      <c r="AZ61" s="47"/>
      <c r="BA61" s="47"/>
      <c r="BB61" s="47"/>
      <c r="BC61" s="47"/>
      <c r="BD61" s="113">
        <f>AN61-X61</f>
        <v>-134372.08000000002</v>
      </c>
      <c r="BE61" s="113"/>
      <c r="BF61" s="113"/>
      <c r="BG61" s="113"/>
      <c r="BH61" s="113"/>
      <c r="BI61" s="113">
        <f>AY61+BD61</f>
        <v>-134372.08000000002</v>
      </c>
      <c r="BJ61" s="113"/>
      <c r="BK61" s="113"/>
      <c r="BL61" s="113"/>
      <c r="BM61" s="113"/>
      <c r="BN61" s="113"/>
      <c r="BO61" s="8"/>
      <c r="BP61" s="8"/>
      <c r="BQ61" s="8"/>
      <c r="CA61" s="1" t="s">
        <v>22</v>
      </c>
    </row>
    <row r="62" spans="1:79" s="27" customFormat="1" ht="15" customHeight="1" x14ac:dyDescent="0.2">
      <c r="A62" s="31"/>
      <c r="B62" s="31"/>
      <c r="C62" s="32" t="s">
        <v>86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4"/>
      <c r="S62" s="48">
        <v>0</v>
      </c>
      <c r="T62" s="48"/>
      <c r="U62" s="48"/>
      <c r="V62" s="48"/>
      <c r="W62" s="48"/>
      <c r="X62" s="48">
        <v>453615</v>
      </c>
      <c r="Y62" s="48"/>
      <c r="Z62" s="48"/>
      <c r="AA62" s="48"/>
      <c r="AB62" s="48"/>
      <c r="AC62" s="48">
        <f>S62+X62</f>
        <v>453615</v>
      </c>
      <c r="AD62" s="48"/>
      <c r="AE62" s="48"/>
      <c r="AF62" s="48"/>
      <c r="AG62" s="48"/>
      <c r="AH62" s="48"/>
      <c r="AI62" s="48">
        <v>0</v>
      </c>
      <c r="AJ62" s="48"/>
      <c r="AK62" s="48"/>
      <c r="AL62" s="48"/>
      <c r="AM62" s="48"/>
      <c r="AN62" s="48">
        <v>319242.92</v>
      </c>
      <c r="AO62" s="48"/>
      <c r="AP62" s="48"/>
      <c r="AQ62" s="48"/>
      <c r="AR62" s="48"/>
      <c r="AS62" s="48">
        <f>AI62+AN62</f>
        <v>319242.92</v>
      </c>
      <c r="AT62" s="48"/>
      <c r="AU62" s="48"/>
      <c r="AV62" s="48"/>
      <c r="AW62" s="48"/>
      <c r="AX62" s="48"/>
      <c r="AY62" s="48">
        <f>AI62-S62</f>
        <v>0</v>
      </c>
      <c r="AZ62" s="48"/>
      <c r="BA62" s="48"/>
      <c r="BB62" s="48"/>
      <c r="BC62" s="48"/>
      <c r="BD62" s="53">
        <f>AN62-X62</f>
        <v>-134372.08000000002</v>
      </c>
      <c r="BE62" s="53"/>
      <c r="BF62" s="53"/>
      <c r="BG62" s="53"/>
      <c r="BH62" s="53"/>
      <c r="BI62" s="53">
        <f>AY62+BD62</f>
        <v>-134372.08000000002</v>
      </c>
      <c r="BJ62" s="53"/>
      <c r="BK62" s="53"/>
      <c r="BL62" s="53"/>
      <c r="BM62" s="53"/>
      <c r="BN62" s="53"/>
      <c r="BO62" s="28"/>
      <c r="BP62" s="28"/>
      <c r="BQ62" s="28"/>
    </row>
    <row r="64" spans="1:79" ht="15.75" customHeight="1" x14ac:dyDescent="0.2">
      <c r="A64" s="56" t="s">
        <v>43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</row>
    <row r="65" spans="1:79" ht="15.75" customHeight="1" x14ac:dyDescent="0.2">
      <c r="A65" s="56" t="s">
        <v>62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</row>
    <row r="66" spans="1:79" ht="8.25" customHeight="1" x14ac:dyDescent="0.2"/>
    <row r="67" spans="1:79" ht="45" customHeight="1" x14ac:dyDescent="0.2">
      <c r="A67" s="66" t="s">
        <v>3</v>
      </c>
      <c r="B67" s="68"/>
      <c r="C67" s="66" t="s">
        <v>6</v>
      </c>
      <c r="D67" s="67"/>
      <c r="E67" s="67"/>
      <c r="F67" s="67"/>
      <c r="G67" s="67"/>
      <c r="H67" s="67"/>
      <c r="I67" s="68"/>
      <c r="J67" s="66" t="s">
        <v>5</v>
      </c>
      <c r="K67" s="67"/>
      <c r="L67" s="67"/>
      <c r="M67" s="67"/>
      <c r="N67" s="68"/>
      <c r="O67" s="66" t="s">
        <v>4</v>
      </c>
      <c r="P67" s="67"/>
      <c r="Q67" s="67"/>
      <c r="R67" s="67"/>
      <c r="S67" s="67"/>
      <c r="T67" s="67"/>
      <c r="U67" s="67"/>
      <c r="V67" s="67"/>
      <c r="W67" s="67"/>
      <c r="X67" s="68"/>
      <c r="Y67" s="62" t="s">
        <v>25</v>
      </c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 t="s">
        <v>45</v>
      </c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85" t="s">
        <v>0</v>
      </c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9"/>
      <c r="BS67" s="9"/>
      <c r="BT67" s="9"/>
      <c r="BU67" s="9"/>
      <c r="BV67" s="9"/>
      <c r="BW67" s="9"/>
      <c r="BX67" s="9"/>
      <c r="BY67" s="9"/>
    </row>
    <row r="68" spans="1:79" ht="32.25" customHeight="1" x14ac:dyDescent="0.2">
      <c r="A68" s="104"/>
      <c r="B68" s="106"/>
      <c r="C68" s="104"/>
      <c r="D68" s="105"/>
      <c r="E68" s="105"/>
      <c r="F68" s="105"/>
      <c r="G68" s="105"/>
      <c r="H68" s="105"/>
      <c r="I68" s="106"/>
      <c r="J68" s="104"/>
      <c r="K68" s="105"/>
      <c r="L68" s="105"/>
      <c r="M68" s="105"/>
      <c r="N68" s="106"/>
      <c r="O68" s="104"/>
      <c r="P68" s="105"/>
      <c r="Q68" s="105"/>
      <c r="R68" s="105"/>
      <c r="S68" s="105"/>
      <c r="T68" s="105"/>
      <c r="U68" s="105"/>
      <c r="V68" s="105"/>
      <c r="W68" s="105"/>
      <c r="X68" s="106"/>
      <c r="Y68" s="57" t="s">
        <v>2</v>
      </c>
      <c r="Z68" s="63"/>
      <c r="AA68" s="63"/>
      <c r="AB68" s="63"/>
      <c r="AC68" s="64"/>
      <c r="AD68" s="57" t="s">
        <v>1</v>
      </c>
      <c r="AE68" s="63"/>
      <c r="AF68" s="63"/>
      <c r="AG68" s="63"/>
      <c r="AH68" s="64"/>
      <c r="AI68" s="62" t="s">
        <v>26</v>
      </c>
      <c r="AJ68" s="62"/>
      <c r="AK68" s="62"/>
      <c r="AL68" s="62"/>
      <c r="AM68" s="62"/>
      <c r="AN68" s="62" t="s">
        <v>2</v>
      </c>
      <c r="AO68" s="62"/>
      <c r="AP68" s="62"/>
      <c r="AQ68" s="62"/>
      <c r="AR68" s="62"/>
      <c r="AS68" s="62" t="s">
        <v>1</v>
      </c>
      <c r="AT68" s="62"/>
      <c r="AU68" s="62"/>
      <c r="AV68" s="62"/>
      <c r="AW68" s="62"/>
      <c r="AX68" s="62" t="s">
        <v>26</v>
      </c>
      <c r="AY68" s="62"/>
      <c r="AZ68" s="62"/>
      <c r="BA68" s="62"/>
      <c r="BB68" s="62"/>
      <c r="BC68" s="62" t="s">
        <v>2</v>
      </c>
      <c r="BD68" s="62"/>
      <c r="BE68" s="62"/>
      <c r="BF68" s="62"/>
      <c r="BG68" s="62"/>
      <c r="BH68" s="62" t="s">
        <v>1</v>
      </c>
      <c r="BI68" s="62"/>
      <c r="BJ68" s="62"/>
      <c r="BK68" s="62"/>
      <c r="BL68" s="62"/>
      <c r="BM68" s="62" t="s">
        <v>26</v>
      </c>
      <c r="BN68" s="62"/>
      <c r="BO68" s="62"/>
      <c r="BP68" s="62"/>
      <c r="BQ68" s="62"/>
      <c r="BR68" s="2"/>
      <c r="BS68" s="2"/>
      <c r="BT68" s="2"/>
      <c r="BU68" s="2"/>
      <c r="BV68" s="2"/>
      <c r="BW68" s="2"/>
      <c r="BX68" s="2"/>
      <c r="BY68" s="2"/>
    </row>
    <row r="69" spans="1:79" ht="15.95" customHeight="1" x14ac:dyDescent="0.2">
      <c r="A69" s="62">
        <v>1</v>
      </c>
      <c r="B69" s="62"/>
      <c r="C69" s="62">
        <v>2</v>
      </c>
      <c r="D69" s="62"/>
      <c r="E69" s="62"/>
      <c r="F69" s="62"/>
      <c r="G69" s="62"/>
      <c r="H69" s="62"/>
      <c r="I69" s="62"/>
      <c r="J69" s="62">
        <v>3</v>
      </c>
      <c r="K69" s="62"/>
      <c r="L69" s="62"/>
      <c r="M69" s="62"/>
      <c r="N69" s="62"/>
      <c r="O69" s="62">
        <v>4</v>
      </c>
      <c r="P69" s="62"/>
      <c r="Q69" s="62"/>
      <c r="R69" s="62"/>
      <c r="S69" s="62"/>
      <c r="T69" s="62"/>
      <c r="U69" s="62"/>
      <c r="V69" s="62"/>
      <c r="W69" s="62"/>
      <c r="X69" s="62"/>
      <c r="Y69" s="62">
        <v>5</v>
      </c>
      <c r="Z69" s="62"/>
      <c r="AA69" s="62"/>
      <c r="AB69" s="62"/>
      <c r="AC69" s="62"/>
      <c r="AD69" s="62">
        <v>6</v>
      </c>
      <c r="AE69" s="62"/>
      <c r="AF69" s="62"/>
      <c r="AG69" s="62"/>
      <c r="AH69" s="62"/>
      <c r="AI69" s="62">
        <v>7</v>
      </c>
      <c r="AJ69" s="62"/>
      <c r="AK69" s="62"/>
      <c r="AL69" s="62"/>
      <c r="AM69" s="62"/>
      <c r="AN69" s="57">
        <v>8</v>
      </c>
      <c r="AO69" s="63"/>
      <c r="AP69" s="63"/>
      <c r="AQ69" s="63"/>
      <c r="AR69" s="64"/>
      <c r="AS69" s="57">
        <v>9</v>
      </c>
      <c r="AT69" s="63"/>
      <c r="AU69" s="63"/>
      <c r="AV69" s="63"/>
      <c r="AW69" s="64"/>
      <c r="AX69" s="57">
        <v>10</v>
      </c>
      <c r="AY69" s="63"/>
      <c r="AZ69" s="63"/>
      <c r="BA69" s="63"/>
      <c r="BB69" s="64"/>
      <c r="BC69" s="57">
        <v>11</v>
      </c>
      <c r="BD69" s="63"/>
      <c r="BE69" s="63"/>
      <c r="BF69" s="63"/>
      <c r="BG69" s="64"/>
      <c r="BH69" s="57">
        <v>12</v>
      </c>
      <c r="BI69" s="63"/>
      <c r="BJ69" s="63"/>
      <c r="BK69" s="63"/>
      <c r="BL69" s="64"/>
      <c r="BM69" s="57">
        <v>13</v>
      </c>
      <c r="BN69" s="63"/>
      <c r="BO69" s="63"/>
      <c r="BP69" s="63"/>
      <c r="BQ69" s="64"/>
      <c r="BR69" s="2"/>
      <c r="BS69" s="2"/>
      <c r="BT69" s="2"/>
      <c r="BU69" s="2"/>
      <c r="BV69" s="2"/>
      <c r="BW69" s="2"/>
      <c r="BX69" s="2"/>
      <c r="BY69" s="2"/>
    </row>
    <row r="70" spans="1:79" ht="12.75" hidden="1" customHeight="1" x14ac:dyDescent="0.2">
      <c r="A70" s="39" t="s">
        <v>36</v>
      </c>
      <c r="B70" s="39"/>
      <c r="C70" s="82" t="s">
        <v>14</v>
      </c>
      <c r="D70" s="83"/>
      <c r="E70" s="83"/>
      <c r="F70" s="83"/>
      <c r="G70" s="83"/>
      <c r="H70" s="83"/>
      <c r="I70" s="84"/>
      <c r="J70" s="39" t="s">
        <v>15</v>
      </c>
      <c r="K70" s="39"/>
      <c r="L70" s="39"/>
      <c r="M70" s="39"/>
      <c r="N70" s="39"/>
      <c r="O70" s="107" t="s">
        <v>37</v>
      </c>
      <c r="P70" s="107"/>
      <c r="Q70" s="107"/>
      <c r="R70" s="107"/>
      <c r="S70" s="107"/>
      <c r="T70" s="107"/>
      <c r="U70" s="107"/>
      <c r="V70" s="107"/>
      <c r="W70" s="107"/>
      <c r="X70" s="82"/>
      <c r="Y70" s="65" t="s">
        <v>10</v>
      </c>
      <c r="Z70" s="65"/>
      <c r="AA70" s="65"/>
      <c r="AB70" s="65"/>
      <c r="AC70" s="65"/>
      <c r="AD70" s="65" t="s">
        <v>29</v>
      </c>
      <c r="AE70" s="65"/>
      <c r="AF70" s="65"/>
      <c r="AG70" s="65"/>
      <c r="AH70" s="65"/>
      <c r="AI70" s="65" t="s">
        <v>75</v>
      </c>
      <c r="AJ70" s="65"/>
      <c r="AK70" s="65"/>
      <c r="AL70" s="65"/>
      <c r="AM70" s="65"/>
      <c r="AN70" s="65" t="s">
        <v>30</v>
      </c>
      <c r="AO70" s="65"/>
      <c r="AP70" s="65"/>
      <c r="AQ70" s="65"/>
      <c r="AR70" s="65"/>
      <c r="AS70" s="65" t="s">
        <v>11</v>
      </c>
      <c r="AT70" s="65"/>
      <c r="AU70" s="65"/>
      <c r="AV70" s="65"/>
      <c r="AW70" s="65"/>
      <c r="AX70" s="65" t="s">
        <v>76</v>
      </c>
      <c r="AY70" s="65"/>
      <c r="AZ70" s="65"/>
      <c r="BA70" s="65"/>
      <c r="BB70" s="65"/>
      <c r="BC70" s="65" t="s">
        <v>32</v>
      </c>
      <c r="BD70" s="65"/>
      <c r="BE70" s="65"/>
      <c r="BF70" s="65"/>
      <c r="BG70" s="65"/>
      <c r="BH70" s="65" t="s">
        <v>32</v>
      </c>
      <c r="BI70" s="65"/>
      <c r="BJ70" s="65"/>
      <c r="BK70" s="65"/>
      <c r="BL70" s="65"/>
      <c r="BM70" s="89" t="s">
        <v>16</v>
      </c>
      <c r="BN70" s="89"/>
      <c r="BO70" s="89"/>
      <c r="BP70" s="89"/>
      <c r="BQ70" s="89"/>
      <c r="CA70" s="1" t="s">
        <v>23</v>
      </c>
    </row>
    <row r="71" spans="1:79" s="27" customFormat="1" ht="15.75" x14ac:dyDescent="0.2">
      <c r="A71" s="31">
        <v>0</v>
      </c>
      <c r="B71" s="31"/>
      <c r="C71" s="52" t="s">
        <v>87</v>
      </c>
      <c r="D71" s="52"/>
      <c r="E71" s="52"/>
      <c r="F71" s="52"/>
      <c r="G71" s="52"/>
      <c r="H71" s="52"/>
      <c r="I71" s="52"/>
      <c r="J71" s="52" t="s">
        <v>88</v>
      </c>
      <c r="K71" s="52"/>
      <c r="L71" s="52"/>
      <c r="M71" s="52"/>
      <c r="N71" s="52"/>
      <c r="O71" s="52" t="s">
        <v>88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  <c r="CA71" s="27" t="s">
        <v>24</v>
      </c>
    </row>
    <row r="72" spans="1:79" ht="38.25" customHeight="1" x14ac:dyDescent="0.2">
      <c r="A72" s="39">
        <v>1</v>
      </c>
      <c r="B72" s="39"/>
      <c r="C72" s="49" t="s">
        <v>89</v>
      </c>
      <c r="D72" s="41"/>
      <c r="E72" s="41"/>
      <c r="F72" s="41"/>
      <c r="G72" s="41"/>
      <c r="H72" s="41"/>
      <c r="I72" s="42"/>
      <c r="J72" s="50" t="s">
        <v>90</v>
      </c>
      <c r="K72" s="50"/>
      <c r="L72" s="50"/>
      <c r="M72" s="50"/>
      <c r="N72" s="50"/>
      <c r="O72" s="50" t="s">
        <v>91</v>
      </c>
      <c r="P72" s="50"/>
      <c r="Q72" s="50"/>
      <c r="R72" s="50"/>
      <c r="S72" s="50"/>
      <c r="T72" s="50"/>
      <c r="U72" s="50"/>
      <c r="V72" s="50"/>
      <c r="W72" s="50"/>
      <c r="X72" s="50"/>
      <c r="Y72" s="47">
        <v>0</v>
      </c>
      <c r="Z72" s="47"/>
      <c r="AA72" s="47"/>
      <c r="AB72" s="47"/>
      <c r="AC72" s="47"/>
      <c r="AD72" s="47">
        <v>453615</v>
      </c>
      <c r="AE72" s="47"/>
      <c r="AF72" s="47"/>
      <c r="AG72" s="47"/>
      <c r="AH72" s="47"/>
      <c r="AI72" s="47">
        <v>453615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319242.92</v>
      </c>
      <c r="AT72" s="47"/>
      <c r="AU72" s="47"/>
      <c r="AV72" s="47"/>
      <c r="AW72" s="47"/>
      <c r="AX72" s="47">
        <v>319242.92</v>
      </c>
      <c r="AY72" s="47"/>
      <c r="AZ72" s="47"/>
      <c r="BA72" s="47"/>
      <c r="BB72" s="47"/>
      <c r="BC72" s="47">
        <f>AN72-Y72</f>
        <v>0</v>
      </c>
      <c r="BD72" s="47"/>
      <c r="BE72" s="47"/>
      <c r="BF72" s="47"/>
      <c r="BG72" s="47"/>
      <c r="BH72" s="47">
        <f>AS72-AD72</f>
        <v>-134372.08000000002</v>
      </c>
      <c r="BI72" s="47"/>
      <c r="BJ72" s="47"/>
      <c r="BK72" s="47"/>
      <c r="BL72" s="47"/>
      <c r="BM72" s="47">
        <v>-134372.08000000002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92</v>
      </c>
      <c r="D73" s="33"/>
      <c r="E73" s="33"/>
      <c r="F73" s="33"/>
      <c r="G73" s="33"/>
      <c r="H73" s="33"/>
      <c r="I73" s="34"/>
      <c r="J73" s="52" t="s">
        <v>88</v>
      </c>
      <c r="K73" s="52"/>
      <c r="L73" s="52"/>
      <c r="M73" s="52"/>
      <c r="N73" s="52"/>
      <c r="O73" s="52" t="s">
        <v>88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38.25" customHeight="1" x14ac:dyDescent="0.2">
      <c r="A74" s="39">
        <v>1</v>
      </c>
      <c r="B74" s="39"/>
      <c r="C74" s="49" t="s">
        <v>93</v>
      </c>
      <c r="D74" s="41"/>
      <c r="E74" s="41"/>
      <c r="F74" s="41"/>
      <c r="G74" s="41"/>
      <c r="H74" s="41"/>
      <c r="I74" s="42"/>
      <c r="J74" s="50" t="s">
        <v>94</v>
      </c>
      <c r="K74" s="50"/>
      <c r="L74" s="50"/>
      <c r="M74" s="50"/>
      <c r="N74" s="50"/>
      <c r="O74" s="50" t="s">
        <v>91</v>
      </c>
      <c r="P74" s="50"/>
      <c r="Q74" s="50"/>
      <c r="R74" s="50"/>
      <c r="S74" s="50"/>
      <c r="T74" s="50"/>
      <c r="U74" s="50"/>
      <c r="V74" s="50"/>
      <c r="W74" s="50"/>
      <c r="X74" s="50"/>
      <c r="Y74" s="47">
        <v>0</v>
      </c>
      <c r="Z74" s="47"/>
      <c r="AA74" s="47"/>
      <c r="AB74" s="47"/>
      <c r="AC74" s="47"/>
      <c r="AD74" s="47">
        <v>1</v>
      </c>
      <c r="AE74" s="47"/>
      <c r="AF74" s="47"/>
      <c r="AG74" s="47"/>
      <c r="AH74" s="47"/>
      <c r="AI74" s="47">
        <v>1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1</v>
      </c>
      <c r="AT74" s="47"/>
      <c r="AU74" s="47"/>
      <c r="AV74" s="47"/>
      <c r="AW74" s="47"/>
      <c r="AX74" s="47">
        <v>1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0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95</v>
      </c>
      <c r="D75" s="33"/>
      <c r="E75" s="33"/>
      <c r="F75" s="33"/>
      <c r="G75" s="33"/>
      <c r="H75" s="33"/>
      <c r="I75" s="34"/>
      <c r="J75" s="52" t="s">
        <v>88</v>
      </c>
      <c r="K75" s="52"/>
      <c r="L75" s="52"/>
      <c r="M75" s="52"/>
      <c r="N75" s="52"/>
      <c r="O75" s="52" t="s">
        <v>88</v>
      </c>
      <c r="P75" s="52"/>
      <c r="Q75" s="52"/>
      <c r="R75" s="52"/>
      <c r="S75" s="52"/>
      <c r="T75" s="52"/>
      <c r="U75" s="52"/>
      <c r="V75" s="52"/>
      <c r="W75" s="52"/>
      <c r="X75" s="52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38.25" customHeight="1" x14ac:dyDescent="0.2">
      <c r="A76" s="39">
        <v>1</v>
      </c>
      <c r="B76" s="39"/>
      <c r="C76" s="49" t="s">
        <v>96</v>
      </c>
      <c r="D76" s="41"/>
      <c r="E76" s="41"/>
      <c r="F76" s="41"/>
      <c r="G76" s="41"/>
      <c r="H76" s="41"/>
      <c r="I76" s="42"/>
      <c r="J76" s="50" t="s">
        <v>90</v>
      </c>
      <c r="K76" s="50"/>
      <c r="L76" s="50"/>
      <c r="M76" s="50"/>
      <c r="N76" s="50"/>
      <c r="O76" s="49" t="s">
        <v>97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0</v>
      </c>
      <c r="Z76" s="47"/>
      <c r="AA76" s="47"/>
      <c r="AB76" s="47"/>
      <c r="AC76" s="47"/>
      <c r="AD76" s="47">
        <v>453615</v>
      </c>
      <c r="AE76" s="47"/>
      <c r="AF76" s="47"/>
      <c r="AG76" s="47"/>
      <c r="AH76" s="47"/>
      <c r="AI76" s="47">
        <v>453615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319242.92</v>
      </c>
      <c r="AT76" s="47"/>
      <c r="AU76" s="47"/>
      <c r="AV76" s="47"/>
      <c r="AW76" s="47"/>
      <c r="AX76" s="47">
        <v>319242.92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-134372.08000000002</v>
      </c>
      <c r="BI76" s="47"/>
      <c r="BJ76" s="47"/>
      <c r="BK76" s="47"/>
      <c r="BL76" s="47"/>
      <c r="BM76" s="47">
        <v>-134372.08000000002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s="27" customFormat="1" ht="15.75" x14ac:dyDescent="0.2">
      <c r="A77" s="31">
        <v>0</v>
      </c>
      <c r="B77" s="31"/>
      <c r="C77" s="51" t="s">
        <v>98</v>
      </c>
      <c r="D77" s="33"/>
      <c r="E77" s="33"/>
      <c r="F77" s="33"/>
      <c r="G77" s="33"/>
      <c r="H77" s="33"/>
      <c r="I77" s="34"/>
      <c r="J77" s="52" t="s">
        <v>88</v>
      </c>
      <c r="K77" s="52"/>
      <c r="L77" s="52"/>
      <c r="M77" s="52"/>
      <c r="N77" s="52"/>
      <c r="O77" s="51" t="s">
        <v>88</v>
      </c>
      <c r="P77" s="33"/>
      <c r="Q77" s="33"/>
      <c r="R77" s="33"/>
      <c r="S77" s="33"/>
      <c r="T77" s="33"/>
      <c r="U77" s="33"/>
      <c r="V77" s="33"/>
      <c r="W77" s="33"/>
      <c r="X77" s="34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29"/>
      <c r="BS77" s="29"/>
      <c r="BT77" s="29"/>
      <c r="BU77" s="29"/>
      <c r="BV77" s="29"/>
      <c r="BW77" s="29"/>
      <c r="BX77" s="29"/>
      <c r="BY77" s="29"/>
    </row>
    <row r="78" spans="1:79" ht="63.75" customHeight="1" x14ac:dyDescent="0.2">
      <c r="A78" s="39">
        <v>1</v>
      </c>
      <c r="B78" s="39"/>
      <c r="C78" s="49" t="s">
        <v>99</v>
      </c>
      <c r="D78" s="41"/>
      <c r="E78" s="41"/>
      <c r="F78" s="41"/>
      <c r="G78" s="41"/>
      <c r="H78" s="41"/>
      <c r="I78" s="42"/>
      <c r="J78" s="50" t="s">
        <v>100</v>
      </c>
      <c r="K78" s="50"/>
      <c r="L78" s="50"/>
      <c r="M78" s="50"/>
      <c r="N78" s="50"/>
      <c r="O78" s="49" t="s">
        <v>101</v>
      </c>
      <c r="P78" s="41"/>
      <c r="Q78" s="41"/>
      <c r="R78" s="41"/>
      <c r="S78" s="41"/>
      <c r="T78" s="41"/>
      <c r="U78" s="41"/>
      <c r="V78" s="41"/>
      <c r="W78" s="41"/>
      <c r="X78" s="42"/>
      <c r="Y78" s="47">
        <v>0</v>
      </c>
      <c r="Z78" s="47"/>
      <c r="AA78" s="47"/>
      <c r="AB78" s="47"/>
      <c r="AC78" s="47"/>
      <c r="AD78" s="47">
        <v>100</v>
      </c>
      <c r="AE78" s="47"/>
      <c r="AF78" s="47"/>
      <c r="AG78" s="47"/>
      <c r="AH78" s="47"/>
      <c r="AI78" s="47">
        <v>100</v>
      </c>
      <c r="AJ78" s="47"/>
      <c r="AK78" s="47"/>
      <c r="AL78" s="47"/>
      <c r="AM78" s="47"/>
      <c r="AN78" s="47">
        <v>0</v>
      </c>
      <c r="AO78" s="47"/>
      <c r="AP78" s="47"/>
      <c r="AQ78" s="47"/>
      <c r="AR78" s="47"/>
      <c r="AS78" s="47">
        <v>100</v>
      </c>
      <c r="AT78" s="47"/>
      <c r="AU78" s="47"/>
      <c r="AV78" s="47"/>
      <c r="AW78" s="47"/>
      <c r="AX78" s="47">
        <v>100</v>
      </c>
      <c r="AY78" s="47"/>
      <c r="AZ78" s="47"/>
      <c r="BA78" s="47"/>
      <c r="BB78" s="47"/>
      <c r="BC78" s="47">
        <f>AN78-Y78</f>
        <v>0</v>
      </c>
      <c r="BD78" s="47"/>
      <c r="BE78" s="47"/>
      <c r="BF78" s="47"/>
      <c r="BG78" s="47"/>
      <c r="BH78" s="47">
        <f>AS78-AD78</f>
        <v>0</v>
      </c>
      <c r="BI78" s="47"/>
      <c r="BJ78" s="47"/>
      <c r="BK78" s="47"/>
      <c r="BL78" s="47"/>
      <c r="BM78" s="47">
        <v>0</v>
      </c>
      <c r="BN78" s="47"/>
      <c r="BO78" s="47"/>
      <c r="BP78" s="47"/>
      <c r="BQ78" s="47"/>
      <c r="BR78" s="10"/>
      <c r="BS78" s="10"/>
      <c r="BT78" s="10"/>
      <c r="BU78" s="10"/>
      <c r="BV78" s="10"/>
      <c r="BW78" s="10"/>
      <c r="BX78" s="10"/>
      <c r="BY78" s="10"/>
    </row>
    <row r="79" spans="1:79" ht="15.75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15.75" customHeight="1" x14ac:dyDescent="0.2">
      <c r="A80" s="56" t="s">
        <v>63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</row>
    <row r="81" spans="1:79" ht="9" customHeight="1" x14ac:dyDescent="0.2">
      <c r="A81" s="23"/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10"/>
      <c r="BS81" s="10"/>
      <c r="BT81" s="10"/>
      <c r="BU81" s="10"/>
      <c r="BV81" s="10"/>
      <c r="BW81" s="10"/>
      <c r="BX81" s="10"/>
      <c r="BY81" s="10"/>
    </row>
    <row r="82" spans="1:79" ht="45" customHeight="1" x14ac:dyDescent="0.2">
      <c r="A82" s="66" t="s">
        <v>3</v>
      </c>
      <c r="B82" s="68"/>
      <c r="C82" s="66" t="s">
        <v>6</v>
      </c>
      <c r="D82" s="67"/>
      <c r="E82" s="67"/>
      <c r="F82" s="67"/>
      <c r="G82" s="67"/>
      <c r="H82" s="67"/>
      <c r="I82" s="68"/>
      <c r="J82" s="66" t="s">
        <v>5</v>
      </c>
      <c r="K82" s="67"/>
      <c r="L82" s="67"/>
      <c r="M82" s="67"/>
      <c r="N82" s="68"/>
      <c r="O82" s="57" t="s">
        <v>64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9"/>
      <c r="BS82" s="9"/>
      <c r="BT82" s="9"/>
      <c r="BU82" s="9"/>
      <c r="BV82" s="9"/>
      <c r="BW82" s="9"/>
      <c r="BX82" s="9"/>
      <c r="BY82" s="9"/>
    </row>
    <row r="83" spans="1:79" ht="15.95" customHeight="1" x14ac:dyDescent="0.2">
      <c r="A83" s="62">
        <v>1</v>
      </c>
      <c r="B83" s="62"/>
      <c r="C83" s="62">
        <v>2</v>
      </c>
      <c r="D83" s="62"/>
      <c r="E83" s="62"/>
      <c r="F83" s="62"/>
      <c r="G83" s="62"/>
      <c r="H83" s="62"/>
      <c r="I83" s="62"/>
      <c r="J83" s="62">
        <v>3</v>
      </c>
      <c r="K83" s="62"/>
      <c r="L83" s="62"/>
      <c r="M83" s="62"/>
      <c r="N83" s="62"/>
      <c r="O83" s="57">
        <v>4</v>
      </c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1"/>
      <c r="BR83" s="2"/>
      <c r="BS83" s="2"/>
      <c r="BT83" s="2"/>
      <c r="BU83" s="2"/>
      <c r="BV83" s="2"/>
      <c r="BW83" s="2"/>
      <c r="BX83" s="2"/>
      <c r="BY83" s="2"/>
    </row>
    <row r="84" spans="1:79" ht="12.75" hidden="1" customHeight="1" x14ac:dyDescent="0.2">
      <c r="A84" s="39" t="s">
        <v>36</v>
      </c>
      <c r="B84" s="39"/>
      <c r="C84" s="82" t="s">
        <v>14</v>
      </c>
      <c r="D84" s="83"/>
      <c r="E84" s="83"/>
      <c r="F84" s="83"/>
      <c r="G84" s="83"/>
      <c r="H84" s="83"/>
      <c r="I84" s="84"/>
      <c r="J84" s="39" t="s">
        <v>15</v>
      </c>
      <c r="K84" s="39"/>
      <c r="L84" s="39"/>
      <c r="M84" s="39"/>
      <c r="N84" s="39"/>
      <c r="O84" s="40" t="s">
        <v>70</v>
      </c>
      <c r="P84" s="92"/>
      <c r="Q84" s="92"/>
      <c r="R84" s="92"/>
      <c r="S84" s="92"/>
      <c r="T84" s="92"/>
      <c r="U84" s="92"/>
      <c r="V84" s="92"/>
      <c r="W84" s="92"/>
      <c r="X84" s="92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4"/>
      <c r="CA84" s="1" t="s">
        <v>69</v>
      </c>
    </row>
    <row r="85" spans="1:79" s="27" customFormat="1" ht="15.75" x14ac:dyDescent="0.2">
      <c r="A85" s="31">
        <v>0</v>
      </c>
      <c r="B85" s="31"/>
      <c r="C85" s="31" t="s">
        <v>87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  <c r="CA85" s="27" t="s">
        <v>66</v>
      </c>
    </row>
    <row r="86" spans="1:79" ht="38.25" customHeight="1" x14ac:dyDescent="0.2">
      <c r="A86" s="39">
        <v>1</v>
      </c>
      <c r="B86" s="39"/>
      <c r="C86" s="40" t="s">
        <v>89</v>
      </c>
      <c r="D86" s="41"/>
      <c r="E86" s="41"/>
      <c r="F86" s="41"/>
      <c r="G86" s="41"/>
      <c r="H86" s="41"/>
      <c r="I86" s="42"/>
      <c r="J86" s="39" t="s">
        <v>90</v>
      </c>
      <c r="K86" s="39"/>
      <c r="L86" s="39"/>
      <c r="M86" s="39"/>
      <c r="N86" s="39"/>
      <c r="O86" s="43" t="s">
        <v>83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92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s="27" customFormat="1" ht="15.75" x14ac:dyDescent="0.2">
      <c r="A88" s="31">
        <v>0</v>
      </c>
      <c r="B88" s="31"/>
      <c r="C88" s="32" t="s">
        <v>95</v>
      </c>
      <c r="D88" s="33"/>
      <c r="E88" s="33"/>
      <c r="F88" s="33"/>
      <c r="G88" s="33"/>
      <c r="H88" s="33"/>
      <c r="I88" s="34"/>
      <c r="J88" s="31"/>
      <c r="K88" s="31"/>
      <c r="L88" s="31"/>
      <c r="M88" s="31"/>
      <c r="N88" s="31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8"/>
      <c r="BR88" s="30"/>
      <c r="BS88" s="30"/>
      <c r="BT88" s="30"/>
      <c r="BU88" s="30"/>
      <c r="BV88" s="30"/>
      <c r="BW88" s="30"/>
      <c r="BX88" s="30"/>
      <c r="BY88" s="30"/>
    </row>
    <row r="89" spans="1:79" ht="38.25" customHeight="1" x14ac:dyDescent="0.2">
      <c r="A89" s="39">
        <v>1</v>
      </c>
      <c r="B89" s="39"/>
      <c r="C89" s="40" t="s">
        <v>96</v>
      </c>
      <c r="D89" s="41"/>
      <c r="E89" s="41"/>
      <c r="F89" s="41"/>
      <c r="G89" s="41"/>
      <c r="H89" s="41"/>
      <c r="I89" s="42"/>
      <c r="J89" s="39" t="s">
        <v>90</v>
      </c>
      <c r="K89" s="39"/>
      <c r="L89" s="39"/>
      <c r="M89" s="39"/>
      <c r="N89" s="39"/>
      <c r="O89" s="43" t="s">
        <v>83</v>
      </c>
      <c r="P89" s="44"/>
      <c r="Q89" s="44"/>
      <c r="R89" s="44"/>
      <c r="S89" s="44"/>
      <c r="T89" s="44"/>
      <c r="U89" s="44"/>
      <c r="V89" s="44"/>
      <c r="W89" s="44"/>
      <c r="X89" s="44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6"/>
      <c r="BR89" s="2"/>
      <c r="BS89" s="2"/>
      <c r="BT89" s="2"/>
      <c r="BU89" s="2"/>
      <c r="BV89" s="2"/>
      <c r="BW89" s="2"/>
      <c r="BX89" s="2"/>
      <c r="BY89" s="2"/>
    </row>
    <row r="90" spans="1:79" s="27" customFormat="1" ht="15.75" x14ac:dyDescent="0.2">
      <c r="A90" s="31">
        <v>0</v>
      </c>
      <c r="B90" s="31"/>
      <c r="C90" s="32" t="s">
        <v>98</v>
      </c>
      <c r="D90" s="33"/>
      <c r="E90" s="33"/>
      <c r="F90" s="33"/>
      <c r="G90" s="33"/>
      <c r="H90" s="33"/>
      <c r="I90" s="34"/>
      <c r="J90" s="31"/>
      <c r="K90" s="31"/>
      <c r="L90" s="31"/>
      <c r="M90" s="31"/>
      <c r="N90" s="31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8"/>
      <c r="BR90" s="30"/>
      <c r="BS90" s="30"/>
      <c r="BT90" s="30"/>
      <c r="BU90" s="30"/>
      <c r="BV90" s="30"/>
      <c r="BW90" s="30"/>
      <c r="BX90" s="30"/>
      <c r="BY90" s="30"/>
    </row>
    <row r="91" spans="1:79" ht="15.75" x14ac:dyDescent="0.2">
      <c r="A91" s="23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10"/>
      <c r="BS91" s="10"/>
      <c r="BT91" s="10"/>
      <c r="BU91" s="10"/>
      <c r="BV91" s="10"/>
      <c r="BW91" s="10"/>
      <c r="BX91" s="10"/>
      <c r="BY91" s="10"/>
    </row>
    <row r="92" spans="1:79" ht="15.95" customHeight="1" x14ac:dyDescent="0.2">
      <c r="A92" s="56" t="s">
        <v>65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</row>
    <row r="93" spans="1:79" ht="15.95" customHeight="1" x14ac:dyDescent="0.2">
      <c r="A93" s="116" t="s">
        <v>103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</row>
    <row r="94" spans="1:79" ht="15.75" x14ac:dyDescent="0.2">
      <c r="A94" s="23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10"/>
      <c r="BS94" s="10"/>
      <c r="BT94" s="10"/>
      <c r="BU94" s="10"/>
      <c r="BV94" s="10"/>
      <c r="BW94" s="10"/>
      <c r="BX94" s="10"/>
      <c r="BY94" s="10"/>
    </row>
    <row r="95" spans="1:79" ht="15.95" customHeight="1" x14ac:dyDescent="0.2">
      <c r="A95" s="56" t="s">
        <v>46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</row>
    <row r="96" spans="1:79" ht="173.25" customHeight="1" x14ac:dyDescent="0.2">
      <c r="A96" s="116" t="s">
        <v>104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</row>
    <row r="97" spans="1:64" ht="15.95" customHeight="1" x14ac:dyDescent="0.25">
      <c r="A97" s="2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 spans="1:64" ht="42" customHeight="1" x14ac:dyDescent="0.25">
      <c r="A98" s="116" t="s">
        <v>107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3"/>
      <c r="AO98" s="3"/>
      <c r="AP98" s="95" t="s">
        <v>109</v>
      </c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</row>
    <row r="99" spans="1:64" x14ac:dyDescent="0.2">
      <c r="W99" s="90" t="s">
        <v>8</v>
      </c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4"/>
      <c r="AO99" s="4"/>
      <c r="AP99" s="90" t="s">
        <v>71</v>
      </c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</row>
    <row r="102" spans="1:64" ht="31.5" customHeight="1" x14ac:dyDescent="0.25">
      <c r="A102" s="116" t="s">
        <v>108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3"/>
      <c r="AO102" s="3"/>
      <c r="AP102" s="95" t="s">
        <v>110</v>
      </c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</row>
    <row r="103" spans="1:64" x14ac:dyDescent="0.2">
      <c r="W103" s="90" t="s">
        <v>8</v>
      </c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4"/>
      <c r="AO103" s="4"/>
      <c r="AP103" s="90" t="s">
        <v>71</v>
      </c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</row>
  </sheetData>
  <mergeCells count="387">
    <mergeCell ref="A59:B59"/>
    <mergeCell ref="A60:B60"/>
    <mergeCell ref="A61:B61"/>
    <mergeCell ref="C61:R61"/>
    <mergeCell ref="S61:W61"/>
    <mergeCell ref="BI60:BN60"/>
    <mergeCell ref="BD61:BH61"/>
    <mergeCell ref="BD59:BH59"/>
    <mergeCell ref="BI59:BN59"/>
    <mergeCell ref="BI61:BN61"/>
    <mergeCell ref="BD60:BH60"/>
    <mergeCell ref="X61:AB61"/>
    <mergeCell ref="AC61:AH61"/>
    <mergeCell ref="C60:R60"/>
    <mergeCell ref="S60:W60"/>
    <mergeCell ref="X60:AB60"/>
    <mergeCell ref="AC60:AH60"/>
    <mergeCell ref="AI61:AM61"/>
    <mergeCell ref="AN61:AR61"/>
    <mergeCell ref="AS61:AX61"/>
    <mergeCell ref="AY61:BC61"/>
    <mergeCell ref="AI59:AM59"/>
    <mergeCell ref="AY60:BC60"/>
    <mergeCell ref="AY58:BC58"/>
    <mergeCell ref="BD58:BH58"/>
    <mergeCell ref="AI60:AM60"/>
    <mergeCell ref="AN60:AR60"/>
    <mergeCell ref="AS60:AX60"/>
    <mergeCell ref="AN59:AR59"/>
    <mergeCell ref="AS59:AX59"/>
    <mergeCell ref="AY59:BC59"/>
    <mergeCell ref="C57:R58"/>
    <mergeCell ref="S57:AH57"/>
    <mergeCell ref="AI57:AX57"/>
    <mergeCell ref="AS58:AX58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7:BN57"/>
    <mergeCell ref="BI58:BN58"/>
    <mergeCell ref="A57:B58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3:BH103"/>
    <mergeCell ref="A102:V102"/>
    <mergeCell ref="W102:AM102"/>
    <mergeCell ref="AP102:BH102"/>
    <mergeCell ref="W103:AM103"/>
    <mergeCell ref="AP99:BH99"/>
    <mergeCell ref="A96:BL96"/>
    <mergeCell ref="A52:B52"/>
    <mergeCell ref="A50:B50"/>
    <mergeCell ref="A51:B51"/>
    <mergeCell ref="A56:BN56"/>
    <mergeCell ref="A55:BN55"/>
    <mergeCell ref="C52:BQ52"/>
    <mergeCell ref="C50:BQ50"/>
    <mergeCell ref="C51:BQ51"/>
    <mergeCell ref="A64:BQ64"/>
    <mergeCell ref="C69:I69"/>
    <mergeCell ref="J84:N84"/>
    <mergeCell ref="A83:B83"/>
    <mergeCell ref="A70:B70"/>
    <mergeCell ref="O71:X71"/>
    <mergeCell ref="Y71:AC71"/>
    <mergeCell ref="C83:I83"/>
    <mergeCell ref="J83:N83"/>
    <mergeCell ref="W99:AM99"/>
    <mergeCell ref="A98:V98"/>
    <mergeCell ref="W98:AM98"/>
    <mergeCell ref="A71:B71"/>
    <mergeCell ref="AD71:AH71"/>
    <mergeCell ref="A80:BQ80"/>
    <mergeCell ref="A82:B82"/>
    <mergeCell ref="C82:I82"/>
    <mergeCell ref="BC71:BG71"/>
    <mergeCell ref="J71:N71"/>
    <mergeCell ref="O84:BQ84"/>
    <mergeCell ref="AP98:BH98"/>
    <mergeCell ref="C71:I71"/>
    <mergeCell ref="A95:BL95"/>
    <mergeCell ref="BM71:BQ71"/>
    <mergeCell ref="BH71:BL71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70:AC70"/>
    <mergeCell ref="C70:I70"/>
    <mergeCell ref="C67:I68"/>
    <mergeCell ref="J67:N68"/>
    <mergeCell ref="O67:X68"/>
    <mergeCell ref="Y68:AC68"/>
    <mergeCell ref="AN69:AR69"/>
    <mergeCell ref="AN67:BB67"/>
    <mergeCell ref="J70:N70"/>
    <mergeCell ref="O70:X70"/>
    <mergeCell ref="C59:R59"/>
    <mergeCell ref="S59:W59"/>
    <mergeCell ref="X59:AB59"/>
    <mergeCell ref="AC59:AH59"/>
    <mergeCell ref="BC69:BG69"/>
    <mergeCell ref="BC70:BG70"/>
    <mergeCell ref="BC68:BG68"/>
    <mergeCell ref="A65:BQ65"/>
    <mergeCell ref="AD70:AH70"/>
    <mergeCell ref="AI69:AM69"/>
    <mergeCell ref="BH69:BL69"/>
    <mergeCell ref="BM69:BQ69"/>
    <mergeCell ref="BM70:BQ70"/>
    <mergeCell ref="BH70:BL70"/>
    <mergeCell ref="A69:B69"/>
    <mergeCell ref="O69:X69"/>
    <mergeCell ref="Y67:AM67"/>
    <mergeCell ref="J69:N69"/>
    <mergeCell ref="Y69:AC69"/>
    <mergeCell ref="A67:B68"/>
    <mergeCell ref="AD69:AH69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8:AW68"/>
    <mergeCell ref="AN68:AR68"/>
    <mergeCell ref="AI68:AM68"/>
    <mergeCell ref="BC67:BQ67"/>
    <mergeCell ref="BN41:BQ41"/>
    <mergeCell ref="BM68:BQ68"/>
    <mergeCell ref="BH68:BL68"/>
    <mergeCell ref="AD68:AH68"/>
    <mergeCell ref="BI43:BM43"/>
    <mergeCell ref="AZ42:BC42"/>
    <mergeCell ref="AU42:AY42"/>
    <mergeCell ref="S58:W58"/>
    <mergeCell ref="X58:AB58"/>
    <mergeCell ref="AC58:AH58"/>
    <mergeCell ref="AI58:AM58"/>
    <mergeCell ref="AN58:AR58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8:BB68"/>
    <mergeCell ref="AX69:BB69"/>
    <mergeCell ref="AS69:AW69"/>
    <mergeCell ref="AI70:AM70"/>
    <mergeCell ref="AN70:AR70"/>
    <mergeCell ref="AS70:AW70"/>
    <mergeCell ref="AI71:AM71"/>
    <mergeCell ref="AN71:AR71"/>
    <mergeCell ref="AS71:AW71"/>
    <mergeCell ref="AX71:BB71"/>
    <mergeCell ref="AX70:BB70"/>
    <mergeCell ref="A92:BL92"/>
    <mergeCell ref="A93:BL93"/>
    <mergeCell ref="O82:BQ82"/>
    <mergeCell ref="O83:BQ83"/>
    <mergeCell ref="O85:BQ85"/>
    <mergeCell ref="A85:B85"/>
    <mergeCell ref="C85:I85"/>
    <mergeCell ref="J85:N85"/>
    <mergeCell ref="A84:B84"/>
    <mergeCell ref="A86:B86"/>
    <mergeCell ref="J82:N82"/>
    <mergeCell ref="C84:I84"/>
    <mergeCell ref="A53:B53"/>
    <mergeCell ref="C53:BQ53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4:AT44"/>
    <mergeCell ref="AN62:AR62"/>
    <mergeCell ref="AS62:AX62"/>
    <mergeCell ref="AY62:BC62"/>
    <mergeCell ref="BD62:BH62"/>
    <mergeCell ref="BI62:BN62"/>
    <mergeCell ref="A62:B62"/>
    <mergeCell ref="C62:R62"/>
    <mergeCell ref="S62:W62"/>
    <mergeCell ref="X62:AB62"/>
    <mergeCell ref="AC62:AH62"/>
    <mergeCell ref="AI62:AM62"/>
    <mergeCell ref="A73:B73"/>
    <mergeCell ref="C73:I73"/>
    <mergeCell ref="J73:N73"/>
    <mergeCell ref="O73:X73"/>
    <mergeCell ref="Y73:AC73"/>
    <mergeCell ref="AD73:AH73"/>
    <mergeCell ref="AI73:AM73"/>
    <mergeCell ref="A72:B72"/>
    <mergeCell ref="C72:I72"/>
    <mergeCell ref="J72:N72"/>
    <mergeCell ref="O72:X72"/>
    <mergeCell ref="Y72:AC72"/>
    <mergeCell ref="AD72:AH72"/>
    <mergeCell ref="AI72:AM72"/>
    <mergeCell ref="AN73:AR73"/>
    <mergeCell ref="AS73:AW73"/>
    <mergeCell ref="AX73:BB73"/>
    <mergeCell ref="BC73:BG73"/>
    <mergeCell ref="BH73:BL73"/>
    <mergeCell ref="BM73:BQ73"/>
    <mergeCell ref="BC72:BG72"/>
    <mergeCell ref="BH72:BL72"/>
    <mergeCell ref="BM72:BQ72"/>
    <mergeCell ref="AN72:AR72"/>
    <mergeCell ref="AS72:AW72"/>
    <mergeCell ref="AX72:BB72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74:B74"/>
    <mergeCell ref="C74:I74"/>
    <mergeCell ref="J74:N74"/>
    <mergeCell ref="O74:X74"/>
    <mergeCell ref="Y74:AC74"/>
    <mergeCell ref="AD74:AH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AX77:BB77"/>
    <mergeCell ref="BC77:BG77"/>
    <mergeCell ref="BH77:BL77"/>
    <mergeCell ref="BM77:BQ77"/>
    <mergeCell ref="A78:B78"/>
    <mergeCell ref="C78:I78"/>
    <mergeCell ref="J78:N78"/>
    <mergeCell ref="O78:X78"/>
    <mergeCell ref="Y78:AC78"/>
    <mergeCell ref="AD78:AH78"/>
    <mergeCell ref="BM78:BQ78"/>
    <mergeCell ref="AI78:AM78"/>
    <mergeCell ref="AN78:AR78"/>
    <mergeCell ref="AS78:AW78"/>
    <mergeCell ref="AX78:BB78"/>
    <mergeCell ref="BC78:BG78"/>
    <mergeCell ref="BH78:BL78"/>
    <mergeCell ref="A88:B88"/>
    <mergeCell ref="C88:I88"/>
    <mergeCell ref="J88:N88"/>
    <mergeCell ref="O88:BQ88"/>
    <mergeCell ref="C86:I86"/>
    <mergeCell ref="J86:N86"/>
    <mergeCell ref="O86:BQ86"/>
    <mergeCell ref="A87:B87"/>
    <mergeCell ref="C87:I87"/>
    <mergeCell ref="J87:N87"/>
    <mergeCell ref="O87:BQ87"/>
    <mergeCell ref="A90:B90"/>
    <mergeCell ref="C90:I90"/>
    <mergeCell ref="J90:N90"/>
    <mergeCell ref="O90:BQ90"/>
    <mergeCell ref="A89:B89"/>
    <mergeCell ref="C89:I89"/>
    <mergeCell ref="J89:N89"/>
    <mergeCell ref="O89:BQ89"/>
  </mergeCells>
  <phoneticPr fontId="0" type="noConversion"/>
  <conditionalFormatting sqref="C81 C94 C71 C85">
    <cfRule type="cellIs" dxfId="36" priority="39" stopIfTrue="1" operator="equal">
      <formula>$C70</formula>
    </cfRule>
  </conditionalFormatting>
  <conditionalFormatting sqref="A71:B71 A81:B81 A85:B85 A94:B94 A61:B61 A79:B79 A91:B91">
    <cfRule type="cellIs" dxfId="35" priority="40" stopIfTrue="1" operator="equal">
      <formula>0</formula>
    </cfRule>
  </conditionalFormatting>
  <conditionalFormatting sqref="A62:B62">
    <cfRule type="cellIs" dxfId="34" priority="38" stopIfTrue="1" operator="equal">
      <formula>0</formula>
    </cfRule>
  </conditionalFormatting>
  <conditionalFormatting sqref="C79">
    <cfRule type="cellIs" dxfId="33" priority="42" stopIfTrue="1" operator="equal">
      <formula>$C71</formula>
    </cfRule>
  </conditionalFormatting>
  <conditionalFormatting sqref="C72">
    <cfRule type="cellIs" dxfId="32" priority="35" stopIfTrue="1" operator="equal">
      <formula>$C71</formula>
    </cfRule>
  </conditionalFormatting>
  <conditionalFormatting sqref="A72:B72">
    <cfRule type="cellIs" dxfId="31" priority="36" stopIfTrue="1" operator="equal">
      <formula>0</formula>
    </cfRule>
  </conditionalFormatting>
  <conditionalFormatting sqref="C73">
    <cfRule type="cellIs" dxfId="30" priority="33" stopIfTrue="1" operator="equal">
      <formula>$C72</formula>
    </cfRule>
  </conditionalFormatting>
  <conditionalFormatting sqref="A73:B73">
    <cfRule type="cellIs" dxfId="29" priority="34" stopIfTrue="1" operator="equal">
      <formula>0</formula>
    </cfRule>
  </conditionalFormatting>
  <conditionalFormatting sqref="C74">
    <cfRule type="cellIs" dxfId="28" priority="31" stopIfTrue="1" operator="equal">
      <formula>$C73</formula>
    </cfRule>
  </conditionalFormatting>
  <conditionalFormatting sqref="A74:B74">
    <cfRule type="cellIs" dxfId="27" priority="32" stopIfTrue="1" operator="equal">
      <formula>0</formula>
    </cfRule>
  </conditionalFormatting>
  <conditionalFormatting sqref="C75">
    <cfRule type="cellIs" dxfId="26" priority="29" stopIfTrue="1" operator="equal">
      <formula>$C74</formula>
    </cfRule>
  </conditionalFormatting>
  <conditionalFormatting sqref="A75:B75">
    <cfRule type="cellIs" dxfId="25" priority="30" stopIfTrue="1" operator="equal">
      <formula>0</formula>
    </cfRule>
  </conditionalFormatting>
  <conditionalFormatting sqref="C76">
    <cfRule type="cellIs" dxfId="24" priority="27" stopIfTrue="1" operator="equal">
      <formula>$C75</formula>
    </cfRule>
  </conditionalFormatting>
  <conditionalFormatting sqref="A76:B76">
    <cfRule type="cellIs" dxfId="23" priority="28" stopIfTrue="1" operator="equal">
      <formula>0</formula>
    </cfRule>
  </conditionalFormatting>
  <conditionalFormatting sqref="C77">
    <cfRule type="cellIs" dxfId="22" priority="25" stopIfTrue="1" operator="equal">
      <formula>$C76</formula>
    </cfRule>
  </conditionalFormatting>
  <conditionalFormatting sqref="A77:B77">
    <cfRule type="cellIs" dxfId="21" priority="26" stopIfTrue="1" operator="equal">
      <formula>0</formula>
    </cfRule>
  </conditionalFormatting>
  <conditionalFormatting sqref="C78">
    <cfRule type="cellIs" dxfId="20" priority="23" stopIfTrue="1" operator="equal">
      <formula>$C77</formula>
    </cfRule>
  </conditionalFormatting>
  <conditionalFormatting sqref="A78:B78">
    <cfRule type="cellIs" dxfId="19" priority="24" stopIfTrue="1" operator="equal">
      <formula>0</formula>
    </cfRule>
  </conditionalFormatting>
  <conditionalFormatting sqref="C91">
    <cfRule type="cellIs" dxfId="18" priority="44" stopIfTrue="1" operator="equal">
      <formula>$C85</formula>
    </cfRule>
  </conditionalFormatting>
  <conditionalFormatting sqref="C86">
    <cfRule type="cellIs" dxfId="15" priority="17" stopIfTrue="1" operator="equal">
      <formula>#REF!</formula>
    </cfRule>
  </conditionalFormatting>
  <conditionalFormatting sqref="A86:B86">
    <cfRule type="cellIs" dxfId="14" priority="18" stopIfTrue="1" operator="equal">
      <formula>0</formula>
    </cfRule>
  </conditionalFormatting>
  <conditionalFormatting sqref="C87">
    <cfRule type="cellIs" dxfId="13" priority="15" stopIfTrue="1" operator="equal">
      <formula>$C86</formula>
    </cfRule>
  </conditionalFormatting>
  <conditionalFormatting sqref="A87:B87">
    <cfRule type="cellIs" dxfId="12" priority="16" stopIfTrue="1" operator="equal">
      <formula>0</formula>
    </cfRule>
  </conditionalFormatting>
  <conditionalFormatting sqref="C88">
    <cfRule type="cellIs" dxfId="9" priority="11" stopIfTrue="1" operator="equal">
      <formula>#REF!</formula>
    </cfRule>
  </conditionalFormatting>
  <conditionalFormatting sqref="A88:B88">
    <cfRule type="cellIs" dxfId="8" priority="12" stopIfTrue="1" operator="equal">
      <formula>0</formula>
    </cfRule>
  </conditionalFormatting>
  <conditionalFormatting sqref="C89">
    <cfRule type="cellIs" dxfId="5" priority="7" stopIfTrue="1" operator="equal">
      <formula>#REF!</formula>
    </cfRule>
  </conditionalFormatting>
  <conditionalFormatting sqref="A89:B89">
    <cfRule type="cellIs" dxfId="4" priority="8" stopIfTrue="1" operator="equal">
      <formula>0</formula>
    </cfRule>
  </conditionalFormatting>
  <conditionalFormatting sqref="C90">
    <cfRule type="cellIs" dxfId="3" priority="5" stopIfTrue="1" operator="equal">
      <formula>$C89</formula>
    </cfRule>
  </conditionalFormatting>
  <conditionalFormatting sqref="A90:B90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КПК0113124</vt:lpstr>
      <vt:lpstr>КПК0113124!Область_печати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2025-06-27T08:48:02Z</cp:lastPrinted>
  <dcterms:created xsi:type="dcterms:W3CDTF">2016-08-10T10:53:25Z</dcterms:created>
  <dcterms:modified xsi:type="dcterms:W3CDTF">2025-06-27T08:48:13Z</dcterms:modified>
</cp:coreProperties>
</file>