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Звіти до паспортів\за 2024 рік\Звіти\"/>
    </mc:Choice>
  </mc:AlternateContent>
  <xr:revisionPtr revIDLastSave="0" documentId="13_ncr:1_{00629FC1-E088-4A46-9A81-8046DFBF40A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1" r:id="rId1"/>
  </sheets>
  <definedNames>
    <definedName name="_xlnm.Print_Area" localSheetId="0">КПК0111021!$A$1:$BQ$169</definedName>
  </definedNames>
  <calcPr calcId="191029"/>
</workbook>
</file>

<file path=xl/calcChain.xml><?xml version="1.0" encoding="utf-8"?>
<calcChain xmlns="http://schemas.openxmlformats.org/spreadsheetml/2006/main">
  <c r="BH138" i="1" l="1"/>
  <c r="BC138" i="1"/>
  <c r="BH137" i="1"/>
  <c r="BC137" i="1"/>
  <c r="BH135" i="1"/>
  <c r="BC135" i="1"/>
  <c r="BH134" i="1"/>
  <c r="BC134" i="1"/>
  <c r="BH132" i="1"/>
  <c r="BC132" i="1"/>
  <c r="BH131" i="1"/>
  <c r="BC131" i="1"/>
  <c r="BH129" i="1"/>
  <c r="BC129" i="1"/>
  <c r="BH128" i="1"/>
  <c r="BC128" i="1"/>
  <c r="BD118" i="1"/>
  <c r="AY118" i="1"/>
  <c r="BI118" i="1" s="1"/>
  <c r="AS118" i="1"/>
  <c r="AC118" i="1"/>
  <c r="BI91" i="1"/>
  <c r="BD91" i="1"/>
  <c r="AZ91" i="1"/>
  <c r="AK91" i="1"/>
  <c r="BI90" i="1"/>
  <c r="BD90" i="1"/>
  <c r="AZ90" i="1"/>
  <c r="AK90" i="1"/>
  <c r="BI89" i="1"/>
  <c r="BD89" i="1"/>
  <c r="AZ89" i="1"/>
  <c r="AK89" i="1"/>
  <c r="BI88" i="1"/>
  <c r="BD88" i="1"/>
  <c r="AZ88" i="1"/>
  <c r="AK88" i="1"/>
  <c r="BI87" i="1"/>
  <c r="BD87" i="1"/>
  <c r="AZ87" i="1"/>
  <c r="AK87" i="1"/>
  <c r="BI86" i="1"/>
  <c r="BD86" i="1"/>
  <c r="AZ86" i="1"/>
  <c r="AK86" i="1"/>
  <c r="BI85" i="1"/>
  <c r="BD85" i="1"/>
  <c r="AZ85" i="1"/>
  <c r="AK85" i="1"/>
  <c r="BI84" i="1"/>
  <c r="BD84" i="1"/>
  <c r="AZ84" i="1"/>
  <c r="AK84" i="1"/>
  <c r="BI83" i="1"/>
  <c r="BD83" i="1"/>
  <c r="AZ83" i="1"/>
  <c r="AK83" i="1"/>
  <c r="BI82" i="1"/>
  <c r="BD82" i="1"/>
  <c r="AZ82" i="1"/>
  <c r="AK82" i="1"/>
  <c r="BI81" i="1"/>
  <c r="BD81" i="1"/>
  <c r="AZ81" i="1"/>
  <c r="AK81" i="1"/>
  <c r="BI80" i="1"/>
  <c r="BD80" i="1"/>
  <c r="AZ80" i="1"/>
  <c r="AK80" i="1"/>
  <c r="BI79" i="1"/>
  <c r="BD79" i="1"/>
  <c r="AZ79" i="1"/>
  <c r="AK79" i="1"/>
  <c r="BI78" i="1"/>
  <c r="BD78" i="1"/>
  <c r="AZ78" i="1"/>
  <c r="AK78" i="1"/>
  <c r="BI77" i="1"/>
  <c r="BD77" i="1"/>
  <c r="AZ77" i="1"/>
  <c r="AK77" i="1"/>
  <c r="BI76" i="1"/>
  <c r="BD76" i="1"/>
  <c r="AZ76" i="1"/>
  <c r="AK76" i="1"/>
  <c r="BI75" i="1"/>
  <c r="BD75" i="1"/>
  <c r="AZ75" i="1"/>
  <c r="AK75" i="1"/>
  <c r="BI74" i="1"/>
  <c r="BD74" i="1"/>
  <c r="AZ74" i="1"/>
  <c r="AK74" i="1"/>
  <c r="BI73" i="1"/>
  <c r="BD73" i="1"/>
  <c r="AZ73" i="1"/>
  <c r="AK73" i="1"/>
  <c r="BI72" i="1"/>
  <c r="BD72" i="1"/>
  <c r="AZ72" i="1"/>
  <c r="AK72" i="1"/>
  <c r="BI71" i="1"/>
  <c r="BD71" i="1"/>
  <c r="AZ71" i="1"/>
  <c r="AK71" i="1"/>
  <c r="BI70" i="1"/>
  <c r="BD70" i="1"/>
  <c r="AZ70" i="1"/>
  <c r="AK70" i="1"/>
  <c r="BI69" i="1"/>
  <c r="BD69" i="1"/>
  <c r="AZ69" i="1"/>
  <c r="AK69" i="1"/>
  <c r="BI68" i="1"/>
  <c r="BD68" i="1"/>
  <c r="AZ68" i="1"/>
  <c r="AK68" i="1"/>
  <c r="BI67" i="1"/>
  <c r="BD67" i="1"/>
  <c r="AZ67" i="1"/>
  <c r="AK67" i="1"/>
  <c r="BI66" i="1"/>
  <c r="BD66" i="1"/>
  <c r="AZ66" i="1"/>
  <c r="AK66" i="1"/>
  <c r="BI65" i="1"/>
  <c r="BD65" i="1"/>
  <c r="AZ65" i="1"/>
  <c r="AK65" i="1"/>
  <c r="BI64" i="1"/>
  <c r="BD64" i="1"/>
  <c r="AZ64" i="1"/>
  <c r="AK64" i="1"/>
  <c r="BI63" i="1"/>
  <c r="BD63" i="1"/>
  <c r="AZ63" i="1"/>
  <c r="AK63" i="1"/>
  <c r="BI62" i="1"/>
  <c r="BD62" i="1"/>
  <c r="AZ62" i="1"/>
  <c r="AK62" i="1"/>
  <c r="BI61" i="1"/>
  <c r="BD61" i="1"/>
  <c r="AZ61" i="1"/>
  <c r="AK61" i="1"/>
  <c r="BI60" i="1"/>
  <c r="BD60" i="1"/>
  <c r="AZ60" i="1"/>
  <c r="AK60" i="1"/>
  <c r="BI59" i="1"/>
  <c r="BD59" i="1"/>
  <c r="AZ59" i="1"/>
  <c r="AK59" i="1"/>
  <c r="BI58" i="1"/>
  <c r="BD58" i="1"/>
  <c r="AZ58" i="1"/>
  <c r="AK58" i="1"/>
  <c r="BI57" i="1"/>
  <c r="BD57" i="1"/>
  <c r="AZ57" i="1"/>
  <c r="AK57" i="1"/>
  <c r="BI56" i="1"/>
  <c r="BD56" i="1"/>
  <c r="AZ56" i="1"/>
  <c r="AK56" i="1"/>
  <c r="BI55" i="1"/>
  <c r="BD55" i="1"/>
  <c r="AZ55" i="1"/>
  <c r="AK55" i="1"/>
  <c r="BI54" i="1"/>
  <c r="BD54" i="1"/>
  <c r="AZ54" i="1"/>
  <c r="AK54" i="1"/>
  <c r="BI53" i="1"/>
  <c r="BD53" i="1"/>
  <c r="AZ53" i="1"/>
  <c r="AK53" i="1"/>
  <c r="BI52" i="1"/>
  <c r="BD52" i="1"/>
  <c r="AZ52" i="1"/>
  <c r="AK52" i="1"/>
  <c r="BI51" i="1"/>
  <c r="BD51" i="1"/>
  <c r="AZ51" i="1"/>
  <c r="AK51" i="1"/>
  <c r="BI50" i="1"/>
  <c r="BD50" i="1"/>
  <c r="AZ50" i="1"/>
  <c r="AK50" i="1"/>
  <c r="BI49" i="1"/>
  <c r="BD49" i="1"/>
  <c r="AZ49" i="1"/>
  <c r="AK49" i="1"/>
  <c r="BI48" i="1"/>
  <c r="BD48" i="1"/>
  <c r="AZ48" i="1"/>
  <c r="AK48" i="1"/>
  <c r="BI47" i="1"/>
  <c r="BD47" i="1"/>
  <c r="AZ47" i="1"/>
  <c r="AK47" i="1"/>
  <c r="BI46" i="1"/>
  <c r="BD46" i="1"/>
  <c r="AZ46" i="1"/>
  <c r="AK46" i="1"/>
  <c r="BI45" i="1"/>
  <c r="BD45" i="1"/>
  <c r="AZ45" i="1"/>
  <c r="AK45" i="1"/>
  <c r="BI44" i="1"/>
  <c r="BD44" i="1"/>
  <c r="AZ44" i="1"/>
  <c r="AK44" i="1"/>
  <c r="BI43" i="1"/>
  <c r="BD43" i="1"/>
  <c r="AZ43" i="1"/>
  <c r="AK43" i="1"/>
  <c r="BN91" i="1" l="1"/>
  <c r="BN90" i="1"/>
  <c r="BN89" i="1"/>
  <c r="BN88" i="1"/>
  <c r="BN87" i="1"/>
  <c r="BN86" i="1"/>
  <c r="BN85" i="1"/>
  <c r="BN84" i="1"/>
  <c r="BN83" i="1"/>
  <c r="BN82" i="1"/>
  <c r="BN81" i="1"/>
  <c r="BN80" i="1"/>
  <c r="BN79" i="1"/>
  <c r="BN78" i="1"/>
  <c r="BN77" i="1"/>
  <c r="BN76" i="1"/>
  <c r="BN75" i="1"/>
  <c r="BN74" i="1"/>
  <c r="BN73" i="1"/>
  <c r="BN72" i="1"/>
  <c r="BN71" i="1"/>
  <c r="BN70" i="1"/>
  <c r="BN69" i="1"/>
  <c r="BN68" i="1"/>
  <c r="BN67" i="1"/>
  <c r="BN66" i="1"/>
  <c r="BN65" i="1"/>
  <c r="BN64" i="1"/>
  <c r="BN63" i="1"/>
  <c r="BN62" i="1"/>
  <c r="BN61" i="1"/>
  <c r="BN60" i="1"/>
  <c r="BN59" i="1"/>
  <c r="BN58" i="1"/>
  <c r="BN57" i="1"/>
  <c r="BN56" i="1"/>
  <c r="BN55" i="1"/>
  <c r="BN54" i="1"/>
  <c r="BN53" i="1"/>
  <c r="BN52" i="1"/>
  <c r="BN51" i="1"/>
  <c r="BN50" i="1"/>
  <c r="BN49" i="1"/>
  <c r="BN48" i="1"/>
  <c r="BN47" i="1"/>
  <c r="BN46" i="1"/>
  <c r="BN45" i="1"/>
  <c r="BN44" i="1"/>
  <c r="BN43" i="1"/>
</calcChain>
</file>

<file path=xl/sharedStrings.xml><?xml version="1.0" encoding="utf-8"?>
<sst xmlns="http://schemas.openxmlformats.org/spreadsheetml/2006/main" count="296" uniqueCount="181">
  <si>
    <t>Відхилення</t>
  </si>
  <si>
    <t>спеціальний фонд</t>
  </si>
  <si>
    <t>загальний фонд</t>
  </si>
  <si>
    <t>№ з/п</t>
  </si>
  <si>
    <t>Джерело інформації</t>
  </si>
  <si>
    <t>Одиниця виміру</t>
  </si>
  <si>
    <t>Показники</t>
  </si>
  <si>
    <t>1.</t>
  </si>
  <si>
    <t>(підпис)</t>
  </si>
  <si>
    <t>ps2</t>
  </si>
  <si>
    <t>pz2</t>
  </si>
  <si>
    <t>pvz2</t>
  </si>
  <si>
    <t>pvs2</t>
  </si>
  <si>
    <t>npp</t>
  </si>
  <si>
    <t>name</t>
  </si>
  <si>
    <t>od_vim</t>
  </si>
  <si>
    <t>formula=RC[-10]+RC[-5]</t>
  </si>
  <si>
    <t>formula=RC[-16]-RC[-32]</t>
  </si>
  <si>
    <t>ЗВІТ</t>
  </si>
  <si>
    <t>p5.5</t>
  </si>
  <si>
    <t>s5.5</t>
  </si>
  <si>
    <t>p5.6</t>
  </si>
  <si>
    <t>s5.6</t>
  </si>
  <si>
    <t>p5.7</t>
  </si>
  <si>
    <t>s5.7</t>
  </si>
  <si>
    <t>Затверджено у паспорті бюджетної програми</t>
  </si>
  <si>
    <t>усього</t>
  </si>
  <si>
    <t xml:space="preserve"> усього</t>
  </si>
  <si>
    <t>Найменування місцевої/регіональної програми</t>
  </si>
  <si>
    <t>s2</t>
  </si>
  <si>
    <t>pvz1</t>
  </si>
  <si>
    <t>formula=RC[-14]-RC[-29]</t>
  </si>
  <si>
    <t>formula=RC[-15]-RC[-30]</t>
  </si>
  <si>
    <t>2.</t>
  </si>
  <si>
    <t>3.</t>
  </si>
  <si>
    <t>про виконання паспорта бюджетної програми</t>
  </si>
  <si>
    <t>zp</t>
  </si>
  <si>
    <t>dger_inf</t>
  </si>
  <si>
    <t>Ціль державної політики</t>
  </si>
  <si>
    <t>Завдання</t>
  </si>
  <si>
    <t>5. Мета бюджетної програми</t>
  </si>
  <si>
    <t>6. Завдання бюджетної програми</t>
  </si>
  <si>
    <t>8. Видатки (надані кредити з бюджету) на реалізацію місцевих/регіональних програм, які виконуються в межах бюджетної програми</t>
  </si>
  <si>
    <t>9. Результативні показники бюджетної програми та аналіз їх виконання</t>
  </si>
  <si>
    <t>Касові видатки (надані кредити з бюджету)</t>
  </si>
  <si>
    <t>Фактичні результативні показники, досягнуті за рахунок касових видатків (наданих кредитів з бюджету)</t>
  </si>
  <si>
    <t>10. Узагальнений висновок про виконання бюджетної програми.</t>
  </si>
  <si>
    <t>s5.2</t>
  </si>
  <si>
    <t>s5.3</t>
  </si>
  <si>
    <t>p5.2</t>
  </si>
  <si>
    <t>p5.3</t>
  </si>
  <si>
    <t>(код Програмної класифікації видатків та кредитування місцевого бюджету)</t>
  </si>
  <si>
    <t xml:space="preserve">(найменування головного розпорядника коштів місцевого бюджету)                        </t>
  </si>
  <si>
    <t>(код за ЄДРПОУ)</t>
  </si>
  <si>
    <t xml:space="preserve">(найменування відповідального виконавця)                        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</si>
  <si>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</si>
  <si>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</si>
  <si>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</si>
  <si>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</si>
  <si>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ЗАТВЕРДЖЕНО
Наказ Міністерства фінансів України
26.08.2014  № 836
(у редакції наказу Міністерства фінансів України
від 01 листопада 2022 року № 359)</t>
  </si>
  <si>
    <t>Пояснення</t>
  </si>
  <si>
    <t>s5.8</t>
  </si>
  <si>
    <t xml:space="preserve">  9.1. Аналіз показників бюджетної програми</t>
  </si>
  <si>
    <t xml:space="preserve">  9.2. Пояснення щодо причин розбіжностей між фактичними та затвердженими результативними показниками***</t>
  </si>
  <si>
    <t>Пояснення щодо причин розбіжностей між фактичними та затвердженими результативними показниками</t>
  </si>
  <si>
    <t xml:space="preserve"> 9.3. Аналіз стану виконання результативних показників</t>
  </si>
  <si>
    <t>s5.9</t>
  </si>
  <si>
    <t>Напрями використання бюджетних коштів*</t>
  </si>
  <si>
    <t>p5.8</t>
  </si>
  <si>
    <t>p5.9</t>
  </si>
  <si>
    <t>name_poj</t>
  </si>
  <si>
    <t>(Власне ім’я, ПРІЗВИЩЕ)</t>
  </si>
  <si>
    <t>7. Видатки (надані кредити з бюджету) та напрями використання бюджетних коштів за бюджетною програмою:</t>
  </si>
  <si>
    <t xml:space="preserve">  7.1. Аналіз розділу «Видатки (надані кредити з бюджету) та напрями використання бюджетних коштів за бюджетною програмою»</t>
  </si>
  <si>
    <t xml:space="preserve"> 7.2. Пояснення щодо причин відхилення обсягів касових видатків (наданих кредитів з бюджету) за напрямом використання бюджетних коштів 
від обсягів, затверджених у паспорті бюджетної програми**</t>
  </si>
  <si>
    <t>z1</t>
  </si>
  <si>
    <t>z2</t>
  </si>
  <si>
    <t>4. Цілі державної політики, на досягнення яких спрямовано реалізацію бюджетної програми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</si>
  <si>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</si>
  <si>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</si>
  <si>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</si>
  <si>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Нарахування на оплату праці</t>
  </si>
  <si>
    <t>Придбання канцелярського, письмового приладдя, паперу</t>
  </si>
  <si>
    <t>Придбання будівельних матеріалів</t>
  </si>
  <si>
    <t>Придбання води питної</t>
  </si>
  <si>
    <t>Придбання пально-мастильних матеріалів</t>
  </si>
  <si>
    <t>Оплата послуг з охорони</t>
  </si>
  <si>
    <t>Оплата послуг з медичного обслуговування учнів та вихованців</t>
  </si>
  <si>
    <t>Оплата послуг лікувальних, медичних закладів (медичний огляд працівників закладів освіти)</t>
  </si>
  <si>
    <t>Оплата транспортних послуг з підвозу води</t>
  </si>
  <si>
    <t>Оплата транспортних послуг з доставки підручників</t>
  </si>
  <si>
    <t>Оплата послуг з поточного ремонту та технічного обслуговування комп'ютерної техніки та оргтехніки</t>
  </si>
  <si>
    <t>Оплата послуг з технічного обслуговування котлів</t>
  </si>
  <si>
    <t>Оплата послуг з промивки системи опалення</t>
  </si>
  <si>
    <t>Оплата послуг з технічного обслуговування системи автоматичної пожежної сигналізації</t>
  </si>
  <si>
    <t>Оплата послуг із перевірці протипожежного стану димових та ветиляційних каналів</t>
  </si>
  <si>
    <t>Оплата послуг адміністрування програмного забезпечення</t>
  </si>
  <si>
    <t>Олата послуг Інтернет-провайдерів за користування мережею Інтернет</t>
  </si>
  <si>
    <t>Оплата послуг з перезарядки картриджів, тонерів</t>
  </si>
  <si>
    <t>Оплата експлуатаційних послуг, пов'язаних з утриманням будинків і споруд</t>
  </si>
  <si>
    <t>Оплата послуг з повірки та експертизи засобів обліку (приладів, лічильників тощо)</t>
  </si>
  <si>
    <t>Оплата водопостачання</t>
  </si>
  <si>
    <t>Оплата електроенергії</t>
  </si>
  <si>
    <t>Оплата природного газу</t>
  </si>
  <si>
    <t>Оплата інших енергоносіїв</t>
  </si>
  <si>
    <t>Оплата навчання з питань охорони праці, цивільного захисту, теплогосподарства</t>
  </si>
  <si>
    <t>Сплата екологічного податку</t>
  </si>
  <si>
    <t>Оплата послуг технічного обслуговування електроустановок</t>
  </si>
  <si>
    <t>Оплата послуг поточного ремонту котелень</t>
  </si>
  <si>
    <t>Оплата послуг з технічного обслуговування та утримання в належному стані внутрішніх мереж водопостачання (поточний ремонт внутрішніх мереж водопостачання Августинівської початкової школи з встановленням лічильників води)</t>
  </si>
  <si>
    <t>Оплата послуг з поточного ремонту та технічного обслуговування обладнання (поточний ремонт системи опалення Відраднівської гімназії за адресою: Запорізька область, Запорізький район, селище Відрадне, вул. Перемоги 3б)</t>
  </si>
  <si>
    <t>Оплата послуг з технiчного обслуговування та ремонту автомобiльного транспортного засобу</t>
  </si>
  <si>
    <t>Оплата аналітичних послуг (послуги з технічного аналізу чи консультаційні послуги), включаючи проведення технічної інвентаризації до Єдиної державної електронної системи у сфері будівництва</t>
  </si>
  <si>
    <t>Оплата поточного ремонту огорожі очисних споруд Новопетрівської філілї Петропільського ліцею</t>
  </si>
  <si>
    <t>Оплата поточного ремонту покрівлі Лукашівської гімназії "Мрія"</t>
  </si>
  <si>
    <t>Оплата послуг з ремонту охоронної та пожежної сигналізації Петропільського ліцею</t>
  </si>
  <si>
    <t>Оплата послуг поточного ремонту котельні Петропільського ліцею</t>
  </si>
  <si>
    <t>Оплата послуг поточного ремонту котельні Широківської гімназії "Мрія"</t>
  </si>
  <si>
    <t>Оплата послуг протипожежного призначення: діагностика, перезарядка, заміна комплектуючих вогнегасників порошкових і вуглекислих</t>
  </si>
  <si>
    <t>Оплата послуг страхування цивільно-правової відповідальності власників наземного транспорту</t>
  </si>
  <si>
    <t>Придбання запчастин для транспортних засобів</t>
  </si>
  <si>
    <t>Оплата послуг з поточного ремонту внутрішніх мереж електропостачання Петропільського ліцею</t>
  </si>
  <si>
    <t>Оплата за продукти харчування (кейтерингові послуги)</t>
  </si>
  <si>
    <t>Оплата поточного ремонту спортивного майданчика Відраднівської філії Петропільського ліцею за адресою: с-ще Відрадне, вул.Перемоги, 2</t>
  </si>
  <si>
    <t>Оплата поточного ремонту спортивного майданчика Широківської гімназії за адресою: с. Широке, вул.Центральна, 6</t>
  </si>
  <si>
    <t>Поточний ремонт покрівлі Петропільського ліцею</t>
  </si>
  <si>
    <t>Поточний ремонт покрівлі Відраднівської філії Петропільського ліцею</t>
  </si>
  <si>
    <t>Оплата поточного ремонту системи опалення</t>
  </si>
  <si>
    <t>УСЬОГО</t>
  </si>
  <si>
    <t>Канцелярське та письмове приладдя, папір придбавалися згідно плану закупівель</t>
  </si>
  <si>
    <t>Питна вода закуповувалась по мірі необхідності</t>
  </si>
  <si>
    <t>Учні та вихованці навчалься у форматі "онлайн"</t>
  </si>
  <si>
    <t>Оплата транспортних послуг проводилась згідно наданих актів виконаних робіт</t>
  </si>
  <si>
    <t>Поточний ремонт та технічне обслуговування комп"ютерної техніки проводилось за необхідності</t>
  </si>
  <si>
    <t>Оплата послуг Інтернет-провайдерів проводилася згідно наданих актів виконаних робіт</t>
  </si>
  <si>
    <t>Проведення навчання у форматі он-лайн</t>
  </si>
  <si>
    <t>Оплата за надані експлуатаційні послуги проводилася згідно наданих актів виконаних робіт</t>
  </si>
  <si>
    <t>Усього</t>
  </si>
  <si>
    <t>затрат</t>
  </si>
  <si>
    <t/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</si>
  <si>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</si>
  <si>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</si>
  <si>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</si>
  <si>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</si>
  <si>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</si>
  <si>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</si>
  <si>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</si>
  <si>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</si>
  <si>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</si>
  <si>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</si>
  <si>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</si>
  <si>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</si>
  <si>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</si>
  <si>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</si>
  <si>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</si>
  <si>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</si>
  <si>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</si>
  <si>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</si>
  <si>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</si>
  <si>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Оптимізація закладів загальної середньої освіти  шляхом створення двох філій Петропільського ліцею (Відраднівська та Августинівська)</t>
  </si>
  <si>
    <t>Збільшення кількості днів відвідування</t>
  </si>
  <si>
    <t>Забезпечення надання послуг з повної загальної середньої освіти в денних закладах загальної середньої освіти</t>
  </si>
  <si>
    <t>У 2024 році фінансування за бюджетною програмою 0111021 "Надання загальної середньої освіти закладами загальної середньої освіти за рахунок коштів місцевого бюджету" здійснювалося в межах затверджених кошторисів закладів загальної середньої освіти._x000D_
Кількість установ на початок року – 6 (Августинівська початкова школа, Відраднівська гімназія, Володимирівський ліцей «Успіх», Лукашівська гімназія «Мрія», Петропільський ліцей, Широківська гімназія), на кінець року – 4  (зменшення установ відбулося в зв’язку з тим, що Августинівська початкова школа та Відраднівська гімназія, шляхом реорганізації були приєднані до Петропільського ліцею, Володимирівський ліцей «Успіх», Лукашівська гімназія «Мрія», Петропільський ліцей, Широківська гімназія)._x000D_
На кінець 2024 року рахується фактична чисельність учнів (включаючи школи-дитячі садки) – 1032 учня, з них учні (72 особи) з особливими освітніми потребами, у тому числі за рівнями підтримки в освітньому процесі відповідно до їх особливих потреб:_x000D_
другий рівень – 23 особи;_x000D_
третій рівень – 32 особи;_x000D_
четвертий рівень – 15 осіб;_x000D_
п’ятий рівень – 2 особи._x000D_
 Учні закладів загальної середньої освіти, які одержали безкоштовне харчування – 222 учня, з них: діти-сироти та діти, позбавлені батьківського піклування – 2 особи, діти з багатодітних та малозабезпечених сімей – 10 осіб, діти з особливими освітніми потребами, які навчаються у спеціальних та інклюзивних класах (групах) – 21 особа, діти, з числа внутрішньо переміщених осіб чи діти, які мають статус дитини, яка постраждала внаслідок воєнних дій і збройних конфліктів – 26 осіб, діти, батьки яких загинули (пропали безвісти), померли захищаючи суверенітет, незалежність та територіальну цілісність України – 2 особи, діти інших категорій, визначених рішенням органу місцевого самоврядування – 161 особа._x000D_
За кошти місцевого бюджету організовано безоплатне харчування для учнів 5-11 класів, яке передбачає змішана форма навчання._x000D_
Закладами загальної середньої освіти Широківської сільської ради  реєструвалися бюджетні зобов’язання та здійснювалися відповідні видатки за  загальним фондом бюджету виключно в межах бюджетних асигнувань з забезпеченням цільового спрямування та використання бюджетних коштів._x000D_
Для повного та вчасного використання коштів і одночасного недопущення виникнення кредиторської та дебіторської заборгованості оперативно та відповідально опрацьовувалися підтвердні документи, що надавалися до казначейства._x000D_
Недофінансування і перевитрати за захищеними та першочерговими статтями видатків загального фонду місцевого бюджету станом на 01.01.2025 року відсутні._x000D_
Прострочена кредиторська та дебіторська заборгованості станом на 01.01.2025 року за загальним фондом місцевого бюджету відсутні.</t>
  </si>
  <si>
    <t>0100000</t>
  </si>
  <si>
    <t>Широкiвська сiльська рада Запорiзького району Запорiзької областi</t>
  </si>
  <si>
    <t>Сільський голова</t>
  </si>
  <si>
    <t>Начальник відділу бухгалтерського обліку та звітності - головний бухгалтер</t>
  </si>
  <si>
    <t>Денис КОРОТЕНКО</t>
  </si>
  <si>
    <t>Одарка СВІРІНА</t>
  </si>
  <si>
    <t>26013402</t>
  </si>
  <si>
    <t>0852300000</t>
  </si>
  <si>
    <t xml:space="preserve">  гривень</t>
  </si>
  <si>
    <t>місцевого бюджету на 2024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</si>
  <si>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</si>
  <si>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</si>
  <si>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</si>
  <si>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</si>
  <si>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</si>
  <si>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</si>
  <si>
    <t>Навчання у форматі он-лайн під час дії воєнного стану</t>
  </si>
  <si>
    <t>Фактичне виконання результативних показників бюджетної програми від запланованих пояснюється: 
затрат - оптимізацією закладів загальної середньої освіти  шляхом створення двох філій Петропільського ліцею (Відраднівської та Августинівської);
продукту, ефективності та якості - проведенням навчання у форматі ол-лайн під час дії воєнного стану.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</si>
</sst>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.00"/>
  </numFmts>
  <fonts count="17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name val="Times New Roman CYR"/>
      <family val="1"/>
      <charset val="204"/>
    </font>
    <font>
      <sz val="8"/>
      <name val="Times New Roman CYR"/>
      <charset val="204"/>
    </font>
    <font>
      <sz val="12"/>
      <name val="Times New Roman"/>
      <family val="1"/>
    </font>
    <font>
      <sz val="10"/>
      <name val="Times New Roman"/>
      <family val="1"/>
    </font>
    <font>
      <b/>
      <sz val="10"/>
      <name val="Arial Cyr"/>
      <charset val="204"/>
    </font>
    <font>
      <b/>
      <sz val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3" fillId="0" borderId="0" xfId="0" applyFont="1"/>
    <xf numFmtId="164" fontId="2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0" xfId="0" applyFont="1"/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13" fillId="0" borderId="0" xfId="0" applyFont="1"/>
    <xf numFmtId="0" fontId="3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0" fontId="7" fillId="0" borderId="0" xfId="0" applyFont="1"/>
    <xf numFmtId="0" fontId="16" fillId="0" borderId="0" xfId="0" applyFont="1"/>
    <xf numFmtId="164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2" fillId="0" borderId="4" xfId="0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0" fillId="0" borderId="5" xfId="0" applyBorder="1" applyAlignment="1">
      <alignment horizontal="left" vertical="center" wrapText="1" shrinkToFit="1"/>
    </xf>
    <xf numFmtId="0" fontId="0" fillId="0" borderId="2" xfId="0" applyBorder="1" applyAlignment="1">
      <alignment horizontal="left" vertical="center" wrapText="1" shrinkToFi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15" fillId="0" borderId="5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7" fillId="0" borderId="4" xfId="0" applyFont="1" applyBorder="1" applyAlignment="1">
      <alignment horizontal="left" vertical="center" wrapText="1" shrinkToFit="1"/>
    </xf>
    <xf numFmtId="0" fontId="7" fillId="0" borderId="5" xfId="0" applyFont="1" applyBorder="1" applyAlignment="1">
      <alignment horizontal="left" vertical="center" wrapText="1" shrinkToFit="1"/>
    </xf>
    <xf numFmtId="0" fontId="15" fillId="0" borderId="5" xfId="0" applyFont="1" applyBorder="1" applyAlignment="1">
      <alignment horizontal="left" vertical="center" wrapText="1" shrinkToFit="1"/>
    </xf>
    <xf numFmtId="0" fontId="15" fillId="0" borderId="2" xfId="0" applyFont="1" applyBorder="1" applyAlignment="1">
      <alignment horizontal="left" vertical="center" wrapText="1" shrinkToFit="1"/>
    </xf>
    <xf numFmtId="4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top" wrapText="1"/>
    </xf>
    <xf numFmtId="49" fontId="2" fillId="0" borderId="3" xfId="0" applyNumberFormat="1" applyFont="1" applyBorder="1" applyAlignment="1">
      <alignment horizontal="center" vertical="center" wrapText="1"/>
    </xf>
    <xf numFmtId="4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top" wrapText="1"/>
    </xf>
    <xf numFmtId="49" fontId="7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10" fillId="0" borderId="1" xfId="0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quotePrefix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2" fillId="0" borderId="7" xfId="0" applyFont="1" applyBorder="1" applyAlignment="1">
      <alignment horizontal="center" vertical="top" wrapText="1"/>
    </xf>
    <xf numFmtId="0" fontId="11" fillId="0" borderId="1" xfId="0" quotePrefix="1" applyFont="1" applyBorder="1" applyAlignment="1">
      <alignment horizontal="left" vertical="top" wrapText="1"/>
    </xf>
    <xf numFmtId="0" fontId="8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3" fillId="0" borderId="1" xfId="0" quotePrefix="1" applyFont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0" fontId="13" fillId="0" borderId="3" xfId="0" applyFont="1" applyBorder="1" applyAlignment="1">
      <alignment horizontal="center" vertical="center"/>
    </xf>
    <xf numFmtId="0" fontId="14" fillId="0" borderId="4" xfId="0" applyFont="1" applyBorder="1" applyAlignment="1">
      <alignment horizontal="left" vertical="center" wrapText="1" shrinkToFit="1"/>
    </xf>
    <xf numFmtId="0" fontId="14" fillId="0" borderId="5" xfId="0" applyFont="1" applyBorder="1" applyAlignment="1">
      <alignment horizontal="left" vertical="center" wrapText="1" shrinkToFit="1"/>
    </xf>
    <xf numFmtId="0" fontId="14" fillId="0" borderId="2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4" fontId="15" fillId="0" borderId="3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3" fillId="0" borderId="1" xfId="0" quotePrefix="1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</cellXfs>
  <cellStyles count="1">
    <cellStyle name="Обычный" xfId="0" builtinId="0"/>
  </cellStyles>
  <dxfs count="56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69"/>
  <sheetViews>
    <sheetView tabSelected="1" topLeftCell="A164" zoomScaleNormal="100" workbookViewId="0">
      <selection activeCell="A168" sqref="A168:V168"/>
    </sheetView>
  </sheetViews>
  <sheetFormatPr defaultRowHeight="12.75" x14ac:dyDescent="0.2"/>
  <cols>
    <col min="1" max="1" width="3.28515625" style="1" customWidth="1"/>
    <col min="2" max="2" width="3.42578125" style="1" customWidth="1"/>
    <col min="3" max="77" width="2.85546875" style="1" customWidth="1"/>
    <col min="78" max="78" width="3" style="1" customWidth="1"/>
    <col min="79" max="79" width="4.42578125" style="1" hidden="1" customWidth="1"/>
    <col min="80" max="80" width="2.28515625" style="1" customWidth="1"/>
    <col min="81" max="16384" width="9.140625" style="1"/>
  </cols>
  <sheetData>
    <row r="1" spans="1:64" ht="9" hidden="1" customHeight="1" x14ac:dyDescent="0.2"/>
    <row r="2" spans="1:64" ht="9" customHeight="1" x14ac:dyDescent="0.2">
      <c r="AO2" s="84" t="s">
        <v>59</v>
      </c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</row>
    <row r="3" spans="1:64" ht="9" customHeight="1" x14ac:dyDescent="0.2"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</row>
    <row r="4" spans="1:64" ht="15.75" customHeight="1" x14ac:dyDescent="0.2"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</row>
    <row r="5" spans="1:64" ht="15.75" customHeight="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</row>
    <row r="6" spans="1:64" ht="15.75" customHeight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</row>
    <row r="7" spans="1:64" ht="9.75" hidden="1" customHeight="1" x14ac:dyDescent="0.2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</row>
    <row r="8" spans="1:64" ht="9.75" hidden="1" customHeight="1" x14ac:dyDescent="0.2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5"/>
      <c r="BF8" s="85"/>
      <c r="BG8" s="85"/>
      <c r="BH8" s="85"/>
      <c r="BI8" s="85"/>
      <c r="BJ8" s="85"/>
      <c r="BK8" s="85"/>
      <c r="BL8" s="85"/>
    </row>
    <row r="9" spans="1:64" ht="8.25" hidden="1" customHeight="1" x14ac:dyDescent="0.2">
      <c r="A9" s="85"/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5"/>
      <c r="BF9" s="85"/>
      <c r="BG9" s="85"/>
      <c r="BH9" s="85"/>
      <c r="BI9" s="85"/>
      <c r="BJ9" s="85"/>
      <c r="BK9" s="85"/>
      <c r="BL9" s="85"/>
    </row>
    <row r="10" spans="1:64" ht="15.75" x14ac:dyDescent="0.2">
      <c r="A10" s="86" t="s">
        <v>18</v>
      </c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6"/>
      <c r="BK10" s="86"/>
      <c r="BL10" s="86"/>
    </row>
    <row r="11" spans="1:64" ht="15.75" customHeight="1" x14ac:dyDescent="0.2">
      <c r="A11" s="86" t="s">
        <v>35</v>
      </c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6"/>
      <c r="BK11" s="86"/>
      <c r="BL11" s="86"/>
    </row>
    <row r="12" spans="1:64" ht="15.75" customHeight="1" x14ac:dyDescent="0.2">
      <c r="A12" s="86" t="s">
        <v>172</v>
      </c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6"/>
      <c r="BK12" s="86"/>
      <c r="BL12" s="86"/>
    </row>
    <row r="13" spans="1:64" ht="6" customHeight="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</row>
    <row r="14" spans="1:64" ht="27.95" customHeight="1" x14ac:dyDescent="0.2">
      <c r="A14" s="13" t="s">
        <v>7</v>
      </c>
      <c r="B14" s="68" t="s">
        <v>163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14"/>
      <c r="N14" s="73" t="s">
        <v>164</v>
      </c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71"/>
      <c r="AN14" s="71"/>
      <c r="AO14" s="71"/>
      <c r="AP14" s="71"/>
      <c r="AQ14" s="71"/>
      <c r="AR14" s="71"/>
      <c r="AS14" s="71"/>
      <c r="AT14" s="15"/>
      <c r="AU14" s="68" t="s">
        <v>169</v>
      </c>
      <c r="AV14" s="69"/>
      <c r="AW14" s="69"/>
      <c r="AX14" s="69"/>
      <c r="AY14" s="69"/>
      <c r="AZ14" s="69"/>
      <c r="BA14" s="69"/>
      <c r="BB14" s="69"/>
      <c r="BC14" s="15"/>
      <c r="BD14" s="15"/>
      <c r="BE14" s="15"/>
      <c r="BF14" s="15"/>
      <c r="BG14" s="15"/>
      <c r="BH14" s="15"/>
      <c r="BI14" s="15"/>
      <c r="BJ14" s="15"/>
      <c r="BK14" s="15"/>
      <c r="BL14" s="15"/>
    </row>
    <row r="15" spans="1:64" ht="21.75" customHeight="1" x14ac:dyDescent="0.2">
      <c r="A15" s="16"/>
      <c r="B15" s="67" t="s">
        <v>51</v>
      </c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16"/>
      <c r="N15" s="74" t="s">
        <v>52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16"/>
      <c r="AU15" s="67" t="s">
        <v>53</v>
      </c>
      <c r="AV15" s="67"/>
      <c r="AW15" s="67"/>
      <c r="AX15" s="67"/>
      <c r="AY15" s="67"/>
      <c r="AZ15" s="67"/>
      <c r="BA15" s="67"/>
      <c r="BB15" s="67"/>
      <c r="BC15" s="16"/>
      <c r="BD15" s="16"/>
      <c r="BE15" s="16"/>
      <c r="BF15" s="16"/>
      <c r="BG15" s="16"/>
      <c r="BH15" s="16"/>
      <c r="BI15" s="16"/>
      <c r="BJ15" s="16"/>
      <c r="BK15" s="16"/>
      <c r="BL15" s="16"/>
    </row>
    <row r="16" spans="1:64" ht="6" customHeight="1" x14ac:dyDescent="0.2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 s="17"/>
      <c r="BF16" s="17"/>
      <c r="BG16" s="17"/>
      <c r="BH16" s="17"/>
      <c r="BI16" s="17"/>
      <c r="BJ16" s="17"/>
      <c r="BK16" s="17"/>
      <c r="BL16" s="17"/>
    </row>
    <row r="17" spans="1:79" ht="27.95" customHeight="1" x14ac:dyDescent="0.2">
      <c r="A17" s="15" t="s">
        <v>33</v>
      </c>
      <c r="B17" s="68" t="s">
        <v>176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14"/>
      <c r="N17" s="73" t="s">
        <v>175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15"/>
      <c r="AU17" s="68" t="s">
        <v>169</v>
      </c>
      <c r="AV17" s="69"/>
      <c r="AW17" s="69"/>
      <c r="AX17" s="69"/>
      <c r="AY17" s="69"/>
      <c r="AZ17" s="69"/>
      <c r="BA17" s="69"/>
      <c r="BB17" s="69"/>
      <c r="BC17" s="18"/>
      <c r="BD17" s="18"/>
      <c r="BE17" s="18"/>
      <c r="BF17" s="18"/>
      <c r="BG17" s="18"/>
      <c r="BH17" s="18"/>
      <c r="BI17" s="18"/>
      <c r="BJ17" s="18"/>
      <c r="BK17" s="18"/>
      <c r="BL17" s="19"/>
    </row>
    <row r="18" spans="1:79" ht="23.25" customHeight="1" x14ac:dyDescent="0.2">
      <c r="A18" s="16"/>
      <c r="B18" s="67" t="s">
        <v>51</v>
      </c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16"/>
      <c r="N18" s="74" t="s">
        <v>54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16"/>
      <c r="AU18" s="67" t="s">
        <v>53</v>
      </c>
      <c r="AV18" s="67"/>
      <c r="AW18" s="67"/>
      <c r="AX18" s="67"/>
      <c r="AY18" s="67"/>
      <c r="AZ18" s="67"/>
      <c r="BA18" s="67"/>
      <c r="BB18" s="67"/>
      <c r="BC18" s="20"/>
      <c r="BD18" s="20"/>
      <c r="BE18" s="20"/>
      <c r="BF18" s="20"/>
      <c r="BG18" s="20"/>
      <c r="BH18" s="20"/>
      <c r="BI18" s="20"/>
      <c r="BJ18" s="20"/>
      <c r="BK18" s="20"/>
      <c r="BL18" s="20"/>
    </row>
    <row r="19" spans="1:79" ht="6.75" customHeight="1" x14ac:dyDescent="0.2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:79" ht="42.75" customHeight="1" x14ac:dyDescent="0.2">
      <c r="A20" s="13" t="s">
        <v>34</v>
      </c>
      <c r="B20" s="68" t="s">
        <v>173</v>
      </c>
      <c r="C20" s="69"/>
      <c r="D20" s="69"/>
      <c r="E20" s="69"/>
      <c r="F20" s="69"/>
      <c r="G20" s="69"/>
      <c r="H20" s="69"/>
      <c r="I20" s="69"/>
      <c r="J20" s="69"/>
      <c r="K20" s="69"/>
      <c r="L20" s="69"/>
      <c r="M20"/>
      <c r="N20" s="68" t="s">
        <v>177</v>
      </c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18"/>
      <c r="AA20" s="68" t="s">
        <v>178</v>
      </c>
      <c r="AB20" s="69"/>
      <c r="AC20" s="69"/>
      <c r="AD20" s="69"/>
      <c r="AE20" s="69"/>
      <c r="AF20" s="69"/>
      <c r="AG20" s="69"/>
      <c r="AH20" s="69"/>
      <c r="AI20" s="69"/>
      <c r="AJ20" s="18"/>
      <c r="AK20" s="70" t="s">
        <v>174</v>
      </c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  <c r="BA20" s="71"/>
      <c r="BB20" s="71"/>
      <c r="BC20" s="71"/>
      <c r="BD20" s="18"/>
      <c r="BE20" s="68" t="s">
        <v>170</v>
      </c>
      <c r="BF20" s="69"/>
      <c r="BG20" s="69"/>
      <c r="BH20" s="69"/>
      <c r="BI20" s="69"/>
      <c r="BJ20" s="69"/>
      <c r="BK20" s="69"/>
      <c r="BL20" s="69"/>
    </row>
    <row r="21" spans="1:79" ht="23.25" customHeight="1" x14ac:dyDescent="0.2">
      <c r="A21"/>
      <c r="B21" s="67" t="s">
        <v>51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/>
      <c r="N21" s="67" t="s">
        <v>55</v>
      </c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20"/>
      <c r="AA21" s="72" t="s">
        <v>56</v>
      </c>
      <c r="AB21" s="72"/>
      <c r="AC21" s="72"/>
      <c r="AD21" s="72"/>
      <c r="AE21" s="72"/>
      <c r="AF21" s="72"/>
      <c r="AG21" s="72"/>
      <c r="AH21" s="72"/>
      <c r="AI21" s="72"/>
      <c r="AJ21" s="20"/>
      <c r="AK21" s="79" t="s">
        <v>57</v>
      </c>
      <c r="AL21" s="79"/>
      <c r="AM21" s="79"/>
      <c r="AN21" s="79"/>
      <c r="AO21" s="79"/>
      <c r="AP21" s="79"/>
      <c r="AQ21" s="79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20"/>
      <c r="BE21" s="67" t="s">
        <v>58</v>
      </c>
      <c r="BF21" s="67"/>
      <c r="BG21" s="67"/>
      <c r="BH21" s="67"/>
      <c r="BI21" s="67"/>
      <c r="BJ21" s="67"/>
      <c r="BK21" s="67"/>
      <c r="BL21" s="67"/>
    </row>
    <row r="22" spans="1:79" ht="6.75" customHeight="1" x14ac:dyDescent="0.2"/>
    <row r="23" spans="1:79" ht="15.75" customHeight="1" x14ac:dyDescent="0.2">
      <c r="A23" s="54" t="s">
        <v>77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4"/>
      <c r="BF23" s="54"/>
      <c r="BG23" s="54"/>
      <c r="BH23" s="54"/>
      <c r="BI23" s="54"/>
      <c r="BJ23" s="54"/>
      <c r="BK23" s="54"/>
      <c r="BL23" s="54"/>
    </row>
    <row r="24" spans="1:79" ht="27.75" customHeight="1" x14ac:dyDescent="0.2">
      <c r="A24" s="75" t="s">
        <v>3</v>
      </c>
      <c r="B24" s="75"/>
      <c r="C24" s="75"/>
      <c r="D24" s="75"/>
      <c r="E24" s="75"/>
      <c r="F24" s="75"/>
      <c r="G24" s="76" t="s">
        <v>38</v>
      </c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  <c r="AF24" s="77"/>
      <c r="AG24" s="77"/>
      <c r="AH24" s="77"/>
      <c r="AI24" s="77"/>
      <c r="AJ24" s="77"/>
      <c r="AK24" s="77"/>
      <c r="AL24" s="77"/>
      <c r="AM24" s="77"/>
      <c r="AN24" s="77"/>
      <c r="AO24" s="77"/>
      <c r="AP24" s="77"/>
      <c r="AQ24" s="77"/>
      <c r="AR24" s="77"/>
      <c r="AS24" s="77"/>
      <c r="AT24" s="77"/>
      <c r="AU24" s="77"/>
      <c r="AV24" s="77"/>
      <c r="AW24" s="77"/>
      <c r="AX24" s="77"/>
      <c r="AY24" s="77"/>
      <c r="AZ24" s="77"/>
      <c r="BA24" s="77"/>
      <c r="BB24" s="77"/>
      <c r="BC24" s="77"/>
      <c r="BD24" s="77"/>
      <c r="BE24" s="77"/>
      <c r="BF24" s="77"/>
      <c r="BG24" s="77"/>
      <c r="BH24" s="77"/>
      <c r="BI24" s="77"/>
      <c r="BJ24" s="77"/>
      <c r="BK24" s="77"/>
      <c r="BL24" s="78"/>
    </row>
    <row r="25" spans="1:79" ht="10.5" hidden="1" customHeight="1" x14ac:dyDescent="0.2">
      <c r="A25" s="30" t="s">
        <v>36</v>
      </c>
      <c r="B25" s="30"/>
      <c r="C25" s="30"/>
      <c r="D25" s="30"/>
      <c r="E25" s="30"/>
      <c r="F25" s="30"/>
      <c r="G25" s="80" t="s">
        <v>14</v>
      </c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2"/>
      <c r="CA25" s="1" t="s">
        <v>49</v>
      </c>
    </row>
    <row r="26" spans="1:79" ht="15.75" customHeight="1" x14ac:dyDescent="0.2">
      <c r="A26" s="30">
        <v>1</v>
      </c>
      <c r="B26" s="30"/>
      <c r="C26" s="30"/>
      <c r="D26" s="30"/>
      <c r="E26" s="30"/>
      <c r="F26" s="30"/>
      <c r="G26" s="108" t="s">
        <v>78</v>
      </c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09"/>
      <c r="AC26" s="109"/>
      <c r="AD26" s="109"/>
      <c r="AE26" s="109"/>
      <c r="AF26" s="109"/>
      <c r="AG26" s="109"/>
      <c r="AH26" s="109"/>
      <c r="AI26" s="109"/>
      <c r="AJ26" s="109"/>
      <c r="AK26" s="109"/>
      <c r="AL26" s="109"/>
      <c r="AM26" s="109"/>
      <c r="AN26" s="109"/>
      <c r="AO26" s="109"/>
      <c r="AP26" s="109"/>
      <c r="AQ26" s="109"/>
      <c r="AR26" s="109"/>
      <c r="AS26" s="109"/>
      <c r="AT26" s="109"/>
      <c r="AU26" s="109"/>
      <c r="AV26" s="109"/>
      <c r="AW26" s="109"/>
      <c r="AX26" s="109"/>
      <c r="AY26" s="109"/>
      <c r="AZ26" s="109"/>
      <c r="BA26" s="109"/>
      <c r="BB26" s="109"/>
      <c r="BC26" s="109"/>
      <c r="BD26" s="109"/>
      <c r="BE26" s="109"/>
      <c r="BF26" s="109"/>
      <c r="BG26" s="109"/>
      <c r="BH26" s="109"/>
      <c r="BI26" s="109"/>
      <c r="BJ26" s="109"/>
      <c r="BK26" s="109"/>
      <c r="BL26" s="110"/>
      <c r="CA26" s="1" t="s">
        <v>47</v>
      </c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95" customHeight="1" x14ac:dyDescent="0.2">
      <c r="A28" s="54" t="s">
        <v>40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4"/>
      <c r="BF28" s="54"/>
      <c r="BG28" s="54"/>
      <c r="BH28" s="54"/>
      <c r="BI28" s="54"/>
      <c r="BJ28" s="54"/>
      <c r="BK28" s="54"/>
      <c r="BL28" s="54"/>
    </row>
    <row r="29" spans="1:79" ht="15.95" customHeight="1" x14ac:dyDescent="0.2">
      <c r="A29" s="113" t="s">
        <v>161</v>
      </c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  <c r="V29" s="114"/>
      <c r="W29" s="114"/>
      <c r="X29" s="114"/>
      <c r="Y29" s="114"/>
      <c r="Z29" s="114"/>
      <c r="AA29" s="114"/>
      <c r="AB29" s="114"/>
      <c r="AC29" s="114"/>
      <c r="AD29" s="114"/>
      <c r="AE29" s="114"/>
      <c r="AF29" s="114"/>
      <c r="AG29" s="114"/>
      <c r="AH29" s="114"/>
      <c r="AI29" s="114"/>
      <c r="AJ29" s="114"/>
      <c r="AK29" s="114"/>
      <c r="AL29" s="114"/>
      <c r="AM29" s="114"/>
      <c r="AN29" s="114"/>
      <c r="AO29" s="114"/>
      <c r="AP29" s="114"/>
      <c r="AQ29" s="114"/>
      <c r="AR29" s="114"/>
      <c r="AS29" s="114"/>
      <c r="AT29" s="114"/>
      <c r="AU29" s="114"/>
      <c r="AV29" s="114"/>
      <c r="AW29" s="114"/>
      <c r="AX29" s="114"/>
      <c r="AY29" s="114"/>
      <c r="AZ29" s="114"/>
      <c r="BA29" s="114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</row>
    <row r="30" spans="1:79" ht="12.75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</row>
    <row r="31" spans="1:79" ht="15.75" customHeight="1" x14ac:dyDescent="0.2">
      <c r="A31" s="54" t="s">
        <v>41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4"/>
      <c r="BF31" s="54"/>
      <c r="BG31" s="54"/>
      <c r="BH31" s="54"/>
      <c r="BI31" s="54"/>
      <c r="BJ31" s="54"/>
      <c r="BK31" s="54"/>
      <c r="BL31" s="54"/>
    </row>
    <row r="32" spans="1:79" ht="27.75" customHeight="1" x14ac:dyDescent="0.2">
      <c r="A32" s="75" t="s">
        <v>3</v>
      </c>
      <c r="B32" s="75"/>
      <c r="C32" s="75"/>
      <c r="D32" s="75"/>
      <c r="E32" s="75"/>
      <c r="F32" s="75"/>
      <c r="G32" s="76" t="s">
        <v>39</v>
      </c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8"/>
    </row>
    <row r="33" spans="1:79" ht="10.5" hidden="1" customHeight="1" x14ac:dyDescent="0.2">
      <c r="A33" s="30" t="s">
        <v>13</v>
      </c>
      <c r="B33" s="30"/>
      <c r="C33" s="30"/>
      <c r="D33" s="30"/>
      <c r="E33" s="30"/>
      <c r="F33" s="30"/>
      <c r="G33" s="80" t="s">
        <v>14</v>
      </c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2"/>
      <c r="CA33" s="1" t="s">
        <v>50</v>
      </c>
    </row>
    <row r="34" spans="1:79" ht="15" customHeight="1" x14ac:dyDescent="0.2">
      <c r="A34" s="30">
        <v>1</v>
      </c>
      <c r="B34" s="30"/>
      <c r="C34" s="30"/>
      <c r="D34" s="30"/>
      <c r="E34" s="30"/>
      <c r="F34" s="30"/>
      <c r="G34" s="108" t="s">
        <v>79</v>
      </c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10"/>
      <c r="CA34" s="1" t="s">
        <v>48</v>
      </c>
    </row>
    <row r="36" spans="1:79" ht="15.75" customHeight="1" x14ac:dyDescent="0.2">
      <c r="A36" s="54" t="s">
        <v>72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4"/>
      <c r="BE36" s="54"/>
      <c r="BF36" s="54"/>
      <c r="BG36" s="54"/>
      <c r="BH36" s="54"/>
      <c r="BI36" s="54"/>
      <c r="BJ36" s="54"/>
      <c r="BK36" s="54"/>
      <c r="BL36" s="54"/>
      <c r="BM36" s="54"/>
      <c r="BN36" s="54"/>
      <c r="BO36" s="54"/>
      <c r="BP36" s="54"/>
      <c r="BQ36" s="54"/>
    </row>
    <row r="37" spans="1:79" ht="15.75" customHeight="1" x14ac:dyDescent="0.2">
      <c r="A37" s="54" t="s">
        <v>73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4"/>
      <c r="AU37" s="54"/>
      <c r="AV37" s="54"/>
      <c r="AW37" s="54"/>
      <c r="AX37" s="54"/>
      <c r="AY37" s="54"/>
      <c r="AZ37" s="54"/>
      <c r="BA37" s="54"/>
      <c r="BB37" s="54"/>
      <c r="BC37" s="54"/>
      <c r="BD37" s="54"/>
      <c r="BE37" s="54"/>
      <c r="BF37" s="54"/>
      <c r="BG37" s="54"/>
      <c r="BH37" s="54"/>
      <c r="BI37" s="54"/>
      <c r="BJ37" s="54"/>
      <c r="BK37" s="54"/>
      <c r="BL37" s="54"/>
      <c r="BM37" s="54"/>
      <c r="BN37" s="54"/>
      <c r="BO37" s="54"/>
      <c r="BP37" s="54"/>
      <c r="BQ37" s="54"/>
    </row>
    <row r="38" spans="1:79" ht="15" customHeight="1" x14ac:dyDescent="0.2">
      <c r="A38" s="97" t="s">
        <v>171</v>
      </c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7"/>
      <c r="AG38" s="97"/>
      <c r="AH38" s="97"/>
      <c r="AI38" s="97"/>
      <c r="AJ38" s="97"/>
      <c r="AK38" s="97"/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97"/>
      <c r="BA38" s="97"/>
      <c r="BB38" s="97"/>
      <c r="BC38" s="97"/>
      <c r="BD38" s="97"/>
      <c r="BE38" s="97"/>
      <c r="BF38" s="97"/>
      <c r="BG38" s="97"/>
      <c r="BH38" s="97"/>
      <c r="BI38" s="97"/>
      <c r="BJ38" s="97"/>
      <c r="BK38" s="97"/>
      <c r="BL38" s="97"/>
      <c r="BM38" s="97"/>
      <c r="BN38" s="97"/>
      <c r="BO38" s="97"/>
      <c r="BP38" s="97"/>
      <c r="BQ38" s="97"/>
    </row>
    <row r="39" spans="1:79" ht="48" customHeight="1" x14ac:dyDescent="0.2">
      <c r="A39" s="60" t="s">
        <v>3</v>
      </c>
      <c r="B39" s="60"/>
      <c r="C39" s="60" t="s">
        <v>67</v>
      </c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 t="s">
        <v>25</v>
      </c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 t="s">
        <v>44</v>
      </c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 t="s">
        <v>0</v>
      </c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</row>
    <row r="40" spans="1:79" ht="29.1" customHeight="1" x14ac:dyDescent="0.2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 t="s">
        <v>2</v>
      </c>
      <c r="AB40" s="60"/>
      <c r="AC40" s="60"/>
      <c r="AD40" s="60"/>
      <c r="AE40" s="60"/>
      <c r="AF40" s="60" t="s">
        <v>1</v>
      </c>
      <c r="AG40" s="60"/>
      <c r="AH40" s="60"/>
      <c r="AI40" s="60"/>
      <c r="AJ40" s="60"/>
      <c r="AK40" s="60" t="s">
        <v>26</v>
      </c>
      <c r="AL40" s="60"/>
      <c r="AM40" s="60"/>
      <c r="AN40" s="60"/>
      <c r="AO40" s="60"/>
      <c r="AP40" s="60" t="s">
        <v>2</v>
      </c>
      <c r="AQ40" s="60"/>
      <c r="AR40" s="60"/>
      <c r="AS40" s="60"/>
      <c r="AT40" s="60"/>
      <c r="AU40" s="60" t="s">
        <v>1</v>
      </c>
      <c r="AV40" s="60"/>
      <c r="AW40" s="60"/>
      <c r="AX40" s="60"/>
      <c r="AY40" s="60"/>
      <c r="AZ40" s="60" t="s">
        <v>26</v>
      </c>
      <c r="BA40" s="60"/>
      <c r="BB40" s="60"/>
      <c r="BC40" s="60"/>
      <c r="BD40" s="60" t="s">
        <v>2</v>
      </c>
      <c r="BE40" s="60"/>
      <c r="BF40" s="60"/>
      <c r="BG40" s="60"/>
      <c r="BH40" s="60"/>
      <c r="BI40" s="60" t="s">
        <v>1</v>
      </c>
      <c r="BJ40" s="60"/>
      <c r="BK40" s="60"/>
      <c r="BL40" s="60"/>
      <c r="BM40" s="60"/>
      <c r="BN40" s="60" t="s">
        <v>27</v>
      </c>
      <c r="BO40" s="60"/>
      <c r="BP40" s="60"/>
      <c r="BQ40" s="60"/>
    </row>
    <row r="41" spans="1:79" ht="15.95" customHeight="1" x14ac:dyDescent="0.2">
      <c r="A41" s="60">
        <v>1</v>
      </c>
      <c r="B41" s="60"/>
      <c r="C41" s="60">
        <v>2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55">
        <v>3</v>
      </c>
      <c r="AB41" s="61"/>
      <c r="AC41" s="61"/>
      <c r="AD41" s="61"/>
      <c r="AE41" s="62"/>
      <c r="AF41" s="55">
        <v>4</v>
      </c>
      <c r="AG41" s="61"/>
      <c r="AH41" s="61"/>
      <c r="AI41" s="61"/>
      <c r="AJ41" s="62"/>
      <c r="AK41" s="55">
        <v>5</v>
      </c>
      <c r="AL41" s="61"/>
      <c r="AM41" s="61"/>
      <c r="AN41" s="61"/>
      <c r="AO41" s="62"/>
      <c r="AP41" s="55">
        <v>6</v>
      </c>
      <c r="AQ41" s="61"/>
      <c r="AR41" s="61"/>
      <c r="AS41" s="61"/>
      <c r="AT41" s="62"/>
      <c r="AU41" s="55">
        <v>7</v>
      </c>
      <c r="AV41" s="61"/>
      <c r="AW41" s="61"/>
      <c r="AX41" s="61"/>
      <c r="AY41" s="62"/>
      <c r="AZ41" s="55">
        <v>8</v>
      </c>
      <c r="BA41" s="61"/>
      <c r="BB41" s="61"/>
      <c r="BC41" s="62"/>
      <c r="BD41" s="55">
        <v>9</v>
      </c>
      <c r="BE41" s="61"/>
      <c r="BF41" s="61"/>
      <c r="BG41" s="61"/>
      <c r="BH41" s="62"/>
      <c r="BI41" s="60">
        <v>10</v>
      </c>
      <c r="BJ41" s="60"/>
      <c r="BK41" s="60"/>
      <c r="BL41" s="60"/>
      <c r="BM41" s="60"/>
      <c r="BN41" s="60">
        <v>11</v>
      </c>
      <c r="BO41" s="60"/>
      <c r="BP41" s="60"/>
      <c r="BQ41" s="60"/>
    </row>
    <row r="42" spans="1:79" ht="15.75" hidden="1" customHeight="1" x14ac:dyDescent="0.2">
      <c r="A42" s="30" t="s">
        <v>13</v>
      </c>
      <c r="B42" s="30"/>
      <c r="C42" s="107" t="s">
        <v>14</v>
      </c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107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53"/>
      <c r="AA42" s="63" t="s">
        <v>10</v>
      </c>
      <c r="AB42" s="63"/>
      <c r="AC42" s="63"/>
      <c r="AD42" s="63"/>
      <c r="AE42" s="63"/>
      <c r="AF42" s="63" t="s">
        <v>9</v>
      </c>
      <c r="AG42" s="63"/>
      <c r="AH42" s="63"/>
      <c r="AI42" s="63"/>
      <c r="AJ42" s="63"/>
      <c r="AK42" s="38" t="s">
        <v>16</v>
      </c>
      <c r="AL42" s="38"/>
      <c r="AM42" s="38"/>
      <c r="AN42" s="38"/>
      <c r="AO42" s="38"/>
      <c r="AP42" s="63" t="s">
        <v>11</v>
      </c>
      <c r="AQ42" s="63"/>
      <c r="AR42" s="63"/>
      <c r="AS42" s="63"/>
      <c r="AT42" s="63"/>
      <c r="AU42" s="63" t="s">
        <v>12</v>
      </c>
      <c r="AV42" s="63"/>
      <c r="AW42" s="63"/>
      <c r="AX42" s="63"/>
      <c r="AY42" s="63"/>
      <c r="AZ42" s="38" t="s">
        <v>16</v>
      </c>
      <c r="BA42" s="38"/>
      <c r="BB42" s="38"/>
      <c r="BC42" s="38"/>
      <c r="BD42" s="30" t="s">
        <v>31</v>
      </c>
      <c r="BE42" s="30"/>
      <c r="BF42" s="30"/>
      <c r="BG42" s="30"/>
      <c r="BH42" s="30"/>
      <c r="BI42" s="30" t="s">
        <v>31</v>
      </c>
      <c r="BJ42" s="30"/>
      <c r="BK42" s="30"/>
      <c r="BL42" s="30"/>
      <c r="BM42" s="30"/>
      <c r="BN42" s="106" t="s">
        <v>16</v>
      </c>
      <c r="BO42" s="106"/>
      <c r="BP42" s="106"/>
      <c r="BQ42" s="106"/>
      <c r="CA42" s="1" t="s">
        <v>19</v>
      </c>
    </row>
    <row r="43" spans="1:79" ht="15" customHeight="1" x14ac:dyDescent="0.2">
      <c r="A43" s="30">
        <v>1</v>
      </c>
      <c r="B43" s="30"/>
      <c r="C43" s="31" t="s">
        <v>80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3"/>
      <c r="AA43" s="46">
        <v>5355231</v>
      </c>
      <c r="AB43" s="46"/>
      <c r="AC43" s="46"/>
      <c r="AD43" s="46"/>
      <c r="AE43" s="46"/>
      <c r="AF43" s="46">
        <v>0</v>
      </c>
      <c r="AG43" s="46"/>
      <c r="AH43" s="46"/>
      <c r="AI43" s="46"/>
      <c r="AJ43" s="46"/>
      <c r="AK43" s="46">
        <f t="shared" ref="AK43:AK74" si="0">AA43+AF43</f>
        <v>5355231</v>
      </c>
      <c r="AL43" s="46"/>
      <c r="AM43" s="46"/>
      <c r="AN43" s="46"/>
      <c r="AO43" s="46"/>
      <c r="AP43" s="46">
        <v>5153112.41</v>
      </c>
      <c r="AQ43" s="46"/>
      <c r="AR43" s="46"/>
      <c r="AS43" s="46"/>
      <c r="AT43" s="46"/>
      <c r="AU43" s="46">
        <v>0</v>
      </c>
      <c r="AV43" s="46"/>
      <c r="AW43" s="46"/>
      <c r="AX43" s="46"/>
      <c r="AY43" s="46"/>
      <c r="AZ43" s="46">
        <f t="shared" ref="AZ43:AZ74" si="1">AP43+AU43</f>
        <v>5153112.41</v>
      </c>
      <c r="BA43" s="46"/>
      <c r="BB43" s="46"/>
      <c r="BC43" s="46"/>
      <c r="BD43" s="46">
        <f t="shared" ref="BD43:BD74" si="2">AP43-AA43</f>
        <v>-202118.58999999985</v>
      </c>
      <c r="BE43" s="46"/>
      <c r="BF43" s="46"/>
      <c r="BG43" s="46"/>
      <c r="BH43" s="46"/>
      <c r="BI43" s="46">
        <f t="shared" ref="BI43:BI74" si="3">AU43-AF43</f>
        <v>0</v>
      </c>
      <c r="BJ43" s="46"/>
      <c r="BK43" s="46"/>
      <c r="BL43" s="46"/>
      <c r="BM43" s="46"/>
      <c r="BN43" s="46">
        <f t="shared" ref="BN43:BN74" si="4">BD43+BI43</f>
        <v>-202118.58999999985</v>
      </c>
      <c r="BO43" s="46"/>
      <c r="BP43" s="46"/>
      <c r="BQ43" s="46"/>
      <c r="CA43" s="1" t="s">
        <v>20</v>
      </c>
    </row>
    <row r="44" spans="1:79" ht="15" customHeight="1" x14ac:dyDescent="0.2">
      <c r="A44" s="30">
        <v>2</v>
      </c>
      <c r="B44" s="30"/>
      <c r="C44" s="31" t="s">
        <v>81</v>
      </c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3"/>
      <c r="AA44" s="46">
        <v>1282799</v>
      </c>
      <c r="AB44" s="46"/>
      <c r="AC44" s="46"/>
      <c r="AD44" s="46"/>
      <c r="AE44" s="46"/>
      <c r="AF44" s="46">
        <v>0</v>
      </c>
      <c r="AG44" s="46"/>
      <c r="AH44" s="46"/>
      <c r="AI44" s="46"/>
      <c r="AJ44" s="46"/>
      <c r="AK44" s="46">
        <f t="shared" si="0"/>
        <v>1282799</v>
      </c>
      <c r="AL44" s="46"/>
      <c r="AM44" s="46"/>
      <c r="AN44" s="46"/>
      <c r="AO44" s="46"/>
      <c r="AP44" s="46">
        <v>1217877.5</v>
      </c>
      <c r="AQ44" s="46"/>
      <c r="AR44" s="46"/>
      <c r="AS44" s="46"/>
      <c r="AT44" s="46"/>
      <c r="AU44" s="46">
        <v>0</v>
      </c>
      <c r="AV44" s="46"/>
      <c r="AW44" s="46"/>
      <c r="AX44" s="46"/>
      <c r="AY44" s="46"/>
      <c r="AZ44" s="46">
        <f t="shared" si="1"/>
        <v>1217877.5</v>
      </c>
      <c r="BA44" s="46"/>
      <c r="BB44" s="46"/>
      <c r="BC44" s="46"/>
      <c r="BD44" s="46">
        <f t="shared" si="2"/>
        <v>-64921.5</v>
      </c>
      <c r="BE44" s="46"/>
      <c r="BF44" s="46"/>
      <c r="BG44" s="46"/>
      <c r="BH44" s="46"/>
      <c r="BI44" s="46">
        <f t="shared" si="3"/>
        <v>0</v>
      </c>
      <c r="BJ44" s="46"/>
      <c r="BK44" s="46"/>
      <c r="BL44" s="46"/>
      <c r="BM44" s="46"/>
      <c r="BN44" s="46">
        <f t="shared" si="4"/>
        <v>-64921.5</v>
      </c>
      <c r="BO44" s="46"/>
      <c r="BP44" s="46"/>
      <c r="BQ44" s="46"/>
    </row>
    <row r="45" spans="1:79" ht="15" customHeight="1" x14ac:dyDescent="0.2">
      <c r="A45" s="30">
        <v>3</v>
      </c>
      <c r="B45" s="30"/>
      <c r="C45" s="31" t="s">
        <v>82</v>
      </c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3"/>
      <c r="AA45" s="46">
        <v>63180</v>
      </c>
      <c r="AB45" s="46"/>
      <c r="AC45" s="46"/>
      <c r="AD45" s="46"/>
      <c r="AE45" s="46"/>
      <c r="AF45" s="46">
        <v>0</v>
      </c>
      <c r="AG45" s="46"/>
      <c r="AH45" s="46"/>
      <c r="AI45" s="46"/>
      <c r="AJ45" s="46"/>
      <c r="AK45" s="46">
        <f t="shared" si="0"/>
        <v>63180</v>
      </c>
      <c r="AL45" s="46"/>
      <c r="AM45" s="46"/>
      <c r="AN45" s="46"/>
      <c r="AO45" s="46"/>
      <c r="AP45" s="46">
        <v>57565</v>
      </c>
      <c r="AQ45" s="46"/>
      <c r="AR45" s="46"/>
      <c r="AS45" s="46"/>
      <c r="AT45" s="46"/>
      <c r="AU45" s="46">
        <v>0</v>
      </c>
      <c r="AV45" s="46"/>
      <c r="AW45" s="46"/>
      <c r="AX45" s="46"/>
      <c r="AY45" s="46"/>
      <c r="AZ45" s="46">
        <f t="shared" si="1"/>
        <v>57565</v>
      </c>
      <c r="BA45" s="46"/>
      <c r="BB45" s="46"/>
      <c r="BC45" s="46"/>
      <c r="BD45" s="46">
        <f t="shared" si="2"/>
        <v>-5615</v>
      </c>
      <c r="BE45" s="46"/>
      <c r="BF45" s="46"/>
      <c r="BG45" s="46"/>
      <c r="BH45" s="46"/>
      <c r="BI45" s="46">
        <f t="shared" si="3"/>
        <v>0</v>
      </c>
      <c r="BJ45" s="46"/>
      <c r="BK45" s="46"/>
      <c r="BL45" s="46"/>
      <c r="BM45" s="46"/>
      <c r="BN45" s="46">
        <f t="shared" si="4"/>
        <v>-5615</v>
      </c>
      <c r="BO45" s="46"/>
      <c r="BP45" s="46"/>
      <c r="BQ45" s="46"/>
    </row>
    <row r="46" spans="1:79" ht="15" customHeight="1" x14ac:dyDescent="0.2">
      <c r="A46" s="30">
        <v>4</v>
      </c>
      <c r="B46" s="30"/>
      <c r="C46" s="31" t="s">
        <v>83</v>
      </c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3"/>
      <c r="AA46" s="46">
        <v>109099</v>
      </c>
      <c r="AB46" s="46"/>
      <c r="AC46" s="46"/>
      <c r="AD46" s="46"/>
      <c r="AE46" s="46"/>
      <c r="AF46" s="46">
        <v>0</v>
      </c>
      <c r="AG46" s="46"/>
      <c r="AH46" s="46"/>
      <c r="AI46" s="46"/>
      <c r="AJ46" s="46"/>
      <c r="AK46" s="46">
        <f t="shared" si="0"/>
        <v>109099</v>
      </c>
      <c r="AL46" s="46"/>
      <c r="AM46" s="46"/>
      <c r="AN46" s="46"/>
      <c r="AO46" s="46"/>
      <c r="AP46" s="46">
        <v>109099</v>
      </c>
      <c r="AQ46" s="46"/>
      <c r="AR46" s="46"/>
      <c r="AS46" s="46"/>
      <c r="AT46" s="46"/>
      <c r="AU46" s="46">
        <v>0</v>
      </c>
      <c r="AV46" s="46"/>
      <c r="AW46" s="46"/>
      <c r="AX46" s="46"/>
      <c r="AY46" s="46"/>
      <c r="AZ46" s="46">
        <f t="shared" si="1"/>
        <v>109099</v>
      </c>
      <c r="BA46" s="46"/>
      <c r="BB46" s="46"/>
      <c r="BC46" s="46"/>
      <c r="BD46" s="46">
        <f t="shared" si="2"/>
        <v>0</v>
      </c>
      <c r="BE46" s="46"/>
      <c r="BF46" s="46"/>
      <c r="BG46" s="46"/>
      <c r="BH46" s="46"/>
      <c r="BI46" s="46">
        <f t="shared" si="3"/>
        <v>0</v>
      </c>
      <c r="BJ46" s="46"/>
      <c r="BK46" s="46"/>
      <c r="BL46" s="46"/>
      <c r="BM46" s="46"/>
      <c r="BN46" s="46">
        <f t="shared" si="4"/>
        <v>0</v>
      </c>
      <c r="BO46" s="46"/>
      <c r="BP46" s="46"/>
      <c r="BQ46" s="46"/>
    </row>
    <row r="47" spans="1:79" ht="15" customHeight="1" x14ac:dyDescent="0.2">
      <c r="A47" s="30">
        <v>5</v>
      </c>
      <c r="B47" s="30"/>
      <c r="C47" s="31" t="s">
        <v>84</v>
      </c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3"/>
      <c r="AA47" s="46">
        <v>13642</v>
      </c>
      <c r="AB47" s="46"/>
      <c r="AC47" s="46"/>
      <c r="AD47" s="46"/>
      <c r="AE47" s="46"/>
      <c r="AF47" s="46">
        <v>0</v>
      </c>
      <c r="AG47" s="46"/>
      <c r="AH47" s="46"/>
      <c r="AI47" s="46"/>
      <c r="AJ47" s="46"/>
      <c r="AK47" s="46">
        <f t="shared" si="0"/>
        <v>13642</v>
      </c>
      <c r="AL47" s="46"/>
      <c r="AM47" s="46"/>
      <c r="AN47" s="46"/>
      <c r="AO47" s="46"/>
      <c r="AP47" s="46">
        <v>9219</v>
      </c>
      <c r="AQ47" s="46"/>
      <c r="AR47" s="46"/>
      <c r="AS47" s="46"/>
      <c r="AT47" s="46"/>
      <c r="AU47" s="46">
        <v>0</v>
      </c>
      <c r="AV47" s="46"/>
      <c r="AW47" s="46"/>
      <c r="AX47" s="46"/>
      <c r="AY47" s="46"/>
      <c r="AZ47" s="46">
        <f t="shared" si="1"/>
        <v>9219</v>
      </c>
      <c r="BA47" s="46"/>
      <c r="BB47" s="46"/>
      <c r="BC47" s="46"/>
      <c r="BD47" s="46">
        <f t="shared" si="2"/>
        <v>-4423</v>
      </c>
      <c r="BE47" s="46"/>
      <c r="BF47" s="46"/>
      <c r="BG47" s="46"/>
      <c r="BH47" s="46"/>
      <c r="BI47" s="46">
        <f t="shared" si="3"/>
        <v>0</v>
      </c>
      <c r="BJ47" s="46"/>
      <c r="BK47" s="46"/>
      <c r="BL47" s="46"/>
      <c r="BM47" s="46"/>
      <c r="BN47" s="46">
        <f t="shared" si="4"/>
        <v>-4423</v>
      </c>
      <c r="BO47" s="46"/>
      <c r="BP47" s="46"/>
      <c r="BQ47" s="46"/>
    </row>
    <row r="48" spans="1:79" ht="15" customHeight="1" x14ac:dyDescent="0.2">
      <c r="A48" s="30">
        <v>6</v>
      </c>
      <c r="B48" s="30"/>
      <c r="C48" s="31" t="s">
        <v>85</v>
      </c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3"/>
      <c r="AA48" s="46">
        <v>379011</v>
      </c>
      <c r="AB48" s="46"/>
      <c r="AC48" s="46"/>
      <c r="AD48" s="46"/>
      <c r="AE48" s="46"/>
      <c r="AF48" s="46">
        <v>0</v>
      </c>
      <c r="AG48" s="46"/>
      <c r="AH48" s="46"/>
      <c r="AI48" s="46"/>
      <c r="AJ48" s="46"/>
      <c r="AK48" s="46">
        <f t="shared" si="0"/>
        <v>379011</v>
      </c>
      <c r="AL48" s="46"/>
      <c r="AM48" s="46"/>
      <c r="AN48" s="46"/>
      <c r="AO48" s="46"/>
      <c r="AP48" s="46">
        <v>379011</v>
      </c>
      <c r="AQ48" s="46"/>
      <c r="AR48" s="46"/>
      <c r="AS48" s="46"/>
      <c r="AT48" s="46"/>
      <c r="AU48" s="46">
        <v>0</v>
      </c>
      <c r="AV48" s="46"/>
      <c r="AW48" s="46"/>
      <c r="AX48" s="46"/>
      <c r="AY48" s="46"/>
      <c r="AZ48" s="46">
        <f t="shared" si="1"/>
        <v>379011</v>
      </c>
      <c r="BA48" s="46"/>
      <c r="BB48" s="46"/>
      <c r="BC48" s="46"/>
      <c r="BD48" s="46">
        <f t="shared" si="2"/>
        <v>0</v>
      </c>
      <c r="BE48" s="46"/>
      <c r="BF48" s="46"/>
      <c r="BG48" s="46"/>
      <c r="BH48" s="46"/>
      <c r="BI48" s="46">
        <f t="shared" si="3"/>
        <v>0</v>
      </c>
      <c r="BJ48" s="46"/>
      <c r="BK48" s="46"/>
      <c r="BL48" s="46"/>
      <c r="BM48" s="46"/>
      <c r="BN48" s="46">
        <f t="shared" si="4"/>
        <v>0</v>
      </c>
      <c r="BO48" s="46"/>
      <c r="BP48" s="46"/>
      <c r="BQ48" s="46"/>
    </row>
    <row r="49" spans="1:69" ht="15" customHeight="1" x14ac:dyDescent="0.2">
      <c r="A49" s="30">
        <v>7</v>
      </c>
      <c r="B49" s="30"/>
      <c r="C49" s="31" t="s">
        <v>86</v>
      </c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3"/>
      <c r="AA49" s="46">
        <v>215872</v>
      </c>
      <c r="AB49" s="46"/>
      <c r="AC49" s="46"/>
      <c r="AD49" s="46"/>
      <c r="AE49" s="46"/>
      <c r="AF49" s="46">
        <v>0</v>
      </c>
      <c r="AG49" s="46"/>
      <c r="AH49" s="46"/>
      <c r="AI49" s="46"/>
      <c r="AJ49" s="46"/>
      <c r="AK49" s="46">
        <f t="shared" si="0"/>
        <v>215872</v>
      </c>
      <c r="AL49" s="46"/>
      <c r="AM49" s="46"/>
      <c r="AN49" s="46"/>
      <c r="AO49" s="46"/>
      <c r="AP49" s="46">
        <v>215872</v>
      </c>
      <c r="AQ49" s="46"/>
      <c r="AR49" s="46"/>
      <c r="AS49" s="46"/>
      <c r="AT49" s="46"/>
      <c r="AU49" s="46">
        <v>0</v>
      </c>
      <c r="AV49" s="46"/>
      <c r="AW49" s="46"/>
      <c r="AX49" s="46"/>
      <c r="AY49" s="46"/>
      <c r="AZ49" s="46">
        <f t="shared" si="1"/>
        <v>215872</v>
      </c>
      <c r="BA49" s="46"/>
      <c r="BB49" s="46"/>
      <c r="BC49" s="46"/>
      <c r="BD49" s="46">
        <f t="shared" si="2"/>
        <v>0</v>
      </c>
      <c r="BE49" s="46"/>
      <c r="BF49" s="46"/>
      <c r="BG49" s="46"/>
      <c r="BH49" s="46"/>
      <c r="BI49" s="46">
        <f t="shared" si="3"/>
        <v>0</v>
      </c>
      <c r="BJ49" s="46"/>
      <c r="BK49" s="46"/>
      <c r="BL49" s="46"/>
      <c r="BM49" s="46"/>
      <c r="BN49" s="46">
        <f t="shared" si="4"/>
        <v>0</v>
      </c>
      <c r="BO49" s="46"/>
      <c r="BP49" s="46"/>
      <c r="BQ49" s="46"/>
    </row>
    <row r="50" spans="1:69" ht="15" customHeight="1" x14ac:dyDescent="0.2">
      <c r="A50" s="30">
        <v>8</v>
      </c>
      <c r="B50" s="30"/>
      <c r="C50" s="31" t="s">
        <v>87</v>
      </c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3"/>
      <c r="AA50" s="46">
        <v>263142</v>
      </c>
      <c r="AB50" s="46"/>
      <c r="AC50" s="46"/>
      <c r="AD50" s="46"/>
      <c r="AE50" s="46"/>
      <c r="AF50" s="46">
        <v>0</v>
      </c>
      <c r="AG50" s="46"/>
      <c r="AH50" s="46"/>
      <c r="AI50" s="46"/>
      <c r="AJ50" s="46"/>
      <c r="AK50" s="46">
        <f t="shared" si="0"/>
        <v>263142</v>
      </c>
      <c r="AL50" s="46"/>
      <c r="AM50" s="46"/>
      <c r="AN50" s="46"/>
      <c r="AO50" s="46"/>
      <c r="AP50" s="46">
        <v>0</v>
      </c>
      <c r="AQ50" s="46"/>
      <c r="AR50" s="46"/>
      <c r="AS50" s="46"/>
      <c r="AT50" s="46"/>
      <c r="AU50" s="46">
        <v>0</v>
      </c>
      <c r="AV50" s="46"/>
      <c r="AW50" s="46"/>
      <c r="AX50" s="46"/>
      <c r="AY50" s="46"/>
      <c r="AZ50" s="46">
        <f t="shared" si="1"/>
        <v>0</v>
      </c>
      <c r="BA50" s="46"/>
      <c r="BB50" s="46"/>
      <c r="BC50" s="46"/>
      <c r="BD50" s="46">
        <f t="shared" si="2"/>
        <v>-263142</v>
      </c>
      <c r="BE50" s="46"/>
      <c r="BF50" s="46"/>
      <c r="BG50" s="46"/>
      <c r="BH50" s="46"/>
      <c r="BI50" s="46">
        <f t="shared" si="3"/>
        <v>0</v>
      </c>
      <c r="BJ50" s="46"/>
      <c r="BK50" s="46"/>
      <c r="BL50" s="46"/>
      <c r="BM50" s="46"/>
      <c r="BN50" s="46">
        <f t="shared" si="4"/>
        <v>-263142</v>
      </c>
      <c r="BO50" s="46"/>
      <c r="BP50" s="46"/>
      <c r="BQ50" s="46"/>
    </row>
    <row r="51" spans="1:69" ht="25.5" customHeight="1" x14ac:dyDescent="0.2">
      <c r="A51" s="30">
        <v>9</v>
      </c>
      <c r="B51" s="30"/>
      <c r="C51" s="31" t="s">
        <v>88</v>
      </c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3"/>
      <c r="AA51" s="46">
        <v>91014</v>
      </c>
      <c r="AB51" s="46"/>
      <c r="AC51" s="46"/>
      <c r="AD51" s="46"/>
      <c r="AE51" s="46"/>
      <c r="AF51" s="46">
        <v>0</v>
      </c>
      <c r="AG51" s="46"/>
      <c r="AH51" s="46"/>
      <c r="AI51" s="46"/>
      <c r="AJ51" s="46"/>
      <c r="AK51" s="46">
        <f t="shared" si="0"/>
        <v>91014</v>
      </c>
      <c r="AL51" s="46"/>
      <c r="AM51" s="46"/>
      <c r="AN51" s="46"/>
      <c r="AO51" s="46"/>
      <c r="AP51" s="46">
        <v>91014</v>
      </c>
      <c r="AQ51" s="46"/>
      <c r="AR51" s="46"/>
      <c r="AS51" s="46"/>
      <c r="AT51" s="46"/>
      <c r="AU51" s="46">
        <v>0</v>
      </c>
      <c r="AV51" s="46"/>
      <c r="AW51" s="46"/>
      <c r="AX51" s="46"/>
      <c r="AY51" s="46"/>
      <c r="AZ51" s="46">
        <f t="shared" si="1"/>
        <v>91014</v>
      </c>
      <c r="BA51" s="46"/>
      <c r="BB51" s="46"/>
      <c r="BC51" s="46"/>
      <c r="BD51" s="46">
        <f t="shared" si="2"/>
        <v>0</v>
      </c>
      <c r="BE51" s="46"/>
      <c r="BF51" s="46"/>
      <c r="BG51" s="46"/>
      <c r="BH51" s="46"/>
      <c r="BI51" s="46">
        <f t="shared" si="3"/>
        <v>0</v>
      </c>
      <c r="BJ51" s="46"/>
      <c r="BK51" s="46"/>
      <c r="BL51" s="46"/>
      <c r="BM51" s="46"/>
      <c r="BN51" s="46">
        <f t="shared" si="4"/>
        <v>0</v>
      </c>
      <c r="BO51" s="46"/>
      <c r="BP51" s="46"/>
      <c r="BQ51" s="46"/>
    </row>
    <row r="52" spans="1:69" ht="15" customHeight="1" x14ac:dyDescent="0.2">
      <c r="A52" s="30">
        <v>10</v>
      </c>
      <c r="B52" s="30"/>
      <c r="C52" s="31" t="s">
        <v>89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3"/>
      <c r="AA52" s="46">
        <v>111877</v>
      </c>
      <c r="AB52" s="46"/>
      <c r="AC52" s="46"/>
      <c r="AD52" s="46"/>
      <c r="AE52" s="46"/>
      <c r="AF52" s="46">
        <v>0</v>
      </c>
      <c r="AG52" s="46"/>
      <c r="AH52" s="46"/>
      <c r="AI52" s="46"/>
      <c r="AJ52" s="46"/>
      <c r="AK52" s="46">
        <f t="shared" si="0"/>
        <v>111877</v>
      </c>
      <c r="AL52" s="46"/>
      <c r="AM52" s="46"/>
      <c r="AN52" s="46"/>
      <c r="AO52" s="46"/>
      <c r="AP52" s="46">
        <v>70597</v>
      </c>
      <c r="AQ52" s="46"/>
      <c r="AR52" s="46"/>
      <c r="AS52" s="46"/>
      <c r="AT52" s="46"/>
      <c r="AU52" s="46">
        <v>0</v>
      </c>
      <c r="AV52" s="46"/>
      <c r="AW52" s="46"/>
      <c r="AX52" s="46"/>
      <c r="AY52" s="46"/>
      <c r="AZ52" s="46">
        <f t="shared" si="1"/>
        <v>70597</v>
      </c>
      <c r="BA52" s="46"/>
      <c r="BB52" s="46"/>
      <c r="BC52" s="46"/>
      <c r="BD52" s="46">
        <f t="shared" si="2"/>
        <v>-41280</v>
      </c>
      <c r="BE52" s="46"/>
      <c r="BF52" s="46"/>
      <c r="BG52" s="46"/>
      <c r="BH52" s="46"/>
      <c r="BI52" s="46">
        <f t="shared" si="3"/>
        <v>0</v>
      </c>
      <c r="BJ52" s="46"/>
      <c r="BK52" s="46"/>
      <c r="BL52" s="46"/>
      <c r="BM52" s="46"/>
      <c r="BN52" s="46">
        <f t="shared" si="4"/>
        <v>-41280</v>
      </c>
      <c r="BO52" s="46"/>
      <c r="BP52" s="46"/>
      <c r="BQ52" s="46"/>
    </row>
    <row r="53" spans="1:69" ht="15" customHeight="1" x14ac:dyDescent="0.2">
      <c r="A53" s="30">
        <v>11</v>
      </c>
      <c r="B53" s="30"/>
      <c r="C53" s="31" t="s">
        <v>90</v>
      </c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3"/>
      <c r="AA53" s="46">
        <v>20000</v>
      </c>
      <c r="AB53" s="46"/>
      <c r="AC53" s="46"/>
      <c r="AD53" s="46"/>
      <c r="AE53" s="46"/>
      <c r="AF53" s="46">
        <v>0</v>
      </c>
      <c r="AG53" s="46"/>
      <c r="AH53" s="46"/>
      <c r="AI53" s="46"/>
      <c r="AJ53" s="46"/>
      <c r="AK53" s="46">
        <f t="shared" si="0"/>
        <v>20000</v>
      </c>
      <c r="AL53" s="46"/>
      <c r="AM53" s="46"/>
      <c r="AN53" s="46"/>
      <c r="AO53" s="46"/>
      <c r="AP53" s="46">
        <v>20000</v>
      </c>
      <c r="AQ53" s="46"/>
      <c r="AR53" s="46"/>
      <c r="AS53" s="46"/>
      <c r="AT53" s="46"/>
      <c r="AU53" s="46">
        <v>0</v>
      </c>
      <c r="AV53" s="46"/>
      <c r="AW53" s="46"/>
      <c r="AX53" s="46"/>
      <c r="AY53" s="46"/>
      <c r="AZ53" s="46">
        <f t="shared" si="1"/>
        <v>20000</v>
      </c>
      <c r="BA53" s="46"/>
      <c r="BB53" s="46"/>
      <c r="BC53" s="46"/>
      <c r="BD53" s="46">
        <f t="shared" si="2"/>
        <v>0</v>
      </c>
      <c r="BE53" s="46"/>
      <c r="BF53" s="46"/>
      <c r="BG53" s="46"/>
      <c r="BH53" s="46"/>
      <c r="BI53" s="46">
        <f t="shared" si="3"/>
        <v>0</v>
      </c>
      <c r="BJ53" s="46"/>
      <c r="BK53" s="46"/>
      <c r="BL53" s="46"/>
      <c r="BM53" s="46"/>
      <c r="BN53" s="46">
        <f t="shared" si="4"/>
        <v>0</v>
      </c>
      <c r="BO53" s="46"/>
      <c r="BP53" s="46"/>
      <c r="BQ53" s="46"/>
    </row>
    <row r="54" spans="1:69" ht="25.5" customHeight="1" x14ac:dyDescent="0.2">
      <c r="A54" s="30">
        <v>12</v>
      </c>
      <c r="B54" s="30"/>
      <c r="C54" s="31" t="s">
        <v>91</v>
      </c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3"/>
      <c r="AA54" s="46">
        <v>332000</v>
      </c>
      <c r="AB54" s="46"/>
      <c r="AC54" s="46"/>
      <c r="AD54" s="46"/>
      <c r="AE54" s="46"/>
      <c r="AF54" s="46">
        <v>0</v>
      </c>
      <c r="AG54" s="46"/>
      <c r="AH54" s="46"/>
      <c r="AI54" s="46"/>
      <c r="AJ54" s="46"/>
      <c r="AK54" s="46">
        <f t="shared" si="0"/>
        <v>332000</v>
      </c>
      <c r="AL54" s="46"/>
      <c r="AM54" s="46"/>
      <c r="AN54" s="46"/>
      <c r="AO54" s="46"/>
      <c r="AP54" s="46">
        <v>314877.99</v>
      </c>
      <c r="AQ54" s="46"/>
      <c r="AR54" s="46"/>
      <c r="AS54" s="46"/>
      <c r="AT54" s="46"/>
      <c r="AU54" s="46">
        <v>0</v>
      </c>
      <c r="AV54" s="46"/>
      <c r="AW54" s="46"/>
      <c r="AX54" s="46"/>
      <c r="AY54" s="46"/>
      <c r="AZ54" s="46">
        <f t="shared" si="1"/>
        <v>314877.99</v>
      </c>
      <c r="BA54" s="46"/>
      <c r="BB54" s="46"/>
      <c r="BC54" s="46"/>
      <c r="BD54" s="46">
        <f t="shared" si="2"/>
        <v>-17122.010000000009</v>
      </c>
      <c r="BE54" s="46"/>
      <c r="BF54" s="46"/>
      <c r="BG54" s="46"/>
      <c r="BH54" s="46"/>
      <c r="BI54" s="46">
        <f t="shared" si="3"/>
        <v>0</v>
      </c>
      <c r="BJ54" s="46"/>
      <c r="BK54" s="46"/>
      <c r="BL54" s="46"/>
      <c r="BM54" s="46"/>
      <c r="BN54" s="46">
        <f t="shared" si="4"/>
        <v>-17122.010000000009</v>
      </c>
      <c r="BO54" s="46"/>
      <c r="BP54" s="46"/>
      <c r="BQ54" s="46"/>
    </row>
    <row r="55" spans="1:69" ht="15" customHeight="1" x14ac:dyDescent="0.2">
      <c r="A55" s="30">
        <v>13</v>
      </c>
      <c r="B55" s="30"/>
      <c r="C55" s="31" t="s">
        <v>92</v>
      </c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3"/>
      <c r="AA55" s="46">
        <v>135026</v>
      </c>
      <c r="AB55" s="46"/>
      <c r="AC55" s="46"/>
      <c r="AD55" s="46"/>
      <c r="AE55" s="46"/>
      <c r="AF55" s="46">
        <v>0</v>
      </c>
      <c r="AG55" s="46"/>
      <c r="AH55" s="46"/>
      <c r="AI55" s="46"/>
      <c r="AJ55" s="46"/>
      <c r="AK55" s="46">
        <f t="shared" si="0"/>
        <v>135026</v>
      </c>
      <c r="AL55" s="46"/>
      <c r="AM55" s="46"/>
      <c r="AN55" s="46"/>
      <c r="AO55" s="46"/>
      <c r="AP55" s="46">
        <v>135026</v>
      </c>
      <c r="AQ55" s="46"/>
      <c r="AR55" s="46"/>
      <c r="AS55" s="46"/>
      <c r="AT55" s="46"/>
      <c r="AU55" s="46">
        <v>0</v>
      </c>
      <c r="AV55" s="46"/>
      <c r="AW55" s="46"/>
      <c r="AX55" s="46"/>
      <c r="AY55" s="46"/>
      <c r="AZ55" s="46">
        <f t="shared" si="1"/>
        <v>135026</v>
      </c>
      <c r="BA55" s="46"/>
      <c r="BB55" s="46"/>
      <c r="BC55" s="46"/>
      <c r="BD55" s="46">
        <f t="shared" si="2"/>
        <v>0</v>
      </c>
      <c r="BE55" s="46"/>
      <c r="BF55" s="46"/>
      <c r="BG55" s="46"/>
      <c r="BH55" s="46"/>
      <c r="BI55" s="46">
        <f t="shared" si="3"/>
        <v>0</v>
      </c>
      <c r="BJ55" s="46"/>
      <c r="BK55" s="46"/>
      <c r="BL55" s="46"/>
      <c r="BM55" s="46"/>
      <c r="BN55" s="46">
        <f t="shared" si="4"/>
        <v>0</v>
      </c>
      <c r="BO55" s="46"/>
      <c r="BP55" s="46"/>
      <c r="BQ55" s="46"/>
    </row>
    <row r="56" spans="1:69" ht="15" customHeight="1" x14ac:dyDescent="0.2">
      <c r="A56" s="30">
        <v>14</v>
      </c>
      <c r="B56" s="30"/>
      <c r="C56" s="31" t="s">
        <v>93</v>
      </c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3"/>
      <c r="AA56" s="46">
        <v>37557</v>
      </c>
      <c r="AB56" s="46"/>
      <c r="AC56" s="46"/>
      <c r="AD56" s="46"/>
      <c r="AE56" s="46"/>
      <c r="AF56" s="46">
        <v>0</v>
      </c>
      <c r="AG56" s="46"/>
      <c r="AH56" s="46"/>
      <c r="AI56" s="46"/>
      <c r="AJ56" s="46"/>
      <c r="AK56" s="46">
        <f t="shared" si="0"/>
        <v>37557</v>
      </c>
      <c r="AL56" s="46"/>
      <c r="AM56" s="46"/>
      <c r="AN56" s="46"/>
      <c r="AO56" s="46"/>
      <c r="AP56" s="46">
        <v>37557</v>
      </c>
      <c r="AQ56" s="46"/>
      <c r="AR56" s="46"/>
      <c r="AS56" s="46"/>
      <c r="AT56" s="46"/>
      <c r="AU56" s="46">
        <v>0</v>
      </c>
      <c r="AV56" s="46"/>
      <c r="AW56" s="46"/>
      <c r="AX56" s="46"/>
      <c r="AY56" s="46"/>
      <c r="AZ56" s="46">
        <f t="shared" si="1"/>
        <v>37557</v>
      </c>
      <c r="BA56" s="46"/>
      <c r="BB56" s="46"/>
      <c r="BC56" s="46"/>
      <c r="BD56" s="46">
        <f t="shared" si="2"/>
        <v>0</v>
      </c>
      <c r="BE56" s="46"/>
      <c r="BF56" s="46"/>
      <c r="BG56" s="46"/>
      <c r="BH56" s="46"/>
      <c r="BI56" s="46">
        <f t="shared" si="3"/>
        <v>0</v>
      </c>
      <c r="BJ56" s="46"/>
      <c r="BK56" s="46"/>
      <c r="BL56" s="46"/>
      <c r="BM56" s="46"/>
      <c r="BN56" s="46">
        <f t="shared" si="4"/>
        <v>0</v>
      </c>
      <c r="BO56" s="46"/>
      <c r="BP56" s="46"/>
      <c r="BQ56" s="46"/>
    </row>
    <row r="57" spans="1:69" ht="25.5" customHeight="1" x14ac:dyDescent="0.2">
      <c r="A57" s="30">
        <v>15</v>
      </c>
      <c r="B57" s="30"/>
      <c r="C57" s="31" t="s">
        <v>94</v>
      </c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3"/>
      <c r="AA57" s="46">
        <v>7200</v>
      </c>
      <c r="AB57" s="46"/>
      <c r="AC57" s="46"/>
      <c r="AD57" s="46"/>
      <c r="AE57" s="46"/>
      <c r="AF57" s="46">
        <v>0</v>
      </c>
      <c r="AG57" s="46"/>
      <c r="AH57" s="46"/>
      <c r="AI57" s="46"/>
      <c r="AJ57" s="46"/>
      <c r="AK57" s="46">
        <f t="shared" si="0"/>
        <v>7200</v>
      </c>
      <c r="AL57" s="46"/>
      <c r="AM57" s="46"/>
      <c r="AN57" s="46"/>
      <c r="AO57" s="46"/>
      <c r="AP57" s="46">
        <v>7200</v>
      </c>
      <c r="AQ57" s="46"/>
      <c r="AR57" s="46"/>
      <c r="AS57" s="46"/>
      <c r="AT57" s="46"/>
      <c r="AU57" s="46">
        <v>0</v>
      </c>
      <c r="AV57" s="46"/>
      <c r="AW57" s="46"/>
      <c r="AX57" s="46"/>
      <c r="AY57" s="46"/>
      <c r="AZ57" s="46">
        <f t="shared" si="1"/>
        <v>7200</v>
      </c>
      <c r="BA57" s="46"/>
      <c r="BB57" s="46"/>
      <c r="BC57" s="46"/>
      <c r="BD57" s="46">
        <f t="shared" si="2"/>
        <v>0</v>
      </c>
      <c r="BE57" s="46"/>
      <c r="BF57" s="46"/>
      <c r="BG57" s="46"/>
      <c r="BH57" s="46"/>
      <c r="BI57" s="46">
        <f t="shared" si="3"/>
        <v>0</v>
      </c>
      <c r="BJ57" s="46"/>
      <c r="BK57" s="46"/>
      <c r="BL57" s="46"/>
      <c r="BM57" s="46"/>
      <c r="BN57" s="46">
        <f t="shared" si="4"/>
        <v>0</v>
      </c>
      <c r="BO57" s="46"/>
      <c r="BP57" s="46"/>
      <c r="BQ57" s="46"/>
    </row>
    <row r="58" spans="1:69" ht="25.5" customHeight="1" x14ac:dyDescent="0.2">
      <c r="A58" s="30">
        <v>16</v>
      </c>
      <c r="B58" s="30"/>
      <c r="C58" s="31" t="s">
        <v>95</v>
      </c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3"/>
      <c r="AA58" s="46">
        <v>7686</v>
      </c>
      <c r="AB58" s="46"/>
      <c r="AC58" s="46"/>
      <c r="AD58" s="46"/>
      <c r="AE58" s="46"/>
      <c r="AF58" s="46">
        <v>0</v>
      </c>
      <c r="AG58" s="46"/>
      <c r="AH58" s="46"/>
      <c r="AI58" s="46"/>
      <c r="AJ58" s="46"/>
      <c r="AK58" s="46">
        <f t="shared" si="0"/>
        <v>7686</v>
      </c>
      <c r="AL58" s="46"/>
      <c r="AM58" s="46"/>
      <c r="AN58" s="46"/>
      <c r="AO58" s="46"/>
      <c r="AP58" s="46">
        <v>7686</v>
      </c>
      <c r="AQ58" s="46"/>
      <c r="AR58" s="46"/>
      <c r="AS58" s="46"/>
      <c r="AT58" s="46"/>
      <c r="AU58" s="46">
        <v>0</v>
      </c>
      <c r="AV58" s="46"/>
      <c r="AW58" s="46"/>
      <c r="AX58" s="46"/>
      <c r="AY58" s="46"/>
      <c r="AZ58" s="46">
        <f t="shared" si="1"/>
        <v>7686</v>
      </c>
      <c r="BA58" s="46"/>
      <c r="BB58" s="46"/>
      <c r="BC58" s="46"/>
      <c r="BD58" s="46">
        <f t="shared" si="2"/>
        <v>0</v>
      </c>
      <c r="BE58" s="46"/>
      <c r="BF58" s="46"/>
      <c r="BG58" s="46"/>
      <c r="BH58" s="46"/>
      <c r="BI58" s="46">
        <f t="shared" si="3"/>
        <v>0</v>
      </c>
      <c r="BJ58" s="46"/>
      <c r="BK58" s="46"/>
      <c r="BL58" s="46"/>
      <c r="BM58" s="46"/>
      <c r="BN58" s="46">
        <f t="shared" si="4"/>
        <v>0</v>
      </c>
      <c r="BO58" s="46"/>
      <c r="BP58" s="46"/>
      <c r="BQ58" s="46"/>
    </row>
    <row r="59" spans="1:69" ht="15" customHeight="1" x14ac:dyDescent="0.2">
      <c r="A59" s="30">
        <v>17</v>
      </c>
      <c r="B59" s="30"/>
      <c r="C59" s="31" t="s">
        <v>96</v>
      </c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3"/>
      <c r="AA59" s="46">
        <v>95780</v>
      </c>
      <c r="AB59" s="46"/>
      <c r="AC59" s="46"/>
      <c r="AD59" s="46"/>
      <c r="AE59" s="46"/>
      <c r="AF59" s="46">
        <v>0</v>
      </c>
      <c r="AG59" s="46"/>
      <c r="AH59" s="46"/>
      <c r="AI59" s="46"/>
      <c r="AJ59" s="46"/>
      <c r="AK59" s="46">
        <f t="shared" si="0"/>
        <v>95780</v>
      </c>
      <c r="AL59" s="46"/>
      <c r="AM59" s="46"/>
      <c r="AN59" s="46"/>
      <c r="AO59" s="46"/>
      <c r="AP59" s="46">
        <v>95780</v>
      </c>
      <c r="AQ59" s="46"/>
      <c r="AR59" s="46"/>
      <c r="AS59" s="46"/>
      <c r="AT59" s="46"/>
      <c r="AU59" s="46">
        <v>0</v>
      </c>
      <c r="AV59" s="46"/>
      <c r="AW59" s="46"/>
      <c r="AX59" s="46"/>
      <c r="AY59" s="46"/>
      <c r="AZ59" s="46">
        <f t="shared" si="1"/>
        <v>95780</v>
      </c>
      <c r="BA59" s="46"/>
      <c r="BB59" s="46"/>
      <c r="BC59" s="46"/>
      <c r="BD59" s="46">
        <f t="shared" si="2"/>
        <v>0</v>
      </c>
      <c r="BE59" s="46"/>
      <c r="BF59" s="46"/>
      <c r="BG59" s="46"/>
      <c r="BH59" s="46"/>
      <c r="BI59" s="46">
        <f t="shared" si="3"/>
        <v>0</v>
      </c>
      <c r="BJ59" s="46"/>
      <c r="BK59" s="46"/>
      <c r="BL59" s="46"/>
      <c r="BM59" s="46"/>
      <c r="BN59" s="46">
        <f t="shared" si="4"/>
        <v>0</v>
      </c>
      <c r="BO59" s="46"/>
      <c r="BP59" s="46"/>
      <c r="BQ59" s="46"/>
    </row>
    <row r="60" spans="1:69" ht="15" customHeight="1" x14ac:dyDescent="0.2">
      <c r="A60" s="30">
        <v>18</v>
      </c>
      <c r="B60" s="30"/>
      <c r="C60" s="31" t="s">
        <v>97</v>
      </c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3"/>
      <c r="AA60" s="46">
        <v>51606</v>
      </c>
      <c r="AB60" s="46"/>
      <c r="AC60" s="46"/>
      <c r="AD60" s="46"/>
      <c r="AE60" s="46"/>
      <c r="AF60" s="46">
        <v>0</v>
      </c>
      <c r="AG60" s="46"/>
      <c r="AH60" s="46"/>
      <c r="AI60" s="46"/>
      <c r="AJ60" s="46"/>
      <c r="AK60" s="46">
        <f t="shared" si="0"/>
        <v>51606</v>
      </c>
      <c r="AL60" s="46"/>
      <c r="AM60" s="46"/>
      <c r="AN60" s="46"/>
      <c r="AO60" s="46"/>
      <c r="AP60" s="46">
        <v>50900</v>
      </c>
      <c r="AQ60" s="46"/>
      <c r="AR60" s="46"/>
      <c r="AS60" s="46"/>
      <c r="AT60" s="46"/>
      <c r="AU60" s="46">
        <v>0</v>
      </c>
      <c r="AV60" s="46"/>
      <c r="AW60" s="46"/>
      <c r="AX60" s="46"/>
      <c r="AY60" s="46"/>
      <c r="AZ60" s="46">
        <f t="shared" si="1"/>
        <v>50900</v>
      </c>
      <c r="BA60" s="46"/>
      <c r="BB60" s="46"/>
      <c r="BC60" s="46"/>
      <c r="BD60" s="46">
        <f t="shared" si="2"/>
        <v>-706</v>
      </c>
      <c r="BE60" s="46"/>
      <c r="BF60" s="46"/>
      <c r="BG60" s="46"/>
      <c r="BH60" s="46"/>
      <c r="BI60" s="46">
        <f t="shared" si="3"/>
        <v>0</v>
      </c>
      <c r="BJ60" s="46"/>
      <c r="BK60" s="46"/>
      <c r="BL60" s="46"/>
      <c r="BM60" s="46"/>
      <c r="BN60" s="46">
        <f t="shared" si="4"/>
        <v>-706</v>
      </c>
      <c r="BO60" s="46"/>
      <c r="BP60" s="46"/>
      <c r="BQ60" s="46"/>
    </row>
    <row r="61" spans="1:69" ht="15" customHeight="1" x14ac:dyDescent="0.2">
      <c r="A61" s="30">
        <v>19</v>
      </c>
      <c r="B61" s="30"/>
      <c r="C61" s="31" t="s">
        <v>98</v>
      </c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3"/>
      <c r="AA61" s="46">
        <v>27600</v>
      </c>
      <c r="AB61" s="46"/>
      <c r="AC61" s="46"/>
      <c r="AD61" s="46"/>
      <c r="AE61" s="46"/>
      <c r="AF61" s="46">
        <v>0</v>
      </c>
      <c r="AG61" s="46"/>
      <c r="AH61" s="46"/>
      <c r="AI61" s="46"/>
      <c r="AJ61" s="46"/>
      <c r="AK61" s="46">
        <f t="shared" si="0"/>
        <v>27600</v>
      </c>
      <c r="AL61" s="46"/>
      <c r="AM61" s="46"/>
      <c r="AN61" s="46"/>
      <c r="AO61" s="46"/>
      <c r="AP61" s="46">
        <v>12320</v>
      </c>
      <c r="AQ61" s="46"/>
      <c r="AR61" s="46"/>
      <c r="AS61" s="46"/>
      <c r="AT61" s="46"/>
      <c r="AU61" s="46">
        <v>0</v>
      </c>
      <c r="AV61" s="46"/>
      <c r="AW61" s="46"/>
      <c r="AX61" s="46"/>
      <c r="AY61" s="46"/>
      <c r="AZ61" s="46">
        <f t="shared" si="1"/>
        <v>12320</v>
      </c>
      <c r="BA61" s="46"/>
      <c r="BB61" s="46"/>
      <c r="BC61" s="46"/>
      <c r="BD61" s="46">
        <f t="shared" si="2"/>
        <v>-15280</v>
      </c>
      <c r="BE61" s="46"/>
      <c r="BF61" s="46"/>
      <c r="BG61" s="46"/>
      <c r="BH61" s="46"/>
      <c r="BI61" s="46">
        <f t="shared" si="3"/>
        <v>0</v>
      </c>
      <c r="BJ61" s="46"/>
      <c r="BK61" s="46"/>
      <c r="BL61" s="46"/>
      <c r="BM61" s="46"/>
      <c r="BN61" s="46">
        <f t="shared" si="4"/>
        <v>-15280</v>
      </c>
      <c r="BO61" s="46"/>
      <c r="BP61" s="46"/>
      <c r="BQ61" s="46"/>
    </row>
    <row r="62" spans="1:69" ht="15" customHeight="1" x14ac:dyDescent="0.2">
      <c r="A62" s="30">
        <v>20</v>
      </c>
      <c r="B62" s="30"/>
      <c r="C62" s="31" t="s">
        <v>99</v>
      </c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3"/>
      <c r="AA62" s="46">
        <v>851635</v>
      </c>
      <c r="AB62" s="46"/>
      <c r="AC62" s="46"/>
      <c r="AD62" s="46"/>
      <c r="AE62" s="46"/>
      <c r="AF62" s="46">
        <v>0</v>
      </c>
      <c r="AG62" s="46"/>
      <c r="AH62" s="46"/>
      <c r="AI62" s="46"/>
      <c r="AJ62" s="46"/>
      <c r="AK62" s="46">
        <f t="shared" si="0"/>
        <v>851635</v>
      </c>
      <c r="AL62" s="46"/>
      <c r="AM62" s="46"/>
      <c r="AN62" s="46"/>
      <c r="AO62" s="46"/>
      <c r="AP62" s="46">
        <v>837870</v>
      </c>
      <c r="AQ62" s="46"/>
      <c r="AR62" s="46"/>
      <c r="AS62" s="46"/>
      <c r="AT62" s="46"/>
      <c r="AU62" s="46">
        <v>0</v>
      </c>
      <c r="AV62" s="46"/>
      <c r="AW62" s="46"/>
      <c r="AX62" s="46"/>
      <c r="AY62" s="46"/>
      <c r="AZ62" s="46">
        <f t="shared" si="1"/>
        <v>837870</v>
      </c>
      <c r="BA62" s="46"/>
      <c r="BB62" s="46"/>
      <c r="BC62" s="46"/>
      <c r="BD62" s="46">
        <f t="shared" si="2"/>
        <v>-13765</v>
      </c>
      <c r="BE62" s="46"/>
      <c r="BF62" s="46"/>
      <c r="BG62" s="46"/>
      <c r="BH62" s="46"/>
      <c r="BI62" s="46">
        <f t="shared" si="3"/>
        <v>0</v>
      </c>
      <c r="BJ62" s="46"/>
      <c r="BK62" s="46"/>
      <c r="BL62" s="46"/>
      <c r="BM62" s="46"/>
      <c r="BN62" s="46">
        <f t="shared" si="4"/>
        <v>-13765</v>
      </c>
      <c r="BO62" s="46"/>
      <c r="BP62" s="46"/>
      <c r="BQ62" s="46"/>
    </row>
    <row r="63" spans="1:69" ht="15" customHeight="1" x14ac:dyDescent="0.2">
      <c r="A63" s="30">
        <v>21</v>
      </c>
      <c r="B63" s="30"/>
      <c r="C63" s="31" t="s">
        <v>100</v>
      </c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3"/>
      <c r="AA63" s="46">
        <v>16800</v>
      </c>
      <c r="AB63" s="46"/>
      <c r="AC63" s="46"/>
      <c r="AD63" s="46"/>
      <c r="AE63" s="46"/>
      <c r="AF63" s="46">
        <v>0</v>
      </c>
      <c r="AG63" s="46"/>
      <c r="AH63" s="46"/>
      <c r="AI63" s="46"/>
      <c r="AJ63" s="46"/>
      <c r="AK63" s="46">
        <f t="shared" si="0"/>
        <v>16800</v>
      </c>
      <c r="AL63" s="46"/>
      <c r="AM63" s="46"/>
      <c r="AN63" s="46"/>
      <c r="AO63" s="46"/>
      <c r="AP63" s="46">
        <v>16800</v>
      </c>
      <c r="AQ63" s="46"/>
      <c r="AR63" s="46"/>
      <c r="AS63" s="46"/>
      <c r="AT63" s="46"/>
      <c r="AU63" s="46">
        <v>0</v>
      </c>
      <c r="AV63" s="46"/>
      <c r="AW63" s="46"/>
      <c r="AX63" s="46"/>
      <c r="AY63" s="46"/>
      <c r="AZ63" s="46">
        <f t="shared" si="1"/>
        <v>16800</v>
      </c>
      <c r="BA63" s="46"/>
      <c r="BB63" s="46"/>
      <c r="BC63" s="46"/>
      <c r="BD63" s="46">
        <f t="shared" si="2"/>
        <v>0</v>
      </c>
      <c r="BE63" s="46"/>
      <c r="BF63" s="46"/>
      <c r="BG63" s="46"/>
      <c r="BH63" s="46"/>
      <c r="BI63" s="46">
        <f t="shared" si="3"/>
        <v>0</v>
      </c>
      <c r="BJ63" s="46"/>
      <c r="BK63" s="46"/>
      <c r="BL63" s="46"/>
      <c r="BM63" s="46"/>
      <c r="BN63" s="46">
        <f t="shared" si="4"/>
        <v>0</v>
      </c>
      <c r="BO63" s="46"/>
      <c r="BP63" s="46"/>
      <c r="BQ63" s="46"/>
    </row>
    <row r="64" spans="1:69" ht="15" customHeight="1" x14ac:dyDescent="0.2">
      <c r="A64" s="30">
        <v>22</v>
      </c>
      <c r="B64" s="30"/>
      <c r="C64" s="31" t="s">
        <v>101</v>
      </c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3"/>
      <c r="AA64" s="46">
        <v>73150</v>
      </c>
      <c r="AB64" s="46"/>
      <c r="AC64" s="46"/>
      <c r="AD64" s="46"/>
      <c r="AE64" s="46"/>
      <c r="AF64" s="46">
        <v>0</v>
      </c>
      <c r="AG64" s="46"/>
      <c r="AH64" s="46"/>
      <c r="AI64" s="46"/>
      <c r="AJ64" s="46"/>
      <c r="AK64" s="46">
        <f t="shared" si="0"/>
        <v>73150</v>
      </c>
      <c r="AL64" s="46"/>
      <c r="AM64" s="46"/>
      <c r="AN64" s="46"/>
      <c r="AO64" s="46"/>
      <c r="AP64" s="46">
        <v>25038.71</v>
      </c>
      <c r="AQ64" s="46"/>
      <c r="AR64" s="46"/>
      <c r="AS64" s="46"/>
      <c r="AT64" s="46"/>
      <c r="AU64" s="46">
        <v>0</v>
      </c>
      <c r="AV64" s="46"/>
      <c r="AW64" s="46"/>
      <c r="AX64" s="46"/>
      <c r="AY64" s="46"/>
      <c r="AZ64" s="46">
        <f t="shared" si="1"/>
        <v>25038.71</v>
      </c>
      <c r="BA64" s="46"/>
      <c r="BB64" s="46"/>
      <c r="BC64" s="46"/>
      <c r="BD64" s="46">
        <f t="shared" si="2"/>
        <v>-48111.29</v>
      </c>
      <c r="BE64" s="46"/>
      <c r="BF64" s="46"/>
      <c r="BG64" s="46"/>
      <c r="BH64" s="46"/>
      <c r="BI64" s="46">
        <f t="shared" si="3"/>
        <v>0</v>
      </c>
      <c r="BJ64" s="46"/>
      <c r="BK64" s="46"/>
      <c r="BL64" s="46"/>
      <c r="BM64" s="46"/>
      <c r="BN64" s="46">
        <f t="shared" si="4"/>
        <v>-48111.29</v>
      </c>
      <c r="BO64" s="46"/>
      <c r="BP64" s="46"/>
      <c r="BQ64" s="46"/>
    </row>
    <row r="65" spans="1:69" ht="15" customHeight="1" x14ac:dyDescent="0.2">
      <c r="A65" s="30">
        <v>23</v>
      </c>
      <c r="B65" s="30"/>
      <c r="C65" s="31" t="s">
        <v>102</v>
      </c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3"/>
      <c r="AA65" s="46">
        <v>2776540</v>
      </c>
      <c r="AB65" s="46"/>
      <c r="AC65" s="46"/>
      <c r="AD65" s="46"/>
      <c r="AE65" s="46"/>
      <c r="AF65" s="46">
        <v>0</v>
      </c>
      <c r="AG65" s="46"/>
      <c r="AH65" s="46"/>
      <c r="AI65" s="46"/>
      <c r="AJ65" s="46"/>
      <c r="AK65" s="46">
        <f t="shared" si="0"/>
        <v>2776540</v>
      </c>
      <c r="AL65" s="46"/>
      <c r="AM65" s="46"/>
      <c r="AN65" s="46"/>
      <c r="AO65" s="46"/>
      <c r="AP65" s="46">
        <v>1883242.26</v>
      </c>
      <c r="AQ65" s="46"/>
      <c r="AR65" s="46"/>
      <c r="AS65" s="46"/>
      <c r="AT65" s="46"/>
      <c r="AU65" s="46">
        <v>0</v>
      </c>
      <c r="AV65" s="46"/>
      <c r="AW65" s="46"/>
      <c r="AX65" s="46"/>
      <c r="AY65" s="46"/>
      <c r="AZ65" s="46">
        <f t="shared" si="1"/>
        <v>1883242.26</v>
      </c>
      <c r="BA65" s="46"/>
      <c r="BB65" s="46"/>
      <c r="BC65" s="46"/>
      <c r="BD65" s="46">
        <f t="shared" si="2"/>
        <v>-893297.74</v>
      </c>
      <c r="BE65" s="46"/>
      <c r="BF65" s="46"/>
      <c r="BG65" s="46"/>
      <c r="BH65" s="46"/>
      <c r="BI65" s="46">
        <f t="shared" si="3"/>
        <v>0</v>
      </c>
      <c r="BJ65" s="46"/>
      <c r="BK65" s="46"/>
      <c r="BL65" s="46"/>
      <c r="BM65" s="46"/>
      <c r="BN65" s="46">
        <f t="shared" si="4"/>
        <v>-893297.74</v>
      </c>
      <c r="BO65" s="46"/>
      <c r="BP65" s="46"/>
      <c r="BQ65" s="46"/>
    </row>
    <row r="66" spans="1:69" ht="15" customHeight="1" x14ac:dyDescent="0.2">
      <c r="A66" s="30">
        <v>24</v>
      </c>
      <c r="B66" s="30"/>
      <c r="C66" s="31" t="s">
        <v>103</v>
      </c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3"/>
      <c r="AA66" s="46">
        <v>2462449</v>
      </c>
      <c r="AB66" s="46"/>
      <c r="AC66" s="46"/>
      <c r="AD66" s="46"/>
      <c r="AE66" s="46"/>
      <c r="AF66" s="46">
        <v>0</v>
      </c>
      <c r="AG66" s="46"/>
      <c r="AH66" s="46"/>
      <c r="AI66" s="46"/>
      <c r="AJ66" s="46"/>
      <c r="AK66" s="46">
        <f t="shared" si="0"/>
        <v>2462449</v>
      </c>
      <c r="AL66" s="46"/>
      <c r="AM66" s="46"/>
      <c r="AN66" s="46"/>
      <c r="AO66" s="46"/>
      <c r="AP66" s="46">
        <v>2270218.2200000002</v>
      </c>
      <c r="AQ66" s="46"/>
      <c r="AR66" s="46"/>
      <c r="AS66" s="46"/>
      <c r="AT66" s="46"/>
      <c r="AU66" s="46">
        <v>0</v>
      </c>
      <c r="AV66" s="46"/>
      <c r="AW66" s="46"/>
      <c r="AX66" s="46"/>
      <c r="AY66" s="46"/>
      <c r="AZ66" s="46">
        <f t="shared" si="1"/>
        <v>2270218.2200000002</v>
      </c>
      <c r="BA66" s="46"/>
      <c r="BB66" s="46"/>
      <c r="BC66" s="46"/>
      <c r="BD66" s="46">
        <f t="shared" si="2"/>
        <v>-192230.7799999998</v>
      </c>
      <c r="BE66" s="46"/>
      <c r="BF66" s="46"/>
      <c r="BG66" s="46"/>
      <c r="BH66" s="46"/>
      <c r="BI66" s="46">
        <f t="shared" si="3"/>
        <v>0</v>
      </c>
      <c r="BJ66" s="46"/>
      <c r="BK66" s="46"/>
      <c r="BL66" s="46"/>
      <c r="BM66" s="46"/>
      <c r="BN66" s="46">
        <f t="shared" si="4"/>
        <v>-192230.7799999998</v>
      </c>
      <c r="BO66" s="46"/>
      <c r="BP66" s="46"/>
      <c r="BQ66" s="46"/>
    </row>
    <row r="67" spans="1:69" ht="15" customHeight="1" x14ac:dyDescent="0.2">
      <c r="A67" s="30">
        <v>25</v>
      </c>
      <c r="B67" s="30"/>
      <c r="C67" s="31" t="s">
        <v>104</v>
      </c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3"/>
      <c r="AA67" s="46">
        <v>1308403</v>
      </c>
      <c r="AB67" s="46"/>
      <c r="AC67" s="46"/>
      <c r="AD67" s="46"/>
      <c r="AE67" s="46"/>
      <c r="AF67" s="46">
        <v>0</v>
      </c>
      <c r="AG67" s="46"/>
      <c r="AH67" s="46"/>
      <c r="AI67" s="46"/>
      <c r="AJ67" s="46"/>
      <c r="AK67" s="46">
        <f t="shared" si="0"/>
        <v>1308403</v>
      </c>
      <c r="AL67" s="46"/>
      <c r="AM67" s="46"/>
      <c r="AN67" s="46"/>
      <c r="AO67" s="46"/>
      <c r="AP67" s="46">
        <v>249616.39</v>
      </c>
      <c r="AQ67" s="46"/>
      <c r="AR67" s="46"/>
      <c r="AS67" s="46"/>
      <c r="AT67" s="46"/>
      <c r="AU67" s="46">
        <v>0</v>
      </c>
      <c r="AV67" s="46"/>
      <c r="AW67" s="46"/>
      <c r="AX67" s="46"/>
      <c r="AY67" s="46"/>
      <c r="AZ67" s="46">
        <f t="shared" si="1"/>
        <v>249616.39</v>
      </c>
      <c r="BA67" s="46"/>
      <c r="BB67" s="46"/>
      <c r="BC67" s="46"/>
      <c r="BD67" s="46">
        <f t="shared" si="2"/>
        <v>-1058786.6099999999</v>
      </c>
      <c r="BE67" s="46"/>
      <c r="BF67" s="46"/>
      <c r="BG67" s="46"/>
      <c r="BH67" s="46"/>
      <c r="BI67" s="46">
        <f t="shared" si="3"/>
        <v>0</v>
      </c>
      <c r="BJ67" s="46"/>
      <c r="BK67" s="46"/>
      <c r="BL67" s="46"/>
      <c r="BM67" s="46"/>
      <c r="BN67" s="46">
        <f t="shared" si="4"/>
        <v>-1058786.6099999999</v>
      </c>
      <c r="BO67" s="46"/>
      <c r="BP67" s="46"/>
      <c r="BQ67" s="46"/>
    </row>
    <row r="68" spans="1:69" ht="15" customHeight="1" x14ac:dyDescent="0.2">
      <c r="A68" s="30">
        <v>26</v>
      </c>
      <c r="B68" s="30"/>
      <c r="C68" s="31" t="s">
        <v>105</v>
      </c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3"/>
      <c r="AA68" s="46">
        <v>14250</v>
      </c>
      <c r="AB68" s="46"/>
      <c r="AC68" s="46"/>
      <c r="AD68" s="46"/>
      <c r="AE68" s="46"/>
      <c r="AF68" s="46">
        <v>0</v>
      </c>
      <c r="AG68" s="46"/>
      <c r="AH68" s="46"/>
      <c r="AI68" s="46"/>
      <c r="AJ68" s="46"/>
      <c r="AK68" s="46">
        <f t="shared" si="0"/>
        <v>14250</v>
      </c>
      <c r="AL68" s="46"/>
      <c r="AM68" s="46"/>
      <c r="AN68" s="46"/>
      <c r="AO68" s="46"/>
      <c r="AP68" s="46">
        <v>14250</v>
      </c>
      <c r="AQ68" s="46"/>
      <c r="AR68" s="46"/>
      <c r="AS68" s="46"/>
      <c r="AT68" s="46"/>
      <c r="AU68" s="46">
        <v>0</v>
      </c>
      <c r="AV68" s="46"/>
      <c r="AW68" s="46"/>
      <c r="AX68" s="46"/>
      <c r="AY68" s="46"/>
      <c r="AZ68" s="46">
        <f t="shared" si="1"/>
        <v>14250</v>
      </c>
      <c r="BA68" s="46"/>
      <c r="BB68" s="46"/>
      <c r="BC68" s="46"/>
      <c r="BD68" s="46">
        <f t="shared" si="2"/>
        <v>0</v>
      </c>
      <c r="BE68" s="46"/>
      <c r="BF68" s="46"/>
      <c r="BG68" s="46"/>
      <c r="BH68" s="46"/>
      <c r="BI68" s="46">
        <f t="shared" si="3"/>
        <v>0</v>
      </c>
      <c r="BJ68" s="46"/>
      <c r="BK68" s="46"/>
      <c r="BL68" s="46"/>
      <c r="BM68" s="46"/>
      <c r="BN68" s="46">
        <f t="shared" si="4"/>
        <v>0</v>
      </c>
      <c r="BO68" s="46"/>
      <c r="BP68" s="46"/>
      <c r="BQ68" s="46"/>
    </row>
    <row r="69" spans="1:69" ht="15" customHeight="1" x14ac:dyDescent="0.2">
      <c r="A69" s="30">
        <v>27</v>
      </c>
      <c r="B69" s="30"/>
      <c r="C69" s="31" t="s">
        <v>106</v>
      </c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3"/>
      <c r="AA69" s="46">
        <v>1796</v>
      </c>
      <c r="AB69" s="46"/>
      <c r="AC69" s="46"/>
      <c r="AD69" s="46"/>
      <c r="AE69" s="46"/>
      <c r="AF69" s="46">
        <v>0</v>
      </c>
      <c r="AG69" s="46"/>
      <c r="AH69" s="46"/>
      <c r="AI69" s="46"/>
      <c r="AJ69" s="46"/>
      <c r="AK69" s="46">
        <f t="shared" si="0"/>
        <v>1796</v>
      </c>
      <c r="AL69" s="46"/>
      <c r="AM69" s="46"/>
      <c r="AN69" s="46"/>
      <c r="AO69" s="46"/>
      <c r="AP69" s="46">
        <v>1295.81</v>
      </c>
      <c r="AQ69" s="46"/>
      <c r="AR69" s="46"/>
      <c r="AS69" s="46"/>
      <c r="AT69" s="46"/>
      <c r="AU69" s="46">
        <v>0</v>
      </c>
      <c r="AV69" s="46"/>
      <c r="AW69" s="46"/>
      <c r="AX69" s="46"/>
      <c r="AY69" s="46"/>
      <c r="AZ69" s="46">
        <f t="shared" si="1"/>
        <v>1295.81</v>
      </c>
      <c r="BA69" s="46"/>
      <c r="BB69" s="46"/>
      <c r="BC69" s="46"/>
      <c r="BD69" s="46">
        <f t="shared" si="2"/>
        <v>-500.19000000000005</v>
      </c>
      <c r="BE69" s="46"/>
      <c r="BF69" s="46"/>
      <c r="BG69" s="46"/>
      <c r="BH69" s="46"/>
      <c r="BI69" s="46">
        <f t="shared" si="3"/>
        <v>0</v>
      </c>
      <c r="BJ69" s="46"/>
      <c r="BK69" s="46"/>
      <c r="BL69" s="46"/>
      <c r="BM69" s="46"/>
      <c r="BN69" s="46">
        <f t="shared" si="4"/>
        <v>-500.19000000000005</v>
      </c>
      <c r="BO69" s="46"/>
      <c r="BP69" s="46"/>
      <c r="BQ69" s="46"/>
    </row>
    <row r="70" spans="1:69" ht="15" customHeight="1" x14ac:dyDescent="0.2">
      <c r="A70" s="30">
        <v>28</v>
      </c>
      <c r="B70" s="30"/>
      <c r="C70" s="31" t="s">
        <v>107</v>
      </c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3"/>
      <c r="AA70" s="46">
        <v>1241400</v>
      </c>
      <c r="AB70" s="46"/>
      <c r="AC70" s="46"/>
      <c r="AD70" s="46"/>
      <c r="AE70" s="46"/>
      <c r="AF70" s="46">
        <v>0</v>
      </c>
      <c r="AG70" s="46"/>
      <c r="AH70" s="46"/>
      <c r="AI70" s="46"/>
      <c r="AJ70" s="46"/>
      <c r="AK70" s="46">
        <f t="shared" si="0"/>
        <v>1241400</v>
      </c>
      <c r="AL70" s="46"/>
      <c r="AM70" s="46"/>
      <c r="AN70" s="46"/>
      <c r="AO70" s="46"/>
      <c r="AP70" s="46">
        <v>1241400</v>
      </c>
      <c r="AQ70" s="46"/>
      <c r="AR70" s="46"/>
      <c r="AS70" s="46"/>
      <c r="AT70" s="46"/>
      <c r="AU70" s="46">
        <v>0</v>
      </c>
      <c r="AV70" s="46"/>
      <c r="AW70" s="46"/>
      <c r="AX70" s="46"/>
      <c r="AY70" s="46"/>
      <c r="AZ70" s="46">
        <f t="shared" si="1"/>
        <v>1241400</v>
      </c>
      <c r="BA70" s="46"/>
      <c r="BB70" s="46"/>
      <c r="BC70" s="46"/>
      <c r="BD70" s="46">
        <f t="shared" si="2"/>
        <v>0</v>
      </c>
      <c r="BE70" s="46"/>
      <c r="BF70" s="46"/>
      <c r="BG70" s="46"/>
      <c r="BH70" s="46"/>
      <c r="BI70" s="46">
        <f t="shared" si="3"/>
        <v>0</v>
      </c>
      <c r="BJ70" s="46"/>
      <c r="BK70" s="46"/>
      <c r="BL70" s="46"/>
      <c r="BM70" s="46"/>
      <c r="BN70" s="46">
        <f t="shared" si="4"/>
        <v>0</v>
      </c>
      <c r="BO70" s="46"/>
      <c r="BP70" s="46"/>
      <c r="BQ70" s="46"/>
    </row>
    <row r="71" spans="1:69" ht="15" customHeight="1" x14ac:dyDescent="0.2">
      <c r="A71" s="30">
        <v>29</v>
      </c>
      <c r="B71" s="30"/>
      <c r="C71" s="31" t="s">
        <v>108</v>
      </c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3"/>
      <c r="AA71" s="46">
        <v>190000</v>
      </c>
      <c r="AB71" s="46"/>
      <c r="AC71" s="46"/>
      <c r="AD71" s="46"/>
      <c r="AE71" s="46"/>
      <c r="AF71" s="46">
        <v>0</v>
      </c>
      <c r="AG71" s="46"/>
      <c r="AH71" s="46"/>
      <c r="AI71" s="46"/>
      <c r="AJ71" s="46"/>
      <c r="AK71" s="46">
        <f t="shared" si="0"/>
        <v>190000</v>
      </c>
      <c r="AL71" s="46"/>
      <c r="AM71" s="46"/>
      <c r="AN71" s="46"/>
      <c r="AO71" s="46"/>
      <c r="AP71" s="46">
        <v>190000</v>
      </c>
      <c r="AQ71" s="46"/>
      <c r="AR71" s="46"/>
      <c r="AS71" s="46"/>
      <c r="AT71" s="46"/>
      <c r="AU71" s="46">
        <v>0</v>
      </c>
      <c r="AV71" s="46"/>
      <c r="AW71" s="46"/>
      <c r="AX71" s="46"/>
      <c r="AY71" s="46"/>
      <c r="AZ71" s="46">
        <f t="shared" si="1"/>
        <v>190000</v>
      </c>
      <c r="BA71" s="46"/>
      <c r="BB71" s="46"/>
      <c r="BC71" s="46"/>
      <c r="BD71" s="46">
        <f t="shared" si="2"/>
        <v>0</v>
      </c>
      <c r="BE71" s="46"/>
      <c r="BF71" s="46"/>
      <c r="BG71" s="46"/>
      <c r="BH71" s="46"/>
      <c r="BI71" s="46">
        <f t="shared" si="3"/>
        <v>0</v>
      </c>
      <c r="BJ71" s="46"/>
      <c r="BK71" s="46"/>
      <c r="BL71" s="46"/>
      <c r="BM71" s="46"/>
      <c r="BN71" s="46">
        <f t="shared" si="4"/>
        <v>0</v>
      </c>
      <c r="BO71" s="46"/>
      <c r="BP71" s="46"/>
      <c r="BQ71" s="46"/>
    </row>
    <row r="72" spans="1:69" ht="51" customHeight="1" x14ac:dyDescent="0.2">
      <c r="A72" s="30">
        <v>30</v>
      </c>
      <c r="B72" s="30"/>
      <c r="C72" s="31" t="s">
        <v>109</v>
      </c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3"/>
      <c r="AA72" s="46">
        <v>49500</v>
      </c>
      <c r="AB72" s="46"/>
      <c r="AC72" s="46"/>
      <c r="AD72" s="46"/>
      <c r="AE72" s="46"/>
      <c r="AF72" s="46">
        <v>0</v>
      </c>
      <c r="AG72" s="46"/>
      <c r="AH72" s="46"/>
      <c r="AI72" s="46"/>
      <c r="AJ72" s="46"/>
      <c r="AK72" s="46">
        <f t="shared" si="0"/>
        <v>49500</v>
      </c>
      <c r="AL72" s="46"/>
      <c r="AM72" s="46"/>
      <c r="AN72" s="46"/>
      <c r="AO72" s="46"/>
      <c r="AP72" s="46">
        <v>49500</v>
      </c>
      <c r="AQ72" s="46"/>
      <c r="AR72" s="46"/>
      <c r="AS72" s="46"/>
      <c r="AT72" s="46"/>
      <c r="AU72" s="46">
        <v>0</v>
      </c>
      <c r="AV72" s="46"/>
      <c r="AW72" s="46"/>
      <c r="AX72" s="46"/>
      <c r="AY72" s="46"/>
      <c r="AZ72" s="46">
        <f t="shared" si="1"/>
        <v>49500</v>
      </c>
      <c r="BA72" s="46"/>
      <c r="BB72" s="46"/>
      <c r="BC72" s="46"/>
      <c r="BD72" s="46">
        <f t="shared" si="2"/>
        <v>0</v>
      </c>
      <c r="BE72" s="46"/>
      <c r="BF72" s="46"/>
      <c r="BG72" s="46"/>
      <c r="BH72" s="46"/>
      <c r="BI72" s="46">
        <f t="shared" si="3"/>
        <v>0</v>
      </c>
      <c r="BJ72" s="46"/>
      <c r="BK72" s="46"/>
      <c r="BL72" s="46"/>
      <c r="BM72" s="46"/>
      <c r="BN72" s="46">
        <f t="shared" si="4"/>
        <v>0</v>
      </c>
      <c r="BO72" s="46"/>
      <c r="BP72" s="46"/>
      <c r="BQ72" s="46"/>
    </row>
    <row r="73" spans="1:69" ht="38.25" customHeight="1" x14ac:dyDescent="0.2">
      <c r="A73" s="30">
        <v>31</v>
      </c>
      <c r="B73" s="30"/>
      <c r="C73" s="31" t="s">
        <v>110</v>
      </c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3"/>
      <c r="AA73" s="46">
        <v>21798</v>
      </c>
      <c r="AB73" s="46"/>
      <c r="AC73" s="46"/>
      <c r="AD73" s="46"/>
      <c r="AE73" s="46"/>
      <c r="AF73" s="46">
        <v>0</v>
      </c>
      <c r="AG73" s="46"/>
      <c r="AH73" s="46"/>
      <c r="AI73" s="46"/>
      <c r="AJ73" s="46"/>
      <c r="AK73" s="46">
        <f t="shared" si="0"/>
        <v>21798</v>
      </c>
      <c r="AL73" s="46"/>
      <c r="AM73" s="46"/>
      <c r="AN73" s="46"/>
      <c r="AO73" s="46"/>
      <c r="AP73" s="46">
        <v>21798</v>
      </c>
      <c r="AQ73" s="46"/>
      <c r="AR73" s="46"/>
      <c r="AS73" s="46"/>
      <c r="AT73" s="46"/>
      <c r="AU73" s="46">
        <v>0</v>
      </c>
      <c r="AV73" s="46"/>
      <c r="AW73" s="46"/>
      <c r="AX73" s="46"/>
      <c r="AY73" s="46"/>
      <c r="AZ73" s="46">
        <f t="shared" si="1"/>
        <v>21798</v>
      </c>
      <c r="BA73" s="46"/>
      <c r="BB73" s="46"/>
      <c r="BC73" s="46"/>
      <c r="BD73" s="46">
        <f t="shared" si="2"/>
        <v>0</v>
      </c>
      <c r="BE73" s="46"/>
      <c r="BF73" s="46"/>
      <c r="BG73" s="46"/>
      <c r="BH73" s="46"/>
      <c r="BI73" s="46">
        <f t="shared" si="3"/>
        <v>0</v>
      </c>
      <c r="BJ73" s="46"/>
      <c r="BK73" s="46"/>
      <c r="BL73" s="46"/>
      <c r="BM73" s="46"/>
      <c r="BN73" s="46">
        <f t="shared" si="4"/>
        <v>0</v>
      </c>
      <c r="BO73" s="46"/>
      <c r="BP73" s="46"/>
      <c r="BQ73" s="46"/>
    </row>
    <row r="74" spans="1:69" ht="25.5" customHeight="1" x14ac:dyDescent="0.2">
      <c r="A74" s="30">
        <v>32</v>
      </c>
      <c r="B74" s="30"/>
      <c r="C74" s="31" t="s">
        <v>111</v>
      </c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3"/>
      <c r="AA74" s="46">
        <v>65290</v>
      </c>
      <c r="AB74" s="46"/>
      <c r="AC74" s="46"/>
      <c r="AD74" s="46"/>
      <c r="AE74" s="46"/>
      <c r="AF74" s="46">
        <v>0</v>
      </c>
      <c r="AG74" s="46"/>
      <c r="AH74" s="46"/>
      <c r="AI74" s="46"/>
      <c r="AJ74" s="46"/>
      <c r="AK74" s="46">
        <f t="shared" si="0"/>
        <v>65290</v>
      </c>
      <c r="AL74" s="46"/>
      <c r="AM74" s="46"/>
      <c r="AN74" s="46"/>
      <c r="AO74" s="46"/>
      <c r="AP74" s="46">
        <v>65290</v>
      </c>
      <c r="AQ74" s="46"/>
      <c r="AR74" s="46"/>
      <c r="AS74" s="46"/>
      <c r="AT74" s="46"/>
      <c r="AU74" s="46">
        <v>0</v>
      </c>
      <c r="AV74" s="46"/>
      <c r="AW74" s="46"/>
      <c r="AX74" s="46"/>
      <c r="AY74" s="46"/>
      <c r="AZ74" s="46">
        <f t="shared" si="1"/>
        <v>65290</v>
      </c>
      <c r="BA74" s="46"/>
      <c r="BB74" s="46"/>
      <c r="BC74" s="46"/>
      <c r="BD74" s="46">
        <f t="shared" si="2"/>
        <v>0</v>
      </c>
      <c r="BE74" s="46"/>
      <c r="BF74" s="46"/>
      <c r="BG74" s="46"/>
      <c r="BH74" s="46"/>
      <c r="BI74" s="46">
        <f t="shared" si="3"/>
        <v>0</v>
      </c>
      <c r="BJ74" s="46"/>
      <c r="BK74" s="46"/>
      <c r="BL74" s="46"/>
      <c r="BM74" s="46"/>
      <c r="BN74" s="46">
        <f t="shared" si="4"/>
        <v>0</v>
      </c>
      <c r="BO74" s="46"/>
      <c r="BP74" s="46"/>
      <c r="BQ74" s="46"/>
    </row>
    <row r="75" spans="1:69" ht="38.25" customHeight="1" x14ac:dyDescent="0.2">
      <c r="A75" s="30">
        <v>33</v>
      </c>
      <c r="B75" s="30"/>
      <c r="C75" s="31" t="s">
        <v>112</v>
      </c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3"/>
      <c r="AA75" s="46">
        <v>16000</v>
      </c>
      <c r="AB75" s="46"/>
      <c r="AC75" s="46"/>
      <c r="AD75" s="46"/>
      <c r="AE75" s="46"/>
      <c r="AF75" s="46">
        <v>0</v>
      </c>
      <c r="AG75" s="46"/>
      <c r="AH75" s="46"/>
      <c r="AI75" s="46"/>
      <c r="AJ75" s="46"/>
      <c r="AK75" s="46">
        <f t="shared" ref="AK75:AK91" si="5">AA75+AF75</f>
        <v>16000</v>
      </c>
      <c r="AL75" s="46"/>
      <c r="AM75" s="46"/>
      <c r="AN75" s="46"/>
      <c r="AO75" s="46"/>
      <c r="AP75" s="46">
        <v>16000</v>
      </c>
      <c r="AQ75" s="46"/>
      <c r="AR75" s="46"/>
      <c r="AS75" s="46"/>
      <c r="AT75" s="46"/>
      <c r="AU75" s="46">
        <v>0</v>
      </c>
      <c r="AV75" s="46"/>
      <c r="AW75" s="46"/>
      <c r="AX75" s="46"/>
      <c r="AY75" s="46"/>
      <c r="AZ75" s="46">
        <f t="shared" ref="AZ75:AZ91" si="6">AP75+AU75</f>
        <v>16000</v>
      </c>
      <c r="BA75" s="46"/>
      <c r="BB75" s="46"/>
      <c r="BC75" s="46"/>
      <c r="BD75" s="46">
        <f t="shared" ref="BD75:BD91" si="7">AP75-AA75</f>
        <v>0</v>
      </c>
      <c r="BE75" s="46"/>
      <c r="BF75" s="46"/>
      <c r="BG75" s="46"/>
      <c r="BH75" s="46"/>
      <c r="BI75" s="46">
        <f t="shared" ref="BI75:BI91" si="8">AU75-AF75</f>
        <v>0</v>
      </c>
      <c r="BJ75" s="46"/>
      <c r="BK75" s="46"/>
      <c r="BL75" s="46"/>
      <c r="BM75" s="46"/>
      <c r="BN75" s="46">
        <f t="shared" ref="BN75:BN91" si="9">BD75+BI75</f>
        <v>0</v>
      </c>
      <c r="BO75" s="46"/>
      <c r="BP75" s="46"/>
      <c r="BQ75" s="46"/>
    </row>
    <row r="76" spans="1:69" ht="25.5" customHeight="1" x14ac:dyDescent="0.2">
      <c r="A76" s="30">
        <v>34</v>
      </c>
      <c r="B76" s="30"/>
      <c r="C76" s="31" t="s">
        <v>113</v>
      </c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3"/>
      <c r="AA76" s="46">
        <v>95000</v>
      </c>
      <c r="AB76" s="46"/>
      <c r="AC76" s="46"/>
      <c r="AD76" s="46"/>
      <c r="AE76" s="46"/>
      <c r="AF76" s="46">
        <v>0</v>
      </c>
      <c r="AG76" s="46"/>
      <c r="AH76" s="46"/>
      <c r="AI76" s="46"/>
      <c r="AJ76" s="46"/>
      <c r="AK76" s="46">
        <f t="shared" si="5"/>
        <v>95000</v>
      </c>
      <c r="AL76" s="46"/>
      <c r="AM76" s="46"/>
      <c r="AN76" s="46"/>
      <c r="AO76" s="46"/>
      <c r="AP76" s="46">
        <v>95000</v>
      </c>
      <c r="AQ76" s="46"/>
      <c r="AR76" s="46"/>
      <c r="AS76" s="46"/>
      <c r="AT76" s="46"/>
      <c r="AU76" s="46">
        <v>0</v>
      </c>
      <c r="AV76" s="46"/>
      <c r="AW76" s="46"/>
      <c r="AX76" s="46"/>
      <c r="AY76" s="46"/>
      <c r="AZ76" s="46">
        <f t="shared" si="6"/>
        <v>95000</v>
      </c>
      <c r="BA76" s="46"/>
      <c r="BB76" s="46"/>
      <c r="BC76" s="46"/>
      <c r="BD76" s="46">
        <f t="shared" si="7"/>
        <v>0</v>
      </c>
      <c r="BE76" s="46"/>
      <c r="BF76" s="46"/>
      <c r="BG76" s="46"/>
      <c r="BH76" s="46"/>
      <c r="BI76" s="46">
        <f t="shared" si="8"/>
        <v>0</v>
      </c>
      <c r="BJ76" s="46"/>
      <c r="BK76" s="46"/>
      <c r="BL76" s="46"/>
      <c r="BM76" s="46"/>
      <c r="BN76" s="46">
        <f t="shared" si="9"/>
        <v>0</v>
      </c>
      <c r="BO76" s="46"/>
      <c r="BP76" s="46"/>
      <c r="BQ76" s="46"/>
    </row>
    <row r="77" spans="1:69" ht="15" customHeight="1" x14ac:dyDescent="0.2">
      <c r="A77" s="30">
        <v>35</v>
      </c>
      <c r="B77" s="30"/>
      <c r="C77" s="31" t="s">
        <v>114</v>
      </c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3"/>
      <c r="AA77" s="46">
        <v>185000</v>
      </c>
      <c r="AB77" s="46"/>
      <c r="AC77" s="46"/>
      <c r="AD77" s="46"/>
      <c r="AE77" s="46"/>
      <c r="AF77" s="46">
        <v>0</v>
      </c>
      <c r="AG77" s="46"/>
      <c r="AH77" s="46"/>
      <c r="AI77" s="46"/>
      <c r="AJ77" s="46"/>
      <c r="AK77" s="46">
        <f t="shared" si="5"/>
        <v>185000</v>
      </c>
      <c r="AL77" s="46"/>
      <c r="AM77" s="46"/>
      <c r="AN77" s="46"/>
      <c r="AO77" s="46"/>
      <c r="AP77" s="46">
        <v>185000</v>
      </c>
      <c r="AQ77" s="46"/>
      <c r="AR77" s="46"/>
      <c r="AS77" s="46"/>
      <c r="AT77" s="46"/>
      <c r="AU77" s="46">
        <v>0</v>
      </c>
      <c r="AV77" s="46"/>
      <c r="AW77" s="46"/>
      <c r="AX77" s="46"/>
      <c r="AY77" s="46"/>
      <c r="AZ77" s="46">
        <f t="shared" si="6"/>
        <v>185000</v>
      </c>
      <c r="BA77" s="46"/>
      <c r="BB77" s="46"/>
      <c r="BC77" s="46"/>
      <c r="BD77" s="46">
        <f t="shared" si="7"/>
        <v>0</v>
      </c>
      <c r="BE77" s="46"/>
      <c r="BF77" s="46"/>
      <c r="BG77" s="46"/>
      <c r="BH77" s="46"/>
      <c r="BI77" s="46">
        <f t="shared" si="8"/>
        <v>0</v>
      </c>
      <c r="BJ77" s="46"/>
      <c r="BK77" s="46"/>
      <c r="BL77" s="46"/>
      <c r="BM77" s="46"/>
      <c r="BN77" s="46">
        <f t="shared" si="9"/>
        <v>0</v>
      </c>
      <c r="BO77" s="46"/>
      <c r="BP77" s="46"/>
      <c r="BQ77" s="46"/>
    </row>
    <row r="78" spans="1:69" ht="25.5" customHeight="1" x14ac:dyDescent="0.2">
      <c r="A78" s="30">
        <v>36</v>
      </c>
      <c r="B78" s="30"/>
      <c r="C78" s="31" t="s">
        <v>115</v>
      </c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3"/>
      <c r="AA78" s="46">
        <v>4000</v>
      </c>
      <c r="AB78" s="46"/>
      <c r="AC78" s="46"/>
      <c r="AD78" s="46"/>
      <c r="AE78" s="46"/>
      <c r="AF78" s="46">
        <v>0</v>
      </c>
      <c r="AG78" s="46"/>
      <c r="AH78" s="46"/>
      <c r="AI78" s="46"/>
      <c r="AJ78" s="46"/>
      <c r="AK78" s="46">
        <f t="shared" si="5"/>
        <v>4000</v>
      </c>
      <c r="AL78" s="46"/>
      <c r="AM78" s="46"/>
      <c r="AN78" s="46"/>
      <c r="AO78" s="46"/>
      <c r="AP78" s="46">
        <v>4000</v>
      </c>
      <c r="AQ78" s="46"/>
      <c r="AR78" s="46"/>
      <c r="AS78" s="46"/>
      <c r="AT78" s="46"/>
      <c r="AU78" s="46">
        <v>0</v>
      </c>
      <c r="AV78" s="46"/>
      <c r="AW78" s="46"/>
      <c r="AX78" s="46"/>
      <c r="AY78" s="46"/>
      <c r="AZ78" s="46">
        <f t="shared" si="6"/>
        <v>4000</v>
      </c>
      <c r="BA78" s="46"/>
      <c r="BB78" s="46"/>
      <c r="BC78" s="46"/>
      <c r="BD78" s="46">
        <f t="shared" si="7"/>
        <v>0</v>
      </c>
      <c r="BE78" s="46"/>
      <c r="BF78" s="46"/>
      <c r="BG78" s="46"/>
      <c r="BH78" s="46"/>
      <c r="BI78" s="46">
        <f t="shared" si="8"/>
        <v>0</v>
      </c>
      <c r="BJ78" s="46"/>
      <c r="BK78" s="46"/>
      <c r="BL78" s="46"/>
      <c r="BM78" s="46"/>
      <c r="BN78" s="46">
        <f t="shared" si="9"/>
        <v>0</v>
      </c>
      <c r="BO78" s="46"/>
      <c r="BP78" s="46"/>
      <c r="BQ78" s="46"/>
    </row>
    <row r="79" spans="1:69" ht="15" customHeight="1" x14ac:dyDescent="0.2">
      <c r="A79" s="30">
        <v>37</v>
      </c>
      <c r="B79" s="30"/>
      <c r="C79" s="31" t="s">
        <v>116</v>
      </c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3"/>
      <c r="AA79" s="46">
        <v>46000</v>
      </c>
      <c r="AB79" s="46"/>
      <c r="AC79" s="46"/>
      <c r="AD79" s="46"/>
      <c r="AE79" s="46"/>
      <c r="AF79" s="46">
        <v>0</v>
      </c>
      <c r="AG79" s="46"/>
      <c r="AH79" s="46"/>
      <c r="AI79" s="46"/>
      <c r="AJ79" s="46"/>
      <c r="AK79" s="46">
        <f t="shared" si="5"/>
        <v>46000</v>
      </c>
      <c r="AL79" s="46"/>
      <c r="AM79" s="46"/>
      <c r="AN79" s="46"/>
      <c r="AO79" s="46"/>
      <c r="AP79" s="46">
        <v>46000</v>
      </c>
      <c r="AQ79" s="46"/>
      <c r="AR79" s="46"/>
      <c r="AS79" s="46"/>
      <c r="AT79" s="46"/>
      <c r="AU79" s="46">
        <v>0</v>
      </c>
      <c r="AV79" s="46"/>
      <c r="AW79" s="46"/>
      <c r="AX79" s="46"/>
      <c r="AY79" s="46"/>
      <c r="AZ79" s="46">
        <f t="shared" si="6"/>
        <v>46000</v>
      </c>
      <c r="BA79" s="46"/>
      <c r="BB79" s="46"/>
      <c r="BC79" s="46"/>
      <c r="BD79" s="46">
        <f t="shared" si="7"/>
        <v>0</v>
      </c>
      <c r="BE79" s="46"/>
      <c r="BF79" s="46"/>
      <c r="BG79" s="46"/>
      <c r="BH79" s="46"/>
      <c r="BI79" s="46">
        <f t="shared" si="8"/>
        <v>0</v>
      </c>
      <c r="BJ79" s="46"/>
      <c r="BK79" s="46"/>
      <c r="BL79" s="46"/>
      <c r="BM79" s="46"/>
      <c r="BN79" s="46">
        <f t="shared" si="9"/>
        <v>0</v>
      </c>
      <c r="BO79" s="46"/>
      <c r="BP79" s="46"/>
      <c r="BQ79" s="46"/>
    </row>
    <row r="80" spans="1:69" ht="15" customHeight="1" x14ac:dyDescent="0.2">
      <c r="A80" s="30">
        <v>38</v>
      </c>
      <c r="B80" s="30"/>
      <c r="C80" s="31" t="s">
        <v>117</v>
      </c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3"/>
      <c r="AA80" s="46">
        <v>68000</v>
      </c>
      <c r="AB80" s="46"/>
      <c r="AC80" s="46"/>
      <c r="AD80" s="46"/>
      <c r="AE80" s="46"/>
      <c r="AF80" s="46">
        <v>0</v>
      </c>
      <c r="AG80" s="46"/>
      <c r="AH80" s="46"/>
      <c r="AI80" s="46"/>
      <c r="AJ80" s="46"/>
      <c r="AK80" s="46">
        <f t="shared" si="5"/>
        <v>68000</v>
      </c>
      <c r="AL80" s="46"/>
      <c r="AM80" s="46"/>
      <c r="AN80" s="46"/>
      <c r="AO80" s="46"/>
      <c r="AP80" s="46">
        <v>68000</v>
      </c>
      <c r="AQ80" s="46"/>
      <c r="AR80" s="46"/>
      <c r="AS80" s="46"/>
      <c r="AT80" s="46"/>
      <c r="AU80" s="46">
        <v>0</v>
      </c>
      <c r="AV80" s="46"/>
      <c r="AW80" s="46"/>
      <c r="AX80" s="46"/>
      <c r="AY80" s="46"/>
      <c r="AZ80" s="46">
        <f t="shared" si="6"/>
        <v>68000</v>
      </c>
      <c r="BA80" s="46"/>
      <c r="BB80" s="46"/>
      <c r="BC80" s="46"/>
      <c r="BD80" s="46">
        <f t="shared" si="7"/>
        <v>0</v>
      </c>
      <c r="BE80" s="46"/>
      <c r="BF80" s="46"/>
      <c r="BG80" s="46"/>
      <c r="BH80" s="46"/>
      <c r="BI80" s="46">
        <f t="shared" si="8"/>
        <v>0</v>
      </c>
      <c r="BJ80" s="46"/>
      <c r="BK80" s="46"/>
      <c r="BL80" s="46"/>
      <c r="BM80" s="46"/>
      <c r="BN80" s="46">
        <f t="shared" si="9"/>
        <v>0</v>
      </c>
      <c r="BO80" s="46"/>
      <c r="BP80" s="46"/>
      <c r="BQ80" s="46"/>
    </row>
    <row r="81" spans="1:69" ht="25.5" customHeight="1" x14ac:dyDescent="0.2">
      <c r="A81" s="30">
        <v>39</v>
      </c>
      <c r="B81" s="30"/>
      <c r="C81" s="31" t="s">
        <v>118</v>
      </c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3"/>
      <c r="AA81" s="46">
        <v>6500</v>
      </c>
      <c r="AB81" s="46"/>
      <c r="AC81" s="46"/>
      <c r="AD81" s="46"/>
      <c r="AE81" s="46"/>
      <c r="AF81" s="46">
        <v>0</v>
      </c>
      <c r="AG81" s="46"/>
      <c r="AH81" s="46"/>
      <c r="AI81" s="46"/>
      <c r="AJ81" s="46"/>
      <c r="AK81" s="46">
        <f t="shared" si="5"/>
        <v>6500</v>
      </c>
      <c r="AL81" s="46"/>
      <c r="AM81" s="46"/>
      <c r="AN81" s="46"/>
      <c r="AO81" s="46"/>
      <c r="AP81" s="46">
        <v>6500</v>
      </c>
      <c r="AQ81" s="46"/>
      <c r="AR81" s="46"/>
      <c r="AS81" s="46"/>
      <c r="AT81" s="46"/>
      <c r="AU81" s="46">
        <v>0</v>
      </c>
      <c r="AV81" s="46"/>
      <c r="AW81" s="46"/>
      <c r="AX81" s="46"/>
      <c r="AY81" s="46"/>
      <c r="AZ81" s="46">
        <f t="shared" si="6"/>
        <v>6500</v>
      </c>
      <c r="BA81" s="46"/>
      <c r="BB81" s="46"/>
      <c r="BC81" s="46"/>
      <c r="BD81" s="46">
        <f t="shared" si="7"/>
        <v>0</v>
      </c>
      <c r="BE81" s="46"/>
      <c r="BF81" s="46"/>
      <c r="BG81" s="46"/>
      <c r="BH81" s="46"/>
      <c r="BI81" s="46">
        <f t="shared" si="8"/>
        <v>0</v>
      </c>
      <c r="BJ81" s="46"/>
      <c r="BK81" s="46"/>
      <c r="BL81" s="46"/>
      <c r="BM81" s="46"/>
      <c r="BN81" s="46">
        <f t="shared" si="9"/>
        <v>0</v>
      </c>
      <c r="BO81" s="46"/>
      <c r="BP81" s="46"/>
      <c r="BQ81" s="46"/>
    </row>
    <row r="82" spans="1:69" ht="25.5" customHeight="1" x14ac:dyDescent="0.2">
      <c r="A82" s="30">
        <v>40</v>
      </c>
      <c r="B82" s="30"/>
      <c r="C82" s="31" t="s">
        <v>119</v>
      </c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3"/>
      <c r="AA82" s="46">
        <v>8100</v>
      </c>
      <c r="AB82" s="46"/>
      <c r="AC82" s="46"/>
      <c r="AD82" s="46"/>
      <c r="AE82" s="46"/>
      <c r="AF82" s="46">
        <v>0</v>
      </c>
      <c r="AG82" s="46"/>
      <c r="AH82" s="46"/>
      <c r="AI82" s="46"/>
      <c r="AJ82" s="46"/>
      <c r="AK82" s="46">
        <f t="shared" si="5"/>
        <v>8100</v>
      </c>
      <c r="AL82" s="46"/>
      <c r="AM82" s="46"/>
      <c r="AN82" s="46"/>
      <c r="AO82" s="46"/>
      <c r="AP82" s="46">
        <v>8100</v>
      </c>
      <c r="AQ82" s="46"/>
      <c r="AR82" s="46"/>
      <c r="AS82" s="46"/>
      <c r="AT82" s="46"/>
      <c r="AU82" s="46">
        <v>0</v>
      </c>
      <c r="AV82" s="46"/>
      <c r="AW82" s="46"/>
      <c r="AX82" s="46"/>
      <c r="AY82" s="46"/>
      <c r="AZ82" s="46">
        <f t="shared" si="6"/>
        <v>8100</v>
      </c>
      <c r="BA82" s="46"/>
      <c r="BB82" s="46"/>
      <c r="BC82" s="46"/>
      <c r="BD82" s="46">
        <f t="shared" si="7"/>
        <v>0</v>
      </c>
      <c r="BE82" s="46"/>
      <c r="BF82" s="46"/>
      <c r="BG82" s="46"/>
      <c r="BH82" s="46"/>
      <c r="BI82" s="46">
        <f t="shared" si="8"/>
        <v>0</v>
      </c>
      <c r="BJ82" s="46"/>
      <c r="BK82" s="46"/>
      <c r="BL82" s="46"/>
      <c r="BM82" s="46"/>
      <c r="BN82" s="46">
        <f t="shared" si="9"/>
        <v>0</v>
      </c>
      <c r="BO82" s="46"/>
      <c r="BP82" s="46"/>
      <c r="BQ82" s="46"/>
    </row>
    <row r="83" spans="1:69" ht="15" customHeight="1" x14ac:dyDescent="0.2">
      <c r="A83" s="30">
        <v>41</v>
      </c>
      <c r="B83" s="30"/>
      <c r="C83" s="31" t="s">
        <v>120</v>
      </c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3"/>
      <c r="AA83" s="46">
        <v>17000</v>
      </c>
      <c r="AB83" s="46"/>
      <c r="AC83" s="46"/>
      <c r="AD83" s="46"/>
      <c r="AE83" s="46"/>
      <c r="AF83" s="46">
        <v>0</v>
      </c>
      <c r="AG83" s="46"/>
      <c r="AH83" s="46"/>
      <c r="AI83" s="46"/>
      <c r="AJ83" s="46"/>
      <c r="AK83" s="46">
        <f t="shared" si="5"/>
        <v>17000</v>
      </c>
      <c r="AL83" s="46"/>
      <c r="AM83" s="46"/>
      <c r="AN83" s="46"/>
      <c r="AO83" s="46"/>
      <c r="AP83" s="46">
        <v>17000</v>
      </c>
      <c r="AQ83" s="46"/>
      <c r="AR83" s="46"/>
      <c r="AS83" s="46"/>
      <c r="AT83" s="46"/>
      <c r="AU83" s="46">
        <v>0</v>
      </c>
      <c r="AV83" s="46"/>
      <c r="AW83" s="46"/>
      <c r="AX83" s="46"/>
      <c r="AY83" s="46"/>
      <c r="AZ83" s="46">
        <f t="shared" si="6"/>
        <v>17000</v>
      </c>
      <c r="BA83" s="46"/>
      <c r="BB83" s="46"/>
      <c r="BC83" s="46"/>
      <c r="BD83" s="46">
        <f t="shared" si="7"/>
        <v>0</v>
      </c>
      <c r="BE83" s="46"/>
      <c r="BF83" s="46"/>
      <c r="BG83" s="46"/>
      <c r="BH83" s="46"/>
      <c r="BI83" s="46">
        <f t="shared" si="8"/>
        <v>0</v>
      </c>
      <c r="BJ83" s="46"/>
      <c r="BK83" s="46"/>
      <c r="BL83" s="46"/>
      <c r="BM83" s="46"/>
      <c r="BN83" s="46">
        <f t="shared" si="9"/>
        <v>0</v>
      </c>
      <c r="BO83" s="46"/>
      <c r="BP83" s="46"/>
      <c r="BQ83" s="46"/>
    </row>
    <row r="84" spans="1:69" ht="25.5" customHeight="1" x14ac:dyDescent="0.2">
      <c r="A84" s="30">
        <v>42</v>
      </c>
      <c r="B84" s="30"/>
      <c r="C84" s="31" t="s">
        <v>121</v>
      </c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3"/>
      <c r="AA84" s="46">
        <v>53000</v>
      </c>
      <c r="AB84" s="46"/>
      <c r="AC84" s="46"/>
      <c r="AD84" s="46"/>
      <c r="AE84" s="46"/>
      <c r="AF84" s="46">
        <v>0</v>
      </c>
      <c r="AG84" s="46"/>
      <c r="AH84" s="46"/>
      <c r="AI84" s="46"/>
      <c r="AJ84" s="46"/>
      <c r="AK84" s="46">
        <f t="shared" si="5"/>
        <v>53000</v>
      </c>
      <c r="AL84" s="46"/>
      <c r="AM84" s="46"/>
      <c r="AN84" s="46"/>
      <c r="AO84" s="46"/>
      <c r="AP84" s="46">
        <v>53000</v>
      </c>
      <c r="AQ84" s="46"/>
      <c r="AR84" s="46"/>
      <c r="AS84" s="46"/>
      <c r="AT84" s="46"/>
      <c r="AU84" s="46">
        <v>0</v>
      </c>
      <c r="AV84" s="46"/>
      <c r="AW84" s="46"/>
      <c r="AX84" s="46"/>
      <c r="AY84" s="46"/>
      <c r="AZ84" s="46">
        <f t="shared" si="6"/>
        <v>53000</v>
      </c>
      <c r="BA84" s="46"/>
      <c r="BB84" s="46"/>
      <c r="BC84" s="46"/>
      <c r="BD84" s="46">
        <f t="shared" si="7"/>
        <v>0</v>
      </c>
      <c r="BE84" s="46"/>
      <c r="BF84" s="46"/>
      <c r="BG84" s="46"/>
      <c r="BH84" s="46"/>
      <c r="BI84" s="46">
        <f t="shared" si="8"/>
        <v>0</v>
      </c>
      <c r="BJ84" s="46"/>
      <c r="BK84" s="46"/>
      <c r="BL84" s="46"/>
      <c r="BM84" s="46"/>
      <c r="BN84" s="46">
        <f t="shared" si="9"/>
        <v>0</v>
      </c>
      <c r="BO84" s="46"/>
      <c r="BP84" s="46"/>
      <c r="BQ84" s="46"/>
    </row>
    <row r="85" spans="1:69" ht="15" customHeight="1" x14ac:dyDescent="0.2">
      <c r="A85" s="30">
        <v>43</v>
      </c>
      <c r="B85" s="30"/>
      <c r="C85" s="31" t="s">
        <v>122</v>
      </c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3"/>
      <c r="AA85" s="46">
        <v>99860</v>
      </c>
      <c r="AB85" s="46"/>
      <c r="AC85" s="46"/>
      <c r="AD85" s="46"/>
      <c r="AE85" s="46"/>
      <c r="AF85" s="46">
        <v>0</v>
      </c>
      <c r="AG85" s="46"/>
      <c r="AH85" s="46"/>
      <c r="AI85" s="46"/>
      <c r="AJ85" s="46"/>
      <c r="AK85" s="46">
        <f t="shared" si="5"/>
        <v>99860</v>
      </c>
      <c r="AL85" s="46"/>
      <c r="AM85" s="46"/>
      <c r="AN85" s="46"/>
      <c r="AO85" s="46"/>
      <c r="AP85" s="46">
        <v>99860</v>
      </c>
      <c r="AQ85" s="46"/>
      <c r="AR85" s="46"/>
      <c r="AS85" s="46"/>
      <c r="AT85" s="46"/>
      <c r="AU85" s="46">
        <v>0</v>
      </c>
      <c r="AV85" s="46"/>
      <c r="AW85" s="46"/>
      <c r="AX85" s="46"/>
      <c r="AY85" s="46"/>
      <c r="AZ85" s="46">
        <f t="shared" si="6"/>
        <v>99860</v>
      </c>
      <c r="BA85" s="46"/>
      <c r="BB85" s="46"/>
      <c r="BC85" s="46"/>
      <c r="BD85" s="46">
        <f t="shared" si="7"/>
        <v>0</v>
      </c>
      <c r="BE85" s="46"/>
      <c r="BF85" s="46"/>
      <c r="BG85" s="46"/>
      <c r="BH85" s="46"/>
      <c r="BI85" s="46">
        <f t="shared" si="8"/>
        <v>0</v>
      </c>
      <c r="BJ85" s="46"/>
      <c r="BK85" s="46"/>
      <c r="BL85" s="46"/>
      <c r="BM85" s="46"/>
      <c r="BN85" s="46">
        <f t="shared" si="9"/>
        <v>0</v>
      </c>
      <c r="BO85" s="46"/>
      <c r="BP85" s="46"/>
      <c r="BQ85" s="46"/>
    </row>
    <row r="86" spans="1:69" ht="25.5" customHeight="1" x14ac:dyDescent="0.2">
      <c r="A86" s="30">
        <v>44</v>
      </c>
      <c r="B86" s="30"/>
      <c r="C86" s="31" t="s">
        <v>123</v>
      </c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3"/>
      <c r="AA86" s="46">
        <v>84300</v>
      </c>
      <c r="AB86" s="46"/>
      <c r="AC86" s="46"/>
      <c r="AD86" s="46"/>
      <c r="AE86" s="46"/>
      <c r="AF86" s="46">
        <v>0</v>
      </c>
      <c r="AG86" s="46"/>
      <c r="AH86" s="46"/>
      <c r="AI86" s="46"/>
      <c r="AJ86" s="46"/>
      <c r="AK86" s="46">
        <f t="shared" si="5"/>
        <v>84300</v>
      </c>
      <c r="AL86" s="46"/>
      <c r="AM86" s="46"/>
      <c r="AN86" s="46"/>
      <c r="AO86" s="46"/>
      <c r="AP86" s="46">
        <v>84300</v>
      </c>
      <c r="AQ86" s="46"/>
      <c r="AR86" s="46"/>
      <c r="AS86" s="46"/>
      <c r="AT86" s="46"/>
      <c r="AU86" s="46">
        <v>0</v>
      </c>
      <c r="AV86" s="46"/>
      <c r="AW86" s="46"/>
      <c r="AX86" s="46"/>
      <c r="AY86" s="46"/>
      <c r="AZ86" s="46">
        <f t="shared" si="6"/>
        <v>84300</v>
      </c>
      <c r="BA86" s="46"/>
      <c r="BB86" s="46"/>
      <c r="BC86" s="46"/>
      <c r="BD86" s="46">
        <f t="shared" si="7"/>
        <v>0</v>
      </c>
      <c r="BE86" s="46"/>
      <c r="BF86" s="46"/>
      <c r="BG86" s="46"/>
      <c r="BH86" s="46"/>
      <c r="BI86" s="46">
        <f t="shared" si="8"/>
        <v>0</v>
      </c>
      <c r="BJ86" s="46"/>
      <c r="BK86" s="46"/>
      <c r="BL86" s="46"/>
      <c r="BM86" s="46"/>
      <c r="BN86" s="46">
        <f t="shared" si="9"/>
        <v>0</v>
      </c>
      <c r="BO86" s="46"/>
      <c r="BP86" s="46"/>
      <c r="BQ86" s="46"/>
    </row>
    <row r="87" spans="1:69" ht="25.5" customHeight="1" x14ac:dyDescent="0.2">
      <c r="A87" s="30">
        <v>45</v>
      </c>
      <c r="B87" s="30"/>
      <c r="C87" s="31" t="s">
        <v>124</v>
      </c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3"/>
      <c r="AA87" s="46">
        <v>147000</v>
      </c>
      <c r="AB87" s="46"/>
      <c r="AC87" s="46"/>
      <c r="AD87" s="46"/>
      <c r="AE87" s="46"/>
      <c r="AF87" s="46">
        <v>0</v>
      </c>
      <c r="AG87" s="46"/>
      <c r="AH87" s="46"/>
      <c r="AI87" s="46"/>
      <c r="AJ87" s="46"/>
      <c r="AK87" s="46">
        <f t="shared" si="5"/>
        <v>147000</v>
      </c>
      <c r="AL87" s="46"/>
      <c r="AM87" s="46"/>
      <c r="AN87" s="46"/>
      <c r="AO87" s="46"/>
      <c r="AP87" s="46">
        <v>147000</v>
      </c>
      <c r="AQ87" s="46"/>
      <c r="AR87" s="46"/>
      <c r="AS87" s="46"/>
      <c r="AT87" s="46"/>
      <c r="AU87" s="46">
        <v>0</v>
      </c>
      <c r="AV87" s="46"/>
      <c r="AW87" s="46"/>
      <c r="AX87" s="46"/>
      <c r="AY87" s="46"/>
      <c r="AZ87" s="46">
        <f t="shared" si="6"/>
        <v>147000</v>
      </c>
      <c r="BA87" s="46"/>
      <c r="BB87" s="46"/>
      <c r="BC87" s="46"/>
      <c r="BD87" s="46">
        <f t="shared" si="7"/>
        <v>0</v>
      </c>
      <c r="BE87" s="46"/>
      <c r="BF87" s="46"/>
      <c r="BG87" s="46"/>
      <c r="BH87" s="46"/>
      <c r="BI87" s="46">
        <f t="shared" si="8"/>
        <v>0</v>
      </c>
      <c r="BJ87" s="46"/>
      <c r="BK87" s="46"/>
      <c r="BL87" s="46"/>
      <c r="BM87" s="46"/>
      <c r="BN87" s="46">
        <f t="shared" si="9"/>
        <v>0</v>
      </c>
      <c r="BO87" s="46"/>
      <c r="BP87" s="46"/>
      <c r="BQ87" s="46"/>
    </row>
    <row r="88" spans="1:69" ht="15" customHeight="1" x14ac:dyDescent="0.2">
      <c r="A88" s="30">
        <v>46</v>
      </c>
      <c r="B88" s="30"/>
      <c r="C88" s="31" t="s">
        <v>125</v>
      </c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3"/>
      <c r="AA88" s="46">
        <v>314000</v>
      </c>
      <c r="AB88" s="46"/>
      <c r="AC88" s="46"/>
      <c r="AD88" s="46"/>
      <c r="AE88" s="46"/>
      <c r="AF88" s="46">
        <v>0</v>
      </c>
      <c r="AG88" s="46"/>
      <c r="AH88" s="46"/>
      <c r="AI88" s="46"/>
      <c r="AJ88" s="46"/>
      <c r="AK88" s="46">
        <f t="shared" si="5"/>
        <v>314000</v>
      </c>
      <c r="AL88" s="46"/>
      <c r="AM88" s="46"/>
      <c r="AN88" s="46"/>
      <c r="AO88" s="46"/>
      <c r="AP88" s="46">
        <v>314000</v>
      </c>
      <c r="AQ88" s="46"/>
      <c r="AR88" s="46"/>
      <c r="AS88" s="46"/>
      <c r="AT88" s="46"/>
      <c r="AU88" s="46">
        <v>0</v>
      </c>
      <c r="AV88" s="46"/>
      <c r="AW88" s="46"/>
      <c r="AX88" s="46"/>
      <c r="AY88" s="46"/>
      <c r="AZ88" s="46">
        <f t="shared" si="6"/>
        <v>314000</v>
      </c>
      <c r="BA88" s="46"/>
      <c r="BB88" s="46"/>
      <c r="BC88" s="46"/>
      <c r="BD88" s="46">
        <f t="shared" si="7"/>
        <v>0</v>
      </c>
      <c r="BE88" s="46"/>
      <c r="BF88" s="46"/>
      <c r="BG88" s="46"/>
      <c r="BH88" s="46"/>
      <c r="BI88" s="46">
        <f t="shared" si="8"/>
        <v>0</v>
      </c>
      <c r="BJ88" s="46"/>
      <c r="BK88" s="46"/>
      <c r="BL88" s="46"/>
      <c r="BM88" s="46"/>
      <c r="BN88" s="46">
        <f t="shared" si="9"/>
        <v>0</v>
      </c>
      <c r="BO88" s="46"/>
      <c r="BP88" s="46"/>
      <c r="BQ88" s="46"/>
    </row>
    <row r="89" spans="1:69" ht="15" customHeight="1" x14ac:dyDescent="0.2">
      <c r="A89" s="30">
        <v>47</v>
      </c>
      <c r="B89" s="30"/>
      <c r="C89" s="31" t="s">
        <v>126</v>
      </c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3"/>
      <c r="AA89" s="46">
        <v>99600</v>
      </c>
      <c r="AB89" s="46"/>
      <c r="AC89" s="46"/>
      <c r="AD89" s="46"/>
      <c r="AE89" s="46"/>
      <c r="AF89" s="46">
        <v>0</v>
      </c>
      <c r="AG89" s="46"/>
      <c r="AH89" s="46"/>
      <c r="AI89" s="46"/>
      <c r="AJ89" s="46"/>
      <c r="AK89" s="46">
        <f t="shared" si="5"/>
        <v>99600</v>
      </c>
      <c r="AL89" s="46"/>
      <c r="AM89" s="46"/>
      <c r="AN89" s="46"/>
      <c r="AO89" s="46"/>
      <c r="AP89" s="46">
        <v>99600</v>
      </c>
      <c r="AQ89" s="46"/>
      <c r="AR89" s="46"/>
      <c r="AS89" s="46"/>
      <c r="AT89" s="46"/>
      <c r="AU89" s="46">
        <v>0</v>
      </c>
      <c r="AV89" s="46"/>
      <c r="AW89" s="46"/>
      <c r="AX89" s="46"/>
      <c r="AY89" s="46"/>
      <c r="AZ89" s="46">
        <f t="shared" si="6"/>
        <v>99600</v>
      </c>
      <c r="BA89" s="46"/>
      <c r="BB89" s="46"/>
      <c r="BC89" s="46"/>
      <c r="BD89" s="46">
        <f t="shared" si="7"/>
        <v>0</v>
      </c>
      <c r="BE89" s="46"/>
      <c r="BF89" s="46"/>
      <c r="BG89" s="46"/>
      <c r="BH89" s="46"/>
      <c r="BI89" s="46">
        <f t="shared" si="8"/>
        <v>0</v>
      </c>
      <c r="BJ89" s="46"/>
      <c r="BK89" s="46"/>
      <c r="BL89" s="46"/>
      <c r="BM89" s="46"/>
      <c r="BN89" s="46">
        <f t="shared" si="9"/>
        <v>0</v>
      </c>
      <c r="BO89" s="46"/>
      <c r="BP89" s="46"/>
      <c r="BQ89" s="46"/>
    </row>
    <row r="90" spans="1:69" ht="15" customHeight="1" x14ac:dyDescent="0.2">
      <c r="A90" s="30">
        <v>48</v>
      </c>
      <c r="B90" s="30"/>
      <c r="C90" s="31" t="s">
        <v>127</v>
      </c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3"/>
      <c r="AA90" s="46">
        <v>49965</v>
      </c>
      <c r="AB90" s="46"/>
      <c r="AC90" s="46"/>
      <c r="AD90" s="46"/>
      <c r="AE90" s="46"/>
      <c r="AF90" s="46">
        <v>0</v>
      </c>
      <c r="AG90" s="46"/>
      <c r="AH90" s="46"/>
      <c r="AI90" s="46"/>
      <c r="AJ90" s="46"/>
      <c r="AK90" s="46">
        <f t="shared" si="5"/>
        <v>49965</v>
      </c>
      <c r="AL90" s="46"/>
      <c r="AM90" s="46"/>
      <c r="AN90" s="46"/>
      <c r="AO90" s="46"/>
      <c r="AP90" s="46">
        <v>49965</v>
      </c>
      <c r="AQ90" s="46"/>
      <c r="AR90" s="46"/>
      <c r="AS90" s="46"/>
      <c r="AT90" s="46"/>
      <c r="AU90" s="46">
        <v>0</v>
      </c>
      <c r="AV90" s="46"/>
      <c r="AW90" s="46"/>
      <c r="AX90" s="46"/>
      <c r="AY90" s="46"/>
      <c r="AZ90" s="46">
        <f t="shared" si="6"/>
        <v>49965</v>
      </c>
      <c r="BA90" s="46"/>
      <c r="BB90" s="46"/>
      <c r="BC90" s="46"/>
      <c r="BD90" s="46">
        <f t="shared" si="7"/>
        <v>0</v>
      </c>
      <c r="BE90" s="46"/>
      <c r="BF90" s="46"/>
      <c r="BG90" s="46"/>
      <c r="BH90" s="46"/>
      <c r="BI90" s="46">
        <f t="shared" si="8"/>
        <v>0</v>
      </c>
      <c r="BJ90" s="46"/>
      <c r="BK90" s="46"/>
      <c r="BL90" s="46"/>
      <c r="BM90" s="46"/>
      <c r="BN90" s="46">
        <f t="shared" si="9"/>
        <v>0</v>
      </c>
      <c r="BO90" s="46"/>
      <c r="BP90" s="46"/>
      <c r="BQ90" s="46"/>
    </row>
    <row r="91" spans="1:69" s="26" customFormat="1" ht="15" customHeight="1" x14ac:dyDescent="0.2">
      <c r="A91" s="38"/>
      <c r="B91" s="38"/>
      <c r="C91" s="39" t="s">
        <v>128</v>
      </c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1"/>
      <c r="AA91" s="49">
        <v>18965658</v>
      </c>
      <c r="AB91" s="49"/>
      <c r="AC91" s="49"/>
      <c r="AD91" s="49"/>
      <c r="AE91" s="49"/>
      <c r="AF91" s="49">
        <v>0</v>
      </c>
      <c r="AG91" s="49"/>
      <c r="AH91" s="49"/>
      <c r="AI91" s="49"/>
      <c r="AJ91" s="49"/>
      <c r="AK91" s="49">
        <f t="shared" si="5"/>
        <v>18965658</v>
      </c>
      <c r="AL91" s="49"/>
      <c r="AM91" s="49"/>
      <c r="AN91" s="49"/>
      <c r="AO91" s="49"/>
      <c r="AP91" s="49">
        <v>16144358.290000003</v>
      </c>
      <c r="AQ91" s="49"/>
      <c r="AR91" s="49"/>
      <c r="AS91" s="49"/>
      <c r="AT91" s="49"/>
      <c r="AU91" s="49">
        <v>0</v>
      </c>
      <c r="AV91" s="49"/>
      <c r="AW91" s="49"/>
      <c r="AX91" s="49"/>
      <c r="AY91" s="49"/>
      <c r="AZ91" s="49">
        <f t="shared" si="6"/>
        <v>16144358.290000003</v>
      </c>
      <c r="BA91" s="49"/>
      <c r="BB91" s="49"/>
      <c r="BC91" s="49"/>
      <c r="BD91" s="49">
        <f t="shared" si="7"/>
        <v>-2821299.7099999972</v>
      </c>
      <c r="BE91" s="49"/>
      <c r="BF91" s="49"/>
      <c r="BG91" s="49"/>
      <c r="BH91" s="49"/>
      <c r="BI91" s="49">
        <f t="shared" si="8"/>
        <v>0</v>
      </c>
      <c r="BJ91" s="49"/>
      <c r="BK91" s="49"/>
      <c r="BL91" s="49"/>
      <c r="BM91" s="49"/>
      <c r="BN91" s="49">
        <f t="shared" si="9"/>
        <v>-2821299.7099999972</v>
      </c>
      <c r="BO91" s="49"/>
      <c r="BP91" s="49"/>
      <c r="BQ91" s="49"/>
    </row>
    <row r="93" spans="1:69" ht="29.25" customHeight="1" x14ac:dyDescent="0.2">
      <c r="A93" s="54" t="s">
        <v>74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  <c r="BE93" s="54"/>
      <c r="BF93" s="54"/>
      <c r="BG93" s="54"/>
      <c r="BH93" s="54"/>
      <c r="BI93" s="54"/>
      <c r="BJ93" s="54"/>
      <c r="BK93" s="54"/>
      <c r="BL93" s="54"/>
      <c r="BM93" s="54"/>
      <c r="BN93" s="54"/>
      <c r="BO93" s="54"/>
      <c r="BP93" s="54"/>
      <c r="BQ93" s="54"/>
    </row>
    <row r="94" spans="1:69" ht="9.7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</row>
    <row r="95" spans="1:69" ht="15.75" customHeight="1" x14ac:dyDescent="0.2">
      <c r="A95" s="60" t="s">
        <v>3</v>
      </c>
      <c r="B95" s="60"/>
      <c r="C95" s="60" t="s">
        <v>60</v>
      </c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</row>
    <row r="96" spans="1:69" ht="15.75" x14ac:dyDescent="0.2">
      <c r="A96" s="60">
        <v>1</v>
      </c>
      <c r="B96" s="60"/>
      <c r="C96" s="98">
        <v>2</v>
      </c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8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  <c r="BO96" s="98"/>
      <c r="BP96" s="98"/>
      <c r="BQ96" s="98"/>
    </row>
    <row r="97" spans="1:79" hidden="1" x14ac:dyDescent="0.2">
      <c r="A97" s="95" t="s">
        <v>13</v>
      </c>
      <c r="B97" s="96"/>
      <c r="C97" s="99" t="s">
        <v>14</v>
      </c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  <c r="BH97" s="100"/>
      <c r="BI97" s="100"/>
      <c r="BJ97" s="100"/>
      <c r="BK97" s="100"/>
      <c r="BL97" s="100"/>
      <c r="BM97" s="100"/>
      <c r="BN97" s="100"/>
      <c r="BO97" s="100"/>
      <c r="BP97" s="100"/>
      <c r="BQ97" s="101"/>
      <c r="CA97" s="1" t="s">
        <v>68</v>
      </c>
    </row>
    <row r="98" spans="1:79" ht="14.25" customHeight="1" x14ac:dyDescent="0.2">
      <c r="A98" s="52">
        <v>3</v>
      </c>
      <c r="B98" s="53"/>
      <c r="C98" s="31" t="s">
        <v>129</v>
      </c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2"/>
      <c r="BP98" s="32"/>
      <c r="BQ98" s="33"/>
      <c r="CA98" s="1" t="s">
        <v>61</v>
      </c>
    </row>
    <row r="99" spans="1:79" ht="14.25" customHeight="1" x14ac:dyDescent="0.2">
      <c r="A99" s="52">
        <v>5</v>
      </c>
      <c r="B99" s="53"/>
      <c r="C99" s="31" t="s">
        <v>130</v>
      </c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2"/>
      <c r="BP99" s="32"/>
      <c r="BQ99" s="33"/>
    </row>
    <row r="100" spans="1:79" ht="14.25" customHeight="1" x14ac:dyDescent="0.2">
      <c r="A100" s="52">
        <v>8</v>
      </c>
      <c r="B100" s="53"/>
      <c r="C100" s="31" t="s">
        <v>131</v>
      </c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2"/>
      <c r="BP100" s="32"/>
      <c r="BQ100" s="33"/>
    </row>
    <row r="101" spans="1:79" ht="14.25" customHeight="1" x14ac:dyDescent="0.2">
      <c r="A101" s="52">
        <v>10</v>
      </c>
      <c r="B101" s="53"/>
      <c r="C101" s="31" t="s">
        <v>132</v>
      </c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2"/>
      <c r="BP101" s="32"/>
      <c r="BQ101" s="33"/>
    </row>
    <row r="102" spans="1:79" ht="14.25" customHeight="1" x14ac:dyDescent="0.2">
      <c r="A102" s="52">
        <v>12</v>
      </c>
      <c r="B102" s="53"/>
      <c r="C102" s="31" t="s">
        <v>133</v>
      </c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2"/>
      <c r="BP102" s="32"/>
      <c r="BQ102" s="33"/>
    </row>
    <row r="103" spans="1:79" ht="14.25" customHeight="1" x14ac:dyDescent="0.2">
      <c r="A103" s="52">
        <v>18</v>
      </c>
      <c r="B103" s="53"/>
      <c r="C103" s="31" t="s">
        <v>134</v>
      </c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2"/>
      <c r="BP103" s="32"/>
      <c r="BQ103" s="33"/>
    </row>
    <row r="104" spans="1:79" ht="14.25" customHeight="1" x14ac:dyDescent="0.2">
      <c r="A104" s="52">
        <v>19</v>
      </c>
      <c r="B104" s="53"/>
      <c r="C104" s="31" t="s">
        <v>135</v>
      </c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2"/>
      <c r="BP104" s="32"/>
      <c r="BQ104" s="33"/>
    </row>
    <row r="105" spans="1:79" ht="14.25" customHeight="1" x14ac:dyDescent="0.2">
      <c r="A105" s="52">
        <v>20</v>
      </c>
      <c r="B105" s="53"/>
      <c r="C105" s="31" t="s">
        <v>136</v>
      </c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3"/>
    </row>
    <row r="106" spans="1:79" ht="14.25" customHeight="1" x14ac:dyDescent="0.2">
      <c r="A106" s="52">
        <v>22</v>
      </c>
      <c r="B106" s="53"/>
      <c r="C106" s="31" t="s">
        <v>135</v>
      </c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2"/>
      <c r="BP106" s="32"/>
      <c r="BQ106" s="33"/>
    </row>
    <row r="107" spans="1:79" ht="14.25" customHeight="1" x14ac:dyDescent="0.2">
      <c r="A107" s="52">
        <v>23</v>
      </c>
      <c r="B107" s="53"/>
      <c r="C107" s="31" t="s">
        <v>135</v>
      </c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2"/>
      <c r="BP107" s="32"/>
      <c r="BQ107" s="33"/>
    </row>
    <row r="108" spans="1:79" ht="14.25" customHeight="1" x14ac:dyDescent="0.2">
      <c r="A108" s="52">
        <v>24</v>
      </c>
      <c r="B108" s="53"/>
      <c r="C108" s="31" t="s">
        <v>135</v>
      </c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  <c r="BO108" s="32"/>
      <c r="BP108" s="32"/>
      <c r="BQ108" s="33"/>
    </row>
    <row r="109" spans="1:79" ht="14.25" customHeight="1" x14ac:dyDescent="0.2">
      <c r="A109" s="52">
        <v>25</v>
      </c>
      <c r="B109" s="53"/>
      <c r="C109" s="31" t="s">
        <v>135</v>
      </c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  <c r="BO109" s="32"/>
      <c r="BP109" s="32"/>
      <c r="BQ109" s="33"/>
    </row>
    <row r="110" spans="1:79" ht="14.25" customHeight="1" x14ac:dyDescent="0.2">
      <c r="A110" s="52">
        <v>27</v>
      </c>
      <c r="B110" s="53"/>
      <c r="C110" s="31" t="s">
        <v>135</v>
      </c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  <c r="BO110" s="32"/>
      <c r="BP110" s="32"/>
      <c r="BQ110" s="33"/>
    </row>
    <row r="112" spans="1:79" ht="15.75" customHeight="1" x14ac:dyDescent="0.2">
      <c r="A112" s="54" t="s">
        <v>42</v>
      </c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4"/>
      <c r="BE112" s="54"/>
      <c r="BF112" s="54"/>
      <c r="BG112" s="54"/>
      <c r="BH112" s="54"/>
      <c r="BI112" s="54"/>
      <c r="BJ112" s="54"/>
      <c r="BK112" s="54"/>
      <c r="BL112" s="54"/>
      <c r="BM112" s="54"/>
      <c r="BN112" s="54"/>
    </row>
    <row r="113" spans="1:79" ht="15" customHeight="1" x14ac:dyDescent="0.2">
      <c r="A113" s="97" t="s">
        <v>171</v>
      </c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  <c r="AG113" s="97"/>
      <c r="AH113" s="97"/>
      <c r="AI113" s="97"/>
      <c r="AJ113" s="97"/>
      <c r="AK113" s="97"/>
      <c r="AL113" s="97"/>
      <c r="AM113" s="97"/>
      <c r="AN113" s="97"/>
      <c r="AO113" s="97"/>
      <c r="AP113" s="97"/>
      <c r="AQ113" s="97"/>
      <c r="AR113" s="97"/>
      <c r="AS113" s="97"/>
      <c r="AT113" s="97"/>
      <c r="AU113" s="97"/>
      <c r="AV113" s="97"/>
      <c r="AW113" s="97"/>
      <c r="AX113" s="97"/>
      <c r="AY113" s="97"/>
      <c r="AZ113" s="97"/>
      <c r="BA113" s="97"/>
      <c r="BB113" s="97"/>
      <c r="BC113" s="97"/>
      <c r="BD113" s="97"/>
      <c r="BE113" s="97"/>
      <c r="BF113" s="97"/>
      <c r="BG113" s="97"/>
      <c r="BH113" s="97"/>
      <c r="BI113" s="97"/>
      <c r="BJ113" s="97"/>
      <c r="BK113" s="97"/>
      <c r="BL113" s="97"/>
      <c r="BM113" s="97"/>
      <c r="BN113" s="97"/>
    </row>
    <row r="114" spans="1:79" ht="28.5" customHeight="1" x14ac:dyDescent="0.2">
      <c r="A114" s="64" t="s">
        <v>3</v>
      </c>
      <c r="B114" s="66"/>
      <c r="C114" s="60" t="s">
        <v>28</v>
      </c>
      <c r="D114" s="60"/>
      <c r="E114" s="60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 t="s">
        <v>25</v>
      </c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 t="s">
        <v>44</v>
      </c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 t="s">
        <v>0</v>
      </c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2"/>
      <c r="BP114" s="2"/>
      <c r="BQ114" s="2"/>
    </row>
    <row r="115" spans="1:79" ht="29.1" customHeight="1" x14ac:dyDescent="0.2">
      <c r="A115" s="102"/>
      <c r="B115" s="104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 t="s">
        <v>2</v>
      </c>
      <c r="T115" s="60"/>
      <c r="U115" s="60"/>
      <c r="V115" s="60"/>
      <c r="W115" s="60"/>
      <c r="X115" s="60" t="s">
        <v>1</v>
      </c>
      <c r="Y115" s="60"/>
      <c r="Z115" s="60"/>
      <c r="AA115" s="60"/>
      <c r="AB115" s="60"/>
      <c r="AC115" s="60" t="s">
        <v>26</v>
      </c>
      <c r="AD115" s="60"/>
      <c r="AE115" s="60"/>
      <c r="AF115" s="60"/>
      <c r="AG115" s="60"/>
      <c r="AH115" s="60"/>
      <c r="AI115" s="60" t="s">
        <v>2</v>
      </c>
      <c r="AJ115" s="60"/>
      <c r="AK115" s="60"/>
      <c r="AL115" s="60"/>
      <c r="AM115" s="60"/>
      <c r="AN115" s="60" t="s">
        <v>1</v>
      </c>
      <c r="AO115" s="60"/>
      <c r="AP115" s="60"/>
      <c r="AQ115" s="60"/>
      <c r="AR115" s="60"/>
      <c r="AS115" s="60" t="s">
        <v>26</v>
      </c>
      <c r="AT115" s="60"/>
      <c r="AU115" s="60"/>
      <c r="AV115" s="60"/>
      <c r="AW115" s="60"/>
      <c r="AX115" s="60"/>
      <c r="AY115" s="55" t="s">
        <v>2</v>
      </c>
      <c r="AZ115" s="61"/>
      <c r="BA115" s="61"/>
      <c r="BB115" s="61"/>
      <c r="BC115" s="62"/>
      <c r="BD115" s="55" t="s">
        <v>1</v>
      </c>
      <c r="BE115" s="61"/>
      <c r="BF115" s="61"/>
      <c r="BG115" s="61"/>
      <c r="BH115" s="62"/>
      <c r="BI115" s="60" t="s">
        <v>26</v>
      </c>
      <c r="BJ115" s="60"/>
      <c r="BK115" s="60"/>
      <c r="BL115" s="60"/>
      <c r="BM115" s="60"/>
      <c r="BN115" s="60"/>
      <c r="BO115" s="2"/>
      <c r="BP115" s="2"/>
      <c r="BQ115" s="2"/>
    </row>
    <row r="116" spans="1:79" ht="15.95" customHeight="1" x14ac:dyDescent="0.25">
      <c r="A116" s="60">
        <v>1</v>
      </c>
      <c r="B116" s="60"/>
      <c r="C116" s="60">
        <v>2</v>
      </c>
      <c r="D116" s="60"/>
      <c r="E116" s="60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>
        <v>3</v>
      </c>
      <c r="T116" s="60"/>
      <c r="U116" s="60"/>
      <c r="V116" s="60"/>
      <c r="W116" s="60"/>
      <c r="X116" s="60">
        <v>4</v>
      </c>
      <c r="Y116" s="60"/>
      <c r="Z116" s="60"/>
      <c r="AA116" s="60"/>
      <c r="AB116" s="60"/>
      <c r="AC116" s="60">
        <v>5</v>
      </c>
      <c r="AD116" s="60"/>
      <c r="AE116" s="60"/>
      <c r="AF116" s="60"/>
      <c r="AG116" s="60"/>
      <c r="AH116" s="60"/>
      <c r="AI116" s="60">
        <v>6</v>
      </c>
      <c r="AJ116" s="60"/>
      <c r="AK116" s="60"/>
      <c r="AL116" s="60"/>
      <c r="AM116" s="60"/>
      <c r="AN116" s="60">
        <v>7</v>
      </c>
      <c r="AO116" s="60"/>
      <c r="AP116" s="60"/>
      <c r="AQ116" s="60"/>
      <c r="AR116" s="60"/>
      <c r="AS116" s="60">
        <v>8</v>
      </c>
      <c r="AT116" s="60"/>
      <c r="AU116" s="60"/>
      <c r="AV116" s="60"/>
      <c r="AW116" s="60"/>
      <c r="AX116" s="60"/>
      <c r="AY116" s="60">
        <v>9</v>
      </c>
      <c r="AZ116" s="60"/>
      <c r="BA116" s="60"/>
      <c r="BB116" s="60"/>
      <c r="BC116" s="60"/>
      <c r="BD116" s="60">
        <v>10</v>
      </c>
      <c r="BE116" s="60"/>
      <c r="BF116" s="60"/>
      <c r="BG116" s="60"/>
      <c r="BH116" s="60"/>
      <c r="BI116" s="55">
        <v>11</v>
      </c>
      <c r="BJ116" s="61"/>
      <c r="BK116" s="61"/>
      <c r="BL116" s="61"/>
      <c r="BM116" s="61"/>
      <c r="BN116" s="62"/>
      <c r="BO116" s="6"/>
      <c r="BP116" s="6"/>
      <c r="BQ116" s="6"/>
    </row>
    <row r="117" spans="1:79" ht="18" hidden="1" customHeight="1" x14ac:dyDescent="0.2">
      <c r="A117" s="30" t="s">
        <v>13</v>
      </c>
      <c r="B117" s="30"/>
      <c r="C117" s="105" t="s">
        <v>14</v>
      </c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63" t="s">
        <v>10</v>
      </c>
      <c r="T117" s="63"/>
      <c r="U117" s="63"/>
      <c r="V117" s="63"/>
      <c r="W117" s="63"/>
      <c r="X117" s="63" t="s">
        <v>9</v>
      </c>
      <c r="Y117" s="63"/>
      <c r="Z117" s="63"/>
      <c r="AA117" s="63"/>
      <c r="AB117" s="63"/>
      <c r="AC117" s="38" t="s">
        <v>16</v>
      </c>
      <c r="AD117" s="106"/>
      <c r="AE117" s="106"/>
      <c r="AF117" s="106"/>
      <c r="AG117" s="106"/>
      <c r="AH117" s="106"/>
      <c r="AI117" s="63" t="s">
        <v>11</v>
      </c>
      <c r="AJ117" s="63"/>
      <c r="AK117" s="63"/>
      <c r="AL117" s="63"/>
      <c r="AM117" s="63"/>
      <c r="AN117" s="63" t="s">
        <v>12</v>
      </c>
      <c r="AO117" s="63"/>
      <c r="AP117" s="63"/>
      <c r="AQ117" s="63"/>
      <c r="AR117" s="63"/>
      <c r="AS117" s="38" t="s">
        <v>16</v>
      </c>
      <c r="AT117" s="106"/>
      <c r="AU117" s="106"/>
      <c r="AV117" s="106"/>
      <c r="AW117" s="106"/>
      <c r="AX117" s="106"/>
      <c r="AY117" s="52" t="s">
        <v>17</v>
      </c>
      <c r="AZ117" s="107"/>
      <c r="BA117" s="107"/>
      <c r="BB117" s="107"/>
      <c r="BC117" s="53"/>
      <c r="BD117" s="52" t="s">
        <v>17</v>
      </c>
      <c r="BE117" s="107"/>
      <c r="BF117" s="107"/>
      <c r="BG117" s="107"/>
      <c r="BH117" s="53"/>
      <c r="BI117" s="106" t="s">
        <v>16</v>
      </c>
      <c r="BJ117" s="106"/>
      <c r="BK117" s="106"/>
      <c r="BL117" s="106"/>
      <c r="BM117" s="106"/>
      <c r="BN117" s="106"/>
      <c r="BO117" s="7"/>
      <c r="BP117" s="7"/>
      <c r="BQ117" s="7"/>
      <c r="CA117" s="1" t="s">
        <v>21</v>
      </c>
    </row>
    <row r="118" spans="1:79" s="26" customFormat="1" ht="15" customHeight="1" x14ac:dyDescent="0.2">
      <c r="A118" s="38"/>
      <c r="B118" s="38"/>
      <c r="C118" s="112" t="s">
        <v>137</v>
      </c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>
        <f>S118+X118</f>
        <v>0</v>
      </c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>
        <f>AI118+AN118</f>
        <v>0</v>
      </c>
      <c r="AT118" s="49"/>
      <c r="AU118" s="49"/>
      <c r="AV118" s="49"/>
      <c r="AW118" s="49"/>
      <c r="AX118" s="49"/>
      <c r="AY118" s="49">
        <f>AI118-S118</f>
        <v>0</v>
      </c>
      <c r="AZ118" s="49"/>
      <c r="BA118" s="49"/>
      <c r="BB118" s="49"/>
      <c r="BC118" s="49"/>
      <c r="BD118" s="111">
        <f>AN118-X118</f>
        <v>0</v>
      </c>
      <c r="BE118" s="111"/>
      <c r="BF118" s="111"/>
      <c r="BG118" s="111"/>
      <c r="BH118" s="111"/>
      <c r="BI118" s="111">
        <f>AY118+BD118</f>
        <v>0</v>
      </c>
      <c r="BJ118" s="111"/>
      <c r="BK118" s="111"/>
      <c r="BL118" s="111"/>
      <c r="BM118" s="111"/>
      <c r="BN118" s="111"/>
      <c r="BO118" s="27"/>
      <c r="BP118" s="27"/>
      <c r="BQ118" s="27"/>
      <c r="CA118" s="26" t="s">
        <v>22</v>
      </c>
    </row>
    <row r="120" spans="1:79" ht="15.75" customHeight="1" x14ac:dyDescent="0.2">
      <c r="A120" s="54" t="s">
        <v>43</v>
      </c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4"/>
      <c r="BE120" s="54"/>
      <c r="BF120" s="54"/>
      <c r="BG120" s="54"/>
      <c r="BH120" s="54"/>
      <c r="BI120" s="54"/>
      <c r="BJ120" s="54"/>
      <c r="BK120" s="54"/>
      <c r="BL120" s="54"/>
      <c r="BM120" s="54"/>
      <c r="BN120" s="54"/>
      <c r="BO120" s="54"/>
      <c r="BP120" s="54"/>
      <c r="BQ120" s="54"/>
    </row>
    <row r="121" spans="1:79" ht="15.75" customHeight="1" x14ac:dyDescent="0.2">
      <c r="A121" s="54" t="s">
        <v>62</v>
      </c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4"/>
      <c r="BE121" s="54"/>
      <c r="BF121" s="54"/>
      <c r="BG121" s="54"/>
      <c r="BH121" s="54"/>
      <c r="BI121" s="54"/>
      <c r="BJ121" s="54"/>
      <c r="BK121" s="54"/>
      <c r="BL121" s="54"/>
      <c r="BM121" s="54"/>
      <c r="BN121" s="54"/>
      <c r="BO121" s="54"/>
      <c r="BP121" s="54"/>
      <c r="BQ121" s="54"/>
    </row>
    <row r="122" spans="1:79" ht="8.25" customHeight="1" x14ac:dyDescent="0.2"/>
    <row r="123" spans="1:79" ht="45" customHeight="1" x14ac:dyDescent="0.2">
      <c r="A123" s="64" t="s">
        <v>3</v>
      </c>
      <c r="B123" s="66"/>
      <c r="C123" s="64" t="s">
        <v>6</v>
      </c>
      <c r="D123" s="65"/>
      <c r="E123" s="65"/>
      <c r="F123" s="65"/>
      <c r="G123" s="65"/>
      <c r="H123" s="65"/>
      <c r="I123" s="66"/>
      <c r="J123" s="64" t="s">
        <v>5</v>
      </c>
      <c r="K123" s="65"/>
      <c r="L123" s="65"/>
      <c r="M123" s="65"/>
      <c r="N123" s="66"/>
      <c r="O123" s="64" t="s">
        <v>4</v>
      </c>
      <c r="P123" s="65"/>
      <c r="Q123" s="65"/>
      <c r="R123" s="65"/>
      <c r="S123" s="65"/>
      <c r="T123" s="65"/>
      <c r="U123" s="65"/>
      <c r="V123" s="65"/>
      <c r="W123" s="65"/>
      <c r="X123" s="66"/>
      <c r="Y123" s="60" t="s">
        <v>25</v>
      </c>
      <c r="Z123" s="60"/>
      <c r="AA123" s="60"/>
      <c r="AB123" s="60"/>
      <c r="AC123" s="60"/>
      <c r="AD123" s="60"/>
      <c r="AE123" s="60"/>
      <c r="AF123" s="60"/>
      <c r="AG123" s="60"/>
      <c r="AH123" s="60"/>
      <c r="AI123" s="60"/>
      <c r="AJ123" s="60"/>
      <c r="AK123" s="60"/>
      <c r="AL123" s="60"/>
      <c r="AM123" s="60"/>
      <c r="AN123" s="60" t="s">
        <v>45</v>
      </c>
      <c r="AO123" s="60"/>
      <c r="AP123" s="60"/>
      <c r="AQ123" s="60"/>
      <c r="AR123" s="60"/>
      <c r="AS123" s="60"/>
      <c r="AT123" s="60"/>
      <c r="AU123" s="60"/>
      <c r="AV123" s="60"/>
      <c r="AW123" s="60"/>
      <c r="AX123" s="60"/>
      <c r="AY123" s="60"/>
      <c r="AZ123" s="60"/>
      <c r="BA123" s="60"/>
      <c r="BB123" s="60"/>
      <c r="BC123" s="83" t="s">
        <v>0</v>
      </c>
      <c r="BD123" s="83"/>
      <c r="BE123" s="83"/>
      <c r="BF123" s="83"/>
      <c r="BG123" s="83"/>
      <c r="BH123" s="83"/>
      <c r="BI123" s="83"/>
      <c r="BJ123" s="83"/>
      <c r="BK123" s="83"/>
      <c r="BL123" s="83"/>
      <c r="BM123" s="83"/>
      <c r="BN123" s="83"/>
      <c r="BO123" s="83"/>
      <c r="BP123" s="83"/>
      <c r="BQ123" s="83"/>
      <c r="BR123" s="8"/>
      <c r="BS123" s="8"/>
      <c r="BT123" s="8"/>
      <c r="BU123" s="8"/>
      <c r="BV123" s="8"/>
      <c r="BW123" s="8"/>
      <c r="BX123" s="8"/>
      <c r="BY123" s="8"/>
    </row>
    <row r="124" spans="1:79" ht="32.25" customHeight="1" x14ac:dyDescent="0.2">
      <c r="A124" s="102"/>
      <c r="B124" s="104"/>
      <c r="C124" s="102"/>
      <c r="D124" s="103"/>
      <c r="E124" s="103"/>
      <c r="F124" s="103"/>
      <c r="G124" s="103"/>
      <c r="H124" s="103"/>
      <c r="I124" s="104"/>
      <c r="J124" s="102"/>
      <c r="K124" s="103"/>
      <c r="L124" s="103"/>
      <c r="M124" s="103"/>
      <c r="N124" s="104"/>
      <c r="O124" s="102"/>
      <c r="P124" s="103"/>
      <c r="Q124" s="103"/>
      <c r="R124" s="103"/>
      <c r="S124" s="103"/>
      <c r="T124" s="103"/>
      <c r="U124" s="103"/>
      <c r="V124" s="103"/>
      <c r="W124" s="103"/>
      <c r="X124" s="104"/>
      <c r="Y124" s="55" t="s">
        <v>2</v>
      </c>
      <c r="Z124" s="61"/>
      <c r="AA124" s="61"/>
      <c r="AB124" s="61"/>
      <c r="AC124" s="62"/>
      <c r="AD124" s="55" t="s">
        <v>1</v>
      </c>
      <c r="AE124" s="61"/>
      <c r="AF124" s="61"/>
      <c r="AG124" s="61"/>
      <c r="AH124" s="62"/>
      <c r="AI124" s="60" t="s">
        <v>26</v>
      </c>
      <c r="AJ124" s="60"/>
      <c r="AK124" s="60"/>
      <c r="AL124" s="60"/>
      <c r="AM124" s="60"/>
      <c r="AN124" s="60" t="s">
        <v>2</v>
      </c>
      <c r="AO124" s="60"/>
      <c r="AP124" s="60"/>
      <c r="AQ124" s="60"/>
      <c r="AR124" s="60"/>
      <c r="AS124" s="60" t="s">
        <v>1</v>
      </c>
      <c r="AT124" s="60"/>
      <c r="AU124" s="60"/>
      <c r="AV124" s="60"/>
      <c r="AW124" s="60"/>
      <c r="AX124" s="60" t="s">
        <v>26</v>
      </c>
      <c r="AY124" s="60"/>
      <c r="AZ124" s="60"/>
      <c r="BA124" s="60"/>
      <c r="BB124" s="60"/>
      <c r="BC124" s="60" t="s">
        <v>2</v>
      </c>
      <c r="BD124" s="60"/>
      <c r="BE124" s="60"/>
      <c r="BF124" s="60"/>
      <c r="BG124" s="60"/>
      <c r="BH124" s="60" t="s">
        <v>1</v>
      </c>
      <c r="BI124" s="60"/>
      <c r="BJ124" s="60"/>
      <c r="BK124" s="60"/>
      <c r="BL124" s="60"/>
      <c r="BM124" s="60" t="s">
        <v>26</v>
      </c>
      <c r="BN124" s="60"/>
      <c r="BO124" s="60"/>
      <c r="BP124" s="60"/>
      <c r="BQ124" s="60"/>
      <c r="BR124" s="2"/>
      <c r="BS124" s="2"/>
      <c r="BT124" s="2"/>
      <c r="BU124" s="2"/>
      <c r="BV124" s="2"/>
      <c r="BW124" s="2"/>
      <c r="BX124" s="2"/>
      <c r="BY124" s="2"/>
    </row>
    <row r="125" spans="1:79" ht="15.95" customHeight="1" x14ac:dyDescent="0.2">
      <c r="A125" s="60">
        <v>1</v>
      </c>
      <c r="B125" s="60"/>
      <c r="C125" s="60">
        <v>2</v>
      </c>
      <c r="D125" s="60"/>
      <c r="E125" s="60"/>
      <c r="F125" s="60"/>
      <c r="G125" s="60"/>
      <c r="H125" s="60"/>
      <c r="I125" s="60"/>
      <c r="J125" s="60">
        <v>3</v>
      </c>
      <c r="K125" s="60"/>
      <c r="L125" s="60"/>
      <c r="M125" s="60"/>
      <c r="N125" s="60"/>
      <c r="O125" s="60">
        <v>4</v>
      </c>
      <c r="P125" s="60"/>
      <c r="Q125" s="60"/>
      <c r="R125" s="60"/>
      <c r="S125" s="60"/>
      <c r="T125" s="60"/>
      <c r="U125" s="60"/>
      <c r="V125" s="60"/>
      <c r="W125" s="60"/>
      <c r="X125" s="60"/>
      <c r="Y125" s="60">
        <v>5</v>
      </c>
      <c r="Z125" s="60"/>
      <c r="AA125" s="60"/>
      <c r="AB125" s="60"/>
      <c r="AC125" s="60"/>
      <c r="AD125" s="60">
        <v>6</v>
      </c>
      <c r="AE125" s="60"/>
      <c r="AF125" s="60"/>
      <c r="AG125" s="60"/>
      <c r="AH125" s="60"/>
      <c r="AI125" s="60">
        <v>7</v>
      </c>
      <c r="AJ125" s="60"/>
      <c r="AK125" s="60"/>
      <c r="AL125" s="60"/>
      <c r="AM125" s="60"/>
      <c r="AN125" s="55">
        <v>8</v>
      </c>
      <c r="AO125" s="61"/>
      <c r="AP125" s="61"/>
      <c r="AQ125" s="61"/>
      <c r="AR125" s="62"/>
      <c r="AS125" s="55">
        <v>9</v>
      </c>
      <c r="AT125" s="61"/>
      <c r="AU125" s="61"/>
      <c r="AV125" s="61"/>
      <c r="AW125" s="62"/>
      <c r="AX125" s="55">
        <v>10</v>
      </c>
      <c r="AY125" s="61"/>
      <c r="AZ125" s="61"/>
      <c r="BA125" s="61"/>
      <c r="BB125" s="62"/>
      <c r="BC125" s="55">
        <v>11</v>
      </c>
      <c r="BD125" s="61"/>
      <c r="BE125" s="61"/>
      <c r="BF125" s="61"/>
      <c r="BG125" s="62"/>
      <c r="BH125" s="55">
        <v>12</v>
      </c>
      <c r="BI125" s="61"/>
      <c r="BJ125" s="61"/>
      <c r="BK125" s="61"/>
      <c r="BL125" s="62"/>
      <c r="BM125" s="55">
        <v>13</v>
      </c>
      <c r="BN125" s="61"/>
      <c r="BO125" s="61"/>
      <c r="BP125" s="61"/>
      <c r="BQ125" s="62"/>
      <c r="BR125" s="2"/>
      <c r="BS125" s="2"/>
      <c r="BT125" s="2"/>
      <c r="BU125" s="2"/>
      <c r="BV125" s="2"/>
      <c r="BW125" s="2"/>
      <c r="BX125" s="2"/>
      <c r="BY125" s="2"/>
    </row>
    <row r="126" spans="1:79" ht="12.75" hidden="1" customHeight="1" x14ac:dyDescent="0.2">
      <c r="A126" s="30" t="s">
        <v>36</v>
      </c>
      <c r="B126" s="30"/>
      <c r="C126" s="80" t="s">
        <v>14</v>
      </c>
      <c r="D126" s="81"/>
      <c r="E126" s="81"/>
      <c r="F126" s="81"/>
      <c r="G126" s="81"/>
      <c r="H126" s="81"/>
      <c r="I126" s="82"/>
      <c r="J126" s="30" t="s">
        <v>15</v>
      </c>
      <c r="K126" s="30"/>
      <c r="L126" s="30"/>
      <c r="M126" s="30"/>
      <c r="N126" s="30"/>
      <c r="O126" s="105" t="s">
        <v>37</v>
      </c>
      <c r="P126" s="105"/>
      <c r="Q126" s="105"/>
      <c r="R126" s="105"/>
      <c r="S126" s="105"/>
      <c r="T126" s="105"/>
      <c r="U126" s="105"/>
      <c r="V126" s="105"/>
      <c r="W126" s="105"/>
      <c r="X126" s="80"/>
      <c r="Y126" s="63" t="s">
        <v>10</v>
      </c>
      <c r="Z126" s="63"/>
      <c r="AA126" s="63"/>
      <c r="AB126" s="63"/>
      <c r="AC126" s="63"/>
      <c r="AD126" s="63" t="s">
        <v>29</v>
      </c>
      <c r="AE126" s="63"/>
      <c r="AF126" s="63"/>
      <c r="AG126" s="63"/>
      <c r="AH126" s="63"/>
      <c r="AI126" s="63" t="s">
        <v>75</v>
      </c>
      <c r="AJ126" s="63"/>
      <c r="AK126" s="63"/>
      <c r="AL126" s="63"/>
      <c r="AM126" s="63"/>
      <c r="AN126" s="63" t="s">
        <v>30</v>
      </c>
      <c r="AO126" s="63"/>
      <c r="AP126" s="63"/>
      <c r="AQ126" s="63"/>
      <c r="AR126" s="63"/>
      <c r="AS126" s="63" t="s">
        <v>11</v>
      </c>
      <c r="AT126" s="63"/>
      <c r="AU126" s="63"/>
      <c r="AV126" s="63"/>
      <c r="AW126" s="63"/>
      <c r="AX126" s="63" t="s">
        <v>76</v>
      </c>
      <c r="AY126" s="63"/>
      <c r="AZ126" s="63"/>
      <c r="BA126" s="63"/>
      <c r="BB126" s="63"/>
      <c r="BC126" s="63" t="s">
        <v>32</v>
      </c>
      <c r="BD126" s="63"/>
      <c r="BE126" s="63"/>
      <c r="BF126" s="63"/>
      <c r="BG126" s="63"/>
      <c r="BH126" s="63" t="s">
        <v>32</v>
      </c>
      <c r="BI126" s="63"/>
      <c r="BJ126" s="63"/>
      <c r="BK126" s="63"/>
      <c r="BL126" s="63"/>
      <c r="BM126" s="87" t="s">
        <v>16</v>
      </c>
      <c r="BN126" s="87"/>
      <c r="BO126" s="87"/>
      <c r="BP126" s="87"/>
      <c r="BQ126" s="87"/>
      <c r="CA126" s="1" t="s">
        <v>23</v>
      </c>
    </row>
    <row r="127" spans="1:79" s="26" customFormat="1" ht="15.75" x14ac:dyDescent="0.2">
      <c r="A127" s="38">
        <v>0</v>
      </c>
      <c r="B127" s="38"/>
      <c r="C127" s="51" t="s">
        <v>138</v>
      </c>
      <c r="D127" s="51"/>
      <c r="E127" s="51"/>
      <c r="F127" s="51"/>
      <c r="G127" s="51"/>
      <c r="H127" s="51"/>
      <c r="I127" s="51"/>
      <c r="J127" s="51" t="s">
        <v>139</v>
      </c>
      <c r="K127" s="51"/>
      <c r="L127" s="51"/>
      <c r="M127" s="51"/>
      <c r="N127" s="51"/>
      <c r="O127" s="51" t="s">
        <v>139</v>
      </c>
      <c r="P127" s="51"/>
      <c r="Q127" s="51"/>
      <c r="R127" s="51"/>
      <c r="S127" s="51"/>
      <c r="T127" s="51"/>
      <c r="U127" s="51"/>
      <c r="V127" s="51"/>
      <c r="W127" s="51"/>
      <c r="X127" s="51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28"/>
      <c r="BS127" s="28"/>
      <c r="BT127" s="28"/>
      <c r="BU127" s="28"/>
      <c r="BV127" s="28"/>
      <c r="BW127" s="28"/>
      <c r="BX127" s="28"/>
      <c r="BY127" s="28"/>
      <c r="CA127" s="26" t="s">
        <v>24</v>
      </c>
    </row>
    <row r="128" spans="1:79" ht="25.5" customHeight="1" x14ac:dyDescent="0.2">
      <c r="A128" s="30">
        <v>1</v>
      </c>
      <c r="B128" s="30"/>
      <c r="C128" s="47" t="s">
        <v>140</v>
      </c>
      <c r="D128" s="32"/>
      <c r="E128" s="32"/>
      <c r="F128" s="32"/>
      <c r="G128" s="32"/>
      <c r="H128" s="32"/>
      <c r="I128" s="33"/>
      <c r="J128" s="48" t="s">
        <v>141</v>
      </c>
      <c r="K128" s="48"/>
      <c r="L128" s="48"/>
      <c r="M128" s="48"/>
      <c r="N128" s="48"/>
      <c r="O128" s="47" t="s">
        <v>142</v>
      </c>
      <c r="P128" s="32"/>
      <c r="Q128" s="32"/>
      <c r="R128" s="32"/>
      <c r="S128" s="32"/>
      <c r="T128" s="32"/>
      <c r="U128" s="32"/>
      <c r="V128" s="32"/>
      <c r="W128" s="32"/>
      <c r="X128" s="33"/>
      <c r="Y128" s="46">
        <v>6</v>
      </c>
      <c r="Z128" s="46"/>
      <c r="AA128" s="46"/>
      <c r="AB128" s="46"/>
      <c r="AC128" s="46"/>
      <c r="AD128" s="46">
        <v>0</v>
      </c>
      <c r="AE128" s="46"/>
      <c r="AF128" s="46"/>
      <c r="AG128" s="46"/>
      <c r="AH128" s="46"/>
      <c r="AI128" s="46">
        <v>6</v>
      </c>
      <c r="AJ128" s="46"/>
      <c r="AK128" s="46"/>
      <c r="AL128" s="46"/>
      <c r="AM128" s="46"/>
      <c r="AN128" s="46">
        <v>4</v>
      </c>
      <c r="AO128" s="46"/>
      <c r="AP128" s="46"/>
      <c r="AQ128" s="46"/>
      <c r="AR128" s="46"/>
      <c r="AS128" s="46">
        <v>0</v>
      </c>
      <c r="AT128" s="46"/>
      <c r="AU128" s="46"/>
      <c r="AV128" s="46"/>
      <c r="AW128" s="46"/>
      <c r="AX128" s="46">
        <v>4</v>
      </c>
      <c r="AY128" s="46"/>
      <c r="AZ128" s="46"/>
      <c r="BA128" s="46"/>
      <c r="BB128" s="46"/>
      <c r="BC128" s="46">
        <f>AN128-Y128</f>
        <v>-2</v>
      </c>
      <c r="BD128" s="46"/>
      <c r="BE128" s="46"/>
      <c r="BF128" s="46"/>
      <c r="BG128" s="46"/>
      <c r="BH128" s="46">
        <f>AS128-AD128</f>
        <v>0</v>
      </c>
      <c r="BI128" s="46"/>
      <c r="BJ128" s="46"/>
      <c r="BK128" s="46"/>
      <c r="BL128" s="46"/>
      <c r="BM128" s="46">
        <v>-2</v>
      </c>
      <c r="BN128" s="46"/>
      <c r="BO128" s="46"/>
      <c r="BP128" s="46"/>
      <c r="BQ128" s="46"/>
      <c r="BR128" s="9"/>
      <c r="BS128" s="9"/>
      <c r="BT128" s="9"/>
      <c r="BU128" s="9"/>
      <c r="BV128" s="9"/>
      <c r="BW128" s="9"/>
      <c r="BX128" s="9"/>
      <c r="BY128" s="9"/>
    </row>
    <row r="129" spans="1:79" ht="15.75" customHeight="1" x14ac:dyDescent="0.2">
      <c r="A129" s="30">
        <v>2</v>
      </c>
      <c r="B129" s="30"/>
      <c r="C129" s="47" t="s">
        <v>143</v>
      </c>
      <c r="D129" s="32"/>
      <c r="E129" s="32"/>
      <c r="F129" s="32"/>
      <c r="G129" s="32"/>
      <c r="H129" s="32"/>
      <c r="I129" s="33"/>
      <c r="J129" s="48" t="s">
        <v>141</v>
      </c>
      <c r="K129" s="48"/>
      <c r="L129" s="48"/>
      <c r="M129" s="48"/>
      <c r="N129" s="48"/>
      <c r="O129" s="47" t="s">
        <v>144</v>
      </c>
      <c r="P129" s="32"/>
      <c r="Q129" s="32"/>
      <c r="R129" s="32"/>
      <c r="S129" s="32"/>
      <c r="T129" s="32"/>
      <c r="U129" s="32"/>
      <c r="V129" s="32"/>
      <c r="W129" s="32"/>
      <c r="X129" s="33"/>
      <c r="Y129" s="46">
        <v>112.95</v>
      </c>
      <c r="Z129" s="46"/>
      <c r="AA129" s="46"/>
      <c r="AB129" s="46"/>
      <c r="AC129" s="46"/>
      <c r="AD129" s="46">
        <v>0</v>
      </c>
      <c r="AE129" s="46"/>
      <c r="AF129" s="46"/>
      <c r="AG129" s="46"/>
      <c r="AH129" s="46"/>
      <c r="AI129" s="46">
        <v>112.95</v>
      </c>
      <c r="AJ129" s="46"/>
      <c r="AK129" s="46"/>
      <c r="AL129" s="46"/>
      <c r="AM129" s="46"/>
      <c r="AN129" s="46">
        <v>105.38</v>
      </c>
      <c r="AO129" s="46"/>
      <c r="AP129" s="46"/>
      <c r="AQ129" s="46"/>
      <c r="AR129" s="46"/>
      <c r="AS129" s="46">
        <v>0</v>
      </c>
      <c r="AT129" s="46"/>
      <c r="AU129" s="46"/>
      <c r="AV129" s="46"/>
      <c r="AW129" s="46"/>
      <c r="AX129" s="46">
        <v>105.38</v>
      </c>
      <c r="AY129" s="46"/>
      <c r="AZ129" s="46"/>
      <c r="BA129" s="46"/>
      <c r="BB129" s="46"/>
      <c r="BC129" s="46">
        <f>AN129-Y129</f>
        <v>-7.5700000000000074</v>
      </c>
      <c r="BD129" s="46"/>
      <c r="BE129" s="46"/>
      <c r="BF129" s="46"/>
      <c r="BG129" s="46"/>
      <c r="BH129" s="46">
        <f>AS129-AD129</f>
        <v>0</v>
      </c>
      <c r="BI129" s="46"/>
      <c r="BJ129" s="46"/>
      <c r="BK129" s="46"/>
      <c r="BL129" s="46"/>
      <c r="BM129" s="46">
        <v>-7.5700000000000074</v>
      </c>
      <c r="BN129" s="46"/>
      <c r="BO129" s="46"/>
      <c r="BP129" s="46"/>
      <c r="BQ129" s="46"/>
      <c r="BR129" s="9"/>
      <c r="BS129" s="9"/>
      <c r="BT129" s="9"/>
      <c r="BU129" s="9"/>
      <c r="BV129" s="9"/>
      <c r="BW129" s="9"/>
      <c r="BX129" s="9"/>
      <c r="BY129" s="9"/>
    </row>
    <row r="130" spans="1:79" s="26" customFormat="1" ht="15.75" x14ac:dyDescent="0.2">
      <c r="A130" s="38">
        <v>0</v>
      </c>
      <c r="B130" s="38"/>
      <c r="C130" s="50" t="s">
        <v>145</v>
      </c>
      <c r="D130" s="40"/>
      <c r="E130" s="40"/>
      <c r="F130" s="40"/>
      <c r="G130" s="40"/>
      <c r="H130" s="40"/>
      <c r="I130" s="41"/>
      <c r="J130" s="51" t="s">
        <v>139</v>
      </c>
      <c r="K130" s="51"/>
      <c r="L130" s="51"/>
      <c r="M130" s="51"/>
      <c r="N130" s="51"/>
      <c r="O130" s="50" t="s">
        <v>139</v>
      </c>
      <c r="P130" s="40"/>
      <c r="Q130" s="40"/>
      <c r="R130" s="40"/>
      <c r="S130" s="40"/>
      <c r="T130" s="40"/>
      <c r="U130" s="40"/>
      <c r="V130" s="40"/>
      <c r="W130" s="40"/>
      <c r="X130" s="41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28"/>
      <c r="BS130" s="28"/>
      <c r="BT130" s="28"/>
      <c r="BU130" s="28"/>
      <c r="BV130" s="28"/>
      <c r="BW130" s="28"/>
      <c r="BX130" s="28"/>
      <c r="BY130" s="28"/>
    </row>
    <row r="131" spans="1:79" ht="25.5" customHeight="1" x14ac:dyDescent="0.2">
      <c r="A131" s="30">
        <v>1</v>
      </c>
      <c r="B131" s="30"/>
      <c r="C131" s="47" t="s">
        <v>146</v>
      </c>
      <c r="D131" s="32"/>
      <c r="E131" s="32"/>
      <c r="F131" s="32"/>
      <c r="G131" s="32"/>
      <c r="H131" s="32"/>
      <c r="I131" s="33"/>
      <c r="J131" s="48" t="s">
        <v>147</v>
      </c>
      <c r="K131" s="48"/>
      <c r="L131" s="48"/>
      <c r="M131" s="48"/>
      <c r="N131" s="48"/>
      <c r="O131" s="47" t="s">
        <v>148</v>
      </c>
      <c r="P131" s="32"/>
      <c r="Q131" s="32"/>
      <c r="R131" s="32"/>
      <c r="S131" s="32"/>
      <c r="T131" s="32"/>
      <c r="U131" s="32"/>
      <c r="V131" s="32"/>
      <c r="W131" s="32"/>
      <c r="X131" s="33"/>
      <c r="Y131" s="46">
        <v>274</v>
      </c>
      <c r="Z131" s="46"/>
      <c r="AA131" s="46"/>
      <c r="AB131" s="46"/>
      <c r="AC131" s="46"/>
      <c r="AD131" s="46">
        <v>0</v>
      </c>
      <c r="AE131" s="46"/>
      <c r="AF131" s="46"/>
      <c r="AG131" s="46"/>
      <c r="AH131" s="46"/>
      <c r="AI131" s="46">
        <v>274</v>
      </c>
      <c r="AJ131" s="46"/>
      <c r="AK131" s="46"/>
      <c r="AL131" s="46"/>
      <c r="AM131" s="46"/>
      <c r="AN131" s="46">
        <v>94</v>
      </c>
      <c r="AO131" s="46"/>
      <c r="AP131" s="46"/>
      <c r="AQ131" s="46"/>
      <c r="AR131" s="46"/>
      <c r="AS131" s="46">
        <v>0</v>
      </c>
      <c r="AT131" s="46"/>
      <c r="AU131" s="46"/>
      <c r="AV131" s="46"/>
      <c r="AW131" s="46"/>
      <c r="AX131" s="46">
        <v>94</v>
      </c>
      <c r="AY131" s="46"/>
      <c r="AZ131" s="46"/>
      <c r="BA131" s="46"/>
      <c r="BB131" s="46"/>
      <c r="BC131" s="46">
        <f>AN131-Y131</f>
        <v>-180</v>
      </c>
      <c r="BD131" s="46"/>
      <c r="BE131" s="46"/>
      <c r="BF131" s="46"/>
      <c r="BG131" s="46"/>
      <c r="BH131" s="46">
        <f>AS131-AD131</f>
        <v>0</v>
      </c>
      <c r="BI131" s="46"/>
      <c r="BJ131" s="46"/>
      <c r="BK131" s="46"/>
      <c r="BL131" s="46"/>
      <c r="BM131" s="46">
        <v>-180</v>
      </c>
      <c r="BN131" s="46"/>
      <c r="BO131" s="46"/>
      <c r="BP131" s="46"/>
      <c r="BQ131" s="46"/>
      <c r="BR131" s="9"/>
      <c r="BS131" s="9"/>
      <c r="BT131" s="9"/>
      <c r="BU131" s="9"/>
      <c r="BV131" s="9"/>
      <c r="BW131" s="9"/>
      <c r="BX131" s="9"/>
      <c r="BY131" s="9"/>
    </row>
    <row r="132" spans="1:79" ht="25.5" customHeight="1" x14ac:dyDescent="0.2">
      <c r="A132" s="30">
        <v>2</v>
      </c>
      <c r="B132" s="30"/>
      <c r="C132" s="47" t="s">
        <v>149</v>
      </c>
      <c r="D132" s="32"/>
      <c r="E132" s="32"/>
      <c r="F132" s="32"/>
      <c r="G132" s="32"/>
      <c r="H132" s="32"/>
      <c r="I132" s="33"/>
      <c r="J132" s="48" t="s">
        <v>147</v>
      </c>
      <c r="K132" s="48"/>
      <c r="L132" s="48"/>
      <c r="M132" s="48"/>
      <c r="N132" s="48"/>
      <c r="O132" s="47" t="s">
        <v>148</v>
      </c>
      <c r="P132" s="32"/>
      <c r="Q132" s="32"/>
      <c r="R132" s="32"/>
      <c r="S132" s="32"/>
      <c r="T132" s="32"/>
      <c r="U132" s="32"/>
      <c r="V132" s="32"/>
      <c r="W132" s="32"/>
      <c r="X132" s="33"/>
      <c r="Y132" s="46">
        <v>1087</v>
      </c>
      <c r="Z132" s="46"/>
      <c r="AA132" s="46"/>
      <c r="AB132" s="46"/>
      <c r="AC132" s="46"/>
      <c r="AD132" s="46">
        <v>0</v>
      </c>
      <c r="AE132" s="46"/>
      <c r="AF132" s="46"/>
      <c r="AG132" s="46"/>
      <c r="AH132" s="46"/>
      <c r="AI132" s="46">
        <v>1087</v>
      </c>
      <c r="AJ132" s="46"/>
      <c r="AK132" s="46"/>
      <c r="AL132" s="46"/>
      <c r="AM132" s="46"/>
      <c r="AN132" s="46">
        <v>1032</v>
      </c>
      <c r="AO132" s="46"/>
      <c r="AP132" s="46"/>
      <c r="AQ132" s="46"/>
      <c r="AR132" s="46"/>
      <c r="AS132" s="46">
        <v>0</v>
      </c>
      <c r="AT132" s="46"/>
      <c r="AU132" s="46"/>
      <c r="AV132" s="46"/>
      <c r="AW132" s="46"/>
      <c r="AX132" s="46">
        <v>1032</v>
      </c>
      <c r="AY132" s="46"/>
      <c r="AZ132" s="46"/>
      <c r="BA132" s="46"/>
      <c r="BB132" s="46"/>
      <c r="BC132" s="46">
        <f>AN132-Y132</f>
        <v>-55</v>
      </c>
      <c r="BD132" s="46"/>
      <c r="BE132" s="46"/>
      <c r="BF132" s="46"/>
      <c r="BG132" s="46"/>
      <c r="BH132" s="46">
        <f>AS132-AD132</f>
        <v>0</v>
      </c>
      <c r="BI132" s="46"/>
      <c r="BJ132" s="46"/>
      <c r="BK132" s="46"/>
      <c r="BL132" s="46"/>
      <c r="BM132" s="46">
        <v>-55</v>
      </c>
      <c r="BN132" s="46"/>
      <c r="BO132" s="46"/>
      <c r="BP132" s="46"/>
      <c r="BQ132" s="46"/>
      <c r="BR132" s="9"/>
      <c r="BS132" s="9"/>
      <c r="BT132" s="9"/>
      <c r="BU132" s="9"/>
      <c r="BV132" s="9"/>
      <c r="BW132" s="9"/>
      <c r="BX132" s="9"/>
      <c r="BY132" s="9"/>
    </row>
    <row r="133" spans="1:79" s="26" customFormat="1" ht="15.75" x14ac:dyDescent="0.2">
      <c r="A133" s="38">
        <v>0</v>
      </c>
      <c r="B133" s="38"/>
      <c r="C133" s="50" t="s">
        <v>150</v>
      </c>
      <c r="D133" s="40"/>
      <c r="E133" s="40"/>
      <c r="F133" s="40"/>
      <c r="G133" s="40"/>
      <c r="H133" s="40"/>
      <c r="I133" s="41"/>
      <c r="J133" s="51" t="s">
        <v>139</v>
      </c>
      <c r="K133" s="51"/>
      <c r="L133" s="51"/>
      <c r="M133" s="51"/>
      <c r="N133" s="51"/>
      <c r="O133" s="50" t="s">
        <v>139</v>
      </c>
      <c r="P133" s="40"/>
      <c r="Q133" s="40"/>
      <c r="R133" s="40"/>
      <c r="S133" s="40"/>
      <c r="T133" s="40"/>
      <c r="U133" s="40"/>
      <c r="V133" s="40"/>
      <c r="W133" s="40"/>
      <c r="X133" s="41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28"/>
      <c r="BS133" s="28"/>
      <c r="BT133" s="28"/>
      <c r="BU133" s="28"/>
      <c r="BV133" s="28"/>
      <c r="BW133" s="28"/>
      <c r="BX133" s="28"/>
      <c r="BY133" s="28"/>
    </row>
    <row r="134" spans="1:79" ht="25.5" customHeight="1" x14ac:dyDescent="0.2">
      <c r="A134" s="30">
        <v>1</v>
      </c>
      <c r="B134" s="30"/>
      <c r="C134" s="47" t="s">
        <v>151</v>
      </c>
      <c r="D134" s="32"/>
      <c r="E134" s="32"/>
      <c r="F134" s="32"/>
      <c r="G134" s="32"/>
      <c r="H134" s="32"/>
      <c r="I134" s="33"/>
      <c r="J134" s="48" t="s">
        <v>152</v>
      </c>
      <c r="K134" s="48"/>
      <c r="L134" s="48"/>
      <c r="M134" s="48"/>
      <c r="N134" s="48"/>
      <c r="O134" s="47" t="s">
        <v>153</v>
      </c>
      <c r="P134" s="32"/>
      <c r="Q134" s="32"/>
      <c r="R134" s="32"/>
      <c r="S134" s="32"/>
      <c r="T134" s="32"/>
      <c r="U134" s="32"/>
      <c r="V134" s="32"/>
      <c r="W134" s="32"/>
      <c r="X134" s="33"/>
      <c r="Y134" s="46">
        <v>46580</v>
      </c>
      <c r="Z134" s="46"/>
      <c r="AA134" s="46"/>
      <c r="AB134" s="46"/>
      <c r="AC134" s="46"/>
      <c r="AD134" s="46">
        <v>0</v>
      </c>
      <c r="AE134" s="46"/>
      <c r="AF134" s="46"/>
      <c r="AG134" s="46"/>
      <c r="AH134" s="46"/>
      <c r="AI134" s="46">
        <v>46580</v>
      </c>
      <c r="AJ134" s="46"/>
      <c r="AK134" s="46"/>
      <c r="AL134" s="46"/>
      <c r="AM134" s="46"/>
      <c r="AN134" s="46">
        <v>16450</v>
      </c>
      <c r="AO134" s="46"/>
      <c r="AP134" s="46"/>
      <c r="AQ134" s="46"/>
      <c r="AR134" s="46"/>
      <c r="AS134" s="46">
        <v>0</v>
      </c>
      <c r="AT134" s="46"/>
      <c r="AU134" s="46"/>
      <c r="AV134" s="46"/>
      <c r="AW134" s="46"/>
      <c r="AX134" s="46">
        <v>16450</v>
      </c>
      <c r="AY134" s="46"/>
      <c r="AZ134" s="46"/>
      <c r="BA134" s="46"/>
      <c r="BB134" s="46"/>
      <c r="BC134" s="46">
        <f>AN134-Y134</f>
        <v>-30130</v>
      </c>
      <c r="BD134" s="46"/>
      <c r="BE134" s="46"/>
      <c r="BF134" s="46"/>
      <c r="BG134" s="46"/>
      <c r="BH134" s="46">
        <f>AS134-AD134</f>
        <v>0</v>
      </c>
      <c r="BI134" s="46"/>
      <c r="BJ134" s="46"/>
      <c r="BK134" s="46"/>
      <c r="BL134" s="46"/>
      <c r="BM134" s="46">
        <v>-30130</v>
      </c>
      <c r="BN134" s="46"/>
      <c r="BO134" s="46"/>
      <c r="BP134" s="46"/>
      <c r="BQ134" s="46"/>
      <c r="BR134" s="9"/>
      <c r="BS134" s="9"/>
      <c r="BT134" s="9"/>
      <c r="BU134" s="9"/>
      <c r="BV134" s="9"/>
      <c r="BW134" s="9"/>
      <c r="BX134" s="9"/>
      <c r="BY134" s="9"/>
    </row>
    <row r="135" spans="1:79" ht="25.5" customHeight="1" x14ac:dyDescent="0.2">
      <c r="A135" s="30">
        <v>2</v>
      </c>
      <c r="B135" s="30"/>
      <c r="C135" s="47" t="s">
        <v>154</v>
      </c>
      <c r="D135" s="32"/>
      <c r="E135" s="32"/>
      <c r="F135" s="32"/>
      <c r="G135" s="32"/>
      <c r="H135" s="32"/>
      <c r="I135" s="33"/>
      <c r="J135" s="48" t="s">
        <v>152</v>
      </c>
      <c r="K135" s="48"/>
      <c r="L135" s="48"/>
      <c r="M135" s="48"/>
      <c r="N135" s="48"/>
      <c r="O135" s="47" t="s">
        <v>153</v>
      </c>
      <c r="P135" s="32"/>
      <c r="Q135" s="32"/>
      <c r="R135" s="32"/>
      <c r="S135" s="32"/>
      <c r="T135" s="32"/>
      <c r="U135" s="32"/>
      <c r="V135" s="32"/>
      <c r="W135" s="32"/>
      <c r="X135" s="33"/>
      <c r="Y135" s="46">
        <v>173920</v>
      </c>
      <c r="Z135" s="46"/>
      <c r="AA135" s="46"/>
      <c r="AB135" s="46"/>
      <c r="AC135" s="46"/>
      <c r="AD135" s="46">
        <v>0</v>
      </c>
      <c r="AE135" s="46"/>
      <c r="AF135" s="46"/>
      <c r="AG135" s="46"/>
      <c r="AH135" s="46"/>
      <c r="AI135" s="46">
        <v>173920</v>
      </c>
      <c r="AJ135" s="46"/>
      <c r="AK135" s="46"/>
      <c r="AL135" s="46"/>
      <c r="AM135" s="46"/>
      <c r="AN135" s="46">
        <v>180600</v>
      </c>
      <c r="AO135" s="46"/>
      <c r="AP135" s="46"/>
      <c r="AQ135" s="46"/>
      <c r="AR135" s="46"/>
      <c r="AS135" s="46">
        <v>0</v>
      </c>
      <c r="AT135" s="46"/>
      <c r="AU135" s="46"/>
      <c r="AV135" s="46"/>
      <c r="AW135" s="46"/>
      <c r="AX135" s="46">
        <v>180600</v>
      </c>
      <c r="AY135" s="46"/>
      <c r="AZ135" s="46"/>
      <c r="BA135" s="46"/>
      <c r="BB135" s="46"/>
      <c r="BC135" s="46">
        <f>AN135-Y135</f>
        <v>6680</v>
      </c>
      <c r="BD135" s="46"/>
      <c r="BE135" s="46"/>
      <c r="BF135" s="46"/>
      <c r="BG135" s="46"/>
      <c r="BH135" s="46">
        <f>AS135-AD135</f>
        <v>0</v>
      </c>
      <c r="BI135" s="46"/>
      <c r="BJ135" s="46"/>
      <c r="BK135" s="46"/>
      <c r="BL135" s="46"/>
      <c r="BM135" s="46">
        <v>6680</v>
      </c>
      <c r="BN135" s="46"/>
      <c r="BO135" s="46"/>
      <c r="BP135" s="46"/>
      <c r="BQ135" s="46"/>
      <c r="BR135" s="9"/>
      <c r="BS135" s="9"/>
      <c r="BT135" s="9"/>
      <c r="BU135" s="9"/>
      <c r="BV135" s="9"/>
      <c r="BW135" s="9"/>
      <c r="BX135" s="9"/>
      <c r="BY135" s="9"/>
    </row>
    <row r="136" spans="1:79" s="26" customFormat="1" ht="15.75" x14ac:dyDescent="0.2">
      <c r="A136" s="38">
        <v>0</v>
      </c>
      <c r="B136" s="38"/>
      <c r="C136" s="50" t="s">
        <v>155</v>
      </c>
      <c r="D136" s="40"/>
      <c r="E136" s="40"/>
      <c r="F136" s="40"/>
      <c r="G136" s="40"/>
      <c r="H136" s="40"/>
      <c r="I136" s="41"/>
      <c r="J136" s="51" t="s">
        <v>139</v>
      </c>
      <c r="K136" s="51"/>
      <c r="L136" s="51"/>
      <c r="M136" s="51"/>
      <c r="N136" s="51"/>
      <c r="O136" s="50" t="s">
        <v>139</v>
      </c>
      <c r="P136" s="40"/>
      <c r="Q136" s="40"/>
      <c r="R136" s="40"/>
      <c r="S136" s="40"/>
      <c r="T136" s="40"/>
      <c r="U136" s="40"/>
      <c r="V136" s="40"/>
      <c r="W136" s="40"/>
      <c r="X136" s="41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28"/>
      <c r="BS136" s="28"/>
      <c r="BT136" s="28"/>
      <c r="BU136" s="28"/>
      <c r="BV136" s="28"/>
      <c r="BW136" s="28"/>
      <c r="BX136" s="28"/>
      <c r="BY136" s="28"/>
    </row>
    <row r="137" spans="1:79" ht="38.25" customHeight="1" x14ac:dyDescent="0.2">
      <c r="A137" s="30">
        <v>1</v>
      </c>
      <c r="B137" s="30"/>
      <c r="C137" s="47" t="s">
        <v>156</v>
      </c>
      <c r="D137" s="32"/>
      <c r="E137" s="32"/>
      <c r="F137" s="32"/>
      <c r="G137" s="32"/>
      <c r="H137" s="32"/>
      <c r="I137" s="33"/>
      <c r="J137" s="48" t="s">
        <v>152</v>
      </c>
      <c r="K137" s="48"/>
      <c r="L137" s="48"/>
      <c r="M137" s="48"/>
      <c r="N137" s="48"/>
      <c r="O137" s="47" t="s">
        <v>157</v>
      </c>
      <c r="P137" s="32"/>
      <c r="Q137" s="32"/>
      <c r="R137" s="32"/>
      <c r="S137" s="32"/>
      <c r="T137" s="32"/>
      <c r="U137" s="32"/>
      <c r="V137" s="32"/>
      <c r="W137" s="32"/>
      <c r="X137" s="33"/>
      <c r="Y137" s="46">
        <v>170</v>
      </c>
      <c r="Z137" s="46"/>
      <c r="AA137" s="46"/>
      <c r="AB137" s="46"/>
      <c r="AC137" s="46"/>
      <c r="AD137" s="46">
        <v>0</v>
      </c>
      <c r="AE137" s="46"/>
      <c r="AF137" s="46"/>
      <c r="AG137" s="46"/>
      <c r="AH137" s="46"/>
      <c r="AI137" s="46">
        <v>170</v>
      </c>
      <c r="AJ137" s="46"/>
      <c r="AK137" s="46"/>
      <c r="AL137" s="46"/>
      <c r="AM137" s="46"/>
      <c r="AN137" s="46">
        <v>175</v>
      </c>
      <c r="AO137" s="46"/>
      <c r="AP137" s="46"/>
      <c r="AQ137" s="46"/>
      <c r="AR137" s="46"/>
      <c r="AS137" s="46">
        <v>0</v>
      </c>
      <c r="AT137" s="46"/>
      <c r="AU137" s="46"/>
      <c r="AV137" s="46"/>
      <c r="AW137" s="46"/>
      <c r="AX137" s="46">
        <v>175</v>
      </c>
      <c r="AY137" s="46"/>
      <c r="AZ137" s="46"/>
      <c r="BA137" s="46"/>
      <c r="BB137" s="46"/>
      <c r="BC137" s="46">
        <f>AN137-Y137</f>
        <v>5</v>
      </c>
      <c r="BD137" s="46"/>
      <c r="BE137" s="46"/>
      <c r="BF137" s="46"/>
      <c r="BG137" s="46"/>
      <c r="BH137" s="46">
        <f>AS137-AD137</f>
        <v>0</v>
      </c>
      <c r="BI137" s="46"/>
      <c r="BJ137" s="46"/>
      <c r="BK137" s="46"/>
      <c r="BL137" s="46"/>
      <c r="BM137" s="46">
        <v>5</v>
      </c>
      <c r="BN137" s="46"/>
      <c r="BO137" s="46"/>
      <c r="BP137" s="46"/>
      <c r="BQ137" s="46"/>
      <c r="BR137" s="9"/>
      <c r="BS137" s="9"/>
      <c r="BT137" s="9"/>
      <c r="BU137" s="9"/>
      <c r="BV137" s="9"/>
      <c r="BW137" s="9"/>
      <c r="BX137" s="9"/>
      <c r="BY137" s="9"/>
    </row>
    <row r="138" spans="1:79" ht="38.25" customHeight="1" x14ac:dyDescent="0.2">
      <c r="A138" s="30">
        <v>2</v>
      </c>
      <c r="B138" s="30"/>
      <c r="C138" s="47" t="s">
        <v>158</v>
      </c>
      <c r="D138" s="32"/>
      <c r="E138" s="32"/>
      <c r="F138" s="32"/>
      <c r="G138" s="32"/>
      <c r="H138" s="32"/>
      <c r="I138" s="33"/>
      <c r="J138" s="48" t="s">
        <v>152</v>
      </c>
      <c r="K138" s="48"/>
      <c r="L138" s="48"/>
      <c r="M138" s="48"/>
      <c r="N138" s="48"/>
      <c r="O138" s="47" t="s">
        <v>157</v>
      </c>
      <c r="P138" s="32"/>
      <c r="Q138" s="32"/>
      <c r="R138" s="32"/>
      <c r="S138" s="32"/>
      <c r="T138" s="32"/>
      <c r="U138" s="32"/>
      <c r="V138" s="32"/>
      <c r="W138" s="32"/>
      <c r="X138" s="33"/>
      <c r="Y138" s="46">
        <v>160</v>
      </c>
      <c r="Z138" s="46"/>
      <c r="AA138" s="46"/>
      <c r="AB138" s="46"/>
      <c r="AC138" s="46"/>
      <c r="AD138" s="46">
        <v>0</v>
      </c>
      <c r="AE138" s="46"/>
      <c r="AF138" s="46"/>
      <c r="AG138" s="46"/>
      <c r="AH138" s="46"/>
      <c r="AI138" s="46">
        <v>160</v>
      </c>
      <c r="AJ138" s="46"/>
      <c r="AK138" s="46"/>
      <c r="AL138" s="46"/>
      <c r="AM138" s="46"/>
      <c r="AN138" s="46">
        <v>175</v>
      </c>
      <c r="AO138" s="46"/>
      <c r="AP138" s="46"/>
      <c r="AQ138" s="46"/>
      <c r="AR138" s="46"/>
      <c r="AS138" s="46">
        <v>0</v>
      </c>
      <c r="AT138" s="46"/>
      <c r="AU138" s="46"/>
      <c r="AV138" s="46"/>
      <c r="AW138" s="46"/>
      <c r="AX138" s="46">
        <v>175</v>
      </c>
      <c r="AY138" s="46"/>
      <c r="AZ138" s="46"/>
      <c r="BA138" s="46"/>
      <c r="BB138" s="46"/>
      <c r="BC138" s="46">
        <f>AN138-Y138</f>
        <v>15</v>
      </c>
      <c r="BD138" s="46"/>
      <c r="BE138" s="46"/>
      <c r="BF138" s="46"/>
      <c r="BG138" s="46"/>
      <c r="BH138" s="46">
        <f>AS138-AD138</f>
        <v>0</v>
      </c>
      <c r="BI138" s="46"/>
      <c r="BJ138" s="46"/>
      <c r="BK138" s="46"/>
      <c r="BL138" s="46"/>
      <c r="BM138" s="46">
        <v>15</v>
      </c>
      <c r="BN138" s="46"/>
      <c r="BO138" s="46"/>
      <c r="BP138" s="46"/>
      <c r="BQ138" s="46"/>
      <c r="BR138" s="9"/>
      <c r="BS138" s="9"/>
      <c r="BT138" s="9"/>
      <c r="BU138" s="9"/>
      <c r="BV138" s="9"/>
      <c r="BW138" s="9"/>
      <c r="BX138" s="9"/>
      <c r="BY138" s="9"/>
    </row>
    <row r="139" spans="1:79" ht="15.75" x14ac:dyDescent="0.2">
      <c r="A139" s="22"/>
      <c r="B139" s="22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9"/>
      <c r="BS139" s="9"/>
      <c r="BT139" s="9"/>
      <c r="BU139" s="9"/>
      <c r="BV139" s="9"/>
      <c r="BW139" s="9"/>
      <c r="BX139" s="9"/>
      <c r="BY139" s="9"/>
    </row>
    <row r="140" spans="1:79" ht="15.75" customHeight="1" x14ac:dyDescent="0.2">
      <c r="A140" s="54" t="s">
        <v>63</v>
      </c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4"/>
      <c r="BE140" s="54"/>
      <c r="BF140" s="54"/>
      <c r="BG140" s="54"/>
      <c r="BH140" s="54"/>
      <c r="BI140" s="54"/>
      <c r="BJ140" s="54"/>
      <c r="BK140" s="54"/>
      <c r="BL140" s="54"/>
      <c r="BM140" s="54"/>
      <c r="BN140" s="54"/>
      <c r="BO140" s="54"/>
      <c r="BP140" s="54"/>
      <c r="BQ140" s="54"/>
    </row>
    <row r="141" spans="1:79" ht="9" customHeight="1" x14ac:dyDescent="0.2">
      <c r="A141" s="22"/>
      <c r="B141" s="22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9"/>
      <c r="BS141" s="9"/>
      <c r="BT141" s="9"/>
      <c r="BU141" s="9"/>
      <c r="BV141" s="9"/>
      <c r="BW141" s="9"/>
      <c r="BX141" s="9"/>
      <c r="BY141" s="9"/>
    </row>
    <row r="142" spans="1:79" ht="45" customHeight="1" x14ac:dyDescent="0.2">
      <c r="A142" s="64" t="s">
        <v>3</v>
      </c>
      <c r="B142" s="66"/>
      <c r="C142" s="64" t="s">
        <v>6</v>
      </c>
      <c r="D142" s="65"/>
      <c r="E142" s="65"/>
      <c r="F142" s="65"/>
      <c r="G142" s="65"/>
      <c r="H142" s="65"/>
      <c r="I142" s="66"/>
      <c r="J142" s="64" t="s">
        <v>5</v>
      </c>
      <c r="K142" s="65"/>
      <c r="L142" s="65"/>
      <c r="M142" s="65"/>
      <c r="N142" s="66"/>
      <c r="O142" s="55" t="s">
        <v>64</v>
      </c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56"/>
      <c r="BI142" s="56"/>
      <c r="BJ142" s="56"/>
      <c r="BK142" s="56"/>
      <c r="BL142" s="56"/>
      <c r="BM142" s="56"/>
      <c r="BN142" s="56"/>
      <c r="BO142" s="56"/>
      <c r="BP142" s="56"/>
      <c r="BQ142" s="57"/>
      <c r="BR142" s="8"/>
      <c r="BS142" s="8"/>
      <c r="BT142" s="8"/>
      <c r="BU142" s="8"/>
      <c r="BV142" s="8"/>
      <c r="BW142" s="8"/>
      <c r="BX142" s="8"/>
      <c r="BY142" s="8"/>
    </row>
    <row r="143" spans="1:79" ht="15.95" customHeight="1" x14ac:dyDescent="0.2">
      <c r="A143" s="60">
        <v>1</v>
      </c>
      <c r="B143" s="60"/>
      <c r="C143" s="60">
        <v>2</v>
      </c>
      <c r="D143" s="60"/>
      <c r="E143" s="60"/>
      <c r="F143" s="60"/>
      <c r="G143" s="60"/>
      <c r="H143" s="60"/>
      <c r="I143" s="60"/>
      <c r="J143" s="60">
        <v>3</v>
      </c>
      <c r="K143" s="60"/>
      <c r="L143" s="60"/>
      <c r="M143" s="60"/>
      <c r="N143" s="60"/>
      <c r="O143" s="55">
        <v>4</v>
      </c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8"/>
      <c r="AR143" s="58"/>
      <c r="AS143" s="58"/>
      <c r="AT143" s="58"/>
      <c r="AU143" s="58"/>
      <c r="AV143" s="58"/>
      <c r="AW143" s="58"/>
      <c r="AX143" s="58"/>
      <c r="AY143" s="58"/>
      <c r="AZ143" s="58"/>
      <c r="BA143" s="58"/>
      <c r="BB143" s="58"/>
      <c r="BC143" s="58"/>
      <c r="BD143" s="58"/>
      <c r="BE143" s="58"/>
      <c r="BF143" s="58"/>
      <c r="BG143" s="58"/>
      <c r="BH143" s="58"/>
      <c r="BI143" s="58"/>
      <c r="BJ143" s="58"/>
      <c r="BK143" s="58"/>
      <c r="BL143" s="58"/>
      <c r="BM143" s="58"/>
      <c r="BN143" s="58"/>
      <c r="BO143" s="58"/>
      <c r="BP143" s="58"/>
      <c r="BQ143" s="59"/>
      <c r="BR143" s="2"/>
      <c r="BS143" s="2"/>
      <c r="BT143" s="2"/>
      <c r="BU143" s="2"/>
      <c r="BV143" s="2"/>
      <c r="BW143" s="2"/>
      <c r="BX143" s="2"/>
      <c r="BY143" s="2"/>
    </row>
    <row r="144" spans="1:79" ht="12.75" hidden="1" customHeight="1" x14ac:dyDescent="0.2">
      <c r="A144" s="30" t="s">
        <v>36</v>
      </c>
      <c r="B144" s="30"/>
      <c r="C144" s="80" t="s">
        <v>14</v>
      </c>
      <c r="D144" s="81"/>
      <c r="E144" s="81"/>
      <c r="F144" s="81"/>
      <c r="G144" s="81"/>
      <c r="H144" s="81"/>
      <c r="I144" s="82"/>
      <c r="J144" s="30" t="s">
        <v>15</v>
      </c>
      <c r="K144" s="30"/>
      <c r="L144" s="30"/>
      <c r="M144" s="30"/>
      <c r="N144" s="30"/>
      <c r="O144" s="31" t="s">
        <v>70</v>
      </c>
      <c r="P144" s="90"/>
      <c r="Q144" s="90"/>
      <c r="R144" s="90"/>
      <c r="S144" s="90"/>
      <c r="T144" s="90"/>
      <c r="U144" s="90"/>
      <c r="V144" s="90"/>
      <c r="W144" s="90"/>
      <c r="X144" s="90"/>
      <c r="Y144" s="91"/>
      <c r="Z144" s="91"/>
      <c r="AA144" s="91"/>
      <c r="AB144" s="91"/>
      <c r="AC144" s="91"/>
      <c r="AD144" s="91"/>
      <c r="AE144" s="91"/>
      <c r="AF144" s="91"/>
      <c r="AG144" s="91"/>
      <c r="AH144" s="91"/>
      <c r="AI144" s="91"/>
      <c r="AJ144" s="91"/>
      <c r="AK144" s="91"/>
      <c r="AL144" s="91"/>
      <c r="AM144" s="91"/>
      <c r="AN144" s="91"/>
      <c r="AO144" s="91"/>
      <c r="AP144" s="91"/>
      <c r="AQ144" s="91"/>
      <c r="AR144" s="91"/>
      <c r="AS144" s="91"/>
      <c r="AT144" s="91"/>
      <c r="AU144" s="91"/>
      <c r="AV144" s="91"/>
      <c r="AW144" s="91"/>
      <c r="AX144" s="91"/>
      <c r="AY144" s="91"/>
      <c r="AZ144" s="91"/>
      <c r="BA144" s="91"/>
      <c r="BB144" s="91"/>
      <c r="BC144" s="91"/>
      <c r="BD144" s="91"/>
      <c r="BE144" s="91"/>
      <c r="BF144" s="91"/>
      <c r="BG144" s="91"/>
      <c r="BH144" s="91"/>
      <c r="BI144" s="91"/>
      <c r="BJ144" s="91"/>
      <c r="BK144" s="91"/>
      <c r="BL144" s="91"/>
      <c r="BM144" s="91"/>
      <c r="BN144" s="91"/>
      <c r="BO144" s="91"/>
      <c r="BP144" s="91"/>
      <c r="BQ144" s="92"/>
      <c r="CA144" s="1" t="s">
        <v>69</v>
      </c>
    </row>
    <row r="145" spans="1:79" s="26" customFormat="1" ht="15.75" x14ac:dyDescent="0.2">
      <c r="A145" s="38">
        <v>0</v>
      </c>
      <c r="B145" s="38"/>
      <c r="C145" s="38" t="s">
        <v>138</v>
      </c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42"/>
      <c r="P145" s="43"/>
      <c r="Q145" s="43"/>
      <c r="R145" s="43"/>
      <c r="S145" s="43"/>
      <c r="T145" s="43"/>
      <c r="U145" s="43"/>
      <c r="V145" s="43"/>
      <c r="W145" s="43"/>
      <c r="X145" s="43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  <c r="BF145" s="44"/>
      <c r="BG145" s="44"/>
      <c r="BH145" s="44"/>
      <c r="BI145" s="44"/>
      <c r="BJ145" s="44"/>
      <c r="BK145" s="44"/>
      <c r="BL145" s="44"/>
      <c r="BM145" s="44"/>
      <c r="BN145" s="44"/>
      <c r="BO145" s="44"/>
      <c r="BP145" s="44"/>
      <c r="BQ145" s="45"/>
      <c r="BR145" s="29"/>
      <c r="BS145" s="29"/>
      <c r="BT145" s="29"/>
      <c r="BU145" s="29"/>
      <c r="BV145" s="29"/>
      <c r="BW145" s="29"/>
      <c r="BX145" s="29"/>
      <c r="BY145" s="29"/>
      <c r="CA145" s="26" t="s">
        <v>66</v>
      </c>
    </row>
    <row r="146" spans="1:79" ht="25.5" customHeight="1" x14ac:dyDescent="0.2">
      <c r="A146" s="30">
        <v>1</v>
      </c>
      <c r="B146" s="30"/>
      <c r="C146" s="31" t="s">
        <v>140</v>
      </c>
      <c r="D146" s="32"/>
      <c r="E146" s="32"/>
      <c r="F146" s="32"/>
      <c r="G146" s="32"/>
      <c r="H146" s="32"/>
      <c r="I146" s="33"/>
      <c r="J146" s="30" t="s">
        <v>141</v>
      </c>
      <c r="K146" s="30"/>
      <c r="L146" s="30"/>
      <c r="M146" s="30"/>
      <c r="N146" s="30"/>
      <c r="O146" s="34" t="s">
        <v>159</v>
      </c>
      <c r="P146" s="35"/>
      <c r="Q146" s="35"/>
      <c r="R146" s="35"/>
      <c r="S146" s="35"/>
      <c r="T146" s="35"/>
      <c r="U146" s="35"/>
      <c r="V146" s="35"/>
      <c r="W146" s="35"/>
      <c r="X146" s="35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  <c r="AV146" s="36"/>
      <c r="AW146" s="36"/>
      <c r="AX146" s="36"/>
      <c r="AY146" s="36"/>
      <c r="AZ146" s="36"/>
      <c r="BA146" s="36"/>
      <c r="BB146" s="36"/>
      <c r="BC146" s="36"/>
      <c r="BD146" s="36"/>
      <c r="BE146" s="36"/>
      <c r="BF146" s="36"/>
      <c r="BG146" s="36"/>
      <c r="BH146" s="36"/>
      <c r="BI146" s="36"/>
      <c r="BJ146" s="36"/>
      <c r="BK146" s="36"/>
      <c r="BL146" s="36"/>
      <c r="BM146" s="36"/>
      <c r="BN146" s="36"/>
      <c r="BO146" s="36"/>
      <c r="BP146" s="36"/>
      <c r="BQ146" s="37"/>
      <c r="BR146" s="2"/>
      <c r="BS146" s="2"/>
      <c r="BT146" s="2"/>
      <c r="BU146" s="2"/>
      <c r="BV146" s="2"/>
      <c r="BW146" s="2"/>
      <c r="BX146" s="2"/>
      <c r="BY146" s="2"/>
    </row>
    <row r="147" spans="1:79" ht="15.75" customHeight="1" x14ac:dyDescent="0.2">
      <c r="A147" s="30">
        <v>2</v>
      </c>
      <c r="B147" s="30"/>
      <c r="C147" s="31" t="s">
        <v>143</v>
      </c>
      <c r="D147" s="32"/>
      <c r="E147" s="32"/>
      <c r="F147" s="32"/>
      <c r="G147" s="32"/>
      <c r="H147" s="32"/>
      <c r="I147" s="33"/>
      <c r="J147" s="30" t="s">
        <v>141</v>
      </c>
      <c r="K147" s="30"/>
      <c r="L147" s="30"/>
      <c r="M147" s="30"/>
      <c r="N147" s="30"/>
      <c r="O147" s="34" t="s">
        <v>159</v>
      </c>
      <c r="P147" s="35"/>
      <c r="Q147" s="35"/>
      <c r="R147" s="35"/>
      <c r="S147" s="35"/>
      <c r="T147" s="35"/>
      <c r="U147" s="35"/>
      <c r="V147" s="35"/>
      <c r="W147" s="35"/>
      <c r="X147" s="35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  <c r="AV147" s="36"/>
      <c r="AW147" s="36"/>
      <c r="AX147" s="36"/>
      <c r="AY147" s="36"/>
      <c r="AZ147" s="36"/>
      <c r="BA147" s="36"/>
      <c r="BB147" s="36"/>
      <c r="BC147" s="36"/>
      <c r="BD147" s="36"/>
      <c r="BE147" s="36"/>
      <c r="BF147" s="36"/>
      <c r="BG147" s="36"/>
      <c r="BH147" s="36"/>
      <c r="BI147" s="36"/>
      <c r="BJ147" s="36"/>
      <c r="BK147" s="36"/>
      <c r="BL147" s="36"/>
      <c r="BM147" s="36"/>
      <c r="BN147" s="36"/>
      <c r="BO147" s="36"/>
      <c r="BP147" s="36"/>
      <c r="BQ147" s="37"/>
      <c r="BR147" s="2"/>
      <c r="BS147" s="2"/>
      <c r="BT147" s="2"/>
      <c r="BU147" s="2"/>
      <c r="BV147" s="2"/>
      <c r="BW147" s="2"/>
      <c r="BX147" s="2"/>
      <c r="BY147" s="2"/>
    </row>
    <row r="148" spans="1:79" s="26" customFormat="1" ht="15.75" x14ac:dyDescent="0.2">
      <c r="A148" s="38">
        <v>0</v>
      </c>
      <c r="B148" s="38"/>
      <c r="C148" s="39" t="s">
        <v>145</v>
      </c>
      <c r="D148" s="40"/>
      <c r="E148" s="40"/>
      <c r="F148" s="40"/>
      <c r="G148" s="40"/>
      <c r="H148" s="40"/>
      <c r="I148" s="41"/>
      <c r="J148" s="38"/>
      <c r="K148" s="38"/>
      <c r="L148" s="38"/>
      <c r="M148" s="38"/>
      <c r="N148" s="38"/>
      <c r="O148" s="42"/>
      <c r="P148" s="43"/>
      <c r="Q148" s="43"/>
      <c r="R148" s="43"/>
      <c r="S148" s="43"/>
      <c r="T148" s="43"/>
      <c r="U148" s="43"/>
      <c r="V148" s="43"/>
      <c r="W148" s="43"/>
      <c r="X148" s="43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  <c r="BF148" s="44"/>
      <c r="BG148" s="44"/>
      <c r="BH148" s="44"/>
      <c r="BI148" s="44"/>
      <c r="BJ148" s="44"/>
      <c r="BK148" s="44"/>
      <c r="BL148" s="44"/>
      <c r="BM148" s="44"/>
      <c r="BN148" s="44"/>
      <c r="BO148" s="44"/>
      <c r="BP148" s="44"/>
      <c r="BQ148" s="45"/>
      <c r="BR148" s="29"/>
      <c r="BS148" s="29"/>
      <c r="BT148" s="29"/>
      <c r="BU148" s="29"/>
      <c r="BV148" s="29"/>
      <c r="BW148" s="29"/>
      <c r="BX148" s="29"/>
      <c r="BY148" s="29"/>
    </row>
    <row r="149" spans="1:79" ht="25.5" customHeight="1" x14ac:dyDescent="0.2">
      <c r="A149" s="30">
        <v>1</v>
      </c>
      <c r="B149" s="30"/>
      <c r="C149" s="31" t="s">
        <v>146</v>
      </c>
      <c r="D149" s="32"/>
      <c r="E149" s="32"/>
      <c r="F149" s="32"/>
      <c r="G149" s="32"/>
      <c r="H149" s="32"/>
      <c r="I149" s="33"/>
      <c r="J149" s="30" t="s">
        <v>147</v>
      </c>
      <c r="K149" s="30"/>
      <c r="L149" s="30"/>
      <c r="M149" s="30"/>
      <c r="N149" s="30"/>
      <c r="O149" s="34" t="s">
        <v>179</v>
      </c>
      <c r="P149" s="35"/>
      <c r="Q149" s="35"/>
      <c r="R149" s="35"/>
      <c r="S149" s="35"/>
      <c r="T149" s="35"/>
      <c r="U149" s="35"/>
      <c r="V149" s="35"/>
      <c r="W149" s="35"/>
      <c r="X149" s="35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  <c r="AV149" s="36"/>
      <c r="AW149" s="36"/>
      <c r="AX149" s="36"/>
      <c r="AY149" s="36"/>
      <c r="AZ149" s="36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6"/>
      <c r="BP149" s="36"/>
      <c r="BQ149" s="37"/>
      <c r="BR149" s="2"/>
      <c r="BS149" s="2"/>
      <c r="BT149" s="2"/>
      <c r="BU149" s="2"/>
      <c r="BV149" s="2"/>
      <c r="BW149" s="2"/>
      <c r="BX149" s="2"/>
      <c r="BY149" s="2"/>
    </row>
    <row r="150" spans="1:79" ht="25.5" customHeight="1" x14ac:dyDescent="0.2">
      <c r="A150" s="30">
        <v>2</v>
      </c>
      <c r="B150" s="30"/>
      <c r="C150" s="31" t="s">
        <v>149</v>
      </c>
      <c r="D150" s="32"/>
      <c r="E150" s="32"/>
      <c r="F150" s="32"/>
      <c r="G150" s="32"/>
      <c r="H150" s="32"/>
      <c r="I150" s="33"/>
      <c r="J150" s="30" t="s">
        <v>147</v>
      </c>
      <c r="K150" s="30"/>
      <c r="L150" s="30"/>
      <c r="M150" s="30"/>
      <c r="N150" s="30"/>
      <c r="O150" s="34" t="s">
        <v>179</v>
      </c>
      <c r="P150" s="35"/>
      <c r="Q150" s="35"/>
      <c r="R150" s="35"/>
      <c r="S150" s="35"/>
      <c r="T150" s="35"/>
      <c r="U150" s="35"/>
      <c r="V150" s="35"/>
      <c r="W150" s="35"/>
      <c r="X150" s="35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  <c r="AV150" s="36"/>
      <c r="AW150" s="36"/>
      <c r="AX150" s="36"/>
      <c r="AY150" s="36"/>
      <c r="AZ150" s="36"/>
      <c r="BA150" s="36"/>
      <c r="BB150" s="36"/>
      <c r="BC150" s="36"/>
      <c r="BD150" s="36"/>
      <c r="BE150" s="36"/>
      <c r="BF150" s="36"/>
      <c r="BG150" s="36"/>
      <c r="BH150" s="36"/>
      <c r="BI150" s="36"/>
      <c r="BJ150" s="36"/>
      <c r="BK150" s="36"/>
      <c r="BL150" s="36"/>
      <c r="BM150" s="36"/>
      <c r="BN150" s="36"/>
      <c r="BO150" s="36"/>
      <c r="BP150" s="36"/>
      <c r="BQ150" s="37"/>
      <c r="BR150" s="2"/>
      <c r="BS150" s="2"/>
      <c r="BT150" s="2"/>
      <c r="BU150" s="2"/>
      <c r="BV150" s="2"/>
      <c r="BW150" s="2"/>
      <c r="BX150" s="2"/>
      <c r="BY150" s="2"/>
    </row>
    <row r="151" spans="1:79" s="26" customFormat="1" ht="15.75" x14ac:dyDescent="0.2">
      <c r="A151" s="38">
        <v>0</v>
      </c>
      <c r="B151" s="38"/>
      <c r="C151" s="39" t="s">
        <v>150</v>
      </c>
      <c r="D151" s="40"/>
      <c r="E151" s="40"/>
      <c r="F151" s="40"/>
      <c r="G151" s="40"/>
      <c r="H151" s="40"/>
      <c r="I151" s="41"/>
      <c r="J151" s="38"/>
      <c r="K151" s="38"/>
      <c r="L151" s="38"/>
      <c r="M151" s="38"/>
      <c r="N151" s="38"/>
      <c r="O151" s="42"/>
      <c r="P151" s="43"/>
      <c r="Q151" s="43"/>
      <c r="R151" s="43"/>
      <c r="S151" s="43"/>
      <c r="T151" s="43"/>
      <c r="U151" s="43"/>
      <c r="V151" s="43"/>
      <c r="W151" s="43"/>
      <c r="X151" s="43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  <c r="BF151" s="44"/>
      <c r="BG151" s="44"/>
      <c r="BH151" s="44"/>
      <c r="BI151" s="44"/>
      <c r="BJ151" s="44"/>
      <c r="BK151" s="44"/>
      <c r="BL151" s="44"/>
      <c r="BM151" s="44"/>
      <c r="BN151" s="44"/>
      <c r="BO151" s="44"/>
      <c r="BP151" s="44"/>
      <c r="BQ151" s="45"/>
      <c r="BR151" s="29"/>
      <c r="BS151" s="29"/>
      <c r="BT151" s="29"/>
      <c r="BU151" s="29"/>
      <c r="BV151" s="29"/>
      <c r="BW151" s="29"/>
      <c r="BX151" s="29"/>
      <c r="BY151" s="29"/>
    </row>
    <row r="152" spans="1:79" ht="25.5" customHeight="1" x14ac:dyDescent="0.2">
      <c r="A152" s="30">
        <v>1</v>
      </c>
      <c r="B152" s="30"/>
      <c r="C152" s="31" t="s">
        <v>151</v>
      </c>
      <c r="D152" s="32"/>
      <c r="E152" s="32"/>
      <c r="F152" s="32"/>
      <c r="G152" s="32"/>
      <c r="H152" s="32"/>
      <c r="I152" s="33"/>
      <c r="J152" s="30" t="s">
        <v>152</v>
      </c>
      <c r="K152" s="30"/>
      <c r="L152" s="30"/>
      <c r="M152" s="30"/>
      <c r="N152" s="30"/>
      <c r="O152" s="34" t="s">
        <v>179</v>
      </c>
      <c r="P152" s="35"/>
      <c r="Q152" s="35"/>
      <c r="R152" s="35"/>
      <c r="S152" s="35"/>
      <c r="T152" s="35"/>
      <c r="U152" s="35"/>
      <c r="V152" s="35"/>
      <c r="W152" s="35"/>
      <c r="X152" s="35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  <c r="AV152" s="36"/>
      <c r="AW152" s="36"/>
      <c r="AX152" s="36"/>
      <c r="AY152" s="36"/>
      <c r="AZ152" s="36"/>
      <c r="BA152" s="36"/>
      <c r="BB152" s="36"/>
      <c r="BC152" s="36"/>
      <c r="BD152" s="36"/>
      <c r="BE152" s="36"/>
      <c r="BF152" s="36"/>
      <c r="BG152" s="36"/>
      <c r="BH152" s="36"/>
      <c r="BI152" s="36"/>
      <c r="BJ152" s="36"/>
      <c r="BK152" s="36"/>
      <c r="BL152" s="36"/>
      <c r="BM152" s="36"/>
      <c r="BN152" s="36"/>
      <c r="BO152" s="36"/>
      <c r="BP152" s="36"/>
      <c r="BQ152" s="37"/>
      <c r="BR152" s="2"/>
      <c r="BS152" s="2"/>
      <c r="BT152" s="2"/>
      <c r="BU152" s="2"/>
      <c r="BV152" s="2"/>
      <c r="BW152" s="2"/>
      <c r="BX152" s="2"/>
      <c r="BY152" s="2"/>
    </row>
    <row r="153" spans="1:79" ht="25.5" customHeight="1" x14ac:dyDescent="0.2">
      <c r="A153" s="30">
        <v>2</v>
      </c>
      <c r="B153" s="30"/>
      <c r="C153" s="31" t="s">
        <v>154</v>
      </c>
      <c r="D153" s="32"/>
      <c r="E153" s="32"/>
      <c r="F153" s="32"/>
      <c r="G153" s="32"/>
      <c r="H153" s="32"/>
      <c r="I153" s="33"/>
      <c r="J153" s="30" t="s">
        <v>152</v>
      </c>
      <c r="K153" s="30"/>
      <c r="L153" s="30"/>
      <c r="M153" s="30"/>
      <c r="N153" s="30"/>
      <c r="O153" s="34" t="s">
        <v>160</v>
      </c>
      <c r="P153" s="35"/>
      <c r="Q153" s="35"/>
      <c r="R153" s="35"/>
      <c r="S153" s="35"/>
      <c r="T153" s="35"/>
      <c r="U153" s="35"/>
      <c r="V153" s="35"/>
      <c r="W153" s="35"/>
      <c r="X153" s="35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6"/>
      <c r="BB153" s="36"/>
      <c r="BC153" s="36"/>
      <c r="BD153" s="36"/>
      <c r="BE153" s="36"/>
      <c r="BF153" s="36"/>
      <c r="BG153" s="36"/>
      <c r="BH153" s="36"/>
      <c r="BI153" s="36"/>
      <c r="BJ153" s="36"/>
      <c r="BK153" s="36"/>
      <c r="BL153" s="36"/>
      <c r="BM153" s="36"/>
      <c r="BN153" s="36"/>
      <c r="BO153" s="36"/>
      <c r="BP153" s="36"/>
      <c r="BQ153" s="37"/>
      <c r="BR153" s="2"/>
      <c r="BS153" s="2"/>
      <c r="BT153" s="2"/>
      <c r="BU153" s="2"/>
      <c r="BV153" s="2"/>
      <c r="BW153" s="2"/>
      <c r="BX153" s="2"/>
      <c r="BY153" s="2"/>
    </row>
    <row r="154" spans="1:79" s="26" customFormat="1" ht="15.75" x14ac:dyDescent="0.2">
      <c r="A154" s="38">
        <v>0</v>
      </c>
      <c r="B154" s="38"/>
      <c r="C154" s="39" t="s">
        <v>155</v>
      </c>
      <c r="D154" s="40"/>
      <c r="E154" s="40"/>
      <c r="F154" s="40"/>
      <c r="G154" s="40"/>
      <c r="H154" s="40"/>
      <c r="I154" s="41"/>
      <c r="J154" s="38"/>
      <c r="K154" s="38"/>
      <c r="L154" s="38"/>
      <c r="M154" s="38"/>
      <c r="N154" s="38"/>
      <c r="O154" s="42"/>
      <c r="P154" s="43"/>
      <c r="Q154" s="43"/>
      <c r="R154" s="43"/>
      <c r="S154" s="43"/>
      <c r="T154" s="43"/>
      <c r="U154" s="43"/>
      <c r="V154" s="43"/>
      <c r="W154" s="43"/>
      <c r="X154" s="43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  <c r="BF154" s="44"/>
      <c r="BG154" s="44"/>
      <c r="BH154" s="44"/>
      <c r="BI154" s="44"/>
      <c r="BJ154" s="44"/>
      <c r="BK154" s="44"/>
      <c r="BL154" s="44"/>
      <c r="BM154" s="44"/>
      <c r="BN154" s="44"/>
      <c r="BO154" s="44"/>
      <c r="BP154" s="44"/>
      <c r="BQ154" s="45"/>
      <c r="BR154" s="29"/>
      <c r="BS154" s="29"/>
      <c r="BT154" s="29"/>
      <c r="BU154" s="29"/>
      <c r="BV154" s="29"/>
      <c r="BW154" s="29"/>
      <c r="BX154" s="29"/>
      <c r="BY154" s="29"/>
    </row>
    <row r="155" spans="1:79" ht="38.25" customHeight="1" x14ac:dyDescent="0.2">
      <c r="A155" s="30">
        <v>1</v>
      </c>
      <c r="B155" s="30"/>
      <c r="C155" s="31" t="s">
        <v>156</v>
      </c>
      <c r="D155" s="32"/>
      <c r="E155" s="32"/>
      <c r="F155" s="32"/>
      <c r="G155" s="32"/>
      <c r="H155" s="32"/>
      <c r="I155" s="33"/>
      <c r="J155" s="30" t="s">
        <v>152</v>
      </c>
      <c r="K155" s="30"/>
      <c r="L155" s="30"/>
      <c r="M155" s="30"/>
      <c r="N155" s="30"/>
      <c r="O155" s="34" t="s">
        <v>179</v>
      </c>
      <c r="P155" s="35"/>
      <c r="Q155" s="35"/>
      <c r="R155" s="35"/>
      <c r="S155" s="35"/>
      <c r="T155" s="35"/>
      <c r="U155" s="35"/>
      <c r="V155" s="35"/>
      <c r="W155" s="35"/>
      <c r="X155" s="35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6"/>
      <c r="BA155" s="36"/>
      <c r="BB155" s="36"/>
      <c r="BC155" s="36"/>
      <c r="BD155" s="36"/>
      <c r="BE155" s="36"/>
      <c r="BF155" s="36"/>
      <c r="BG155" s="36"/>
      <c r="BH155" s="36"/>
      <c r="BI155" s="36"/>
      <c r="BJ155" s="36"/>
      <c r="BK155" s="36"/>
      <c r="BL155" s="36"/>
      <c r="BM155" s="36"/>
      <c r="BN155" s="36"/>
      <c r="BO155" s="36"/>
      <c r="BP155" s="36"/>
      <c r="BQ155" s="37"/>
      <c r="BR155" s="2"/>
      <c r="BS155" s="2"/>
      <c r="BT155" s="2"/>
      <c r="BU155" s="2"/>
      <c r="BV155" s="2"/>
      <c r="BW155" s="2"/>
      <c r="BX155" s="2"/>
      <c r="BY155" s="2"/>
    </row>
    <row r="156" spans="1:79" ht="38.25" customHeight="1" x14ac:dyDescent="0.2">
      <c r="A156" s="30">
        <v>2</v>
      </c>
      <c r="B156" s="30"/>
      <c r="C156" s="31" t="s">
        <v>158</v>
      </c>
      <c r="D156" s="32"/>
      <c r="E156" s="32"/>
      <c r="F156" s="32"/>
      <c r="G156" s="32"/>
      <c r="H156" s="32"/>
      <c r="I156" s="33"/>
      <c r="J156" s="30" t="s">
        <v>152</v>
      </c>
      <c r="K156" s="30"/>
      <c r="L156" s="30"/>
      <c r="M156" s="30"/>
      <c r="N156" s="30"/>
      <c r="O156" s="34" t="s">
        <v>179</v>
      </c>
      <c r="P156" s="35"/>
      <c r="Q156" s="35"/>
      <c r="R156" s="35"/>
      <c r="S156" s="35"/>
      <c r="T156" s="35"/>
      <c r="U156" s="35"/>
      <c r="V156" s="35"/>
      <c r="W156" s="35"/>
      <c r="X156" s="35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6"/>
      <c r="BA156" s="36"/>
      <c r="BB156" s="36"/>
      <c r="BC156" s="36"/>
      <c r="BD156" s="36"/>
      <c r="BE156" s="36"/>
      <c r="BF156" s="36"/>
      <c r="BG156" s="36"/>
      <c r="BH156" s="36"/>
      <c r="BI156" s="36"/>
      <c r="BJ156" s="36"/>
      <c r="BK156" s="36"/>
      <c r="BL156" s="36"/>
      <c r="BM156" s="36"/>
      <c r="BN156" s="36"/>
      <c r="BO156" s="36"/>
      <c r="BP156" s="36"/>
      <c r="BQ156" s="37"/>
      <c r="BR156" s="2"/>
      <c r="BS156" s="2"/>
      <c r="BT156" s="2"/>
      <c r="BU156" s="2"/>
      <c r="BV156" s="2"/>
      <c r="BW156" s="2"/>
      <c r="BX156" s="2"/>
      <c r="BY156" s="2"/>
    </row>
    <row r="157" spans="1:79" ht="15.75" x14ac:dyDescent="0.2">
      <c r="A157" s="22"/>
      <c r="B157" s="22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9"/>
      <c r="BS157" s="9"/>
      <c r="BT157" s="9"/>
      <c r="BU157" s="9"/>
      <c r="BV157" s="9"/>
      <c r="BW157" s="9"/>
      <c r="BX157" s="9"/>
      <c r="BY157" s="9"/>
    </row>
    <row r="158" spans="1:79" ht="15.95" customHeight="1" x14ac:dyDescent="0.2">
      <c r="A158" s="54" t="s">
        <v>65</v>
      </c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  <c r="AA158" s="54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4"/>
      <c r="BE158" s="54"/>
      <c r="BF158" s="54"/>
      <c r="BG158" s="54"/>
      <c r="BH158" s="54"/>
      <c r="BI158" s="54"/>
      <c r="BJ158" s="54"/>
      <c r="BK158" s="54"/>
      <c r="BL158" s="54"/>
    </row>
    <row r="159" spans="1:79" ht="47.25" customHeight="1" x14ac:dyDescent="0.2">
      <c r="A159" s="115" t="s">
        <v>180</v>
      </c>
      <c r="B159" s="116"/>
      <c r="C159" s="116"/>
      <c r="D159" s="116"/>
      <c r="E159" s="116"/>
      <c r="F159" s="116"/>
      <c r="G159" s="116"/>
      <c r="H159" s="116"/>
      <c r="I159" s="116"/>
      <c r="J159" s="116"/>
      <c r="K159" s="116"/>
      <c r="L159" s="116"/>
      <c r="M159" s="116"/>
      <c r="N159" s="116"/>
      <c r="O159" s="116"/>
      <c r="P159" s="116"/>
      <c r="Q159" s="116"/>
      <c r="R159" s="116"/>
      <c r="S159" s="116"/>
      <c r="T159" s="116"/>
      <c r="U159" s="116"/>
      <c r="V159" s="116"/>
      <c r="W159" s="116"/>
      <c r="X159" s="116"/>
      <c r="Y159" s="116"/>
      <c r="Z159" s="116"/>
      <c r="AA159" s="116"/>
      <c r="AB159" s="116"/>
      <c r="AC159" s="116"/>
      <c r="AD159" s="116"/>
      <c r="AE159" s="116"/>
      <c r="AF159" s="116"/>
      <c r="AG159" s="116"/>
      <c r="AH159" s="116"/>
      <c r="AI159" s="116"/>
      <c r="AJ159" s="116"/>
      <c r="AK159" s="116"/>
      <c r="AL159" s="116"/>
      <c r="AM159" s="116"/>
      <c r="AN159" s="116"/>
      <c r="AO159" s="116"/>
      <c r="AP159" s="116"/>
      <c r="AQ159" s="116"/>
      <c r="AR159" s="116"/>
      <c r="AS159" s="116"/>
      <c r="AT159" s="116"/>
      <c r="AU159" s="116"/>
      <c r="AV159" s="116"/>
      <c r="AW159" s="116"/>
      <c r="AX159" s="116"/>
      <c r="AY159" s="116"/>
      <c r="AZ159" s="116"/>
      <c r="BA159" s="116"/>
      <c r="BB159" s="116"/>
      <c r="BC159" s="116"/>
      <c r="BD159" s="116"/>
      <c r="BE159" s="116"/>
      <c r="BF159" s="116"/>
      <c r="BG159" s="116"/>
      <c r="BH159" s="116"/>
      <c r="BI159" s="116"/>
      <c r="BJ159" s="116"/>
      <c r="BK159" s="116"/>
      <c r="BL159" s="116"/>
    </row>
    <row r="160" spans="1:79" x14ac:dyDescent="0.2">
      <c r="A160" s="22"/>
      <c r="B160" s="22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9"/>
      <c r="BS160" s="9"/>
      <c r="BT160" s="9"/>
      <c r="BU160" s="9"/>
      <c r="BV160" s="9"/>
      <c r="BW160" s="9"/>
      <c r="BX160" s="9"/>
      <c r="BY160" s="9"/>
    </row>
    <row r="161" spans="1:64" ht="15.95" customHeight="1" x14ac:dyDescent="0.2">
      <c r="A161" s="54" t="s">
        <v>46</v>
      </c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  <c r="AA161" s="54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4"/>
      <c r="BE161" s="54"/>
      <c r="BF161" s="54"/>
      <c r="BG161" s="54"/>
      <c r="BH161" s="54"/>
      <c r="BI161" s="54"/>
      <c r="BJ161" s="54"/>
      <c r="BK161" s="54"/>
      <c r="BL161" s="54"/>
    </row>
    <row r="162" spans="1:64" ht="351" customHeight="1" x14ac:dyDescent="0.2">
      <c r="A162" s="115" t="s">
        <v>162</v>
      </c>
      <c r="B162" s="116"/>
      <c r="C162" s="116"/>
      <c r="D162" s="116"/>
      <c r="E162" s="116"/>
      <c r="F162" s="116"/>
      <c r="G162" s="116"/>
      <c r="H162" s="116"/>
      <c r="I162" s="116"/>
      <c r="J162" s="116"/>
      <c r="K162" s="116"/>
      <c r="L162" s="116"/>
      <c r="M162" s="116"/>
      <c r="N162" s="116"/>
      <c r="O162" s="116"/>
      <c r="P162" s="116"/>
      <c r="Q162" s="116"/>
      <c r="R162" s="116"/>
      <c r="S162" s="116"/>
      <c r="T162" s="116"/>
      <c r="U162" s="116"/>
      <c r="V162" s="116"/>
      <c r="W162" s="116"/>
      <c r="X162" s="116"/>
      <c r="Y162" s="116"/>
      <c r="Z162" s="116"/>
      <c r="AA162" s="116"/>
      <c r="AB162" s="116"/>
      <c r="AC162" s="116"/>
      <c r="AD162" s="116"/>
      <c r="AE162" s="116"/>
      <c r="AF162" s="116"/>
      <c r="AG162" s="116"/>
      <c r="AH162" s="116"/>
      <c r="AI162" s="116"/>
      <c r="AJ162" s="116"/>
      <c r="AK162" s="116"/>
      <c r="AL162" s="116"/>
      <c r="AM162" s="116"/>
      <c r="AN162" s="116"/>
      <c r="AO162" s="116"/>
      <c r="AP162" s="116"/>
      <c r="AQ162" s="116"/>
      <c r="AR162" s="116"/>
      <c r="AS162" s="116"/>
      <c r="AT162" s="116"/>
      <c r="AU162" s="116"/>
      <c r="AV162" s="116"/>
      <c r="AW162" s="116"/>
      <c r="AX162" s="116"/>
      <c r="AY162" s="116"/>
      <c r="AZ162" s="116"/>
      <c r="BA162" s="116"/>
      <c r="BB162" s="116"/>
      <c r="BC162" s="116"/>
      <c r="BD162" s="116"/>
      <c r="BE162" s="116"/>
      <c r="BF162" s="116"/>
      <c r="BG162" s="116"/>
      <c r="BH162" s="116"/>
      <c r="BI162" s="116"/>
      <c r="BJ162" s="116"/>
      <c r="BK162" s="116"/>
      <c r="BL162" s="116"/>
    </row>
    <row r="163" spans="1:64" ht="15.95" customHeight="1" x14ac:dyDescent="0.25">
      <c r="A163" s="2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</row>
    <row r="164" spans="1:64" ht="42" customHeight="1" x14ac:dyDescent="0.25">
      <c r="A164" s="115" t="s">
        <v>165</v>
      </c>
      <c r="B164" s="116"/>
      <c r="C164" s="116"/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3"/>
      <c r="AO164" s="3"/>
      <c r="AP164" s="93" t="s">
        <v>167</v>
      </c>
      <c r="AQ164" s="94"/>
      <c r="AR164" s="94"/>
      <c r="AS164" s="94"/>
      <c r="AT164" s="94"/>
      <c r="AU164" s="94"/>
      <c r="AV164" s="94"/>
      <c r="AW164" s="94"/>
      <c r="AX164" s="94"/>
      <c r="AY164" s="94"/>
      <c r="AZ164" s="94"/>
      <c r="BA164" s="94"/>
      <c r="BB164" s="94"/>
      <c r="BC164" s="94"/>
      <c r="BD164" s="94"/>
      <c r="BE164" s="94"/>
      <c r="BF164" s="94"/>
      <c r="BG164" s="94"/>
      <c r="BH164" s="94"/>
    </row>
    <row r="165" spans="1:64" x14ac:dyDescent="0.2">
      <c r="W165" s="88" t="s">
        <v>8</v>
      </c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4"/>
      <c r="AO165" s="4"/>
      <c r="AP165" s="88" t="s">
        <v>71</v>
      </c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</row>
    <row r="168" spans="1:64" ht="31.5" customHeight="1" x14ac:dyDescent="0.25">
      <c r="A168" s="115" t="s">
        <v>166</v>
      </c>
      <c r="B168" s="116"/>
      <c r="C168" s="116"/>
      <c r="D168" s="116"/>
      <c r="E168" s="116"/>
      <c r="F168" s="116"/>
      <c r="G168" s="116"/>
      <c r="H168" s="116"/>
      <c r="I168" s="116"/>
      <c r="J168" s="116"/>
      <c r="K168" s="116"/>
      <c r="L168" s="116"/>
      <c r="M168" s="116"/>
      <c r="N168" s="116"/>
      <c r="O168" s="116"/>
      <c r="P168" s="116"/>
      <c r="Q168" s="116"/>
      <c r="R168" s="116"/>
      <c r="S168" s="116"/>
      <c r="T168" s="116"/>
      <c r="U168" s="116"/>
      <c r="V168" s="116"/>
      <c r="W168" s="89"/>
      <c r="X168" s="89"/>
      <c r="Y168" s="89"/>
      <c r="Z168" s="89"/>
      <c r="AA168" s="89"/>
      <c r="AB168" s="89"/>
      <c r="AC168" s="89"/>
      <c r="AD168" s="89"/>
      <c r="AE168" s="89"/>
      <c r="AF168" s="89"/>
      <c r="AG168" s="89"/>
      <c r="AH168" s="89"/>
      <c r="AI168" s="89"/>
      <c r="AJ168" s="89"/>
      <c r="AK168" s="89"/>
      <c r="AL168" s="89"/>
      <c r="AM168" s="89"/>
      <c r="AN168" s="3"/>
      <c r="AO168" s="3"/>
      <c r="AP168" s="93" t="s">
        <v>168</v>
      </c>
      <c r="AQ168" s="94"/>
      <c r="AR168" s="94"/>
      <c r="AS168" s="94"/>
      <c r="AT168" s="94"/>
      <c r="AU168" s="94"/>
      <c r="AV168" s="94"/>
      <c r="AW168" s="94"/>
      <c r="AX168" s="94"/>
      <c r="AY168" s="94"/>
      <c r="AZ168" s="94"/>
      <c r="BA168" s="94"/>
      <c r="BB168" s="94"/>
      <c r="BC168" s="94"/>
      <c r="BD168" s="94"/>
      <c r="BE168" s="94"/>
      <c r="BF168" s="94"/>
      <c r="BG168" s="94"/>
      <c r="BH168" s="94"/>
    </row>
    <row r="169" spans="1:64" x14ac:dyDescent="0.2">
      <c r="W169" s="88" t="s">
        <v>8</v>
      </c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4"/>
      <c r="AO169" s="4"/>
      <c r="AP169" s="88" t="s">
        <v>71</v>
      </c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</row>
  </sheetData>
  <mergeCells count="980">
    <mergeCell ref="A116:B116"/>
    <mergeCell ref="A117:B117"/>
    <mergeCell ref="A118:B118"/>
    <mergeCell ref="C118:R118"/>
    <mergeCell ref="S118:W118"/>
    <mergeCell ref="BI117:BN117"/>
    <mergeCell ref="BD118:BH118"/>
    <mergeCell ref="BD116:BH116"/>
    <mergeCell ref="BI116:BN116"/>
    <mergeCell ref="BI118:BN118"/>
    <mergeCell ref="BD117:BH117"/>
    <mergeCell ref="X118:AB118"/>
    <mergeCell ref="AC118:AH118"/>
    <mergeCell ref="C117:R117"/>
    <mergeCell ref="S117:W117"/>
    <mergeCell ref="X117:AB117"/>
    <mergeCell ref="AC117:AH117"/>
    <mergeCell ref="AI118:AM118"/>
    <mergeCell ref="AN118:AR118"/>
    <mergeCell ref="AS118:AX118"/>
    <mergeCell ref="AY118:BC118"/>
    <mergeCell ref="AI116:AM116"/>
    <mergeCell ref="AY117:BC117"/>
    <mergeCell ref="AY115:BC115"/>
    <mergeCell ref="BD115:BH115"/>
    <mergeCell ref="AI117:AM117"/>
    <mergeCell ref="AN117:AR117"/>
    <mergeCell ref="AS117:AX117"/>
    <mergeCell ref="AN116:AR116"/>
    <mergeCell ref="AS116:AX116"/>
    <mergeCell ref="AY116:BC116"/>
    <mergeCell ref="C114:R115"/>
    <mergeCell ref="S114:AH114"/>
    <mergeCell ref="AI114:AX114"/>
    <mergeCell ref="AS115:AX115"/>
    <mergeCell ref="A38:BQ38"/>
    <mergeCell ref="C39:Z40"/>
    <mergeCell ref="BI40:BM40"/>
    <mergeCell ref="BD40:BH40"/>
    <mergeCell ref="AZ40:BC40"/>
    <mergeCell ref="BD43:BH43"/>
    <mergeCell ref="AZ41:BC41"/>
    <mergeCell ref="BD41:BH41"/>
    <mergeCell ref="AP41:AT41"/>
    <mergeCell ref="BD42:BH42"/>
    <mergeCell ref="AK40:AO40"/>
    <mergeCell ref="A42:B42"/>
    <mergeCell ref="AF40:AJ40"/>
    <mergeCell ref="A93:BQ93"/>
    <mergeCell ref="AY114:BN114"/>
    <mergeCell ref="BI115:BN115"/>
    <mergeCell ref="A114:B115"/>
    <mergeCell ref="BN43:BQ43"/>
    <mergeCell ref="G33:BL33"/>
    <mergeCell ref="A25:F25"/>
    <mergeCell ref="AA39:AO39"/>
    <mergeCell ref="AP39:BC39"/>
    <mergeCell ref="BN42:BQ42"/>
    <mergeCell ref="BI42:BM42"/>
    <mergeCell ref="AP42:AT42"/>
    <mergeCell ref="C42:Z42"/>
    <mergeCell ref="AK42:AO42"/>
    <mergeCell ref="AF42:AJ42"/>
    <mergeCell ref="A26:F26"/>
    <mergeCell ref="G26:BL26"/>
    <mergeCell ref="A34:F34"/>
    <mergeCell ref="G34:BL34"/>
    <mergeCell ref="BN40:BQ40"/>
    <mergeCell ref="A39:B40"/>
    <mergeCell ref="A33:F33"/>
    <mergeCell ref="AP169:BH169"/>
    <mergeCell ref="A168:V168"/>
    <mergeCell ref="W168:AM168"/>
    <mergeCell ref="AP168:BH168"/>
    <mergeCell ref="W169:AM169"/>
    <mergeCell ref="AP165:BH165"/>
    <mergeCell ref="A162:BL162"/>
    <mergeCell ref="A98:B98"/>
    <mergeCell ref="A96:B96"/>
    <mergeCell ref="A97:B97"/>
    <mergeCell ref="A113:BN113"/>
    <mergeCell ref="A112:BN112"/>
    <mergeCell ref="C98:BQ98"/>
    <mergeCell ref="C96:BQ96"/>
    <mergeCell ref="C97:BQ97"/>
    <mergeCell ref="A100:B100"/>
    <mergeCell ref="C100:BQ100"/>
    <mergeCell ref="A120:BQ120"/>
    <mergeCell ref="C125:I125"/>
    <mergeCell ref="J144:N144"/>
    <mergeCell ref="A143:B143"/>
    <mergeCell ref="A126:B126"/>
    <mergeCell ref="O127:X127"/>
    <mergeCell ref="Y127:AC127"/>
    <mergeCell ref="W165:AM165"/>
    <mergeCell ref="A164:V164"/>
    <mergeCell ref="W164:AM164"/>
    <mergeCell ref="A127:B127"/>
    <mergeCell ref="AD127:AH127"/>
    <mergeCell ref="A140:BQ140"/>
    <mergeCell ref="A142:B142"/>
    <mergeCell ref="C142:I142"/>
    <mergeCell ref="BC127:BG127"/>
    <mergeCell ref="J127:N127"/>
    <mergeCell ref="O144:BQ144"/>
    <mergeCell ref="C143:I143"/>
    <mergeCell ref="J143:N143"/>
    <mergeCell ref="AP164:BH164"/>
    <mergeCell ref="C127:I127"/>
    <mergeCell ref="A161:BL161"/>
    <mergeCell ref="BM127:BQ127"/>
    <mergeCell ref="BH127:BL127"/>
    <mergeCell ref="A43:B43"/>
    <mergeCell ref="A95:B95"/>
    <mergeCell ref="AF43:AJ43"/>
    <mergeCell ref="AZ43:BC43"/>
    <mergeCell ref="AU43:AY43"/>
    <mergeCell ref="AA43:AE43"/>
    <mergeCell ref="C43:Z43"/>
    <mergeCell ref="AK43:AO43"/>
    <mergeCell ref="Y126:AC126"/>
    <mergeCell ref="C126:I126"/>
    <mergeCell ref="C123:I124"/>
    <mergeCell ref="J123:N124"/>
    <mergeCell ref="O123:X124"/>
    <mergeCell ref="Y124:AC124"/>
    <mergeCell ref="AN125:AR125"/>
    <mergeCell ref="AN123:BB123"/>
    <mergeCell ref="J126:N126"/>
    <mergeCell ref="O126:X126"/>
    <mergeCell ref="C116:R116"/>
    <mergeCell ref="S116:W116"/>
    <mergeCell ref="X116:AB116"/>
    <mergeCell ref="AC116:AH116"/>
    <mergeCell ref="BC125:BG125"/>
    <mergeCell ref="BC126:BG126"/>
    <mergeCell ref="BC124:BG124"/>
    <mergeCell ref="A121:BQ121"/>
    <mergeCell ref="AD126:AH126"/>
    <mergeCell ref="AI125:AM125"/>
    <mergeCell ref="BH125:BL125"/>
    <mergeCell ref="BM125:BQ125"/>
    <mergeCell ref="BM126:BQ126"/>
    <mergeCell ref="BH126:BL126"/>
    <mergeCell ref="A125:B125"/>
    <mergeCell ref="O125:X125"/>
    <mergeCell ref="Y123:AM123"/>
    <mergeCell ref="J125:N125"/>
    <mergeCell ref="Y125:AC125"/>
    <mergeCell ref="A123:B124"/>
    <mergeCell ref="AD125:AH125"/>
    <mergeCell ref="AO2:BL6"/>
    <mergeCell ref="A7:BL7"/>
    <mergeCell ref="A8:BL8"/>
    <mergeCell ref="A9:BL9"/>
    <mergeCell ref="AA41:AE41"/>
    <mergeCell ref="AF41:AJ41"/>
    <mergeCell ref="AK41:AO41"/>
    <mergeCell ref="A10:BL10"/>
    <mergeCell ref="A11:BL11"/>
    <mergeCell ref="A12:BL12"/>
    <mergeCell ref="A23:BL23"/>
    <mergeCell ref="A24:F24"/>
    <mergeCell ref="G24:BL24"/>
    <mergeCell ref="AP43:AT43"/>
    <mergeCell ref="A41:B41"/>
    <mergeCell ref="A28:BL28"/>
    <mergeCell ref="A29:BL29"/>
    <mergeCell ref="A31:BL31"/>
    <mergeCell ref="AA42:AE42"/>
    <mergeCell ref="C41:Z41"/>
    <mergeCell ref="AS124:AW124"/>
    <mergeCell ref="AN124:AR124"/>
    <mergeCell ref="AI124:AM124"/>
    <mergeCell ref="BC123:BQ123"/>
    <mergeCell ref="BN41:BQ41"/>
    <mergeCell ref="BM124:BQ124"/>
    <mergeCell ref="BH124:BL124"/>
    <mergeCell ref="AD124:AH124"/>
    <mergeCell ref="BI43:BM43"/>
    <mergeCell ref="AZ42:BC42"/>
    <mergeCell ref="AU42:AY42"/>
    <mergeCell ref="S115:W115"/>
    <mergeCell ref="X115:AB115"/>
    <mergeCell ref="AC115:AH115"/>
    <mergeCell ref="AI115:AM115"/>
    <mergeCell ref="AN115:AR115"/>
    <mergeCell ref="C95:BQ95"/>
    <mergeCell ref="AU40:AY40"/>
    <mergeCell ref="AK21:BC21"/>
    <mergeCell ref="AU41:AY41"/>
    <mergeCell ref="G25:BL25"/>
    <mergeCell ref="A37:BQ37"/>
    <mergeCell ref="AP40:AT40"/>
    <mergeCell ref="AA40:AE40"/>
    <mergeCell ref="BI41:BM41"/>
    <mergeCell ref="B14:L14"/>
    <mergeCell ref="N14:AS14"/>
    <mergeCell ref="AU14:BB14"/>
    <mergeCell ref="B18:L18"/>
    <mergeCell ref="N18:AS18"/>
    <mergeCell ref="BD39:BQ39"/>
    <mergeCell ref="AU15:BB15"/>
    <mergeCell ref="B17:L17"/>
    <mergeCell ref="N17:AS17"/>
    <mergeCell ref="AU17:BB17"/>
    <mergeCell ref="B15:L15"/>
    <mergeCell ref="N15:AS15"/>
    <mergeCell ref="AU18:BB18"/>
    <mergeCell ref="BE20:BL20"/>
    <mergeCell ref="A32:F32"/>
    <mergeCell ref="G32:BL32"/>
    <mergeCell ref="BE21:BL21"/>
    <mergeCell ref="B20:L20"/>
    <mergeCell ref="N20:Y20"/>
    <mergeCell ref="AA20:AI20"/>
    <mergeCell ref="AK20:BC20"/>
    <mergeCell ref="B21:L21"/>
    <mergeCell ref="N21:Y21"/>
    <mergeCell ref="AA21:AI21"/>
    <mergeCell ref="A36:BQ36"/>
    <mergeCell ref="AX124:BB124"/>
    <mergeCell ref="AX125:BB125"/>
    <mergeCell ref="AS125:AW125"/>
    <mergeCell ref="AI126:AM126"/>
    <mergeCell ref="AN126:AR126"/>
    <mergeCell ref="AS126:AW126"/>
    <mergeCell ref="AI127:AM127"/>
    <mergeCell ref="AN127:AR127"/>
    <mergeCell ref="AS127:AW127"/>
    <mergeCell ref="AX127:BB127"/>
    <mergeCell ref="AX126:BB126"/>
    <mergeCell ref="A158:BL158"/>
    <mergeCell ref="A159:BL159"/>
    <mergeCell ref="O142:BQ142"/>
    <mergeCell ref="O143:BQ143"/>
    <mergeCell ref="O145:BQ145"/>
    <mergeCell ref="A145:B145"/>
    <mergeCell ref="C145:I145"/>
    <mergeCell ref="J145:N145"/>
    <mergeCell ref="A144:B144"/>
    <mergeCell ref="A147:B147"/>
    <mergeCell ref="J142:N142"/>
    <mergeCell ref="C144:I144"/>
    <mergeCell ref="A45:B45"/>
    <mergeCell ref="C45:Z45"/>
    <mergeCell ref="AA45:AE45"/>
    <mergeCell ref="AF45:AJ45"/>
    <mergeCell ref="AK45:AO45"/>
    <mergeCell ref="A44:B44"/>
    <mergeCell ref="C44:Z44"/>
    <mergeCell ref="AA44:AE44"/>
    <mergeCell ref="AF44:AJ44"/>
    <mergeCell ref="AK44:AO44"/>
    <mergeCell ref="AP45:AT45"/>
    <mergeCell ref="AU45:AY45"/>
    <mergeCell ref="AZ45:BC45"/>
    <mergeCell ref="BD45:BH45"/>
    <mergeCell ref="BI45:BM45"/>
    <mergeCell ref="BN45:BQ45"/>
    <mergeCell ref="AU44:AY44"/>
    <mergeCell ref="AZ44:BC44"/>
    <mergeCell ref="BD44:BH44"/>
    <mergeCell ref="BI44:BM44"/>
    <mergeCell ref="BN44:BQ44"/>
    <mergeCell ref="AP44:AT44"/>
    <mergeCell ref="A47:B47"/>
    <mergeCell ref="C47:Z47"/>
    <mergeCell ref="AA47:AE47"/>
    <mergeCell ref="AF47:AJ47"/>
    <mergeCell ref="AK47:AO47"/>
    <mergeCell ref="A46:B46"/>
    <mergeCell ref="C46:Z46"/>
    <mergeCell ref="AA46:AE46"/>
    <mergeCell ref="AF46:AJ46"/>
    <mergeCell ref="AK46:AO46"/>
    <mergeCell ref="AP47:AT47"/>
    <mergeCell ref="AU47:AY47"/>
    <mergeCell ref="AZ47:BC47"/>
    <mergeCell ref="BD47:BH47"/>
    <mergeCell ref="BI47:BM47"/>
    <mergeCell ref="BN47:BQ47"/>
    <mergeCell ref="AU46:AY46"/>
    <mergeCell ref="AZ46:BC46"/>
    <mergeCell ref="BD46:BH46"/>
    <mergeCell ref="BI46:BM46"/>
    <mergeCell ref="BN46:BQ46"/>
    <mergeCell ref="AP46:AT46"/>
    <mergeCell ref="A49:B49"/>
    <mergeCell ref="C49:Z49"/>
    <mergeCell ref="AA49:AE49"/>
    <mergeCell ref="AF49:AJ49"/>
    <mergeCell ref="AK49:AO49"/>
    <mergeCell ref="A48:B48"/>
    <mergeCell ref="C48:Z48"/>
    <mergeCell ref="AA48:AE48"/>
    <mergeCell ref="AF48:AJ48"/>
    <mergeCell ref="AK48:AO48"/>
    <mergeCell ref="AP49:AT49"/>
    <mergeCell ref="AU49:AY49"/>
    <mergeCell ref="AZ49:BC49"/>
    <mergeCell ref="BD49:BH49"/>
    <mergeCell ref="BI49:BM49"/>
    <mergeCell ref="BN49:BQ49"/>
    <mergeCell ref="AU48:AY48"/>
    <mergeCell ref="AZ48:BC48"/>
    <mergeCell ref="BD48:BH48"/>
    <mergeCell ref="BI48:BM48"/>
    <mergeCell ref="BN48:BQ48"/>
    <mergeCell ref="AP48:AT48"/>
    <mergeCell ref="A51:B51"/>
    <mergeCell ref="C51:Z51"/>
    <mergeCell ref="AA51:AE51"/>
    <mergeCell ref="AF51:AJ51"/>
    <mergeCell ref="AK51:AO51"/>
    <mergeCell ref="A50:B50"/>
    <mergeCell ref="C50:Z50"/>
    <mergeCell ref="AA50:AE50"/>
    <mergeCell ref="AF50:AJ50"/>
    <mergeCell ref="AK50:AO50"/>
    <mergeCell ref="AP51:AT51"/>
    <mergeCell ref="AU51:AY51"/>
    <mergeCell ref="AZ51:BC51"/>
    <mergeCell ref="BD51:BH51"/>
    <mergeCell ref="BI51:BM51"/>
    <mergeCell ref="BN51:BQ51"/>
    <mergeCell ref="AU50:AY50"/>
    <mergeCell ref="AZ50:BC50"/>
    <mergeCell ref="BD50:BH50"/>
    <mergeCell ref="BI50:BM50"/>
    <mergeCell ref="BN50:BQ50"/>
    <mergeCell ref="AP50:AT50"/>
    <mergeCell ref="A53:B53"/>
    <mergeCell ref="C53:Z53"/>
    <mergeCell ref="AA53:AE53"/>
    <mergeCell ref="AF53:AJ53"/>
    <mergeCell ref="AK53:AO53"/>
    <mergeCell ref="A52:B52"/>
    <mergeCell ref="C52:Z52"/>
    <mergeCell ref="AA52:AE52"/>
    <mergeCell ref="AF52:AJ52"/>
    <mergeCell ref="AK52:AO52"/>
    <mergeCell ref="AP53:AT53"/>
    <mergeCell ref="AU53:AY53"/>
    <mergeCell ref="AZ53:BC53"/>
    <mergeCell ref="BD53:BH53"/>
    <mergeCell ref="BI53:BM53"/>
    <mergeCell ref="BN53:BQ53"/>
    <mergeCell ref="AU52:AY52"/>
    <mergeCell ref="AZ52:BC52"/>
    <mergeCell ref="BD52:BH52"/>
    <mergeCell ref="BI52:BM52"/>
    <mergeCell ref="BN52:BQ52"/>
    <mergeCell ref="AP52:AT52"/>
    <mergeCell ref="A55:B55"/>
    <mergeCell ref="C55:Z55"/>
    <mergeCell ref="AA55:AE55"/>
    <mergeCell ref="AF55:AJ55"/>
    <mergeCell ref="AK55:AO55"/>
    <mergeCell ref="A54:B54"/>
    <mergeCell ref="C54:Z54"/>
    <mergeCell ref="AA54:AE54"/>
    <mergeCell ref="AF54:AJ54"/>
    <mergeCell ref="AK54:AO54"/>
    <mergeCell ref="AP55:AT55"/>
    <mergeCell ref="AU55:AY55"/>
    <mergeCell ref="AZ55:BC55"/>
    <mergeCell ref="BD55:BH55"/>
    <mergeCell ref="BI55:BM55"/>
    <mergeCell ref="BN55:BQ55"/>
    <mergeCell ref="AU54:AY54"/>
    <mergeCell ref="AZ54:BC54"/>
    <mergeCell ref="BD54:BH54"/>
    <mergeCell ref="BI54:BM54"/>
    <mergeCell ref="BN54:BQ54"/>
    <mergeCell ref="AP54:AT54"/>
    <mergeCell ref="A57:B57"/>
    <mergeCell ref="C57:Z57"/>
    <mergeCell ref="AA57:AE57"/>
    <mergeCell ref="AF57:AJ57"/>
    <mergeCell ref="AK57:AO57"/>
    <mergeCell ref="A56:B56"/>
    <mergeCell ref="C56:Z56"/>
    <mergeCell ref="AA56:AE56"/>
    <mergeCell ref="AF56:AJ56"/>
    <mergeCell ref="AK56:AO56"/>
    <mergeCell ref="AP57:AT57"/>
    <mergeCell ref="AU57:AY57"/>
    <mergeCell ref="AZ57:BC57"/>
    <mergeCell ref="BD57:BH57"/>
    <mergeCell ref="BI57:BM57"/>
    <mergeCell ref="BN57:BQ57"/>
    <mergeCell ref="AU56:AY56"/>
    <mergeCell ref="AZ56:BC56"/>
    <mergeCell ref="BD56:BH56"/>
    <mergeCell ref="BI56:BM56"/>
    <mergeCell ref="BN56:BQ56"/>
    <mergeCell ref="AP56:AT56"/>
    <mergeCell ref="A59:B59"/>
    <mergeCell ref="C59:Z59"/>
    <mergeCell ref="AA59:AE59"/>
    <mergeCell ref="AF59:AJ59"/>
    <mergeCell ref="AK59:AO59"/>
    <mergeCell ref="A58:B58"/>
    <mergeCell ref="C58:Z58"/>
    <mergeCell ref="AA58:AE58"/>
    <mergeCell ref="AF58:AJ58"/>
    <mergeCell ref="AK58:AO58"/>
    <mergeCell ref="AP59:AT59"/>
    <mergeCell ref="AU59:AY59"/>
    <mergeCell ref="AZ59:BC59"/>
    <mergeCell ref="BD59:BH59"/>
    <mergeCell ref="BI59:BM59"/>
    <mergeCell ref="BN59:BQ59"/>
    <mergeCell ref="AU58:AY58"/>
    <mergeCell ref="AZ58:BC58"/>
    <mergeCell ref="BD58:BH58"/>
    <mergeCell ref="BI58:BM58"/>
    <mergeCell ref="BN58:BQ58"/>
    <mergeCell ref="AP58:AT58"/>
    <mergeCell ref="A61:B61"/>
    <mergeCell ref="C61:Z61"/>
    <mergeCell ref="AA61:AE61"/>
    <mergeCell ref="AF61:AJ61"/>
    <mergeCell ref="AK61:AO61"/>
    <mergeCell ref="A60:B60"/>
    <mergeCell ref="C60:Z60"/>
    <mergeCell ref="AA60:AE60"/>
    <mergeCell ref="AF60:AJ60"/>
    <mergeCell ref="AK60:AO60"/>
    <mergeCell ref="AP61:AT61"/>
    <mergeCell ref="AU61:AY61"/>
    <mergeCell ref="AZ61:BC61"/>
    <mergeCell ref="BD61:BH61"/>
    <mergeCell ref="BI61:BM61"/>
    <mergeCell ref="BN61:BQ61"/>
    <mergeCell ref="AU60:AY60"/>
    <mergeCell ref="AZ60:BC60"/>
    <mergeCell ref="BD60:BH60"/>
    <mergeCell ref="BI60:BM60"/>
    <mergeCell ref="BN60:BQ60"/>
    <mergeCell ref="AP60:AT60"/>
    <mergeCell ref="A63:B63"/>
    <mergeCell ref="C63:Z63"/>
    <mergeCell ref="AA63:AE63"/>
    <mergeCell ref="AF63:AJ63"/>
    <mergeCell ref="AK63:AO63"/>
    <mergeCell ref="A62:B62"/>
    <mergeCell ref="C62:Z62"/>
    <mergeCell ref="AA62:AE62"/>
    <mergeCell ref="AF62:AJ62"/>
    <mergeCell ref="AK62:AO62"/>
    <mergeCell ref="AP63:AT63"/>
    <mergeCell ref="AU63:AY63"/>
    <mergeCell ref="AZ63:BC63"/>
    <mergeCell ref="BD63:BH63"/>
    <mergeCell ref="BI63:BM63"/>
    <mergeCell ref="BN63:BQ63"/>
    <mergeCell ref="AU62:AY62"/>
    <mergeCell ref="AZ62:BC62"/>
    <mergeCell ref="BD62:BH62"/>
    <mergeCell ref="BI62:BM62"/>
    <mergeCell ref="BN62:BQ62"/>
    <mergeCell ref="AP62:AT62"/>
    <mergeCell ref="A65:B65"/>
    <mergeCell ref="C65:Z65"/>
    <mergeCell ref="AA65:AE65"/>
    <mergeCell ref="AF65:AJ65"/>
    <mergeCell ref="AK65:AO65"/>
    <mergeCell ref="A64:B64"/>
    <mergeCell ref="C64:Z64"/>
    <mergeCell ref="AA64:AE64"/>
    <mergeCell ref="AF64:AJ64"/>
    <mergeCell ref="AK64:AO64"/>
    <mergeCell ref="AP65:AT65"/>
    <mergeCell ref="AU65:AY65"/>
    <mergeCell ref="AZ65:BC65"/>
    <mergeCell ref="BD65:BH65"/>
    <mergeCell ref="BI65:BM65"/>
    <mergeCell ref="BN65:BQ65"/>
    <mergeCell ref="AU64:AY64"/>
    <mergeCell ref="AZ64:BC64"/>
    <mergeCell ref="BD64:BH64"/>
    <mergeCell ref="BI64:BM64"/>
    <mergeCell ref="BN64:BQ64"/>
    <mergeCell ref="AP64:AT64"/>
    <mergeCell ref="A67:B67"/>
    <mergeCell ref="C67:Z67"/>
    <mergeCell ref="AA67:AE67"/>
    <mergeCell ref="AF67:AJ67"/>
    <mergeCell ref="AK67:AO67"/>
    <mergeCell ref="A66:B66"/>
    <mergeCell ref="C66:Z66"/>
    <mergeCell ref="AA66:AE66"/>
    <mergeCell ref="AF66:AJ66"/>
    <mergeCell ref="AK66:AO66"/>
    <mergeCell ref="AP67:AT67"/>
    <mergeCell ref="AU67:AY67"/>
    <mergeCell ref="AZ67:BC67"/>
    <mergeCell ref="BD67:BH67"/>
    <mergeCell ref="BI67:BM67"/>
    <mergeCell ref="BN67:BQ67"/>
    <mergeCell ref="AU66:AY66"/>
    <mergeCell ref="AZ66:BC66"/>
    <mergeCell ref="BD66:BH66"/>
    <mergeCell ref="BI66:BM66"/>
    <mergeCell ref="BN66:BQ66"/>
    <mergeCell ref="AP66:AT66"/>
    <mergeCell ref="A69:B69"/>
    <mergeCell ref="C69:Z69"/>
    <mergeCell ref="AA69:AE69"/>
    <mergeCell ref="AF69:AJ69"/>
    <mergeCell ref="AK69:AO69"/>
    <mergeCell ref="A68:B68"/>
    <mergeCell ref="C68:Z68"/>
    <mergeCell ref="AA68:AE68"/>
    <mergeCell ref="AF68:AJ68"/>
    <mergeCell ref="AK68:AO68"/>
    <mergeCell ref="AP69:AT69"/>
    <mergeCell ref="AU69:AY69"/>
    <mergeCell ref="AZ69:BC69"/>
    <mergeCell ref="BD69:BH69"/>
    <mergeCell ref="BI69:BM69"/>
    <mergeCell ref="BN69:BQ69"/>
    <mergeCell ref="AU68:AY68"/>
    <mergeCell ref="AZ68:BC68"/>
    <mergeCell ref="BD68:BH68"/>
    <mergeCell ref="BI68:BM68"/>
    <mergeCell ref="BN68:BQ68"/>
    <mergeCell ref="AP68:AT68"/>
    <mergeCell ref="A71:B71"/>
    <mergeCell ref="C71:Z71"/>
    <mergeCell ref="AA71:AE71"/>
    <mergeCell ref="AF71:AJ71"/>
    <mergeCell ref="AK71:AO71"/>
    <mergeCell ref="A70:B70"/>
    <mergeCell ref="C70:Z70"/>
    <mergeCell ref="AA70:AE70"/>
    <mergeCell ref="AF70:AJ70"/>
    <mergeCell ref="AK70:AO70"/>
    <mergeCell ref="AP71:AT71"/>
    <mergeCell ref="AU71:AY71"/>
    <mergeCell ref="AZ71:BC71"/>
    <mergeCell ref="BD71:BH71"/>
    <mergeCell ref="BI71:BM71"/>
    <mergeCell ref="BN71:BQ71"/>
    <mergeCell ref="AU70:AY70"/>
    <mergeCell ref="AZ70:BC70"/>
    <mergeCell ref="BD70:BH70"/>
    <mergeCell ref="BI70:BM70"/>
    <mergeCell ref="BN70:BQ70"/>
    <mergeCell ref="AP70:AT70"/>
    <mergeCell ref="A73:B73"/>
    <mergeCell ref="C73:Z73"/>
    <mergeCell ref="AA73:AE73"/>
    <mergeCell ref="AF73:AJ73"/>
    <mergeCell ref="AK73:AO73"/>
    <mergeCell ref="A72:B72"/>
    <mergeCell ref="C72:Z72"/>
    <mergeCell ref="AA72:AE72"/>
    <mergeCell ref="AF72:AJ72"/>
    <mergeCell ref="AK72:AO72"/>
    <mergeCell ref="AP73:AT73"/>
    <mergeCell ref="AU73:AY73"/>
    <mergeCell ref="AZ73:BC73"/>
    <mergeCell ref="BD73:BH73"/>
    <mergeCell ref="BI73:BM73"/>
    <mergeCell ref="BN73:BQ73"/>
    <mergeCell ref="AU72:AY72"/>
    <mergeCell ref="AZ72:BC72"/>
    <mergeCell ref="BD72:BH72"/>
    <mergeCell ref="BI72:BM72"/>
    <mergeCell ref="BN72:BQ72"/>
    <mergeCell ref="AP72:AT72"/>
    <mergeCell ref="A75:B75"/>
    <mergeCell ref="C75:Z75"/>
    <mergeCell ref="AA75:AE75"/>
    <mergeCell ref="AF75:AJ75"/>
    <mergeCell ref="AK75:AO75"/>
    <mergeCell ref="A74:B74"/>
    <mergeCell ref="C74:Z74"/>
    <mergeCell ref="AA74:AE74"/>
    <mergeCell ref="AF74:AJ74"/>
    <mergeCell ref="AK74:AO74"/>
    <mergeCell ref="AP75:AT75"/>
    <mergeCell ref="AU75:AY75"/>
    <mergeCell ref="AZ75:BC75"/>
    <mergeCell ref="BD75:BH75"/>
    <mergeCell ref="BI75:BM75"/>
    <mergeCell ref="BN75:BQ75"/>
    <mergeCell ref="AU74:AY74"/>
    <mergeCell ref="AZ74:BC74"/>
    <mergeCell ref="BD74:BH74"/>
    <mergeCell ref="BI74:BM74"/>
    <mergeCell ref="BN74:BQ74"/>
    <mergeCell ref="AP74:AT74"/>
    <mergeCell ref="A77:B77"/>
    <mergeCell ref="C77:Z77"/>
    <mergeCell ref="AA77:AE77"/>
    <mergeCell ref="AF77:AJ77"/>
    <mergeCell ref="AK77:AO77"/>
    <mergeCell ref="A76:B76"/>
    <mergeCell ref="C76:Z76"/>
    <mergeCell ref="AA76:AE76"/>
    <mergeCell ref="AF76:AJ76"/>
    <mergeCell ref="AK76:AO76"/>
    <mergeCell ref="AP77:AT77"/>
    <mergeCell ref="AU77:AY77"/>
    <mergeCell ref="AZ77:BC77"/>
    <mergeCell ref="BD77:BH77"/>
    <mergeCell ref="BI77:BM77"/>
    <mergeCell ref="BN77:BQ77"/>
    <mergeCell ref="AU76:AY76"/>
    <mergeCell ref="AZ76:BC76"/>
    <mergeCell ref="BD76:BH76"/>
    <mergeCell ref="BI76:BM76"/>
    <mergeCell ref="BN76:BQ76"/>
    <mergeCell ref="AP76:AT76"/>
    <mergeCell ref="A79:B79"/>
    <mergeCell ref="C79:Z79"/>
    <mergeCell ref="AA79:AE79"/>
    <mergeCell ref="AF79:AJ79"/>
    <mergeCell ref="AK79:AO79"/>
    <mergeCell ref="A78:B78"/>
    <mergeCell ref="C78:Z78"/>
    <mergeCell ref="AA78:AE78"/>
    <mergeCell ref="AF78:AJ78"/>
    <mergeCell ref="AK78:AO78"/>
    <mergeCell ref="AP79:AT79"/>
    <mergeCell ref="AU79:AY79"/>
    <mergeCell ref="AZ79:BC79"/>
    <mergeCell ref="BD79:BH79"/>
    <mergeCell ref="BI79:BM79"/>
    <mergeCell ref="BN79:BQ79"/>
    <mergeCell ref="AU78:AY78"/>
    <mergeCell ref="AZ78:BC78"/>
    <mergeCell ref="BD78:BH78"/>
    <mergeCell ref="BI78:BM78"/>
    <mergeCell ref="BN78:BQ78"/>
    <mergeCell ref="AP78:AT78"/>
    <mergeCell ref="A81:B81"/>
    <mergeCell ref="C81:Z81"/>
    <mergeCell ref="AA81:AE81"/>
    <mergeCell ref="AF81:AJ81"/>
    <mergeCell ref="AK81:AO81"/>
    <mergeCell ref="A80:B80"/>
    <mergeCell ref="C80:Z80"/>
    <mergeCell ref="AA80:AE80"/>
    <mergeCell ref="AF80:AJ80"/>
    <mergeCell ref="AK80:AO80"/>
    <mergeCell ref="AP81:AT81"/>
    <mergeCell ref="AU81:AY81"/>
    <mergeCell ref="AZ81:BC81"/>
    <mergeCell ref="BD81:BH81"/>
    <mergeCell ref="BI81:BM81"/>
    <mergeCell ref="BN81:BQ81"/>
    <mergeCell ref="AU80:AY80"/>
    <mergeCell ref="AZ80:BC80"/>
    <mergeCell ref="BD80:BH80"/>
    <mergeCell ref="BI80:BM80"/>
    <mergeCell ref="BN80:BQ80"/>
    <mergeCell ref="AP80:AT80"/>
    <mergeCell ref="A83:B83"/>
    <mergeCell ref="C83:Z83"/>
    <mergeCell ref="AA83:AE83"/>
    <mergeCell ref="AF83:AJ83"/>
    <mergeCell ref="AK83:AO83"/>
    <mergeCell ref="A82:B82"/>
    <mergeCell ref="C82:Z82"/>
    <mergeCell ref="AA82:AE82"/>
    <mergeCell ref="AF82:AJ82"/>
    <mergeCell ref="AK82:AO82"/>
    <mergeCell ref="AP83:AT83"/>
    <mergeCell ref="AU83:AY83"/>
    <mergeCell ref="AZ83:BC83"/>
    <mergeCell ref="BD83:BH83"/>
    <mergeCell ref="BI83:BM83"/>
    <mergeCell ref="BN83:BQ83"/>
    <mergeCell ref="AU82:AY82"/>
    <mergeCell ref="AZ82:BC82"/>
    <mergeCell ref="BD82:BH82"/>
    <mergeCell ref="BI82:BM82"/>
    <mergeCell ref="BN82:BQ82"/>
    <mergeCell ref="AP82:AT82"/>
    <mergeCell ref="A85:B85"/>
    <mergeCell ref="C85:Z85"/>
    <mergeCell ref="AA85:AE85"/>
    <mergeCell ref="AF85:AJ85"/>
    <mergeCell ref="AK85:AO85"/>
    <mergeCell ref="A84:B84"/>
    <mergeCell ref="C84:Z84"/>
    <mergeCell ref="AA84:AE84"/>
    <mergeCell ref="AF84:AJ84"/>
    <mergeCell ref="AK84:AO84"/>
    <mergeCell ref="AP85:AT85"/>
    <mergeCell ref="AU85:AY85"/>
    <mergeCell ref="AZ85:BC85"/>
    <mergeCell ref="BD85:BH85"/>
    <mergeCell ref="BI85:BM85"/>
    <mergeCell ref="BN85:BQ85"/>
    <mergeCell ref="AU84:AY84"/>
    <mergeCell ref="AZ84:BC84"/>
    <mergeCell ref="BD84:BH84"/>
    <mergeCell ref="BI84:BM84"/>
    <mergeCell ref="BN84:BQ84"/>
    <mergeCell ref="AP84:AT84"/>
    <mergeCell ref="A87:B87"/>
    <mergeCell ref="C87:Z87"/>
    <mergeCell ref="AA87:AE87"/>
    <mergeCell ref="AF87:AJ87"/>
    <mergeCell ref="AK87:AO87"/>
    <mergeCell ref="A86:B86"/>
    <mergeCell ref="C86:Z86"/>
    <mergeCell ref="AA86:AE86"/>
    <mergeCell ref="AF86:AJ86"/>
    <mergeCell ref="AK86:AO86"/>
    <mergeCell ref="AP87:AT87"/>
    <mergeCell ref="AU87:AY87"/>
    <mergeCell ref="AZ87:BC87"/>
    <mergeCell ref="BD87:BH87"/>
    <mergeCell ref="BI87:BM87"/>
    <mergeCell ref="BN87:BQ87"/>
    <mergeCell ref="AU86:AY86"/>
    <mergeCell ref="AZ86:BC86"/>
    <mergeCell ref="BD86:BH86"/>
    <mergeCell ref="BI86:BM86"/>
    <mergeCell ref="BN86:BQ86"/>
    <mergeCell ref="AP86:AT86"/>
    <mergeCell ref="A89:B89"/>
    <mergeCell ref="C89:Z89"/>
    <mergeCell ref="AA89:AE89"/>
    <mergeCell ref="AF89:AJ89"/>
    <mergeCell ref="AK89:AO89"/>
    <mergeCell ref="A88:B88"/>
    <mergeCell ref="C88:Z88"/>
    <mergeCell ref="AA88:AE88"/>
    <mergeCell ref="AF88:AJ88"/>
    <mergeCell ref="AK88:AO88"/>
    <mergeCell ref="AP89:AT89"/>
    <mergeCell ref="AU89:AY89"/>
    <mergeCell ref="AZ89:BC89"/>
    <mergeCell ref="BD89:BH89"/>
    <mergeCell ref="BI89:BM89"/>
    <mergeCell ref="BN89:BQ89"/>
    <mergeCell ref="AU88:AY88"/>
    <mergeCell ref="AZ88:BC88"/>
    <mergeCell ref="BD88:BH88"/>
    <mergeCell ref="BI88:BM88"/>
    <mergeCell ref="BN88:BQ88"/>
    <mergeCell ref="AP88:AT88"/>
    <mergeCell ref="AU90:AY90"/>
    <mergeCell ref="AZ90:BC90"/>
    <mergeCell ref="BD90:BH90"/>
    <mergeCell ref="BI90:BM90"/>
    <mergeCell ref="BN90:BQ90"/>
    <mergeCell ref="A91:B91"/>
    <mergeCell ref="C91:Z91"/>
    <mergeCell ref="AA91:AE91"/>
    <mergeCell ref="AF91:AJ91"/>
    <mergeCell ref="AK91:AO91"/>
    <mergeCell ref="A90:B90"/>
    <mergeCell ref="C90:Z90"/>
    <mergeCell ref="AA90:AE90"/>
    <mergeCell ref="AF90:AJ90"/>
    <mergeCell ref="AK90:AO90"/>
    <mergeCell ref="AP90:AT90"/>
    <mergeCell ref="A101:B101"/>
    <mergeCell ref="C101:BQ101"/>
    <mergeCell ref="A102:B102"/>
    <mergeCell ref="C102:BQ102"/>
    <mergeCell ref="A103:B103"/>
    <mergeCell ref="C103:BQ103"/>
    <mergeCell ref="A99:B99"/>
    <mergeCell ref="C99:BQ99"/>
    <mergeCell ref="AP91:AT91"/>
    <mergeCell ref="AU91:AY91"/>
    <mergeCell ref="AZ91:BC91"/>
    <mergeCell ref="BD91:BH91"/>
    <mergeCell ref="BI91:BM91"/>
    <mergeCell ref="BN91:BQ91"/>
    <mergeCell ref="A110:B110"/>
    <mergeCell ref="C110:BQ110"/>
    <mergeCell ref="A107:B107"/>
    <mergeCell ref="C107:BQ107"/>
    <mergeCell ref="A108:B108"/>
    <mergeCell ref="C108:BQ108"/>
    <mergeCell ref="A109:B109"/>
    <mergeCell ref="C109:BQ109"/>
    <mergeCell ref="A104:B104"/>
    <mergeCell ref="C104:BQ104"/>
    <mergeCell ref="A105:B105"/>
    <mergeCell ref="C105:BQ105"/>
    <mergeCell ref="A106:B106"/>
    <mergeCell ref="C106:BQ106"/>
    <mergeCell ref="AX128:BB128"/>
    <mergeCell ref="BC128:BG128"/>
    <mergeCell ref="BH128:BL128"/>
    <mergeCell ref="BM128:BQ128"/>
    <mergeCell ref="A129:B129"/>
    <mergeCell ref="C129:I129"/>
    <mergeCell ref="J129:N129"/>
    <mergeCell ref="O129:X129"/>
    <mergeCell ref="Y129:AC129"/>
    <mergeCell ref="AD129:AH129"/>
    <mergeCell ref="A128:B128"/>
    <mergeCell ref="C128:I128"/>
    <mergeCell ref="J128:N128"/>
    <mergeCell ref="O128:X128"/>
    <mergeCell ref="Y128:AC128"/>
    <mergeCell ref="AD128:AH128"/>
    <mergeCell ref="AI128:AM128"/>
    <mergeCell ref="AN128:AR128"/>
    <mergeCell ref="AS128:AW128"/>
    <mergeCell ref="BM129:BQ129"/>
    <mergeCell ref="A130:B130"/>
    <mergeCell ref="C130:I130"/>
    <mergeCell ref="J130:N130"/>
    <mergeCell ref="O130:X130"/>
    <mergeCell ref="Y130:AC130"/>
    <mergeCell ref="AD130:AH130"/>
    <mergeCell ref="AI130:AM130"/>
    <mergeCell ref="AN130:AR130"/>
    <mergeCell ref="AS130:AW130"/>
    <mergeCell ref="AI129:AM129"/>
    <mergeCell ref="AN129:AR129"/>
    <mergeCell ref="AS129:AW129"/>
    <mergeCell ref="AX129:BB129"/>
    <mergeCell ref="BC129:BG129"/>
    <mergeCell ref="BH129:BL129"/>
    <mergeCell ref="AX130:BB130"/>
    <mergeCell ref="BC130:BG130"/>
    <mergeCell ref="BH130:BL130"/>
    <mergeCell ref="BM130:BQ130"/>
    <mergeCell ref="A131:B131"/>
    <mergeCell ref="C131:I131"/>
    <mergeCell ref="J131:N131"/>
    <mergeCell ref="O131:X131"/>
    <mergeCell ref="Y131:AC131"/>
    <mergeCell ref="AD131:AH131"/>
    <mergeCell ref="BM131:BQ131"/>
    <mergeCell ref="A132:B132"/>
    <mergeCell ref="C132:I132"/>
    <mergeCell ref="J132:N132"/>
    <mergeCell ref="O132:X132"/>
    <mergeCell ref="Y132:AC132"/>
    <mergeCell ref="AD132:AH132"/>
    <mergeCell ref="AI132:AM132"/>
    <mergeCell ref="AN132:AR132"/>
    <mergeCell ref="AS132:AW132"/>
    <mergeCell ref="AI131:AM131"/>
    <mergeCell ref="AN131:AR131"/>
    <mergeCell ref="AS131:AW131"/>
    <mergeCell ref="AX131:BB131"/>
    <mergeCell ref="BC131:BG131"/>
    <mergeCell ref="BH131:BL131"/>
    <mergeCell ref="AX132:BB132"/>
    <mergeCell ref="BC132:BG132"/>
    <mergeCell ref="BH132:BL132"/>
    <mergeCell ref="BM132:BQ132"/>
    <mergeCell ref="A133:B133"/>
    <mergeCell ref="C133:I133"/>
    <mergeCell ref="J133:N133"/>
    <mergeCell ref="O133:X133"/>
    <mergeCell ref="Y133:AC133"/>
    <mergeCell ref="AD133:AH133"/>
    <mergeCell ref="BM133:BQ133"/>
    <mergeCell ref="A134:B134"/>
    <mergeCell ref="C134:I134"/>
    <mergeCell ref="J134:N134"/>
    <mergeCell ref="O134:X134"/>
    <mergeCell ref="Y134:AC134"/>
    <mergeCell ref="AD134:AH134"/>
    <mergeCell ref="AI134:AM134"/>
    <mergeCell ref="AN134:AR134"/>
    <mergeCell ref="AS134:AW134"/>
    <mergeCell ref="AI133:AM133"/>
    <mergeCell ref="AN133:AR133"/>
    <mergeCell ref="AS133:AW133"/>
    <mergeCell ref="AX133:BB133"/>
    <mergeCell ref="BC133:BG133"/>
    <mergeCell ref="BH133:BL133"/>
    <mergeCell ref="AX134:BB134"/>
    <mergeCell ref="BC134:BG134"/>
    <mergeCell ref="BH134:BL134"/>
    <mergeCell ref="BM134:BQ134"/>
    <mergeCell ref="A135:B135"/>
    <mergeCell ref="C135:I135"/>
    <mergeCell ref="J135:N135"/>
    <mergeCell ref="O135:X135"/>
    <mergeCell ref="Y135:AC135"/>
    <mergeCell ref="AD135:AH135"/>
    <mergeCell ref="BM135:BQ135"/>
    <mergeCell ref="A136:B136"/>
    <mergeCell ref="C136:I136"/>
    <mergeCell ref="J136:N136"/>
    <mergeCell ref="O136:X136"/>
    <mergeCell ref="Y136:AC136"/>
    <mergeCell ref="AD136:AH136"/>
    <mergeCell ref="AI136:AM136"/>
    <mergeCell ref="AN136:AR136"/>
    <mergeCell ref="AS136:AW136"/>
    <mergeCell ref="AI135:AM135"/>
    <mergeCell ref="AN135:AR135"/>
    <mergeCell ref="AS135:AW135"/>
    <mergeCell ref="AX135:BB135"/>
    <mergeCell ref="BC135:BG135"/>
    <mergeCell ref="BH135:BL135"/>
    <mergeCell ref="AX136:BB136"/>
    <mergeCell ref="BC136:BG136"/>
    <mergeCell ref="BH136:BL136"/>
    <mergeCell ref="BM136:BQ136"/>
    <mergeCell ref="A137:B137"/>
    <mergeCell ref="C137:I137"/>
    <mergeCell ref="J137:N137"/>
    <mergeCell ref="O137:X137"/>
    <mergeCell ref="Y137:AC137"/>
    <mergeCell ref="AD137:AH137"/>
    <mergeCell ref="AX138:BB138"/>
    <mergeCell ref="BC138:BG138"/>
    <mergeCell ref="BH138:BL138"/>
    <mergeCell ref="BM138:BQ138"/>
    <mergeCell ref="BM137:BQ137"/>
    <mergeCell ref="A138:B138"/>
    <mergeCell ref="C138:I138"/>
    <mergeCell ref="J138:N138"/>
    <mergeCell ref="O138:X138"/>
    <mergeCell ref="Y138:AC138"/>
    <mergeCell ref="AD138:AH138"/>
    <mergeCell ref="AI138:AM138"/>
    <mergeCell ref="AN138:AR138"/>
    <mergeCell ref="AS138:AW138"/>
    <mergeCell ref="AI137:AM137"/>
    <mergeCell ref="AN137:AR137"/>
    <mergeCell ref="AS137:AW137"/>
    <mergeCell ref="AX137:BB137"/>
    <mergeCell ref="BC137:BG137"/>
    <mergeCell ref="BH137:BL137"/>
    <mergeCell ref="C147:I147"/>
    <mergeCell ref="J147:N147"/>
    <mergeCell ref="O147:BQ147"/>
    <mergeCell ref="A148:B148"/>
    <mergeCell ref="C148:I148"/>
    <mergeCell ref="J148:N148"/>
    <mergeCell ref="O148:BQ148"/>
    <mergeCell ref="A146:B146"/>
    <mergeCell ref="C146:I146"/>
    <mergeCell ref="J146:N146"/>
    <mergeCell ref="O146:BQ146"/>
    <mergeCell ref="A150:B150"/>
    <mergeCell ref="C150:I150"/>
    <mergeCell ref="J150:N150"/>
    <mergeCell ref="O150:BQ150"/>
    <mergeCell ref="A151:B151"/>
    <mergeCell ref="C151:I151"/>
    <mergeCell ref="J151:N151"/>
    <mergeCell ref="O151:BQ151"/>
    <mergeCell ref="A149:B149"/>
    <mergeCell ref="C149:I149"/>
    <mergeCell ref="J149:N149"/>
    <mergeCell ref="O149:BQ149"/>
    <mergeCell ref="A153:B153"/>
    <mergeCell ref="C153:I153"/>
    <mergeCell ref="J153:N153"/>
    <mergeCell ref="O153:BQ153"/>
    <mergeCell ref="A154:B154"/>
    <mergeCell ref="C154:I154"/>
    <mergeCell ref="J154:N154"/>
    <mergeCell ref="O154:BQ154"/>
    <mergeCell ref="A152:B152"/>
    <mergeCell ref="C152:I152"/>
    <mergeCell ref="J152:N152"/>
    <mergeCell ref="O152:BQ152"/>
    <mergeCell ref="A156:B156"/>
    <mergeCell ref="C156:I156"/>
    <mergeCell ref="J156:N156"/>
    <mergeCell ref="O156:BQ156"/>
    <mergeCell ref="O155:BQ155"/>
    <mergeCell ref="A155:B155"/>
    <mergeCell ref="C155:I155"/>
    <mergeCell ref="J155:N155"/>
  </mergeCells>
  <phoneticPr fontId="0" type="noConversion"/>
  <conditionalFormatting sqref="C141 C160 C127 C145">
    <cfRule type="cellIs" dxfId="55" priority="58" stopIfTrue="1" operator="equal">
      <formula>$C126</formula>
    </cfRule>
  </conditionalFormatting>
  <conditionalFormatting sqref="A127:B127 A141:B141 A145:B145 A160:B160 A118:B118 A139:B139 A157:B157">
    <cfRule type="cellIs" dxfId="54" priority="59" stopIfTrue="1" operator="equal">
      <formula>0</formula>
    </cfRule>
  </conditionalFormatting>
  <conditionalFormatting sqref="C139">
    <cfRule type="cellIs" dxfId="53" priority="61" stopIfTrue="1" operator="equal">
      <formula>$C127</formula>
    </cfRule>
  </conditionalFormatting>
  <conditionalFormatting sqref="C128">
    <cfRule type="cellIs" dxfId="52" priority="55" stopIfTrue="1" operator="equal">
      <formula>$C127</formula>
    </cfRule>
  </conditionalFormatting>
  <conditionalFormatting sqref="A128:B128">
    <cfRule type="cellIs" dxfId="51" priority="56" stopIfTrue="1" operator="equal">
      <formula>0</formula>
    </cfRule>
  </conditionalFormatting>
  <conditionalFormatting sqref="C129">
    <cfRule type="cellIs" dxfId="50" priority="53" stopIfTrue="1" operator="equal">
      <formula>$C128</formula>
    </cfRule>
  </conditionalFormatting>
  <conditionalFormatting sqref="A129:B129">
    <cfRule type="cellIs" dxfId="49" priority="54" stopIfTrue="1" operator="equal">
      <formula>0</formula>
    </cfRule>
  </conditionalFormatting>
  <conditionalFormatting sqref="C130">
    <cfRule type="cellIs" dxfId="48" priority="51" stopIfTrue="1" operator="equal">
      <formula>$C129</formula>
    </cfRule>
  </conditionalFormatting>
  <conditionalFormatting sqref="A130:B130">
    <cfRule type="cellIs" dxfId="47" priority="52" stopIfTrue="1" operator="equal">
      <formula>0</formula>
    </cfRule>
  </conditionalFormatting>
  <conditionalFormatting sqref="C131">
    <cfRule type="cellIs" dxfId="46" priority="49" stopIfTrue="1" operator="equal">
      <formula>$C130</formula>
    </cfRule>
  </conditionalFormatting>
  <conditionalFormatting sqref="A131:B131">
    <cfRule type="cellIs" dxfId="45" priority="50" stopIfTrue="1" operator="equal">
      <formula>0</formula>
    </cfRule>
  </conditionalFormatting>
  <conditionalFormatting sqref="C132">
    <cfRule type="cellIs" dxfId="44" priority="47" stopIfTrue="1" operator="equal">
      <formula>$C131</formula>
    </cfRule>
  </conditionalFormatting>
  <conditionalFormatting sqref="A132:B132">
    <cfRule type="cellIs" dxfId="43" priority="48" stopIfTrue="1" operator="equal">
      <formula>0</formula>
    </cfRule>
  </conditionalFormatting>
  <conditionalFormatting sqref="C133">
    <cfRule type="cellIs" dxfId="42" priority="45" stopIfTrue="1" operator="equal">
      <formula>$C132</formula>
    </cfRule>
  </conditionalFormatting>
  <conditionalFormatting sqref="A133:B133">
    <cfRule type="cellIs" dxfId="41" priority="46" stopIfTrue="1" operator="equal">
      <formula>0</formula>
    </cfRule>
  </conditionalFormatting>
  <conditionalFormatting sqref="C134">
    <cfRule type="cellIs" dxfId="40" priority="43" stopIfTrue="1" operator="equal">
      <formula>$C133</formula>
    </cfRule>
  </conditionalFormatting>
  <conditionalFormatting sqref="A134:B134">
    <cfRule type="cellIs" dxfId="39" priority="44" stopIfTrue="1" operator="equal">
      <formula>0</formula>
    </cfRule>
  </conditionalFormatting>
  <conditionalFormatting sqref="C135">
    <cfRule type="cellIs" dxfId="38" priority="41" stopIfTrue="1" operator="equal">
      <formula>$C134</formula>
    </cfRule>
  </conditionalFormatting>
  <conditionalFormatting sqref="A135:B135">
    <cfRule type="cellIs" dxfId="37" priority="42" stopIfTrue="1" operator="equal">
      <formula>0</formula>
    </cfRule>
  </conditionalFormatting>
  <conditionalFormatting sqref="C136">
    <cfRule type="cellIs" dxfId="36" priority="39" stopIfTrue="1" operator="equal">
      <formula>$C135</formula>
    </cfRule>
  </conditionalFormatting>
  <conditionalFormatting sqref="A136:B136">
    <cfRule type="cellIs" dxfId="35" priority="40" stopIfTrue="1" operator="equal">
      <formula>0</formula>
    </cfRule>
  </conditionalFormatting>
  <conditionalFormatting sqref="C137">
    <cfRule type="cellIs" dxfId="34" priority="37" stopIfTrue="1" operator="equal">
      <formula>$C136</formula>
    </cfRule>
  </conditionalFormatting>
  <conditionalFormatting sqref="A137:B137">
    <cfRule type="cellIs" dxfId="33" priority="38" stopIfTrue="1" operator="equal">
      <formula>0</formula>
    </cfRule>
  </conditionalFormatting>
  <conditionalFormatting sqref="C138">
    <cfRule type="cellIs" dxfId="32" priority="35" stopIfTrue="1" operator="equal">
      <formula>$C137</formula>
    </cfRule>
  </conditionalFormatting>
  <conditionalFormatting sqref="A138:B138">
    <cfRule type="cellIs" dxfId="31" priority="36" stopIfTrue="1" operator="equal">
      <formula>0</formula>
    </cfRule>
  </conditionalFormatting>
  <conditionalFormatting sqref="C157">
    <cfRule type="cellIs" dxfId="30" priority="63" stopIfTrue="1" operator="equal">
      <formula>$C145</formula>
    </cfRule>
  </conditionalFormatting>
  <conditionalFormatting sqref="C146">
    <cfRule type="cellIs" dxfId="27" priority="29" stopIfTrue="1" operator="equal">
      <formula>#REF!</formula>
    </cfRule>
  </conditionalFormatting>
  <conditionalFormatting sqref="A146:B146">
    <cfRule type="cellIs" dxfId="26" priority="30" stopIfTrue="1" operator="equal">
      <formula>0</formula>
    </cfRule>
  </conditionalFormatting>
  <conditionalFormatting sqref="C147">
    <cfRule type="cellIs" dxfId="25" priority="27" stopIfTrue="1" operator="equal">
      <formula>$C146</formula>
    </cfRule>
  </conditionalFormatting>
  <conditionalFormatting sqref="A147:B147">
    <cfRule type="cellIs" dxfId="24" priority="28" stopIfTrue="1" operator="equal">
      <formula>0</formula>
    </cfRule>
  </conditionalFormatting>
  <conditionalFormatting sqref="C148">
    <cfRule type="cellIs" dxfId="23" priority="25" stopIfTrue="1" operator="equal">
      <formula>$C147</formula>
    </cfRule>
  </conditionalFormatting>
  <conditionalFormatting sqref="A148:B148">
    <cfRule type="cellIs" dxfId="22" priority="26" stopIfTrue="1" operator="equal">
      <formula>0</formula>
    </cfRule>
  </conditionalFormatting>
  <conditionalFormatting sqref="C149">
    <cfRule type="cellIs" dxfId="19" priority="21" stopIfTrue="1" operator="equal">
      <formula>#REF!</formula>
    </cfRule>
  </conditionalFormatting>
  <conditionalFormatting sqref="A149:B149">
    <cfRule type="cellIs" dxfId="18" priority="22" stopIfTrue="1" operator="equal">
      <formula>0</formula>
    </cfRule>
  </conditionalFormatting>
  <conditionalFormatting sqref="C150">
    <cfRule type="cellIs" dxfId="17" priority="19" stopIfTrue="1" operator="equal">
      <formula>$C149</formula>
    </cfRule>
  </conditionalFormatting>
  <conditionalFormatting sqref="A150:B150">
    <cfRule type="cellIs" dxfId="16" priority="20" stopIfTrue="1" operator="equal">
      <formula>0</formula>
    </cfRule>
  </conditionalFormatting>
  <conditionalFormatting sqref="C151">
    <cfRule type="cellIs" dxfId="15" priority="17" stopIfTrue="1" operator="equal">
      <formula>$C150</formula>
    </cfRule>
  </conditionalFormatting>
  <conditionalFormatting sqref="A151:B151">
    <cfRule type="cellIs" dxfId="14" priority="18" stopIfTrue="1" operator="equal">
      <formula>0</formula>
    </cfRule>
  </conditionalFormatting>
  <conditionalFormatting sqref="C152">
    <cfRule type="cellIs" dxfId="11" priority="13" stopIfTrue="1" operator="equal">
      <formula>#REF!</formula>
    </cfRule>
  </conditionalFormatting>
  <conditionalFormatting sqref="A152:B152">
    <cfRule type="cellIs" dxfId="10" priority="14" stopIfTrue="1" operator="equal">
      <formula>0</formula>
    </cfRule>
  </conditionalFormatting>
  <conditionalFormatting sqref="C153">
    <cfRule type="cellIs" dxfId="9" priority="11" stopIfTrue="1" operator="equal">
      <formula>$C152</formula>
    </cfRule>
  </conditionalFormatting>
  <conditionalFormatting sqref="A153:B153">
    <cfRule type="cellIs" dxfId="8" priority="12" stopIfTrue="1" operator="equal">
      <formula>0</formula>
    </cfRule>
  </conditionalFormatting>
  <conditionalFormatting sqref="C154">
    <cfRule type="cellIs" dxfId="7" priority="9" stopIfTrue="1" operator="equal">
      <formula>$C153</formula>
    </cfRule>
  </conditionalFormatting>
  <conditionalFormatting sqref="A154:B154">
    <cfRule type="cellIs" dxfId="6" priority="10" stopIfTrue="1" operator="equal">
      <formula>0</formula>
    </cfRule>
  </conditionalFormatting>
  <conditionalFormatting sqref="C155">
    <cfRule type="cellIs" dxfId="3" priority="5" stopIfTrue="1" operator="equal">
      <formula>#REF!</formula>
    </cfRule>
  </conditionalFormatting>
  <conditionalFormatting sqref="A155:B155">
    <cfRule type="cellIs" dxfId="2" priority="6" stopIfTrue="1" operator="equal">
      <formula>0</formula>
    </cfRule>
  </conditionalFormatting>
  <conditionalFormatting sqref="C156">
    <cfRule type="cellIs" dxfId="1" priority="3" stopIfTrue="1" operator="equal">
      <formula>$C155</formula>
    </cfRule>
  </conditionalFormatting>
  <conditionalFormatting sqref="A156:B156">
    <cfRule type="cellIs" dxfId="0" priority="4" stopIfTrue="1" operator="equal">
      <formula>0</formula>
    </cfRule>
  </conditionalFormatting>
  <pageMargins left="0.31496062992125984" right="0.31496062992125984" top="0.39370078740157483" bottom="0.39370078740157483" header="0" footer="0"/>
  <pageSetup paperSize="9" scale="72" fitToHeight="99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Пользователь1</cp:lastModifiedBy>
  <cp:lastPrinted>2025-06-27T08:08:29Z</cp:lastPrinted>
  <dcterms:created xsi:type="dcterms:W3CDTF">2016-08-10T10:53:25Z</dcterms:created>
  <dcterms:modified xsi:type="dcterms:W3CDTF">2025-06-27T08:08:31Z</dcterms:modified>
</cp:coreProperties>
</file>