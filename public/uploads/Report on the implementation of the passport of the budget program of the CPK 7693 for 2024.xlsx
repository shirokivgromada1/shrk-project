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4 рік\Звіти\"/>
    </mc:Choice>
  </mc:AlternateContent>
  <xr:revisionPtr revIDLastSave="0" documentId="13_ncr:1_{F8F9DD1E-B1E0-47B7-ABD2-5B1793F41FA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7693" sheetId="1" r:id="rId1"/>
  </sheets>
  <definedNames>
    <definedName name="_xlnm.Print_Area" localSheetId="0">КПК0117693!$A$1:$BQ$135</definedName>
  </definedNames>
  <calcPr calcId="191029"/>
</workbook>
</file>

<file path=xl/calcChain.xml><?xml version="1.0" encoding="utf-8"?>
<calcChain xmlns="http://schemas.openxmlformats.org/spreadsheetml/2006/main">
  <c r="BH110" i="1" l="1"/>
  <c r="BC110" i="1"/>
  <c r="BH109" i="1"/>
  <c r="BC109" i="1"/>
  <c r="BH108" i="1"/>
  <c r="BC108" i="1"/>
  <c r="BH106" i="1"/>
  <c r="BC106" i="1"/>
  <c r="BH105" i="1"/>
  <c r="BC105" i="1"/>
  <c r="BH103" i="1"/>
  <c r="BC103" i="1"/>
  <c r="BH102" i="1"/>
  <c r="BC102" i="1"/>
  <c r="BH100" i="1"/>
  <c r="BC100" i="1"/>
  <c r="BD90" i="1"/>
  <c r="AY90" i="1"/>
  <c r="AS90" i="1"/>
  <c r="AC90" i="1"/>
  <c r="BD89" i="1"/>
  <c r="AY89" i="1"/>
  <c r="AS89" i="1"/>
  <c r="AC89" i="1"/>
  <c r="BI63" i="1"/>
  <c r="BD63" i="1"/>
  <c r="AZ63" i="1"/>
  <c r="AK63" i="1"/>
  <c r="BI62" i="1"/>
  <c r="BD62" i="1"/>
  <c r="AZ62" i="1"/>
  <c r="AK62" i="1"/>
  <c r="BI61" i="1"/>
  <c r="BD61" i="1"/>
  <c r="AZ61" i="1"/>
  <c r="AK61" i="1"/>
  <c r="BI60" i="1"/>
  <c r="BD60" i="1"/>
  <c r="AZ60" i="1"/>
  <c r="AK60" i="1"/>
  <c r="BI59" i="1"/>
  <c r="BD59" i="1"/>
  <c r="AZ59" i="1"/>
  <c r="AK59" i="1"/>
  <c r="BI58" i="1"/>
  <c r="BD58" i="1"/>
  <c r="AZ58" i="1"/>
  <c r="AK58" i="1"/>
  <c r="BI57" i="1"/>
  <c r="BD57" i="1"/>
  <c r="AZ57" i="1"/>
  <c r="AK57" i="1"/>
  <c r="BI56" i="1"/>
  <c r="BD56" i="1"/>
  <c r="AZ56" i="1"/>
  <c r="AK56" i="1"/>
  <c r="BI55" i="1"/>
  <c r="BD55" i="1"/>
  <c r="AZ55" i="1"/>
  <c r="AK55" i="1"/>
  <c r="BI54" i="1"/>
  <c r="BD54" i="1"/>
  <c r="AZ54" i="1"/>
  <c r="AK54" i="1"/>
  <c r="BI53" i="1"/>
  <c r="BD53" i="1"/>
  <c r="AZ53" i="1"/>
  <c r="AK53" i="1"/>
  <c r="BI52" i="1"/>
  <c r="BD52" i="1"/>
  <c r="AZ52" i="1"/>
  <c r="AK52" i="1"/>
  <c r="BI51" i="1"/>
  <c r="BD51" i="1"/>
  <c r="AZ51" i="1"/>
  <c r="AK51" i="1"/>
  <c r="BI50" i="1"/>
  <c r="BD50" i="1"/>
  <c r="AZ50" i="1"/>
  <c r="AK50" i="1"/>
  <c r="BI49" i="1"/>
  <c r="BD49" i="1"/>
  <c r="AZ49" i="1"/>
  <c r="AK49" i="1"/>
  <c r="BI48" i="1"/>
  <c r="BD48" i="1"/>
  <c r="AZ48" i="1"/>
  <c r="AK48" i="1"/>
  <c r="BI47" i="1"/>
  <c r="BD47" i="1"/>
  <c r="AZ47" i="1"/>
  <c r="AK47" i="1"/>
  <c r="BI46" i="1"/>
  <c r="BD46" i="1"/>
  <c r="AZ46" i="1"/>
  <c r="AK46" i="1"/>
  <c r="BI45" i="1"/>
  <c r="BD45" i="1"/>
  <c r="AZ45" i="1"/>
  <c r="AK45" i="1"/>
  <c r="BI44" i="1"/>
  <c r="BD44" i="1"/>
  <c r="AZ44" i="1"/>
  <c r="AK44" i="1"/>
  <c r="BI43" i="1"/>
  <c r="BD43" i="1"/>
  <c r="AZ43" i="1"/>
  <c r="AK43" i="1"/>
  <c r="BI90" i="1" l="1"/>
  <c r="BI89" i="1"/>
  <c r="BN63" i="1"/>
  <c r="BN62" i="1"/>
  <c r="BN61" i="1"/>
  <c r="BN60" i="1"/>
  <c r="BN59" i="1"/>
  <c r="BN58" i="1"/>
  <c r="BN57" i="1"/>
  <c r="BN56" i="1"/>
  <c r="BN55" i="1"/>
  <c r="BN54" i="1"/>
  <c r="BN53" i="1"/>
  <c r="BN52" i="1"/>
  <c r="BN50" i="1"/>
  <c r="BN51" i="1"/>
  <c r="BN49" i="1"/>
  <c r="BN48" i="1"/>
  <c r="BN47" i="1"/>
  <c r="BN46" i="1"/>
  <c r="BN45" i="1"/>
  <c r="BN44" i="1"/>
  <c r="BN43" i="1"/>
</calcChain>
</file>

<file path=xl/sharedStrings.xml><?xml version="1.0" encoding="utf-8"?>
<sst xmlns="http://schemas.openxmlformats.org/spreadsheetml/2006/main" count="250" uniqueCount="151">
  <si>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</si>
  <si>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</si>
  <si>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</si>
  <si>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</si>
  <si>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</si>
  <si>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</si>
  <si>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</si>
  <si>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1.</t>
  </si>
  <si>
    <t>(підпис)</t>
  </si>
  <si>
    <t>ps2</t>
  </si>
  <si>
    <t>pz2</t>
  </si>
  <si>
    <t>pvz2</t>
  </si>
  <si>
    <t>pvs2</t>
  </si>
  <si>
    <t>npp</t>
  </si>
  <si>
    <t>name</t>
  </si>
  <si>
    <t>od_vim</t>
  </si>
  <si>
    <t>formula=RC[-10]+RC[-5]</t>
  </si>
  <si>
    <t>formula=RC[-16]-RC[-32]</t>
  </si>
  <si>
    <t>ЗВІТ</t>
  </si>
  <si>
    <t>p5.5</t>
  </si>
  <si>
    <t>s5.5</t>
  </si>
  <si>
    <t>p5.6</t>
  </si>
  <si>
    <t>s5.6</t>
  </si>
  <si>
    <t>p5.7</t>
  </si>
  <si>
    <t>s5.7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</si>
  <si>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</si>
  <si>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</si>
  <si>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</si>
  <si>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</si>
  <si>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s2</t>
  </si>
  <si>
    <t>pvz1</t>
  </si>
  <si>
    <t>formula=RC[-14]-RC[-29]</t>
  </si>
  <si>
    <t>formula=RC[-15]-RC[-30]</t>
  </si>
  <si>
    <t>2.</t>
  </si>
  <si>
    <t>3.</t>
  </si>
  <si>
    <t>про виконання паспорта бюджетної програми</t>
  </si>
  <si>
    <t>zp</t>
  </si>
  <si>
    <t>dger_inf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</si>
  <si>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</si>
  <si>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</si>
  <si>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</si>
  <si>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</si>
  <si>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</si>
  <si>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</si>
  <si>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</si>
  <si>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</si>
  <si>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</si>
  <si>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s5.2</t>
  </si>
  <si>
    <t>s5.3</t>
  </si>
  <si>
    <t>p5.2</t>
  </si>
  <si>
    <t>p5.3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</si>
  <si>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</si>
  <si>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</si>
  <si>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</si>
  <si>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</si>
  <si>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</si>
  <si>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</si>
  <si>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</si>
  <si>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</si>
  <si>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</si>
  <si>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</si>
  <si>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>s5.8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</si>
  <si>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</si>
  <si>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</si>
  <si>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</si>
  <si>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</si>
  <si>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s5.9</t>
  </si>
  <si>
    <t>Напрями використання бюджетних коштів*</t>
  </si>
  <si>
    <t>p5.8</t>
  </si>
  <si>
    <t>p5.9</t>
  </si>
  <si>
    <t>name_poj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</si>
  <si>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</si>
  <si>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</si>
  <si>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</si>
  <si>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</si>
  <si>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z1</t>
  </si>
  <si>
    <t>z2</t>
  </si>
  <si>
    <t>4. Цілі державної політики, на досягнення яких спрямовано реалізацію бюджетної програми</t>
  </si>
  <si>
    <t>Розробка та здійснення комплексу заходів  організаційного, фінансового, економічного характеру щодо розвитку громади</t>
  </si>
  <si>
    <t>Придбання канцелярського та письмового приладдя, паперу</t>
  </si>
  <si>
    <t>Придбання та виготовлення бланків грамот, рекламних буклетів, мап, плакатів</t>
  </si>
  <si>
    <t>Придбання матеріалів для господарської діяльності</t>
  </si>
  <si>
    <t>Придбання пально-мастильних матеріалів (талонів)</t>
  </si>
  <si>
    <t>Заробітна плата</t>
  </si>
  <si>
    <t>Нарахування на оплату праці</t>
  </si>
  <si>
    <t>Оплата послуг з поточного ремонту та технічного обслуговування  комп'ютерної техніки та організаційної техніки</t>
  </si>
  <si>
    <t>Оплата послуг з перезарядки картриджів</t>
  </si>
  <si>
    <t>Оплата послуг з адміністрування (обслуговування) програмного забезпечення</t>
  </si>
  <si>
    <t>Видатки на оплату проїзду, добових, вартості проживання під час службових відряджень</t>
  </si>
  <si>
    <t>Оплата за навчання з питань пожежної безпеки посадових осіб підприємств, установ та організації з видачею посвідчень</t>
  </si>
  <si>
    <t>Оплата за навчання з питань охорони праці посадових осіб і спеціалістів у відповідності до "Типового положення про порядок проведення навчання і перевірки знань з питань охорони праці" з видачею посвідчень</t>
  </si>
  <si>
    <t>Оплата адміністративних послуг</t>
  </si>
  <si>
    <t>Оплата послуг зі створення та розміщення рекламної та інформаційної продукції</t>
  </si>
  <si>
    <t>Оплата послуг медичних закладів (проведення медичного огляду)</t>
  </si>
  <si>
    <t>Оплата послуг з поточного ремонту та технічного обслуговування транспортного засобу</t>
  </si>
  <si>
    <t>Оплата послуг страхування транспортного засобу</t>
  </si>
  <si>
    <t>Оплата послуг у сфері інформатизації (технічна підтримка веб-сайту Широківської громади та Інвестиційного сайту Широківської громади)</t>
  </si>
  <si>
    <t>Придбання меблів</t>
  </si>
  <si>
    <t>Оплата заборгованості зі сплати податкових платежів КСП "Широке"</t>
  </si>
  <si>
    <t>УСЬОГО</t>
  </si>
  <si>
    <t>Зменшення вартості виготовлення бланків, буклетів, мап, плакатів</t>
  </si>
  <si>
    <t>Наявність вакансій</t>
  </si>
  <si>
    <t>Участь в заходах, конференціях у форматі онлайн</t>
  </si>
  <si>
    <t>Відсутність потреби в навчанні</t>
  </si>
  <si>
    <t>Відсутність потреби в сплаті адміністративних послуг</t>
  </si>
  <si>
    <t>Працівники КУ "Агенція розвитку Широківської громади" медичний оглд не проходили</t>
  </si>
  <si>
    <t>поточний ремонт та технічне обслуговування транспортного засобу проводилися за необхідності</t>
  </si>
  <si>
    <t>Зменшення вартості страхового полісу</t>
  </si>
  <si>
    <t>Оплата робіт з технічної підтримки веб-сайту Широківської громади та Інвестиційного сайту Широківської громади відтермінована  на 2025 рік</t>
  </si>
  <si>
    <t>Відхилення між запланованими та фактичними видатками виникло в межах округлення до повних гривень. Сума відхилення є незначною та не вплинула на реалізацію бюджетної програми</t>
  </si>
  <si>
    <t>Програма організації підтримки і реалізації стратегічних ініціатив та підготовки проєктів розвитку Широківської територіальної громади Запорізького району Запорізької області на 2022-2026 роки</t>
  </si>
  <si>
    <t>Усього</t>
  </si>
  <si>
    <t>затрат</t>
  </si>
  <si>
    <t/>
  </si>
  <si>
    <t>кількість штатних одиниць</t>
  </si>
  <si>
    <t>од.</t>
  </si>
  <si>
    <t>штатний розпис</t>
  </si>
  <si>
    <t>продукту</t>
  </si>
  <si>
    <t>кількість  соціологічних досліджень, опитувань, які необхідно провести</t>
  </si>
  <si>
    <t>план роботи</t>
  </si>
  <si>
    <t>кількість заявок для фінансування проектів, які необхідно розробити та подати до донорських організацій</t>
  </si>
  <si>
    <t>ефективності</t>
  </si>
  <si>
    <t>кількість соціологічних досліджень, опитувань, які планується провести</t>
  </si>
  <si>
    <t>кількість заявок для фінансування проектів, які планується розробити та подати до донорських організацій</t>
  </si>
  <si>
    <t>якості</t>
  </si>
  <si>
    <t>витрати на утримання однієї штатної одиниці</t>
  </si>
  <si>
    <t>грн/рік</t>
  </si>
  <si>
    <t>розрахунковий показник</t>
  </si>
  <si>
    <t>кількість розроблених та поданих до донорських організацій заявок для фінансування проектів</t>
  </si>
  <si>
    <t>звітність</t>
  </si>
  <si>
    <t>кількість проведених соціологічних досліджень, опитувань</t>
  </si>
  <si>
    <t>Розробка та здійснення комплексу заходів організаційного, фінансового, економічного характеру щодо розвитку громади</t>
  </si>
  <si>
    <t>Результативні показники бюджетної програми виконані в повному обсязі</t>
  </si>
  <si>
    <t>Мета бюджетної програми виконана в повному обсязіі._x000D_
Бюджетні зобов'язання здійснювалися в межах бюджетних асигнувань, з забезпеченням цільового спрямування та використання бюджетних коштів. Для повного та вчасного використання коштів і  одночасно недопущення кредиторської та дебіторської заборгованості  оперативно та відповідально опрацьовувалися підтвердні документи._x000D_
В межах бюджетної програми реалізовані заходи та завдання Програми організації підтримки і реалізації стратегічних ініціатив та підготовки проектів розвитку Широківської територіальної громади Запорізького району Запорізької області 2022-2026 роки та Програми підтримки та розвитку комунального підприємства "Комунальне сільськогосподарське підприємство "Широке" Широківської сільської ради Запорізького району Запорізької області на 2024-2026 роки._x000D_
Командою КУ "Агенція розвитку" розроблено:_x000D_
- Програму комплексного відновлення, яка охоплює ключові сфери: безпека, інфраструктура, економічний розвиток, соціальна підтримка та збереження культурної спадщини;_x000D_
- Стратегію розвитку Широківської громади;_x000D_
- Програму місцевого економічного розвитку;_x000D_
Фахівчині КУ "Агенція розвитку" протягом року допомагали залучати кошти на розвиток місцевого бізнесу (за рік проконсультовано 10 підприємців, залучено 26 000 дол)_x000D_
Недофінансування і перевитрати за захищеними та першочерговими статтями видатків загального фонду місцевого бюджету станом на 01.01.2025 року відсутні._x000D_
Прострочена кредиторська та дебіторська заборгованості станом на 01.01.2025 року за загальним та спеціальним фондами місцевого бюджету відсутні.</t>
  </si>
  <si>
    <t>0100000</t>
  </si>
  <si>
    <t>Широкiвська сiльська рада Запорiзького району Запорiзької областi</t>
  </si>
  <si>
    <t>Сільський голова</t>
  </si>
  <si>
    <t>Начальник відділу бухгалтерського обліку та звітності - головний бухгалтер</t>
  </si>
  <si>
    <t>Денис КОРОТЕНКО</t>
  </si>
  <si>
    <t>Одарка СВІРІНА</t>
  </si>
  <si>
    <t>26013402</t>
  </si>
  <si>
    <t>0852300000</t>
  </si>
  <si>
    <t xml:space="preserve">  гривень</t>
  </si>
  <si>
    <t>місцевого бюджету на 2024  рік</t>
  </si>
  <si>
    <t>0117693</t>
  </si>
  <si>
    <t>Інші заходи, пов`язані з економічною діяльністю</t>
  </si>
  <si>
    <t>Широківська сільська рада Запорізького району Запорізької області</t>
  </si>
  <si>
    <t>0110000</t>
  </si>
  <si>
    <t>7693</t>
  </si>
  <si>
    <t>0490</t>
  </si>
  <si>
    <t>Збільшення навантаження на фактично працюючих у зв"язку з наявністю вакансій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</si>
</sst>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Arial Cyr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3" fillId="0" borderId="0" xfId="0" applyFont="1"/>
    <xf numFmtId="164" fontId="2" fillId="0" borderId="0" xfId="0" applyNumberFormat="1" applyFont="1" applyAlignment="1">
      <alignment vertical="center" wrapText="1"/>
    </xf>
    <xf numFmtId="0" fontId="8" fillId="0" borderId="0" xfId="0" applyFont="1"/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3" fillId="0" borderId="0" xfId="0" applyFont="1"/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16" fillId="0" borderId="0" xfId="0" applyFont="1"/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left" vertical="center" wrapText="1" shrinkToFit="1"/>
    </xf>
    <xf numFmtId="0" fontId="7" fillId="0" borderId="5" xfId="0" applyFont="1" applyBorder="1" applyAlignment="1">
      <alignment horizontal="left" vertical="center" wrapText="1" shrinkToFit="1"/>
    </xf>
    <xf numFmtId="0" fontId="15" fillId="0" borderId="5" xfId="0" applyFont="1" applyBorder="1" applyAlignment="1">
      <alignment horizontal="left" vertical="center" wrapText="1" shrinkToFit="1"/>
    </xf>
    <xf numFmtId="0" fontId="15" fillId="0" borderId="2" xfId="0" applyFont="1" applyBorder="1" applyAlignment="1">
      <alignment horizontal="left" vertical="center" wrapText="1" shrinkToFi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2" fillId="0" borderId="4" xfId="0" applyFont="1" applyBorder="1" applyAlignment="1">
      <alignment horizontal="left" vertical="center" wrapText="1" shrinkToFit="1"/>
    </xf>
    <xf numFmtId="0" fontId="2" fillId="0" borderId="5" xfId="0" applyFont="1" applyBorder="1" applyAlignment="1">
      <alignment horizontal="left" vertical="center" wrapText="1" shrinkToFit="1"/>
    </xf>
    <xf numFmtId="0" fontId="0" fillId="0" borderId="5" xfId="0" applyBorder="1" applyAlignment="1">
      <alignment horizontal="left" vertical="center" wrapText="1" shrinkToFit="1"/>
    </xf>
    <xf numFmtId="0" fontId="0" fillId="0" borderId="2" xfId="0" applyBorder="1" applyAlignment="1">
      <alignment horizontal="left" vertical="center" wrapText="1" shrinkToFit="1"/>
    </xf>
    <xf numFmtId="4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top" wrapText="1"/>
    </xf>
    <xf numFmtId="49" fontId="7" fillId="0" borderId="3" xfId="0" applyNumberFormat="1" applyFont="1" applyBorder="1" applyAlignment="1">
      <alignment horizontal="center" vertical="center" wrapText="1"/>
    </xf>
    <xf numFmtId="4" fontId="15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0" borderId="7" xfId="0" applyFont="1" applyBorder="1" applyAlignment="1">
      <alignment horizontal="center" vertical="top" wrapText="1"/>
    </xf>
    <xf numFmtId="0" fontId="11" fillId="0" borderId="1" xfId="0" quotePrefix="1" applyFont="1" applyBorder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3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4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13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 wrapText="1" shrinkToFit="1"/>
    </xf>
    <xf numFmtId="0" fontId="14" fillId="0" borderId="5" xfId="0" applyFont="1" applyBorder="1" applyAlignment="1">
      <alignment horizontal="left" vertical="center" wrapText="1" shrinkToFit="1"/>
    </xf>
    <xf numFmtId="0" fontId="14" fillId="0" borderId="2" xfId="0" applyFont="1" applyBorder="1" applyAlignment="1">
      <alignment horizontal="left" vertical="center" wrapText="1" shrinkToFi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4" fontId="0" fillId="0" borderId="3" xfId="0" applyNumberFormat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1">
    <cellStyle name="Обычный" xfId="0" builtinId="0"/>
  </cellStyles>
  <dxfs count="4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35"/>
  <sheetViews>
    <sheetView tabSelected="1" topLeftCell="A117" zoomScaleNormal="100" workbookViewId="0">
      <selection activeCell="O123" sqref="O123"/>
    </sheetView>
  </sheetViews>
  <sheetFormatPr defaultRowHeight="12.75" x14ac:dyDescent="0.2"/>
  <cols>
    <col min="1" max="1" width="3.28515625" style="1" customWidth="1"/>
    <col min="2" max="2" width="3.42578125" style="1" customWidth="1"/>
    <col min="3" max="77" width="2.85546875" style="1" customWidth="1"/>
    <col min="78" max="78" width="3" style="1" customWidth="1"/>
    <col min="79" max="79" width="4.42578125" style="1" hidden="1" customWidth="1"/>
    <col min="80" max="80" width="2.28515625" style="1" customWidth="1"/>
    <col min="81" max="16384" width="9.140625" style="1"/>
  </cols>
  <sheetData>
    <row r="1" spans="1:64" ht="9" hidden="1" customHeight="1" x14ac:dyDescent="0.2"/>
    <row r="2" spans="1:64" ht="9" customHeight="1" x14ac:dyDescent="0.2">
      <c r="AO2" s="86" t="s">
        <v>59</v>
      </c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6"/>
      <c r="BI2" s="86"/>
      <c r="BJ2" s="86"/>
      <c r="BK2" s="86"/>
      <c r="BL2" s="86"/>
    </row>
    <row r="3" spans="1:64" ht="9" customHeight="1" x14ac:dyDescent="0.2"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86"/>
      <c r="BI3" s="86"/>
      <c r="BJ3" s="86"/>
      <c r="BK3" s="86"/>
      <c r="BL3" s="86"/>
    </row>
    <row r="4" spans="1:64" ht="15.75" customHeight="1" x14ac:dyDescent="0.2">
      <c r="AO4" s="86"/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6"/>
      <c r="BL4" s="86"/>
    </row>
    <row r="5" spans="1:64" ht="15.7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6"/>
      <c r="BF5" s="86"/>
      <c r="BG5" s="86"/>
      <c r="BH5" s="86"/>
      <c r="BI5" s="86"/>
      <c r="BJ5" s="86"/>
      <c r="BK5" s="86"/>
      <c r="BL5" s="86"/>
    </row>
    <row r="6" spans="1:64" ht="15.7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6"/>
      <c r="BL6" s="86"/>
    </row>
    <row r="7" spans="1:64" ht="9.75" hidden="1" customHeight="1" x14ac:dyDescent="0.2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  <c r="BG7" s="87"/>
      <c r="BH7" s="87"/>
      <c r="BI7" s="87"/>
      <c r="BJ7" s="87"/>
      <c r="BK7" s="87"/>
      <c r="BL7" s="87"/>
    </row>
    <row r="8" spans="1:64" ht="9.75" hidden="1" customHeight="1" x14ac:dyDescent="0.2">
      <c r="A8" s="87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87"/>
      <c r="BL8" s="87"/>
    </row>
    <row r="9" spans="1:64" ht="8.25" hidden="1" customHeight="1" x14ac:dyDescent="0.2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</row>
    <row r="10" spans="1:64" ht="15.75" x14ac:dyDescent="0.2">
      <c r="A10" s="88" t="s">
        <v>18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88"/>
      <c r="BK10" s="88"/>
      <c r="BL10" s="88"/>
    </row>
    <row r="11" spans="1:64" ht="15.75" customHeight="1" x14ac:dyDescent="0.2">
      <c r="A11" s="88" t="s">
        <v>35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88"/>
      <c r="BK11" s="88"/>
      <c r="BL11" s="88"/>
    </row>
    <row r="12" spans="1:64" ht="15.75" customHeight="1" x14ac:dyDescent="0.2">
      <c r="A12" s="88" t="s">
        <v>143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8"/>
      <c r="BF12" s="88"/>
      <c r="BG12" s="88"/>
      <c r="BH12" s="88"/>
      <c r="BI12" s="88"/>
      <c r="BJ12" s="88"/>
      <c r="BK12" s="88"/>
      <c r="BL12" s="88"/>
    </row>
    <row r="13" spans="1:64" ht="6" customHeigh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</row>
    <row r="14" spans="1:64" ht="27.95" customHeight="1" x14ac:dyDescent="0.2">
      <c r="A14" s="14" t="s">
        <v>7</v>
      </c>
      <c r="B14" s="70" t="s">
        <v>134</v>
      </c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15"/>
      <c r="N14" s="75" t="s">
        <v>135</v>
      </c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16"/>
      <c r="AU14" s="70" t="s">
        <v>140</v>
      </c>
      <c r="AV14" s="71"/>
      <c r="AW14" s="71"/>
      <c r="AX14" s="71"/>
      <c r="AY14" s="71"/>
      <c r="AZ14" s="71"/>
      <c r="BA14" s="71"/>
      <c r="BB14" s="71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64" ht="21.75" customHeight="1" x14ac:dyDescent="0.2">
      <c r="A15" s="17"/>
      <c r="B15" s="69" t="s">
        <v>51</v>
      </c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17"/>
      <c r="N15" s="76" t="s">
        <v>52</v>
      </c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17"/>
      <c r="AU15" s="69" t="s">
        <v>53</v>
      </c>
      <c r="AV15" s="69"/>
      <c r="AW15" s="69"/>
      <c r="AX15" s="69"/>
      <c r="AY15" s="69"/>
      <c r="AZ15" s="69"/>
      <c r="BA15" s="69"/>
      <c r="BB15" s="69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64" ht="6" customHeigh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 s="18"/>
      <c r="BF16" s="18"/>
      <c r="BG16" s="18"/>
      <c r="BH16" s="18"/>
      <c r="BI16" s="18"/>
      <c r="BJ16" s="18"/>
      <c r="BK16" s="18"/>
      <c r="BL16" s="18"/>
    </row>
    <row r="17" spans="1:79" ht="27.95" customHeight="1" x14ac:dyDescent="0.2">
      <c r="A17" s="16" t="s">
        <v>33</v>
      </c>
      <c r="B17" s="70" t="s">
        <v>147</v>
      </c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15"/>
      <c r="N17" s="75" t="s">
        <v>146</v>
      </c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16"/>
      <c r="AU17" s="70" t="s">
        <v>140</v>
      </c>
      <c r="AV17" s="71"/>
      <c r="AW17" s="71"/>
      <c r="AX17" s="71"/>
      <c r="AY17" s="71"/>
      <c r="AZ17" s="71"/>
      <c r="BA17" s="71"/>
      <c r="BB17" s="71"/>
      <c r="BC17" s="19"/>
      <c r="BD17" s="19"/>
      <c r="BE17" s="19"/>
      <c r="BF17" s="19"/>
      <c r="BG17" s="19"/>
      <c r="BH17" s="19"/>
      <c r="BI17" s="19"/>
      <c r="BJ17" s="19"/>
      <c r="BK17" s="19"/>
      <c r="BL17" s="20"/>
    </row>
    <row r="18" spans="1:79" ht="23.25" customHeight="1" x14ac:dyDescent="0.2">
      <c r="A18" s="17"/>
      <c r="B18" s="69" t="s">
        <v>51</v>
      </c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17"/>
      <c r="N18" s="76" t="s">
        <v>54</v>
      </c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17"/>
      <c r="AU18" s="69" t="s">
        <v>53</v>
      </c>
      <c r="AV18" s="69"/>
      <c r="AW18" s="69"/>
      <c r="AX18" s="69"/>
      <c r="AY18" s="69"/>
      <c r="AZ18" s="69"/>
      <c r="BA18" s="69"/>
      <c r="BB18" s="69"/>
      <c r="BC18" s="21"/>
      <c r="BD18" s="21"/>
      <c r="BE18" s="21"/>
      <c r="BF18" s="21"/>
      <c r="BG18" s="21"/>
      <c r="BH18" s="21"/>
      <c r="BI18" s="21"/>
      <c r="BJ18" s="21"/>
      <c r="BK18" s="21"/>
      <c r="BL18" s="21"/>
    </row>
    <row r="19" spans="1:79" ht="6.75" customHeigh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:79" ht="27.95" customHeight="1" x14ac:dyDescent="0.2">
      <c r="A20" s="14" t="s">
        <v>34</v>
      </c>
      <c r="B20" s="70" t="s">
        <v>144</v>
      </c>
      <c r="C20" s="71"/>
      <c r="D20" s="71"/>
      <c r="E20" s="71"/>
      <c r="F20" s="71"/>
      <c r="G20" s="71"/>
      <c r="H20" s="71"/>
      <c r="I20" s="71"/>
      <c r="J20" s="71"/>
      <c r="K20" s="71"/>
      <c r="L20" s="71"/>
      <c r="M20"/>
      <c r="N20" s="70" t="s">
        <v>148</v>
      </c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19"/>
      <c r="AA20" s="70" t="s">
        <v>149</v>
      </c>
      <c r="AB20" s="71"/>
      <c r="AC20" s="71"/>
      <c r="AD20" s="71"/>
      <c r="AE20" s="71"/>
      <c r="AF20" s="71"/>
      <c r="AG20" s="71"/>
      <c r="AH20" s="71"/>
      <c r="AI20" s="71"/>
      <c r="AJ20" s="19"/>
      <c r="AK20" s="72" t="s">
        <v>145</v>
      </c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19"/>
      <c r="BE20" s="70" t="s">
        <v>141</v>
      </c>
      <c r="BF20" s="71"/>
      <c r="BG20" s="71"/>
      <c r="BH20" s="71"/>
      <c r="BI20" s="71"/>
      <c r="BJ20" s="71"/>
      <c r="BK20" s="71"/>
      <c r="BL20" s="71"/>
    </row>
    <row r="21" spans="1:79" ht="23.25" customHeight="1" x14ac:dyDescent="0.2">
      <c r="A21"/>
      <c r="B21" s="69" t="s">
        <v>51</v>
      </c>
      <c r="C21" s="69"/>
      <c r="D21" s="69"/>
      <c r="E21" s="69"/>
      <c r="F21" s="69"/>
      <c r="G21" s="69"/>
      <c r="H21" s="69"/>
      <c r="I21" s="69"/>
      <c r="J21" s="69"/>
      <c r="K21" s="69"/>
      <c r="L21" s="69"/>
      <c r="M21"/>
      <c r="N21" s="69" t="s">
        <v>55</v>
      </c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21"/>
      <c r="AA21" s="74" t="s">
        <v>56</v>
      </c>
      <c r="AB21" s="74"/>
      <c r="AC21" s="74"/>
      <c r="AD21" s="74"/>
      <c r="AE21" s="74"/>
      <c r="AF21" s="74"/>
      <c r="AG21" s="74"/>
      <c r="AH21" s="74"/>
      <c r="AI21" s="74"/>
      <c r="AJ21" s="21"/>
      <c r="AK21" s="81" t="s">
        <v>57</v>
      </c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21"/>
      <c r="BE21" s="69" t="s">
        <v>58</v>
      </c>
      <c r="BF21" s="69"/>
      <c r="BG21" s="69"/>
      <c r="BH21" s="69"/>
      <c r="BI21" s="69"/>
      <c r="BJ21" s="69"/>
      <c r="BK21" s="69"/>
      <c r="BL21" s="69"/>
    </row>
    <row r="22" spans="1:79" ht="6.75" customHeight="1" x14ac:dyDescent="0.2"/>
    <row r="23" spans="1:79" ht="15.75" customHeight="1" x14ac:dyDescent="0.2">
      <c r="A23" s="56" t="s">
        <v>77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</row>
    <row r="24" spans="1:79" ht="27.75" customHeight="1" x14ac:dyDescent="0.2">
      <c r="A24" s="77" t="s">
        <v>3</v>
      </c>
      <c r="B24" s="77"/>
      <c r="C24" s="77"/>
      <c r="D24" s="77"/>
      <c r="E24" s="77"/>
      <c r="F24" s="77"/>
      <c r="G24" s="78" t="s">
        <v>38</v>
      </c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80"/>
    </row>
    <row r="25" spans="1:79" ht="10.5" hidden="1" customHeight="1" x14ac:dyDescent="0.2">
      <c r="A25" s="39" t="s">
        <v>36</v>
      </c>
      <c r="B25" s="39"/>
      <c r="C25" s="39"/>
      <c r="D25" s="39"/>
      <c r="E25" s="39"/>
      <c r="F25" s="39"/>
      <c r="G25" s="82" t="s">
        <v>14</v>
      </c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4"/>
      <c r="CA25" s="1" t="s">
        <v>49</v>
      </c>
    </row>
    <row r="26" spans="1:79" ht="15.75" customHeight="1" x14ac:dyDescent="0.2">
      <c r="A26" s="39">
        <v>1</v>
      </c>
      <c r="B26" s="39"/>
      <c r="C26" s="39"/>
      <c r="D26" s="39"/>
      <c r="E26" s="39"/>
      <c r="F26" s="39"/>
      <c r="G26" s="110" t="s">
        <v>78</v>
      </c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2"/>
      <c r="CA26" s="1" t="s">
        <v>47</v>
      </c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95" customHeight="1" x14ac:dyDescent="0.2">
      <c r="A28" s="56" t="s">
        <v>40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</row>
    <row r="29" spans="1:79" ht="15.95" customHeight="1" x14ac:dyDescent="0.2">
      <c r="A29" s="114" t="s">
        <v>131</v>
      </c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115"/>
    </row>
    <row r="30" spans="1:79" ht="12.75" customHeight="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</row>
    <row r="31" spans="1:79" ht="15.75" customHeight="1" x14ac:dyDescent="0.2">
      <c r="A31" s="56" t="s">
        <v>41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</row>
    <row r="32" spans="1:79" ht="27.75" customHeight="1" x14ac:dyDescent="0.2">
      <c r="A32" s="77" t="s">
        <v>3</v>
      </c>
      <c r="B32" s="77"/>
      <c r="C32" s="77"/>
      <c r="D32" s="77"/>
      <c r="E32" s="77"/>
      <c r="F32" s="77"/>
      <c r="G32" s="78" t="s">
        <v>39</v>
      </c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79"/>
      <c r="BF32" s="79"/>
      <c r="BG32" s="79"/>
      <c r="BH32" s="79"/>
      <c r="BI32" s="79"/>
      <c r="BJ32" s="79"/>
      <c r="BK32" s="79"/>
      <c r="BL32" s="80"/>
    </row>
    <row r="33" spans="1:79" ht="10.5" hidden="1" customHeight="1" x14ac:dyDescent="0.2">
      <c r="A33" s="39" t="s">
        <v>13</v>
      </c>
      <c r="B33" s="39"/>
      <c r="C33" s="39"/>
      <c r="D33" s="39"/>
      <c r="E33" s="39"/>
      <c r="F33" s="39"/>
      <c r="G33" s="82" t="s">
        <v>14</v>
      </c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4"/>
      <c r="CA33" s="1" t="s">
        <v>50</v>
      </c>
    </row>
    <row r="34" spans="1:79" ht="15" customHeight="1" x14ac:dyDescent="0.2">
      <c r="A34" s="39">
        <v>1</v>
      </c>
      <c r="B34" s="39"/>
      <c r="C34" s="39"/>
      <c r="D34" s="39"/>
      <c r="E34" s="39"/>
      <c r="F34" s="39"/>
      <c r="G34" s="110" t="s">
        <v>78</v>
      </c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2"/>
      <c r="CA34" s="1" t="s">
        <v>48</v>
      </c>
    </row>
    <row r="36" spans="1:79" ht="15.75" customHeight="1" x14ac:dyDescent="0.2">
      <c r="A36" s="56" t="s">
        <v>72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</row>
    <row r="37" spans="1:79" ht="15.75" customHeight="1" x14ac:dyDescent="0.2">
      <c r="A37" s="56" t="s">
        <v>73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</row>
    <row r="38" spans="1:79" ht="15" customHeight="1" x14ac:dyDescent="0.2">
      <c r="A38" s="99" t="s">
        <v>142</v>
      </c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99"/>
      <c r="BM38" s="99"/>
      <c r="BN38" s="99"/>
      <c r="BO38" s="99"/>
      <c r="BP38" s="99"/>
      <c r="BQ38" s="99"/>
    </row>
    <row r="39" spans="1:79" ht="48" customHeight="1" x14ac:dyDescent="0.2">
      <c r="A39" s="62" t="s">
        <v>3</v>
      </c>
      <c r="B39" s="62"/>
      <c r="C39" s="62" t="s">
        <v>67</v>
      </c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 t="s">
        <v>25</v>
      </c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 t="s">
        <v>44</v>
      </c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 t="s">
        <v>0</v>
      </c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</row>
    <row r="40" spans="1:79" ht="29.1" customHeight="1" x14ac:dyDescent="0.2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 t="s">
        <v>2</v>
      </c>
      <c r="AB40" s="62"/>
      <c r="AC40" s="62"/>
      <c r="AD40" s="62"/>
      <c r="AE40" s="62"/>
      <c r="AF40" s="62" t="s">
        <v>1</v>
      </c>
      <c r="AG40" s="62"/>
      <c r="AH40" s="62"/>
      <c r="AI40" s="62"/>
      <c r="AJ40" s="62"/>
      <c r="AK40" s="62" t="s">
        <v>26</v>
      </c>
      <c r="AL40" s="62"/>
      <c r="AM40" s="62"/>
      <c r="AN40" s="62"/>
      <c r="AO40" s="62"/>
      <c r="AP40" s="62" t="s">
        <v>2</v>
      </c>
      <c r="AQ40" s="62"/>
      <c r="AR40" s="62"/>
      <c r="AS40" s="62"/>
      <c r="AT40" s="62"/>
      <c r="AU40" s="62" t="s">
        <v>1</v>
      </c>
      <c r="AV40" s="62"/>
      <c r="AW40" s="62"/>
      <c r="AX40" s="62"/>
      <c r="AY40" s="62"/>
      <c r="AZ40" s="62" t="s">
        <v>26</v>
      </c>
      <c r="BA40" s="62"/>
      <c r="BB40" s="62"/>
      <c r="BC40" s="62"/>
      <c r="BD40" s="62" t="s">
        <v>2</v>
      </c>
      <c r="BE40" s="62"/>
      <c r="BF40" s="62"/>
      <c r="BG40" s="62"/>
      <c r="BH40" s="62"/>
      <c r="BI40" s="62" t="s">
        <v>1</v>
      </c>
      <c r="BJ40" s="62"/>
      <c r="BK40" s="62"/>
      <c r="BL40" s="62"/>
      <c r="BM40" s="62"/>
      <c r="BN40" s="62" t="s">
        <v>27</v>
      </c>
      <c r="BO40" s="62"/>
      <c r="BP40" s="62"/>
      <c r="BQ40" s="62"/>
    </row>
    <row r="41" spans="1:79" ht="15.95" customHeight="1" x14ac:dyDescent="0.2">
      <c r="A41" s="62">
        <v>1</v>
      </c>
      <c r="B41" s="62"/>
      <c r="C41" s="62">
        <v>2</v>
      </c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7">
        <v>3</v>
      </c>
      <c r="AB41" s="63"/>
      <c r="AC41" s="63"/>
      <c r="AD41" s="63"/>
      <c r="AE41" s="64"/>
      <c r="AF41" s="57">
        <v>4</v>
      </c>
      <c r="AG41" s="63"/>
      <c r="AH41" s="63"/>
      <c r="AI41" s="63"/>
      <c r="AJ41" s="64"/>
      <c r="AK41" s="57">
        <v>5</v>
      </c>
      <c r="AL41" s="63"/>
      <c r="AM41" s="63"/>
      <c r="AN41" s="63"/>
      <c r="AO41" s="64"/>
      <c r="AP41" s="57">
        <v>6</v>
      </c>
      <c r="AQ41" s="63"/>
      <c r="AR41" s="63"/>
      <c r="AS41" s="63"/>
      <c r="AT41" s="64"/>
      <c r="AU41" s="57">
        <v>7</v>
      </c>
      <c r="AV41" s="63"/>
      <c r="AW41" s="63"/>
      <c r="AX41" s="63"/>
      <c r="AY41" s="64"/>
      <c r="AZ41" s="57">
        <v>8</v>
      </c>
      <c r="BA41" s="63"/>
      <c r="BB41" s="63"/>
      <c r="BC41" s="64"/>
      <c r="BD41" s="57">
        <v>9</v>
      </c>
      <c r="BE41" s="63"/>
      <c r="BF41" s="63"/>
      <c r="BG41" s="63"/>
      <c r="BH41" s="64"/>
      <c r="BI41" s="62">
        <v>10</v>
      </c>
      <c r="BJ41" s="62"/>
      <c r="BK41" s="62"/>
      <c r="BL41" s="62"/>
      <c r="BM41" s="62"/>
      <c r="BN41" s="62">
        <v>11</v>
      </c>
      <c r="BO41" s="62"/>
      <c r="BP41" s="62"/>
      <c r="BQ41" s="62"/>
    </row>
    <row r="42" spans="1:79" ht="15.75" hidden="1" customHeight="1" x14ac:dyDescent="0.2">
      <c r="A42" s="39" t="s">
        <v>13</v>
      </c>
      <c r="B42" s="39"/>
      <c r="C42" s="109" t="s">
        <v>14</v>
      </c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55"/>
      <c r="AA42" s="65" t="s">
        <v>10</v>
      </c>
      <c r="AB42" s="65"/>
      <c r="AC42" s="65"/>
      <c r="AD42" s="65"/>
      <c r="AE42" s="65"/>
      <c r="AF42" s="65" t="s">
        <v>9</v>
      </c>
      <c r="AG42" s="65"/>
      <c r="AH42" s="65"/>
      <c r="AI42" s="65"/>
      <c r="AJ42" s="65"/>
      <c r="AK42" s="31" t="s">
        <v>16</v>
      </c>
      <c r="AL42" s="31"/>
      <c r="AM42" s="31"/>
      <c r="AN42" s="31"/>
      <c r="AO42" s="31"/>
      <c r="AP42" s="65" t="s">
        <v>11</v>
      </c>
      <c r="AQ42" s="65"/>
      <c r="AR42" s="65"/>
      <c r="AS42" s="65"/>
      <c r="AT42" s="65"/>
      <c r="AU42" s="65" t="s">
        <v>12</v>
      </c>
      <c r="AV42" s="65"/>
      <c r="AW42" s="65"/>
      <c r="AX42" s="65"/>
      <c r="AY42" s="65"/>
      <c r="AZ42" s="31" t="s">
        <v>16</v>
      </c>
      <c r="BA42" s="31"/>
      <c r="BB42" s="31"/>
      <c r="BC42" s="31"/>
      <c r="BD42" s="39" t="s">
        <v>31</v>
      </c>
      <c r="BE42" s="39"/>
      <c r="BF42" s="39"/>
      <c r="BG42" s="39"/>
      <c r="BH42" s="39"/>
      <c r="BI42" s="39" t="s">
        <v>31</v>
      </c>
      <c r="BJ42" s="39"/>
      <c r="BK42" s="39"/>
      <c r="BL42" s="39"/>
      <c r="BM42" s="39"/>
      <c r="BN42" s="108" t="s">
        <v>16</v>
      </c>
      <c r="BO42" s="108"/>
      <c r="BP42" s="108"/>
      <c r="BQ42" s="108"/>
      <c r="CA42" s="1" t="s">
        <v>19</v>
      </c>
    </row>
    <row r="43" spans="1:79" ht="15" customHeight="1" x14ac:dyDescent="0.2">
      <c r="A43" s="39">
        <v>1</v>
      </c>
      <c r="B43" s="39"/>
      <c r="C43" s="40" t="s">
        <v>79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2"/>
      <c r="AA43" s="47">
        <v>53641</v>
      </c>
      <c r="AB43" s="47"/>
      <c r="AC43" s="47"/>
      <c r="AD43" s="47"/>
      <c r="AE43" s="47"/>
      <c r="AF43" s="47">
        <v>0</v>
      </c>
      <c r="AG43" s="47"/>
      <c r="AH43" s="47"/>
      <c r="AI43" s="47"/>
      <c r="AJ43" s="47"/>
      <c r="AK43" s="47">
        <f t="shared" ref="AK43:AK63" si="0">AA43+AF43</f>
        <v>53641</v>
      </c>
      <c r="AL43" s="47"/>
      <c r="AM43" s="47"/>
      <c r="AN43" s="47"/>
      <c r="AO43" s="47"/>
      <c r="AP43" s="47">
        <v>53641</v>
      </c>
      <c r="AQ43" s="47"/>
      <c r="AR43" s="47"/>
      <c r="AS43" s="47"/>
      <c r="AT43" s="47"/>
      <c r="AU43" s="47">
        <v>0</v>
      </c>
      <c r="AV43" s="47"/>
      <c r="AW43" s="47"/>
      <c r="AX43" s="47"/>
      <c r="AY43" s="47"/>
      <c r="AZ43" s="47">
        <f t="shared" ref="AZ43:AZ63" si="1">AP43+AU43</f>
        <v>53641</v>
      </c>
      <c r="BA43" s="47"/>
      <c r="BB43" s="47"/>
      <c r="BC43" s="47"/>
      <c r="BD43" s="47">
        <f t="shared" ref="BD43:BD63" si="2">AP43-AA43</f>
        <v>0</v>
      </c>
      <c r="BE43" s="47"/>
      <c r="BF43" s="47"/>
      <c r="BG43" s="47"/>
      <c r="BH43" s="47"/>
      <c r="BI43" s="47">
        <f t="shared" ref="BI43:BI63" si="3">AU43-AF43</f>
        <v>0</v>
      </c>
      <c r="BJ43" s="47"/>
      <c r="BK43" s="47"/>
      <c r="BL43" s="47"/>
      <c r="BM43" s="47"/>
      <c r="BN43" s="47">
        <f t="shared" ref="BN43:BN63" si="4">BD43+BI43</f>
        <v>0</v>
      </c>
      <c r="BO43" s="47"/>
      <c r="BP43" s="47"/>
      <c r="BQ43" s="47"/>
      <c r="CA43" s="1" t="s">
        <v>20</v>
      </c>
    </row>
    <row r="44" spans="1:79" ht="15" customHeight="1" x14ac:dyDescent="0.2">
      <c r="A44" s="39">
        <v>2</v>
      </c>
      <c r="B44" s="39"/>
      <c r="C44" s="40" t="s">
        <v>80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2"/>
      <c r="AA44" s="47">
        <v>89910</v>
      </c>
      <c r="AB44" s="47"/>
      <c r="AC44" s="47"/>
      <c r="AD44" s="47"/>
      <c r="AE44" s="47"/>
      <c r="AF44" s="47">
        <v>0</v>
      </c>
      <c r="AG44" s="47"/>
      <c r="AH44" s="47"/>
      <c r="AI44" s="47"/>
      <c r="AJ44" s="47"/>
      <c r="AK44" s="47">
        <f t="shared" si="0"/>
        <v>89910</v>
      </c>
      <c r="AL44" s="47"/>
      <c r="AM44" s="47"/>
      <c r="AN44" s="47"/>
      <c r="AO44" s="47"/>
      <c r="AP44" s="47">
        <v>89660</v>
      </c>
      <c r="AQ44" s="47"/>
      <c r="AR44" s="47"/>
      <c r="AS44" s="47"/>
      <c r="AT44" s="47"/>
      <c r="AU44" s="47">
        <v>0</v>
      </c>
      <c r="AV44" s="47"/>
      <c r="AW44" s="47"/>
      <c r="AX44" s="47"/>
      <c r="AY44" s="47"/>
      <c r="AZ44" s="47">
        <f t="shared" si="1"/>
        <v>89660</v>
      </c>
      <c r="BA44" s="47"/>
      <c r="BB44" s="47"/>
      <c r="BC44" s="47"/>
      <c r="BD44" s="47">
        <f t="shared" si="2"/>
        <v>-250</v>
      </c>
      <c r="BE44" s="47"/>
      <c r="BF44" s="47"/>
      <c r="BG44" s="47"/>
      <c r="BH44" s="47"/>
      <c r="BI44" s="47">
        <f t="shared" si="3"/>
        <v>0</v>
      </c>
      <c r="BJ44" s="47"/>
      <c r="BK44" s="47"/>
      <c r="BL44" s="47"/>
      <c r="BM44" s="47"/>
      <c r="BN44" s="47">
        <f t="shared" si="4"/>
        <v>-250</v>
      </c>
      <c r="BO44" s="47"/>
      <c r="BP44" s="47"/>
      <c r="BQ44" s="47"/>
    </row>
    <row r="45" spans="1:79" ht="15" customHeight="1" x14ac:dyDescent="0.2">
      <c r="A45" s="39">
        <v>3</v>
      </c>
      <c r="B45" s="39"/>
      <c r="C45" s="40" t="s">
        <v>81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2"/>
      <c r="AA45" s="47">
        <v>15690</v>
      </c>
      <c r="AB45" s="47"/>
      <c r="AC45" s="47"/>
      <c r="AD45" s="47"/>
      <c r="AE45" s="47"/>
      <c r="AF45" s="47">
        <v>0</v>
      </c>
      <c r="AG45" s="47"/>
      <c r="AH45" s="47"/>
      <c r="AI45" s="47"/>
      <c r="AJ45" s="47"/>
      <c r="AK45" s="47">
        <f t="shared" si="0"/>
        <v>15690</v>
      </c>
      <c r="AL45" s="47"/>
      <c r="AM45" s="47"/>
      <c r="AN45" s="47"/>
      <c r="AO45" s="47"/>
      <c r="AP45" s="47">
        <v>15690</v>
      </c>
      <c r="AQ45" s="47"/>
      <c r="AR45" s="47"/>
      <c r="AS45" s="47"/>
      <c r="AT45" s="47"/>
      <c r="AU45" s="47">
        <v>0</v>
      </c>
      <c r="AV45" s="47"/>
      <c r="AW45" s="47"/>
      <c r="AX45" s="47"/>
      <c r="AY45" s="47"/>
      <c r="AZ45" s="47">
        <f t="shared" si="1"/>
        <v>15690</v>
      </c>
      <c r="BA45" s="47"/>
      <c r="BB45" s="47"/>
      <c r="BC45" s="47"/>
      <c r="BD45" s="47">
        <f t="shared" si="2"/>
        <v>0</v>
      </c>
      <c r="BE45" s="47"/>
      <c r="BF45" s="47"/>
      <c r="BG45" s="47"/>
      <c r="BH45" s="47"/>
      <c r="BI45" s="47">
        <f t="shared" si="3"/>
        <v>0</v>
      </c>
      <c r="BJ45" s="47"/>
      <c r="BK45" s="47"/>
      <c r="BL45" s="47"/>
      <c r="BM45" s="47"/>
      <c r="BN45" s="47">
        <f t="shared" si="4"/>
        <v>0</v>
      </c>
      <c r="BO45" s="47"/>
      <c r="BP45" s="47"/>
      <c r="BQ45" s="47"/>
    </row>
    <row r="46" spans="1:79" ht="15" customHeight="1" x14ac:dyDescent="0.2">
      <c r="A46" s="39">
        <v>4</v>
      </c>
      <c r="B46" s="39"/>
      <c r="C46" s="40" t="s">
        <v>82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2"/>
      <c r="AA46" s="47">
        <v>90000</v>
      </c>
      <c r="AB46" s="47"/>
      <c r="AC46" s="47"/>
      <c r="AD46" s="47"/>
      <c r="AE46" s="47"/>
      <c r="AF46" s="47">
        <v>0</v>
      </c>
      <c r="AG46" s="47"/>
      <c r="AH46" s="47"/>
      <c r="AI46" s="47"/>
      <c r="AJ46" s="47"/>
      <c r="AK46" s="47">
        <f t="shared" si="0"/>
        <v>90000</v>
      </c>
      <c r="AL46" s="47"/>
      <c r="AM46" s="47"/>
      <c r="AN46" s="47"/>
      <c r="AO46" s="47"/>
      <c r="AP46" s="47">
        <v>90000</v>
      </c>
      <c r="AQ46" s="47"/>
      <c r="AR46" s="47"/>
      <c r="AS46" s="47"/>
      <c r="AT46" s="47"/>
      <c r="AU46" s="47">
        <v>0</v>
      </c>
      <c r="AV46" s="47"/>
      <c r="AW46" s="47"/>
      <c r="AX46" s="47"/>
      <c r="AY46" s="47"/>
      <c r="AZ46" s="47">
        <f t="shared" si="1"/>
        <v>90000</v>
      </c>
      <c r="BA46" s="47"/>
      <c r="BB46" s="47"/>
      <c r="BC46" s="47"/>
      <c r="BD46" s="47">
        <f t="shared" si="2"/>
        <v>0</v>
      </c>
      <c r="BE46" s="47"/>
      <c r="BF46" s="47"/>
      <c r="BG46" s="47"/>
      <c r="BH46" s="47"/>
      <c r="BI46" s="47">
        <f t="shared" si="3"/>
        <v>0</v>
      </c>
      <c r="BJ46" s="47"/>
      <c r="BK46" s="47"/>
      <c r="BL46" s="47"/>
      <c r="BM46" s="47"/>
      <c r="BN46" s="47">
        <f t="shared" si="4"/>
        <v>0</v>
      </c>
      <c r="BO46" s="47"/>
      <c r="BP46" s="47"/>
      <c r="BQ46" s="47"/>
    </row>
    <row r="47" spans="1:79" ht="15" customHeight="1" x14ac:dyDescent="0.2">
      <c r="A47" s="39">
        <v>5</v>
      </c>
      <c r="B47" s="39"/>
      <c r="C47" s="40" t="s">
        <v>83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2"/>
      <c r="AA47" s="47">
        <v>2864011</v>
      </c>
      <c r="AB47" s="47"/>
      <c r="AC47" s="47"/>
      <c r="AD47" s="47"/>
      <c r="AE47" s="47"/>
      <c r="AF47" s="47">
        <v>0</v>
      </c>
      <c r="AG47" s="47"/>
      <c r="AH47" s="47"/>
      <c r="AI47" s="47"/>
      <c r="AJ47" s="47"/>
      <c r="AK47" s="47">
        <f t="shared" si="0"/>
        <v>2864011</v>
      </c>
      <c r="AL47" s="47"/>
      <c r="AM47" s="47"/>
      <c r="AN47" s="47"/>
      <c r="AO47" s="47"/>
      <c r="AP47" s="47">
        <v>2224340.34</v>
      </c>
      <c r="AQ47" s="47"/>
      <c r="AR47" s="47"/>
      <c r="AS47" s="47"/>
      <c r="AT47" s="47"/>
      <c r="AU47" s="47">
        <v>0</v>
      </c>
      <c r="AV47" s="47"/>
      <c r="AW47" s="47"/>
      <c r="AX47" s="47"/>
      <c r="AY47" s="47"/>
      <c r="AZ47" s="47">
        <f t="shared" si="1"/>
        <v>2224340.34</v>
      </c>
      <c r="BA47" s="47"/>
      <c r="BB47" s="47"/>
      <c r="BC47" s="47"/>
      <c r="BD47" s="47">
        <f t="shared" si="2"/>
        <v>-639670.66000000015</v>
      </c>
      <c r="BE47" s="47"/>
      <c r="BF47" s="47"/>
      <c r="BG47" s="47"/>
      <c r="BH47" s="47"/>
      <c r="BI47" s="47">
        <f t="shared" si="3"/>
        <v>0</v>
      </c>
      <c r="BJ47" s="47"/>
      <c r="BK47" s="47"/>
      <c r="BL47" s="47"/>
      <c r="BM47" s="47"/>
      <c r="BN47" s="47">
        <f t="shared" si="4"/>
        <v>-639670.66000000015</v>
      </c>
      <c r="BO47" s="47"/>
      <c r="BP47" s="47"/>
      <c r="BQ47" s="47"/>
    </row>
    <row r="48" spans="1:79" ht="15" customHeight="1" x14ac:dyDescent="0.2">
      <c r="A48" s="39">
        <v>6</v>
      </c>
      <c r="B48" s="39"/>
      <c r="C48" s="40" t="s">
        <v>84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2"/>
      <c r="AA48" s="47">
        <v>630081</v>
      </c>
      <c r="AB48" s="47"/>
      <c r="AC48" s="47"/>
      <c r="AD48" s="47"/>
      <c r="AE48" s="47"/>
      <c r="AF48" s="47">
        <v>0</v>
      </c>
      <c r="AG48" s="47"/>
      <c r="AH48" s="47"/>
      <c r="AI48" s="47"/>
      <c r="AJ48" s="47"/>
      <c r="AK48" s="47">
        <f t="shared" si="0"/>
        <v>630081</v>
      </c>
      <c r="AL48" s="47"/>
      <c r="AM48" s="47"/>
      <c r="AN48" s="47"/>
      <c r="AO48" s="47"/>
      <c r="AP48" s="47">
        <v>499819.92</v>
      </c>
      <c r="AQ48" s="47"/>
      <c r="AR48" s="47"/>
      <c r="AS48" s="47"/>
      <c r="AT48" s="47"/>
      <c r="AU48" s="47">
        <v>0</v>
      </c>
      <c r="AV48" s="47"/>
      <c r="AW48" s="47"/>
      <c r="AX48" s="47"/>
      <c r="AY48" s="47"/>
      <c r="AZ48" s="47">
        <f t="shared" si="1"/>
        <v>499819.92</v>
      </c>
      <c r="BA48" s="47"/>
      <c r="BB48" s="47"/>
      <c r="BC48" s="47"/>
      <c r="BD48" s="47">
        <f t="shared" si="2"/>
        <v>-130261.08000000002</v>
      </c>
      <c r="BE48" s="47"/>
      <c r="BF48" s="47"/>
      <c r="BG48" s="47"/>
      <c r="BH48" s="47"/>
      <c r="BI48" s="47">
        <f t="shared" si="3"/>
        <v>0</v>
      </c>
      <c r="BJ48" s="47"/>
      <c r="BK48" s="47"/>
      <c r="BL48" s="47"/>
      <c r="BM48" s="47"/>
      <c r="BN48" s="47">
        <f t="shared" si="4"/>
        <v>-130261.08000000002</v>
      </c>
      <c r="BO48" s="47"/>
      <c r="BP48" s="47"/>
      <c r="BQ48" s="47"/>
    </row>
    <row r="49" spans="1:69" ht="25.5" customHeight="1" x14ac:dyDescent="0.2">
      <c r="A49" s="39">
        <v>7</v>
      </c>
      <c r="B49" s="39"/>
      <c r="C49" s="40" t="s">
        <v>85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2"/>
      <c r="AA49" s="47">
        <v>12000</v>
      </c>
      <c r="AB49" s="47"/>
      <c r="AC49" s="47"/>
      <c r="AD49" s="47"/>
      <c r="AE49" s="47"/>
      <c r="AF49" s="47">
        <v>0</v>
      </c>
      <c r="AG49" s="47"/>
      <c r="AH49" s="47"/>
      <c r="AI49" s="47"/>
      <c r="AJ49" s="47"/>
      <c r="AK49" s="47">
        <f t="shared" si="0"/>
        <v>12000</v>
      </c>
      <c r="AL49" s="47"/>
      <c r="AM49" s="47"/>
      <c r="AN49" s="47"/>
      <c r="AO49" s="47"/>
      <c r="AP49" s="47">
        <v>12000</v>
      </c>
      <c r="AQ49" s="47"/>
      <c r="AR49" s="47"/>
      <c r="AS49" s="47"/>
      <c r="AT49" s="47"/>
      <c r="AU49" s="47">
        <v>0</v>
      </c>
      <c r="AV49" s="47"/>
      <c r="AW49" s="47"/>
      <c r="AX49" s="47"/>
      <c r="AY49" s="47"/>
      <c r="AZ49" s="47">
        <f t="shared" si="1"/>
        <v>12000</v>
      </c>
      <c r="BA49" s="47"/>
      <c r="BB49" s="47"/>
      <c r="BC49" s="47"/>
      <c r="BD49" s="47">
        <f t="shared" si="2"/>
        <v>0</v>
      </c>
      <c r="BE49" s="47"/>
      <c r="BF49" s="47"/>
      <c r="BG49" s="47"/>
      <c r="BH49" s="47"/>
      <c r="BI49" s="47">
        <f t="shared" si="3"/>
        <v>0</v>
      </c>
      <c r="BJ49" s="47"/>
      <c r="BK49" s="47"/>
      <c r="BL49" s="47"/>
      <c r="BM49" s="47"/>
      <c r="BN49" s="47">
        <f t="shared" si="4"/>
        <v>0</v>
      </c>
      <c r="BO49" s="47"/>
      <c r="BP49" s="47"/>
      <c r="BQ49" s="47"/>
    </row>
    <row r="50" spans="1:69" ht="15" customHeight="1" x14ac:dyDescent="0.2">
      <c r="A50" s="39">
        <v>8</v>
      </c>
      <c r="B50" s="39"/>
      <c r="C50" s="40" t="s">
        <v>86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2"/>
      <c r="AA50" s="47">
        <v>12000</v>
      </c>
      <c r="AB50" s="47"/>
      <c r="AC50" s="47"/>
      <c r="AD50" s="47"/>
      <c r="AE50" s="47"/>
      <c r="AF50" s="47">
        <v>0</v>
      </c>
      <c r="AG50" s="47"/>
      <c r="AH50" s="47"/>
      <c r="AI50" s="47"/>
      <c r="AJ50" s="47"/>
      <c r="AK50" s="47">
        <f t="shared" si="0"/>
        <v>12000</v>
      </c>
      <c r="AL50" s="47"/>
      <c r="AM50" s="47"/>
      <c r="AN50" s="47"/>
      <c r="AO50" s="47"/>
      <c r="AP50" s="47">
        <v>12000</v>
      </c>
      <c r="AQ50" s="47"/>
      <c r="AR50" s="47"/>
      <c r="AS50" s="47"/>
      <c r="AT50" s="47"/>
      <c r="AU50" s="47">
        <v>0</v>
      </c>
      <c r="AV50" s="47"/>
      <c r="AW50" s="47"/>
      <c r="AX50" s="47"/>
      <c r="AY50" s="47"/>
      <c r="AZ50" s="47">
        <f t="shared" si="1"/>
        <v>12000</v>
      </c>
      <c r="BA50" s="47"/>
      <c r="BB50" s="47"/>
      <c r="BC50" s="47"/>
      <c r="BD50" s="47">
        <f t="shared" si="2"/>
        <v>0</v>
      </c>
      <c r="BE50" s="47"/>
      <c r="BF50" s="47"/>
      <c r="BG50" s="47"/>
      <c r="BH50" s="47"/>
      <c r="BI50" s="47">
        <f t="shared" si="3"/>
        <v>0</v>
      </c>
      <c r="BJ50" s="47"/>
      <c r="BK50" s="47"/>
      <c r="BL50" s="47"/>
      <c r="BM50" s="47"/>
      <c r="BN50" s="47">
        <f t="shared" si="4"/>
        <v>0</v>
      </c>
      <c r="BO50" s="47"/>
      <c r="BP50" s="47"/>
      <c r="BQ50" s="47"/>
    </row>
    <row r="51" spans="1:69" ht="15" customHeight="1" x14ac:dyDescent="0.2">
      <c r="A51" s="39">
        <v>9</v>
      </c>
      <c r="B51" s="39"/>
      <c r="C51" s="40" t="s">
        <v>87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2"/>
      <c r="AA51" s="47">
        <v>60200</v>
      </c>
      <c r="AB51" s="47"/>
      <c r="AC51" s="47"/>
      <c r="AD51" s="47"/>
      <c r="AE51" s="47"/>
      <c r="AF51" s="47">
        <v>0</v>
      </c>
      <c r="AG51" s="47"/>
      <c r="AH51" s="47"/>
      <c r="AI51" s="47"/>
      <c r="AJ51" s="47"/>
      <c r="AK51" s="47">
        <f t="shared" si="0"/>
        <v>60200</v>
      </c>
      <c r="AL51" s="47"/>
      <c r="AM51" s="47"/>
      <c r="AN51" s="47"/>
      <c r="AO51" s="47"/>
      <c r="AP51" s="47">
        <v>60200</v>
      </c>
      <c r="AQ51" s="47"/>
      <c r="AR51" s="47"/>
      <c r="AS51" s="47"/>
      <c r="AT51" s="47"/>
      <c r="AU51" s="47">
        <v>0</v>
      </c>
      <c r="AV51" s="47"/>
      <c r="AW51" s="47"/>
      <c r="AX51" s="47"/>
      <c r="AY51" s="47"/>
      <c r="AZ51" s="47">
        <f t="shared" si="1"/>
        <v>60200</v>
      </c>
      <c r="BA51" s="47"/>
      <c r="BB51" s="47"/>
      <c r="BC51" s="47"/>
      <c r="BD51" s="47">
        <f t="shared" si="2"/>
        <v>0</v>
      </c>
      <c r="BE51" s="47"/>
      <c r="BF51" s="47"/>
      <c r="BG51" s="47"/>
      <c r="BH51" s="47"/>
      <c r="BI51" s="47">
        <f t="shared" si="3"/>
        <v>0</v>
      </c>
      <c r="BJ51" s="47"/>
      <c r="BK51" s="47"/>
      <c r="BL51" s="47"/>
      <c r="BM51" s="47"/>
      <c r="BN51" s="47">
        <f t="shared" si="4"/>
        <v>0</v>
      </c>
      <c r="BO51" s="47"/>
      <c r="BP51" s="47"/>
      <c r="BQ51" s="47"/>
    </row>
    <row r="52" spans="1:69" ht="25.5" customHeight="1" x14ac:dyDescent="0.2">
      <c r="A52" s="39">
        <v>10</v>
      </c>
      <c r="B52" s="39"/>
      <c r="C52" s="40" t="s">
        <v>88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2"/>
      <c r="AA52" s="47">
        <v>50000</v>
      </c>
      <c r="AB52" s="47"/>
      <c r="AC52" s="47"/>
      <c r="AD52" s="47"/>
      <c r="AE52" s="47"/>
      <c r="AF52" s="47">
        <v>0</v>
      </c>
      <c r="AG52" s="47"/>
      <c r="AH52" s="47"/>
      <c r="AI52" s="47"/>
      <c r="AJ52" s="47"/>
      <c r="AK52" s="47">
        <f t="shared" si="0"/>
        <v>50000</v>
      </c>
      <c r="AL52" s="47"/>
      <c r="AM52" s="47"/>
      <c r="AN52" s="47"/>
      <c r="AO52" s="47"/>
      <c r="AP52" s="47">
        <v>48445.68</v>
      </c>
      <c r="AQ52" s="47"/>
      <c r="AR52" s="47"/>
      <c r="AS52" s="47"/>
      <c r="AT52" s="47"/>
      <c r="AU52" s="47">
        <v>0</v>
      </c>
      <c r="AV52" s="47"/>
      <c r="AW52" s="47"/>
      <c r="AX52" s="47"/>
      <c r="AY52" s="47"/>
      <c r="AZ52" s="47">
        <f t="shared" si="1"/>
        <v>48445.68</v>
      </c>
      <c r="BA52" s="47"/>
      <c r="BB52" s="47"/>
      <c r="BC52" s="47"/>
      <c r="BD52" s="47">
        <f t="shared" si="2"/>
        <v>-1554.3199999999997</v>
      </c>
      <c r="BE52" s="47"/>
      <c r="BF52" s="47"/>
      <c r="BG52" s="47"/>
      <c r="BH52" s="47"/>
      <c r="BI52" s="47">
        <f t="shared" si="3"/>
        <v>0</v>
      </c>
      <c r="BJ52" s="47"/>
      <c r="BK52" s="47"/>
      <c r="BL52" s="47"/>
      <c r="BM52" s="47"/>
      <c r="BN52" s="47">
        <f t="shared" si="4"/>
        <v>-1554.3199999999997</v>
      </c>
      <c r="BO52" s="47"/>
      <c r="BP52" s="47"/>
      <c r="BQ52" s="47"/>
    </row>
    <row r="53" spans="1:69" ht="25.5" customHeight="1" x14ac:dyDescent="0.2">
      <c r="A53" s="39">
        <v>11</v>
      </c>
      <c r="B53" s="39"/>
      <c r="C53" s="40" t="s">
        <v>89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2"/>
      <c r="AA53" s="47">
        <v>450</v>
      </c>
      <c r="AB53" s="47"/>
      <c r="AC53" s="47"/>
      <c r="AD53" s="47"/>
      <c r="AE53" s="47"/>
      <c r="AF53" s="47">
        <v>0</v>
      </c>
      <c r="AG53" s="47"/>
      <c r="AH53" s="47"/>
      <c r="AI53" s="47"/>
      <c r="AJ53" s="47"/>
      <c r="AK53" s="47">
        <f t="shared" si="0"/>
        <v>450</v>
      </c>
      <c r="AL53" s="47"/>
      <c r="AM53" s="47"/>
      <c r="AN53" s="47"/>
      <c r="AO53" s="47"/>
      <c r="AP53" s="47">
        <v>0</v>
      </c>
      <c r="AQ53" s="47"/>
      <c r="AR53" s="47"/>
      <c r="AS53" s="47"/>
      <c r="AT53" s="47"/>
      <c r="AU53" s="47">
        <v>0</v>
      </c>
      <c r="AV53" s="47"/>
      <c r="AW53" s="47"/>
      <c r="AX53" s="47"/>
      <c r="AY53" s="47"/>
      <c r="AZ53" s="47">
        <f t="shared" si="1"/>
        <v>0</v>
      </c>
      <c r="BA53" s="47"/>
      <c r="BB53" s="47"/>
      <c r="BC53" s="47"/>
      <c r="BD53" s="47">
        <f t="shared" si="2"/>
        <v>-450</v>
      </c>
      <c r="BE53" s="47"/>
      <c r="BF53" s="47"/>
      <c r="BG53" s="47"/>
      <c r="BH53" s="47"/>
      <c r="BI53" s="47">
        <f t="shared" si="3"/>
        <v>0</v>
      </c>
      <c r="BJ53" s="47"/>
      <c r="BK53" s="47"/>
      <c r="BL53" s="47"/>
      <c r="BM53" s="47"/>
      <c r="BN53" s="47">
        <f t="shared" si="4"/>
        <v>-450</v>
      </c>
      <c r="BO53" s="47"/>
      <c r="BP53" s="47"/>
      <c r="BQ53" s="47"/>
    </row>
    <row r="54" spans="1:69" ht="38.25" customHeight="1" x14ac:dyDescent="0.2">
      <c r="A54" s="39">
        <v>12</v>
      </c>
      <c r="B54" s="39"/>
      <c r="C54" s="40" t="s">
        <v>90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2"/>
      <c r="AA54" s="47">
        <v>500</v>
      </c>
      <c r="AB54" s="47"/>
      <c r="AC54" s="47"/>
      <c r="AD54" s="47"/>
      <c r="AE54" s="47"/>
      <c r="AF54" s="47">
        <v>0</v>
      </c>
      <c r="AG54" s="47"/>
      <c r="AH54" s="47"/>
      <c r="AI54" s="47"/>
      <c r="AJ54" s="47"/>
      <c r="AK54" s="47">
        <f t="shared" si="0"/>
        <v>500</v>
      </c>
      <c r="AL54" s="47"/>
      <c r="AM54" s="47"/>
      <c r="AN54" s="47"/>
      <c r="AO54" s="47"/>
      <c r="AP54" s="47">
        <v>0</v>
      </c>
      <c r="AQ54" s="47"/>
      <c r="AR54" s="47"/>
      <c r="AS54" s="47"/>
      <c r="AT54" s="47"/>
      <c r="AU54" s="47">
        <v>0</v>
      </c>
      <c r="AV54" s="47"/>
      <c r="AW54" s="47"/>
      <c r="AX54" s="47"/>
      <c r="AY54" s="47"/>
      <c r="AZ54" s="47">
        <f t="shared" si="1"/>
        <v>0</v>
      </c>
      <c r="BA54" s="47"/>
      <c r="BB54" s="47"/>
      <c r="BC54" s="47"/>
      <c r="BD54" s="47">
        <f t="shared" si="2"/>
        <v>-500</v>
      </c>
      <c r="BE54" s="47"/>
      <c r="BF54" s="47"/>
      <c r="BG54" s="47"/>
      <c r="BH54" s="47"/>
      <c r="BI54" s="47">
        <f t="shared" si="3"/>
        <v>0</v>
      </c>
      <c r="BJ54" s="47"/>
      <c r="BK54" s="47"/>
      <c r="BL54" s="47"/>
      <c r="BM54" s="47"/>
      <c r="BN54" s="47">
        <f t="shared" si="4"/>
        <v>-500</v>
      </c>
      <c r="BO54" s="47"/>
      <c r="BP54" s="47"/>
      <c r="BQ54" s="47"/>
    </row>
    <row r="55" spans="1:69" ht="15" customHeight="1" x14ac:dyDescent="0.2">
      <c r="A55" s="39">
        <v>13</v>
      </c>
      <c r="B55" s="39"/>
      <c r="C55" s="40" t="s">
        <v>91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2"/>
      <c r="AA55" s="47">
        <v>2000</v>
      </c>
      <c r="AB55" s="47"/>
      <c r="AC55" s="47"/>
      <c r="AD55" s="47"/>
      <c r="AE55" s="47"/>
      <c r="AF55" s="47">
        <v>0</v>
      </c>
      <c r="AG55" s="47"/>
      <c r="AH55" s="47"/>
      <c r="AI55" s="47"/>
      <c r="AJ55" s="47"/>
      <c r="AK55" s="47">
        <f t="shared" si="0"/>
        <v>2000</v>
      </c>
      <c r="AL55" s="47"/>
      <c r="AM55" s="47"/>
      <c r="AN55" s="47"/>
      <c r="AO55" s="47"/>
      <c r="AP55" s="47">
        <v>0</v>
      </c>
      <c r="AQ55" s="47"/>
      <c r="AR55" s="47"/>
      <c r="AS55" s="47"/>
      <c r="AT55" s="47"/>
      <c r="AU55" s="47">
        <v>0</v>
      </c>
      <c r="AV55" s="47"/>
      <c r="AW55" s="47"/>
      <c r="AX55" s="47"/>
      <c r="AY55" s="47"/>
      <c r="AZ55" s="47">
        <f t="shared" si="1"/>
        <v>0</v>
      </c>
      <c r="BA55" s="47"/>
      <c r="BB55" s="47"/>
      <c r="BC55" s="47"/>
      <c r="BD55" s="47">
        <f t="shared" si="2"/>
        <v>-2000</v>
      </c>
      <c r="BE55" s="47"/>
      <c r="BF55" s="47"/>
      <c r="BG55" s="47"/>
      <c r="BH55" s="47"/>
      <c r="BI55" s="47">
        <f t="shared" si="3"/>
        <v>0</v>
      </c>
      <c r="BJ55" s="47"/>
      <c r="BK55" s="47"/>
      <c r="BL55" s="47"/>
      <c r="BM55" s="47"/>
      <c r="BN55" s="47">
        <f t="shared" si="4"/>
        <v>-2000</v>
      </c>
      <c r="BO55" s="47"/>
      <c r="BP55" s="47"/>
      <c r="BQ55" s="47"/>
    </row>
    <row r="56" spans="1:69" ht="15" customHeight="1" x14ac:dyDescent="0.2">
      <c r="A56" s="39">
        <v>14</v>
      </c>
      <c r="B56" s="39"/>
      <c r="C56" s="40" t="s">
        <v>92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2"/>
      <c r="AA56" s="47">
        <v>99875</v>
      </c>
      <c r="AB56" s="47"/>
      <c r="AC56" s="47"/>
      <c r="AD56" s="47"/>
      <c r="AE56" s="47"/>
      <c r="AF56" s="47">
        <v>0</v>
      </c>
      <c r="AG56" s="47"/>
      <c r="AH56" s="47"/>
      <c r="AI56" s="47"/>
      <c r="AJ56" s="47"/>
      <c r="AK56" s="47">
        <f t="shared" si="0"/>
        <v>99875</v>
      </c>
      <c r="AL56" s="47"/>
      <c r="AM56" s="47"/>
      <c r="AN56" s="47"/>
      <c r="AO56" s="47"/>
      <c r="AP56" s="47">
        <v>99875</v>
      </c>
      <c r="AQ56" s="47"/>
      <c r="AR56" s="47"/>
      <c r="AS56" s="47"/>
      <c r="AT56" s="47"/>
      <c r="AU56" s="47">
        <v>0</v>
      </c>
      <c r="AV56" s="47"/>
      <c r="AW56" s="47"/>
      <c r="AX56" s="47"/>
      <c r="AY56" s="47"/>
      <c r="AZ56" s="47">
        <f t="shared" si="1"/>
        <v>99875</v>
      </c>
      <c r="BA56" s="47"/>
      <c r="BB56" s="47"/>
      <c r="BC56" s="47"/>
      <c r="BD56" s="47">
        <f t="shared" si="2"/>
        <v>0</v>
      </c>
      <c r="BE56" s="47"/>
      <c r="BF56" s="47"/>
      <c r="BG56" s="47"/>
      <c r="BH56" s="47"/>
      <c r="BI56" s="47">
        <f t="shared" si="3"/>
        <v>0</v>
      </c>
      <c r="BJ56" s="47"/>
      <c r="BK56" s="47"/>
      <c r="BL56" s="47"/>
      <c r="BM56" s="47"/>
      <c r="BN56" s="47">
        <f t="shared" si="4"/>
        <v>0</v>
      </c>
      <c r="BO56" s="47"/>
      <c r="BP56" s="47"/>
      <c r="BQ56" s="47"/>
    </row>
    <row r="57" spans="1:69" ht="15" customHeight="1" x14ac:dyDescent="0.2">
      <c r="A57" s="39">
        <v>15</v>
      </c>
      <c r="B57" s="39"/>
      <c r="C57" s="40" t="s">
        <v>93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2"/>
      <c r="AA57" s="47">
        <v>3632</v>
      </c>
      <c r="AB57" s="47"/>
      <c r="AC57" s="47"/>
      <c r="AD57" s="47"/>
      <c r="AE57" s="47"/>
      <c r="AF57" s="47">
        <v>0</v>
      </c>
      <c r="AG57" s="47"/>
      <c r="AH57" s="47"/>
      <c r="AI57" s="47"/>
      <c r="AJ57" s="47"/>
      <c r="AK57" s="47">
        <f t="shared" si="0"/>
        <v>3632</v>
      </c>
      <c r="AL57" s="47"/>
      <c r="AM57" s="47"/>
      <c r="AN57" s="47"/>
      <c r="AO57" s="47"/>
      <c r="AP57" s="47">
        <v>0</v>
      </c>
      <c r="AQ57" s="47"/>
      <c r="AR57" s="47"/>
      <c r="AS57" s="47"/>
      <c r="AT57" s="47"/>
      <c r="AU57" s="47">
        <v>0</v>
      </c>
      <c r="AV57" s="47"/>
      <c r="AW57" s="47"/>
      <c r="AX57" s="47"/>
      <c r="AY57" s="47"/>
      <c r="AZ57" s="47">
        <f t="shared" si="1"/>
        <v>0</v>
      </c>
      <c r="BA57" s="47"/>
      <c r="BB57" s="47"/>
      <c r="BC57" s="47"/>
      <c r="BD57" s="47">
        <f t="shared" si="2"/>
        <v>-3632</v>
      </c>
      <c r="BE57" s="47"/>
      <c r="BF57" s="47"/>
      <c r="BG57" s="47"/>
      <c r="BH57" s="47"/>
      <c r="BI57" s="47">
        <f t="shared" si="3"/>
        <v>0</v>
      </c>
      <c r="BJ57" s="47"/>
      <c r="BK57" s="47"/>
      <c r="BL57" s="47"/>
      <c r="BM57" s="47"/>
      <c r="BN57" s="47">
        <f t="shared" si="4"/>
        <v>-3632</v>
      </c>
      <c r="BO57" s="47"/>
      <c r="BP57" s="47"/>
      <c r="BQ57" s="47"/>
    </row>
    <row r="58" spans="1:69" ht="25.5" customHeight="1" x14ac:dyDescent="0.2">
      <c r="A58" s="39">
        <v>16</v>
      </c>
      <c r="B58" s="39"/>
      <c r="C58" s="40" t="s">
        <v>94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2"/>
      <c r="AA58" s="47">
        <v>52000</v>
      </c>
      <c r="AB58" s="47"/>
      <c r="AC58" s="47"/>
      <c r="AD58" s="47"/>
      <c r="AE58" s="47"/>
      <c r="AF58" s="47">
        <v>0</v>
      </c>
      <c r="AG58" s="47"/>
      <c r="AH58" s="47"/>
      <c r="AI58" s="47"/>
      <c r="AJ58" s="47"/>
      <c r="AK58" s="47">
        <f t="shared" si="0"/>
        <v>52000</v>
      </c>
      <c r="AL58" s="47"/>
      <c r="AM58" s="47"/>
      <c r="AN58" s="47"/>
      <c r="AO58" s="47"/>
      <c r="AP58" s="47">
        <v>16000.92</v>
      </c>
      <c r="AQ58" s="47"/>
      <c r="AR58" s="47"/>
      <c r="AS58" s="47"/>
      <c r="AT58" s="47"/>
      <c r="AU58" s="47">
        <v>0</v>
      </c>
      <c r="AV58" s="47"/>
      <c r="AW58" s="47"/>
      <c r="AX58" s="47"/>
      <c r="AY58" s="47"/>
      <c r="AZ58" s="47">
        <f t="shared" si="1"/>
        <v>16000.92</v>
      </c>
      <c r="BA58" s="47"/>
      <c r="BB58" s="47"/>
      <c r="BC58" s="47"/>
      <c r="BD58" s="47">
        <f t="shared" si="2"/>
        <v>-35999.08</v>
      </c>
      <c r="BE58" s="47"/>
      <c r="BF58" s="47"/>
      <c r="BG58" s="47"/>
      <c r="BH58" s="47"/>
      <c r="BI58" s="47">
        <f t="shared" si="3"/>
        <v>0</v>
      </c>
      <c r="BJ58" s="47"/>
      <c r="BK58" s="47"/>
      <c r="BL58" s="47"/>
      <c r="BM58" s="47"/>
      <c r="BN58" s="47">
        <f t="shared" si="4"/>
        <v>-35999.08</v>
      </c>
      <c r="BO58" s="47"/>
      <c r="BP58" s="47"/>
      <c r="BQ58" s="47"/>
    </row>
    <row r="59" spans="1:69" ht="15" customHeight="1" x14ac:dyDescent="0.2">
      <c r="A59" s="39">
        <v>17</v>
      </c>
      <c r="B59" s="39"/>
      <c r="C59" s="40" t="s">
        <v>95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2"/>
      <c r="AA59" s="47">
        <v>42000</v>
      </c>
      <c r="AB59" s="47"/>
      <c r="AC59" s="47"/>
      <c r="AD59" s="47"/>
      <c r="AE59" s="47"/>
      <c r="AF59" s="47">
        <v>0</v>
      </c>
      <c r="AG59" s="47"/>
      <c r="AH59" s="47"/>
      <c r="AI59" s="47"/>
      <c r="AJ59" s="47"/>
      <c r="AK59" s="47">
        <f t="shared" si="0"/>
        <v>42000</v>
      </c>
      <c r="AL59" s="47"/>
      <c r="AM59" s="47"/>
      <c r="AN59" s="47"/>
      <c r="AO59" s="47"/>
      <c r="AP59" s="47">
        <v>35816.980000000003</v>
      </c>
      <c r="AQ59" s="47"/>
      <c r="AR59" s="47"/>
      <c r="AS59" s="47"/>
      <c r="AT59" s="47"/>
      <c r="AU59" s="47">
        <v>0</v>
      </c>
      <c r="AV59" s="47"/>
      <c r="AW59" s="47"/>
      <c r="AX59" s="47"/>
      <c r="AY59" s="47"/>
      <c r="AZ59" s="47">
        <f t="shared" si="1"/>
        <v>35816.980000000003</v>
      </c>
      <c r="BA59" s="47"/>
      <c r="BB59" s="47"/>
      <c r="BC59" s="47"/>
      <c r="BD59" s="47">
        <f t="shared" si="2"/>
        <v>-6183.0199999999968</v>
      </c>
      <c r="BE59" s="47"/>
      <c r="BF59" s="47"/>
      <c r="BG59" s="47"/>
      <c r="BH59" s="47"/>
      <c r="BI59" s="47">
        <f t="shared" si="3"/>
        <v>0</v>
      </c>
      <c r="BJ59" s="47"/>
      <c r="BK59" s="47"/>
      <c r="BL59" s="47"/>
      <c r="BM59" s="47"/>
      <c r="BN59" s="47">
        <f t="shared" si="4"/>
        <v>-6183.0199999999968</v>
      </c>
      <c r="BO59" s="47"/>
      <c r="BP59" s="47"/>
      <c r="BQ59" s="47"/>
    </row>
    <row r="60" spans="1:69" ht="25.5" customHeight="1" x14ac:dyDescent="0.2">
      <c r="A60" s="39">
        <v>18</v>
      </c>
      <c r="B60" s="39"/>
      <c r="C60" s="40" t="s">
        <v>96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2"/>
      <c r="AA60" s="47">
        <v>90000</v>
      </c>
      <c r="AB60" s="47"/>
      <c r="AC60" s="47"/>
      <c r="AD60" s="47"/>
      <c r="AE60" s="47"/>
      <c r="AF60" s="47">
        <v>0</v>
      </c>
      <c r="AG60" s="47"/>
      <c r="AH60" s="47"/>
      <c r="AI60" s="47"/>
      <c r="AJ60" s="47"/>
      <c r="AK60" s="47">
        <f t="shared" si="0"/>
        <v>90000</v>
      </c>
      <c r="AL60" s="47"/>
      <c r="AM60" s="47"/>
      <c r="AN60" s="47"/>
      <c r="AO60" s="47"/>
      <c r="AP60" s="47">
        <v>0</v>
      </c>
      <c r="AQ60" s="47"/>
      <c r="AR60" s="47"/>
      <c r="AS60" s="47"/>
      <c r="AT60" s="47"/>
      <c r="AU60" s="47">
        <v>0</v>
      </c>
      <c r="AV60" s="47"/>
      <c r="AW60" s="47"/>
      <c r="AX60" s="47"/>
      <c r="AY60" s="47"/>
      <c r="AZ60" s="47">
        <f t="shared" si="1"/>
        <v>0</v>
      </c>
      <c r="BA60" s="47"/>
      <c r="BB60" s="47"/>
      <c r="BC60" s="47"/>
      <c r="BD60" s="47">
        <f t="shared" si="2"/>
        <v>-90000</v>
      </c>
      <c r="BE60" s="47"/>
      <c r="BF60" s="47"/>
      <c r="BG60" s="47"/>
      <c r="BH60" s="47"/>
      <c r="BI60" s="47">
        <f t="shared" si="3"/>
        <v>0</v>
      </c>
      <c r="BJ60" s="47"/>
      <c r="BK60" s="47"/>
      <c r="BL60" s="47"/>
      <c r="BM60" s="47"/>
      <c r="BN60" s="47">
        <f t="shared" si="4"/>
        <v>-90000</v>
      </c>
      <c r="BO60" s="47"/>
      <c r="BP60" s="47"/>
      <c r="BQ60" s="47"/>
    </row>
    <row r="61" spans="1:69" ht="15" customHeight="1" x14ac:dyDescent="0.2">
      <c r="A61" s="39">
        <v>19</v>
      </c>
      <c r="B61" s="39"/>
      <c r="C61" s="40" t="s">
        <v>97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2"/>
      <c r="AA61" s="47">
        <v>0</v>
      </c>
      <c r="AB61" s="47"/>
      <c r="AC61" s="47"/>
      <c r="AD61" s="47"/>
      <c r="AE61" s="47"/>
      <c r="AF61" s="47">
        <v>40874</v>
      </c>
      <c r="AG61" s="47"/>
      <c r="AH61" s="47"/>
      <c r="AI61" s="47"/>
      <c r="AJ61" s="47"/>
      <c r="AK61" s="47">
        <f t="shared" si="0"/>
        <v>40874</v>
      </c>
      <c r="AL61" s="47"/>
      <c r="AM61" s="47"/>
      <c r="AN61" s="47"/>
      <c r="AO61" s="47"/>
      <c r="AP61" s="47">
        <v>0</v>
      </c>
      <c r="AQ61" s="47"/>
      <c r="AR61" s="47"/>
      <c r="AS61" s="47"/>
      <c r="AT61" s="47"/>
      <c r="AU61" s="47">
        <v>40873.800000000003</v>
      </c>
      <c r="AV61" s="47"/>
      <c r="AW61" s="47"/>
      <c r="AX61" s="47"/>
      <c r="AY61" s="47"/>
      <c r="AZ61" s="47">
        <f t="shared" si="1"/>
        <v>40873.800000000003</v>
      </c>
      <c r="BA61" s="47"/>
      <c r="BB61" s="47"/>
      <c r="BC61" s="47"/>
      <c r="BD61" s="47">
        <f t="shared" si="2"/>
        <v>0</v>
      </c>
      <c r="BE61" s="47"/>
      <c r="BF61" s="47"/>
      <c r="BG61" s="47"/>
      <c r="BH61" s="47"/>
      <c r="BI61" s="47">
        <f t="shared" si="3"/>
        <v>-0.19999999999708962</v>
      </c>
      <c r="BJ61" s="47"/>
      <c r="BK61" s="47"/>
      <c r="BL61" s="47"/>
      <c r="BM61" s="47"/>
      <c r="BN61" s="47">
        <f t="shared" si="4"/>
        <v>-0.19999999999708962</v>
      </c>
      <c r="BO61" s="47"/>
      <c r="BP61" s="47"/>
      <c r="BQ61" s="47"/>
    </row>
    <row r="62" spans="1:69" ht="15" customHeight="1" x14ac:dyDescent="0.2">
      <c r="A62" s="39">
        <v>20</v>
      </c>
      <c r="B62" s="39"/>
      <c r="C62" s="40" t="s">
        <v>98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2"/>
      <c r="AA62" s="47">
        <v>146000</v>
      </c>
      <c r="AB62" s="47"/>
      <c r="AC62" s="47"/>
      <c r="AD62" s="47"/>
      <c r="AE62" s="47"/>
      <c r="AF62" s="47">
        <v>0</v>
      </c>
      <c r="AG62" s="47"/>
      <c r="AH62" s="47"/>
      <c r="AI62" s="47"/>
      <c r="AJ62" s="47"/>
      <c r="AK62" s="47">
        <f t="shared" si="0"/>
        <v>146000</v>
      </c>
      <c r="AL62" s="47"/>
      <c r="AM62" s="47"/>
      <c r="AN62" s="47"/>
      <c r="AO62" s="47"/>
      <c r="AP62" s="47">
        <v>146000</v>
      </c>
      <c r="AQ62" s="47"/>
      <c r="AR62" s="47"/>
      <c r="AS62" s="47"/>
      <c r="AT62" s="47"/>
      <c r="AU62" s="47">
        <v>0</v>
      </c>
      <c r="AV62" s="47"/>
      <c r="AW62" s="47"/>
      <c r="AX62" s="47"/>
      <c r="AY62" s="47"/>
      <c r="AZ62" s="47">
        <f t="shared" si="1"/>
        <v>146000</v>
      </c>
      <c r="BA62" s="47"/>
      <c r="BB62" s="47"/>
      <c r="BC62" s="47"/>
      <c r="BD62" s="47">
        <f t="shared" si="2"/>
        <v>0</v>
      </c>
      <c r="BE62" s="47"/>
      <c r="BF62" s="47"/>
      <c r="BG62" s="47"/>
      <c r="BH62" s="47"/>
      <c r="BI62" s="47">
        <f t="shared" si="3"/>
        <v>0</v>
      </c>
      <c r="BJ62" s="47"/>
      <c r="BK62" s="47"/>
      <c r="BL62" s="47"/>
      <c r="BM62" s="47"/>
      <c r="BN62" s="47">
        <f t="shared" si="4"/>
        <v>0</v>
      </c>
      <c r="BO62" s="47"/>
      <c r="BP62" s="47"/>
      <c r="BQ62" s="47"/>
    </row>
    <row r="63" spans="1:69" s="27" customFormat="1" ht="15" customHeight="1" x14ac:dyDescent="0.2">
      <c r="A63" s="31"/>
      <c r="B63" s="31"/>
      <c r="C63" s="32" t="s">
        <v>99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4"/>
      <c r="AA63" s="50">
        <v>4313990</v>
      </c>
      <c r="AB63" s="50"/>
      <c r="AC63" s="50"/>
      <c r="AD63" s="50"/>
      <c r="AE63" s="50"/>
      <c r="AF63" s="50">
        <v>40874</v>
      </c>
      <c r="AG63" s="50"/>
      <c r="AH63" s="50"/>
      <c r="AI63" s="50"/>
      <c r="AJ63" s="50"/>
      <c r="AK63" s="50">
        <f t="shared" si="0"/>
        <v>4354864</v>
      </c>
      <c r="AL63" s="50"/>
      <c r="AM63" s="50"/>
      <c r="AN63" s="50"/>
      <c r="AO63" s="50"/>
      <c r="AP63" s="50">
        <v>3403489.84</v>
      </c>
      <c r="AQ63" s="50"/>
      <c r="AR63" s="50"/>
      <c r="AS63" s="50"/>
      <c r="AT63" s="50"/>
      <c r="AU63" s="50">
        <v>40873.800000000003</v>
      </c>
      <c r="AV63" s="50"/>
      <c r="AW63" s="50"/>
      <c r="AX63" s="50"/>
      <c r="AY63" s="50"/>
      <c r="AZ63" s="50">
        <f t="shared" si="1"/>
        <v>3444363.6399999997</v>
      </c>
      <c r="BA63" s="50"/>
      <c r="BB63" s="50"/>
      <c r="BC63" s="50"/>
      <c r="BD63" s="50">
        <f t="shared" si="2"/>
        <v>-910500.16000000015</v>
      </c>
      <c r="BE63" s="50"/>
      <c r="BF63" s="50"/>
      <c r="BG63" s="50"/>
      <c r="BH63" s="50"/>
      <c r="BI63" s="50">
        <f t="shared" si="3"/>
        <v>-0.19999999999708962</v>
      </c>
      <c r="BJ63" s="50"/>
      <c r="BK63" s="50"/>
      <c r="BL63" s="50"/>
      <c r="BM63" s="50"/>
      <c r="BN63" s="50">
        <f t="shared" si="4"/>
        <v>-910500.3600000001</v>
      </c>
      <c r="BO63" s="50"/>
      <c r="BP63" s="50"/>
      <c r="BQ63" s="50"/>
    </row>
    <row r="65" spans="1:79" ht="29.25" customHeight="1" x14ac:dyDescent="0.2">
      <c r="A65" s="56" t="s">
        <v>74</v>
      </c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6"/>
      <c r="BK65" s="56"/>
      <c r="BL65" s="56"/>
      <c r="BM65" s="56"/>
      <c r="BN65" s="56"/>
      <c r="BO65" s="56"/>
      <c r="BP65" s="56"/>
      <c r="BQ65" s="56"/>
    </row>
    <row r="66" spans="1:79" ht="9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</row>
    <row r="67" spans="1:79" ht="15.75" customHeight="1" x14ac:dyDescent="0.2">
      <c r="A67" s="62" t="s">
        <v>3</v>
      </c>
      <c r="B67" s="62"/>
      <c r="C67" s="62" t="s">
        <v>60</v>
      </c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  <c r="BD67" s="62"/>
      <c r="BE67" s="62"/>
      <c r="BF67" s="62"/>
      <c r="BG67" s="62"/>
      <c r="BH67" s="62"/>
      <c r="BI67" s="62"/>
      <c r="BJ67" s="62"/>
      <c r="BK67" s="62"/>
      <c r="BL67" s="62"/>
      <c r="BM67" s="62"/>
      <c r="BN67" s="62"/>
      <c r="BO67" s="62"/>
      <c r="BP67" s="62"/>
      <c r="BQ67" s="62"/>
    </row>
    <row r="68" spans="1:79" ht="15.75" x14ac:dyDescent="0.2">
      <c r="A68" s="62">
        <v>1</v>
      </c>
      <c r="B68" s="62"/>
      <c r="C68" s="100">
        <v>2</v>
      </c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  <c r="AM68" s="100"/>
      <c r="AN68" s="100"/>
      <c r="AO68" s="100"/>
      <c r="AP68" s="100"/>
      <c r="AQ68" s="100"/>
      <c r="AR68" s="100"/>
      <c r="AS68" s="100"/>
      <c r="AT68" s="100"/>
      <c r="AU68" s="100"/>
      <c r="AV68" s="100"/>
      <c r="AW68" s="100"/>
      <c r="AX68" s="100"/>
      <c r="AY68" s="100"/>
      <c r="AZ68" s="100"/>
      <c r="BA68" s="100"/>
      <c r="BB68" s="100"/>
      <c r="BC68" s="100"/>
      <c r="BD68" s="100"/>
      <c r="BE68" s="100"/>
      <c r="BF68" s="100"/>
      <c r="BG68" s="100"/>
      <c r="BH68" s="100"/>
      <c r="BI68" s="100"/>
      <c r="BJ68" s="100"/>
      <c r="BK68" s="100"/>
      <c r="BL68" s="100"/>
      <c r="BM68" s="100"/>
      <c r="BN68" s="100"/>
      <c r="BO68" s="100"/>
      <c r="BP68" s="100"/>
      <c r="BQ68" s="100"/>
    </row>
    <row r="69" spans="1:79" hidden="1" x14ac:dyDescent="0.2">
      <c r="A69" s="97" t="s">
        <v>13</v>
      </c>
      <c r="B69" s="98"/>
      <c r="C69" s="101" t="s">
        <v>14</v>
      </c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  <c r="AH69" s="102"/>
      <c r="AI69" s="102"/>
      <c r="AJ69" s="102"/>
      <c r="AK69" s="102"/>
      <c r="AL69" s="102"/>
      <c r="AM69" s="102"/>
      <c r="AN69" s="102"/>
      <c r="AO69" s="102"/>
      <c r="AP69" s="102"/>
      <c r="AQ69" s="102"/>
      <c r="AR69" s="102"/>
      <c r="AS69" s="102"/>
      <c r="AT69" s="102"/>
      <c r="AU69" s="102"/>
      <c r="AV69" s="102"/>
      <c r="AW69" s="102"/>
      <c r="AX69" s="102"/>
      <c r="AY69" s="102"/>
      <c r="AZ69" s="102"/>
      <c r="BA69" s="102"/>
      <c r="BB69" s="102"/>
      <c r="BC69" s="102"/>
      <c r="BD69" s="102"/>
      <c r="BE69" s="102"/>
      <c r="BF69" s="102"/>
      <c r="BG69" s="102"/>
      <c r="BH69" s="102"/>
      <c r="BI69" s="102"/>
      <c r="BJ69" s="102"/>
      <c r="BK69" s="102"/>
      <c r="BL69" s="102"/>
      <c r="BM69" s="102"/>
      <c r="BN69" s="102"/>
      <c r="BO69" s="102"/>
      <c r="BP69" s="102"/>
      <c r="BQ69" s="103"/>
      <c r="CA69" s="1" t="s">
        <v>68</v>
      </c>
    </row>
    <row r="70" spans="1:79" ht="14.25" customHeight="1" x14ac:dyDescent="0.2">
      <c r="A70" s="54">
        <v>2</v>
      </c>
      <c r="B70" s="55"/>
      <c r="C70" s="40" t="s">
        <v>100</v>
      </c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2"/>
      <c r="CA70" s="1" t="s">
        <v>61</v>
      </c>
    </row>
    <row r="71" spans="1:79" ht="14.25" customHeight="1" x14ac:dyDescent="0.2">
      <c r="A71" s="54">
        <v>5</v>
      </c>
      <c r="B71" s="55"/>
      <c r="C71" s="40" t="s">
        <v>101</v>
      </c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2"/>
    </row>
    <row r="72" spans="1:79" ht="14.25" customHeight="1" x14ac:dyDescent="0.2">
      <c r="A72" s="54">
        <v>6</v>
      </c>
      <c r="B72" s="55"/>
      <c r="C72" s="40" t="s">
        <v>101</v>
      </c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2"/>
    </row>
    <row r="73" spans="1:79" ht="14.25" customHeight="1" x14ac:dyDescent="0.2">
      <c r="A73" s="54">
        <v>10</v>
      </c>
      <c r="B73" s="55"/>
      <c r="C73" s="40" t="s">
        <v>102</v>
      </c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2"/>
    </row>
    <row r="74" spans="1:79" ht="14.25" customHeight="1" x14ac:dyDescent="0.2">
      <c r="A74" s="54">
        <v>11</v>
      </c>
      <c r="B74" s="55"/>
      <c r="C74" s="40" t="s">
        <v>103</v>
      </c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2"/>
    </row>
    <row r="75" spans="1:79" ht="14.25" customHeight="1" x14ac:dyDescent="0.2">
      <c r="A75" s="54">
        <v>12</v>
      </c>
      <c r="B75" s="55"/>
      <c r="C75" s="40" t="s">
        <v>103</v>
      </c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2"/>
    </row>
    <row r="76" spans="1:79" ht="14.25" customHeight="1" x14ac:dyDescent="0.2">
      <c r="A76" s="54">
        <v>13</v>
      </c>
      <c r="B76" s="55"/>
      <c r="C76" s="40" t="s">
        <v>104</v>
      </c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2"/>
    </row>
    <row r="77" spans="1:79" ht="14.25" customHeight="1" x14ac:dyDescent="0.2">
      <c r="A77" s="54">
        <v>15</v>
      </c>
      <c r="B77" s="55"/>
      <c r="C77" s="40" t="s">
        <v>105</v>
      </c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2"/>
    </row>
    <row r="78" spans="1:79" ht="14.25" customHeight="1" x14ac:dyDescent="0.2">
      <c r="A78" s="54">
        <v>16</v>
      </c>
      <c r="B78" s="55"/>
      <c r="C78" s="40" t="s">
        <v>106</v>
      </c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2"/>
    </row>
    <row r="79" spans="1:79" ht="14.25" customHeight="1" x14ac:dyDescent="0.2">
      <c r="A79" s="54">
        <v>17</v>
      </c>
      <c r="B79" s="55"/>
      <c r="C79" s="40" t="s">
        <v>107</v>
      </c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2"/>
    </row>
    <row r="80" spans="1:79" ht="14.25" customHeight="1" x14ac:dyDescent="0.2">
      <c r="A80" s="54">
        <v>18</v>
      </c>
      <c r="B80" s="55"/>
      <c r="C80" s="40" t="s">
        <v>108</v>
      </c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2"/>
    </row>
    <row r="81" spans="1:79" ht="14.25" customHeight="1" x14ac:dyDescent="0.2">
      <c r="A81" s="54">
        <v>19</v>
      </c>
      <c r="B81" s="55"/>
      <c r="C81" s="40" t="s">
        <v>109</v>
      </c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2"/>
    </row>
    <row r="83" spans="1:79" ht="15.75" customHeight="1" x14ac:dyDescent="0.2">
      <c r="A83" s="56" t="s">
        <v>42</v>
      </c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56"/>
      <c r="BG83" s="56"/>
      <c r="BH83" s="56"/>
      <c r="BI83" s="56"/>
      <c r="BJ83" s="56"/>
      <c r="BK83" s="56"/>
      <c r="BL83" s="56"/>
      <c r="BM83" s="56"/>
      <c r="BN83" s="56"/>
    </row>
    <row r="84" spans="1:79" ht="15" customHeight="1" x14ac:dyDescent="0.2">
      <c r="A84" s="99" t="s">
        <v>142</v>
      </c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9"/>
      <c r="AC84" s="99"/>
      <c r="AD84" s="99"/>
      <c r="AE84" s="99"/>
      <c r="AF84" s="99"/>
      <c r="AG84" s="99"/>
      <c r="AH84" s="99"/>
      <c r="AI84" s="99"/>
      <c r="AJ84" s="99"/>
      <c r="AK84" s="99"/>
      <c r="AL84" s="99"/>
      <c r="AM84" s="99"/>
      <c r="AN84" s="99"/>
      <c r="AO84" s="99"/>
      <c r="AP84" s="99"/>
      <c r="AQ84" s="99"/>
      <c r="AR84" s="99"/>
      <c r="AS84" s="99"/>
      <c r="AT84" s="99"/>
      <c r="AU84" s="99"/>
      <c r="AV84" s="99"/>
      <c r="AW84" s="99"/>
      <c r="AX84" s="99"/>
      <c r="AY84" s="99"/>
      <c r="AZ84" s="99"/>
      <c r="BA84" s="99"/>
      <c r="BB84" s="99"/>
      <c r="BC84" s="99"/>
      <c r="BD84" s="99"/>
      <c r="BE84" s="99"/>
      <c r="BF84" s="99"/>
      <c r="BG84" s="99"/>
      <c r="BH84" s="99"/>
      <c r="BI84" s="99"/>
      <c r="BJ84" s="99"/>
      <c r="BK84" s="99"/>
      <c r="BL84" s="99"/>
      <c r="BM84" s="99"/>
      <c r="BN84" s="99"/>
    </row>
    <row r="85" spans="1:79" ht="28.5" customHeight="1" x14ac:dyDescent="0.2">
      <c r="A85" s="66" t="s">
        <v>3</v>
      </c>
      <c r="B85" s="68"/>
      <c r="C85" s="62" t="s">
        <v>28</v>
      </c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 t="s">
        <v>25</v>
      </c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 t="s">
        <v>44</v>
      </c>
      <c r="AJ85" s="62"/>
      <c r="AK85" s="62"/>
      <c r="AL85" s="62"/>
      <c r="AM85" s="62"/>
      <c r="AN85" s="62"/>
      <c r="AO85" s="62"/>
      <c r="AP85" s="62"/>
      <c r="AQ85" s="62"/>
      <c r="AR85" s="62"/>
      <c r="AS85" s="62"/>
      <c r="AT85" s="62"/>
      <c r="AU85" s="62"/>
      <c r="AV85" s="62"/>
      <c r="AW85" s="62"/>
      <c r="AX85" s="62"/>
      <c r="AY85" s="62" t="s">
        <v>0</v>
      </c>
      <c r="AZ85" s="62"/>
      <c r="BA85" s="62"/>
      <c r="BB85" s="62"/>
      <c r="BC85" s="62"/>
      <c r="BD85" s="62"/>
      <c r="BE85" s="62"/>
      <c r="BF85" s="62"/>
      <c r="BG85" s="62"/>
      <c r="BH85" s="62"/>
      <c r="BI85" s="62"/>
      <c r="BJ85" s="62"/>
      <c r="BK85" s="62"/>
      <c r="BL85" s="62"/>
      <c r="BM85" s="62"/>
      <c r="BN85" s="62"/>
      <c r="BO85" s="2"/>
      <c r="BP85" s="2"/>
      <c r="BQ85" s="2"/>
    </row>
    <row r="86" spans="1:79" ht="29.1" customHeight="1" x14ac:dyDescent="0.2">
      <c r="A86" s="104"/>
      <c r="B86" s="106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 t="s">
        <v>2</v>
      </c>
      <c r="T86" s="62"/>
      <c r="U86" s="62"/>
      <c r="V86" s="62"/>
      <c r="W86" s="62"/>
      <c r="X86" s="62" t="s">
        <v>1</v>
      </c>
      <c r="Y86" s="62"/>
      <c r="Z86" s="62"/>
      <c r="AA86" s="62"/>
      <c r="AB86" s="62"/>
      <c r="AC86" s="62" t="s">
        <v>26</v>
      </c>
      <c r="AD86" s="62"/>
      <c r="AE86" s="62"/>
      <c r="AF86" s="62"/>
      <c r="AG86" s="62"/>
      <c r="AH86" s="62"/>
      <c r="AI86" s="62" t="s">
        <v>2</v>
      </c>
      <c r="AJ86" s="62"/>
      <c r="AK86" s="62"/>
      <c r="AL86" s="62"/>
      <c r="AM86" s="62"/>
      <c r="AN86" s="62" t="s">
        <v>1</v>
      </c>
      <c r="AO86" s="62"/>
      <c r="AP86" s="62"/>
      <c r="AQ86" s="62"/>
      <c r="AR86" s="62"/>
      <c r="AS86" s="62" t="s">
        <v>26</v>
      </c>
      <c r="AT86" s="62"/>
      <c r="AU86" s="62"/>
      <c r="AV86" s="62"/>
      <c r="AW86" s="62"/>
      <c r="AX86" s="62"/>
      <c r="AY86" s="57" t="s">
        <v>2</v>
      </c>
      <c r="AZ86" s="63"/>
      <c r="BA86" s="63"/>
      <c r="BB86" s="63"/>
      <c r="BC86" s="64"/>
      <c r="BD86" s="57" t="s">
        <v>1</v>
      </c>
      <c r="BE86" s="63"/>
      <c r="BF86" s="63"/>
      <c r="BG86" s="63"/>
      <c r="BH86" s="64"/>
      <c r="BI86" s="62" t="s">
        <v>26</v>
      </c>
      <c r="BJ86" s="62"/>
      <c r="BK86" s="62"/>
      <c r="BL86" s="62"/>
      <c r="BM86" s="62"/>
      <c r="BN86" s="62"/>
      <c r="BO86" s="2"/>
      <c r="BP86" s="2"/>
      <c r="BQ86" s="2"/>
    </row>
    <row r="87" spans="1:79" ht="15.95" customHeight="1" x14ac:dyDescent="0.25">
      <c r="A87" s="62">
        <v>1</v>
      </c>
      <c r="B87" s="62"/>
      <c r="C87" s="62">
        <v>2</v>
      </c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>
        <v>3</v>
      </c>
      <c r="T87" s="62"/>
      <c r="U87" s="62"/>
      <c r="V87" s="62"/>
      <c r="W87" s="62"/>
      <c r="X87" s="62">
        <v>4</v>
      </c>
      <c r="Y87" s="62"/>
      <c r="Z87" s="62"/>
      <c r="AA87" s="62"/>
      <c r="AB87" s="62"/>
      <c r="AC87" s="62">
        <v>5</v>
      </c>
      <c r="AD87" s="62"/>
      <c r="AE87" s="62"/>
      <c r="AF87" s="62"/>
      <c r="AG87" s="62"/>
      <c r="AH87" s="62"/>
      <c r="AI87" s="62">
        <v>6</v>
      </c>
      <c r="AJ87" s="62"/>
      <c r="AK87" s="62"/>
      <c r="AL87" s="62"/>
      <c r="AM87" s="62"/>
      <c r="AN87" s="62">
        <v>7</v>
      </c>
      <c r="AO87" s="62"/>
      <c r="AP87" s="62"/>
      <c r="AQ87" s="62"/>
      <c r="AR87" s="62"/>
      <c r="AS87" s="62">
        <v>8</v>
      </c>
      <c r="AT87" s="62"/>
      <c r="AU87" s="62"/>
      <c r="AV87" s="62"/>
      <c r="AW87" s="62"/>
      <c r="AX87" s="62"/>
      <c r="AY87" s="62">
        <v>9</v>
      </c>
      <c r="AZ87" s="62"/>
      <c r="BA87" s="62"/>
      <c r="BB87" s="62"/>
      <c r="BC87" s="62"/>
      <c r="BD87" s="62">
        <v>10</v>
      </c>
      <c r="BE87" s="62"/>
      <c r="BF87" s="62"/>
      <c r="BG87" s="62"/>
      <c r="BH87" s="62"/>
      <c r="BI87" s="57">
        <v>11</v>
      </c>
      <c r="BJ87" s="63"/>
      <c r="BK87" s="63"/>
      <c r="BL87" s="63"/>
      <c r="BM87" s="63"/>
      <c r="BN87" s="64"/>
      <c r="BO87" s="6"/>
      <c r="BP87" s="6"/>
      <c r="BQ87" s="6"/>
    </row>
    <row r="88" spans="1:79" ht="18" hidden="1" customHeight="1" x14ac:dyDescent="0.2">
      <c r="A88" s="39" t="s">
        <v>13</v>
      </c>
      <c r="B88" s="39"/>
      <c r="C88" s="107" t="s">
        <v>14</v>
      </c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65" t="s">
        <v>10</v>
      </c>
      <c r="T88" s="65"/>
      <c r="U88" s="65"/>
      <c r="V88" s="65"/>
      <c r="W88" s="65"/>
      <c r="X88" s="65" t="s">
        <v>9</v>
      </c>
      <c r="Y88" s="65"/>
      <c r="Z88" s="65"/>
      <c r="AA88" s="65"/>
      <c r="AB88" s="65"/>
      <c r="AC88" s="31" t="s">
        <v>16</v>
      </c>
      <c r="AD88" s="108"/>
      <c r="AE88" s="108"/>
      <c r="AF88" s="108"/>
      <c r="AG88" s="108"/>
      <c r="AH88" s="108"/>
      <c r="AI88" s="65" t="s">
        <v>11</v>
      </c>
      <c r="AJ88" s="65"/>
      <c r="AK88" s="65"/>
      <c r="AL88" s="65"/>
      <c r="AM88" s="65"/>
      <c r="AN88" s="65" t="s">
        <v>12</v>
      </c>
      <c r="AO88" s="65"/>
      <c r="AP88" s="65"/>
      <c r="AQ88" s="65"/>
      <c r="AR88" s="65"/>
      <c r="AS88" s="31" t="s">
        <v>16</v>
      </c>
      <c r="AT88" s="108"/>
      <c r="AU88" s="108"/>
      <c r="AV88" s="108"/>
      <c r="AW88" s="108"/>
      <c r="AX88" s="108"/>
      <c r="AY88" s="54" t="s">
        <v>17</v>
      </c>
      <c r="AZ88" s="109"/>
      <c r="BA88" s="109"/>
      <c r="BB88" s="109"/>
      <c r="BC88" s="55"/>
      <c r="BD88" s="54" t="s">
        <v>17</v>
      </c>
      <c r="BE88" s="109"/>
      <c r="BF88" s="109"/>
      <c r="BG88" s="109"/>
      <c r="BH88" s="55"/>
      <c r="BI88" s="108" t="s">
        <v>16</v>
      </c>
      <c r="BJ88" s="108"/>
      <c r="BK88" s="108"/>
      <c r="BL88" s="108"/>
      <c r="BM88" s="108"/>
      <c r="BN88" s="108"/>
      <c r="BO88" s="7"/>
      <c r="BP88" s="7"/>
      <c r="BQ88" s="7"/>
      <c r="CA88" s="1" t="s">
        <v>21</v>
      </c>
    </row>
    <row r="89" spans="1:79" ht="51" customHeight="1" x14ac:dyDescent="0.2">
      <c r="A89" s="39">
        <v>1</v>
      </c>
      <c r="B89" s="39"/>
      <c r="C89" s="40" t="s">
        <v>110</v>
      </c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2"/>
      <c r="S89" s="47">
        <v>4313990</v>
      </c>
      <c r="T89" s="47"/>
      <c r="U89" s="47"/>
      <c r="V89" s="47"/>
      <c r="W89" s="47"/>
      <c r="X89" s="47">
        <v>40874</v>
      </c>
      <c r="Y89" s="47"/>
      <c r="Z89" s="47"/>
      <c r="AA89" s="47"/>
      <c r="AB89" s="47"/>
      <c r="AC89" s="47">
        <f>S89+X89</f>
        <v>4354864</v>
      </c>
      <c r="AD89" s="47"/>
      <c r="AE89" s="47"/>
      <c r="AF89" s="47"/>
      <c r="AG89" s="47"/>
      <c r="AH89" s="47"/>
      <c r="AI89" s="47">
        <v>4167990</v>
      </c>
      <c r="AJ89" s="47"/>
      <c r="AK89" s="47"/>
      <c r="AL89" s="47"/>
      <c r="AM89" s="47"/>
      <c r="AN89" s="47">
        <v>40874</v>
      </c>
      <c r="AO89" s="47"/>
      <c r="AP89" s="47"/>
      <c r="AQ89" s="47"/>
      <c r="AR89" s="47"/>
      <c r="AS89" s="47">
        <f>AI89+AN89</f>
        <v>4208864</v>
      </c>
      <c r="AT89" s="47"/>
      <c r="AU89" s="47"/>
      <c r="AV89" s="47"/>
      <c r="AW89" s="47"/>
      <c r="AX89" s="47"/>
      <c r="AY89" s="47">
        <f>AI89-S89</f>
        <v>-146000</v>
      </c>
      <c r="AZ89" s="47"/>
      <c r="BA89" s="47"/>
      <c r="BB89" s="47"/>
      <c r="BC89" s="47"/>
      <c r="BD89" s="113">
        <f>AN89-X89</f>
        <v>0</v>
      </c>
      <c r="BE89" s="113"/>
      <c r="BF89" s="113"/>
      <c r="BG89" s="113"/>
      <c r="BH89" s="113"/>
      <c r="BI89" s="113">
        <f>AY89+BD89</f>
        <v>-146000</v>
      </c>
      <c r="BJ89" s="113"/>
      <c r="BK89" s="113"/>
      <c r="BL89" s="113"/>
      <c r="BM89" s="113"/>
      <c r="BN89" s="113"/>
      <c r="BO89" s="8"/>
      <c r="BP89" s="8"/>
      <c r="BQ89" s="8"/>
      <c r="CA89" s="1" t="s">
        <v>22</v>
      </c>
    </row>
    <row r="90" spans="1:79" s="27" customFormat="1" ht="15" customHeight="1" x14ac:dyDescent="0.2">
      <c r="A90" s="31"/>
      <c r="B90" s="31"/>
      <c r="C90" s="32" t="s">
        <v>111</v>
      </c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4"/>
      <c r="S90" s="50">
        <v>4313990</v>
      </c>
      <c r="T90" s="50"/>
      <c r="U90" s="50"/>
      <c r="V90" s="50"/>
      <c r="W90" s="50"/>
      <c r="X90" s="50">
        <v>40874</v>
      </c>
      <c r="Y90" s="50"/>
      <c r="Z90" s="50"/>
      <c r="AA90" s="50"/>
      <c r="AB90" s="50"/>
      <c r="AC90" s="50">
        <f>S90+X90</f>
        <v>4354864</v>
      </c>
      <c r="AD90" s="50"/>
      <c r="AE90" s="50"/>
      <c r="AF90" s="50"/>
      <c r="AG90" s="50"/>
      <c r="AH90" s="50"/>
      <c r="AI90" s="50">
        <v>4167990</v>
      </c>
      <c r="AJ90" s="50"/>
      <c r="AK90" s="50"/>
      <c r="AL90" s="50"/>
      <c r="AM90" s="50"/>
      <c r="AN90" s="50">
        <v>40874</v>
      </c>
      <c r="AO90" s="50"/>
      <c r="AP90" s="50"/>
      <c r="AQ90" s="50"/>
      <c r="AR90" s="50"/>
      <c r="AS90" s="50">
        <f>AI90+AN90</f>
        <v>4208864</v>
      </c>
      <c r="AT90" s="50"/>
      <c r="AU90" s="50"/>
      <c r="AV90" s="50"/>
      <c r="AW90" s="50"/>
      <c r="AX90" s="50"/>
      <c r="AY90" s="50">
        <f>AI90-S90</f>
        <v>-146000</v>
      </c>
      <c r="AZ90" s="50"/>
      <c r="BA90" s="50"/>
      <c r="BB90" s="50"/>
      <c r="BC90" s="50"/>
      <c r="BD90" s="53">
        <f>AN90-X90</f>
        <v>0</v>
      </c>
      <c r="BE90" s="53"/>
      <c r="BF90" s="53"/>
      <c r="BG90" s="53"/>
      <c r="BH90" s="53"/>
      <c r="BI90" s="53">
        <f>AY90+BD90</f>
        <v>-146000</v>
      </c>
      <c r="BJ90" s="53"/>
      <c r="BK90" s="53"/>
      <c r="BL90" s="53"/>
      <c r="BM90" s="53"/>
      <c r="BN90" s="53"/>
      <c r="BO90" s="28"/>
      <c r="BP90" s="28"/>
      <c r="BQ90" s="28"/>
    </row>
    <row r="92" spans="1:79" ht="15.75" customHeight="1" x14ac:dyDescent="0.2">
      <c r="A92" s="56" t="s">
        <v>43</v>
      </c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6"/>
      <c r="BF92" s="56"/>
      <c r="BG92" s="56"/>
      <c r="BH92" s="56"/>
      <c r="BI92" s="56"/>
      <c r="BJ92" s="56"/>
      <c r="BK92" s="56"/>
      <c r="BL92" s="56"/>
      <c r="BM92" s="56"/>
      <c r="BN92" s="56"/>
      <c r="BO92" s="56"/>
      <c r="BP92" s="56"/>
      <c r="BQ92" s="56"/>
    </row>
    <row r="93" spans="1:79" ht="15.75" customHeight="1" x14ac:dyDescent="0.2">
      <c r="A93" s="56" t="s">
        <v>62</v>
      </c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56"/>
      <c r="BI93" s="56"/>
      <c r="BJ93" s="56"/>
      <c r="BK93" s="56"/>
      <c r="BL93" s="56"/>
      <c r="BM93" s="56"/>
      <c r="BN93" s="56"/>
      <c r="BO93" s="56"/>
      <c r="BP93" s="56"/>
      <c r="BQ93" s="56"/>
    </row>
    <row r="94" spans="1:79" ht="8.25" customHeight="1" x14ac:dyDescent="0.2"/>
    <row r="95" spans="1:79" ht="45" customHeight="1" x14ac:dyDescent="0.2">
      <c r="A95" s="66" t="s">
        <v>3</v>
      </c>
      <c r="B95" s="68"/>
      <c r="C95" s="66" t="s">
        <v>6</v>
      </c>
      <c r="D95" s="67"/>
      <c r="E95" s="67"/>
      <c r="F95" s="67"/>
      <c r="G95" s="67"/>
      <c r="H95" s="67"/>
      <c r="I95" s="68"/>
      <c r="J95" s="66" t="s">
        <v>5</v>
      </c>
      <c r="K95" s="67"/>
      <c r="L95" s="67"/>
      <c r="M95" s="67"/>
      <c r="N95" s="68"/>
      <c r="O95" s="66" t="s">
        <v>4</v>
      </c>
      <c r="P95" s="67"/>
      <c r="Q95" s="67"/>
      <c r="R95" s="67"/>
      <c r="S95" s="67"/>
      <c r="T95" s="67"/>
      <c r="U95" s="67"/>
      <c r="V95" s="67"/>
      <c r="W95" s="67"/>
      <c r="X95" s="68"/>
      <c r="Y95" s="62" t="s">
        <v>25</v>
      </c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 t="s">
        <v>45</v>
      </c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85" t="s">
        <v>0</v>
      </c>
      <c r="BD95" s="85"/>
      <c r="BE95" s="85"/>
      <c r="BF95" s="85"/>
      <c r="BG95" s="85"/>
      <c r="BH95" s="85"/>
      <c r="BI95" s="85"/>
      <c r="BJ95" s="85"/>
      <c r="BK95" s="85"/>
      <c r="BL95" s="85"/>
      <c r="BM95" s="85"/>
      <c r="BN95" s="85"/>
      <c r="BO95" s="85"/>
      <c r="BP95" s="85"/>
      <c r="BQ95" s="85"/>
      <c r="BR95" s="9"/>
      <c r="BS95" s="9"/>
      <c r="BT95" s="9"/>
      <c r="BU95" s="9"/>
      <c r="BV95" s="9"/>
      <c r="BW95" s="9"/>
      <c r="BX95" s="9"/>
      <c r="BY95" s="9"/>
    </row>
    <row r="96" spans="1:79" ht="32.25" customHeight="1" x14ac:dyDescent="0.2">
      <c r="A96" s="104"/>
      <c r="B96" s="106"/>
      <c r="C96" s="104"/>
      <c r="D96" s="105"/>
      <c r="E96" s="105"/>
      <c r="F96" s="105"/>
      <c r="G96" s="105"/>
      <c r="H96" s="105"/>
      <c r="I96" s="106"/>
      <c r="J96" s="104"/>
      <c r="K96" s="105"/>
      <c r="L96" s="105"/>
      <c r="M96" s="105"/>
      <c r="N96" s="106"/>
      <c r="O96" s="104"/>
      <c r="P96" s="105"/>
      <c r="Q96" s="105"/>
      <c r="R96" s="105"/>
      <c r="S96" s="105"/>
      <c r="T96" s="105"/>
      <c r="U96" s="105"/>
      <c r="V96" s="105"/>
      <c r="W96" s="105"/>
      <c r="X96" s="106"/>
      <c r="Y96" s="57" t="s">
        <v>2</v>
      </c>
      <c r="Z96" s="63"/>
      <c r="AA96" s="63"/>
      <c r="AB96" s="63"/>
      <c r="AC96" s="64"/>
      <c r="AD96" s="57" t="s">
        <v>1</v>
      </c>
      <c r="AE96" s="63"/>
      <c r="AF96" s="63"/>
      <c r="AG96" s="63"/>
      <c r="AH96" s="64"/>
      <c r="AI96" s="62" t="s">
        <v>26</v>
      </c>
      <c r="AJ96" s="62"/>
      <c r="AK96" s="62"/>
      <c r="AL96" s="62"/>
      <c r="AM96" s="62"/>
      <c r="AN96" s="62" t="s">
        <v>2</v>
      </c>
      <c r="AO96" s="62"/>
      <c r="AP96" s="62"/>
      <c r="AQ96" s="62"/>
      <c r="AR96" s="62"/>
      <c r="AS96" s="62" t="s">
        <v>1</v>
      </c>
      <c r="AT96" s="62"/>
      <c r="AU96" s="62"/>
      <c r="AV96" s="62"/>
      <c r="AW96" s="62"/>
      <c r="AX96" s="62" t="s">
        <v>26</v>
      </c>
      <c r="AY96" s="62"/>
      <c r="AZ96" s="62"/>
      <c r="BA96" s="62"/>
      <c r="BB96" s="62"/>
      <c r="BC96" s="62" t="s">
        <v>2</v>
      </c>
      <c r="BD96" s="62"/>
      <c r="BE96" s="62"/>
      <c r="BF96" s="62"/>
      <c r="BG96" s="62"/>
      <c r="BH96" s="62" t="s">
        <v>1</v>
      </c>
      <c r="BI96" s="62"/>
      <c r="BJ96" s="62"/>
      <c r="BK96" s="62"/>
      <c r="BL96" s="62"/>
      <c r="BM96" s="62" t="s">
        <v>26</v>
      </c>
      <c r="BN96" s="62"/>
      <c r="BO96" s="62"/>
      <c r="BP96" s="62"/>
      <c r="BQ96" s="62"/>
      <c r="BR96" s="2"/>
      <c r="BS96" s="2"/>
      <c r="BT96" s="2"/>
      <c r="BU96" s="2"/>
      <c r="BV96" s="2"/>
      <c r="BW96" s="2"/>
      <c r="BX96" s="2"/>
      <c r="BY96" s="2"/>
    </row>
    <row r="97" spans="1:79" ht="15.95" customHeight="1" x14ac:dyDescent="0.2">
      <c r="A97" s="62">
        <v>1</v>
      </c>
      <c r="B97" s="62"/>
      <c r="C97" s="62">
        <v>2</v>
      </c>
      <c r="D97" s="62"/>
      <c r="E97" s="62"/>
      <c r="F97" s="62"/>
      <c r="G97" s="62"/>
      <c r="H97" s="62"/>
      <c r="I97" s="62"/>
      <c r="J97" s="62">
        <v>3</v>
      </c>
      <c r="K97" s="62"/>
      <c r="L97" s="62"/>
      <c r="M97" s="62"/>
      <c r="N97" s="62"/>
      <c r="O97" s="62">
        <v>4</v>
      </c>
      <c r="P97" s="62"/>
      <c r="Q97" s="62"/>
      <c r="R97" s="62"/>
      <c r="S97" s="62"/>
      <c r="T97" s="62"/>
      <c r="U97" s="62"/>
      <c r="V97" s="62"/>
      <c r="W97" s="62"/>
      <c r="X97" s="62"/>
      <c r="Y97" s="62">
        <v>5</v>
      </c>
      <c r="Z97" s="62"/>
      <c r="AA97" s="62"/>
      <c r="AB97" s="62"/>
      <c r="AC97" s="62"/>
      <c r="AD97" s="62">
        <v>6</v>
      </c>
      <c r="AE97" s="62"/>
      <c r="AF97" s="62"/>
      <c r="AG97" s="62"/>
      <c r="AH97" s="62"/>
      <c r="AI97" s="62">
        <v>7</v>
      </c>
      <c r="AJ97" s="62"/>
      <c r="AK97" s="62"/>
      <c r="AL97" s="62"/>
      <c r="AM97" s="62"/>
      <c r="AN97" s="57">
        <v>8</v>
      </c>
      <c r="AO97" s="63"/>
      <c r="AP97" s="63"/>
      <c r="AQ97" s="63"/>
      <c r="AR97" s="64"/>
      <c r="AS97" s="57">
        <v>9</v>
      </c>
      <c r="AT97" s="63"/>
      <c r="AU97" s="63"/>
      <c r="AV97" s="63"/>
      <c r="AW97" s="64"/>
      <c r="AX97" s="57">
        <v>10</v>
      </c>
      <c r="AY97" s="63"/>
      <c r="AZ97" s="63"/>
      <c r="BA97" s="63"/>
      <c r="BB97" s="64"/>
      <c r="BC97" s="57">
        <v>11</v>
      </c>
      <c r="BD97" s="63"/>
      <c r="BE97" s="63"/>
      <c r="BF97" s="63"/>
      <c r="BG97" s="64"/>
      <c r="BH97" s="57">
        <v>12</v>
      </c>
      <c r="BI97" s="63"/>
      <c r="BJ97" s="63"/>
      <c r="BK97" s="63"/>
      <c r="BL97" s="64"/>
      <c r="BM97" s="57">
        <v>13</v>
      </c>
      <c r="BN97" s="63"/>
      <c r="BO97" s="63"/>
      <c r="BP97" s="63"/>
      <c r="BQ97" s="64"/>
      <c r="BR97" s="2"/>
      <c r="BS97" s="2"/>
      <c r="BT97" s="2"/>
      <c r="BU97" s="2"/>
      <c r="BV97" s="2"/>
      <c r="BW97" s="2"/>
      <c r="BX97" s="2"/>
      <c r="BY97" s="2"/>
    </row>
    <row r="98" spans="1:79" ht="12.75" hidden="1" customHeight="1" x14ac:dyDescent="0.2">
      <c r="A98" s="39" t="s">
        <v>36</v>
      </c>
      <c r="B98" s="39"/>
      <c r="C98" s="82" t="s">
        <v>14</v>
      </c>
      <c r="D98" s="83"/>
      <c r="E98" s="83"/>
      <c r="F98" s="83"/>
      <c r="G98" s="83"/>
      <c r="H98" s="83"/>
      <c r="I98" s="84"/>
      <c r="J98" s="39" t="s">
        <v>15</v>
      </c>
      <c r="K98" s="39"/>
      <c r="L98" s="39"/>
      <c r="M98" s="39"/>
      <c r="N98" s="39"/>
      <c r="O98" s="107" t="s">
        <v>37</v>
      </c>
      <c r="P98" s="107"/>
      <c r="Q98" s="107"/>
      <c r="R98" s="107"/>
      <c r="S98" s="107"/>
      <c r="T98" s="107"/>
      <c r="U98" s="107"/>
      <c r="V98" s="107"/>
      <c r="W98" s="107"/>
      <c r="X98" s="82"/>
      <c r="Y98" s="65" t="s">
        <v>10</v>
      </c>
      <c r="Z98" s="65"/>
      <c r="AA98" s="65"/>
      <c r="AB98" s="65"/>
      <c r="AC98" s="65"/>
      <c r="AD98" s="65" t="s">
        <v>29</v>
      </c>
      <c r="AE98" s="65"/>
      <c r="AF98" s="65"/>
      <c r="AG98" s="65"/>
      <c r="AH98" s="65"/>
      <c r="AI98" s="65" t="s">
        <v>75</v>
      </c>
      <c r="AJ98" s="65"/>
      <c r="AK98" s="65"/>
      <c r="AL98" s="65"/>
      <c r="AM98" s="65"/>
      <c r="AN98" s="65" t="s">
        <v>30</v>
      </c>
      <c r="AO98" s="65"/>
      <c r="AP98" s="65"/>
      <c r="AQ98" s="65"/>
      <c r="AR98" s="65"/>
      <c r="AS98" s="65" t="s">
        <v>11</v>
      </c>
      <c r="AT98" s="65"/>
      <c r="AU98" s="65"/>
      <c r="AV98" s="65"/>
      <c r="AW98" s="65"/>
      <c r="AX98" s="65" t="s">
        <v>76</v>
      </c>
      <c r="AY98" s="65"/>
      <c r="AZ98" s="65"/>
      <c r="BA98" s="65"/>
      <c r="BB98" s="65"/>
      <c r="BC98" s="65" t="s">
        <v>32</v>
      </c>
      <c r="BD98" s="65"/>
      <c r="BE98" s="65"/>
      <c r="BF98" s="65"/>
      <c r="BG98" s="65"/>
      <c r="BH98" s="65" t="s">
        <v>32</v>
      </c>
      <c r="BI98" s="65"/>
      <c r="BJ98" s="65"/>
      <c r="BK98" s="65"/>
      <c r="BL98" s="65"/>
      <c r="BM98" s="89" t="s">
        <v>16</v>
      </c>
      <c r="BN98" s="89"/>
      <c r="BO98" s="89"/>
      <c r="BP98" s="89"/>
      <c r="BQ98" s="89"/>
      <c r="CA98" s="1" t="s">
        <v>23</v>
      </c>
    </row>
    <row r="99" spans="1:79" s="27" customFormat="1" ht="15.75" x14ac:dyDescent="0.2">
      <c r="A99" s="31">
        <v>0</v>
      </c>
      <c r="B99" s="31"/>
      <c r="C99" s="52" t="s">
        <v>112</v>
      </c>
      <c r="D99" s="52"/>
      <c r="E99" s="52"/>
      <c r="F99" s="52"/>
      <c r="G99" s="52"/>
      <c r="H99" s="52"/>
      <c r="I99" s="52"/>
      <c r="J99" s="52" t="s">
        <v>113</v>
      </c>
      <c r="K99" s="52"/>
      <c r="L99" s="52"/>
      <c r="M99" s="52"/>
      <c r="N99" s="52"/>
      <c r="O99" s="52" t="s">
        <v>113</v>
      </c>
      <c r="P99" s="52"/>
      <c r="Q99" s="52"/>
      <c r="R99" s="52"/>
      <c r="S99" s="52"/>
      <c r="T99" s="52"/>
      <c r="U99" s="52"/>
      <c r="V99" s="52"/>
      <c r="W99" s="52"/>
      <c r="X99" s="52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29"/>
      <c r="BS99" s="29"/>
      <c r="BT99" s="29"/>
      <c r="BU99" s="29"/>
      <c r="BV99" s="29"/>
      <c r="BW99" s="29"/>
      <c r="BX99" s="29"/>
      <c r="BY99" s="29"/>
      <c r="CA99" s="27" t="s">
        <v>24</v>
      </c>
    </row>
    <row r="100" spans="1:79" ht="25.5" customHeight="1" x14ac:dyDescent="0.2">
      <c r="A100" s="39">
        <v>1</v>
      </c>
      <c r="B100" s="39"/>
      <c r="C100" s="48" t="s">
        <v>114</v>
      </c>
      <c r="D100" s="41"/>
      <c r="E100" s="41"/>
      <c r="F100" s="41"/>
      <c r="G100" s="41"/>
      <c r="H100" s="41"/>
      <c r="I100" s="42"/>
      <c r="J100" s="49" t="s">
        <v>115</v>
      </c>
      <c r="K100" s="49"/>
      <c r="L100" s="49"/>
      <c r="M100" s="49"/>
      <c r="N100" s="49"/>
      <c r="O100" s="49" t="s">
        <v>116</v>
      </c>
      <c r="P100" s="49"/>
      <c r="Q100" s="49"/>
      <c r="R100" s="49"/>
      <c r="S100" s="49"/>
      <c r="T100" s="49"/>
      <c r="U100" s="49"/>
      <c r="V100" s="49"/>
      <c r="W100" s="49"/>
      <c r="X100" s="49"/>
      <c r="Y100" s="47">
        <v>7</v>
      </c>
      <c r="Z100" s="47"/>
      <c r="AA100" s="47"/>
      <c r="AB100" s="47"/>
      <c r="AC100" s="47"/>
      <c r="AD100" s="47">
        <v>0</v>
      </c>
      <c r="AE100" s="47"/>
      <c r="AF100" s="47"/>
      <c r="AG100" s="47"/>
      <c r="AH100" s="47"/>
      <c r="AI100" s="47">
        <v>7</v>
      </c>
      <c r="AJ100" s="47"/>
      <c r="AK100" s="47"/>
      <c r="AL100" s="47"/>
      <c r="AM100" s="47"/>
      <c r="AN100" s="47">
        <v>5</v>
      </c>
      <c r="AO100" s="47"/>
      <c r="AP100" s="47"/>
      <c r="AQ100" s="47"/>
      <c r="AR100" s="47"/>
      <c r="AS100" s="47">
        <v>0</v>
      </c>
      <c r="AT100" s="47"/>
      <c r="AU100" s="47"/>
      <c r="AV100" s="47"/>
      <c r="AW100" s="47"/>
      <c r="AX100" s="47">
        <v>5</v>
      </c>
      <c r="AY100" s="47"/>
      <c r="AZ100" s="47"/>
      <c r="BA100" s="47"/>
      <c r="BB100" s="47"/>
      <c r="BC100" s="47">
        <f>AN100-Y100</f>
        <v>-2</v>
      </c>
      <c r="BD100" s="47"/>
      <c r="BE100" s="47"/>
      <c r="BF100" s="47"/>
      <c r="BG100" s="47"/>
      <c r="BH100" s="47">
        <f>AS100-AD100</f>
        <v>0</v>
      </c>
      <c r="BI100" s="47"/>
      <c r="BJ100" s="47"/>
      <c r="BK100" s="47"/>
      <c r="BL100" s="47"/>
      <c r="BM100" s="47">
        <v>-2</v>
      </c>
      <c r="BN100" s="47"/>
      <c r="BO100" s="47"/>
      <c r="BP100" s="47"/>
      <c r="BQ100" s="47"/>
      <c r="BR100" s="10"/>
      <c r="BS100" s="10"/>
      <c r="BT100" s="10"/>
      <c r="BU100" s="10"/>
      <c r="BV100" s="10"/>
      <c r="BW100" s="10"/>
      <c r="BX100" s="10"/>
      <c r="BY100" s="10"/>
    </row>
    <row r="101" spans="1:79" s="27" customFormat="1" ht="15.75" x14ac:dyDescent="0.2">
      <c r="A101" s="31">
        <v>0</v>
      </c>
      <c r="B101" s="31"/>
      <c r="C101" s="51" t="s">
        <v>117</v>
      </c>
      <c r="D101" s="33"/>
      <c r="E101" s="33"/>
      <c r="F101" s="33"/>
      <c r="G101" s="33"/>
      <c r="H101" s="33"/>
      <c r="I101" s="34"/>
      <c r="J101" s="52" t="s">
        <v>113</v>
      </c>
      <c r="K101" s="52"/>
      <c r="L101" s="52"/>
      <c r="M101" s="52"/>
      <c r="N101" s="52"/>
      <c r="O101" s="52" t="s">
        <v>113</v>
      </c>
      <c r="P101" s="52"/>
      <c r="Q101" s="52"/>
      <c r="R101" s="52"/>
      <c r="S101" s="52"/>
      <c r="T101" s="52"/>
      <c r="U101" s="52"/>
      <c r="V101" s="52"/>
      <c r="W101" s="52"/>
      <c r="X101" s="52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  <c r="BH101" s="50"/>
      <c r="BI101" s="50"/>
      <c r="BJ101" s="50"/>
      <c r="BK101" s="50"/>
      <c r="BL101" s="50"/>
      <c r="BM101" s="50"/>
      <c r="BN101" s="50"/>
      <c r="BO101" s="50"/>
      <c r="BP101" s="50"/>
      <c r="BQ101" s="50"/>
      <c r="BR101" s="29"/>
      <c r="BS101" s="29"/>
      <c r="BT101" s="29"/>
      <c r="BU101" s="29"/>
      <c r="BV101" s="29"/>
      <c r="BW101" s="29"/>
      <c r="BX101" s="29"/>
      <c r="BY101" s="29"/>
    </row>
    <row r="102" spans="1:79" ht="42.75" customHeight="1" x14ac:dyDescent="0.2">
      <c r="A102" s="39">
        <v>1</v>
      </c>
      <c r="B102" s="39"/>
      <c r="C102" s="48" t="s">
        <v>118</v>
      </c>
      <c r="D102" s="41"/>
      <c r="E102" s="41"/>
      <c r="F102" s="41"/>
      <c r="G102" s="41"/>
      <c r="H102" s="41"/>
      <c r="I102" s="42"/>
      <c r="J102" s="49" t="s">
        <v>115</v>
      </c>
      <c r="K102" s="49"/>
      <c r="L102" s="49"/>
      <c r="M102" s="49"/>
      <c r="N102" s="49"/>
      <c r="O102" s="49" t="s">
        <v>119</v>
      </c>
      <c r="P102" s="49"/>
      <c r="Q102" s="49"/>
      <c r="R102" s="49"/>
      <c r="S102" s="49"/>
      <c r="T102" s="49"/>
      <c r="U102" s="49"/>
      <c r="V102" s="49"/>
      <c r="W102" s="49"/>
      <c r="X102" s="49"/>
      <c r="Y102" s="47">
        <v>2</v>
      </c>
      <c r="Z102" s="47"/>
      <c r="AA102" s="47"/>
      <c r="AB102" s="47"/>
      <c r="AC102" s="47"/>
      <c r="AD102" s="47">
        <v>0</v>
      </c>
      <c r="AE102" s="47"/>
      <c r="AF102" s="47"/>
      <c r="AG102" s="47"/>
      <c r="AH102" s="47"/>
      <c r="AI102" s="47">
        <v>2</v>
      </c>
      <c r="AJ102" s="47"/>
      <c r="AK102" s="47"/>
      <c r="AL102" s="47"/>
      <c r="AM102" s="47"/>
      <c r="AN102" s="47">
        <v>2</v>
      </c>
      <c r="AO102" s="47"/>
      <c r="AP102" s="47"/>
      <c r="AQ102" s="47"/>
      <c r="AR102" s="47"/>
      <c r="AS102" s="47">
        <v>0</v>
      </c>
      <c r="AT102" s="47"/>
      <c r="AU102" s="47"/>
      <c r="AV102" s="47"/>
      <c r="AW102" s="47"/>
      <c r="AX102" s="47">
        <v>2</v>
      </c>
      <c r="AY102" s="47"/>
      <c r="AZ102" s="47"/>
      <c r="BA102" s="47"/>
      <c r="BB102" s="47"/>
      <c r="BC102" s="47">
        <f>AN102-Y102</f>
        <v>0</v>
      </c>
      <c r="BD102" s="47"/>
      <c r="BE102" s="47"/>
      <c r="BF102" s="47"/>
      <c r="BG102" s="47"/>
      <c r="BH102" s="47">
        <f>AS102-AD102</f>
        <v>0</v>
      </c>
      <c r="BI102" s="47"/>
      <c r="BJ102" s="47"/>
      <c r="BK102" s="47"/>
      <c r="BL102" s="47"/>
      <c r="BM102" s="47">
        <v>0</v>
      </c>
      <c r="BN102" s="47"/>
      <c r="BO102" s="47"/>
      <c r="BP102" s="47"/>
      <c r="BQ102" s="47"/>
      <c r="BR102" s="10"/>
      <c r="BS102" s="10"/>
      <c r="BT102" s="10"/>
      <c r="BU102" s="10"/>
      <c r="BV102" s="10"/>
      <c r="BW102" s="10"/>
      <c r="BX102" s="10"/>
      <c r="BY102" s="10"/>
    </row>
    <row r="103" spans="1:79" ht="63.75" customHeight="1" x14ac:dyDescent="0.2">
      <c r="A103" s="39">
        <v>2</v>
      </c>
      <c r="B103" s="39"/>
      <c r="C103" s="48" t="s">
        <v>120</v>
      </c>
      <c r="D103" s="41"/>
      <c r="E103" s="41"/>
      <c r="F103" s="41"/>
      <c r="G103" s="41"/>
      <c r="H103" s="41"/>
      <c r="I103" s="42"/>
      <c r="J103" s="49" t="s">
        <v>115</v>
      </c>
      <c r="K103" s="49"/>
      <c r="L103" s="49"/>
      <c r="M103" s="49"/>
      <c r="N103" s="49"/>
      <c r="O103" s="49" t="s">
        <v>119</v>
      </c>
      <c r="P103" s="49"/>
      <c r="Q103" s="49"/>
      <c r="R103" s="49"/>
      <c r="S103" s="49"/>
      <c r="T103" s="49"/>
      <c r="U103" s="49"/>
      <c r="V103" s="49"/>
      <c r="W103" s="49"/>
      <c r="X103" s="49"/>
      <c r="Y103" s="47">
        <v>50</v>
      </c>
      <c r="Z103" s="47"/>
      <c r="AA103" s="47"/>
      <c r="AB103" s="47"/>
      <c r="AC103" s="47"/>
      <c r="AD103" s="47">
        <v>0</v>
      </c>
      <c r="AE103" s="47"/>
      <c r="AF103" s="47"/>
      <c r="AG103" s="47"/>
      <c r="AH103" s="47"/>
      <c r="AI103" s="47">
        <v>50</v>
      </c>
      <c r="AJ103" s="47"/>
      <c r="AK103" s="47"/>
      <c r="AL103" s="47"/>
      <c r="AM103" s="47"/>
      <c r="AN103" s="47">
        <v>50</v>
      </c>
      <c r="AO103" s="47"/>
      <c r="AP103" s="47"/>
      <c r="AQ103" s="47"/>
      <c r="AR103" s="47"/>
      <c r="AS103" s="47">
        <v>0</v>
      </c>
      <c r="AT103" s="47"/>
      <c r="AU103" s="47"/>
      <c r="AV103" s="47"/>
      <c r="AW103" s="47"/>
      <c r="AX103" s="47">
        <v>50</v>
      </c>
      <c r="AY103" s="47"/>
      <c r="AZ103" s="47"/>
      <c r="BA103" s="47"/>
      <c r="BB103" s="47"/>
      <c r="BC103" s="47">
        <f>AN103-Y103</f>
        <v>0</v>
      </c>
      <c r="BD103" s="47"/>
      <c r="BE103" s="47"/>
      <c r="BF103" s="47"/>
      <c r="BG103" s="47"/>
      <c r="BH103" s="47">
        <f>AS103-AD103</f>
        <v>0</v>
      </c>
      <c r="BI103" s="47"/>
      <c r="BJ103" s="47"/>
      <c r="BK103" s="47"/>
      <c r="BL103" s="47"/>
      <c r="BM103" s="47">
        <v>0</v>
      </c>
      <c r="BN103" s="47"/>
      <c r="BO103" s="47"/>
      <c r="BP103" s="47"/>
      <c r="BQ103" s="47"/>
      <c r="BR103" s="10"/>
      <c r="BS103" s="10"/>
      <c r="BT103" s="10"/>
      <c r="BU103" s="10"/>
      <c r="BV103" s="10"/>
      <c r="BW103" s="10"/>
      <c r="BX103" s="10"/>
      <c r="BY103" s="10"/>
    </row>
    <row r="104" spans="1:79" s="27" customFormat="1" ht="15.75" x14ac:dyDescent="0.2">
      <c r="A104" s="31">
        <v>0</v>
      </c>
      <c r="B104" s="31"/>
      <c r="C104" s="51" t="s">
        <v>121</v>
      </c>
      <c r="D104" s="33"/>
      <c r="E104" s="33"/>
      <c r="F104" s="33"/>
      <c r="G104" s="33"/>
      <c r="H104" s="33"/>
      <c r="I104" s="34"/>
      <c r="J104" s="52" t="s">
        <v>113</v>
      </c>
      <c r="K104" s="52"/>
      <c r="L104" s="52"/>
      <c r="M104" s="52"/>
      <c r="N104" s="52"/>
      <c r="O104" s="52" t="s">
        <v>113</v>
      </c>
      <c r="P104" s="52"/>
      <c r="Q104" s="52"/>
      <c r="R104" s="52"/>
      <c r="S104" s="52"/>
      <c r="T104" s="52"/>
      <c r="U104" s="52"/>
      <c r="V104" s="52"/>
      <c r="W104" s="52"/>
      <c r="X104" s="52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/>
      <c r="BJ104" s="50"/>
      <c r="BK104" s="50"/>
      <c r="BL104" s="50"/>
      <c r="BM104" s="50"/>
      <c r="BN104" s="50"/>
      <c r="BO104" s="50"/>
      <c r="BP104" s="50"/>
      <c r="BQ104" s="50"/>
      <c r="BR104" s="29"/>
      <c r="BS104" s="29"/>
      <c r="BT104" s="29"/>
      <c r="BU104" s="29"/>
      <c r="BV104" s="29"/>
      <c r="BW104" s="29"/>
      <c r="BX104" s="29"/>
      <c r="BY104" s="29"/>
    </row>
    <row r="105" spans="1:79" ht="42.75" customHeight="1" x14ac:dyDescent="0.2">
      <c r="A105" s="39">
        <v>1</v>
      </c>
      <c r="B105" s="39"/>
      <c r="C105" s="48" t="s">
        <v>122</v>
      </c>
      <c r="D105" s="41"/>
      <c r="E105" s="41"/>
      <c r="F105" s="41"/>
      <c r="G105" s="41"/>
      <c r="H105" s="41"/>
      <c r="I105" s="42"/>
      <c r="J105" s="49" t="s">
        <v>115</v>
      </c>
      <c r="K105" s="49"/>
      <c r="L105" s="49"/>
      <c r="M105" s="49"/>
      <c r="N105" s="49"/>
      <c r="O105" s="49" t="s">
        <v>119</v>
      </c>
      <c r="P105" s="49"/>
      <c r="Q105" s="49"/>
      <c r="R105" s="49"/>
      <c r="S105" s="49"/>
      <c r="T105" s="49"/>
      <c r="U105" s="49"/>
      <c r="V105" s="49"/>
      <c r="W105" s="49"/>
      <c r="X105" s="49"/>
      <c r="Y105" s="47">
        <v>2</v>
      </c>
      <c r="Z105" s="47"/>
      <c r="AA105" s="47"/>
      <c r="AB105" s="47"/>
      <c r="AC105" s="47"/>
      <c r="AD105" s="47">
        <v>0</v>
      </c>
      <c r="AE105" s="47"/>
      <c r="AF105" s="47"/>
      <c r="AG105" s="47"/>
      <c r="AH105" s="47"/>
      <c r="AI105" s="47">
        <v>2</v>
      </c>
      <c r="AJ105" s="47"/>
      <c r="AK105" s="47"/>
      <c r="AL105" s="47"/>
      <c r="AM105" s="47"/>
      <c r="AN105" s="47">
        <v>2</v>
      </c>
      <c r="AO105" s="47"/>
      <c r="AP105" s="47"/>
      <c r="AQ105" s="47"/>
      <c r="AR105" s="47"/>
      <c r="AS105" s="47">
        <v>0</v>
      </c>
      <c r="AT105" s="47"/>
      <c r="AU105" s="47"/>
      <c r="AV105" s="47"/>
      <c r="AW105" s="47"/>
      <c r="AX105" s="47">
        <v>2</v>
      </c>
      <c r="AY105" s="47"/>
      <c r="AZ105" s="47"/>
      <c r="BA105" s="47"/>
      <c r="BB105" s="47"/>
      <c r="BC105" s="47">
        <f>AN105-Y105</f>
        <v>0</v>
      </c>
      <c r="BD105" s="47"/>
      <c r="BE105" s="47"/>
      <c r="BF105" s="47"/>
      <c r="BG105" s="47"/>
      <c r="BH105" s="47">
        <f>AS105-AD105</f>
        <v>0</v>
      </c>
      <c r="BI105" s="47"/>
      <c r="BJ105" s="47"/>
      <c r="BK105" s="47"/>
      <c r="BL105" s="47"/>
      <c r="BM105" s="47">
        <v>0</v>
      </c>
      <c r="BN105" s="47"/>
      <c r="BO105" s="47"/>
      <c r="BP105" s="47"/>
      <c r="BQ105" s="47"/>
      <c r="BR105" s="10"/>
      <c r="BS105" s="10"/>
      <c r="BT105" s="10"/>
      <c r="BU105" s="10"/>
      <c r="BV105" s="10"/>
      <c r="BW105" s="10"/>
      <c r="BX105" s="10"/>
      <c r="BY105" s="10"/>
    </row>
    <row r="106" spans="1:79" ht="63.75" customHeight="1" x14ac:dyDescent="0.2">
      <c r="A106" s="39">
        <v>2</v>
      </c>
      <c r="B106" s="39"/>
      <c r="C106" s="48" t="s">
        <v>123</v>
      </c>
      <c r="D106" s="41"/>
      <c r="E106" s="41"/>
      <c r="F106" s="41"/>
      <c r="G106" s="41"/>
      <c r="H106" s="41"/>
      <c r="I106" s="42"/>
      <c r="J106" s="49" t="s">
        <v>115</v>
      </c>
      <c r="K106" s="49"/>
      <c r="L106" s="49"/>
      <c r="M106" s="49"/>
      <c r="N106" s="49"/>
      <c r="O106" s="49" t="s">
        <v>119</v>
      </c>
      <c r="P106" s="49"/>
      <c r="Q106" s="49"/>
      <c r="R106" s="49"/>
      <c r="S106" s="49"/>
      <c r="T106" s="49"/>
      <c r="U106" s="49"/>
      <c r="V106" s="49"/>
      <c r="W106" s="49"/>
      <c r="X106" s="49"/>
      <c r="Y106" s="47">
        <v>50</v>
      </c>
      <c r="Z106" s="47"/>
      <c r="AA106" s="47"/>
      <c r="AB106" s="47"/>
      <c r="AC106" s="47"/>
      <c r="AD106" s="47">
        <v>0</v>
      </c>
      <c r="AE106" s="47"/>
      <c r="AF106" s="47"/>
      <c r="AG106" s="47"/>
      <c r="AH106" s="47"/>
      <c r="AI106" s="47">
        <v>50</v>
      </c>
      <c r="AJ106" s="47"/>
      <c r="AK106" s="47"/>
      <c r="AL106" s="47"/>
      <c r="AM106" s="47"/>
      <c r="AN106" s="47">
        <v>50</v>
      </c>
      <c r="AO106" s="47"/>
      <c r="AP106" s="47"/>
      <c r="AQ106" s="47"/>
      <c r="AR106" s="47"/>
      <c r="AS106" s="47">
        <v>0</v>
      </c>
      <c r="AT106" s="47"/>
      <c r="AU106" s="47"/>
      <c r="AV106" s="47"/>
      <c r="AW106" s="47"/>
      <c r="AX106" s="47">
        <v>50</v>
      </c>
      <c r="AY106" s="47"/>
      <c r="AZ106" s="47"/>
      <c r="BA106" s="47"/>
      <c r="BB106" s="47"/>
      <c r="BC106" s="47">
        <f>AN106-Y106</f>
        <v>0</v>
      </c>
      <c r="BD106" s="47"/>
      <c r="BE106" s="47"/>
      <c r="BF106" s="47"/>
      <c r="BG106" s="47"/>
      <c r="BH106" s="47">
        <f>AS106-AD106</f>
        <v>0</v>
      </c>
      <c r="BI106" s="47"/>
      <c r="BJ106" s="47"/>
      <c r="BK106" s="47"/>
      <c r="BL106" s="47"/>
      <c r="BM106" s="47">
        <v>0</v>
      </c>
      <c r="BN106" s="47"/>
      <c r="BO106" s="47"/>
      <c r="BP106" s="47"/>
      <c r="BQ106" s="47"/>
      <c r="BR106" s="10"/>
      <c r="BS106" s="10"/>
      <c r="BT106" s="10"/>
      <c r="BU106" s="10"/>
      <c r="BV106" s="10"/>
      <c r="BW106" s="10"/>
      <c r="BX106" s="10"/>
      <c r="BY106" s="10"/>
    </row>
    <row r="107" spans="1:79" s="27" customFormat="1" ht="15.75" x14ac:dyDescent="0.2">
      <c r="A107" s="31">
        <v>0</v>
      </c>
      <c r="B107" s="31"/>
      <c r="C107" s="51" t="s">
        <v>124</v>
      </c>
      <c r="D107" s="33"/>
      <c r="E107" s="33"/>
      <c r="F107" s="33"/>
      <c r="G107" s="33"/>
      <c r="H107" s="33"/>
      <c r="I107" s="34"/>
      <c r="J107" s="52" t="s">
        <v>113</v>
      </c>
      <c r="K107" s="52"/>
      <c r="L107" s="52"/>
      <c r="M107" s="52"/>
      <c r="N107" s="52"/>
      <c r="O107" s="52" t="s">
        <v>113</v>
      </c>
      <c r="P107" s="52"/>
      <c r="Q107" s="52"/>
      <c r="R107" s="52"/>
      <c r="S107" s="52"/>
      <c r="T107" s="52"/>
      <c r="U107" s="52"/>
      <c r="V107" s="52"/>
      <c r="W107" s="52"/>
      <c r="X107" s="52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  <c r="BO107" s="50"/>
      <c r="BP107" s="50"/>
      <c r="BQ107" s="50"/>
      <c r="BR107" s="29"/>
      <c r="BS107" s="29"/>
      <c r="BT107" s="29"/>
      <c r="BU107" s="29"/>
      <c r="BV107" s="29"/>
      <c r="BW107" s="29"/>
      <c r="BX107" s="29"/>
      <c r="BY107" s="29"/>
    </row>
    <row r="108" spans="1:79" ht="25.5" customHeight="1" x14ac:dyDescent="0.2">
      <c r="A108" s="39">
        <v>1</v>
      </c>
      <c r="B108" s="39"/>
      <c r="C108" s="48" t="s">
        <v>125</v>
      </c>
      <c r="D108" s="41"/>
      <c r="E108" s="41"/>
      <c r="F108" s="41"/>
      <c r="G108" s="41"/>
      <c r="H108" s="41"/>
      <c r="I108" s="42"/>
      <c r="J108" s="49" t="s">
        <v>126</v>
      </c>
      <c r="K108" s="49"/>
      <c r="L108" s="49"/>
      <c r="M108" s="49"/>
      <c r="N108" s="49"/>
      <c r="O108" s="48" t="s">
        <v>127</v>
      </c>
      <c r="P108" s="41"/>
      <c r="Q108" s="41"/>
      <c r="R108" s="41"/>
      <c r="S108" s="41"/>
      <c r="T108" s="41"/>
      <c r="U108" s="41"/>
      <c r="V108" s="41"/>
      <c r="W108" s="41"/>
      <c r="X108" s="42"/>
      <c r="Y108" s="47">
        <v>409144</v>
      </c>
      <c r="Z108" s="47"/>
      <c r="AA108" s="47"/>
      <c r="AB108" s="47"/>
      <c r="AC108" s="47"/>
      <c r="AD108" s="47">
        <v>0</v>
      </c>
      <c r="AE108" s="47"/>
      <c r="AF108" s="47"/>
      <c r="AG108" s="47"/>
      <c r="AH108" s="47"/>
      <c r="AI108" s="47">
        <v>409144</v>
      </c>
      <c r="AJ108" s="47"/>
      <c r="AK108" s="47"/>
      <c r="AL108" s="47"/>
      <c r="AM108" s="47"/>
      <c r="AN108" s="47">
        <v>444868</v>
      </c>
      <c r="AO108" s="47"/>
      <c r="AP108" s="47"/>
      <c r="AQ108" s="47"/>
      <c r="AR108" s="47"/>
      <c r="AS108" s="47">
        <v>0</v>
      </c>
      <c r="AT108" s="47"/>
      <c r="AU108" s="47"/>
      <c r="AV108" s="47"/>
      <c r="AW108" s="47"/>
      <c r="AX108" s="47">
        <v>444868</v>
      </c>
      <c r="AY108" s="47"/>
      <c r="AZ108" s="47"/>
      <c r="BA108" s="47"/>
      <c r="BB108" s="47"/>
      <c r="BC108" s="47">
        <f>AN108-Y108</f>
        <v>35724</v>
      </c>
      <c r="BD108" s="47"/>
      <c r="BE108" s="47"/>
      <c r="BF108" s="47"/>
      <c r="BG108" s="47"/>
      <c r="BH108" s="47">
        <f>AS108-AD108</f>
        <v>0</v>
      </c>
      <c r="BI108" s="47"/>
      <c r="BJ108" s="47"/>
      <c r="BK108" s="47"/>
      <c r="BL108" s="47"/>
      <c r="BM108" s="47">
        <v>35724</v>
      </c>
      <c r="BN108" s="47"/>
      <c r="BO108" s="47"/>
      <c r="BP108" s="47"/>
      <c r="BQ108" s="47"/>
      <c r="BR108" s="10"/>
      <c r="BS108" s="10"/>
      <c r="BT108" s="10"/>
      <c r="BU108" s="10"/>
      <c r="BV108" s="10"/>
      <c r="BW108" s="10"/>
      <c r="BX108" s="10"/>
      <c r="BY108" s="10"/>
    </row>
    <row r="109" spans="1:79" ht="63.75" customHeight="1" x14ac:dyDescent="0.2">
      <c r="A109" s="39">
        <v>2</v>
      </c>
      <c r="B109" s="39"/>
      <c r="C109" s="48" t="s">
        <v>128</v>
      </c>
      <c r="D109" s="41"/>
      <c r="E109" s="41"/>
      <c r="F109" s="41"/>
      <c r="G109" s="41"/>
      <c r="H109" s="41"/>
      <c r="I109" s="42"/>
      <c r="J109" s="49" t="s">
        <v>115</v>
      </c>
      <c r="K109" s="49"/>
      <c r="L109" s="49"/>
      <c r="M109" s="49"/>
      <c r="N109" s="49"/>
      <c r="O109" s="48" t="s">
        <v>129</v>
      </c>
      <c r="P109" s="41"/>
      <c r="Q109" s="41"/>
      <c r="R109" s="41"/>
      <c r="S109" s="41"/>
      <c r="T109" s="41"/>
      <c r="U109" s="41"/>
      <c r="V109" s="41"/>
      <c r="W109" s="41"/>
      <c r="X109" s="42"/>
      <c r="Y109" s="47">
        <v>50</v>
      </c>
      <c r="Z109" s="47"/>
      <c r="AA109" s="47"/>
      <c r="AB109" s="47"/>
      <c r="AC109" s="47"/>
      <c r="AD109" s="47">
        <v>0</v>
      </c>
      <c r="AE109" s="47"/>
      <c r="AF109" s="47"/>
      <c r="AG109" s="47"/>
      <c r="AH109" s="47"/>
      <c r="AI109" s="47">
        <v>50</v>
      </c>
      <c r="AJ109" s="47"/>
      <c r="AK109" s="47"/>
      <c r="AL109" s="47"/>
      <c r="AM109" s="47"/>
      <c r="AN109" s="47">
        <v>50</v>
      </c>
      <c r="AO109" s="47"/>
      <c r="AP109" s="47"/>
      <c r="AQ109" s="47"/>
      <c r="AR109" s="47"/>
      <c r="AS109" s="47">
        <v>0</v>
      </c>
      <c r="AT109" s="47"/>
      <c r="AU109" s="47"/>
      <c r="AV109" s="47"/>
      <c r="AW109" s="47"/>
      <c r="AX109" s="47">
        <v>50</v>
      </c>
      <c r="AY109" s="47"/>
      <c r="AZ109" s="47"/>
      <c r="BA109" s="47"/>
      <c r="BB109" s="47"/>
      <c r="BC109" s="47">
        <f>AN109-Y109</f>
        <v>0</v>
      </c>
      <c r="BD109" s="47"/>
      <c r="BE109" s="47"/>
      <c r="BF109" s="47"/>
      <c r="BG109" s="47"/>
      <c r="BH109" s="47">
        <f>AS109-AD109</f>
        <v>0</v>
      </c>
      <c r="BI109" s="47"/>
      <c r="BJ109" s="47"/>
      <c r="BK109" s="47"/>
      <c r="BL109" s="47"/>
      <c r="BM109" s="47">
        <v>0</v>
      </c>
      <c r="BN109" s="47"/>
      <c r="BO109" s="47"/>
      <c r="BP109" s="47"/>
      <c r="BQ109" s="47"/>
      <c r="BR109" s="10"/>
      <c r="BS109" s="10"/>
      <c r="BT109" s="10"/>
      <c r="BU109" s="10"/>
      <c r="BV109" s="10"/>
      <c r="BW109" s="10"/>
      <c r="BX109" s="10"/>
      <c r="BY109" s="10"/>
    </row>
    <row r="110" spans="1:79" ht="38.25" customHeight="1" x14ac:dyDescent="0.2">
      <c r="A110" s="39">
        <v>3</v>
      </c>
      <c r="B110" s="39"/>
      <c r="C110" s="48" t="s">
        <v>130</v>
      </c>
      <c r="D110" s="41"/>
      <c r="E110" s="41"/>
      <c r="F110" s="41"/>
      <c r="G110" s="41"/>
      <c r="H110" s="41"/>
      <c r="I110" s="42"/>
      <c r="J110" s="49" t="s">
        <v>115</v>
      </c>
      <c r="K110" s="49"/>
      <c r="L110" s="49"/>
      <c r="M110" s="49"/>
      <c r="N110" s="49"/>
      <c r="O110" s="48" t="s">
        <v>129</v>
      </c>
      <c r="P110" s="41"/>
      <c r="Q110" s="41"/>
      <c r="R110" s="41"/>
      <c r="S110" s="41"/>
      <c r="T110" s="41"/>
      <c r="U110" s="41"/>
      <c r="V110" s="41"/>
      <c r="W110" s="41"/>
      <c r="X110" s="42"/>
      <c r="Y110" s="47">
        <v>2</v>
      </c>
      <c r="Z110" s="47"/>
      <c r="AA110" s="47"/>
      <c r="AB110" s="47"/>
      <c r="AC110" s="47"/>
      <c r="AD110" s="47">
        <v>0</v>
      </c>
      <c r="AE110" s="47"/>
      <c r="AF110" s="47"/>
      <c r="AG110" s="47"/>
      <c r="AH110" s="47"/>
      <c r="AI110" s="47">
        <v>2</v>
      </c>
      <c r="AJ110" s="47"/>
      <c r="AK110" s="47"/>
      <c r="AL110" s="47"/>
      <c r="AM110" s="47"/>
      <c r="AN110" s="47">
        <v>2</v>
      </c>
      <c r="AO110" s="47"/>
      <c r="AP110" s="47"/>
      <c r="AQ110" s="47"/>
      <c r="AR110" s="47"/>
      <c r="AS110" s="47">
        <v>0</v>
      </c>
      <c r="AT110" s="47"/>
      <c r="AU110" s="47"/>
      <c r="AV110" s="47"/>
      <c r="AW110" s="47"/>
      <c r="AX110" s="47">
        <v>2</v>
      </c>
      <c r="AY110" s="47"/>
      <c r="AZ110" s="47"/>
      <c r="BA110" s="47"/>
      <c r="BB110" s="47"/>
      <c r="BC110" s="47">
        <f>AN110-Y110</f>
        <v>0</v>
      </c>
      <c r="BD110" s="47"/>
      <c r="BE110" s="47"/>
      <c r="BF110" s="47"/>
      <c r="BG110" s="47"/>
      <c r="BH110" s="47">
        <f>AS110-AD110</f>
        <v>0</v>
      </c>
      <c r="BI110" s="47"/>
      <c r="BJ110" s="47"/>
      <c r="BK110" s="47"/>
      <c r="BL110" s="47"/>
      <c r="BM110" s="47">
        <v>0</v>
      </c>
      <c r="BN110" s="47"/>
      <c r="BO110" s="47"/>
      <c r="BP110" s="47"/>
      <c r="BQ110" s="47"/>
      <c r="BR110" s="10"/>
      <c r="BS110" s="10"/>
      <c r="BT110" s="10"/>
      <c r="BU110" s="10"/>
      <c r="BV110" s="10"/>
      <c r="BW110" s="10"/>
      <c r="BX110" s="10"/>
      <c r="BY110" s="10"/>
    </row>
    <row r="111" spans="1:79" ht="15.75" x14ac:dyDescent="0.2">
      <c r="A111" s="23"/>
      <c r="B111" s="23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10"/>
      <c r="BS111" s="10"/>
      <c r="BT111" s="10"/>
      <c r="BU111" s="10"/>
      <c r="BV111" s="10"/>
      <c r="BW111" s="10"/>
      <c r="BX111" s="10"/>
      <c r="BY111" s="10"/>
    </row>
    <row r="112" spans="1:79" ht="15.75" customHeight="1" x14ac:dyDescent="0.2">
      <c r="A112" s="56" t="s">
        <v>63</v>
      </c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  <c r="BD112" s="56"/>
      <c r="BE112" s="56"/>
      <c r="BF112" s="56"/>
      <c r="BG112" s="56"/>
      <c r="BH112" s="56"/>
      <c r="BI112" s="56"/>
      <c r="BJ112" s="56"/>
      <c r="BK112" s="56"/>
      <c r="BL112" s="56"/>
      <c r="BM112" s="56"/>
      <c r="BN112" s="56"/>
      <c r="BO112" s="56"/>
      <c r="BP112" s="56"/>
      <c r="BQ112" s="56"/>
    </row>
    <row r="113" spans="1:79" ht="9" customHeight="1" x14ac:dyDescent="0.2">
      <c r="A113" s="23"/>
      <c r="B113" s="23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10"/>
      <c r="BS113" s="10"/>
      <c r="BT113" s="10"/>
      <c r="BU113" s="10"/>
      <c r="BV113" s="10"/>
      <c r="BW113" s="10"/>
      <c r="BX113" s="10"/>
      <c r="BY113" s="10"/>
    </row>
    <row r="114" spans="1:79" ht="45" customHeight="1" x14ac:dyDescent="0.2">
      <c r="A114" s="66" t="s">
        <v>3</v>
      </c>
      <c r="B114" s="68"/>
      <c r="C114" s="66" t="s">
        <v>6</v>
      </c>
      <c r="D114" s="67"/>
      <c r="E114" s="67"/>
      <c r="F114" s="67"/>
      <c r="G114" s="67"/>
      <c r="H114" s="67"/>
      <c r="I114" s="68"/>
      <c r="J114" s="66" t="s">
        <v>5</v>
      </c>
      <c r="K114" s="67"/>
      <c r="L114" s="67"/>
      <c r="M114" s="67"/>
      <c r="N114" s="68"/>
      <c r="O114" s="57" t="s">
        <v>64</v>
      </c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9"/>
      <c r="BR114" s="9"/>
      <c r="BS114" s="9"/>
      <c r="BT114" s="9"/>
      <c r="BU114" s="9"/>
      <c r="BV114" s="9"/>
      <c r="BW114" s="9"/>
      <c r="BX114" s="9"/>
      <c r="BY114" s="9"/>
    </row>
    <row r="115" spans="1:79" ht="15.95" customHeight="1" x14ac:dyDescent="0.2">
      <c r="A115" s="62">
        <v>1</v>
      </c>
      <c r="B115" s="62"/>
      <c r="C115" s="62">
        <v>2</v>
      </c>
      <c r="D115" s="62"/>
      <c r="E115" s="62"/>
      <c r="F115" s="62"/>
      <c r="G115" s="62"/>
      <c r="H115" s="62"/>
      <c r="I115" s="62"/>
      <c r="J115" s="62">
        <v>3</v>
      </c>
      <c r="K115" s="62"/>
      <c r="L115" s="62"/>
      <c r="M115" s="62"/>
      <c r="N115" s="62"/>
      <c r="O115" s="57">
        <v>4</v>
      </c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1"/>
      <c r="BR115" s="2"/>
      <c r="BS115" s="2"/>
      <c r="BT115" s="2"/>
      <c r="BU115" s="2"/>
      <c r="BV115" s="2"/>
      <c r="BW115" s="2"/>
      <c r="BX115" s="2"/>
      <c r="BY115" s="2"/>
    </row>
    <row r="116" spans="1:79" ht="12.75" hidden="1" customHeight="1" x14ac:dyDescent="0.2">
      <c r="A116" s="39" t="s">
        <v>36</v>
      </c>
      <c r="B116" s="39"/>
      <c r="C116" s="82" t="s">
        <v>14</v>
      </c>
      <c r="D116" s="83"/>
      <c r="E116" s="83"/>
      <c r="F116" s="83"/>
      <c r="G116" s="83"/>
      <c r="H116" s="83"/>
      <c r="I116" s="84"/>
      <c r="J116" s="39" t="s">
        <v>15</v>
      </c>
      <c r="K116" s="39"/>
      <c r="L116" s="39"/>
      <c r="M116" s="39"/>
      <c r="N116" s="39"/>
      <c r="O116" s="40" t="s">
        <v>70</v>
      </c>
      <c r="P116" s="92"/>
      <c r="Q116" s="92"/>
      <c r="R116" s="92"/>
      <c r="S116" s="92"/>
      <c r="T116" s="92"/>
      <c r="U116" s="92"/>
      <c r="V116" s="92"/>
      <c r="W116" s="92"/>
      <c r="X116" s="92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  <c r="AO116" s="93"/>
      <c r="AP116" s="93"/>
      <c r="AQ116" s="93"/>
      <c r="AR116" s="93"/>
      <c r="AS116" s="93"/>
      <c r="AT116" s="93"/>
      <c r="AU116" s="93"/>
      <c r="AV116" s="93"/>
      <c r="AW116" s="93"/>
      <c r="AX116" s="93"/>
      <c r="AY116" s="93"/>
      <c r="AZ116" s="93"/>
      <c r="BA116" s="93"/>
      <c r="BB116" s="93"/>
      <c r="BC116" s="93"/>
      <c r="BD116" s="93"/>
      <c r="BE116" s="93"/>
      <c r="BF116" s="93"/>
      <c r="BG116" s="93"/>
      <c r="BH116" s="93"/>
      <c r="BI116" s="93"/>
      <c r="BJ116" s="93"/>
      <c r="BK116" s="93"/>
      <c r="BL116" s="93"/>
      <c r="BM116" s="93"/>
      <c r="BN116" s="93"/>
      <c r="BO116" s="93"/>
      <c r="BP116" s="93"/>
      <c r="BQ116" s="94"/>
      <c r="CA116" s="1" t="s">
        <v>69</v>
      </c>
    </row>
    <row r="117" spans="1:79" s="27" customFormat="1" ht="15.75" x14ac:dyDescent="0.2">
      <c r="A117" s="31">
        <v>0</v>
      </c>
      <c r="B117" s="31"/>
      <c r="C117" s="31" t="s">
        <v>112</v>
      </c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5"/>
      <c r="P117" s="36"/>
      <c r="Q117" s="36"/>
      <c r="R117" s="36"/>
      <c r="S117" s="36"/>
      <c r="T117" s="36"/>
      <c r="U117" s="36"/>
      <c r="V117" s="36"/>
      <c r="W117" s="36"/>
      <c r="X117" s="36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8"/>
      <c r="BR117" s="30"/>
      <c r="BS117" s="30"/>
      <c r="BT117" s="30"/>
      <c r="BU117" s="30"/>
      <c r="BV117" s="30"/>
      <c r="BW117" s="30"/>
      <c r="BX117" s="30"/>
      <c r="BY117" s="30"/>
      <c r="CA117" s="27" t="s">
        <v>66</v>
      </c>
    </row>
    <row r="118" spans="1:79" ht="25.5" customHeight="1" x14ac:dyDescent="0.2">
      <c r="A118" s="39">
        <v>1</v>
      </c>
      <c r="B118" s="39"/>
      <c r="C118" s="40" t="s">
        <v>114</v>
      </c>
      <c r="D118" s="41"/>
      <c r="E118" s="41"/>
      <c r="F118" s="41"/>
      <c r="G118" s="41"/>
      <c r="H118" s="41"/>
      <c r="I118" s="42"/>
      <c r="J118" s="39" t="s">
        <v>115</v>
      </c>
      <c r="K118" s="39"/>
      <c r="L118" s="39"/>
      <c r="M118" s="39"/>
      <c r="N118" s="39"/>
      <c r="O118" s="43" t="s">
        <v>101</v>
      </c>
      <c r="P118" s="44"/>
      <c r="Q118" s="44"/>
      <c r="R118" s="44"/>
      <c r="S118" s="44"/>
      <c r="T118" s="44"/>
      <c r="U118" s="44"/>
      <c r="V118" s="44"/>
      <c r="W118" s="44"/>
      <c r="X118" s="44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45"/>
      <c r="BD118" s="45"/>
      <c r="BE118" s="45"/>
      <c r="BF118" s="45"/>
      <c r="BG118" s="45"/>
      <c r="BH118" s="45"/>
      <c r="BI118" s="45"/>
      <c r="BJ118" s="45"/>
      <c r="BK118" s="45"/>
      <c r="BL118" s="45"/>
      <c r="BM118" s="45"/>
      <c r="BN118" s="45"/>
      <c r="BO118" s="45"/>
      <c r="BP118" s="45"/>
      <c r="BQ118" s="46"/>
      <c r="BR118" s="2"/>
      <c r="BS118" s="2"/>
      <c r="BT118" s="2"/>
      <c r="BU118" s="2"/>
      <c r="BV118" s="2"/>
      <c r="BW118" s="2"/>
      <c r="BX118" s="2"/>
      <c r="BY118" s="2"/>
    </row>
    <row r="119" spans="1:79" s="27" customFormat="1" ht="15.75" x14ac:dyDescent="0.2">
      <c r="A119" s="31">
        <v>0</v>
      </c>
      <c r="B119" s="31"/>
      <c r="C119" s="32" t="s">
        <v>117</v>
      </c>
      <c r="D119" s="33"/>
      <c r="E119" s="33"/>
      <c r="F119" s="33"/>
      <c r="G119" s="33"/>
      <c r="H119" s="33"/>
      <c r="I119" s="34"/>
      <c r="J119" s="31"/>
      <c r="K119" s="31"/>
      <c r="L119" s="31"/>
      <c r="M119" s="31"/>
      <c r="N119" s="31"/>
      <c r="O119" s="35"/>
      <c r="P119" s="36"/>
      <c r="Q119" s="36"/>
      <c r="R119" s="36"/>
      <c r="S119" s="36"/>
      <c r="T119" s="36"/>
      <c r="U119" s="36"/>
      <c r="V119" s="36"/>
      <c r="W119" s="36"/>
      <c r="X119" s="36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8"/>
      <c r="BR119" s="30"/>
      <c r="BS119" s="30"/>
      <c r="BT119" s="30"/>
      <c r="BU119" s="30"/>
      <c r="BV119" s="30"/>
      <c r="BW119" s="30"/>
      <c r="BX119" s="30"/>
      <c r="BY119" s="30"/>
    </row>
    <row r="120" spans="1:79" s="27" customFormat="1" ht="15.75" x14ac:dyDescent="0.2">
      <c r="A120" s="31">
        <v>0</v>
      </c>
      <c r="B120" s="31"/>
      <c r="C120" s="32" t="s">
        <v>121</v>
      </c>
      <c r="D120" s="33"/>
      <c r="E120" s="33"/>
      <c r="F120" s="33"/>
      <c r="G120" s="33"/>
      <c r="H120" s="33"/>
      <c r="I120" s="34"/>
      <c r="J120" s="31"/>
      <c r="K120" s="31"/>
      <c r="L120" s="31"/>
      <c r="M120" s="31"/>
      <c r="N120" s="31"/>
      <c r="O120" s="35"/>
      <c r="P120" s="36"/>
      <c r="Q120" s="36"/>
      <c r="R120" s="36"/>
      <c r="S120" s="36"/>
      <c r="T120" s="36"/>
      <c r="U120" s="36"/>
      <c r="V120" s="36"/>
      <c r="W120" s="36"/>
      <c r="X120" s="36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8"/>
      <c r="BR120" s="30"/>
      <c r="BS120" s="30"/>
      <c r="BT120" s="30"/>
      <c r="BU120" s="30"/>
      <c r="BV120" s="30"/>
      <c r="BW120" s="30"/>
      <c r="BX120" s="30"/>
      <c r="BY120" s="30"/>
    </row>
    <row r="121" spans="1:79" s="27" customFormat="1" ht="15.75" x14ac:dyDescent="0.2">
      <c r="A121" s="31">
        <v>0</v>
      </c>
      <c r="B121" s="31"/>
      <c r="C121" s="32" t="s">
        <v>124</v>
      </c>
      <c r="D121" s="33"/>
      <c r="E121" s="33"/>
      <c r="F121" s="33"/>
      <c r="G121" s="33"/>
      <c r="H121" s="33"/>
      <c r="I121" s="34"/>
      <c r="J121" s="31"/>
      <c r="K121" s="31"/>
      <c r="L121" s="31"/>
      <c r="M121" s="31"/>
      <c r="N121" s="31"/>
      <c r="O121" s="35"/>
      <c r="P121" s="36"/>
      <c r="Q121" s="36"/>
      <c r="R121" s="36"/>
      <c r="S121" s="36"/>
      <c r="T121" s="36"/>
      <c r="U121" s="36"/>
      <c r="V121" s="36"/>
      <c r="W121" s="36"/>
      <c r="X121" s="36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8"/>
      <c r="BR121" s="30"/>
      <c r="BS121" s="30"/>
      <c r="BT121" s="30"/>
      <c r="BU121" s="30"/>
      <c r="BV121" s="30"/>
      <c r="BW121" s="30"/>
      <c r="BX121" s="30"/>
      <c r="BY121" s="30"/>
    </row>
    <row r="122" spans="1:79" ht="25.5" customHeight="1" x14ac:dyDescent="0.2">
      <c r="A122" s="39">
        <v>1</v>
      </c>
      <c r="B122" s="39"/>
      <c r="C122" s="40" t="s">
        <v>125</v>
      </c>
      <c r="D122" s="41"/>
      <c r="E122" s="41"/>
      <c r="F122" s="41"/>
      <c r="G122" s="41"/>
      <c r="H122" s="41"/>
      <c r="I122" s="42"/>
      <c r="J122" s="39" t="s">
        <v>126</v>
      </c>
      <c r="K122" s="39"/>
      <c r="L122" s="39"/>
      <c r="M122" s="39"/>
      <c r="N122" s="39"/>
      <c r="O122" s="43" t="s">
        <v>150</v>
      </c>
      <c r="P122" s="44"/>
      <c r="Q122" s="44"/>
      <c r="R122" s="44"/>
      <c r="S122" s="44"/>
      <c r="T122" s="44"/>
      <c r="U122" s="44"/>
      <c r="V122" s="44"/>
      <c r="W122" s="44"/>
      <c r="X122" s="44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45"/>
      <c r="BD122" s="45"/>
      <c r="BE122" s="45"/>
      <c r="BF122" s="45"/>
      <c r="BG122" s="45"/>
      <c r="BH122" s="45"/>
      <c r="BI122" s="45"/>
      <c r="BJ122" s="45"/>
      <c r="BK122" s="45"/>
      <c r="BL122" s="45"/>
      <c r="BM122" s="45"/>
      <c r="BN122" s="45"/>
      <c r="BO122" s="45"/>
      <c r="BP122" s="45"/>
      <c r="BQ122" s="46"/>
      <c r="BR122" s="2"/>
      <c r="BS122" s="2"/>
      <c r="BT122" s="2"/>
      <c r="BU122" s="2"/>
      <c r="BV122" s="2"/>
      <c r="BW122" s="2"/>
      <c r="BX122" s="2"/>
      <c r="BY122" s="2"/>
    </row>
    <row r="123" spans="1:79" ht="15.75" x14ac:dyDescent="0.2">
      <c r="A123" s="23"/>
      <c r="B123" s="23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10"/>
      <c r="BS123" s="10"/>
      <c r="BT123" s="10"/>
      <c r="BU123" s="10"/>
      <c r="BV123" s="10"/>
      <c r="BW123" s="10"/>
      <c r="BX123" s="10"/>
      <c r="BY123" s="10"/>
    </row>
    <row r="124" spans="1:79" ht="15.95" customHeight="1" x14ac:dyDescent="0.2">
      <c r="A124" s="56" t="s">
        <v>65</v>
      </c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  <c r="BD124" s="56"/>
      <c r="BE124" s="56"/>
      <c r="BF124" s="56"/>
      <c r="BG124" s="56"/>
      <c r="BH124" s="56"/>
      <c r="BI124" s="56"/>
      <c r="BJ124" s="56"/>
      <c r="BK124" s="56"/>
      <c r="BL124" s="56"/>
    </row>
    <row r="125" spans="1:79" ht="15.95" customHeight="1" x14ac:dyDescent="0.2">
      <c r="A125" s="116" t="s">
        <v>132</v>
      </c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  <c r="AA125" s="117"/>
      <c r="AB125" s="117"/>
      <c r="AC125" s="117"/>
      <c r="AD125" s="117"/>
      <c r="AE125" s="117"/>
      <c r="AF125" s="117"/>
      <c r="AG125" s="117"/>
      <c r="AH125" s="117"/>
      <c r="AI125" s="117"/>
      <c r="AJ125" s="117"/>
      <c r="AK125" s="117"/>
      <c r="AL125" s="117"/>
      <c r="AM125" s="117"/>
      <c r="AN125" s="117"/>
      <c r="AO125" s="117"/>
      <c r="AP125" s="117"/>
      <c r="AQ125" s="117"/>
      <c r="AR125" s="117"/>
      <c r="AS125" s="117"/>
      <c r="AT125" s="117"/>
      <c r="AU125" s="117"/>
      <c r="AV125" s="117"/>
      <c r="AW125" s="117"/>
      <c r="AX125" s="117"/>
      <c r="AY125" s="117"/>
      <c r="AZ125" s="117"/>
      <c r="BA125" s="117"/>
      <c r="BB125" s="117"/>
      <c r="BC125" s="117"/>
      <c r="BD125" s="117"/>
      <c r="BE125" s="117"/>
      <c r="BF125" s="117"/>
      <c r="BG125" s="117"/>
      <c r="BH125" s="117"/>
      <c r="BI125" s="117"/>
      <c r="BJ125" s="117"/>
      <c r="BK125" s="117"/>
      <c r="BL125" s="117"/>
    </row>
    <row r="126" spans="1:79" ht="15.75" x14ac:dyDescent="0.2">
      <c r="A126" s="23"/>
      <c r="B126" s="23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10"/>
      <c r="BS126" s="10"/>
      <c r="BT126" s="10"/>
      <c r="BU126" s="10"/>
      <c r="BV126" s="10"/>
      <c r="BW126" s="10"/>
      <c r="BX126" s="10"/>
      <c r="BY126" s="10"/>
    </row>
    <row r="127" spans="1:79" ht="15.95" customHeight="1" x14ac:dyDescent="0.2">
      <c r="A127" s="56" t="s">
        <v>46</v>
      </c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  <c r="BD127" s="56"/>
      <c r="BE127" s="56"/>
      <c r="BF127" s="56"/>
      <c r="BG127" s="56"/>
      <c r="BH127" s="56"/>
      <c r="BI127" s="56"/>
      <c r="BJ127" s="56"/>
      <c r="BK127" s="56"/>
      <c r="BL127" s="56"/>
    </row>
    <row r="128" spans="1:79" ht="210.75" customHeight="1" x14ac:dyDescent="0.2">
      <c r="A128" s="116" t="s">
        <v>133</v>
      </c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17"/>
      <c r="AH128" s="117"/>
      <c r="AI128" s="117"/>
      <c r="AJ128" s="117"/>
      <c r="AK128" s="117"/>
      <c r="AL128" s="117"/>
      <c r="AM128" s="117"/>
      <c r="AN128" s="117"/>
      <c r="AO128" s="117"/>
      <c r="AP128" s="117"/>
      <c r="AQ128" s="117"/>
      <c r="AR128" s="117"/>
      <c r="AS128" s="117"/>
      <c r="AT128" s="117"/>
      <c r="AU128" s="117"/>
      <c r="AV128" s="117"/>
      <c r="AW128" s="117"/>
      <c r="AX128" s="117"/>
      <c r="AY128" s="117"/>
      <c r="AZ128" s="117"/>
      <c r="BA128" s="117"/>
      <c r="BB128" s="117"/>
      <c r="BC128" s="117"/>
      <c r="BD128" s="117"/>
      <c r="BE128" s="117"/>
      <c r="BF128" s="117"/>
      <c r="BG128" s="117"/>
      <c r="BH128" s="117"/>
      <c r="BI128" s="117"/>
      <c r="BJ128" s="117"/>
      <c r="BK128" s="117"/>
      <c r="BL128" s="117"/>
    </row>
    <row r="129" spans="1:64" ht="15.95" customHeight="1" x14ac:dyDescent="0.25">
      <c r="A129" s="2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</row>
    <row r="130" spans="1:64" ht="42" customHeight="1" x14ac:dyDescent="0.25">
      <c r="A130" s="116" t="s">
        <v>136</v>
      </c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  <c r="AM130" s="91"/>
      <c r="AN130" s="3"/>
      <c r="AO130" s="3"/>
      <c r="AP130" s="95" t="s">
        <v>138</v>
      </c>
      <c r="AQ130" s="96"/>
      <c r="AR130" s="96"/>
      <c r="AS130" s="96"/>
      <c r="AT130" s="96"/>
      <c r="AU130" s="96"/>
      <c r="AV130" s="96"/>
      <c r="AW130" s="96"/>
      <c r="AX130" s="96"/>
      <c r="AY130" s="96"/>
      <c r="AZ130" s="96"/>
      <c r="BA130" s="96"/>
      <c r="BB130" s="96"/>
      <c r="BC130" s="96"/>
      <c r="BD130" s="96"/>
      <c r="BE130" s="96"/>
      <c r="BF130" s="96"/>
      <c r="BG130" s="96"/>
      <c r="BH130" s="96"/>
    </row>
    <row r="131" spans="1:64" x14ac:dyDescent="0.2">
      <c r="W131" s="90" t="s">
        <v>8</v>
      </c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0"/>
      <c r="AN131" s="4"/>
      <c r="AO131" s="4"/>
      <c r="AP131" s="90" t="s">
        <v>71</v>
      </c>
      <c r="AQ131" s="90"/>
      <c r="AR131" s="90"/>
      <c r="AS131" s="90"/>
      <c r="AT131" s="90"/>
      <c r="AU131" s="90"/>
      <c r="AV131" s="90"/>
      <c r="AW131" s="90"/>
      <c r="AX131" s="90"/>
      <c r="AY131" s="90"/>
      <c r="AZ131" s="90"/>
      <c r="BA131" s="90"/>
      <c r="BB131" s="90"/>
      <c r="BC131" s="90"/>
      <c r="BD131" s="90"/>
      <c r="BE131" s="90"/>
      <c r="BF131" s="90"/>
      <c r="BG131" s="90"/>
      <c r="BH131" s="90"/>
    </row>
    <row r="134" spans="1:64" ht="31.5" customHeight="1" x14ac:dyDescent="0.25">
      <c r="A134" s="116" t="s">
        <v>137</v>
      </c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  <c r="AM134" s="91"/>
      <c r="AN134" s="3"/>
      <c r="AO134" s="3"/>
      <c r="AP134" s="95" t="s">
        <v>139</v>
      </c>
      <c r="AQ134" s="96"/>
      <c r="AR134" s="96"/>
      <c r="AS134" s="96"/>
      <c r="AT134" s="96"/>
      <c r="AU134" s="96"/>
      <c r="AV134" s="96"/>
      <c r="AW134" s="96"/>
      <c r="AX134" s="96"/>
      <c r="AY134" s="96"/>
      <c r="AZ134" s="96"/>
      <c r="BA134" s="96"/>
      <c r="BB134" s="96"/>
      <c r="BC134" s="96"/>
      <c r="BD134" s="96"/>
      <c r="BE134" s="96"/>
      <c r="BF134" s="96"/>
      <c r="BG134" s="96"/>
      <c r="BH134" s="96"/>
    </row>
    <row r="135" spans="1:64" x14ac:dyDescent="0.2">
      <c r="W135" s="90" t="s">
        <v>8</v>
      </c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90"/>
      <c r="AN135" s="4"/>
      <c r="AO135" s="4"/>
      <c r="AP135" s="90" t="s">
        <v>71</v>
      </c>
      <c r="AQ135" s="90"/>
      <c r="AR135" s="90"/>
      <c r="AS135" s="90"/>
      <c r="AT135" s="90"/>
      <c r="AU135" s="90"/>
      <c r="AV135" s="90"/>
      <c r="AW135" s="90"/>
      <c r="AX135" s="90"/>
      <c r="AY135" s="90"/>
      <c r="AZ135" s="90"/>
      <c r="BA135" s="90"/>
      <c r="BB135" s="90"/>
      <c r="BC135" s="90"/>
      <c r="BD135" s="90"/>
      <c r="BE135" s="90"/>
      <c r="BF135" s="90"/>
      <c r="BG135" s="90"/>
      <c r="BH135" s="90"/>
    </row>
  </sheetData>
  <mergeCells count="657">
    <mergeCell ref="A87:B87"/>
    <mergeCell ref="A88:B88"/>
    <mergeCell ref="A89:B89"/>
    <mergeCell ref="C89:R89"/>
    <mergeCell ref="S89:W89"/>
    <mergeCell ref="BI88:BN88"/>
    <mergeCell ref="BD89:BH89"/>
    <mergeCell ref="BD87:BH87"/>
    <mergeCell ref="BI87:BN87"/>
    <mergeCell ref="BI89:BN89"/>
    <mergeCell ref="BD88:BH88"/>
    <mergeCell ref="X89:AB89"/>
    <mergeCell ref="AC89:AH89"/>
    <mergeCell ref="C88:R88"/>
    <mergeCell ref="S88:W88"/>
    <mergeCell ref="X88:AB88"/>
    <mergeCell ref="AC88:AH88"/>
    <mergeCell ref="AI89:AM89"/>
    <mergeCell ref="AN89:AR89"/>
    <mergeCell ref="AS89:AX89"/>
    <mergeCell ref="AY89:BC89"/>
    <mergeCell ref="AI87:AM87"/>
    <mergeCell ref="AY88:BC88"/>
    <mergeCell ref="AY86:BC86"/>
    <mergeCell ref="BD86:BH86"/>
    <mergeCell ref="AI88:AM88"/>
    <mergeCell ref="AN88:AR88"/>
    <mergeCell ref="AS88:AX88"/>
    <mergeCell ref="AN87:AR87"/>
    <mergeCell ref="AS87:AX87"/>
    <mergeCell ref="AY87:BC87"/>
    <mergeCell ref="C85:R86"/>
    <mergeCell ref="S85:AH85"/>
    <mergeCell ref="AI85:AX85"/>
    <mergeCell ref="AS86:AX86"/>
    <mergeCell ref="A38:BQ38"/>
    <mergeCell ref="C39:Z40"/>
    <mergeCell ref="BI40:BM40"/>
    <mergeCell ref="BD40:BH40"/>
    <mergeCell ref="AZ40:BC40"/>
    <mergeCell ref="BD43:BH43"/>
    <mergeCell ref="AZ41:BC41"/>
    <mergeCell ref="BD41:BH41"/>
    <mergeCell ref="AP41:AT41"/>
    <mergeCell ref="BD42:BH42"/>
    <mergeCell ref="AK40:AO40"/>
    <mergeCell ref="A42:B42"/>
    <mergeCell ref="AF40:AJ40"/>
    <mergeCell ref="A65:BQ65"/>
    <mergeCell ref="AY85:BN85"/>
    <mergeCell ref="BI86:BN86"/>
    <mergeCell ref="A85:B86"/>
    <mergeCell ref="BN43:BQ43"/>
    <mergeCell ref="G33:BL33"/>
    <mergeCell ref="A25:F25"/>
    <mergeCell ref="AA39:AO39"/>
    <mergeCell ref="AP39:BC39"/>
    <mergeCell ref="BN42:BQ42"/>
    <mergeCell ref="BI42:BM42"/>
    <mergeCell ref="AP42:AT42"/>
    <mergeCell ref="C42:Z42"/>
    <mergeCell ref="AK42:AO42"/>
    <mergeCell ref="AF42:AJ42"/>
    <mergeCell ref="A26:F26"/>
    <mergeCell ref="G26:BL26"/>
    <mergeCell ref="A34:F34"/>
    <mergeCell ref="G34:BL34"/>
    <mergeCell ref="BN40:BQ40"/>
    <mergeCell ref="A39:B40"/>
    <mergeCell ref="A33:F33"/>
    <mergeCell ref="AP135:BH135"/>
    <mergeCell ref="A134:V134"/>
    <mergeCell ref="W134:AM134"/>
    <mergeCell ref="AP134:BH134"/>
    <mergeCell ref="W135:AM135"/>
    <mergeCell ref="AP131:BH131"/>
    <mergeCell ref="A128:BL128"/>
    <mergeCell ref="A70:B70"/>
    <mergeCell ref="A68:B68"/>
    <mergeCell ref="A69:B69"/>
    <mergeCell ref="A84:BN84"/>
    <mergeCell ref="A83:BN83"/>
    <mergeCell ref="C70:BQ70"/>
    <mergeCell ref="C68:BQ68"/>
    <mergeCell ref="C69:BQ69"/>
    <mergeCell ref="A72:B72"/>
    <mergeCell ref="C72:BQ72"/>
    <mergeCell ref="A92:BQ92"/>
    <mergeCell ref="C97:I97"/>
    <mergeCell ref="J116:N116"/>
    <mergeCell ref="A115:B115"/>
    <mergeCell ref="A98:B98"/>
    <mergeCell ref="O99:X99"/>
    <mergeCell ref="Y99:AC99"/>
    <mergeCell ref="W131:AM131"/>
    <mergeCell ref="A130:V130"/>
    <mergeCell ref="W130:AM130"/>
    <mergeCell ref="A99:B99"/>
    <mergeCell ref="AD99:AH99"/>
    <mergeCell ref="A112:BQ112"/>
    <mergeCell ref="A114:B114"/>
    <mergeCell ref="C114:I114"/>
    <mergeCell ref="BC99:BG99"/>
    <mergeCell ref="J99:N99"/>
    <mergeCell ref="O116:BQ116"/>
    <mergeCell ref="C115:I115"/>
    <mergeCell ref="J115:N115"/>
    <mergeCell ref="AP130:BH130"/>
    <mergeCell ref="C99:I99"/>
    <mergeCell ref="A127:BL127"/>
    <mergeCell ref="BM99:BQ99"/>
    <mergeCell ref="BH99:BL99"/>
    <mergeCell ref="A43:B43"/>
    <mergeCell ref="A67:B67"/>
    <mergeCell ref="AF43:AJ43"/>
    <mergeCell ref="AZ43:BC43"/>
    <mergeCell ref="AU43:AY43"/>
    <mergeCell ref="AA43:AE43"/>
    <mergeCell ref="C43:Z43"/>
    <mergeCell ref="AK43:AO43"/>
    <mergeCell ref="Y98:AC98"/>
    <mergeCell ref="C98:I98"/>
    <mergeCell ref="C95:I96"/>
    <mergeCell ref="J95:N96"/>
    <mergeCell ref="O95:X96"/>
    <mergeCell ref="Y96:AC96"/>
    <mergeCell ref="AN97:AR97"/>
    <mergeCell ref="AN95:BB95"/>
    <mergeCell ref="J98:N98"/>
    <mergeCell ref="O98:X98"/>
    <mergeCell ref="C87:R87"/>
    <mergeCell ref="S87:W87"/>
    <mergeCell ref="X87:AB87"/>
    <mergeCell ref="AC87:AH87"/>
    <mergeCell ref="BC97:BG97"/>
    <mergeCell ref="BC98:BG98"/>
    <mergeCell ref="BC96:BG96"/>
    <mergeCell ref="A93:BQ93"/>
    <mergeCell ref="AD98:AH98"/>
    <mergeCell ref="AI97:AM97"/>
    <mergeCell ref="BH97:BL97"/>
    <mergeCell ref="BM97:BQ97"/>
    <mergeCell ref="BM98:BQ98"/>
    <mergeCell ref="BH98:BL98"/>
    <mergeCell ref="A97:B97"/>
    <mergeCell ref="O97:X97"/>
    <mergeCell ref="Y95:AM95"/>
    <mergeCell ref="J97:N97"/>
    <mergeCell ref="Y97:AC97"/>
    <mergeCell ref="A95:B96"/>
    <mergeCell ref="AD97:AH97"/>
    <mergeCell ref="AO2:BL6"/>
    <mergeCell ref="A7:BL7"/>
    <mergeCell ref="A8:BL8"/>
    <mergeCell ref="A9:BL9"/>
    <mergeCell ref="AA41:AE41"/>
    <mergeCell ref="AF41:AJ41"/>
    <mergeCell ref="AK41:AO41"/>
    <mergeCell ref="A10:BL10"/>
    <mergeCell ref="A11:BL11"/>
    <mergeCell ref="A12:BL12"/>
    <mergeCell ref="A23:BL23"/>
    <mergeCell ref="A24:F24"/>
    <mergeCell ref="G24:BL24"/>
    <mergeCell ref="AP43:AT43"/>
    <mergeCell ref="A41:B41"/>
    <mergeCell ref="A28:BL28"/>
    <mergeCell ref="A29:BL29"/>
    <mergeCell ref="A31:BL31"/>
    <mergeCell ref="AA42:AE42"/>
    <mergeCell ref="C41:Z41"/>
    <mergeCell ref="AS96:AW96"/>
    <mergeCell ref="AN96:AR96"/>
    <mergeCell ref="AI96:AM96"/>
    <mergeCell ref="BC95:BQ95"/>
    <mergeCell ref="BN41:BQ41"/>
    <mergeCell ref="BM96:BQ96"/>
    <mergeCell ref="BH96:BL96"/>
    <mergeCell ref="AD96:AH96"/>
    <mergeCell ref="BI43:BM43"/>
    <mergeCell ref="AZ42:BC42"/>
    <mergeCell ref="AU42:AY42"/>
    <mergeCell ref="S86:W86"/>
    <mergeCell ref="X86:AB86"/>
    <mergeCell ref="AC86:AH86"/>
    <mergeCell ref="AI86:AM86"/>
    <mergeCell ref="AN86:AR86"/>
    <mergeCell ref="C67:BQ67"/>
    <mergeCell ref="AU40:AY40"/>
    <mergeCell ref="AK21:BC21"/>
    <mergeCell ref="AU41:AY41"/>
    <mergeCell ref="G25:BL25"/>
    <mergeCell ref="A37:BQ37"/>
    <mergeCell ref="AP40:AT40"/>
    <mergeCell ref="AA40:AE40"/>
    <mergeCell ref="BI41:BM41"/>
    <mergeCell ref="B14:L14"/>
    <mergeCell ref="N14:AS14"/>
    <mergeCell ref="AU14:BB14"/>
    <mergeCell ref="B18:L18"/>
    <mergeCell ref="N18:AS18"/>
    <mergeCell ref="BD39:BQ39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A32:F32"/>
    <mergeCell ref="G32:BL32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A36:BQ36"/>
    <mergeCell ref="AX96:BB96"/>
    <mergeCell ref="AX97:BB97"/>
    <mergeCell ref="AS97:AW97"/>
    <mergeCell ref="AI98:AM98"/>
    <mergeCell ref="AN98:AR98"/>
    <mergeCell ref="AS98:AW98"/>
    <mergeCell ref="AI99:AM99"/>
    <mergeCell ref="AN99:AR99"/>
    <mergeCell ref="AS99:AW99"/>
    <mergeCell ref="AX99:BB99"/>
    <mergeCell ref="AX98:BB98"/>
    <mergeCell ref="A124:BL124"/>
    <mergeCell ref="A125:BL125"/>
    <mergeCell ref="O114:BQ114"/>
    <mergeCell ref="O115:BQ115"/>
    <mergeCell ref="O117:BQ117"/>
    <mergeCell ref="A117:B117"/>
    <mergeCell ref="C117:I117"/>
    <mergeCell ref="J117:N117"/>
    <mergeCell ref="A116:B116"/>
    <mergeCell ref="A118:B118"/>
    <mergeCell ref="J114:N114"/>
    <mergeCell ref="C116:I116"/>
    <mergeCell ref="A45:B45"/>
    <mergeCell ref="C45:Z45"/>
    <mergeCell ref="AA45:AE45"/>
    <mergeCell ref="AF45:AJ45"/>
    <mergeCell ref="AK45:AO45"/>
    <mergeCell ref="A44:B44"/>
    <mergeCell ref="C44:Z44"/>
    <mergeCell ref="AA44:AE44"/>
    <mergeCell ref="AF44:AJ44"/>
    <mergeCell ref="AK44:AO44"/>
    <mergeCell ref="AP45:AT45"/>
    <mergeCell ref="AU45:AY45"/>
    <mergeCell ref="AZ45:BC45"/>
    <mergeCell ref="BD45:BH45"/>
    <mergeCell ref="BI45:BM45"/>
    <mergeCell ref="BN45:BQ45"/>
    <mergeCell ref="AU44:AY44"/>
    <mergeCell ref="AZ44:BC44"/>
    <mergeCell ref="BD44:BH44"/>
    <mergeCell ref="BI44:BM44"/>
    <mergeCell ref="BN44:BQ44"/>
    <mergeCell ref="AP44:AT44"/>
    <mergeCell ref="A47:B47"/>
    <mergeCell ref="C47:Z47"/>
    <mergeCell ref="AA47:AE47"/>
    <mergeCell ref="AF47:AJ47"/>
    <mergeCell ref="AK47:AO47"/>
    <mergeCell ref="A46:B46"/>
    <mergeCell ref="C46:Z46"/>
    <mergeCell ref="AA46:AE46"/>
    <mergeCell ref="AF46:AJ46"/>
    <mergeCell ref="AK46:AO46"/>
    <mergeCell ref="AP47:AT47"/>
    <mergeCell ref="AU47:AY47"/>
    <mergeCell ref="AZ47:BC47"/>
    <mergeCell ref="BD47:BH47"/>
    <mergeCell ref="BI47:BM47"/>
    <mergeCell ref="BN47:BQ47"/>
    <mergeCell ref="AU46:AY46"/>
    <mergeCell ref="AZ46:BC46"/>
    <mergeCell ref="BD46:BH46"/>
    <mergeCell ref="BI46:BM46"/>
    <mergeCell ref="BN46:BQ46"/>
    <mergeCell ref="AP46:AT46"/>
    <mergeCell ref="A49:B49"/>
    <mergeCell ref="C49:Z49"/>
    <mergeCell ref="AA49:AE49"/>
    <mergeCell ref="AF49:AJ49"/>
    <mergeCell ref="AK49:AO49"/>
    <mergeCell ref="A48:B48"/>
    <mergeCell ref="C48:Z48"/>
    <mergeCell ref="AA48:AE48"/>
    <mergeCell ref="AF48:AJ48"/>
    <mergeCell ref="AK48:AO48"/>
    <mergeCell ref="AP49:AT49"/>
    <mergeCell ref="AU49:AY49"/>
    <mergeCell ref="AZ49:BC49"/>
    <mergeCell ref="BD49:BH49"/>
    <mergeCell ref="BI49:BM49"/>
    <mergeCell ref="BN49:BQ49"/>
    <mergeCell ref="AU48:AY48"/>
    <mergeCell ref="AZ48:BC48"/>
    <mergeCell ref="BD48:BH48"/>
    <mergeCell ref="BI48:BM48"/>
    <mergeCell ref="BN48:BQ48"/>
    <mergeCell ref="AP48:AT48"/>
    <mergeCell ref="A51:B51"/>
    <mergeCell ref="C51:Z51"/>
    <mergeCell ref="AA51:AE51"/>
    <mergeCell ref="AF51:AJ51"/>
    <mergeCell ref="AK51:AO51"/>
    <mergeCell ref="A50:B50"/>
    <mergeCell ref="C50:Z50"/>
    <mergeCell ref="AA50:AE50"/>
    <mergeCell ref="AF50:AJ50"/>
    <mergeCell ref="AK50:AO50"/>
    <mergeCell ref="AP51:AT51"/>
    <mergeCell ref="AU51:AY51"/>
    <mergeCell ref="AZ51:BC51"/>
    <mergeCell ref="BD51:BH51"/>
    <mergeCell ref="BI51:BM51"/>
    <mergeCell ref="BN51:BQ51"/>
    <mergeCell ref="AU50:AY50"/>
    <mergeCell ref="AZ50:BC50"/>
    <mergeCell ref="BD50:BH50"/>
    <mergeCell ref="BI50:BM50"/>
    <mergeCell ref="BN50:BQ50"/>
    <mergeCell ref="AP50:AT50"/>
    <mergeCell ref="A53:B53"/>
    <mergeCell ref="C53:Z53"/>
    <mergeCell ref="AA53:AE53"/>
    <mergeCell ref="AF53:AJ53"/>
    <mergeCell ref="AK53:AO53"/>
    <mergeCell ref="A52:B52"/>
    <mergeCell ref="C52:Z52"/>
    <mergeCell ref="AA52:AE52"/>
    <mergeCell ref="AF52:AJ52"/>
    <mergeCell ref="AK52:AO52"/>
    <mergeCell ref="AP53:AT53"/>
    <mergeCell ref="AU53:AY53"/>
    <mergeCell ref="AZ53:BC53"/>
    <mergeCell ref="BD53:BH53"/>
    <mergeCell ref="BI53:BM53"/>
    <mergeCell ref="BN53:BQ53"/>
    <mergeCell ref="AU52:AY52"/>
    <mergeCell ref="AZ52:BC52"/>
    <mergeCell ref="BD52:BH52"/>
    <mergeCell ref="BI52:BM52"/>
    <mergeCell ref="BN52:BQ52"/>
    <mergeCell ref="AP52:AT52"/>
    <mergeCell ref="A55:B55"/>
    <mergeCell ref="C55:Z55"/>
    <mergeCell ref="AA55:AE55"/>
    <mergeCell ref="AF55:AJ55"/>
    <mergeCell ref="AK55:AO55"/>
    <mergeCell ref="A54:B54"/>
    <mergeCell ref="C54:Z54"/>
    <mergeCell ref="AA54:AE54"/>
    <mergeCell ref="AF54:AJ54"/>
    <mergeCell ref="AK54:AO54"/>
    <mergeCell ref="AP55:AT55"/>
    <mergeCell ref="AU55:AY55"/>
    <mergeCell ref="AZ55:BC55"/>
    <mergeCell ref="BD55:BH55"/>
    <mergeCell ref="BI55:BM55"/>
    <mergeCell ref="BN55:BQ55"/>
    <mergeCell ref="AU54:AY54"/>
    <mergeCell ref="AZ54:BC54"/>
    <mergeCell ref="BD54:BH54"/>
    <mergeCell ref="BI54:BM54"/>
    <mergeCell ref="BN54:BQ54"/>
    <mergeCell ref="AP54:AT54"/>
    <mergeCell ref="A57:B57"/>
    <mergeCell ref="C57:Z57"/>
    <mergeCell ref="AA57:AE57"/>
    <mergeCell ref="AF57:AJ57"/>
    <mergeCell ref="AK57:AO57"/>
    <mergeCell ref="A56:B56"/>
    <mergeCell ref="C56:Z56"/>
    <mergeCell ref="AA56:AE56"/>
    <mergeCell ref="AF56:AJ56"/>
    <mergeCell ref="AK56:AO56"/>
    <mergeCell ref="AP57:AT57"/>
    <mergeCell ref="AU57:AY57"/>
    <mergeCell ref="AZ57:BC57"/>
    <mergeCell ref="BD57:BH57"/>
    <mergeCell ref="BI57:BM57"/>
    <mergeCell ref="BN57:BQ57"/>
    <mergeCell ref="AU56:AY56"/>
    <mergeCell ref="AZ56:BC56"/>
    <mergeCell ref="BD56:BH56"/>
    <mergeCell ref="BI56:BM56"/>
    <mergeCell ref="BN56:BQ56"/>
    <mergeCell ref="AP56:AT56"/>
    <mergeCell ref="A59:B59"/>
    <mergeCell ref="C59:Z59"/>
    <mergeCell ref="AA59:AE59"/>
    <mergeCell ref="AF59:AJ59"/>
    <mergeCell ref="AK59:AO59"/>
    <mergeCell ref="A58:B58"/>
    <mergeCell ref="C58:Z58"/>
    <mergeCell ref="AA58:AE58"/>
    <mergeCell ref="AF58:AJ58"/>
    <mergeCell ref="AK58:AO58"/>
    <mergeCell ref="AP59:AT59"/>
    <mergeCell ref="AU59:AY59"/>
    <mergeCell ref="AZ59:BC59"/>
    <mergeCell ref="BD59:BH59"/>
    <mergeCell ref="BI59:BM59"/>
    <mergeCell ref="BN59:BQ59"/>
    <mergeCell ref="AU58:AY58"/>
    <mergeCell ref="AZ58:BC58"/>
    <mergeCell ref="BD58:BH58"/>
    <mergeCell ref="BI58:BM58"/>
    <mergeCell ref="BN58:BQ58"/>
    <mergeCell ref="AP58:AT58"/>
    <mergeCell ref="A61:B61"/>
    <mergeCell ref="C61:Z61"/>
    <mergeCell ref="AA61:AE61"/>
    <mergeCell ref="AF61:AJ61"/>
    <mergeCell ref="AK61:AO61"/>
    <mergeCell ref="A60:B60"/>
    <mergeCell ref="C60:Z60"/>
    <mergeCell ref="AA60:AE60"/>
    <mergeCell ref="AF60:AJ60"/>
    <mergeCell ref="AK60:AO60"/>
    <mergeCell ref="AP61:AT61"/>
    <mergeCell ref="AU61:AY61"/>
    <mergeCell ref="AZ61:BC61"/>
    <mergeCell ref="BD61:BH61"/>
    <mergeCell ref="BI61:BM61"/>
    <mergeCell ref="BN61:BQ61"/>
    <mergeCell ref="AU60:AY60"/>
    <mergeCell ref="AZ60:BC60"/>
    <mergeCell ref="BD60:BH60"/>
    <mergeCell ref="BI60:BM60"/>
    <mergeCell ref="BN60:BQ60"/>
    <mergeCell ref="AP60:AT60"/>
    <mergeCell ref="AU62:AY62"/>
    <mergeCell ref="AZ62:BC62"/>
    <mergeCell ref="BD62:BH62"/>
    <mergeCell ref="BI62:BM62"/>
    <mergeCell ref="BN62:BQ62"/>
    <mergeCell ref="A63:B63"/>
    <mergeCell ref="C63:Z63"/>
    <mergeCell ref="AA63:AE63"/>
    <mergeCell ref="AF63:AJ63"/>
    <mergeCell ref="AK63:AO63"/>
    <mergeCell ref="A62:B62"/>
    <mergeCell ref="C62:Z62"/>
    <mergeCell ref="AA62:AE62"/>
    <mergeCell ref="AF62:AJ62"/>
    <mergeCell ref="AK62:AO62"/>
    <mergeCell ref="AP62:AT62"/>
    <mergeCell ref="A73:B73"/>
    <mergeCell ref="C73:BQ73"/>
    <mergeCell ref="A74:B74"/>
    <mergeCell ref="C74:BQ74"/>
    <mergeCell ref="A75:B75"/>
    <mergeCell ref="C75:BQ75"/>
    <mergeCell ref="A71:B71"/>
    <mergeCell ref="C71:BQ71"/>
    <mergeCell ref="AP63:AT63"/>
    <mergeCell ref="AU63:AY63"/>
    <mergeCell ref="AZ63:BC63"/>
    <mergeCell ref="BD63:BH63"/>
    <mergeCell ref="BI63:BM63"/>
    <mergeCell ref="BN63:BQ63"/>
    <mergeCell ref="A79:B79"/>
    <mergeCell ref="C79:BQ79"/>
    <mergeCell ref="A80:B80"/>
    <mergeCell ref="C80:BQ80"/>
    <mergeCell ref="A81:B81"/>
    <mergeCell ref="C81:BQ81"/>
    <mergeCell ref="A76:B76"/>
    <mergeCell ref="C76:BQ76"/>
    <mergeCell ref="A77:B77"/>
    <mergeCell ref="C77:BQ77"/>
    <mergeCell ref="A78:B78"/>
    <mergeCell ref="C78:BQ78"/>
    <mergeCell ref="AY90:BC90"/>
    <mergeCell ref="BD90:BH90"/>
    <mergeCell ref="BI90:BN90"/>
    <mergeCell ref="A90:B90"/>
    <mergeCell ref="C90:R90"/>
    <mergeCell ref="S90:W90"/>
    <mergeCell ref="X90:AB90"/>
    <mergeCell ref="AC90:AH90"/>
    <mergeCell ref="AI90:AM90"/>
    <mergeCell ref="AN90:AR90"/>
    <mergeCell ref="AS90:AX90"/>
    <mergeCell ref="A101:B101"/>
    <mergeCell ref="C101:I101"/>
    <mergeCell ref="J101:N101"/>
    <mergeCell ref="O101:X101"/>
    <mergeCell ref="Y101:AC101"/>
    <mergeCell ref="AD101:AH101"/>
    <mergeCell ref="AI101:AM101"/>
    <mergeCell ref="A100:B100"/>
    <mergeCell ref="C100:I100"/>
    <mergeCell ref="J100:N100"/>
    <mergeCell ref="O100:X100"/>
    <mergeCell ref="Y100:AC100"/>
    <mergeCell ref="AD100:AH100"/>
    <mergeCell ref="AI100:AM100"/>
    <mergeCell ref="AN101:AR101"/>
    <mergeCell ref="AS101:AW101"/>
    <mergeCell ref="AX101:BB101"/>
    <mergeCell ref="BC101:BG101"/>
    <mergeCell ref="BH101:BL101"/>
    <mergeCell ref="BM101:BQ101"/>
    <mergeCell ref="BC100:BG100"/>
    <mergeCell ref="BH100:BL100"/>
    <mergeCell ref="BM100:BQ100"/>
    <mergeCell ref="AN100:AR100"/>
    <mergeCell ref="AS100:AW100"/>
    <mergeCell ref="AX100:BB100"/>
    <mergeCell ref="BM102:BQ102"/>
    <mergeCell ref="A103:B103"/>
    <mergeCell ref="C103:I103"/>
    <mergeCell ref="J103:N103"/>
    <mergeCell ref="O103:X103"/>
    <mergeCell ref="Y103:AC103"/>
    <mergeCell ref="AD103:AH103"/>
    <mergeCell ref="AI103:AM103"/>
    <mergeCell ref="AN103:AR103"/>
    <mergeCell ref="AS103:AW103"/>
    <mergeCell ref="AI102:AM102"/>
    <mergeCell ref="AN102:AR102"/>
    <mergeCell ref="AS102:AW102"/>
    <mergeCell ref="AX102:BB102"/>
    <mergeCell ref="BC102:BG102"/>
    <mergeCell ref="BH102:BL102"/>
    <mergeCell ref="A102:B102"/>
    <mergeCell ref="C102:I102"/>
    <mergeCell ref="J102:N102"/>
    <mergeCell ref="O102:X102"/>
    <mergeCell ref="Y102:AC102"/>
    <mergeCell ref="AD102:AH102"/>
    <mergeCell ref="AX103:BB103"/>
    <mergeCell ref="BC103:BG103"/>
    <mergeCell ref="BH103:BL103"/>
    <mergeCell ref="BM103:BQ103"/>
    <mergeCell ref="A104:B104"/>
    <mergeCell ref="C104:I104"/>
    <mergeCell ref="J104:N104"/>
    <mergeCell ref="O104:X104"/>
    <mergeCell ref="Y104:AC104"/>
    <mergeCell ref="AD104:AH104"/>
    <mergeCell ref="BM104:BQ104"/>
    <mergeCell ref="A105:B105"/>
    <mergeCell ref="C105:I105"/>
    <mergeCell ref="J105:N105"/>
    <mergeCell ref="O105:X105"/>
    <mergeCell ref="Y105:AC105"/>
    <mergeCell ref="AD105:AH105"/>
    <mergeCell ref="AI105:AM105"/>
    <mergeCell ref="AN105:AR105"/>
    <mergeCell ref="AS105:AW105"/>
    <mergeCell ref="AI104:AM104"/>
    <mergeCell ref="AN104:AR104"/>
    <mergeCell ref="AS104:AW104"/>
    <mergeCell ref="AX104:BB104"/>
    <mergeCell ref="BC104:BG104"/>
    <mergeCell ref="BH104:BL104"/>
    <mergeCell ref="AX105:BB105"/>
    <mergeCell ref="BC105:BG105"/>
    <mergeCell ref="BH105:BL105"/>
    <mergeCell ref="BM105:BQ105"/>
    <mergeCell ref="A106:B106"/>
    <mergeCell ref="C106:I106"/>
    <mergeCell ref="J106:N106"/>
    <mergeCell ref="O106:X106"/>
    <mergeCell ref="Y106:AC106"/>
    <mergeCell ref="AD106:AH106"/>
    <mergeCell ref="BM106:BQ106"/>
    <mergeCell ref="A107:B107"/>
    <mergeCell ref="C107:I107"/>
    <mergeCell ref="J107:N107"/>
    <mergeCell ref="O107:X107"/>
    <mergeCell ref="Y107:AC107"/>
    <mergeCell ref="AD107:AH107"/>
    <mergeCell ref="AI107:AM107"/>
    <mergeCell ref="AN107:AR107"/>
    <mergeCell ref="AS107:AW107"/>
    <mergeCell ref="AI106:AM106"/>
    <mergeCell ref="AN106:AR106"/>
    <mergeCell ref="AS106:AW106"/>
    <mergeCell ref="AX106:BB106"/>
    <mergeCell ref="BC106:BG106"/>
    <mergeCell ref="BH106:BL106"/>
    <mergeCell ref="AX107:BB107"/>
    <mergeCell ref="BC107:BG107"/>
    <mergeCell ref="BH107:BL107"/>
    <mergeCell ref="BM107:BQ107"/>
    <mergeCell ref="A108:B108"/>
    <mergeCell ref="C108:I108"/>
    <mergeCell ref="J108:N108"/>
    <mergeCell ref="O108:X108"/>
    <mergeCell ref="Y108:AC108"/>
    <mergeCell ref="AD108:AH108"/>
    <mergeCell ref="BM108:BQ108"/>
    <mergeCell ref="A109:B109"/>
    <mergeCell ref="C109:I109"/>
    <mergeCell ref="J109:N109"/>
    <mergeCell ref="O109:X109"/>
    <mergeCell ref="Y109:AC109"/>
    <mergeCell ref="AD109:AH109"/>
    <mergeCell ref="AI109:AM109"/>
    <mergeCell ref="AN109:AR109"/>
    <mergeCell ref="AS109:AW109"/>
    <mergeCell ref="AI108:AM108"/>
    <mergeCell ref="AN108:AR108"/>
    <mergeCell ref="AS108:AW108"/>
    <mergeCell ref="AX108:BB108"/>
    <mergeCell ref="BC108:BG108"/>
    <mergeCell ref="BH108:BL108"/>
    <mergeCell ref="AX109:BB109"/>
    <mergeCell ref="BC109:BG109"/>
    <mergeCell ref="BH109:BL109"/>
    <mergeCell ref="BM109:BQ109"/>
    <mergeCell ref="A110:B110"/>
    <mergeCell ref="C110:I110"/>
    <mergeCell ref="J110:N110"/>
    <mergeCell ref="O110:X110"/>
    <mergeCell ref="Y110:AC110"/>
    <mergeCell ref="AD110:AH110"/>
    <mergeCell ref="BM110:BQ110"/>
    <mergeCell ref="AI110:AM110"/>
    <mergeCell ref="AN110:AR110"/>
    <mergeCell ref="AS110:AW110"/>
    <mergeCell ref="AX110:BB110"/>
    <mergeCell ref="BC110:BG110"/>
    <mergeCell ref="BH110:BL110"/>
    <mergeCell ref="A120:B120"/>
    <mergeCell ref="C120:I120"/>
    <mergeCell ref="J120:N120"/>
    <mergeCell ref="O120:BQ120"/>
    <mergeCell ref="C118:I118"/>
    <mergeCell ref="J118:N118"/>
    <mergeCell ref="O118:BQ118"/>
    <mergeCell ref="A119:B119"/>
    <mergeCell ref="C119:I119"/>
    <mergeCell ref="J119:N119"/>
    <mergeCell ref="O119:BQ119"/>
    <mergeCell ref="A122:B122"/>
    <mergeCell ref="C122:I122"/>
    <mergeCell ref="J122:N122"/>
    <mergeCell ref="O122:BQ122"/>
    <mergeCell ref="A121:B121"/>
    <mergeCell ref="C121:I121"/>
    <mergeCell ref="J121:N121"/>
    <mergeCell ref="O121:BQ121"/>
  </mergeCells>
  <phoneticPr fontId="0" type="noConversion"/>
  <conditionalFormatting sqref="C113 C126 C99 C117">
    <cfRule type="cellIs" dxfId="44" priority="47" stopIfTrue="1" operator="equal">
      <formula>$C98</formula>
    </cfRule>
  </conditionalFormatting>
  <conditionalFormatting sqref="A99:B99 A113:B113 A117:B117 A126:B126 A89:B89 A111:B111 A123:B123">
    <cfRule type="cellIs" dxfId="43" priority="48" stopIfTrue="1" operator="equal">
      <formula>0</formula>
    </cfRule>
  </conditionalFormatting>
  <conditionalFormatting sqref="A90:B90">
    <cfRule type="cellIs" dxfId="42" priority="46" stopIfTrue="1" operator="equal">
      <formula>0</formula>
    </cfRule>
  </conditionalFormatting>
  <conditionalFormatting sqref="C111">
    <cfRule type="cellIs" dxfId="41" priority="50" stopIfTrue="1" operator="equal">
      <formula>$C99</formula>
    </cfRule>
  </conditionalFormatting>
  <conditionalFormatting sqref="C100">
    <cfRule type="cellIs" dxfId="40" priority="43" stopIfTrue="1" operator="equal">
      <formula>$C99</formula>
    </cfRule>
  </conditionalFormatting>
  <conditionalFormatting sqref="A100:B100">
    <cfRule type="cellIs" dxfId="39" priority="44" stopIfTrue="1" operator="equal">
      <formula>0</formula>
    </cfRule>
  </conditionalFormatting>
  <conditionalFormatting sqref="C101">
    <cfRule type="cellIs" dxfId="38" priority="41" stopIfTrue="1" operator="equal">
      <formula>$C100</formula>
    </cfRule>
  </conditionalFormatting>
  <conditionalFormatting sqref="A101:B101">
    <cfRule type="cellIs" dxfId="37" priority="42" stopIfTrue="1" operator="equal">
      <formula>0</formula>
    </cfRule>
  </conditionalFormatting>
  <conditionalFormatting sqref="C102">
    <cfRule type="cellIs" dxfId="36" priority="39" stopIfTrue="1" operator="equal">
      <formula>$C101</formula>
    </cfRule>
  </conditionalFormatting>
  <conditionalFormatting sqref="A102:B102">
    <cfRule type="cellIs" dxfId="35" priority="40" stopIfTrue="1" operator="equal">
      <formula>0</formula>
    </cfRule>
  </conditionalFormatting>
  <conditionalFormatting sqref="C103">
    <cfRule type="cellIs" dxfId="34" priority="37" stopIfTrue="1" operator="equal">
      <formula>$C102</formula>
    </cfRule>
  </conditionalFormatting>
  <conditionalFormatting sqref="A103:B103">
    <cfRule type="cellIs" dxfId="33" priority="38" stopIfTrue="1" operator="equal">
      <formula>0</formula>
    </cfRule>
  </conditionalFormatting>
  <conditionalFormatting sqref="C104">
    <cfRule type="cellIs" dxfId="32" priority="35" stopIfTrue="1" operator="equal">
      <formula>$C103</formula>
    </cfRule>
  </conditionalFormatting>
  <conditionalFormatting sqref="A104:B104">
    <cfRule type="cellIs" dxfId="31" priority="36" stopIfTrue="1" operator="equal">
      <formula>0</formula>
    </cfRule>
  </conditionalFormatting>
  <conditionalFormatting sqref="C105">
    <cfRule type="cellIs" dxfId="30" priority="33" stopIfTrue="1" operator="equal">
      <formula>$C104</formula>
    </cfRule>
  </conditionalFormatting>
  <conditionalFormatting sqref="A105:B105">
    <cfRule type="cellIs" dxfId="29" priority="34" stopIfTrue="1" operator="equal">
      <formula>0</formula>
    </cfRule>
  </conditionalFormatting>
  <conditionalFormatting sqref="C106">
    <cfRule type="cellIs" dxfId="28" priority="31" stopIfTrue="1" operator="equal">
      <formula>$C105</formula>
    </cfRule>
  </conditionalFormatting>
  <conditionalFormatting sqref="A106:B106">
    <cfRule type="cellIs" dxfId="27" priority="32" stopIfTrue="1" operator="equal">
      <formula>0</formula>
    </cfRule>
  </conditionalFormatting>
  <conditionalFormatting sqref="C107">
    <cfRule type="cellIs" dxfId="26" priority="29" stopIfTrue="1" operator="equal">
      <formula>$C106</formula>
    </cfRule>
  </conditionalFormatting>
  <conditionalFormatting sqref="A107:B107">
    <cfRule type="cellIs" dxfId="25" priority="30" stopIfTrue="1" operator="equal">
      <formula>0</formula>
    </cfRule>
  </conditionalFormatting>
  <conditionalFormatting sqref="C108">
    <cfRule type="cellIs" dxfId="24" priority="27" stopIfTrue="1" operator="equal">
      <formula>$C107</formula>
    </cfRule>
  </conditionalFormatting>
  <conditionalFormatting sqref="A108:B108">
    <cfRule type="cellIs" dxfId="23" priority="28" stopIfTrue="1" operator="equal">
      <formula>0</formula>
    </cfRule>
  </conditionalFormatting>
  <conditionalFormatting sqref="C109">
    <cfRule type="cellIs" dxfId="22" priority="25" stopIfTrue="1" operator="equal">
      <formula>$C108</formula>
    </cfRule>
  </conditionalFormatting>
  <conditionalFormatting sqref="A109:B109">
    <cfRule type="cellIs" dxfId="21" priority="26" stopIfTrue="1" operator="equal">
      <formula>0</formula>
    </cfRule>
  </conditionalFormatting>
  <conditionalFormatting sqref="C110">
    <cfRule type="cellIs" dxfId="20" priority="23" stopIfTrue="1" operator="equal">
      <formula>$C109</formula>
    </cfRule>
  </conditionalFormatting>
  <conditionalFormatting sqref="A110:B110">
    <cfRule type="cellIs" dxfId="19" priority="24" stopIfTrue="1" operator="equal">
      <formula>0</formula>
    </cfRule>
  </conditionalFormatting>
  <conditionalFormatting sqref="C123">
    <cfRule type="cellIs" dxfId="18" priority="52" stopIfTrue="1" operator="equal">
      <formula>$C117</formula>
    </cfRule>
  </conditionalFormatting>
  <conditionalFormatting sqref="C118">
    <cfRule type="cellIs" dxfId="15" priority="17" stopIfTrue="1" operator="equal">
      <formula>#REF!</formula>
    </cfRule>
  </conditionalFormatting>
  <conditionalFormatting sqref="A118:B118">
    <cfRule type="cellIs" dxfId="14" priority="18" stopIfTrue="1" operator="equal">
      <formula>0</formula>
    </cfRule>
  </conditionalFormatting>
  <conditionalFormatting sqref="C119">
    <cfRule type="cellIs" dxfId="13" priority="15" stopIfTrue="1" operator="equal">
      <formula>$C118</formula>
    </cfRule>
  </conditionalFormatting>
  <conditionalFormatting sqref="A119:B119">
    <cfRule type="cellIs" dxfId="12" priority="16" stopIfTrue="1" operator="equal">
      <formula>0</formula>
    </cfRule>
  </conditionalFormatting>
  <conditionalFormatting sqref="C120">
    <cfRule type="cellIs" dxfId="9" priority="11" stopIfTrue="1" operator="equal">
      <formula>#REF!</formula>
    </cfRule>
  </conditionalFormatting>
  <conditionalFormatting sqref="A120:B120">
    <cfRule type="cellIs" dxfId="8" priority="12" stopIfTrue="1" operator="equal">
      <formula>0</formula>
    </cfRule>
  </conditionalFormatting>
  <conditionalFormatting sqref="C121">
    <cfRule type="cellIs" dxfId="5" priority="7" stopIfTrue="1" operator="equal">
      <formula>#REF!</formula>
    </cfRule>
  </conditionalFormatting>
  <conditionalFormatting sqref="A121:B121">
    <cfRule type="cellIs" dxfId="4" priority="8" stopIfTrue="1" operator="equal">
      <formula>0</formula>
    </cfRule>
  </conditionalFormatting>
  <conditionalFormatting sqref="C122">
    <cfRule type="cellIs" dxfId="1" priority="3" stopIfTrue="1" operator="equal">
      <formula>#REF!</formula>
    </cfRule>
  </conditionalFormatting>
  <conditionalFormatting sqref="A122:B122">
    <cfRule type="cellIs" dxfId="0" priority="4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2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КПК0117693</vt:lpstr>
      <vt:lpstr>КПК0117693!Область_печати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2025-06-27T09:13:00Z</cp:lastPrinted>
  <dcterms:created xsi:type="dcterms:W3CDTF">2016-08-10T10:53:25Z</dcterms:created>
  <dcterms:modified xsi:type="dcterms:W3CDTF">2025-06-27T09:13:02Z</dcterms:modified>
</cp:coreProperties>
</file>