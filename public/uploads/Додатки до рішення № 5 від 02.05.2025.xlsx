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документы\Сесії на сайт\Сесії 2024 рік\Проєкти рішень 59 позачергової сесії VIII скликання\"/>
    </mc:Choice>
  </mc:AlternateContent>
  <xr:revisionPtr revIDLastSave="0" documentId="8_{E4398C9B-724A-4A96-8962-794A33720EC5}" xr6:coauthVersionLast="46" xr6:coauthVersionMax="46" xr10:uidLastSave="{00000000-0000-0000-0000-000000000000}"/>
  <bookViews>
    <workbookView xWindow="-108" yWindow="-108" windowWidth="23256" windowHeight="12576" activeTab="1" xr2:uid="{E27FBA55-5FFC-4609-A852-2FA01AC761A4}"/>
  </bookViews>
  <sheets>
    <sheet name="доходи ЗФ" sheetId="8" r:id="rId1"/>
    <sheet name="доходи СФ" sheetId="7" r:id="rId2"/>
    <sheet name="видатки ЗФ" sheetId="9" r:id="rId3"/>
    <sheet name="видатки СФ" sheetId="10" r:id="rId4"/>
    <sheet name="порівнял аналіз доходів ЗФ" sheetId="3" r:id="rId5"/>
    <sheet name="порівнял аналіз доходів СФ" sheetId="4" r:id="rId6"/>
  </sheets>
  <definedNames>
    <definedName name="CREXPORT" localSheetId="2">#REF!</definedName>
    <definedName name="CREXPORT" localSheetId="3">#REF!</definedName>
    <definedName name="CREXPORT">#REF!</definedName>
    <definedName name="n" localSheetId="2" hidden="1">{#N/A,#N/A,FALSE,"Лист4"}</definedName>
    <definedName name="n" localSheetId="3" hidden="1">{#N/A,#N/A,FALSE,"Лист4"}</definedName>
    <definedName name="n" localSheetId="5" hidden="1">{#N/A,#N/A,FALSE,"Лист4"}</definedName>
    <definedName name="n" hidden="1">{#N/A,#N/A,FALSE,"Лист4"}</definedName>
    <definedName name="wrn.Інструкція." localSheetId="2" hidden="1">{#N/A,#N/A,FALSE,"Лист4"}</definedName>
    <definedName name="wrn.Інструкція." localSheetId="3" hidden="1">{#N/A,#N/A,FALSE,"Лист4"}</definedName>
    <definedName name="wrn.Інструкція." localSheetId="5" hidden="1">{#N/A,#N/A,FALSE,"Лист4"}</definedName>
    <definedName name="wrn.Інструкція." hidden="1">{#N/A,#N/A,FALSE,"Лист4"}</definedName>
    <definedName name="аа" localSheetId="2" hidden="1">{#N/A,#N/A,FALSE,"Лист4"}</definedName>
    <definedName name="аа" localSheetId="3" hidden="1">{#N/A,#N/A,FALSE,"Лист4"}</definedName>
    <definedName name="аа" localSheetId="5" hidden="1">{#N/A,#N/A,FALSE,"Лист4"}</definedName>
    <definedName name="аа" hidden="1">{#N/A,#N/A,FALSE,"Лист4"}</definedName>
    <definedName name="аааа" localSheetId="2" hidden="1">{#N/A,#N/A,FALSE,"Лист4"}</definedName>
    <definedName name="аааа" localSheetId="3" hidden="1">{#N/A,#N/A,FALSE,"Лист4"}</definedName>
    <definedName name="аааа" localSheetId="5" hidden="1">{#N/A,#N/A,FALSE,"Лист4"}</definedName>
    <definedName name="аааа" hidden="1">{#N/A,#N/A,FALSE,"Лист4"}</definedName>
    <definedName name="ааааа" localSheetId="2" hidden="1">{#N/A,#N/A,FALSE,"Лист4"}</definedName>
    <definedName name="ааааа" localSheetId="3" hidden="1">{#N/A,#N/A,FALSE,"Лист4"}</definedName>
    <definedName name="ааааа" localSheetId="5" hidden="1">{#N/A,#N/A,FALSE,"Лист4"}</definedName>
    <definedName name="ааааа" hidden="1">{#N/A,#N/A,FALSE,"Лист4"}</definedName>
    <definedName name="аааг" localSheetId="2" hidden="1">{#N/A,#N/A,FALSE,"Лист4"}</definedName>
    <definedName name="аааг" localSheetId="3" hidden="1">{#N/A,#N/A,FALSE,"Лист4"}</definedName>
    <definedName name="аааг" localSheetId="5" hidden="1">{#N/A,#N/A,FALSE,"Лист4"}</definedName>
    <definedName name="аааг" hidden="1">{#N/A,#N/A,FALSE,"Лист4"}</definedName>
    <definedName name="ааао" localSheetId="2" hidden="1">{#N/A,#N/A,FALSE,"Лист4"}</definedName>
    <definedName name="ааао" localSheetId="3" hidden="1">{#N/A,#N/A,FALSE,"Лист4"}</definedName>
    <definedName name="ааао" localSheetId="5" hidden="1">{#N/A,#N/A,FALSE,"Лист4"}</definedName>
    <definedName name="ааао" hidden="1">{#N/A,#N/A,FALSE,"Лист4"}</definedName>
    <definedName name="аааоркк" localSheetId="2" hidden="1">{#N/A,#N/A,FALSE,"Лист4"}</definedName>
    <definedName name="аааоркк" localSheetId="3" hidden="1">{#N/A,#N/A,FALSE,"Лист4"}</definedName>
    <definedName name="аааоркк" localSheetId="5" hidden="1">{#N/A,#N/A,FALSE,"Лист4"}</definedName>
    <definedName name="аааоркк" hidden="1">{#N/A,#N/A,FALSE,"Лист4"}</definedName>
    <definedName name="аарр" localSheetId="2" hidden="1">{#N/A,#N/A,FALSE,"Лист4"}</definedName>
    <definedName name="аарр" localSheetId="3" hidden="1">{#N/A,#N/A,FALSE,"Лист4"}</definedName>
    <definedName name="аарр" localSheetId="5" hidden="1">{#N/A,#N/A,FALSE,"Лист4"}</definedName>
    <definedName name="аарр" hidden="1">{#N/A,#N/A,FALSE,"Лист4"}</definedName>
    <definedName name="амп" localSheetId="2" hidden="1">{#N/A,#N/A,FALSE,"Лист4"}</definedName>
    <definedName name="амп" localSheetId="3" hidden="1">{#N/A,#N/A,FALSE,"Лист4"}</definedName>
    <definedName name="амп" localSheetId="5" hidden="1">{#N/A,#N/A,FALSE,"Лист4"}</definedName>
    <definedName name="амп" hidden="1">{#N/A,#N/A,FALSE,"Лист4"}</definedName>
    <definedName name="ап" localSheetId="2" hidden="1">{#N/A,#N/A,FALSE,"Лист4"}</definedName>
    <definedName name="ап" localSheetId="3" hidden="1">{#N/A,#N/A,FALSE,"Лист4"}</definedName>
    <definedName name="ап" localSheetId="5" hidden="1">{#N/A,#N/A,FALSE,"Лист4"}</definedName>
    <definedName name="ап" hidden="1">{#N/A,#N/A,FALSE,"Лист4"}</definedName>
    <definedName name="апро" localSheetId="2" hidden="1">{#N/A,#N/A,FALSE,"Лист4"}</definedName>
    <definedName name="апро" localSheetId="3" hidden="1">{#N/A,#N/A,FALSE,"Лист4"}</definedName>
    <definedName name="апро" localSheetId="5" hidden="1">{#N/A,#N/A,FALSE,"Лист4"}</definedName>
    <definedName name="апро" hidden="1">{#N/A,#N/A,FALSE,"Лист4"}</definedName>
    <definedName name="аунуну" localSheetId="2" hidden="1">{#N/A,#N/A,FALSE,"Лист4"}</definedName>
    <definedName name="аунуну" localSheetId="3" hidden="1">{#N/A,#N/A,FALSE,"Лист4"}</definedName>
    <definedName name="аунуну" localSheetId="5" hidden="1">{#N/A,#N/A,FALSE,"Лист4"}</definedName>
    <definedName name="аунуну" hidden="1">{#N/A,#N/A,FALSE,"Лист4"}</definedName>
    <definedName name="бб" localSheetId="2" hidden="1">{#N/A,#N/A,FALSE,"Лист4"}</definedName>
    <definedName name="бб" localSheetId="3" hidden="1">{#N/A,#N/A,FALSE,"Лист4"}</definedName>
    <definedName name="бб" localSheetId="5" hidden="1">{#N/A,#N/A,FALSE,"Лист4"}</definedName>
    <definedName name="бб" hidden="1">{#N/A,#N/A,FALSE,"Лист4"}</definedName>
    <definedName name="вап" localSheetId="2" hidden="1">{#N/A,#N/A,FALSE,"Лист4"}</definedName>
    <definedName name="вап" localSheetId="3" hidden="1">{#N/A,#N/A,FALSE,"Лист4"}</definedName>
    <definedName name="вап" localSheetId="5" hidden="1">{#N/A,#N/A,FALSE,"Лист4"}</definedName>
    <definedName name="вап" hidden="1">{#N/A,#N/A,FALSE,"Лист4"}</definedName>
    <definedName name="вапа" localSheetId="2" hidden="1">{#N/A,#N/A,FALSE,"Лист4"}</definedName>
    <definedName name="вапа" localSheetId="3" hidden="1">{#N/A,#N/A,FALSE,"Лист4"}</definedName>
    <definedName name="вапа" localSheetId="5" hidden="1">{#N/A,#N/A,FALSE,"Лист4"}</definedName>
    <definedName name="вапа" hidden="1">{#N/A,#N/A,FALSE,"Лист4"}</definedName>
    <definedName name="вапро" localSheetId="2" hidden="1">{#N/A,#N/A,FALSE,"Лист4"}</definedName>
    <definedName name="вапро" localSheetId="3" hidden="1">{#N/A,#N/A,FALSE,"Лист4"}</definedName>
    <definedName name="вапро" localSheetId="5" hidden="1">{#N/A,#N/A,FALSE,"Лист4"}</definedName>
    <definedName name="вапро" hidden="1">{#N/A,#N/A,FALSE,"Лист4"}</definedName>
    <definedName name="вау" localSheetId="2" hidden="1">{#N/A,#N/A,FALSE,"Лист4"}</definedName>
    <definedName name="вау" localSheetId="3" hidden="1">{#N/A,#N/A,FALSE,"Лист4"}</definedName>
    <definedName name="вау" localSheetId="5" hidden="1">{#N/A,#N/A,FALSE,"Лист4"}</definedName>
    <definedName name="вау" hidden="1">{#N/A,#N/A,FALSE,"Лист4"}</definedName>
    <definedName name="вв" localSheetId="2" hidden="1">{#N/A,#N/A,FALSE,"Лист4"}</definedName>
    <definedName name="вв" localSheetId="3" hidden="1">{#N/A,#N/A,FALSE,"Лист4"}</definedName>
    <definedName name="вв" localSheetId="5" hidden="1">{#N/A,#N/A,FALSE,"Лист4"}</definedName>
    <definedName name="вв" hidden="1">{#N/A,#N/A,FALSE,"Лист4"}</definedName>
    <definedName name="вмр" localSheetId="2" hidden="1">{#N/A,#N/A,FALSE,"Лист4"}</definedName>
    <definedName name="вмр" localSheetId="3" hidden="1">{#N/A,#N/A,FALSE,"Лист4"}</definedName>
    <definedName name="вмр" localSheetId="5" hidden="1">{#N/A,#N/A,FALSE,"Лист4"}</definedName>
    <definedName name="вмр" hidden="1">{#N/A,#N/A,FALSE,"Лист4"}</definedName>
    <definedName name="вруу" localSheetId="2" hidden="1">{#N/A,#N/A,FALSE,"Лист4"}</definedName>
    <definedName name="вруу" localSheetId="3" hidden="1">{#N/A,#N/A,FALSE,"Лист4"}</definedName>
    <definedName name="вруу" localSheetId="5" hidden="1">{#N/A,#N/A,FALSE,"Лист4"}</definedName>
    <definedName name="вруу" hidden="1">{#N/A,#N/A,FALSE,"Лист4"}</definedName>
    <definedName name="врууунуууу" localSheetId="2" hidden="1">{#N/A,#N/A,FALSE,"Лист4"}</definedName>
    <definedName name="врууунуууу" localSheetId="3" hidden="1">{#N/A,#N/A,FALSE,"Лист4"}</definedName>
    <definedName name="врууунуууу" localSheetId="5" hidden="1">{#N/A,#N/A,FALSE,"Лист4"}</definedName>
    <definedName name="врууунуууу" hidden="1">{#N/A,#N/A,FALSE,"Лист4"}</definedName>
    <definedName name="гг" localSheetId="2" hidden="1">{#N/A,#N/A,FALSE,"Лист4"}</definedName>
    <definedName name="гг" localSheetId="3" hidden="1">{#N/A,#N/A,FALSE,"Лист4"}</definedName>
    <definedName name="гг" localSheetId="5" hidden="1">{#N/A,#N/A,FALSE,"Лист4"}</definedName>
    <definedName name="гг" hidden="1">{#N/A,#N/A,FALSE,"Лист4"}</definedName>
    <definedName name="ггг" localSheetId="2" hidden="1">{#N/A,#N/A,FALSE,"Лист4"}</definedName>
    <definedName name="ггг" localSheetId="3" hidden="1">{#N/A,#N/A,FALSE,"Лист4"}</definedName>
    <definedName name="ггг" localSheetId="5" hidden="1">{#N/A,#N/A,FALSE,"Лист4"}</definedName>
    <definedName name="ггг" hidden="1">{#N/A,#N/A,FALSE,"Лист4"}</definedName>
    <definedName name="гго" localSheetId="2" hidden="1">{#N/A,#N/A,FALSE,"Лист4"}</definedName>
    <definedName name="гго" localSheetId="3" hidden="1">{#N/A,#N/A,FALSE,"Лист4"}</definedName>
    <definedName name="гго" localSheetId="5" hidden="1">{#N/A,#N/A,FALSE,"Лист4"}</definedName>
    <definedName name="гго" hidden="1">{#N/A,#N/A,FALSE,"Лист4"}</definedName>
    <definedName name="ггшшз" localSheetId="2" hidden="1">{#N/A,#N/A,FALSE,"Лист4"}</definedName>
    <definedName name="ггшшз" localSheetId="3" hidden="1">{#N/A,#N/A,FALSE,"Лист4"}</definedName>
    <definedName name="ггшшз" localSheetId="5" hidden="1">{#N/A,#N/A,FALSE,"Лист4"}</definedName>
    <definedName name="ггшшз" hidden="1">{#N/A,#N/A,FALSE,"Лист4"}</definedName>
    <definedName name="гр" localSheetId="2" hidden="1">{#N/A,#N/A,FALSE,"Лист4"}</definedName>
    <definedName name="гр" localSheetId="3" hidden="1">{#N/A,#N/A,FALSE,"Лист4"}</definedName>
    <definedName name="гр" localSheetId="5" hidden="1">{#N/A,#N/A,FALSE,"Лист4"}</definedName>
    <definedName name="гр" hidden="1">{#N/A,#N/A,FALSE,"Лист4"}</definedName>
    <definedName name="ддд" localSheetId="2" hidden="1">{#N/A,#N/A,FALSE,"Лист4"}</definedName>
    <definedName name="ддд" localSheetId="3" hidden="1">{#N/A,#N/A,FALSE,"Лист4"}</definedName>
    <definedName name="ддд" localSheetId="5" hidden="1">{#N/A,#N/A,FALSE,"Лист4"}</definedName>
    <definedName name="ддд" hidden="1">{#N/A,#N/A,FALSE,"Лист4"}</definedName>
    <definedName name="е" localSheetId="2" hidden="1">{#N/A,#N/A,FALSE,"Лист4"}</definedName>
    <definedName name="е" localSheetId="3" hidden="1">{#N/A,#N/A,FALSE,"Лист4"}</definedName>
    <definedName name="е" localSheetId="5" hidden="1">{#N/A,#N/A,FALSE,"Лист4"}</definedName>
    <definedName name="е" hidden="1">{#N/A,#N/A,FALSE,"Лист4"}</definedName>
    <definedName name="ее" localSheetId="2" hidden="1">{#N/A,#N/A,FALSE,"Лист4"}</definedName>
    <definedName name="ее" localSheetId="3" hidden="1">{#N/A,#N/A,FALSE,"Лист4"}</definedName>
    <definedName name="ее" localSheetId="5" hidden="1">{#N/A,#N/A,FALSE,"Лист4"}</definedName>
    <definedName name="ее" hidden="1">{#N/A,#N/A,FALSE,"Лист4"}</definedName>
    <definedName name="ееге" localSheetId="2" hidden="1">{#N/A,#N/A,FALSE,"Лист4"}</definedName>
    <definedName name="ееге" localSheetId="3" hidden="1">{#N/A,#N/A,FALSE,"Лист4"}</definedName>
    <definedName name="ееге" localSheetId="5" hidden="1">{#N/A,#N/A,FALSE,"Лист4"}</definedName>
    <definedName name="ееге" hidden="1">{#N/A,#N/A,FALSE,"Лист4"}</definedName>
    <definedName name="еегше" localSheetId="2" hidden="1">{#N/A,#N/A,FALSE,"Лист4"}</definedName>
    <definedName name="еегше" localSheetId="3" hidden="1">{#N/A,#N/A,FALSE,"Лист4"}</definedName>
    <definedName name="еегше" localSheetId="5" hidden="1">{#N/A,#N/A,FALSE,"Лист4"}</definedName>
    <definedName name="еегше" hidden="1">{#N/A,#N/A,FALSE,"Лист4"}</definedName>
    <definedName name="еее" localSheetId="2" hidden="1">{#N/A,#N/A,FALSE,"Лист4"}</definedName>
    <definedName name="еее" localSheetId="3" hidden="1">{#N/A,#N/A,FALSE,"Лист4"}</definedName>
    <definedName name="еее" localSheetId="5" hidden="1">{#N/A,#N/A,FALSE,"Лист4"}</definedName>
    <definedName name="еее" hidden="1">{#N/A,#N/A,FALSE,"Лист4"}</definedName>
    <definedName name="ееее" localSheetId="2" hidden="1">{#N/A,#N/A,FALSE,"Лист4"}</definedName>
    <definedName name="ееее" localSheetId="3" hidden="1">{#N/A,#N/A,FALSE,"Лист4"}</definedName>
    <definedName name="ееее" localSheetId="5" hidden="1">{#N/A,#N/A,FALSE,"Лист4"}</definedName>
    <definedName name="ееее" hidden="1">{#N/A,#N/A,FALSE,"Лист4"}</definedName>
    <definedName name="ееекк" localSheetId="2" hidden="1">{#N/A,#N/A,FALSE,"Лист4"}</definedName>
    <definedName name="ееекк" localSheetId="3" hidden="1">{#N/A,#N/A,FALSE,"Лист4"}</definedName>
    <definedName name="ееекк" localSheetId="5" hidden="1">{#N/A,#N/A,FALSE,"Лист4"}</definedName>
    <definedName name="ееекк" hidden="1">{#N/A,#N/A,FALSE,"Лист4"}</definedName>
    <definedName name="еепке" localSheetId="2" hidden="1">{#N/A,#N/A,FALSE,"Лист4"}</definedName>
    <definedName name="еепке" localSheetId="3" hidden="1">{#N/A,#N/A,FALSE,"Лист4"}</definedName>
    <definedName name="еепке" localSheetId="5" hidden="1">{#N/A,#N/A,FALSE,"Лист4"}</definedName>
    <definedName name="еепке" hidden="1">{#N/A,#N/A,FALSE,"Лист4"}</definedName>
    <definedName name="еешгег" localSheetId="2" hidden="1">{#N/A,#N/A,FALSE,"Лист4"}</definedName>
    <definedName name="еешгег" localSheetId="3" hidden="1">{#N/A,#N/A,FALSE,"Лист4"}</definedName>
    <definedName name="еешгег" localSheetId="5" hidden="1">{#N/A,#N/A,FALSE,"Лист4"}</definedName>
    <definedName name="еешгег" hidden="1">{#N/A,#N/A,FALSE,"Лист4"}</definedName>
    <definedName name="екуц" localSheetId="2" hidden="1">{#N/A,#N/A,FALSE,"Лист4"}</definedName>
    <definedName name="екуц" localSheetId="3" hidden="1">{#N/A,#N/A,FALSE,"Лист4"}</definedName>
    <definedName name="екуц" localSheetId="5" hidden="1">{#N/A,#N/A,FALSE,"Лист4"}</definedName>
    <definedName name="екуц" hidden="1">{#N/A,#N/A,FALSE,"Лист4"}</definedName>
    <definedName name="енг" localSheetId="2" hidden="1">{#N/A,#N/A,FALSE,"Лист4"}</definedName>
    <definedName name="енг" localSheetId="3" hidden="1">{#N/A,#N/A,FALSE,"Лист4"}</definedName>
    <definedName name="енг" localSheetId="5" hidden="1">{#N/A,#N/A,FALSE,"Лист4"}</definedName>
    <definedName name="енг" hidden="1">{#N/A,#N/A,FALSE,"Лист4"}</definedName>
    <definedName name="епи" localSheetId="2" hidden="1">{#N/A,#N/A,FALSE,"Лист4"}</definedName>
    <definedName name="епи" localSheetId="3" hidden="1">{#N/A,#N/A,FALSE,"Лист4"}</definedName>
    <definedName name="епи" localSheetId="5" hidden="1">{#N/A,#N/A,FALSE,"Лист4"}</definedName>
    <definedName name="епи" hidden="1">{#N/A,#N/A,FALSE,"Лист4"}</definedName>
    <definedName name="ешгееуу" localSheetId="2" hidden="1">{#N/A,#N/A,FALSE,"Лист4"}</definedName>
    <definedName name="ешгееуу" localSheetId="3" hidden="1">{#N/A,#N/A,FALSE,"Лист4"}</definedName>
    <definedName name="ешгееуу" localSheetId="5" hidden="1">{#N/A,#N/A,FALSE,"Лист4"}</definedName>
    <definedName name="ешгееуу" hidden="1">{#N/A,#N/A,FALSE,"Лист4"}</definedName>
    <definedName name="є" localSheetId="2" hidden="1">{#N/A,#N/A,FALSE,"Лист4"}</definedName>
    <definedName name="є" localSheetId="3" hidden="1">{#N/A,#N/A,FALSE,"Лист4"}</definedName>
    <definedName name="є" localSheetId="5" hidden="1">{#N/A,#N/A,FALSE,"Лист4"}</definedName>
    <definedName name="є" hidden="1">{#N/A,#N/A,FALSE,"Лист4"}</definedName>
    <definedName name="єєє" localSheetId="2" hidden="1">{#N/A,#N/A,FALSE,"Лист4"}</definedName>
    <definedName name="єєє" localSheetId="3" hidden="1">{#N/A,#N/A,FALSE,"Лист4"}</definedName>
    <definedName name="єєє" localSheetId="5" hidden="1">{#N/A,#N/A,FALSE,"Лист4"}</definedName>
    <definedName name="єєє" hidden="1">{#N/A,#N/A,FALSE,"Лист4"}</definedName>
    <definedName name="єєєєєє" localSheetId="2" hidden="1">{#N/A,#N/A,FALSE,"Лист4"}</definedName>
    <definedName name="єєєєєє" localSheetId="3" hidden="1">{#N/A,#N/A,FALSE,"Лист4"}</definedName>
    <definedName name="єєєєєє" localSheetId="5" hidden="1">{#N/A,#N/A,FALSE,"Лист4"}</definedName>
    <definedName name="єєєєєє" hidden="1">{#N/A,#N/A,FALSE,"Лист4"}</definedName>
    <definedName name="єєєєєєє" localSheetId="2" hidden="1">{#N/A,#N/A,FALSE,"Лист4"}</definedName>
    <definedName name="єєєєєєє" localSheetId="3" hidden="1">{#N/A,#N/A,FALSE,"Лист4"}</definedName>
    <definedName name="єєєєєєє" localSheetId="5" hidden="1">{#N/A,#N/A,FALSE,"Лист4"}</definedName>
    <definedName name="єєєєєєє" hidden="1">{#N/A,#N/A,FALSE,"Лист4"}</definedName>
    <definedName name="єєєєєєє." localSheetId="2" hidden="1">{#N/A,#N/A,FALSE,"Лист4"}</definedName>
    <definedName name="єєєєєєє." localSheetId="3" hidden="1">{#N/A,#N/A,FALSE,"Лист4"}</definedName>
    <definedName name="єєєєєєє." localSheetId="5" hidden="1">{#N/A,#N/A,FALSE,"Лист4"}</definedName>
    <definedName name="єєєєєєє." hidden="1">{#N/A,#N/A,FALSE,"Лист4"}</definedName>
    <definedName name="єж" localSheetId="2" hidden="1">{#N/A,#N/A,FALSE,"Лист4"}</definedName>
    <definedName name="єж" localSheetId="3" hidden="1">{#N/A,#N/A,FALSE,"Лист4"}</definedName>
    <definedName name="єж" localSheetId="5" hidden="1">{#N/A,#N/A,FALSE,"Лист4"}</definedName>
    <definedName name="єж" hidden="1">{#N/A,#N/A,FALSE,"Лист4"}</definedName>
    <definedName name="жж" localSheetId="2" hidden="1">{#N/A,#N/A,FALSE,"Лист4"}</definedName>
    <definedName name="жж" localSheetId="3" hidden="1">{#N/A,#N/A,FALSE,"Лист4"}</definedName>
    <definedName name="жж" localSheetId="5" hidden="1">{#N/A,#N/A,FALSE,"Лист4"}</definedName>
    <definedName name="жж" hidden="1">{#N/A,#N/A,FALSE,"Лист4"}</definedName>
    <definedName name="житлове" localSheetId="2" hidden="1">{#N/A,#N/A,FALSE,"Лист4"}</definedName>
    <definedName name="житлове" localSheetId="3" hidden="1">{#N/A,#N/A,FALSE,"Лист4"}</definedName>
    <definedName name="житлове" localSheetId="5" hidden="1">{#N/A,#N/A,FALSE,"Лист4"}</definedName>
    <definedName name="житлове" hidden="1">{#N/A,#N/A,FALSE,"Лист4"}</definedName>
    <definedName name="_xlnm.Print_Titles" localSheetId="2">'видатки ЗФ'!$6:$7</definedName>
    <definedName name="_xlnm.Print_Titles" localSheetId="3">'видатки СФ'!$6:$7</definedName>
    <definedName name="_xlnm.Print_Titles" localSheetId="0">'доходи ЗФ'!$A:$B</definedName>
    <definedName name="_xlnm.Print_Titles" localSheetId="1">'доходи СФ'!$A:$B</definedName>
    <definedName name="_xlnm.Print_Titles" localSheetId="4">'порівнял аналіз доходів ЗФ'!$A:$C,'порівнял аналіз доходів ЗФ'!$5:$5</definedName>
    <definedName name="_xlnm.Print_Titles" localSheetId="5">'порівнял аналіз доходів СФ'!$A:$C,'порівнял аналіз доходів СФ'!$5:$5</definedName>
    <definedName name="здоровя" localSheetId="2" hidden="1">{#N/A,#N/A,FALSE,"Лист4"}</definedName>
    <definedName name="здоровя" localSheetId="3" hidden="1">{#N/A,#N/A,FALSE,"Лист4"}</definedName>
    <definedName name="здоровя" localSheetId="5" hidden="1">{#N/A,#N/A,FALSE,"Лист4"}</definedName>
    <definedName name="здоровя" hidden="1">{#N/A,#N/A,FALSE,"Лист4"}</definedName>
    <definedName name="зз" localSheetId="2" hidden="1">{#N/A,#N/A,FALSE,"Лист4"}</definedName>
    <definedName name="зз" localSheetId="3" hidden="1">{#N/A,#N/A,FALSE,"Лист4"}</definedName>
    <definedName name="зз" localSheetId="5" hidden="1">{#N/A,#N/A,FALSE,"Лист4"}</definedName>
    <definedName name="зз" hidden="1">{#N/A,#N/A,FALSE,"Лист4"}</definedName>
    <definedName name="ззз" localSheetId="2" hidden="1">{#N/A,#N/A,FALSE,"Лист4"}</definedName>
    <definedName name="ззз" localSheetId="3" hidden="1">{#N/A,#N/A,FALSE,"Лист4"}</definedName>
    <definedName name="ззз" localSheetId="5" hidden="1">{#N/A,#N/A,FALSE,"Лист4"}</definedName>
    <definedName name="ззз" hidden="1">{#N/A,#N/A,FALSE,"Лист4"}</definedName>
    <definedName name="зззз" localSheetId="2" hidden="1">{#N/A,#N/A,FALSE,"Лист4"}</definedName>
    <definedName name="зззз" localSheetId="3" hidden="1">{#N/A,#N/A,FALSE,"Лист4"}</definedName>
    <definedName name="зззз" localSheetId="5" hidden="1">{#N/A,#N/A,FALSE,"Лист4"}</definedName>
    <definedName name="зззз" hidden="1">{#N/A,#N/A,FALSE,"Лист4"}</definedName>
    <definedName name="ип" localSheetId="2" hidden="1">{#N/A,#N/A,FALSE,"Лист4"}</definedName>
    <definedName name="ип" localSheetId="3" hidden="1">{#N/A,#N/A,FALSE,"Лист4"}</definedName>
    <definedName name="ип" localSheetId="5" hidden="1">{#N/A,#N/A,FALSE,"Лист4"}</definedName>
    <definedName name="ип" hidden="1">{#N/A,#N/A,FALSE,"Лист4"}</definedName>
    <definedName name="ить" localSheetId="2" hidden="1">{#N/A,#N/A,FALSE,"Лист4"}</definedName>
    <definedName name="ить" localSheetId="3" hidden="1">{#N/A,#N/A,FALSE,"Лист4"}</definedName>
    <definedName name="ить" localSheetId="5" hidden="1">{#N/A,#N/A,FALSE,"Лист4"}</definedName>
    <definedName name="ить" hidden="1">{#N/A,#N/A,FALSE,"Лист4"}</definedName>
    <definedName name="іваа" localSheetId="2" hidden="1">{#N/A,#N/A,FALSE,"Лист4"}</definedName>
    <definedName name="іваа" localSheetId="3" hidden="1">{#N/A,#N/A,FALSE,"Лист4"}</definedName>
    <definedName name="іваа" localSheetId="5" hidden="1">{#N/A,#N/A,FALSE,"Лист4"}</definedName>
    <definedName name="іваа" hidden="1">{#N/A,#N/A,FALSE,"Лист4"}</definedName>
    <definedName name="івап" localSheetId="2" hidden="1">{#N/A,#N/A,FALSE,"Лист4"}</definedName>
    <definedName name="івап" localSheetId="3" hidden="1">{#N/A,#N/A,FALSE,"Лист4"}</definedName>
    <definedName name="івап" localSheetId="5" hidden="1">{#N/A,#N/A,FALSE,"Лист4"}</definedName>
    <definedName name="івап" hidden="1">{#N/A,#N/A,FALSE,"Лист4"}</definedName>
    <definedName name="івпа" localSheetId="2" hidden="1">{#N/A,#N/A,FALSE,"Лист4"}</definedName>
    <definedName name="івпа" localSheetId="3" hidden="1">{#N/A,#N/A,FALSE,"Лист4"}</definedName>
    <definedName name="івпа" localSheetId="5" hidden="1">{#N/A,#N/A,FALSE,"Лист4"}</definedName>
    <definedName name="івпа" hidden="1">{#N/A,#N/A,FALSE,"Лист4"}</definedName>
    <definedName name="їжд" localSheetId="2" hidden="1">{#N/A,#N/A,FALSE,"Лист4"}</definedName>
    <definedName name="їжд" localSheetId="3" hidden="1">{#N/A,#N/A,FALSE,"Лист4"}</definedName>
    <definedName name="їжд" localSheetId="5" hidden="1">{#N/A,#N/A,FALSE,"Лист4"}</definedName>
    <definedName name="їжд" hidden="1">{#N/A,#N/A,FALSE,"Лист4"}</definedName>
    <definedName name="іі" localSheetId="2" hidden="1">{#N/A,#N/A,FALSE,"Лист4"}</definedName>
    <definedName name="іі" localSheetId="3" hidden="1">{#N/A,#N/A,FALSE,"Лист4"}</definedName>
    <definedName name="іі" localSheetId="5" hidden="1">{#N/A,#N/A,FALSE,"Лист4"}</definedName>
    <definedName name="іі" hidden="1">{#N/A,#N/A,FALSE,"Лист4"}</definedName>
    <definedName name="ііі" localSheetId="2" hidden="1">{#N/A,#N/A,FALSE,"Лист4"}</definedName>
    <definedName name="ііі" localSheetId="3" hidden="1">{#N/A,#N/A,FALSE,"Лист4"}</definedName>
    <definedName name="ііі" localSheetId="5" hidden="1">{#N/A,#N/A,FALSE,"Лист4"}</definedName>
    <definedName name="ііі" hidden="1">{#N/A,#N/A,FALSE,"Лист4"}</definedName>
    <definedName name="іііі" localSheetId="2" hidden="1">{#N/A,#N/A,FALSE,"Лист4"}</definedName>
    <definedName name="іііі" localSheetId="3" hidden="1">{#N/A,#N/A,FALSE,"Лист4"}</definedName>
    <definedName name="іііі" localSheetId="5" hidden="1">{#N/A,#N/A,FALSE,"Лист4"}</definedName>
    <definedName name="іііі" hidden="1">{#N/A,#N/A,FALSE,"Лист4"}</definedName>
    <definedName name="ін" localSheetId="2" hidden="1">{#N/A,#N/A,FALSE,"Лист4"}</definedName>
    <definedName name="ін" localSheetId="3" hidden="1">{#N/A,#N/A,FALSE,"Лист4"}</definedName>
    <definedName name="ін" localSheetId="5" hidden="1">{#N/A,#N/A,FALSE,"Лист4"}</definedName>
    <definedName name="ін" hidden="1">{#N/A,#N/A,FALSE,"Лист4"}</definedName>
    <definedName name="інші" localSheetId="2" hidden="1">{#N/A,#N/A,FALSE,"Лист4"}</definedName>
    <definedName name="інші" localSheetId="3" hidden="1">{#N/A,#N/A,FALSE,"Лист4"}</definedName>
    <definedName name="інші" localSheetId="5" hidden="1">{#N/A,#N/A,FALSE,"Лист4"}</definedName>
    <definedName name="інші" hidden="1">{#N/A,#N/A,FALSE,"Лист4"}</definedName>
    <definedName name="іук" localSheetId="2" hidden="1">{#N/A,#N/A,FALSE,"Лист4"}</definedName>
    <definedName name="іук" localSheetId="3" hidden="1">{#N/A,#N/A,FALSE,"Лист4"}</definedName>
    <definedName name="іук" localSheetId="5" hidden="1">{#N/A,#N/A,FALSE,"Лист4"}</definedName>
    <definedName name="іук" hidden="1">{#N/A,#N/A,FALSE,"Лист4"}</definedName>
    <definedName name="ййй" localSheetId="2" hidden="1">{#N/A,#N/A,FALSE,"Лист4"}</definedName>
    <definedName name="ййй" localSheetId="3" hidden="1">{#N/A,#N/A,FALSE,"Лист4"}</definedName>
    <definedName name="ййй" localSheetId="5" hidden="1">{#N/A,#N/A,FALSE,"Лист4"}</definedName>
    <definedName name="ййй" hidden="1">{#N/A,#N/A,FALSE,"Лист4"}</definedName>
    <definedName name="йййй" localSheetId="2" hidden="1">{#N/A,#N/A,FALSE,"Лист4"}</definedName>
    <definedName name="йййй" localSheetId="3" hidden="1">{#N/A,#N/A,FALSE,"Лист4"}</definedName>
    <definedName name="йййй" localSheetId="5" hidden="1">{#N/A,#N/A,FALSE,"Лист4"}</definedName>
    <definedName name="йййй" hidden="1">{#N/A,#N/A,FALSE,"Лист4"}</definedName>
    <definedName name="кгккг" localSheetId="2" hidden="1">{#N/A,#N/A,FALSE,"Лист4"}</definedName>
    <definedName name="кгккг" localSheetId="3" hidden="1">{#N/A,#N/A,FALSE,"Лист4"}</definedName>
    <definedName name="кгккг" localSheetId="5" hidden="1">{#N/A,#N/A,FALSE,"Лист4"}</definedName>
    <definedName name="кгккг" hidden="1">{#N/A,#N/A,FALSE,"Лист4"}</definedName>
    <definedName name="кгкккк" localSheetId="2" hidden="1">{#N/A,#N/A,FALSE,"Лист4"}</definedName>
    <definedName name="кгкккк" localSheetId="3" hidden="1">{#N/A,#N/A,FALSE,"Лист4"}</definedName>
    <definedName name="кгкккк" localSheetId="5" hidden="1">{#N/A,#N/A,FALSE,"Лист4"}</definedName>
    <definedName name="кгкккк" hidden="1">{#N/A,#N/A,FALSE,"Лист4"}</definedName>
    <definedName name="кеуц" localSheetId="2" hidden="1">{#N/A,#N/A,FALSE,"Лист4"}</definedName>
    <definedName name="кеуц" localSheetId="3" hidden="1">{#N/A,#N/A,FALSE,"Лист4"}</definedName>
    <definedName name="кеуц" localSheetId="5" hidden="1">{#N/A,#N/A,FALSE,"Лист4"}</definedName>
    <definedName name="кеуц" hidden="1">{#N/A,#N/A,FALSE,"Лист4"}</definedName>
    <definedName name="кк" localSheetId="2" hidden="1">{#N/A,#N/A,FALSE,"Лист4"}</definedName>
    <definedName name="кк" localSheetId="3" hidden="1">{#N/A,#N/A,FALSE,"Лист4"}</definedName>
    <definedName name="кк" localSheetId="5" hidden="1">{#N/A,#N/A,FALSE,"Лист4"}</definedName>
    <definedName name="кк" hidden="1">{#N/A,#N/A,FALSE,"Лист4"}</definedName>
    <definedName name="ккгкг" localSheetId="2" hidden="1">{#N/A,#N/A,FALSE,"Лист4"}</definedName>
    <definedName name="ккгкг" localSheetId="3" hidden="1">{#N/A,#N/A,FALSE,"Лист4"}</definedName>
    <definedName name="ккгкг" localSheetId="5" hidden="1">{#N/A,#N/A,FALSE,"Лист4"}</definedName>
    <definedName name="ккгкг" hidden="1">{#N/A,#N/A,FALSE,"Лист4"}</definedName>
    <definedName name="ккк" localSheetId="2" hidden="1">{#N/A,#N/A,FALSE,"Лист4"}</definedName>
    <definedName name="ккк" localSheetId="3" hidden="1">{#N/A,#N/A,FALSE,"Лист4"}</definedName>
    <definedName name="ккк" localSheetId="5" hidden="1">{#N/A,#N/A,FALSE,"Лист4"}</definedName>
    <definedName name="ккк" hidden="1">{#N/A,#N/A,FALSE,"Лист4"}</definedName>
    <definedName name="кккну" localSheetId="2" hidden="1">{#N/A,#N/A,FALSE,"Лист4"}</definedName>
    <definedName name="кккну" localSheetId="3" hidden="1">{#N/A,#N/A,FALSE,"Лист4"}</definedName>
    <definedName name="кккну" localSheetId="5" hidden="1">{#N/A,#N/A,FALSE,"Лист4"}</definedName>
    <definedName name="кккну" hidden="1">{#N/A,#N/A,FALSE,"Лист4"}</definedName>
    <definedName name="кккокк" localSheetId="2" hidden="1">{#N/A,#N/A,FALSE,"Лист4"}</definedName>
    <definedName name="кккокк" localSheetId="3" hidden="1">{#N/A,#N/A,FALSE,"Лист4"}</definedName>
    <definedName name="кккокк" localSheetId="5" hidden="1">{#N/A,#N/A,FALSE,"Лист4"}</definedName>
    <definedName name="кккокк" hidden="1">{#N/A,#N/A,FALSE,"Лист4"}</definedName>
    <definedName name="комунальне" localSheetId="2" hidden="1">{#N/A,#N/A,FALSE,"Лист4"}</definedName>
    <definedName name="комунальне" localSheetId="3" hidden="1">{#N/A,#N/A,FALSE,"Лист4"}</definedName>
    <definedName name="комунальне" localSheetId="5" hidden="1">{#N/A,#N/A,FALSE,"Лист4"}</definedName>
    <definedName name="комунальне" hidden="1">{#N/A,#N/A,FALSE,"Лист4"}</definedName>
    <definedName name="кот" localSheetId="2" hidden="1">{#N/A,#N/A,FALSE,"Лист4"}</definedName>
    <definedName name="кот" localSheetId="3" hidden="1">{#N/A,#N/A,FALSE,"Лист4"}</definedName>
    <definedName name="кот" localSheetId="5" hidden="1">{#N/A,#N/A,FALSE,"Лист4"}</definedName>
    <definedName name="кот" hidden="1">{#N/A,#N/A,FALSE,"Лист4"}</definedName>
    <definedName name="кр" localSheetId="2" hidden="1">{#N/A,#N/A,FALSE,"Лист4"}</definedName>
    <definedName name="кр" localSheetId="3" hidden="1">{#N/A,#N/A,FALSE,"Лист4"}</definedName>
    <definedName name="кр" localSheetId="5" hidden="1">{#N/A,#N/A,FALSE,"Лист4"}</definedName>
    <definedName name="кр" hidden="1">{#N/A,#N/A,FALSE,"Лист4"}</definedName>
    <definedName name="культура" localSheetId="2" hidden="1">{#N/A,#N/A,FALSE,"Лист4"}</definedName>
    <definedName name="культура" localSheetId="3" hidden="1">{#N/A,#N/A,FALSE,"Лист4"}</definedName>
    <definedName name="культура" localSheetId="5" hidden="1">{#N/A,#N/A,FALSE,"Лист4"}</definedName>
    <definedName name="культура" hidden="1">{#N/A,#N/A,FALSE,"Лист4"}</definedName>
    <definedName name="л" localSheetId="2" hidden="1">{#N/A,#N/A,FALSE,"Лист4"}</definedName>
    <definedName name="л" localSheetId="3" hidden="1">{#N/A,#N/A,FALSE,"Лист4"}</definedName>
    <definedName name="л" localSheetId="5" hidden="1">{#N/A,#N/A,FALSE,"Лист4"}</definedName>
    <definedName name="л" hidden="1">{#N/A,#N/A,FALSE,"Лист4"}</definedName>
    <definedName name="лд" localSheetId="2" hidden="1">{#N/A,#N/A,FALSE,"Лист4"}</definedName>
    <definedName name="лд" localSheetId="3" hidden="1">{#N/A,#N/A,FALSE,"Лист4"}</definedName>
    <definedName name="лд" localSheetId="5" hidden="1">{#N/A,#N/A,FALSE,"Лист4"}</definedName>
    <definedName name="лд" hidden="1">{#N/A,#N/A,FALSE,"Лист4"}</definedName>
    <definedName name="лл" localSheetId="2" hidden="1">{#N/A,#N/A,FALSE,"Лист4"}</definedName>
    <definedName name="лл" localSheetId="3" hidden="1">{#N/A,#N/A,FALSE,"Лист4"}</definedName>
    <definedName name="лл" localSheetId="5" hidden="1">{#N/A,#N/A,FALSE,"Лист4"}</definedName>
    <definedName name="лл" hidden="1">{#N/A,#N/A,FALSE,"Лист4"}</definedName>
    <definedName name="ллл" localSheetId="2" hidden="1">{#N/A,#N/A,FALSE,"Лист4"}</definedName>
    <definedName name="ллл" localSheetId="3" hidden="1">{#N/A,#N/A,FALSE,"Лист4"}</definedName>
    <definedName name="ллл" localSheetId="5" hidden="1">{#N/A,#N/A,FALSE,"Лист4"}</definedName>
    <definedName name="ллл" hidden="1">{#N/A,#N/A,FALSE,"Лист4"}</definedName>
    <definedName name="лнпллпл" localSheetId="2" hidden="1">{#N/A,#N/A,FALSE,"Лист4"}</definedName>
    <definedName name="лнпллпл" localSheetId="3" hidden="1">{#N/A,#N/A,FALSE,"Лист4"}</definedName>
    <definedName name="лнпллпл" localSheetId="5" hidden="1">{#N/A,#N/A,FALSE,"Лист4"}</definedName>
    <definedName name="лнпллпл" hidden="1">{#N/A,#N/A,FALSE,"Лист4"}</definedName>
    <definedName name="мак" localSheetId="2" hidden="1">{#N/A,#N/A,FALSE,"Лист4"}</definedName>
    <definedName name="мак" localSheetId="3" hidden="1">{#N/A,#N/A,FALSE,"Лист4"}</definedName>
    <definedName name="мак" localSheetId="5" hidden="1">{#N/A,#N/A,FALSE,"Лист4"}</definedName>
    <definedName name="мак" hidden="1">{#N/A,#N/A,FALSE,"Лист4"}</definedName>
    <definedName name="мм" localSheetId="2" hidden="1">{#N/A,#N/A,FALSE,"Лист4"}</definedName>
    <definedName name="мм" localSheetId="3" hidden="1">{#N/A,#N/A,FALSE,"Лист4"}</definedName>
    <definedName name="мм" localSheetId="5" hidden="1">{#N/A,#N/A,FALSE,"Лист4"}</definedName>
    <definedName name="мм" hidden="1">{#N/A,#N/A,FALSE,"Лист4"}</definedName>
    <definedName name="мпе" localSheetId="2" hidden="1">{#N/A,#N/A,FALSE,"Лист4"}</definedName>
    <definedName name="мпе" localSheetId="3" hidden="1">{#N/A,#N/A,FALSE,"Лист4"}</definedName>
    <definedName name="мпе" localSheetId="5" hidden="1">{#N/A,#N/A,FALSE,"Лист4"}</definedName>
    <definedName name="мпе" hidden="1">{#N/A,#N/A,FALSE,"Лист4"}</definedName>
    <definedName name="нгнгш" localSheetId="2" hidden="1">{#N/A,#N/A,FALSE,"Лист4"}</definedName>
    <definedName name="нгнгш" localSheetId="3" hidden="1">{#N/A,#N/A,FALSE,"Лист4"}</definedName>
    <definedName name="нгнгш" localSheetId="5" hidden="1">{#N/A,#N/A,FALSE,"Лист4"}</definedName>
    <definedName name="нгнгш" hidden="1">{#N/A,#N/A,FALSE,"Лист4"}</definedName>
    <definedName name="ннггг" localSheetId="2" hidden="1">{#N/A,#N/A,FALSE,"Лист4"}</definedName>
    <definedName name="ннггг" localSheetId="3" hidden="1">{#N/A,#N/A,FALSE,"Лист4"}</definedName>
    <definedName name="ннггг" localSheetId="5" hidden="1">{#N/A,#N/A,FALSE,"Лист4"}</definedName>
    <definedName name="ннггг" hidden="1">{#N/A,#N/A,FALSE,"Лист4"}</definedName>
    <definedName name="ннн" localSheetId="2" hidden="1">{#N/A,#N/A,FALSE,"Лист4"}</definedName>
    <definedName name="ннн" localSheetId="3" hidden="1">{#N/A,#N/A,FALSE,"Лист4"}</definedName>
    <definedName name="ннн" localSheetId="5" hidden="1">{#N/A,#N/A,FALSE,"Лист4"}</definedName>
    <definedName name="ннн" hidden="1">{#N/A,#N/A,FALSE,"Лист4"}</definedName>
    <definedName name="ннннг" localSheetId="2" hidden="1">{#N/A,#N/A,FALSE,"Лист4"}</definedName>
    <definedName name="ннннг" localSheetId="3" hidden="1">{#N/A,#N/A,FALSE,"Лист4"}</definedName>
    <definedName name="ннннг" localSheetId="5" hidden="1">{#N/A,#N/A,FALSE,"Лист4"}</definedName>
    <definedName name="ннннг" hidden="1">{#N/A,#N/A,FALSE,"Лист4"}</definedName>
    <definedName name="нннннннн" localSheetId="2" hidden="1">{#N/A,#N/A,FALSE,"Лист4"}</definedName>
    <definedName name="нннннннн" localSheetId="3" hidden="1">{#N/A,#N/A,FALSE,"Лист4"}</definedName>
    <definedName name="нннннннн" localSheetId="5" hidden="1">{#N/A,#N/A,FALSE,"Лист4"}</definedName>
    <definedName name="нннннннн" hidden="1">{#N/A,#N/A,FALSE,"Лист4"}</definedName>
    <definedName name="ннншенгке" localSheetId="2" hidden="1">{#N/A,#N/A,FALSE,"Лист4"}</definedName>
    <definedName name="ннншенгке" localSheetId="3" hidden="1">{#N/A,#N/A,FALSE,"Лист4"}</definedName>
    <definedName name="ннншенгке" localSheetId="5" hidden="1">{#N/A,#N/A,FALSE,"Лист4"}</definedName>
    <definedName name="ннншенгке" hidden="1">{#N/A,#N/A,FALSE,"Лист4"}</definedName>
    <definedName name="нншекк" localSheetId="2" hidden="1">{#N/A,#N/A,FALSE,"Лист4"}</definedName>
    <definedName name="нншекк" localSheetId="3" hidden="1">{#N/A,#N/A,FALSE,"Лист4"}</definedName>
    <definedName name="нншекк" localSheetId="5" hidden="1">{#N/A,#N/A,FALSE,"Лист4"}</definedName>
    <definedName name="нншекк" hidden="1">{#N/A,#N/A,FALSE,"Лист4"}</definedName>
    <definedName name="оггне" localSheetId="2" hidden="1">{#N/A,#N/A,FALSE,"Лист4"}</definedName>
    <definedName name="оггне" localSheetId="3" hidden="1">{#N/A,#N/A,FALSE,"Лист4"}</definedName>
    <definedName name="оггне" localSheetId="5" hidden="1">{#N/A,#N/A,FALSE,"Лист4"}</definedName>
    <definedName name="оггне" hidden="1">{#N/A,#N/A,FALSE,"Лист4"}</definedName>
    <definedName name="оллд" localSheetId="2" hidden="1">{#N/A,#N/A,FALSE,"Лист4"}</definedName>
    <definedName name="оллд" localSheetId="3" hidden="1">{#N/A,#N/A,FALSE,"Лист4"}</definedName>
    <definedName name="оллд" localSheetId="5" hidden="1">{#N/A,#N/A,FALSE,"Лист4"}</definedName>
    <definedName name="оллд" hidden="1">{#N/A,#N/A,FALSE,"Лист4"}</definedName>
    <definedName name="олол" localSheetId="2" hidden="1">{#N/A,#N/A,FALSE,"Лист4"}</definedName>
    <definedName name="олол" localSheetId="3" hidden="1">{#N/A,#N/A,FALSE,"Лист4"}</definedName>
    <definedName name="олол" localSheetId="5" hidden="1">{#N/A,#N/A,FALSE,"Лист4"}</definedName>
    <definedName name="олол" hidden="1">{#N/A,#N/A,FALSE,"Лист4"}</definedName>
    <definedName name="оо" localSheetId="2" hidden="1">{#N/A,#N/A,FALSE,"Лист4"}</definedName>
    <definedName name="оо" localSheetId="3" hidden="1">{#N/A,#N/A,FALSE,"Лист4"}</definedName>
    <definedName name="оо" localSheetId="5" hidden="1">{#N/A,#N/A,FALSE,"Лист4"}</definedName>
    <definedName name="оо" hidden="1">{#N/A,#N/A,FALSE,"Лист4"}</definedName>
    <definedName name="ооо" localSheetId="2" hidden="1">{#N/A,#N/A,FALSE,"Лист4"}</definedName>
    <definedName name="ооо" localSheetId="3" hidden="1">{#N/A,#N/A,FALSE,"Лист4"}</definedName>
    <definedName name="ооо" localSheetId="5" hidden="1">{#N/A,#N/A,FALSE,"Лист4"}</definedName>
    <definedName name="ооо" hidden="1">{#N/A,#N/A,FALSE,"Лист4"}</definedName>
    <definedName name="орнг" localSheetId="2" hidden="1">{#N/A,#N/A,FALSE,"Лист4"}</definedName>
    <definedName name="орнг" localSheetId="3" hidden="1">{#N/A,#N/A,FALSE,"Лист4"}</definedName>
    <definedName name="орнг" localSheetId="5" hidden="1">{#N/A,#N/A,FALSE,"Лист4"}</definedName>
    <definedName name="орнг" hidden="1">{#N/A,#N/A,FALSE,"Лист4"}</definedName>
    <definedName name="освіта" localSheetId="2" hidden="1">{#N/A,#N/A,FALSE,"Лист4"}</definedName>
    <definedName name="освіта" localSheetId="3" hidden="1">{#N/A,#N/A,FALSE,"Лист4"}</definedName>
    <definedName name="освіта" localSheetId="5" hidden="1">{#N/A,#N/A,FALSE,"Лист4"}</definedName>
    <definedName name="освіта" hidden="1">{#N/A,#N/A,FALSE,"Лист4"}</definedName>
    <definedName name="ох" localSheetId="2" hidden="1">{#N/A,#N/A,FALSE,"Лист4"}</definedName>
    <definedName name="ох" localSheetId="3" hidden="1">{#N/A,#N/A,FALSE,"Лист4"}</definedName>
    <definedName name="ох" localSheetId="5" hidden="1">{#N/A,#N/A,FALSE,"Лист4"}</definedName>
    <definedName name="ох" hidden="1">{#N/A,#N/A,FALSE,"Лист4"}</definedName>
    <definedName name="охорона" localSheetId="2" hidden="1">{#N/A,#N/A,FALSE,"Лист4"}</definedName>
    <definedName name="охорона" localSheetId="3" hidden="1">{#N/A,#N/A,FALSE,"Лист4"}</definedName>
    <definedName name="охорона" localSheetId="5" hidden="1">{#N/A,#N/A,FALSE,"Лист4"}</definedName>
    <definedName name="охорона" hidden="1">{#N/A,#N/A,FALSE,"Лист4"}</definedName>
    <definedName name="плеккккг" localSheetId="2" hidden="1">{#N/A,#N/A,FALSE,"Лист4"}</definedName>
    <definedName name="плеккккг" localSheetId="3" hidden="1">{#N/A,#N/A,FALSE,"Лист4"}</definedName>
    <definedName name="плеккккг" localSheetId="5" hidden="1">{#N/A,#N/A,FALSE,"Лист4"}</definedName>
    <definedName name="плеккккг" hidden="1">{#N/A,#N/A,FALSE,"Лист4"}</definedName>
    <definedName name="пллеелш" localSheetId="2" hidden="1">{#N/A,#N/A,FALSE,"Лист4"}</definedName>
    <definedName name="пллеелш" localSheetId="3" hidden="1">{#N/A,#N/A,FALSE,"Лист4"}</definedName>
    <definedName name="пллеелш" localSheetId="5" hidden="1">{#N/A,#N/A,FALSE,"Лист4"}</definedName>
    <definedName name="пллеелш" hidden="1">{#N/A,#N/A,FALSE,"Лист4"}</definedName>
    <definedName name="попле" localSheetId="2" hidden="1">{#N/A,#N/A,FALSE,"Лист4"}</definedName>
    <definedName name="попле" localSheetId="3" hidden="1">{#N/A,#N/A,FALSE,"Лист4"}</definedName>
    <definedName name="попле" localSheetId="5" hidden="1">{#N/A,#N/A,FALSE,"Лист4"}</definedName>
    <definedName name="попле" hidden="1">{#N/A,#N/A,FALSE,"Лист4"}</definedName>
    <definedName name="пот" localSheetId="2" hidden="1">{#N/A,#N/A,FALSE,"Лист4"}</definedName>
    <definedName name="пот" localSheetId="3" hidden="1">{#N/A,#N/A,FALSE,"Лист4"}</definedName>
    <definedName name="пот" localSheetId="5" hidden="1">{#N/A,#N/A,FALSE,"Лист4"}</definedName>
    <definedName name="пот" hidden="1">{#N/A,#N/A,FALSE,"Лист4"}</definedName>
    <definedName name="пп" localSheetId="2" hidden="1">{#N/A,#N/A,FALSE,"Лист4"}</definedName>
    <definedName name="пп" localSheetId="3" hidden="1">{#N/A,#N/A,FALSE,"Лист4"}</definedName>
    <definedName name="пп" localSheetId="5" hidden="1">{#N/A,#N/A,FALSE,"Лист4"}</definedName>
    <definedName name="пп" hidden="1">{#N/A,#N/A,FALSE,"Лист4"}</definedName>
    <definedName name="ппше" localSheetId="2" hidden="1">{#N/A,#N/A,FALSE,"Лист4"}</definedName>
    <definedName name="ппше" localSheetId="3" hidden="1">{#N/A,#N/A,FALSE,"Лист4"}</definedName>
    <definedName name="ппше" localSheetId="5" hidden="1">{#N/A,#N/A,FALSE,"Лист4"}</definedName>
    <definedName name="ппше" hidden="1">{#N/A,#N/A,FALSE,"Лист4"}</definedName>
    <definedName name="про" localSheetId="2" hidden="1">{#N/A,#N/A,FALSE,"Лист4"}</definedName>
    <definedName name="про" localSheetId="3" hidden="1">{#N/A,#N/A,FALSE,"Лист4"}</definedName>
    <definedName name="про" localSheetId="5" hidden="1">{#N/A,#N/A,FALSE,"Лист4"}</definedName>
    <definedName name="про" hidden="1">{#N/A,#N/A,FALSE,"Лист4"}</definedName>
    <definedName name="прое" localSheetId="2" hidden="1">{#N/A,#N/A,FALSE,"Лист4"}</definedName>
    <definedName name="прое" localSheetId="3" hidden="1">{#N/A,#N/A,FALSE,"Лист4"}</definedName>
    <definedName name="прое" localSheetId="5" hidden="1">{#N/A,#N/A,FALSE,"Лист4"}</definedName>
    <definedName name="прое" hidden="1">{#N/A,#N/A,FALSE,"Лист4"}</definedName>
    <definedName name="прои" localSheetId="2" hidden="1">{#N/A,#N/A,FALSE,"Лист4"}</definedName>
    <definedName name="прои" localSheetId="3" hidden="1">{#N/A,#N/A,FALSE,"Лист4"}</definedName>
    <definedName name="прои" localSheetId="5" hidden="1">{#N/A,#N/A,FALSE,"Лист4"}</definedName>
    <definedName name="прои" hidden="1">{#N/A,#N/A,FALSE,"Лист4"}</definedName>
    <definedName name="рор" localSheetId="2" hidden="1">{#N/A,#N/A,FALSE,"Лист4"}</definedName>
    <definedName name="рор" localSheetId="3" hidden="1">{#N/A,#N/A,FALSE,"Лист4"}</definedName>
    <definedName name="рор" localSheetId="5" hidden="1">{#N/A,#N/A,FALSE,"Лист4"}</definedName>
    <definedName name="рор" hidden="1">{#N/A,#N/A,FALSE,"Лист4"}</definedName>
    <definedName name="роро" localSheetId="2" hidden="1">{#N/A,#N/A,FALSE,"Лист4"}</definedName>
    <definedName name="роро" localSheetId="3" hidden="1">{#N/A,#N/A,FALSE,"Лист4"}</definedName>
    <definedName name="роро" localSheetId="5" hidden="1">{#N/A,#N/A,FALSE,"Лист4"}</definedName>
    <definedName name="роро" hidden="1">{#N/A,#N/A,FALSE,"Лист4"}</definedName>
    <definedName name="рррр" localSheetId="2" hidden="1">{#N/A,#N/A,FALSE,"Лист4"}</definedName>
    <definedName name="рррр" localSheetId="3" hidden="1">{#N/A,#N/A,FALSE,"Лист4"}</definedName>
    <definedName name="рррр" localSheetId="5" hidden="1">{#N/A,#N/A,FALSE,"Лист4"}</definedName>
    <definedName name="рррр" hidden="1">{#N/A,#N/A,FALSE,"Лист4"}</definedName>
    <definedName name="сми" localSheetId="2" hidden="1">{#N/A,#N/A,FALSE,"Лист4"}</definedName>
    <definedName name="сми" localSheetId="3" hidden="1">{#N/A,#N/A,FALSE,"Лист4"}</definedName>
    <definedName name="сми" localSheetId="5" hidden="1">{#N/A,#N/A,FALSE,"Лист4"}</definedName>
    <definedName name="сми" hidden="1">{#N/A,#N/A,FALSE,"Лист4"}</definedName>
    <definedName name="сс" localSheetId="2" hidden="1">{#N/A,#N/A,FALSE,"Лист4"}</definedName>
    <definedName name="сс" localSheetId="3" hidden="1">{#N/A,#N/A,FALSE,"Лист4"}</definedName>
    <definedName name="сс" localSheetId="5" hidden="1">{#N/A,#N/A,FALSE,"Лист4"}</definedName>
    <definedName name="сс" hidden="1">{#N/A,#N/A,FALSE,"Лист4"}</definedName>
    <definedName name="сум" localSheetId="2" hidden="1">{#N/A,#N/A,FALSE,"Лист4"}</definedName>
    <definedName name="сум" localSheetId="3" hidden="1">{#N/A,#N/A,FALSE,"Лист4"}</definedName>
    <definedName name="сум" localSheetId="5" hidden="1">{#N/A,#N/A,FALSE,"Лист4"}</definedName>
    <definedName name="сум" hidden="1">{#N/A,#N/A,FALSE,"Лист4"}</definedName>
    <definedName name="Суми" localSheetId="2" hidden="1">{#N/A,#N/A,FALSE,"Лист4"}</definedName>
    <definedName name="Суми" localSheetId="3" hidden="1">{#N/A,#N/A,FALSE,"Лист4"}</definedName>
    <definedName name="Суми" localSheetId="5" hidden="1">{#N/A,#N/A,FALSE,"Лист4"}</definedName>
    <definedName name="Суми" hidden="1">{#N/A,#N/A,FALSE,"Лист4"}</definedName>
    <definedName name="счу" localSheetId="2" hidden="1">{#N/A,#N/A,FALSE,"Лист4"}</definedName>
    <definedName name="счу" localSheetId="3" hidden="1">{#N/A,#N/A,FALSE,"Лист4"}</definedName>
    <definedName name="счу" localSheetId="5" hidden="1">{#N/A,#N/A,FALSE,"Лист4"}</definedName>
    <definedName name="счу" hidden="1">{#N/A,#N/A,FALSE,"Лист4"}</definedName>
    <definedName name="счя" localSheetId="2" hidden="1">{#N/A,#N/A,FALSE,"Лист4"}</definedName>
    <definedName name="счя" localSheetId="3" hidden="1">{#N/A,#N/A,FALSE,"Лист4"}</definedName>
    <definedName name="счя" localSheetId="5" hidden="1">{#N/A,#N/A,FALSE,"Лист4"}</definedName>
    <definedName name="счя" hidden="1">{#N/A,#N/A,FALSE,"Лист4"}</definedName>
    <definedName name="тогн" localSheetId="2" hidden="1">{#N/A,#N/A,FALSE,"Лист4"}</definedName>
    <definedName name="тогн" localSheetId="3" hidden="1">{#N/A,#N/A,FALSE,"Лист4"}</definedName>
    <definedName name="тогн" localSheetId="5" hidden="1">{#N/A,#N/A,FALSE,"Лист4"}</definedName>
    <definedName name="тогн" hidden="1">{#N/A,#N/A,FALSE,"Лист4"}</definedName>
    <definedName name="трн" localSheetId="2" hidden="1">{#N/A,#N/A,FALSE,"Лист4"}</definedName>
    <definedName name="трн" localSheetId="3" hidden="1">{#N/A,#N/A,FALSE,"Лист4"}</definedName>
    <definedName name="трн" localSheetId="5" hidden="1">{#N/A,#N/A,FALSE,"Лист4"}</definedName>
    <definedName name="трн" hidden="1">{#N/A,#N/A,FALSE,"Лист4"}</definedName>
    <definedName name="ттт" localSheetId="2" hidden="1">{#N/A,#N/A,FALSE,"Лист4"}</definedName>
    <definedName name="ттт" localSheetId="3" hidden="1">{#N/A,#N/A,FALSE,"Лист4"}</definedName>
    <definedName name="ттт" localSheetId="5" hidden="1">{#N/A,#N/A,FALSE,"Лист4"}</definedName>
    <definedName name="ттт" hidden="1">{#N/A,#N/A,FALSE,"Лист4"}</definedName>
    <definedName name="ть" localSheetId="2" hidden="1">{#N/A,#N/A,FALSE,"Лист4"}</definedName>
    <definedName name="ть" localSheetId="3" hidden="1">{#N/A,#N/A,FALSE,"Лист4"}</definedName>
    <definedName name="ть" localSheetId="5" hidden="1">{#N/A,#N/A,FALSE,"Лист4"}</definedName>
    <definedName name="ть" hidden="1">{#N/A,#N/A,FALSE,"Лист4"}</definedName>
    <definedName name="уа" localSheetId="2" hidden="1">{#N/A,#N/A,FALSE,"Лист4"}</definedName>
    <definedName name="уа" localSheetId="3" hidden="1">{#N/A,#N/A,FALSE,"Лист4"}</definedName>
    <definedName name="уа" localSheetId="5" hidden="1">{#N/A,#N/A,FALSE,"Лист4"}</definedName>
    <definedName name="уа" hidden="1">{#N/A,#N/A,FALSE,"Лист4"}</definedName>
    <definedName name="увке" localSheetId="2" hidden="1">{#N/A,#N/A,FALSE,"Лист4"}</definedName>
    <definedName name="увке" localSheetId="3" hidden="1">{#N/A,#N/A,FALSE,"Лист4"}</definedName>
    <definedName name="увке" localSheetId="5" hidden="1">{#N/A,#N/A,FALSE,"Лист4"}</definedName>
    <definedName name="увке" hidden="1">{#N/A,#N/A,FALSE,"Лист4"}</definedName>
    <definedName name="уеунукнун" localSheetId="2" hidden="1">{#N/A,#N/A,FALSE,"Лист4"}</definedName>
    <definedName name="уеунукнун" localSheetId="3" hidden="1">{#N/A,#N/A,FALSE,"Лист4"}</definedName>
    <definedName name="уеунукнун" localSheetId="5" hidden="1">{#N/A,#N/A,FALSE,"Лист4"}</definedName>
    <definedName name="уеунукнун" hidden="1">{#N/A,#N/A,FALSE,"Лист4"}</definedName>
    <definedName name="уке" localSheetId="2" hidden="1">{#N/A,#N/A,FALSE,"Лист4"}</definedName>
    <definedName name="уке" localSheetId="3" hidden="1">{#N/A,#N/A,FALSE,"Лист4"}</definedName>
    <definedName name="уке" localSheetId="5" hidden="1">{#N/A,#N/A,FALSE,"Лист4"}</definedName>
    <definedName name="уке" hidden="1">{#N/A,#N/A,FALSE,"Лист4"}</definedName>
    <definedName name="укй" localSheetId="2" hidden="1">{#N/A,#N/A,FALSE,"Лист4"}</definedName>
    <definedName name="укй" localSheetId="3" hidden="1">{#N/A,#N/A,FALSE,"Лист4"}</definedName>
    <definedName name="укй" localSheetId="5" hidden="1">{#N/A,#N/A,FALSE,"Лист4"}</definedName>
    <definedName name="укй" hidden="1">{#N/A,#N/A,FALSE,"Лист4"}</definedName>
    <definedName name="укунн" localSheetId="2" hidden="1">{#N/A,#N/A,FALSE,"Лист4"}</definedName>
    <definedName name="укунн" localSheetId="3" hidden="1">{#N/A,#N/A,FALSE,"Лист4"}</definedName>
    <definedName name="укунн" localSheetId="5" hidden="1">{#N/A,#N/A,FALSE,"Лист4"}</definedName>
    <definedName name="укунн" hidden="1">{#N/A,#N/A,FALSE,"Лист4"}</definedName>
    <definedName name="унунен" localSheetId="2" hidden="1">{#N/A,#N/A,FALSE,"Лист4"}</definedName>
    <definedName name="унунен" localSheetId="3" hidden="1">{#N/A,#N/A,FALSE,"Лист4"}</definedName>
    <definedName name="унунен" localSheetId="5" hidden="1">{#N/A,#N/A,FALSE,"Лист4"}</definedName>
    <definedName name="унунен" hidden="1">{#N/A,#N/A,FALSE,"Лист4"}</definedName>
    <definedName name="унунун" localSheetId="2" hidden="1">{#N/A,#N/A,FALSE,"Лист4"}</definedName>
    <definedName name="унунун" localSheetId="3" hidden="1">{#N/A,#N/A,FALSE,"Лист4"}</definedName>
    <definedName name="унунун" localSheetId="5" hidden="1">{#N/A,#N/A,FALSE,"Лист4"}</definedName>
    <definedName name="унунун" hidden="1">{#N/A,#N/A,FALSE,"Лист4"}</definedName>
    <definedName name="унуу" localSheetId="2" hidden="1">{#N/A,#N/A,FALSE,"Лист4"}</definedName>
    <definedName name="унуу" localSheetId="3" hidden="1">{#N/A,#N/A,FALSE,"Лист4"}</definedName>
    <definedName name="унуу" localSheetId="5" hidden="1">{#N/A,#N/A,FALSE,"Лист4"}</definedName>
    <definedName name="унуу" hidden="1">{#N/A,#N/A,FALSE,"Лист4"}</definedName>
    <definedName name="унуун" localSheetId="2" hidden="1">{#N/A,#N/A,FALSE,"Лист4"}</definedName>
    <definedName name="унуун" localSheetId="3" hidden="1">{#N/A,#N/A,FALSE,"Лист4"}</definedName>
    <definedName name="унуун" localSheetId="5" hidden="1">{#N/A,#N/A,FALSE,"Лист4"}</definedName>
    <definedName name="унуун" hidden="1">{#N/A,#N/A,FALSE,"Лист4"}</definedName>
    <definedName name="унууу" localSheetId="2" hidden="1">{#N/A,#N/A,FALSE,"Лист4"}</definedName>
    <definedName name="унууу" localSheetId="3" hidden="1">{#N/A,#N/A,FALSE,"Лист4"}</definedName>
    <definedName name="унууу" localSheetId="5" hidden="1">{#N/A,#N/A,FALSE,"Лист4"}</definedName>
    <definedName name="унууу" hidden="1">{#N/A,#N/A,FALSE,"Лист4"}</definedName>
    <definedName name="управ" localSheetId="2" hidden="1">{#N/A,#N/A,FALSE,"Лист4"}</definedName>
    <definedName name="управ" localSheetId="3" hidden="1">{#N/A,#N/A,FALSE,"Лист4"}</definedName>
    <definedName name="управ" localSheetId="5" hidden="1">{#N/A,#N/A,FALSE,"Лист4"}</definedName>
    <definedName name="управ" hidden="1">{#N/A,#N/A,FALSE,"Лист4"}</definedName>
    <definedName name="управління" localSheetId="2" hidden="1">{#N/A,#N/A,FALSE,"Лист4"}</definedName>
    <definedName name="управління" localSheetId="3" hidden="1">{#N/A,#N/A,FALSE,"Лист4"}</definedName>
    <definedName name="управління" localSheetId="5" hidden="1">{#N/A,#N/A,FALSE,"Лист4"}</definedName>
    <definedName name="управління" hidden="1">{#N/A,#N/A,FALSE,"Лист4"}</definedName>
    <definedName name="уукее" localSheetId="2" hidden="1">{#N/A,#N/A,FALSE,"Лист4"}</definedName>
    <definedName name="уукее" localSheetId="3" hidden="1">{#N/A,#N/A,FALSE,"Лист4"}</definedName>
    <definedName name="уукее" localSheetId="5" hidden="1">{#N/A,#N/A,FALSE,"Лист4"}</definedName>
    <definedName name="уукее" hidden="1">{#N/A,#N/A,FALSE,"Лист4"}</definedName>
    <definedName name="ууннну" localSheetId="2" hidden="1">{#N/A,#N/A,FALSE,"Лист4"}</definedName>
    <definedName name="ууннну" localSheetId="3" hidden="1">{#N/A,#N/A,FALSE,"Лист4"}</definedName>
    <definedName name="ууннну" localSheetId="5" hidden="1">{#N/A,#N/A,FALSE,"Лист4"}</definedName>
    <definedName name="ууннну" hidden="1">{#N/A,#N/A,FALSE,"Лист4"}</definedName>
    <definedName name="ууну" localSheetId="2" hidden="1">{#N/A,#N/A,FALSE,"Лист4"}</definedName>
    <definedName name="ууну" localSheetId="3" hidden="1">{#N/A,#N/A,FALSE,"Лист4"}</definedName>
    <definedName name="ууну" localSheetId="5" hidden="1">{#N/A,#N/A,FALSE,"Лист4"}</definedName>
    <definedName name="ууну" hidden="1">{#N/A,#N/A,FALSE,"Лист4"}</definedName>
    <definedName name="уунунг" localSheetId="2" hidden="1">{#N/A,#N/A,FALSE,"Лист4"}</definedName>
    <definedName name="уунунг" localSheetId="3" hidden="1">{#N/A,#N/A,FALSE,"Лист4"}</definedName>
    <definedName name="уунунг" localSheetId="5" hidden="1">{#N/A,#N/A,FALSE,"Лист4"}</definedName>
    <definedName name="уунунг" hidden="1">{#N/A,#N/A,FALSE,"Лист4"}</definedName>
    <definedName name="уунунууу" localSheetId="2" hidden="1">{#N/A,#N/A,FALSE,"Лист4"}</definedName>
    <definedName name="уунунууу" localSheetId="3" hidden="1">{#N/A,#N/A,FALSE,"Лист4"}</definedName>
    <definedName name="уунунууу" localSheetId="5" hidden="1">{#N/A,#N/A,FALSE,"Лист4"}</definedName>
    <definedName name="уунунууу" hidden="1">{#N/A,#N/A,FALSE,"Лист4"}</definedName>
    <definedName name="уунуурр" localSheetId="2" hidden="1">{#N/A,#N/A,FALSE,"Лист4"}</definedName>
    <definedName name="уунуурр" localSheetId="3" hidden="1">{#N/A,#N/A,FALSE,"Лист4"}</definedName>
    <definedName name="уунуурр" localSheetId="5" hidden="1">{#N/A,#N/A,FALSE,"Лист4"}</definedName>
    <definedName name="уунуурр" hidden="1">{#N/A,#N/A,FALSE,"Лист4"}</definedName>
    <definedName name="уунуууу" localSheetId="2" hidden="1">{#N/A,#N/A,FALSE,"Лист4"}</definedName>
    <definedName name="уунуууу" localSheetId="3" hidden="1">{#N/A,#N/A,FALSE,"Лист4"}</definedName>
    <definedName name="уунуууу" localSheetId="5" hidden="1">{#N/A,#N/A,FALSE,"Лист4"}</definedName>
    <definedName name="уунуууу" hidden="1">{#N/A,#N/A,FALSE,"Лист4"}</definedName>
    <definedName name="ууу" localSheetId="2" hidden="1">{#N/A,#N/A,FALSE,"Лист4"}</definedName>
    <definedName name="ууу" localSheetId="3" hidden="1">{#N/A,#N/A,FALSE,"Лист4"}</definedName>
    <definedName name="ууу" localSheetId="5" hidden="1">{#N/A,#N/A,FALSE,"Лист4"}</definedName>
    <definedName name="ууу" hidden="1">{#N/A,#N/A,FALSE,"Лист4"}</definedName>
    <definedName name="ууунну" localSheetId="2" hidden="1">{#N/A,#N/A,FALSE,"Лист4"}</definedName>
    <definedName name="ууунну" localSheetId="3" hidden="1">{#N/A,#N/A,FALSE,"Лист4"}</definedName>
    <definedName name="ууунну" localSheetId="5" hidden="1">{#N/A,#N/A,FALSE,"Лист4"}</definedName>
    <definedName name="ууунну" hidden="1">{#N/A,#N/A,FALSE,"Лист4"}</definedName>
    <definedName name="ууунууууу" localSheetId="2" hidden="1">{#N/A,#N/A,FALSE,"Лист4"}</definedName>
    <definedName name="ууунууууу" localSheetId="3" hidden="1">{#N/A,#N/A,FALSE,"Лист4"}</definedName>
    <definedName name="ууунууууу" localSheetId="5" hidden="1">{#N/A,#N/A,FALSE,"Лист4"}</definedName>
    <definedName name="ууунууууу" hidden="1">{#N/A,#N/A,FALSE,"Лист4"}</definedName>
    <definedName name="уууу" localSheetId="2" hidden="1">{#N/A,#N/A,FALSE,"Лист4"}</definedName>
    <definedName name="уууу" localSheetId="3" hidden="1">{#N/A,#N/A,FALSE,"Лист4"}</definedName>
    <definedName name="уууу" localSheetId="5" hidden="1">{#N/A,#N/A,FALSE,"Лист4"}</definedName>
    <definedName name="уууу" hidden="1">{#N/A,#N/A,FALSE,"Лист4"}</definedName>
    <definedName name="уууу32" localSheetId="2" hidden="1">{#N/A,#N/A,FALSE,"Лист4"}</definedName>
    <definedName name="уууу32" localSheetId="3" hidden="1">{#N/A,#N/A,FALSE,"Лист4"}</definedName>
    <definedName name="уууу32" localSheetId="5" hidden="1">{#N/A,#N/A,FALSE,"Лист4"}</definedName>
    <definedName name="уууу32" hidden="1">{#N/A,#N/A,FALSE,"Лист4"}</definedName>
    <definedName name="уууун" localSheetId="2" hidden="1">{#N/A,#N/A,FALSE,"Лист4"}</definedName>
    <definedName name="уууун" localSheetId="3" hidden="1">{#N/A,#N/A,FALSE,"Лист4"}</definedName>
    <definedName name="уууун" localSheetId="5" hidden="1">{#N/A,#N/A,FALSE,"Лист4"}</definedName>
    <definedName name="уууун" hidden="1">{#N/A,#N/A,FALSE,"Лист4"}</definedName>
    <definedName name="фф" localSheetId="2" hidden="1">{#N/A,#N/A,FALSE,"Лист4"}</definedName>
    <definedName name="фф" localSheetId="3" hidden="1">{#N/A,#N/A,FALSE,"Лист4"}</definedName>
    <definedName name="фф" localSheetId="5" hidden="1">{#N/A,#N/A,FALSE,"Лист4"}</definedName>
    <definedName name="фф" hidden="1">{#N/A,#N/A,FALSE,"Лист4"}</definedName>
    <definedName name="ффф" localSheetId="2" hidden="1">{#N/A,#N/A,FALSE,"Лист4"}</definedName>
    <definedName name="ффф" localSheetId="3" hidden="1">{#N/A,#N/A,FALSE,"Лист4"}</definedName>
    <definedName name="ффф" localSheetId="5" hidden="1">{#N/A,#N/A,FALSE,"Лист4"}</definedName>
    <definedName name="ффф" hidden="1">{#N/A,#N/A,FALSE,"Лист4"}</definedName>
    <definedName name="фффф" localSheetId="2" hidden="1">{#N/A,#N/A,FALSE,"Лист4"}</definedName>
    <definedName name="фффф" localSheetId="3" hidden="1">{#N/A,#N/A,FALSE,"Лист4"}</definedName>
    <definedName name="фффф" localSheetId="5" hidden="1">{#N/A,#N/A,FALSE,"Лист4"}</definedName>
    <definedName name="фффф" hidden="1">{#N/A,#N/A,FALSE,"Лист4"}</definedName>
    <definedName name="ффффф" localSheetId="2" hidden="1">{#N/A,#N/A,FALSE,"Лист4"}</definedName>
    <definedName name="ффффф" localSheetId="3" hidden="1">{#N/A,#N/A,FALSE,"Лист4"}</definedName>
    <definedName name="ффффф" localSheetId="5" hidden="1">{#N/A,#N/A,FALSE,"Лист4"}</definedName>
    <definedName name="ффффф" hidden="1">{#N/A,#N/A,FALSE,"Лист4"}</definedName>
    <definedName name="хз" localSheetId="2" hidden="1">{#N/A,#N/A,FALSE,"Лист4"}</definedName>
    <definedName name="хз" localSheetId="3" hidden="1">{#N/A,#N/A,FALSE,"Лист4"}</definedName>
    <definedName name="хз" localSheetId="5" hidden="1">{#N/A,#N/A,FALSE,"Лист4"}</definedName>
    <definedName name="хз" hidden="1">{#N/A,#N/A,FALSE,"Лист4"}</definedName>
    <definedName name="хїз" localSheetId="2" hidden="1">{#N/A,#N/A,FALSE,"Лист4"}</definedName>
    <definedName name="хїз" localSheetId="3" hidden="1">{#N/A,#N/A,FALSE,"Лист4"}</definedName>
    <definedName name="хїз" localSheetId="5" hidden="1">{#N/A,#N/A,FALSE,"Лист4"}</definedName>
    <definedName name="хїз" hidden="1">{#N/A,#N/A,FALSE,"Лист4"}</definedName>
    <definedName name="ххх" localSheetId="2" hidden="1">{#N/A,#N/A,FALSE,"Лист4"}</definedName>
    <definedName name="ххх" localSheetId="3" hidden="1">{#N/A,#N/A,FALSE,"Лист4"}</definedName>
    <definedName name="ххх" localSheetId="5" hidden="1">{#N/A,#N/A,FALSE,"Лист4"}</definedName>
    <definedName name="ххх" hidden="1">{#N/A,#N/A,FALSE,"Лист4"}</definedName>
    <definedName name="ц" localSheetId="2" hidden="1">{#N/A,#N/A,FALSE,"Лист4"}</definedName>
    <definedName name="ц" localSheetId="3" hidden="1">{#N/A,#N/A,FALSE,"Лист4"}</definedName>
    <definedName name="ц" localSheetId="5" hidden="1">{#N/A,#N/A,FALSE,"Лист4"}</definedName>
    <definedName name="ц" hidden="1">{#N/A,#N/A,FALSE,"Лист4"}</definedName>
    <definedName name="цва" localSheetId="2" hidden="1">{#N/A,#N/A,FALSE,"Лист4"}</definedName>
    <definedName name="цва" localSheetId="3" hidden="1">{#N/A,#N/A,FALSE,"Лист4"}</definedName>
    <definedName name="цва" localSheetId="5" hidden="1">{#N/A,#N/A,FALSE,"Лист4"}</definedName>
    <definedName name="цва" hidden="1">{#N/A,#N/A,FALSE,"Лист4"}</definedName>
    <definedName name="цекццецце" localSheetId="2" hidden="1">{#N/A,#N/A,FALSE,"Лист4"}</definedName>
    <definedName name="цекццецце" localSheetId="3" hidden="1">{#N/A,#N/A,FALSE,"Лист4"}</definedName>
    <definedName name="цекццецце" localSheetId="5" hidden="1">{#N/A,#N/A,FALSE,"Лист4"}</definedName>
    <definedName name="цекццецце" hidden="1">{#N/A,#N/A,FALSE,"Лист4"}</definedName>
    <definedName name="цеце" localSheetId="2" hidden="1">{#N/A,#N/A,FALSE,"Лист4"}</definedName>
    <definedName name="цеце" localSheetId="3" hidden="1">{#N/A,#N/A,FALSE,"Лист4"}</definedName>
    <definedName name="цеце" localSheetId="5" hidden="1">{#N/A,#N/A,FALSE,"Лист4"}</definedName>
    <definedName name="цеце" hidden="1">{#N/A,#N/A,FALSE,"Лист4"}</definedName>
    <definedName name="цецеце" localSheetId="2" hidden="1">{#N/A,#N/A,FALSE,"Лист4"}</definedName>
    <definedName name="цецеце" localSheetId="3" hidden="1">{#N/A,#N/A,FALSE,"Лист4"}</definedName>
    <definedName name="цецеце" localSheetId="5" hidden="1">{#N/A,#N/A,FALSE,"Лист4"}</definedName>
    <definedName name="цецеце" hidden="1">{#N/A,#N/A,FALSE,"Лист4"}</definedName>
    <definedName name="цук" localSheetId="2" hidden="1">{#N/A,#N/A,FALSE,"Лист4"}</definedName>
    <definedName name="цук" localSheetId="3" hidden="1">{#N/A,#N/A,FALSE,"Лист4"}</definedName>
    <definedName name="цук" localSheetId="5" hidden="1">{#N/A,#N/A,FALSE,"Лист4"}</definedName>
    <definedName name="цук" hidden="1">{#N/A,#N/A,FALSE,"Лист4"}</definedName>
    <definedName name="цуку" localSheetId="2" hidden="1">{#N/A,#N/A,FALSE,"Лист4"}</definedName>
    <definedName name="цуку" localSheetId="3" hidden="1">{#N/A,#N/A,FALSE,"Лист4"}</definedName>
    <definedName name="цуку" localSheetId="5" hidden="1">{#N/A,#N/A,FALSE,"Лист4"}</definedName>
    <definedName name="цуку" hidden="1">{#N/A,#N/A,FALSE,"Лист4"}</definedName>
    <definedName name="цууу" localSheetId="2" hidden="1">{#N/A,#N/A,FALSE,"Лист4"}</definedName>
    <definedName name="цууу" localSheetId="3" hidden="1">{#N/A,#N/A,FALSE,"Лист4"}</definedName>
    <definedName name="цууу" localSheetId="5" hidden="1">{#N/A,#N/A,FALSE,"Лист4"}</definedName>
    <definedName name="цууу" hidden="1">{#N/A,#N/A,FALSE,"Лист4"}</definedName>
    <definedName name="цц" localSheetId="2" hidden="1">{#N/A,#N/A,FALSE,"Лист4"}</definedName>
    <definedName name="цц" localSheetId="3" hidden="1">{#N/A,#N/A,FALSE,"Лист4"}</definedName>
    <definedName name="цц" localSheetId="5" hidden="1">{#N/A,#N/A,FALSE,"Лист4"}</definedName>
    <definedName name="цц" hidden="1">{#N/A,#N/A,FALSE,"Лист4"}</definedName>
    <definedName name="ццвва" localSheetId="2" hidden="1">{#N/A,#N/A,FALSE,"Лист4"}</definedName>
    <definedName name="ццвва" localSheetId="3" hidden="1">{#N/A,#N/A,FALSE,"Лист4"}</definedName>
    <definedName name="ццвва" localSheetId="5" hidden="1">{#N/A,#N/A,FALSE,"Лист4"}</definedName>
    <definedName name="ццвва" hidden="1">{#N/A,#N/A,FALSE,"Лист4"}</definedName>
    <definedName name="ццецц" localSheetId="2" hidden="1">{#N/A,#N/A,FALSE,"Лист4"}</definedName>
    <definedName name="ццецц" localSheetId="3" hidden="1">{#N/A,#N/A,FALSE,"Лист4"}</definedName>
    <definedName name="ццецц" localSheetId="5" hidden="1">{#N/A,#N/A,FALSE,"Лист4"}</definedName>
    <definedName name="ццецц" hidden="1">{#N/A,#N/A,FALSE,"Лист4"}</definedName>
    <definedName name="ццеццке" localSheetId="2" hidden="1">{#N/A,#N/A,FALSE,"Лист4"}</definedName>
    <definedName name="ццеццке" localSheetId="3" hidden="1">{#N/A,#N/A,FALSE,"Лист4"}</definedName>
    <definedName name="ццеццке" localSheetId="5" hidden="1">{#N/A,#N/A,FALSE,"Лист4"}</definedName>
    <definedName name="ццеццке" hidden="1">{#N/A,#N/A,FALSE,"Лист4"}</definedName>
    <definedName name="ццеццкевап" localSheetId="2" hidden="1">{#N/A,#N/A,FALSE,"Лист4"}</definedName>
    <definedName name="ццеццкевап" localSheetId="3" hidden="1">{#N/A,#N/A,FALSE,"Лист4"}</definedName>
    <definedName name="ццеццкевап" localSheetId="5" hidden="1">{#N/A,#N/A,FALSE,"Лист4"}</definedName>
    <definedName name="ццеццкевап" hidden="1">{#N/A,#N/A,FALSE,"Лист4"}</definedName>
    <definedName name="ццке" localSheetId="2" hidden="1">{#N/A,#N/A,FALSE,"Лист4"}</definedName>
    <definedName name="ццке" localSheetId="3" hidden="1">{#N/A,#N/A,FALSE,"Лист4"}</definedName>
    <definedName name="ццке" localSheetId="5" hidden="1">{#N/A,#N/A,FALSE,"Лист4"}</definedName>
    <definedName name="ццке" hidden="1">{#N/A,#N/A,FALSE,"Лист4"}</definedName>
    <definedName name="ццук" localSheetId="2" hidden="1">{#N/A,#N/A,FALSE,"Лист4"}</definedName>
    <definedName name="ццук" localSheetId="3" hidden="1">{#N/A,#N/A,FALSE,"Лист4"}</definedName>
    <definedName name="ццук" localSheetId="5" hidden="1">{#N/A,#N/A,FALSE,"Лист4"}</definedName>
    <definedName name="ццук" hidden="1">{#N/A,#N/A,FALSE,"Лист4"}</definedName>
    <definedName name="цццецц" localSheetId="2" hidden="1">{#N/A,#N/A,FALSE,"Лист4"}</definedName>
    <definedName name="цццецц" localSheetId="3" hidden="1">{#N/A,#N/A,FALSE,"Лист4"}</definedName>
    <definedName name="цццецц" localSheetId="5" hidden="1">{#N/A,#N/A,FALSE,"Лист4"}</definedName>
    <definedName name="цццецц" hidden="1">{#N/A,#N/A,FALSE,"Лист4"}</definedName>
    <definedName name="цццкеец" localSheetId="2" hidden="1">{#N/A,#N/A,FALSE,"Лист4"}</definedName>
    <definedName name="цццкеец" localSheetId="3" hidden="1">{#N/A,#N/A,FALSE,"Лист4"}</definedName>
    <definedName name="цццкеец" localSheetId="5" hidden="1">{#N/A,#N/A,FALSE,"Лист4"}</definedName>
    <definedName name="цццкеец" hidden="1">{#N/A,#N/A,FALSE,"Лист4"}</definedName>
    <definedName name="цццц" localSheetId="2" hidden="1">{#N/A,#N/A,FALSE,"Лист4"}</definedName>
    <definedName name="цццц" localSheetId="3" hidden="1">{#N/A,#N/A,FALSE,"Лист4"}</definedName>
    <definedName name="цццц" localSheetId="5" hidden="1">{#N/A,#N/A,FALSE,"Лист4"}</definedName>
    <definedName name="цццц" hidden="1">{#N/A,#N/A,FALSE,"Лист4"}</definedName>
    <definedName name="ццццкц" localSheetId="2" hidden="1">{#N/A,#N/A,FALSE,"Лист4"}</definedName>
    <definedName name="ццццкц" localSheetId="3" hidden="1">{#N/A,#N/A,FALSE,"Лист4"}</definedName>
    <definedName name="ццццкц" localSheetId="5" hidden="1">{#N/A,#N/A,FALSE,"Лист4"}</definedName>
    <definedName name="ццццкц" hidden="1">{#N/A,#N/A,FALSE,"Лист4"}</definedName>
    <definedName name="ццццц" localSheetId="2" hidden="1">{#N/A,#N/A,FALSE,"Лист4"}</definedName>
    <definedName name="ццццц" localSheetId="3" hidden="1">{#N/A,#N/A,FALSE,"Лист4"}</definedName>
    <definedName name="ццццц" localSheetId="5" hidden="1">{#N/A,#N/A,FALSE,"Лист4"}</definedName>
    <definedName name="ццццц" hidden="1">{#N/A,#N/A,FALSE,"Лист4"}</definedName>
    <definedName name="цццццц" localSheetId="2" hidden="1">{#N/A,#N/A,FALSE,"Лист4"}</definedName>
    <definedName name="цццццц" localSheetId="3" hidden="1">{#N/A,#N/A,FALSE,"Лист4"}</definedName>
    <definedName name="цццццц" localSheetId="5" hidden="1">{#N/A,#N/A,FALSE,"Лист4"}</definedName>
    <definedName name="цццццц" hidden="1">{#N/A,#N/A,FALSE,"Лист4"}</definedName>
    <definedName name="чву" localSheetId="2" hidden="1">{#N/A,#N/A,FALSE,"Лист4"}</definedName>
    <definedName name="чву" localSheetId="3" hidden="1">{#N/A,#N/A,FALSE,"Лист4"}</definedName>
    <definedName name="чву" localSheetId="5" hidden="1">{#N/A,#N/A,FALSE,"Лист4"}</definedName>
    <definedName name="чву" hidden="1">{#N/A,#N/A,FALSE,"Лист4"}</definedName>
    <definedName name="чч" localSheetId="2" hidden="1">{#N/A,#N/A,FALSE,"Лист4"}</definedName>
    <definedName name="чч" localSheetId="3" hidden="1">{#N/A,#N/A,FALSE,"Лист4"}</definedName>
    <definedName name="чч" localSheetId="5" hidden="1">{#N/A,#N/A,FALSE,"Лист4"}</definedName>
    <definedName name="чч" hidden="1">{#N/A,#N/A,FALSE,"Лист4"}</definedName>
    <definedName name="ччч" localSheetId="2" hidden="1">{#N/A,#N/A,FALSE,"Лист4"}</definedName>
    <definedName name="ччч" localSheetId="3" hidden="1">{#N/A,#N/A,FALSE,"Лист4"}</definedName>
    <definedName name="ччч" localSheetId="5" hidden="1">{#N/A,#N/A,FALSE,"Лист4"}</definedName>
    <definedName name="ччч" hidden="1">{#N/A,#N/A,FALSE,"Лист4"}</definedName>
    <definedName name="шш" localSheetId="2" hidden="1">{#N/A,#N/A,FALSE,"Лист4"}</definedName>
    <definedName name="шш" localSheetId="3" hidden="1">{#N/A,#N/A,FALSE,"Лист4"}</definedName>
    <definedName name="шш" localSheetId="5" hidden="1">{#N/A,#N/A,FALSE,"Лист4"}</definedName>
    <definedName name="шш" hidden="1">{#N/A,#N/A,FALSE,"Лист4"}</definedName>
    <definedName name="шшшш" localSheetId="2" hidden="1">{#N/A,#N/A,FALSE,"Лист4"}</definedName>
    <definedName name="шшшш" localSheetId="3" hidden="1">{#N/A,#N/A,FALSE,"Лист4"}</definedName>
    <definedName name="шшшш" localSheetId="5" hidden="1">{#N/A,#N/A,FALSE,"Лист4"}</definedName>
    <definedName name="шшшш" hidden="1">{#N/A,#N/A,FALSE,"Лист4"}</definedName>
    <definedName name="щщ" localSheetId="2" hidden="1">{#N/A,#N/A,FALSE,"Лист4"}</definedName>
    <definedName name="щщ" localSheetId="3" hidden="1">{#N/A,#N/A,FALSE,"Лист4"}</definedName>
    <definedName name="щщ" localSheetId="5" hidden="1">{#N/A,#N/A,FALSE,"Лист4"}</definedName>
    <definedName name="щщ" hidden="1">{#N/A,#N/A,FALSE,"Лист4"}</definedName>
    <definedName name="щщщ" localSheetId="2" hidden="1">{#N/A,#N/A,FALSE,"Лист4"}</definedName>
    <definedName name="щщщ" localSheetId="3" hidden="1">{#N/A,#N/A,FALSE,"Лист4"}</definedName>
    <definedName name="щщщ" localSheetId="5" hidden="1">{#N/A,#N/A,FALSE,"Лист4"}</definedName>
    <definedName name="щщщ" hidden="1">{#N/A,#N/A,FALSE,"Лист4"}</definedName>
    <definedName name="щщщшг" localSheetId="2" hidden="1">{#N/A,#N/A,FALSE,"Лист4"}</definedName>
    <definedName name="щщщшг" localSheetId="3" hidden="1">{#N/A,#N/A,FALSE,"Лист4"}</definedName>
    <definedName name="щщщшг" localSheetId="5" hidden="1">{#N/A,#N/A,FALSE,"Лист4"}</definedName>
    <definedName name="щщщшг" hidden="1">{#N/A,#N/A,FALSE,"Лист4"}</definedName>
    <definedName name="юю" localSheetId="2" hidden="1">{#N/A,#N/A,FALSE,"Лист4"}</definedName>
    <definedName name="юю" localSheetId="3" hidden="1">{#N/A,#N/A,FALSE,"Лист4"}</definedName>
    <definedName name="юю" localSheetId="5" hidden="1">{#N/A,#N/A,FALSE,"Лист4"}</definedName>
    <definedName name="юю" hidden="1">{#N/A,#N/A,FALSE,"Лист4"}</definedName>
    <definedName name="ююю" localSheetId="2" hidden="1">{#N/A,#N/A,FALSE,"Лист4"}</definedName>
    <definedName name="ююю" localSheetId="3" hidden="1">{#N/A,#N/A,FALSE,"Лист4"}</definedName>
    <definedName name="ююю" localSheetId="5" hidden="1">{#N/A,#N/A,FALSE,"Лист4"}</definedName>
    <definedName name="ююю" hidden="1">{#N/A,#N/A,FALSE,"Лист4"}</definedName>
    <definedName name="яяя" localSheetId="2" hidden="1">{#N/A,#N/A,FALSE,"Лист4"}</definedName>
    <definedName name="яяя" localSheetId="3" hidden="1">{#N/A,#N/A,FALSE,"Лист4"}</definedName>
    <definedName name="яяя" localSheetId="5" hidden="1">{#N/A,#N/A,FALSE,"Лист4"}</definedName>
    <definedName name="яяя" hidden="1">{#N/A,#N/A,FALSE,"Лист4"}</definedName>
    <definedName name="яяяя" localSheetId="2" hidden="1">{#N/A,#N/A,FALSE,"Лист4"}</definedName>
    <definedName name="яяяя" localSheetId="3" hidden="1">{#N/A,#N/A,FALSE,"Лист4"}</definedName>
    <definedName name="яяяя" localSheetId="5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0" l="1"/>
  <c r="G24" i="10"/>
  <c r="H23" i="10"/>
  <c r="G23" i="10"/>
  <c r="H22" i="10"/>
  <c r="G22" i="10"/>
  <c r="H21" i="10"/>
  <c r="G21" i="10"/>
  <c r="H20" i="10"/>
  <c r="G20" i="10"/>
  <c r="H19" i="10"/>
  <c r="G19" i="10"/>
  <c r="H18" i="10"/>
  <c r="G18" i="10"/>
  <c r="H17" i="10"/>
  <c r="G17" i="10"/>
  <c r="H16" i="10"/>
  <c r="G16" i="10"/>
  <c r="H15" i="10"/>
  <c r="G15" i="10"/>
  <c r="H14" i="10"/>
  <c r="G14" i="10"/>
  <c r="H13" i="10"/>
  <c r="G13" i="10"/>
  <c r="H12" i="10"/>
  <c r="G12" i="10"/>
  <c r="H11" i="10"/>
  <c r="G11" i="10"/>
  <c r="H10" i="10"/>
  <c r="G10" i="10"/>
  <c r="H9" i="10"/>
  <c r="G9" i="10"/>
  <c r="H8" i="10"/>
  <c r="G8" i="10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F20" i="4"/>
  <c r="G20" i="4"/>
  <c r="F26" i="3" l="1"/>
  <c r="G26" i="3"/>
  <c r="F28" i="3"/>
  <c r="G28" i="3"/>
  <c r="F29" i="3"/>
  <c r="G29" i="3"/>
  <c r="G31" i="3"/>
  <c r="F31" i="3"/>
  <c r="D24" i="4"/>
  <c r="D18" i="4"/>
  <c r="D15" i="4"/>
  <c r="D12" i="4"/>
  <c r="D9" i="4" s="1"/>
  <c r="D7" i="4"/>
  <c r="D6" i="4"/>
  <c r="G6" i="4" s="1"/>
  <c r="D22" i="3"/>
  <c r="D15" i="3"/>
  <c r="D12" i="3"/>
  <c r="D7" i="3"/>
  <c r="E15" i="4"/>
  <c r="G16" i="4"/>
  <c r="F16" i="4"/>
  <c r="G25" i="4"/>
  <c r="F25" i="4"/>
  <c r="E24" i="4"/>
  <c r="G23" i="4"/>
  <c r="F23" i="4"/>
  <c r="G22" i="4"/>
  <c r="F22" i="4"/>
  <c r="G21" i="4"/>
  <c r="F21" i="4"/>
  <c r="G19" i="4"/>
  <c r="F19" i="4"/>
  <c r="E18" i="4"/>
  <c r="G17" i="4"/>
  <c r="F17" i="4"/>
  <c r="G14" i="4"/>
  <c r="F14" i="4"/>
  <c r="G13" i="4"/>
  <c r="F13" i="4"/>
  <c r="E12" i="4"/>
  <c r="G11" i="4"/>
  <c r="F11" i="4"/>
  <c r="G10" i="4"/>
  <c r="F10" i="4"/>
  <c r="G8" i="4"/>
  <c r="F8" i="4"/>
  <c r="E7" i="4"/>
  <c r="E6" i="4" s="1"/>
  <c r="G32" i="3"/>
  <c r="F32" i="3"/>
  <c r="G30" i="3"/>
  <c r="F30" i="3"/>
  <c r="G27" i="3"/>
  <c r="F27" i="3"/>
  <c r="G25" i="3"/>
  <c r="F25" i="3"/>
  <c r="G24" i="3"/>
  <c r="F24" i="3"/>
  <c r="G23" i="3"/>
  <c r="F23" i="3"/>
  <c r="E22" i="3"/>
  <c r="G21" i="3"/>
  <c r="F21" i="3"/>
  <c r="G20" i="3"/>
  <c r="F20" i="3"/>
  <c r="G19" i="3"/>
  <c r="F19" i="3"/>
  <c r="G18" i="3"/>
  <c r="F18" i="3"/>
  <c r="G17" i="3"/>
  <c r="F17" i="3"/>
  <c r="G16" i="3"/>
  <c r="F16" i="3"/>
  <c r="E15" i="3"/>
  <c r="G14" i="3"/>
  <c r="F14" i="3"/>
  <c r="G13" i="3"/>
  <c r="F13" i="3"/>
  <c r="E12" i="3"/>
  <c r="G11" i="3"/>
  <c r="F11" i="3"/>
  <c r="G10" i="3"/>
  <c r="F10" i="3"/>
  <c r="G9" i="3"/>
  <c r="F9" i="3"/>
  <c r="G8" i="3"/>
  <c r="F8" i="3"/>
  <c r="E7" i="3"/>
  <c r="D26" i="4" l="1"/>
  <c r="D27" i="4" s="1"/>
  <c r="D6" i="3"/>
  <c r="D33" i="3" s="1"/>
  <c r="D34" i="3" s="1"/>
  <c r="F7" i="3"/>
  <c r="F22" i="3"/>
  <c r="G24" i="4"/>
  <c r="G18" i="4"/>
  <c r="F18" i="4"/>
  <c r="G12" i="3"/>
  <c r="F12" i="3"/>
  <c r="F24" i="4"/>
  <c r="F12" i="4"/>
  <c r="E9" i="4"/>
  <c r="F9" i="4" s="1"/>
  <c r="G12" i="4"/>
  <c r="F7" i="4"/>
  <c r="G22" i="3"/>
  <c r="G15" i="3"/>
  <c r="F15" i="3"/>
  <c r="E6" i="3"/>
  <c r="E33" i="3" s="1"/>
  <c r="E34" i="3" s="1"/>
  <c r="G7" i="3"/>
  <c r="G15" i="4"/>
  <c r="F6" i="4"/>
  <c r="F15" i="4"/>
  <c r="G7" i="4"/>
  <c r="E26" i="4" l="1"/>
  <c r="E27" i="4" s="1"/>
  <c r="G9" i="4"/>
  <c r="G6" i="3"/>
  <c r="F6" i="3"/>
  <c r="G34" i="3"/>
  <c r="G33" i="3"/>
  <c r="F33" i="3"/>
  <c r="F34" i="3"/>
  <c r="G27" i="4" l="1"/>
  <c r="G26" i="4"/>
  <c r="F26" i="4"/>
  <c r="F27" i="4"/>
</calcChain>
</file>

<file path=xl/sharedStrings.xml><?xml version="1.0" encoding="utf-8"?>
<sst xmlns="http://schemas.openxmlformats.org/spreadsheetml/2006/main" count="315" uniqueCount="229">
  <si>
    <t>Аналіз виконання плану по доходах</t>
  </si>
  <si>
    <t>тис. грн.</t>
  </si>
  <si>
    <t>ККД</t>
  </si>
  <si>
    <t>Доходи</t>
  </si>
  <si>
    <t>Уточн.річн. план</t>
  </si>
  <si>
    <t xml:space="preserve"> Уточ.пл. за період</t>
  </si>
  <si>
    <t>Факт</t>
  </si>
  <si>
    <t>+/-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</si>
  <si>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</si>
  <si>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</si>
  <si>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</si>
  <si>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</si>
  <si>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</si>
  <si>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</si>
  <si>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</si>
  <si>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</si>
  <si>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</si>
  <si>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</si>
  <si>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Рентна плата за користування надрами для видобування інших корисних копалин загальнодержавного значення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</si>
  <si>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</si>
  <si>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</si>
  <si>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</si>
  <si>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</si>
  <si>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</si>
  <si>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</si>
  <si>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</si>
  <si>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</si>
  <si>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</si>
  <si>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</si>
  <si>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</si>
  <si>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</si>
  <si>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</si>
  <si>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</si>
  <si>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</si>
  <si>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</si>
  <si>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</si>
  <si>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</si>
  <si>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</si>
  <si>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</si>
  <si>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</si>
  <si>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</si>
  <si>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</si>
  <si>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</si>
  <si>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</si>
  <si>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</si>
  <si>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</si>
  <si>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</si>
  <si>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</si>
  <si>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</si>
  <si>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</si>
  <si>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</si>
  <si>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</si>
  <si>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</si>
  <si>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Інші неподаткові надходження</t>
  </si>
  <si>
    <t>Офіційні трансферти</t>
  </si>
  <si>
    <t>Від органів державного управління</t>
  </si>
  <si>
    <t>Базова дотація</t>
  </si>
  <si>
    <t>Субвенції з державного бюджету місцевим бюджетам</t>
  </si>
  <si>
    <t>Освітня субвенція з державного бюджету місцевим бюджетам</t>
  </si>
  <si>
    <t>Всього</t>
  </si>
  <si>
    <t xml:space="preserve">Всього без урахування трансфертів </t>
  </si>
  <si>
    <t>УСЬОГО</t>
  </si>
  <si>
    <t>% виконання</t>
  </si>
  <si>
    <t>Виконання дохідної частини бюджету Широківської сільської територіальної громади</t>
  </si>
  <si>
    <t>загальний фонд</t>
  </si>
  <si>
    <t>Інші податки та збори</t>
  </si>
  <si>
    <t>Екологічний податок</t>
  </si>
  <si>
    <t>Екологічний податок, який справляється за викиди в атмосферне повітря забруднюючих речовин стаціонарними джерелами забруднення (за винятком викидів в атмосферне повітря двоокису вуглецю)</t>
  </si>
  <si>
    <t>Надходження від скидів забруднюючих речовин безпосередньо у водні об`єкти</t>
  </si>
  <si>
    <t>Надходження від розміщення відходів у спеціально відведених для цього місцях чи на об`єктах, крім розміщення окремих видів відходів як вторинної сировини</t>
  </si>
  <si>
    <t>Надходження коштів від відшкодування втрат сільськогосподарського і лісогосподарського виробництва</t>
  </si>
  <si>
    <t>Грошові стягнення за шкоду, заподіяну порушенням законодавства про охорону навколишнього природного середовища внаслідок господарської та іншої діяльності</t>
  </si>
  <si>
    <t>Власні надходження бюджетних установ</t>
  </si>
  <si>
    <t>Надходження від плати за послуги, що надаються бюджетними установами згідно із законодавством</t>
  </si>
  <si>
    <t>Плата за оренду майна бюджетних установ, що здійснюється відповідно до Закону України `Про оренду державного та комунального майна`</t>
  </si>
  <si>
    <t>Надходження бюджетних установ від реалізації в установленому порядку майна (крім нерухомого майна)</t>
  </si>
  <si>
    <t>Інші джерела власних надходжень бюджетних установ</t>
  </si>
  <si>
    <t>Благодійні внески, гранти та дарунки</t>
  </si>
  <si>
    <t>Надходження, що отримують бюджетні установи від підприємств, організацій, фізичних осіб та від інших бюджетних установ для виконання цільових заходів, у тому числі заходів з відчуження для суспільних потреб земельних ділянок та розміщених на них інших об`</t>
  </si>
  <si>
    <t>Доходи від операцій з капіталом</t>
  </si>
  <si>
    <t>Надходження від продажу основного капіталу</t>
  </si>
  <si>
    <t>Кошти від відчуження майна, що належить Автономній Республіці Крим та майна, що перебуває в комунальній власності</t>
  </si>
  <si>
    <t>Інші субвенції з місцевого бюджету</t>
  </si>
  <si>
    <t>0852300000 - Бюджет Широківської сільської територіальної громади</t>
  </si>
  <si>
    <t>тис. грн</t>
  </si>
  <si>
    <t>спеціальний фонд</t>
  </si>
  <si>
    <t>Порівняльний аналіз виконання дохідної частини бюджету Широківської сільської ТГ</t>
  </si>
  <si>
    <t>Загальний фонд</t>
  </si>
  <si>
    <t>Факт за  1 кв                                   2024 року</t>
  </si>
  <si>
    <t>Відхилення +/-</t>
  </si>
  <si>
    <t>Податкові надходження  </t>
  </si>
  <si>
    <t>Податки на доходи, податки на прибуток, податки на збільшення ринкової вартості  </t>
  </si>
  <si>
    <t>Податок на прибуток підприємств  </t>
  </si>
  <si>
    <t>Внутрішні податки на товари та послуги  (акцизний податок)</t>
  </si>
  <si>
    <t>Єдиний податок  </t>
  </si>
  <si>
    <t>Неподаткові надходження  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</si>
  <si>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або комунальна часика</t>
  </si>
  <si>
    <t>Інші надходження  </t>
  </si>
  <si>
    <t>Державне мито  </t>
  </si>
  <si>
    <t>Офіційні трансферти  </t>
  </si>
  <si>
    <t>Субвенція з державного бюджету місцевим бюджетам на формування інфраструктури об’єднаних територіальних громад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</si>
  <si>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зв’язку з повномасштабною збройною агресії</t>
  </si>
  <si>
    <t>Субвенція з місцевого бюджету на надання державної підтримки особам з особливими освітніми потребами за рахунок відповідної субвенції з державного бюджету</t>
  </si>
  <si>
    <t>Всього без урахування трансфертів</t>
  </si>
  <si>
    <t>Спеціальний фонд</t>
  </si>
  <si>
    <t>станом на 01.07.2018 року</t>
  </si>
  <si>
    <t>Факт 1 кв 2024 року</t>
  </si>
  <si>
    <t>Інші податки та збори </t>
  </si>
  <si>
    <t>Екологічний податок </t>
  </si>
  <si>
    <t>Власні надходження бюджетних установ  </t>
  </si>
  <si>
    <t>Надходження від плати за послуги, що надаються бюджетними установами згідно із законодавством </t>
  </si>
  <si>
    <t>Інші джерела власних надходжень бюджетних установ  </t>
  </si>
  <si>
    <t>Доходи від операцій з капіталом  </t>
  </si>
  <si>
    <t>Кошти від продажу землі  </t>
  </si>
  <si>
    <t>Субвенція з місцевого бюджету на реалізацію проектів (об`єктів, заходів), спрямованих на ліквідацію наслідків збройної агресії, за рахунок відповідної субвенції з державного бюджету</t>
  </si>
  <si>
    <t>Субвенція з місцевого бюджету на проектування, відновлення, будівництво, модернізацію, облаштування, ремонт об`єктів будівництва громадського призначення, соціальної сфери, культурної спадщини, житлово-комунального господарства, інших об`єктів, що мають вплив на життєдіяльність населення</t>
  </si>
  <si>
    <t>Цільові фонди  </t>
  </si>
  <si>
    <t>Цільові фонди, утворені Верховною Радою Автономної Республіки Крим, органами місцевого самоврядування та місцевими органами виконавчої влади  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</si>
  <si>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</si>
  <si>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</si>
  <si>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</si>
  <si>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</si>
  <si>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</si>
  <si>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період відносно касових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</si>
  <si>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</si>
  <si>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</si>
  <si>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0112152</t>
  </si>
  <si>
    <t>Інші програми та заходи у сфері охорони здоров`я</t>
  </si>
  <si>
    <t>0113210</t>
  </si>
  <si>
    <t>0114081</t>
  </si>
  <si>
    <t>Забезпечення діяльності інших закладів в галузі культури і мистецтва</t>
  </si>
  <si>
    <t>0117330</t>
  </si>
  <si>
    <t>Будівництво інших об`єктів комунальної власності</t>
  </si>
  <si>
    <t>0118312</t>
  </si>
  <si>
    <t xml:space="preserve"> </t>
  </si>
  <si>
    <t xml:space="preserve">Усього 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</si>
  <si>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</si>
  <si>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</si>
  <si>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</si>
  <si>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</si>
  <si>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0112010</t>
  </si>
  <si>
    <t>Багатопрофільна стаціонарна медична допомога населенню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</si>
  <si>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</si>
  <si>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</si>
  <si>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</si>
  <si>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</si>
  <si>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</si>
  <si>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</si>
  <si>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</si>
  <si>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</si>
  <si>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</si>
  <si>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</si>
  <si>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0113241</t>
  </si>
  <si>
    <t>0113242</t>
  </si>
  <si>
    <t>Інші заходи у сфері соціального захисту і соціального забезпечення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</si>
  <si>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</si>
  <si>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</si>
  <si>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</si>
  <si>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</si>
  <si>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</si>
  <si>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</si>
  <si>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</si>
  <si>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</si>
  <si>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</si>
  <si>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</si>
  <si>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</si>
  <si>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</si>
  <si>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</si>
  <si>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</si>
  <si>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</si>
  <si>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</si>
  <si>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</si>
  <si>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</si>
  <si>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</si>
  <si>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</si>
  <si>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3710160</t>
  </si>
  <si>
    <t>3718710</t>
  </si>
  <si>
    <t>Резервний фонд місцевого бюджету</t>
  </si>
  <si>
    <t xml:space="preserve">% виконання на вказаний період </t>
  </si>
  <si>
    <t>Аналіз фінансування установ Широківської сільської територіальної громади</t>
  </si>
  <si>
    <t>Факт за  1 кв                                   2025 року</t>
  </si>
  <si>
    <t>Факт 1 кв 2025 року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</si>
  <si>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субвенції з державного бюджету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</si>
  <si>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</si>
  <si>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</si>
  <si>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військово-спортивних) ліцеях, ліцеях із посиленою військово-фізичною підготовкою</t>
  </si>
  <si>
    <t>Субвенція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</si>
  <si>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за 1 квартал 2025 року</t>
  </si>
  <si>
    <t>Податок на доходи фізичних осіб у вигляді мінімального податкового зобов`язання, що підлягає сплаті фізичними особами</t>
  </si>
  <si>
    <t>Внутрішні податки на товари та послуги</t>
  </si>
  <si>
    <t>Штрафні санкції, що застосовуються відповідно до Закону України `Про державне регулювання виробництва і обігу спирту етилового, спиртових дистилятів, біоетанолу, алкогольних напоїв, тютюнових виробів, тютюнової сировини, рідин, що використовуються в елект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</si>
  <si>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</si>
  <si>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агресією рф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</si>
  <si>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</si>
  <si>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</si>
  <si>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</si>
  <si>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</si>
  <si>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</si>
  <si>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</si>
  <si>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0112151</t>
  </si>
  <si>
    <t>Забезпечення діяльності інших закладів у сфері охорони здоров`я</t>
  </si>
  <si>
    <t>0113112</t>
  </si>
  <si>
    <t>Заходи державної політики з питань дітей та їх соціального захисту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</si>
  <si>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</si>
  <si>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</si>
  <si>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</si>
  <si>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</si>
  <si>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</si>
  <si>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0116013</t>
  </si>
  <si>
    <t>Забезпечення діяльності водопровідно-каналізаційного господарства</t>
  </si>
  <si>
    <t>0117130</t>
  </si>
  <si>
    <t>Здійснення заходів із землеустрою</t>
  </si>
  <si>
    <t>Інші заходи у сфері медіа (засобів масової інформації)</t>
  </si>
  <si>
    <t>0119150</t>
  </si>
  <si>
    <t>Інші дотації з місцевого бюджету</t>
  </si>
  <si>
    <t>1616030</t>
  </si>
  <si>
    <t>0111261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</si>
  <si>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</t>
  </si>
  <si>
    <t>0111262</t>
  </si>
  <si>
    <t>Виконання заходів щодо реалізації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</t>
  </si>
  <si>
    <t>0111272</t>
  </si>
  <si>
    <t>Реалізація заходів за рахунок освітньої субвенції з державного бюджету місцевим бюджетам (за спеціальним фондом державного бюджету)</t>
  </si>
  <si>
    <t>0111300</t>
  </si>
  <si>
    <t>Будівництво освітніх установ та закладів</t>
  </si>
  <si>
    <t>0111403</t>
  </si>
  <si>
    <t>Забезпечення харчуванням учнів початкових класів закладів загальної середньої освіти за рахунок субвенції з державного бюджету місцевим бюджетам</t>
  </si>
  <si>
    <t>0111700</t>
  </si>
  <si>
    <t>Виконання заходів за рахунок субвенції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</si>
  <si>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Оброблення (відновлення, у тому числі сортування, та видалення) відходів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</si>
</sst>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.5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1" fillId="0" borderId="0"/>
    <xf numFmtId="0" fontId="13" fillId="0" borderId="0"/>
  </cellStyleXfs>
  <cellXfs count="9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6" fillId="0" borderId="0" xfId="1"/>
    <xf numFmtId="0" fontId="9" fillId="0" borderId="0" xfId="1" applyFont="1"/>
    <xf numFmtId="0" fontId="9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4" fillId="0" borderId="1" xfId="1" applyFont="1" applyBorder="1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/>
    </xf>
    <xf numFmtId="0" fontId="3" fillId="5" borderId="1" xfId="1" applyFont="1" applyFill="1" applyBorder="1" applyAlignment="1">
      <alignment wrapText="1"/>
    </xf>
    <xf numFmtId="164" fontId="3" fillId="5" borderId="1" xfId="1" applyNumberFormat="1" applyFont="1" applyFill="1" applyBorder="1" applyAlignment="1">
      <alignment horizontal="center"/>
    </xf>
    <xf numFmtId="4" fontId="6" fillId="0" borderId="0" xfId="1" applyNumberFormat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wrapText="1"/>
    </xf>
    <xf numFmtId="164" fontId="3" fillId="4" borderId="1" xfId="1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wrapText="1"/>
    </xf>
    <xf numFmtId="164" fontId="4" fillId="4" borderId="1" xfId="1" applyNumberFormat="1" applyFont="1" applyFill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0" fontId="2" fillId="0" borderId="0" xfId="1" applyFont="1"/>
    <xf numFmtId="0" fontId="3" fillId="4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wrapText="1"/>
    </xf>
    <xf numFmtId="0" fontId="4" fillId="0" borderId="1" xfId="1" applyFont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/>
    </xf>
    <xf numFmtId="0" fontId="6" fillId="0" borderId="0" xfId="1" applyAlignment="1">
      <alignment horizontal="center"/>
    </xf>
    <xf numFmtId="0" fontId="6" fillId="4" borderId="0" xfId="1" applyFill="1" applyAlignment="1">
      <alignment horizontal="center"/>
    </xf>
    <xf numFmtId="0" fontId="9" fillId="0" borderId="1" xfId="1" applyFont="1" applyBorder="1"/>
    <xf numFmtId="0" fontId="3" fillId="6" borderId="1" xfId="1" applyFont="1" applyFill="1" applyBorder="1" applyAlignment="1">
      <alignment horizontal="center"/>
    </xf>
    <xf numFmtId="0" fontId="3" fillId="6" borderId="1" xfId="1" applyFont="1" applyFill="1" applyBorder="1" applyAlignment="1">
      <alignment wrapText="1"/>
    </xf>
    <xf numFmtId="164" fontId="3" fillId="6" borderId="1" xfId="1" applyNumberFormat="1" applyFont="1" applyFill="1" applyBorder="1" applyAlignment="1">
      <alignment horizontal="center"/>
    </xf>
    <xf numFmtId="0" fontId="3" fillId="0" borderId="1" xfId="1" applyFont="1" applyBorder="1"/>
    <xf numFmtId="0" fontId="8" fillId="0" borderId="0" xfId="1" applyFont="1"/>
    <xf numFmtId="164" fontId="4" fillId="6" borderId="1" xfId="1" applyNumberFormat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wrapText="1"/>
    </xf>
    <xf numFmtId="0" fontId="13" fillId="0" borderId="0" xfId="3"/>
    <xf numFmtId="0" fontId="13" fillId="0" borderId="0" xfId="3" applyAlignment="1">
      <alignment horizontal="center"/>
    </xf>
    <xf numFmtId="0" fontId="13" fillId="0" borderId="0" xfId="3" applyAlignment="1">
      <alignment wrapText="1"/>
    </xf>
    <xf numFmtId="0" fontId="12" fillId="0" borderId="0" xfId="3" applyFont="1" applyAlignment="1">
      <alignment horizontal="center"/>
    </xf>
    <xf numFmtId="4" fontId="13" fillId="0" borderId="0" xfId="3" applyNumberFormat="1" applyAlignment="1">
      <alignment vertical="center"/>
    </xf>
    <xf numFmtId="0" fontId="13" fillId="0" borderId="0" xfId="3" applyAlignment="1">
      <alignment horizontal="center" vertical="center"/>
    </xf>
    <xf numFmtId="0" fontId="13" fillId="0" borderId="0" xfId="3" applyAlignment="1">
      <alignment vertical="center" wrapText="1"/>
    </xf>
    <xf numFmtId="0" fontId="15" fillId="0" borderId="1" xfId="3" applyFont="1" applyBorder="1" applyAlignment="1">
      <alignment horizontal="center" vertical="center" wrapText="1"/>
    </xf>
    <xf numFmtId="0" fontId="14" fillId="0" borderId="0" xfId="3" applyFont="1" applyAlignment="1">
      <alignment horizontal="right"/>
    </xf>
    <xf numFmtId="0" fontId="14" fillId="0" borderId="1" xfId="3" applyFont="1" applyBorder="1" applyAlignment="1">
      <alignment horizontal="center" vertical="center"/>
    </xf>
    <xf numFmtId="0" fontId="14" fillId="0" borderId="1" xfId="3" applyFont="1" applyBorder="1" applyAlignment="1">
      <alignment vertical="center" wrapText="1"/>
    </xf>
    <xf numFmtId="164" fontId="14" fillId="4" borderId="1" xfId="3" applyNumberFormat="1" applyFont="1" applyFill="1" applyBorder="1" applyAlignment="1">
      <alignment horizontal="center" vertical="center"/>
    </xf>
    <xf numFmtId="0" fontId="15" fillId="3" borderId="1" xfId="3" applyFont="1" applyFill="1" applyBorder="1" applyAlignment="1">
      <alignment horizontal="center" vertical="center"/>
    </xf>
    <xf numFmtId="0" fontId="15" fillId="3" borderId="1" xfId="3" applyFont="1" applyFill="1" applyBorder="1" applyAlignment="1">
      <alignment vertical="center" wrapText="1"/>
    </xf>
    <xf numFmtId="164" fontId="15" fillId="3" borderId="1" xfId="3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164" fontId="3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12" fillId="0" borderId="1" xfId="3" applyFont="1" applyBorder="1" applyAlignment="1">
      <alignment horizontal="center"/>
    </xf>
    <xf numFmtId="0" fontId="13" fillId="0" borderId="1" xfId="3" applyBorder="1"/>
    <xf numFmtId="0" fontId="13" fillId="0" borderId="1" xfId="3" applyBorder="1" applyAlignment="1">
      <alignment vertical="center"/>
    </xf>
    <xf numFmtId="0" fontId="13" fillId="4" borderId="0" xfId="3" applyFill="1"/>
    <xf numFmtId="164" fontId="14" fillId="0" borderId="1" xfId="3" applyNumberFormat="1" applyFont="1" applyBorder="1" applyAlignment="1">
      <alignment horizontal="center" vertical="center"/>
    </xf>
    <xf numFmtId="164" fontId="13" fillId="0" borderId="0" xfId="3" applyNumberFormat="1" applyAlignment="1">
      <alignment horizontal="center"/>
    </xf>
    <xf numFmtId="164" fontId="11" fillId="4" borderId="0" xfId="3" applyNumberFormat="1" applyFont="1" applyFill="1" applyAlignment="1">
      <alignment horizontal="center"/>
    </xf>
    <xf numFmtId="164" fontId="15" fillId="4" borderId="1" xfId="3" applyNumberFormat="1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vertical="center" wrapText="1"/>
    </xf>
    <xf numFmtId="0" fontId="13" fillId="4" borderId="0" xfId="3" applyFill="1" applyAlignment="1">
      <alignment wrapText="1"/>
    </xf>
    <xf numFmtId="164" fontId="13" fillId="0" borderId="0" xfId="3" applyNumberFormat="1"/>
    <xf numFmtId="0" fontId="3" fillId="3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5" fillId="0" borderId="0" xfId="3" applyFont="1" applyAlignment="1">
      <alignment horizontal="center"/>
    </xf>
    <xf numFmtId="0" fontId="15" fillId="0" borderId="0" xfId="3" applyFont="1" applyAlignment="1">
      <alignment horizontal="center" vertical="center"/>
    </xf>
    <xf numFmtId="0" fontId="16" fillId="0" borderId="0" xfId="1" applyFont="1" applyAlignment="1">
      <alignment horizontal="center"/>
    </xf>
    <xf numFmtId="0" fontId="3" fillId="2" borderId="1" xfId="1" applyFont="1" applyFill="1" applyBorder="1"/>
    <xf numFmtId="0" fontId="4" fillId="0" borderId="1" xfId="1" applyFont="1" applyBorder="1"/>
  </cellXfs>
  <cellStyles count="4">
    <cellStyle name="Обычный" xfId="0" builtinId="0"/>
    <cellStyle name="Обычный 2" xfId="1" xr:uid="{831F9E21-0123-4738-A922-98F65F0AA2CC}"/>
    <cellStyle name="Обычный 2 2" xfId="2" xr:uid="{C4B94E48-AED5-49F4-A743-8AE80988F00A}"/>
    <cellStyle name="Обычный 2 3" xfId="3" xr:uid="{97C04826-919E-4199-A721-132D2277006C}"/>
  </cellStyles>
  <dxfs count="84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C029-1E5B-4AF7-91FA-3FE1D75A10AB}">
  <dimension ref="A1:J71"/>
  <sheetViews>
    <sheetView topLeftCell="A64" workbookViewId="0">
      <selection activeCell="N51" sqref="N51"/>
    </sheetView>
  </sheetViews>
  <sheetFormatPr defaultRowHeight="14.4" x14ac:dyDescent="0.3"/>
  <cols>
    <col min="1" max="1" width="12.88671875" customWidth="1"/>
    <col min="2" max="2" width="49.44140625" customWidth="1"/>
    <col min="3" max="3" width="15.5546875" customWidth="1"/>
    <col min="4" max="4" width="16" customWidth="1"/>
    <col min="5" max="5" width="13.88671875" customWidth="1"/>
    <col min="6" max="6" width="13.5546875" customWidth="1"/>
    <col min="7" max="7" width="13" customWidth="1"/>
  </cols>
  <sheetData>
    <row r="1" spans="1:10" x14ac:dyDescent="0.3">
      <c r="A1" s="5"/>
      <c r="B1" s="5"/>
      <c r="C1" s="5"/>
      <c r="D1" s="5"/>
      <c r="E1" s="5"/>
      <c r="F1" s="5"/>
      <c r="G1" s="5"/>
    </row>
    <row r="2" spans="1:10" x14ac:dyDescent="0.3">
      <c r="A2" s="83" t="s">
        <v>63</v>
      </c>
      <c r="B2" s="83"/>
      <c r="C2" s="83"/>
      <c r="D2" s="83"/>
      <c r="E2" s="83"/>
      <c r="F2" s="83"/>
      <c r="G2" s="83"/>
    </row>
    <row r="3" spans="1:10" x14ac:dyDescent="0.3">
      <c r="A3" s="84" t="s">
        <v>187</v>
      </c>
      <c r="B3" s="84"/>
      <c r="C3" s="84"/>
      <c r="D3" s="84"/>
      <c r="E3" s="84"/>
      <c r="F3" s="84"/>
      <c r="G3" s="84"/>
      <c r="H3" s="1"/>
      <c r="I3" s="1"/>
      <c r="J3" s="1"/>
    </row>
    <row r="4" spans="1:10" x14ac:dyDescent="0.3">
      <c r="A4" s="83" t="s">
        <v>64</v>
      </c>
      <c r="B4" s="83"/>
      <c r="C4" s="83"/>
      <c r="D4" s="83"/>
      <c r="E4" s="83"/>
      <c r="F4" s="83"/>
      <c r="G4" s="83"/>
      <c r="H4" s="1"/>
      <c r="I4" s="1"/>
      <c r="J4" s="1"/>
    </row>
    <row r="5" spans="1:10" x14ac:dyDescent="0.3">
      <c r="A5" s="5"/>
      <c r="B5" s="5"/>
      <c r="C5" s="5"/>
      <c r="D5" s="5"/>
      <c r="E5" s="5"/>
      <c r="F5" s="11" t="s">
        <v>84</v>
      </c>
      <c r="G5" s="5"/>
    </row>
    <row r="6" spans="1:10" x14ac:dyDescent="0.3">
      <c r="A6" s="85" t="s">
        <v>2</v>
      </c>
      <c r="B6" s="85" t="s">
        <v>3</v>
      </c>
      <c r="C6" s="87" t="s">
        <v>83</v>
      </c>
      <c r="D6" s="87"/>
      <c r="E6" s="87"/>
      <c r="F6" s="87"/>
      <c r="G6" s="87"/>
    </row>
    <row r="7" spans="1:10" ht="28.5" customHeight="1" x14ac:dyDescent="0.3">
      <c r="A7" s="86"/>
      <c r="B7" s="86"/>
      <c r="C7" s="4" t="s">
        <v>4</v>
      </c>
      <c r="D7" s="4" t="s">
        <v>5</v>
      </c>
      <c r="E7" s="3" t="s">
        <v>6</v>
      </c>
      <c r="F7" s="3" t="s">
        <v>7</v>
      </c>
      <c r="G7" s="4" t="s">
        <v>62</v>
      </c>
    </row>
    <row r="8" spans="1:10" s="2" customFormat="1" ht="24" customHeight="1" x14ac:dyDescent="0.3">
      <c r="A8" s="67">
        <v>10000000</v>
      </c>
      <c r="B8" s="68" t="s">
        <v>8</v>
      </c>
      <c r="C8" s="69">
        <v>123823.4</v>
      </c>
      <c r="D8" s="69">
        <v>30880.36</v>
      </c>
      <c r="E8" s="69">
        <v>35187.463200000006</v>
      </c>
      <c r="F8" s="69">
        <f t="shared" ref="F8:F67" si="0">E8-D8</f>
        <v>4307.103200000005</v>
      </c>
      <c r="G8" s="69">
        <f t="shared" ref="G8:G67" si="1">IF(D8=0,0,E8/D8*100)</f>
        <v>113.94771045415276</v>
      </c>
    </row>
    <row r="9" spans="1:10" s="2" customFormat="1" ht="36.75" customHeight="1" x14ac:dyDescent="0.3">
      <c r="A9" s="67">
        <v>11000000</v>
      </c>
      <c r="B9" s="6" t="s">
        <v>9</v>
      </c>
      <c r="C9" s="69">
        <v>57810.400000000001</v>
      </c>
      <c r="D9" s="69">
        <v>12771.8</v>
      </c>
      <c r="E9" s="69">
        <v>13626.187980000002</v>
      </c>
      <c r="F9" s="69">
        <f t="shared" si="0"/>
        <v>854.38798000000315</v>
      </c>
      <c r="G9" s="69">
        <f t="shared" si="1"/>
        <v>106.68964421616376</v>
      </c>
    </row>
    <row r="10" spans="1:10" ht="18.75" customHeight="1" x14ac:dyDescent="0.3">
      <c r="A10" s="64">
        <v>11010000</v>
      </c>
      <c r="B10" s="7" t="s">
        <v>10</v>
      </c>
      <c r="C10" s="65">
        <v>57760.4</v>
      </c>
      <c r="D10" s="65">
        <v>12771.8</v>
      </c>
      <c r="E10" s="65">
        <v>13462.463000000002</v>
      </c>
      <c r="F10" s="65">
        <f t="shared" si="0"/>
        <v>690.66300000000228</v>
      </c>
      <c r="G10" s="65">
        <f t="shared" si="1"/>
        <v>105.40771856746898</v>
      </c>
    </row>
    <row r="11" spans="1:10" ht="42" hidden="1" x14ac:dyDescent="0.3">
      <c r="A11" s="64">
        <v>11010100</v>
      </c>
      <c r="B11" s="7" t="s">
        <v>11</v>
      </c>
      <c r="C11" s="65">
        <v>47669</v>
      </c>
      <c r="D11" s="65">
        <v>12117</v>
      </c>
      <c r="E11" s="65">
        <v>12853.015160000001</v>
      </c>
      <c r="F11" s="65">
        <f t="shared" si="0"/>
        <v>736.01516000000083</v>
      </c>
      <c r="G11" s="65">
        <f t="shared" si="1"/>
        <v>106.07423586696379</v>
      </c>
    </row>
    <row r="12" spans="1:10" ht="42" hidden="1" x14ac:dyDescent="0.3">
      <c r="A12" s="64">
        <v>11010400</v>
      </c>
      <c r="B12" s="7" t="s">
        <v>12</v>
      </c>
      <c r="C12" s="65">
        <v>8690.4</v>
      </c>
      <c r="D12" s="65">
        <v>416.8</v>
      </c>
      <c r="E12" s="65">
        <v>484.12905999999998</v>
      </c>
      <c r="F12" s="65">
        <f t="shared" si="0"/>
        <v>67.32905999999997</v>
      </c>
      <c r="G12" s="65">
        <f t="shared" si="1"/>
        <v>116.15380518234164</v>
      </c>
    </row>
    <row r="13" spans="1:10" ht="42" hidden="1" x14ac:dyDescent="0.3">
      <c r="A13" s="64">
        <v>11010500</v>
      </c>
      <c r="B13" s="7" t="s">
        <v>13</v>
      </c>
      <c r="C13" s="65">
        <v>1400</v>
      </c>
      <c r="D13" s="65">
        <v>238</v>
      </c>
      <c r="E13" s="65">
        <v>124.77145999999999</v>
      </c>
      <c r="F13" s="65">
        <f t="shared" si="0"/>
        <v>-113.22854000000001</v>
      </c>
      <c r="G13" s="65">
        <f t="shared" si="1"/>
        <v>52.424983193277306</v>
      </c>
    </row>
    <row r="14" spans="1:10" ht="42" hidden="1" x14ac:dyDescent="0.3">
      <c r="A14" s="64">
        <v>11011300</v>
      </c>
      <c r="B14" s="7" t="s">
        <v>188</v>
      </c>
      <c r="C14" s="65">
        <v>1</v>
      </c>
      <c r="D14" s="65">
        <v>0</v>
      </c>
      <c r="E14" s="65">
        <v>0.54732000000000003</v>
      </c>
      <c r="F14" s="65">
        <f t="shared" si="0"/>
        <v>0.54732000000000003</v>
      </c>
      <c r="G14" s="65">
        <f t="shared" si="1"/>
        <v>0</v>
      </c>
    </row>
    <row r="15" spans="1:10" ht="19.5" customHeight="1" x14ac:dyDescent="0.3">
      <c r="A15" s="64">
        <v>11020000</v>
      </c>
      <c r="B15" s="7" t="s">
        <v>14</v>
      </c>
      <c r="C15" s="65">
        <v>50</v>
      </c>
      <c r="D15" s="65">
        <v>0</v>
      </c>
      <c r="E15" s="65">
        <v>163.72498000000002</v>
      </c>
      <c r="F15" s="65">
        <f t="shared" si="0"/>
        <v>163.72498000000002</v>
      </c>
      <c r="G15" s="65">
        <f t="shared" si="1"/>
        <v>0</v>
      </c>
    </row>
    <row r="16" spans="1:10" ht="0.75" hidden="1" customHeight="1" x14ac:dyDescent="0.3">
      <c r="A16" s="64">
        <v>11020200</v>
      </c>
      <c r="B16" s="7" t="s">
        <v>15</v>
      </c>
      <c r="C16" s="65">
        <v>50</v>
      </c>
      <c r="D16" s="65">
        <v>0</v>
      </c>
      <c r="E16" s="65">
        <v>163.72498000000002</v>
      </c>
      <c r="F16" s="65">
        <f t="shared" si="0"/>
        <v>163.72498000000002</v>
      </c>
      <c r="G16" s="65">
        <f t="shared" si="1"/>
        <v>0</v>
      </c>
    </row>
    <row r="17" spans="1:7" ht="33" customHeight="1" x14ac:dyDescent="0.3">
      <c r="A17" s="64">
        <v>13000000</v>
      </c>
      <c r="B17" s="7" t="s">
        <v>16</v>
      </c>
      <c r="C17" s="65">
        <v>3</v>
      </c>
      <c r="D17" s="65">
        <v>0.38</v>
      </c>
      <c r="E17" s="65">
        <v>0.42455000000000004</v>
      </c>
      <c r="F17" s="65">
        <f t="shared" si="0"/>
        <v>4.4550000000000034E-2</v>
      </c>
      <c r="G17" s="65">
        <f t="shared" si="1"/>
        <v>111.72368421052632</v>
      </c>
    </row>
    <row r="18" spans="1:7" ht="28.2" hidden="1" x14ac:dyDescent="0.3">
      <c r="A18" s="64">
        <v>13030000</v>
      </c>
      <c r="B18" s="7" t="s">
        <v>17</v>
      </c>
      <c r="C18" s="65">
        <v>3</v>
      </c>
      <c r="D18" s="65">
        <v>0.38</v>
      </c>
      <c r="E18" s="65">
        <v>0.42455000000000004</v>
      </c>
      <c r="F18" s="65">
        <f t="shared" si="0"/>
        <v>4.4550000000000034E-2</v>
      </c>
      <c r="G18" s="65">
        <f t="shared" si="1"/>
        <v>111.72368421052632</v>
      </c>
    </row>
    <row r="19" spans="1:7" ht="42" hidden="1" x14ac:dyDescent="0.3">
      <c r="A19" s="64">
        <v>13030100</v>
      </c>
      <c r="B19" s="7" t="s">
        <v>18</v>
      </c>
      <c r="C19" s="65">
        <v>3</v>
      </c>
      <c r="D19" s="65">
        <v>0.38</v>
      </c>
      <c r="E19" s="65">
        <v>0.42455000000000004</v>
      </c>
      <c r="F19" s="65">
        <f t="shared" si="0"/>
        <v>4.4550000000000034E-2</v>
      </c>
      <c r="G19" s="65">
        <f t="shared" si="1"/>
        <v>111.72368421052632</v>
      </c>
    </row>
    <row r="20" spans="1:7" ht="18.75" customHeight="1" x14ac:dyDescent="0.3">
      <c r="A20" s="64">
        <v>14000000</v>
      </c>
      <c r="B20" s="7" t="s">
        <v>189</v>
      </c>
      <c r="C20" s="65">
        <v>20484</v>
      </c>
      <c r="D20" s="65">
        <v>5723.5</v>
      </c>
      <c r="E20" s="65">
        <v>6563.4257400000006</v>
      </c>
      <c r="F20" s="65">
        <f t="shared" si="0"/>
        <v>839.92574000000059</v>
      </c>
      <c r="G20" s="65">
        <f t="shared" si="1"/>
        <v>114.67503695291343</v>
      </c>
    </row>
    <row r="21" spans="1:7" ht="0.75" hidden="1" customHeight="1" x14ac:dyDescent="0.3">
      <c r="A21" s="64">
        <v>14020000</v>
      </c>
      <c r="B21" s="7" t="s">
        <v>19</v>
      </c>
      <c r="C21" s="65">
        <v>2261</v>
      </c>
      <c r="D21" s="65">
        <v>760.8</v>
      </c>
      <c r="E21" s="65">
        <v>879.86990000000003</v>
      </c>
      <c r="F21" s="65">
        <f t="shared" si="0"/>
        <v>119.06990000000008</v>
      </c>
      <c r="G21" s="65">
        <f t="shared" si="1"/>
        <v>115.65061777076761</v>
      </c>
    </row>
    <row r="22" spans="1:7" hidden="1" x14ac:dyDescent="0.3">
      <c r="A22" s="64">
        <v>14021900</v>
      </c>
      <c r="B22" s="7" t="s">
        <v>20</v>
      </c>
      <c r="C22" s="65">
        <v>2261</v>
      </c>
      <c r="D22" s="65">
        <v>760.8</v>
      </c>
      <c r="E22" s="65">
        <v>879.86990000000003</v>
      </c>
      <c r="F22" s="65">
        <f t="shared" si="0"/>
        <v>119.06990000000008</v>
      </c>
      <c r="G22" s="65">
        <f t="shared" si="1"/>
        <v>115.65061777076761</v>
      </c>
    </row>
    <row r="23" spans="1:7" ht="28.2" hidden="1" x14ac:dyDescent="0.3">
      <c r="A23" s="64">
        <v>14030000</v>
      </c>
      <c r="B23" s="7" t="s">
        <v>21</v>
      </c>
      <c r="C23" s="65">
        <v>12431</v>
      </c>
      <c r="D23" s="65">
        <v>3431</v>
      </c>
      <c r="E23" s="65">
        <v>4034.0921400000002</v>
      </c>
      <c r="F23" s="65">
        <f t="shared" si="0"/>
        <v>603.0921400000002</v>
      </c>
      <c r="G23" s="65">
        <f t="shared" si="1"/>
        <v>117.57773651996504</v>
      </c>
    </row>
    <row r="24" spans="1:7" hidden="1" x14ac:dyDescent="0.3">
      <c r="A24" s="64">
        <v>14031900</v>
      </c>
      <c r="B24" s="7" t="s">
        <v>20</v>
      </c>
      <c r="C24" s="65">
        <v>12431</v>
      </c>
      <c r="D24" s="65">
        <v>3431</v>
      </c>
      <c r="E24" s="65">
        <v>4034.0921400000002</v>
      </c>
      <c r="F24" s="65">
        <f t="shared" si="0"/>
        <v>603.0921400000002</v>
      </c>
      <c r="G24" s="65">
        <f t="shared" si="1"/>
        <v>117.57773651996504</v>
      </c>
    </row>
    <row r="25" spans="1:7" ht="42" hidden="1" x14ac:dyDescent="0.3">
      <c r="A25" s="64">
        <v>14040000</v>
      </c>
      <c r="B25" s="7" t="s">
        <v>22</v>
      </c>
      <c r="C25" s="65">
        <v>5792</v>
      </c>
      <c r="D25" s="65">
        <v>1531.7</v>
      </c>
      <c r="E25" s="65">
        <v>1649.4637</v>
      </c>
      <c r="F25" s="65">
        <f t="shared" si="0"/>
        <v>117.76369999999997</v>
      </c>
      <c r="G25" s="65">
        <f t="shared" si="1"/>
        <v>107.68843115492589</v>
      </c>
    </row>
    <row r="26" spans="1:7" ht="83.4" hidden="1" x14ac:dyDescent="0.3">
      <c r="A26" s="64">
        <v>14040100</v>
      </c>
      <c r="B26" s="7" t="s">
        <v>23</v>
      </c>
      <c r="C26" s="65">
        <v>3892</v>
      </c>
      <c r="D26" s="65">
        <v>1102</v>
      </c>
      <c r="E26" s="65">
        <v>1222.1772599999999</v>
      </c>
      <c r="F26" s="65">
        <f t="shared" si="0"/>
        <v>120.17725999999993</v>
      </c>
      <c r="G26" s="65">
        <f t="shared" si="1"/>
        <v>110.90537749546279</v>
      </c>
    </row>
    <row r="27" spans="1:7" ht="69.599999999999994" hidden="1" x14ac:dyDescent="0.3">
      <c r="A27" s="64">
        <v>14040200</v>
      </c>
      <c r="B27" s="7" t="s">
        <v>24</v>
      </c>
      <c r="C27" s="65">
        <v>1900</v>
      </c>
      <c r="D27" s="65">
        <v>429.7</v>
      </c>
      <c r="E27" s="65">
        <v>427.28644000000003</v>
      </c>
      <c r="F27" s="65">
        <f t="shared" si="0"/>
        <v>-2.4135599999999613</v>
      </c>
      <c r="G27" s="65">
        <f t="shared" si="1"/>
        <v>99.43831510356064</v>
      </c>
    </row>
    <row r="28" spans="1:7" s="2" customFormat="1" ht="48.75" customHeight="1" x14ac:dyDescent="0.3">
      <c r="A28" s="67">
        <v>18000000</v>
      </c>
      <c r="B28" s="6" t="s">
        <v>25</v>
      </c>
      <c r="C28" s="69">
        <v>45526</v>
      </c>
      <c r="D28" s="69">
        <v>12384.68</v>
      </c>
      <c r="E28" s="69">
        <v>14997.424929999999</v>
      </c>
      <c r="F28" s="69">
        <f t="shared" si="0"/>
        <v>2612.7449299999989</v>
      </c>
      <c r="G28" s="69">
        <f t="shared" si="1"/>
        <v>121.09658812339114</v>
      </c>
    </row>
    <row r="29" spans="1:7" ht="18" customHeight="1" x14ac:dyDescent="0.3">
      <c r="A29" s="64">
        <v>18010000</v>
      </c>
      <c r="B29" s="7" t="s">
        <v>26</v>
      </c>
      <c r="C29" s="65">
        <v>14708</v>
      </c>
      <c r="D29" s="65">
        <v>3044.68</v>
      </c>
      <c r="E29" s="65">
        <v>4590.7840900000001</v>
      </c>
      <c r="F29" s="65">
        <f t="shared" si="0"/>
        <v>1546.1040900000003</v>
      </c>
      <c r="G29" s="65">
        <f t="shared" si="1"/>
        <v>150.78051190929753</v>
      </c>
    </row>
    <row r="30" spans="1:7" ht="42" hidden="1" x14ac:dyDescent="0.3">
      <c r="A30" s="64">
        <v>18010100</v>
      </c>
      <c r="B30" s="7" t="s">
        <v>27</v>
      </c>
      <c r="C30" s="65">
        <v>98</v>
      </c>
      <c r="D30" s="65">
        <v>14.88</v>
      </c>
      <c r="E30" s="65">
        <v>5.7092999999999998</v>
      </c>
      <c r="F30" s="65">
        <f t="shared" si="0"/>
        <v>-9.1707000000000001</v>
      </c>
      <c r="G30" s="65">
        <f t="shared" si="1"/>
        <v>38.368951612903224</v>
      </c>
    </row>
    <row r="31" spans="1:7" ht="42" hidden="1" x14ac:dyDescent="0.3">
      <c r="A31" s="64">
        <v>18010200</v>
      </c>
      <c r="B31" s="7" t="s">
        <v>28</v>
      </c>
      <c r="C31" s="65">
        <v>1900</v>
      </c>
      <c r="D31" s="65">
        <v>0</v>
      </c>
      <c r="E31" s="65">
        <v>436.17876000000001</v>
      </c>
      <c r="F31" s="65">
        <f t="shared" si="0"/>
        <v>436.17876000000001</v>
      </c>
      <c r="G31" s="65">
        <f t="shared" si="1"/>
        <v>0</v>
      </c>
    </row>
    <row r="32" spans="1:7" ht="42" hidden="1" x14ac:dyDescent="0.3">
      <c r="A32" s="64">
        <v>18010300</v>
      </c>
      <c r="B32" s="7" t="s">
        <v>29</v>
      </c>
      <c r="C32" s="65">
        <v>1400</v>
      </c>
      <c r="D32" s="65">
        <v>0</v>
      </c>
      <c r="E32" s="65">
        <v>302.24662999999998</v>
      </c>
      <c r="F32" s="65">
        <f t="shared" si="0"/>
        <v>302.24662999999998</v>
      </c>
      <c r="G32" s="65">
        <f t="shared" si="1"/>
        <v>0</v>
      </c>
    </row>
    <row r="33" spans="1:7" ht="42" hidden="1" x14ac:dyDescent="0.3">
      <c r="A33" s="64">
        <v>18010400</v>
      </c>
      <c r="B33" s="7" t="s">
        <v>30</v>
      </c>
      <c r="C33" s="65">
        <v>1731</v>
      </c>
      <c r="D33" s="65">
        <v>456</v>
      </c>
      <c r="E33" s="65">
        <v>546.04734999999994</v>
      </c>
      <c r="F33" s="65">
        <f t="shared" si="0"/>
        <v>90.047349999999938</v>
      </c>
      <c r="G33" s="65">
        <f t="shared" si="1"/>
        <v>119.74722587719297</v>
      </c>
    </row>
    <row r="34" spans="1:7" hidden="1" x14ac:dyDescent="0.3">
      <c r="A34" s="64">
        <v>18010500</v>
      </c>
      <c r="B34" s="7" t="s">
        <v>31</v>
      </c>
      <c r="C34" s="65">
        <v>2197</v>
      </c>
      <c r="D34" s="65">
        <v>622</v>
      </c>
      <c r="E34" s="65">
        <v>731.33121999999992</v>
      </c>
      <c r="F34" s="65">
        <f t="shared" si="0"/>
        <v>109.33121999999992</v>
      </c>
      <c r="G34" s="65">
        <f t="shared" si="1"/>
        <v>117.57736655948551</v>
      </c>
    </row>
    <row r="35" spans="1:7" hidden="1" x14ac:dyDescent="0.3">
      <c r="A35" s="64">
        <v>18010600</v>
      </c>
      <c r="B35" s="7" t="s">
        <v>32</v>
      </c>
      <c r="C35" s="65">
        <v>4942</v>
      </c>
      <c r="D35" s="65">
        <v>1716.9</v>
      </c>
      <c r="E35" s="65">
        <v>2126.17058</v>
      </c>
      <c r="F35" s="65">
        <f t="shared" si="0"/>
        <v>409.27057999999988</v>
      </c>
      <c r="G35" s="65">
        <f t="shared" si="1"/>
        <v>123.83776457568874</v>
      </c>
    </row>
    <row r="36" spans="1:7" hidden="1" x14ac:dyDescent="0.3">
      <c r="A36" s="64">
        <v>18010700</v>
      </c>
      <c r="B36" s="7" t="s">
        <v>33</v>
      </c>
      <c r="C36" s="65">
        <v>1500</v>
      </c>
      <c r="D36" s="65">
        <v>0</v>
      </c>
      <c r="E36" s="65">
        <v>184.60992999999999</v>
      </c>
      <c r="F36" s="65">
        <f t="shared" si="0"/>
        <v>184.60992999999999</v>
      </c>
      <c r="G36" s="65">
        <f t="shared" si="1"/>
        <v>0</v>
      </c>
    </row>
    <row r="37" spans="1:7" hidden="1" x14ac:dyDescent="0.3">
      <c r="A37" s="64">
        <v>18010900</v>
      </c>
      <c r="B37" s="7" t="s">
        <v>34</v>
      </c>
      <c r="C37" s="65">
        <v>940</v>
      </c>
      <c r="D37" s="65">
        <v>234.9</v>
      </c>
      <c r="E37" s="65">
        <v>258.49032</v>
      </c>
      <c r="F37" s="65">
        <f t="shared" si="0"/>
        <v>23.590319999999991</v>
      </c>
      <c r="G37" s="65">
        <f t="shared" si="1"/>
        <v>110.04270753512134</v>
      </c>
    </row>
    <row r="38" spans="1:7" ht="18" customHeight="1" x14ac:dyDescent="0.3">
      <c r="A38" s="64">
        <v>18050000</v>
      </c>
      <c r="B38" s="7" t="s">
        <v>35</v>
      </c>
      <c r="C38" s="65">
        <v>30818</v>
      </c>
      <c r="D38" s="65">
        <v>9340</v>
      </c>
      <c r="E38" s="65">
        <v>10406.64084</v>
      </c>
      <c r="F38" s="65">
        <f t="shared" si="0"/>
        <v>1066.64084</v>
      </c>
      <c r="G38" s="65">
        <f t="shared" si="1"/>
        <v>111.42013747323341</v>
      </c>
    </row>
    <row r="39" spans="1:7" hidden="1" x14ac:dyDescent="0.3">
      <c r="A39" s="64">
        <v>18050300</v>
      </c>
      <c r="B39" s="7" t="s">
        <v>36</v>
      </c>
      <c r="C39" s="65">
        <v>3189</v>
      </c>
      <c r="D39" s="65">
        <v>1191</v>
      </c>
      <c r="E39" s="65">
        <v>844.80412999999999</v>
      </c>
      <c r="F39" s="65">
        <f t="shared" si="0"/>
        <v>-346.19587000000001</v>
      </c>
      <c r="G39" s="65">
        <f t="shared" si="1"/>
        <v>70.932336691855582</v>
      </c>
    </row>
    <row r="40" spans="1:7" hidden="1" x14ac:dyDescent="0.3">
      <c r="A40" s="64">
        <v>18050400</v>
      </c>
      <c r="B40" s="7" t="s">
        <v>37</v>
      </c>
      <c r="C40" s="65">
        <v>20139</v>
      </c>
      <c r="D40" s="65">
        <v>5379</v>
      </c>
      <c r="E40" s="65">
        <v>6657.8606200000004</v>
      </c>
      <c r="F40" s="65">
        <f t="shared" si="0"/>
        <v>1278.8606200000004</v>
      </c>
      <c r="G40" s="65">
        <f t="shared" si="1"/>
        <v>123.77506265105038</v>
      </c>
    </row>
    <row r="41" spans="1:7" ht="69.599999999999994" hidden="1" x14ac:dyDescent="0.3">
      <c r="A41" s="64">
        <v>18050500</v>
      </c>
      <c r="B41" s="7" t="s">
        <v>38</v>
      </c>
      <c r="C41" s="65">
        <v>7490</v>
      </c>
      <c r="D41" s="65">
        <v>2770</v>
      </c>
      <c r="E41" s="65">
        <v>2903.9760899999997</v>
      </c>
      <c r="F41" s="65">
        <f t="shared" si="0"/>
        <v>133.97608999999966</v>
      </c>
      <c r="G41" s="65">
        <f t="shared" si="1"/>
        <v>104.83668194945848</v>
      </c>
    </row>
    <row r="42" spans="1:7" s="2" customFormat="1" ht="22.5" customHeight="1" x14ac:dyDescent="0.3">
      <c r="A42" s="67">
        <v>20000000</v>
      </c>
      <c r="B42" s="6" t="s">
        <v>39</v>
      </c>
      <c r="C42" s="69">
        <v>2945.6</v>
      </c>
      <c r="D42" s="69">
        <v>1118.32</v>
      </c>
      <c r="E42" s="69">
        <v>1701.5282400000003</v>
      </c>
      <c r="F42" s="69">
        <f t="shared" si="0"/>
        <v>583.20824000000039</v>
      </c>
      <c r="G42" s="69">
        <f t="shared" si="1"/>
        <v>152.15038987052009</v>
      </c>
    </row>
    <row r="43" spans="1:7" ht="0.75" customHeight="1" x14ac:dyDescent="0.3">
      <c r="A43" s="64">
        <v>21000000</v>
      </c>
      <c r="B43" s="7" t="s">
        <v>40</v>
      </c>
      <c r="C43" s="65">
        <v>275</v>
      </c>
      <c r="D43" s="65">
        <v>153.9</v>
      </c>
      <c r="E43" s="65">
        <v>186.85565</v>
      </c>
      <c r="F43" s="65">
        <f t="shared" si="0"/>
        <v>32.955649999999991</v>
      </c>
      <c r="G43" s="65">
        <f t="shared" si="1"/>
        <v>121.41367771280052</v>
      </c>
    </row>
    <row r="44" spans="1:7" ht="95.25" customHeight="1" x14ac:dyDescent="0.3">
      <c r="A44" s="64">
        <v>21010000</v>
      </c>
      <c r="B44" s="7" t="s">
        <v>41</v>
      </c>
      <c r="C44" s="65">
        <v>1</v>
      </c>
      <c r="D44" s="65">
        <v>0</v>
      </c>
      <c r="E44" s="65">
        <v>0</v>
      </c>
      <c r="F44" s="65">
        <f t="shared" si="0"/>
        <v>0</v>
      </c>
      <c r="G44" s="65">
        <f t="shared" si="1"/>
        <v>0</v>
      </c>
    </row>
    <row r="45" spans="1:7" ht="42" hidden="1" x14ac:dyDescent="0.3">
      <c r="A45" s="64">
        <v>21010300</v>
      </c>
      <c r="B45" s="7" t="s">
        <v>42</v>
      </c>
      <c r="C45" s="65">
        <v>1</v>
      </c>
      <c r="D45" s="65">
        <v>0</v>
      </c>
      <c r="E45" s="65">
        <v>0</v>
      </c>
      <c r="F45" s="65">
        <f t="shared" si="0"/>
        <v>0</v>
      </c>
      <c r="G45" s="65">
        <f t="shared" si="1"/>
        <v>0</v>
      </c>
    </row>
    <row r="46" spans="1:7" ht="17.25" customHeight="1" x14ac:dyDescent="0.3">
      <c r="A46" s="64">
        <v>21080000</v>
      </c>
      <c r="B46" s="7" t="s">
        <v>43</v>
      </c>
      <c r="C46" s="65">
        <v>274</v>
      </c>
      <c r="D46" s="65">
        <v>153.9</v>
      </c>
      <c r="E46" s="65">
        <v>186.85565</v>
      </c>
      <c r="F46" s="65">
        <f t="shared" si="0"/>
        <v>32.955649999999991</v>
      </c>
      <c r="G46" s="65">
        <f t="shared" si="1"/>
        <v>121.41367771280052</v>
      </c>
    </row>
    <row r="47" spans="1:7" hidden="1" x14ac:dyDescent="0.3">
      <c r="A47" s="64">
        <v>21081100</v>
      </c>
      <c r="B47" s="7" t="s">
        <v>44</v>
      </c>
      <c r="C47" s="65">
        <v>50</v>
      </c>
      <c r="D47" s="65">
        <v>5</v>
      </c>
      <c r="E47" s="65">
        <v>11.225100000000001</v>
      </c>
      <c r="F47" s="65">
        <f t="shared" si="0"/>
        <v>6.2251000000000012</v>
      </c>
      <c r="G47" s="65">
        <f t="shared" si="1"/>
        <v>224.50200000000001</v>
      </c>
    </row>
    <row r="48" spans="1:7" ht="83.4" hidden="1" x14ac:dyDescent="0.3">
      <c r="A48" s="64">
        <v>21081500</v>
      </c>
      <c r="B48" s="7" t="s">
        <v>190</v>
      </c>
      <c r="C48" s="65">
        <v>0</v>
      </c>
      <c r="D48" s="65">
        <v>0</v>
      </c>
      <c r="E48" s="65">
        <v>6.8</v>
      </c>
      <c r="F48" s="65">
        <f t="shared" si="0"/>
        <v>6.8</v>
      </c>
      <c r="G48" s="65">
        <f t="shared" si="1"/>
        <v>0</v>
      </c>
    </row>
    <row r="49" spans="1:7" ht="42" hidden="1" x14ac:dyDescent="0.3">
      <c r="A49" s="64">
        <v>21081800</v>
      </c>
      <c r="B49" s="7" t="s">
        <v>45</v>
      </c>
      <c r="C49" s="65">
        <v>224</v>
      </c>
      <c r="D49" s="65">
        <v>148.9</v>
      </c>
      <c r="E49" s="65">
        <v>168.83054999999999</v>
      </c>
      <c r="F49" s="65">
        <f t="shared" si="0"/>
        <v>19.930549999999982</v>
      </c>
      <c r="G49" s="65">
        <f t="shared" si="1"/>
        <v>113.38519140362658</v>
      </c>
    </row>
    <row r="50" spans="1:7" ht="28.2" hidden="1" x14ac:dyDescent="0.3">
      <c r="A50" s="64">
        <v>22000000</v>
      </c>
      <c r="B50" s="7" t="s">
        <v>46</v>
      </c>
      <c r="C50" s="65">
        <v>2180.6</v>
      </c>
      <c r="D50" s="65">
        <v>475.42</v>
      </c>
      <c r="E50" s="65">
        <v>421.72323</v>
      </c>
      <c r="F50" s="65">
        <f t="shared" si="0"/>
        <v>-53.696770000000015</v>
      </c>
      <c r="G50" s="65">
        <f t="shared" si="1"/>
        <v>88.705403643094527</v>
      </c>
    </row>
    <row r="51" spans="1:7" ht="18.75" customHeight="1" x14ac:dyDescent="0.3">
      <c r="A51" s="64">
        <v>22010000</v>
      </c>
      <c r="B51" s="7" t="s">
        <v>47</v>
      </c>
      <c r="C51" s="65">
        <v>2130</v>
      </c>
      <c r="D51" s="65">
        <v>465</v>
      </c>
      <c r="E51" s="65">
        <v>412.11177000000004</v>
      </c>
      <c r="F51" s="65">
        <f t="shared" si="0"/>
        <v>-52.888229999999965</v>
      </c>
      <c r="G51" s="65">
        <f t="shared" si="1"/>
        <v>88.626187096774203</v>
      </c>
    </row>
    <row r="52" spans="1:7" hidden="1" x14ac:dyDescent="0.3">
      <c r="A52" s="64">
        <v>22012500</v>
      </c>
      <c r="B52" s="7" t="s">
        <v>48</v>
      </c>
      <c r="C52" s="65">
        <v>2065</v>
      </c>
      <c r="D52" s="65">
        <v>445</v>
      </c>
      <c r="E52" s="65">
        <v>386.47176999999999</v>
      </c>
      <c r="F52" s="65">
        <f t="shared" si="0"/>
        <v>-58.528230000000008</v>
      </c>
      <c r="G52" s="65">
        <f t="shared" si="1"/>
        <v>86.847588764044943</v>
      </c>
    </row>
    <row r="53" spans="1:7" ht="28.2" hidden="1" x14ac:dyDescent="0.3">
      <c r="A53" s="64">
        <v>22012600</v>
      </c>
      <c r="B53" s="7" t="s">
        <v>49</v>
      </c>
      <c r="C53" s="65">
        <v>65</v>
      </c>
      <c r="D53" s="65">
        <v>20</v>
      </c>
      <c r="E53" s="65">
        <v>25.64</v>
      </c>
      <c r="F53" s="65">
        <f t="shared" si="0"/>
        <v>5.6400000000000006</v>
      </c>
      <c r="G53" s="65">
        <f t="shared" si="1"/>
        <v>128.19999999999999</v>
      </c>
    </row>
    <row r="54" spans="1:7" ht="18.75" customHeight="1" x14ac:dyDescent="0.3">
      <c r="A54" s="64">
        <v>22090000</v>
      </c>
      <c r="B54" s="7" t="s">
        <v>50</v>
      </c>
      <c r="C54" s="65">
        <v>47.5</v>
      </c>
      <c r="D54" s="65">
        <v>10.42</v>
      </c>
      <c r="E54" s="65">
        <v>9.611460000000001</v>
      </c>
      <c r="F54" s="65">
        <f t="shared" si="0"/>
        <v>-0.80853999999999893</v>
      </c>
      <c r="G54" s="65">
        <f t="shared" si="1"/>
        <v>92.240499040307114</v>
      </c>
    </row>
    <row r="55" spans="1:7" ht="1.5" hidden="1" customHeight="1" x14ac:dyDescent="0.3">
      <c r="A55" s="64">
        <v>22090100</v>
      </c>
      <c r="B55" s="7" t="s">
        <v>51</v>
      </c>
      <c r="C55" s="65">
        <v>45</v>
      </c>
      <c r="D55" s="65">
        <v>9.9</v>
      </c>
      <c r="E55" s="65">
        <v>9.3960400000000011</v>
      </c>
      <c r="F55" s="65">
        <f t="shared" si="0"/>
        <v>-0.5039599999999993</v>
      </c>
      <c r="G55" s="65">
        <f t="shared" si="1"/>
        <v>94.909494949494956</v>
      </c>
    </row>
    <row r="56" spans="1:7" ht="42" hidden="1" x14ac:dyDescent="0.3">
      <c r="A56" s="64">
        <v>22090400</v>
      </c>
      <c r="B56" s="7" t="s">
        <v>52</v>
      </c>
      <c r="C56" s="65">
        <v>2.5</v>
      </c>
      <c r="D56" s="65">
        <v>0.52</v>
      </c>
      <c r="E56" s="65">
        <v>0.21542</v>
      </c>
      <c r="F56" s="65">
        <f t="shared" si="0"/>
        <v>-0.30458000000000002</v>
      </c>
      <c r="G56" s="65">
        <f t="shared" si="1"/>
        <v>41.426923076923075</v>
      </c>
    </row>
    <row r="57" spans="1:7" ht="16.5" customHeight="1" x14ac:dyDescent="0.3">
      <c r="A57" s="64">
        <v>22130000</v>
      </c>
      <c r="B57" s="7" t="s">
        <v>191</v>
      </c>
      <c r="C57" s="65">
        <v>3.1</v>
      </c>
      <c r="D57" s="65">
        <v>0</v>
      </c>
      <c r="E57" s="65">
        <v>0</v>
      </c>
      <c r="F57" s="65">
        <f t="shared" si="0"/>
        <v>0</v>
      </c>
      <c r="G57" s="65">
        <f t="shared" si="1"/>
        <v>0</v>
      </c>
    </row>
    <row r="58" spans="1:7" hidden="1" x14ac:dyDescent="0.3">
      <c r="A58" s="64">
        <v>24000000</v>
      </c>
      <c r="B58" s="7" t="s">
        <v>53</v>
      </c>
      <c r="C58" s="65">
        <v>490</v>
      </c>
      <c r="D58" s="65">
        <v>489</v>
      </c>
      <c r="E58" s="65">
        <v>1092.9493600000001</v>
      </c>
      <c r="F58" s="65">
        <f t="shared" si="0"/>
        <v>603.94936000000007</v>
      </c>
      <c r="G58" s="65">
        <f t="shared" si="1"/>
        <v>223.50702658486711</v>
      </c>
    </row>
    <row r="59" spans="1:7" ht="19.5" customHeight="1" x14ac:dyDescent="0.3">
      <c r="A59" s="64">
        <v>24060000</v>
      </c>
      <c r="B59" s="7" t="s">
        <v>43</v>
      </c>
      <c r="C59" s="65">
        <v>490</v>
      </c>
      <c r="D59" s="65">
        <v>489</v>
      </c>
      <c r="E59" s="65">
        <v>1092.9493600000001</v>
      </c>
      <c r="F59" s="65">
        <f t="shared" si="0"/>
        <v>603.94936000000007</v>
      </c>
      <c r="G59" s="65">
        <f t="shared" si="1"/>
        <v>223.50702658486711</v>
      </c>
    </row>
    <row r="60" spans="1:7" hidden="1" x14ac:dyDescent="0.3">
      <c r="A60" s="64">
        <v>24060300</v>
      </c>
      <c r="B60" s="7" t="s">
        <v>43</v>
      </c>
      <c r="C60" s="65">
        <v>490</v>
      </c>
      <c r="D60" s="65">
        <v>489</v>
      </c>
      <c r="E60" s="65">
        <v>1092.9493600000001</v>
      </c>
      <c r="F60" s="65">
        <f t="shared" si="0"/>
        <v>603.94936000000007</v>
      </c>
      <c r="G60" s="65">
        <f t="shared" si="1"/>
        <v>223.50702658486711</v>
      </c>
    </row>
    <row r="61" spans="1:7" s="2" customFormat="1" ht="19.5" customHeight="1" x14ac:dyDescent="0.3">
      <c r="A61" s="67">
        <v>40000000</v>
      </c>
      <c r="B61" s="6" t="s">
        <v>54</v>
      </c>
      <c r="C61" s="69">
        <v>69682.28</v>
      </c>
      <c r="D61" s="69">
        <v>23791.3</v>
      </c>
      <c r="E61" s="69">
        <v>23652.584999999999</v>
      </c>
      <c r="F61" s="69">
        <f t="shared" si="0"/>
        <v>-138.71500000000015</v>
      </c>
      <c r="G61" s="69">
        <f t="shared" si="1"/>
        <v>99.41695073409187</v>
      </c>
    </row>
    <row r="62" spans="1:7" ht="20.25" customHeight="1" x14ac:dyDescent="0.3">
      <c r="A62" s="64">
        <v>41020100</v>
      </c>
      <c r="B62" s="7" t="s">
        <v>56</v>
      </c>
      <c r="C62" s="65">
        <v>17634.2</v>
      </c>
      <c r="D62" s="65">
        <v>4408.5</v>
      </c>
      <c r="E62" s="65">
        <v>4408.5</v>
      </c>
      <c r="F62" s="65">
        <f t="shared" si="0"/>
        <v>0</v>
      </c>
      <c r="G62" s="65">
        <f t="shared" si="1"/>
        <v>100</v>
      </c>
    </row>
    <row r="63" spans="1:7" ht="95.25" customHeight="1" x14ac:dyDescent="0.3">
      <c r="A63" s="64">
        <v>41021400</v>
      </c>
      <c r="B63" s="7" t="s">
        <v>192</v>
      </c>
      <c r="C63" s="65">
        <v>2498.9</v>
      </c>
      <c r="D63" s="65">
        <v>1249.5</v>
      </c>
      <c r="E63" s="65">
        <v>1249.5</v>
      </c>
      <c r="F63" s="65">
        <f t="shared" si="0"/>
        <v>0</v>
      </c>
      <c r="G63" s="65">
        <f t="shared" si="1"/>
        <v>100</v>
      </c>
    </row>
    <row r="64" spans="1:7" ht="110.25" customHeight="1" x14ac:dyDescent="0.3">
      <c r="A64" s="64">
        <v>41032800</v>
      </c>
      <c r="B64" s="7" t="s">
        <v>185</v>
      </c>
      <c r="C64" s="65">
        <v>15032.1</v>
      </c>
      <c r="D64" s="65">
        <v>6012.84</v>
      </c>
      <c r="E64" s="65">
        <v>6012.84</v>
      </c>
      <c r="F64" s="65">
        <f t="shared" si="0"/>
        <v>0</v>
      </c>
      <c r="G64" s="65">
        <f t="shared" si="1"/>
        <v>100</v>
      </c>
    </row>
    <row r="65" spans="1:7" ht="38.25" customHeight="1" x14ac:dyDescent="0.3">
      <c r="A65" s="64">
        <v>41033900</v>
      </c>
      <c r="B65" s="7" t="s">
        <v>58</v>
      </c>
      <c r="C65" s="65">
        <v>31649.8</v>
      </c>
      <c r="D65" s="65">
        <v>10862.1</v>
      </c>
      <c r="E65" s="65">
        <v>10862.1</v>
      </c>
      <c r="F65" s="65">
        <f t="shared" si="0"/>
        <v>0</v>
      </c>
      <c r="G65" s="65">
        <f t="shared" si="1"/>
        <v>100</v>
      </c>
    </row>
    <row r="66" spans="1:7" ht="52.5" customHeight="1" x14ac:dyDescent="0.3">
      <c r="A66" s="64">
        <v>41035400</v>
      </c>
      <c r="B66" s="7" t="s">
        <v>184</v>
      </c>
      <c r="C66" s="65">
        <v>205.4</v>
      </c>
      <c r="D66" s="65">
        <v>61.5</v>
      </c>
      <c r="E66" s="65">
        <v>61.5</v>
      </c>
      <c r="F66" s="65">
        <f t="shared" si="0"/>
        <v>0</v>
      </c>
      <c r="G66" s="65">
        <f t="shared" si="1"/>
        <v>100</v>
      </c>
    </row>
    <row r="67" spans="1:7" ht="52.5" customHeight="1" x14ac:dyDescent="0.3">
      <c r="A67" s="64">
        <v>41036300</v>
      </c>
      <c r="B67" s="7" t="s">
        <v>183</v>
      </c>
      <c r="C67" s="65">
        <v>1931.7</v>
      </c>
      <c r="D67" s="65">
        <v>966</v>
      </c>
      <c r="E67" s="65">
        <v>966</v>
      </c>
      <c r="F67" s="65">
        <f t="shared" si="0"/>
        <v>0</v>
      </c>
      <c r="G67" s="65">
        <f t="shared" si="1"/>
        <v>100</v>
      </c>
    </row>
    <row r="68" spans="1:7" ht="23.25" customHeight="1" x14ac:dyDescent="0.3">
      <c r="A68" s="64">
        <v>41053900</v>
      </c>
      <c r="B68" s="7" t="s">
        <v>82</v>
      </c>
      <c r="C68" s="65">
        <v>108</v>
      </c>
      <c r="D68" s="65">
        <v>108</v>
      </c>
      <c r="E68" s="65">
        <v>0</v>
      </c>
      <c r="F68" s="65">
        <f t="shared" ref="F68:F71" si="2">E68-D68</f>
        <v>-108</v>
      </c>
      <c r="G68" s="65">
        <f t="shared" ref="G68:G71" si="3">IF(D68=0,0,E68/D68*100)</f>
        <v>0</v>
      </c>
    </row>
    <row r="69" spans="1:7" ht="96" customHeight="1" x14ac:dyDescent="0.3">
      <c r="A69" s="64">
        <v>41059300</v>
      </c>
      <c r="B69" s="7" t="s">
        <v>182</v>
      </c>
      <c r="C69" s="65">
        <v>368.58</v>
      </c>
      <c r="D69" s="65">
        <v>122.86</v>
      </c>
      <c r="E69" s="65">
        <v>92.144999999999996</v>
      </c>
      <c r="F69" s="65">
        <f t="shared" si="2"/>
        <v>-30.715000000000003</v>
      </c>
      <c r="G69" s="65">
        <f t="shared" si="3"/>
        <v>75</v>
      </c>
    </row>
    <row r="70" spans="1:7" x14ac:dyDescent="0.3">
      <c r="A70" s="82" t="s">
        <v>60</v>
      </c>
      <c r="B70" s="82"/>
      <c r="C70" s="66">
        <v>126769</v>
      </c>
      <c r="D70" s="66">
        <v>31998.68</v>
      </c>
      <c r="E70" s="66">
        <v>36888.991440000005</v>
      </c>
      <c r="F70" s="66">
        <f t="shared" si="2"/>
        <v>4890.3114400000049</v>
      </c>
      <c r="G70" s="66">
        <f t="shared" si="3"/>
        <v>115.28285366771381</v>
      </c>
    </row>
    <row r="71" spans="1:7" x14ac:dyDescent="0.3">
      <c r="A71" s="82" t="s">
        <v>61</v>
      </c>
      <c r="B71" s="82"/>
      <c r="C71" s="66">
        <v>196451.28</v>
      </c>
      <c r="D71" s="66">
        <v>55789.98</v>
      </c>
      <c r="E71" s="66">
        <v>60541.576440000004</v>
      </c>
      <c r="F71" s="66">
        <f t="shared" si="2"/>
        <v>4751.5964400000012</v>
      </c>
      <c r="G71" s="66">
        <f t="shared" si="3"/>
        <v>108.51693519158816</v>
      </c>
    </row>
  </sheetData>
  <mergeCells count="8">
    <mergeCell ref="A70:B70"/>
    <mergeCell ref="A71:B71"/>
    <mergeCell ref="A2:G2"/>
    <mergeCell ref="A3:G3"/>
    <mergeCell ref="A4:G4"/>
    <mergeCell ref="A6:A7"/>
    <mergeCell ref="B6:B7"/>
    <mergeCell ref="C6:G6"/>
  </mergeCells>
  <pageMargins left="0.78740157480314965" right="0.59055118110236227" top="0.59055118110236227" bottom="0.39370078740157483" header="0" footer="0"/>
  <pageSetup paperSize="9" scale="63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0D41-03C6-4B89-94C2-05DEF305096B}">
  <dimension ref="A2:J34"/>
  <sheetViews>
    <sheetView tabSelected="1" workbookViewId="0">
      <selection activeCell="N28" sqref="N28:N31"/>
    </sheetView>
  </sheetViews>
  <sheetFormatPr defaultRowHeight="14.4" x14ac:dyDescent="0.3"/>
  <cols>
    <col min="1" max="1" width="12.33203125" customWidth="1"/>
    <col min="2" max="2" width="49" customWidth="1"/>
    <col min="3" max="4" width="16.109375" customWidth="1"/>
    <col min="5" max="5" width="11.6640625" customWidth="1"/>
    <col min="6" max="6" width="12.109375" customWidth="1"/>
    <col min="7" max="7" width="14.44140625" customWidth="1"/>
  </cols>
  <sheetData>
    <row r="2" spans="1:10" x14ac:dyDescent="0.3">
      <c r="A2" s="83" t="s">
        <v>63</v>
      </c>
      <c r="B2" s="83"/>
      <c r="C2" s="83"/>
      <c r="D2" s="83"/>
      <c r="E2" s="83"/>
      <c r="F2" s="83"/>
      <c r="G2" s="83"/>
    </row>
    <row r="3" spans="1:10" x14ac:dyDescent="0.3">
      <c r="A3" s="84" t="s">
        <v>187</v>
      </c>
      <c r="B3" s="84"/>
      <c r="C3" s="84"/>
      <c r="D3" s="84"/>
      <c r="E3" s="84"/>
      <c r="F3" s="84"/>
      <c r="G3" s="84"/>
      <c r="H3" s="1"/>
      <c r="I3" s="1"/>
      <c r="J3" s="1"/>
    </row>
    <row r="4" spans="1:10" x14ac:dyDescent="0.3">
      <c r="A4" s="83" t="s">
        <v>85</v>
      </c>
      <c r="B4" s="83"/>
      <c r="C4" s="83"/>
      <c r="D4" s="83"/>
      <c r="E4" s="83"/>
      <c r="F4" s="83"/>
      <c r="G4" s="83"/>
      <c r="H4" s="1"/>
      <c r="I4" s="1"/>
      <c r="J4" s="1"/>
    </row>
    <row r="5" spans="1:10" x14ac:dyDescent="0.3">
      <c r="E5" s="11"/>
      <c r="F5" s="11" t="s">
        <v>84</v>
      </c>
    </row>
    <row r="6" spans="1:10" x14ac:dyDescent="0.3">
      <c r="A6" s="85" t="s">
        <v>2</v>
      </c>
      <c r="B6" s="85" t="s">
        <v>3</v>
      </c>
      <c r="C6" s="87" t="s">
        <v>83</v>
      </c>
      <c r="D6" s="87"/>
      <c r="E6" s="87"/>
      <c r="F6" s="87"/>
      <c r="G6" s="87"/>
    </row>
    <row r="7" spans="1:10" ht="28.5" customHeight="1" x14ac:dyDescent="0.3">
      <c r="A7" s="86"/>
      <c r="B7" s="86"/>
      <c r="C7" s="4" t="s">
        <v>4</v>
      </c>
      <c r="D7" s="4" t="s">
        <v>5</v>
      </c>
      <c r="E7" s="3" t="s">
        <v>6</v>
      </c>
      <c r="F7" s="3" t="s">
        <v>7</v>
      </c>
      <c r="G7" s="4" t="s">
        <v>62</v>
      </c>
    </row>
    <row r="8" spans="1:10" ht="19.5" customHeight="1" x14ac:dyDescent="0.3">
      <c r="A8" s="67">
        <v>10000000</v>
      </c>
      <c r="B8" s="6" t="s">
        <v>8</v>
      </c>
      <c r="C8" s="8">
        <v>41.677</v>
      </c>
      <c r="D8" s="8">
        <v>12.872</v>
      </c>
      <c r="E8" s="8">
        <v>10.01036</v>
      </c>
      <c r="F8" s="8">
        <f t="shared" ref="F8:F34" si="0">E8-D8</f>
        <v>-2.8616399999999995</v>
      </c>
      <c r="G8" s="8">
        <f t="shared" ref="G8:G34" si="1">IF(D8=0,0,E8/D8*100)</f>
        <v>77.768489745183345</v>
      </c>
    </row>
    <row r="9" spans="1:10" hidden="1" x14ac:dyDescent="0.3">
      <c r="A9" s="64">
        <v>19000000</v>
      </c>
      <c r="B9" s="7" t="s">
        <v>65</v>
      </c>
      <c r="C9" s="9">
        <v>41.677</v>
      </c>
      <c r="D9" s="9">
        <v>12.872</v>
      </c>
      <c r="E9" s="9">
        <v>10.01036</v>
      </c>
      <c r="F9" s="9">
        <f t="shared" si="0"/>
        <v>-2.8616399999999995</v>
      </c>
      <c r="G9" s="9">
        <f t="shared" si="1"/>
        <v>77.768489745183345</v>
      </c>
    </row>
    <row r="10" spans="1:10" ht="21" customHeight="1" x14ac:dyDescent="0.3">
      <c r="A10" s="64">
        <v>19010000</v>
      </c>
      <c r="B10" s="7" t="s">
        <v>66</v>
      </c>
      <c r="C10" s="9">
        <v>41.677</v>
      </c>
      <c r="D10" s="9">
        <v>12.872</v>
      </c>
      <c r="E10" s="9">
        <v>10.01036</v>
      </c>
      <c r="F10" s="9">
        <f t="shared" si="0"/>
        <v>-2.8616399999999995</v>
      </c>
      <c r="G10" s="9">
        <f t="shared" si="1"/>
        <v>77.768489745183345</v>
      </c>
    </row>
    <row r="11" spans="1:10" ht="55.8" hidden="1" x14ac:dyDescent="0.3">
      <c r="A11" s="64">
        <v>19010100</v>
      </c>
      <c r="B11" s="7" t="s">
        <v>67</v>
      </c>
      <c r="C11" s="9">
        <v>37.253999999999998</v>
      </c>
      <c r="D11" s="9">
        <v>11.86</v>
      </c>
      <c r="E11" s="9">
        <v>9.0257000000000005</v>
      </c>
      <c r="F11" s="9">
        <f t="shared" si="0"/>
        <v>-2.8342999999999989</v>
      </c>
      <c r="G11" s="9">
        <f t="shared" si="1"/>
        <v>76.102023608768974</v>
      </c>
    </row>
    <row r="12" spans="1:10" ht="28.2" hidden="1" x14ac:dyDescent="0.3">
      <c r="A12" s="64">
        <v>19010200</v>
      </c>
      <c r="B12" s="7" t="s">
        <v>68</v>
      </c>
      <c r="C12" s="9">
        <v>4.0380000000000003</v>
      </c>
      <c r="D12" s="9">
        <v>0.93200000000000005</v>
      </c>
      <c r="E12" s="9">
        <v>0.96616000000000002</v>
      </c>
      <c r="F12" s="9">
        <f t="shared" si="0"/>
        <v>3.4159999999999968E-2</v>
      </c>
      <c r="G12" s="9">
        <f t="shared" si="1"/>
        <v>103.66523605150215</v>
      </c>
    </row>
    <row r="13" spans="1:10" ht="55.8" hidden="1" x14ac:dyDescent="0.3">
      <c r="A13" s="64">
        <v>19010300</v>
      </c>
      <c r="B13" s="7" t="s">
        <v>69</v>
      </c>
      <c r="C13" s="9">
        <v>0.38500000000000001</v>
      </c>
      <c r="D13" s="9">
        <v>0.08</v>
      </c>
      <c r="E13" s="9">
        <v>1.8499999999999999E-2</v>
      </c>
      <c r="F13" s="9">
        <f t="shared" si="0"/>
        <v>-6.1499999999999999E-2</v>
      </c>
      <c r="G13" s="9">
        <f t="shared" si="1"/>
        <v>23.125</v>
      </c>
    </row>
    <row r="14" spans="1:10" s="2" customFormat="1" ht="18" customHeight="1" x14ac:dyDescent="0.3">
      <c r="A14" s="67">
        <v>20000000</v>
      </c>
      <c r="B14" s="6" t="s">
        <v>39</v>
      </c>
      <c r="C14" s="8">
        <v>200</v>
      </c>
      <c r="D14" s="8">
        <v>50</v>
      </c>
      <c r="E14" s="8">
        <v>3314.1010099999999</v>
      </c>
      <c r="F14" s="8">
        <f t="shared" si="0"/>
        <v>3264.1010099999999</v>
      </c>
      <c r="G14" s="8">
        <f t="shared" si="1"/>
        <v>6628.2020199999988</v>
      </c>
    </row>
    <row r="15" spans="1:10" hidden="1" x14ac:dyDescent="0.3">
      <c r="A15" s="64">
        <v>24000000</v>
      </c>
      <c r="B15" s="7" t="s">
        <v>53</v>
      </c>
      <c r="C15" s="9">
        <v>0</v>
      </c>
      <c r="D15" s="9">
        <v>0</v>
      </c>
      <c r="E15" s="9">
        <v>5.6806700000000001</v>
      </c>
      <c r="F15" s="9">
        <f t="shared" si="0"/>
        <v>5.6806700000000001</v>
      </c>
      <c r="G15" s="9">
        <f t="shared" si="1"/>
        <v>0</v>
      </c>
    </row>
    <row r="16" spans="1:10" ht="18.75" customHeight="1" x14ac:dyDescent="0.3">
      <c r="A16" s="64">
        <v>24060000</v>
      </c>
      <c r="B16" s="7" t="s">
        <v>43</v>
      </c>
      <c r="C16" s="9">
        <v>0</v>
      </c>
      <c r="D16" s="9">
        <v>0</v>
      </c>
      <c r="E16" s="9">
        <v>5.6806700000000001</v>
      </c>
      <c r="F16" s="9">
        <f t="shared" si="0"/>
        <v>5.6806700000000001</v>
      </c>
      <c r="G16" s="9">
        <f t="shared" si="1"/>
        <v>0</v>
      </c>
    </row>
    <row r="17" spans="1:7" ht="55.8" hidden="1" x14ac:dyDescent="0.3">
      <c r="A17" s="64">
        <v>24062100</v>
      </c>
      <c r="B17" s="7" t="s">
        <v>71</v>
      </c>
      <c r="C17" s="9">
        <v>0</v>
      </c>
      <c r="D17" s="9">
        <v>0</v>
      </c>
      <c r="E17" s="9">
        <v>5.6806700000000001</v>
      </c>
      <c r="F17" s="9">
        <f t="shared" si="0"/>
        <v>5.6806700000000001</v>
      </c>
      <c r="G17" s="9">
        <f t="shared" si="1"/>
        <v>0</v>
      </c>
    </row>
    <row r="18" spans="1:7" s="2" customFormat="1" ht="18.75" customHeight="1" x14ac:dyDescent="0.3">
      <c r="A18" s="67">
        <v>25000000</v>
      </c>
      <c r="B18" s="6" t="s">
        <v>72</v>
      </c>
      <c r="C18" s="8">
        <v>200</v>
      </c>
      <c r="D18" s="8">
        <v>50</v>
      </c>
      <c r="E18" s="8">
        <v>3308.4203399999997</v>
      </c>
      <c r="F18" s="8">
        <f t="shared" si="0"/>
        <v>3258.4203399999997</v>
      </c>
      <c r="G18" s="8">
        <f t="shared" si="1"/>
        <v>6616.8406800000002</v>
      </c>
    </row>
    <row r="19" spans="1:7" ht="33.75" customHeight="1" x14ac:dyDescent="0.3">
      <c r="A19" s="64">
        <v>25010000</v>
      </c>
      <c r="B19" s="7" t="s">
        <v>73</v>
      </c>
      <c r="C19" s="9">
        <v>200</v>
      </c>
      <c r="D19" s="9">
        <v>50</v>
      </c>
      <c r="E19" s="9">
        <v>96.74006</v>
      </c>
      <c r="F19" s="9">
        <f t="shared" si="0"/>
        <v>46.74006</v>
      </c>
      <c r="G19" s="9">
        <f t="shared" si="1"/>
        <v>193.48012</v>
      </c>
    </row>
    <row r="20" spans="1:7" ht="42" hidden="1" x14ac:dyDescent="0.3">
      <c r="A20" s="64">
        <v>25010300</v>
      </c>
      <c r="B20" s="7" t="s">
        <v>74</v>
      </c>
      <c r="C20" s="9">
        <v>200</v>
      </c>
      <c r="D20" s="9">
        <v>50</v>
      </c>
      <c r="E20" s="9">
        <v>85.048659999999998</v>
      </c>
      <c r="F20" s="9">
        <f t="shared" si="0"/>
        <v>35.048659999999998</v>
      </c>
      <c r="G20" s="9">
        <f t="shared" si="1"/>
        <v>170.09732</v>
      </c>
    </row>
    <row r="21" spans="1:7" ht="42" hidden="1" x14ac:dyDescent="0.3">
      <c r="A21" s="64">
        <v>25010400</v>
      </c>
      <c r="B21" s="7" t="s">
        <v>75</v>
      </c>
      <c r="C21" s="9">
        <v>0</v>
      </c>
      <c r="D21" s="9">
        <v>0</v>
      </c>
      <c r="E21" s="9">
        <v>11.6914</v>
      </c>
      <c r="F21" s="9">
        <f t="shared" si="0"/>
        <v>11.6914</v>
      </c>
      <c r="G21" s="9">
        <f t="shared" si="1"/>
        <v>0</v>
      </c>
    </row>
    <row r="22" spans="1:7" ht="34.5" customHeight="1" x14ac:dyDescent="0.3">
      <c r="A22" s="64">
        <v>25020000</v>
      </c>
      <c r="B22" s="7" t="s">
        <v>76</v>
      </c>
      <c r="C22" s="9">
        <v>0</v>
      </c>
      <c r="D22" s="9">
        <v>0</v>
      </c>
      <c r="E22" s="9">
        <v>3211.68028</v>
      </c>
      <c r="F22" s="9">
        <f t="shared" si="0"/>
        <v>3211.68028</v>
      </c>
      <c r="G22" s="9">
        <f t="shared" si="1"/>
        <v>0</v>
      </c>
    </row>
    <row r="23" spans="1:7" hidden="1" x14ac:dyDescent="0.3">
      <c r="A23" s="64">
        <v>25020100</v>
      </c>
      <c r="B23" s="7" t="s">
        <v>77</v>
      </c>
      <c r="C23" s="9">
        <v>0</v>
      </c>
      <c r="D23" s="9">
        <v>0</v>
      </c>
      <c r="E23" s="9">
        <v>1914.82149</v>
      </c>
      <c r="F23" s="9">
        <f t="shared" si="0"/>
        <v>1914.82149</v>
      </c>
      <c r="G23" s="9">
        <f t="shared" si="1"/>
        <v>0</v>
      </c>
    </row>
    <row r="24" spans="1:7" ht="83.4" hidden="1" x14ac:dyDescent="0.3">
      <c r="A24" s="64">
        <v>25020200</v>
      </c>
      <c r="B24" s="7" t="s">
        <v>78</v>
      </c>
      <c r="C24" s="9">
        <v>0</v>
      </c>
      <c r="D24" s="9">
        <v>0</v>
      </c>
      <c r="E24" s="9">
        <v>1296.85879</v>
      </c>
      <c r="F24" s="9">
        <f t="shared" si="0"/>
        <v>1296.85879</v>
      </c>
      <c r="G24" s="9">
        <f t="shared" si="1"/>
        <v>0</v>
      </c>
    </row>
    <row r="25" spans="1:7" s="2" customFormat="1" ht="19.5" customHeight="1" x14ac:dyDescent="0.3">
      <c r="A25" s="67">
        <v>30000000</v>
      </c>
      <c r="B25" s="6" t="s">
        <v>79</v>
      </c>
      <c r="C25" s="8">
        <v>0</v>
      </c>
      <c r="D25" s="8">
        <v>0</v>
      </c>
      <c r="E25" s="8">
        <v>38.9</v>
      </c>
      <c r="F25" s="8">
        <f t="shared" si="0"/>
        <v>38.9</v>
      </c>
      <c r="G25" s="8">
        <f t="shared" si="1"/>
        <v>0</v>
      </c>
    </row>
    <row r="26" spans="1:7" hidden="1" x14ac:dyDescent="0.3">
      <c r="A26" s="64">
        <v>31000000</v>
      </c>
      <c r="B26" s="7" t="s">
        <v>80</v>
      </c>
      <c r="C26" s="9">
        <v>0</v>
      </c>
      <c r="D26" s="9">
        <v>0</v>
      </c>
      <c r="E26" s="9">
        <v>38.842599999999997</v>
      </c>
      <c r="F26" s="9">
        <f t="shared" si="0"/>
        <v>38.842599999999997</v>
      </c>
      <c r="G26" s="9">
        <f t="shared" si="1"/>
        <v>0</v>
      </c>
    </row>
    <row r="27" spans="1:7" ht="49.5" customHeight="1" x14ac:dyDescent="0.3">
      <c r="A27" s="64">
        <v>31030000</v>
      </c>
      <c r="B27" s="7" t="s">
        <v>81</v>
      </c>
      <c r="C27" s="9">
        <v>0</v>
      </c>
      <c r="D27" s="9">
        <v>0</v>
      </c>
      <c r="E27" s="9">
        <v>38.9</v>
      </c>
      <c r="F27" s="9">
        <f t="shared" si="0"/>
        <v>38.9</v>
      </c>
      <c r="G27" s="9">
        <f t="shared" si="1"/>
        <v>0</v>
      </c>
    </row>
    <row r="28" spans="1:7" s="2" customFormat="1" ht="21" customHeight="1" x14ac:dyDescent="0.3">
      <c r="A28" s="67">
        <v>40000000</v>
      </c>
      <c r="B28" s="6" t="s">
        <v>54</v>
      </c>
      <c r="C28" s="8">
        <v>1726.2</v>
      </c>
      <c r="D28" s="8">
        <v>1726.2</v>
      </c>
      <c r="E28" s="8">
        <v>1726.2</v>
      </c>
      <c r="F28" s="8">
        <f t="shared" si="0"/>
        <v>0</v>
      </c>
      <c r="G28" s="8">
        <f t="shared" si="1"/>
        <v>100</v>
      </c>
    </row>
    <row r="29" spans="1:7" hidden="1" x14ac:dyDescent="0.3">
      <c r="A29" s="64">
        <v>41000000</v>
      </c>
      <c r="B29" s="7" t="s">
        <v>55</v>
      </c>
      <c r="C29" s="9">
        <v>1726.2</v>
      </c>
      <c r="D29" s="9">
        <v>1726.2</v>
      </c>
      <c r="E29" s="9">
        <v>1726.2</v>
      </c>
      <c r="F29" s="9">
        <f t="shared" si="0"/>
        <v>0</v>
      </c>
      <c r="G29" s="9">
        <f t="shared" si="1"/>
        <v>100</v>
      </c>
    </row>
    <row r="30" spans="1:7" ht="0.75" hidden="1" customHeight="1" x14ac:dyDescent="0.3">
      <c r="A30" s="64">
        <v>41030000</v>
      </c>
      <c r="B30" s="7" t="s">
        <v>57</v>
      </c>
      <c r="C30" s="9">
        <v>1726.2</v>
      </c>
      <c r="D30" s="9">
        <v>1726.2</v>
      </c>
      <c r="E30" s="9">
        <v>1726.2</v>
      </c>
      <c r="F30" s="9">
        <f t="shared" si="0"/>
        <v>0</v>
      </c>
      <c r="G30" s="9">
        <f t="shared" si="1"/>
        <v>100</v>
      </c>
    </row>
    <row r="31" spans="1:7" ht="35.25" customHeight="1" x14ac:dyDescent="0.3">
      <c r="A31" s="64">
        <v>41033900</v>
      </c>
      <c r="B31" s="7" t="s">
        <v>58</v>
      </c>
      <c r="C31" s="9">
        <v>1611.9</v>
      </c>
      <c r="D31" s="9">
        <v>1611.9</v>
      </c>
      <c r="E31" s="9">
        <v>1611.9</v>
      </c>
      <c r="F31" s="9">
        <f t="shared" si="0"/>
        <v>0</v>
      </c>
      <c r="G31" s="9">
        <f t="shared" si="1"/>
        <v>100</v>
      </c>
    </row>
    <row r="32" spans="1:7" ht="63.75" customHeight="1" x14ac:dyDescent="0.3">
      <c r="A32" s="64">
        <v>41037400</v>
      </c>
      <c r="B32" s="7" t="s">
        <v>186</v>
      </c>
      <c r="C32" s="9">
        <v>114.3</v>
      </c>
      <c r="D32" s="9">
        <v>114.3</v>
      </c>
      <c r="E32" s="9">
        <v>114.3</v>
      </c>
      <c r="F32" s="9">
        <f t="shared" si="0"/>
        <v>0</v>
      </c>
      <c r="G32" s="9">
        <f t="shared" si="1"/>
        <v>100</v>
      </c>
    </row>
    <row r="33" spans="1:7" ht="18.75" customHeight="1" x14ac:dyDescent="0.3">
      <c r="A33" s="82" t="s">
        <v>60</v>
      </c>
      <c r="B33" s="82"/>
      <c r="C33" s="10">
        <v>241.67699999999999</v>
      </c>
      <c r="D33" s="10">
        <v>62.872</v>
      </c>
      <c r="E33" s="10">
        <v>3362.95397</v>
      </c>
      <c r="F33" s="10">
        <f t="shared" si="0"/>
        <v>3300.0819700000002</v>
      </c>
      <c r="G33" s="10">
        <f t="shared" si="1"/>
        <v>5348.889760147601</v>
      </c>
    </row>
    <row r="34" spans="1:7" ht="18.75" customHeight="1" x14ac:dyDescent="0.3">
      <c r="A34" s="82" t="s">
        <v>61</v>
      </c>
      <c r="B34" s="82"/>
      <c r="C34" s="10">
        <v>1967.877</v>
      </c>
      <c r="D34" s="10">
        <v>1789.0719999999999</v>
      </c>
      <c r="E34" s="10">
        <v>5089.1539700000003</v>
      </c>
      <c r="F34" s="10">
        <f t="shared" si="0"/>
        <v>3300.0819700000002</v>
      </c>
      <c r="G34" s="10">
        <f t="shared" si="1"/>
        <v>284.45775072216213</v>
      </c>
    </row>
  </sheetData>
  <mergeCells count="8">
    <mergeCell ref="A33:B33"/>
    <mergeCell ref="A34:B34"/>
    <mergeCell ref="A2:G2"/>
    <mergeCell ref="A3:G3"/>
    <mergeCell ref="A4:G4"/>
    <mergeCell ref="A6:A7"/>
    <mergeCell ref="B6:B7"/>
    <mergeCell ref="C6:G6"/>
  </mergeCells>
  <pageMargins left="0.59055118110236227" right="0.19685039370078741" top="0.59055118110236227" bottom="0.39370078740157483" header="0" footer="0"/>
  <pageSetup paperSize="9" scale="70" fitToHeight="5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4995-D367-40E0-9CFA-AC3092668962}">
  <sheetPr>
    <pageSetUpPr fitToPage="1"/>
  </sheetPr>
  <dimension ref="A2:I54"/>
  <sheetViews>
    <sheetView workbookViewId="0">
      <selection activeCell="K11" sqref="K11"/>
    </sheetView>
  </sheetViews>
  <sheetFormatPr defaultRowHeight="13.2" x14ac:dyDescent="0.25"/>
  <cols>
    <col min="1" max="1" width="12.6640625" style="50" customWidth="1"/>
    <col min="2" max="2" width="50.6640625" style="51" customWidth="1"/>
    <col min="3" max="7" width="15.6640625" style="49" customWidth="1"/>
    <col min="8" max="247" width="9.109375" style="49"/>
    <col min="248" max="248" width="12.6640625" style="49" customWidth="1"/>
    <col min="249" max="249" width="50.6640625" style="49" customWidth="1"/>
    <col min="250" max="263" width="15.6640625" style="49" customWidth="1"/>
    <col min="264" max="503" width="9.109375" style="49"/>
    <col min="504" max="504" width="12.6640625" style="49" customWidth="1"/>
    <col min="505" max="505" width="50.6640625" style="49" customWidth="1"/>
    <col min="506" max="519" width="15.6640625" style="49" customWidth="1"/>
    <col min="520" max="759" width="9.109375" style="49"/>
    <col min="760" max="760" width="12.6640625" style="49" customWidth="1"/>
    <col min="761" max="761" width="50.6640625" style="49" customWidth="1"/>
    <col min="762" max="775" width="15.6640625" style="49" customWidth="1"/>
    <col min="776" max="1015" width="9.109375" style="49"/>
    <col min="1016" max="1016" width="12.6640625" style="49" customWidth="1"/>
    <col min="1017" max="1017" width="50.6640625" style="49" customWidth="1"/>
    <col min="1018" max="1031" width="15.6640625" style="49" customWidth="1"/>
    <col min="1032" max="1271" width="9.109375" style="49"/>
    <col min="1272" max="1272" width="12.6640625" style="49" customWidth="1"/>
    <col min="1273" max="1273" width="50.6640625" style="49" customWidth="1"/>
    <col min="1274" max="1287" width="15.6640625" style="49" customWidth="1"/>
    <col min="1288" max="1527" width="9.109375" style="49"/>
    <col min="1528" max="1528" width="12.6640625" style="49" customWidth="1"/>
    <col min="1529" max="1529" width="50.6640625" style="49" customWidth="1"/>
    <col min="1530" max="1543" width="15.6640625" style="49" customWidth="1"/>
    <col min="1544" max="1783" width="9.109375" style="49"/>
    <col min="1784" max="1784" width="12.6640625" style="49" customWidth="1"/>
    <col min="1785" max="1785" width="50.6640625" style="49" customWidth="1"/>
    <col min="1786" max="1799" width="15.6640625" style="49" customWidth="1"/>
    <col min="1800" max="2039" width="9.109375" style="49"/>
    <col min="2040" max="2040" width="12.6640625" style="49" customWidth="1"/>
    <col min="2041" max="2041" width="50.6640625" style="49" customWidth="1"/>
    <col min="2042" max="2055" width="15.6640625" style="49" customWidth="1"/>
    <col min="2056" max="2295" width="9.109375" style="49"/>
    <col min="2296" max="2296" width="12.6640625" style="49" customWidth="1"/>
    <col min="2297" max="2297" width="50.6640625" style="49" customWidth="1"/>
    <col min="2298" max="2311" width="15.6640625" style="49" customWidth="1"/>
    <col min="2312" max="2551" width="9.109375" style="49"/>
    <col min="2552" max="2552" width="12.6640625" style="49" customWidth="1"/>
    <col min="2553" max="2553" width="50.6640625" style="49" customWidth="1"/>
    <col min="2554" max="2567" width="15.6640625" style="49" customWidth="1"/>
    <col min="2568" max="2807" width="9.109375" style="49"/>
    <col min="2808" max="2808" width="12.6640625" style="49" customWidth="1"/>
    <col min="2809" max="2809" width="50.6640625" style="49" customWidth="1"/>
    <col min="2810" max="2823" width="15.6640625" style="49" customWidth="1"/>
    <col min="2824" max="3063" width="9.109375" style="49"/>
    <col min="3064" max="3064" width="12.6640625" style="49" customWidth="1"/>
    <col min="3065" max="3065" width="50.6640625" style="49" customWidth="1"/>
    <col min="3066" max="3079" width="15.6640625" style="49" customWidth="1"/>
    <col min="3080" max="3319" width="9.109375" style="49"/>
    <col min="3320" max="3320" width="12.6640625" style="49" customWidth="1"/>
    <col min="3321" max="3321" width="50.6640625" style="49" customWidth="1"/>
    <col min="3322" max="3335" width="15.6640625" style="49" customWidth="1"/>
    <col min="3336" max="3575" width="9.109375" style="49"/>
    <col min="3576" max="3576" width="12.6640625" style="49" customWidth="1"/>
    <col min="3577" max="3577" width="50.6640625" style="49" customWidth="1"/>
    <col min="3578" max="3591" width="15.6640625" style="49" customWidth="1"/>
    <col min="3592" max="3831" width="9.109375" style="49"/>
    <col min="3832" max="3832" width="12.6640625" style="49" customWidth="1"/>
    <col min="3833" max="3833" width="50.6640625" style="49" customWidth="1"/>
    <col min="3834" max="3847" width="15.6640625" style="49" customWidth="1"/>
    <col min="3848" max="4087" width="9.109375" style="49"/>
    <col min="4088" max="4088" width="12.6640625" style="49" customWidth="1"/>
    <col min="4089" max="4089" width="50.6640625" style="49" customWidth="1"/>
    <col min="4090" max="4103" width="15.6640625" style="49" customWidth="1"/>
    <col min="4104" max="4343" width="9.109375" style="49"/>
    <col min="4344" max="4344" width="12.6640625" style="49" customWidth="1"/>
    <col min="4345" max="4345" width="50.6640625" style="49" customWidth="1"/>
    <col min="4346" max="4359" width="15.6640625" style="49" customWidth="1"/>
    <col min="4360" max="4599" width="9.109375" style="49"/>
    <col min="4600" max="4600" width="12.6640625" style="49" customWidth="1"/>
    <col min="4601" max="4601" width="50.6640625" style="49" customWidth="1"/>
    <col min="4602" max="4615" width="15.6640625" style="49" customWidth="1"/>
    <col min="4616" max="4855" width="9.109375" style="49"/>
    <col min="4856" max="4856" width="12.6640625" style="49" customWidth="1"/>
    <col min="4857" max="4857" width="50.6640625" style="49" customWidth="1"/>
    <col min="4858" max="4871" width="15.6640625" style="49" customWidth="1"/>
    <col min="4872" max="5111" width="9.109375" style="49"/>
    <col min="5112" max="5112" width="12.6640625" style="49" customWidth="1"/>
    <col min="5113" max="5113" width="50.6640625" style="49" customWidth="1"/>
    <col min="5114" max="5127" width="15.6640625" style="49" customWidth="1"/>
    <col min="5128" max="5367" width="9.109375" style="49"/>
    <col min="5368" max="5368" width="12.6640625" style="49" customWidth="1"/>
    <col min="5369" max="5369" width="50.6640625" style="49" customWidth="1"/>
    <col min="5370" max="5383" width="15.6640625" style="49" customWidth="1"/>
    <col min="5384" max="5623" width="9.109375" style="49"/>
    <col min="5624" max="5624" width="12.6640625" style="49" customWidth="1"/>
    <col min="5625" max="5625" width="50.6640625" style="49" customWidth="1"/>
    <col min="5626" max="5639" width="15.6640625" style="49" customWidth="1"/>
    <col min="5640" max="5879" width="9.109375" style="49"/>
    <col min="5880" max="5880" width="12.6640625" style="49" customWidth="1"/>
    <col min="5881" max="5881" width="50.6640625" style="49" customWidth="1"/>
    <col min="5882" max="5895" width="15.6640625" style="49" customWidth="1"/>
    <col min="5896" max="6135" width="9.109375" style="49"/>
    <col min="6136" max="6136" width="12.6640625" style="49" customWidth="1"/>
    <col min="6137" max="6137" width="50.6640625" style="49" customWidth="1"/>
    <col min="6138" max="6151" width="15.6640625" style="49" customWidth="1"/>
    <col min="6152" max="6391" width="9.109375" style="49"/>
    <col min="6392" max="6392" width="12.6640625" style="49" customWidth="1"/>
    <col min="6393" max="6393" width="50.6640625" style="49" customWidth="1"/>
    <col min="6394" max="6407" width="15.6640625" style="49" customWidth="1"/>
    <col min="6408" max="6647" width="9.109375" style="49"/>
    <col min="6648" max="6648" width="12.6640625" style="49" customWidth="1"/>
    <col min="6649" max="6649" width="50.6640625" style="49" customWidth="1"/>
    <col min="6650" max="6663" width="15.6640625" style="49" customWidth="1"/>
    <col min="6664" max="6903" width="9.109375" style="49"/>
    <col min="6904" max="6904" width="12.6640625" style="49" customWidth="1"/>
    <col min="6905" max="6905" width="50.6640625" style="49" customWidth="1"/>
    <col min="6906" max="6919" width="15.6640625" style="49" customWidth="1"/>
    <col min="6920" max="7159" width="9.109375" style="49"/>
    <col min="7160" max="7160" width="12.6640625" style="49" customWidth="1"/>
    <col min="7161" max="7161" width="50.6640625" style="49" customWidth="1"/>
    <col min="7162" max="7175" width="15.6640625" style="49" customWidth="1"/>
    <col min="7176" max="7415" width="9.109375" style="49"/>
    <col min="7416" max="7416" width="12.6640625" style="49" customWidth="1"/>
    <col min="7417" max="7417" width="50.6640625" style="49" customWidth="1"/>
    <col min="7418" max="7431" width="15.6640625" style="49" customWidth="1"/>
    <col min="7432" max="7671" width="9.109375" style="49"/>
    <col min="7672" max="7672" width="12.6640625" style="49" customWidth="1"/>
    <col min="7673" max="7673" width="50.6640625" style="49" customWidth="1"/>
    <col min="7674" max="7687" width="15.6640625" style="49" customWidth="1"/>
    <col min="7688" max="7927" width="9.109375" style="49"/>
    <col min="7928" max="7928" width="12.6640625" style="49" customWidth="1"/>
    <col min="7929" max="7929" width="50.6640625" style="49" customWidth="1"/>
    <col min="7930" max="7943" width="15.6640625" style="49" customWidth="1"/>
    <col min="7944" max="8183" width="9.109375" style="49"/>
    <col min="8184" max="8184" width="12.6640625" style="49" customWidth="1"/>
    <col min="8185" max="8185" width="50.6640625" style="49" customWidth="1"/>
    <col min="8186" max="8199" width="15.6640625" style="49" customWidth="1"/>
    <col min="8200" max="8439" width="9.109375" style="49"/>
    <col min="8440" max="8440" width="12.6640625" style="49" customWidth="1"/>
    <col min="8441" max="8441" width="50.6640625" style="49" customWidth="1"/>
    <col min="8442" max="8455" width="15.6640625" style="49" customWidth="1"/>
    <col min="8456" max="8695" width="9.109375" style="49"/>
    <col min="8696" max="8696" width="12.6640625" style="49" customWidth="1"/>
    <col min="8697" max="8697" width="50.6640625" style="49" customWidth="1"/>
    <col min="8698" max="8711" width="15.6640625" style="49" customWidth="1"/>
    <col min="8712" max="8951" width="9.109375" style="49"/>
    <col min="8952" max="8952" width="12.6640625" style="49" customWidth="1"/>
    <col min="8953" max="8953" width="50.6640625" style="49" customWidth="1"/>
    <col min="8954" max="8967" width="15.6640625" style="49" customWidth="1"/>
    <col min="8968" max="9207" width="9.109375" style="49"/>
    <col min="9208" max="9208" width="12.6640625" style="49" customWidth="1"/>
    <col min="9209" max="9209" width="50.6640625" style="49" customWidth="1"/>
    <col min="9210" max="9223" width="15.6640625" style="49" customWidth="1"/>
    <col min="9224" max="9463" width="9.109375" style="49"/>
    <col min="9464" max="9464" width="12.6640625" style="49" customWidth="1"/>
    <col min="9465" max="9465" width="50.6640625" style="49" customWidth="1"/>
    <col min="9466" max="9479" width="15.6640625" style="49" customWidth="1"/>
    <col min="9480" max="9719" width="9.109375" style="49"/>
    <col min="9720" max="9720" width="12.6640625" style="49" customWidth="1"/>
    <col min="9721" max="9721" width="50.6640625" style="49" customWidth="1"/>
    <col min="9722" max="9735" width="15.6640625" style="49" customWidth="1"/>
    <col min="9736" max="9975" width="9.109375" style="49"/>
    <col min="9976" max="9976" width="12.6640625" style="49" customWidth="1"/>
    <col min="9977" max="9977" width="50.6640625" style="49" customWidth="1"/>
    <col min="9978" max="9991" width="15.6640625" style="49" customWidth="1"/>
    <col min="9992" max="10231" width="9.109375" style="49"/>
    <col min="10232" max="10232" width="12.6640625" style="49" customWidth="1"/>
    <col min="10233" max="10233" width="50.6640625" style="49" customWidth="1"/>
    <col min="10234" max="10247" width="15.6640625" style="49" customWidth="1"/>
    <col min="10248" max="10487" width="9.109375" style="49"/>
    <col min="10488" max="10488" width="12.6640625" style="49" customWidth="1"/>
    <col min="10489" max="10489" width="50.6640625" style="49" customWidth="1"/>
    <col min="10490" max="10503" width="15.6640625" style="49" customWidth="1"/>
    <col min="10504" max="10743" width="9.109375" style="49"/>
    <col min="10744" max="10744" width="12.6640625" style="49" customWidth="1"/>
    <col min="10745" max="10745" width="50.6640625" style="49" customWidth="1"/>
    <col min="10746" max="10759" width="15.6640625" style="49" customWidth="1"/>
    <col min="10760" max="10999" width="9.109375" style="49"/>
    <col min="11000" max="11000" width="12.6640625" style="49" customWidth="1"/>
    <col min="11001" max="11001" width="50.6640625" style="49" customWidth="1"/>
    <col min="11002" max="11015" width="15.6640625" style="49" customWidth="1"/>
    <col min="11016" max="11255" width="9.109375" style="49"/>
    <col min="11256" max="11256" width="12.6640625" style="49" customWidth="1"/>
    <col min="11257" max="11257" width="50.6640625" style="49" customWidth="1"/>
    <col min="11258" max="11271" width="15.6640625" style="49" customWidth="1"/>
    <col min="11272" max="11511" width="9.109375" style="49"/>
    <col min="11512" max="11512" width="12.6640625" style="49" customWidth="1"/>
    <col min="11513" max="11513" width="50.6640625" style="49" customWidth="1"/>
    <col min="11514" max="11527" width="15.6640625" style="49" customWidth="1"/>
    <col min="11528" max="11767" width="9.109375" style="49"/>
    <col min="11768" max="11768" width="12.6640625" style="49" customWidth="1"/>
    <col min="11769" max="11769" width="50.6640625" style="49" customWidth="1"/>
    <col min="11770" max="11783" width="15.6640625" style="49" customWidth="1"/>
    <col min="11784" max="12023" width="9.109375" style="49"/>
    <col min="12024" max="12024" width="12.6640625" style="49" customWidth="1"/>
    <col min="12025" max="12025" width="50.6640625" style="49" customWidth="1"/>
    <col min="12026" max="12039" width="15.6640625" style="49" customWidth="1"/>
    <col min="12040" max="12279" width="9.109375" style="49"/>
    <col min="12280" max="12280" width="12.6640625" style="49" customWidth="1"/>
    <col min="12281" max="12281" width="50.6640625" style="49" customWidth="1"/>
    <col min="12282" max="12295" width="15.6640625" style="49" customWidth="1"/>
    <col min="12296" max="12535" width="9.109375" style="49"/>
    <col min="12536" max="12536" width="12.6640625" style="49" customWidth="1"/>
    <col min="12537" max="12537" width="50.6640625" style="49" customWidth="1"/>
    <col min="12538" max="12551" width="15.6640625" style="49" customWidth="1"/>
    <col min="12552" max="12791" width="9.109375" style="49"/>
    <col min="12792" max="12792" width="12.6640625" style="49" customWidth="1"/>
    <col min="12793" max="12793" width="50.6640625" style="49" customWidth="1"/>
    <col min="12794" max="12807" width="15.6640625" style="49" customWidth="1"/>
    <col min="12808" max="13047" width="9.109375" style="49"/>
    <col min="13048" max="13048" width="12.6640625" style="49" customWidth="1"/>
    <col min="13049" max="13049" width="50.6640625" style="49" customWidth="1"/>
    <col min="13050" max="13063" width="15.6640625" style="49" customWidth="1"/>
    <col min="13064" max="13303" width="9.109375" style="49"/>
    <col min="13304" max="13304" width="12.6640625" style="49" customWidth="1"/>
    <col min="13305" max="13305" width="50.6640625" style="49" customWidth="1"/>
    <col min="13306" max="13319" width="15.6640625" style="49" customWidth="1"/>
    <col min="13320" max="13559" width="9.109375" style="49"/>
    <col min="13560" max="13560" width="12.6640625" style="49" customWidth="1"/>
    <col min="13561" max="13561" width="50.6640625" style="49" customWidth="1"/>
    <col min="13562" max="13575" width="15.6640625" style="49" customWidth="1"/>
    <col min="13576" max="13815" width="9.109375" style="49"/>
    <col min="13816" max="13816" width="12.6640625" style="49" customWidth="1"/>
    <col min="13817" max="13817" width="50.6640625" style="49" customWidth="1"/>
    <col min="13818" max="13831" width="15.6640625" style="49" customWidth="1"/>
    <col min="13832" max="14071" width="9.109375" style="49"/>
    <col min="14072" max="14072" width="12.6640625" style="49" customWidth="1"/>
    <col min="14073" max="14073" width="50.6640625" style="49" customWidth="1"/>
    <col min="14074" max="14087" width="15.6640625" style="49" customWidth="1"/>
    <col min="14088" max="14327" width="9.109375" style="49"/>
    <col min="14328" max="14328" width="12.6640625" style="49" customWidth="1"/>
    <col min="14329" max="14329" width="50.6640625" style="49" customWidth="1"/>
    <col min="14330" max="14343" width="15.6640625" style="49" customWidth="1"/>
    <col min="14344" max="14583" width="9.109375" style="49"/>
    <col min="14584" max="14584" width="12.6640625" style="49" customWidth="1"/>
    <col min="14585" max="14585" width="50.6640625" style="49" customWidth="1"/>
    <col min="14586" max="14599" width="15.6640625" style="49" customWidth="1"/>
    <col min="14600" max="14839" width="9.109375" style="49"/>
    <col min="14840" max="14840" width="12.6640625" style="49" customWidth="1"/>
    <col min="14841" max="14841" width="50.6640625" style="49" customWidth="1"/>
    <col min="14842" max="14855" width="15.6640625" style="49" customWidth="1"/>
    <col min="14856" max="15095" width="9.109375" style="49"/>
    <col min="15096" max="15096" width="12.6640625" style="49" customWidth="1"/>
    <col min="15097" max="15097" width="50.6640625" style="49" customWidth="1"/>
    <col min="15098" max="15111" width="15.6640625" style="49" customWidth="1"/>
    <col min="15112" max="15351" width="9.109375" style="49"/>
    <col min="15352" max="15352" width="12.6640625" style="49" customWidth="1"/>
    <col min="15353" max="15353" width="50.6640625" style="49" customWidth="1"/>
    <col min="15354" max="15367" width="15.6640625" style="49" customWidth="1"/>
    <col min="15368" max="15607" width="9.109375" style="49"/>
    <col min="15608" max="15608" width="12.6640625" style="49" customWidth="1"/>
    <col min="15609" max="15609" width="50.6640625" style="49" customWidth="1"/>
    <col min="15610" max="15623" width="15.6640625" style="49" customWidth="1"/>
    <col min="15624" max="15863" width="9.109375" style="49"/>
    <col min="15864" max="15864" width="12.6640625" style="49" customWidth="1"/>
    <col min="15865" max="15865" width="50.6640625" style="49" customWidth="1"/>
    <col min="15866" max="15879" width="15.6640625" style="49" customWidth="1"/>
    <col min="15880" max="16119" width="9.109375" style="49"/>
    <col min="16120" max="16120" width="12.6640625" style="49" customWidth="1"/>
    <col min="16121" max="16121" width="50.6640625" style="49" customWidth="1"/>
    <col min="16122" max="16135" width="15.6640625" style="49" customWidth="1"/>
    <col min="16136" max="16384" width="9.109375" style="49"/>
  </cols>
  <sheetData>
    <row r="2" spans="1:9" ht="13.8" x14ac:dyDescent="0.25">
      <c r="A2" s="88" t="s">
        <v>179</v>
      </c>
      <c r="B2" s="88"/>
      <c r="C2" s="88"/>
      <c r="D2" s="88"/>
      <c r="E2" s="88"/>
      <c r="F2" s="88"/>
      <c r="G2" s="88"/>
    </row>
    <row r="3" spans="1:9" ht="13.8" x14ac:dyDescent="0.25">
      <c r="A3" s="88" t="s">
        <v>187</v>
      </c>
      <c r="B3" s="88"/>
      <c r="C3" s="88"/>
      <c r="D3" s="88"/>
      <c r="E3" s="88"/>
      <c r="F3" s="88"/>
      <c r="G3" s="88"/>
    </row>
    <row r="4" spans="1:9" ht="13.8" x14ac:dyDescent="0.25">
      <c r="A4" s="88" t="s">
        <v>64</v>
      </c>
      <c r="B4" s="88"/>
      <c r="C4" s="88"/>
      <c r="D4" s="88"/>
      <c r="E4" s="88"/>
      <c r="F4" s="88"/>
      <c r="G4" s="88"/>
    </row>
    <row r="5" spans="1:9" ht="13.8" x14ac:dyDescent="0.25">
      <c r="G5" s="57" t="s">
        <v>84</v>
      </c>
    </row>
    <row r="6" spans="1:9" s="52" customFormat="1" ht="69" x14ac:dyDescent="0.25">
      <c r="A6" s="56" t="s">
        <v>118</v>
      </c>
      <c r="B6" s="56" t="s">
        <v>119</v>
      </c>
      <c r="C6" s="56" t="s">
        <v>120</v>
      </c>
      <c r="D6" s="56" t="s">
        <v>121</v>
      </c>
      <c r="E6" s="56" t="s">
        <v>122</v>
      </c>
      <c r="F6" s="56" t="s">
        <v>123</v>
      </c>
      <c r="G6" s="56" t="s">
        <v>178</v>
      </c>
    </row>
    <row r="7" spans="1:9" ht="13.8" x14ac:dyDescent="0.25">
      <c r="A7" s="56">
        <v>1</v>
      </c>
      <c r="B7" s="56">
        <v>2</v>
      </c>
      <c r="C7" s="56">
        <v>3</v>
      </c>
      <c r="D7" s="56">
        <v>4</v>
      </c>
      <c r="E7" s="56">
        <v>5</v>
      </c>
      <c r="F7" s="56">
        <v>6</v>
      </c>
      <c r="G7" s="56">
        <v>7</v>
      </c>
    </row>
    <row r="8" spans="1:9" ht="55.2" x14ac:dyDescent="0.25">
      <c r="A8" s="58" t="s">
        <v>124</v>
      </c>
      <c r="B8" s="59" t="s">
        <v>125</v>
      </c>
      <c r="C8" s="74">
        <v>38104.878000000012</v>
      </c>
      <c r="D8" s="74">
        <v>9570.3889999999992</v>
      </c>
      <c r="E8" s="74">
        <v>6783.2647399999996</v>
      </c>
      <c r="F8" s="60">
        <f t="shared" ref="F8:F44" si="0">D8-E8</f>
        <v>2787.1242599999996</v>
      </c>
      <c r="G8" s="60">
        <f t="shared" ref="G8:G44" si="1">IF(D8=0,0,(E8/D8)*100)</f>
        <v>70.877628276133819</v>
      </c>
      <c r="H8" s="53"/>
      <c r="I8" s="81"/>
    </row>
    <row r="9" spans="1:9" ht="27.6" x14ac:dyDescent="0.25">
      <c r="A9" s="58" t="s">
        <v>136</v>
      </c>
      <c r="B9" s="59" t="s">
        <v>137</v>
      </c>
      <c r="C9" s="74">
        <v>21698.564999999999</v>
      </c>
      <c r="D9" s="74">
        <v>7711.6780000000017</v>
      </c>
      <c r="E9" s="74">
        <v>6601.0574999999999</v>
      </c>
      <c r="F9" s="60">
        <f t="shared" si="0"/>
        <v>1110.6205000000018</v>
      </c>
      <c r="G9" s="60">
        <f t="shared" si="1"/>
        <v>85.598199250539224</v>
      </c>
      <c r="H9" s="53"/>
    </row>
    <row r="10" spans="1:9" ht="27.6" x14ac:dyDescent="0.25">
      <c r="A10" s="58" t="s">
        <v>138</v>
      </c>
      <c r="B10" s="59" t="s">
        <v>139</v>
      </c>
      <c r="C10" s="74">
        <v>31649.8</v>
      </c>
      <c r="D10" s="74">
        <v>10862.1</v>
      </c>
      <c r="E10" s="74">
        <v>9997.9502400000001</v>
      </c>
      <c r="F10" s="60">
        <f t="shared" si="0"/>
        <v>864.14976000000024</v>
      </c>
      <c r="G10" s="60">
        <f t="shared" si="1"/>
        <v>92.044358273262077</v>
      </c>
      <c r="H10" s="53"/>
    </row>
    <row r="11" spans="1:9" ht="69" x14ac:dyDescent="0.25">
      <c r="A11" s="58" t="s">
        <v>193</v>
      </c>
      <c r="B11" s="59" t="s">
        <v>194</v>
      </c>
      <c r="C11" s="74">
        <v>253.6</v>
      </c>
      <c r="D11" s="74">
        <v>0</v>
      </c>
      <c r="E11" s="74">
        <v>0</v>
      </c>
      <c r="F11" s="60">
        <f t="shared" si="0"/>
        <v>0</v>
      </c>
      <c r="G11" s="60">
        <f t="shared" si="1"/>
        <v>0</v>
      </c>
      <c r="H11" s="53"/>
    </row>
    <row r="12" spans="1:9" ht="69" x14ac:dyDescent="0.25">
      <c r="A12" s="58" t="s">
        <v>195</v>
      </c>
      <c r="B12" s="59" t="s">
        <v>196</v>
      </c>
      <c r="C12" s="74">
        <v>205.4</v>
      </c>
      <c r="D12" s="74">
        <v>61.5</v>
      </c>
      <c r="E12" s="74">
        <v>61.071010000000001</v>
      </c>
      <c r="F12" s="60">
        <f t="shared" si="0"/>
        <v>0.42898999999999887</v>
      </c>
      <c r="G12" s="60">
        <f t="shared" si="1"/>
        <v>99.302455284552849</v>
      </c>
      <c r="H12" s="53"/>
    </row>
    <row r="13" spans="1:9" ht="41.4" x14ac:dyDescent="0.25">
      <c r="A13" s="58" t="s">
        <v>197</v>
      </c>
      <c r="B13" s="59" t="s">
        <v>198</v>
      </c>
      <c r="C13" s="74">
        <v>1931.7</v>
      </c>
      <c r="D13" s="74">
        <v>966</v>
      </c>
      <c r="E13" s="74">
        <v>909.92701</v>
      </c>
      <c r="F13" s="60">
        <f t="shared" si="0"/>
        <v>56.072990000000004</v>
      </c>
      <c r="G13" s="60">
        <f t="shared" si="1"/>
        <v>94.195342650103527</v>
      </c>
      <c r="H13" s="53"/>
      <c r="I13" s="81"/>
    </row>
    <row r="14" spans="1:9" ht="27.6" x14ac:dyDescent="0.25">
      <c r="A14" s="58" t="s">
        <v>140</v>
      </c>
      <c r="B14" s="59" t="s">
        <v>141</v>
      </c>
      <c r="C14" s="74">
        <v>2078.3360000000002</v>
      </c>
      <c r="D14" s="74">
        <v>2078.3360000000002</v>
      </c>
      <c r="E14" s="74">
        <v>1899.0820000000001</v>
      </c>
      <c r="F14" s="60">
        <f t="shared" si="0"/>
        <v>179.25400000000013</v>
      </c>
      <c r="G14" s="60">
        <f t="shared" si="1"/>
        <v>91.375119326230219</v>
      </c>
      <c r="H14" s="53"/>
    </row>
    <row r="15" spans="1:9" ht="27.6" x14ac:dyDescent="0.25">
      <c r="A15" s="58" t="s">
        <v>199</v>
      </c>
      <c r="B15" s="59" t="s">
        <v>200</v>
      </c>
      <c r="C15" s="74">
        <v>381.6</v>
      </c>
      <c r="D15" s="74">
        <v>381.6</v>
      </c>
      <c r="E15" s="74">
        <v>256.2</v>
      </c>
      <c r="F15" s="60">
        <f t="shared" si="0"/>
        <v>125.40000000000003</v>
      </c>
      <c r="G15" s="60">
        <f t="shared" si="1"/>
        <v>67.138364779874209</v>
      </c>
      <c r="H15" s="53"/>
      <c r="I15" s="81"/>
    </row>
    <row r="16" spans="1:9" ht="27.6" x14ac:dyDescent="0.25">
      <c r="A16" s="58" t="s">
        <v>142</v>
      </c>
      <c r="B16" s="59" t="s">
        <v>143</v>
      </c>
      <c r="C16" s="74">
        <v>60</v>
      </c>
      <c r="D16" s="74">
        <v>15</v>
      </c>
      <c r="E16" s="74">
        <v>0</v>
      </c>
      <c r="F16" s="60">
        <f t="shared" si="0"/>
        <v>15</v>
      </c>
      <c r="G16" s="60">
        <f t="shared" si="1"/>
        <v>0</v>
      </c>
      <c r="H16" s="53"/>
    </row>
    <row r="17" spans="1:9" ht="27.6" x14ac:dyDescent="0.25">
      <c r="A17" s="58" t="s">
        <v>144</v>
      </c>
      <c r="B17" s="59" t="s">
        <v>145</v>
      </c>
      <c r="C17" s="74">
        <v>1.62</v>
      </c>
      <c r="D17" s="74">
        <v>0.40500000000000003</v>
      </c>
      <c r="E17" s="74">
        <v>0</v>
      </c>
      <c r="F17" s="60">
        <f t="shared" si="0"/>
        <v>0.40500000000000003</v>
      </c>
      <c r="G17" s="60">
        <f t="shared" si="1"/>
        <v>0</v>
      </c>
      <c r="H17" s="53"/>
    </row>
    <row r="18" spans="1:9" ht="27.6" x14ac:dyDescent="0.25">
      <c r="A18" s="58" t="s">
        <v>146</v>
      </c>
      <c r="B18" s="59" t="s">
        <v>147</v>
      </c>
      <c r="C18" s="74">
        <v>0</v>
      </c>
      <c r="D18" s="74">
        <v>0</v>
      </c>
      <c r="E18" s="74">
        <v>0</v>
      </c>
      <c r="F18" s="60">
        <f t="shared" si="0"/>
        <v>0</v>
      </c>
      <c r="G18" s="60">
        <f t="shared" si="1"/>
        <v>0</v>
      </c>
      <c r="H18" s="53"/>
    </row>
    <row r="19" spans="1:9" ht="27.6" x14ac:dyDescent="0.25">
      <c r="A19" s="58" t="s">
        <v>201</v>
      </c>
      <c r="B19" s="59" t="s">
        <v>202</v>
      </c>
      <c r="C19" s="74">
        <v>28.8</v>
      </c>
      <c r="D19" s="74">
        <v>28.8</v>
      </c>
      <c r="E19" s="74">
        <v>0</v>
      </c>
      <c r="F19" s="60">
        <f t="shared" si="0"/>
        <v>28.8</v>
      </c>
      <c r="G19" s="60">
        <f t="shared" si="1"/>
        <v>0</v>
      </c>
      <c r="H19" s="53"/>
    </row>
    <row r="20" spans="1:9" ht="55.2" x14ac:dyDescent="0.25">
      <c r="A20" s="58" t="s">
        <v>148</v>
      </c>
      <c r="B20" s="59" t="s">
        <v>149</v>
      </c>
      <c r="C20" s="74">
        <v>320</v>
      </c>
      <c r="D20" s="74">
        <v>0</v>
      </c>
      <c r="E20" s="74">
        <v>0</v>
      </c>
      <c r="F20" s="60">
        <f t="shared" si="0"/>
        <v>0</v>
      </c>
      <c r="G20" s="60">
        <f t="shared" si="1"/>
        <v>0</v>
      </c>
      <c r="H20" s="53"/>
    </row>
    <row r="21" spans="1:9" ht="69" x14ac:dyDescent="0.25">
      <c r="A21" s="58" t="s">
        <v>150</v>
      </c>
      <c r="B21" s="59" t="s">
        <v>151</v>
      </c>
      <c r="C21" s="74">
        <v>943.00200000000007</v>
      </c>
      <c r="D21" s="74">
        <v>235.8</v>
      </c>
      <c r="E21" s="74">
        <v>93.808499999999995</v>
      </c>
      <c r="F21" s="60">
        <f t="shared" si="0"/>
        <v>141.99150000000003</v>
      </c>
      <c r="G21" s="60">
        <f t="shared" si="1"/>
        <v>39.783078880407118</v>
      </c>
      <c r="H21" s="53"/>
    </row>
    <row r="22" spans="1:9" ht="55.2" x14ac:dyDescent="0.25">
      <c r="A22" s="58" t="s">
        <v>203</v>
      </c>
      <c r="B22" s="59" t="s">
        <v>204</v>
      </c>
      <c r="C22" s="74">
        <v>368.58000000000004</v>
      </c>
      <c r="D22" s="74">
        <v>122.86</v>
      </c>
      <c r="E22" s="74">
        <v>82.243899999999996</v>
      </c>
      <c r="F22" s="60">
        <f t="shared" si="0"/>
        <v>40.616100000000003</v>
      </c>
      <c r="G22" s="60">
        <f t="shared" si="1"/>
        <v>66.941152531336485</v>
      </c>
      <c r="H22" s="53"/>
    </row>
    <row r="23" spans="1:9" ht="41.4" x14ac:dyDescent="0.25">
      <c r="A23" s="58" t="s">
        <v>205</v>
      </c>
      <c r="B23" s="59" t="s">
        <v>206</v>
      </c>
      <c r="C23" s="74">
        <v>597</v>
      </c>
      <c r="D23" s="74">
        <v>597</v>
      </c>
      <c r="E23" s="74">
        <v>595.70087999999998</v>
      </c>
      <c r="F23" s="60">
        <f t="shared" si="0"/>
        <v>1.2991200000000163</v>
      </c>
      <c r="G23" s="60">
        <f t="shared" si="1"/>
        <v>99.782391959798986</v>
      </c>
      <c r="H23" s="53"/>
    </row>
    <row r="24" spans="1:9" ht="41.4" x14ac:dyDescent="0.25">
      <c r="A24" s="58" t="s">
        <v>152</v>
      </c>
      <c r="B24" s="59" t="s">
        <v>207</v>
      </c>
      <c r="C24" s="74">
        <v>11888.673000000001</v>
      </c>
      <c r="D24" s="74">
        <v>3140.59</v>
      </c>
      <c r="E24" s="74">
        <v>1763.5135700000001</v>
      </c>
      <c r="F24" s="60">
        <f t="shared" si="0"/>
        <v>1377.0764300000001</v>
      </c>
      <c r="G24" s="60">
        <f t="shared" si="1"/>
        <v>56.152301637590384</v>
      </c>
      <c r="H24" s="53"/>
    </row>
    <row r="25" spans="1:9" ht="27.6" x14ac:dyDescent="0.25">
      <c r="A25" s="58" t="s">
        <v>153</v>
      </c>
      <c r="B25" s="59" t="s">
        <v>154</v>
      </c>
      <c r="C25" s="74">
        <v>3376.17</v>
      </c>
      <c r="D25" s="74">
        <v>925.2</v>
      </c>
      <c r="E25" s="74">
        <v>83.939000000000007</v>
      </c>
      <c r="F25" s="60">
        <f t="shared" si="0"/>
        <v>841.26100000000008</v>
      </c>
      <c r="G25" s="60">
        <f t="shared" si="1"/>
        <v>9.0725248594898407</v>
      </c>
      <c r="H25" s="53"/>
      <c r="I25" s="81"/>
    </row>
    <row r="26" spans="1:9" ht="27.6" x14ac:dyDescent="0.25">
      <c r="A26" s="58" t="s">
        <v>129</v>
      </c>
      <c r="B26" s="59" t="s">
        <v>130</v>
      </c>
      <c r="C26" s="74">
        <v>10772.504999999999</v>
      </c>
      <c r="D26" s="74">
        <v>2710.085</v>
      </c>
      <c r="E26" s="74">
        <v>2022.8304000000003</v>
      </c>
      <c r="F26" s="60">
        <f t="shared" si="0"/>
        <v>687.25459999999975</v>
      </c>
      <c r="G26" s="60">
        <f t="shared" si="1"/>
        <v>74.640847058302612</v>
      </c>
      <c r="H26" s="53"/>
    </row>
    <row r="27" spans="1:9" ht="27.6" x14ac:dyDescent="0.25">
      <c r="A27" s="58" t="s">
        <v>208</v>
      </c>
      <c r="B27" s="59" t="s">
        <v>209</v>
      </c>
      <c r="C27" s="74">
        <v>100</v>
      </c>
      <c r="D27" s="74">
        <v>100</v>
      </c>
      <c r="E27" s="74">
        <v>0</v>
      </c>
      <c r="F27" s="60">
        <f t="shared" si="0"/>
        <v>100</v>
      </c>
      <c r="G27" s="60">
        <f t="shared" si="1"/>
        <v>0</v>
      </c>
      <c r="H27" s="53"/>
    </row>
    <row r="28" spans="1:9" ht="41.4" x14ac:dyDescent="0.25">
      <c r="A28" s="58" t="s">
        <v>155</v>
      </c>
      <c r="B28" s="59" t="s">
        <v>156</v>
      </c>
      <c r="C28" s="74">
        <v>9335.4600000000009</v>
      </c>
      <c r="D28" s="74">
        <v>9335.4600000000009</v>
      </c>
      <c r="E28" s="74">
        <v>8887.5654900000009</v>
      </c>
      <c r="F28" s="60">
        <f t="shared" si="0"/>
        <v>447.89451000000008</v>
      </c>
      <c r="G28" s="60">
        <f t="shared" si="1"/>
        <v>95.202223457655009</v>
      </c>
      <c r="H28" s="53"/>
    </row>
    <row r="29" spans="1:9" ht="13.8" x14ac:dyDescent="0.25">
      <c r="A29" s="58" t="s">
        <v>157</v>
      </c>
      <c r="B29" s="59" t="s">
        <v>158</v>
      </c>
      <c r="C29" s="74">
        <v>23910.657999999999</v>
      </c>
      <c r="D29" s="74">
        <v>7495.07</v>
      </c>
      <c r="E29" s="74">
        <v>6470.9146500000006</v>
      </c>
      <c r="F29" s="60">
        <f t="shared" si="0"/>
        <v>1024.1553499999991</v>
      </c>
      <c r="G29" s="60">
        <f t="shared" si="1"/>
        <v>86.335613276460407</v>
      </c>
      <c r="H29" s="53"/>
      <c r="I29" s="81"/>
    </row>
    <row r="30" spans="1:9" ht="13.8" x14ac:dyDescent="0.25">
      <c r="A30" s="58" t="s">
        <v>210</v>
      </c>
      <c r="B30" s="59" t="s">
        <v>211</v>
      </c>
      <c r="C30" s="74">
        <v>99.998999999999995</v>
      </c>
      <c r="D30" s="74">
        <v>99.998999999999995</v>
      </c>
      <c r="E30" s="74">
        <v>0</v>
      </c>
      <c r="F30" s="60">
        <f t="shared" si="0"/>
        <v>99.998999999999995</v>
      </c>
      <c r="G30" s="60">
        <f t="shared" si="1"/>
        <v>0</v>
      </c>
      <c r="H30" s="53"/>
    </row>
    <row r="31" spans="1:9" ht="27.6" x14ac:dyDescent="0.25">
      <c r="A31" s="58" t="s">
        <v>159</v>
      </c>
      <c r="B31" s="59" t="s">
        <v>160</v>
      </c>
      <c r="C31" s="74">
        <v>121.892</v>
      </c>
      <c r="D31" s="74">
        <v>0</v>
      </c>
      <c r="E31" s="74">
        <v>0</v>
      </c>
      <c r="F31" s="60">
        <f t="shared" si="0"/>
        <v>0</v>
      </c>
      <c r="G31" s="60">
        <f t="shared" si="1"/>
        <v>0</v>
      </c>
      <c r="H31" s="53"/>
    </row>
    <row r="32" spans="1:9" ht="13.8" x14ac:dyDescent="0.25">
      <c r="A32" s="58" t="s">
        <v>161</v>
      </c>
      <c r="B32" s="59" t="s">
        <v>162</v>
      </c>
      <c r="C32" s="74">
        <v>5091.7730000000001</v>
      </c>
      <c r="D32" s="74">
        <v>1646.6030000000001</v>
      </c>
      <c r="E32" s="74">
        <v>1173.2013400000001</v>
      </c>
      <c r="F32" s="60">
        <f t="shared" si="0"/>
        <v>473.40165999999999</v>
      </c>
      <c r="G32" s="60">
        <f t="shared" si="1"/>
        <v>71.249799739220691</v>
      </c>
      <c r="H32" s="53"/>
      <c r="I32" s="81"/>
    </row>
    <row r="33" spans="1:9" ht="27.6" x14ac:dyDescent="0.25">
      <c r="A33" s="58" t="s">
        <v>163</v>
      </c>
      <c r="B33" s="59" t="s">
        <v>164</v>
      </c>
      <c r="C33" s="74">
        <v>300</v>
      </c>
      <c r="D33" s="74">
        <v>300</v>
      </c>
      <c r="E33" s="74">
        <v>0</v>
      </c>
      <c r="F33" s="60">
        <f t="shared" si="0"/>
        <v>300</v>
      </c>
      <c r="G33" s="60">
        <f t="shared" si="1"/>
        <v>0</v>
      </c>
      <c r="H33" s="53"/>
    </row>
    <row r="34" spans="1:9" ht="27.6" x14ac:dyDescent="0.25">
      <c r="A34" s="58" t="s">
        <v>165</v>
      </c>
      <c r="B34" s="59" t="s">
        <v>166</v>
      </c>
      <c r="C34" s="74">
        <v>8165.6540000000005</v>
      </c>
      <c r="D34" s="74">
        <v>1972.1970000000001</v>
      </c>
      <c r="E34" s="74">
        <v>1363.0715300000002</v>
      </c>
      <c r="F34" s="60">
        <f t="shared" si="0"/>
        <v>609.12546999999995</v>
      </c>
      <c r="G34" s="60">
        <f t="shared" si="1"/>
        <v>69.114369913350444</v>
      </c>
      <c r="H34" s="53"/>
    </row>
    <row r="35" spans="1:9" ht="13.8" x14ac:dyDescent="0.25">
      <c r="A35" s="58" t="s">
        <v>167</v>
      </c>
      <c r="B35" s="59" t="s">
        <v>168</v>
      </c>
      <c r="C35" s="74">
        <v>100</v>
      </c>
      <c r="D35" s="74">
        <v>100</v>
      </c>
      <c r="E35" s="74">
        <v>0</v>
      </c>
      <c r="F35" s="60">
        <f t="shared" si="0"/>
        <v>100</v>
      </c>
      <c r="G35" s="60">
        <f t="shared" si="1"/>
        <v>0</v>
      </c>
      <c r="H35" s="53"/>
    </row>
    <row r="36" spans="1:9" ht="13.8" x14ac:dyDescent="0.25">
      <c r="A36" s="58" t="s">
        <v>169</v>
      </c>
      <c r="B36" s="59" t="s">
        <v>212</v>
      </c>
      <c r="C36" s="74">
        <v>428.93799999999999</v>
      </c>
      <c r="D36" s="74">
        <v>132.679</v>
      </c>
      <c r="E36" s="74">
        <v>46.722000000000001</v>
      </c>
      <c r="F36" s="60">
        <f t="shared" si="0"/>
        <v>85.956999999999994</v>
      </c>
      <c r="G36" s="60">
        <f t="shared" si="1"/>
        <v>35.214314247167977</v>
      </c>
      <c r="H36" s="53"/>
      <c r="I36" s="81"/>
    </row>
    <row r="37" spans="1:9" ht="13.8" x14ac:dyDescent="0.25">
      <c r="A37" s="58" t="s">
        <v>213</v>
      </c>
      <c r="B37" s="59" t="s">
        <v>214</v>
      </c>
      <c r="C37" s="74">
        <v>8000</v>
      </c>
      <c r="D37" s="74">
        <v>8000</v>
      </c>
      <c r="E37" s="74">
        <v>2000</v>
      </c>
      <c r="F37" s="60">
        <f t="shared" si="0"/>
        <v>6000</v>
      </c>
      <c r="G37" s="60">
        <f t="shared" si="1"/>
        <v>25</v>
      </c>
      <c r="H37" s="53"/>
    </row>
    <row r="38" spans="1:9" ht="41.4" x14ac:dyDescent="0.25">
      <c r="A38" s="58" t="s">
        <v>170</v>
      </c>
      <c r="B38" s="59" t="s">
        <v>171</v>
      </c>
      <c r="C38" s="74">
        <v>232.03800000000001</v>
      </c>
      <c r="D38" s="74">
        <v>232.03800000000001</v>
      </c>
      <c r="E38" s="74">
        <v>232.03800000000001</v>
      </c>
      <c r="F38" s="60">
        <f t="shared" si="0"/>
        <v>0</v>
      </c>
      <c r="G38" s="60">
        <f t="shared" si="1"/>
        <v>100</v>
      </c>
      <c r="H38" s="53"/>
      <c r="I38" s="81"/>
    </row>
    <row r="39" spans="1:9" ht="27.6" x14ac:dyDescent="0.25">
      <c r="A39" s="58" t="s">
        <v>172</v>
      </c>
      <c r="B39" s="59" t="s">
        <v>173</v>
      </c>
      <c r="C39" s="74">
        <v>1710.5629999999999</v>
      </c>
      <c r="D39" s="74">
        <v>388.65100000000007</v>
      </c>
      <c r="E39" s="74">
        <v>268.25364999999999</v>
      </c>
      <c r="F39" s="60">
        <f t="shared" si="0"/>
        <v>120.39735000000007</v>
      </c>
      <c r="G39" s="60">
        <f t="shared" si="1"/>
        <v>69.021731579231741</v>
      </c>
      <c r="H39" s="53"/>
      <c r="I39" s="53"/>
    </row>
    <row r="40" spans="1:9" ht="27.6" x14ac:dyDescent="0.25">
      <c r="A40" s="58" t="s">
        <v>174</v>
      </c>
      <c r="B40" s="59" t="s">
        <v>173</v>
      </c>
      <c r="C40" s="74">
        <v>7473.2300000000014</v>
      </c>
      <c r="D40" s="74">
        <v>1873.5400000000002</v>
      </c>
      <c r="E40" s="74">
        <v>1526.75056</v>
      </c>
      <c r="F40" s="60">
        <f t="shared" si="0"/>
        <v>346.78944000000024</v>
      </c>
      <c r="G40" s="60">
        <f t="shared" si="1"/>
        <v>81.490150196953351</v>
      </c>
      <c r="H40" s="53"/>
    </row>
    <row r="41" spans="1:9" ht="13.8" x14ac:dyDescent="0.25">
      <c r="A41" s="58" t="s">
        <v>215</v>
      </c>
      <c r="B41" s="59" t="s">
        <v>158</v>
      </c>
      <c r="C41" s="74">
        <v>1310</v>
      </c>
      <c r="D41" s="74">
        <v>910</v>
      </c>
      <c r="E41" s="74">
        <v>905.5</v>
      </c>
      <c r="F41" s="60">
        <f t="shared" si="0"/>
        <v>4.5</v>
      </c>
      <c r="G41" s="60">
        <f t="shared" si="1"/>
        <v>99.505494505494511</v>
      </c>
      <c r="H41" s="53"/>
    </row>
    <row r="42" spans="1:9" ht="27.6" x14ac:dyDescent="0.25">
      <c r="A42" s="58" t="s">
        <v>175</v>
      </c>
      <c r="B42" s="59" t="s">
        <v>173</v>
      </c>
      <c r="C42" s="74">
        <v>2380.7290000000003</v>
      </c>
      <c r="D42" s="74">
        <v>523.29</v>
      </c>
      <c r="E42" s="74">
        <v>397.01959000000005</v>
      </c>
      <c r="F42" s="60">
        <f t="shared" si="0"/>
        <v>126.27040999999991</v>
      </c>
      <c r="G42" s="60">
        <f t="shared" si="1"/>
        <v>75.869898144432355</v>
      </c>
      <c r="H42" s="53"/>
    </row>
    <row r="43" spans="1:9" ht="13.8" x14ac:dyDescent="0.25">
      <c r="A43" s="58" t="s">
        <v>176</v>
      </c>
      <c r="B43" s="59" t="s">
        <v>177</v>
      </c>
      <c r="C43" s="74">
        <v>100</v>
      </c>
      <c r="D43" s="74">
        <v>100</v>
      </c>
      <c r="E43" s="74">
        <v>0</v>
      </c>
      <c r="F43" s="60">
        <f t="shared" si="0"/>
        <v>100</v>
      </c>
      <c r="G43" s="60">
        <f t="shared" si="1"/>
        <v>0</v>
      </c>
      <c r="H43" s="53"/>
    </row>
    <row r="44" spans="1:9" ht="13.8" x14ac:dyDescent="0.25">
      <c r="A44" s="61" t="s">
        <v>134</v>
      </c>
      <c r="B44" s="62" t="s">
        <v>135</v>
      </c>
      <c r="C44" s="63">
        <v>193521.163</v>
      </c>
      <c r="D44" s="63">
        <v>72616.87</v>
      </c>
      <c r="E44" s="63">
        <v>54421.625559999993</v>
      </c>
      <c r="F44" s="63">
        <f t="shared" si="0"/>
        <v>18195.244440000002</v>
      </c>
      <c r="G44" s="63">
        <f t="shared" si="1"/>
        <v>74.943502191708347</v>
      </c>
      <c r="H44" s="53"/>
    </row>
    <row r="45" spans="1:9" x14ac:dyDescent="0.25">
      <c r="C45" s="75"/>
      <c r="D45" s="75"/>
      <c r="E45" s="75"/>
      <c r="F45" s="76"/>
      <c r="G45" s="76"/>
    </row>
    <row r="46" spans="1:9" x14ac:dyDescent="0.25">
      <c r="A46" s="54"/>
      <c r="B46" s="55"/>
      <c r="C46" s="53"/>
      <c r="D46" s="53"/>
      <c r="E46" s="53"/>
      <c r="F46" s="53"/>
      <c r="G46" s="53"/>
    </row>
    <row r="54" hidden="1" x14ac:dyDescent="0.25"/>
  </sheetData>
  <mergeCells count="3">
    <mergeCell ref="A3:G3"/>
    <mergeCell ref="A4:G4"/>
    <mergeCell ref="A2:G2"/>
  </mergeCells>
  <conditionalFormatting sqref="A8:A44">
    <cfRule type="expression" dxfId="83" priority="49" stopIfTrue="1">
      <formula>#REF!=1</formula>
    </cfRule>
    <cfRule type="expression" dxfId="82" priority="50" stopIfTrue="1">
      <formula>#REF!=2</formula>
    </cfRule>
    <cfRule type="expression" dxfId="81" priority="51" stopIfTrue="1">
      <formula>#REF!=3</formula>
    </cfRule>
  </conditionalFormatting>
  <conditionalFormatting sqref="B8:B44">
    <cfRule type="expression" dxfId="80" priority="52" stopIfTrue="1">
      <formula>#REF!=1</formula>
    </cfRule>
    <cfRule type="expression" dxfId="79" priority="53" stopIfTrue="1">
      <formula>#REF!=2</formula>
    </cfRule>
    <cfRule type="expression" dxfId="78" priority="54" stopIfTrue="1">
      <formula>#REF!=3</formula>
    </cfRule>
  </conditionalFormatting>
  <conditionalFormatting sqref="C8:C44">
    <cfRule type="expression" dxfId="77" priority="58" stopIfTrue="1">
      <formula>#REF!=1</formula>
    </cfRule>
    <cfRule type="expression" dxfId="76" priority="59" stopIfTrue="1">
      <formula>#REF!=2</formula>
    </cfRule>
    <cfRule type="expression" dxfId="75" priority="60" stopIfTrue="1">
      <formula>#REF!=3</formula>
    </cfRule>
  </conditionalFormatting>
  <conditionalFormatting sqref="D8:D44">
    <cfRule type="expression" dxfId="74" priority="61" stopIfTrue="1">
      <formula>#REF!=1</formula>
    </cfRule>
    <cfRule type="expression" dxfId="73" priority="62" stopIfTrue="1">
      <formula>#REF!=2</formula>
    </cfRule>
    <cfRule type="expression" dxfId="72" priority="63" stopIfTrue="1">
      <formula>#REF!=3</formula>
    </cfRule>
  </conditionalFormatting>
  <conditionalFormatting sqref="E8:E44">
    <cfRule type="expression" dxfId="71" priority="70" stopIfTrue="1">
      <formula>#REF!=1</formula>
    </cfRule>
    <cfRule type="expression" dxfId="70" priority="71" stopIfTrue="1">
      <formula>#REF!=2</formula>
    </cfRule>
    <cfRule type="expression" dxfId="69" priority="72" stopIfTrue="1">
      <formula>#REF!=3</formula>
    </cfRule>
  </conditionalFormatting>
  <conditionalFormatting sqref="F8:F44">
    <cfRule type="expression" dxfId="68" priority="91" stopIfTrue="1">
      <formula>#REF!=1</formula>
    </cfRule>
    <cfRule type="expression" dxfId="67" priority="92" stopIfTrue="1">
      <formula>#REF!=2</formula>
    </cfRule>
    <cfRule type="expression" dxfId="66" priority="93" stopIfTrue="1">
      <formula>#REF!=3</formula>
    </cfRule>
  </conditionalFormatting>
  <conditionalFormatting sqref="G8:G44">
    <cfRule type="expression" dxfId="65" priority="94" stopIfTrue="1">
      <formula>#REF!=1</formula>
    </cfRule>
    <cfRule type="expression" dxfId="64" priority="95" stopIfTrue="1">
      <formula>#REF!=2</formula>
    </cfRule>
    <cfRule type="expression" dxfId="63" priority="96" stopIfTrue="1">
      <formula>#REF!=3</formula>
    </cfRule>
  </conditionalFormatting>
  <conditionalFormatting sqref="A46:A55">
    <cfRule type="expression" dxfId="62" priority="1" stopIfTrue="1">
      <formula>#REF!=1</formula>
    </cfRule>
    <cfRule type="expression" dxfId="61" priority="2" stopIfTrue="1">
      <formula>#REF!=2</formula>
    </cfRule>
    <cfRule type="expression" dxfId="60" priority="3" stopIfTrue="1">
      <formula>#REF!=3</formula>
    </cfRule>
  </conditionalFormatting>
  <conditionalFormatting sqref="B46:B55">
    <cfRule type="expression" dxfId="59" priority="4" stopIfTrue="1">
      <formula>#REF!=1</formula>
    </cfRule>
    <cfRule type="expression" dxfId="58" priority="5" stopIfTrue="1">
      <formula>#REF!=2</formula>
    </cfRule>
    <cfRule type="expression" dxfId="57" priority="6" stopIfTrue="1">
      <formula>#REF!=3</formula>
    </cfRule>
  </conditionalFormatting>
  <conditionalFormatting sqref="C46:C55">
    <cfRule type="expression" dxfId="56" priority="10" stopIfTrue="1">
      <formula>#REF!=1</formula>
    </cfRule>
    <cfRule type="expression" dxfId="55" priority="11" stopIfTrue="1">
      <formula>#REF!=2</formula>
    </cfRule>
    <cfRule type="expression" dxfId="54" priority="12" stopIfTrue="1">
      <formula>#REF!=3</formula>
    </cfRule>
  </conditionalFormatting>
  <conditionalFormatting sqref="D46:D55">
    <cfRule type="expression" dxfId="53" priority="13" stopIfTrue="1">
      <formula>#REF!=1</formula>
    </cfRule>
    <cfRule type="expression" dxfId="52" priority="14" stopIfTrue="1">
      <formula>#REF!=2</formula>
    </cfRule>
    <cfRule type="expression" dxfId="51" priority="15" stopIfTrue="1">
      <formula>#REF!=3</formula>
    </cfRule>
  </conditionalFormatting>
  <conditionalFormatting sqref="E46:E55">
    <cfRule type="expression" dxfId="50" priority="22" stopIfTrue="1">
      <formula>#REF!=1</formula>
    </cfRule>
    <cfRule type="expression" dxfId="49" priority="23" stopIfTrue="1">
      <formula>#REF!=2</formula>
    </cfRule>
    <cfRule type="expression" dxfId="48" priority="24" stopIfTrue="1">
      <formula>#REF!=3</formula>
    </cfRule>
  </conditionalFormatting>
  <conditionalFormatting sqref="F46:F55">
    <cfRule type="expression" dxfId="47" priority="43" stopIfTrue="1">
      <formula>#REF!=1</formula>
    </cfRule>
    <cfRule type="expression" dxfId="46" priority="44" stopIfTrue="1">
      <formula>#REF!=2</formula>
    </cfRule>
    <cfRule type="expression" dxfId="45" priority="45" stopIfTrue="1">
      <formula>#REF!=3</formula>
    </cfRule>
  </conditionalFormatting>
  <conditionalFormatting sqref="G46:G55">
    <cfRule type="expression" dxfId="44" priority="46" stopIfTrue="1">
      <formula>#REF!=1</formula>
    </cfRule>
    <cfRule type="expression" dxfId="43" priority="47" stopIfTrue="1">
      <formula>#REF!=2</formula>
    </cfRule>
    <cfRule type="expression" dxfId="42" priority="48" stopIfTrue="1">
      <formula>#REF!=3</formula>
    </cfRule>
  </conditionalFormatting>
  <pageMargins left="0.32" right="0.33" top="0.39370078740157499" bottom="0.39370078740157499" header="0" footer="0"/>
  <pageSetup paperSize="9" scale="68" fitToHeight="50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10E9-E4D5-4C9C-A6C8-EE88A8392CEF}">
  <sheetPr>
    <pageSetUpPr fitToPage="1"/>
  </sheetPr>
  <dimension ref="A2:I34"/>
  <sheetViews>
    <sheetView topLeftCell="B7" workbookViewId="0">
      <selection activeCell="C33" sqref="C33"/>
    </sheetView>
  </sheetViews>
  <sheetFormatPr defaultRowHeight="13.2" x14ac:dyDescent="0.25"/>
  <cols>
    <col min="1" max="1" width="0" style="49" hidden="1" customWidth="1"/>
    <col min="2" max="2" width="12.6640625" style="50" customWidth="1"/>
    <col min="3" max="3" width="50.6640625" style="51" customWidth="1"/>
    <col min="4" max="8" width="15.6640625" style="49" customWidth="1"/>
    <col min="9" max="248" width="9.109375" style="49"/>
    <col min="249" max="249" width="12.6640625" style="49" customWidth="1"/>
    <col min="250" max="250" width="50.6640625" style="49" customWidth="1"/>
    <col min="251" max="264" width="15.6640625" style="49" customWidth="1"/>
    <col min="265" max="504" width="9.109375" style="49"/>
    <col min="505" max="505" width="12.6640625" style="49" customWidth="1"/>
    <col min="506" max="506" width="50.6640625" style="49" customWidth="1"/>
    <col min="507" max="520" width="15.6640625" style="49" customWidth="1"/>
    <col min="521" max="760" width="9.109375" style="49"/>
    <col min="761" max="761" width="12.6640625" style="49" customWidth="1"/>
    <col min="762" max="762" width="50.6640625" style="49" customWidth="1"/>
    <col min="763" max="776" width="15.6640625" style="49" customWidth="1"/>
    <col min="777" max="1016" width="9.109375" style="49"/>
    <col min="1017" max="1017" width="12.6640625" style="49" customWidth="1"/>
    <col min="1018" max="1018" width="50.6640625" style="49" customWidth="1"/>
    <col min="1019" max="1032" width="15.6640625" style="49" customWidth="1"/>
    <col min="1033" max="1272" width="9.109375" style="49"/>
    <col min="1273" max="1273" width="12.6640625" style="49" customWidth="1"/>
    <col min="1274" max="1274" width="50.6640625" style="49" customWidth="1"/>
    <col min="1275" max="1288" width="15.6640625" style="49" customWidth="1"/>
    <col min="1289" max="1528" width="9.109375" style="49"/>
    <col min="1529" max="1529" width="12.6640625" style="49" customWidth="1"/>
    <col min="1530" max="1530" width="50.6640625" style="49" customWidth="1"/>
    <col min="1531" max="1544" width="15.6640625" style="49" customWidth="1"/>
    <col min="1545" max="1784" width="9.109375" style="49"/>
    <col min="1785" max="1785" width="12.6640625" style="49" customWidth="1"/>
    <col min="1786" max="1786" width="50.6640625" style="49" customWidth="1"/>
    <col min="1787" max="1800" width="15.6640625" style="49" customWidth="1"/>
    <col min="1801" max="2040" width="9.109375" style="49"/>
    <col min="2041" max="2041" width="12.6640625" style="49" customWidth="1"/>
    <col min="2042" max="2042" width="50.6640625" style="49" customWidth="1"/>
    <col min="2043" max="2056" width="15.6640625" style="49" customWidth="1"/>
    <col min="2057" max="2296" width="9.109375" style="49"/>
    <col min="2297" max="2297" width="12.6640625" style="49" customWidth="1"/>
    <col min="2298" max="2298" width="50.6640625" style="49" customWidth="1"/>
    <col min="2299" max="2312" width="15.6640625" style="49" customWidth="1"/>
    <col min="2313" max="2552" width="9.109375" style="49"/>
    <col min="2553" max="2553" width="12.6640625" style="49" customWidth="1"/>
    <col min="2554" max="2554" width="50.6640625" style="49" customWidth="1"/>
    <col min="2555" max="2568" width="15.6640625" style="49" customWidth="1"/>
    <col min="2569" max="2808" width="9.109375" style="49"/>
    <col min="2809" max="2809" width="12.6640625" style="49" customWidth="1"/>
    <col min="2810" max="2810" width="50.6640625" style="49" customWidth="1"/>
    <col min="2811" max="2824" width="15.6640625" style="49" customWidth="1"/>
    <col min="2825" max="3064" width="9.109375" style="49"/>
    <col min="3065" max="3065" width="12.6640625" style="49" customWidth="1"/>
    <col min="3066" max="3066" width="50.6640625" style="49" customWidth="1"/>
    <col min="3067" max="3080" width="15.6640625" style="49" customWidth="1"/>
    <col min="3081" max="3320" width="9.109375" style="49"/>
    <col min="3321" max="3321" width="12.6640625" style="49" customWidth="1"/>
    <col min="3322" max="3322" width="50.6640625" style="49" customWidth="1"/>
    <col min="3323" max="3336" width="15.6640625" style="49" customWidth="1"/>
    <col min="3337" max="3576" width="9.109375" style="49"/>
    <col min="3577" max="3577" width="12.6640625" style="49" customWidth="1"/>
    <col min="3578" max="3578" width="50.6640625" style="49" customWidth="1"/>
    <col min="3579" max="3592" width="15.6640625" style="49" customWidth="1"/>
    <col min="3593" max="3832" width="9.109375" style="49"/>
    <col min="3833" max="3833" width="12.6640625" style="49" customWidth="1"/>
    <col min="3834" max="3834" width="50.6640625" style="49" customWidth="1"/>
    <col min="3835" max="3848" width="15.6640625" style="49" customWidth="1"/>
    <col min="3849" max="4088" width="9.109375" style="49"/>
    <col min="4089" max="4089" width="12.6640625" style="49" customWidth="1"/>
    <col min="4090" max="4090" width="50.6640625" style="49" customWidth="1"/>
    <col min="4091" max="4104" width="15.6640625" style="49" customWidth="1"/>
    <col min="4105" max="4344" width="9.109375" style="49"/>
    <col min="4345" max="4345" width="12.6640625" style="49" customWidth="1"/>
    <col min="4346" max="4346" width="50.6640625" style="49" customWidth="1"/>
    <col min="4347" max="4360" width="15.6640625" style="49" customWidth="1"/>
    <col min="4361" max="4600" width="9.109375" style="49"/>
    <col min="4601" max="4601" width="12.6640625" style="49" customWidth="1"/>
    <col min="4602" max="4602" width="50.6640625" style="49" customWidth="1"/>
    <col min="4603" max="4616" width="15.6640625" style="49" customWidth="1"/>
    <col min="4617" max="4856" width="9.109375" style="49"/>
    <col min="4857" max="4857" width="12.6640625" style="49" customWidth="1"/>
    <col min="4858" max="4858" width="50.6640625" style="49" customWidth="1"/>
    <col min="4859" max="4872" width="15.6640625" style="49" customWidth="1"/>
    <col min="4873" max="5112" width="9.109375" style="49"/>
    <col min="5113" max="5113" width="12.6640625" style="49" customWidth="1"/>
    <col min="5114" max="5114" width="50.6640625" style="49" customWidth="1"/>
    <col min="5115" max="5128" width="15.6640625" style="49" customWidth="1"/>
    <col min="5129" max="5368" width="9.109375" style="49"/>
    <col min="5369" max="5369" width="12.6640625" style="49" customWidth="1"/>
    <col min="5370" max="5370" width="50.6640625" style="49" customWidth="1"/>
    <col min="5371" max="5384" width="15.6640625" style="49" customWidth="1"/>
    <col min="5385" max="5624" width="9.109375" style="49"/>
    <col min="5625" max="5625" width="12.6640625" style="49" customWidth="1"/>
    <col min="5626" max="5626" width="50.6640625" style="49" customWidth="1"/>
    <col min="5627" max="5640" width="15.6640625" style="49" customWidth="1"/>
    <col min="5641" max="5880" width="9.109375" style="49"/>
    <col min="5881" max="5881" width="12.6640625" style="49" customWidth="1"/>
    <col min="5882" max="5882" width="50.6640625" style="49" customWidth="1"/>
    <col min="5883" max="5896" width="15.6640625" style="49" customWidth="1"/>
    <col min="5897" max="6136" width="9.109375" style="49"/>
    <col min="6137" max="6137" width="12.6640625" style="49" customWidth="1"/>
    <col min="6138" max="6138" width="50.6640625" style="49" customWidth="1"/>
    <col min="6139" max="6152" width="15.6640625" style="49" customWidth="1"/>
    <col min="6153" max="6392" width="9.109375" style="49"/>
    <col min="6393" max="6393" width="12.6640625" style="49" customWidth="1"/>
    <col min="6394" max="6394" width="50.6640625" style="49" customWidth="1"/>
    <col min="6395" max="6408" width="15.6640625" style="49" customWidth="1"/>
    <col min="6409" max="6648" width="9.109375" style="49"/>
    <col min="6649" max="6649" width="12.6640625" style="49" customWidth="1"/>
    <col min="6650" max="6650" width="50.6640625" style="49" customWidth="1"/>
    <col min="6651" max="6664" width="15.6640625" style="49" customWidth="1"/>
    <col min="6665" max="6904" width="9.109375" style="49"/>
    <col min="6905" max="6905" width="12.6640625" style="49" customWidth="1"/>
    <col min="6906" max="6906" width="50.6640625" style="49" customWidth="1"/>
    <col min="6907" max="6920" width="15.6640625" style="49" customWidth="1"/>
    <col min="6921" max="7160" width="9.109375" style="49"/>
    <col min="7161" max="7161" width="12.6640625" style="49" customWidth="1"/>
    <col min="7162" max="7162" width="50.6640625" style="49" customWidth="1"/>
    <col min="7163" max="7176" width="15.6640625" style="49" customWidth="1"/>
    <col min="7177" max="7416" width="9.109375" style="49"/>
    <col min="7417" max="7417" width="12.6640625" style="49" customWidth="1"/>
    <col min="7418" max="7418" width="50.6640625" style="49" customWidth="1"/>
    <col min="7419" max="7432" width="15.6640625" style="49" customWidth="1"/>
    <col min="7433" max="7672" width="9.109375" style="49"/>
    <col min="7673" max="7673" width="12.6640625" style="49" customWidth="1"/>
    <col min="7674" max="7674" width="50.6640625" style="49" customWidth="1"/>
    <col min="7675" max="7688" width="15.6640625" style="49" customWidth="1"/>
    <col min="7689" max="7928" width="9.109375" style="49"/>
    <col min="7929" max="7929" width="12.6640625" style="49" customWidth="1"/>
    <col min="7930" max="7930" width="50.6640625" style="49" customWidth="1"/>
    <col min="7931" max="7944" width="15.6640625" style="49" customWidth="1"/>
    <col min="7945" max="8184" width="9.109375" style="49"/>
    <col min="8185" max="8185" width="12.6640625" style="49" customWidth="1"/>
    <col min="8186" max="8186" width="50.6640625" style="49" customWidth="1"/>
    <col min="8187" max="8200" width="15.6640625" style="49" customWidth="1"/>
    <col min="8201" max="8440" width="9.109375" style="49"/>
    <col min="8441" max="8441" width="12.6640625" style="49" customWidth="1"/>
    <col min="8442" max="8442" width="50.6640625" style="49" customWidth="1"/>
    <col min="8443" max="8456" width="15.6640625" style="49" customWidth="1"/>
    <col min="8457" max="8696" width="9.109375" style="49"/>
    <col min="8697" max="8697" width="12.6640625" style="49" customWidth="1"/>
    <col min="8698" max="8698" width="50.6640625" style="49" customWidth="1"/>
    <col min="8699" max="8712" width="15.6640625" style="49" customWidth="1"/>
    <col min="8713" max="8952" width="9.109375" style="49"/>
    <col min="8953" max="8953" width="12.6640625" style="49" customWidth="1"/>
    <col min="8954" max="8954" width="50.6640625" style="49" customWidth="1"/>
    <col min="8955" max="8968" width="15.6640625" style="49" customWidth="1"/>
    <col min="8969" max="9208" width="9.109375" style="49"/>
    <col min="9209" max="9209" width="12.6640625" style="49" customWidth="1"/>
    <col min="9210" max="9210" width="50.6640625" style="49" customWidth="1"/>
    <col min="9211" max="9224" width="15.6640625" style="49" customWidth="1"/>
    <col min="9225" max="9464" width="9.109375" style="49"/>
    <col min="9465" max="9465" width="12.6640625" style="49" customWidth="1"/>
    <col min="9466" max="9466" width="50.6640625" style="49" customWidth="1"/>
    <col min="9467" max="9480" width="15.6640625" style="49" customWidth="1"/>
    <col min="9481" max="9720" width="9.109375" style="49"/>
    <col min="9721" max="9721" width="12.6640625" style="49" customWidth="1"/>
    <col min="9722" max="9722" width="50.6640625" style="49" customWidth="1"/>
    <col min="9723" max="9736" width="15.6640625" style="49" customWidth="1"/>
    <col min="9737" max="9976" width="9.109375" style="49"/>
    <col min="9977" max="9977" width="12.6640625" style="49" customWidth="1"/>
    <col min="9978" max="9978" width="50.6640625" style="49" customWidth="1"/>
    <col min="9979" max="9992" width="15.6640625" style="49" customWidth="1"/>
    <col min="9993" max="10232" width="9.109375" style="49"/>
    <col min="10233" max="10233" width="12.6640625" style="49" customWidth="1"/>
    <col min="10234" max="10234" width="50.6640625" style="49" customWidth="1"/>
    <col min="10235" max="10248" width="15.6640625" style="49" customWidth="1"/>
    <col min="10249" max="10488" width="9.109375" style="49"/>
    <col min="10489" max="10489" width="12.6640625" style="49" customWidth="1"/>
    <col min="10490" max="10490" width="50.6640625" style="49" customWidth="1"/>
    <col min="10491" max="10504" width="15.6640625" style="49" customWidth="1"/>
    <col min="10505" max="10744" width="9.109375" style="49"/>
    <col min="10745" max="10745" width="12.6640625" style="49" customWidth="1"/>
    <col min="10746" max="10746" width="50.6640625" style="49" customWidth="1"/>
    <col min="10747" max="10760" width="15.6640625" style="49" customWidth="1"/>
    <col min="10761" max="11000" width="9.109375" style="49"/>
    <col min="11001" max="11001" width="12.6640625" style="49" customWidth="1"/>
    <col min="11002" max="11002" width="50.6640625" style="49" customWidth="1"/>
    <col min="11003" max="11016" width="15.6640625" style="49" customWidth="1"/>
    <col min="11017" max="11256" width="9.109375" style="49"/>
    <col min="11257" max="11257" width="12.6640625" style="49" customWidth="1"/>
    <col min="11258" max="11258" width="50.6640625" style="49" customWidth="1"/>
    <col min="11259" max="11272" width="15.6640625" style="49" customWidth="1"/>
    <col min="11273" max="11512" width="9.109375" style="49"/>
    <col min="11513" max="11513" width="12.6640625" style="49" customWidth="1"/>
    <col min="11514" max="11514" width="50.6640625" style="49" customWidth="1"/>
    <col min="11515" max="11528" width="15.6640625" style="49" customWidth="1"/>
    <col min="11529" max="11768" width="9.109375" style="49"/>
    <col min="11769" max="11769" width="12.6640625" style="49" customWidth="1"/>
    <col min="11770" max="11770" width="50.6640625" style="49" customWidth="1"/>
    <col min="11771" max="11784" width="15.6640625" style="49" customWidth="1"/>
    <col min="11785" max="12024" width="9.109375" style="49"/>
    <col min="12025" max="12025" width="12.6640625" style="49" customWidth="1"/>
    <col min="12026" max="12026" width="50.6640625" style="49" customWidth="1"/>
    <col min="12027" max="12040" width="15.6640625" style="49" customWidth="1"/>
    <col min="12041" max="12280" width="9.109375" style="49"/>
    <col min="12281" max="12281" width="12.6640625" style="49" customWidth="1"/>
    <col min="12282" max="12282" width="50.6640625" style="49" customWidth="1"/>
    <col min="12283" max="12296" width="15.6640625" style="49" customWidth="1"/>
    <col min="12297" max="12536" width="9.109375" style="49"/>
    <col min="12537" max="12537" width="12.6640625" style="49" customWidth="1"/>
    <col min="12538" max="12538" width="50.6640625" style="49" customWidth="1"/>
    <col min="12539" max="12552" width="15.6640625" style="49" customWidth="1"/>
    <col min="12553" max="12792" width="9.109375" style="49"/>
    <col min="12793" max="12793" width="12.6640625" style="49" customWidth="1"/>
    <col min="12794" max="12794" width="50.6640625" style="49" customWidth="1"/>
    <col min="12795" max="12808" width="15.6640625" style="49" customWidth="1"/>
    <col min="12809" max="13048" width="9.109375" style="49"/>
    <col min="13049" max="13049" width="12.6640625" style="49" customWidth="1"/>
    <col min="13050" max="13050" width="50.6640625" style="49" customWidth="1"/>
    <col min="13051" max="13064" width="15.6640625" style="49" customWidth="1"/>
    <col min="13065" max="13304" width="9.109375" style="49"/>
    <col min="13305" max="13305" width="12.6640625" style="49" customWidth="1"/>
    <col min="13306" max="13306" width="50.6640625" style="49" customWidth="1"/>
    <col min="13307" max="13320" width="15.6640625" style="49" customWidth="1"/>
    <col min="13321" max="13560" width="9.109375" style="49"/>
    <col min="13561" max="13561" width="12.6640625" style="49" customWidth="1"/>
    <col min="13562" max="13562" width="50.6640625" style="49" customWidth="1"/>
    <col min="13563" max="13576" width="15.6640625" style="49" customWidth="1"/>
    <col min="13577" max="13816" width="9.109375" style="49"/>
    <col min="13817" max="13817" width="12.6640625" style="49" customWidth="1"/>
    <col min="13818" max="13818" width="50.6640625" style="49" customWidth="1"/>
    <col min="13819" max="13832" width="15.6640625" style="49" customWidth="1"/>
    <col min="13833" max="14072" width="9.109375" style="49"/>
    <col min="14073" max="14073" width="12.6640625" style="49" customWidth="1"/>
    <col min="14074" max="14074" width="50.6640625" style="49" customWidth="1"/>
    <col min="14075" max="14088" width="15.6640625" style="49" customWidth="1"/>
    <col min="14089" max="14328" width="9.109375" style="49"/>
    <col min="14329" max="14329" width="12.6640625" style="49" customWidth="1"/>
    <col min="14330" max="14330" width="50.6640625" style="49" customWidth="1"/>
    <col min="14331" max="14344" width="15.6640625" style="49" customWidth="1"/>
    <col min="14345" max="14584" width="9.109375" style="49"/>
    <col min="14585" max="14585" width="12.6640625" style="49" customWidth="1"/>
    <col min="14586" max="14586" width="50.6640625" style="49" customWidth="1"/>
    <col min="14587" max="14600" width="15.6640625" style="49" customWidth="1"/>
    <col min="14601" max="14840" width="9.109375" style="49"/>
    <col min="14841" max="14841" width="12.6640625" style="49" customWidth="1"/>
    <col min="14842" max="14842" width="50.6640625" style="49" customWidth="1"/>
    <col min="14843" max="14856" width="15.6640625" style="49" customWidth="1"/>
    <col min="14857" max="15096" width="9.109375" style="49"/>
    <col min="15097" max="15097" width="12.6640625" style="49" customWidth="1"/>
    <col min="15098" max="15098" width="50.6640625" style="49" customWidth="1"/>
    <col min="15099" max="15112" width="15.6640625" style="49" customWidth="1"/>
    <col min="15113" max="15352" width="9.109375" style="49"/>
    <col min="15353" max="15353" width="12.6640625" style="49" customWidth="1"/>
    <col min="15354" max="15354" width="50.6640625" style="49" customWidth="1"/>
    <col min="15355" max="15368" width="15.6640625" style="49" customWidth="1"/>
    <col min="15369" max="15608" width="9.109375" style="49"/>
    <col min="15609" max="15609" width="12.6640625" style="49" customWidth="1"/>
    <col min="15610" max="15610" width="50.6640625" style="49" customWidth="1"/>
    <col min="15611" max="15624" width="15.6640625" style="49" customWidth="1"/>
    <col min="15625" max="15864" width="9.109375" style="49"/>
    <col min="15865" max="15865" width="12.6640625" style="49" customWidth="1"/>
    <col min="15866" max="15866" width="50.6640625" style="49" customWidth="1"/>
    <col min="15867" max="15880" width="15.6640625" style="49" customWidth="1"/>
    <col min="15881" max="16120" width="9.109375" style="49"/>
    <col min="16121" max="16121" width="12.6640625" style="49" customWidth="1"/>
    <col min="16122" max="16122" width="50.6640625" style="49" customWidth="1"/>
    <col min="16123" max="16136" width="15.6640625" style="49" customWidth="1"/>
    <col min="16137" max="16384" width="9.109375" style="49"/>
  </cols>
  <sheetData>
    <row r="2" spans="1:9" ht="21" customHeight="1" x14ac:dyDescent="0.25">
      <c r="B2" s="89" t="s">
        <v>179</v>
      </c>
      <c r="C2" s="89"/>
      <c r="D2" s="89"/>
      <c r="E2" s="89"/>
      <c r="F2" s="89"/>
      <c r="G2" s="89"/>
      <c r="H2" s="89"/>
    </row>
    <row r="3" spans="1:9" ht="23.25" customHeight="1" x14ac:dyDescent="0.25">
      <c r="B3" s="89" t="s">
        <v>187</v>
      </c>
      <c r="C3" s="89"/>
      <c r="D3" s="89"/>
      <c r="E3" s="89"/>
      <c r="F3" s="89"/>
      <c r="G3" s="89"/>
      <c r="H3" s="89"/>
    </row>
    <row r="4" spans="1:9" ht="21" customHeight="1" x14ac:dyDescent="0.25">
      <c r="B4" s="89" t="s">
        <v>85</v>
      </c>
      <c r="C4" s="89"/>
      <c r="D4" s="89"/>
      <c r="E4" s="89"/>
      <c r="F4" s="89"/>
      <c r="G4" s="89"/>
      <c r="H4" s="89"/>
    </row>
    <row r="5" spans="1:9" ht="13.8" x14ac:dyDescent="0.25">
      <c r="H5" s="57" t="s">
        <v>84</v>
      </c>
    </row>
    <row r="6" spans="1:9" s="52" customFormat="1" ht="69" x14ac:dyDescent="0.25">
      <c r="A6" s="70"/>
      <c r="B6" s="56" t="s">
        <v>118</v>
      </c>
      <c r="C6" s="56" t="s">
        <v>119</v>
      </c>
      <c r="D6" s="56" t="s">
        <v>120</v>
      </c>
      <c r="E6" s="56" t="s">
        <v>121</v>
      </c>
      <c r="F6" s="56" t="s">
        <v>122</v>
      </c>
      <c r="G6" s="56" t="s">
        <v>123</v>
      </c>
      <c r="H6" s="56" t="s">
        <v>178</v>
      </c>
    </row>
    <row r="7" spans="1:9" ht="13.8" x14ac:dyDescent="0.25">
      <c r="A7" s="71"/>
      <c r="B7" s="56">
        <v>1</v>
      </c>
      <c r="C7" s="56">
        <v>2</v>
      </c>
      <c r="D7" s="56">
        <v>3</v>
      </c>
      <c r="E7" s="56">
        <v>4</v>
      </c>
      <c r="F7" s="56">
        <v>5</v>
      </c>
      <c r="G7" s="56">
        <v>6</v>
      </c>
      <c r="H7" s="56">
        <v>7</v>
      </c>
    </row>
    <row r="8" spans="1:9" ht="62.25" customHeight="1" x14ac:dyDescent="0.25">
      <c r="A8" s="72">
        <v>0</v>
      </c>
      <c r="B8" s="58" t="s">
        <v>124</v>
      </c>
      <c r="C8" s="79" t="s">
        <v>125</v>
      </c>
      <c r="D8" s="60">
        <v>244</v>
      </c>
      <c r="E8" s="60">
        <v>94</v>
      </c>
      <c r="F8" s="60">
        <v>1967.6204899999998</v>
      </c>
      <c r="G8" s="60">
        <f t="shared" ref="G8:G24" si="0">E8-F8</f>
        <v>-1873.6204899999998</v>
      </c>
      <c r="H8" s="60">
        <f t="shared" ref="H8:H24" si="1">IF(E8=0,0,(F8/E8)*100)</f>
        <v>2093.2132872340426</v>
      </c>
      <c r="I8" s="53"/>
    </row>
    <row r="9" spans="1:9" ht="51.75" customHeight="1" x14ac:dyDescent="0.25">
      <c r="A9" s="72">
        <v>0</v>
      </c>
      <c r="B9" s="58" t="s">
        <v>136</v>
      </c>
      <c r="C9" s="79" t="s">
        <v>137</v>
      </c>
      <c r="D9" s="60">
        <v>80</v>
      </c>
      <c r="E9" s="60">
        <v>80</v>
      </c>
      <c r="F9" s="60">
        <v>296.99599999999998</v>
      </c>
      <c r="G9" s="60">
        <f t="shared" si="0"/>
        <v>-216.99599999999998</v>
      </c>
      <c r="H9" s="60">
        <f t="shared" si="1"/>
        <v>371.24499999999995</v>
      </c>
      <c r="I9" s="53"/>
    </row>
    <row r="10" spans="1:9" ht="69" x14ac:dyDescent="0.25">
      <c r="A10" s="72">
        <v>0</v>
      </c>
      <c r="B10" s="58" t="s">
        <v>216</v>
      </c>
      <c r="C10" s="79" t="s">
        <v>217</v>
      </c>
      <c r="D10" s="60">
        <v>791.16300000000001</v>
      </c>
      <c r="E10" s="60">
        <v>791.16300000000001</v>
      </c>
      <c r="F10" s="60">
        <v>0</v>
      </c>
      <c r="G10" s="60">
        <f t="shared" si="0"/>
        <v>791.16300000000001</v>
      </c>
      <c r="H10" s="60">
        <f t="shared" si="1"/>
        <v>0</v>
      </c>
      <c r="I10" s="53"/>
    </row>
    <row r="11" spans="1:9" ht="82.8" x14ac:dyDescent="0.25">
      <c r="A11" s="72">
        <v>0</v>
      </c>
      <c r="B11" s="58" t="s">
        <v>218</v>
      </c>
      <c r="C11" s="79" t="s">
        <v>219</v>
      </c>
      <c r="D11" s="60">
        <v>15032.1</v>
      </c>
      <c r="E11" s="60">
        <v>6012.84</v>
      </c>
      <c r="F11" s="60">
        <v>0</v>
      </c>
      <c r="G11" s="60">
        <f t="shared" si="0"/>
        <v>6012.84</v>
      </c>
      <c r="H11" s="60">
        <f t="shared" si="1"/>
        <v>0</v>
      </c>
      <c r="I11" s="53"/>
    </row>
    <row r="12" spans="1:9" ht="41.4" x14ac:dyDescent="0.25">
      <c r="A12" s="72">
        <v>0</v>
      </c>
      <c r="B12" s="58" t="s">
        <v>220</v>
      </c>
      <c r="C12" s="79" t="s">
        <v>221</v>
      </c>
      <c r="D12" s="60">
        <v>1611.9</v>
      </c>
      <c r="E12" s="60">
        <v>1611.9</v>
      </c>
      <c r="F12" s="60">
        <v>0</v>
      </c>
      <c r="G12" s="60">
        <f t="shared" si="0"/>
        <v>1611.9</v>
      </c>
      <c r="H12" s="60">
        <f t="shared" si="1"/>
        <v>0</v>
      </c>
      <c r="I12" s="53"/>
    </row>
    <row r="13" spans="1:9" ht="13.8" x14ac:dyDescent="0.25">
      <c r="A13" s="72">
        <v>0</v>
      </c>
      <c r="B13" s="58" t="s">
        <v>222</v>
      </c>
      <c r="C13" s="79" t="s">
        <v>223</v>
      </c>
      <c r="D13" s="60">
        <v>113.929</v>
      </c>
      <c r="E13" s="60">
        <v>113.929</v>
      </c>
      <c r="F13" s="60">
        <v>41</v>
      </c>
      <c r="G13" s="60">
        <f t="shared" si="0"/>
        <v>72.929000000000002</v>
      </c>
      <c r="H13" s="60">
        <f t="shared" si="1"/>
        <v>35.987325439528128</v>
      </c>
      <c r="I13" s="53"/>
    </row>
    <row r="14" spans="1:9" ht="41.4" x14ac:dyDescent="0.25">
      <c r="A14" s="72">
        <v>0</v>
      </c>
      <c r="B14" s="58" t="s">
        <v>224</v>
      </c>
      <c r="C14" s="79" t="s">
        <v>225</v>
      </c>
      <c r="D14" s="60">
        <v>224</v>
      </c>
      <c r="E14" s="60">
        <v>224</v>
      </c>
      <c r="F14" s="60">
        <v>151.67250000000001</v>
      </c>
      <c r="G14" s="60">
        <f t="shared" si="0"/>
        <v>72.327499999999986</v>
      </c>
      <c r="H14" s="60">
        <f t="shared" si="1"/>
        <v>67.7109375</v>
      </c>
      <c r="I14" s="53"/>
    </row>
    <row r="15" spans="1:9" ht="55.2" x14ac:dyDescent="0.25">
      <c r="A15" s="72">
        <v>0</v>
      </c>
      <c r="B15" s="58" t="s">
        <v>226</v>
      </c>
      <c r="C15" s="79" t="s">
        <v>227</v>
      </c>
      <c r="D15" s="60">
        <v>228.6</v>
      </c>
      <c r="E15" s="60">
        <v>228.6</v>
      </c>
      <c r="F15" s="60">
        <v>39.0015</v>
      </c>
      <c r="G15" s="60">
        <f t="shared" si="0"/>
        <v>189.5985</v>
      </c>
      <c r="H15" s="60">
        <f t="shared" si="1"/>
        <v>17.061023622047244</v>
      </c>
      <c r="I15" s="53"/>
    </row>
    <row r="16" spans="1:9" ht="13.8" x14ac:dyDescent="0.25">
      <c r="A16" s="72">
        <v>0</v>
      </c>
      <c r="B16" s="58" t="s">
        <v>126</v>
      </c>
      <c r="C16" s="79" t="s">
        <v>127</v>
      </c>
      <c r="D16" s="60">
        <v>110</v>
      </c>
      <c r="E16" s="60">
        <v>110</v>
      </c>
      <c r="F16" s="60">
        <v>0</v>
      </c>
      <c r="G16" s="60">
        <f t="shared" si="0"/>
        <v>110</v>
      </c>
      <c r="H16" s="60">
        <f t="shared" si="1"/>
        <v>0</v>
      </c>
      <c r="I16" s="53"/>
    </row>
    <row r="17" spans="1:9" ht="13.8" x14ac:dyDescent="0.25">
      <c r="A17" s="72">
        <v>0</v>
      </c>
      <c r="B17" s="58" t="s">
        <v>128</v>
      </c>
      <c r="C17" s="79"/>
      <c r="D17" s="60">
        <v>0</v>
      </c>
      <c r="E17" s="60">
        <v>0</v>
      </c>
      <c r="F17" s="60">
        <v>1266.1987900000001</v>
      </c>
      <c r="G17" s="60">
        <f t="shared" si="0"/>
        <v>-1266.1987900000001</v>
      </c>
      <c r="H17" s="60">
        <f t="shared" si="1"/>
        <v>0</v>
      </c>
      <c r="I17" s="53"/>
    </row>
    <row r="18" spans="1:9" ht="27.6" x14ac:dyDescent="0.25">
      <c r="A18" s="72">
        <v>0</v>
      </c>
      <c r="B18" s="58" t="s">
        <v>129</v>
      </c>
      <c r="C18" s="79" t="s">
        <v>130</v>
      </c>
      <c r="D18" s="60">
        <v>0</v>
      </c>
      <c r="E18" s="60">
        <v>0</v>
      </c>
      <c r="F18" s="60">
        <v>15</v>
      </c>
      <c r="G18" s="60">
        <f t="shared" si="0"/>
        <v>-15</v>
      </c>
      <c r="H18" s="60">
        <f t="shared" si="1"/>
        <v>0</v>
      </c>
      <c r="I18" s="53"/>
    </row>
    <row r="19" spans="1:9" ht="27.6" x14ac:dyDescent="0.25">
      <c r="A19" s="72">
        <v>0</v>
      </c>
      <c r="B19" s="58" t="s">
        <v>208</v>
      </c>
      <c r="C19" s="79" t="s">
        <v>209</v>
      </c>
      <c r="D19" s="60">
        <v>105</v>
      </c>
      <c r="E19" s="60">
        <v>105</v>
      </c>
      <c r="F19" s="60">
        <v>0</v>
      </c>
      <c r="G19" s="60">
        <f t="shared" si="0"/>
        <v>105</v>
      </c>
      <c r="H19" s="60">
        <f t="shared" si="1"/>
        <v>0</v>
      </c>
      <c r="I19" s="53"/>
    </row>
    <row r="20" spans="1:9" ht="13.8" x14ac:dyDescent="0.25">
      <c r="A20" s="72">
        <v>0</v>
      </c>
      <c r="B20" s="58" t="s">
        <v>131</v>
      </c>
      <c r="C20" s="79" t="s">
        <v>132</v>
      </c>
      <c r="D20" s="60">
        <v>931</v>
      </c>
      <c r="E20" s="60">
        <v>931</v>
      </c>
      <c r="F20" s="60">
        <v>0</v>
      </c>
      <c r="G20" s="60">
        <f t="shared" si="0"/>
        <v>931</v>
      </c>
      <c r="H20" s="60">
        <f t="shared" si="1"/>
        <v>0</v>
      </c>
      <c r="I20" s="53"/>
    </row>
    <row r="21" spans="1:9" ht="27.6" x14ac:dyDescent="0.25">
      <c r="A21" s="72">
        <v>0</v>
      </c>
      <c r="B21" s="58" t="s">
        <v>133</v>
      </c>
      <c r="C21" s="79" t="s">
        <v>228</v>
      </c>
      <c r="D21" s="60">
        <v>41.677</v>
      </c>
      <c r="E21" s="60">
        <v>12.872</v>
      </c>
      <c r="F21" s="60">
        <v>0</v>
      </c>
      <c r="G21" s="60">
        <f t="shared" si="0"/>
        <v>12.872</v>
      </c>
      <c r="H21" s="60">
        <f t="shared" si="1"/>
        <v>0</v>
      </c>
      <c r="I21" s="53"/>
    </row>
    <row r="22" spans="1:9" ht="27.6" x14ac:dyDescent="0.25">
      <c r="A22" s="72">
        <v>0</v>
      </c>
      <c r="B22" s="58" t="s">
        <v>172</v>
      </c>
      <c r="C22" s="79" t="s">
        <v>173</v>
      </c>
      <c r="D22" s="60">
        <v>0</v>
      </c>
      <c r="E22" s="60">
        <v>0</v>
      </c>
      <c r="F22" s="60">
        <v>68.998999999999995</v>
      </c>
      <c r="G22" s="60">
        <f t="shared" si="0"/>
        <v>-68.998999999999995</v>
      </c>
      <c r="H22" s="60">
        <f t="shared" si="1"/>
        <v>0</v>
      </c>
      <c r="I22" s="53"/>
    </row>
    <row r="23" spans="1:9" ht="27.6" x14ac:dyDescent="0.25">
      <c r="A23" s="72">
        <v>0</v>
      </c>
      <c r="B23" s="58" t="s">
        <v>174</v>
      </c>
      <c r="C23" s="79" t="s">
        <v>173</v>
      </c>
      <c r="D23" s="60">
        <v>56.637999999999998</v>
      </c>
      <c r="E23" s="60">
        <v>56.637999999999998</v>
      </c>
      <c r="F23" s="60">
        <v>56.637999999999998</v>
      </c>
      <c r="G23" s="60">
        <f t="shared" si="0"/>
        <v>0</v>
      </c>
      <c r="H23" s="60">
        <f t="shared" si="1"/>
        <v>100</v>
      </c>
      <c r="I23" s="53"/>
    </row>
    <row r="24" spans="1:9" ht="13.8" x14ac:dyDescent="0.25">
      <c r="A24" s="72">
        <v>1</v>
      </c>
      <c r="B24" s="78" t="s">
        <v>134</v>
      </c>
      <c r="C24" s="79" t="s">
        <v>135</v>
      </c>
      <c r="D24" s="60">
        <v>19570.006999999998</v>
      </c>
      <c r="E24" s="60">
        <v>10371.942000000001</v>
      </c>
      <c r="F24" s="60">
        <v>3903.12628</v>
      </c>
      <c r="G24" s="77">
        <f t="shared" si="0"/>
        <v>6468.8157200000005</v>
      </c>
      <c r="H24" s="77">
        <f t="shared" si="1"/>
        <v>37.631586061703779</v>
      </c>
      <c r="I24" s="53"/>
    </row>
    <row r="25" spans="1:9" x14ac:dyDescent="0.25">
      <c r="C25" s="80"/>
      <c r="D25" s="73"/>
      <c r="E25" s="73"/>
      <c r="F25" s="73"/>
      <c r="G25" s="73"/>
      <c r="H25" s="73"/>
    </row>
    <row r="26" spans="1:9" x14ac:dyDescent="0.25">
      <c r="B26" s="54"/>
      <c r="C26" s="55"/>
      <c r="D26" s="53"/>
      <c r="E26" s="53"/>
      <c r="F26" s="53"/>
      <c r="G26" s="53"/>
      <c r="H26" s="53"/>
    </row>
    <row r="34" hidden="1" x14ac:dyDescent="0.25"/>
  </sheetData>
  <mergeCells count="3">
    <mergeCell ref="B3:H3"/>
    <mergeCell ref="B4:H4"/>
    <mergeCell ref="B2:H2"/>
  </mergeCells>
  <conditionalFormatting sqref="B8:B24">
    <cfRule type="expression" dxfId="41" priority="49" stopIfTrue="1">
      <formula>A8=1</formula>
    </cfRule>
    <cfRule type="expression" dxfId="40" priority="50" stopIfTrue="1">
      <formula>A8=2</formula>
    </cfRule>
    <cfRule type="expression" dxfId="39" priority="51" stopIfTrue="1">
      <formula>A8=3</formula>
    </cfRule>
  </conditionalFormatting>
  <conditionalFormatting sqref="C8:C24">
    <cfRule type="expression" dxfId="38" priority="52" stopIfTrue="1">
      <formula>A8=1</formula>
    </cfRule>
    <cfRule type="expression" dxfId="37" priority="53" stopIfTrue="1">
      <formula>A8=2</formula>
    </cfRule>
    <cfRule type="expression" dxfId="36" priority="54" stopIfTrue="1">
      <formula>A8=3</formula>
    </cfRule>
  </conditionalFormatting>
  <conditionalFormatting sqref="D8:D24">
    <cfRule type="expression" dxfId="35" priority="58" stopIfTrue="1">
      <formula>A8=1</formula>
    </cfRule>
    <cfRule type="expression" dxfId="34" priority="59" stopIfTrue="1">
      <formula>A8=2</formula>
    </cfRule>
    <cfRule type="expression" dxfId="33" priority="60" stopIfTrue="1">
      <formula>A8=3</formula>
    </cfRule>
  </conditionalFormatting>
  <conditionalFormatting sqref="E8:E24">
    <cfRule type="expression" dxfId="32" priority="61" stopIfTrue="1">
      <formula>A8=1</formula>
    </cfRule>
    <cfRule type="expression" dxfId="31" priority="62" stopIfTrue="1">
      <formula>A8=2</formula>
    </cfRule>
    <cfRule type="expression" dxfId="30" priority="63" stopIfTrue="1">
      <formula>A8=3</formula>
    </cfRule>
  </conditionalFormatting>
  <conditionalFormatting sqref="F8:F24">
    <cfRule type="expression" dxfId="29" priority="70" stopIfTrue="1">
      <formula>A8=1</formula>
    </cfRule>
    <cfRule type="expression" dxfId="28" priority="71" stopIfTrue="1">
      <formula>A8=2</formula>
    </cfRule>
    <cfRule type="expression" dxfId="27" priority="72" stopIfTrue="1">
      <formula>A8=3</formula>
    </cfRule>
  </conditionalFormatting>
  <conditionalFormatting sqref="G8:G24">
    <cfRule type="expression" dxfId="26" priority="91" stopIfTrue="1">
      <formula>A8=1</formula>
    </cfRule>
    <cfRule type="expression" dxfId="25" priority="92" stopIfTrue="1">
      <formula>A8=2</formula>
    </cfRule>
    <cfRule type="expression" dxfId="24" priority="93" stopIfTrue="1">
      <formula>A8=3</formula>
    </cfRule>
  </conditionalFormatting>
  <conditionalFormatting sqref="H8:H24">
    <cfRule type="expression" dxfId="23" priority="94" stopIfTrue="1">
      <formula>A8=1</formula>
    </cfRule>
    <cfRule type="expression" dxfId="22" priority="95" stopIfTrue="1">
      <formula>A8=2</formula>
    </cfRule>
    <cfRule type="expression" dxfId="21" priority="96" stopIfTrue="1">
      <formula>A8=3</formula>
    </cfRule>
  </conditionalFormatting>
  <conditionalFormatting sqref="B26:B35">
    <cfRule type="expression" dxfId="20" priority="1" stopIfTrue="1">
      <formula>A26=1</formula>
    </cfRule>
    <cfRule type="expression" dxfId="19" priority="2" stopIfTrue="1">
      <formula>A26=2</formula>
    </cfRule>
    <cfRule type="expression" dxfId="18" priority="3" stopIfTrue="1">
      <formula>A26=3</formula>
    </cfRule>
  </conditionalFormatting>
  <conditionalFormatting sqref="C26:C35">
    <cfRule type="expression" dxfId="17" priority="4" stopIfTrue="1">
      <formula>A26=1</formula>
    </cfRule>
    <cfRule type="expression" dxfId="16" priority="5" stopIfTrue="1">
      <formula>A26=2</formula>
    </cfRule>
    <cfRule type="expression" dxfId="15" priority="6" stopIfTrue="1">
      <formula>A26=3</formula>
    </cfRule>
  </conditionalFormatting>
  <conditionalFormatting sqref="D26:D35">
    <cfRule type="expression" dxfId="14" priority="10" stopIfTrue="1">
      <formula>A26=1</formula>
    </cfRule>
    <cfRule type="expression" dxfId="13" priority="11" stopIfTrue="1">
      <formula>A26=2</formula>
    </cfRule>
    <cfRule type="expression" dxfId="12" priority="12" stopIfTrue="1">
      <formula>A26=3</formula>
    </cfRule>
  </conditionalFormatting>
  <conditionalFormatting sqref="E26:E35">
    <cfRule type="expression" dxfId="11" priority="13" stopIfTrue="1">
      <formula>A26=1</formula>
    </cfRule>
    <cfRule type="expression" dxfId="10" priority="14" stopIfTrue="1">
      <formula>A26=2</formula>
    </cfRule>
    <cfRule type="expression" dxfId="9" priority="15" stopIfTrue="1">
      <formula>A26=3</formula>
    </cfRule>
  </conditionalFormatting>
  <conditionalFormatting sqref="F26:F35">
    <cfRule type="expression" dxfId="8" priority="22" stopIfTrue="1">
      <formula>A26=1</formula>
    </cfRule>
    <cfRule type="expression" dxfId="7" priority="23" stopIfTrue="1">
      <formula>A26=2</formula>
    </cfRule>
    <cfRule type="expression" dxfId="6" priority="24" stopIfTrue="1">
      <formula>A26=3</formula>
    </cfRule>
  </conditionalFormatting>
  <conditionalFormatting sqref="G26:G35">
    <cfRule type="expression" dxfId="5" priority="43" stopIfTrue="1">
      <formula>A26=1</formula>
    </cfRule>
    <cfRule type="expression" dxfId="4" priority="44" stopIfTrue="1">
      <formula>A26=2</formula>
    </cfRule>
    <cfRule type="expression" dxfId="3" priority="45" stopIfTrue="1">
      <formula>A26=3</formula>
    </cfRule>
  </conditionalFormatting>
  <conditionalFormatting sqref="H26:H35">
    <cfRule type="expression" dxfId="2" priority="46" stopIfTrue="1">
      <formula>A26=1</formula>
    </cfRule>
    <cfRule type="expression" dxfId="1" priority="47" stopIfTrue="1">
      <formula>A26=2</formula>
    </cfRule>
    <cfRule type="expression" dxfId="0" priority="48" stopIfTrue="1">
      <formula>A26=3</formula>
    </cfRule>
  </conditionalFormatting>
  <pageMargins left="0.32" right="0.33" top="0.39370078740157499" bottom="0.39370078740157499" header="0" footer="0"/>
  <pageSetup paperSize="9" scale="68" fitToHeight="50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1BF8-E0F5-48CA-B1B3-CB9288A80106}">
  <dimension ref="A2:J36"/>
  <sheetViews>
    <sheetView topLeftCell="A19" workbookViewId="0">
      <selection activeCell="C26" sqref="C26"/>
    </sheetView>
  </sheetViews>
  <sheetFormatPr defaultColWidth="9.109375" defaultRowHeight="13.8" x14ac:dyDescent="0.3"/>
  <cols>
    <col min="1" max="1" width="0.109375" style="14" customWidth="1"/>
    <col min="2" max="2" width="11.5546875" style="38" customWidth="1"/>
    <col min="3" max="3" width="54.88671875" style="14" customWidth="1"/>
    <col min="4" max="4" width="16.109375" style="38" customWidth="1"/>
    <col min="5" max="5" width="16.5546875" style="38" customWidth="1"/>
    <col min="6" max="6" width="14.5546875" style="38" customWidth="1"/>
    <col min="7" max="7" width="14.6640625" style="38" customWidth="1"/>
    <col min="8" max="8" width="7.44140625" style="14" customWidth="1"/>
    <col min="9" max="16384" width="9.109375" style="14"/>
  </cols>
  <sheetData>
    <row r="2" spans="1:10" ht="15.6" x14ac:dyDescent="0.3">
      <c r="A2" s="12"/>
      <c r="B2" s="90" t="s">
        <v>86</v>
      </c>
      <c r="C2" s="90"/>
      <c r="D2" s="90"/>
      <c r="E2" s="90"/>
      <c r="F2" s="90"/>
      <c r="G2" s="90"/>
      <c r="H2" s="13"/>
      <c r="I2" s="13"/>
      <c r="J2" s="13"/>
    </row>
    <row r="3" spans="1:10" ht="15.6" x14ac:dyDescent="0.3">
      <c r="A3" s="12"/>
      <c r="B3" s="90" t="s">
        <v>87</v>
      </c>
      <c r="C3" s="90"/>
      <c r="D3" s="90"/>
      <c r="E3" s="90"/>
      <c r="F3" s="90"/>
      <c r="G3" s="90"/>
      <c r="H3" s="13"/>
      <c r="I3" s="13"/>
      <c r="J3" s="13"/>
    </row>
    <row r="4" spans="1:10" ht="15.6" x14ac:dyDescent="0.3">
      <c r="A4" s="15"/>
      <c r="B4" s="16"/>
      <c r="C4" s="15"/>
      <c r="D4" s="16"/>
      <c r="E4" s="17"/>
      <c r="F4" s="16"/>
      <c r="G4" s="17" t="s">
        <v>1</v>
      </c>
    </row>
    <row r="5" spans="1:10" ht="68.25" customHeight="1" x14ac:dyDescent="0.3">
      <c r="A5" s="18"/>
      <c r="B5" s="19" t="s">
        <v>2</v>
      </c>
      <c r="C5" s="19" t="s">
        <v>3</v>
      </c>
      <c r="D5" s="20" t="s">
        <v>88</v>
      </c>
      <c r="E5" s="20" t="s">
        <v>180</v>
      </c>
      <c r="F5" s="20" t="s">
        <v>89</v>
      </c>
      <c r="G5" s="20" t="s">
        <v>62</v>
      </c>
    </row>
    <row r="6" spans="1:10" ht="14.4" x14ac:dyDescent="0.3">
      <c r="A6" s="18"/>
      <c r="B6" s="21">
        <v>10000000</v>
      </c>
      <c r="C6" s="22" t="s">
        <v>90</v>
      </c>
      <c r="D6" s="23">
        <f>D7+D11+D12+D10</f>
        <v>30016.999999999996</v>
      </c>
      <c r="E6" s="23">
        <f>E7+E11+E12+E10</f>
        <v>35187.449999999997</v>
      </c>
      <c r="F6" s="23">
        <f t="shared" ref="F6:F34" si="0">E6-D6</f>
        <v>5170.4500000000007</v>
      </c>
      <c r="G6" s="23">
        <f t="shared" ref="G6:G34" si="1">IF(D6=0,0,E6/D6*100)</f>
        <v>117.22507245893993</v>
      </c>
      <c r="H6" s="24"/>
    </row>
    <row r="7" spans="1:10" ht="28.2" x14ac:dyDescent="0.3">
      <c r="A7" s="18"/>
      <c r="B7" s="25">
        <v>11000000</v>
      </c>
      <c r="C7" s="26" t="s">
        <v>91</v>
      </c>
      <c r="D7" s="27">
        <f>D8+D9</f>
        <v>11539.599999999999</v>
      </c>
      <c r="E7" s="27">
        <f>E8+E9</f>
        <v>13626.179999999998</v>
      </c>
      <c r="F7" s="28">
        <f t="shared" si="0"/>
        <v>2086.58</v>
      </c>
      <c r="G7" s="28">
        <f t="shared" si="1"/>
        <v>118.0819092516205</v>
      </c>
      <c r="H7" s="24"/>
    </row>
    <row r="8" spans="1:10" ht="14.4" x14ac:dyDescent="0.3">
      <c r="A8" s="18"/>
      <c r="B8" s="29">
        <v>11010000</v>
      </c>
      <c r="C8" s="30" t="s">
        <v>10</v>
      </c>
      <c r="D8" s="31">
        <v>11226.8</v>
      </c>
      <c r="E8" s="31">
        <v>13462.46</v>
      </c>
      <c r="F8" s="32">
        <f t="shared" si="0"/>
        <v>2235.66</v>
      </c>
      <c r="G8" s="32">
        <f t="shared" si="1"/>
        <v>119.91359960095487</v>
      </c>
    </row>
    <row r="9" spans="1:10" s="33" customFormat="1" ht="14.4" x14ac:dyDescent="0.3">
      <c r="A9" s="18"/>
      <c r="B9" s="29">
        <v>11020000</v>
      </c>
      <c r="C9" s="30" t="s">
        <v>92</v>
      </c>
      <c r="D9" s="31">
        <v>312.8</v>
      </c>
      <c r="E9" s="31">
        <v>163.72</v>
      </c>
      <c r="F9" s="32">
        <f t="shared" si="0"/>
        <v>-149.08000000000001</v>
      </c>
      <c r="G9" s="32">
        <f t="shared" si="1"/>
        <v>52.340153452685421</v>
      </c>
    </row>
    <row r="10" spans="1:10" s="33" customFormat="1" ht="34.5" customHeight="1" x14ac:dyDescent="0.3">
      <c r="A10" s="18"/>
      <c r="B10" s="25">
        <v>13000000</v>
      </c>
      <c r="C10" s="26" t="s">
        <v>16</v>
      </c>
      <c r="D10" s="27">
        <v>0.3</v>
      </c>
      <c r="E10" s="27">
        <v>0.42</v>
      </c>
      <c r="F10" s="28">
        <f t="shared" si="0"/>
        <v>0.12</v>
      </c>
      <c r="G10" s="28">
        <f t="shared" si="1"/>
        <v>140</v>
      </c>
    </row>
    <row r="11" spans="1:10" s="33" customFormat="1" ht="28.2" x14ac:dyDescent="0.3">
      <c r="A11" s="18"/>
      <c r="B11" s="25">
        <v>14000000</v>
      </c>
      <c r="C11" s="26" t="s">
        <v>93</v>
      </c>
      <c r="D11" s="27">
        <v>4306.6000000000004</v>
      </c>
      <c r="E11" s="27">
        <v>6563.43</v>
      </c>
      <c r="F11" s="28">
        <f t="shared" si="0"/>
        <v>2256.83</v>
      </c>
      <c r="G11" s="28">
        <f t="shared" si="1"/>
        <v>152.40398458180465</v>
      </c>
    </row>
    <row r="12" spans="1:10" ht="45.75" customHeight="1" x14ac:dyDescent="0.3">
      <c r="A12" s="18"/>
      <c r="B12" s="34">
        <v>18000000</v>
      </c>
      <c r="C12" s="35" t="s">
        <v>25</v>
      </c>
      <c r="D12" s="27">
        <f t="shared" ref="D12" si="2">D13+D14</f>
        <v>14170.5</v>
      </c>
      <c r="E12" s="27">
        <f t="shared" ref="E12:F12" si="3">E13+E14</f>
        <v>14997.419999999998</v>
      </c>
      <c r="F12" s="27">
        <f t="shared" si="3"/>
        <v>826.91999999999962</v>
      </c>
      <c r="G12" s="27">
        <f t="shared" si="1"/>
        <v>105.83550333439187</v>
      </c>
    </row>
    <row r="13" spans="1:10" ht="18" customHeight="1" x14ac:dyDescent="0.3">
      <c r="A13" s="18"/>
      <c r="B13" s="29">
        <v>18010000</v>
      </c>
      <c r="C13" s="30" t="s">
        <v>26</v>
      </c>
      <c r="D13" s="31">
        <v>3169.1</v>
      </c>
      <c r="E13" s="31">
        <v>4590.78</v>
      </c>
      <c r="F13" s="32">
        <f>E13-D13</f>
        <v>1421.6799999999998</v>
      </c>
      <c r="G13" s="32">
        <f t="shared" si="1"/>
        <v>144.86068599917959</v>
      </c>
    </row>
    <row r="14" spans="1:10" ht="14.4" x14ac:dyDescent="0.3">
      <c r="A14" s="18"/>
      <c r="B14" s="29">
        <v>18050000</v>
      </c>
      <c r="C14" s="30" t="s">
        <v>94</v>
      </c>
      <c r="D14" s="31">
        <v>11001.4</v>
      </c>
      <c r="E14" s="31">
        <v>10406.64</v>
      </c>
      <c r="F14" s="32">
        <f>E14-D14</f>
        <v>-594.76000000000022</v>
      </c>
      <c r="G14" s="32">
        <f t="shared" si="1"/>
        <v>94.593778973585174</v>
      </c>
    </row>
    <row r="15" spans="1:10" ht="13.5" customHeight="1" x14ac:dyDescent="0.3">
      <c r="A15" s="18"/>
      <c r="B15" s="21">
        <v>20000000</v>
      </c>
      <c r="C15" s="22" t="s">
        <v>95</v>
      </c>
      <c r="D15" s="23">
        <f t="shared" ref="D15" si="4">D20+D16+D17+D18+D19</f>
        <v>943.80000000000007</v>
      </c>
      <c r="E15" s="23">
        <f t="shared" ref="E15:F15" si="5">E20+E16+E17+E18+E19</f>
        <v>1701.53</v>
      </c>
      <c r="F15" s="23">
        <f t="shared" si="5"/>
        <v>757.73000000000025</v>
      </c>
      <c r="G15" s="23">
        <f t="shared" si="1"/>
        <v>180.28501801229072</v>
      </c>
      <c r="H15" s="24"/>
    </row>
    <row r="16" spans="1:10" ht="87.75" customHeight="1" x14ac:dyDescent="0.3">
      <c r="A16" s="18"/>
      <c r="B16" s="25">
        <v>21010000</v>
      </c>
      <c r="C16" s="26" t="s">
        <v>96</v>
      </c>
      <c r="D16" s="27">
        <v>0</v>
      </c>
      <c r="E16" s="27">
        <v>0</v>
      </c>
      <c r="F16" s="28">
        <f t="shared" si="0"/>
        <v>0</v>
      </c>
      <c r="G16" s="28">
        <f t="shared" si="1"/>
        <v>0</v>
      </c>
    </row>
    <row r="17" spans="1:7" ht="17.25" customHeight="1" x14ac:dyDescent="0.3">
      <c r="A17" s="18"/>
      <c r="B17" s="25">
        <v>21080000</v>
      </c>
      <c r="C17" s="26" t="s">
        <v>97</v>
      </c>
      <c r="D17" s="27">
        <v>206.7</v>
      </c>
      <c r="E17" s="27">
        <v>186.86</v>
      </c>
      <c r="F17" s="28">
        <f t="shared" si="0"/>
        <v>-19.839999999999975</v>
      </c>
      <c r="G17" s="28">
        <f t="shared" si="1"/>
        <v>90.401548137397199</v>
      </c>
    </row>
    <row r="18" spans="1:7" ht="21.75" customHeight="1" x14ac:dyDescent="0.3">
      <c r="A18" s="18"/>
      <c r="B18" s="25">
        <v>22010000</v>
      </c>
      <c r="C18" s="26" t="s">
        <v>47</v>
      </c>
      <c r="D18" s="27">
        <v>508.7</v>
      </c>
      <c r="E18" s="27">
        <v>412.11</v>
      </c>
      <c r="F18" s="28">
        <f t="shared" si="0"/>
        <v>-96.589999999999975</v>
      </c>
      <c r="G18" s="28">
        <f t="shared" si="1"/>
        <v>81.012384509534101</v>
      </c>
    </row>
    <row r="19" spans="1:7" ht="16.5" customHeight="1" x14ac:dyDescent="0.3">
      <c r="A19" s="18"/>
      <c r="B19" s="25">
        <v>22090000</v>
      </c>
      <c r="C19" s="26" t="s">
        <v>98</v>
      </c>
      <c r="D19" s="27">
        <v>6.6</v>
      </c>
      <c r="E19" s="27">
        <v>9.61</v>
      </c>
      <c r="F19" s="28">
        <f t="shared" si="0"/>
        <v>3.01</v>
      </c>
      <c r="G19" s="28">
        <f t="shared" si="1"/>
        <v>145.60606060606059</v>
      </c>
    </row>
    <row r="20" spans="1:7" ht="15" customHeight="1" x14ac:dyDescent="0.3">
      <c r="A20" s="18"/>
      <c r="B20" s="25">
        <v>24060000</v>
      </c>
      <c r="C20" s="26" t="s">
        <v>97</v>
      </c>
      <c r="D20" s="27">
        <v>221.8</v>
      </c>
      <c r="E20" s="27">
        <v>1092.95</v>
      </c>
      <c r="F20" s="28">
        <f t="shared" si="0"/>
        <v>871.15000000000009</v>
      </c>
      <c r="G20" s="28">
        <f t="shared" si="1"/>
        <v>492.76375112714152</v>
      </c>
    </row>
    <row r="21" spans="1:7" ht="15" customHeight="1" x14ac:dyDescent="0.3">
      <c r="A21" s="18"/>
      <c r="B21" s="25">
        <v>30000000</v>
      </c>
      <c r="C21" s="26" t="s">
        <v>79</v>
      </c>
      <c r="D21" s="27">
        <v>0</v>
      </c>
      <c r="E21" s="27">
        <v>0</v>
      </c>
      <c r="F21" s="28">
        <f t="shared" si="0"/>
        <v>0</v>
      </c>
      <c r="G21" s="28">
        <f t="shared" si="1"/>
        <v>0</v>
      </c>
    </row>
    <row r="22" spans="1:7" ht="14.4" x14ac:dyDescent="0.3">
      <c r="A22" s="18"/>
      <c r="B22" s="21">
        <v>40000000</v>
      </c>
      <c r="C22" s="22" t="s">
        <v>99</v>
      </c>
      <c r="D22" s="23">
        <f>SUM(D23:D32)</f>
        <v>11869.099999999999</v>
      </c>
      <c r="E22" s="23">
        <f>SUM(E23:E32)</f>
        <v>23652.590000000004</v>
      </c>
      <c r="F22" s="23">
        <f t="shared" si="0"/>
        <v>11783.490000000005</v>
      </c>
      <c r="G22" s="23">
        <f t="shared" si="1"/>
        <v>199.27871531961148</v>
      </c>
    </row>
    <row r="23" spans="1:7" ht="14.4" x14ac:dyDescent="0.3">
      <c r="A23" s="18"/>
      <c r="B23" s="29">
        <v>41020100</v>
      </c>
      <c r="C23" s="30" t="s">
        <v>56</v>
      </c>
      <c r="D23" s="31">
        <v>1830.3</v>
      </c>
      <c r="E23" s="31">
        <v>4408.5</v>
      </c>
      <c r="F23" s="32">
        <f t="shared" si="0"/>
        <v>2578.1999999999998</v>
      </c>
      <c r="G23" s="32">
        <f t="shared" si="1"/>
        <v>240.86215374528766</v>
      </c>
    </row>
    <row r="24" spans="1:7" ht="30.75" hidden="1" customHeight="1" x14ac:dyDescent="0.3">
      <c r="A24" s="18"/>
      <c r="B24" s="29">
        <v>41033200</v>
      </c>
      <c r="C24" s="30" t="s">
        <v>100</v>
      </c>
      <c r="D24" s="31"/>
      <c r="E24" s="31"/>
      <c r="F24" s="32">
        <f t="shared" si="0"/>
        <v>0</v>
      </c>
      <c r="G24" s="32">
        <f t="shared" si="1"/>
        <v>0</v>
      </c>
    </row>
    <row r="25" spans="1:7" ht="81.75" customHeight="1" x14ac:dyDescent="0.3">
      <c r="A25" s="18"/>
      <c r="B25" s="36">
        <v>41021400</v>
      </c>
      <c r="C25" s="30" t="s">
        <v>101</v>
      </c>
      <c r="D25" s="31">
        <v>0</v>
      </c>
      <c r="E25" s="31">
        <v>1249.5</v>
      </c>
      <c r="F25" s="32">
        <f t="shared" si="0"/>
        <v>1249.5</v>
      </c>
      <c r="G25" s="32">
        <f t="shared" si="1"/>
        <v>0</v>
      </c>
    </row>
    <row r="26" spans="1:7" ht="90" customHeight="1" x14ac:dyDescent="0.3">
      <c r="A26" s="18"/>
      <c r="B26" s="36">
        <v>41032800</v>
      </c>
      <c r="C26" s="7" t="s">
        <v>185</v>
      </c>
      <c r="D26" s="31">
        <v>0</v>
      </c>
      <c r="E26" s="31">
        <v>6012.84</v>
      </c>
      <c r="F26" s="32">
        <f t="shared" ref="F26" si="6">E26-D26</f>
        <v>6012.84</v>
      </c>
      <c r="G26" s="32">
        <f t="shared" ref="G26" si="7">IF(D26=0,0,E26/D26*100)</f>
        <v>0</v>
      </c>
    </row>
    <row r="27" spans="1:7" ht="31.5" customHeight="1" x14ac:dyDescent="0.3">
      <c r="A27" s="18"/>
      <c r="B27" s="29">
        <v>41033900</v>
      </c>
      <c r="C27" s="30" t="s">
        <v>58</v>
      </c>
      <c r="D27" s="31">
        <v>10038.799999999999</v>
      </c>
      <c r="E27" s="31">
        <v>10862.1</v>
      </c>
      <c r="F27" s="32">
        <f t="shared" si="0"/>
        <v>823.30000000000109</v>
      </c>
      <c r="G27" s="32">
        <f t="shared" si="1"/>
        <v>108.20117942383554</v>
      </c>
    </row>
    <row r="28" spans="1:7" ht="43.5" customHeight="1" x14ac:dyDescent="0.3">
      <c r="A28" s="18"/>
      <c r="B28" s="29">
        <v>41035400</v>
      </c>
      <c r="C28" s="7" t="s">
        <v>184</v>
      </c>
      <c r="D28" s="31">
        <v>0</v>
      </c>
      <c r="E28" s="31">
        <v>61.5</v>
      </c>
      <c r="F28" s="32">
        <f t="shared" ref="F28" si="8">E28-D28</f>
        <v>61.5</v>
      </c>
      <c r="G28" s="32">
        <f t="shared" ref="G28" si="9">IF(D28=0,0,E28/D28*100)</f>
        <v>0</v>
      </c>
    </row>
    <row r="29" spans="1:7" ht="44.25" customHeight="1" x14ac:dyDescent="0.3">
      <c r="A29" s="18"/>
      <c r="B29" s="29">
        <v>41036300</v>
      </c>
      <c r="C29" s="7" t="s">
        <v>183</v>
      </c>
      <c r="D29" s="31">
        <v>0</v>
      </c>
      <c r="E29" s="31">
        <v>966</v>
      </c>
      <c r="F29" s="32">
        <f t="shared" ref="F29" si="10">E29-D29</f>
        <v>966</v>
      </c>
      <c r="G29" s="32">
        <f t="shared" ref="G29" si="11">IF(D29=0,0,E29/D29*100)</f>
        <v>0</v>
      </c>
    </row>
    <row r="30" spans="1:7" ht="48.75" hidden="1" customHeight="1" x14ac:dyDescent="0.3">
      <c r="A30" s="18"/>
      <c r="B30" s="29">
        <v>41051200</v>
      </c>
      <c r="C30" s="30" t="s">
        <v>102</v>
      </c>
      <c r="D30" s="31">
        <v>0</v>
      </c>
      <c r="E30" s="31">
        <v>0</v>
      </c>
      <c r="F30" s="32">
        <f t="shared" si="0"/>
        <v>0</v>
      </c>
      <c r="G30" s="32">
        <f t="shared" si="1"/>
        <v>0</v>
      </c>
    </row>
    <row r="31" spans="1:7" ht="21" hidden="1" customHeight="1" x14ac:dyDescent="0.3">
      <c r="A31" s="18"/>
      <c r="B31" s="29">
        <v>41053900</v>
      </c>
      <c r="C31" s="30" t="s">
        <v>82</v>
      </c>
      <c r="D31" s="32">
        <v>0</v>
      </c>
      <c r="E31" s="32">
        <v>0</v>
      </c>
      <c r="F31" s="32">
        <f t="shared" ref="F31" si="12">E31-D31</f>
        <v>0</v>
      </c>
      <c r="G31" s="32">
        <f t="shared" ref="G31" si="13">IF(D31=0,0,E31/D31*100)</f>
        <v>0</v>
      </c>
    </row>
    <row r="32" spans="1:7" ht="90.75" customHeight="1" x14ac:dyDescent="0.3">
      <c r="A32" s="18"/>
      <c r="B32" s="36">
        <v>41059300</v>
      </c>
      <c r="C32" s="7" t="s">
        <v>182</v>
      </c>
      <c r="D32" s="32">
        <v>0</v>
      </c>
      <c r="E32" s="32">
        <v>92.15</v>
      </c>
      <c r="F32" s="32">
        <f t="shared" si="0"/>
        <v>92.15</v>
      </c>
      <c r="G32" s="32">
        <f t="shared" si="1"/>
        <v>0</v>
      </c>
    </row>
    <row r="33" spans="1:7" ht="14.4" x14ac:dyDescent="0.3">
      <c r="A33" s="91" t="s">
        <v>103</v>
      </c>
      <c r="B33" s="92"/>
      <c r="C33" s="92"/>
      <c r="D33" s="37">
        <f>D6+D15</f>
        <v>30960.799999999996</v>
      </c>
      <c r="E33" s="37">
        <f>E6+E15</f>
        <v>36888.979999999996</v>
      </c>
      <c r="F33" s="37">
        <f t="shared" si="0"/>
        <v>5928.18</v>
      </c>
      <c r="G33" s="37">
        <f t="shared" si="1"/>
        <v>119.14737345288235</v>
      </c>
    </row>
    <row r="34" spans="1:7" ht="14.4" x14ac:dyDescent="0.3">
      <c r="A34" s="91" t="s">
        <v>59</v>
      </c>
      <c r="B34" s="92"/>
      <c r="C34" s="92"/>
      <c r="D34" s="37">
        <f>D33+D22</f>
        <v>42829.899999999994</v>
      </c>
      <c r="E34" s="37">
        <f>E33+E22</f>
        <v>60541.57</v>
      </c>
      <c r="F34" s="37">
        <f t="shared" si="0"/>
        <v>17711.670000000006</v>
      </c>
      <c r="G34" s="37">
        <f t="shared" si="1"/>
        <v>141.35351705233964</v>
      </c>
    </row>
    <row r="36" spans="1:7" x14ac:dyDescent="0.3">
      <c r="D36" s="39"/>
    </row>
  </sheetData>
  <mergeCells count="4">
    <mergeCell ref="B2:G2"/>
    <mergeCell ref="B3:G3"/>
    <mergeCell ref="A33:C33"/>
    <mergeCell ref="A34:C34"/>
  </mergeCells>
  <pageMargins left="0.98425196850393704" right="0.19685039370078741" top="0.39370078740157483" bottom="0.39370078740157483" header="0" footer="0"/>
  <pageSetup paperSize="9" scale="70" fitToHeight="50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D217-1988-4425-9A99-172D75048D5D}">
  <dimension ref="A2:J27"/>
  <sheetViews>
    <sheetView topLeftCell="A10" workbookViewId="0">
      <selection activeCell="E24" sqref="E24"/>
    </sheetView>
  </sheetViews>
  <sheetFormatPr defaultColWidth="9.109375" defaultRowHeight="13.8" x14ac:dyDescent="0.3"/>
  <cols>
    <col min="1" max="1" width="0.109375" style="14" customWidth="1"/>
    <col min="2" max="2" width="10.44140625" style="38" customWidth="1"/>
    <col min="3" max="3" width="49.109375" style="14" customWidth="1"/>
    <col min="4" max="4" width="17.5546875" style="38" customWidth="1"/>
    <col min="5" max="5" width="16.5546875" style="38" customWidth="1"/>
    <col min="6" max="6" width="13.6640625" style="38" customWidth="1"/>
    <col min="7" max="7" width="13.88671875" style="38" customWidth="1"/>
    <col min="8" max="16384" width="9.109375" style="14"/>
  </cols>
  <sheetData>
    <row r="2" spans="1:10" ht="15.6" x14ac:dyDescent="0.3">
      <c r="A2" s="15" t="s">
        <v>0</v>
      </c>
      <c r="B2" s="90" t="s">
        <v>86</v>
      </c>
      <c r="C2" s="90"/>
      <c r="D2" s="90"/>
      <c r="E2" s="90"/>
      <c r="F2" s="90"/>
      <c r="G2" s="90"/>
    </row>
    <row r="3" spans="1:10" ht="15.6" x14ac:dyDescent="0.3">
      <c r="A3" s="12" t="s">
        <v>105</v>
      </c>
      <c r="B3" s="90" t="s">
        <v>104</v>
      </c>
      <c r="C3" s="90"/>
      <c r="D3" s="90"/>
      <c r="E3" s="90"/>
      <c r="F3" s="90"/>
      <c r="G3" s="90"/>
      <c r="H3" s="13"/>
      <c r="I3" s="13"/>
      <c r="J3" s="13"/>
    </row>
    <row r="4" spans="1:10" x14ac:dyDescent="0.3">
      <c r="A4" s="15"/>
      <c r="B4" s="16"/>
      <c r="C4" s="15"/>
      <c r="D4" s="16"/>
      <c r="E4" s="16"/>
      <c r="F4" s="16"/>
      <c r="G4" s="16" t="s">
        <v>1</v>
      </c>
    </row>
    <row r="5" spans="1:10" ht="49.5" customHeight="1" x14ac:dyDescent="0.3">
      <c r="A5" s="40"/>
      <c r="B5" s="19" t="s">
        <v>2</v>
      </c>
      <c r="C5" s="19" t="s">
        <v>3</v>
      </c>
      <c r="D5" s="20" t="s">
        <v>106</v>
      </c>
      <c r="E5" s="20" t="s">
        <v>181</v>
      </c>
      <c r="F5" s="20" t="s">
        <v>89</v>
      </c>
      <c r="G5" s="20" t="s">
        <v>62</v>
      </c>
    </row>
    <row r="6" spans="1:10" ht="19.5" customHeight="1" x14ac:dyDescent="0.3">
      <c r="A6" s="18"/>
      <c r="B6" s="41">
        <v>10000000</v>
      </c>
      <c r="C6" s="42" t="s">
        <v>90</v>
      </c>
      <c r="D6" s="43">
        <f>D7</f>
        <v>9.9</v>
      </c>
      <c r="E6" s="43">
        <f>E7</f>
        <v>10.01</v>
      </c>
      <c r="F6" s="43">
        <f t="shared" ref="F6:F27" si="0">E6-D6</f>
        <v>0.10999999999999943</v>
      </c>
      <c r="G6" s="43">
        <f t="shared" ref="G6:G27" si="1">IF(D6=0,0,E6/D6*100)</f>
        <v>101.11111111111111</v>
      </c>
    </row>
    <row r="7" spans="1:10" ht="18.75" customHeight="1" x14ac:dyDescent="0.3">
      <c r="A7" s="18"/>
      <c r="B7" s="25">
        <v>19000000</v>
      </c>
      <c r="C7" s="26" t="s">
        <v>107</v>
      </c>
      <c r="D7" s="28">
        <f>D8</f>
        <v>9.9</v>
      </c>
      <c r="E7" s="28">
        <f>E8</f>
        <v>10.01</v>
      </c>
      <c r="F7" s="28">
        <f t="shared" si="0"/>
        <v>0.10999999999999943</v>
      </c>
      <c r="G7" s="28">
        <f t="shared" si="1"/>
        <v>101.11111111111111</v>
      </c>
    </row>
    <row r="8" spans="1:10" s="45" customFormat="1" ht="18.75" customHeight="1" x14ac:dyDescent="0.3">
      <c r="A8" s="44"/>
      <c r="B8" s="29">
        <v>19010000</v>
      </c>
      <c r="C8" s="30" t="s">
        <v>108</v>
      </c>
      <c r="D8" s="32">
        <v>9.9</v>
      </c>
      <c r="E8" s="32">
        <v>10.01</v>
      </c>
      <c r="F8" s="32">
        <f t="shared" si="0"/>
        <v>0.10999999999999943</v>
      </c>
      <c r="G8" s="32">
        <f t="shared" si="1"/>
        <v>101.11111111111111</v>
      </c>
    </row>
    <row r="9" spans="1:10" ht="24" customHeight="1" x14ac:dyDescent="0.3">
      <c r="A9" s="18"/>
      <c r="B9" s="41">
        <v>20000000</v>
      </c>
      <c r="C9" s="42" t="s">
        <v>95</v>
      </c>
      <c r="D9" s="43">
        <f>D12+D10+D11</f>
        <v>3977.7999999999997</v>
      </c>
      <c r="E9" s="43">
        <f>E12+E10+E11</f>
        <v>3314.0999999999995</v>
      </c>
      <c r="F9" s="43">
        <f t="shared" si="0"/>
        <v>-663.70000000000027</v>
      </c>
      <c r="G9" s="46">
        <f t="shared" si="1"/>
        <v>83.31489768213585</v>
      </c>
    </row>
    <row r="10" spans="1:10" ht="51" customHeight="1" x14ac:dyDescent="0.3">
      <c r="A10" s="18"/>
      <c r="B10" s="64">
        <v>21110000</v>
      </c>
      <c r="C10" s="7" t="s">
        <v>70</v>
      </c>
      <c r="D10" s="31">
        <v>78</v>
      </c>
      <c r="E10" s="31">
        <v>0</v>
      </c>
      <c r="F10" s="32">
        <f t="shared" si="0"/>
        <v>-78</v>
      </c>
      <c r="G10" s="32">
        <f t="shared" si="1"/>
        <v>0</v>
      </c>
    </row>
    <row r="11" spans="1:10" ht="18" customHeight="1" x14ac:dyDescent="0.3">
      <c r="A11" s="18"/>
      <c r="B11" s="64">
        <v>24060000</v>
      </c>
      <c r="C11" s="7" t="s">
        <v>43</v>
      </c>
      <c r="D11" s="31">
        <v>15.1</v>
      </c>
      <c r="E11" s="31">
        <v>5.68</v>
      </c>
      <c r="F11" s="32">
        <f t="shared" si="0"/>
        <v>-9.42</v>
      </c>
      <c r="G11" s="32">
        <f t="shared" si="1"/>
        <v>37.615894039735096</v>
      </c>
    </row>
    <row r="12" spans="1:10" ht="19.5" customHeight="1" x14ac:dyDescent="0.3">
      <c r="A12" s="18"/>
      <c r="B12" s="25">
        <v>25000000</v>
      </c>
      <c r="C12" s="26" t="s">
        <v>109</v>
      </c>
      <c r="D12" s="28">
        <f>D13+D14</f>
        <v>3884.7</v>
      </c>
      <c r="E12" s="28">
        <f>E13+E14</f>
        <v>3308.4199999999996</v>
      </c>
      <c r="F12" s="28">
        <f t="shared" si="0"/>
        <v>-576.2800000000002</v>
      </c>
      <c r="G12" s="28">
        <f t="shared" si="1"/>
        <v>85.165392436996413</v>
      </c>
    </row>
    <row r="13" spans="1:10" ht="35.25" customHeight="1" x14ac:dyDescent="0.3">
      <c r="A13" s="18"/>
      <c r="B13" s="29">
        <v>25010000</v>
      </c>
      <c r="C13" s="30" t="s">
        <v>110</v>
      </c>
      <c r="D13" s="32">
        <v>66.599999999999994</v>
      </c>
      <c r="E13" s="32">
        <v>96.74</v>
      </c>
      <c r="F13" s="32">
        <f t="shared" si="0"/>
        <v>30.14</v>
      </c>
      <c r="G13" s="32">
        <f t="shared" si="1"/>
        <v>145.25525525525526</v>
      </c>
    </row>
    <row r="14" spans="1:10" ht="28.2" x14ac:dyDescent="0.3">
      <c r="A14" s="18"/>
      <c r="B14" s="29">
        <v>25020000</v>
      </c>
      <c r="C14" s="30" t="s">
        <v>111</v>
      </c>
      <c r="D14" s="32">
        <v>3818.1</v>
      </c>
      <c r="E14" s="32">
        <v>3211.68</v>
      </c>
      <c r="F14" s="32">
        <f t="shared" si="0"/>
        <v>-606.42000000000007</v>
      </c>
      <c r="G14" s="32">
        <f t="shared" si="1"/>
        <v>84.117231083523208</v>
      </c>
    </row>
    <row r="15" spans="1:10" ht="18.75" customHeight="1" x14ac:dyDescent="0.3">
      <c r="A15" s="18"/>
      <c r="B15" s="41">
        <v>30000000</v>
      </c>
      <c r="C15" s="42" t="s">
        <v>112</v>
      </c>
      <c r="D15" s="43">
        <f>SUM(D16:D17)</f>
        <v>299</v>
      </c>
      <c r="E15" s="43">
        <f>SUM(E16:E17)</f>
        <v>38.9</v>
      </c>
      <c r="F15" s="43">
        <f>E15-D15</f>
        <v>-260.10000000000002</v>
      </c>
      <c r="G15" s="43">
        <f t="shared" si="1"/>
        <v>13.010033444816052</v>
      </c>
    </row>
    <row r="16" spans="1:10" ht="24" customHeight="1" x14ac:dyDescent="0.3">
      <c r="A16" s="18"/>
      <c r="B16" s="29">
        <v>33010000</v>
      </c>
      <c r="C16" s="30" t="s">
        <v>113</v>
      </c>
      <c r="D16" s="32">
        <v>0</v>
      </c>
      <c r="E16" s="32">
        <v>0</v>
      </c>
      <c r="F16" s="32">
        <f t="shared" ref="F16" si="2">E16-D16</f>
        <v>0</v>
      </c>
      <c r="G16" s="32">
        <f t="shared" ref="G16" si="3">IF(D16=0,0,E16/D16*100)</f>
        <v>0</v>
      </c>
    </row>
    <row r="17" spans="1:7" ht="42" x14ac:dyDescent="0.3">
      <c r="A17" s="18"/>
      <c r="B17" s="29">
        <v>31030000</v>
      </c>
      <c r="C17" s="7" t="s">
        <v>81</v>
      </c>
      <c r="D17" s="32">
        <v>299</v>
      </c>
      <c r="E17" s="32">
        <v>38.9</v>
      </c>
      <c r="F17" s="32">
        <f t="shared" si="0"/>
        <v>-260.10000000000002</v>
      </c>
      <c r="G17" s="32">
        <f t="shared" si="1"/>
        <v>13.010033444816052</v>
      </c>
    </row>
    <row r="18" spans="1:7" ht="20.25" customHeight="1" x14ac:dyDescent="0.3">
      <c r="A18" s="18"/>
      <c r="B18" s="41">
        <v>40000000</v>
      </c>
      <c r="C18" s="42" t="s">
        <v>99</v>
      </c>
      <c r="D18" s="43">
        <f>SUM(D19:D23)</f>
        <v>4858.7</v>
      </c>
      <c r="E18" s="43">
        <f>SUM(E19:E23)</f>
        <v>1726.2</v>
      </c>
      <c r="F18" s="43">
        <f t="shared" si="0"/>
        <v>-3132.5</v>
      </c>
      <c r="G18" s="43">
        <f t="shared" si="1"/>
        <v>35.528021898861837</v>
      </c>
    </row>
    <row r="19" spans="1:7" ht="28.2" x14ac:dyDescent="0.3">
      <c r="A19" s="18"/>
      <c r="B19" s="47">
        <v>41033900</v>
      </c>
      <c r="C19" s="7" t="s">
        <v>58</v>
      </c>
      <c r="D19" s="31">
        <v>0</v>
      </c>
      <c r="E19" s="31">
        <v>1611.9</v>
      </c>
      <c r="F19" s="32">
        <f t="shared" si="0"/>
        <v>1611.9</v>
      </c>
      <c r="G19" s="32">
        <f t="shared" si="1"/>
        <v>0</v>
      </c>
    </row>
    <row r="20" spans="1:7" ht="42" x14ac:dyDescent="0.3">
      <c r="A20" s="18"/>
      <c r="B20" s="47">
        <v>41037400</v>
      </c>
      <c r="C20" s="7" t="s">
        <v>186</v>
      </c>
      <c r="D20" s="31">
        <v>0</v>
      </c>
      <c r="E20" s="31">
        <v>114.3</v>
      </c>
      <c r="F20" s="32">
        <f t="shared" ref="F20" si="4">E20-D20</f>
        <v>114.3</v>
      </c>
      <c r="G20" s="32">
        <f t="shared" ref="G20" si="5">IF(D20=0,0,E20/D20*100)</f>
        <v>0</v>
      </c>
    </row>
    <row r="21" spans="1:7" ht="20.25" customHeight="1" x14ac:dyDescent="0.3">
      <c r="A21" s="18"/>
      <c r="B21" s="47">
        <v>41053900</v>
      </c>
      <c r="C21" s="48" t="s">
        <v>82</v>
      </c>
      <c r="D21" s="31">
        <v>4858.7</v>
      </c>
      <c r="E21" s="31">
        <v>0</v>
      </c>
      <c r="F21" s="32">
        <f t="shared" si="0"/>
        <v>-4858.7</v>
      </c>
      <c r="G21" s="32">
        <f t="shared" si="1"/>
        <v>0</v>
      </c>
    </row>
    <row r="22" spans="1:7" ht="63" hidden="1" customHeight="1" x14ac:dyDescent="0.3">
      <c r="A22" s="18"/>
      <c r="B22" s="36">
        <v>41059100</v>
      </c>
      <c r="C22" s="30" t="s">
        <v>114</v>
      </c>
      <c r="D22" s="32"/>
      <c r="E22" s="32"/>
      <c r="F22" s="32">
        <f t="shared" si="0"/>
        <v>0</v>
      </c>
      <c r="G22" s="32">
        <f t="shared" si="1"/>
        <v>0</v>
      </c>
    </row>
    <row r="23" spans="1:7" ht="97.2" hidden="1" x14ac:dyDescent="0.3">
      <c r="A23" s="18"/>
      <c r="B23" s="36">
        <v>41059200</v>
      </c>
      <c r="C23" s="30" t="s">
        <v>115</v>
      </c>
      <c r="D23" s="32"/>
      <c r="E23" s="32"/>
      <c r="F23" s="32">
        <f t="shared" si="0"/>
        <v>0</v>
      </c>
      <c r="G23" s="32">
        <f t="shared" si="1"/>
        <v>0</v>
      </c>
    </row>
    <row r="24" spans="1:7" ht="17.25" customHeight="1" x14ac:dyDescent="0.3">
      <c r="A24" s="18"/>
      <c r="B24" s="25">
        <v>50000000</v>
      </c>
      <c r="C24" s="26" t="s">
        <v>116</v>
      </c>
      <c r="D24" s="28">
        <f>D25</f>
        <v>5.5</v>
      </c>
      <c r="E24" s="28">
        <f>E25</f>
        <v>0</v>
      </c>
      <c r="F24" s="28">
        <f t="shared" si="0"/>
        <v>-5.5</v>
      </c>
      <c r="G24" s="28">
        <f t="shared" si="1"/>
        <v>0</v>
      </c>
    </row>
    <row r="25" spans="1:7" ht="44.25" customHeight="1" x14ac:dyDescent="0.3">
      <c r="A25" s="18"/>
      <c r="B25" s="29">
        <v>50110000</v>
      </c>
      <c r="C25" s="30" t="s">
        <v>117</v>
      </c>
      <c r="D25" s="32">
        <v>5.5</v>
      </c>
      <c r="E25" s="32">
        <v>0</v>
      </c>
      <c r="F25" s="32">
        <f t="shared" si="0"/>
        <v>-5.5</v>
      </c>
      <c r="G25" s="32">
        <f t="shared" si="1"/>
        <v>0</v>
      </c>
    </row>
    <row r="26" spans="1:7" ht="17.25" customHeight="1" x14ac:dyDescent="0.3">
      <c r="A26" s="91" t="s">
        <v>103</v>
      </c>
      <c r="B26" s="92"/>
      <c r="C26" s="92"/>
      <c r="D26" s="37">
        <f>D6+D9+D15+D24</f>
        <v>4292.2</v>
      </c>
      <c r="E26" s="37">
        <f>E6+E9+E15+E24</f>
        <v>3363.0099999999998</v>
      </c>
      <c r="F26" s="37">
        <f t="shared" si="0"/>
        <v>-929.19</v>
      </c>
      <c r="G26" s="37">
        <f t="shared" si="1"/>
        <v>78.351661152788779</v>
      </c>
    </row>
    <row r="27" spans="1:7" ht="17.25" customHeight="1" x14ac:dyDescent="0.3">
      <c r="A27" s="91" t="s">
        <v>59</v>
      </c>
      <c r="B27" s="92"/>
      <c r="C27" s="92"/>
      <c r="D27" s="37">
        <f>D26+D18</f>
        <v>9150.9</v>
      </c>
      <c r="E27" s="37">
        <f>E26+E18</f>
        <v>5089.21</v>
      </c>
      <c r="F27" s="37">
        <f t="shared" si="0"/>
        <v>-4061.6899999999996</v>
      </c>
      <c r="G27" s="37">
        <f t="shared" si="1"/>
        <v>55.614311160650864</v>
      </c>
    </row>
  </sheetData>
  <mergeCells count="4">
    <mergeCell ref="B2:G2"/>
    <mergeCell ref="B3:G3"/>
    <mergeCell ref="A26:C26"/>
    <mergeCell ref="A27:C27"/>
  </mergeCells>
  <pageMargins left="0.78740157480314965" right="0.19685039370078741" top="0.39370078740157483" bottom="0.39370078740157483" header="0" footer="0"/>
  <pageSetup paperSize="9" scale="75" fitToHeight="50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доходи ЗФ</vt:lpstr>
      <vt:lpstr>доходи СФ</vt:lpstr>
      <vt:lpstr>видатки ЗФ</vt:lpstr>
      <vt:lpstr>видатки СФ</vt:lpstr>
      <vt:lpstr>порівнял аналіз доходів ЗФ</vt:lpstr>
      <vt:lpstr>порівнял аналіз доходів СФ</vt:lpstr>
      <vt:lpstr>'видатки ЗФ'!Заголовки_для_печати</vt:lpstr>
      <vt:lpstr>'видатки СФ'!Заголовки_для_печати</vt:lpstr>
      <vt:lpstr>'доходи ЗФ'!Заголовки_для_печати</vt:lpstr>
      <vt:lpstr>'доходи СФ'!Заголовки_для_печати</vt:lpstr>
      <vt:lpstr>'порівнял аналіз доходів ЗФ'!Заголовки_для_печати</vt:lpstr>
      <vt:lpstr>'порівнял аналіз доходів СФ'!Заголовки_для_печати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2025-04-16T09:14:57Z</cp:lastPrinted>
  <dcterms:created xsi:type="dcterms:W3CDTF">2024-04-01T06:52:13Z</dcterms:created>
  <dcterms:modified xsi:type="dcterms:W3CDTF">2025-04-28T09:09:45Z</dcterms:modified>
</cp:coreProperties>
</file>