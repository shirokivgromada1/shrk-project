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4 рік\Звіти\"/>
    </mc:Choice>
  </mc:AlternateContent>
  <xr:revisionPtr revIDLastSave="0" documentId="13_ncr:1_{F19956E8-496C-492E-9844-D6CE7FF36846}" xr6:coauthVersionLast="46" xr6:coauthVersionMax="46" xr10:uidLastSave="{00000000-0000-0000-0000-000000000000}"/>
  <bookViews>
    <workbookView xWindow="-120" yWindow="-120" windowWidth="29040" windowHeight="15840" xr2:uid="{00000000-000D-0000-FFFF-FFFF00000000}"/>
  </bookViews>
  <sheets>
    <sheet name="КПК0110150" sheetId="1" r:id="rId1"/>
  </sheets>
  <definedNames>
    <definedName name="_xlnm.Print_Area" localSheetId="0">КПК0110150!$A$1:$BQ$199</definedName>
  </definedNames>
  <calcPr calcId="191029"/>
</workbook>
</file>

<file path=xl/calcChain.xml><?xml version="1.0" encoding="utf-8"?>
<calcChain xmlns="http://schemas.openxmlformats.org/spreadsheetml/2006/main">
  <c r="BH170" i="1" l="1"/>
  <c r="BC170" i="1"/>
  <c r="BH168" i="1"/>
  <c r="BC168" i="1"/>
  <c r="BH167" i="1"/>
  <c r="BC167" i="1"/>
  <c r="BH166" i="1"/>
  <c r="BC166" i="1"/>
  <c r="BH164" i="1"/>
  <c r="BC164" i="1"/>
  <c r="BH163" i="1"/>
  <c r="BC163" i="1"/>
  <c r="BH161" i="1"/>
  <c r="BC161" i="1"/>
  <c r="BD151" i="1"/>
  <c r="AY151" i="1"/>
  <c r="AS151" i="1"/>
  <c r="AC151" i="1"/>
  <c r="BD150" i="1"/>
  <c r="AY150" i="1"/>
  <c r="AS150" i="1"/>
  <c r="AC150" i="1"/>
  <c r="BD149" i="1"/>
  <c r="AY149" i="1"/>
  <c r="AS149" i="1"/>
  <c r="AC149" i="1"/>
  <c r="BI97" i="1"/>
  <c r="BD97" i="1"/>
  <c r="AZ97" i="1"/>
  <c r="AK97" i="1"/>
  <c r="BI96" i="1"/>
  <c r="BD96" i="1"/>
  <c r="AZ96" i="1"/>
  <c r="AK96" i="1"/>
  <c r="BI95" i="1"/>
  <c r="BD95" i="1"/>
  <c r="AZ95" i="1"/>
  <c r="AK95" i="1"/>
  <c r="BI94" i="1"/>
  <c r="BD94" i="1"/>
  <c r="AZ94" i="1"/>
  <c r="AK94" i="1"/>
  <c r="BI93" i="1"/>
  <c r="BD93" i="1"/>
  <c r="AZ93" i="1"/>
  <c r="AK93" i="1"/>
  <c r="BI92" i="1"/>
  <c r="BD92" i="1"/>
  <c r="AZ92" i="1"/>
  <c r="AK92" i="1"/>
  <c r="BI91" i="1"/>
  <c r="BD91" i="1"/>
  <c r="AZ91" i="1"/>
  <c r="AK91" i="1"/>
  <c r="BI90" i="1"/>
  <c r="BD90" i="1"/>
  <c r="AZ90" i="1"/>
  <c r="AK90" i="1"/>
  <c r="BI89" i="1"/>
  <c r="BD89" i="1"/>
  <c r="AZ89" i="1"/>
  <c r="AK89" i="1"/>
  <c r="BI88" i="1"/>
  <c r="BD88" i="1"/>
  <c r="AZ88" i="1"/>
  <c r="AK88" i="1"/>
  <c r="BI87" i="1"/>
  <c r="BD87" i="1"/>
  <c r="AZ87" i="1"/>
  <c r="AK87" i="1"/>
  <c r="BI86" i="1"/>
  <c r="BD86" i="1"/>
  <c r="AZ86" i="1"/>
  <c r="AK86" i="1"/>
  <c r="BI85" i="1"/>
  <c r="BD85" i="1"/>
  <c r="AZ85" i="1"/>
  <c r="AK85" i="1"/>
  <c r="BI84" i="1"/>
  <c r="BD84" i="1"/>
  <c r="AZ84" i="1"/>
  <c r="AK84" i="1"/>
  <c r="BI83" i="1"/>
  <c r="BD83" i="1"/>
  <c r="AZ83" i="1"/>
  <c r="AK83" i="1"/>
  <c r="BI82" i="1"/>
  <c r="BD82" i="1"/>
  <c r="AZ82" i="1"/>
  <c r="AK82" i="1"/>
  <c r="BI81" i="1"/>
  <c r="BD81" i="1"/>
  <c r="AZ81" i="1"/>
  <c r="AK81" i="1"/>
  <c r="BI80" i="1"/>
  <c r="BD80" i="1"/>
  <c r="AZ80" i="1"/>
  <c r="AK80" i="1"/>
  <c r="BI79" i="1"/>
  <c r="BD79" i="1"/>
  <c r="AZ79" i="1"/>
  <c r="AK79" i="1"/>
  <c r="BI78" i="1"/>
  <c r="BD78" i="1"/>
  <c r="AZ78" i="1"/>
  <c r="AK78" i="1"/>
  <c r="BI77" i="1"/>
  <c r="BD77" i="1"/>
  <c r="AZ77" i="1"/>
  <c r="AK77" i="1"/>
  <c r="BI76" i="1"/>
  <c r="BD76" i="1"/>
  <c r="AZ76" i="1"/>
  <c r="AK76" i="1"/>
  <c r="BI75" i="1"/>
  <c r="BD75" i="1"/>
  <c r="AZ75" i="1"/>
  <c r="AK75" i="1"/>
  <c r="BI74" i="1"/>
  <c r="BD74" i="1"/>
  <c r="AZ74" i="1"/>
  <c r="AK74" i="1"/>
  <c r="BI73" i="1"/>
  <c r="BD73" i="1"/>
  <c r="AZ73" i="1"/>
  <c r="AK73" i="1"/>
  <c r="BI72" i="1"/>
  <c r="BD72" i="1"/>
  <c r="AZ72" i="1"/>
  <c r="AK72" i="1"/>
  <c r="BI71" i="1"/>
  <c r="BD71" i="1"/>
  <c r="AZ71" i="1"/>
  <c r="AK71" i="1"/>
  <c r="BI70" i="1"/>
  <c r="BD70" i="1"/>
  <c r="AZ70" i="1"/>
  <c r="AK70" i="1"/>
  <c r="BI69" i="1"/>
  <c r="BD69" i="1"/>
  <c r="AZ69" i="1"/>
  <c r="AK69" i="1"/>
  <c r="BI68" i="1"/>
  <c r="BD68" i="1"/>
  <c r="AZ68" i="1"/>
  <c r="AK68" i="1"/>
  <c r="BI67" i="1"/>
  <c r="BD67" i="1"/>
  <c r="AZ67" i="1"/>
  <c r="AK67" i="1"/>
  <c r="BI66" i="1"/>
  <c r="BD66" i="1"/>
  <c r="AZ66" i="1"/>
  <c r="AK66" i="1"/>
  <c r="BI65" i="1"/>
  <c r="BD65" i="1"/>
  <c r="AZ65" i="1"/>
  <c r="AK65" i="1"/>
  <c r="BI64" i="1"/>
  <c r="BD64" i="1"/>
  <c r="AZ64" i="1"/>
  <c r="AK64" i="1"/>
  <c r="BI63" i="1"/>
  <c r="BD63" i="1"/>
  <c r="AZ63" i="1"/>
  <c r="AK63" i="1"/>
  <c r="BI62" i="1"/>
  <c r="BD62" i="1"/>
  <c r="AZ62" i="1"/>
  <c r="AK62" i="1"/>
  <c r="BI61" i="1"/>
  <c r="BD61" i="1"/>
  <c r="AZ61" i="1"/>
  <c r="AK61" i="1"/>
  <c r="BI60" i="1"/>
  <c r="BD60" i="1"/>
  <c r="AZ60" i="1"/>
  <c r="AK60" i="1"/>
  <c r="BI59" i="1"/>
  <c r="BD59" i="1"/>
  <c r="AZ59" i="1"/>
  <c r="AK59" i="1"/>
  <c r="BI58" i="1"/>
  <c r="BD58" i="1"/>
  <c r="AZ58" i="1"/>
  <c r="AK58" i="1"/>
  <c r="BI57" i="1"/>
  <c r="BD57" i="1"/>
  <c r="AZ57" i="1"/>
  <c r="AK57" i="1"/>
  <c r="BI56" i="1"/>
  <c r="BD56" i="1"/>
  <c r="AZ56" i="1"/>
  <c r="AK56" i="1"/>
  <c r="BI55" i="1"/>
  <c r="BD55" i="1"/>
  <c r="AZ55" i="1"/>
  <c r="AK55" i="1"/>
  <c r="BI54" i="1"/>
  <c r="BD54" i="1"/>
  <c r="AZ54" i="1"/>
  <c r="AK54" i="1"/>
  <c r="BI53" i="1"/>
  <c r="BD53" i="1"/>
  <c r="AZ53" i="1"/>
  <c r="AK53" i="1"/>
  <c r="BI52" i="1"/>
  <c r="BD52" i="1"/>
  <c r="AZ52" i="1"/>
  <c r="AK52" i="1"/>
  <c r="BI51" i="1"/>
  <c r="BD51" i="1"/>
  <c r="AZ51" i="1"/>
  <c r="AK51" i="1"/>
  <c r="BI50" i="1"/>
  <c r="BD50" i="1"/>
  <c r="AZ50" i="1"/>
  <c r="AK50" i="1"/>
  <c r="BI49" i="1"/>
  <c r="BD49" i="1"/>
  <c r="AZ49" i="1"/>
  <c r="AK49" i="1"/>
  <c r="BI48" i="1"/>
  <c r="BD48" i="1"/>
  <c r="AZ48" i="1"/>
  <c r="AK48" i="1"/>
  <c r="BI47" i="1"/>
  <c r="BD47" i="1"/>
  <c r="AZ47" i="1"/>
  <c r="AK47" i="1"/>
  <c r="BI46" i="1"/>
  <c r="BD46" i="1"/>
  <c r="AZ46" i="1"/>
  <c r="AK46" i="1"/>
  <c r="BI45" i="1"/>
  <c r="BD45" i="1"/>
  <c r="AZ45" i="1"/>
  <c r="AK45" i="1"/>
  <c r="BI44" i="1"/>
  <c r="BD44" i="1"/>
  <c r="AZ44" i="1"/>
  <c r="AK44" i="1"/>
  <c r="BI43" i="1"/>
  <c r="BD43" i="1"/>
  <c r="AZ43" i="1"/>
  <c r="AK43" i="1"/>
  <c r="BI151" i="1" l="1"/>
  <c r="BI150" i="1"/>
  <c r="BI149" i="1"/>
  <c r="BN97" i="1"/>
  <c r="BN96" i="1"/>
  <c r="BN95" i="1"/>
  <c r="BN94" i="1"/>
  <c r="BN93" i="1"/>
  <c r="BN92" i="1"/>
  <c r="BN91" i="1"/>
  <c r="BN90" i="1"/>
  <c r="BN89" i="1"/>
  <c r="BN88" i="1"/>
  <c r="BN87" i="1"/>
  <c r="BN86" i="1"/>
  <c r="BN85" i="1"/>
  <c r="BN84" i="1"/>
  <c r="BN83" i="1"/>
  <c r="BN82" i="1"/>
  <c r="BN81" i="1"/>
  <c r="BN80" i="1"/>
  <c r="BN79" i="1"/>
  <c r="BN78" i="1"/>
  <c r="BN77" i="1"/>
  <c r="BN76" i="1"/>
  <c r="BN75" i="1"/>
  <c r="BN74" i="1"/>
  <c r="BN73" i="1"/>
  <c r="BN72" i="1"/>
  <c r="BN71" i="1"/>
  <c r="BN70" i="1"/>
  <c r="BN69" i="1"/>
  <c r="BN68" i="1"/>
  <c r="BN67" i="1"/>
  <c r="BN66" i="1"/>
  <c r="BN65" i="1"/>
  <c r="BN64" i="1"/>
  <c r="BN63" i="1"/>
  <c r="BN62" i="1"/>
  <c r="BN61" i="1"/>
  <c r="BN60" i="1"/>
  <c r="BN59" i="1"/>
  <c r="BN58" i="1"/>
  <c r="BN57" i="1"/>
  <c r="BN56" i="1"/>
  <c r="BN55" i="1"/>
  <c r="BN54" i="1"/>
  <c r="BN53" i="1"/>
  <c r="BN52" i="1"/>
  <c r="BN51" i="1"/>
  <c r="BN50" i="1"/>
  <c r="BN49" i="1"/>
  <c r="BN48" i="1"/>
  <c r="BN47" i="1"/>
  <c r="BN46" i="1"/>
  <c r="BN45" i="1"/>
  <c r="BN44" i="1"/>
  <c r="BN43" i="1"/>
</calcChain>
</file>

<file path=xl/sharedStrings.xml><?xml version="1.0" encoding="utf-8"?>
<sst xmlns="http://schemas.openxmlformats.org/spreadsheetml/2006/main" count="320" uniqueCount="215">
  <si>
    <t>Відхилення</t>
  </si>
  <si>
    <t>спеціальний фонд</t>
  </si>
  <si>
    <t>загальний фонд</t>
  </si>
  <si>
    <t>№ з/п</t>
  </si>
  <si>
    <t>Джерело інформації</t>
  </si>
  <si>
    <t>Одиниця виміру</t>
  </si>
  <si>
    <t>Показники</t>
  </si>
  <si>
    <t>1.</t>
  </si>
  <si>
    <t>(підпис)</t>
  </si>
  <si>
    <t>ps2</t>
  </si>
  <si>
    <t>pz2</t>
  </si>
  <si>
    <t>pvz2</t>
  </si>
  <si>
    <t>pvs2</t>
  </si>
  <si>
    <t>npp</t>
  </si>
  <si>
    <t>name</t>
  </si>
  <si>
    <t>od_vim</t>
  </si>
  <si>
    <t>formula=RC[-10]+RC[-5]</t>
  </si>
  <si>
    <t>formula=RC[-16]-RC[-32]</t>
  </si>
  <si>
    <t>ЗВІТ</t>
  </si>
  <si>
    <t>p5.5</t>
  </si>
  <si>
    <t>s5.5</t>
  </si>
  <si>
    <t>p5.6</t>
  </si>
  <si>
    <t>s5.6</t>
  </si>
  <si>
    <t>p5.7</t>
  </si>
  <si>
    <t>s5.7</t>
  </si>
  <si>
    <t>Затверджено у паспорті бюджетної програми</t>
  </si>
  <si>
    <t>усього</t>
  </si>
  <si>
    <t xml:space="preserve"> усього</t>
  </si>
  <si>
    <t>Найменування місцевої/регіональної програми</t>
  </si>
  <si>
    <t>s2</t>
  </si>
  <si>
    <t>pvz1</t>
  </si>
  <si>
    <t>formula=RC[-14]-RC[-29]</t>
  </si>
  <si>
    <t>formula=RC[-15]-RC[-30]</t>
  </si>
  <si>
    <t>2.</t>
  </si>
  <si>
    <t>3.</t>
  </si>
  <si>
    <t>про виконання паспорта бюджетної програми</t>
  </si>
  <si>
    <t>zp</t>
  </si>
  <si>
    <t>dger_inf</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</si>
  <si>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</si>
  <si>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</si>
  <si>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</si>
  <si>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</si>
  <si>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</si>
  <si>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</si>
  <si>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</si>
  <si>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</si>
  <si>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</si>
  <si>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s5.2</t>
  </si>
  <si>
    <t>s5.3</t>
  </si>
  <si>
    <t>p5.2</t>
  </si>
  <si>
    <t>p5.3</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</si>
  <si>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</si>
  <si>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</si>
  <si>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</si>
  <si>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</si>
  <si>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</si>
  <si>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</si>
  <si>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</si>
  <si>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</si>
  <si>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</si>
  <si>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</si>
  <si>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s5.8</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</si>
  <si>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</si>
  <si>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</si>
  <si>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</si>
  <si>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</si>
  <si>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s5.9</t>
  </si>
  <si>
    <t>Напрями використання бюджетних коштів*</t>
  </si>
  <si>
    <t>p5.8</t>
  </si>
  <si>
    <t>p5.9</t>
  </si>
  <si>
    <t>name_poj</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</si>
  <si>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</si>
  <si>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</si>
  <si>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</si>
  <si>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</si>
  <si>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z1</t>
  </si>
  <si>
    <t>z2</t>
  </si>
  <si>
    <t>4. Цілі державної політики, на досягнення яких спрямовано реалізацію бюджетної програми</t>
  </si>
  <si>
    <t xml:space="preserve"> Створення належних матеріальних, фінансових та організаційних умов для забезпечення виконання сільською радою власних і делегованих повноважень</t>
  </si>
  <si>
    <t>Забезпечення виконання наданих законодавством повноважень</t>
  </si>
  <si>
    <t>Заробітна плата</t>
  </si>
  <si>
    <t>Нарахування на оплату праці</t>
  </si>
  <si>
    <t>Придбання канцелярських предемтів та приладдя</t>
  </si>
  <si>
    <t>Придбання захищених носіїв особистого ключа</t>
  </si>
  <si>
    <t>Придбання бланків, грамот</t>
  </si>
  <si>
    <t>Придбання або передплата періодичних, інформаційних видань</t>
  </si>
  <si>
    <t>Придбання пально-мастильних матеріалів, талонів</t>
  </si>
  <si>
    <t>Придбання оргтехніки</t>
  </si>
  <si>
    <t>Оплата послуг з охорони приміщень</t>
  </si>
  <si>
    <t>Оплата послуг з поточного ремонту та технічного обслуговування комп'ютерної техніки та оргтехніки</t>
  </si>
  <si>
    <t>Оплата послуг з перезарядки картриджів, тонерів</t>
  </si>
  <si>
    <t>Оплата послуг з перезарядки вогнегасників</t>
  </si>
  <si>
    <t>Оплата послуг фіксованого телефонного зв'язку</t>
  </si>
  <si>
    <t>Оплата за послуги Інтернет-провайдерів за користування мережою інтернет</t>
  </si>
  <si>
    <t>Оплата послуг з повірки засобів обліку</t>
  </si>
  <si>
    <t>Оплата послуг з супроводження та обслуговування програмного забезпечення</t>
  </si>
  <si>
    <t>Оплата послуг з поточного ремонту транспортних засобів</t>
  </si>
  <si>
    <t>Оплата послуг із страхування транспортних засобів</t>
  </si>
  <si>
    <t>Оплата послуг з обслуговування газових котлів</t>
  </si>
  <si>
    <t>Оплата послуг з перевірки димовентиляційних каналів с.Широке, с.Миколай-Поле</t>
  </si>
  <si>
    <t>Оплата інформаційних послуг</t>
  </si>
  <si>
    <t>Оплата послуг з виготовлення технічної документації на об'єкти нерухомого майна</t>
  </si>
  <si>
    <t>Оплата послуг з оцінки комунального майна</t>
  </si>
  <si>
    <t>Оплата послуг з підвозу питної води</t>
  </si>
  <si>
    <t>Видатки пов'язані з відрядженням</t>
  </si>
  <si>
    <t>Оплата за теплопостачання Розенталь 7</t>
  </si>
  <si>
    <t>Оплата за водопостачання</t>
  </si>
  <si>
    <t>Оплата електроенергії</t>
  </si>
  <si>
    <t>Оплата за газопостачання</t>
  </si>
  <si>
    <t>Оплата послуг поводження з побутовими відходами</t>
  </si>
  <si>
    <t>Оплата послуг за науково-технічні роботи з проведення розроблення тимчасової індивідуальної базової лінійної норми витрати палива на автомобілві</t>
  </si>
  <si>
    <t>Оплата навчання посадових осіб з охорони праці, навчання по військовому обліку</t>
  </si>
  <si>
    <t>Інші поточні видатки в т.ч.судові збори, штрафи, пені</t>
  </si>
  <si>
    <t>Оплата послуг з розробки проектно-кошторисної документації для монтажу обладнання та устаткування мереж газопостачання за адресою: Запорізька область, Запорізький район, с.Миколай-Поле, вул.Центральна, 76</t>
  </si>
  <si>
    <t>Оплата послуг з  монтажу обладнання та устаткування мереж газопостачання за адресою: Запорізька область, Запорізький район, с.Миколай-Поле, вул.Центральна, 76</t>
  </si>
  <si>
    <t>Оплата послуг з підключення до зовнішніх мереж газопостачання по об"єкту за адресою: Запорізька область, Запорізький район, с.Миколай-Поле, вул.Центральна, 76</t>
  </si>
  <si>
    <t>Оплата за виконання пусконалагоджувальних заходів по об"єкту за адресою: Запорізька область, Запорізький район, с.Миколай-Поле, вул.Центральна, 76</t>
  </si>
  <si>
    <t>Оплата послуг за оренду терміналу</t>
  </si>
  <si>
    <t>Прибання комп"ютерного обладнання</t>
  </si>
  <si>
    <t>Оплата послуг з поточного ремонту приміщень</t>
  </si>
  <si>
    <t>Придбання трифазних лічильників</t>
  </si>
  <si>
    <t>Оплата послуг з дистанційного збору даних, формування, обробки та передачі даних комерційного вузла обліку електроенергії за адресою: с-ще Сонячне, вул.Інститутська (амбулаторія)</t>
  </si>
  <si>
    <t>Оплата послуг з виготовлення технічної документації на земельні ділянки під об"єктами нерухомого майна</t>
  </si>
  <si>
    <t>Оплата послуг з виготовлення технічних умов на водопостачання с.Петропіль, вул.Молодіжна, 1</t>
  </si>
  <si>
    <t>Оплата послуг з поточного ремонту та технічного обслуговування котельного обладнання внутрішніх мереж теплопостачання будівлі за адресою: вул.Центральна, 1, с.Широке</t>
  </si>
  <si>
    <t>Придбання меблів</t>
  </si>
  <si>
    <t>Придбання та виготовлення нагрудних знаків "Почесний громадянин Широківської громади"</t>
  </si>
  <si>
    <t>Придбання шин для транспортних засобів</t>
  </si>
  <si>
    <t>Оплата послуг з проектування, монтажу, налаштування обладнання та організація каналу конфіденційного зв"язку у складі НСКЗ для підключення ЦНАП до Єдиного державного демографічного реєстру</t>
  </si>
  <si>
    <t>Оплата послуг за реєстрацію транспортного засобу</t>
  </si>
  <si>
    <t>Сплата збору на обов"язкове державне пенсійне страхування</t>
  </si>
  <si>
    <t>Придбання телекомунікаційного обладнання для  організації каналу конфіденційного зв"язку</t>
  </si>
  <si>
    <t>Придбання мережевого обладнання</t>
  </si>
  <si>
    <t>Придбання та виготовлення меблів</t>
  </si>
  <si>
    <t>УСЬОГО</t>
  </si>
  <si>
    <t>Наявність 15 вакантних посад</t>
  </si>
  <si>
    <t>Придбання канцелярських предметів та приладдя за рахунок залишку коштів спеціального фонду бюджету (від надання платних послуг)</t>
  </si>
  <si>
    <t>Подовження терміну дії наявних носіїв особистого ключа</t>
  </si>
  <si>
    <t>Придбання бланків, грамот проводилося згідно заявок</t>
  </si>
  <si>
    <t>Придбання оргтехніки проводилось згідно плану закупівель</t>
  </si>
  <si>
    <t>Оплата послуг з охорони приміщень проводилася згідно наданих актів виконаних робіт</t>
  </si>
  <si>
    <t>Поточний ремонт та технічне обслуговування комп"ютерної техніки проводилися за необхідності</t>
  </si>
  <si>
    <t>Оплата послуг не проводилася у зв"язку з придбанням нових вогнегасників</t>
  </si>
  <si>
    <t>Оплата послуг проводилася згідно наданих актів виконаних робіт</t>
  </si>
  <si>
    <t>Перенесння термінів повірки засобів обліку</t>
  </si>
  <si>
    <t>Фактична вартість послуг з супроводження та обслуговування програмного забезпечення менше запланованої</t>
  </si>
  <si>
    <t>Поточний ремонт транспортних засобів проводився за необхідності</t>
  </si>
  <si>
    <t>Оплата страхування трансопртних засобів проводилася згідно тарифів страхової компанії</t>
  </si>
  <si>
    <t>Зменшення фактичного користування інформаційними послугами</t>
  </si>
  <si>
    <t>Фактична кількість об"єктів нерухомого майна, на які виготовлена технічна документація менше запланованої</t>
  </si>
  <si>
    <t>Участь в конференціях, засіданнях круглого столу, навчаннях в онлайн-форматі;оплата видатків на відрядження за рахунок організаторів заходів</t>
  </si>
  <si>
    <t>Економне споживання</t>
  </si>
  <si>
    <t>Сприятливі погодні умови</t>
  </si>
  <si>
    <t>За спеціальним фондом оплата проводилася за рахунок залишку коштів спеціального фонду бюджету (за рахунок платних послуг)</t>
  </si>
  <si>
    <t>Відсутність потреби у проведенні науково-технічних робіт</t>
  </si>
  <si>
    <t>Оплата проводилася по факту навчання</t>
  </si>
  <si>
    <t>Фактичний обсяг судових зборів менше запланованого</t>
  </si>
  <si>
    <t>Фактична вартість розробки проектно-кошторисної документації менше запланованої</t>
  </si>
  <si>
    <t>Фактична вартість виконаних робіт менше запланованої</t>
  </si>
  <si>
    <t>Перенесення термінів підключення</t>
  </si>
  <si>
    <t>Перенесення термінів проведення пусконалагоджувальних заходів</t>
  </si>
  <si>
    <t>Оплата комп"ютерної техніки проводилася згідно плану закупівель</t>
  </si>
  <si>
    <t>Фактична вартість проведення поточного ремонту приміщень менше запланованої</t>
  </si>
  <si>
    <t>Фактична вартість послуг менше запланованої</t>
  </si>
  <si>
    <t>Придбання меблів проводилося згідно плану закупівель</t>
  </si>
  <si>
    <t>Відсутність виконавця робіт</t>
  </si>
  <si>
    <t>Фактична вартість шин для транспортних засобів менше запланованої</t>
  </si>
  <si>
    <t>Перенесення термінів реєстрації транспортного засобу</t>
  </si>
  <si>
    <t>Програма розвитку житлово-комунального господарства та благоустрою населених пунктів Широківської сільської ради на 2022-2024 роки</t>
  </si>
  <si>
    <t>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2022-2026 роки</t>
  </si>
  <si>
    <t>Усього</t>
  </si>
  <si>
    <t>затрат</t>
  </si>
  <si>
    <t/>
  </si>
  <si>
    <t>кількість штатних одиниць</t>
  </si>
  <si>
    <t>од.</t>
  </si>
  <si>
    <t>штатний розпис</t>
  </si>
  <si>
    <t>продукту</t>
  </si>
  <si>
    <t>кількість отриманих листів, звернень, заяв, скарг</t>
  </si>
  <si>
    <t>журнал реєстрації вхідної кореспонденції</t>
  </si>
  <si>
    <t>кількість прийнятих нормативно-правових актів</t>
  </si>
  <si>
    <t>протоколи засідань сесій сільської ради та виконавчого комітету сільської ради</t>
  </si>
  <si>
    <t>ефективності</t>
  </si>
  <si>
    <t>кількість виконаних листів, звернень, заяв, скарг на одного працівника</t>
  </si>
  <si>
    <t>розрахунковий показник</t>
  </si>
  <si>
    <t>кількість прийнятих нормативно-правових актів на одного працівника (крім робітників)</t>
  </si>
  <si>
    <t>витрати на утримання однієї штатної одиниці</t>
  </si>
  <si>
    <t>грн/рік</t>
  </si>
  <si>
    <t>якості</t>
  </si>
  <si>
    <t>відсоток вчасно виконаних листів, звернень, заяв, скарг у їх загальної кількості</t>
  </si>
  <si>
    <t>відс.</t>
  </si>
  <si>
    <t>звітність</t>
  </si>
  <si>
    <t>Відсутність спеціалістів необхідної кваліфікації</t>
  </si>
  <si>
    <t>Звернення, заяви громадян надходили на телефон "гарячої лінії" Широківської громади</t>
  </si>
  <si>
    <t>Нормативно-правові акти приймалися з врахуванням зміни законодавства в умовах воєнного стану</t>
  </si>
  <si>
    <t>Кількість наданих відповідей на листи, звернення, заяви більше запланованої пояснюється щомісячним наданням відповідей на контрольні завдання</t>
  </si>
  <si>
    <t>Збільшенн обсягу функціональних обов"язків у зв"язку з відсутністю спеціалістів необхідної кваліфікації</t>
  </si>
  <si>
    <t>Зміцнення засад конституційного ладу України; забезпечення реалізації конституційних прав людини і громадянина; створення умов для забезпечення життєво важливих потреб та законних інтересів населення; розвиток місцевої демократії.</t>
  </si>
  <si>
    <t>Аналіз стану виконання результативних показників свідчить про те, що Широківська сільська рада, незважаючи на існування розбіжностей  з затвердженими показниками, здійснювала свої  повноваження у повній мірі  та у відповідності  до норм діючого законодавства. Виконання функцій  сільською радою здійснювалось в межах затвердженого кошторису та забезпечувалося   підвищенням інтенсивності  та ефективності  праці штатних  працівників, оперативності прийняття управлінських рішень, жорсткої економії бюджетних коштів та оптимізації всіх витрат.																	 Результативні показники бюджетної програми виконано на 100 %, що свідчить про високий рівень виконання бюджетної програми.</t>
  </si>
  <si>
    <t>Мета бюджетної програми виконана в повному обсязі. Бюджетні зобов'язання здійснювалися в межах бюджетних асигнувань, з забезпеченням цільового спрямування та використання бюджетних коштів. Для повного та вчасного використання коштів і  одночасно недопущення кредиторської та дебіторської заборгованості  оперативно та відповідально опрацьовувалися підтвердні документи._x000D_
В межах бюджетної програми забезпечено виконання завдань та заходів Програми розвитку житлово-комунального господарства, соціальної інфраструктури та благоустрою населених пунктів Широківської сільської ради на 2022-2024 роки та Програми оформлення прав на земельні ділянки комунальної власності Широківської територіальної громади Запорізького району Запорізької області на 2022-2026 роки._x000D_
Недофінансування і перевитрати за захищеними та першочерговими статтями видатків загального фонду місцевого бюджету станом на 01.01.2025 відсутні._x000D_
Прострочена кредиторська та дебіторська заборгованості станом на 01.01.2025  за загальним та спеціальним фондами місцевого бюджету відсутні.</t>
  </si>
  <si>
    <t>0100000</t>
  </si>
  <si>
    <t>Широкiвська сiльська рада Запорiзького району Запорiзької областi</t>
  </si>
  <si>
    <t>Сільський голова</t>
  </si>
  <si>
    <t>Начальник відділу бухгалтерського обліку та звітності - головний бухгалтер</t>
  </si>
  <si>
    <t>Денис КОРОТЕНКО</t>
  </si>
  <si>
    <t>Одарка СВІРІНА</t>
  </si>
  <si>
    <t>26013402</t>
  </si>
  <si>
    <t>0852300000</t>
  </si>
  <si>
    <t xml:space="preserve">  гривень</t>
  </si>
  <si>
    <t>місцевого бюджету на 2024  рік</t>
  </si>
  <si>
    <t>0110150</t>
  </si>
  <si>
    <t>Організаційне, інформаційно-аналітичне та матеріально-технічне забезпечення діяльності обласної ради, районної ради, районної у місті ради (у разі її створення), міської, селищної, сільської рад</t>
  </si>
  <si>
    <t>Широківська сільська рада Запорізького району Запорізької області</t>
  </si>
  <si>
    <t>0110000</t>
  </si>
  <si>
    <t>0150</t>
  </si>
  <si>
    <t>0111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</si>
</sst>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b/>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Arial Cyr"/>
      <charset val="204"/>
    </font>
    <font>
      <b/>
      <sz val="8"/>
      <name val="Times New Roman"/>
      <family val="1"/>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8">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6"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8" fillId="0" borderId="0" xfId="0" applyFont="1"/>
    <xf numFmtId="0" fontId="3" fillId="0" borderId="0" xfId="0" applyFont="1" applyAlignment="1">
      <alignment vertical="center"/>
    </xf>
    <xf numFmtId="164"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8" fillId="0" borderId="0" xfId="0" applyFont="1" applyAlignment="1">
      <alignment horizontal="center" vertical="top"/>
    </xf>
    <xf numFmtId="0" fontId="1"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top"/>
    </xf>
    <xf numFmtId="0" fontId="13" fillId="0" borderId="0" xfId="0" applyFont="1"/>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9" fillId="0" borderId="0" xfId="0" applyFont="1" applyAlignment="1">
      <alignment horizontal="center" vertical="center" wrapText="1"/>
    </xf>
    <xf numFmtId="164" fontId="9" fillId="0" borderId="0" xfId="0" applyNumberFormat="1" applyFont="1" applyAlignment="1">
      <alignment horizontal="center" vertical="center" wrapText="1"/>
    </xf>
    <xf numFmtId="0" fontId="7" fillId="0" borderId="0" xfId="0" applyFont="1"/>
    <xf numFmtId="0" fontId="16" fillId="0" borderId="0" xfId="0" applyFont="1"/>
    <xf numFmtId="164" fontId="4" fillId="0" borderId="0" xfId="0" applyNumberFormat="1" applyFont="1" applyAlignment="1">
      <alignment vertical="center" wrapText="1"/>
    </xf>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15" fillId="0" borderId="5" xfId="0" applyFont="1" applyBorder="1" applyAlignment="1">
      <alignment horizontal="left" vertical="center" wrapText="1" shrinkToFit="1"/>
    </xf>
    <xf numFmtId="0" fontId="15" fillId="0" borderId="2" xfId="0" applyFont="1" applyBorder="1" applyAlignment="1">
      <alignment horizontal="left" vertical="center" wrapText="1" shrinkToFit="1"/>
    </xf>
    <xf numFmtId="0" fontId="2" fillId="0" borderId="3" xfId="0" applyFont="1" applyBorder="1" applyAlignment="1">
      <alignment horizontal="center" vertical="center" wrapText="1"/>
    </xf>
    <xf numFmtId="0" fontId="2" fillId="0" borderId="4" xfId="0"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0" fontId="2" fillId="0" borderId="4" xfId="0" applyFont="1" applyBorder="1" applyAlignment="1">
      <alignment horizontal="left" vertical="center" wrapText="1" shrinkToFit="1"/>
    </xf>
    <xf numFmtId="0" fontId="2" fillId="0" borderId="5" xfId="0" applyFont="1" applyBorder="1" applyAlignment="1">
      <alignment horizontal="left" vertical="center" wrapText="1" shrinkToFit="1"/>
    </xf>
    <xf numFmtId="0" fontId="0" fillId="0" borderId="5" xfId="0" applyBorder="1" applyAlignment="1">
      <alignment horizontal="left" vertical="center" wrapText="1" shrinkToFit="1"/>
    </xf>
    <xf numFmtId="0" fontId="0" fillId="0" borderId="2" xfId="0" applyBorder="1" applyAlignment="1">
      <alignment horizontal="left" vertical="center" wrapText="1" shrinkToFit="1"/>
    </xf>
    <xf numFmtId="4" fontId="2" fillId="0" borderId="3"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49" fontId="2" fillId="0" borderId="4" xfId="0" applyNumberFormat="1" applyFont="1" applyBorder="1" applyAlignment="1">
      <alignment horizontal="center" vertical="top" wrapText="1"/>
    </xf>
    <xf numFmtId="49" fontId="2" fillId="0" borderId="3" xfId="0" applyNumberFormat="1" applyFont="1" applyBorder="1" applyAlignment="1">
      <alignment horizontal="center" vertical="center" wrapText="1"/>
    </xf>
    <xf numFmtId="49" fontId="7" fillId="0" borderId="4" xfId="0" applyNumberFormat="1" applyFont="1" applyBorder="1" applyAlignment="1">
      <alignment horizontal="center" vertical="top" wrapText="1"/>
    </xf>
    <xf numFmtId="49" fontId="7"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xf>
    <xf numFmtId="4" fontId="0" fillId="0" borderId="3" xfId="0" applyNumberForma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0" xfId="0" applyFont="1" applyAlignment="1">
      <alignment horizontal="center" vertical="top" wrapText="1"/>
    </xf>
    <xf numFmtId="0" fontId="10"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top" wrapText="1"/>
    </xf>
    <xf numFmtId="0" fontId="0" fillId="0" borderId="1" xfId="0" applyBorder="1" applyAlignment="1">
      <alignment horizontal="left" vertical="top" wrapText="1"/>
    </xf>
    <xf numFmtId="0" fontId="12" fillId="0" borderId="7" xfId="0" applyFont="1" applyBorder="1" applyAlignment="1">
      <alignment horizontal="center" vertical="top" wrapText="1"/>
    </xf>
    <xf numFmtId="0" fontId="11" fillId="0" borderId="1" xfId="0" quotePrefix="1" applyFont="1" applyBorder="1" applyAlignment="1">
      <alignment horizontal="left" vertical="top" wrapText="1"/>
    </xf>
    <xf numFmtId="0" fontId="8" fillId="0" borderId="0" xfId="0" applyFont="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5" xfId="0" applyBorder="1" applyAlignment="1">
      <alignment horizontal="center" vertical="top"/>
    </xf>
    <xf numFmtId="0" fontId="0" fillId="0" borderId="2" xfId="0" applyBorder="1" applyAlignment="1">
      <alignment horizontal="center" vertical="top"/>
    </xf>
    <xf numFmtId="0" fontId="3" fillId="0" borderId="1" xfId="0" quotePrefix="1" applyFont="1" applyBorder="1" applyAlignment="1">
      <alignment horizontal="left" wrapText="1"/>
    </xf>
    <xf numFmtId="0" fontId="0" fillId="0" borderId="1" xfId="0" applyBorder="1" applyAlignment="1">
      <alignment horizontal="left"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1" xfId="0" applyFont="1" applyBorder="1" applyAlignment="1">
      <alignment horizontal="right" vertical="center" wrapText="1"/>
    </xf>
    <xf numFmtId="0" fontId="13" fillId="0" borderId="3" xfId="0" applyFont="1" applyBorder="1" applyAlignment="1">
      <alignment horizontal="center" vertical="center"/>
    </xf>
    <xf numFmtId="0" fontId="14" fillId="0" borderId="4" xfId="0" applyFont="1" applyBorder="1" applyAlignment="1">
      <alignment horizontal="left" vertical="center" wrapText="1" shrinkToFit="1"/>
    </xf>
    <xf numFmtId="0" fontId="14" fillId="0" borderId="5" xfId="0" applyFont="1" applyBorder="1" applyAlignment="1">
      <alignment horizontal="left" vertical="center" wrapText="1" shrinkToFit="1"/>
    </xf>
    <xf numFmtId="0" fontId="14" fillId="0" borderId="2" xfId="0" applyFont="1" applyBorder="1" applyAlignment="1">
      <alignment horizontal="left" vertical="center" wrapText="1" shrinkToFi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3" xfId="0" applyFont="1" applyBorder="1" applyAlignment="1">
      <alignment horizontal="left" vertical="center" wrapText="1"/>
    </xf>
    <xf numFmtId="164" fontId="7"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3" fillId="0" borderId="0" xfId="0" quotePrefix="1" applyFont="1" applyAlignment="1">
      <alignment horizontal="left" vertical="top" wrapText="1"/>
    </xf>
    <xf numFmtId="0" fontId="0" fillId="0" borderId="0" xfId="0" applyFont="1" applyAlignment="1">
      <alignment horizontal="left" vertical="top" wrapText="1"/>
    </xf>
  </cellXfs>
  <cellStyles count="1">
    <cellStyle name="Обычный" xfId="0" builtinId="0"/>
  </cellStyles>
  <dxfs count="52">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99"/>
  <sheetViews>
    <sheetView tabSelected="1" topLeftCell="A3" zoomScaleNormal="100" workbookViewId="0">
      <selection activeCell="A197" sqref="A197:XFD197"/>
    </sheetView>
  </sheetViews>
  <sheetFormatPr defaultRowHeight="12.75" x14ac:dyDescent="0.2"/>
  <cols>
    <col min="1" max="1" width="3.28515625" style="1" customWidth="1"/>
    <col min="2" max="2" width="3.42578125" style="1" customWidth="1"/>
    <col min="3" max="77" width="2.85546875" style="1" customWidth="1"/>
    <col min="78" max="78" width="3" style="1" customWidth="1"/>
    <col min="79" max="79" width="4.42578125" style="1" hidden="1" customWidth="1"/>
    <col min="80" max="80" width="2.28515625" style="1" customWidth="1"/>
    <col min="81" max="16384" width="9.140625" style="1"/>
  </cols>
  <sheetData>
    <row r="1" spans="1:64" ht="9" hidden="1" customHeight="1" x14ac:dyDescent="0.2"/>
    <row r="2" spans="1:64" ht="9" customHeight="1" x14ac:dyDescent="0.2">
      <c r="AO2" s="87" t="s">
        <v>59</v>
      </c>
      <c r="AP2" s="87"/>
      <c r="AQ2" s="87"/>
      <c r="AR2" s="87"/>
      <c r="AS2" s="87"/>
      <c r="AT2" s="87"/>
      <c r="AU2" s="87"/>
      <c r="AV2" s="87"/>
      <c r="AW2" s="87"/>
      <c r="AX2" s="87"/>
      <c r="AY2" s="87"/>
      <c r="AZ2" s="87"/>
      <c r="BA2" s="87"/>
      <c r="BB2" s="87"/>
      <c r="BC2" s="87"/>
      <c r="BD2" s="87"/>
      <c r="BE2" s="87"/>
      <c r="BF2" s="87"/>
      <c r="BG2" s="87"/>
      <c r="BH2" s="87"/>
      <c r="BI2" s="87"/>
      <c r="BJ2" s="87"/>
      <c r="BK2" s="87"/>
      <c r="BL2" s="87"/>
    </row>
    <row r="3" spans="1:64" ht="9" customHeight="1" x14ac:dyDescent="0.2">
      <c r="AO3" s="87"/>
      <c r="AP3" s="87"/>
      <c r="AQ3" s="87"/>
      <c r="AR3" s="87"/>
      <c r="AS3" s="87"/>
      <c r="AT3" s="87"/>
      <c r="AU3" s="87"/>
      <c r="AV3" s="87"/>
      <c r="AW3" s="87"/>
      <c r="AX3" s="87"/>
      <c r="AY3" s="87"/>
      <c r="AZ3" s="87"/>
      <c r="BA3" s="87"/>
      <c r="BB3" s="87"/>
      <c r="BC3" s="87"/>
      <c r="BD3" s="87"/>
      <c r="BE3" s="87"/>
      <c r="BF3" s="87"/>
      <c r="BG3" s="87"/>
      <c r="BH3" s="87"/>
      <c r="BI3" s="87"/>
      <c r="BJ3" s="87"/>
      <c r="BK3" s="87"/>
      <c r="BL3" s="87"/>
    </row>
    <row r="4" spans="1:64" ht="15.75" customHeight="1" x14ac:dyDescent="0.2">
      <c r="AO4" s="87"/>
      <c r="AP4" s="87"/>
      <c r="AQ4" s="87"/>
      <c r="AR4" s="87"/>
      <c r="AS4" s="87"/>
      <c r="AT4" s="87"/>
      <c r="AU4" s="87"/>
      <c r="AV4" s="87"/>
      <c r="AW4" s="87"/>
      <c r="AX4" s="87"/>
      <c r="AY4" s="87"/>
      <c r="AZ4" s="87"/>
      <c r="BA4" s="87"/>
      <c r="BB4" s="87"/>
      <c r="BC4" s="87"/>
      <c r="BD4" s="87"/>
      <c r="BE4" s="87"/>
      <c r="BF4" s="87"/>
      <c r="BG4" s="87"/>
      <c r="BH4" s="87"/>
      <c r="BI4" s="87"/>
      <c r="BJ4" s="87"/>
      <c r="BK4" s="87"/>
      <c r="BL4" s="87"/>
    </row>
    <row r="5" spans="1:64" ht="15.75"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87"/>
      <c r="AP5" s="87"/>
      <c r="AQ5" s="87"/>
      <c r="AR5" s="87"/>
      <c r="AS5" s="87"/>
      <c r="AT5" s="87"/>
      <c r="AU5" s="87"/>
      <c r="AV5" s="87"/>
      <c r="AW5" s="87"/>
      <c r="AX5" s="87"/>
      <c r="AY5" s="87"/>
      <c r="AZ5" s="87"/>
      <c r="BA5" s="87"/>
      <c r="BB5" s="87"/>
      <c r="BC5" s="87"/>
      <c r="BD5" s="87"/>
      <c r="BE5" s="87"/>
      <c r="BF5" s="87"/>
      <c r="BG5" s="87"/>
      <c r="BH5" s="87"/>
      <c r="BI5" s="87"/>
      <c r="BJ5" s="87"/>
      <c r="BK5" s="87"/>
      <c r="BL5" s="87"/>
    </row>
    <row r="6" spans="1:64" ht="15.75" customHeight="1"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87"/>
      <c r="AP6" s="87"/>
      <c r="AQ6" s="87"/>
      <c r="AR6" s="87"/>
      <c r="AS6" s="87"/>
      <c r="AT6" s="87"/>
      <c r="AU6" s="87"/>
      <c r="AV6" s="87"/>
      <c r="AW6" s="87"/>
      <c r="AX6" s="87"/>
      <c r="AY6" s="87"/>
      <c r="AZ6" s="87"/>
      <c r="BA6" s="87"/>
      <c r="BB6" s="87"/>
      <c r="BC6" s="87"/>
      <c r="BD6" s="87"/>
      <c r="BE6" s="87"/>
      <c r="BF6" s="87"/>
      <c r="BG6" s="87"/>
      <c r="BH6" s="87"/>
      <c r="BI6" s="87"/>
      <c r="BJ6" s="87"/>
      <c r="BK6" s="87"/>
      <c r="BL6" s="87"/>
    </row>
    <row r="7" spans="1:64" ht="9.75" hidden="1" customHeight="1" x14ac:dyDescent="0.2">
      <c r="A7" s="88"/>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row>
    <row r="8" spans="1:64" ht="9.75" hidden="1" customHeight="1" x14ac:dyDescent="0.2">
      <c r="A8" s="88"/>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row>
    <row r="9" spans="1:64" ht="8.25" hidden="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row>
    <row r="10" spans="1:64" ht="15.75" x14ac:dyDescent="0.2">
      <c r="A10" s="89" t="s">
        <v>18</v>
      </c>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row>
    <row r="11" spans="1:64" ht="15.75" customHeight="1" x14ac:dyDescent="0.2">
      <c r="A11" s="89" t="s">
        <v>35</v>
      </c>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row>
    <row r="12" spans="1:64" ht="15.75" customHeight="1" x14ac:dyDescent="0.2">
      <c r="A12" s="89" t="s">
        <v>208</v>
      </c>
      <c r="B12" s="89"/>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row>
    <row r="13" spans="1:64" ht="6" customHeight="1"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row>
    <row r="14" spans="1:64" ht="17.25" customHeight="1" x14ac:dyDescent="0.2">
      <c r="A14" s="14" t="s">
        <v>7</v>
      </c>
      <c r="B14" s="71" t="s">
        <v>199</v>
      </c>
      <c r="C14" s="72"/>
      <c r="D14" s="72"/>
      <c r="E14" s="72"/>
      <c r="F14" s="72"/>
      <c r="G14" s="72"/>
      <c r="H14" s="72"/>
      <c r="I14" s="72"/>
      <c r="J14" s="72"/>
      <c r="K14" s="72"/>
      <c r="L14" s="72"/>
      <c r="M14" s="15"/>
      <c r="N14" s="76" t="s">
        <v>200</v>
      </c>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16"/>
      <c r="AU14" s="71" t="s">
        <v>205</v>
      </c>
      <c r="AV14" s="72"/>
      <c r="AW14" s="72"/>
      <c r="AX14" s="72"/>
      <c r="AY14" s="72"/>
      <c r="AZ14" s="72"/>
      <c r="BA14" s="72"/>
      <c r="BB14" s="72"/>
      <c r="BC14" s="16"/>
      <c r="BD14" s="16"/>
      <c r="BE14" s="16"/>
      <c r="BF14" s="16"/>
      <c r="BG14" s="16"/>
      <c r="BH14" s="16"/>
      <c r="BI14" s="16"/>
      <c r="BJ14" s="16"/>
      <c r="BK14" s="16"/>
      <c r="BL14" s="16"/>
    </row>
    <row r="15" spans="1:64" ht="21.75" customHeight="1" x14ac:dyDescent="0.2">
      <c r="A15" s="17"/>
      <c r="B15" s="70" t="s">
        <v>51</v>
      </c>
      <c r="C15" s="70"/>
      <c r="D15" s="70"/>
      <c r="E15" s="70"/>
      <c r="F15" s="70"/>
      <c r="G15" s="70"/>
      <c r="H15" s="70"/>
      <c r="I15" s="70"/>
      <c r="J15" s="70"/>
      <c r="K15" s="70"/>
      <c r="L15" s="70"/>
      <c r="M15" s="17"/>
      <c r="N15" s="77" t="s">
        <v>52</v>
      </c>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17"/>
      <c r="AU15" s="70" t="s">
        <v>53</v>
      </c>
      <c r="AV15" s="70"/>
      <c r="AW15" s="70"/>
      <c r="AX15" s="70"/>
      <c r="AY15" s="70"/>
      <c r="AZ15" s="70"/>
      <c r="BA15" s="70"/>
      <c r="BB15" s="70"/>
      <c r="BC15" s="17"/>
      <c r="BD15" s="17"/>
      <c r="BE15" s="17"/>
      <c r="BF15" s="17"/>
      <c r="BG15" s="17"/>
      <c r="BH15" s="17"/>
      <c r="BI15" s="17"/>
      <c r="BJ15" s="17"/>
      <c r="BK15" s="17"/>
      <c r="BL15" s="17"/>
    </row>
    <row r="16" spans="1:64" ht="6"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18"/>
      <c r="BF16" s="18"/>
      <c r="BG16" s="18"/>
      <c r="BH16" s="18"/>
      <c r="BI16" s="18"/>
      <c r="BJ16" s="18"/>
      <c r="BK16" s="18"/>
      <c r="BL16" s="18"/>
    </row>
    <row r="17" spans="1:79" ht="17.25" customHeight="1" x14ac:dyDescent="0.2">
      <c r="A17" s="16" t="s">
        <v>33</v>
      </c>
      <c r="B17" s="71" t="s">
        <v>212</v>
      </c>
      <c r="C17" s="72"/>
      <c r="D17" s="72"/>
      <c r="E17" s="72"/>
      <c r="F17" s="72"/>
      <c r="G17" s="72"/>
      <c r="H17" s="72"/>
      <c r="I17" s="72"/>
      <c r="J17" s="72"/>
      <c r="K17" s="72"/>
      <c r="L17" s="72"/>
      <c r="M17" s="15"/>
      <c r="N17" s="76" t="s">
        <v>211</v>
      </c>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16"/>
      <c r="AU17" s="71" t="s">
        <v>205</v>
      </c>
      <c r="AV17" s="72"/>
      <c r="AW17" s="72"/>
      <c r="AX17" s="72"/>
      <c r="AY17" s="72"/>
      <c r="AZ17" s="72"/>
      <c r="BA17" s="72"/>
      <c r="BB17" s="72"/>
      <c r="BC17" s="19"/>
      <c r="BD17" s="19"/>
      <c r="BE17" s="19"/>
      <c r="BF17" s="19"/>
      <c r="BG17" s="19"/>
      <c r="BH17" s="19"/>
      <c r="BI17" s="19"/>
      <c r="BJ17" s="19"/>
      <c r="BK17" s="19"/>
      <c r="BL17" s="20"/>
    </row>
    <row r="18" spans="1:79" ht="23.25" customHeight="1" x14ac:dyDescent="0.2">
      <c r="A18" s="17"/>
      <c r="B18" s="70" t="s">
        <v>51</v>
      </c>
      <c r="C18" s="70"/>
      <c r="D18" s="70"/>
      <c r="E18" s="70"/>
      <c r="F18" s="70"/>
      <c r="G18" s="70"/>
      <c r="H18" s="70"/>
      <c r="I18" s="70"/>
      <c r="J18" s="70"/>
      <c r="K18" s="70"/>
      <c r="L18" s="70"/>
      <c r="M18" s="17"/>
      <c r="N18" s="77" t="s">
        <v>54</v>
      </c>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17"/>
      <c r="AU18" s="70" t="s">
        <v>53</v>
      </c>
      <c r="AV18" s="70"/>
      <c r="AW18" s="70"/>
      <c r="AX18" s="70"/>
      <c r="AY18" s="70"/>
      <c r="AZ18" s="70"/>
      <c r="BA18" s="70"/>
      <c r="BB18" s="70"/>
      <c r="BC18" s="21"/>
      <c r="BD18" s="21"/>
      <c r="BE18" s="21"/>
      <c r="BF18" s="21"/>
      <c r="BG18" s="21"/>
      <c r="BH18" s="21"/>
      <c r="BI18" s="21"/>
      <c r="BJ18" s="21"/>
      <c r="BK18" s="21"/>
      <c r="BL18" s="21"/>
    </row>
    <row r="19" spans="1:79" ht="6.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57" customHeight="1" x14ac:dyDescent="0.2">
      <c r="A20" s="14" t="s">
        <v>34</v>
      </c>
      <c r="B20" s="71" t="s">
        <v>209</v>
      </c>
      <c r="C20" s="72"/>
      <c r="D20" s="72"/>
      <c r="E20" s="72"/>
      <c r="F20" s="72"/>
      <c r="G20" s="72"/>
      <c r="H20" s="72"/>
      <c r="I20" s="72"/>
      <c r="J20" s="72"/>
      <c r="K20" s="72"/>
      <c r="L20" s="72"/>
      <c r="M20"/>
      <c r="N20" s="71" t="s">
        <v>213</v>
      </c>
      <c r="O20" s="72"/>
      <c r="P20" s="72"/>
      <c r="Q20" s="72"/>
      <c r="R20" s="72"/>
      <c r="S20" s="72"/>
      <c r="T20" s="72"/>
      <c r="U20" s="72"/>
      <c r="V20" s="72"/>
      <c r="W20" s="72"/>
      <c r="X20" s="72"/>
      <c r="Y20" s="72"/>
      <c r="Z20" s="19"/>
      <c r="AA20" s="71" t="s">
        <v>214</v>
      </c>
      <c r="AB20" s="72"/>
      <c r="AC20" s="72"/>
      <c r="AD20" s="72"/>
      <c r="AE20" s="72"/>
      <c r="AF20" s="72"/>
      <c r="AG20" s="72"/>
      <c r="AH20" s="72"/>
      <c r="AI20" s="72"/>
      <c r="AJ20" s="19"/>
      <c r="AK20" s="73" t="s">
        <v>210</v>
      </c>
      <c r="AL20" s="74"/>
      <c r="AM20" s="74"/>
      <c r="AN20" s="74"/>
      <c r="AO20" s="74"/>
      <c r="AP20" s="74"/>
      <c r="AQ20" s="74"/>
      <c r="AR20" s="74"/>
      <c r="AS20" s="74"/>
      <c r="AT20" s="74"/>
      <c r="AU20" s="74"/>
      <c r="AV20" s="74"/>
      <c r="AW20" s="74"/>
      <c r="AX20" s="74"/>
      <c r="AY20" s="74"/>
      <c r="AZ20" s="74"/>
      <c r="BA20" s="74"/>
      <c r="BB20" s="74"/>
      <c r="BC20" s="74"/>
      <c r="BD20" s="19"/>
      <c r="BE20" s="71" t="s">
        <v>206</v>
      </c>
      <c r="BF20" s="72"/>
      <c r="BG20" s="72"/>
      <c r="BH20" s="72"/>
      <c r="BI20" s="72"/>
      <c r="BJ20" s="72"/>
      <c r="BK20" s="72"/>
      <c r="BL20" s="72"/>
    </row>
    <row r="21" spans="1:79" ht="23.25" customHeight="1" x14ac:dyDescent="0.2">
      <c r="A21"/>
      <c r="B21" s="70" t="s">
        <v>51</v>
      </c>
      <c r="C21" s="70"/>
      <c r="D21" s="70"/>
      <c r="E21" s="70"/>
      <c r="F21" s="70"/>
      <c r="G21" s="70"/>
      <c r="H21" s="70"/>
      <c r="I21" s="70"/>
      <c r="J21" s="70"/>
      <c r="K21" s="70"/>
      <c r="L21" s="70"/>
      <c r="M21"/>
      <c r="N21" s="70" t="s">
        <v>55</v>
      </c>
      <c r="O21" s="70"/>
      <c r="P21" s="70"/>
      <c r="Q21" s="70"/>
      <c r="R21" s="70"/>
      <c r="S21" s="70"/>
      <c r="T21" s="70"/>
      <c r="U21" s="70"/>
      <c r="V21" s="70"/>
      <c r="W21" s="70"/>
      <c r="X21" s="70"/>
      <c r="Y21" s="70"/>
      <c r="Z21" s="21"/>
      <c r="AA21" s="75" t="s">
        <v>56</v>
      </c>
      <c r="AB21" s="75"/>
      <c r="AC21" s="75"/>
      <c r="AD21" s="75"/>
      <c r="AE21" s="75"/>
      <c r="AF21" s="75"/>
      <c r="AG21" s="75"/>
      <c r="AH21" s="75"/>
      <c r="AI21" s="75"/>
      <c r="AJ21" s="21"/>
      <c r="AK21" s="82" t="s">
        <v>57</v>
      </c>
      <c r="AL21" s="82"/>
      <c r="AM21" s="82"/>
      <c r="AN21" s="82"/>
      <c r="AO21" s="82"/>
      <c r="AP21" s="82"/>
      <c r="AQ21" s="82"/>
      <c r="AR21" s="82"/>
      <c r="AS21" s="82"/>
      <c r="AT21" s="82"/>
      <c r="AU21" s="82"/>
      <c r="AV21" s="82"/>
      <c r="AW21" s="82"/>
      <c r="AX21" s="82"/>
      <c r="AY21" s="82"/>
      <c r="AZ21" s="82"/>
      <c r="BA21" s="82"/>
      <c r="BB21" s="82"/>
      <c r="BC21" s="82"/>
      <c r="BD21" s="21"/>
      <c r="BE21" s="70" t="s">
        <v>58</v>
      </c>
      <c r="BF21" s="70"/>
      <c r="BG21" s="70"/>
      <c r="BH21" s="70"/>
      <c r="BI21" s="70"/>
      <c r="BJ21" s="70"/>
      <c r="BK21" s="70"/>
      <c r="BL21" s="70"/>
    </row>
    <row r="22" spans="1:79" ht="6.75" customHeight="1" x14ac:dyDescent="0.2"/>
    <row r="23" spans="1:79" ht="15.75" customHeight="1" x14ac:dyDescent="0.2">
      <c r="A23" s="57" t="s">
        <v>77</v>
      </c>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row>
    <row r="24" spans="1:79" ht="18.75" customHeight="1" x14ac:dyDescent="0.2">
      <c r="A24" s="78" t="s">
        <v>3</v>
      </c>
      <c r="B24" s="78"/>
      <c r="C24" s="78"/>
      <c r="D24" s="78"/>
      <c r="E24" s="78"/>
      <c r="F24" s="78"/>
      <c r="G24" s="79" t="s">
        <v>38</v>
      </c>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c r="BK24" s="80"/>
      <c r="BL24" s="81"/>
    </row>
    <row r="25" spans="1:79" ht="10.5" hidden="1" customHeight="1" x14ac:dyDescent="0.2">
      <c r="A25" s="39" t="s">
        <v>36</v>
      </c>
      <c r="B25" s="39"/>
      <c r="C25" s="39"/>
      <c r="D25" s="39"/>
      <c r="E25" s="39"/>
      <c r="F25" s="39"/>
      <c r="G25" s="83" t="s">
        <v>14</v>
      </c>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5"/>
      <c r="CA25" s="1" t="s">
        <v>49</v>
      </c>
    </row>
    <row r="26" spans="1:79" ht="15.75" customHeight="1" x14ac:dyDescent="0.2">
      <c r="A26" s="39">
        <v>1</v>
      </c>
      <c r="B26" s="39"/>
      <c r="C26" s="39"/>
      <c r="D26" s="39"/>
      <c r="E26" s="39"/>
      <c r="F26" s="39"/>
      <c r="G26" s="111" t="s">
        <v>78</v>
      </c>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3"/>
      <c r="CA26" s="1" t="s">
        <v>47</v>
      </c>
    </row>
    <row r="27" spans="1:79" ht="12.75" customHeight="1"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row>
    <row r="28" spans="1:79" ht="15.95" customHeight="1" x14ac:dyDescent="0.2">
      <c r="A28" s="57" t="s">
        <v>40</v>
      </c>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row>
    <row r="29" spans="1:79" ht="31.5" customHeight="1" x14ac:dyDescent="0.2">
      <c r="A29" s="114" t="s">
        <v>196</v>
      </c>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row>
    <row r="30" spans="1:79" ht="12.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row>
    <row r="31" spans="1:79" ht="15.75" customHeight="1" x14ac:dyDescent="0.2">
      <c r="A31" s="57" t="s">
        <v>41</v>
      </c>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row>
    <row r="32" spans="1:79" ht="18" customHeight="1" x14ac:dyDescent="0.2">
      <c r="A32" s="78" t="s">
        <v>3</v>
      </c>
      <c r="B32" s="78"/>
      <c r="C32" s="78"/>
      <c r="D32" s="78"/>
      <c r="E32" s="78"/>
      <c r="F32" s="78"/>
      <c r="G32" s="79" t="s">
        <v>39</v>
      </c>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80"/>
      <c r="BK32" s="80"/>
      <c r="BL32" s="81"/>
    </row>
    <row r="33" spans="1:79" ht="10.5" hidden="1" customHeight="1" x14ac:dyDescent="0.2">
      <c r="A33" s="39" t="s">
        <v>13</v>
      </c>
      <c r="B33" s="39"/>
      <c r="C33" s="39"/>
      <c r="D33" s="39"/>
      <c r="E33" s="39"/>
      <c r="F33" s="39"/>
      <c r="G33" s="83" t="s">
        <v>14</v>
      </c>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5"/>
      <c r="CA33" s="1" t="s">
        <v>50</v>
      </c>
    </row>
    <row r="34" spans="1:79" ht="15" customHeight="1" x14ac:dyDescent="0.2">
      <c r="A34" s="39">
        <v>1</v>
      </c>
      <c r="B34" s="39"/>
      <c r="C34" s="39"/>
      <c r="D34" s="39"/>
      <c r="E34" s="39"/>
      <c r="F34" s="39"/>
      <c r="G34" s="111" t="s">
        <v>79</v>
      </c>
      <c r="H34" s="112"/>
      <c r="I34" s="112"/>
      <c r="J34" s="112"/>
      <c r="K34" s="112"/>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3"/>
      <c r="CA34" s="1" t="s">
        <v>48</v>
      </c>
    </row>
    <row r="36" spans="1:79" ht="15.75" customHeight="1" x14ac:dyDescent="0.2">
      <c r="A36" s="57" t="s">
        <v>72</v>
      </c>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row>
    <row r="37" spans="1:79" ht="15.75" customHeight="1" x14ac:dyDescent="0.2">
      <c r="A37" s="57" t="s">
        <v>73</v>
      </c>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row>
    <row r="38" spans="1:79" ht="15" customHeight="1" x14ac:dyDescent="0.2">
      <c r="A38" s="100" t="s">
        <v>207</v>
      </c>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row>
    <row r="39" spans="1:79" ht="36" customHeight="1" x14ac:dyDescent="0.2">
      <c r="A39" s="63" t="s">
        <v>3</v>
      </c>
      <c r="B39" s="63"/>
      <c r="C39" s="63" t="s">
        <v>67</v>
      </c>
      <c r="D39" s="63"/>
      <c r="E39" s="63"/>
      <c r="F39" s="63"/>
      <c r="G39" s="63"/>
      <c r="H39" s="63"/>
      <c r="I39" s="63"/>
      <c r="J39" s="63"/>
      <c r="K39" s="63"/>
      <c r="L39" s="63"/>
      <c r="M39" s="63"/>
      <c r="N39" s="63"/>
      <c r="O39" s="63"/>
      <c r="P39" s="63"/>
      <c r="Q39" s="63"/>
      <c r="R39" s="63"/>
      <c r="S39" s="63"/>
      <c r="T39" s="63"/>
      <c r="U39" s="63"/>
      <c r="V39" s="63"/>
      <c r="W39" s="63"/>
      <c r="X39" s="63"/>
      <c r="Y39" s="63"/>
      <c r="Z39" s="63"/>
      <c r="AA39" s="63" t="s">
        <v>25</v>
      </c>
      <c r="AB39" s="63"/>
      <c r="AC39" s="63"/>
      <c r="AD39" s="63"/>
      <c r="AE39" s="63"/>
      <c r="AF39" s="63"/>
      <c r="AG39" s="63"/>
      <c r="AH39" s="63"/>
      <c r="AI39" s="63"/>
      <c r="AJ39" s="63"/>
      <c r="AK39" s="63"/>
      <c r="AL39" s="63"/>
      <c r="AM39" s="63"/>
      <c r="AN39" s="63"/>
      <c r="AO39" s="63"/>
      <c r="AP39" s="63" t="s">
        <v>44</v>
      </c>
      <c r="AQ39" s="63"/>
      <c r="AR39" s="63"/>
      <c r="AS39" s="63"/>
      <c r="AT39" s="63"/>
      <c r="AU39" s="63"/>
      <c r="AV39" s="63"/>
      <c r="AW39" s="63"/>
      <c r="AX39" s="63"/>
      <c r="AY39" s="63"/>
      <c r="AZ39" s="63"/>
      <c r="BA39" s="63"/>
      <c r="BB39" s="63"/>
      <c r="BC39" s="63"/>
      <c r="BD39" s="63" t="s">
        <v>0</v>
      </c>
      <c r="BE39" s="63"/>
      <c r="BF39" s="63"/>
      <c r="BG39" s="63"/>
      <c r="BH39" s="63"/>
      <c r="BI39" s="63"/>
      <c r="BJ39" s="63"/>
      <c r="BK39" s="63"/>
      <c r="BL39" s="63"/>
      <c r="BM39" s="63"/>
      <c r="BN39" s="63"/>
      <c r="BO39" s="63"/>
      <c r="BP39" s="63"/>
      <c r="BQ39" s="63"/>
    </row>
    <row r="40" spans="1:79" ht="29.1" customHeight="1" x14ac:dyDescent="0.2">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t="s">
        <v>2</v>
      </c>
      <c r="AB40" s="63"/>
      <c r="AC40" s="63"/>
      <c r="AD40" s="63"/>
      <c r="AE40" s="63"/>
      <c r="AF40" s="63" t="s">
        <v>1</v>
      </c>
      <c r="AG40" s="63"/>
      <c r="AH40" s="63"/>
      <c r="AI40" s="63"/>
      <c r="AJ40" s="63"/>
      <c r="AK40" s="63" t="s">
        <v>26</v>
      </c>
      <c r="AL40" s="63"/>
      <c r="AM40" s="63"/>
      <c r="AN40" s="63"/>
      <c r="AO40" s="63"/>
      <c r="AP40" s="63" t="s">
        <v>2</v>
      </c>
      <c r="AQ40" s="63"/>
      <c r="AR40" s="63"/>
      <c r="AS40" s="63"/>
      <c r="AT40" s="63"/>
      <c r="AU40" s="63" t="s">
        <v>1</v>
      </c>
      <c r="AV40" s="63"/>
      <c r="AW40" s="63"/>
      <c r="AX40" s="63"/>
      <c r="AY40" s="63"/>
      <c r="AZ40" s="63" t="s">
        <v>26</v>
      </c>
      <c r="BA40" s="63"/>
      <c r="BB40" s="63"/>
      <c r="BC40" s="63"/>
      <c r="BD40" s="63" t="s">
        <v>2</v>
      </c>
      <c r="BE40" s="63"/>
      <c r="BF40" s="63"/>
      <c r="BG40" s="63"/>
      <c r="BH40" s="63"/>
      <c r="BI40" s="63" t="s">
        <v>1</v>
      </c>
      <c r="BJ40" s="63"/>
      <c r="BK40" s="63"/>
      <c r="BL40" s="63"/>
      <c r="BM40" s="63"/>
      <c r="BN40" s="63" t="s">
        <v>27</v>
      </c>
      <c r="BO40" s="63"/>
      <c r="BP40" s="63"/>
      <c r="BQ40" s="63"/>
    </row>
    <row r="41" spans="1:79" ht="15.95" customHeight="1" x14ac:dyDescent="0.2">
      <c r="A41" s="63">
        <v>1</v>
      </c>
      <c r="B41" s="63"/>
      <c r="C41" s="63">
        <v>2</v>
      </c>
      <c r="D41" s="63"/>
      <c r="E41" s="63"/>
      <c r="F41" s="63"/>
      <c r="G41" s="63"/>
      <c r="H41" s="63"/>
      <c r="I41" s="63"/>
      <c r="J41" s="63"/>
      <c r="K41" s="63"/>
      <c r="L41" s="63"/>
      <c r="M41" s="63"/>
      <c r="N41" s="63"/>
      <c r="O41" s="63"/>
      <c r="P41" s="63"/>
      <c r="Q41" s="63"/>
      <c r="R41" s="63"/>
      <c r="S41" s="63"/>
      <c r="T41" s="63"/>
      <c r="U41" s="63"/>
      <c r="V41" s="63"/>
      <c r="W41" s="63"/>
      <c r="X41" s="63"/>
      <c r="Y41" s="63"/>
      <c r="Z41" s="63"/>
      <c r="AA41" s="58">
        <v>3</v>
      </c>
      <c r="AB41" s="64"/>
      <c r="AC41" s="64"/>
      <c r="AD41" s="64"/>
      <c r="AE41" s="65"/>
      <c r="AF41" s="58">
        <v>4</v>
      </c>
      <c r="AG41" s="64"/>
      <c r="AH41" s="64"/>
      <c r="AI41" s="64"/>
      <c r="AJ41" s="65"/>
      <c r="AK41" s="58">
        <v>5</v>
      </c>
      <c r="AL41" s="64"/>
      <c r="AM41" s="64"/>
      <c r="AN41" s="64"/>
      <c r="AO41" s="65"/>
      <c r="AP41" s="58">
        <v>6</v>
      </c>
      <c r="AQ41" s="64"/>
      <c r="AR41" s="64"/>
      <c r="AS41" s="64"/>
      <c r="AT41" s="65"/>
      <c r="AU41" s="58">
        <v>7</v>
      </c>
      <c r="AV41" s="64"/>
      <c r="AW41" s="64"/>
      <c r="AX41" s="64"/>
      <c r="AY41" s="65"/>
      <c r="AZ41" s="58">
        <v>8</v>
      </c>
      <c r="BA41" s="64"/>
      <c r="BB41" s="64"/>
      <c r="BC41" s="65"/>
      <c r="BD41" s="58">
        <v>9</v>
      </c>
      <c r="BE41" s="64"/>
      <c r="BF41" s="64"/>
      <c r="BG41" s="64"/>
      <c r="BH41" s="65"/>
      <c r="BI41" s="63">
        <v>10</v>
      </c>
      <c r="BJ41" s="63"/>
      <c r="BK41" s="63"/>
      <c r="BL41" s="63"/>
      <c r="BM41" s="63"/>
      <c r="BN41" s="63">
        <v>11</v>
      </c>
      <c r="BO41" s="63"/>
      <c r="BP41" s="63"/>
      <c r="BQ41" s="63"/>
    </row>
    <row r="42" spans="1:79" ht="15.75" hidden="1" customHeight="1" x14ac:dyDescent="0.2">
      <c r="A42" s="39" t="s">
        <v>13</v>
      </c>
      <c r="B42" s="39"/>
      <c r="C42" s="110" t="s">
        <v>14</v>
      </c>
      <c r="D42" s="110"/>
      <c r="E42" s="110"/>
      <c r="F42" s="110"/>
      <c r="G42" s="110"/>
      <c r="H42" s="110"/>
      <c r="I42" s="110"/>
      <c r="J42" s="110"/>
      <c r="K42" s="110"/>
      <c r="L42" s="110"/>
      <c r="M42" s="110"/>
      <c r="N42" s="110"/>
      <c r="O42" s="110"/>
      <c r="P42" s="110"/>
      <c r="Q42" s="110"/>
      <c r="R42" s="110"/>
      <c r="S42" s="110"/>
      <c r="T42" s="110"/>
      <c r="U42" s="110"/>
      <c r="V42" s="110"/>
      <c r="W42" s="110"/>
      <c r="X42" s="110"/>
      <c r="Y42" s="110"/>
      <c r="Z42" s="56"/>
      <c r="AA42" s="66" t="s">
        <v>10</v>
      </c>
      <c r="AB42" s="66"/>
      <c r="AC42" s="66"/>
      <c r="AD42" s="66"/>
      <c r="AE42" s="66"/>
      <c r="AF42" s="66" t="s">
        <v>9</v>
      </c>
      <c r="AG42" s="66"/>
      <c r="AH42" s="66"/>
      <c r="AI42" s="66"/>
      <c r="AJ42" s="66"/>
      <c r="AK42" s="31" t="s">
        <v>16</v>
      </c>
      <c r="AL42" s="31"/>
      <c r="AM42" s="31"/>
      <c r="AN42" s="31"/>
      <c r="AO42" s="31"/>
      <c r="AP42" s="66" t="s">
        <v>11</v>
      </c>
      <c r="AQ42" s="66"/>
      <c r="AR42" s="66"/>
      <c r="AS42" s="66"/>
      <c r="AT42" s="66"/>
      <c r="AU42" s="66" t="s">
        <v>12</v>
      </c>
      <c r="AV42" s="66"/>
      <c r="AW42" s="66"/>
      <c r="AX42" s="66"/>
      <c r="AY42" s="66"/>
      <c r="AZ42" s="31" t="s">
        <v>16</v>
      </c>
      <c r="BA42" s="31"/>
      <c r="BB42" s="31"/>
      <c r="BC42" s="31"/>
      <c r="BD42" s="39" t="s">
        <v>31</v>
      </c>
      <c r="BE42" s="39"/>
      <c r="BF42" s="39"/>
      <c r="BG42" s="39"/>
      <c r="BH42" s="39"/>
      <c r="BI42" s="39" t="s">
        <v>31</v>
      </c>
      <c r="BJ42" s="39"/>
      <c r="BK42" s="39"/>
      <c r="BL42" s="39"/>
      <c r="BM42" s="39"/>
      <c r="BN42" s="109" t="s">
        <v>16</v>
      </c>
      <c r="BO42" s="109"/>
      <c r="BP42" s="109"/>
      <c r="BQ42" s="109"/>
      <c r="CA42" s="1" t="s">
        <v>19</v>
      </c>
    </row>
    <row r="43" spans="1:79" ht="15" customHeight="1" x14ac:dyDescent="0.2">
      <c r="A43" s="39">
        <v>1</v>
      </c>
      <c r="B43" s="39"/>
      <c r="C43" s="40" t="s">
        <v>80</v>
      </c>
      <c r="D43" s="41"/>
      <c r="E43" s="41"/>
      <c r="F43" s="41"/>
      <c r="G43" s="41"/>
      <c r="H43" s="41"/>
      <c r="I43" s="41"/>
      <c r="J43" s="41"/>
      <c r="K43" s="41"/>
      <c r="L43" s="41"/>
      <c r="M43" s="41"/>
      <c r="N43" s="41"/>
      <c r="O43" s="41"/>
      <c r="P43" s="41"/>
      <c r="Q43" s="41"/>
      <c r="R43" s="41"/>
      <c r="S43" s="41"/>
      <c r="T43" s="41"/>
      <c r="U43" s="41"/>
      <c r="V43" s="41"/>
      <c r="W43" s="41"/>
      <c r="X43" s="41"/>
      <c r="Y43" s="41"/>
      <c r="Z43" s="42"/>
      <c r="AA43" s="47">
        <v>19796680</v>
      </c>
      <c r="AB43" s="47"/>
      <c r="AC43" s="47"/>
      <c r="AD43" s="47"/>
      <c r="AE43" s="47"/>
      <c r="AF43" s="47">
        <v>0</v>
      </c>
      <c r="AG43" s="47"/>
      <c r="AH43" s="47"/>
      <c r="AI43" s="47"/>
      <c r="AJ43" s="47"/>
      <c r="AK43" s="47">
        <f t="shared" ref="AK43:AK74" si="0">AA43+AF43</f>
        <v>19796680</v>
      </c>
      <c r="AL43" s="47"/>
      <c r="AM43" s="47"/>
      <c r="AN43" s="47"/>
      <c r="AO43" s="47"/>
      <c r="AP43" s="47">
        <v>19679841.420000002</v>
      </c>
      <c r="AQ43" s="47"/>
      <c r="AR43" s="47"/>
      <c r="AS43" s="47"/>
      <c r="AT43" s="47"/>
      <c r="AU43" s="47">
        <v>0</v>
      </c>
      <c r="AV43" s="47"/>
      <c r="AW43" s="47"/>
      <c r="AX43" s="47"/>
      <c r="AY43" s="47"/>
      <c r="AZ43" s="47">
        <f t="shared" ref="AZ43:AZ74" si="1">AP43+AU43</f>
        <v>19679841.420000002</v>
      </c>
      <c r="BA43" s="47"/>
      <c r="BB43" s="47"/>
      <c r="BC43" s="47"/>
      <c r="BD43" s="47">
        <f t="shared" ref="BD43:BD74" si="2">AP43-AA43</f>
        <v>-116838.57999999821</v>
      </c>
      <c r="BE43" s="47"/>
      <c r="BF43" s="47"/>
      <c r="BG43" s="47"/>
      <c r="BH43" s="47"/>
      <c r="BI43" s="47">
        <f t="shared" ref="BI43:BI74" si="3">AU43-AF43</f>
        <v>0</v>
      </c>
      <c r="BJ43" s="47"/>
      <c r="BK43" s="47"/>
      <c r="BL43" s="47"/>
      <c r="BM43" s="47"/>
      <c r="BN43" s="47">
        <f t="shared" ref="BN43:BN74" si="4">BD43+BI43</f>
        <v>-116838.57999999821</v>
      </c>
      <c r="BO43" s="47"/>
      <c r="BP43" s="47"/>
      <c r="BQ43" s="47"/>
      <c r="CA43" s="1" t="s">
        <v>20</v>
      </c>
    </row>
    <row r="44" spans="1:79" ht="15" customHeight="1" x14ac:dyDescent="0.2">
      <c r="A44" s="39">
        <v>2</v>
      </c>
      <c r="B44" s="39"/>
      <c r="C44" s="40" t="s">
        <v>81</v>
      </c>
      <c r="D44" s="41"/>
      <c r="E44" s="41"/>
      <c r="F44" s="41"/>
      <c r="G44" s="41"/>
      <c r="H44" s="41"/>
      <c r="I44" s="41"/>
      <c r="J44" s="41"/>
      <c r="K44" s="41"/>
      <c r="L44" s="41"/>
      <c r="M44" s="41"/>
      <c r="N44" s="41"/>
      <c r="O44" s="41"/>
      <c r="P44" s="41"/>
      <c r="Q44" s="41"/>
      <c r="R44" s="41"/>
      <c r="S44" s="41"/>
      <c r="T44" s="41"/>
      <c r="U44" s="41"/>
      <c r="V44" s="41"/>
      <c r="W44" s="41"/>
      <c r="X44" s="41"/>
      <c r="Y44" s="41"/>
      <c r="Z44" s="42"/>
      <c r="AA44" s="47">
        <v>4366470</v>
      </c>
      <c r="AB44" s="47"/>
      <c r="AC44" s="47"/>
      <c r="AD44" s="47"/>
      <c r="AE44" s="47"/>
      <c r="AF44" s="47">
        <v>0</v>
      </c>
      <c r="AG44" s="47"/>
      <c r="AH44" s="47"/>
      <c r="AI44" s="47"/>
      <c r="AJ44" s="47"/>
      <c r="AK44" s="47">
        <f t="shared" si="0"/>
        <v>4366470</v>
      </c>
      <c r="AL44" s="47"/>
      <c r="AM44" s="47"/>
      <c r="AN44" s="47"/>
      <c r="AO44" s="47"/>
      <c r="AP44" s="47">
        <v>4226817.59</v>
      </c>
      <c r="AQ44" s="47"/>
      <c r="AR44" s="47"/>
      <c r="AS44" s="47"/>
      <c r="AT44" s="47"/>
      <c r="AU44" s="47">
        <v>0</v>
      </c>
      <c r="AV44" s="47"/>
      <c r="AW44" s="47"/>
      <c r="AX44" s="47"/>
      <c r="AY44" s="47"/>
      <c r="AZ44" s="47">
        <f t="shared" si="1"/>
        <v>4226817.59</v>
      </c>
      <c r="BA44" s="47"/>
      <c r="BB44" s="47"/>
      <c r="BC44" s="47"/>
      <c r="BD44" s="47">
        <f t="shared" si="2"/>
        <v>-139652.41000000015</v>
      </c>
      <c r="BE44" s="47"/>
      <c r="BF44" s="47"/>
      <c r="BG44" s="47"/>
      <c r="BH44" s="47"/>
      <c r="BI44" s="47">
        <f t="shared" si="3"/>
        <v>0</v>
      </c>
      <c r="BJ44" s="47"/>
      <c r="BK44" s="47"/>
      <c r="BL44" s="47"/>
      <c r="BM44" s="47"/>
      <c r="BN44" s="47">
        <f t="shared" si="4"/>
        <v>-139652.41000000015</v>
      </c>
      <c r="BO44" s="47"/>
      <c r="BP44" s="47"/>
      <c r="BQ44" s="47"/>
    </row>
    <row r="45" spans="1:79" ht="15" customHeight="1" x14ac:dyDescent="0.2">
      <c r="A45" s="39">
        <v>3</v>
      </c>
      <c r="B45" s="39"/>
      <c r="C45" s="40" t="s">
        <v>82</v>
      </c>
      <c r="D45" s="41"/>
      <c r="E45" s="41"/>
      <c r="F45" s="41"/>
      <c r="G45" s="41"/>
      <c r="H45" s="41"/>
      <c r="I45" s="41"/>
      <c r="J45" s="41"/>
      <c r="K45" s="41"/>
      <c r="L45" s="41"/>
      <c r="M45" s="41"/>
      <c r="N45" s="41"/>
      <c r="O45" s="41"/>
      <c r="P45" s="41"/>
      <c r="Q45" s="41"/>
      <c r="R45" s="41"/>
      <c r="S45" s="41"/>
      <c r="T45" s="41"/>
      <c r="U45" s="41"/>
      <c r="V45" s="41"/>
      <c r="W45" s="41"/>
      <c r="X45" s="41"/>
      <c r="Y45" s="41"/>
      <c r="Z45" s="42"/>
      <c r="AA45" s="47">
        <v>9081</v>
      </c>
      <c r="AB45" s="47"/>
      <c r="AC45" s="47"/>
      <c r="AD45" s="47"/>
      <c r="AE45" s="47"/>
      <c r="AF45" s="47">
        <v>250000</v>
      </c>
      <c r="AG45" s="47"/>
      <c r="AH45" s="47"/>
      <c r="AI45" s="47"/>
      <c r="AJ45" s="47"/>
      <c r="AK45" s="47">
        <f t="shared" si="0"/>
        <v>259081</v>
      </c>
      <c r="AL45" s="47"/>
      <c r="AM45" s="47"/>
      <c r="AN45" s="47"/>
      <c r="AO45" s="47"/>
      <c r="AP45" s="47">
        <v>9081</v>
      </c>
      <c r="AQ45" s="47"/>
      <c r="AR45" s="47"/>
      <c r="AS45" s="47"/>
      <c r="AT45" s="47"/>
      <c r="AU45" s="47">
        <v>581028</v>
      </c>
      <c r="AV45" s="47"/>
      <c r="AW45" s="47"/>
      <c r="AX45" s="47"/>
      <c r="AY45" s="47"/>
      <c r="AZ45" s="47">
        <f t="shared" si="1"/>
        <v>590109</v>
      </c>
      <c r="BA45" s="47"/>
      <c r="BB45" s="47"/>
      <c r="BC45" s="47"/>
      <c r="BD45" s="47">
        <f t="shared" si="2"/>
        <v>0</v>
      </c>
      <c r="BE45" s="47"/>
      <c r="BF45" s="47"/>
      <c r="BG45" s="47"/>
      <c r="BH45" s="47"/>
      <c r="BI45" s="47">
        <f t="shared" si="3"/>
        <v>331028</v>
      </c>
      <c r="BJ45" s="47"/>
      <c r="BK45" s="47"/>
      <c r="BL45" s="47"/>
      <c r="BM45" s="47"/>
      <c r="BN45" s="47">
        <f t="shared" si="4"/>
        <v>331028</v>
      </c>
      <c r="BO45" s="47"/>
      <c r="BP45" s="47"/>
      <c r="BQ45" s="47"/>
    </row>
    <row r="46" spans="1:79" ht="15" customHeight="1" x14ac:dyDescent="0.2">
      <c r="A46" s="39">
        <v>4</v>
      </c>
      <c r="B46" s="39"/>
      <c r="C46" s="40" t="s">
        <v>83</v>
      </c>
      <c r="D46" s="41"/>
      <c r="E46" s="41"/>
      <c r="F46" s="41"/>
      <c r="G46" s="41"/>
      <c r="H46" s="41"/>
      <c r="I46" s="41"/>
      <c r="J46" s="41"/>
      <c r="K46" s="41"/>
      <c r="L46" s="41"/>
      <c r="M46" s="41"/>
      <c r="N46" s="41"/>
      <c r="O46" s="41"/>
      <c r="P46" s="41"/>
      <c r="Q46" s="41"/>
      <c r="R46" s="41"/>
      <c r="S46" s="41"/>
      <c r="T46" s="41"/>
      <c r="U46" s="41"/>
      <c r="V46" s="41"/>
      <c r="W46" s="41"/>
      <c r="X46" s="41"/>
      <c r="Y46" s="41"/>
      <c r="Z46" s="42"/>
      <c r="AA46" s="47">
        <v>7000</v>
      </c>
      <c r="AB46" s="47"/>
      <c r="AC46" s="47"/>
      <c r="AD46" s="47"/>
      <c r="AE46" s="47"/>
      <c r="AF46" s="47">
        <v>0</v>
      </c>
      <c r="AG46" s="47"/>
      <c r="AH46" s="47"/>
      <c r="AI46" s="47"/>
      <c r="AJ46" s="47"/>
      <c r="AK46" s="47">
        <f t="shared" si="0"/>
        <v>7000</v>
      </c>
      <c r="AL46" s="47"/>
      <c r="AM46" s="47"/>
      <c r="AN46" s="47"/>
      <c r="AO46" s="47"/>
      <c r="AP46" s="47">
        <v>0</v>
      </c>
      <c r="AQ46" s="47"/>
      <c r="AR46" s="47"/>
      <c r="AS46" s="47"/>
      <c r="AT46" s="47"/>
      <c r="AU46" s="47">
        <v>0</v>
      </c>
      <c r="AV46" s="47"/>
      <c r="AW46" s="47"/>
      <c r="AX46" s="47"/>
      <c r="AY46" s="47"/>
      <c r="AZ46" s="47">
        <f t="shared" si="1"/>
        <v>0</v>
      </c>
      <c r="BA46" s="47"/>
      <c r="BB46" s="47"/>
      <c r="BC46" s="47"/>
      <c r="BD46" s="47">
        <f t="shared" si="2"/>
        <v>-7000</v>
      </c>
      <c r="BE46" s="47"/>
      <c r="BF46" s="47"/>
      <c r="BG46" s="47"/>
      <c r="BH46" s="47"/>
      <c r="BI46" s="47">
        <f t="shared" si="3"/>
        <v>0</v>
      </c>
      <c r="BJ46" s="47"/>
      <c r="BK46" s="47"/>
      <c r="BL46" s="47"/>
      <c r="BM46" s="47"/>
      <c r="BN46" s="47">
        <f t="shared" si="4"/>
        <v>-7000</v>
      </c>
      <c r="BO46" s="47"/>
      <c r="BP46" s="47"/>
      <c r="BQ46" s="47"/>
    </row>
    <row r="47" spans="1:79" ht="15" customHeight="1" x14ac:dyDescent="0.2">
      <c r="A47" s="39">
        <v>5</v>
      </c>
      <c r="B47" s="39"/>
      <c r="C47" s="40" t="s">
        <v>84</v>
      </c>
      <c r="D47" s="41"/>
      <c r="E47" s="41"/>
      <c r="F47" s="41"/>
      <c r="G47" s="41"/>
      <c r="H47" s="41"/>
      <c r="I47" s="41"/>
      <c r="J47" s="41"/>
      <c r="K47" s="41"/>
      <c r="L47" s="41"/>
      <c r="M47" s="41"/>
      <c r="N47" s="41"/>
      <c r="O47" s="41"/>
      <c r="P47" s="41"/>
      <c r="Q47" s="41"/>
      <c r="R47" s="41"/>
      <c r="S47" s="41"/>
      <c r="T47" s="41"/>
      <c r="U47" s="41"/>
      <c r="V47" s="41"/>
      <c r="W47" s="41"/>
      <c r="X47" s="41"/>
      <c r="Y47" s="41"/>
      <c r="Z47" s="42"/>
      <c r="AA47" s="47">
        <v>91150</v>
      </c>
      <c r="AB47" s="47"/>
      <c r="AC47" s="47"/>
      <c r="AD47" s="47"/>
      <c r="AE47" s="47"/>
      <c r="AF47" s="47">
        <v>0</v>
      </c>
      <c r="AG47" s="47"/>
      <c r="AH47" s="47"/>
      <c r="AI47" s="47"/>
      <c r="AJ47" s="47"/>
      <c r="AK47" s="47">
        <f t="shared" si="0"/>
        <v>91150</v>
      </c>
      <c r="AL47" s="47"/>
      <c r="AM47" s="47"/>
      <c r="AN47" s="47"/>
      <c r="AO47" s="47"/>
      <c r="AP47" s="47">
        <v>83400</v>
      </c>
      <c r="AQ47" s="47"/>
      <c r="AR47" s="47"/>
      <c r="AS47" s="47"/>
      <c r="AT47" s="47"/>
      <c r="AU47" s="47">
        <v>0</v>
      </c>
      <c r="AV47" s="47"/>
      <c r="AW47" s="47"/>
      <c r="AX47" s="47"/>
      <c r="AY47" s="47"/>
      <c r="AZ47" s="47">
        <f t="shared" si="1"/>
        <v>83400</v>
      </c>
      <c r="BA47" s="47"/>
      <c r="BB47" s="47"/>
      <c r="BC47" s="47"/>
      <c r="BD47" s="47">
        <f t="shared" si="2"/>
        <v>-7750</v>
      </c>
      <c r="BE47" s="47"/>
      <c r="BF47" s="47"/>
      <c r="BG47" s="47"/>
      <c r="BH47" s="47"/>
      <c r="BI47" s="47">
        <f t="shared" si="3"/>
        <v>0</v>
      </c>
      <c r="BJ47" s="47"/>
      <c r="BK47" s="47"/>
      <c r="BL47" s="47"/>
      <c r="BM47" s="47"/>
      <c r="BN47" s="47">
        <f t="shared" si="4"/>
        <v>-7750</v>
      </c>
      <c r="BO47" s="47"/>
      <c r="BP47" s="47"/>
      <c r="BQ47" s="47"/>
    </row>
    <row r="48" spans="1:79" ht="15" customHeight="1" x14ac:dyDescent="0.2">
      <c r="A48" s="39">
        <v>6</v>
      </c>
      <c r="B48" s="39"/>
      <c r="C48" s="40" t="s">
        <v>85</v>
      </c>
      <c r="D48" s="41"/>
      <c r="E48" s="41"/>
      <c r="F48" s="41"/>
      <c r="G48" s="41"/>
      <c r="H48" s="41"/>
      <c r="I48" s="41"/>
      <c r="J48" s="41"/>
      <c r="K48" s="41"/>
      <c r="L48" s="41"/>
      <c r="M48" s="41"/>
      <c r="N48" s="41"/>
      <c r="O48" s="41"/>
      <c r="P48" s="41"/>
      <c r="Q48" s="41"/>
      <c r="R48" s="41"/>
      <c r="S48" s="41"/>
      <c r="T48" s="41"/>
      <c r="U48" s="41"/>
      <c r="V48" s="41"/>
      <c r="W48" s="41"/>
      <c r="X48" s="41"/>
      <c r="Y48" s="41"/>
      <c r="Z48" s="42"/>
      <c r="AA48" s="47">
        <v>15000</v>
      </c>
      <c r="AB48" s="47"/>
      <c r="AC48" s="47"/>
      <c r="AD48" s="47"/>
      <c r="AE48" s="47"/>
      <c r="AF48" s="47">
        <v>0</v>
      </c>
      <c r="AG48" s="47"/>
      <c r="AH48" s="47"/>
      <c r="AI48" s="47"/>
      <c r="AJ48" s="47"/>
      <c r="AK48" s="47">
        <f t="shared" si="0"/>
        <v>15000</v>
      </c>
      <c r="AL48" s="47"/>
      <c r="AM48" s="47"/>
      <c r="AN48" s="47"/>
      <c r="AO48" s="47"/>
      <c r="AP48" s="47">
        <v>15000</v>
      </c>
      <c r="AQ48" s="47"/>
      <c r="AR48" s="47"/>
      <c r="AS48" s="47"/>
      <c r="AT48" s="47"/>
      <c r="AU48" s="47">
        <v>0</v>
      </c>
      <c r="AV48" s="47"/>
      <c r="AW48" s="47"/>
      <c r="AX48" s="47"/>
      <c r="AY48" s="47"/>
      <c r="AZ48" s="47">
        <f t="shared" si="1"/>
        <v>15000</v>
      </c>
      <c r="BA48" s="47"/>
      <c r="BB48" s="47"/>
      <c r="BC48" s="47"/>
      <c r="BD48" s="47">
        <f t="shared" si="2"/>
        <v>0</v>
      </c>
      <c r="BE48" s="47"/>
      <c r="BF48" s="47"/>
      <c r="BG48" s="47"/>
      <c r="BH48" s="47"/>
      <c r="BI48" s="47">
        <f t="shared" si="3"/>
        <v>0</v>
      </c>
      <c r="BJ48" s="47"/>
      <c r="BK48" s="47"/>
      <c r="BL48" s="47"/>
      <c r="BM48" s="47"/>
      <c r="BN48" s="47">
        <f t="shared" si="4"/>
        <v>0</v>
      </c>
      <c r="BO48" s="47"/>
      <c r="BP48" s="47"/>
      <c r="BQ48" s="47"/>
    </row>
    <row r="49" spans="1:69" ht="15" customHeight="1" x14ac:dyDescent="0.2">
      <c r="A49" s="39">
        <v>7</v>
      </c>
      <c r="B49" s="39"/>
      <c r="C49" s="40" t="s">
        <v>86</v>
      </c>
      <c r="D49" s="41"/>
      <c r="E49" s="41"/>
      <c r="F49" s="41"/>
      <c r="G49" s="41"/>
      <c r="H49" s="41"/>
      <c r="I49" s="41"/>
      <c r="J49" s="41"/>
      <c r="K49" s="41"/>
      <c r="L49" s="41"/>
      <c r="M49" s="41"/>
      <c r="N49" s="41"/>
      <c r="O49" s="41"/>
      <c r="P49" s="41"/>
      <c r="Q49" s="41"/>
      <c r="R49" s="41"/>
      <c r="S49" s="41"/>
      <c r="T49" s="41"/>
      <c r="U49" s="41"/>
      <c r="V49" s="41"/>
      <c r="W49" s="41"/>
      <c r="X49" s="41"/>
      <c r="Y49" s="41"/>
      <c r="Z49" s="42"/>
      <c r="AA49" s="47">
        <v>896890</v>
      </c>
      <c r="AB49" s="47"/>
      <c r="AC49" s="47"/>
      <c r="AD49" s="47"/>
      <c r="AE49" s="47"/>
      <c r="AF49" s="47">
        <v>0</v>
      </c>
      <c r="AG49" s="47"/>
      <c r="AH49" s="47"/>
      <c r="AI49" s="47"/>
      <c r="AJ49" s="47"/>
      <c r="AK49" s="47">
        <f t="shared" si="0"/>
        <v>896890</v>
      </c>
      <c r="AL49" s="47"/>
      <c r="AM49" s="47"/>
      <c r="AN49" s="47"/>
      <c r="AO49" s="47"/>
      <c r="AP49" s="47">
        <v>896890</v>
      </c>
      <c r="AQ49" s="47"/>
      <c r="AR49" s="47"/>
      <c r="AS49" s="47"/>
      <c r="AT49" s="47"/>
      <c r="AU49" s="47">
        <v>0</v>
      </c>
      <c r="AV49" s="47"/>
      <c r="AW49" s="47"/>
      <c r="AX49" s="47"/>
      <c r="AY49" s="47"/>
      <c r="AZ49" s="47">
        <f t="shared" si="1"/>
        <v>896890</v>
      </c>
      <c r="BA49" s="47"/>
      <c r="BB49" s="47"/>
      <c r="BC49" s="47"/>
      <c r="BD49" s="47">
        <f t="shared" si="2"/>
        <v>0</v>
      </c>
      <c r="BE49" s="47"/>
      <c r="BF49" s="47"/>
      <c r="BG49" s="47"/>
      <c r="BH49" s="47"/>
      <c r="BI49" s="47">
        <f t="shared" si="3"/>
        <v>0</v>
      </c>
      <c r="BJ49" s="47"/>
      <c r="BK49" s="47"/>
      <c r="BL49" s="47"/>
      <c r="BM49" s="47"/>
      <c r="BN49" s="47">
        <f t="shared" si="4"/>
        <v>0</v>
      </c>
      <c r="BO49" s="47"/>
      <c r="BP49" s="47"/>
      <c r="BQ49" s="47"/>
    </row>
    <row r="50" spans="1:69" ht="15" customHeight="1" x14ac:dyDescent="0.2">
      <c r="A50" s="39">
        <v>8</v>
      </c>
      <c r="B50" s="39"/>
      <c r="C50" s="40" t="s">
        <v>87</v>
      </c>
      <c r="D50" s="41"/>
      <c r="E50" s="41"/>
      <c r="F50" s="41"/>
      <c r="G50" s="41"/>
      <c r="H50" s="41"/>
      <c r="I50" s="41"/>
      <c r="J50" s="41"/>
      <c r="K50" s="41"/>
      <c r="L50" s="41"/>
      <c r="M50" s="41"/>
      <c r="N50" s="41"/>
      <c r="O50" s="41"/>
      <c r="P50" s="41"/>
      <c r="Q50" s="41"/>
      <c r="R50" s="41"/>
      <c r="S50" s="41"/>
      <c r="T50" s="41"/>
      <c r="U50" s="41"/>
      <c r="V50" s="41"/>
      <c r="W50" s="41"/>
      <c r="X50" s="41"/>
      <c r="Y50" s="41"/>
      <c r="Z50" s="42"/>
      <c r="AA50" s="47">
        <v>99900</v>
      </c>
      <c r="AB50" s="47"/>
      <c r="AC50" s="47"/>
      <c r="AD50" s="47"/>
      <c r="AE50" s="47"/>
      <c r="AF50" s="47">
        <v>99900</v>
      </c>
      <c r="AG50" s="47"/>
      <c r="AH50" s="47"/>
      <c r="AI50" s="47"/>
      <c r="AJ50" s="47"/>
      <c r="AK50" s="47">
        <f t="shared" si="0"/>
        <v>199800</v>
      </c>
      <c r="AL50" s="47"/>
      <c r="AM50" s="47"/>
      <c r="AN50" s="47"/>
      <c r="AO50" s="47"/>
      <c r="AP50" s="47">
        <v>6099</v>
      </c>
      <c r="AQ50" s="47"/>
      <c r="AR50" s="47"/>
      <c r="AS50" s="47"/>
      <c r="AT50" s="47"/>
      <c r="AU50" s="47">
        <v>78187</v>
      </c>
      <c r="AV50" s="47"/>
      <c r="AW50" s="47"/>
      <c r="AX50" s="47"/>
      <c r="AY50" s="47"/>
      <c r="AZ50" s="47">
        <f t="shared" si="1"/>
        <v>84286</v>
      </c>
      <c r="BA50" s="47"/>
      <c r="BB50" s="47"/>
      <c r="BC50" s="47"/>
      <c r="BD50" s="47">
        <f t="shared" si="2"/>
        <v>-93801</v>
      </c>
      <c r="BE50" s="47"/>
      <c r="BF50" s="47"/>
      <c r="BG50" s="47"/>
      <c r="BH50" s="47"/>
      <c r="BI50" s="47">
        <f t="shared" si="3"/>
        <v>-21713</v>
      </c>
      <c r="BJ50" s="47"/>
      <c r="BK50" s="47"/>
      <c r="BL50" s="47"/>
      <c r="BM50" s="47"/>
      <c r="BN50" s="47">
        <f t="shared" si="4"/>
        <v>-115514</v>
      </c>
      <c r="BO50" s="47"/>
      <c r="BP50" s="47"/>
      <c r="BQ50" s="47"/>
    </row>
    <row r="51" spans="1:69" ht="15" customHeight="1" x14ac:dyDescent="0.2">
      <c r="A51" s="39">
        <v>9</v>
      </c>
      <c r="B51" s="39"/>
      <c r="C51" s="40" t="s">
        <v>88</v>
      </c>
      <c r="D51" s="41"/>
      <c r="E51" s="41"/>
      <c r="F51" s="41"/>
      <c r="G51" s="41"/>
      <c r="H51" s="41"/>
      <c r="I51" s="41"/>
      <c r="J51" s="41"/>
      <c r="K51" s="41"/>
      <c r="L51" s="41"/>
      <c r="M51" s="41"/>
      <c r="N51" s="41"/>
      <c r="O51" s="41"/>
      <c r="P51" s="41"/>
      <c r="Q51" s="41"/>
      <c r="R51" s="41"/>
      <c r="S51" s="41"/>
      <c r="T51" s="41"/>
      <c r="U51" s="41"/>
      <c r="V51" s="41"/>
      <c r="W51" s="41"/>
      <c r="X51" s="41"/>
      <c r="Y51" s="41"/>
      <c r="Z51" s="42"/>
      <c r="AA51" s="47">
        <v>77417</v>
      </c>
      <c r="AB51" s="47"/>
      <c r="AC51" s="47"/>
      <c r="AD51" s="47"/>
      <c r="AE51" s="47"/>
      <c r="AF51" s="47">
        <v>0</v>
      </c>
      <c r="AG51" s="47"/>
      <c r="AH51" s="47"/>
      <c r="AI51" s="47"/>
      <c r="AJ51" s="47"/>
      <c r="AK51" s="47">
        <f t="shared" si="0"/>
        <v>77417</v>
      </c>
      <c r="AL51" s="47"/>
      <c r="AM51" s="47"/>
      <c r="AN51" s="47"/>
      <c r="AO51" s="47"/>
      <c r="AP51" s="47">
        <v>77323</v>
      </c>
      <c r="AQ51" s="47"/>
      <c r="AR51" s="47"/>
      <c r="AS51" s="47"/>
      <c r="AT51" s="47"/>
      <c r="AU51" s="47">
        <v>0</v>
      </c>
      <c r="AV51" s="47"/>
      <c r="AW51" s="47"/>
      <c r="AX51" s="47"/>
      <c r="AY51" s="47"/>
      <c r="AZ51" s="47">
        <f t="shared" si="1"/>
        <v>77323</v>
      </c>
      <c r="BA51" s="47"/>
      <c r="BB51" s="47"/>
      <c r="BC51" s="47"/>
      <c r="BD51" s="47">
        <f t="shared" si="2"/>
        <v>-94</v>
      </c>
      <c r="BE51" s="47"/>
      <c r="BF51" s="47"/>
      <c r="BG51" s="47"/>
      <c r="BH51" s="47"/>
      <c r="BI51" s="47">
        <f t="shared" si="3"/>
        <v>0</v>
      </c>
      <c r="BJ51" s="47"/>
      <c r="BK51" s="47"/>
      <c r="BL51" s="47"/>
      <c r="BM51" s="47"/>
      <c r="BN51" s="47">
        <f t="shared" si="4"/>
        <v>-94</v>
      </c>
      <c r="BO51" s="47"/>
      <c r="BP51" s="47"/>
      <c r="BQ51" s="47"/>
    </row>
    <row r="52" spans="1:69" ht="25.5" customHeight="1" x14ac:dyDescent="0.2">
      <c r="A52" s="39">
        <v>10</v>
      </c>
      <c r="B52" s="39"/>
      <c r="C52" s="40" t="s">
        <v>89</v>
      </c>
      <c r="D52" s="41"/>
      <c r="E52" s="41"/>
      <c r="F52" s="41"/>
      <c r="G52" s="41"/>
      <c r="H52" s="41"/>
      <c r="I52" s="41"/>
      <c r="J52" s="41"/>
      <c r="K52" s="41"/>
      <c r="L52" s="41"/>
      <c r="M52" s="41"/>
      <c r="N52" s="41"/>
      <c r="O52" s="41"/>
      <c r="P52" s="41"/>
      <c r="Q52" s="41"/>
      <c r="R52" s="41"/>
      <c r="S52" s="41"/>
      <c r="T52" s="41"/>
      <c r="U52" s="41"/>
      <c r="V52" s="41"/>
      <c r="W52" s="41"/>
      <c r="X52" s="41"/>
      <c r="Y52" s="41"/>
      <c r="Z52" s="42"/>
      <c r="AA52" s="47">
        <v>99900</v>
      </c>
      <c r="AB52" s="47"/>
      <c r="AC52" s="47"/>
      <c r="AD52" s="47"/>
      <c r="AE52" s="47"/>
      <c r="AF52" s="47">
        <v>0</v>
      </c>
      <c r="AG52" s="47"/>
      <c r="AH52" s="47"/>
      <c r="AI52" s="47"/>
      <c r="AJ52" s="47"/>
      <c r="AK52" s="47">
        <f t="shared" si="0"/>
        <v>99900</v>
      </c>
      <c r="AL52" s="47"/>
      <c r="AM52" s="47"/>
      <c r="AN52" s="47"/>
      <c r="AO52" s="47"/>
      <c r="AP52" s="47">
        <v>77190</v>
      </c>
      <c r="AQ52" s="47"/>
      <c r="AR52" s="47"/>
      <c r="AS52" s="47"/>
      <c r="AT52" s="47"/>
      <c r="AU52" s="47">
        <v>0</v>
      </c>
      <c r="AV52" s="47"/>
      <c r="AW52" s="47"/>
      <c r="AX52" s="47"/>
      <c r="AY52" s="47"/>
      <c r="AZ52" s="47">
        <f t="shared" si="1"/>
        <v>77190</v>
      </c>
      <c r="BA52" s="47"/>
      <c r="BB52" s="47"/>
      <c r="BC52" s="47"/>
      <c r="BD52" s="47">
        <f t="shared" si="2"/>
        <v>-22710</v>
      </c>
      <c r="BE52" s="47"/>
      <c r="BF52" s="47"/>
      <c r="BG52" s="47"/>
      <c r="BH52" s="47"/>
      <c r="BI52" s="47">
        <f t="shared" si="3"/>
        <v>0</v>
      </c>
      <c r="BJ52" s="47"/>
      <c r="BK52" s="47"/>
      <c r="BL52" s="47"/>
      <c r="BM52" s="47"/>
      <c r="BN52" s="47">
        <f t="shared" si="4"/>
        <v>-22710</v>
      </c>
      <c r="BO52" s="47"/>
      <c r="BP52" s="47"/>
      <c r="BQ52" s="47"/>
    </row>
    <row r="53" spans="1:69" ht="15" customHeight="1" x14ac:dyDescent="0.2">
      <c r="A53" s="39">
        <v>11</v>
      </c>
      <c r="B53" s="39"/>
      <c r="C53" s="40" t="s">
        <v>90</v>
      </c>
      <c r="D53" s="41"/>
      <c r="E53" s="41"/>
      <c r="F53" s="41"/>
      <c r="G53" s="41"/>
      <c r="H53" s="41"/>
      <c r="I53" s="41"/>
      <c r="J53" s="41"/>
      <c r="K53" s="41"/>
      <c r="L53" s="41"/>
      <c r="M53" s="41"/>
      <c r="N53" s="41"/>
      <c r="O53" s="41"/>
      <c r="P53" s="41"/>
      <c r="Q53" s="41"/>
      <c r="R53" s="41"/>
      <c r="S53" s="41"/>
      <c r="T53" s="41"/>
      <c r="U53" s="41"/>
      <c r="V53" s="41"/>
      <c r="W53" s="41"/>
      <c r="X53" s="41"/>
      <c r="Y53" s="41"/>
      <c r="Z53" s="42"/>
      <c r="AA53" s="47">
        <v>99900</v>
      </c>
      <c r="AB53" s="47"/>
      <c r="AC53" s="47"/>
      <c r="AD53" s="47"/>
      <c r="AE53" s="47"/>
      <c r="AF53" s="47">
        <v>0</v>
      </c>
      <c r="AG53" s="47"/>
      <c r="AH53" s="47"/>
      <c r="AI53" s="47"/>
      <c r="AJ53" s="47"/>
      <c r="AK53" s="47">
        <f t="shared" si="0"/>
        <v>99900</v>
      </c>
      <c r="AL53" s="47"/>
      <c r="AM53" s="47"/>
      <c r="AN53" s="47"/>
      <c r="AO53" s="47"/>
      <c r="AP53" s="47">
        <v>99900</v>
      </c>
      <c r="AQ53" s="47"/>
      <c r="AR53" s="47"/>
      <c r="AS53" s="47"/>
      <c r="AT53" s="47"/>
      <c r="AU53" s="47">
        <v>0</v>
      </c>
      <c r="AV53" s="47"/>
      <c r="AW53" s="47"/>
      <c r="AX53" s="47"/>
      <c r="AY53" s="47"/>
      <c r="AZ53" s="47">
        <f t="shared" si="1"/>
        <v>99900</v>
      </c>
      <c r="BA53" s="47"/>
      <c r="BB53" s="47"/>
      <c r="BC53" s="47"/>
      <c r="BD53" s="47">
        <f t="shared" si="2"/>
        <v>0</v>
      </c>
      <c r="BE53" s="47"/>
      <c r="BF53" s="47"/>
      <c r="BG53" s="47"/>
      <c r="BH53" s="47"/>
      <c r="BI53" s="47">
        <f t="shared" si="3"/>
        <v>0</v>
      </c>
      <c r="BJ53" s="47"/>
      <c r="BK53" s="47"/>
      <c r="BL53" s="47"/>
      <c r="BM53" s="47"/>
      <c r="BN53" s="47">
        <f t="shared" si="4"/>
        <v>0</v>
      </c>
      <c r="BO53" s="47"/>
      <c r="BP53" s="47"/>
      <c r="BQ53" s="47"/>
    </row>
    <row r="54" spans="1:69" ht="15" customHeight="1" x14ac:dyDescent="0.2">
      <c r="A54" s="39">
        <v>12</v>
      </c>
      <c r="B54" s="39"/>
      <c r="C54" s="40" t="s">
        <v>91</v>
      </c>
      <c r="D54" s="41"/>
      <c r="E54" s="41"/>
      <c r="F54" s="41"/>
      <c r="G54" s="41"/>
      <c r="H54" s="41"/>
      <c r="I54" s="41"/>
      <c r="J54" s="41"/>
      <c r="K54" s="41"/>
      <c r="L54" s="41"/>
      <c r="M54" s="41"/>
      <c r="N54" s="41"/>
      <c r="O54" s="41"/>
      <c r="P54" s="41"/>
      <c r="Q54" s="41"/>
      <c r="R54" s="41"/>
      <c r="S54" s="41"/>
      <c r="T54" s="41"/>
      <c r="U54" s="41"/>
      <c r="V54" s="41"/>
      <c r="W54" s="41"/>
      <c r="X54" s="41"/>
      <c r="Y54" s="41"/>
      <c r="Z54" s="42"/>
      <c r="AA54" s="47">
        <v>2000</v>
      </c>
      <c r="AB54" s="47"/>
      <c r="AC54" s="47"/>
      <c r="AD54" s="47"/>
      <c r="AE54" s="47"/>
      <c r="AF54" s="47">
        <v>0</v>
      </c>
      <c r="AG54" s="47"/>
      <c r="AH54" s="47"/>
      <c r="AI54" s="47"/>
      <c r="AJ54" s="47"/>
      <c r="AK54" s="47">
        <f t="shared" si="0"/>
        <v>2000</v>
      </c>
      <c r="AL54" s="47"/>
      <c r="AM54" s="47"/>
      <c r="AN54" s="47"/>
      <c r="AO54" s="47"/>
      <c r="AP54" s="47">
        <v>0</v>
      </c>
      <c r="AQ54" s="47"/>
      <c r="AR54" s="47"/>
      <c r="AS54" s="47"/>
      <c r="AT54" s="47"/>
      <c r="AU54" s="47">
        <v>0</v>
      </c>
      <c r="AV54" s="47"/>
      <c r="AW54" s="47"/>
      <c r="AX54" s="47"/>
      <c r="AY54" s="47"/>
      <c r="AZ54" s="47">
        <f t="shared" si="1"/>
        <v>0</v>
      </c>
      <c r="BA54" s="47"/>
      <c r="BB54" s="47"/>
      <c r="BC54" s="47"/>
      <c r="BD54" s="47">
        <f t="shared" si="2"/>
        <v>-2000</v>
      </c>
      <c r="BE54" s="47"/>
      <c r="BF54" s="47"/>
      <c r="BG54" s="47"/>
      <c r="BH54" s="47"/>
      <c r="BI54" s="47">
        <f t="shared" si="3"/>
        <v>0</v>
      </c>
      <c r="BJ54" s="47"/>
      <c r="BK54" s="47"/>
      <c r="BL54" s="47"/>
      <c r="BM54" s="47"/>
      <c r="BN54" s="47">
        <f t="shared" si="4"/>
        <v>-2000</v>
      </c>
      <c r="BO54" s="47"/>
      <c r="BP54" s="47"/>
      <c r="BQ54" s="47"/>
    </row>
    <row r="55" spans="1:69" ht="15" customHeight="1" x14ac:dyDescent="0.2">
      <c r="A55" s="39">
        <v>13</v>
      </c>
      <c r="B55" s="39"/>
      <c r="C55" s="40" t="s">
        <v>92</v>
      </c>
      <c r="D55" s="41"/>
      <c r="E55" s="41"/>
      <c r="F55" s="41"/>
      <c r="G55" s="41"/>
      <c r="H55" s="41"/>
      <c r="I55" s="41"/>
      <c r="J55" s="41"/>
      <c r="K55" s="41"/>
      <c r="L55" s="41"/>
      <c r="M55" s="41"/>
      <c r="N55" s="41"/>
      <c r="O55" s="41"/>
      <c r="P55" s="41"/>
      <c r="Q55" s="41"/>
      <c r="R55" s="41"/>
      <c r="S55" s="41"/>
      <c r="T55" s="41"/>
      <c r="U55" s="41"/>
      <c r="V55" s="41"/>
      <c r="W55" s="41"/>
      <c r="X55" s="41"/>
      <c r="Y55" s="41"/>
      <c r="Z55" s="42"/>
      <c r="AA55" s="47">
        <v>96146</v>
      </c>
      <c r="AB55" s="47"/>
      <c r="AC55" s="47"/>
      <c r="AD55" s="47"/>
      <c r="AE55" s="47"/>
      <c r="AF55" s="47">
        <v>0</v>
      </c>
      <c r="AG55" s="47"/>
      <c r="AH55" s="47"/>
      <c r="AI55" s="47"/>
      <c r="AJ55" s="47"/>
      <c r="AK55" s="47">
        <f t="shared" si="0"/>
        <v>96146</v>
      </c>
      <c r="AL55" s="47"/>
      <c r="AM55" s="47"/>
      <c r="AN55" s="47"/>
      <c r="AO55" s="47"/>
      <c r="AP55" s="47">
        <v>88133</v>
      </c>
      <c r="AQ55" s="47"/>
      <c r="AR55" s="47"/>
      <c r="AS55" s="47"/>
      <c r="AT55" s="47"/>
      <c r="AU55" s="47">
        <v>0</v>
      </c>
      <c r="AV55" s="47"/>
      <c r="AW55" s="47"/>
      <c r="AX55" s="47"/>
      <c r="AY55" s="47"/>
      <c r="AZ55" s="47">
        <f t="shared" si="1"/>
        <v>88133</v>
      </c>
      <c r="BA55" s="47"/>
      <c r="BB55" s="47"/>
      <c r="BC55" s="47"/>
      <c r="BD55" s="47">
        <f t="shared" si="2"/>
        <v>-8013</v>
      </c>
      <c r="BE55" s="47"/>
      <c r="BF55" s="47"/>
      <c r="BG55" s="47"/>
      <c r="BH55" s="47"/>
      <c r="BI55" s="47">
        <f t="shared" si="3"/>
        <v>0</v>
      </c>
      <c r="BJ55" s="47"/>
      <c r="BK55" s="47"/>
      <c r="BL55" s="47"/>
      <c r="BM55" s="47"/>
      <c r="BN55" s="47">
        <f t="shared" si="4"/>
        <v>-8013</v>
      </c>
      <c r="BO55" s="47"/>
      <c r="BP55" s="47"/>
      <c r="BQ55" s="47"/>
    </row>
    <row r="56" spans="1:69" ht="15" customHeight="1" x14ac:dyDescent="0.2">
      <c r="A56" s="39">
        <v>14</v>
      </c>
      <c r="B56" s="39"/>
      <c r="C56" s="40" t="s">
        <v>93</v>
      </c>
      <c r="D56" s="41"/>
      <c r="E56" s="41"/>
      <c r="F56" s="41"/>
      <c r="G56" s="41"/>
      <c r="H56" s="41"/>
      <c r="I56" s="41"/>
      <c r="J56" s="41"/>
      <c r="K56" s="41"/>
      <c r="L56" s="41"/>
      <c r="M56" s="41"/>
      <c r="N56" s="41"/>
      <c r="O56" s="41"/>
      <c r="P56" s="41"/>
      <c r="Q56" s="41"/>
      <c r="R56" s="41"/>
      <c r="S56" s="41"/>
      <c r="T56" s="41"/>
      <c r="U56" s="41"/>
      <c r="V56" s="41"/>
      <c r="W56" s="41"/>
      <c r="X56" s="41"/>
      <c r="Y56" s="41"/>
      <c r="Z56" s="42"/>
      <c r="AA56" s="47">
        <v>35685</v>
      </c>
      <c r="AB56" s="47"/>
      <c r="AC56" s="47"/>
      <c r="AD56" s="47"/>
      <c r="AE56" s="47"/>
      <c r="AF56" s="47">
        <v>0</v>
      </c>
      <c r="AG56" s="47"/>
      <c r="AH56" s="47"/>
      <c r="AI56" s="47"/>
      <c r="AJ56" s="47"/>
      <c r="AK56" s="47">
        <f t="shared" si="0"/>
        <v>35685</v>
      </c>
      <c r="AL56" s="47"/>
      <c r="AM56" s="47"/>
      <c r="AN56" s="47"/>
      <c r="AO56" s="47"/>
      <c r="AP56" s="47">
        <v>35685</v>
      </c>
      <c r="AQ56" s="47"/>
      <c r="AR56" s="47"/>
      <c r="AS56" s="47"/>
      <c r="AT56" s="47"/>
      <c r="AU56" s="47">
        <v>0</v>
      </c>
      <c r="AV56" s="47"/>
      <c r="AW56" s="47"/>
      <c r="AX56" s="47"/>
      <c r="AY56" s="47"/>
      <c r="AZ56" s="47">
        <f t="shared" si="1"/>
        <v>35685</v>
      </c>
      <c r="BA56" s="47"/>
      <c r="BB56" s="47"/>
      <c r="BC56" s="47"/>
      <c r="BD56" s="47">
        <f t="shared" si="2"/>
        <v>0</v>
      </c>
      <c r="BE56" s="47"/>
      <c r="BF56" s="47"/>
      <c r="BG56" s="47"/>
      <c r="BH56" s="47"/>
      <c r="BI56" s="47">
        <f t="shared" si="3"/>
        <v>0</v>
      </c>
      <c r="BJ56" s="47"/>
      <c r="BK56" s="47"/>
      <c r="BL56" s="47"/>
      <c r="BM56" s="47"/>
      <c r="BN56" s="47">
        <f t="shared" si="4"/>
        <v>0</v>
      </c>
      <c r="BO56" s="47"/>
      <c r="BP56" s="47"/>
      <c r="BQ56" s="47"/>
    </row>
    <row r="57" spans="1:69" ht="15" customHeight="1" x14ac:dyDescent="0.2">
      <c r="A57" s="39">
        <v>15</v>
      </c>
      <c r="B57" s="39"/>
      <c r="C57" s="40" t="s">
        <v>94</v>
      </c>
      <c r="D57" s="41"/>
      <c r="E57" s="41"/>
      <c r="F57" s="41"/>
      <c r="G57" s="41"/>
      <c r="H57" s="41"/>
      <c r="I57" s="41"/>
      <c r="J57" s="41"/>
      <c r="K57" s="41"/>
      <c r="L57" s="41"/>
      <c r="M57" s="41"/>
      <c r="N57" s="41"/>
      <c r="O57" s="41"/>
      <c r="P57" s="41"/>
      <c r="Q57" s="41"/>
      <c r="R57" s="41"/>
      <c r="S57" s="41"/>
      <c r="T57" s="41"/>
      <c r="U57" s="41"/>
      <c r="V57" s="41"/>
      <c r="W57" s="41"/>
      <c r="X57" s="41"/>
      <c r="Y57" s="41"/>
      <c r="Z57" s="42"/>
      <c r="AA57" s="47">
        <v>3000</v>
      </c>
      <c r="AB57" s="47"/>
      <c r="AC57" s="47"/>
      <c r="AD57" s="47"/>
      <c r="AE57" s="47"/>
      <c r="AF57" s="47">
        <v>0</v>
      </c>
      <c r="AG57" s="47"/>
      <c r="AH57" s="47"/>
      <c r="AI57" s="47"/>
      <c r="AJ57" s="47"/>
      <c r="AK57" s="47">
        <f t="shared" si="0"/>
        <v>3000</v>
      </c>
      <c r="AL57" s="47"/>
      <c r="AM57" s="47"/>
      <c r="AN57" s="47"/>
      <c r="AO57" s="47"/>
      <c r="AP57" s="47">
        <v>0</v>
      </c>
      <c r="AQ57" s="47"/>
      <c r="AR57" s="47"/>
      <c r="AS57" s="47"/>
      <c r="AT57" s="47"/>
      <c r="AU57" s="47">
        <v>0</v>
      </c>
      <c r="AV57" s="47"/>
      <c r="AW57" s="47"/>
      <c r="AX57" s="47"/>
      <c r="AY57" s="47"/>
      <c r="AZ57" s="47">
        <f t="shared" si="1"/>
        <v>0</v>
      </c>
      <c r="BA57" s="47"/>
      <c r="BB57" s="47"/>
      <c r="BC57" s="47"/>
      <c r="BD57" s="47">
        <f t="shared" si="2"/>
        <v>-3000</v>
      </c>
      <c r="BE57" s="47"/>
      <c r="BF57" s="47"/>
      <c r="BG57" s="47"/>
      <c r="BH57" s="47"/>
      <c r="BI57" s="47">
        <f t="shared" si="3"/>
        <v>0</v>
      </c>
      <c r="BJ57" s="47"/>
      <c r="BK57" s="47"/>
      <c r="BL57" s="47"/>
      <c r="BM57" s="47"/>
      <c r="BN57" s="47">
        <f t="shared" si="4"/>
        <v>-3000</v>
      </c>
      <c r="BO57" s="47"/>
      <c r="BP57" s="47"/>
      <c r="BQ57" s="47"/>
    </row>
    <row r="58" spans="1:69" ht="15" customHeight="1" x14ac:dyDescent="0.2">
      <c r="A58" s="39">
        <v>16</v>
      </c>
      <c r="B58" s="39"/>
      <c r="C58" s="40" t="s">
        <v>95</v>
      </c>
      <c r="D58" s="41"/>
      <c r="E58" s="41"/>
      <c r="F58" s="41"/>
      <c r="G58" s="41"/>
      <c r="H58" s="41"/>
      <c r="I58" s="41"/>
      <c r="J58" s="41"/>
      <c r="K58" s="41"/>
      <c r="L58" s="41"/>
      <c r="M58" s="41"/>
      <c r="N58" s="41"/>
      <c r="O58" s="41"/>
      <c r="P58" s="41"/>
      <c r="Q58" s="41"/>
      <c r="R58" s="41"/>
      <c r="S58" s="41"/>
      <c r="T58" s="41"/>
      <c r="U58" s="41"/>
      <c r="V58" s="41"/>
      <c r="W58" s="41"/>
      <c r="X58" s="41"/>
      <c r="Y58" s="41"/>
      <c r="Z58" s="42"/>
      <c r="AA58" s="47">
        <v>25000</v>
      </c>
      <c r="AB58" s="47"/>
      <c r="AC58" s="47"/>
      <c r="AD58" s="47"/>
      <c r="AE58" s="47"/>
      <c r="AF58" s="47">
        <v>0</v>
      </c>
      <c r="AG58" s="47"/>
      <c r="AH58" s="47"/>
      <c r="AI58" s="47"/>
      <c r="AJ58" s="47"/>
      <c r="AK58" s="47">
        <f t="shared" si="0"/>
        <v>25000</v>
      </c>
      <c r="AL58" s="47"/>
      <c r="AM58" s="47"/>
      <c r="AN58" s="47"/>
      <c r="AO58" s="47"/>
      <c r="AP58" s="47">
        <v>24732</v>
      </c>
      <c r="AQ58" s="47"/>
      <c r="AR58" s="47"/>
      <c r="AS58" s="47"/>
      <c r="AT58" s="47"/>
      <c r="AU58" s="47">
        <v>0</v>
      </c>
      <c r="AV58" s="47"/>
      <c r="AW58" s="47"/>
      <c r="AX58" s="47"/>
      <c r="AY58" s="47"/>
      <c r="AZ58" s="47">
        <f t="shared" si="1"/>
        <v>24732</v>
      </c>
      <c r="BA58" s="47"/>
      <c r="BB58" s="47"/>
      <c r="BC58" s="47"/>
      <c r="BD58" s="47">
        <f t="shared" si="2"/>
        <v>-268</v>
      </c>
      <c r="BE58" s="47"/>
      <c r="BF58" s="47"/>
      <c r="BG58" s="47"/>
      <c r="BH58" s="47"/>
      <c r="BI58" s="47">
        <f t="shared" si="3"/>
        <v>0</v>
      </c>
      <c r="BJ58" s="47"/>
      <c r="BK58" s="47"/>
      <c r="BL58" s="47"/>
      <c r="BM58" s="47"/>
      <c r="BN58" s="47">
        <f t="shared" si="4"/>
        <v>-268</v>
      </c>
      <c r="BO58" s="47"/>
      <c r="BP58" s="47"/>
      <c r="BQ58" s="47"/>
    </row>
    <row r="59" spans="1:69" ht="15" customHeight="1" x14ac:dyDescent="0.2">
      <c r="A59" s="39">
        <v>17</v>
      </c>
      <c r="B59" s="39"/>
      <c r="C59" s="40" t="s">
        <v>96</v>
      </c>
      <c r="D59" s="41"/>
      <c r="E59" s="41"/>
      <c r="F59" s="41"/>
      <c r="G59" s="41"/>
      <c r="H59" s="41"/>
      <c r="I59" s="41"/>
      <c r="J59" s="41"/>
      <c r="K59" s="41"/>
      <c r="L59" s="41"/>
      <c r="M59" s="41"/>
      <c r="N59" s="41"/>
      <c r="O59" s="41"/>
      <c r="P59" s="41"/>
      <c r="Q59" s="41"/>
      <c r="R59" s="41"/>
      <c r="S59" s="41"/>
      <c r="T59" s="41"/>
      <c r="U59" s="41"/>
      <c r="V59" s="41"/>
      <c r="W59" s="41"/>
      <c r="X59" s="41"/>
      <c r="Y59" s="41"/>
      <c r="Z59" s="42"/>
      <c r="AA59" s="47">
        <v>401293</v>
      </c>
      <c r="AB59" s="47"/>
      <c r="AC59" s="47"/>
      <c r="AD59" s="47"/>
      <c r="AE59" s="47"/>
      <c r="AF59" s="47">
        <v>0</v>
      </c>
      <c r="AG59" s="47"/>
      <c r="AH59" s="47"/>
      <c r="AI59" s="47"/>
      <c r="AJ59" s="47"/>
      <c r="AK59" s="47">
        <f t="shared" si="0"/>
        <v>401293</v>
      </c>
      <c r="AL59" s="47"/>
      <c r="AM59" s="47"/>
      <c r="AN59" s="47"/>
      <c r="AO59" s="47"/>
      <c r="AP59" s="47">
        <v>323138</v>
      </c>
      <c r="AQ59" s="47"/>
      <c r="AR59" s="47"/>
      <c r="AS59" s="47"/>
      <c r="AT59" s="47"/>
      <c r="AU59" s="47">
        <v>0</v>
      </c>
      <c r="AV59" s="47"/>
      <c r="AW59" s="47"/>
      <c r="AX59" s="47"/>
      <c r="AY59" s="47"/>
      <c r="AZ59" s="47">
        <f t="shared" si="1"/>
        <v>323138</v>
      </c>
      <c r="BA59" s="47"/>
      <c r="BB59" s="47"/>
      <c r="BC59" s="47"/>
      <c r="BD59" s="47">
        <f t="shared" si="2"/>
        <v>-78155</v>
      </c>
      <c r="BE59" s="47"/>
      <c r="BF59" s="47"/>
      <c r="BG59" s="47"/>
      <c r="BH59" s="47"/>
      <c r="BI59" s="47">
        <f t="shared" si="3"/>
        <v>0</v>
      </c>
      <c r="BJ59" s="47"/>
      <c r="BK59" s="47"/>
      <c r="BL59" s="47"/>
      <c r="BM59" s="47"/>
      <c r="BN59" s="47">
        <f t="shared" si="4"/>
        <v>-78155</v>
      </c>
      <c r="BO59" s="47"/>
      <c r="BP59" s="47"/>
      <c r="BQ59" s="47"/>
    </row>
    <row r="60" spans="1:69" ht="15" customHeight="1" x14ac:dyDescent="0.2">
      <c r="A60" s="39">
        <v>18</v>
      </c>
      <c r="B60" s="39"/>
      <c r="C60" s="40" t="s">
        <v>97</v>
      </c>
      <c r="D60" s="41"/>
      <c r="E60" s="41"/>
      <c r="F60" s="41"/>
      <c r="G60" s="41"/>
      <c r="H60" s="41"/>
      <c r="I60" s="41"/>
      <c r="J60" s="41"/>
      <c r="K60" s="41"/>
      <c r="L60" s="41"/>
      <c r="M60" s="41"/>
      <c r="N60" s="41"/>
      <c r="O60" s="41"/>
      <c r="P60" s="41"/>
      <c r="Q60" s="41"/>
      <c r="R60" s="41"/>
      <c r="S60" s="41"/>
      <c r="T60" s="41"/>
      <c r="U60" s="41"/>
      <c r="V60" s="41"/>
      <c r="W60" s="41"/>
      <c r="X60" s="41"/>
      <c r="Y60" s="41"/>
      <c r="Z60" s="42"/>
      <c r="AA60" s="47">
        <v>340000</v>
      </c>
      <c r="AB60" s="47"/>
      <c r="AC60" s="47"/>
      <c r="AD60" s="47"/>
      <c r="AE60" s="47"/>
      <c r="AF60" s="47">
        <v>0</v>
      </c>
      <c r="AG60" s="47"/>
      <c r="AH60" s="47"/>
      <c r="AI60" s="47"/>
      <c r="AJ60" s="47"/>
      <c r="AK60" s="47">
        <f t="shared" si="0"/>
        <v>340000</v>
      </c>
      <c r="AL60" s="47"/>
      <c r="AM60" s="47"/>
      <c r="AN60" s="47"/>
      <c r="AO60" s="47"/>
      <c r="AP60" s="47">
        <v>307961</v>
      </c>
      <c r="AQ60" s="47"/>
      <c r="AR60" s="47"/>
      <c r="AS60" s="47"/>
      <c r="AT60" s="47"/>
      <c r="AU60" s="47">
        <v>0</v>
      </c>
      <c r="AV60" s="47"/>
      <c r="AW60" s="47"/>
      <c r="AX60" s="47"/>
      <c r="AY60" s="47"/>
      <c r="AZ60" s="47">
        <f t="shared" si="1"/>
        <v>307961</v>
      </c>
      <c r="BA60" s="47"/>
      <c r="BB60" s="47"/>
      <c r="BC60" s="47"/>
      <c r="BD60" s="47">
        <f t="shared" si="2"/>
        <v>-32039</v>
      </c>
      <c r="BE60" s="47"/>
      <c r="BF60" s="47"/>
      <c r="BG60" s="47"/>
      <c r="BH60" s="47"/>
      <c r="BI60" s="47">
        <f t="shared" si="3"/>
        <v>0</v>
      </c>
      <c r="BJ60" s="47"/>
      <c r="BK60" s="47"/>
      <c r="BL60" s="47"/>
      <c r="BM60" s="47"/>
      <c r="BN60" s="47">
        <f t="shared" si="4"/>
        <v>-32039</v>
      </c>
      <c r="BO60" s="47"/>
      <c r="BP60" s="47"/>
      <c r="BQ60" s="47"/>
    </row>
    <row r="61" spans="1:69" ht="15" customHeight="1" x14ac:dyDescent="0.2">
      <c r="A61" s="39">
        <v>19</v>
      </c>
      <c r="B61" s="39"/>
      <c r="C61" s="40" t="s">
        <v>98</v>
      </c>
      <c r="D61" s="41"/>
      <c r="E61" s="41"/>
      <c r="F61" s="41"/>
      <c r="G61" s="41"/>
      <c r="H61" s="41"/>
      <c r="I61" s="41"/>
      <c r="J61" s="41"/>
      <c r="K61" s="41"/>
      <c r="L61" s="41"/>
      <c r="M61" s="41"/>
      <c r="N61" s="41"/>
      <c r="O61" s="41"/>
      <c r="P61" s="41"/>
      <c r="Q61" s="41"/>
      <c r="R61" s="41"/>
      <c r="S61" s="41"/>
      <c r="T61" s="41"/>
      <c r="U61" s="41"/>
      <c r="V61" s="41"/>
      <c r="W61" s="41"/>
      <c r="X61" s="41"/>
      <c r="Y61" s="41"/>
      <c r="Z61" s="42"/>
      <c r="AA61" s="47">
        <v>70800</v>
      </c>
      <c r="AB61" s="47"/>
      <c r="AC61" s="47"/>
      <c r="AD61" s="47"/>
      <c r="AE61" s="47"/>
      <c r="AF61" s="47">
        <v>0</v>
      </c>
      <c r="AG61" s="47"/>
      <c r="AH61" s="47"/>
      <c r="AI61" s="47"/>
      <c r="AJ61" s="47"/>
      <c r="AK61" s="47">
        <f t="shared" si="0"/>
        <v>70800</v>
      </c>
      <c r="AL61" s="47"/>
      <c r="AM61" s="47"/>
      <c r="AN61" s="47"/>
      <c r="AO61" s="47"/>
      <c r="AP61" s="47">
        <v>46984</v>
      </c>
      <c r="AQ61" s="47"/>
      <c r="AR61" s="47"/>
      <c r="AS61" s="47"/>
      <c r="AT61" s="47"/>
      <c r="AU61" s="47">
        <v>0</v>
      </c>
      <c r="AV61" s="47"/>
      <c r="AW61" s="47"/>
      <c r="AX61" s="47"/>
      <c r="AY61" s="47"/>
      <c r="AZ61" s="47">
        <f t="shared" si="1"/>
        <v>46984</v>
      </c>
      <c r="BA61" s="47"/>
      <c r="BB61" s="47"/>
      <c r="BC61" s="47"/>
      <c r="BD61" s="47">
        <f t="shared" si="2"/>
        <v>-23816</v>
      </c>
      <c r="BE61" s="47"/>
      <c r="BF61" s="47"/>
      <c r="BG61" s="47"/>
      <c r="BH61" s="47"/>
      <c r="BI61" s="47">
        <f t="shared" si="3"/>
        <v>0</v>
      </c>
      <c r="BJ61" s="47"/>
      <c r="BK61" s="47"/>
      <c r="BL61" s="47"/>
      <c r="BM61" s="47"/>
      <c r="BN61" s="47">
        <f t="shared" si="4"/>
        <v>-23816</v>
      </c>
      <c r="BO61" s="47"/>
      <c r="BP61" s="47"/>
      <c r="BQ61" s="47"/>
    </row>
    <row r="62" spans="1:69" ht="15" customHeight="1" x14ac:dyDescent="0.2">
      <c r="A62" s="39">
        <v>20</v>
      </c>
      <c r="B62" s="39"/>
      <c r="C62" s="40" t="s">
        <v>99</v>
      </c>
      <c r="D62" s="41"/>
      <c r="E62" s="41"/>
      <c r="F62" s="41"/>
      <c r="G62" s="41"/>
      <c r="H62" s="41"/>
      <c r="I62" s="41"/>
      <c r="J62" s="41"/>
      <c r="K62" s="41"/>
      <c r="L62" s="41"/>
      <c r="M62" s="41"/>
      <c r="N62" s="41"/>
      <c r="O62" s="41"/>
      <c r="P62" s="41"/>
      <c r="Q62" s="41"/>
      <c r="R62" s="41"/>
      <c r="S62" s="41"/>
      <c r="T62" s="41"/>
      <c r="U62" s="41"/>
      <c r="V62" s="41"/>
      <c r="W62" s="41"/>
      <c r="X62" s="41"/>
      <c r="Y62" s="41"/>
      <c r="Z62" s="42"/>
      <c r="AA62" s="47">
        <v>7810</v>
      </c>
      <c r="AB62" s="47"/>
      <c r="AC62" s="47"/>
      <c r="AD62" s="47"/>
      <c r="AE62" s="47"/>
      <c r="AF62" s="47">
        <v>0</v>
      </c>
      <c r="AG62" s="47"/>
      <c r="AH62" s="47"/>
      <c r="AI62" s="47"/>
      <c r="AJ62" s="47"/>
      <c r="AK62" s="47">
        <f t="shared" si="0"/>
        <v>7810</v>
      </c>
      <c r="AL62" s="47"/>
      <c r="AM62" s="47"/>
      <c r="AN62" s="47"/>
      <c r="AO62" s="47"/>
      <c r="AP62" s="47">
        <v>7810</v>
      </c>
      <c r="AQ62" s="47"/>
      <c r="AR62" s="47"/>
      <c r="AS62" s="47"/>
      <c r="AT62" s="47"/>
      <c r="AU62" s="47">
        <v>0</v>
      </c>
      <c r="AV62" s="47"/>
      <c r="AW62" s="47"/>
      <c r="AX62" s="47"/>
      <c r="AY62" s="47"/>
      <c r="AZ62" s="47">
        <f t="shared" si="1"/>
        <v>7810</v>
      </c>
      <c r="BA62" s="47"/>
      <c r="BB62" s="47"/>
      <c r="BC62" s="47"/>
      <c r="BD62" s="47">
        <f t="shared" si="2"/>
        <v>0</v>
      </c>
      <c r="BE62" s="47"/>
      <c r="BF62" s="47"/>
      <c r="BG62" s="47"/>
      <c r="BH62" s="47"/>
      <c r="BI62" s="47">
        <f t="shared" si="3"/>
        <v>0</v>
      </c>
      <c r="BJ62" s="47"/>
      <c r="BK62" s="47"/>
      <c r="BL62" s="47"/>
      <c r="BM62" s="47"/>
      <c r="BN62" s="47">
        <f t="shared" si="4"/>
        <v>0</v>
      </c>
      <c r="BO62" s="47"/>
      <c r="BP62" s="47"/>
      <c r="BQ62" s="47"/>
    </row>
    <row r="63" spans="1:69" ht="15" customHeight="1" x14ac:dyDescent="0.2">
      <c r="A63" s="39">
        <v>21</v>
      </c>
      <c r="B63" s="39"/>
      <c r="C63" s="40" t="s">
        <v>100</v>
      </c>
      <c r="D63" s="41"/>
      <c r="E63" s="41"/>
      <c r="F63" s="41"/>
      <c r="G63" s="41"/>
      <c r="H63" s="41"/>
      <c r="I63" s="41"/>
      <c r="J63" s="41"/>
      <c r="K63" s="41"/>
      <c r="L63" s="41"/>
      <c r="M63" s="41"/>
      <c r="N63" s="41"/>
      <c r="O63" s="41"/>
      <c r="P63" s="41"/>
      <c r="Q63" s="41"/>
      <c r="R63" s="41"/>
      <c r="S63" s="41"/>
      <c r="T63" s="41"/>
      <c r="U63" s="41"/>
      <c r="V63" s="41"/>
      <c r="W63" s="41"/>
      <c r="X63" s="41"/>
      <c r="Y63" s="41"/>
      <c r="Z63" s="42"/>
      <c r="AA63" s="47">
        <v>12364</v>
      </c>
      <c r="AB63" s="47"/>
      <c r="AC63" s="47"/>
      <c r="AD63" s="47"/>
      <c r="AE63" s="47"/>
      <c r="AF63" s="47">
        <v>0</v>
      </c>
      <c r="AG63" s="47"/>
      <c r="AH63" s="47"/>
      <c r="AI63" s="47"/>
      <c r="AJ63" s="47"/>
      <c r="AK63" s="47">
        <f t="shared" si="0"/>
        <v>12364</v>
      </c>
      <c r="AL63" s="47"/>
      <c r="AM63" s="47"/>
      <c r="AN63" s="47"/>
      <c r="AO63" s="47"/>
      <c r="AP63" s="47">
        <v>6190</v>
      </c>
      <c r="AQ63" s="47"/>
      <c r="AR63" s="47"/>
      <c r="AS63" s="47"/>
      <c r="AT63" s="47"/>
      <c r="AU63" s="47">
        <v>0</v>
      </c>
      <c r="AV63" s="47"/>
      <c r="AW63" s="47"/>
      <c r="AX63" s="47"/>
      <c r="AY63" s="47"/>
      <c r="AZ63" s="47">
        <f t="shared" si="1"/>
        <v>6190</v>
      </c>
      <c r="BA63" s="47"/>
      <c r="BB63" s="47"/>
      <c r="BC63" s="47"/>
      <c r="BD63" s="47">
        <f t="shared" si="2"/>
        <v>-6174</v>
      </c>
      <c r="BE63" s="47"/>
      <c r="BF63" s="47"/>
      <c r="BG63" s="47"/>
      <c r="BH63" s="47"/>
      <c r="BI63" s="47">
        <f t="shared" si="3"/>
        <v>0</v>
      </c>
      <c r="BJ63" s="47"/>
      <c r="BK63" s="47"/>
      <c r="BL63" s="47"/>
      <c r="BM63" s="47"/>
      <c r="BN63" s="47">
        <f t="shared" si="4"/>
        <v>-6174</v>
      </c>
      <c r="BO63" s="47"/>
      <c r="BP63" s="47"/>
      <c r="BQ63" s="47"/>
    </row>
    <row r="64" spans="1:69" ht="15" customHeight="1" x14ac:dyDescent="0.2">
      <c r="A64" s="39">
        <v>22</v>
      </c>
      <c r="B64" s="39"/>
      <c r="C64" s="40" t="s">
        <v>101</v>
      </c>
      <c r="D64" s="41"/>
      <c r="E64" s="41"/>
      <c r="F64" s="41"/>
      <c r="G64" s="41"/>
      <c r="H64" s="41"/>
      <c r="I64" s="41"/>
      <c r="J64" s="41"/>
      <c r="K64" s="41"/>
      <c r="L64" s="41"/>
      <c r="M64" s="41"/>
      <c r="N64" s="41"/>
      <c r="O64" s="41"/>
      <c r="P64" s="41"/>
      <c r="Q64" s="41"/>
      <c r="R64" s="41"/>
      <c r="S64" s="41"/>
      <c r="T64" s="41"/>
      <c r="U64" s="41"/>
      <c r="V64" s="41"/>
      <c r="W64" s="41"/>
      <c r="X64" s="41"/>
      <c r="Y64" s="41"/>
      <c r="Z64" s="42"/>
      <c r="AA64" s="47">
        <v>98400</v>
      </c>
      <c r="AB64" s="47"/>
      <c r="AC64" s="47"/>
      <c r="AD64" s="47"/>
      <c r="AE64" s="47"/>
      <c r="AF64" s="47">
        <v>0</v>
      </c>
      <c r="AG64" s="47"/>
      <c r="AH64" s="47"/>
      <c r="AI64" s="47"/>
      <c r="AJ64" s="47"/>
      <c r="AK64" s="47">
        <f t="shared" si="0"/>
        <v>98400</v>
      </c>
      <c r="AL64" s="47"/>
      <c r="AM64" s="47"/>
      <c r="AN64" s="47"/>
      <c r="AO64" s="47"/>
      <c r="AP64" s="47">
        <v>31000</v>
      </c>
      <c r="AQ64" s="47"/>
      <c r="AR64" s="47"/>
      <c r="AS64" s="47"/>
      <c r="AT64" s="47"/>
      <c r="AU64" s="47">
        <v>0</v>
      </c>
      <c r="AV64" s="47"/>
      <c r="AW64" s="47"/>
      <c r="AX64" s="47"/>
      <c r="AY64" s="47"/>
      <c r="AZ64" s="47">
        <f t="shared" si="1"/>
        <v>31000</v>
      </c>
      <c r="BA64" s="47"/>
      <c r="BB64" s="47"/>
      <c r="BC64" s="47"/>
      <c r="BD64" s="47">
        <f t="shared" si="2"/>
        <v>-67400</v>
      </c>
      <c r="BE64" s="47"/>
      <c r="BF64" s="47"/>
      <c r="BG64" s="47"/>
      <c r="BH64" s="47"/>
      <c r="BI64" s="47">
        <f t="shared" si="3"/>
        <v>0</v>
      </c>
      <c r="BJ64" s="47"/>
      <c r="BK64" s="47"/>
      <c r="BL64" s="47"/>
      <c r="BM64" s="47"/>
      <c r="BN64" s="47">
        <f t="shared" si="4"/>
        <v>-67400</v>
      </c>
      <c r="BO64" s="47"/>
      <c r="BP64" s="47"/>
      <c r="BQ64" s="47"/>
    </row>
    <row r="65" spans="1:69" ht="15" customHeight="1" x14ac:dyDescent="0.2">
      <c r="A65" s="39">
        <v>23</v>
      </c>
      <c r="B65" s="39"/>
      <c r="C65" s="40" t="s">
        <v>102</v>
      </c>
      <c r="D65" s="41"/>
      <c r="E65" s="41"/>
      <c r="F65" s="41"/>
      <c r="G65" s="41"/>
      <c r="H65" s="41"/>
      <c r="I65" s="41"/>
      <c r="J65" s="41"/>
      <c r="K65" s="41"/>
      <c r="L65" s="41"/>
      <c r="M65" s="41"/>
      <c r="N65" s="41"/>
      <c r="O65" s="41"/>
      <c r="P65" s="41"/>
      <c r="Q65" s="41"/>
      <c r="R65" s="41"/>
      <c r="S65" s="41"/>
      <c r="T65" s="41"/>
      <c r="U65" s="41"/>
      <c r="V65" s="41"/>
      <c r="W65" s="41"/>
      <c r="X65" s="41"/>
      <c r="Y65" s="41"/>
      <c r="Z65" s="42"/>
      <c r="AA65" s="47">
        <v>4000</v>
      </c>
      <c r="AB65" s="47"/>
      <c r="AC65" s="47"/>
      <c r="AD65" s="47"/>
      <c r="AE65" s="47"/>
      <c r="AF65" s="47">
        <v>0</v>
      </c>
      <c r="AG65" s="47"/>
      <c r="AH65" s="47"/>
      <c r="AI65" s="47"/>
      <c r="AJ65" s="47"/>
      <c r="AK65" s="47">
        <f t="shared" si="0"/>
        <v>4000</v>
      </c>
      <c r="AL65" s="47"/>
      <c r="AM65" s="47"/>
      <c r="AN65" s="47"/>
      <c r="AO65" s="47"/>
      <c r="AP65" s="47">
        <v>4000</v>
      </c>
      <c r="AQ65" s="47"/>
      <c r="AR65" s="47"/>
      <c r="AS65" s="47"/>
      <c r="AT65" s="47"/>
      <c r="AU65" s="47">
        <v>0</v>
      </c>
      <c r="AV65" s="47"/>
      <c r="AW65" s="47"/>
      <c r="AX65" s="47"/>
      <c r="AY65" s="47"/>
      <c r="AZ65" s="47">
        <f t="shared" si="1"/>
        <v>4000</v>
      </c>
      <c r="BA65" s="47"/>
      <c r="BB65" s="47"/>
      <c r="BC65" s="47"/>
      <c r="BD65" s="47">
        <f t="shared" si="2"/>
        <v>0</v>
      </c>
      <c r="BE65" s="47"/>
      <c r="BF65" s="47"/>
      <c r="BG65" s="47"/>
      <c r="BH65" s="47"/>
      <c r="BI65" s="47">
        <f t="shared" si="3"/>
        <v>0</v>
      </c>
      <c r="BJ65" s="47"/>
      <c r="BK65" s="47"/>
      <c r="BL65" s="47"/>
      <c r="BM65" s="47"/>
      <c r="BN65" s="47">
        <f t="shared" si="4"/>
        <v>0</v>
      </c>
      <c r="BO65" s="47"/>
      <c r="BP65" s="47"/>
      <c r="BQ65" s="47"/>
    </row>
    <row r="66" spans="1:69" ht="15" customHeight="1" x14ac:dyDescent="0.2">
      <c r="A66" s="39">
        <v>24</v>
      </c>
      <c r="B66" s="39"/>
      <c r="C66" s="40" t="s">
        <v>103</v>
      </c>
      <c r="D66" s="41"/>
      <c r="E66" s="41"/>
      <c r="F66" s="41"/>
      <c r="G66" s="41"/>
      <c r="H66" s="41"/>
      <c r="I66" s="41"/>
      <c r="J66" s="41"/>
      <c r="K66" s="41"/>
      <c r="L66" s="41"/>
      <c r="M66" s="41"/>
      <c r="N66" s="41"/>
      <c r="O66" s="41"/>
      <c r="P66" s="41"/>
      <c r="Q66" s="41"/>
      <c r="R66" s="41"/>
      <c r="S66" s="41"/>
      <c r="T66" s="41"/>
      <c r="U66" s="41"/>
      <c r="V66" s="41"/>
      <c r="W66" s="41"/>
      <c r="X66" s="41"/>
      <c r="Y66" s="41"/>
      <c r="Z66" s="42"/>
      <c r="AA66" s="47">
        <v>10000</v>
      </c>
      <c r="AB66" s="47"/>
      <c r="AC66" s="47"/>
      <c r="AD66" s="47"/>
      <c r="AE66" s="47"/>
      <c r="AF66" s="47">
        <v>0</v>
      </c>
      <c r="AG66" s="47"/>
      <c r="AH66" s="47"/>
      <c r="AI66" s="47"/>
      <c r="AJ66" s="47"/>
      <c r="AK66" s="47">
        <f t="shared" si="0"/>
        <v>10000</v>
      </c>
      <c r="AL66" s="47"/>
      <c r="AM66" s="47"/>
      <c r="AN66" s="47"/>
      <c r="AO66" s="47"/>
      <c r="AP66" s="47">
        <v>3815</v>
      </c>
      <c r="AQ66" s="47"/>
      <c r="AR66" s="47"/>
      <c r="AS66" s="47"/>
      <c r="AT66" s="47"/>
      <c r="AU66" s="47">
        <v>0</v>
      </c>
      <c r="AV66" s="47"/>
      <c r="AW66" s="47"/>
      <c r="AX66" s="47"/>
      <c r="AY66" s="47"/>
      <c r="AZ66" s="47">
        <f t="shared" si="1"/>
        <v>3815</v>
      </c>
      <c r="BA66" s="47"/>
      <c r="BB66" s="47"/>
      <c r="BC66" s="47"/>
      <c r="BD66" s="47">
        <f t="shared" si="2"/>
        <v>-6185</v>
      </c>
      <c r="BE66" s="47"/>
      <c r="BF66" s="47"/>
      <c r="BG66" s="47"/>
      <c r="BH66" s="47"/>
      <c r="BI66" s="47">
        <f t="shared" si="3"/>
        <v>0</v>
      </c>
      <c r="BJ66" s="47"/>
      <c r="BK66" s="47"/>
      <c r="BL66" s="47"/>
      <c r="BM66" s="47"/>
      <c r="BN66" s="47">
        <f t="shared" si="4"/>
        <v>-6185</v>
      </c>
      <c r="BO66" s="47"/>
      <c r="BP66" s="47"/>
      <c r="BQ66" s="47"/>
    </row>
    <row r="67" spans="1:69" ht="15" customHeight="1" x14ac:dyDescent="0.2">
      <c r="A67" s="39">
        <v>25</v>
      </c>
      <c r="B67" s="39"/>
      <c r="C67" s="40" t="s">
        <v>104</v>
      </c>
      <c r="D67" s="41"/>
      <c r="E67" s="41"/>
      <c r="F67" s="41"/>
      <c r="G67" s="41"/>
      <c r="H67" s="41"/>
      <c r="I67" s="41"/>
      <c r="J67" s="41"/>
      <c r="K67" s="41"/>
      <c r="L67" s="41"/>
      <c r="M67" s="41"/>
      <c r="N67" s="41"/>
      <c r="O67" s="41"/>
      <c r="P67" s="41"/>
      <c r="Q67" s="41"/>
      <c r="R67" s="41"/>
      <c r="S67" s="41"/>
      <c r="T67" s="41"/>
      <c r="U67" s="41"/>
      <c r="V67" s="41"/>
      <c r="W67" s="41"/>
      <c r="X67" s="41"/>
      <c r="Y67" s="41"/>
      <c r="Z67" s="42"/>
      <c r="AA67" s="47">
        <v>105000</v>
      </c>
      <c r="AB67" s="47"/>
      <c r="AC67" s="47"/>
      <c r="AD67" s="47"/>
      <c r="AE67" s="47"/>
      <c r="AF67" s="47">
        <v>0</v>
      </c>
      <c r="AG67" s="47"/>
      <c r="AH67" s="47"/>
      <c r="AI67" s="47"/>
      <c r="AJ67" s="47"/>
      <c r="AK67" s="47">
        <f t="shared" si="0"/>
        <v>105000</v>
      </c>
      <c r="AL67" s="47"/>
      <c r="AM67" s="47"/>
      <c r="AN67" s="47"/>
      <c r="AO67" s="47"/>
      <c r="AP67" s="47">
        <v>82548.38</v>
      </c>
      <c r="AQ67" s="47"/>
      <c r="AR67" s="47"/>
      <c r="AS67" s="47"/>
      <c r="AT67" s="47"/>
      <c r="AU67" s="47">
        <v>0</v>
      </c>
      <c r="AV67" s="47"/>
      <c r="AW67" s="47"/>
      <c r="AX67" s="47"/>
      <c r="AY67" s="47"/>
      <c r="AZ67" s="47">
        <f t="shared" si="1"/>
        <v>82548.38</v>
      </c>
      <c r="BA67" s="47"/>
      <c r="BB67" s="47"/>
      <c r="BC67" s="47"/>
      <c r="BD67" s="47">
        <f t="shared" si="2"/>
        <v>-22451.619999999995</v>
      </c>
      <c r="BE67" s="47"/>
      <c r="BF67" s="47"/>
      <c r="BG67" s="47"/>
      <c r="BH67" s="47"/>
      <c r="BI67" s="47">
        <f t="shared" si="3"/>
        <v>0</v>
      </c>
      <c r="BJ67" s="47"/>
      <c r="BK67" s="47"/>
      <c r="BL67" s="47"/>
      <c r="BM67" s="47"/>
      <c r="BN67" s="47">
        <f t="shared" si="4"/>
        <v>-22451.619999999995</v>
      </c>
      <c r="BO67" s="47"/>
      <c r="BP67" s="47"/>
      <c r="BQ67" s="47"/>
    </row>
    <row r="68" spans="1:69" ht="15" customHeight="1" x14ac:dyDescent="0.2">
      <c r="A68" s="39">
        <v>26</v>
      </c>
      <c r="B68" s="39"/>
      <c r="C68" s="40" t="s">
        <v>105</v>
      </c>
      <c r="D68" s="41"/>
      <c r="E68" s="41"/>
      <c r="F68" s="41"/>
      <c r="G68" s="41"/>
      <c r="H68" s="41"/>
      <c r="I68" s="41"/>
      <c r="J68" s="41"/>
      <c r="K68" s="41"/>
      <c r="L68" s="41"/>
      <c r="M68" s="41"/>
      <c r="N68" s="41"/>
      <c r="O68" s="41"/>
      <c r="P68" s="41"/>
      <c r="Q68" s="41"/>
      <c r="R68" s="41"/>
      <c r="S68" s="41"/>
      <c r="T68" s="41"/>
      <c r="U68" s="41"/>
      <c r="V68" s="41"/>
      <c r="W68" s="41"/>
      <c r="X68" s="41"/>
      <c r="Y68" s="41"/>
      <c r="Z68" s="42"/>
      <c r="AA68" s="47">
        <v>244800</v>
      </c>
      <c r="AB68" s="47"/>
      <c r="AC68" s="47"/>
      <c r="AD68" s="47"/>
      <c r="AE68" s="47"/>
      <c r="AF68" s="47">
        <v>0</v>
      </c>
      <c r="AG68" s="47"/>
      <c r="AH68" s="47"/>
      <c r="AI68" s="47"/>
      <c r="AJ68" s="47"/>
      <c r="AK68" s="47">
        <f t="shared" si="0"/>
        <v>244800</v>
      </c>
      <c r="AL68" s="47"/>
      <c r="AM68" s="47"/>
      <c r="AN68" s="47"/>
      <c r="AO68" s="47"/>
      <c r="AP68" s="47">
        <v>244800</v>
      </c>
      <c r="AQ68" s="47"/>
      <c r="AR68" s="47"/>
      <c r="AS68" s="47"/>
      <c r="AT68" s="47"/>
      <c r="AU68" s="47">
        <v>0</v>
      </c>
      <c r="AV68" s="47"/>
      <c r="AW68" s="47"/>
      <c r="AX68" s="47"/>
      <c r="AY68" s="47"/>
      <c r="AZ68" s="47">
        <f t="shared" si="1"/>
        <v>244800</v>
      </c>
      <c r="BA68" s="47"/>
      <c r="BB68" s="47"/>
      <c r="BC68" s="47"/>
      <c r="BD68" s="47">
        <f t="shared" si="2"/>
        <v>0</v>
      </c>
      <c r="BE68" s="47"/>
      <c r="BF68" s="47"/>
      <c r="BG68" s="47"/>
      <c r="BH68" s="47"/>
      <c r="BI68" s="47">
        <f t="shared" si="3"/>
        <v>0</v>
      </c>
      <c r="BJ68" s="47"/>
      <c r="BK68" s="47"/>
      <c r="BL68" s="47"/>
      <c r="BM68" s="47"/>
      <c r="BN68" s="47">
        <f t="shared" si="4"/>
        <v>0</v>
      </c>
      <c r="BO68" s="47"/>
      <c r="BP68" s="47"/>
      <c r="BQ68" s="47"/>
    </row>
    <row r="69" spans="1:69" ht="15" customHeight="1" x14ac:dyDescent="0.2">
      <c r="A69" s="39">
        <v>27</v>
      </c>
      <c r="B69" s="39"/>
      <c r="C69" s="40" t="s">
        <v>106</v>
      </c>
      <c r="D69" s="41"/>
      <c r="E69" s="41"/>
      <c r="F69" s="41"/>
      <c r="G69" s="41"/>
      <c r="H69" s="41"/>
      <c r="I69" s="41"/>
      <c r="J69" s="41"/>
      <c r="K69" s="41"/>
      <c r="L69" s="41"/>
      <c r="M69" s="41"/>
      <c r="N69" s="41"/>
      <c r="O69" s="41"/>
      <c r="P69" s="41"/>
      <c r="Q69" s="41"/>
      <c r="R69" s="41"/>
      <c r="S69" s="41"/>
      <c r="T69" s="41"/>
      <c r="U69" s="41"/>
      <c r="V69" s="41"/>
      <c r="W69" s="41"/>
      <c r="X69" s="41"/>
      <c r="Y69" s="41"/>
      <c r="Z69" s="42"/>
      <c r="AA69" s="47">
        <v>31000</v>
      </c>
      <c r="AB69" s="47"/>
      <c r="AC69" s="47"/>
      <c r="AD69" s="47"/>
      <c r="AE69" s="47"/>
      <c r="AF69" s="47">
        <v>0</v>
      </c>
      <c r="AG69" s="47"/>
      <c r="AH69" s="47"/>
      <c r="AI69" s="47"/>
      <c r="AJ69" s="47"/>
      <c r="AK69" s="47">
        <f t="shared" si="0"/>
        <v>31000</v>
      </c>
      <c r="AL69" s="47"/>
      <c r="AM69" s="47"/>
      <c r="AN69" s="47"/>
      <c r="AO69" s="47"/>
      <c r="AP69" s="47">
        <v>18515.97</v>
      </c>
      <c r="AQ69" s="47"/>
      <c r="AR69" s="47"/>
      <c r="AS69" s="47"/>
      <c r="AT69" s="47"/>
      <c r="AU69" s="47">
        <v>0</v>
      </c>
      <c r="AV69" s="47"/>
      <c r="AW69" s="47"/>
      <c r="AX69" s="47"/>
      <c r="AY69" s="47"/>
      <c r="AZ69" s="47">
        <f t="shared" si="1"/>
        <v>18515.97</v>
      </c>
      <c r="BA69" s="47"/>
      <c r="BB69" s="47"/>
      <c r="BC69" s="47"/>
      <c r="BD69" s="47">
        <f t="shared" si="2"/>
        <v>-12484.029999999999</v>
      </c>
      <c r="BE69" s="47"/>
      <c r="BF69" s="47"/>
      <c r="BG69" s="47"/>
      <c r="BH69" s="47"/>
      <c r="BI69" s="47">
        <f t="shared" si="3"/>
        <v>0</v>
      </c>
      <c r="BJ69" s="47"/>
      <c r="BK69" s="47"/>
      <c r="BL69" s="47"/>
      <c r="BM69" s="47"/>
      <c r="BN69" s="47">
        <f t="shared" si="4"/>
        <v>-12484.029999999999</v>
      </c>
      <c r="BO69" s="47"/>
      <c r="BP69" s="47"/>
      <c r="BQ69" s="47"/>
    </row>
    <row r="70" spans="1:69" ht="15" customHeight="1" x14ac:dyDescent="0.2">
      <c r="A70" s="39">
        <v>28</v>
      </c>
      <c r="B70" s="39"/>
      <c r="C70" s="40" t="s">
        <v>107</v>
      </c>
      <c r="D70" s="41"/>
      <c r="E70" s="41"/>
      <c r="F70" s="41"/>
      <c r="G70" s="41"/>
      <c r="H70" s="41"/>
      <c r="I70" s="41"/>
      <c r="J70" s="41"/>
      <c r="K70" s="41"/>
      <c r="L70" s="41"/>
      <c r="M70" s="41"/>
      <c r="N70" s="41"/>
      <c r="O70" s="41"/>
      <c r="P70" s="41"/>
      <c r="Q70" s="41"/>
      <c r="R70" s="41"/>
      <c r="S70" s="41"/>
      <c r="T70" s="41"/>
      <c r="U70" s="41"/>
      <c r="V70" s="41"/>
      <c r="W70" s="41"/>
      <c r="X70" s="41"/>
      <c r="Y70" s="41"/>
      <c r="Z70" s="42"/>
      <c r="AA70" s="47">
        <v>1734400</v>
      </c>
      <c r="AB70" s="47"/>
      <c r="AC70" s="47"/>
      <c r="AD70" s="47"/>
      <c r="AE70" s="47"/>
      <c r="AF70" s="47">
        <v>0</v>
      </c>
      <c r="AG70" s="47"/>
      <c r="AH70" s="47"/>
      <c r="AI70" s="47"/>
      <c r="AJ70" s="47"/>
      <c r="AK70" s="47">
        <f t="shared" si="0"/>
        <v>1734400</v>
      </c>
      <c r="AL70" s="47"/>
      <c r="AM70" s="47"/>
      <c r="AN70" s="47"/>
      <c r="AO70" s="47"/>
      <c r="AP70" s="47">
        <v>1090464.55</v>
      </c>
      <c r="AQ70" s="47"/>
      <c r="AR70" s="47"/>
      <c r="AS70" s="47"/>
      <c r="AT70" s="47"/>
      <c r="AU70" s="47">
        <v>0</v>
      </c>
      <c r="AV70" s="47"/>
      <c r="AW70" s="47"/>
      <c r="AX70" s="47"/>
      <c r="AY70" s="47"/>
      <c r="AZ70" s="47">
        <f t="shared" si="1"/>
        <v>1090464.55</v>
      </c>
      <c r="BA70" s="47"/>
      <c r="BB70" s="47"/>
      <c r="BC70" s="47"/>
      <c r="BD70" s="47">
        <f t="shared" si="2"/>
        <v>-643935.44999999995</v>
      </c>
      <c r="BE70" s="47"/>
      <c r="BF70" s="47"/>
      <c r="BG70" s="47"/>
      <c r="BH70" s="47"/>
      <c r="BI70" s="47">
        <f t="shared" si="3"/>
        <v>0</v>
      </c>
      <c r="BJ70" s="47"/>
      <c r="BK70" s="47"/>
      <c r="BL70" s="47"/>
      <c r="BM70" s="47"/>
      <c r="BN70" s="47">
        <f t="shared" si="4"/>
        <v>-643935.44999999995</v>
      </c>
      <c r="BO70" s="47"/>
      <c r="BP70" s="47"/>
      <c r="BQ70" s="47"/>
    </row>
    <row r="71" spans="1:69" ht="15" customHeight="1" x14ac:dyDescent="0.2">
      <c r="A71" s="39">
        <v>29</v>
      </c>
      <c r="B71" s="39"/>
      <c r="C71" s="40" t="s">
        <v>108</v>
      </c>
      <c r="D71" s="41"/>
      <c r="E71" s="41"/>
      <c r="F71" s="41"/>
      <c r="G71" s="41"/>
      <c r="H71" s="41"/>
      <c r="I71" s="41"/>
      <c r="J71" s="41"/>
      <c r="K71" s="41"/>
      <c r="L71" s="41"/>
      <c r="M71" s="41"/>
      <c r="N71" s="41"/>
      <c r="O71" s="41"/>
      <c r="P71" s="41"/>
      <c r="Q71" s="41"/>
      <c r="R71" s="41"/>
      <c r="S71" s="41"/>
      <c r="T71" s="41"/>
      <c r="U71" s="41"/>
      <c r="V71" s="41"/>
      <c r="W71" s="41"/>
      <c r="X71" s="41"/>
      <c r="Y71" s="41"/>
      <c r="Z71" s="42"/>
      <c r="AA71" s="47">
        <v>166867</v>
      </c>
      <c r="AB71" s="47"/>
      <c r="AC71" s="47"/>
      <c r="AD71" s="47"/>
      <c r="AE71" s="47"/>
      <c r="AF71" s="47">
        <v>0</v>
      </c>
      <c r="AG71" s="47"/>
      <c r="AH71" s="47"/>
      <c r="AI71" s="47"/>
      <c r="AJ71" s="47"/>
      <c r="AK71" s="47">
        <f t="shared" si="0"/>
        <v>166867</v>
      </c>
      <c r="AL71" s="47"/>
      <c r="AM71" s="47"/>
      <c r="AN71" s="47"/>
      <c r="AO71" s="47"/>
      <c r="AP71" s="47">
        <v>65369.43</v>
      </c>
      <c r="AQ71" s="47"/>
      <c r="AR71" s="47"/>
      <c r="AS71" s="47"/>
      <c r="AT71" s="47"/>
      <c r="AU71" s="47">
        <v>0</v>
      </c>
      <c r="AV71" s="47"/>
      <c r="AW71" s="47"/>
      <c r="AX71" s="47"/>
      <c r="AY71" s="47"/>
      <c r="AZ71" s="47">
        <f t="shared" si="1"/>
        <v>65369.43</v>
      </c>
      <c r="BA71" s="47"/>
      <c r="BB71" s="47"/>
      <c r="BC71" s="47"/>
      <c r="BD71" s="47">
        <f t="shared" si="2"/>
        <v>-101497.57</v>
      </c>
      <c r="BE71" s="47"/>
      <c r="BF71" s="47"/>
      <c r="BG71" s="47"/>
      <c r="BH71" s="47"/>
      <c r="BI71" s="47">
        <f t="shared" si="3"/>
        <v>0</v>
      </c>
      <c r="BJ71" s="47"/>
      <c r="BK71" s="47"/>
      <c r="BL71" s="47"/>
      <c r="BM71" s="47"/>
      <c r="BN71" s="47">
        <f t="shared" si="4"/>
        <v>-101497.57</v>
      </c>
      <c r="BO71" s="47"/>
      <c r="BP71" s="47"/>
      <c r="BQ71" s="47"/>
    </row>
    <row r="72" spans="1:69" ht="15" customHeight="1" x14ac:dyDescent="0.2">
      <c r="A72" s="39">
        <v>30</v>
      </c>
      <c r="B72" s="39"/>
      <c r="C72" s="40" t="s">
        <v>109</v>
      </c>
      <c r="D72" s="41"/>
      <c r="E72" s="41"/>
      <c r="F72" s="41"/>
      <c r="G72" s="41"/>
      <c r="H72" s="41"/>
      <c r="I72" s="41"/>
      <c r="J72" s="41"/>
      <c r="K72" s="41"/>
      <c r="L72" s="41"/>
      <c r="M72" s="41"/>
      <c r="N72" s="41"/>
      <c r="O72" s="41"/>
      <c r="P72" s="41"/>
      <c r="Q72" s="41"/>
      <c r="R72" s="41"/>
      <c r="S72" s="41"/>
      <c r="T72" s="41"/>
      <c r="U72" s="41"/>
      <c r="V72" s="41"/>
      <c r="W72" s="41"/>
      <c r="X72" s="41"/>
      <c r="Y72" s="41"/>
      <c r="Z72" s="42"/>
      <c r="AA72" s="47">
        <v>35037</v>
      </c>
      <c r="AB72" s="47"/>
      <c r="AC72" s="47"/>
      <c r="AD72" s="47"/>
      <c r="AE72" s="47"/>
      <c r="AF72" s="47">
        <v>0</v>
      </c>
      <c r="AG72" s="47"/>
      <c r="AH72" s="47"/>
      <c r="AI72" s="47"/>
      <c r="AJ72" s="47"/>
      <c r="AK72" s="47">
        <f t="shared" si="0"/>
        <v>35037</v>
      </c>
      <c r="AL72" s="47"/>
      <c r="AM72" s="47"/>
      <c r="AN72" s="47"/>
      <c r="AO72" s="47"/>
      <c r="AP72" s="47">
        <v>35036.26</v>
      </c>
      <c r="AQ72" s="47"/>
      <c r="AR72" s="47"/>
      <c r="AS72" s="47"/>
      <c r="AT72" s="47"/>
      <c r="AU72" s="47">
        <v>2021</v>
      </c>
      <c r="AV72" s="47"/>
      <c r="AW72" s="47"/>
      <c r="AX72" s="47"/>
      <c r="AY72" s="47"/>
      <c r="AZ72" s="47">
        <f t="shared" si="1"/>
        <v>37057.26</v>
      </c>
      <c r="BA72" s="47"/>
      <c r="BB72" s="47"/>
      <c r="BC72" s="47"/>
      <c r="BD72" s="47">
        <f t="shared" si="2"/>
        <v>-0.73999999999796273</v>
      </c>
      <c r="BE72" s="47"/>
      <c r="BF72" s="47"/>
      <c r="BG72" s="47"/>
      <c r="BH72" s="47"/>
      <c r="BI72" s="47">
        <f t="shared" si="3"/>
        <v>2021</v>
      </c>
      <c r="BJ72" s="47"/>
      <c r="BK72" s="47"/>
      <c r="BL72" s="47"/>
      <c r="BM72" s="47"/>
      <c r="BN72" s="47">
        <f t="shared" si="4"/>
        <v>2020.260000000002</v>
      </c>
      <c r="BO72" s="47"/>
      <c r="BP72" s="47"/>
      <c r="BQ72" s="47"/>
    </row>
    <row r="73" spans="1:69" ht="25.5" customHeight="1" x14ac:dyDescent="0.2">
      <c r="A73" s="39">
        <v>31</v>
      </c>
      <c r="B73" s="39"/>
      <c r="C73" s="40" t="s">
        <v>110</v>
      </c>
      <c r="D73" s="41"/>
      <c r="E73" s="41"/>
      <c r="F73" s="41"/>
      <c r="G73" s="41"/>
      <c r="H73" s="41"/>
      <c r="I73" s="41"/>
      <c r="J73" s="41"/>
      <c r="K73" s="41"/>
      <c r="L73" s="41"/>
      <c r="M73" s="41"/>
      <c r="N73" s="41"/>
      <c r="O73" s="41"/>
      <c r="P73" s="41"/>
      <c r="Q73" s="41"/>
      <c r="R73" s="41"/>
      <c r="S73" s="41"/>
      <c r="T73" s="41"/>
      <c r="U73" s="41"/>
      <c r="V73" s="41"/>
      <c r="W73" s="41"/>
      <c r="X73" s="41"/>
      <c r="Y73" s="41"/>
      <c r="Z73" s="42"/>
      <c r="AA73" s="47">
        <v>16000</v>
      </c>
      <c r="AB73" s="47"/>
      <c r="AC73" s="47"/>
      <c r="AD73" s="47"/>
      <c r="AE73" s="47"/>
      <c r="AF73" s="47">
        <v>0</v>
      </c>
      <c r="AG73" s="47"/>
      <c r="AH73" s="47"/>
      <c r="AI73" s="47"/>
      <c r="AJ73" s="47"/>
      <c r="AK73" s="47">
        <f t="shared" si="0"/>
        <v>16000</v>
      </c>
      <c r="AL73" s="47"/>
      <c r="AM73" s="47"/>
      <c r="AN73" s="47"/>
      <c r="AO73" s="47"/>
      <c r="AP73" s="47">
        <v>0</v>
      </c>
      <c r="AQ73" s="47"/>
      <c r="AR73" s="47"/>
      <c r="AS73" s="47"/>
      <c r="AT73" s="47"/>
      <c r="AU73" s="47">
        <v>0</v>
      </c>
      <c r="AV73" s="47"/>
      <c r="AW73" s="47"/>
      <c r="AX73" s="47"/>
      <c r="AY73" s="47"/>
      <c r="AZ73" s="47">
        <f t="shared" si="1"/>
        <v>0</v>
      </c>
      <c r="BA73" s="47"/>
      <c r="BB73" s="47"/>
      <c r="BC73" s="47"/>
      <c r="BD73" s="47">
        <f t="shared" si="2"/>
        <v>-16000</v>
      </c>
      <c r="BE73" s="47"/>
      <c r="BF73" s="47"/>
      <c r="BG73" s="47"/>
      <c r="BH73" s="47"/>
      <c r="BI73" s="47">
        <f t="shared" si="3"/>
        <v>0</v>
      </c>
      <c r="BJ73" s="47"/>
      <c r="BK73" s="47"/>
      <c r="BL73" s="47"/>
      <c r="BM73" s="47"/>
      <c r="BN73" s="47">
        <f t="shared" si="4"/>
        <v>-16000</v>
      </c>
      <c r="BO73" s="47"/>
      <c r="BP73" s="47"/>
      <c r="BQ73" s="47"/>
    </row>
    <row r="74" spans="1:69" ht="15" customHeight="1" x14ac:dyDescent="0.2">
      <c r="A74" s="39">
        <v>32</v>
      </c>
      <c r="B74" s="39"/>
      <c r="C74" s="40" t="s">
        <v>111</v>
      </c>
      <c r="D74" s="41"/>
      <c r="E74" s="41"/>
      <c r="F74" s="41"/>
      <c r="G74" s="41"/>
      <c r="H74" s="41"/>
      <c r="I74" s="41"/>
      <c r="J74" s="41"/>
      <c r="K74" s="41"/>
      <c r="L74" s="41"/>
      <c r="M74" s="41"/>
      <c r="N74" s="41"/>
      <c r="O74" s="41"/>
      <c r="P74" s="41"/>
      <c r="Q74" s="41"/>
      <c r="R74" s="41"/>
      <c r="S74" s="41"/>
      <c r="T74" s="41"/>
      <c r="U74" s="41"/>
      <c r="V74" s="41"/>
      <c r="W74" s="41"/>
      <c r="X74" s="41"/>
      <c r="Y74" s="41"/>
      <c r="Z74" s="42"/>
      <c r="AA74" s="47">
        <v>65000</v>
      </c>
      <c r="AB74" s="47"/>
      <c r="AC74" s="47"/>
      <c r="AD74" s="47"/>
      <c r="AE74" s="47"/>
      <c r="AF74" s="47">
        <v>0</v>
      </c>
      <c r="AG74" s="47"/>
      <c r="AH74" s="47"/>
      <c r="AI74" s="47"/>
      <c r="AJ74" s="47"/>
      <c r="AK74" s="47">
        <f t="shared" si="0"/>
        <v>65000</v>
      </c>
      <c r="AL74" s="47"/>
      <c r="AM74" s="47"/>
      <c r="AN74" s="47"/>
      <c r="AO74" s="47"/>
      <c r="AP74" s="47">
        <v>59850</v>
      </c>
      <c r="AQ74" s="47"/>
      <c r="AR74" s="47"/>
      <c r="AS74" s="47"/>
      <c r="AT74" s="47"/>
      <c r="AU74" s="47">
        <v>0</v>
      </c>
      <c r="AV74" s="47"/>
      <c r="AW74" s="47"/>
      <c r="AX74" s="47"/>
      <c r="AY74" s="47"/>
      <c r="AZ74" s="47">
        <f t="shared" si="1"/>
        <v>59850</v>
      </c>
      <c r="BA74" s="47"/>
      <c r="BB74" s="47"/>
      <c r="BC74" s="47"/>
      <c r="BD74" s="47">
        <f t="shared" si="2"/>
        <v>-5150</v>
      </c>
      <c r="BE74" s="47"/>
      <c r="BF74" s="47"/>
      <c r="BG74" s="47"/>
      <c r="BH74" s="47"/>
      <c r="BI74" s="47">
        <f t="shared" si="3"/>
        <v>0</v>
      </c>
      <c r="BJ74" s="47"/>
      <c r="BK74" s="47"/>
      <c r="BL74" s="47"/>
      <c r="BM74" s="47"/>
      <c r="BN74" s="47">
        <f t="shared" si="4"/>
        <v>-5150</v>
      </c>
      <c r="BO74" s="47"/>
      <c r="BP74" s="47"/>
      <c r="BQ74" s="47"/>
    </row>
    <row r="75" spans="1:69" ht="15" customHeight="1" x14ac:dyDescent="0.2">
      <c r="A75" s="39">
        <v>33</v>
      </c>
      <c r="B75" s="39"/>
      <c r="C75" s="40" t="s">
        <v>112</v>
      </c>
      <c r="D75" s="41"/>
      <c r="E75" s="41"/>
      <c r="F75" s="41"/>
      <c r="G75" s="41"/>
      <c r="H75" s="41"/>
      <c r="I75" s="41"/>
      <c r="J75" s="41"/>
      <c r="K75" s="41"/>
      <c r="L75" s="41"/>
      <c r="M75" s="41"/>
      <c r="N75" s="41"/>
      <c r="O75" s="41"/>
      <c r="P75" s="41"/>
      <c r="Q75" s="41"/>
      <c r="R75" s="41"/>
      <c r="S75" s="41"/>
      <c r="T75" s="41"/>
      <c r="U75" s="41"/>
      <c r="V75" s="41"/>
      <c r="W75" s="41"/>
      <c r="X75" s="41"/>
      <c r="Y75" s="41"/>
      <c r="Z75" s="42"/>
      <c r="AA75" s="47">
        <v>400000</v>
      </c>
      <c r="AB75" s="47"/>
      <c r="AC75" s="47"/>
      <c r="AD75" s="47"/>
      <c r="AE75" s="47"/>
      <c r="AF75" s="47">
        <v>0</v>
      </c>
      <c r="AG75" s="47"/>
      <c r="AH75" s="47"/>
      <c r="AI75" s="47"/>
      <c r="AJ75" s="47"/>
      <c r="AK75" s="47">
        <f t="shared" ref="AK75:AK97" si="5">AA75+AF75</f>
        <v>400000</v>
      </c>
      <c r="AL75" s="47"/>
      <c r="AM75" s="47"/>
      <c r="AN75" s="47"/>
      <c r="AO75" s="47"/>
      <c r="AP75" s="47">
        <v>217054</v>
      </c>
      <c r="AQ75" s="47"/>
      <c r="AR75" s="47"/>
      <c r="AS75" s="47"/>
      <c r="AT75" s="47"/>
      <c r="AU75" s="47">
        <v>0</v>
      </c>
      <c r="AV75" s="47"/>
      <c r="AW75" s="47"/>
      <c r="AX75" s="47"/>
      <c r="AY75" s="47"/>
      <c r="AZ75" s="47">
        <f t="shared" ref="AZ75:AZ97" si="6">AP75+AU75</f>
        <v>217054</v>
      </c>
      <c r="BA75" s="47"/>
      <c r="BB75" s="47"/>
      <c r="BC75" s="47"/>
      <c r="BD75" s="47">
        <f t="shared" ref="BD75:BD97" si="7">AP75-AA75</f>
        <v>-182946</v>
      </c>
      <c r="BE75" s="47"/>
      <c r="BF75" s="47"/>
      <c r="BG75" s="47"/>
      <c r="BH75" s="47"/>
      <c r="BI75" s="47">
        <f t="shared" ref="BI75:BI97" si="8">AU75-AF75</f>
        <v>0</v>
      </c>
      <c r="BJ75" s="47"/>
      <c r="BK75" s="47"/>
      <c r="BL75" s="47"/>
      <c r="BM75" s="47"/>
      <c r="BN75" s="47">
        <f t="shared" ref="BN75:BN97" si="9">BD75+BI75</f>
        <v>-182946</v>
      </c>
      <c r="BO75" s="47"/>
      <c r="BP75" s="47"/>
      <c r="BQ75" s="47"/>
    </row>
    <row r="76" spans="1:69" ht="38.25" customHeight="1" x14ac:dyDescent="0.2">
      <c r="A76" s="39">
        <v>34</v>
      </c>
      <c r="B76" s="39"/>
      <c r="C76" s="40" t="s">
        <v>113</v>
      </c>
      <c r="D76" s="41"/>
      <c r="E76" s="41"/>
      <c r="F76" s="41"/>
      <c r="G76" s="41"/>
      <c r="H76" s="41"/>
      <c r="I76" s="41"/>
      <c r="J76" s="41"/>
      <c r="K76" s="41"/>
      <c r="L76" s="41"/>
      <c r="M76" s="41"/>
      <c r="N76" s="41"/>
      <c r="O76" s="41"/>
      <c r="P76" s="41"/>
      <c r="Q76" s="41"/>
      <c r="R76" s="41"/>
      <c r="S76" s="41"/>
      <c r="T76" s="41"/>
      <c r="U76" s="41"/>
      <c r="V76" s="41"/>
      <c r="W76" s="41"/>
      <c r="X76" s="41"/>
      <c r="Y76" s="41"/>
      <c r="Z76" s="42"/>
      <c r="AA76" s="47">
        <v>58000</v>
      </c>
      <c r="AB76" s="47"/>
      <c r="AC76" s="47"/>
      <c r="AD76" s="47"/>
      <c r="AE76" s="47"/>
      <c r="AF76" s="47">
        <v>0</v>
      </c>
      <c r="AG76" s="47"/>
      <c r="AH76" s="47"/>
      <c r="AI76" s="47"/>
      <c r="AJ76" s="47"/>
      <c r="AK76" s="47">
        <f t="shared" si="5"/>
        <v>58000</v>
      </c>
      <c r="AL76" s="47"/>
      <c r="AM76" s="47"/>
      <c r="AN76" s="47"/>
      <c r="AO76" s="47"/>
      <c r="AP76" s="47">
        <v>57105</v>
      </c>
      <c r="AQ76" s="47"/>
      <c r="AR76" s="47"/>
      <c r="AS76" s="47"/>
      <c r="AT76" s="47"/>
      <c r="AU76" s="47">
        <v>0</v>
      </c>
      <c r="AV76" s="47"/>
      <c r="AW76" s="47"/>
      <c r="AX76" s="47"/>
      <c r="AY76" s="47"/>
      <c r="AZ76" s="47">
        <f t="shared" si="6"/>
        <v>57105</v>
      </c>
      <c r="BA76" s="47"/>
      <c r="BB76" s="47"/>
      <c r="BC76" s="47"/>
      <c r="BD76" s="47">
        <f t="shared" si="7"/>
        <v>-895</v>
      </c>
      <c r="BE76" s="47"/>
      <c r="BF76" s="47"/>
      <c r="BG76" s="47"/>
      <c r="BH76" s="47"/>
      <c r="BI76" s="47">
        <f t="shared" si="8"/>
        <v>0</v>
      </c>
      <c r="BJ76" s="47"/>
      <c r="BK76" s="47"/>
      <c r="BL76" s="47"/>
      <c r="BM76" s="47"/>
      <c r="BN76" s="47">
        <f t="shared" si="9"/>
        <v>-895</v>
      </c>
      <c r="BO76" s="47"/>
      <c r="BP76" s="47"/>
      <c r="BQ76" s="47"/>
    </row>
    <row r="77" spans="1:69" ht="38.25" customHeight="1" x14ac:dyDescent="0.2">
      <c r="A77" s="39">
        <v>35</v>
      </c>
      <c r="B77" s="39"/>
      <c r="C77" s="40" t="s">
        <v>114</v>
      </c>
      <c r="D77" s="41"/>
      <c r="E77" s="41"/>
      <c r="F77" s="41"/>
      <c r="G77" s="41"/>
      <c r="H77" s="41"/>
      <c r="I77" s="41"/>
      <c r="J77" s="41"/>
      <c r="K77" s="41"/>
      <c r="L77" s="41"/>
      <c r="M77" s="41"/>
      <c r="N77" s="41"/>
      <c r="O77" s="41"/>
      <c r="P77" s="41"/>
      <c r="Q77" s="41"/>
      <c r="R77" s="41"/>
      <c r="S77" s="41"/>
      <c r="T77" s="41"/>
      <c r="U77" s="41"/>
      <c r="V77" s="41"/>
      <c r="W77" s="41"/>
      <c r="X77" s="41"/>
      <c r="Y77" s="41"/>
      <c r="Z77" s="42"/>
      <c r="AA77" s="47">
        <v>161000</v>
      </c>
      <c r="AB77" s="47"/>
      <c r="AC77" s="47"/>
      <c r="AD77" s="47"/>
      <c r="AE77" s="47"/>
      <c r="AF77" s="47">
        <v>0</v>
      </c>
      <c r="AG77" s="47"/>
      <c r="AH77" s="47"/>
      <c r="AI77" s="47"/>
      <c r="AJ77" s="47"/>
      <c r="AK77" s="47">
        <f t="shared" si="5"/>
        <v>161000</v>
      </c>
      <c r="AL77" s="47"/>
      <c r="AM77" s="47"/>
      <c r="AN77" s="47"/>
      <c r="AO77" s="47"/>
      <c r="AP77" s="47">
        <v>159566</v>
      </c>
      <c r="AQ77" s="47"/>
      <c r="AR77" s="47"/>
      <c r="AS77" s="47"/>
      <c r="AT77" s="47"/>
      <c r="AU77" s="47">
        <v>0</v>
      </c>
      <c r="AV77" s="47"/>
      <c r="AW77" s="47"/>
      <c r="AX77" s="47"/>
      <c r="AY77" s="47"/>
      <c r="AZ77" s="47">
        <f t="shared" si="6"/>
        <v>159566</v>
      </c>
      <c r="BA77" s="47"/>
      <c r="BB77" s="47"/>
      <c r="BC77" s="47"/>
      <c r="BD77" s="47">
        <f t="shared" si="7"/>
        <v>-1434</v>
      </c>
      <c r="BE77" s="47"/>
      <c r="BF77" s="47"/>
      <c r="BG77" s="47"/>
      <c r="BH77" s="47"/>
      <c r="BI77" s="47">
        <f t="shared" si="8"/>
        <v>0</v>
      </c>
      <c r="BJ77" s="47"/>
      <c r="BK77" s="47"/>
      <c r="BL77" s="47"/>
      <c r="BM77" s="47"/>
      <c r="BN77" s="47">
        <f t="shared" si="9"/>
        <v>-1434</v>
      </c>
      <c r="BO77" s="47"/>
      <c r="BP77" s="47"/>
      <c r="BQ77" s="47"/>
    </row>
    <row r="78" spans="1:69" ht="38.25" customHeight="1" x14ac:dyDescent="0.2">
      <c r="A78" s="39">
        <v>36</v>
      </c>
      <c r="B78" s="39"/>
      <c r="C78" s="40" t="s">
        <v>115</v>
      </c>
      <c r="D78" s="41"/>
      <c r="E78" s="41"/>
      <c r="F78" s="41"/>
      <c r="G78" s="41"/>
      <c r="H78" s="41"/>
      <c r="I78" s="41"/>
      <c r="J78" s="41"/>
      <c r="K78" s="41"/>
      <c r="L78" s="41"/>
      <c r="M78" s="41"/>
      <c r="N78" s="41"/>
      <c r="O78" s="41"/>
      <c r="P78" s="41"/>
      <c r="Q78" s="41"/>
      <c r="R78" s="41"/>
      <c r="S78" s="41"/>
      <c r="T78" s="41"/>
      <c r="U78" s="41"/>
      <c r="V78" s="41"/>
      <c r="W78" s="41"/>
      <c r="X78" s="41"/>
      <c r="Y78" s="41"/>
      <c r="Z78" s="42"/>
      <c r="AA78" s="47">
        <v>13000</v>
      </c>
      <c r="AB78" s="47"/>
      <c r="AC78" s="47"/>
      <c r="AD78" s="47"/>
      <c r="AE78" s="47"/>
      <c r="AF78" s="47">
        <v>0</v>
      </c>
      <c r="AG78" s="47"/>
      <c r="AH78" s="47"/>
      <c r="AI78" s="47"/>
      <c r="AJ78" s="47"/>
      <c r="AK78" s="47">
        <f t="shared" si="5"/>
        <v>13000</v>
      </c>
      <c r="AL78" s="47"/>
      <c r="AM78" s="47"/>
      <c r="AN78" s="47"/>
      <c r="AO78" s="47"/>
      <c r="AP78" s="47">
        <v>0</v>
      </c>
      <c r="AQ78" s="47"/>
      <c r="AR78" s="47"/>
      <c r="AS78" s="47"/>
      <c r="AT78" s="47"/>
      <c r="AU78" s="47">
        <v>0</v>
      </c>
      <c r="AV78" s="47"/>
      <c r="AW78" s="47"/>
      <c r="AX78" s="47"/>
      <c r="AY78" s="47"/>
      <c r="AZ78" s="47">
        <f t="shared" si="6"/>
        <v>0</v>
      </c>
      <c r="BA78" s="47"/>
      <c r="BB78" s="47"/>
      <c r="BC78" s="47"/>
      <c r="BD78" s="47">
        <f t="shared" si="7"/>
        <v>-13000</v>
      </c>
      <c r="BE78" s="47"/>
      <c r="BF78" s="47"/>
      <c r="BG78" s="47"/>
      <c r="BH78" s="47"/>
      <c r="BI78" s="47">
        <f t="shared" si="8"/>
        <v>0</v>
      </c>
      <c r="BJ78" s="47"/>
      <c r="BK78" s="47"/>
      <c r="BL78" s="47"/>
      <c r="BM78" s="47"/>
      <c r="BN78" s="47">
        <f t="shared" si="9"/>
        <v>-13000</v>
      </c>
      <c r="BO78" s="47"/>
      <c r="BP78" s="47"/>
      <c r="BQ78" s="47"/>
    </row>
    <row r="79" spans="1:69" ht="25.5" customHeight="1" x14ac:dyDescent="0.2">
      <c r="A79" s="39">
        <v>37</v>
      </c>
      <c r="B79" s="39"/>
      <c r="C79" s="40" t="s">
        <v>116</v>
      </c>
      <c r="D79" s="41"/>
      <c r="E79" s="41"/>
      <c r="F79" s="41"/>
      <c r="G79" s="41"/>
      <c r="H79" s="41"/>
      <c r="I79" s="41"/>
      <c r="J79" s="41"/>
      <c r="K79" s="41"/>
      <c r="L79" s="41"/>
      <c r="M79" s="41"/>
      <c r="N79" s="41"/>
      <c r="O79" s="41"/>
      <c r="P79" s="41"/>
      <c r="Q79" s="41"/>
      <c r="R79" s="41"/>
      <c r="S79" s="41"/>
      <c r="T79" s="41"/>
      <c r="U79" s="41"/>
      <c r="V79" s="41"/>
      <c r="W79" s="41"/>
      <c r="X79" s="41"/>
      <c r="Y79" s="41"/>
      <c r="Z79" s="42"/>
      <c r="AA79" s="47">
        <v>13000</v>
      </c>
      <c r="AB79" s="47"/>
      <c r="AC79" s="47"/>
      <c r="AD79" s="47"/>
      <c r="AE79" s="47"/>
      <c r="AF79" s="47">
        <v>0</v>
      </c>
      <c r="AG79" s="47"/>
      <c r="AH79" s="47"/>
      <c r="AI79" s="47"/>
      <c r="AJ79" s="47"/>
      <c r="AK79" s="47">
        <f t="shared" si="5"/>
        <v>13000</v>
      </c>
      <c r="AL79" s="47"/>
      <c r="AM79" s="47"/>
      <c r="AN79" s="47"/>
      <c r="AO79" s="47"/>
      <c r="AP79" s="47">
        <v>0</v>
      </c>
      <c r="AQ79" s="47"/>
      <c r="AR79" s="47"/>
      <c r="AS79" s="47"/>
      <c r="AT79" s="47"/>
      <c r="AU79" s="47">
        <v>0</v>
      </c>
      <c r="AV79" s="47"/>
      <c r="AW79" s="47"/>
      <c r="AX79" s="47"/>
      <c r="AY79" s="47"/>
      <c r="AZ79" s="47">
        <f t="shared" si="6"/>
        <v>0</v>
      </c>
      <c r="BA79" s="47"/>
      <c r="BB79" s="47"/>
      <c r="BC79" s="47"/>
      <c r="BD79" s="47">
        <f t="shared" si="7"/>
        <v>-13000</v>
      </c>
      <c r="BE79" s="47"/>
      <c r="BF79" s="47"/>
      <c r="BG79" s="47"/>
      <c r="BH79" s="47"/>
      <c r="BI79" s="47">
        <f t="shared" si="8"/>
        <v>0</v>
      </c>
      <c r="BJ79" s="47"/>
      <c r="BK79" s="47"/>
      <c r="BL79" s="47"/>
      <c r="BM79" s="47"/>
      <c r="BN79" s="47">
        <f t="shared" si="9"/>
        <v>-13000</v>
      </c>
      <c r="BO79" s="47"/>
      <c r="BP79" s="47"/>
      <c r="BQ79" s="47"/>
    </row>
    <row r="80" spans="1:69" ht="15" customHeight="1" x14ac:dyDescent="0.2">
      <c r="A80" s="39">
        <v>38</v>
      </c>
      <c r="B80" s="39"/>
      <c r="C80" s="40" t="s">
        <v>117</v>
      </c>
      <c r="D80" s="41"/>
      <c r="E80" s="41"/>
      <c r="F80" s="41"/>
      <c r="G80" s="41"/>
      <c r="H80" s="41"/>
      <c r="I80" s="41"/>
      <c r="J80" s="41"/>
      <c r="K80" s="41"/>
      <c r="L80" s="41"/>
      <c r="M80" s="41"/>
      <c r="N80" s="41"/>
      <c r="O80" s="41"/>
      <c r="P80" s="41"/>
      <c r="Q80" s="41"/>
      <c r="R80" s="41"/>
      <c r="S80" s="41"/>
      <c r="T80" s="41"/>
      <c r="U80" s="41"/>
      <c r="V80" s="41"/>
      <c r="W80" s="41"/>
      <c r="X80" s="41"/>
      <c r="Y80" s="41"/>
      <c r="Z80" s="42"/>
      <c r="AA80" s="47">
        <v>4800</v>
      </c>
      <c r="AB80" s="47"/>
      <c r="AC80" s="47"/>
      <c r="AD80" s="47"/>
      <c r="AE80" s="47"/>
      <c r="AF80" s="47">
        <v>0</v>
      </c>
      <c r="AG80" s="47"/>
      <c r="AH80" s="47"/>
      <c r="AI80" s="47"/>
      <c r="AJ80" s="47"/>
      <c r="AK80" s="47">
        <f t="shared" si="5"/>
        <v>4800</v>
      </c>
      <c r="AL80" s="47"/>
      <c r="AM80" s="47"/>
      <c r="AN80" s="47"/>
      <c r="AO80" s="47"/>
      <c r="AP80" s="47">
        <v>4800</v>
      </c>
      <c r="AQ80" s="47"/>
      <c r="AR80" s="47"/>
      <c r="AS80" s="47"/>
      <c r="AT80" s="47"/>
      <c r="AU80" s="47">
        <v>0</v>
      </c>
      <c r="AV80" s="47"/>
      <c r="AW80" s="47"/>
      <c r="AX80" s="47"/>
      <c r="AY80" s="47"/>
      <c r="AZ80" s="47">
        <f t="shared" si="6"/>
        <v>4800</v>
      </c>
      <c r="BA80" s="47"/>
      <c r="BB80" s="47"/>
      <c r="BC80" s="47"/>
      <c r="BD80" s="47">
        <f t="shared" si="7"/>
        <v>0</v>
      </c>
      <c r="BE80" s="47"/>
      <c r="BF80" s="47"/>
      <c r="BG80" s="47"/>
      <c r="BH80" s="47"/>
      <c r="BI80" s="47">
        <f t="shared" si="8"/>
        <v>0</v>
      </c>
      <c r="BJ80" s="47"/>
      <c r="BK80" s="47"/>
      <c r="BL80" s="47"/>
      <c r="BM80" s="47"/>
      <c r="BN80" s="47">
        <f t="shared" si="9"/>
        <v>0</v>
      </c>
      <c r="BO80" s="47"/>
      <c r="BP80" s="47"/>
      <c r="BQ80" s="47"/>
    </row>
    <row r="81" spans="1:69" ht="15" customHeight="1" x14ac:dyDescent="0.2">
      <c r="A81" s="39">
        <v>39</v>
      </c>
      <c r="B81" s="39"/>
      <c r="C81" s="40" t="s">
        <v>118</v>
      </c>
      <c r="D81" s="41"/>
      <c r="E81" s="41"/>
      <c r="F81" s="41"/>
      <c r="G81" s="41"/>
      <c r="H81" s="41"/>
      <c r="I81" s="41"/>
      <c r="J81" s="41"/>
      <c r="K81" s="41"/>
      <c r="L81" s="41"/>
      <c r="M81" s="41"/>
      <c r="N81" s="41"/>
      <c r="O81" s="41"/>
      <c r="P81" s="41"/>
      <c r="Q81" s="41"/>
      <c r="R81" s="41"/>
      <c r="S81" s="41"/>
      <c r="T81" s="41"/>
      <c r="U81" s="41"/>
      <c r="V81" s="41"/>
      <c r="W81" s="41"/>
      <c r="X81" s="41"/>
      <c r="Y81" s="41"/>
      <c r="Z81" s="42"/>
      <c r="AA81" s="47">
        <v>0</v>
      </c>
      <c r="AB81" s="47"/>
      <c r="AC81" s="47"/>
      <c r="AD81" s="47"/>
      <c r="AE81" s="47"/>
      <c r="AF81" s="47">
        <v>164694</v>
      </c>
      <c r="AG81" s="47"/>
      <c r="AH81" s="47"/>
      <c r="AI81" s="47"/>
      <c r="AJ81" s="47"/>
      <c r="AK81" s="47">
        <f t="shared" si="5"/>
        <v>164694</v>
      </c>
      <c r="AL81" s="47"/>
      <c r="AM81" s="47"/>
      <c r="AN81" s="47"/>
      <c r="AO81" s="47"/>
      <c r="AP81" s="47">
        <v>0</v>
      </c>
      <c r="AQ81" s="47"/>
      <c r="AR81" s="47"/>
      <c r="AS81" s="47"/>
      <c r="AT81" s="47"/>
      <c r="AU81" s="47">
        <v>135211</v>
      </c>
      <c r="AV81" s="47"/>
      <c r="AW81" s="47"/>
      <c r="AX81" s="47"/>
      <c r="AY81" s="47"/>
      <c r="AZ81" s="47">
        <f t="shared" si="6"/>
        <v>135211</v>
      </c>
      <c r="BA81" s="47"/>
      <c r="BB81" s="47"/>
      <c r="BC81" s="47"/>
      <c r="BD81" s="47">
        <f t="shared" si="7"/>
        <v>0</v>
      </c>
      <c r="BE81" s="47"/>
      <c r="BF81" s="47"/>
      <c r="BG81" s="47"/>
      <c r="BH81" s="47"/>
      <c r="BI81" s="47">
        <f t="shared" si="8"/>
        <v>-29483</v>
      </c>
      <c r="BJ81" s="47"/>
      <c r="BK81" s="47"/>
      <c r="BL81" s="47"/>
      <c r="BM81" s="47"/>
      <c r="BN81" s="47">
        <f t="shared" si="9"/>
        <v>-29483</v>
      </c>
      <c r="BO81" s="47"/>
      <c r="BP81" s="47"/>
      <c r="BQ81" s="47"/>
    </row>
    <row r="82" spans="1:69" ht="15" customHeight="1" x14ac:dyDescent="0.2">
      <c r="A82" s="39">
        <v>40</v>
      </c>
      <c r="B82" s="39"/>
      <c r="C82" s="40" t="s">
        <v>119</v>
      </c>
      <c r="D82" s="41"/>
      <c r="E82" s="41"/>
      <c r="F82" s="41"/>
      <c r="G82" s="41"/>
      <c r="H82" s="41"/>
      <c r="I82" s="41"/>
      <c r="J82" s="41"/>
      <c r="K82" s="41"/>
      <c r="L82" s="41"/>
      <c r="M82" s="41"/>
      <c r="N82" s="41"/>
      <c r="O82" s="41"/>
      <c r="P82" s="41"/>
      <c r="Q82" s="41"/>
      <c r="R82" s="41"/>
      <c r="S82" s="41"/>
      <c r="T82" s="41"/>
      <c r="U82" s="41"/>
      <c r="V82" s="41"/>
      <c r="W82" s="41"/>
      <c r="X82" s="41"/>
      <c r="Y82" s="41"/>
      <c r="Z82" s="42"/>
      <c r="AA82" s="47">
        <v>199910</v>
      </c>
      <c r="AB82" s="47"/>
      <c r="AC82" s="47"/>
      <c r="AD82" s="47"/>
      <c r="AE82" s="47"/>
      <c r="AF82" s="47">
        <v>0</v>
      </c>
      <c r="AG82" s="47"/>
      <c r="AH82" s="47"/>
      <c r="AI82" s="47"/>
      <c r="AJ82" s="47"/>
      <c r="AK82" s="47">
        <f t="shared" si="5"/>
        <v>199910</v>
      </c>
      <c r="AL82" s="47"/>
      <c r="AM82" s="47"/>
      <c r="AN82" s="47"/>
      <c r="AO82" s="47"/>
      <c r="AP82" s="47">
        <v>199500</v>
      </c>
      <c r="AQ82" s="47"/>
      <c r="AR82" s="47"/>
      <c r="AS82" s="47"/>
      <c r="AT82" s="47"/>
      <c r="AU82" s="47">
        <v>0</v>
      </c>
      <c r="AV82" s="47"/>
      <c r="AW82" s="47"/>
      <c r="AX82" s="47"/>
      <c r="AY82" s="47"/>
      <c r="AZ82" s="47">
        <f t="shared" si="6"/>
        <v>199500</v>
      </c>
      <c r="BA82" s="47"/>
      <c r="BB82" s="47"/>
      <c r="BC82" s="47"/>
      <c r="BD82" s="47">
        <f t="shared" si="7"/>
        <v>-410</v>
      </c>
      <c r="BE82" s="47"/>
      <c r="BF82" s="47"/>
      <c r="BG82" s="47"/>
      <c r="BH82" s="47"/>
      <c r="BI82" s="47">
        <f t="shared" si="8"/>
        <v>0</v>
      </c>
      <c r="BJ82" s="47"/>
      <c r="BK82" s="47"/>
      <c r="BL82" s="47"/>
      <c r="BM82" s="47"/>
      <c r="BN82" s="47">
        <f t="shared" si="9"/>
        <v>-410</v>
      </c>
      <c r="BO82" s="47"/>
      <c r="BP82" s="47"/>
      <c r="BQ82" s="47"/>
    </row>
    <row r="83" spans="1:69" ht="15" customHeight="1" x14ac:dyDescent="0.2">
      <c r="A83" s="39">
        <v>41</v>
      </c>
      <c r="B83" s="39"/>
      <c r="C83" s="40" t="s">
        <v>120</v>
      </c>
      <c r="D83" s="41"/>
      <c r="E83" s="41"/>
      <c r="F83" s="41"/>
      <c r="G83" s="41"/>
      <c r="H83" s="41"/>
      <c r="I83" s="41"/>
      <c r="J83" s="41"/>
      <c r="K83" s="41"/>
      <c r="L83" s="41"/>
      <c r="M83" s="41"/>
      <c r="N83" s="41"/>
      <c r="O83" s="41"/>
      <c r="P83" s="41"/>
      <c r="Q83" s="41"/>
      <c r="R83" s="41"/>
      <c r="S83" s="41"/>
      <c r="T83" s="41"/>
      <c r="U83" s="41"/>
      <c r="V83" s="41"/>
      <c r="W83" s="41"/>
      <c r="X83" s="41"/>
      <c r="Y83" s="41"/>
      <c r="Z83" s="42"/>
      <c r="AA83" s="47">
        <v>0</v>
      </c>
      <c r="AB83" s="47"/>
      <c r="AC83" s="47"/>
      <c r="AD83" s="47"/>
      <c r="AE83" s="47"/>
      <c r="AF83" s="47">
        <v>17800</v>
      </c>
      <c r="AG83" s="47"/>
      <c r="AH83" s="47"/>
      <c r="AI83" s="47"/>
      <c r="AJ83" s="47"/>
      <c r="AK83" s="47">
        <f t="shared" si="5"/>
        <v>17800</v>
      </c>
      <c r="AL83" s="47"/>
      <c r="AM83" s="47"/>
      <c r="AN83" s="47"/>
      <c r="AO83" s="47"/>
      <c r="AP83" s="47">
        <v>0</v>
      </c>
      <c r="AQ83" s="47"/>
      <c r="AR83" s="47"/>
      <c r="AS83" s="47"/>
      <c r="AT83" s="47"/>
      <c r="AU83" s="47">
        <v>17800</v>
      </c>
      <c r="AV83" s="47"/>
      <c r="AW83" s="47"/>
      <c r="AX83" s="47"/>
      <c r="AY83" s="47"/>
      <c r="AZ83" s="47">
        <f t="shared" si="6"/>
        <v>17800</v>
      </c>
      <c r="BA83" s="47"/>
      <c r="BB83" s="47"/>
      <c r="BC83" s="47"/>
      <c r="BD83" s="47">
        <f t="shared" si="7"/>
        <v>0</v>
      </c>
      <c r="BE83" s="47"/>
      <c r="BF83" s="47"/>
      <c r="BG83" s="47"/>
      <c r="BH83" s="47"/>
      <c r="BI83" s="47">
        <f t="shared" si="8"/>
        <v>0</v>
      </c>
      <c r="BJ83" s="47"/>
      <c r="BK83" s="47"/>
      <c r="BL83" s="47"/>
      <c r="BM83" s="47"/>
      <c r="BN83" s="47">
        <f t="shared" si="9"/>
        <v>0</v>
      </c>
      <c r="BO83" s="47"/>
      <c r="BP83" s="47"/>
      <c r="BQ83" s="47"/>
    </row>
    <row r="84" spans="1:69" ht="38.25" customHeight="1" x14ac:dyDescent="0.2">
      <c r="A84" s="39">
        <v>42</v>
      </c>
      <c r="B84" s="39"/>
      <c r="C84" s="40" t="s">
        <v>121</v>
      </c>
      <c r="D84" s="41"/>
      <c r="E84" s="41"/>
      <c r="F84" s="41"/>
      <c r="G84" s="41"/>
      <c r="H84" s="41"/>
      <c r="I84" s="41"/>
      <c r="J84" s="41"/>
      <c r="K84" s="41"/>
      <c r="L84" s="41"/>
      <c r="M84" s="41"/>
      <c r="N84" s="41"/>
      <c r="O84" s="41"/>
      <c r="P84" s="41"/>
      <c r="Q84" s="41"/>
      <c r="R84" s="41"/>
      <c r="S84" s="41"/>
      <c r="T84" s="41"/>
      <c r="U84" s="41"/>
      <c r="V84" s="41"/>
      <c r="W84" s="41"/>
      <c r="X84" s="41"/>
      <c r="Y84" s="41"/>
      <c r="Z84" s="42"/>
      <c r="AA84" s="47">
        <v>8117</v>
      </c>
      <c r="AB84" s="47"/>
      <c r="AC84" s="47"/>
      <c r="AD84" s="47"/>
      <c r="AE84" s="47"/>
      <c r="AF84" s="47">
        <v>0</v>
      </c>
      <c r="AG84" s="47"/>
      <c r="AH84" s="47"/>
      <c r="AI84" s="47"/>
      <c r="AJ84" s="47"/>
      <c r="AK84" s="47">
        <f t="shared" si="5"/>
        <v>8117</v>
      </c>
      <c r="AL84" s="47"/>
      <c r="AM84" s="47"/>
      <c r="AN84" s="47"/>
      <c r="AO84" s="47"/>
      <c r="AP84" s="47">
        <v>7451.93</v>
      </c>
      <c r="AQ84" s="47"/>
      <c r="AR84" s="47"/>
      <c r="AS84" s="47"/>
      <c r="AT84" s="47"/>
      <c r="AU84" s="47">
        <v>0</v>
      </c>
      <c r="AV84" s="47"/>
      <c r="AW84" s="47"/>
      <c r="AX84" s="47"/>
      <c r="AY84" s="47"/>
      <c r="AZ84" s="47">
        <f t="shared" si="6"/>
        <v>7451.93</v>
      </c>
      <c r="BA84" s="47"/>
      <c r="BB84" s="47"/>
      <c r="BC84" s="47"/>
      <c r="BD84" s="47">
        <f t="shared" si="7"/>
        <v>-665.06999999999971</v>
      </c>
      <c r="BE84" s="47"/>
      <c r="BF84" s="47"/>
      <c r="BG84" s="47"/>
      <c r="BH84" s="47"/>
      <c r="BI84" s="47">
        <f t="shared" si="8"/>
        <v>0</v>
      </c>
      <c r="BJ84" s="47"/>
      <c r="BK84" s="47"/>
      <c r="BL84" s="47"/>
      <c r="BM84" s="47"/>
      <c r="BN84" s="47">
        <f t="shared" si="9"/>
        <v>-665.06999999999971</v>
      </c>
      <c r="BO84" s="47"/>
      <c r="BP84" s="47"/>
      <c r="BQ84" s="47"/>
    </row>
    <row r="85" spans="1:69" ht="25.5" customHeight="1" x14ac:dyDescent="0.2">
      <c r="A85" s="39">
        <v>43</v>
      </c>
      <c r="B85" s="39"/>
      <c r="C85" s="40" t="s">
        <v>122</v>
      </c>
      <c r="D85" s="41"/>
      <c r="E85" s="41"/>
      <c r="F85" s="41"/>
      <c r="G85" s="41"/>
      <c r="H85" s="41"/>
      <c r="I85" s="41"/>
      <c r="J85" s="41"/>
      <c r="K85" s="41"/>
      <c r="L85" s="41"/>
      <c r="M85" s="41"/>
      <c r="N85" s="41"/>
      <c r="O85" s="41"/>
      <c r="P85" s="41"/>
      <c r="Q85" s="41"/>
      <c r="R85" s="41"/>
      <c r="S85" s="41"/>
      <c r="T85" s="41"/>
      <c r="U85" s="41"/>
      <c r="V85" s="41"/>
      <c r="W85" s="41"/>
      <c r="X85" s="41"/>
      <c r="Y85" s="41"/>
      <c r="Z85" s="42"/>
      <c r="AA85" s="47">
        <v>99999</v>
      </c>
      <c r="AB85" s="47"/>
      <c r="AC85" s="47"/>
      <c r="AD85" s="47"/>
      <c r="AE85" s="47"/>
      <c r="AF85" s="47">
        <v>0</v>
      </c>
      <c r="AG85" s="47"/>
      <c r="AH85" s="47"/>
      <c r="AI85" s="47"/>
      <c r="AJ85" s="47"/>
      <c r="AK85" s="47">
        <f t="shared" si="5"/>
        <v>99999</v>
      </c>
      <c r="AL85" s="47"/>
      <c r="AM85" s="47"/>
      <c r="AN85" s="47"/>
      <c r="AO85" s="47"/>
      <c r="AP85" s="47">
        <v>99999</v>
      </c>
      <c r="AQ85" s="47"/>
      <c r="AR85" s="47"/>
      <c r="AS85" s="47"/>
      <c r="AT85" s="47"/>
      <c r="AU85" s="47">
        <v>0</v>
      </c>
      <c r="AV85" s="47"/>
      <c r="AW85" s="47"/>
      <c r="AX85" s="47"/>
      <c r="AY85" s="47"/>
      <c r="AZ85" s="47">
        <f t="shared" si="6"/>
        <v>99999</v>
      </c>
      <c r="BA85" s="47"/>
      <c r="BB85" s="47"/>
      <c r="BC85" s="47"/>
      <c r="BD85" s="47">
        <f t="shared" si="7"/>
        <v>0</v>
      </c>
      <c r="BE85" s="47"/>
      <c r="BF85" s="47"/>
      <c r="BG85" s="47"/>
      <c r="BH85" s="47"/>
      <c r="BI85" s="47">
        <f t="shared" si="8"/>
        <v>0</v>
      </c>
      <c r="BJ85" s="47"/>
      <c r="BK85" s="47"/>
      <c r="BL85" s="47"/>
      <c r="BM85" s="47"/>
      <c r="BN85" s="47">
        <f t="shared" si="9"/>
        <v>0</v>
      </c>
      <c r="BO85" s="47"/>
      <c r="BP85" s="47"/>
      <c r="BQ85" s="47"/>
    </row>
    <row r="86" spans="1:69" ht="25.5" customHeight="1" x14ac:dyDescent="0.2">
      <c r="A86" s="39">
        <v>44</v>
      </c>
      <c r="B86" s="39"/>
      <c r="C86" s="40" t="s">
        <v>123</v>
      </c>
      <c r="D86" s="41"/>
      <c r="E86" s="41"/>
      <c r="F86" s="41"/>
      <c r="G86" s="41"/>
      <c r="H86" s="41"/>
      <c r="I86" s="41"/>
      <c r="J86" s="41"/>
      <c r="K86" s="41"/>
      <c r="L86" s="41"/>
      <c r="M86" s="41"/>
      <c r="N86" s="41"/>
      <c r="O86" s="41"/>
      <c r="P86" s="41"/>
      <c r="Q86" s="41"/>
      <c r="R86" s="41"/>
      <c r="S86" s="41"/>
      <c r="T86" s="41"/>
      <c r="U86" s="41"/>
      <c r="V86" s="41"/>
      <c r="W86" s="41"/>
      <c r="X86" s="41"/>
      <c r="Y86" s="41"/>
      <c r="Z86" s="42"/>
      <c r="AA86" s="47">
        <v>5752</v>
      </c>
      <c r="AB86" s="47"/>
      <c r="AC86" s="47"/>
      <c r="AD86" s="47"/>
      <c r="AE86" s="47"/>
      <c r="AF86" s="47">
        <v>0</v>
      </c>
      <c r="AG86" s="47"/>
      <c r="AH86" s="47"/>
      <c r="AI86" s="47"/>
      <c r="AJ86" s="47"/>
      <c r="AK86" s="47">
        <f t="shared" si="5"/>
        <v>5752</v>
      </c>
      <c r="AL86" s="47"/>
      <c r="AM86" s="47"/>
      <c r="AN86" s="47"/>
      <c r="AO86" s="47"/>
      <c r="AP86" s="47">
        <v>5752</v>
      </c>
      <c r="AQ86" s="47"/>
      <c r="AR86" s="47"/>
      <c r="AS86" s="47"/>
      <c r="AT86" s="47"/>
      <c r="AU86" s="47">
        <v>0</v>
      </c>
      <c r="AV86" s="47"/>
      <c r="AW86" s="47"/>
      <c r="AX86" s="47"/>
      <c r="AY86" s="47"/>
      <c r="AZ86" s="47">
        <f t="shared" si="6"/>
        <v>5752</v>
      </c>
      <c r="BA86" s="47"/>
      <c r="BB86" s="47"/>
      <c r="BC86" s="47"/>
      <c r="BD86" s="47">
        <f t="shared" si="7"/>
        <v>0</v>
      </c>
      <c r="BE86" s="47"/>
      <c r="BF86" s="47"/>
      <c r="BG86" s="47"/>
      <c r="BH86" s="47"/>
      <c r="BI86" s="47">
        <f t="shared" si="8"/>
        <v>0</v>
      </c>
      <c r="BJ86" s="47"/>
      <c r="BK86" s="47"/>
      <c r="BL86" s="47"/>
      <c r="BM86" s="47"/>
      <c r="BN86" s="47">
        <f t="shared" si="9"/>
        <v>0</v>
      </c>
      <c r="BO86" s="47"/>
      <c r="BP86" s="47"/>
      <c r="BQ86" s="47"/>
    </row>
    <row r="87" spans="1:69" ht="38.25" customHeight="1" x14ac:dyDescent="0.2">
      <c r="A87" s="39">
        <v>45</v>
      </c>
      <c r="B87" s="39"/>
      <c r="C87" s="40" t="s">
        <v>124</v>
      </c>
      <c r="D87" s="41"/>
      <c r="E87" s="41"/>
      <c r="F87" s="41"/>
      <c r="G87" s="41"/>
      <c r="H87" s="41"/>
      <c r="I87" s="41"/>
      <c r="J87" s="41"/>
      <c r="K87" s="41"/>
      <c r="L87" s="41"/>
      <c r="M87" s="41"/>
      <c r="N87" s="41"/>
      <c r="O87" s="41"/>
      <c r="P87" s="41"/>
      <c r="Q87" s="41"/>
      <c r="R87" s="41"/>
      <c r="S87" s="41"/>
      <c r="T87" s="41"/>
      <c r="U87" s="41"/>
      <c r="V87" s="41"/>
      <c r="W87" s="41"/>
      <c r="X87" s="41"/>
      <c r="Y87" s="41"/>
      <c r="Z87" s="42"/>
      <c r="AA87" s="47">
        <v>27000</v>
      </c>
      <c r="AB87" s="47"/>
      <c r="AC87" s="47"/>
      <c r="AD87" s="47"/>
      <c r="AE87" s="47"/>
      <c r="AF87" s="47">
        <v>0</v>
      </c>
      <c r="AG87" s="47"/>
      <c r="AH87" s="47"/>
      <c r="AI87" s="47"/>
      <c r="AJ87" s="47"/>
      <c r="AK87" s="47">
        <f t="shared" si="5"/>
        <v>27000</v>
      </c>
      <c r="AL87" s="47"/>
      <c r="AM87" s="47"/>
      <c r="AN87" s="47"/>
      <c r="AO87" s="47"/>
      <c r="AP87" s="47">
        <v>27000</v>
      </c>
      <c r="AQ87" s="47"/>
      <c r="AR87" s="47"/>
      <c r="AS87" s="47"/>
      <c r="AT87" s="47"/>
      <c r="AU87" s="47">
        <v>0</v>
      </c>
      <c r="AV87" s="47"/>
      <c r="AW87" s="47"/>
      <c r="AX87" s="47"/>
      <c r="AY87" s="47"/>
      <c r="AZ87" s="47">
        <f t="shared" si="6"/>
        <v>27000</v>
      </c>
      <c r="BA87" s="47"/>
      <c r="BB87" s="47"/>
      <c r="BC87" s="47"/>
      <c r="BD87" s="47">
        <f t="shared" si="7"/>
        <v>0</v>
      </c>
      <c r="BE87" s="47"/>
      <c r="BF87" s="47"/>
      <c r="BG87" s="47"/>
      <c r="BH87" s="47"/>
      <c r="BI87" s="47">
        <f t="shared" si="8"/>
        <v>0</v>
      </c>
      <c r="BJ87" s="47"/>
      <c r="BK87" s="47"/>
      <c r="BL87" s="47"/>
      <c r="BM87" s="47"/>
      <c r="BN87" s="47">
        <f t="shared" si="9"/>
        <v>0</v>
      </c>
      <c r="BO87" s="47"/>
      <c r="BP87" s="47"/>
      <c r="BQ87" s="47"/>
    </row>
    <row r="88" spans="1:69" ht="15" customHeight="1" x14ac:dyDescent="0.2">
      <c r="A88" s="39">
        <v>46</v>
      </c>
      <c r="B88" s="39"/>
      <c r="C88" s="40" t="s">
        <v>125</v>
      </c>
      <c r="D88" s="41"/>
      <c r="E88" s="41"/>
      <c r="F88" s="41"/>
      <c r="G88" s="41"/>
      <c r="H88" s="41"/>
      <c r="I88" s="41"/>
      <c r="J88" s="41"/>
      <c r="K88" s="41"/>
      <c r="L88" s="41"/>
      <c r="M88" s="41"/>
      <c r="N88" s="41"/>
      <c r="O88" s="41"/>
      <c r="P88" s="41"/>
      <c r="Q88" s="41"/>
      <c r="R88" s="41"/>
      <c r="S88" s="41"/>
      <c r="T88" s="41"/>
      <c r="U88" s="41"/>
      <c r="V88" s="41"/>
      <c r="W88" s="41"/>
      <c r="X88" s="41"/>
      <c r="Y88" s="41"/>
      <c r="Z88" s="42"/>
      <c r="AA88" s="47">
        <v>0</v>
      </c>
      <c r="AB88" s="47"/>
      <c r="AC88" s="47"/>
      <c r="AD88" s="47"/>
      <c r="AE88" s="47"/>
      <c r="AF88" s="47">
        <v>2991492</v>
      </c>
      <c r="AG88" s="47"/>
      <c r="AH88" s="47"/>
      <c r="AI88" s="47"/>
      <c r="AJ88" s="47"/>
      <c r="AK88" s="47">
        <f t="shared" si="5"/>
        <v>2991492</v>
      </c>
      <c r="AL88" s="47"/>
      <c r="AM88" s="47"/>
      <c r="AN88" s="47"/>
      <c r="AO88" s="47"/>
      <c r="AP88" s="47">
        <v>0</v>
      </c>
      <c r="AQ88" s="47"/>
      <c r="AR88" s="47"/>
      <c r="AS88" s="47"/>
      <c r="AT88" s="47"/>
      <c r="AU88" s="47">
        <v>2911994</v>
      </c>
      <c r="AV88" s="47"/>
      <c r="AW88" s="47"/>
      <c r="AX88" s="47"/>
      <c r="AY88" s="47"/>
      <c r="AZ88" s="47">
        <f t="shared" si="6"/>
        <v>2911994</v>
      </c>
      <c r="BA88" s="47"/>
      <c r="BB88" s="47"/>
      <c r="BC88" s="47"/>
      <c r="BD88" s="47">
        <f t="shared" si="7"/>
        <v>0</v>
      </c>
      <c r="BE88" s="47"/>
      <c r="BF88" s="47"/>
      <c r="BG88" s="47"/>
      <c r="BH88" s="47"/>
      <c r="BI88" s="47">
        <f t="shared" si="8"/>
        <v>-79498</v>
      </c>
      <c r="BJ88" s="47"/>
      <c r="BK88" s="47"/>
      <c r="BL88" s="47"/>
      <c r="BM88" s="47"/>
      <c r="BN88" s="47">
        <f t="shared" si="9"/>
        <v>-79498</v>
      </c>
      <c r="BO88" s="47"/>
      <c r="BP88" s="47"/>
      <c r="BQ88" s="47"/>
    </row>
    <row r="89" spans="1:69" ht="25.5" customHeight="1" x14ac:dyDescent="0.2">
      <c r="A89" s="39">
        <v>47</v>
      </c>
      <c r="B89" s="39"/>
      <c r="C89" s="40" t="s">
        <v>126</v>
      </c>
      <c r="D89" s="41"/>
      <c r="E89" s="41"/>
      <c r="F89" s="41"/>
      <c r="G89" s="41"/>
      <c r="H89" s="41"/>
      <c r="I89" s="41"/>
      <c r="J89" s="41"/>
      <c r="K89" s="41"/>
      <c r="L89" s="41"/>
      <c r="M89" s="41"/>
      <c r="N89" s="41"/>
      <c r="O89" s="41"/>
      <c r="P89" s="41"/>
      <c r="Q89" s="41"/>
      <c r="R89" s="41"/>
      <c r="S89" s="41"/>
      <c r="T89" s="41"/>
      <c r="U89" s="41"/>
      <c r="V89" s="41"/>
      <c r="W89" s="41"/>
      <c r="X89" s="41"/>
      <c r="Y89" s="41"/>
      <c r="Z89" s="42"/>
      <c r="AA89" s="47">
        <v>99900</v>
      </c>
      <c r="AB89" s="47"/>
      <c r="AC89" s="47"/>
      <c r="AD89" s="47"/>
      <c r="AE89" s="47"/>
      <c r="AF89" s="47">
        <v>0</v>
      </c>
      <c r="AG89" s="47"/>
      <c r="AH89" s="47"/>
      <c r="AI89" s="47"/>
      <c r="AJ89" s="47"/>
      <c r="AK89" s="47">
        <f t="shared" si="5"/>
        <v>99900</v>
      </c>
      <c r="AL89" s="47"/>
      <c r="AM89" s="47"/>
      <c r="AN89" s="47"/>
      <c r="AO89" s="47"/>
      <c r="AP89" s="47">
        <v>0</v>
      </c>
      <c r="AQ89" s="47"/>
      <c r="AR89" s="47"/>
      <c r="AS89" s="47"/>
      <c r="AT89" s="47"/>
      <c r="AU89" s="47">
        <v>0</v>
      </c>
      <c r="AV89" s="47"/>
      <c r="AW89" s="47"/>
      <c r="AX89" s="47"/>
      <c r="AY89" s="47"/>
      <c r="AZ89" s="47">
        <f t="shared" si="6"/>
        <v>0</v>
      </c>
      <c r="BA89" s="47"/>
      <c r="BB89" s="47"/>
      <c r="BC89" s="47"/>
      <c r="BD89" s="47">
        <f t="shared" si="7"/>
        <v>-99900</v>
      </c>
      <c r="BE89" s="47"/>
      <c r="BF89" s="47"/>
      <c r="BG89" s="47"/>
      <c r="BH89" s="47"/>
      <c r="BI89" s="47">
        <f t="shared" si="8"/>
        <v>0</v>
      </c>
      <c r="BJ89" s="47"/>
      <c r="BK89" s="47"/>
      <c r="BL89" s="47"/>
      <c r="BM89" s="47"/>
      <c r="BN89" s="47">
        <f t="shared" si="9"/>
        <v>-99900</v>
      </c>
      <c r="BO89" s="47"/>
      <c r="BP89" s="47"/>
      <c r="BQ89" s="47"/>
    </row>
    <row r="90" spans="1:69" ht="15" customHeight="1" x14ac:dyDescent="0.2">
      <c r="A90" s="39">
        <v>48</v>
      </c>
      <c r="B90" s="39"/>
      <c r="C90" s="40" t="s">
        <v>127</v>
      </c>
      <c r="D90" s="41"/>
      <c r="E90" s="41"/>
      <c r="F90" s="41"/>
      <c r="G90" s="41"/>
      <c r="H90" s="41"/>
      <c r="I90" s="41"/>
      <c r="J90" s="41"/>
      <c r="K90" s="41"/>
      <c r="L90" s="41"/>
      <c r="M90" s="41"/>
      <c r="N90" s="41"/>
      <c r="O90" s="41"/>
      <c r="P90" s="41"/>
      <c r="Q90" s="41"/>
      <c r="R90" s="41"/>
      <c r="S90" s="41"/>
      <c r="T90" s="41"/>
      <c r="U90" s="41"/>
      <c r="V90" s="41"/>
      <c r="W90" s="41"/>
      <c r="X90" s="41"/>
      <c r="Y90" s="41"/>
      <c r="Z90" s="42"/>
      <c r="AA90" s="47">
        <v>24000</v>
      </c>
      <c r="AB90" s="47"/>
      <c r="AC90" s="47"/>
      <c r="AD90" s="47"/>
      <c r="AE90" s="47"/>
      <c r="AF90" s="47">
        <v>0</v>
      </c>
      <c r="AG90" s="47"/>
      <c r="AH90" s="47"/>
      <c r="AI90" s="47"/>
      <c r="AJ90" s="47"/>
      <c r="AK90" s="47">
        <f t="shared" si="5"/>
        <v>24000</v>
      </c>
      <c r="AL90" s="47"/>
      <c r="AM90" s="47"/>
      <c r="AN90" s="47"/>
      <c r="AO90" s="47"/>
      <c r="AP90" s="47">
        <v>21600</v>
      </c>
      <c r="AQ90" s="47"/>
      <c r="AR90" s="47"/>
      <c r="AS90" s="47"/>
      <c r="AT90" s="47"/>
      <c r="AU90" s="47">
        <v>0</v>
      </c>
      <c r="AV90" s="47"/>
      <c r="AW90" s="47"/>
      <c r="AX90" s="47"/>
      <c r="AY90" s="47"/>
      <c r="AZ90" s="47">
        <f t="shared" si="6"/>
        <v>21600</v>
      </c>
      <c r="BA90" s="47"/>
      <c r="BB90" s="47"/>
      <c r="BC90" s="47"/>
      <c r="BD90" s="47">
        <f t="shared" si="7"/>
        <v>-2400</v>
      </c>
      <c r="BE90" s="47"/>
      <c r="BF90" s="47"/>
      <c r="BG90" s="47"/>
      <c r="BH90" s="47"/>
      <c r="BI90" s="47">
        <f t="shared" si="8"/>
        <v>0</v>
      </c>
      <c r="BJ90" s="47"/>
      <c r="BK90" s="47"/>
      <c r="BL90" s="47"/>
      <c r="BM90" s="47"/>
      <c r="BN90" s="47">
        <f t="shared" si="9"/>
        <v>-2400</v>
      </c>
      <c r="BO90" s="47"/>
      <c r="BP90" s="47"/>
      <c r="BQ90" s="47"/>
    </row>
    <row r="91" spans="1:69" ht="38.25" customHeight="1" x14ac:dyDescent="0.2">
      <c r="A91" s="39">
        <v>49</v>
      </c>
      <c r="B91" s="39"/>
      <c r="C91" s="40" t="s">
        <v>128</v>
      </c>
      <c r="D91" s="41"/>
      <c r="E91" s="41"/>
      <c r="F91" s="41"/>
      <c r="G91" s="41"/>
      <c r="H91" s="41"/>
      <c r="I91" s="41"/>
      <c r="J91" s="41"/>
      <c r="K91" s="41"/>
      <c r="L91" s="41"/>
      <c r="M91" s="41"/>
      <c r="N91" s="41"/>
      <c r="O91" s="41"/>
      <c r="P91" s="41"/>
      <c r="Q91" s="41"/>
      <c r="R91" s="41"/>
      <c r="S91" s="41"/>
      <c r="T91" s="41"/>
      <c r="U91" s="41"/>
      <c r="V91" s="41"/>
      <c r="W91" s="41"/>
      <c r="X91" s="41"/>
      <c r="Y91" s="41"/>
      <c r="Z91" s="42"/>
      <c r="AA91" s="47">
        <v>44352</v>
      </c>
      <c r="AB91" s="47"/>
      <c r="AC91" s="47"/>
      <c r="AD91" s="47"/>
      <c r="AE91" s="47"/>
      <c r="AF91" s="47">
        <v>0</v>
      </c>
      <c r="AG91" s="47"/>
      <c r="AH91" s="47"/>
      <c r="AI91" s="47"/>
      <c r="AJ91" s="47"/>
      <c r="AK91" s="47">
        <f t="shared" si="5"/>
        <v>44352</v>
      </c>
      <c r="AL91" s="47"/>
      <c r="AM91" s="47"/>
      <c r="AN91" s="47"/>
      <c r="AO91" s="47"/>
      <c r="AP91" s="47">
        <v>44352</v>
      </c>
      <c r="AQ91" s="47"/>
      <c r="AR91" s="47"/>
      <c r="AS91" s="47"/>
      <c r="AT91" s="47"/>
      <c r="AU91" s="47">
        <v>0</v>
      </c>
      <c r="AV91" s="47"/>
      <c r="AW91" s="47"/>
      <c r="AX91" s="47"/>
      <c r="AY91" s="47"/>
      <c r="AZ91" s="47">
        <f t="shared" si="6"/>
        <v>44352</v>
      </c>
      <c r="BA91" s="47"/>
      <c r="BB91" s="47"/>
      <c r="BC91" s="47"/>
      <c r="BD91" s="47">
        <f t="shared" si="7"/>
        <v>0</v>
      </c>
      <c r="BE91" s="47"/>
      <c r="BF91" s="47"/>
      <c r="BG91" s="47"/>
      <c r="BH91" s="47"/>
      <c r="BI91" s="47">
        <f t="shared" si="8"/>
        <v>0</v>
      </c>
      <c r="BJ91" s="47"/>
      <c r="BK91" s="47"/>
      <c r="BL91" s="47"/>
      <c r="BM91" s="47"/>
      <c r="BN91" s="47">
        <f t="shared" si="9"/>
        <v>0</v>
      </c>
      <c r="BO91" s="47"/>
      <c r="BP91" s="47"/>
      <c r="BQ91" s="47"/>
    </row>
    <row r="92" spans="1:69" ht="15" customHeight="1" x14ac:dyDescent="0.2">
      <c r="A92" s="39">
        <v>50</v>
      </c>
      <c r="B92" s="39"/>
      <c r="C92" s="40" t="s">
        <v>129</v>
      </c>
      <c r="D92" s="41"/>
      <c r="E92" s="41"/>
      <c r="F92" s="41"/>
      <c r="G92" s="41"/>
      <c r="H92" s="41"/>
      <c r="I92" s="41"/>
      <c r="J92" s="41"/>
      <c r="K92" s="41"/>
      <c r="L92" s="41"/>
      <c r="M92" s="41"/>
      <c r="N92" s="41"/>
      <c r="O92" s="41"/>
      <c r="P92" s="41"/>
      <c r="Q92" s="41"/>
      <c r="R92" s="41"/>
      <c r="S92" s="41"/>
      <c r="T92" s="41"/>
      <c r="U92" s="41"/>
      <c r="V92" s="41"/>
      <c r="W92" s="41"/>
      <c r="X92" s="41"/>
      <c r="Y92" s="41"/>
      <c r="Z92" s="42"/>
      <c r="AA92" s="47">
        <v>5000</v>
      </c>
      <c r="AB92" s="47"/>
      <c r="AC92" s="47"/>
      <c r="AD92" s="47"/>
      <c r="AE92" s="47"/>
      <c r="AF92" s="47">
        <v>0</v>
      </c>
      <c r="AG92" s="47"/>
      <c r="AH92" s="47"/>
      <c r="AI92" s="47"/>
      <c r="AJ92" s="47"/>
      <c r="AK92" s="47">
        <f t="shared" si="5"/>
        <v>5000</v>
      </c>
      <c r="AL92" s="47"/>
      <c r="AM92" s="47"/>
      <c r="AN92" s="47"/>
      <c r="AO92" s="47"/>
      <c r="AP92" s="47">
        <v>0</v>
      </c>
      <c r="AQ92" s="47"/>
      <c r="AR92" s="47"/>
      <c r="AS92" s="47"/>
      <c r="AT92" s="47"/>
      <c r="AU92" s="47">
        <v>0</v>
      </c>
      <c r="AV92" s="47"/>
      <c r="AW92" s="47"/>
      <c r="AX92" s="47"/>
      <c r="AY92" s="47"/>
      <c r="AZ92" s="47">
        <f t="shared" si="6"/>
        <v>0</v>
      </c>
      <c r="BA92" s="47"/>
      <c r="BB92" s="47"/>
      <c r="BC92" s="47"/>
      <c r="BD92" s="47">
        <f t="shared" si="7"/>
        <v>-5000</v>
      </c>
      <c r="BE92" s="47"/>
      <c r="BF92" s="47"/>
      <c r="BG92" s="47"/>
      <c r="BH92" s="47"/>
      <c r="BI92" s="47">
        <f t="shared" si="8"/>
        <v>0</v>
      </c>
      <c r="BJ92" s="47"/>
      <c r="BK92" s="47"/>
      <c r="BL92" s="47"/>
      <c r="BM92" s="47"/>
      <c r="BN92" s="47">
        <f t="shared" si="9"/>
        <v>-5000</v>
      </c>
      <c r="BO92" s="47"/>
      <c r="BP92" s="47"/>
      <c r="BQ92" s="47"/>
    </row>
    <row r="93" spans="1:69" ht="15" customHeight="1" x14ac:dyDescent="0.2">
      <c r="A93" s="39">
        <v>51</v>
      </c>
      <c r="B93" s="39"/>
      <c r="C93" s="40" t="s">
        <v>130</v>
      </c>
      <c r="D93" s="41"/>
      <c r="E93" s="41"/>
      <c r="F93" s="41"/>
      <c r="G93" s="41"/>
      <c r="H93" s="41"/>
      <c r="I93" s="41"/>
      <c r="J93" s="41"/>
      <c r="K93" s="41"/>
      <c r="L93" s="41"/>
      <c r="M93" s="41"/>
      <c r="N93" s="41"/>
      <c r="O93" s="41"/>
      <c r="P93" s="41"/>
      <c r="Q93" s="41"/>
      <c r="R93" s="41"/>
      <c r="S93" s="41"/>
      <c r="T93" s="41"/>
      <c r="U93" s="41"/>
      <c r="V93" s="41"/>
      <c r="W93" s="41"/>
      <c r="X93" s="41"/>
      <c r="Y93" s="41"/>
      <c r="Z93" s="42"/>
      <c r="AA93" s="47">
        <v>187000</v>
      </c>
      <c r="AB93" s="47"/>
      <c r="AC93" s="47"/>
      <c r="AD93" s="47"/>
      <c r="AE93" s="47"/>
      <c r="AF93" s="47">
        <v>0</v>
      </c>
      <c r="AG93" s="47"/>
      <c r="AH93" s="47"/>
      <c r="AI93" s="47"/>
      <c r="AJ93" s="47"/>
      <c r="AK93" s="47">
        <f t="shared" si="5"/>
        <v>187000</v>
      </c>
      <c r="AL93" s="47"/>
      <c r="AM93" s="47"/>
      <c r="AN93" s="47"/>
      <c r="AO93" s="47"/>
      <c r="AP93" s="47">
        <v>70929</v>
      </c>
      <c r="AQ93" s="47"/>
      <c r="AR93" s="47"/>
      <c r="AS93" s="47"/>
      <c r="AT93" s="47"/>
      <c r="AU93" s="47">
        <v>0</v>
      </c>
      <c r="AV93" s="47"/>
      <c r="AW93" s="47"/>
      <c r="AX93" s="47"/>
      <c r="AY93" s="47"/>
      <c r="AZ93" s="47">
        <f t="shared" si="6"/>
        <v>70929</v>
      </c>
      <c r="BA93" s="47"/>
      <c r="BB93" s="47"/>
      <c r="BC93" s="47"/>
      <c r="BD93" s="47">
        <f t="shared" si="7"/>
        <v>-116071</v>
      </c>
      <c r="BE93" s="47"/>
      <c r="BF93" s="47"/>
      <c r="BG93" s="47"/>
      <c r="BH93" s="47"/>
      <c r="BI93" s="47">
        <f t="shared" si="8"/>
        <v>0</v>
      </c>
      <c r="BJ93" s="47"/>
      <c r="BK93" s="47"/>
      <c r="BL93" s="47"/>
      <c r="BM93" s="47"/>
      <c r="BN93" s="47">
        <f t="shared" si="9"/>
        <v>-116071</v>
      </c>
      <c r="BO93" s="47"/>
      <c r="BP93" s="47"/>
      <c r="BQ93" s="47"/>
    </row>
    <row r="94" spans="1:69" ht="25.5" customHeight="1" x14ac:dyDescent="0.2">
      <c r="A94" s="39">
        <v>52</v>
      </c>
      <c r="B94" s="39"/>
      <c r="C94" s="40" t="s">
        <v>131</v>
      </c>
      <c r="D94" s="41"/>
      <c r="E94" s="41"/>
      <c r="F94" s="41"/>
      <c r="G94" s="41"/>
      <c r="H94" s="41"/>
      <c r="I94" s="41"/>
      <c r="J94" s="41"/>
      <c r="K94" s="41"/>
      <c r="L94" s="41"/>
      <c r="M94" s="41"/>
      <c r="N94" s="41"/>
      <c r="O94" s="41"/>
      <c r="P94" s="41"/>
      <c r="Q94" s="41"/>
      <c r="R94" s="41"/>
      <c r="S94" s="41"/>
      <c r="T94" s="41"/>
      <c r="U94" s="41"/>
      <c r="V94" s="41"/>
      <c r="W94" s="41"/>
      <c r="X94" s="41"/>
      <c r="Y94" s="41"/>
      <c r="Z94" s="42"/>
      <c r="AA94" s="47">
        <v>0</v>
      </c>
      <c r="AB94" s="47"/>
      <c r="AC94" s="47"/>
      <c r="AD94" s="47"/>
      <c r="AE94" s="47"/>
      <c r="AF94" s="47">
        <v>53909</v>
      </c>
      <c r="AG94" s="47"/>
      <c r="AH94" s="47"/>
      <c r="AI94" s="47"/>
      <c r="AJ94" s="47"/>
      <c r="AK94" s="47">
        <f t="shared" si="5"/>
        <v>53909</v>
      </c>
      <c r="AL94" s="47"/>
      <c r="AM94" s="47"/>
      <c r="AN94" s="47"/>
      <c r="AO94" s="47"/>
      <c r="AP94" s="47">
        <v>0</v>
      </c>
      <c r="AQ94" s="47"/>
      <c r="AR94" s="47"/>
      <c r="AS94" s="47"/>
      <c r="AT94" s="47"/>
      <c r="AU94" s="47">
        <v>53909</v>
      </c>
      <c r="AV94" s="47"/>
      <c r="AW94" s="47"/>
      <c r="AX94" s="47"/>
      <c r="AY94" s="47"/>
      <c r="AZ94" s="47">
        <f t="shared" si="6"/>
        <v>53909</v>
      </c>
      <c r="BA94" s="47"/>
      <c r="BB94" s="47"/>
      <c r="BC94" s="47"/>
      <c r="BD94" s="47">
        <f t="shared" si="7"/>
        <v>0</v>
      </c>
      <c r="BE94" s="47"/>
      <c r="BF94" s="47"/>
      <c r="BG94" s="47"/>
      <c r="BH94" s="47"/>
      <c r="BI94" s="47">
        <f t="shared" si="8"/>
        <v>0</v>
      </c>
      <c r="BJ94" s="47"/>
      <c r="BK94" s="47"/>
      <c r="BL94" s="47"/>
      <c r="BM94" s="47"/>
      <c r="BN94" s="47">
        <f t="shared" si="9"/>
        <v>0</v>
      </c>
      <c r="BO94" s="47"/>
      <c r="BP94" s="47"/>
      <c r="BQ94" s="47"/>
    </row>
    <row r="95" spans="1:69" ht="15" customHeight="1" x14ac:dyDescent="0.2">
      <c r="A95" s="39">
        <v>53</v>
      </c>
      <c r="B95" s="39"/>
      <c r="C95" s="40" t="s">
        <v>132</v>
      </c>
      <c r="D95" s="41"/>
      <c r="E95" s="41"/>
      <c r="F95" s="41"/>
      <c r="G95" s="41"/>
      <c r="H95" s="41"/>
      <c r="I95" s="41"/>
      <c r="J95" s="41"/>
      <c r="K95" s="41"/>
      <c r="L95" s="41"/>
      <c r="M95" s="41"/>
      <c r="N95" s="41"/>
      <c r="O95" s="41"/>
      <c r="P95" s="41"/>
      <c r="Q95" s="41"/>
      <c r="R95" s="41"/>
      <c r="S95" s="41"/>
      <c r="T95" s="41"/>
      <c r="U95" s="41"/>
      <c r="V95" s="41"/>
      <c r="W95" s="41"/>
      <c r="X95" s="41"/>
      <c r="Y95" s="41"/>
      <c r="Z95" s="42"/>
      <c r="AA95" s="47">
        <v>0</v>
      </c>
      <c r="AB95" s="47"/>
      <c r="AC95" s="47"/>
      <c r="AD95" s="47"/>
      <c r="AE95" s="47"/>
      <c r="AF95" s="47">
        <v>34805</v>
      </c>
      <c r="AG95" s="47"/>
      <c r="AH95" s="47"/>
      <c r="AI95" s="47"/>
      <c r="AJ95" s="47"/>
      <c r="AK95" s="47">
        <f t="shared" si="5"/>
        <v>34805</v>
      </c>
      <c r="AL95" s="47"/>
      <c r="AM95" s="47"/>
      <c r="AN95" s="47"/>
      <c r="AO95" s="47"/>
      <c r="AP95" s="47">
        <v>0</v>
      </c>
      <c r="AQ95" s="47"/>
      <c r="AR95" s="47"/>
      <c r="AS95" s="47"/>
      <c r="AT95" s="47"/>
      <c r="AU95" s="47">
        <v>34805</v>
      </c>
      <c r="AV95" s="47"/>
      <c r="AW95" s="47"/>
      <c r="AX95" s="47"/>
      <c r="AY95" s="47"/>
      <c r="AZ95" s="47">
        <f t="shared" si="6"/>
        <v>34805</v>
      </c>
      <c r="BA95" s="47"/>
      <c r="BB95" s="47"/>
      <c r="BC95" s="47"/>
      <c r="BD95" s="47">
        <f t="shared" si="7"/>
        <v>0</v>
      </c>
      <c r="BE95" s="47"/>
      <c r="BF95" s="47"/>
      <c r="BG95" s="47"/>
      <c r="BH95" s="47"/>
      <c r="BI95" s="47">
        <f t="shared" si="8"/>
        <v>0</v>
      </c>
      <c r="BJ95" s="47"/>
      <c r="BK95" s="47"/>
      <c r="BL95" s="47"/>
      <c r="BM95" s="47"/>
      <c r="BN95" s="47">
        <f t="shared" si="9"/>
        <v>0</v>
      </c>
      <c r="BO95" s="47"/>
      <c r="BP95" s="47"/>
      <c r="BQ95" s="47"/>
    </row>
    <row r="96" spans="1:69" ht="15" customHeight="1" x14ac:dyDescent="0.2">
      <c r="A96" s="39">
        <v>54</v>
      </c>
      <c r="B96" s="39"/>
      <c r="C96" s="40" t="s">
        <v>133</v>
      </c>
      <c r="D96" s="41"/>
      <c r="E96" s="41"/>
      <c r="F96" s="41"/>
      <c r="G96" s="41"/>
      <c r="H96" s="41"/>
      <c r="I96" s="41"/>
      <c r="J96" s="41"/>
      <c r="K96" s="41"/>
      <c r="L96" s="41"/>
      <c r="M96" s="41"/>
      <c r="N96" s="41"/>
      <c r="O96" s="41"/>
      <c r="P96" s="41"/>
      <c r="Q96" s="41"/>
      <c r="R96" s="41"/>
      <c r="S96" s="41"/>
      <c r="T96" s="41"/>
      <c r="U96" s="41"/>
      <c r="V96" s="41"/>
      <c r="W96" s="41"/>
      <c r="X96" s="41"/>
      <c r="Y96" s="41"/>
      <c r="Z96" s="42"/>
      <c r="AA96" s="47">
        <v>363847</v>
      </c>
      <c r="AB96" s="47"/>
      <c r="AC96" s="47"/>
      <c r="AD96" s="47"/>
      <c r="AE96" s="47"/>
      <c r="AF96" s="47">
        <v>0</v>
      </c>
      <c r="AG96" s="47"/>
      <c r="AH96" s="47"/>
      <c r="AI96" s="47"/>
      <c r="AJ96" s="47"/>
      <c r="AK96" s="47">
        <f t="shared" si="5"/>
        <v>363847</v>
      </c>
      <c r="AL96" s="47"/>
      <c r="AM96" s="47"/>
      <c r="AN96" s="47"/>
      <c r="AO96" s="47"/>
      <c r="AP96" s="47">
        <v>363847</v>
      </c>
      <c r="AQ96" s="47"/>
      <c r="AR96" s="47"/>
      <c r="AS96" s="47"/>
      <c r="AT96" s="47"/>
      <c r="AU96" s="47">
        <v>0</v>
      </c>
      <c r="AV96" s="47"/>
      <c r="AW96" s="47"/>
      <c r="AX96" s="47"/>
      <c r="AY96" s="47"/>
      <c r="AZ96" s="47">
        <f t="shared" si="6"/>
        <v>363847</v>
      </c>
      <c r="BA96" s="47"/>
      <c r="BB96" s="47"/>
      <c r="BC96" s="47"/>
      <c r="BD96" s="47">
        <f t="shared" si="7"/>
        <v>0</v>
      </c>
      <c r="BE96" s="47"/>
      <c r="BF96" s="47"/>
      <c r="BG96" s="47"/>
      <c r="BH96" s="47"/>
      <c r="BI96" s="47">
        <f t="shared" si="8"/>
        <v>0</v>
      </c>
      <c r="BJ96" s="47"/>
      <c r="BK96" s="47"/>
      <c r="BL96" s="47"/>
      <c r="BM96" s="47"/>
      <c r="BN96" s="47">
        <f t="shared" si="9"/>
        <v>0</v>
      </c>
      <c r="BO96" s="47"/>
      <c r="BP96" s="47"/>
      <c r="BQ96" s="47"/>
    </row>
    <row r="97" spans="1:79" s="27" customFormat="1" ht="15" customHeight="1" x14ac:dyDescent="0.2">
      <c r="A97" s="31"/>
      <c r="B97" s="31"/>
      <c r="C97" s="32" t="s">
        <v>134</v>
      </c>
      <c r="D97" s="33"/>
      <c r="E97" s="33"/>
      <c r="F97" s="33"/>
      <c r="G97" s="33"/>
      <c r="H97" s="33"/>
      <c r="I97" s="33"/>
      <c r="J97" s="33"/>
      <c r="K97" s="33"/>
      <c r="L97" s="33"/>
      <c r="M97" s="33"/>
      <c r="N97" s="33"/>
      <c r="O97" s="33"/>
      <c r="P97" s="33"/>
      <c r="Q97" s="33"/>
      <c r="R97" s="33"/>
      <c r="S97" s="33"/>
      <c r="T97" s="33"/>
      <c r="U97" s="33"/>
      <c r="V97" s="33"/>
      <c r="W97" s="33"/>
      <c r="X97" s="33"/>
      <c r="Y97" s="33"/>
      <c r="Z97" s="34"/>
      <c r="AA97" s="48">
        <v>30778667</v>
      </c>
      <c r="AB97" s="48"/>
      <c r="AC97" s="48"/>
      <c r="AD97" s="48"/>
      <c r="AE97" s="48"/>
      <c r="AF97" s="48">
        <v>3612600</v>
      </c>
      <c r="AG97" s="48"/>
      <c r="AH97" s="48"/>
      <c r="AI97" s="48"/>
      <c r="AJ97" s="48"/>
      <c r="AK97" s="48">
        <f t="shared" si="5"/>
        <v>34391267</v>
      </c>
      <c r="AL97" s="48"/>
      <c r="AM97" s="48"/>
      <c r="AN97" s="48"/>
      <c r="AO97" s="48"/>
      <c r="AP97" s="48">
        <v>28926530.530000001</v>
      </c>
      <c r="AQ97" s="48"/>
      <c r="AR97" s="48"/>
      <c r="AS97" s="48"/>
      <c r="AT97" s="48"/>
      <c r="AU97" s="48">
        <v>3814955</v>
      </c>
      <c r="AV97" s="48"/>
      <c r="AW97" s="48"/>
      <c r="AX97" s="48"/>
      <c r="AY97" s="48"/>
      <c r="AZ97" s="48">
        <f t="shared" si="6"/>
        <v>32741485.530000001</v>
      </c>
      <c r="BA97" s="48"/>
      <c r="BB97" s="48"/>
      <c r="BC97" s="48"/>
      <c r="BD97" s="48">
        <f t="shared" si="7"/>
        <v>-1852136.4699999988</v>
      </c>
      <c r="BE97" s="48"/>
      <c r="BF97" s="48"/>
      <c r="BG97" s="48"/>
      <c r="BH97" s="48"/>
      <c r="BI97" s="48">
        <f t="shared" si="8"/>
        <v>202355</v>
      </c>
      <c r="BJ97" s="48"/>
      <c r="BK97" s="48"/>
      <c r="BL97" s="48"/>
      <c r="BM97" s="48"/>
      <c r="BN97" s="48">
        <f t="shared" si="9"/>
        <v>-1649781.4699999988</v>
      </c>
      <c r="BO97" s="48"/>
      <c r="BP97" s="48"/>
      <c r="BQ97" s="48"/>
    </row>
    <row r="99" spans="1:79" ht="29.25" customHeight="1" x14ac:dyDescent="0.2">
      <c r="A99" s="57" t="s">
        <v>74</v>
      </c>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row>
    <row r="100" spans="1:79" ht="9.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row>
    <row r="101" spans="1:79" ht="15.75" customHeight="1" x14ac:dyDescent="0.2">
      <c r="A101" s="63" t="s">
        <v>3</v>
      </c>
      <c r="B101" s="63"/>
      <c r="C101" s="63" t="s">
        <v>60</v>
      </c>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row>
    <row r="102" spans="1:79" ht="15.75" x14ac:dyDescent="0.2">
      <c r="A102" s="63">
        <v>1</v>
      </c>
      <c r="B102" s="63"/>
      <c r="C102" s="101">
        <v>2</v>
      </c>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c r="BN102" s="101"/>
      <c r="BO102" s="101"/>
      <c r="BP102" s="101"/>
      <c r="BQ102" s="101"/>
    </row>
    <row r="103" spans="1:79" hidden="1" x14ac:dyDescent="0.2">
      <c r="A103" s="98" t="s">
        <v>13</v>
      </c>
      <c r="B103" s="99"/>
      <c r="C103" s="102" t="s">
        <v>14</v>
      </c>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4"/>
      <c r="CA103" s="1" t="s">
        <v>68</v>
      </c>
    </row>
    <row r="104" spans="1:79" ht="14.25" customHeight="1" x14ac:dyDescent="0.2">
      <c r="A104" s="55">
        <v>1</v>
      </c>
      <c r="B104" s="56"/>
      <c r="C104" s="40" t="s">
        <v>135</v>
      </c>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2"/>
      <c r="CA104" s="1" t="s">
        <v>61</v>
      </c>
    </row>
    <row r="105" spans="1:79" ht="14.25" customHeight="1" x14ac:dyDescent="0.2">
      <c r="A105" s="55">
        <v>2</v>
      </c>
      <c r="B105" s="56"/>
      <c r="C105" s="40" t="s">
        <v>135</v>
      </c>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2"/>
    </row>
    <row r="106" spans="1:79" ht="14.25" customHeight="1" x14ac:dyDescent="0.2">
      <c r="A106" s="55">
        <v>3</v>
      </c>
      <c r="B106" s="56"/>
      <c r="C106" s="40" t="s">
        <v>136</v>
      </c>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2"/>
    </row>
    <row r="107" spans="1:79" ht="14.25" customHeight="1" x14ac:dyDescent="0.2">
      <c r="A107" s="55">
        <v>4</v>
      </c>
      <c r="B107" s="56"/>
      <c r="C107" s="40" t="s">
        <v>137</v>
      </c>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2"/>
    </row>
    <row r="108" spans="1:79" ht="14.25" customHeight="1" x14ac:dyDescent="0.2">
      <c r="A108" s="55">
        <v>5</v>
      </c>
      <c r="B108" s="56"/>
      <c r="C108" s="40" t="s">
        <v>138</v>
      </c>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2"/>
    </row>
    <row r="109" spans="1:79" ht="14.25" customHeight="1" x14ac:dyDescent="0.2">
      <c r="A109" s="55">
        <v>8</v>
      </c>
      <c r="B109" s="56"/>
      <c r="C109" s="40" t="s">
        <v>139</v>
      </c>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2"/>
    </row>
    <row r="110" spans="1:79" ht="14.25" customHeight="1" x14ac:dyDescent="0.2">
      <c r="A110" s="55">
        <v>9</v>
      </c>
      <c r="B110" s="56"/>
      <c r="C110" s="40" t="s">
        <v>140</v>
      </c>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2"/>
    </row>
    <row r="111" spans="1:79" ht="14.25" customHeight="1" x14ac:dyDescent="0.2">
      <c r="A111" s="55">
        <v>10</v>
      </c>
      <c r="B111" s="56"/>
      <c r="C111" s="40" t="s">
        <v>141</v>
      </c>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2"/>
    </row>
    <row r="112" spans="1:79" ht="14.25" customHeight="1" x14ac:dyDescent="0.2">
      <c r="A112" s="55">
        <v>12</v>
      </c>
      <c r="B112" s="56"/>
      <c r="C112" s="40" t="s">
        <v>142</v>
      </c>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2"/>
    </row>
    <row r="113" spans="1:69" ht="14.25" customHeight="1" x14ac:dyDescent="0.2">
      <c r="A113" s="55">
        <v>13</v>
      </c>
      <c r="B113" s="56"/>
      <c r="C113" s="40" t="s">
        <v>143</v>
      </c>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2"/>
    </row>
    <row r="114" spans="1:69" ht="14.25" customHeight="1" x14ac:dyDescent="0.2">
      <c r="A114" s="55">
        <v>15</v>
      </c>
      <c r="B114" s="56"/>
      <c r="C114" s="40" t="s">
        <v>144</v>
      </c>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2"/>
    </row>
    <row r="115" spans="1:69" ht="14.25" customHeight="1" x14ac:dyDescent="0.2">
      <c r="A115" s="55">
        <v>16</v>
      </c>
      <c r="B115" s="56"/>
      <c r="C115" s="40" t="s">
        <v>145</v>
      </c>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2"/>
    </row>
    <row r="116" spans="1:69" ht="14.25" customHeight="1" x14ac:dyDescent="0.2">
      <c r="A116" s="55">
        <v>17</v>
      </c>
      <c r="B116" s="56"/>
      <c r="C116" s="40" t="s">
        <v>146</v>
      </c>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2"/>
    </row>
    <row r="117" spans="1:69" ht="14.25" customHeight="1" x14ac:dyDescent="0.2">
      <c r="A117" s="55">
        <v>18</v>
      </c>
      <c r="B117" s="56"/>
      <c r="C117" s="40" t="s">
        <v>147</v>
      </c>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2"/>
    </row>
    <row r="118" spans="1:69" ht="14.25" customHeight="1" x14ac:dyDescent="0.2">
      <c r="A118" s="55">
        <v>19</v>
      </c>
      <c r="B118" s="56"/>
      <c r="C118" s="40" t="s">
        <v>143</v>
      </c>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2"/>
    </row>
    <row r="119" spans="1:69" ht="14.25" customHeight="1" x14ac:dyDescent="0.2">
      <c r="A119" s="55">
        <v>21</v>
      </c>
      <c r="B119" s="56"/>
      <c r="C119" s="40" t="s">
        <v>148</v>
      </c>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2"/>
    </row>
    <row r="120" spans="1:69" ht="14.25" customHeight="1" x14ac:dyDescent="0.2">
      <c r="A120" s="55">
        <v>22</v>
      </c>
      <c r="B120" s="56"/>
      <c r="C120" s="40" t="s">
        <v>149</v>
      </c>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2"/>
    </row>
    <row r="121" spans="1:69" ht="14.25" customHeight="1" x14ac:dyDescent="0.2">
      <c r="A121" s="55">
        <v>24</v>
      </c>
      <c r="B121" s="56"/>
      <c r="C121" s="40" t="s">
        <v>143</v>
      </c>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2"/>
    </row>
    <row r="122" spans="1:69" ht="14.25" customHeight="1" x14ac:dyDescent="0.2">
      <c r="A122" s="55">
        <v>25</v>
      </c>
      <c r="B122" s="56"/>
      <c r="C122" s="40" t="s">
        <v>150</v>
      </c>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2"/>
    </row>
    <row r="123" spans="1:69" ht="14.25" customHeight="1" x14ac:dyDescent="0.2">
      <c r="A123" s="55">
        <v>27</v>
      </c>
      <c r="B123" s="56"/>
      <c r="C123" s="40" t="s">
        <v>151</v>
      </c>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2"/>
    </row>
    <row r="124" spans="1:69" ht="14.25" customHeight="1" x14ac:dyDescent="0.2">
      <c r="A124" s="55">
        <v>28</v>
      </c>
      <c r="B124" s="56"/>
      <c r="C124" s="40" t="s">
        <v>152</v>
      </c>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2"/>
    </row>
    <row r="125" spans="1:69" ht="14.25" customHeight="1" x14ac:dyDescent="0.2">
      <c r="A125" s="55">
        <v>29</v>
      </c>
      <c r="B125" s="56"/>
      <c r="C125" s="40" t="s">
        <v>152</v>
      </c>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2"/>
    </row>
    <row r="126" spans="1:69" ht="14.25" customHeight="1" x14ac:dyDescent="0.2">
      <c r="A126" s="55">
        <v>30</v>
      </c>
      <c r="B126" s="56"/>
      <c r="C126" s="40" t="s">
        <v>153</v>
      </c>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2"/>
    </row>
    <row r="127" spans="1:69" ht="14.25" customHeight="1" x14ac:dyDescent="0.2">
      <c r="A127" s="55">
        <v>31</v>
      </c>
      <c r="B127" s="56"/>
      <c r="C127" s="40" t="s">
        <v>154</v>
      </c>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2"/>
    </row>
    <row r="128" spans="1:69" ht="14.25" customHeight="1" x14ac:dyDescent="0.2">
      <c r="A128" s="55">
        <v>32</v>
      </c>
      <c r="B128" s="56"/>
      <c r="C128" s="40" t="s">
        <v>155</v>
      </c>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2"/>
    </row>
    <row r="129" spans="1:69" ht="14.25" customHeight="1" x14ac:dyDescent="0.2">
      <c r="A129" s="55">
        <v>33</v>
      </c>
      <c r="B129" s="56"/>
      <c r="C129" s="40" t="s">
        <v>156</v>
      </c>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2"/>
    </row>
    <row r="130" spans="1:69" ht="14.25" customHeight="1" x14ac:dyDescent="0.2">
      <c r="A130" s="55">
        <v>34</v>
      </c>
      <c r="B130" s="56"/>
      <c r="C130" s="40" t="s">
        <v>157</v>
      </c>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2"/>
    </row>
    <row r="131" spans="1:69" ht="14.25" customHeight="1" x14ac:dyDescent="0.2">
      <c r="A131" s="55">
        <v>35</v>
      </c>
      <c r="B131" s="56"/>
      <c r="C131" s="40" t="s">
        <v>158</v>
      </c>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2"/>
    </row>
    <row r="132" spans="1:69" ht="14.25" customHeight="1" x14ac:dyDescent="0.2">
      <c r="A132" s="55">
        <v>36</v>
      </c>
      <c r="B132" s="56"/>
      <c r="C132" s="40" t="s">
        <v>159</v>
      </c>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2"/>
    </row>
    <row r="133" spans="1:69" ht="14.25" customHeight="1" x14ac:dyDescent="0.2">
      <c r="A133" s="55">
        <v>37</v>
      </c>
      <c r="B133" s="56"/>
      <c r="C133" s="40" t="s">
        <v>160</v>
      </c>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2"/>
    </row>
    <row r="134" spans="1:69" ht="14.25" customHeight="1" x14ac:dyDescent="0.2">
      <c r="A134" s="55">
        <v>39</v>
      </c>
      <c r="B134" s="56"/>
      <c r="C134" s="40" t="s">
        <v>161</v>
      </c>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2"/>
    </row>
    <row r="135" spans="1:69" ht="14.25" customHeight="1" x14ac:dyDescent="0.2">
      <c r="A135" s="55">
        <v>40</v>
      </c>
      <c r="B135" s="56"/>
      <c r="C135" s="40" t="s">
        <v>162</v>
      </c>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2"/>
    </row>
    <row r="136" spans="1:69" ht="14.25" customHeight="1" x14ac:dyDescent="0.2">
      <c r="A136" s="55">
        <v>42</v>
      </c>
      <c r="B136" s="56"/>
      <c r="C136" s="40" t="s">
        <v>163</v>
      </c>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2"/>
    </row>
    <row r="137" spans="1:69" ht="14.25" customHeight="1" x14ac:dyDescent="0.2">
      <c r="A137" s="55">
        <v>46</v>
      </c>
      <c r="B137" s="56"/>
      <c r="C137" s="40" t="s">
        <v>164</v>
      </c>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2"/>
    </row>
    <row r="138" spans="1:69" ht="14.25" customHeight="1" x14ac:dyDescent="0.2">
      <c r="A138" s="55">
        <v>47</v>
      </c>
      <c r="B138" s="56"/>
      <c r="C138" s="40" t="s">
        <v>165</v>
      </c>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2"/>
    </row>
    <row r="139" spans="1:69" ht="14.25" customHeight="1" x14ac:dyDescent="0.2">
      <c r="A139" s="55">
        <v>48</v>
      </c>
      <c r="B139" s="56"/>
      <c r="C139" s="40" t="s">
        <v>166</v>
      </c>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2"/>
    </row>
    <row r="140" spans="1:69" ht="14.25" customHeight="1" x14ac:dyDescent="0.2">
      <c r="A140" s="55">
        <v>50</v>
      </c>
      <c r="B140" s="56"/>
      <c r="C140" s="40" t="s">
        <v>167</v>
      </c>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2"/>
    </row>
    <row r="141" spans="1:69" ht="14.25" customHeight="1" x14ac:dyDescent="0.2">
      <c r="A141" s="55">
        <v>51</v>
      </c>
      <c r="B141" s="56"/>
      <c r="C141" s="40" t="s">
        <v>167</v>
      </c>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2"/>
    </row>
    <row r="143" spans="1:69" ht="15.75" customHeight="1" x14ac:dyDescent="0.2">
      <c r="A143" s="57" t="s">
        <v>42</v>
      </c>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row>
    <row r="144" spans="1:69" ht="15" customHeight="1" x14ac:dyDescent="0.2">
      <c r="A144" s="100" t="s">
        <v>207</v>
      </c>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row>
    <row r="145" spans="1:79" ht="28.5" customHeight="1" x14ac:dyDescent="0.2">
      <c r="A145" s="67" t="s">
        <v>3</v>
      </c>
      <c r="B145" s="69"/>
      <c r="C145" s="63" t="s">
        <v>28</v>
      </c>
      <c r="D145" s="63"/>
      <c r="E145" s="63"/>
      <c r="F145" s="63"/>
      <c r="G145" s="63"/>
      <c r="H145" s="63"/>
      <c r="I145" s="63"/>
      <c r="J145" s="63"/>
      <c r="K145" s="63"/>
      <c r="L145" s="63"/>
      <c r="M145" s="63"/>
      <c r="N145" s="63"/>
      <c r="O145" s="63"/>
      <c r="P145" s="63"/>
      <c r="Q145" s="63"/>
      <c r="R145" s="63"/>
      <c r="S145" s="63" t="s">
        <v>25</v>
      </c>
      <c r="T145" s="63"/>
      <c r="U145" s="63"/>
      <c r="V145" s="63"/>
      <c r="W145" s="63"/>
      <c r="X145" s="63"/>
      <c r="Y145" s="63"/>
      <c r="Z145" s="63"/>
      <c r="AA145" s="63"/>
      <c r="AB145" s="63"/>
      <c r="AC145" s="63"/>
      <c r="AD145" s="63"/>
      <c r="AE145" s="63"/>
      <c r="AF145" s="63"/>
      <c r="AG145" s="63"/>
      <c r="AH145" s="63"/>
      <c r="AI145" s="63" t="s">
        <v>44</v>
      </c>
      <c r="AJ145" s="63"/>
      <c r="AK145" s="63"/>
      <c r="AL145" s="63"/>
      <c r="AM145" s="63"/>
      <c r="AN145" s="63"/>
      <c r="AO145" s="63"/>
      <c r="AP145" s="63"/>
      <c r="AQ145" s="63"/>
      <c r="AR145" s="63"/>
      <c r="AS145" s="63"/>
      <c r="AT145" s="63"/>
      <c r="AU145" s="63"/>
      <c r="AV145" s="63"/>
      <c r="AW145" s="63"/>
      <c r="AX145" s="63"/>
      <c r="AY145" s="63" t="s">
        <v>0</v>
      </c>
      <c r="AZ145" s="63"/>
      <c r="BA145" s="63"/>
      <c r="BB145" s="63"/>
      <c r="BC145" s="63"/>
      <c r="BD145" s="63"/>
      <c r="BE145" s="63"/>
      <c r="BF145" s="63"/>
      <c r="BG145" s="63"/>
      <c r="BH145" s="63"/>
      <c r="BI145" s="63"/>
      <c r="BJ145" s="63"/>
      <c r="BK145" s="63"/>
      <c r="BL145" s="63"/>
      <c r="BM145" s="63"/>
      <c r="BN145" s="63"/>
      <c r="BO145" s="2"/>
      <c r="BP145" s="2"/>
      <c r="BQ145" s="2"/>
    </row>
    <row r="146" spans="1:79" ht="29.1" customHeight="1" x14ac:dyDescent="0.2">
      <c r="A146" s="105"/>
      <c r="B146" s="107"/>
      <c r="C146" s="63"/>
      <c r="D146" s="63"/>
      <c r="E146" s="63"/>
      <c r="F146" s="63"/>
      <c r="G146" s="63"/>
      <c r="H146" s="63"/>
      <c r="I146" s="63"/>
      <c r="J146" s="63"/>
      <c r="K146" s="63"/>
      <c r="L146" s="63"/>
      <c r="M146" s="63"/>
      <c r="N146" s="63"/>
      <c r="O146" s="63"/>
      <c r="P146" s="63"/>
      <c r="Q146" s="63"/>
      <c r="R146" s="63"/>
      <c r="S146" s="63" t="s">
        <v>2</v>
      </c>
      <c r="T146" s="63"/>
      <c r="U146" s="63"/>
      <c r="V146" s="63"/>
      <c r="W146" s="63"/>
      <c r="X146" s="63" t="s">
        <v>1</v>
      </c>
      <c r="Y146" s="63"/>
      <c r="Z146" s="63"/>
      <c r="AA146" s="63"/>
      <c r="AB146" s="63"/>
      <c r="AC146" s="63" t="s">
        <v>26</v>
      </c>
      <c r="AD146" s="63"/>
      <c r="AE146" s="63"/>
      <c r="AF146" s="63"/>
      <c r="AG146" s="63"/>
      <c r="AH146" s="63"/>
      <c r="AI146" s="63" t="s">
        <v>2</v>
      </c>
      <c r="AJ146" s="63"/>
      <c r="AK146" s="63"/>
      <c r="AL146" s="63"/>
      <c r="AM146" s="63"/>
      <c r="AN146" s="63" t="s">
        <v>1</v>
      </c>
      <c r="AO146" s="63"/>
      <c r="AP146" s="63"/>
      <c r="AQ146" s="63"/>
      <c r="AR146" s="63"/>
      <c r="AS146" s="63" t="s">
        <v>26</v>
      </c>
      <c r="AT146" s="63"/>
      <c r="AU146" s="63"/>
      <c r="AV146" s="63"/>
      <c r="AW146" s="63"/>
      <c r="AX146" s="63"/>
      <c r="AY146" s="58" t="s">
        <v>2</v>
      </c>
      <c r="AZ146" s="64"/>
      <c r="BA146" s="64"/>
      <c r="BB146" s="64"/>
      <c r="BC146" s="65"/>
      <c r="BD146" s="58" t="s">
        <v>1</v>
      </c>
      <c r="BE146" s="64"/>
      <c r="BF146" s="64"/>
      <c r="BG146" s="64"/>
      <c r="BH146" s="65"/>
      <c r="BI146" s="63" t="s">
        <v>26</v>
      </c>
      <c r="BJ146" s="63"/>
      <c r="BK146" s="63"/>
      <c r="BL146" s="63"/>
      <c r="BM146" s="63"/>
      <c r="BN146" s="63"/>
      <c r="BO146" s="2"/>
      <c r="BP146" s="2"/>
      <c r="BQ146" s="2"/>
    </row>
    <row r="147" spans="1:79" ht="15.95" customHeight="1" x14ac:dyDescent="0.25">
      <c r="A147" s="63">
        <v>1</v>
      </c>
      <c r="B147" s="63"/>
      <c r="C147" s="63">
        <v>2</v>
      </c>
      <c r="D147" s="63"/>
      <c r="E147" s="63"/>
      <c r="F147" s="63"/>
      <c r="G147" s="63"/>
      <c r="H147" s="63"/>
      <c r="I147" s="63"/>
      <c r="J147" s="63"/>
      <c r="K147" s="63"/>
      <c r="L147" s="63"/>
      <c r="M147" s="63"/>
      <c r="N147" s="63"/>
      <c r="O147" s="63"/>
      <c r="P147" s="63"/>
      <c r="Q147" s="63"/>
      <c r="R147" s="63"/>
      <c r="S147" s="63">
        <v>3</v>
      </c>
      <c r="T147" s="63"/>
      <c r="U147" s="63"/>
      <c r="V147" s="63"/>
      <c r="W147" s="63"/>
      <c r="X147" s="63">
        <v>4</v>
      </c>
      <c r="Y147" s="63"/>
      <c r="Z147" s="63"/>
      <c r="AA147" s="63"/>
      <c r="AB147" s="63"/>
      <c r="AC147" s="63">
        <v>5</v>
      </c>
      <c r="AD147" s="63"/>
      <c r="AE147" s="63"/>
      <c r="AF147" s="63"/>
      <c r="AG147" s="63"/>
      <c r="AH147" s="63"/>
      <c r="AI147" s="63">
        <v>6</v>
      </c>
      <c r="AJ147" s="63"/>
      <c r="AK147" s="63"/>
      <c r="AL147" s="63"/>
      <c r="AM147" s="63"/>
      <c r="AN147" s="63">
        <v>7</v>
      </c>
      <c r="AO147" s="63"/>
      <c r="AP147" s="63"/>
      <c r="AQ147" s="63"/>
      <c r="AR147" s="63"/>
      <c r="AS147" s="63">
        <v>8</v>
      </c>
      <c r="AT147" s="63"/>
      <c r="AU147" s="63"/>
      <c r="AV147" s="63"/>
      <c r="AW147" s="63"/>
      <c r="AX147" s="63"/>
      <c r="AY147" s="63">
        <v>9</v>
      </c>
      <c r="AZ147" s="63"/>
      <c r="BA147" s="63"/>
      <c r="BB147" s="63"/>
      <c r="BC147" s="63"/>
      <c r="BD147" s="63">
        <v>10</v>
      </c>
      <c r="BE147" s="63"/>
      <c r="BF147" s="63"/>
      <c r="BG147" s="63"/>
      <c r="BH147" s="63"/>
      <c r="BI147" s="58">
        <v>11</v>
      </c>
      <c r="BJ147" s="64"/>
      <c r="BK147" s="64"/>
      <c r="BL147" s="64"/>
      <c r="BM147" s="64"/>
      <c r="BN147" s="65"/>
      <c r="BO147" s="6"/>
      <c r="BP147" s="6"/>
      <c r="BQ147" s="6"/>
    </row>
    <row r="148" spans="1:79" ht="18" hidden="1" customHeight="1" x14ac:dyDescent="0.2">
      <c r="A148" s="39" t="s">
        <v>13</v>
      </c>
      <c r="B148" s="39"/>
      <c r="C148" s="108" t="s">
        <v>14</v>
      </c>
      <c r="D148" s="108"/>
      <c r="E148" s="108"/>
      <c r="F148" s="108"/>
      <c r="G148" s="108"/>
      <c r="H148" s="108"/>
      <c r="I148" s="108"/>
      <c r="J148" s="108"/>
      <c r="K148" s="108"/>
      <c r="L148" s="108"/>
      <c r="M148" s="108"/>
      <c r="N148" s="108"/>
      <c r="O148" s="108"/>
      <c r="P148" s="108"/>
      <c r="Q148" s="108"/>
      <c r="R148" s="108"/>
      <c r="S148" s="66" t="s">
        <v>10</v>
      </c>
      <c r="T148" s="66"/>
      <c r="U148" s="66"/>
      <c r="V148" s="66"/>
      <c r="W148" s="66"/>
      <c r="X148" s="66" t="s">
        <v>9</v>
      </c>
      <c r="Y148" s="66"/>
      <c r="Z148" s="66"/>
      <c r="AA148" s="66"/>
      <c r="AB148" s="66"/>
      <c r="AC148" s="31" t="s">
        <v>16</v>
      </c>
      <c r="AD148" s="109"/>
      <c r="AE148" s="109"/>
      <c r="AF148" s="109"/>
      <c r="AG148" s="109"/>
      <c r="AH148" s="109"/>
      <c r="AI148" s="66" t="s">
        <v>11</v>
      </c>
      <c r="AJ148" s="66"/>
      <c r="AK148" s="66"/>
      <c r="AL148" s="66"/>
      <c r="AM148" s="66"/>
      <c r="AN148" s="66" t="s">
        <v>12</v>
      </c>
      <c r="AO148" s="66"/>
      <c r="AP148" s="66"/>
      <c r="AQ148" s="66"/>
      <c r="AR148" s="66"/>
      <c r="AS148" s="31" t="s">
        <v>16</v>
      </c>
      <c r="AT148" s="109"/>
      <c r="AU148" s="109"/>
      <c r="AV148" s="109"/>
      <c r="AW148" s="109"/>
      <c r="AX148" s="109"/>
      <c r="AY148" s="55" t="s">
        <v>17</v>
      </c>
      <c r="AZ148" s="110"/>
      <c r="BA148" s="110"/>
      <c r="BB148" s="110"/>
      <c r="BC148" s="56"/>
      <c r="BD148" s="55" t="s">
        <v>17</v>
      </c>
      <c r="BE148" s="110"/>
      <c r="BF148" s="110"/>
      <c r="BG148" s="110"/>
      <c r="BH148" s="56"/>
      <c r="BI148" s="109" t="s">
        <v>16</v>
      </c>
      <c r="BJ148" s="109"/>
      <c r="BK148" s="109"/>
      <c r="BL148" s="109"/>
      <c r="BM148" s="109"/>
      <c r="BN148" s="109"/>
      <c r="BO148" s="7"/>
      <c r="BP148" s="7"/>
      <c r="BQ148" s="7"/>
      <c r="CA148" s="1" t="s">
        <v>21</v>
      </c>
    </row>
    <row r="149" spans="1:79" ht="38.25" customHeight="1" x14ac:dyDescent="0.2">
      <c r="A149" s="39">
        <v>1</v>
      </c>
      <c r="B149" s="39"/>
      <c r="C149" s="40" t="s">
        <v>168</v>
      </c>
      <c r="D149" s="41"/>
      <c r="E149" s="41"/>
      <c r="F149" s="41"/>
      <c r="G149" s="41"/>
      <c r="H149" s="41"/>
      <c r="I149" s="41"/>
      <c r="J149" s="41"/>
      <c r="K149" s="41"/>
      <c r="L149" s="41"/>
      <c r="M149" s="41"/>
      <c r="N149" s="41"/>
      <c r="O149" s="41"/>
      <c r="P149" s="41"/>
      <c r="Q149" s="41"/>
      <c r="R149" s="42"/>
      <c r="S149" s="47">
        <v>245000</v>
      </c>
      <c r="T149" s="47"/>
      <c r="U149" s="47"/>
      <c r="V149" s="47"/>
      <c r="W149" s="47"/>
      <c r="X149" s="47">
        <v>0</v>
      </c>
      <c r="Y149" s="47"/>
      <c r="Z149" s="47"/>
      <c r="AA149" s="47"/>
      <c r="AB149" s="47"/>
      <c r="AC149" s="47">
        <f>S149+X149</f>
        <v>245000</v>
      </c>
      <c r="AD149" s="47"/>
      <c r="AE149" s="47"/>
      <c r="AF149" s="47"/>
      <c r="AG149" s="47"/>
      <c r="AH149" s="47"/>
      <c r="AI149" s="47">
        <v>244800</v>
      </c>
      <c r="AJ149" s="47"/>
      <c r="AK149" s="47"/>
      <c r="AL149" s="47"/>
      <c r="AM149" s="47"/>
      <c r="AN149" s="47">
        <v>0</v>
      </c>
      <c r="AO149" s="47"/>
      <c r="AP149" s="47"/>
      <c r="AQ149" s="47"/>
      <c r="AR149" s="47"/>
      <c r="AS149" s="47">
        <f>AI149+AN149</f>
        <v>244800</v>
      </c>
      <c r="AT149" s="47"/>
      <c r="AU149" s="47"/>
      <c r="AV149" s="47"/>
      <c r="AW149" s="47"/>
      <c r="AX149" s="47"/>
      <c r="AY149" s="47">
        <f>AI149-S149</f>
        <v>-200</v>
      </c>
      <c r="AZ149" s="47"/>
      <c r="BA149" s="47"/>
      <c r="BB149" s="47"/>
      <c r="BC149" s="47"/>
      <c r="BD149" s="54">
        <f>AN149-X149</f>
        <v>0</v>
      </c>
      <c r="BE149" s="54"/>
      <c r="BF149" s="54"/>
      <c r="BG149" s="54"/>
      <c r="BH149" s="54"/>
      <c r="BI149" s="54">
        <f>AY149+BD149</f>
        <v>-200</v>
      </c>
      <c r="BJ149" s="54"/>
      <c r="BK149" s="54"/>
      <c r="BL149" s="54"/>
      <c r="BM149" s="54"/>
      <c r="BN149" s="54"/>
      <c r="BO149" s="8"/>
      <c r="BP149" s="8"/>
      <c r="BQ149" s="8"/>
      <c r="CA149" s="1" t="s">
        <v>22</v>
      </c>
    </row>
    <row r="150" spans="1:79" ht="51" customHeight="1" x14ac:dyDescent="0.2">
      <c r="A150" s="39">
        <v>2</v>
      </c>
      <c r="B150" s="39"/>
      <c r="C150" s="40" t="s">
        <v>169</v>
      </c>
      <c r="D150" s="41"/>
      <c r="E150" s="41"/>
      <c r="F150" s="41"/>
      <c r="G150" s="41"/>
      <c r="H150" s="41"/>
      <c r="I150" s="41"/>
      <c r="J150" s="41"/>
      <c r="K150" s="41"/>
      <c r="L150" s="41"/>
      <c r="M150" s="41"/>
      <c r="N150" s="41"/>
      <c r="O150" s="41"/>
      <c r="P150" s="41"/>
      <c r="Q150" s="41"/>
      <c r="R150" s="42"/>
      <c r="S150" s="47">
        <v>99999</v>
      </c>
      <c r="T150" s="47"/>
      <c r="U150" s="47"/>
      <c r="V150" s="47"/>
      <c r="W150" s="47"/>
      <c r="X150" s="47">
        <v>0</v>
      </c>
      <c r="Y150" s="47"/>
      <c r="Z150" s="47"/>
      <c r="AA150" s="47"/>
      <c r="AB150" s="47"/>
      <c r="AC150" s="47">
        <f>S150+X150</f>
        <v>99999</v>
      </c>
      <c r="AD150" s="47"/>
      <c r="AE150" s="47"/>
      <c r="AF150" s="47"/>
      <c r="AG150" s="47"/>
      <c r="AH150" s="47"/>
      <c r="AI150" s="47">
        <v>99999</v>
      </c>
      <c r="AJ150" s="47"/>
      <c r="AK150" s="47"/>
      <c r="AL150" s="47"/>
      <c r="AM150" s="47"/>
      <c r="AN150" s="47">
        <v>0</v>
      </c>
      <c r="AO150" s="47"/>
      <c r="AP150" s="47"/>
      <c r="AQ150" s="47"/>
      <c r="AR150" s="47"/>
      <c r="AS150" s="47">
        <f>AI150+AN150</f>
        <v>99999</v>
      </c>
      <c r="AT150" s="47"/>
      <c r="AU150" s="47"/>
      <c r="AV150" s="47"/>
      <c r="AW150" s="47"/>
      <c r="AX150" s="47"/>
      <c r="AY150" s="47">
        <f>AI150-S150</f>
        <v>0</v>
      </c>
      <c r="AZ150" s="47"/>
      <c r="BA150" s="47"/>
      <c r="BB150" s="47"/>
      <c r="BC150" s="47"/>
      <c r="BD150" s="54">
        <f>AN150-X150</f>
        <v>0</v>
      </c>
      <c r="BE150" s="54"/>
      <c r="BF150" s="54"/>
      <c r="BG150" s="54"/>
      <c r="BH150" s="54"/>
      <c r="BI150" s="54">
        <f>AY150+BD150</f>
        <v>0</v>
      </c>
      <c r="BJ150" s="54"/>
      <c r="BK150" s="54"/>
      <c r="BL150" s="54"/>
      <c r="BM150" s="54"/>
      <c r="BN150" s="54"/>
      <c r="BO150" s="8"/>
      <c r="BP150" s="8"/>
      <c r="BQ150" s="8"/>
    </row>
    <row r="151" spans="1:79" s="27" customFormat="1" ht="15" customHeight="1" x14ac:dyDescent="0.2">
      <c r="A151" s="31"/>
      <c r="B151" s="31"/>
      <c r="C151" s="32" t="s">
        <v>170</v>
      </c>
      <c r="D151" s="33"/>
      <c r="E151" s="33"/>
      <c r="F151" s="33"/>
      <c r="G151" s="33"/>
      <c r="H151" s="33"/>
      <c r="I151" s="33"/>
      <c r="J151" s="33"/>
      <c r="K151" s="33"/>
      <c r="L151" s="33"/>
      <c r="M151" s="33"/>
      <c r="N151" s="33"/>
      <c r="O151" s="33"/>
      <c r="P151" s="33"/>
      <c r="Q151" s="33"/>
      <c r="R151" s="34"/>
      <c r="S151" s="48">
        <v>344999</v>
      </c>
      <c r="T151" s="48"/>
      <c r="U151" s="48"/>
      <c r="V151" s="48"/>
      <c r="W151" s="48"/>
      <c r="X151" s="48">
        <v>0</v>
      </c>
      <c r="Y151" s="48"/>
      <c r="Z151" s="48"/>
      <c r="AA151" s="48"/>
      <c r="AB151" s="48"/>
      <c r="AC151" s="48">
        <f>S151+X151</f>
        <v>344999</v>
      </c>
      <c r="AD151" s="48"/>
      <c r="AE151" s="48"/>
      <c r="AF151" s="48"/>
      <c r="AG151" s="48"/>
      <c r="AH151" s="48"/>
      <c r="AI151" s="48">
        <v>344799</v>
      </c>
      <c r="AJ151" s="48"/>
      <c r="AK151" s="48"/>
      <c r="AL151" s="48"/>
      <c r="AM151" s="48"/>
      <c r="AN151" s="48">
        <v>0</v>
      </c>
      <c r="AO151" s="48"/>
      <c r="AP151" s="48"/>
      <c r="AQ151" s="48"/>
      <c r="AR151" s="48"/>
      <c r="AS151" s="48">
        <f>AI151+AN151</f>
        <v>344799</v>
      </c>
      <c r="AT151" s="48"/>
      <c r="AU151" s="48"/>
      <c r="AV151" s="48"/>
      <c r="AW151" s="48"/>
      <c r="AX151" s="48"/>
      <c r="AY151" s="48">
        <f>AI151-S151</f>
        <v>-200</v>
      </c>
      <c r="AZ151" s="48"/>
      <c r="BA151" s="48"/>
      <c r="BB151" s="48"/>
      <c r="BC151" s="48"/>
      <c r="BD151" s="53">
        <f>AN151-X151</f>
        <v>0</v>
      </c>
      <c r="BE151" s="53"/>
      <c r="BF151" s="53"/>
      <c r="BG151" s="53"/>
      <c r="BH151" s="53"/>
      <c r="BI151" s="53">
        <f>AY151+BD151</f>
        <v>-200</v>
      </c>
      <c r="BJ151" s="53"/>
      <c r="BK151" s="53"/>
      <c r="BL151" s="53"/>
      <c r="BM151" s="53"/>
      <c r="BN151" s="53"/>
      <c r="BO151" s="28"/>
      <c r="BP151" s="28"/>
      <c r="BQ151" s="28"/>
    </row>
    <row r="153" spans="1:79" ht="15.75" customHeight="1" x14ac:dyDescent="0.2">
      <c r="A153" s="57" t="s">
        <v>43</v>
      </c>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row>
    <row r="154" spans="1:79" ht="15.75" customHeight="1" x14ac:dyDescent="0.2">
      <c r="A154" s="57" t="s">
        <v>62</v>
      </c>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c r="BO154" s="57"/>
      <c r="BP154" s="57"/>
      <c r="BQ154" s="57"/>
    </row>
    <row r="155" spans="1:79" ht="8.25" customHeight="1" x14ac:dyDescent="0.2"/>
    <row r="156" spans="1:79" ht="45" customHeight="1" x14ac:dyDescent="0.2">
      <c r="A156" s="67" t="s">
        <v>3</v>
      </c>
      <c r="B156" s="69"/>
      <c r="C156" s="67" t="s">
        <v>6</v>
      </c>
      <c r="D156" s="68"/>
      <c r="E156" s="68"/>
      <c r="F156" s="68"/>
      <c r="G156" s="68"/>
      <c r="H156" s="68"/>
      <c r="I156" s="69"/>
      <c r="J156" s="67" t="s">
        <v>5</v>
      </c>
      <c r="K156" s="68"/>
      <c r="L156" s="68"/>
      <c r="M156" s="68"/>
      <c r="N156" s="69"/>
      <c r="O156" s="67" t="s">
        <v>4</v>
      </c>
      <c r="P156" s="68"/>
      <c r="Q156" s="68"/>
      <c r="R156" s="68"/>
      <c r="S156" s="68"/>
      <c r="T156" s="68"/>
      <c r="U156" s="68"/>
      <c r="V156" s="68"/>
      <c r="W156" s="68"/>
      <c r="X156" s="69"/>
      <c r="Y156" s="63" t="s">
        <v>25</v>
      </c>
      <c r="Z156" s="63"/>
      <c r="AA156" s="63"/>
      <c r="AB156" s="63"/>
      <c r="AC156" s="63"/>
      <c r="AD156" s="63"/>
      <c r="AE156" s="63"/>
      <c r="AF156" s="63"/>
      <c r="AG156" s="63"/>
      <c r="AH156" s="63"/>
      <c r="AI156" s="63"/>
      <c r="AJ156" s="63"/>
      <c r="AK156" s="63"/>
      <c r="AL156" s="63"/>
      <c r="AM156" s="63"/>
      <c r="AN156" s="63" t="s">
        <v>45</v>
      </c>
      <c r="AO156" s="63"/>
      <c r="AP156" s="63"/>
      <c r="AQ156" s="63"/>
      <c r="AR156" s="63"/>
      <c r="AS156" s="63"/>
      <c r="AT156" s="63"/>
      <c r="AU156" s="63"/>
      <c r="AV156" s="63"/>
      <c r="AW156" s="63"/>
      <c r="AX156" s="63"/>
      <c r="AY156" s="63"/>
      <c r="AZ156" s="63"/>
      <c r="BA156" s="63"/>
      <c r="BB156" s="63"/>
      <c r="BC156" s="86" t="s">
        <v>0</v>
      </c>
      <c r="BD156" s="86"/>
      <c r="BE156" s="86"/>
      <c r="BF156" s="86"/>
      <c r="BG156" s="86"/>
      <c r="BH156" s="86"/>
      <c r="BI156" s="86"/>
      <c r="BJ156" s="86"/>
      <c r="BK156" s="86"/>
      <c r="BL156" s="86"/>
      <c r="BM156" s="86"/>
      <c r="BN156" s="86"/>
      <c r="BO156" s="86"/>
      <c r="BP156" s="86"/>
      <c r="BQ156" s="86"/>
      <c r="BR156" s="9"/>
      <c r="BS156" s="9"/>
      <c r="BT156" s="9"/>
      <c r="BU156" s="9"/>
      <c r="BV156" s="9"/>
      <c r="BW156" s="9"/>
      <c r="BX156" s="9"/>
      <c r="BY156" s="9"/>
    </row>
    <row r="157" spans="1:79" ht="32.25" customHeight="1" x14ac:dyDescent="0.2">
      <c r="A157" s="105"/>
      <c r="B157" s="107"/>
      <c r="C157" s="105"/>
      <c r="D157" s="106"/>
      <c r="E157" s="106"/>
      <c r="F157" s="106"/>
      <c r="G157" s="106"/>
      <c r="H157" s="106"/>
      <c r="I157" s="107"/>
      <c r="J157" s="105"/>
      <c r="K157" s="106"/>
      <c r="L157" s="106"/>
      <c r="M157" s="106"/>
      <c r="N157" s="107"/>
      <c r="O157" s="105"/>
      <c r="P157" s="106"/>
      <c r="Q157" s="106"/>
      <c r="R157" s="106"/>
      <c r="S157" s="106"/>
      <c r="T157" s="106"/>
      <c r="U157" s="106"/>
      <c r="V157" s="106"/>
      <c r="W157" s="106"/>
      <c r="X157" s="107"/>
      <c r="Y157" s="58" t="s">
        <v>2</v>
      </c>
      <c r="Z157" s="64"/>
      <c r="AA157" s="64"/>
      <c r="AB157" s="64"/>
      <c r="AC157" s="65"/>
      <c r="AD157" s="58" t="s">
        <v>1</v>
      </c>
      <c r="AE157" s="64"/>
      <c r="AF157" s="64"/>
      <c r="AG157" s="64"/>
      <c r="AH157" s="65"/>
      <c r="AI157" s="63" t="s">
        <v>26</v>
      </c>
      <c r="AJ157" s="63"/>
      <c r="AK157" s="63"/>
      <c r="AL157" s="63"/>
      <c r="AM157" s="63"/>
      <c r="AN157" s="63" t="s">
        <v>2</v>
      </c>
      <c r="AO157" s="63"/>
      <c r="AP157" s="63"/>
      <c r="AQ157" s="63"/>
      <c r="AR157" s="63"/>
      <c r="AS157" s="63" t="s">
        <v>1</v>
      </c>
      <c r="AT157" s="63"/>
      <c r="AU157" s="63"/>
      <c r="AV157" s="63"/>
      <c r="AW157" s="63"/>
      <c r="AX157" s="63" t="s">
        <v>26</v>
      </c>
      <c r="AY157" s="63"/>
      <c r="AZ157" s="63"/>
      <c r="BA157" s="63"/>
      <c r="BB157" s="63"/>
      <c r="BC157" s="63" t="s">
        <v>2</v>
      </c>
      <c r="BD157" s="63"/>
      <c r="BE157" s="63"/>
      <c r="BF157" s="63"/>
      <c r="BG157" s="63"/>
      <c r="BH157" s="63" t="s">
        <v>1</v>
      </c>
      <c r="BI157" s="63"/>
      <c r="BJ157" s="63"/>
      <c r="BK157" s="63"/>
      <c r="BL157" s="63"/>
      <c r="BM157" s="63" t="s">
        <v>26</v>
      </c>
      <c r="BN157" s="63"/>
      <c r="BO157" s="63"/>
      <c r="BP157" s="63"/>
      <c r="BQ157" s="63"/>
      <c r="BR157" s="2"/>
      <c r="BS157" s="2"/>
      <c r="BT157" s="2"/>
      <c r="BU157" s="2"/>
      <c r="BV157" s="2"/>
      <c r="BW157" s="2"/>
      <c r="BX157" s="2"/>
      <c r="BY157" s="2"/>
    </row>
    <row r="158" spans="1:79" ht="15.95" customHeight="1" x14ac:dyDescent="0.2">
      <c r="A158" s="63">
        <v>1</v>
      </c>
      <c r="B158" s="63"/>
      <c r="C158" s="63">
        <v>2</v>
      </c>
      <c r="D158" s="63"/>
      <c r="E158" s="63"/>
      <c r="F158" s="63"/>
      <c r="G158" s="63"/>
      <c r="H158" s="63"/>
      <c r="I158" s="63"/>
      <c r="J158" s="63">
        <v>3</v>
      </c>
      <c r="K158" s="63"/>
      <c r="L158" s="63"/>
      <c r="M158" s="63"/>
      <c r="N158" s="63"/>
      <c r="O158" s="63">
        <v>4</v>
      </c>
      <c r="P158" s="63"/>
      <c r="Q158" s="63"/>
      <c r="R158" s="63"/>
      <c r="S158" s="63"/>
      <c r="T158" s="63"/>
      <c r="U158" s="63"/>
      <c r="V158" s="63"/>
      <c r="W158" s="63"/>
      <c r="X158" s="63"/>
      <c r="Y158" s="63">
        <v>5</v>
      </c>
      <c r="Z158" s="63"/>
      <c r="AA158" s="63"/>
      <c r="AB158" s="63"/>
      <c r="AC158" s="63"/>
      <c r="AD158" s="63">
        <v>6</v>
      </c>
      <c r="AE158" s="63"/>
      <c r="AF158" s="63"/>
      <c r="AG158" s="63"/>
      <c r="AH158" s="63"/>
      <c r="AI158" s="63">
        <v>7</v>
      </c>
      <c r="AJ158" s="63"/>
      <c r="AK158" s="63"/>
      <c r="AL158" s="63"/>
      <c r="AM158" s="63"/>
      <c r="AN158" s="58">
        <v>8</v>
      </c>
      <c r="AO158" s="64"/>
      <c r="AP158" s="64"/>
      <c r="AQ158" s="64"/>
      <c r="AR158" s="65"/>
      <c r="AS158" s="58">
        <v>9</v>
      </c>
      <c r="AT158" s="64"/>
      <c r="AU158" s="64"/>
      <c r="AV158" s="64"/>
      <c r="AW158" s="65"/>
      <c r="AX158" s="58">
        <v>10</v>
      </c>
      <c r="AY158" s="64"/>
      <c r="AZ158" s="64"/>
      <c r="BA158" s="64"/>
      <c r="BB158" s="65"/>
      <c r="BC158" s="58">
        <v>11</v>
      </c>
      <c r="BD158" s="64"/>
      <c r="BE158" s="64"/>
      <c r="BF158" s="64"/>
      <c r="BG158" s="65"/>
      <c r="BH158" s="58">
        <v>12</v>
      </c>
      <c r="BI158" s="64"/>
      <c r="BJ158" s="64"/>
      <c r="BK158" s="64"/>
      <c r="BL158" s="65"/>
      <c r="BM158" s="58">
        <v>13</v>
      </c>
      <c r="BN158" s="64"/>
      <c r="BO158" s="64"/>
      <c r="BP158" s="64"/>
      <c r="BQ158" s="65"/>
      <c r="BR158" s="2"/>
      <c r="BS158" s="2"/>
      <c r="BT158" s="2"/>
      <c r="BU158" s="2"/>
      <c r="BV158" s="2"/>
      <c r="BW158" s="2"/>
      <c r="BX158" s="2"/>
      <c r="BY158" s="2"/>
    </row>
    <row r="159" spans="1:79" ht="12.75" hidden="1" customHeight="1" x14ac:dyDescent="0.2">
      <c r="A159" s="39" t="s">
        <v>36</v>
      </c>
      <c r="B159" s="39"/>
      <c r="C159" s="83" t="s">
        <v>14</v>
      </c>
      <c r="D159" s="84"/>
      <c r="E159" s="84"/>
      <c r="F159" s="84"/>
      <c r="G159" s="84"/>
      <c r="H159" s="84"/>
      <c r="I159" s="85"/>
      <c r="J159" s="39" t="s">
        <v>15</v>
      </c>
      <c r="K159" s="39"/>
      <c r="L159" s="39"/>
      <c r="M159" s="39"/>
      <c r="N159" s="39"/>
      <c r="O159" s="108" t="s">
        <v>37</v>
      </c>
      <c r="P159" s="108"/>
      <c r="Q159" s="108"/>
      <c r="R159" s="108"/>
      <c r="S159" s="108"/>
      <c r="T159" s="108"/>
      <c r="U159" s="108"/>
      <c r="V159" s="108"/>
      <c r="W159" s="108"/>
      <c r="X159" s="83"/>
      <c r="Y159" s="66" t="s">
        <v>10</v>
      </c>
      <c r="Z159" s="66"/>
      <c r="AA159" s="66"/>
      <c r="AB159" s="66"/>
      <c r="AC159" s="66"/>
      <c r="AD159" s="66" t="s">
        <v>29</v>
      </c>
      <c r="AE159" s="66"/>
      <c r="AF159" s="66"/>
      <c r="AG159" s="66"/>
      <c r="AH159" s="66"/>
      <c r="AI159" s="66" t="s">
        <v>75</v>
      </c>
      <c r="AJ159" s="66"/>
      <c r="AK159" s="66"/>
      <c r="AL159" s="66"/>
      <c r="AM159" s="66"/>
      <c r="AN159" s="66" t="s">
        <v>30</v>
      </c>
      <c r="AO159" s="66"/>
      <c r="AP159" s="66"/>
      <c r="AQ159" s="66"/>
      <c r="AR159" s="66"/>
      <c r="AS159" s="66" t="s">
        <v>11</v>
      </c>
      <c r="AT159" s="66"/>
      <c r="AU159" s="66"/>
      <c r="AV159" s="66"/>
      <c r="AW159" s="66"/>
      <c r="AX159" s="66" t="s">
        <v>76</v>
      </c>
      <c r="AY159" s="66"/>
      <c r="AZ159" s="66"/>
      <c r="BA159" s="66"/>
      <c r="BB159" s="66"/>
      <c r="BC159" s="66" t="s">
        <v>32</v>
      </c>
      <c r="BD159" s="66"/>
      <c r="BE159" s="66"/>
      <c r="BF159" s="66"/>
      <c r="BG159" s="66"/>
      <c r="BH159" s="66" t="s">
        <v>32</v>
      </c>
      <c r="BI159" s="66"/>
      <c r="BJ159" s="66"/>
      <c r="BK159" s="66"/>
      <c r="BL159" s="66"/>
      <c r="BM159" s="90" t="s">
        <v>16</v>
      </c>
      <c r="BN159" s="90"/>
      <c r="BO159" s="90"/>
      <c r="BP159" s="90"/>
      <c r="BQ159" s="90"/>
      <c r="CA159" s="1" t="s">
        <v>23</v>
      </c>
    </row>
    <row r="160" spans="1:79" s="27" customFormat="1" ht="15.75" x14ac:dyDescent="0.2">
      <c r="A160" s="31">
        <v>0</v>
      </c>
      <c r="B160" s="31"/>
      <c r="C160" s="52" t="s">
        <v>171</v>
      </c>
      <c r="D160" s="52"/>
      <c r="E160" s="52"/>
      <c r="F160" s="52"/>
      <c r="G160" s="52"/>
      <c r="H160" s="52"/>
      <c r="I160" s="52"/>
      <c r="J160" s="52" t="s">
        <v>172</v>
      </c>
      <c r="K160" s="52"/>
      <c r="L160" s="52"/>
      <c r="M160" s="52"/>
      <c r="N160" s="52"/>
      <c r="O160" s="52" t="s">
        <v>172</v>
      </c>
      <c r="P160" s="52"/>
      <c r="Q160" s="52"/>
      <c r="R160" s="52"/>
      <c r="S160" s="52"/>
      <c r="T160" s="52"/>
      <c r="U160" s="52"/>
      <c r="V160" s="52"/>
      <c r="W160" s="52"/>
      <c r="X160" s="52"/>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29"/>
      <c r="BS160" s="29"/>
      <c r="BT160" s="29"/>
      <c r="BU160" s="29"/>
      <c r="BV160" s="29"/>
      <c r="BW160" s="29"/>
      <c r="BX160" s="29"/>
      <c r="BY160" s="29"/>
      <c r="CA160" s="27" t="s">
        <v>24</v>
      </c>
    </row>
    <row r="161" spans="1:79" ht="25.5" customHeight="1" x14ac:dyDescent="0.2">
      <c r="A161" s="39">
        <v>1</v>
      </c>
      <c r="B161" s="39"/>
      <c r="C161" s="49" t="s">
        <v>173</v>
      </c>
      <c r="D161" s="41"/>
      <c r="E161" s="41"/>
      <c r="F161" s="41"/>
      <c r="G161" s="41"/>
      <c r="H161" s="41"/>
      <c r="I161" s="42"/>
      <c r="J161" s="50" t="s">
        <v>174</v>
      </c>
      <c r="K161" s="50"/>
      <c r="L161" s="50"/>
      <c r="M161" s="50"/>
      <c r="N161" s="50"/>
      <c r="O161" s="50" t="s">
        <v>175</v>
      </c>
      <c r="P161" s="50"/>
      <c r="Q161" s="50"/>
      <c r="R161" s="50"/>
      <c r="S161" s="50"/>
      <c r="T161" s="50"/>
      <c r="U161" s="50"/>
      <c r="V161" s="50"/>
      <c r="W161" s="50"/>
      <c r="X161" s="50"/>
      <c r="Y161" s="47">
        <v>60</v>
      </c>
      <c r="Z161" s="47"/>
      <c r="AA161" s="47"/>
      <c r="AB161" s="47"/>
      <c r="AC161" s="47"/>
      <c r="AD161" s="47">
        <v>0</v>
      </c>
      <c r="AE161" s="47"/>
      <c r="AF161" s="47"/>
      <c r="AG161" s="47"/>
      <c r="AH161" s="47"/>
      <c r="AI161" s="47">
        <v>60</v>
      </c>
      <c r="AJ161" s="47"/>
      <c r="AK161" s="47"/>
      <c r="AL161" s="47"/>
      <c r="AM161" s="47"/>
      <c r="AN161" s="47">
        <v>45</v>
      </c>
      <c r="AO161" s="47"/>
      <c r="AP161" s="47"/>
      <c r="AQ161" s="47"/>
      <c r="AR161" s="47"/>
      <c r="AS161" s="47">
        <v>0</v>
      </c>
      <c r="AT161" s="47"/>
      <c r="AU161" s="47"/>
      <c r="AV161" s="47"/>
      <c r="AW161" s="47"/>
      <c r="AX161" s="47">
        <v>45</v>
      </c>
      <c r="AY161" s="47"/>
      <c r="AZ161" s="47"/>
      <c r="BA161" s="47"/>
      <c r="BB161" s="47"/>
      <c r="BC161" s="47">
        <f>AN161-Y161</f>
        <v>-15</v>
      </c>
      <c r="BD161" s="47"/>
      <c r="BE161" s="47"/>
      <c r="BF161" s="47"/>
      <c r="BG161" s="47"/>
      <c r="BH161" s="47">
        <f>AS161-AD161</f>
        <v>0</v>
      </c>
      <c r="BI161" s="47"/>
      <c r="BJ161" s="47"/>
      <c r="BK161" s="47"/>
      <c r="BL161" s="47"/>
      <c r="BM161" s="47">
        <v>-15</v>
      </c>
      <c r="BN161" s="47"/>
      <c r="BO161" s="47"/>
      <c r="BP161" s="47"/>
      <c r="BQ161" s="47"/>
      <c r="BR161" s="10"/>
      <c r="BS161" s="10"/>
      <c r="BT161" s="10"/>
      <c r="BU161" s="10"/>
      <c r="BV161" s="10"/>
      <c r="BW161" s="10"/>
      <c r="BX161" s="10"/>
      <c r="BY161" s="10"/>
    </row>
    <row r="162" spans="1:79" s="27" customFormat="1" ht="15.75" x14ac:dyDescent="0.2">
      <c r="A162" s="31">
        <v>0</v>
      </c>
      <c r="B162" s="31"/>
      <c r="C162" s="51" t="s">
        <v>176</v>
      </c>
      <c r="D162" s="33"/>
      <c r="E162" s="33"/>
      <c r="F162" s="33"/>
      <c r="G162" s="33"/>
      <c r="H162" s="33"/>
      <c r="I162" s="34"/>
      <c r="J162" s="52" t="s">
        <v>172</v>
      </c>
      <c r="K162" s="52"/>
      <c r="L162" s="52"/>
      <c r="M162" s="52"/>
      <c r="N162" s="52"/>
      <c r="O162" s="52" t="s">
        <v>172</v>
      </c>
      <c r="P162" s="52"/>
      <c r="Q162" s="52"/>
      <c r="R162" s="52"/>
      <c r="S162" s="52"/>
      <c r="T162" s="52"/>
      <c r="U162" s="52"/>
      <c r="V162" s="52"/>
      <c r="W162" s="52"/>
      <c r="X162" s="52"/>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29"/>
      <c r="BS162" s="29"/>
      <c r="BT162" s="29"/>
      <c r="BU162" s="29"/>
      <c r="BV162" s="29"/>
      <c r="BW162" s="29"/>
      <c r="BX162" s="29"/>
      <c r="BY162" s="29"/>
    </row>
    <row r="163" spans="1:79" ht="38.25" customHeight="1" x14ac:dyDescent="0.2">
      <c r="A163" s="39">
        <v>1</v>
      </c>
      <c r="B163" s="39"/>
      <c r="C163" s="49" t="s">
        <v>177</v>
      </c>
      <c r="D163" s="41"/>
      <c r="E163" s="41"/>
      <c r="F163" s="41"/>
      <c r="G163" s="41"/>
      <c r="H163" s="41"/>
      <c r="I163" s="42"/>
      <c r="J163" s="50" t="s">
        <v>174</v>
      </c>
      <c r="K163" s="50"/>
      <c r="L163" s="50"/>
      <c r="M163" s="50"/>
      <c r="N163" s="50"/>
      <c r="O163" s="49" t="s">
        <v>178</v>
      </c>
      <c r="P163" s="41"/>
      <c r="Q163" s="41"/>
      <c r="R163" s="41"/>
      <c r="S163" s="41"/>
      <c r="T163" s="41"/>
      <c r="U163" s="41"/>
      <c r="V163" s="41"/>
      <c r="W163" s="41"/>
      <c r="X163" s="42"/>
      <c r="Y163" s="47">
        <v>6000</v>
      </c>
      <c r="Z163" s="47"/>
      <c r="AA163" s="47"/>
      <c r="AB163" s="47"/>
      <c r="AC163" s="47"/>
      <c r="AD163" s="47">
        <v>0</v>
      </c>
      <c r="AE163" s="47"/>
      <c r="AF163" s="47"/>
      <c r="AG163" s="47"/>
      <c r="AH163" s="47"/>
      <c r="AI163" s="47">
        <v>6000</v>
      </c>
      <c r="AJ163" s="47"/>
      <c r="AK163" s="47"/>
      <c r="AL163" s="47"/>
      <c r="AM163" s="47"/>
      <c r="AN163" s="47">
        <v>5945</v>
      </c>
      <c r="AO163" s="47"/>
      <c r="AP163" s="47"/>
      <c r="AQ163" s="47"/>
      <c r="AR163" s="47"/>
      <c r="AS163" s="47">
        <v>0</v>
      </c>
      <c r="AT163" s="47"/>
      <c r="AU163" s="47"/>
      <c r="AV163" s="47"/>
      <c r="AW163" s="47"/>
      <c r="AX163" s="47">
        <v>5945</v>
      </c>
      <c r="AY163" s="47"/>
      <c r="AZ163" s="47"/>
      <c r="BA163" s="47"/>
      <c r="BB163" s="47"/>
      <c r="BC163" s="47">
        <f>AN163-Y163</f>
        <v>-55</v>
      </c>
      <c r="BD163" s="47"/>
      <c r="BE163" s="47"/>
      <c r="BF163" s="47"/>
      <c r="BG163" s="47"/>
      <c r="BH163" s="47">
        <f>AS163-AD163</f>
        <v>0</v>
      </c>
      <c r="BI163" s="47"/>
      <c r="BJ163" s="47"/>
      <c r="BK163" s="47"/>
      <c r="BL163" s="47"/>
      <c r="BM163" s="47">
        <v>-55</v>
      </c>
      <c r="BN163" s="47"/>
      <c r="BO163" s="47"/>
      <c r="BP163" s="47"/>
      <c r="BQ163" s="47"/>
      <c r="BR163" s="10"/>
      <c r="BS163" s="10"/>
      <c r="BT163" s="10"/>
      <c r="BU163" s="10"/>
      <c r="BV163" s="10"/>
      <c r="BW163" s="10"/>
      <c r="BX163" s="10"/>
      <c r="BY163" s="10"/>
    </row>
    <row r="164" spans="1:79" ht="38.25" customHeight="1" x14ac:dyDescent="0.2">
      <c r="A164" s="39">
        <v>2</v>
      </c>
      <c r="B164" s="39"/>
      <c r="C164" s="49" t="s">
        <v>179</v>
      </c>
      <c r="D164" s="41"/>
      <c r="E164" s="41"/>
      <c r="F164" s="41"/>
      <c r="G164" s="41"/>
      <c r="H164" s="41"/>
      <c r="I164" s="42"/>
      <c r="J164" s="50" t="s">
        <v>174</v>
      </c>
      <c r="K164" s="50"/>
      <c r="L164" s="50"/>
      <c r="M164" s="50"/>
      <c r="N164" s="50"/>
      <c r="O164" s="49" t="s">
        <v>180</v>
      </c>
      <c r="P164" s="41"/>
      <c r="Q164" s="41"/>
      <c r="R164" s="41"/>
      <c r="S164" s="41"/>
      <c r="T164" s="41"/>
      <c r="U164" s="41"/>
      <c r="V164" s="41"/>
      <c r="W164" s="41"/>
      <c r="X164" s="42"/>
      <c r="Y164" s="47">
        <v>700</v>
      </c>
      <c r="Z164" s="47"/>
      <c r="AA164" s="47"/>
      <c r="AB164" s="47"/>
      <c r="AC164" s="47"/>
      <c r="AD164" s="47">
        <v>0</v>
      </c>
      <c r="AE164" s="47"/>
      <c r="AF164" s="47"/>
      <c r="AG164" s="47"/>
      <c r="AH164" s="47"/>
      <c r="AI164" s="47">
        <v>700</v>
      </c>
      <c r="AJ164" s="47"/>
      <c r="AK164" s="47"/>
      <c r="AL164" s="47"/>
      <c r="AM164" s="47"/>
      <c r="AN164" s="47">
        <v>1892</v>
      </c>
      <c r="AO164" s="47"/>
      <c r="AP164" s="47"/>
      <c r="AQ164" s="47"/>
      <c r="AR164" s="47"/>
      <c r="AS164" s="47">
        <v>0</v>
      </c>
      <c r="AT164" s="47"/>
      <c r="AU164" s="47"/>
      <c r="AV164" s="47"/>
      <c r="AW164" s="47"/>
      <c r="AX164" s="47">
        <v>1892</v>
      </c>
      <c r="AY164" s="47"/>
      <c r="AZ164" s="47"/>
      <c r="BA164" s="47"/>
      <c r="BB164" s="47"/>
      <c r="BC164" s="47">
        <f>AN164-Y164</f>
        <v>1192</v>
      </c>
      <c r="BD164" s="47"/>
      <c r="BE164" s="47"/>
      <c r="BF164" s="47"/>
      <c r="BG164" s="47"/>
      <c r="BH164" s="47">
        <f>AS164-AD164</f>
        <v>0</v>
      </c>
      <c r="BI164" s="47"/>
      <c r="BJ164" s="47"/>
      <c r="BK164" s="47"/>
      <c r="BL164" s="47"/>
      <c r="BM164" s="47">
        <v>1192</v>
      </c>
      <c r="BN164" s="47"/>
      <c r="BO164" s="47"/>
      <c r="BP164" s="47"/>
      <c r="BQ164" s="47"/>
      <c r="BR164" s="10"/>
      <c r="BS164" s="10"/>
      <c r="BT164" s="10"/>
      <c r="BU164" s="10"/>
      <c r="BV164" s="10"/>
      <c r="BW164" s="10"/>
      <c r="BX164" s="10"/>
      <c r="BY164" s="10"/>
    </row>
    <row r="165" spans="1:79" s="27" customFormat="1" ht="15.75" x14ac:dyDescent="0.2">
      <c r="A165" s="31">
        <v>0</v>
      </c>
      <c r="B165" s="31"/>
      <c r="C165" s="51" t="s">
        <v>181</v>
      </c>
      <c r="D165" s="33"/>
      <c r="E165" s="33"/>
      <c r="F165" s="33"/>
      <c r="G165" s="33"/>
      <c r="H165" s="33"/>
      <c r="I165" s="34"/>
      <c r="J165" s="52" t="s">
        <v>172</v>
      </c>
      <c r="K165" s="52"/>
      <c r="L165" s="52"/>
      <c r="M165" s="52"/>
      <c r="N165" s="52"/>
      <c r="O165" s="51" t="s">
        <v>172</v>
      </c>
      <c r="P165" s="33"/>
      <c r="Q165" s="33"/>
      <c r="R165" s="33"/>
      <c r="S165" s="33"/>
      <c r="T165" s="33"/>
      <c r="U165" s="33"/>
      <c r="V165" s="33"/>
      <c r="W165" s="33"/>
      <c r="X165" s="34"/>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29"/>
      <c r="BS165" s="29"/>
      <c r="BT165" s="29"/>
      <c r="BU165" s="29"/>
      <c r="BV165" s="29"/>
      <c r="BW165" s="29"/>
      <c r="BX165" s="29"/>
      <c r="BY165" s="29"/>
    </row>
    <row r="166" spans="1:79" ht="51" customHeight="1" x14ac:dyDescent="0.2">
      <c r="A166" s="39">
        <v>1</v>
      </c>
      <c r="B166" s="39"/>
      <c r="C166" s="49" t="s">
        <v>182</v>
      </c>
      <c r="D166" s="41"/>
      <c r="E166" s="41"/>
      <c r="F166" s="41"/>
      <c r="G166" s="41"/>
      <c r="H166" s="41"/>
      <c r="I166" s="42"/>
      <c r="J166" s="50" t="s">
        <v>174</v>
      </c>
      <c r="K166" s="50"/>
      <c r="L166" s="50"/>
      <c r="M166" s="50"/>
      <c r="N166" s="50"/>
      <c r="O166" s="49" t="s">
        <v>183</v>
      </c>
      <c r="P166" s="41"/>
      <c r="Q166" s="41"/>
      <c r="R166" s="41"/>
      <c r="S166" s="41"/>
      <c r="T166" s="41"/>
      <c r="U166" s="41"/>
      <c r="V166" s="41"/>
      <c r="W166" s="41"/>
      <c r="X166" s="42"/>
      <c r="Y166" s="47">
        <v>95</v>
      </c>
      <c r="Z166" s="47"/>
      <c r="AA166" s="47"/>
      <c r="AB166" s="47"/>
      <c r="AC166" s="47"/>
      <c r="AD166" s="47">
        <v>0</v>
      </c>
      <c r="AE166" s="47"/>
      <c r="AF166" s="47"/>
      <c r="AG166" s="47"/>
      <c r="AH166" s="47"/>
      <c r="AI166" s="47">
        <v>95</v>
      </c>
      <c r="AJ166" s="47"/>
      <c r="AK166" s="47"/>
      <c r="AL166" s="47"/>
      <c r="AM166" s="47"/>
      <c r="AN166" s="47">
        <v>8602</v>
      </c>
      <c r="AO166" s="47"/>
      <c r="AP166" s="47"/>
      <c r="AQ166" s="47"/>
      <c r="AR166" s="47"/>
      <c r="AS166" s="47">
        <v>0</v>
      </c>
      <c r="AT166" s="47"/>
      <c r="AU166" s="47"/>
      <c r="AV166" s="47"/>
      <c r="AW166" s="47"/>
      <c r="AX166" s="47">
        <v>8602</v>
      </c>
      <c r="AY166" s="47"/>
      <c r="AZ166" s="47"/>
      <c r="BA166" s="47"/>
      <c r="BB166" s="47"/>
      <c r="BC166" s="47">
        <f>AN166-Y166</f>
        <v>8507</v>
      </c>
      <c r="BD166" s="47"/>
      <c r="BE166" s="47"/>
      <c r="BF166" s="47"/>
      <c r="BG166" s="47"/>
      <c r="BH166" s="47">
        <f>AS166-AD166</f>
        <v>0</v>
      </c>
      <c r="BI166" s="47"/>
      <c r="BJ166" s="47"/>
      <c r="BK166" s="47"/>
      <c r="BL166" s="47"/>
      <c r="BM166" s="47">
        <v>8507</v>
      </c>
      <c r="BN166" s="47"/>
      <c r="BO166" s="47"/>
      <c r="BP166" s="47"/>
      <c r="BQ166" s="47"/>
      <c r="BR166" s="10"/>
      <c r="BS166" s="10"/>
      <c r="BT166" s="10"/>
      <c r="BU166" s="10"/>
      <c r="BV166" s="10"/>
      <c r="BW166" s="10"/>
      <c r="BX166" s="10"/>
      <c r="BY166" s="10"/>
    </row>
    <row r="167" spans="1:79" ht="63.75" customHeight="1" x14ac:dyDescent="0.2">
      <c r="A167" s="39">
        <v>2</v>
      </c>
      <c r="B167" s="39"/>
      <c r="C167" s="49" t="s">
        <v>184</v>
      </c>
      <c r="D167" s="41"/>
      <c r="E167" s="41"/>
      <c r="F167" s="41"/>
      <c r="G167" s="41"/>
      <c r="H167" s="41"/>
      <c r="I167" s="42"/>
      <c r="J167" s="50" t="s">
        <v>174</v>
      </c>
      <c r="K167" s="50"/>
      <c r="L167" s="50"/>
      <c r="M167" s="50"/>
      <c r="N167" s="50"/>
      <c r="O167" s="49" t="s">
        <v>183</v>
      </c>
      <c r="P167" s="41"/>
      <c r="Q167" s="41"/>
      <c r="R167" s="41"/>
      <c r="S167" s="41"/>
      <c r="T167" s="41"/>
      <c r="U167" s="41"/>
      <c r="V167" s="41"/>
      <c r="W167" s="41"/>
      <c r="X167" s="42"/>
      <c r="Y167" s="47">
        <v>25</v>
      </c>
      <c r="Z167" s="47"/>
      <c r="AA167" s="47"/>
      <c r="AB167" s="47"/>
      <c r="AC167" s="47"/>
      <c r="AD167" s="47">
        <v>0</v>
      </c>
      <c r="AE167" s="47"/>
      <c r="AF167" s="47"/>
      <c r="AG167" s="47"/>
      <c r="AH167" s="47"/>
      <c r="AI167" s="47">
        <v>25</v>
      </c>
      <c r="AJ167" s="47"/>
      <c r="AK167" s="47"/>
      <c r="AL167" s="47"/>
      <c r="AM167" s="47"/>
      <c r="AN167" s="47">
        <v>45</v>
      </c>
      <c r="AO167" s="47"/>
      <c r="AP167" s="47"/>
      <c r="AQ167" s="47"/>
      <c r="AR167" s="47"/>
      <c r="AS167" s="47">
        <v>0</v>
      </c>
      <c r="AT167" s="47"/>
      <c r="AU167" s="47"/>
      <c r="AV167" s="47"/>
      <c r="AW167" s="47"/>
      <c r="AX167" s="47">
        <v>45</v>
      </c>
      <c r="AY167" s="47"/>
      <c r="AZ167" s="47"/>
      <c r="BA167" s="47"/>
      <c r="BB167" s="47"/>
      <c r="BC167" s="47">
        <f>AN167-Y167</f>
        <v>20</v>
      </c>
      <c r="BD167" s="47"/>
      <c r="BE167" s="47"/>
      <c r="BF167" s="47"/>
      <c r="BG167" s="47"/>
      <c r="BH167" s="47">
        <f>AS167-AD167</f>
        <v>0</v>
      </c>
      <c r="BI167" s="47"/>
      <c r="BJ167" s="47"/>
      <c r="BK167" s="47"/>
      <c r="BL167" s="47"/>
      <c r="BM167" s="47">
        <v>20</v>
      </c>
      <c r="BN167" s="47"/>
      <c r="BO167" s="47"/>
      <c r="BP167" s="47"/>
      <c r="BQ167" s="47"/>
      <c r="BR167" s="10"/>
      <c r="BS167" s="10"/>
      <c r="BT167" s="10"/>
      <c r="BU167" s="10"/>
      <c r="BV167" s="10"/>
      <c r="BW167" s="10"/>
      <c r="BX167" s="10"/>
      <c r="BY167" s="10"/>
    </row>
    <row r="168" spans="1:79" ht="25.5" customHeight="1" x14ac:dyDescent="0.2">
      <c r="A168" s="39">
        <v>3</v>
      </c>
      <c r="B168" s="39"/>
      <c r="C168" s="49" t="s">
        <v>185</v>
      </c>
      <c r="D168" s="41"/>
      <c r="E168" s="41"/>
      <c r="F168" s="41"/>
      <c r="G168" s="41"/>
      <c r="H168" s="41"/>
      <c r="I168" s="42"/>
      <c r="J168" s="50" t="s">
        <v>186</v>
      </c>
      <c r="K168" s="50"/>
      <c r="L168" s="50"/>
      <c r="M168" s="50"/>
      <c r="N168" s="50"/>
      <c r="O168" s="49" t="s">
        <v>183</v>
      </c>
      <c r="P168" s="41"/>
      <c r="Q168" s="41"/>
      <c r="R168" s="41"/>
      <c r="S168" s="41"/>
      <c r="T168" s="41"/>
      <c r="U168" s="41"/>
      <c r="V168" s="41"/>
      <c r="W168" s="41"/>
      <c r="X168" s="42"/>
      <c r="Y168" s="47">
        <v>329945</v>
      </c>
      <c r="Z168" s="47"/>
      <c r="AA168" s="47"/>
      <c r="AB168" s="47"/>
      <c r="AC168" s="47"/>
      <c r="AD168" s="47">
        <v>0</v>
      </c>
      <c r="AE168" s="47"/>
      <c r="AF168" s="47"/>
      <c r="AG168" s="47"/>
      <c r="AH168" s="47"/>
      <c r="AI168" s="47">
        <v>329945</v>
      </c>
      <c r="AJ168" s="47"/>
      <c r="AK168" s="47"/>
      <c r="AL168" s="47"/>
      <c r="AM168" s="47"/>
      <c r="AN168" s="47">
        <v>437330</v>
      </c>
      <c r="AO168" s="47"/>
      <c r="AP168" s="47"/>
      <c r="AQ168" s="47"/>
      <c r="AR168" s="47"/>
      <c r="AS168" s="47">
        <v>0</v>
      </c>
      <c r="AT168" s="47"/>
      <c r="AU168" s="47"/>
      <c r="AV168" s="47"/>
      <c r="AW168" s="47"/>
      <c r="AX168" s="47">
        <v>437330</v>
      </c>
      <c r="AY168" s="47"/>
      <c r="AZ168" s="47"/>
      <c r="BA168" s="47"/>
      <c r="BB168" s="47"/>
      <c r="BC168" s="47">
        <f>AN168-Y168</f>
        <v>107385</v>
      </c>
      <c r="BD168" s="47"/>
      <c r="BE168" s="47"/>
      <c r="BF168" s="47"/>
      <c r="BG168" s="47"/>
      <c r="BH168" s="47">
        <f>AS168-AD168</f>
        <v>0</v>
      </c>
      <c r="BI168" s="47"/>
      <c r="BJ168" s="47"/>
      <c r="BK168" s="47"/>
      <c r="BL168" s="47"/>
      <c r="BM168" s="47">
        <v>107385</v>
      </c>
      <c r="BN168" s="47"/>
      <c r="BO168" s="47"/>
      <c r="BP168" s="47"/>
      <c r="BQ168" s="47"/>
      <c r="BR168" s="10"/>
      <c r="BS168" s="10"/>
      <c r="BT168" s="10"/>
      <c r="BU168" s="10"/>
      <c r="BV168" s="10"/>
      <c r="BW168" s="10"/>
      <c r="BX168" s="10"/>
      <c r="BY168" s="10"/>
    </row>
    <row r="169" spans="1:79" s="27" customFormat="1" ht="15.75" x14ac:dyDescent="0.2">
      <c r="A169" s="31">
        <v>0</v>
      </c>
      <c r="B169" s="31"/>
      <c r="C169" s="51" t="s">
        <v>187</v>
      </c>
      <c r="D169" s="33"/>
      <c r="E169" s="33"/>
      <c r="F169" s="33"/>
      <c r="G169" s="33"/>
      <c r="H169" s="33"/>
      <c r="I169" s="34"/>
      <c r="J169" s="52" t="s">
        <v>172</v>
      </c>
      <c r="K169" s="52"/>
      <c r="L169" s="52"/>
      <c r="M169" s="52"/>
      <c r="N169" s="52"/>
      <c r="O169" s="51" t="s">
        <v>172</v>
      </c>
      <c r="P169" s="33"/>
      <c r="Q169" s="33"/>
      <c r="R169" s="33"/>
      <c r="S169" s="33"/>
      <c r="T169" s="33"/>
      <c r="U169" s="33"/>
      <c r="V169" s="33"/>
      <c r="W169" s="33"/>
      <c r="X169" s="34"/>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29"/>
      <c r="BS169" s="29"/>
      <c r="BT169" s="29"/>
      <c r="BU169" s="29"/>
      <c r="BV169" s="29"/>
      <c r="BW169" s="29"/>
      <c r="BX169" s="29"/>
      <c r="BY169" s="29"/>
    </row>
    <row r="170" spans="1:79" ht="51" customHeight="1" x14ac:dyDescent="0.2">
      <c r="A170" s="39">
        <v>1</v>
      </c>
      <c r="B170" s="39"/>
      <c r="C170" s="49" t="s">
        <v>188</v>
      </c>
      <c r="D170" s="41"/>
      <c r="E170" s="41"/>
      <c r="F170" s="41"/>
      <c r="G170" s="41"/>
      <c r="H170" s="41"/>
      <c r="I170" s="42"/>
      <c r="J170" s="50" t="s">
        <v>189</v>
      </c>
      <c r="K170" s="50"/>
      <c r="L170" s="50"/>
      <c r="M170" s="50"/>
      <c r="N170" s="50"/>
      <c r="O170" s="49" t="s">
        <v>190</v>
      </c>
      <c r="P170" s="41"/>
      <c r="Q170" s="41"/>
      <c r="R170" s="41"/>
      <c r="S170" s="41"/>
      <c r="T170" s="41"/>
      <c r="U170" s="41"/>
      <c r="V170" s="41"/>
      <c r="W170" s="41"/>
      <c r="X170" s="42"/>
      <c r="Y170" s="47">
        <v>100</v>
      </c>
      <c r="Z170" s="47"/>
      <c r="AA170" s="47"/>
      <c r="AB170" s="47"/>
      <c r="AC170" s="47"/>
      <c r="AD170" s="47">
        <v>0</v>
      </c>
      <c r="AE170" s="47"/>
      <c r="AF170" s="47"/>
      <c r="AG170" s="47"/>
      <c r="AH170" s="47"/>
      <c r="AI170" s="47">
        <v>100</v>
      </c>
      <c r="AJ170" s="47"/>
      <c r="AK170" s="47"/>
      <c r="AL170" s="47"/>
      <c r="AM170" s="47"/>
      <c r="AN170" s="47">
        <v>100</v>
      </c>
      <c r="AO170" s="47"/>
      <c r="AP170" s="47"/>
      <c r="AQ170" s="47"/>
      <c r="AR170" s="47"/>
      <c r="AS170" s="47">
        <v>0</v>
      </c>
      <c r="AT170" s="47"/>
      <c r="AU170" s="47"/>
      <c r="AV170" s="47"/>
      <c r="AW170" s="47"/>
      <c r="AX170" s="47">
        <v>100</v>
      </c>
      <c r="AY170" s="47"/>
      <c r="AZ170" s="47"/>
      <c r="BA170" s="47"/>
      <c r="BB170" s="47"/>
      <c r="BC170" s="47">
        <f>AN170-Y170</f>
        <v>0</v>
      </c>
      <c r="BD170" s="47"/>
      <c r="BE170" s="47"/>
      <c r="BF170" s="47"/>
      <c r="BG170" s="47"/>
      <c r="BH170" s="47">
        <f>AS170-AD170</f>
        <v>0</v>
      </c>
      <c r="BI170" s="47"/>
      <c r="BJ170" s="47"/>
      <c r="BK170" s="47"/>
      <c r="BL170" s="47"/>
      <c r="BM170" s="47">
        <v>0</v>
      </c>
      <c r="BN170" s="47"/>
      <c r="BO170" s="47"/>
      <c r="BP170" s="47"/>
      <c r="BQ170" s="47"/>
      <c r="BR170" s="10"/>
      <c r="BS170" s="10"/>
      <c r="BT170" s="10"/>
      <c r="BU170" s="10"/>
      <c r="BV170" s="10"/>
      <c r="BW170" s="10"/>
      <c r="BX170" s="10"/>
      <c r="BY170" s="10"/>
    </row>
    <row r="171" spans="1:79" ht="15.75" x14ac:dyDescent="0.2">
      <c r="A171" s="23"/>
      <c r="B171" s="23"/>
      <c r="C171" s="24"/>
      <c r="D171" s="24"/>
      <c r="E171" s="24"/>
      <c r="F171" s="24"/>
      <c r="G171" s="24"/>
      <c r="H171" s="24"/>
      <c r="I171" s="24"/>
      <c r="J171" s="24"/>
      <c r="K171" s="24"/>
      <c r="L171" s="24"/>
      <c r="M171" s="24"/>
      <c r="N171" s="24"/>
      <c r="O171" s="24"/>
      <c r="P171" s="24"/>
      <c r="Q171" s="24"/>
      <c r="R171" s="24"/>
      <c r="S171" s="24"/>
      <c r="T171" s="24"/>
      <c r="U171" s="24"/>
      <c r="V171" s="24"/>
      <c r="W171" s="24"/>
      <c r="X171" s="24"/>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6"/>
      <c r="AY171" s="26"/>
      <c r="AZ171" s="26"/>
      <c r="BA171" s="26"/>
      <c r="BB171" s="26"/>
      <c r="BC171" s="26"/>
      <c r="BD171" s="26"/>
      <c r="BE171" s="26"/>
      <c r="BF171" s="26"/>
      <c r="BG171" s="26"/>
      <c r="BH171" s="26"/>
      <c r="BI171" s="26"/>
      <c r="BJ171" s="26"/>
      <c r="BK171" s="26"/>
      <c r="BL171" s="26"/>
      <c r="BM171" s="26"/>
      <c r="BN171" s="26"/>
      <c r="BO171" s="26"/>
      <c r="BP171" s="26"/>
      <c r="BQ171" s="26"/>
      <c r="BR171" s="10"/>
      <c r="BS171" s="10"/>
      <c r="BT171" s="10"/>
      <c r="BU171" s="10"/>
      <c r="BV171" s="10"/>
      <c r="BW171" s="10"/>
      <c r="BX171" s="10"/>
      <c r="BY171" s="10"/>
    </row>
    <row r="172" spans="1:79" ht="15.75" customHeight="1" x14ac:dyDescent="0.2">
      <c r="A172" s="57" t="s">
        <v>63</v>
      </c>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row>
    <row r="173" spans="1:79" ht="9" customHeight="1" x14ac:dyDescent="0.2">
      <c r="A173" s="23"/>
      <c r="B173" s="23"/>
      <c r="C173" s="24"/>
      <c r="D173" s="24"/>
      <c r="E173" s="24"/>
      <c r="F173" s="24"/>
      <c r="G173" s="24"/>
      <c r="H173" s="24"/>
      <c r="I173" s="24"/>
      <c r="J173" s="24"/>
      <c r="K173" s="24"/>
      <c r="L173" s="24"/>
      <c r="M173" s="24"/>
      <c r="N173" s="24"/>
      <c r="O173" s="24"/>
      <c r="P173" s="24"/>
      <c r="Q173" s="24"/>
      <c r="R173" s="24"/>
      <c r="S173" s="24"/>
      <c r="T173" s="24"/>
      <c r="U173" s="24"/>
      <c r="V173" s="24"/>
      <c r="W173" s="24"/>
      <c r="X173" s="24"/>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6"/>
      <c r="AY173" s="26"/>
      <c r="AZ173" s="26"/>
      <c r="BA173" s="26"/>
      <c r="BB173" s="26"/>
      <c r="BC173" s="26"/>
      <c r="BD173" s="26"/>
      <c r="BE173" s="26"/>
      <c r="BF173" s="26"/>
      <c r="BG173" s="26"/>
      <c r="BH173" s="26"/>
      <c r="BI173" s="26"/>
      <c r="BJ173" s="26"/>
      <c r="BK173" s="26"/>
      <c r="BL173" s="26"/>
      <c r="BM173" s="26"/>
      <c r="BN173" s="26"/>
      <c r="BO173" s="26"/>
      <c r="BP173" s="26"/>
      <c r="BQ173" s="26"/>
      <c r="BR173" s="10"/>
      <c r="BS173" s="10"/>
      <c r="BT173" s="10"/>
      <c r="BU173" s="10"/>
      <c r="BV173" s="10"/>
      <c r="BW173" s="10"/>
      <c r="BX173" s="10"/>
      <c r="BY173" s="10"/>
    </row>
    <row r="174" spans="1:79" ht="35.25" customHeight="1" x14ac:dyDescent="0.2">
      <c r="A174" s="67" t="s">
        <v>3</v>
      </c>
      <c r="B174" s="69"/>
      <c r="C174" s="67" t="s">
        <v>6</v>
      </c>
      <c r="D174" s="68"/>
      <c r="E174" s="68"/>
      <c r="F174" s="68"/>
      <c r="G174" s="68"/>
      <c r="H174" s="68"/>
      <c r="I174" s="69"/>
      <c r="J174" s="67" t="s">
        <v>5</v>
      </c>
      <c r="K174" s="68"/>
      <c r="L174" s="68"/>
      <c r="M174" s="68"/>
      <c r="N174" s="69"/>
      <c r="O174" s="58" t="s">
        <v>64</v>
      </c>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60"/>
      <c r="BR174" s="9"/>
      <c r="BS174" s="9"/>
      <c r="BT174" s="9"/>
      <c r="BU174" s="9"/>
      <c r="BV174" s="9"/>
      <c r="BW174" s="9"/>
      <c r="BX174" s="9"/>
      <c r="BY174" s="9"/>
    </row>
    <row r="175" spans="1:79" ht="15.95" customHeight="1" x14ac:dyDescent="0.2">
      <c r="A175" s="63">
        <v>1</v>
      </c>
      <c r="B175" s="63"/>
      <c r="C175" s="63">
        <v>2</v>
      </c>
      <c r="D175" s="63"/>
      <c r="E175" s="63"/>
      <c r="F175" s="63"/>
      <c r="G175" s="63"/>
      <c r="H175" s="63"/>
      <c r="I175" s="63"/>
      <c r="J175" s="63">
        <v>3</v>
      </c>
      <c r="K175" s="63"/>
      <c r="L175" s="63"/>
      <c r="M175" s="63"/>
      <c r="N175" s="63"/>
      <c r="O175" s="58">
        <v>4</v>
      </c>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2"/>
      <c r="BR175" s="2"/>
      <c r="BS175" s="2"/>
      <c r="BT175" s="2"/>
      <c r="BU175" s="2"/>
      <c r="BV175" s="2"/>
      <c r="BW175" s="2"/>
      <c r="BX175" s="2"/>
      <c r="BY175" s="2"/>
    </row>
    <row r="176" spans="1:79" ht="12.75" hidden="1" customHeight="1" x14ac:dyDescent="0.2">
      <c r="A176" s="39" t="s">
        <v>36</v>
      </c>
      <c r="B176" s="39"/>
      <c r="C176" s="83" t="s">
        <v>14</v>
      </c>
      <c r="D176" s="84"/>
      <c r="E176" s="84"/>
      <c r="F176" s="84"/>
      <c r="G176" s="84"/>
      <c r="H176" s="84"/>
      <c r="I176" s="85"/>
      <c r="J176" s="39" t="s">
        <v>15</v>
      </c>
      <c r="K176" s="39"/>
      <c r="L176" s="39"/>
      <c r="M176" s="39"/>
      <c r="N176" s="39"/>
      <c r="O176" s="40" t="s">
        <v>70</v>
      </c>
      <c r="P176" s="93"/>
      <c r="Q176" s="93"/>
      <c r="R176" s="93"/>
      <c r="S176" s="93"/>
      <c r="T176" s="93"/>
      <c r="U176" s="93"/>
      <c r="V176" s="93"/>
      <c r="W176" s="93"/>
      <c r="X176" s="93"/>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5"/>
      <c r="CA176" s="1" t="s">
        <v>69</v>
      </c>
    </row>
    <row r="177" spans="1:79" s="27" customFormat="1" ht="15.75" x14ac:dyDescent="0.2">
      <c r="A177" s="31">
        <v>0</v>
      </c>
      <c r="B177" s="31"/>
      <c r="C177" s="31" t="s">
        <v>171</v>
      </c>
      <c r="D177" s="31"/>
      <c r="E177" s="31"/>
      <c r="F177" s="31"/>
      <c r="G177" s="31"/>
      <c r="H177" s="31"/>
      <c r="I177" s="31"/>
      <c r="J177" s="31"/>
      <c r="K177" s="31"/>
      <c r="L177" s="31"/>
      <c r="M177" s="31"/>
      <c r="N177" s="31"/>
      <c r="O177" s="35"/>
      <c r="P177" s="36"/>
      <c r="Q177" s="36"/>
      <c r="R177" s="36"/>
      <c r="S177" s="36"/>
      <c r="T177" s="36"/>
      <c r="U177" s="36"/>
      <c r="V177" s="36"/>
      <c r="W177" s="36"/>
      <c r="X177" s="36"/>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8"/>
      <c r="BR177" s="30"/>
      <c r="BS177" s="30"/>
      <c r="BT177" s="30"/>
      <c r="BU177" s="30"/>
      <c r="BV177" s="30"/>
      <c r="BW177" s="30"/>
      <c r="BX177" s="30"/>
      <c r="BY177" s="30"/>
      <c r="CA177" s="27" t="s">
        <v>66</v>
      </c>
    </row>
    <row r="178" spans="1:79" s="27" customFormat="1" ht="15.75" x14ac:dyDescent="0.2">
      <c r="A178" s="31">
        <v>0</v>
      </c>
      <c r="B178" s="31"/>
      <c r="C178" s="31"/>
      <c r="D178" s="31"/>
      <c r="E178" s="31"/>
      <c r="F178" s="31"/>
      <c r="G178" s="31"/>
      <c r="H178" s="31"/>
      <c r="I178" s="31"/>
      <c r="J178" s="31"/>
      <c r="K178" s="31"/>
      <c r="L178" s="31"/>
      <c r="M178" s="31"/>
      <c r="N178" s="31"/>
      <c r="O178" s="35"/>
      <c r="P178" s="36"/>
      <c r="Q178" s="36"/>
      <c r="R178" s="36"/>
      <c r="S178" s="36"/>
      <c r="T178" s="36"/>
      <c r="U178" s="36"/>
      <c r="V178" s="36"/>
      <c r="W178" s="36"/>
      <c r="X178" s="36"/>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8"/>
      <c r="BR178" s="30"/>
      <c r="BS178" s="30"/>
      <c r="BT178" s="30"/>
      <c r="BU178" s="30"/>
      <c r="BV178" s="30"/>
      <c r="BW178" s="30"/>
      <c r="BX178" s="30"/>
      <c r="BY178" s="30"/>
    </row>
    <row r="179" spans="1:79" ht="25.5" customHeight="1" x14ac:dyDescent="0.2">
      <c r="A179" s="39">
        <v>1</v>
      </c>
      <c r="B179" s="39"/>
      <c r="C179" s="40" t="s">
        <v>173</v>
      </c>
      <c r="D179" s="41"/>
      <c r="E179" s="41"/>
      <c r="F179" s="41"/>
      <c r="G179" s="41"/>
      <c r="H179" s="41"/>
      <c r="I179" s="42"/>
      <c r="J179" s="39" t="s">
        <v>174</v>
      </c>
      <c r="K179" s="39"/>
      <c r="L179" s="39"/>
      <c r="M179" s="39"/>
      <c r="N179" s="39"/>
      <c r="O179" s="43" t="s">
        <v>191</v>
      </c>
      <c r="P179" s="44"/>
      <c r="Q179" s="44"/>
      <c r="R179" s="44"/>
      <c r="S179" s="44"/>
      <c r="T179" s="44"/>
      <c r="U179" s="44"/>
      <c r="V179" s="44"/>
      <c r="W179" s="44"/>
      <c r="X179" s="44"/>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6"/>
      <c r="BR179" s="2"/>
      <c r="BS179" s="2"/>
      <c r="BT179" s="2"/>
      <c r="BU179" s="2"/>
      <c r="BV179" s="2"/>
      <c r="BW179" s="2"/>
      <c r="BX179" s="2"/>
      <c r="BY179" s="2"/>
    </row>
    <row r="180" spans="1:79" s="27" customFormat="1" ht="15.75" x14ac:dyDescent="0.2">
      <c r="A180" s="31">
        <v>0</v>
      </c>
      <c r="B180" s="31"/>
      <c r="C180" s="32" t="s">
        <v>176</v>
      </c>
      <c r="D180" s="33"/>
      <c r="E180" s="33"/>
      <c r="F180" s="33"/>
      <c r="G180" s="33"/>
      <c r="H180" s="33"/>
      <c r="I180" s="34"/>
      <c r="J180" s="31"/>
      <c r="K180" s="31"/>
      <c r="L180" s="31"/>
      <c r="M180" s="31"/>
      <c r="N180" s="31"/>
      <c r="O180" s="35"/>
      <c r="P180" s="36"/>
      <c r="Q180" s="36"/>
      <c r="R180" s="36"/>
      <c r="S180" s="36"/>
      <c r="T180" s="36"/>
      <c r="U180" s="36"/>
      <c r="V180" s="36"/>
      <c r="W180" s="36"/>
      <c r="X180" s="36"/>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8"/>
      <c r="BR180" s="30"/>
      <c r="BS180" s="30"/>
      <c r="BT180" s="30"/>
      <c r="BU180" s="30"/>
      <c r="BV180" s="30"/>
      <c r="BW180" s="30"/>
      <c r="BX180" s="30"/>
      <c r="BY180" s="30"/>
    </row>
    <row r="181" spans="1:79" ht="38.25" customHeight="1" x14ac:dyDescent="0.2">
      <c r="A181" s="39">
        <v>1</v>
      </c>
      <c r="B181" s="39"/>
      <c r="C181" s="40" t="s">
        <v>177</v>
      </c>
      <c r="D181" s="41"/>
      <c r="E181" s="41"/>
      <c r="F181" s="41"/>
      <c r="G181" s="41"/>
      <c r="H181" s="41"/>
      <c r="I181" s="42"/>
      <c r="J181" s="39" t="s">
        <v>174</v>
      </c>
      <c r="K181" s="39"/>
      <c r="L181" s="39"/>
      <c r="M181" s="39"/>
      <c r="N181" s="39"/>
      <c r="O181" s="43" t="s">
        <v>192</v>
      </c>
      <c r="P181" s="44"/>
      <c r="Q181" s="44"/>
      <c r="R181" s="44"/>
      <c r="S181" s="44"/>
      <c r="T181" s="44"/>
      <c r="U181" s="44"/>
      <c r="V181" s="44"/>
      <c r="W181" s="44"/>
      <c r="X181" s="44"/>
      <c r="Y181" s="45"/>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c r="BQ181" s="46"/>
      <c r="BR181" s="2"/>
      <c r="BS181" s="2"/>
      <c r="BT181" s="2"/>
      <c r="BU181" s="2"/>
      <c r="BV181" s="2"/>
      <c r="BW181" s="2"/>
      <c r="BX181" s="2"/>
      <c r="BY181" s="2"/>
    </row>
    <row r="182" spans="1:79" ht="38.25" customHeight="1" x14ac:dyDescent="0.2">
      <c r="A182" s="39">
        <v>2</v>
      </c>
      <c r="B182" s="39"/>
      <c r="C182" s="40" t="s">
        <v>179</v>
      </c>
      <c r="D182" s="41"/>
      <c r="E182" s="41"/>
      <c r="F182" s="41"/>
      <c r="G182" s="41"/>
      <c r="H182" s="41"/>
      <c r="I182" s="42"/>
      <c r="J182" s="39" t="s">
        <v>174</v>
      </c>
      <c r="K182" s="39"/>
      <c r="L182" s="39"/>
      <c r="M182" s="39"/>
      <c r="N182" s="39"/>
      <c r="O182" s="43" t="s">
        <v>193</v>
      </c>
      <c r="P182" s="44"/>
      <c r="Q182" s="44"/>
      <c r="R182" s="44"/>
      <c r="S182" s="44"/>
      <c r="T182" s="44"/>
      <c r="U182" s="44"/>
      <c r="V182" s="44"/>
      <c r="W182" s="44"/>
      <c r="X182" s="44"/>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5"/>
      <c r="BQ182" s="46"/>
      <c r="BR182" s="2"/>
      <c r="BS182" s="2"/>
      <c r="BT182" s="2"/>
      <c r="BU182" s="2"/>
      <c r="BV182" s="2"/>
      <c r="BW182" s="2"/>
      <c r="BX182" s="2"/>
      <c r="BY182" s="2"/>
    </row>
    <row r="183" spans="1:79" s="27" customFormat="1" ht="15.75" x14ac:dyDescent="0.2">
      <c r="A183" s="31">
        <v>0</v>
      </c>
      <c r="B183" s="31"/>
      <c r="C183" s="32" t="s">
        <v>181</v>
      </c>
      <c r="D183" s="33"/>
      <c r="E183" s="33"/>
      <c r="F183" s="33"/>
      <c r="G183" s="33"/>
      <c r="H183" s="33"/>
      <c r="I183" s="34"/>
      <c r="J183" s="31"/>
      <c r="K183" s="31"/>
      <c r="L183" s="31"/>
      <c r="M183" s="31"/>
      <c r="N183" s="31"/>
      <c r="O183" s="35"/>
      <c r="P183" s="36"/>
      <c r="Q183" s="36"/>
      <c r="R183" s="36"/>
      <c r="S183" s="36"/>
      <c r="T183" s="36"/>
      <c r="U183" s="36"/>
      <c r="V183" s="36"/>
      <c r="W183" s="36"/>
      <c r="X183" s="36"/>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8"/>
      <c r="BR183" s="30"/>
      <c r="BS183" s="30"/>
      <c r="BT183" s="30"/>
      <c r="BU183" s="30"/>
      <c r="BV183" s="30"/>
      <c r="BW183" s="30"/>
      <c r="BX183" s="30"/>
      <c r="BY183" s="30"/>
    </row>
    <row r="184" spans="1:79" ht="51" customHeight="1" x14ac:dyDescent="0.2">
      <c r="A184" s="39">
        <v>1</v>
      </c>
      <c r="B184" s="39"/>
      <c r="C184" s="40" t="s">
        <v>182</v>
      </c>
      <c r="D184" s="41"/>
      <c r="E184" s="41"/>
      <c r="F184" s="41"/>
      <c r="G184" s="41"/>
      <c r="H184" s="41"/>
      <c r="I184" s="42"/>
      <c r="J184" s="39" t="s">
        <v>174</v>
      </c>
      <c r="K184" s="39"/>
      <c r="L184" s="39"/>
      <c r="M184" s="39"/>
      <c r="N184" s="39"/>
      <c r="O184" s="43" t="s">
        <v>194</v>
      </c>
      <c r="P184" s="44"/>
      <c r="Q184" s="44"/>
      <c r="R184" s="44"/>
      <c r="S184" s="44"/>
      <c r="T184" s="44"/>
      <c r="U184" s="44"/>
      <c r="V184" s="44"/>
      <c r="W184" s="44"/>
      <c r="X184" s="44"/>
      <c r="Y184" s="45"/>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c r="BQ184" s="46"/>
      <c r="BR184" s="2"/>
      <c r="BS184" s="2"/>
      <c r="BT184" s="2"/>
      <c r="BU184" s="2"/>
      <c r="BV184" s="2"/>
      <c r="BW184" s="2"/>
      <c r="BX184" s="2"/>
      <c r="BY184" s="2"/>
    </row>
    <row r="185" spans="1:79" ht="63.75" customHeight="1" x14ac:dyDescent="0.2">
      <c r="A185" s="39">
        <v>2</v>
      </c>
      <c r="B185" s="39"/>
      <c r="C185" s="40" t="s">
        <v>184</v>
      </c>
      <c r="D185" s="41"/>
      <c r="E185" s="41"/>
      <c r="F185" s="41"/>
      <c r="G185" s="41"/>
      <c r="H185" s="41"/>
      <c r="I185" s="42"/>
      <c r="J185" s="39" t="s">
        <v>174</v>
      </c>
      <c r="K185" s="39"/>
      <c r="L185" s="39"/>
      <c r="M185" s="39"/>
      <c r="N185" s="39"/>
      <c r="O185" s="43" t="s">
        <v>191</v>
      </c>
      <c r="P185" s="44"/>
      <c r="Q185" s="44"/>
      <c r="R185" s="44"/>
      <c r="S185" s="44"/>
      <c r="T185" s="44"/>
      <c r="U185" s="44"/>
      <c r="V185" s="44"/>
      <c r="W185" s="44"/>
      <c r="X185" s="44"/>
      <c r="Y185" s="45"/>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c r="BQ185" s="46"/>
      <c r="BR185" s="2"/>
      <c r="BS185" s="2"/>
      <c r="BT185" s="2"/>
      <c r="BU185" s="2"/>
      <c r="BV185" s="2"/>
      <c r="BW185" s="2"/>
      <c r="BX185" s="2"/>
      <c r="BY185" s="2"/>
    </row>
    <row r="186" spans="1:79" ht="25.5" customHeight="1" x14ac:dyDescent="0.2">
      <c r="A186" s="39">
        <v>3</v>
      </c>
      <c r="B186" s="39"/>
      <c r="C186" s="40" t="s">
        <v>185</v>
      </c>
      <c r="D186" s="41"/>
      <c r="E186" s="41"/>
      <c r="F186" s="41"/>
      <c r="G186" s="41"/>
      <c r="H186" s="41"/>
      <c r="I186" s="42"/>
      <c r="J186" s="39" t="s">
        <v>186</v>
      </c>
      <c r="K186" s="39"/>
      <c r="L186" s="39"/>
      <c r="M186" s="39"/>
      <c r="N186" s="39"/>
      <c r="O186" s="43" t="s">
        <v>195</v>
      </c>
      <c r="P186" s="44"/>
      <c r="Q186" s="44"/>
      <c r="R186" s="44"/>
      <c r="S186" s="44"/>
      <c r="T186" s="44"/>
      <c r="U186" s="44"/>
      <c r="V186" s="44"/>
      <c r="W186" s="44"/>
      <c r="X186" s="44"/>
      <c r="Y186" s="45"/>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c r="BQ186" s="46"/>
      <c r="BR186" s="2"/>
      <c r="BS186" s="2"/>
      <c r="BT186" s="2"/>
      <c r="BU186" s="2"/>
      <c r="BV186" s="2"/>
      <c r="BW186" s="2"/>
      <c r="BX186" s="2"/>
      <c r="BY186" s="2"/>
    </row>
    <row r="187" spans="1:79" s="27" customFormat="1" ht="15.75" x14ac:dyDescent="0.2">
      <c r="A187" s="31">
        <v>0</v>
      </c>
      <c r="B187" s="31"/>
      <c r="C187" s="32" t="s">
        <v>187</v>
      </c>
      <c r="D187" s="33"/>
      <c r="E187" s="33"/>
      <c r="F187" s="33"/>
      <c r="G187" s="33"/>
      <c r="H187" s="33"/>
      <c r="I187" s="34"/>
      <c r="J187" s="31"/>
      <c r="K187" s="31"/>
      <c r="L187" s="31"/>
      <c r="M187" s="31"/>
      <c r="N187" s="31"/>
      <c r="O187" s="35"/>
      <c r="P187" s="36"/>
      <c r="Q187" s="36"/>
      <c r="R187" s="36"/>
      <c r="S187" s="36"/>
      <c r="T187" s="36"/>
      <c r="U187" s="36"/>
      <c r="V187" s="36"/>
      <c r="W187" s="36"/>
      <c r="X187" s="36"/>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8"/>
      <c r="BR187" s="30"/>
      <c r="BS187" s="30"/>
      <c r="BT187" s="30"/>
      <c r="BU187" s="30"/>
      <c r="BV187" s="30"/>
      <c r="BW187" s="30"/>
      <c r="BX187" s="30"/>
      <c r="BY187" s="30"/>
    </row>
    <row r="188" spans="1:79" ht="15.75" x14ac:dyDescent="0.2">
      <c r="A188" s="23"/>
      <c r="B188" s="23"/>
      <c r="C188" s="24"/>
      <c r="D188" s="24"/>
      <c r="E188" s="24"/>
      <c r="F188" s="24"/>
      <c r="G188" s="24"/>
      <c r="H188" s="24"/>
      <c r="I188" s="24"/>
      <c r="J188" s="24"/>
      <c r="K188" s="24"/>
      <c r="L188" s="24"/>
      <c r="M188" s="24"/>
      <c r="N188" s="24"/>
      <c r="O188" s="24"/>
      <c r="P188" s="24"/>
      <c r="Q188" s="24"/>
      <c r="R188" s="24"/>
      <c r="S188" s="24"/>
      <c r="T188" s="24"/>
      <c r="U188" s="24"/>
      <c r="V188" s="24"/>
      <c r="W188" s="24"/>
      <c r="X188" s="24"/>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6"/>
      <c r="AY188" s="26"/>
      <c r="AZ188" s="26"/>
      <c r="BA188" s="26"/>
      <c r="BB188" s="26"/>
      <c r="BC188" s="26"/>
      <c r="BD188" s="26"/>
      <c r="BE188" s="26"/>
      <c r="BF188" s="26"/>
      <c r="BG188" s="26"/>
      <c r="BH188" s="26"/>
      <c r="BI188" s="26"/>
      <c r="BJ188" s="26"/>
      <c r="BK188" s="26"/>
      <c r="BL188" s="26"/>
      <c r="BM188" s="26"/>
      <c r="BN188" s="26"/>
      <c r="BO188" s="26"/>
      <c r="BP188" s="26"/>
      <c r="BQ188" s="26"/>
      <c r="BR188" s="10"/>
      <c r="BS188" s="10"/>
      <c r="BT188" s="10"/>
      <c r="BU188" s="10"/>
      <c r="BV188" s="10"/>
      <c r="BW188" s="10"/>
      <c r="BX188" s="10"/>
      <c r="BY188" s="10"/>
    </row>
    <row r="189" spans="1:79" ht="15.95" customHeight="1" x14ac:dyDescent="0.2">
      <c r="A189" s="57" t="s">
        <v>65</v>
      </c>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row>
    <row r="190" spans="1:79" ht="64.5" customHeight="1" x14ac:dyDescent="0.2">
      <c r="A190" s="116" t="s">
        <v>197</v>
      </c>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7"/>
      <c r="AI190" s="117"/>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row>
    <row r="191" spans="1:79" ht="15.75" x14ac:dyDescent="0.2">
      <c r="A191" s="23"/>
      <c r="B191" s="23"/>
      <c r="C191" s="24"/>
      <c r="D191" s="24"/>
      <c r="E191" s="24"/>
      <c r="F191" s="24"/>
      <c r="G191" s="24"/>
      <c r="H191" s="24"/>
      <c r="I191" s="24"/>
      <c r="J191" s="24"/>
      <c r="K191" s="24"/>
      <c r="L191" s="24"/>
      <c r="M191" s="24"/>
      <c r="N191" s="24"/>
      <c r="O191" s="24"/>
      <c r="P191" s="24"/>
      <c r="Q191" s="24"/>
      <c r="R191" s="24"/>
      <c r="S191" s="24"/>
      <c r="T191" s="24"/>
      <c r="U191" s="24"/>
      <c r="V191" s="24"/>
      <c r="W191" s="24"/>
      <c r="X191" s="24"/>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6"/>
      <c r="AY191" s="26"/>
      <c r="AZ191" s="26"/>
      <c r="BA191" s="26"/>
      <c r="BB191" s="26"/>
      <c r="BC191" s="26"/>
      <c r="BD191" s="26"/>
      <c r="BE191" s="26"/>
      <c r="BF191" s="26"/>
      <c r="BG191" s="26"/>
      <c r="BH191" s="26"/>
      <c r="BI191" s="26"/>
      <c r="BJ191" s="26"/>
      <c r="BK191" s="26"/>
      <c r="BL191" s="26"/>
      <c r="BM191" s="26"/>
      <c r="BN191" s="26"/>
      <c r="BO191" s="26"/>
      <c r="BP191" s="26"/>
      <c r="BQ191" s="26"/>
      <c r="BR191" s="10"/>
      <c r="BS191" s="10"/>
      <c r="BT191" s="10"/>
      <c r="BU191" s="10"/>
      <c r="BV191" s="10"/>
      <c r="BW191" s="10"/>
      <c r="BX191" s="10"/>
      <c r="BY191" s="10"/>
    </row>
    <row r="192" spans="1:79" ht="15.95" customHeight="1" x14ac:dyDescent="0.2">
      <c r="A192" s="57" t="s">
        <v>46</v>
      </c>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row>
    <row r="193" spans="1:64" ht="126" customHeight="1" x14ac:dyDescent="0.2">
      <c r="A193" s="116" t="s">
        <v>198</v>
      </c>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7"/>
      <c r="AI193" s="117"/>
      <c r="AJ193" s="117"/>
      <c r="AK193" s="117"/>
      <c r="AL193" s="117"/>
      <c r="AM193" s="117"/>
      <c r="AN193" s="117"/>
      <c r="AO193" s="117"/>
      <c r="AP193" s="117"/>
      <c r="AQ193" s="117"/>
      <c r="AR193" s="117"/>
      <c r="AS193" s="117"/>
      <c r="AT193" s="117"/>
      <c r="AU193" s="117"/>
      <c r="AV193" s="117"/>
      <c r="AW193" s="117"/>
      <c r="AX193" s="117"/>
      <c r="AY193" s="117"/>
      <c r="AZ193" s="117"/>
      <c r="BA193" s="117"/>
      <c r="BB193" s="117"/>
      <c r="BC193" s="117"/>
      <c r="BD193" s="117"/>
      <c r="BE193" s="117"/>
      <c r="BF193" s="117"/>
      <c r="BG193" s="117"/>
      <c r="BH193" s="117"/>
      <c r="BI193" s="117"/>
      <c r="BJ193" s="117"/>
      <c r="BK193" s="117"/>
      <c r="BL193" s="117"/>
    </row>
    <row r="194" spans="1:64" ht="15.95" customHeight="1" x14ac:dyDescent="0.25">
      <c r="A194" s="2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row>
    <row r="195" spans="1:64" ht="42" customHeight="1" x14ac:dyDescent="0.25">
      <c r="A195" s="116" t="s">
        <v>201</v>
      </c>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92"/>
      <c r="X195" s="92"/>
      <c r="Y195" s="92"/>
      <c r="Z195" s="92"/>
      <c r="AA195" s="92"/>
      <c r="AB195" s="92"/>
      <c r="AC195" s="92"/>
      <c r="AD195" s="92"/>
      <c r="AE195" s="92"/>
      <c r="AF195" s="92"/>
      <c r="AG195" s="92"/>
      <c r="AH195" s="92"/>
      <c r="AI195" s="92"/>
      <c r="AJ195" s="92"/>
      <c r="AK195" s="92"/>
      <c r="AL195" s="92"/>
      <c r="AM195" s="92"/>
      <c r="AN195" s="3"/>
      <c r="AO195" s="3"/>
      <c r="AP195" s="96" t="s">
        <v>203</v>
      </c>
      <c r="AQ195" s="97"/>
      <c r="AR195" s="97"/>
      <c r="AS195" s="97"/>
      <c r="AT195" s="97"/>
      <c r="AU195" s="97"/>
      <c r="AV195" s="97"/>
      <c r="AW195" s="97"/>
      <c r="AX195" s="97"/>
      <c r="AY195" s="97"/>
      <c r="AZ195" s="97"/>
      <c r="BA195" s="97"/>
      <c r="BB195" s="97"/>
      <c r="BC195" s="97"/>
      <c r="BD195" s="97"/>
      <c r="BE195" s="97"/>
      <c r="BF195" s="97"/>
      <c r="BG195" s="97"/>
      <c r="BH195" s="97"/>
    </row>
    <row r="196" spans="1:64" x14ac:dyDescent="0.2">
      <c r="W196" s="91" t="s">
        <v>8</v>
      </c>
      <c r="X196" s="91"/>
      <c r="Y196" s="91"/>
      <c r="Z196" s="91"/>
      <c r="AA196" s="91"/>
      <c r="AB196" s="91"/>
      <c r="AC196" s="91"/>
      <c r="AD196" s="91"/>
      <c r="AE196" s="91"/>
      <c r="AF196" s="91"/>
      <c r="AG196" s="91"/>
      <c r="AH196" s="91"/>
      <c r="AI196" s="91"/>
      <c r="AJ196" s="91"/>
      <c r="AK196" s="91"/>
      <c r="AL196" s="91"/>
      <c r="AM196" s="91"/>
      <c r="AN196" s="4"/>
      <c r="AO196" s="4"/>
      <c r="AP196" s="91" t="s">
        <v>71</v>
      </c>
      <c r="AQ196" s="91"/>
      <c r="AR196" s="91"/>
      <c r="AS196" s="91"/>
      <c r="AT196" s="91"/>
      <c r="AU196" s="91"/>
      <c r="AV196" s="91"/>
      <c r="AW196" s="91"/>
      <c r="AX196" s="91"/>
      <c r="AY196" s="91"/>
      <c r="AZ196" s="91"/>
      <c r="BA196" s="91"/>
      <c r="BB196" s="91"/>
      <c r="BC196" s="91"/>
      <c r="BD196" s="91"/>
      <c r="BE196" s="91"/>
      <c r="BF196" s="91"/>
      <c r="BG196" s="91"/>
      <c r="BH196" s="91"/>
    </row>
    <row r="198" spans="1:64" ht="31.5" customHeight="1" x14ac:dyDescent="0.25">
      <c r="A198" s="116" t="s">
        <v>202</v>
      </c>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92"/>
      <c r="X198" s="92"/>
      <c r="Y198" s="92"/>
      <c r="Z198" s="92"/>
      <c r="AA198" s="92"/>
      <c r="AB198" s="92"/>
      <c r="AC198" s="92"/>
      <c r="AD198" s="92"/>
      <c r="AE198" s="92"/>
      <c r="AF198" s="92"/>
      <c r="AG198" s="92"/>
      <c r="AH198" s="92"/>
      <c r="AI198" s="92"/>
      <c r="AJ198" s="92"/>
      <c r="AK198" s="92"/>
      <c r="AL198" s="92"/>
      <c r="AM198" s="92"/>
      <c r="AN198" s="3"/>
      <c r="AO198" s="3"/>
      <c r="AP198" s="96" t="s">
        <v>204</v>
      </c>
      <c r="AQ198" s="97"/>
      <c r="AR198" s="97"/>
      <c r="AS198" s="97"/>
      <c r="AT198" s="97"/>
      <c r="AU198" s="97"/>
      <c r="AV198" s="97"/>
      <c r="AW198" s="97"/>
      <c r="AX198" s="97"/>
      <c r="AY198" s="97"/>
      <c r="AZ198" s="97"/>
      <c r="BA198" s="97"/>
      <c r="BB198" s="97"/>
      <c r="BC198" s="97"/>
      <c r="BD198" s="97"/>
      <c r="BE198" s="97"/>
      <c r="BF198" s="97"/>
      <c r="BG198" s="97"/>
      <c r="BH198" s="97"/>
    </row>
    <row r="199" spans="1:64" x14ac:dyDescent="0.2">
      <c r="W199" s="91" t="s">
        <v>8</v>
      </c>
      <c r="X199" s="91"/>
      <c r="Y199" s="91"/>
      <c r="Z199" s="91"/>
      <c r="AA199" s="91"/>
      <c r="AB199" s="91"/>
      <c r="AC199" s="91"/>
      <c r="AD199" s="91"/>
      <c r="AE199" s="91"/>
      <c r="AF199" s="91"/>
      <c r="AG199" s="91"/>
      <c r="AH199" s="91"/>
      <c r="AI199" s="91"/>
      <c r="AJ199" s="91"/>
      <c r="AK199" s="91"/>
      <c r="AL199" s="91"/>
      <c r="AM199" s="91"/>
      <c r="AN199" s="4"/>
      <c r="AO199" s="4"/>
      <c r="AP199" s="91" t="s">
        <v>71</v>
      </c>
      <c r="AQ199" s="91"/>
      <c r="AR199" s="91"/>
      <c r="AS199" s="91"/>
      <c r="AT199" s="91"/>
      <c r="AU199" s="91"/>
      <c r="AV199" s="91"/>
      <c r="AW199" s="91"/>
      <c r="AX199" s="91"/>
      <c r="AY199" s="91"/>
      <c r="AZ199" s="91"/>
      <c r="BA199" s="91"/>
      <c r="BB199" s="91"/>
      <c r="BC199" s="91"/>
      <c r="BD199" s="91"/>
      <c r="BE199" s="91"/>
      <c r="BF199" s="91"/>
      <c r="BG199" s="91"/>
      <c r="BH199" s="91"/>
    </row>
  </sheetData>
  <mergeCells count="1101">
    <mergeCell ref="A145:B146"/>
    <mergeCell ref="A147:B147"/>
    <mergeCell ref="A148:B148"/>
    <mergeCell ref="A149:B149"/>
    <mergeCell ref="C149:R149"/>
    <mergeCell ref="S149:W149"/>
    <mergeCell ref="AS147:AX147"/>
    <mergeCell ref="AY147:BC147"/>
    <mergeCell ref="BI146:BN146"/>
    <mergeCell ref="BI148:BN148"/>
    <mergeCell ref="BD149:BH149"/>
    <mergeCell ref="BD147:BH147"/>
    <mergeCell ref="BI147:BN147"/>
    <mergeCell ref="BI149:BN149"/>
    <mergeCell ref="BD148:BH148"/>
    <mergeCell ref="X149:AB149"/>
    <mergeCell ref="AC149:AH149"/>
    <mergeCell ref="C148:R148"/>
    <mergeCell ref="S148:W148"/>
    <mergeCell ref="X148:AB148"/>
    <mergeCell ref="AC148:AH148"/>
    <mergeCell ref="AI149:AM149"/>
    <mergeCell ref="AN149:AR149"/>
    <mergeCell ref="AS149:AX149"/>
    <mergeCell ref="AY149:BC149"/>
    <mergeCell ref="AF42:AJ42"/>
    <mergeCell ref="A26:F26"/>
    <mergeCell ref="G26:BL26"/>
    <mergeCell ref="A34:F34"/>
    <mergeCell ref="G34:BL34"/>
    <mergeCell ref="BN40:BQ40"/>
    <mergeCell ref="A23:BL23"/>
    <mergeCell ref="A24:F24"/>
    <mergeCell ref="G24:BL24"/>
    <mergeCell ref="A39:B40"/>
    <mergeCell ref="A33:F33"/>
    <mergeCell ref="C145:R146"/>
    <mergeCell ref="S145:AH145"/>
    <mergeCell ref="AI145:AX145"/>
    <mergeCell ref="AS146:AX146"/>
    <mergeCell ref="A38:BQ38"/>
    <mergeCell ref="C39:Z40"/>
    <mergeCell ref="BI40:BM40"/>
    <mergeCell ref="BD40:BH40"/>
    <mergeCell ref="AZ40:BC40"/>
    <mergeCell ref="BD43:BH43"/>
    <mergeCell ref="AZ41:BC41"/>
    <mergeCell ref="BD41:BH41"/>
    <mergeCell ref="AP41:AT41"/>
    <mergeCell ref="BD42:BH42"/>
    <mergeCell ref="AK40:AO40"/>
    <mergeCell ref="A42:B42"/>
    <mergeCell ref="AF40:AJ40"/>
    <mergeCell ref="A99:BQ99"/>
    <mergeCell ref="AY145:BN145"/>
    <mergeCell ref="AY146:BC146"/>
    <mergeCell ref="BD146:BH146"/>
    <mergeCell ref="AN158:AR158"/>
    <mergeCell ref="AP195:BH195"/>
    <mergeCell ref="AN156:BB156"/>
    <mergeCell ref="J159:N159"/>
    <mergeCell ref="O159:X159"/>
    <mergeCell ref="C160:I160"/>
    <mergeCell ref="C147:R147"/>
    <mergeCell ref="S147:W147"/>
    <mergeCell ref="X147:AB147"/>
    <mergeCell ref="AC147:AH147"/>
    <mergeCell ref="A158:B158"/>
    <mergeCell ref="O158:X158"/>
    <mergeCell ref="Y156:AM156"/>
    <mergeCell ref="J158:N158"/>
    <mergeCell ref="Y158:AC158"/>
    <mergeCell ref="A156:B157"/>
    <mergeCell ref="BI43:BM43"/>
    <mergeCell ref="S146:W146"/>
    <mergeCell ref="X146:AB146"/>
    <mergeCell ref="AC146:AH146"/>
    <mergeCell ref="AI146:AM146"/>
    <mergeCell ref="AN146:AR146"/>
    <mergeCell ref="C101:BQ101"/>
    <mergeCell ref="BN43:BQ43"/>
    <mergeCell ref="A192:BL192"/>
    <mergeCell ref="AD158:AH158"/>
    <mergeCell ref="AI147:AM147"/>
    <mergeCell ref="AY148:BC148"/>
    <mergeCell ref="AI148:AM148"/>
    <mergeCell ref="AN148:AR148"/>
    <mergeCell ref="AS148:AX148"/>
    <mergeCell ref="AN147:AR147"/>
    <mergeCell ref="W196:AM196"/>
    <mergeCell ref="A195:V195"/>
    <mergeCell ref="W195:AM195"/>
    <mergeCell ref="A160:B160"/>
    <mergeCell ref="AD160:AH160"/>
    <mergeCell ref="A172:BQ172"/>
    <mergeCell ref="A174:B174"/>
    <mergeCell ref="C174:I174"/>
    <mergeCell ref="BC160:BG160"/>
    <mergeCell ref="J160:N160"/>
    <mergeCell ref="Y159:AC159"/>
    <mergeCell ref="O176:BQ176"/>
    <mergeCell ref="AP199:BH199"/>
    <mergeCell ref="A198:V198"/>
    <mergeCell ref="W198:AM198"/>
    <mergeCell ref="AP198:BH198"/>
    <mergeCell ref="W199:AM199"/>
    <mergeCell ref="AP196:BH196"/>
    <mergeCell ref="A193:BL193"/>
    <mergeCell ref="J176:N176"/>
    <mergeCell ref="A175:B175"/>
    <mergeCell ref="A159:B159"/>
    <mergeCell ref="O160:X160"/>
    <mergeCell ref="Y160:AC160"/>
    <mergeCell ref="C175:I175"/>
    <mergeCell ref="J175:N175"/>
    <mergeCell ref="C159:I159"/>
    <mergeCell ref="AO2:BL6"/>
    <mergeCell ref="A7:BL7"/>
    <mergeCell ref="A8:BL8"/>
    <mergeCell ref="A9:BL9"/>
    <mergeCell ref="AA41:AE41"/>
    <mergeCell ref="AF41:AJ41"/>
    <mergeCell ref="AK41:AO41"/>
    <mergeCell ref="A10:BL10"/>
    <mergeCell ref="A11:BL11"/>
    <mergeCell ref="A12:BL12"/>
    <mergeCell ref="BC158:BG158"/>
    <mergeCell ref="BC159:BG159"/>
    <mergeCell ref="BC157:BG157"/>
    <mergeCell ref="A154:BQ154"/>
    <mergeCell ref="AD159:AH159"/>
    <mergeCell ref="AI158:AM158"/>
    <mergeCell ref="BH158:BL158"/>
    <mergeCell ref="BM158:BQ158"/>
    <mergeCell ref="BM159:BQ159"/>
    <mergeCell ref="BH159:BL159"/>
    <mergeCell ref="A43:B43"/>
    <mergeCell ref="A101:B101"/>
    <mergeCell ref="AF43:AJ43"/>
    <mergeCell ref="AZ43:BC43"/>
    <mergeCell ref="AU43:AY43"/>
    <mergeCell ref="AA43:AE43"/>
    <mergeCell ref="C43:Z43"/>
    <mergeCell ref="AK43:AO43"/>
    <mergeCell ref="A104:B104"/>
    <mergeCell ref="A102:B102"/>
    <mergeCell ref="A103:B103"/>
    <mergeCell ref="A144:BN144"/>
    <mergeCell ref="AU40:AY40"/>
    <mergeCell ref="AK21:BC21"/>
    <mergeCell ref="AU41:AY41"/>
    <mergeCell ref="G25:BL25"/>
    <mergeCell ref="A37:BQ37"/>
    <mergeCell ref="AP40:AT40"/>
    <mergeCell ref="AA40:AE40"/>
    <mergeCell ref="BI41:BM41"/>
    <mergeCell ref="B14:L14"/>
    <mergeCell ref="N14:AS14"/>
    <mergeCell ref="AU14:BB14"/>
    <mergeCell ref="B18:L18"/>
    <mergeCell ref="N18:AS18"/>
    <mergeCell ref="AP43:AT43"/>
    <mergeCell ref="A41:B41"/>
    <mergeCell ref="A28:BL28"/>
    <mergeCell ref="A29:BL29"/>
    <mergeCell ref="A31:BL31"/>
    <mergeCell ref="AA42:AE42"/>
    <mergeCell ref="C41:Z41"/>
    <mergeCell ref="BN41:BQ41"/>
    <mergeCell ref="AZ42:BC42"/>
    <mergeCell ref="AU42:AY42"/>
    <mergeCell ref="G33:BL33"/>
    <mergeCell ref="A25:F25"/>
    <mergeCell ref="AA39:AO39"/>
    <mergeCell ref="AP39:BC39"/>
    <mergeCell ref="BN42:BQ42"/>
    <mergeCell ref="BI42:BM42"/>
    <mergeCell ref="AP42:AT42"/>
    <mergeCell ref="C42:Z42"/>
    <mergeCell ref="AK42:AO42"/>
    <mergeCell ref="BE21:BL21"/>
    <mergeCell ref="B20:L20"/>
    <mergeCell ref="N20:Y20"/>
    <mergeCell ref="AA20:AI20"/>
    <mergeCell ref="AK20:BC20"/>
    <mergeCell ref="B21:L21"/>
    <mergeCell ref="N21:Y21"/>
    <mergeCell ref="AA21:AI21"/>
    <mergeCell ref="A36:BQ36"/>
    <mergeCell ref="BD39:BQ39"/>
    <mergeCell ref="AU15:BB15"/>
    <mergeCell ref="B17:L17"/>
    <mergeCell ref="N17:AS17"/>
    <mergeCell ref="AU17:BB17"/>
    <mergeCell ref="B15:L15"/>
    <mergeCell ref="N15:AS15"/>
    <mergeCell ref="AU18:BB18"/>
    <mergeCell ref="BE20:BL20"/>
    <mergeCell ref="A32:F32"/>
    <mergeCell ref="G32:BL32"/>
    <mergeCell ref="A190:BL190"/>
    <mergeCell ref="O174:BQ174"/>
    <mergeCell ref="O175:BQ175"/>
    <mergeCell ref="O177:BQ177"/>
    <mergeCell ref="A177:B177"/>
    <mergeCell ref="C177:I177"/>
    <mergeCell ref="J177:N177"/>
    <mergeCell ref="A176:B176"/>
    <mergeCell ref="A179:B179"/>
    <mergeCell ref="AX157:BB157"/>
    <mergeCell ref="AX158:BB158"/>
    <mergeCell ref="AS158:AW158"/>
    <mergeCell ref="AI159:AM159"/>
    <mergeCell ref="AN159:AR159"/>
    <mergeCell ref="AS159:AW159"/>
    <mergeCell ref="AI160:AM160"/>
    <mergeCell ref="AN160:AR160"/>
    <mergeCell ref="AS160:AW160"/>
    <mergeCell ref="AX160:BB160"/>
    <mergeCell ref="J174:N174"/>
    <mergeCell ref="AX159:BB159"/>
    <mergeCell ref="AD161:AH161"/>
    <mergeCell ref="AI161:AM161"/>
    <mergeCell ref="AN161:AR161"/>
    <mergeCell ref="AS161:AW161"/>
    <mergeCell ref="AS157:AW157"/>
    <mergeCell ref="AN157:AR157"/>
    <mergeCell ref="AI157:AM157"/>
    <mergeCell ref="BM157:BQ157"/>
    <mergeCell ref="BH157:BL157"/>
    <mergeCell ref="AD157:AH157"/>
    <mergeCell ref="BM160:BQ160"/>
    <mergeCell ref="AU44:AY44"/>
    <mergeCell ref="AZ44:BC44"/>
    <mergeCell ref="BD44:BH44"/>
    <mergeCell ref="BI44:BM44"/>
    <mergeCell ref="BN44:BQ44"/>
    <mergeCell ref="A45:B45"/>
    <mergeCell ref="C45:Z45"/>
    <mergeCell ref="AA45:AE45"/>
    <mergeCell ref="AF45:AJ45"/>
    <mergeCell ref="AK45:AO45"/>
    <mergeCell ref="A44:B44"/>
    <mergeCell ref="C44:Z44"/>
    <mergeCell ref="AA44:AE44"/>
    <mergeCell ref="AF44:AJ44"/>
    <mergeCell ref="AK44:AO44"/>
    <mergeCell ref="AP44:AT44"/>
    <mergeCell ref="A189:BL189"/>
    <mergeCell ref="BC156:BQ156"/>
    <mergeCell ref="BH160:BL160"/>
    <mergeCell ref="C176:I176"/>
    <mergeCell ref="A143:BN143"/>
    <mergeCell ref="C104:BQ104"/>
    <mergeCell ref="C102:BQ102"/>
    <mergeCell ref="C103:BQ103"/>
    <mergeCell ref="A106:B106"/>
    <mergeCell ref="C106:BQ106"/>
    <mergeCell ref="A153:BQ153"/>
    <mergeCell ref="C158:I158"/>
    <mergeCell ref="C156:I157"/>
    <mergeCell ref="J156:N157"/>
    <mergeCell ref="O156:X157"/>
    <mergeCell ref="Y157:AC157"/>
    <mergeCell ref="AU46:AY46"/>
    <mergeCell ref="AZ46:BC46"/>
    <mergeCell ref="BD46:BH46"/>
    <mergeCell ref="BI46:BM46"/>
    <mergeCell ref="BN46:BQ46"/>
    <mergeCell ref="A47:B47"/>
    <mergeCell ref="C47:Z47"/>
    <mergeCell ref="AA47:AE47"/>
    <mergeCell ref="AF47:AJ47"/>
    <mergeCell ref="AK47:AO47"/>
    <mergeCell ref="A46:B46"/>
    <mergeCell ref="C46:Z46"/>
    <mergeCell ref="AA46:AE46"/>
    <mergeCell ref="AF46:AJ46"/>
    <mergeCell ref="AK46:AO46"/>
    <mergeCell ref="AP46:AT46"/>
    <mergeCell ref="AP45:AT45"/>
    <mergeCell ref="AU45:AY45"/>
    <mergeCell ref="AZ45:BC45"/>
    <mergeCell ref="BD45:BH45"/>
    <mergeCell ref="BI45:BM45"/>
    <mergeCell ref="BN45:BQ45"/>
    <mergeCell ref="AU48:AY48"/>
    <mergeCell ref="AZ48:BC48"/>
    <mergeCell ref="BD48:BH48"/>
    <mergeCell ref="BI48:BM48"/>
    <mergeCell ref="BN48:BQ48"/>
    <mergeCell ref="A49:B49"/>
    <mergeCell ref="C49:Z49"/>
    <mergeCell ref="AA49:AE49"/>
    <mergeCell ref="AF49:AJ49"/>
    <mergeCell ref="AK49:AO49"/>
    <mergeCell ref="A48:B48"/>
    <mergeCell ref="C48:Z48"/>
    <mergeCell ref="AA48:AE48"/>
    <mergeCell ref="AF48:AJ48"/>
    <mergeCell ref="AK48:AO48"/>
    <mergeCell ref="AP48:AT48"/>
    <mergeCell ref="AP47:AT47"/>
    <mergeCell ref="AU47:AY47"/>
    <mergeCell ref="AZ47:BC47"/>
    <mergeCell ref="BD47:BH47"/>
    <mergeCell ref="BI47:BM47"/>
    <mergeCell ref="BN47:BQ47"/>
    <mergeCell ref="AU50:AY50"/>
    <mergeCell ref="AZ50:BC50"/>
    <mergeCell ref="BD50:BH50"/>
    <mergeCell ref="BI50:BM50"/>
    <mergeCell ref="BN50:BQ50"/>
    <mergeCell ref="A51:B51"/>
    <mergeCell ref="C51:Z51"/>
    <mergeCell ref="AA51:AE51"/>
    <mergeCell ref="AF51:AJ51"/>
    <mergeCell ref="AK51:AO51"/>
    <mergeCell ref="A50:B50"/>
    <mergeCell ref="C50:Z50"/>
    <mergeCell ref="AA50:AE50"/>
    <mergeCell ref="AF50:AJ50"/>
    <mergeCell ref="AK50:AO50"/>
    <mergeCell ref="AP50:AT50"/>
    <mergeCell ref="AP49:AT49"/>
    <mergeCell ref="AU49:AY49"/>
    <mergeCell ref="AZ49:BC49"/>
    <mergeCell ref="BD49:BH49"/>
    <mergeCell ref="BI49:BM49"/>
    <mergeCell ref="BN49:BQ49"/>
    <mergeCell ref="AU52:AY52"/>
    <mergeCell ref="AZ52:BC52"/>
    <mergeCell ref="BD52:BH52"/>
    <mergeCell ref="BI52:BM52"/>
    <mergeCell ref="BN52:BQ52"/>
    <mergeCell ref="A53:B53"/>
    <mergeCell ref="C53:Z53"/>
    <mergeCell ref="AA53:AE53"/>
    <mergeCell ref="AF53:AJ53"/>
    <mergeCell ref="AK53:AO53"/>
    <mergeCell ref="A52:B52"/>
    <mergeCell ref="C52:Z52"/>
    <mergeCell ref="AA52:AE52"/>
    <mergeCell ref="AF52:AJ52"/>
    <mergeCell ref="AK52:AO52"/>
    <mergeCell ref="AP52:AT52"/>
    <mergeCell ref="AP51:AT51"/>
    <mergeCell ref="AU51:AY51"/>
    <mergeCell ref="AZ51:BC51"/>
    <mergeCell ref="BD51:BH51"/>
    <mergeCell ref="BI51:BM51"/>
    <mergeCell ref="BN51:BQ51"/>
    <mergeCell ref="AU54:AY54"/>
    <mergeCell ref="AZ54:BC54"/>
    <mergeCell ref="BD54:BH54"/>
    <mergeCell ref="BI54:BM54"/>
    <mergeCell ref="BN54:BQ54"/>
    <mergeCell ref="A55:B55"/>
    <mergeCell ref="C55:Z55"/>
    <mergeCell ref="AA55:AE55"/>
    <mergeCell ref="AF55:AJ55"/>
    <mergeCell ref="AK55:AO55"/>
    <mergeCell ref="A54:B54"/>
    <mergeCell ref="C54:Z54"/>
    <mergeCell ref="AA54:AE54"/>
    <mergeCell ref="AF54:AJ54"/>
    <mergeCell ref="AK54:AO54"/>
    <mergeCell ref="AP54:AT54"/>
    <mergeCell ref="AP53:AT53"/>
    <mergeCell ref="AU53:AY53"/>
    <mergeCell ref="AZ53:BC53"/>
    <mergeCell ref="BD53:BH53"/>
    <mergeCell ref="BI53:BM53"/>
    <mergeCell ref="BN53:BQ53"/>
    <mergeCell ref="AU56:AY56"/>
    <mergeCell ref="AZ56:BC56"/>
    <mergeCell ref="BD56:BH56"/>
    <mergeCell ref="BI56:BM56"/>
    <mergeCell ref="BN56:BQ56"/>
    <mergeCell ref="A57:B57"/>
    <mergeCell ref="C57:Z57"/>
    <mergeCell ref="AA57:AE57"/>
    <mergeCell ref="AF57:AJ57"/>
    <mergeCell ref="AK57:AO57"/>
    <mergeCell ref="A56:B56"/>
    <mergeCell ref="C56:Z56"/>
    <mergeCell ref="AA56:AE56"/>
    <mergeCell ref="AF56:AJ56"/>
    <mergeCell ref="AK56:AO56"/>
    <mergeCell ref="AP56:AT56"/>
    <mergeCell ref="AP55:AT55"/>
    <mergeCell ref="AU55:AY55"/>
    <mergeCell ref="AZ55:BC55"/>
    <mergeCell ref="BD55:BH55"/>
    <mergeCell ref="BI55:BM55"/>
    <mergeCell ref="BN55:BQ55"/>
    <mergeCell ref="AU58:AY58"/>
    <mergeCell ref="AZ58:BC58"/>
    <mergeCell ref="BD58:BH58"/>
    <mergeCell ref="BI58:BM58"/>
    <mergeCell ref="BN58:BQ58"/>
    <mergeCell ref="A59:B59"/>
    <mergeCell ref="C59:Z59"/>
    <mergeCell ref="AA59:AE59"/>
    <mergeCell ref="AF59:AJ59"/>
    <mergeCell ref="AK59:AO59"/>
    <mergeCell ref="A58:B58"/>
    <mergeCell ref="C58:Z58"/>
    <mergeCell ref="AA58:AE58"/>
    <mergeCell ref="AF58:AJ58"/>
    <mergeCell ref="AK58:AO58"/>
    <mergeCell ref="AP58:AT58"/>
    <mergeCell ref="AP57:AT57"/>
    <mergeCell ref="AU57:AY57"/>
    <mergeCell ref="AZ57:BC57"/>
    <mergeCell ref="BD57:BH57"/>
    <mergeCell ref="BI57:BM57"/>
    <mergeCell ref="BN57:BQ57"/>
    <mergeCell ref="AU60:AY60"/>
    <mergeCell ref="AZ60:BC60"/>
    <mergeCell ref="BD60:BH60"/>
    <mergeCell ref="BI60:BM60"/>
    <mergeCell ref="BN60:BQ60"/>
    <mergeCell ref="A61:B61"/>
    <mergeCell ref="C61:Z61"/>
    <mergeCell ref="AA61:AE61"/>
    <mergeCell ref="AF61:AJ61"/>
    <mergeCell ref="AK61:AO61"/>
    <mergeCell ref="A60:B60"/>
    <mergeCell ref="C60:Z60"/>
    <mergeCell ref="AA60:AE60"/>
    <mergeCell ref="AF60:AJ60"/>
    <mergeCell ref="AK60:AO60"/>
    <mergeCell ref="AP60:AT60"/>
    <mergeCell ref="AP59:AT59"/>
    <mergeCell ref="AU59:AY59"/>
    <mergeCell ref="AZ59:BC59"/>
    <mergeCell ref="BD59:BH59"/>
    <mergeCell ref="BI59:BM59"/>
    <mergeCell ref="BN59:BQ59"/>
    <mergeCell ref="AU62:AY62"/>
    <mergeCell ref="AZ62:BC62"/>
    <mergeCell ref="BD62:BH62"/>
    <mergeCell ref="BI62:BM62"/>
    <mergeCell ref="BN62:BQ62"/>
    <mergeCell ref="A63:B63"/>
    <mergeCell ref="C63:Z63"/>
    <mergeCell ref="AA63:AE63"/>
    <mergeCell ref="AF63:AJ63"/>
    <mergeCell ref="AK63:AO63"/>
    <mergeCell ref="A62:B62"/>
    <mergeCell ref="C62:Z62"/>
    <mergeCell ref="AA62:AE62"/>
    <mergeCell ref="AF62:AJ62"/>
    <mergeCell ref="AK62:AO62"/>
    <mergeCell ref="AP62:AT62"/>
    <mergeCell ref="AP61:AT61"/>
    <mergeCell ref="AU61:AY61"/>
    <mergeCell ref="AZ61:BC61"/>
    <mergeCell ref="BD61:BH61"/>
    <mergeCell ref="BI61:BM61"/>
    <mergeCell ref="BN61:BQ61"/>
    <mergeCell ref="AU64:AY64"/>
    <mergeCell ref="AZ64:BC64"/>
    <mergeCell ref="BD64:BH64"/>
    <mergeCell ref="BI64:BM64"/>
    <mergeCell ref="BN64:BQ64"/>
    <mergeCell ref="A65:B65"/>
    <mergeCell ref="C65:Z65"/>
    <mergeCell ref="AA65:AE65"/>
    <mergeCell ref="AF65:AJ65"/>
    <mergeCell ref="AK65:AO65"/>
    <mergeCell ref="A64:B64"/>
    <mergeCell ref="C64:Z64"/>
    <mergeCell ref="AA64:AE64"/>
    <mergeCell ref="AF64:AJ64"/>
    <mergeCell ref="AK64:AO64"/>
    <mergeCell ref="AP64:AT64"/>
    <mergeCell ref="AP63:AT63"/>
    <mergeCell ref="AU63:AY63"/>
    <mergeCell ref="AZ63:BC63"/>
    <mergeCell ref="BD63:BH63"/>
    <mergeCell ref="BI63:BM63"/>
    <mergeCell ref="BN63:BQ63"/>
    <mergeCell ref="AU66:AY66"/>
    <mergeCell ref="AZ66:BC66"/>
    <mergeCell ref="BD66:BH66"/>
    <mergeCell ref="BI66:BM66"/>
    <mergeCell ref="BN66:BQ66"/>
    <mergeCell ref="A67:B67"/>
    <mergeCell ref="C67:Z67"/>
    <mergeCell ref="AA67:AE67"/>
    <mergeCell ref="AF67:AJ67"/>
    <mergeCell ref="AK67:AO67"/>
    <mergeCell ref="A66:B66"/>
    <mergeCell ref="C66:Z66"/>
    <mergeCell ref="AA66:AE66"/>
    <mergeCell ref="AF66:AJ66"/>
    <mergeCell ref="AK66:AO66"/>
    <mergeCell ref="AP66:AT66"/>
    <mergeCell ref="AP65:AT65"/>
    <mergeCell ref="AU65:AY65"/>
    <mergeCell ref="AZ65:BC65"/>
    <mergeCell ref="BD65:BH65"/>
    <mergeCell ref="BI65:BM65"/>
    <mergeCell ref="BN65:BQ65"/>
    <mergeCell ref="AU68:AY68"/>
    <mergeCell ref="AZ68:BC68"/>
    <mergeCell ref="BD68:BH68"/>
    <mergeCell ref="BI68:BM68"/>
    <mergeCell ref="BN68:BQ68"/>
    <mergeCell ref="A69:B69"/>
    <mergeCell ref="C69:Z69"/>
    <mergeCell ref="AA69:AE69"/>
    <mergeCell ref="AF69:AJ69"/>
    <mergeCell ref="AK69:AO69"/>
    <mergeCell ref="A68:B68"/>
    <mergeCell ref="C68:Z68"/>
    <mergeCell ref="AA68:AE68"/>
    <mergeCell ref="AF68:AJ68"/>
    <mergeCell ref="AK68:AO68"/>
    <mergeCell ref="AP68:AT68"/>
    <mergeCell ref="AP67:AT67"/>
    <mergeCell ref="AU67:AY67"/>
    <mergeCell ref="AZ67:BC67"/>
    <mergeCell ref="BD67:BH67"/>
    <mergeCell ref="BI67:BM67"/>
    <mergeCell ref="BN67:BQ67"/>
    <mergeCell ref="AU70:AY70"/>
    <mergeCell ref="AZ70:BC70"/>
    <mergeCell ref="BD70:BH70"/>
    <mergeCell ref="BI70:BM70"/>
    <mergeCell ref="BN70:BQ70"/>
    <mergeCell ref="A71:B71"/>
    <mergeCell ref="C71:Z71"/>
    <mergeCell ref="AA71:AE71"/>
    <mergeCell ref="AF71:AJ71"/>
    <mergeCell ref="AK71:AO71"/>
    <mergeCell ref="A70:B70"/>
    <mergeCell ref="C70:Z70"/>
    <mergeCell ref="AA70:AE70"/>
    <mergeCell ref="AF70:AJ70"/>
    <mergeCell ref="AK70:AO70"/>
    <mergeCell ref="AP70:AT70"/>
    <mergeCell ref="AP69:AT69"/>
    <mergeCell ref="AU69:AY69"/>
    <mergeCell ref="AZ69:BC69"/>
    <mergeCell ref="BD69:BH69"/>
    <mergeCell ref="BI69:BM69"/>
    <mergeCell ref="BN69:BQ69"/>
    <mergeCell ref="AU72:AY72"/>
    <mergeCell ref="AZ72:BC72"/>
    <mergeCell ref="BD72:BH72"/>
    <mergeCell ref="BI72:BM72"/>
    <mergeCell ref="BN72:BQ72"/>
    <mergeCell ref="A73:B73"/>
    <mergeCell ref="C73:Z73"/>
    <mergeCell ref="AA73:AE73"/>
    <mergeCell ref="AF73:AJ73"/>
    <mergeCell ref="AK73:AO73"/>
    <mergeCell ref="A72:B72"/>
    <mergeCell ref="C72:Z72"/>
    <mergeCell ref="AA72:AE72"/>
    <mergeCell ref="AF72:AJ72"/>
    <mergeCell ref="AK72:AO72"/>
    <mergeCell ref="AP72:AT72"/>
    <mergeCell ref="AP71:AT71"/>
    <mergeCell ref="AU71:AY71"/>
    <mergeCell ref="AZ71:BC71"/>
    <mergeCell ref="BD71:BH71"/>
    <mergeCell ref="BI71:BM71"/>
    <mergeCell ref="BN71:BQ71"/>
    <mergeCell ref="AU74:AY74"/>
    <mergeCell ref="AZ74:BC74"/>
    <mergeCell ref="BD74:BH74"/>
    <mergeCell ref="BI74:BM74"/>
    <mergeCell ref="BN74:BQ74"/>
    <mergeCell ref="A75:B75"/>
    <mergeCell ref="C75:Z75"/>
    <mergeCell ref="AA75:AE75"/>
    <mergeCell ref="AF75:AJ75"/>
    <mergeCell ref="AK75:AO75"/>
    <mergeCell ref="A74:B74"/>
    <mergeCell ref="C74:Z74"/>
    <mergeCell ref="AA74:AE74"/>
    <mergeCell ref="AF74:AJ74"/>
    <mergeCell ref="AK74:AO74"/>
    <mergeCell ref="AP74:AT74"/>
    <mergeCell ref="AP73:AT73"/>
    <mergeCell ref="AU73:AY73"/>
    <mergeCell ref="AZ73:BC73"/>
    <mergeCell ref="BD73:BH73"/>
    <mergeCell ref="BI73:BM73"/>
    <mergeCell ref="BN73:BQ73"/>
    <mergeCell ref="AU76:AY76"/>
    <mergeCell ref="AZ76:BC76"/>
    <mergeCell ref="BD76:BH76"/>
    <mergeCell ref="BI76:BM76"/>
    <mergeCell ref="BN76:BQ76"/>
    <mergeCell ref="A77:B77"/>
    <mergeCell ref="C77:Z77"/>
    <mergeCell ref="AA77:AE77"/>
    <mergeCell ref="AF77:AJ77"/>
    <mergeCell ref="AK77:AO77"/>
    <mergeCell ref="A76:B76"/>
    <mergeCell ref="C76:Z76"/>
    <mergeCell ref="AA76:AE76"/>
    <mergeCell ref="AF76:AJ76"/>
    <mergeCell ref="AK76:AO76"/>
    <mergeCell ref="AP76:AT76"/>
    <mergeCell ref="AP75:AT75"/>
    <mergeCell ref="AU75:AY75"/>
    <mergeCell ref="AZ75:BC75"/>
    <mergeCell ref="BD75:BH75"/>
    <mergeCell ref="BI75:BM75"/>
    <mergeCell ref="BN75:BQ75"/>
    <mergeCell ref="AU78:AY78"/>
    <mergeCell ref="AZ78:BC78"/>
    <mergeCell ref="BD78:BH78"/>
    <mergeCell ref="BI78:BM78"/>
    <mergeCell ref="BN78:BQ78"/>
    <mergeCell ref="A79:B79"/>
    <mergeCell ref="C79:Z79"/>
    <mergeCell ref="AA79:AE79"/>
    <mergeCell ref="AF79:AJ79"/>
    <mergeCell ref="AK79:AO79"/>
    <mergeCell ref="A78:B78"/>
    <mergeCell ref="C78:Z78"/>
    <mergeCell ref="AA78:AE78"/>
    <mergeCell ref="AF78:AJ78"/>
    <mergeCell ref="AK78:AO78"/>
    <mergeCell ref="AP78:AT78"/>
    <mergeCell ref="AP77:AT77"/>
    <mergeCell ref="AU77:AY77"/>
    <mergeCell ref="AZ77:BC77"/>
    <mergeCell ref="BD77:BH77"/>
    <mergeCell ref="BI77:BM77"/>
    <mergeCell ref="BN77:BQ77"/>
    <mergeCell ref="AU80:AY80"/>
    <mergeCell ref="AZ80:BC80"/>
    <mergeCell ref="BD80:BH80"/>
    <mergeCell ref="BI80:BM80"/>
    <mergeCell ref="BN80:BQ80"/>
    <mergeCell ref="A81:B81"/>
    <mergeCell ref="C81:Z81"/>
    <mergeCell ref="AA81:AE81"/>
    <mergeCell ref="AF81:AJ81"/>
    <mergeCell ref="AK81:AO81"/>
    <mergeCell ref="A80:B80"/>
    <mergeCell ref="C80:Z80"/>
    <mergeCell ref="AA80:AE80"/>
    <mergeCell ref="AF80:AJ80"/>
    <mergeCell ref="AK80:AO80"/>
    <mergeCell ref="AP80:AT80"/>
    <mergeCell ref="AP79:AT79"/>
    <mergeCell ref="AU79:AY79"/>
    <mergeCell ref="AZ79:BC79"/>
    <mergeCell ref="BD79:BH79"/>
    <mergeCell ref="BI79:BM79"/>
    <mergeCell ref="BN79:BQ79"/>
    <mergeCell ref="AU82:AY82"/>
    <mergeCell ref="AZ82:BC82"/>
    <mergeCell ref="BD82:BH82"/>
    <mergeCell ref="BI82:BM82"/>
    <mergeCell ref="BN82:BQ82"/>
    <mergeCell ref="A83:B83"/>
    <mergeCell ref="C83:Z83"/>
    <mergeCell ref="AA83:AE83"/>
    <mergeCell ref="AF83:AJ83"/>
    <mergeCell ref="AK83:AO83"/>
    <mergeCell ref="A82:B82"/>
    <mergeCell ref="C82:Z82"/>
    <mergeCell ref="AA82:AE82"/>
    <mergeCell ref="AF82:AJ82"/>
    <mergeCell ref="AK82:AO82"/>
    <mergeCell ref="AP82:AT82"/>
    <mergeCell ref="AP81:AT81"/>
    <mergeCell ref="AU81:AY81"/>
    <mergeCell ref="AZ81:BC81"/>
    <mergeCell ref="BD81:BH81"/>
    <mergeCell ref="BI81:BM81"/>
    <mergeCell ref="BN81:BQ81"/>
    <mergeCell ref="AU84:AY84"/>
    <mergeCell ref="AZ84:BC84"/>
    <mergeCell ref="BD84:BH84"/>
    <mergeCell ref="BI84:BM84"/>
    <mergeCell ref="BN84:BQ84"/>
    <mergeCell ref="A85:B85"/>
    <mergeCell ref="C85:Z85"/>
    <mergeCell ref="AA85:AE85"/>
    <mergeCell ref="AF85:AJ85"/>
    <mergeCell ref="AK85:AO85"/>
    <mergeCell ref="A84:B84"/>
    <mergeCell ref="C84:Z84"/>
    <mergeCell ref="AA84:AE84"/>
    <mergeCell ref="AF84:AJ84"/>
    <mergeCell ref="AK84:AO84"/>
    <mergeCell ref="AP84:AT84"/>
    <mergeCell ref="AP83:AT83"/>
    <mergeCell ref="AU83:AY83"/>
    <mergeCell ref="AZ83:BC83"/>
    <mergeCell ref="BD83:BH83"/>
    <mergeCell ref="BI83:BM83"/>
    <mergeCell ref="BN83:BQ83"/>
    <mergeCell ref="AU86:AY86"/>
    <mergeCell ref="AZ86:BC86"/>
    <mergeCell ref="BD86:BH86"/>
    <mergeCell ref="BI86:BM86"/>
    <mergeCell ref="BN86:BQ86"/>
    <mergeCell ref="A87:B87"/>
    <mergeCell ref="C87:Z87"/>
    <mergeCell ref="AA87:AE87"/>
    <mergeCell ref="AF87:AJ87"/>
    <mergeCell ref="AK87:AO87"/>
    <mergeCell ref="A86:B86"/>
    <mergeCell ref="C86:Z86"/>
    <mergeCell ref="AA86:AE86"/>
    <mergeCell ref="AF86:AJ86"/>
    <mergeCell ref="AK86:AO86"/>
    <mergeCell ref="AP86:AT86"/>
    <mergeCell ref="AP85:AT85"/>
    <mergeCell ref="AU85:AY85"/>
    <mergeCell ref="AZ85:BC85"/>
    <mergeCell ref="BD85:BH85"/>
    <mergeCell ref="BI85:BM85"/>
    <mergeCell ref="BN85:BQ85"/>
    <mergeCell ref="AU88:AY88"/>
    <mergeCell ref="AZ88:BC88"/>
    <mergeCell ref="BD88:BH88"/>
    <mergeCell ref="BI88:BM88"/>
    <mergeCell ref="BN88:BQ88"/>
    <mergeCell ref="A89:B89"/>
    <mergeCell ref="C89:Z89"/>
    <mergeCell ref="AA89:AE89"/>
    <mergeCell ref="AF89:AJ89"/>
    <mergeCell ref="AK89:AO89"/>
    <mergeCell ref="A88:B88"/>
    <mergeCell ref="C88:Z88"/>
    <mergeCell ref="AA88:AE88"/>
    <mergeCell ref="AF88:AJ88"/>
    <mergeCell ref="AK88:AO88"/>
    <mergeCell ref="AP88:AT88"/>
    <mergeCell ref="AP87:AT87"/>
    <mergeCell ref="AU87:AY87"/>
    <mergeCell ref="AZ87:BC87"/>
    <mergeCell ref="BD87:BH87"/>
    <mergeCell ref="BI87:BM87"/>
    <mergeCell ref="BN87:BQ87"/>
    <mergeCell ref="AU90:AY90"/>
    <mergeCell ref="AZ90:BC90"/>
    <mergeCell ref="BD90:BH90"/>
    <mergeCell ref="BI90:BM90"/>
    <mergeCell ref="BN90:BQ90"/>
    <mergeCell ref="A91:B91"/>
    <mergeCell ref="C91:Z91"/>
    <mergeCell ref="AA91:AE91"/>
    <mergeCell ref="AF91:AJ91"/>
    <mergeCell ref="AK91:AO91"/>
    <mergeCell ref="A90:B90"/>
    <mergeCell ref="C90:Z90"/>
    <mergeCell ref="AA90:AE90"/>
    <mergeCell ref="AF90:AJ90"/>
    <mergeCell ref="AK90:AO90"/>
    <mergeCell ref="AP90:AT90"/>
    <mergeCell ref="AP89:AT89"/>
    <mergeCell ref="AU89:AY89"/>
    <mergeCell ref="AZ89:BC89"/>
    <mergeCell ref="BD89:BH89"/>
    <mergeCell ref="BI89:BM89"/>
    <mergeCell ref="BN89:BQ89"/>
    <mergeCell ref="AU92:AY92"/>
    <mergeCell ref="AZ92:BC92"/>
    <mergeCell ref="BD92:BH92"/>
    <mergeCell ref="BI92:BM92"/>
    <mergeCell ref="BN92:BQ92"/>
    <mergeCell ref="A93:B93"/>
    <mergeCell ref="C93:Z93"/>
    <mergeCell ref="AA93:AE93"/>
    <mergeCell ref="AF93:AJ93"/>
    <mergeCell ref="AK93:AO93"/>
    <mergeCell ref="A92:B92"/>
    <mergeCell ref="C92:Z92"/>
    <mergeCell ref="AA92:AE92"/>
    <mergeCell ref="AF92:AJ92"/>
    <mergeCell ref="AK92:AO92"/>
    <mergeCell ref="AP92:AT92"/>
    <mergeCell ref="AP91:AT91"/>
    <mergeCell ref="AU91:AY91"/>
    <mergeCell ref="AZ91:BC91"/>
    <mergeCell ref="BD91:BH91"/>
    <mergeCell ref="BI91:BM91"/>
    <mergeCell ref="BN91:BQ91"/>
    <mergeCell ref="AU94:AY94"/>
    <mergeCell ref="AZ94:BC94"/>
    <mergeCell ref="BD94:BH94"/>
    <mergeCell ref="BI94:BM94"/>
    <mergeCell ref="BN94:BQ94"/>
    <mergeCell ref="A95:B95"/>
    <mergeCell ref="C95:Z95"/>
    <mergeCell ref="AA95:AE95"/>
    <mergeCell ref="AF95:AJ95"/>
    <mergeCell ref="AK95:AO95"/>
    <mergeCell ref="A94:B94"/>
    <mergeCell ref="C94:Z94"/>
    <mergeCell ref="AA94:AE94"/>
    <mergeCell ref="AF94:AJ94"/>
    <mergeCell ref="AK94:AO94"/>
    <mergeCell ref="AP94:AT94"/>
    <mergeCell ref="AP93:AT93"/>
    <mergeCell ref="AU93:AY93"/>
    <mergeCell ref="AZ93:BC93"/>
    <mergeCell ref="BD93:BH93"/>
    <mergeCell ref="BI93:BM93"/>
    <mergeCell ref="BN93:BQ93"/>
    <mergeCell ref="AU96:AY96"/>
    <mergeCell ref="AZ96:BC96"/>
    <mergeCell ref="BD96:BH96"/>
    <mergeCell ref="BI96:BM96"/>
    <mergeCell ref="BN96:BQ96"/>
    <mergeCell ref="A97:B97"/>
    <mergeCell ref="C97:Z97"/>
    <mergeCell ref="AA97:AE97"/>
    <mergeCell ref="AF97:AJ97"/>
    <mergeCell ref="AK97:AO97"/>
    <mergeCell ref="A96:B96"/>
    <mergeCell ref="C96:Z96"/>
    <mergeCell ref="AA96:AE96"/>
    <mergeCell ref="AF96:AJ96"/>
    <mergeCell ref="AK96:AO96"/>
    <mergeCell ref="AP96:AT96"/>
    <mergeCell ref="AP95:AT95"/>
    <mergeCell ref="AU95:AY95"/>
    <mergeCell ref="AZ95:BC95"/>
    <mergeCell ref="BD95:BH95"/>
    <mergeCell ref="BI95:BM95"/>
    <mergeCell ref="BN95:BQ95"/>
    <mergeCell ref="A110:B110"/>
    <mergeCell ref="C110:BQ110"/>
    <mergeCell ref="A111:B111"/>
    <mergeCell ref="C111:BQ111"/>
    <mergeCell ref="A112:B112"/>
    <mergeCell ref="C112:BQ112"/>
    <mergeCell ref="A107:B107"/>
    <mergeCell ref="C107:BQ107"/>
    <mergeCell ref="A108:B108"/>
    <mergeCell ref="C108:BQ108"/>
    <mergeCell ref="A109:B109"/>
    <mergeCell ref="C109:BQ109"/>
    <mergeCell ref="A105:B105"/>
    <mergeCell ref="C105:BQ105"/>
    <mergeCell ref="AP97:AT97"/>
    <mergeCell ref="AU97:AY97"/>
    <mergeCell ref="AZ97:BC97"/>
    <mergeCell ref="BD97:BH97"/>
    <mergeCell ref="BI97:BM97"/>
    <mergeCell ref="BN97:BQ97"/>
    <mergeCell ref="A119:B119"/>
    <mergeCell ref="C119:BQ119"/>
    <mergeCell ref="A120:B120"/>
    <mergeCell ref="C120:BQ120"/>
    <mergeCell ref="A121:B121"/>
    <mergeCell ref="C121:BQ121"/>
    <mergeCell ref="A116:B116"/>
    <mergeCell ref="C116:BQ116"/>
    <mergeCell ref="A117:B117"/>
    <mergeCell ref="C117:BQ117"/>
    <mergeCell ref="A118:B118"/>
    <mergeCell ref="C118:BQ118"/>
    <mergeCell ref="A113:B113"/>
    <mergeCell ref="C113:BQ113"/>
    <mergeCell ref="A114:B114"/>
    <mergeCell ref="C114:BQ114"/>
    <mergeCell ref="A115:B115"/>
    <mergeCell ref="C115:BQ115"/>
    <mergeCell ref="A128:B128"/>
    <mergeCell ref="C128:BQ128"/>
    <mergeCell ref="A129:B129"/>
    <mergeCell ref="C129:BQ129"/>
    <mergeCell ref="A130:B130"/>
    <mergeCell ref="C130:BQ130"/>
    <mergeCell ref="A125:B125"/>
    <mergeCell ref="C125:BQ125"/>
    <mergeCell ref="A126:B126"/>
    <mergeCell ref="C126:BQ126"/>
    <mergeCell ref="A127:B127"/>
    <mergeCell ref="C127:BQ127"/>
    <mergeCell ref="A122:B122"/>
    <mergeCell ref="C122:BQ122"/>
    <mergeCell ref="A123:B123"/>
    <mergeCell ref="C123:BQ123"/>
    <mergeCell ref="A124:B124"/>
    <mergeCell ref="C124:BQ124"/>
    <mergeCell ref="A140:B140"/>
    <mergeCell ref="C140:BQ140"/>
    <mergeCell ref="A141:B141"/>
    <mergeCell ref="C141:BQ141"/>
    <mergeCell ref="A137:B137"/>
    <mergeCell ref="C137:BQ137"/>
    <mergeCell ref="A138:B138"/>
    <mergeCell ref="C138:BQ138"/>
    <mergeCell ref="A139:B139"/>
    <mergeCell ref="C139:BQ139"/>
    <mergeCell ref="A134:B134"/>
    <mergeCell ref="C134:BQ134"/>
    <mergeCell ref="A135:B135"/>
    <mergeCell ref="C135:BQ135"/>
    <mergeCell ref="A136:B136"/>
    <mergeCell ref="C136:BQ136"/>
    <mergeCell ref="A131:B131"/>
    <mergeCell ref="C131:BQ131"/>
    <mergeCell ref="A132:B132"/>
    <mergeCell ref="C132:BQ132"/>
    <mergeCell ref="A133:B133"/>
    <mergeCell ref="C133:BQ133"/>
    <mergeCell ref="AI151:AM151"/>
    <mergeCell ref="AN151:AR151"/>
    <mergeCell ref="AS151:AX151"/>
    <mergeCell ref="AY151:BC151"/>
    <mergeCell ref="BD151:BH151"/>
    <mergeCell ref="BI151:BN151"/>
    <mergeCell ref="AN150:AR150"/>
    <mergeCell ref="AS150:AX150"/>
    <mergeCell ref="AY150:BC150"/>
    <mergeCell ref="BD150:BH150"/>
    <mergeCell ref="BI150:BN150"/>
    <mergeCell ref="A151:B151"/>
    <mergeCell ref="C151:R151"/>
    <mergeCell ref="S151:W151"/>
    <mergeCell ref="X151:AB151"/>
    <mergeCell ref="AC151:AH151"/>
    <mergeCell ref="A150:B150"/>
    <mergeCell ref="C150:R150"/>
    <mergeCell ref="S150:W150"/>
    <mergeCell ref="X150:AB150"/>
    <mergeCell ref="AC150:AH150"/>
    <mergeCell ref="AI150:AM150"/>
    <mergeCell ref="BM162:BQ162"/>
    <mergeCell ref="A163:B163"/>
    <mergeCell ref="C163:I163"/>
    <mergeCell ref="J163:N163"/>
    <mergeCell ref="O163:X163"/>
    <mergeCell ref="Y163:AC163"/>
    <mergeCell ref="AD163:AH163"/>
    <mergeCell ref="AI163:AM163"/>
    <mergeCell ref="AN163:AR163"/>
    <mergeCell ref="AS163:AW163"/>
    <mergeCell ref="AI162:AM162"/>
    <mergeCell ref="AN162:AR162"/>
    <mergeCell ref="AS162:AW162"/>
    <mergeCell ref="AX162:BB162"/>
    <mergeCell ref="BC162:BG162"/>
    <mergeCell ref="BH162:BL162"/>
    <mergeCell ref="AX161:BB161"/>
    <mergeCell ref="BC161:BG161"/>
    <mergeCell ref="BH161:BL161"/>
    <mergeCell ref="BM161:BQ161"/>
    <mergeCell ref="A162:B162"/>
    <mergeCell ref="C162:I162"/>
    <mergeCell ref="J162:N162"/>
    <mergeCell ref="O162:X162"/>
    <mergeCell ref="Y162:AC162"/>
    <mergeCell ref="AD162:AH162"/>
    <mergeCell ref="A161:B161"/>
    <mergeCell ref="C161:I161"/>
    <mergeCell ref="J161:N161"/>
    <mergeCell ref="O161:X161"/>
    <mergeCell ref="Y161:AC161"/>
    <mergeCell ref="BM164:BQ164"/>
    <mergeCell ref="A165:B165"/>
    <mergeCell ref="C165:I165"/>
    <mergeCell ref="J165:N165"/>
    <mergeCell ref="O165:X165"/>
    <mergeCell ref="Y165:AC165"/>
    <mergeCell ref="AD165:AH165"/>
    <mergeCell ref="AI165:AM165"/>
    <mergeCell ref="AN165:AR165"/>
    <mergeCell ref="AS165:AW165"/>
    <mergeCell ref="AI164:AM164"/>
    <mergeCell ref="AN164:AR164"/>
    <mergeCell ref="AS164:AW164"/>
    <mergeCell ref="AX164:BB164"/>
    <mergeCell ref="BC164:BG164"/>
    <mergeCell ref="BH164:BL164"/>
    <mergeCell ref="AX163:BB163"/>
    <mergeCell ref="BC163:BG163"/>
    <mergeCell ref="BH163:BL163"/>
    <mergeCell ref="BM163:BQ163"/>
    <mergeCell ref="A164:B164"/>
    <mergeCell ref="C164:I164"/>
    <mergeCell ref="J164:N164"/>
    <mergeCell ref="O164:X164"/>
    <mergeCell ref="Y164:AC164"/>
    <mergeCell ref="AD164:AH164"/>
    <mergeCell ref="BM166:BQ166"/>
    <mergeCell ref="A167:B167"/>
    <mergeCell ref="C167:I167"/>
    <mergeCell ref="J167:N167"/>
    <mergeCell ref="O167:X167"/>
    <mergeCell ref="Y167:AC167"/>
    <mergeCell ref="AD167:AH167"/>
    <mergeCell ref="AI167:AM167"/>
    <mergeCell ref="AN167:AR167"/>
    <mergeCell ref="AS167:AW167"/>
    <mergeCell ref="AI166:AM166"/>
    <mergeCell ref="AN166:AR166"/>
    <mergeCell ref="AS166:AW166"/>
    <mergeCell ref="AX166:BB166"/>
    <mergeCell ref="BC166:BG166"/>
    <mergeCell ref="BH166:BL166"/>
    <mergeCell ref="AX165:BB165"/>
    <mergeCell ref="BC165:BG165"/>
    <mergeCell ref="BH165:BL165"/>
    <mergeCell ref="BM165:BQ165"/>
    <mergeCell ref="A166:B166"/>
    <mergeCell ref="C166:I166"/>
    <mergeCell ref="J166:N166"/>
    <mergeCell ref="O166:X166"/>
    <mergeCell ref="Y166:AC166"/>
    <mergeCell ref="AD166:AH166"/>
    <mergeCell ref="BM168:BQ168"/>
    <mergeCell ref="A169:B169"/>
    <mergeCell ref="C169:I169"/>
    <mergeCell ref="J169:N169"/>
    <mergeCell ref="O169:X169"/>
    <mergeCell ref="Y169:AC169"/>
    <mergeCell ref="AD169:AH169"/>
    <mergeCell ref="AI169:AM169"/>
    <mergeCell ref="AN169:AR169"/>
    <mergeCell ref="AS169:AW169"/>
    <mergeCell ref="AI168:AM168"/>
    <mergeCell ref="AN168:AR168"/>
    <mergeCell ref="AS168:AW168"/>
    <mergeCell ref="AX168:BB168"/>
    <mergeCell ref="BC168:BG168"/>
    <mergeCell ref="BH168:BL168"/>
    <mergeCell ref="AX167:BB167"/>
    <mergeCell ref="BC167:BG167"/>
    <mergeCell ref="BH167:BL167"/>
    <mergeCell ref="BM167:BQ167"/>
    <mergeCell ref="A168:B168"/>
    <mergeCell ref="C168:I168"/>
    <mergeCell ref="J168:N168"/>
    <mergeCell ref="O168:X168"/>
    <mergeCell ref="Y168:AC168"/>
    <mergeCell ref="AD168:AH168"/>
    <mergeCell ref="A178:B178"/>
    <mergeCell ref="C178:I178"/>
    <mergeCell ref="J178:N178"/>
    <mergeCell ref="O178:BQ178"/>
    <mergeCell ref="BM170:BQ170"/>
    <mergeCell ref="AI170:AM170"/>
    <mergeCell ref="AN170:AR170"/>
    <mergeCell ref="AS170:AW170"/>
    <mergeCell ref="AX170:BB170"/>
    <mergeCell ref="BC170:BG170"/>
    <mergeCell ref="BH170:BL170"/>
    <mergeCell ref="AX169:BB169"/>
    <mergeCell ref="BC169:BG169"/>
    <mergeCell ref="BH169:BL169"/>
    <mergeCell ref="BM169:BQ169"/>
    <mergeCell ref="A170:B170"/>
    <mergeCell ref="C170:I170"/>
    <mergeCell ref="J170:N170"/>
    <mergeCell ref="O170:X170"/>
    <mergeCell ref="Y170:AC170"/>
    <mergeCell ref="AD170:AH170"/>
    <mergeCell ref="A182:B182"/>
    <mergeCell ref="C182:I182"/>
    <mergeCell ref="J182:N182"/>
    <mergeCell ref="O182:BQ182"/>
    <mergeCell ref="A183:B183"/>
    <mergeCell ref="C183:I183"/>
    <mergeCell ref="J183:N183"/>
    <mergeCell ref="O183:BQ183"/>
    <mergeCell ref="A181:B181"/>
    <mergeCell ref="C181:I181"/>
    <mergeCell ref="J181:N181"/>
    <mergeCell ref="O181:BQ181"/>
    <mergeCell ref="C179:I179"/>
    <mergeCell ref="J179:N179"/>
    <mergeCell ref="O179:BQ179"/>
    <mergeCell ref="A180:B180"/>
    <mergeCell ref="C180:I180"/>
    <mergeCell ref="J180:N180"/>
    <mergeCell ref="O180:BQ180"/>
    <mergeCell ref="A187:B187"/>
    <mergeCell ref="C187:I187"/>
    <mergeCell ref="J187:N187"/>
    <mergeCell ref="O187:BQ187"/>
    <mergeCell ref="A185:B185"/>
    <mergeCell ref="C185:I185"/>
    <mergeCell ref="J185:N185"/>
    <mergeCell ref="O185:BQ185"/>
    <mergeCell ref="A186:B186"/>
    <mergeCell ref="C186:I186"/>
    <mergeCell ref="J186:N186"/>
    <mergeCell ref="O186:BQ186"/>
    <mergeCell ref="A184:B184"/>
    <mergeCell ref="C184:I184"/>
    <mergeCell ref="J184:N184"/>
    <mergeCell ref="O184:BQ184"/>
  </mergeCells>
  <phoneticPr fontId="0" type="noConversion"/>
  <conditionalFormatting sqref="C173 C191 C160 C177">
    <cfRule type="cellIs" dxfId="51" priority="54" stopIfTrue="1" operator="equal">
      <formula>$C159</formula>
    </cfRule>
  </conditionalFormatting>
  <conditionalFormatting sqref="A160:B160 A173:B173 A177:B177 A191:B191 A149:B149 A171:B171 A188:B188">
    <cfRule type="cellIs" dxfId="50" priority="55" stopIfTrue="1" operator="equal">
      <formula>0</formula>
    </cfRule>
  </conditionalFormatting>
  <conditionalFormatting sqref="A150:B150">
    <cfRule type="cellIs" dxfId="49" priority="53" stopIfTrue="1" operator="equal">
      <formula>0</formula>
    </cfRule>
  </conditionalFormatting>
  <conditionalFormatting sqref="A151:B151">
    <cfRule type="cellIs" dxfId="48" priority="52" stopIfTrue="1" operator="equal">
      <formula>0</formula>
    </cfRule>
  </conditionalFormatting>
  <conditionalFormatting sqref="C171">
    <cfRule type="cellIs" dxfId="47" priority="57" stopIfTrue="1" operator="equal">
      <formula>$C160</formula>
    </cfRule>
  </conditionalFormatting>
  <conditionalFormatting sqref="C161">
    <cfRule type="cellIs" dxfId="46" priority="49" stopIfTrue="1" operator="equal">
      <formula>$C160</formula>
    </cfRule>
  </conditionalFormatting>
  <conditionalFormatting sqref="A161:B161">
    <cfRule type="cellIs" dxfId="45" priority="50" stopIfTrue="1" operator="equal">
      <formula>0</formula>
    </cfRule>
  </conditionalFormatting>
  <conditionalFormatting sqref="C162">
    <cfRule type="cellIs" dxfId="44" priority="47" stopIfTrue="1" operator="equal">
      <formula>$C161</formula>
    </cfRule>
  </conditionalFormatting>
  <conditionalFormatting sqref="A162:B162">
    <cfRule type="cellIs" dxfId="43" priority="48" stopIfTrue="1" operator="equal">
      <formula>0</formula>
    </cfRule>
  </conditionalFormatting>
  <conditionalFormatting sqref="C163">
    <cfRule type="cellIs" dxfId="42" priority="45" stopIfTrue="1" operator="equal">
      <formula>$C162</formula>
    </cfRule>
  </conditionalFormatting>
  <conditionalFormatting sqref="A163:B163">
    <cfRule type="cellIs" dxfId="41" priority="46" stopIfTrue="1" operator="equal">
      <formula>0</formula>
    </cfRule>
  </conditionalFormatting>
  <conditionalFormatting sqref="C164">
    <cfRule type="cellIs" dxfId="40" priority="43" stopIfTrue="1" operator="equal">
      <formula>$C163</formula>
    </cfRule>
  </conditionalFormatting>
  <conditionalFormatting sqref="A164:B164">
    <cfRule type="cellIs" dxfId="39" priority="44" stopIfTrue="1" operator="equal">
      <formula>0</formula>
    </cfRule>
  </conditionalFormatting>
  <conditionalFormatting sqref="C165">
    <cfRule type="cellIs" dxfId="38" priority="41" stopIfTrue="1" operator="equal">
      <formula>$C164</formula>
    </cfRule>
  </conditionalFormatting>
  <conditionalFormatting sqref="A165:B165">
    <cfRule type="cellIs" dxfId="37" priority="42" stopIfTrue="1" operator="equal">
      <formula>0</formula>
    </cfRule>
  </conditionalFormatting>
  <conditionalFormatting sqref="C166">
    <cfRule type="cellIs" dxfId="36" priority="39" stopIfTrue="1" operator="equal">
      <formula>$C165</formula>
    </cfRule>
  </conditionalFormatting>
  <conditionalFormatting sqref="A166:B166">
    <cfRule type="cellIs" dxfId="35" priority="40" stopIfTrue="1" operator="equal">
      <formula>0</formula>
    </cfRule>
  </conditionalFormatting>
  <conditionalFormatting sqref="C167">
    <cfRule type="cellIs" dxfId="34" priority="37" stopIfTrue="1" operator="equal">
      <formula>$C166</formula>
    </cfRule>
  </conditionalFormatting>
  <conditionalFormatting sqref="A167:B167">
    <cfRule type="cellIs" dxfId="33" priority="38" stopIfTrue="1" operator="equal">
      <formula>0</formula>
    </cfRule>
  </conditionalFormatting>
  <conditionalFormatting sqref="C168">
    <cfRule type="cellIs" dxfId="32" priority="35" stopIfTrue="1" operator="equal">
      <formula>$C167</formula>
    </cfRule>
  </conditionalFormatting>
  <conditionalFormatting sqref="A168:B168">
    <cfRule type="cellIs" dxfId="31" priority="36" stopIfTrue="1" operator="equal">
      <formula>0</formula>
    </cfRule>
  </conditionalFormatting>
  <conditionalFormatting sqref="C169">
    <cfRule type="cellIs" dxfId="30" priority="33" stopIfTrue="1" operator="equal">
      <formula>$C168</formula>
    </cfRule>
  </conditionalFormatting>
  <conditionalFormatting sqref="A169:B169">
    <cfRule type="cellIs" dxfId="29" priority="34" stopIfTrue="1" operator="equal">
      <formula>0</formula>
    </cfRule>
  </conditionalFormatting>
  <conditionalFormatting sqref="C170">
    <cfRule type="cellIs" dxfId="28" priority="31" stopIfTrue="1" operator="equal">
      <formula>$C169</formula>
    </cfRule>
  </conditionalFormatting>
  <conditionalFormatting sqref="A170:B170">
    <cfRule type="cellIs" dxfId="27" priority="32" stopIfTrue="1" operator="equal">
      <formula>0</formula>
    </cfRule>
  </conditionalFormatting>
  <conditionalFormatting sqref="C188">
    <cfRule type="cellIs" dxfId="26" priority="59" stopIfTrue="1" operator="equal">
      <formula>$C177</formula>
    </cfRule>
  </conditionalFormatting>
  <conditionalFormatting sqref="C178">
    <cfRule type="cellIs" dxfId="25" priority="27" stopIfTrue="1" operator="equal">
      <formula>$C177</formula>
    </cfRule>
  </conditionalFormatting>
  <conditionalFormatting sqref="A178:B178">
    <cfRule type="cellIs" dxfId="24" priority="28" stopIfTrue="1" operator="equal">
      <formula>0</formula>
    </cfRule>
  </conditionalFormatting>
  <conditionalFormatting sqref="C179">
    <cfRule type="cellIs" dxfId="23" priority="25" stopIfTrue="1" operator="equal">
      <formula>$C178</formula>
    </cfRule>
  </conditionalFormatting>
  <conditionalFormatting sqref="A179:B179">
    <cfRule type="cellIs" dxfId="22" priority="26" stopIfTrue="1" operator="equal">
      <formula>0</formula>
    </cfRule>
  </conditionalFormatting>
  <conditionalFormatting sqref="C180">
    <cfRule type="cellIs" dxfId="21" priority="23" stopIfTrue="1" operator="equal">
      <formula>$C179</formula>
    </cfRule>
  </conditionalFormatting>
  <conditionalFormatting sqref="A180:B180">
    <cfRule type="cellIs" dxfId="20" priority="24" stopIfTrue="1" operator="equal">
      <formula>0</formula>
    </cfRule>
  </conditionalFormatting>
  <conditionalFormatting sqref="C181">
    <cfRule type="cellIs" dxfId="17" priority="19" stopIfTrue="1" operator="equal">
      <formula>#REF!</formula>
    </cfRule>
  </conditionalFormatting>
  <conditionalFormatting sqref="A181:B181">
    <cfRule type="cellIs" dxfId="16" priority="20" stopIfTrue="1" operator="equal">
      <formula>0</formula>
    </cfRule>
  </conditionalFormatting>
  <conditionalFormatting sqref="C182">
    <cfRule type="cellIs" dxfId="15" priority="17" stopIfTrue="1" operator="equal">
      <formula>$C181</formula>
    </cfRule>
  </conditionalFormatting>
  <conditionalFormatting sqref="A182:B182">
    <cfRule type="cellIs" dxfId="14" priority="18" stopIfTrue="1" operator="equal">
      <formula>0</formula>
    </cfRule>
  </conditionalFormatting>
  <conditionalFormatting sqref="C183">
    <cfRule type="cellIs" dxfId="13" priority="15" stopIfTrue="1" operator="equal">
      <formula>$C182</formula>
    </cfRule>
  </conditionalFormatting>
  <conditionalFormatting sqref="A183:B183">
    <cfRule type="cellIs" dxfId="12" priority="16" stopIfTrue="1" operator="equal">
      <formula>0</formula>
    </cfRule>
  </conditionalFormatting>
  <conditionalFormatting sqref="C184">
    <cfRule type="cellIs" dxfId="9" priority="11" stopIfTrue="1" operator="equal">
      <formula>#REF!</formula>
    </cfRule>
  </conditionalFormatting>
  <conditionalFormatting sqref="A184:B184">
    <cfRule type="cellIs" dxfId="8" priority="12" stopIfTrue="1" operator="equal">
      <formula>0</formula>
    </cfRule>
  </conditionalFormatting>
  <conditionalFormatting sqref="C185">
    <cfRule type="cellIs" dxfId="7" priority="9" stopIfTrue="1" operator="equal">
      <formula>$C184</formula>
    </cfRule>
  </conditionalFormatting>
  <conditionalFormatting sqref="A185:B185">
    <cfRule type="cellIs" dxfId="6" priority="10" stopIfTrue="1" operator="equal">
      <formula>0</formula>
    </cfRule>
  </conditionalFormatting>
  <conditionalFormatting sqref="C186">
    <cfRule type="cellIs" dxfId="5" priority="7" stopIfTrue="1" operator="equal">
      <formula>$C185</formula>
    </cfRule>
  </conditionalFormatting>
  <conditionalFormatting sqref="A186:B186">
    <cfRule type="cellIs" dxfId="4" priority="8" stopIfTrue="1" operator="equal">
      <formula>0</formula>
    </cfRule>
  </conditionalFormatting>
  <conditionalFormatting sqref="C187">
    <cfRule type="cellIs" dxfId="3" priority="5" stopIfTrue="1" operator="equal">
      <formula>$C186</formula>
    </cfRule>
  </conditionalFormatting>
  <conditionalFormatting sqref="A187:B187">
    <cfRule type="cellIs" dxfId="2"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КПК0110150</vt:lpstr>
      <vt:lpstr>КПК0110150!Область_печати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2025-06-27T08:06:33Z</cp:lastPrinted>
  <dcterms:created xsi:type="dcterms:W3CDTF">2016-08-10T10:53:25Z</dcterms:created>
  <dcterms:modified xsi:type="dcterms:W3CDTF">2025-06-27T08:06:36Z</dcterms:modified>
</cp:coreProperties>
</file>