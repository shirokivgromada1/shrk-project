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A7BA5ADB-4B21-4ABF-96D8-97E8D41D47E1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3160" sheetId="6" r:id="rId1"/>
  </sheets>
  <definedNames>
    <definedName name="_xlnm.Print_Area" localSheetId="0">'Додаток2 КПК0113160'!$A$1:$BY$223</definedName>
  </definedNames>
  <calcPr calcId="191029"/>
</workbook>
</file>

<file path=xl/calcChain.xml><?xml version="1.0" encoding="utf-8"?>
<calcChain xmlns="http://schemas.openxmlformats.org/spreadsheetml/2006/main">
  <c r="BH203" i="6" l="1"/>
  <c r="AT203" i="6"/>
  <c r="AJ203" i="6"/>
  <c r="BH202" i="6"/>
  <c r="AT202" i="6"/>
  <c r="AJ202" i="6"/>
  <c r="BG193" i="6"/>
  <c r="AQ193" i="6"/>
  <c r="BG192" i="6"/>
  <c r="AQ192" i="6"/>
  <c r="AZ172" i="6"/>
  <c r="AK172" i="6"/>
  <c r="AZ171" i="6"/>
  <c r="AK171" i="6"/>
  <c r="BO163" i="6"/>
  <c r="AZ163" i="6"/>
  <c r="AK163" i="6"/>
  <c r="BO162" i="6"/>
  <c r="AZ162" i="6"/>
  <c r="AK162" i="6"/>
  <c r="BD94" i="6"/>
  <c r="AJ94" i="6"/>
  <c r="BD93" i="6"/>
  <c r="AJ93" i="6"/>
  <c r="BU85" i="6"/>
  <c r="BB85" i="6"/>
  <c r="AI85" i="6"/>
  <c r="BU84" i="6"/>
  <c r="BB84" i="6"/>
  <c r="AI84" i="6"/>
  <c r="BG75" i="6"/>
  <c r="AM75" i="6"/>
  <c r="BG67" i="6"/>
  <c r="AM67" i="6"/>
  <c r="BG66" i="6"/>
  <c r="AM66" i="6"/>
  <c r="BU58" i="6"/>
  <c r="BB58" i="6"/>
  <c r="AI58" i="6"/>
  <c r="BU50" i="6"/>
  <c r="BB50" i="6"/>
  <c r="AI50" i="6"/>
  <c r="BU49" i="6"/>
  <c r="BB49" i="6"/>
  <c r="AI49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<sst xmlns="http://schemas.openxmlformats.org/spreadsheetml/2006/main" count="713" uniqueCount="254">
  <si>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</si>
  <si>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</si>
  <si>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</si>
  <si>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</si>
  <si>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</si>
  <si>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</si>
  <si>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</si>
  <si>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</si>
  <si>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</si>
  <si>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</si>
  <si>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</si>
  <si>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</si>
  <si>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</si>
  <si>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</si>
  <si>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</si>
  <si>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</si>
  <si>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</si>
  <si>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</si>
  <si>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</si>
  <si>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</si>
  <si>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</si>
  <si>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</si>
  <si>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</si>
  <si>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</si>
  <si>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</si>
  <si>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</si>
  <si>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</si>
  <si>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</si>
  <si>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</si>
  <si>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</si>
  <si>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</si>
  <si>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</si>
  <si>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</si>
  <si>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</si>
  <si>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</si>
  <si>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</si>
  <si>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</si>
  <si>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</si>
  <si>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</si>
  <si>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</si>
  <si>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</si>
  <si>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</si>
  <si>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</si>
  <si>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</si>
  <si>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</si>
  <si>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</si>
  <si>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</si>
  <si>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</si>
  <si>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</si>
  <si>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</si>
  <si>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</si>
  <si>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</si>
  <si>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</si>
  <si>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</si>
  <si>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</si>
  <si>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</si>
  <si>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</si>
  <si>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</si>
  <si>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</si>
  <si>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</si>
  <si>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</si>
  <si>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</si>
  <si>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</si>
  <si>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</si>
  <si>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</si>
  <si>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</si>
  <si>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</si>
  <si>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</si>
  <si>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</si>
  <si>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</si>
  <si>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</si>
  <si>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</si>
  <si>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</si>
  <si>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</si>
  <si>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</si>
  <si>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</si>
  <si>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</si>
  <si>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</si>
  <si>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</si>
  <si>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</si>
  <si>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</si>
  <si>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</si>
  <si>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</si>
  <si>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</si>
  <si>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</si>
  <si>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</si>
  <si>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</si>
  <si>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</si>
  <si>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</si>
  <si>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</si>
  <si>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</si>
  <si>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</si>
  <si>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</si>
  <si>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</si>
  <si>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</si>
  <si>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</si>
  <si>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</si>
  <si>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</si>
  <si>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</si>
  <si>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</si>
  <si>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</si>
  <si>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</si>
  <si>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</si>
  <si>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</si>
  <si>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</si>
  <si>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</si>
  <si>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</si>
  <si>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</si>
  <si>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</si>
  <si>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</si>
  <si>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</si>
  <si>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</si>
  <si>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</si>
  <si>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</si>
  <si>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</si>
  <si>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</si>
  <si>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</si>
  <si>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</si>
  <si>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</si>
  <si>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</si>
  <si>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</si>
  <si>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</si>
  <si>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</si>
  <si>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</si>
  <si>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</si>
  <si>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</si>
  <si>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</si>
  <si>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</si>
  <si>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</si>
  <si>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</si>
  <si>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</si>
  <si>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</si>
  <si>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</si>
  <si>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</si>
  <si>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</si>
  <si>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</si>
  <si>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</si>
  <si>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</si>
  <si>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</si>
  <si>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</si>
  <si>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</si>
  <si>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</si>
  <si>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</si>
  <si>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</si>
  <si>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</si>
  <si>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</si>
  <si>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</si>
  <si>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</si>
  <si>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</si>
  <si>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</si>
  <si>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</si>
  <si>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</si>
  <si>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</si>
  <si>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</si>
  <si>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</si>
  <si>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</si>
  <si>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</si>
  <si>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</si>
  <si>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</si>
  <si>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</si>
  <si>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</si>
  <si>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</si>
  <si>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</si>
  <si>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</si>
  <si>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</si>
  <si>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</si>
  <si>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</si>
  <si>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</si>
  <si>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</si>
  <si>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</si>
  <si>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</si>
  <si>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</si>
  <si>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</si>
  <si>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</si>
  <si>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виплати населенню</t>
  </si>
  <si>
    <t>Виплата компенсацій фізичним особам за надання соціальних послуг</t>
  </si>
  <si>
    <t>затрат</t>
  </si>
  <si>
    <t xml:space="preserve">formula=RC[-16]+RC[-8]                          </t>
  </si>
  <si>
    <t>Обсяг видатків на виплату компенсацій фізичним особам за надання соціальних послуг</t>
  </si>
  <si>
    <t>грн.</t>
  </si>
  <si>
    <t>рішення сесії</t>
  </si>
  <si>
    <t>продукту</t>
  </si>
  <si>
    <t>Кількість осіб, яким буде виплачуватись компенсація</t>
  </si>
  <si>
    <t>осіб</t>
  </si>
  <si>
    <t>чоловіки</t>
  </si>
  <si>
    <t>звітність</t>
  </si>
  <si>
    <t>жінки</t>
  </si>
  <si>
    <t>ефективності</t>
  </si>
  <si>
    <t>середній розмір виплат компенсації на 1 особу на рік</t>
  </si>
  <si>
    <t>розрахунковий показник</t>
  </si>
  <si>
    <t>якості</t>
  </si>
  <si>
    <t>Відсоток забезепеченості виплат компенсацій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</si>
  <si>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</si>
  <si>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</si>
  <si>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</si>
  <si>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</si>
  <si>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соціального захисту населення Широківської сільської територіальної громади "Назустріч людям" на 2023-2025 роки</t>
  </si>
  <si>
    <t>рішення сесії від 15.12.2022 року №4</t>
  </si>
  <si>
    <t>Організація надання соціальних послуг на непрофесійній основі з догляду за особами з інвалідністю І групи, дітьми з інвалідністю, громадянами похилого віку з когнітивними порушеннями, невиліковно хворими, які через порушення функцій організму не можуть самостійно пересуватися та самообслуговуватися, дітьми, яким не встановлено інвалідність, але які є хворими на тяжкі захворювання</t>
  </si>
  <si>
    <t>Своєчасна виплата компенсації фізичним особам, які надають соціальні послуги з догляду на непрофесійній основі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</si>
  <si>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Постанова Кабінету Міністрів України від 23.09.2020 №859 "Деякі питання призначення і виплати компенсації фізичним особам, які надають соціальні послуги з догляду на непрофесійній основі"</t>
  </si>
  <si>
    <t>У бюджеті на  2024 році на виконання постанови Кабінету Міністрів України від 23.09.2020 №859 "Деякі питання призначення і виплати компенсації фізичним особам, які надають соціальні послуги з догляду на непрофесійній основі" передбачені кошти для виплати 27 особам компенсації за догляд, що призначається фізичній особі, яка надає соціальні послуги з догляду без провадження підприємницької діяльності на непрофесійній основі, без проходження навчання та дотримання державних стандартів соціальних послуг у сумі 741 292 грн._x000D_
_x000D_
У бюджеті на 2025 рік плануються кошти в обсязі 943 002 грн. для виплати 34 особам компенсації за догляд, що призначається фізичній особі, яка надає соціальні послуги з догляду без провадження підприємницької діяльності на непрофесійній основі, без проходження навчання та дотримання державних стандартів соціальних послуг.</t>
  </si>
  <si>
    <t>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</si>
  <si>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</si>
  <si>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</si>
  <si>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</si>
  <si>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</si>
  <si>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</si>
  <si>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</si>
  <si>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</si>
  <si>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</si>
  <si>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</si>
  <si>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</si>
  <si>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</si>
  <si>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</si>
  <si>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</si>
  <si>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</si>
  <si>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</si>
  <si>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</si>
  <si>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</si>
  <si>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</si>
  <si>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</si>
  <si>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</si>
  <si>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</si>
  <si>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</si>
  <si>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</si>
  <si>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</si>
  <si>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</si>
  <si>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</si>
  <si>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</si>
  <si>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</si>
  <si>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</si>
  <si>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</si>
  <si>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</si>
  <si>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</si>
  <si>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</si>
  <si>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</si>
  <si>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</si>
  <si>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</si>
  <si>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</si>
  <si>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</si>
  <si>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</si>
  <si>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</si>
  <si>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</si>
  <si>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(0)(1)(1)(3)(1)(6)(0)</t>
  </si>
  <si>
    <t>(3)(1)(6)(0)</t>
  </si>
  <si>
    <t>(1)(0)(1)(0)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</si>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</sst>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5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24"/>
  <sheetViews>
    <sheetView tabSelected="1" topLeftCell="A198" zoomScaleNormal="100" workbookViewId="0">
      <selection activeCell="A41" sqref="A41:XFD41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231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204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7"/>
      <c r="AH4" s="113" t="s">
        <v>203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205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248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7"/>
      <c r="AH7" s="113" t="s">
        <v>249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205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57" customHeight="1" x14ac:dyDescent="0.2">
      <c r="A10" s="10" t="s">
        <v>163</v>
      </c>
      <c r="B10" s="113" t="s">
        <v>244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245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246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247</v>
      </c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16"/>
      <c r="BL10" s="115" t="s">
        <v>206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56" t="s">
        <v>232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</row>
    <row r="14" spans="1:79" ht="14.25" customHeight="1" x14ac:dyDescent="0.2">
      <c r="A14" s="56" t="s">
        <v>148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</row>
    <row r="15" spans="1:79" ht="30" customHeight="1" x14ac:dyDescent="0.2">
      <c r="A15" s="57" t="s">
        <v>198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15" customHeight="1" x14ac:dyDescent="0.2">
      <c r="A18" s="57" t="s">
        <v>199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56" t="s">
        <v>150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</row>
    <row r="21" spans="1:79" ht="120" customHeight="1" x14ac:dyDescent="0.2">
      <c r="A21" s="57" t="s">
        <v>200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56" t="s">
        <v>151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</row>
    <row r="24" spans="1:79" ht="14.25" customHeight="1" x14ac:dyDescent="0.2">
      <c r="A24" s="56" t="s">
        <v>218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</row>
    <row r="25" spans="1:79" ht="15" customHeight="1" x14ac:dyDescent="0.2">
      <c r="A25" s="62" t="s">
        <v>207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</row>
    <row r="26" spans="1:79" ht="23.1" customHeight="1" x14ac:dyDescent="0.2">
      <c r="A26" s="73" t="s">
        <v>2</v>
      </c>
      <c r="B26" s="74"/>
      <c r="C26" s="74"/>
      <c r="D26" s="75"/>
      <c r="E26" s="73" t="s">
        <v>19</v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36" t="s">
        <v>208</v>
      </c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 t="s">
        <v>211</v>
      </c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 t="s">
        <v>219</v>
      </c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</row>
    <row r="27" spans="1:79" ht="54.75" customHeight="1" x14ac:dyDescent="0.2">
      <c r="A27" s="76"/>
      <c r="B27" s="77"/>
      <c r="C27" s="77"/>
      <c r="D27" s="78"/>
      <c r="E27" s="76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69" t="s">
        <v>4</v>
      </c>
      <c r="V27" s="70"/>
      <c r="W27" s="70"/>
      <c r="X27" s="70"/>
      <c r="Y27" s="71"/>
      <c r="Z27" s="69" t="s">
        <v>3</v>
      </c>
      <c r="AA27" s="70"/>
      <c r="AB27" s="70"/>
      <c r="AC27" s="70"/>
      <c r="AD27" s="71"/>
      <c r="AE27" s="96" t="s">
        <v>116</v>
      </c>
      <c r="AF27" s="97"/>
      <c r="AG27" s="97"/>
      <c r="AH27" s="98"/>
      <c r="AI27" s="69" t="s">
        <v>5</v>
      </c>
      <c r="AJ27" s="70"/>
      <c r="AK27" s="70"/>
      <c r="AL27" s="70"/>
      <c r="AM27" s="71"/>
      <c r="AN27" s="69" t="s">
        <v>4</v>
      </c>
      <c r="AO27" s="70"/>
      <c r="AP27" s="70"/>
      <c r="AQ27" s="70"/>
      <c r="AR27" s="71"/>
      <c r="AS27" s="69" t="s">
        <v>3</v>
      </c>
      <c r="AT27" s="70"/>
      <c r="AU27" s="70"/>
      <c r="AV27" s="70"/>
      <c r="AW27" s="71"/>
      <c r="AX27" s="96" t="s">
        <v>116</v>
      </c>
      <c r="AY27" s="97"/>
      <c r="AZ27" s="97"/>
      <c r="BA27" s="98"/>
      <c r="BB27" s="69" t="s">
        <v>96</v>
      </c>
      <c r="BC27" s="70"/>
      <c r="BD27" s="70"/>
      <c r="BE27" s="70"/>
      <c r="BF27" s="71"/>
      <c r="BG27" s="69" t="s">
        <v>4</v>
      </c>
      <c r="BH27" s="70"/>
      <c r="BI27" s="70"/>
      <c r="BJ27" s="70"/>
      <c r="BK27" s="71"/>
      <c r="BL27" s="69" t="s">
        <v>3</v>
      </c>
      <c r="BM27" s="70"/>
      <c r="BN27" s="70"/>
      <c r="BO27" s="70"/>
      <c r="BP27" s="71"/>
      <c r="BQ27" s="96" t="s">
        <v>116</v>
      </c>
      <c r="BR27" s="97"/>
      <c r="BS27" s="97"/>
      <c r="BT27" s="98"/>
      <c r="BU27" s="69" t="s">
        <v>97</v>
      </c>
      <c r="BV27" s="70"/>
      <c r="BW27" s="70"/>
      <c r="BX27" s="70"/>
      <c r="BY27" s="71"/>
    </row>
    <row r="28" spans="1:79" ht="15" customHeight="1" x14ac:dyDescent="0.2">
      <c r="A28" s="69">
        <v>1</v>
      </c>
      <c r="B28" s="70"/>
      <c r="C28" s="70"/>
      <c r="D28" s="71"/>
      <c r="E28" s="69">
        <v>2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69">
        <v>3</v>
      </c>
      <c r="V28" s="70"/>
      <c r="W28" s="70"/>
      <c r="X28" s="70"/>
      <c r="Y28" s="71"/>
      <c r="Z28" s="69">
        <v>4</v>
      </c>
      <c r="AA28" s="70"/>
      <c r="AB28" s="70"/>
      <c r="AC28" s="70"/>
      <c r="AD28" s="71"/>
      <c r="AE28" s="69">
        <v>5</v>
      </c>
      <c r="AF28" s="70"/>
      <c r="AG28" s="70"/>
      <c r="AH28" s="71"/>
      <c r="AI28" s="69">
        <v>6</v>
      </c>
      <c r="AJ28" s="70"/>
      <c r="AK28" s="70"/>
      <c r="AL28" s="70"/>
      <c r="AM28" s="71"/>
      <c r="AN28" s="69">
        <v>7</v>
      </c>
      <c r="AO28" s="70"/>
      <c r="AP28" s="70"/>
      <c r="AQ28" s="70"/>
      <c r="AR28" s="71"/>
      <c r="AS28" s="69">
        <v>8</v>
      </c>
      <c r="AT28" s="70"/>
      <c r="AU28" s="70"/>
      <c r="AV28" s="70"/>
      <c r="AW28" s="71"/>
      <c r="AX28" s="69">
        <v>9</v>
      </c>
      <c r="AY28" s="70"/>
      <c r="AZ28" s="70"/>
      <c r="BA28" s="71"/>
      <c r="BB28" s="69">
        <v>10</v>
      </c>
      <c r="BC28" s="70"/>
      <c r="BD28" s="70"/>
      <c r="BE28" s="70"/>
      <c r="BF28" s="71"/>
      <c r="BG28" s="69">
        <v>11</v>
      </c>
      <c r="BH28" s="70"/>
      <c r="BI28" s="70"/>
      <c r="BJ28" s="70"/>
      <c r="BK28" s="71"/>
      <c r="BL28" s="69">
        <v>12</v>
      </c>
      <c r="BM28" s="70"/>
      <c r="BN28" s="70"/>
      <c r="BO28" s="70"/>
      <c r="BP28" s="71"/>
      <c r="BQ28" s="69">
        <v>13</v>
      </c>
      <c r="BR28" s="70"/>
      <c r="BS28" s="70"/>
      <c r="BT28" s="71"/>
      <c r="BU28" s="69">
        <v>14</v>
      </c>
      <c r="BV28" s="70"/>
      <c r="BW28" s="70"/>
      <c r="BX28" s="70"/>
      <c r="BY28" s="71"/>
    </row>
    <row r="29" spans="1:79" ht="13.5" hidden="1" customHeight="1" x14ac:dyDescent="0.2">
      <c r="A29" s="83" t="s">
        <v>56</v>
      </c>
      <c r="B29" s="84"/>
      <c r="C29" s="84"/>
      <c r="D29" s="85"/>
      <c r="E29" s="83" t="s">
        <v>57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3" t="s">
        <v>65</v>
      </c>
      <c r="V29" s="84"/>
      <c r="W29" s="84"/>
      <c r="X29" s="84"/>
      <c r="Y29" s="85"/>
      <c r="Z29" s="83" t="s">
        <v>66</v>
      </c>
      <c r="AA29" s="84"/>
      <c r="AB29" s="84"/>
      <c r="AC29" s="84"/>
      <c r="AD29" s="85"/>
      <c r="AE29" s="83" t="s">
        <v>91</v>
      </c>
      <c r="AF29" s="84"/>
      <c r="AG29" s="84"/>
      <c r="AH29" s="85"/>
      <c r="AI29" s="93" t="s">
        <v>169</v>
      </c>
      <c r="AJ29" s="94"/>
      <c r="AK29" s="94"/>
      <c r="AL29" s="94"/>
      <c r="AM29" s="95"/>
      <c r="AN29" s="83" t="s">
        <v>67</v>
      </c>
      <c r="AO29" s="84"/>
      <c r="AP29" s="84"/>
      <c r="AQ29" s="84"/>
      <c r="AR29" s="85"/>
      <c r="AS29" s="83" t="s">
        <v>68</v>
      </c>
      <c r="AT29" s="84"/>
      <c r="AU29" s="84"/>
      <c r="AV29" s="84"/>
      <c r="AW29" s="85"/>
      <c r="AX29" s="83" t="s">
        <v>92</v>
      </c>
      <c r="AY29" s="84"/>
      <c r="AZ29" s="84"/>
      <c r="BA29" s="85"/>
      <c r="BB29" s="93" t="s">
        <v>169</v>
      </c>
      <c r="BC29" s="94"/>
      <c r="BD29" s="94"/>
      <c r="BE29" s="94"/>
      <c r="BF29" s="95"/>
      <c r="BG29" s="83" t="s">
        <v>58</v>
      </c>
      <c r="BH29" s="84"/>
      <c r="BI29" s="84"/>
      <c r="BJ29" s="84"/>
      <c r="BK29" s="85"/>
      <c r="BL29" s="83" t="s">
        <v>59</v>
      </c>
      <c r="BM29" s="84"/>
      <c r="BN29" s="84"/>
      <c r="BO29" s="84"/>
      <c r="BP29" s="85"/>
      <c r="BQ29" s="83" t="s">
        <v>93</v>
      </c>
      <c r="BR29" s="84"/>
      <c r="BS29" s="84"/>
      <c r="BT29" s="85"/>
      <c r="BU29" s="93" t="s">
        <v>169</v>
      </c>
      <c r="BV29" s="94"/>
      <c r="BW29" s="94"/>
      <c r="BX29" s="94"/>
      <c r="BY29" s="95"/>
      <c r="CA29" t="s">
        <v>21</v>
      </c>
    </row>
    <row r="30" spans="1:79" s="4" customFormat="1" ht="12.75" customHeight="1" x14ac:dyDescent="0.2">
      <c r="A30" s="28"/>
      <c r="B30" s="29"/>
      <c r="C30" s="29"/>
      <c r="D30" s="108"/>
      <c r="E30" s="30" t="s">
        <v>172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89">
        <v>223849</v>
      </c>
      <c r="V30" s="89"/>
      <c r="W30" s="89"/>
      <c r="X30" s="89"/>
      <c r="Y30" s="89"/>
      <c r="Z30" s="89" t="s">
        <v>173</v>
      </c>
      <c r="AA30" s="89"/>
      <c r="AB30" s="89"/>
      <c r="AC30" s="89"/>
      <c r="AD30" s="89"/>
      <c r="AE30" s="90" t="s">
        <v>173</v>
      </c>
      <c r="AF30" s="91"/>
      <c r="AG30" s="91"/>
      <c r="AH30" s="92"/>
      <c r="AI30" s="90">
        <f>IF(ISNUMBER(U30),U30,0)+IF(ISNUMBER(Z30),Z30,0)</f>
        <v>223849</v>
      </c>
      <c r="AJ30" s="91"/>
      <c r="AK30" s="91"/>
      <c r="AL30" s="91"/>
      <c r="AM30" s="92"/>
      <c r="AN30" s="90">
        <v>741292</v>
      </c>
      <c r="AO30" s="91"/>
      <c r="AP30" s="91"/>
      <c r="AQ30" s="91"/>
      <c r="AR30" s="92"/>
      <c r="AS30" s="90" t="s">
        <v>173</v>
      </c>
      <c r="AT30" s="91"/>
      <c r="AU30" s="91"/>
      <c r="AV30" s="91"/>
      <c r="AW30" s="92"/>
      <c r="AX30" s="90" t="s">
        <v>173</v>
      </c>
      <c r="AY30" s="91"/>
      <c r="AZ30" s="91"/>
      <c r="BA30" s="92"/>
      <c r="BB30" s="90">
        <f>IF(ISNUMBER(AN30),AN30,0)+IF(ISNUMBER(AS30),AS30,0)</f>
        <v>741292</v>
      </c>
      <c r="BC30" s="91"/>
      <c r="BD30" s="91"/>
      <c r="BE30" s="91"/>
      <c r="BF30" s="92"/>
      <c r="BG30" s="90">
        <v>943002</v>
      </c>
      <c r="BH30" s="91"/>
      <c r="BI30" s="91"/>
      <c r="BJ30" s="91"/>
      <c r="BK30" s="92"/>
      <c r="BL30" s="90" t="s">
        <v>173</v>
      </c>
      <c r="BM30" s="91"/>
      <c r="BN30" s="91"/>
      <c r="BO30" s="91"/>
      <c r="BP30" s="92"/>
      <c r="BQ30" s="90" t="s">
        <v>173</v>
      </c>
      <c r="BR30" s="91"/>
      <c r="BS30" s="91"/>
      <c r="BT30" s="92"/>
      <c r="BU30" s="90">
        <f>IF(ISNUMBER(BG30),BG30,0)+IF(ISNUMBER(BL30),BL30,0)</f>
        <v>943002</v>
      </c>
      <c r="BV30" s="91"/>
      <c r="BW30" s="91"/>
      <c r="BX30" s="91"/>
      <c r="BY30" s="92"/>
      <c r="CA30" s="4" t="s">
        <v>22</v>
      </c>
    </row>
    <row r="31" spans="1:79" s="5" customFormat="1" ht="12.75" customHeight="1" x14ac:dyDescent="0.2">
      <c r="A31" s="37"/>
      <c r="B31" s="38"/>
      <c r="C31" s="38"/>
      <c r="D31" s="45"/>
      <c r="E31" s="23" t="s">
        <v>147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5"/>
      <c r="U31" s="44">
        <v>223849</v>
      </c>
      <c r="V31" s="44"/>
      <c r="W31" s="44"/>
      <c r="X31" s="44"/>
      <c r="Y31" s="44"/>
      <c r="Z31" s="44">
        <v>0</v>
      </c>
      <c r="AA31" s="44"/>
      <c r="AB31" s="44"/>
      <c r="AC31" s="44"/>
      <c r="AD31" s="44"/>
      <c r="AE31" s="41">
        <v>0</v>
      </c>
      <c r="AF31" s="42"/>
      <c r="AG31" s="42"/>
      <c r="AH31" s="43"/>
      <c r="AI31" s="41">
        <f>IF(ISNUMBER(U31),U31,0)+IF(ISNUMBER(Z31),Z31,0)</f>
        <v>223849</v>
      </c>
      <c r="AJ31" s="42"/>
      <c r="AK31" s="42"/>
      <c r="AL31" s="42"/>
      <c r="AM31" s="43"/>
      <c r="AN31" s="41">
        <v>741292</v>
      </c>
      <c r="AO31" s="42"/>
      <c r="AP31" s="42"/>
      <c r="AQ31" s="42"/>
      <c r="AR31" s="43"/>
      <c r="AS31" s="41">
        <v>0</v>
      </c>
      <c r="AT31" s="42"/>
      <c r="AU31" s="42"/>
      <c r="AV31" s="42"/>
      <c r="AW31" s="43"/>
      <c r="AX31" s="41">
        <v>0</v>
      </c>
      <c r="AY31" s="42"/>
      <c r="AZ31" s="42"/>
      <c r="BA31" s="43"/>
      <c r="BB31" s="41">
        <f>IF(ISNUMBER(AN31),AN31,0)+IF(ISNUMBER(AS31),AS31,0)</f>
        <v>741292</v>
      </c>
      <c r="BC31" s="42"/>
      <c r="BD31" s="42"/>
      <c r="BE31" s="42"/>
      <c r="BF31" s="43"/>
      <c r="BG31" s="41">
        <v>943002</v>
      </c>
      <c r="BH31" s="42"/>
      <c r="BI31" s="42"/>
      <c r="BJ31" s="42"/>
      <c r="BK31" s="43"/>
      <c r="BL31" s="41">
        <v>0</v>
      </c>
      <c r="BM31" s="42"/>
      <c r="BN31" s="42"/>
      <c r="BO31" s="42"/>
      <c r="BP31" s="43"/>
      <c r="BQ31" s="41">
        <v>0</v>
      </c>
      <c r="BR31" s="42"/>
      <c r="BS31" s="42"/>
      <c r="BT31" s="43"/>
      <c r="BU31" s="41">
        <f>IF(ISNUMBER(BG31),BG31,0)+IF(ISNUMBER(BL31),BL31,0)</f>
        <v>943002</v>
      </c>
      <c r="BV31" s="42"/>
      <c r="BW31" s="42"/>
      <c r="BX31" s="42"/>
      <c r="BY31" s="43"/>
    </row>
    <row r="33" spans="1:79" ht="14.25" customHeight="1" x14ac:dyDescent="0.2">
      <c r="A33" s="56" t="s">
        <v>233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</row>
    <row r="34" spans="1:79" ht="15" customHeight="1" x14ac:dyDescent="0.2">
      <c r="A34" s="72" t="s">
        <v>207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</row>
    <row r="35" spans="1:79" ht="22.5" customHeight="1" x14ac:dyDescent="0.2">
      <c r="A35" s="73" t="s">
        <v>2</v>
      </c>
      <c r="B35" s="74"/>
      <c r="C35" s="74"/>
      <c r="D35" s="75"/>
      <c r="E35" s="73" t="s">
        <v>19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5"/>
      <c r="X35" s="69" t="s">
        <v>229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1"/>
      <c r="AR35" s="36" t="s">
        <v>234</v>
      </c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</row>
    <row r="36" spans="1:79" ht="36" customHeight="1" x14ac:dyDescent="0.2">
      <c r="A36" s="76"/>
      <c r="B36" s="77"/>
      <c r="C36" s="77"/>
      <c r="D36" s="78"/>
      <c r="E36" s="76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8"/>
      <c r="X36" s="36" t="s">
        <v>4</v>
      </c>
      <c r="Y36" s="36"/>
      <c r="Z36" s="36"/>
      <c r="AA36" s="36"/>
      <c r="AB36" s="36"/>
      <c r="AC36" s="36" t="s">
        <v>3</v>
      </c>
      <c r="AD36" s="36"/>
      <c r="AE36" s="36"/>
      <c r="AF36" s="36"/>
      <c r="AG36" s="36"/>
      <c r="AH36" s="96" t="s">
        <v>116</v>
      </c>
      <c r="AI36" s="97"/>
      <c r="AJ36" s="97"/>
      <c r="AK36" s="97"/>
      <c r="AL36" s="98"/>
      <c r="AM36" s="69" t="s">
        <v>5</v>
      </c>
      <c r="AN36" s="70"/>
      <c r="AO36" s="70"/>
      <c r="AP36" s="70"/>
      <c r="AQ36" s="71"/>
      <c r="AR36" s="69" t="s">
        <v>4</v>
      </c>
      <c r="AS36" s="70"/>
      <c r="AT36" s="70"/>
      <c r="AU36" s="70"/>
      <c r="AV36" s="71"/>
      <c r="AW36" s="69" t="s">
        <v>3</v>
      </c>
      <c r="AX36" s="70"/>
      <c r="AY36" s="70"/>
      <c r="AZ36" s="70"/>
      <c r="BA36" s="71"/>
      <c r="BB36" s="96" t="s">
        <v>116</v>
      </c>
      <c r="BC36" s="97"/>
      <c r="BD36" s="97"/>
      <c r="BE36" s="97"/>
      <c r="BF36" s="98"/>
      <c r="BG36" s="69" t="s">
        <v>96</v>
      </c>
      <c r="BH36" s="70"/>
      <c r="BI36" s="70"/>
      <c r="BJ36" s="70"/>
      <c r="BK36" s="71"/>
    </row>
    <row r="37" spans="1:79" ht="15" customHeight="1" x14ac:dyDescent="0.2">
      <c r="A37" s="69">
        <v>1</v>
      </c>
      <c r="B37" s="70"/>
      <c r="C37" s="70"/>
      <c r="D37" s="71"/>
      <c r="E37" s="69">
        <v>2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1"/>
      <c r="X37" s="36">
        <v>3</v>
      </c>
      <c r="Y37" s="36"/>
      <c r="Z37" s="36"/>
      <c r="AA37" s="36"/>
      <c r="AB37" s="36"/>
      <c r="AC37" s="36">
        <v>4</v>
      </c>
      <c r="AD37" s="36"/>
      <c r="AE37" s="36"/>
      <c r="AF37" s="36"/>
      <c r="AG37" s="36"/>
      <c r="AH37" s="36">
        <v>5</v>
      </c>
      <c r="AI37" s="36"/>
      <c r="AJ37" s="36"/>
      <c r="AK37" s="36"/>
      <c r="AL37" s="36"/>
      <c r="AM37" s="36">
        <v>6</v>
      </c>
      <c r="AN37" s="36"/>
      <c r="AO37" s="36"/>
      <c r="AP37" s="36"/>
      <c r="AQ37" s="36"/>
      <c r="AR37" s="69">
        <v>7</v>
      </c>
      <c r="AS37" s="70"/>
      <c r="AT37" s="70"/>
      <c r="AU37" s="70"/>
      <c r="AV37" s="71"/>
      <c r="AW37" s="69">
        <v>8</v>
      </c>
      <c r="AX37" s="70"/>
      <c r="AY37" s="70"/>
      <c r="AZ37" s="70"/>
      <c r="BA37" s="71"/>
      <c r="BB37" s="69">
        <v>9</v>
      </c>
      <c r="BC37" s="70"/>
      <c r="BD37" s="70"/>
      <c r="BE37" s="70"/>
      <c r="BF37" s="71"/>
      <c r="BG37" s="69">
        <v>10</v>
      </c>
      <c r="BH37" s="70"/>
      <c r="BI37" s="70"/>
      <c r="BJ37" s="70"/>
      <c r="BK37" s="71"/>
    </row>
    <row r="38" spans="1:79" ht="20.25" hidden="1" customHeight="1" x14ac:dyDescent="0.2">
      <c r="A38" s="83" t="s">
        <v>56</v>
      </c>
      <c r="B38" s="84"/>
      <c r="C38" s="84"/>
      <c r="D38" s="85"/>
      <c r="E38" s="83" t="s">
        <v>57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5"/>
      <c r="X38" s="61" t="s">
        <v>60</v>
      </c>
      <c r="Y38" s="61"/>
      <c r="Z38" s="61"/>
      <c r="AA38" s="61"/>
      <c r="AB38" s="61"/>
      <c r="AC38" s="61" t="s">
        <v>61</v>
      </c>
      <c r="AD38" s="61"/>
      <c r="AE38" s="61"/>
      <c r="AF38" s="61"/>
      <c r="AG38" s="61"/>
      <c r="AH38" s="83" t="s">
        <v>94</v>
      </c>
      <c r="AI38" s="84"/>
      <c r="AJ38" s="84"/>
      <c r="AK38" s="84"/>
      <c r="AL38" s="85"/>
      <c r="AM38" s="93" t="s">
        <v>170</v>
      </c>
      <c r="AN38" s="94"/>
      <c r="AO38" s="94"/>
      <c r="AP38" s="94"/>
      <c r="AQ38" s="95"/>
      <c r="AR38" s="83" t="s">
        <v>62</v>
      </c>
      <c r="AS38" s="84"/>
      <c r="AT38" s="84"/>
      <c r="AU38" s="84"/>
      <c r="AV38" s="85"/>
      <c r="AW38" s="83" t="s">
        <v>63</v>
      </c>
      <c r="AX38" s="84"/>
      <c r="AY38" s="84"/>
      <c r="AZ38" s="84"/>
      <c r="BA38" s="85"/>
      <c r="BB38" s="83" t="s">
        <v>95</v>
      </c>
      <c r="BC38" s="84"/>
      <c r="BD38" s="84"/>
      <c r="BE38" s="84"/>
      <c r="BF38" s="85"/>
      <c r="BG38" s="93" t="s">
        <v>170</v>
      </c>
      <c r="BH38" s="94"/>
      <c r="BI38" s="94"/>
      <c r="BJ38" s="94"/>
      <c r="BK38" s="95"/>
      <c r="CA38" t="s">
        <v>23</v>
      </c>
    </row>
    <row r="39" spans="1:79" s="4" customFormat="1" ht="12.75" customHeight="1" x14ac:dyDescent="0.2">
      <c r="A39" s="28"/>
      <c r="B39" s="29"/>
      <c r="C39" s="29"/>
      <c r="D39" s="108"/>
      <c r="E39" s="30" t="s">
        <v>172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2"/>
      <c r="X39" s="90">
        <v>943002</v>
      </c>
      <c r="Y39" s="91"/>
      <c r="Z39" s="91"/>
      <c r="AA39" s="91"/>
      <c r="AB39" s="92"/>
      <c r="AC39" s="90" t="s">
        <v>173</v>
      </c>
      <c r="AD39" s="91"/>
      <c r="AE39" s="91"/>
      <c r="AF39" s="91"/>
      <c r="AG39" s="92"/>
      <c r="AH39" s="90" t="s">
        <v>173</v>
      </c>
      <c r="AI39" s="91"/>
      <c r="AJ39" s="91"/>
      <c r="AK39" s="91"/>
      <c r="AL39" s="92"/>
      <c r="AM39" s="90">
        <f>IF(ISNUMBER(X39),X39,0)+IF(ISNUMBER(AC39),AC39,0)</f>
        <v>943002</v>
      </c>
      <c r="AN39" s="91"/>
      <c r="AO39" s="91"/>
      <c r="AP39" s="91"/>
      <c r="AQ39" s="92"/>
      <c r="AR39" s="90">
        <v>943002</v>
      </c>
      <c r="AS39" s="91"/>
      <c r="AT39" s="91"/>
      <c r="AU39" s="91"/>
      <c r="AV39" s="92"/>
      <c r="AW39" s="90" t="s">
        <v>173</v>
      </c>
      <c r="AX39" s="91"/>
      <c r="AY39" s="91"/>
      <c r="AZ39" s="91"/>
      <c r="BA39" s="92"/>
      <c r="BB39" s="90" t="s">
        <v>173</v>
      </c>
      <c r="BC39" s="91"/>
      <c r="BD39" s="91"/>
      <c r="BE39" s="91"/>
      <c r="BF39" s="92"/>
      <c r="BG39" s="89">
        <f>IF(ISNUMBER(AR39),AR39,0)+IF(ISNUMBER(AW39),AW39,0)</f>
        <v>943002</v>
      </c>
      <c r="BH39" s="89"/>
      <c r="BI39" s="89"/>
      <c r="BJ39" s="89"/>
      <c r="BK39" s="89"/>
      <c r="CA39" s="4" t="s">
        <v>24</v>
      </c>
    </row>
    <row r="40" spans="1:79" s="5" customFormat="1" ht="12.75" customHeight="1" x14ac:dyDescent="0.2">
      <c r="A40" s="37"/>
      <c r="B40" s="38"/>
      <c r="C40" s="38"/>
      <c r="D40" s="45"/>
      <c r="E40" s="23" t="s">
        <v>147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5"/>
      <c r="X40" s="41">
        <v>943002</v>
      </c>
      <c r="Y40" s="42"/>
      <c r="Z40" s="42"/>
      <c r="AA40" s="42"/>
      <c r="AB40" s="43"/>
      <c r="AC40" s="41">
        <v>0</v>
      </c>
      <c r="AD40" s="42"/>
      <c r="AE40" s="42"/>
      <c r="AF40" s="42"/>
      <c r="AG40" s="43"/>
      <c r="AH40" s="41">
        <v>0</v>
      </c>
      <c r="AI40" s="42"/>
      <c r="AJ40" s="42"/>
      <c r="AK40" s="42"/>
      <c r="AL40" s="43"/>
      <c r="AM40" s="41">
        <f>IF(ISNUMBER(X40),X40,0)+IF(ISNUMBER(AC40),AC40,0)</f>
        <v>943002</v>
      </c>
      <c r="AN40" s="42"/>
      <c r="AO40" s="42"/>
      <c r="AP40" s="42"/>
      <c r="AQ40" s="43"/>
      <c r="AR40" s="41">
        <v>943002</v>
      </c>
      <c r="AS40" s="42"/>
      <c r="AT40" s="42"/>
      <c r="AU40" s="42"/>
      <c r="AV40" s="43"/>
      <c r="AW40" s="41">
        <v>0</v>
      </c>
      <c r="AX40" s="42"/>
      <c r="AY40" s="42"/>
      <c r="AZ40" s="42"/>
      <c r="BA40" s="43"/>
      <c r="BB40" s="41">
        <v>0</v>
      </c>
      <c r="BC40" s="42"/>
      <c r="BD40" s="42"/>
      <c r="BE40" s="42"/>
      <c r="BF40" s="43"/>
      <c r="BG40" s="44">
        <f>IF(ISNUMBER(AR40),AR40,0)+IF(ISNUMBER(AW40),AW40,0)</f>
        <v>943002</v>
      </c>
      <c r="BH40" s="44"/>
      <c r="BI40" s="44"/>
      <c r="BJ40" s="44"/>
      <c r="BK40" s="44"/>
    </row>
    <row r="42" spans="1:79" s="3" customFormat="1" ht="14.25" customHeight="1" x14ac:dyDescent="0.2">
      <c r="A42" s="56" t="s">
        <v>117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8"/>
    </row>
    <row r="43" spans="1:79" ht="14.25" customHeight="1" x14ac:dyDescent="0.2">
      <c r="A43" s="56" t="s">
        <v>220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</row>
    <row r="44" spans="1:79" ht="15" customHeight="1" x14ac:dyDescent="0.2">
      <c r="A44" s="62" t="s">
        <v>207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</row>
    <row r="45" spans="1:79" ht="23.1" customHeight="1" x14ac:dyDescent="0.2">
      <c r="A45" s="102" t="s">
        <v>118</v>
      </c>
      <c r="B45" s="103"/>
      <c r="C45" s="103"/>
      <c r="D45" s="104"/>
      <c r="E45" s="36" t="s">
        <v>19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69" t="s">
        <v>208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1"/>
      <c r="AN45" s="69" t="s">
        <v>211</v>
      </c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1"/>
      <c r="BG45" s="69" t="s">
        <v>219</v>
      </c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1"/>
    </row>
    <row r="46" spans="1:79" ht="48.75" customHeight="1" x14ac:dyDescent="0.2">
      <c r="A46" s="105"/>
      <c r="B46" s="106"/>
      <c r="C46" s="106"/>
      <c r="D46" s="10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69" t="s">
        <v>4</v>
      </c>
      <c r="V46" s="70"/>
      <c r="W46" s="70"/>
      <c r="X46" s="70"/>
      <c r="Y46" s="71"/>
      <c r="Z46" s="69" t="s">
        <v>3</v>
      </c>
      <c r="AA46" s="70"/>
      <c r="AB46" s="70"/>
      <c r="AC46" s="70"/>
      <c r="AD46" s="71"/>
      <c r="AE46" s="96" t="s">
        <v>116</v>
      </c>
      <c r="AF46" s="97"/>
      <c r="AG46" s="97"/>
      <c r="AH46" s="98"/>
      <c r="AI46" s="69" t="s">
        <v>5</v>
      </c>
      <c r="AJ46" s="70"/>
      <c r="AK46" s="70"/>
      <c r="AL46" s="70"/>
      <c r="AM46" s="71"/>
      <c r="AN46" s="69" t="s">
        <v>4</v>
      </c>
      <c r="AO46" s="70"/>
      <c r="AP46" s="70"/>
      <c r="AQ46" s="70"/>
      <c r="AR46" s="71"/>
      <c r="AS46" s="69" t="s">
        <v>3</v>
      </c>
      <c r="AT46" s="70"/>
      <c r="AU46" s="70"/>
      <c r="AV46" s="70"/>
      <c r="AW46" s="71"/>
      <c r="AX46" s="96" t="s">
        <v>116</v>
      </c>
      <c r="AY46" s="97"/>
      <c r="AZ46" s="97"/>
      <c r="BA46" s="98"/>
      <c r="BB46" s="69" t="s">
        <v>96</v>
      </c>
      <c r="BC46" s="70"/>
      <c r="BD46" s="70"/>
      <c r="BE46" s="70"/>
      <c r="BF46" s="71"/>
      <c r="BG46" s="69" t="s">
        <v>4</v>
      </c>
      <c r="BH46" s="70"/>
      <c r="BI46" s="70"/>
      <c r="BJ46" s="70"/>
      <c r="BK46" s="71"/>
      <c r="BL46" s="69" t="s">
        <v>3</v>
      </c>
      <c r="BM46" s="70"/>
      <c r="BN46" s="70"/>
      <c r="BO46" s="70"/>
      <c r="BP46" s="71"/>
      <c r="BQ46" s="96" t="s">
        <v>116</v>
      </c>
      <c r="BR46" s="97"/>
      <c r="BS46" s="97"/>
      <c r="BT46" s="98"/>
      <c r="BU46" s="69" t="s">
        <v>97</v>
      </c>
      <c r="BV46" s="70"/>
      <c r="BW46" s="70"/>
      <c r="BX46" s="70"/>
      <c r="BY46" s="71"/>
    </row>
    <row r="47" spans="1:79" ht="15" customHeight="1" x14ac:dyDescent="0.2">
      <c r="A47" s="69">
        <v>1</v>
      </c>
      <c r="B47" s="70"/>
      <c r="C47" s="70"/>
      <c r="D47" s="71"/>
      <c r="E47" s="69">
        <v>2</v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1"/>
      <c r="U47" s="69">
        <v>3</v>
      </c>
      <c r="V47" s="70"/>
      <c r="W47" s="70"/>
      <c r="X47" s="70"/>
      <c r="Y47" s="71"/>
      <c r="Z47" s="69">
        <v>4</v>
      </c>
      <c r="AA47" s="70"/>
      <c r="AB47" s="70"/>
      <c r="AC47" s="70"/>
      <c r="AD47" s="71"/>
      <c r="AE47" s="69">
        <v>5</v>
      </c>
      <c r="AF47" s="70"/>
      <c r="AG47" s="70"/>
      <c r="AH47" s="71"/>
      <c r="AI47" s="69">
        <v>6</v>
      </c>
      <c r="AJ47" s="70"/>
      <c r="AK47" s="70"/>
      <c r="AL47" s="70"/>
      <c r="AM47" s="71"/>
      <c r="AN47" s="69">
        <v>7</v>
      </c>
      <c r="AO47" s="70"/>
      <c r="AP47" s="70"/>
      <c r="AQ47" s="70"/>
      <c r="AR47" s="71"/>
      <c r="AS47" s="69">
        <v>8</v>
      </c>
      <c r="AT47" s="70"/>
      <c r="AU47" s="70"/>
      <c r="AV47" s="70"/>
      <c r="AW47" s="71"/>
      <c r="AX47" s="69">
        <v>9</v>
      </c>
      <c r="AY47" s="70"/>
      <c r="AZ47" s="70"/>
      <c r="BA47" s="71"/>
      <c r="BB47" s="69">
        <v>10</v>
      </c>
      <c r="BC47" s="70"/>
      <c r="BD47" s="70"/>
      <c r="BE47" s="70"/>
      <c r="BF47" s="71"/>
      <c r="BG47" s="69">
        <v>11</v>
      </c>
      <c r="BH47" s="70"/>
      <c r="BI47" s="70"/>
      <c r="BJ47" s="70"/>
      <c r="BK47" s="71"/>
      <c r="BL47" s="69">
        <v>12</v>
      </c>
      <c r="BM47" s="70"/>
      <c r="BN47" s="70"/>
      <c r="BO47" s="70"/>
      <c r="BP47" s="71"/>
      <c r="BQ47" s="69">
        <v>13</v>
      </c>
      <c r="BR47" s="70"/>
      <c r="BS47" s="70"/>
      <c r="BT47" s="71"/>
      <c r="BU47" s="69">
        <v>14</v>
      </c>
      <c r="BV47" s="70"/>
      <c r="BW47" s="70"/>
      <c r="BX47" s="70"/>
      <c r="BY47" s="71"/>
    </row>
    <row r="48" spans="1:79" s="1" customFormat="1" ht="12.75" hidden="1" customHeight="1" x14ac:dyDescent="0.2">
      <c r="A48" s="83" t="s">
        <v>64</v>
      </c>
      <c r="B48" s="84"/>
      <c r="C48" s="84"/>
      <c r="D48" s="85"/>
      <c r="E48" s="83" t="s">
        <v>57</v>
      </c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5"/>
      <c r="U48" s="83" t="s">
        <v>65</v>
      </c>
      <c r="V48" s="84"/>
      <c r="W48" s="84"/>
      <c r="X48" s="84"/>
      <c r="Y48" s="85"/>
      <c r="Z48" s="83" t="s">
        <v>66</v>
      </c>
      <c r="AA48" s="84"/>
      <c r="AB48" s="84"/>
      <c r="AC48" s="84"/>
      <c r="AD48" s="85"/>
      <c r="AE48" s="83" t="s">
        <v>91</v>
      </c>
      <c r="AF48" s="84"/>
      <c r="AG48" s="84"/>
      <c r="AH48" s="85"/>
      <c r="AI48" s="93" t="s">
        <v>169</v>
      </c>
      <c r="AJ48" s="94"/>
      <c r="AK48" s="94"/>
      <c r="AL48" s="94"/>
      <c r="AM48" s="95"/>
      <c r="AN48" s="83" t="s">
        <v>67</v>
      </c>
      <c r="AO48" s="84"/>
      <c r="AP48" s="84"/>
      <c r="AQ48" s="84"/>
      <c r="AR48" s="85"/>
      <c r="AS48" s="83" t="s">
        <v>68</v>
      </c>
      <c r="AT48" s="84"/>
      <c r="AU48" s="84"/>
      <c r="AV48" s="84"/>
      <c r="AW48" s="85"/>
      <c r="AX48" s="83" t="s">
        <v>92</v>
      </c>
      <c r="AY48" s="84"/>
      <c r="AZ48" s="84"/>
      <c r="BA48" s="85"/>
      <c r="BB48" s="93" t="s">
        <v>169</v>
      </c>
      <c r="BC48" s="94"/>
      <c r="BD48" s="94"/>
      <c r="BE48" s="94"/>
      <c r="BF48" s="95"/>
      <c r="BG48" s="83" t="s">
        <v>58</v>
      </c>
      <c r="BH48" s="84"/>
      <c r="BI48" s="84"/>
      <c r="BJ48" s="84"/>
      <c r="BK48" s="85"/>
      <c r="BL48" s="83" t="s">
        <v>59</v>
      </c>
      <c r="BM48" s="84"/>
      <c r="BN48" s="84"/>
      <c r="BO48" s="84"/>
      <c r="BP48" s="85"/>
      <c r="BQ48" s="83" t="s">
        <v>93</v>
      </c>
      <c r="BR48" s="84"/>
      <c r="BS48" s="84"/>
      <c r="BT48" s="85"/>
      <c r="BU48" s="93" t="s">
        <v>169</v>
      </c>
      <c r="BV48" s="94"/>
      <c r="BW48" s="94"/>
      <c r="BX48" s="94"/>
      <c r="BY48" s="95"/>
      <c r="CA48" t="s">
        <v>25</v>
      </c>
    </row>
    <row r="49" spans="1:79" s="4" customFormat="1" ht="12.75" customHeight="1" x14ac:dyDescent="0.2">
      <c r="A49" s="28">
        <v>2730</v>
      </c>
      <c r="B49" s="29"/>
      <c r="C49" s="29"/>
      <c r="D49" s="108"/>
      <c r="E49" s="30" t="s">
        <v>174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2"/>
      <c r="U49" s="90">
        <v>223849</v>
      </c>
      <c r="V49" s="91"/>
      <c r="W49" s="91"/>
      <c r="X49" s="91"/>
      <c r="Y49" s="92"/>
      <c r="Z49" s="90">
        <v>0</v>
      </c>
      <c r="AA49" s="91"/>
      <c r="AB49" s="91"/>
      <c r="AC49" s="91"/>
      <c r="AD49" s="92"/>
      <c r="AE49" s="90">
        <v>0</v>
      </c>
      <c r="AF49" s="91"/>
      <c r="AG49" s="91"/>
      <c r="AH49" s="92"/>
      <c r="AI49" s="90">
        <f>IF(ISNUMBER(U49),U49,0)+IF(ISNUMBER(Z49),Z49,0)</f>
        <v>223849</v>
      </c>
      <c r="AJ49" s="91"/>
      <c r="AK49" s="91"/>
      <c r="AL49" s="91"/>
      <c r="AM49" s="92"/>
      <c r="AN49" s="90">
        <v>741292</v>
      </c>
      <c r="AO49" s="91"/>
      <c r="AP49" s="91"/>
      <c r="AQ49" s="91"/>
      <c r="AR49" s="92"/>
      <c r="AS49" s="90">
        <v>0</v>
      </c>
      <c r="AT49" s="91"/>
      <c r="AU49" s="91"/>
      <c r="AV49" s="91"/>
      <c r="AW49" s="92"/>
      <c r="AX49" s="90">
        <v>0</v>
      </c>
      <c r="AY49" s="91"/>
      <c r="AZ49" s="91"/>
      <c r="BA49" s="92"/>
      <c r="BB49" s="90">
        <f>IF(ISNUMBER(AN49),AN49,0)+IF(ISNUMBER(AS49),AS49,0)</f>
        <v>741292</v>
      </c>
      <c r="BC49" s="91"/>
      <c r="BD49" s="91"/>
      <c r="BE49" s="91"/>
      <c r="BF49" s="92"/>
      <c r="BG49" s="90">
        <v>943002</v>
      </c>
      <c r="BH49" s="91"/>
      <c r="BI49" s="91"/>
      <c r="BJ49" s="91"/>
      <c r="BK49" s="92"/>
      <c r="BL49" s="90">
        <v>0</v>
      </c>
      <c r="BM49" s="91"/>
      <c r="BN49" s="91"/>
      <c r="BO49" s="91"/>
      <c r="BP49" s="92"/>
      <c r="BQ49" s="90">
        <v>0</v>
      </c>
      <c r="BR49" s="91"/>
      <c r="BS49" s="91"/>
      <c r="BT49" s="92"/>
      <c r="BU49" s="90">
        <f>IF(ISNUMBER(BG49),BG49,0)+IF(ISNUMBER(BL49),BL49,0)</f>
        <v>943002</v>
      </c>
      <c r="BV49" s="91"/>
      <c r="BW49" s="91"/>
      <c r="BX49" s="91"/>
      <c r="BY49" s="92"/>
      <c r="CA49" s="4" t="s">
        <v>26</v>
      </c>
    </row>
    <row r="50" spans="1:79" s="5" customFormat="1" ht="12.75" customHeight="1" x14ac:dyDescent="0.2">
      <c r="A50" s="37"/>
      <c r="B50" s="38"/>
      <c r="C50" s="38"/>
      <c r="D50" s="45"/>
      <c r="E50" s="23" t="s">
        <v>147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5"/>
      <c r="U50" s="41">
        <v>223849</v>
      </c>
      <c r="V50" s="42"/>
      <c r="W50" s="42"/>
      <c r="X50" s="42"/>
      <c r="Y50" s="43"/>
      <c r="Z50" s="41">
        <v>0</v>
      </c>
      <c r="AA50" s="42"/>
      <c r="AB50" s="42"/>
      <c r="AC50" s="42"/>
      <c r="AD50" s="43"/>
      <c r="AE50" s="41">
        <v>0</v>
      </c>
      <c r="AF50" s="42"/>
      <c r="AG50" s="42"/>
      <c r="AH50" s="43"/>
      <c r="AI50" s="41">
        <f>IF(ISNUMBER(U50),U50,0)+IF(ISNUMBER(Z50),Z50,0)</f>
        <v>223849</v>
      </c>
      <c r="AJ50" s="42"/>
      <c r="AK50" s="42"/>
      <c r="AL50" s="42"/>
      <c r="AM50" s="43"/>
      <c r="AN50" s="41">
        <v>741292</v>
      </c>
      <c r="AO50" s="42"/>
      <c r="AP50" s="42"/>
      <c r="AQ50" s="42"/>
      <c r="AR50" s="43"/>
      <c r="AS50" s="41">
        <v>0</v>
      </c>
      <c r="AT50" s="42"/>
      <c r="AU50" s="42"/>
      <c r="AV50" s="42"/>
      <c r="AW50" s="43"/>
      <c r="AX50" s="41">
        <v>0</v>
      </c>
      <c r="AY50" s="42"/>
      <c r="AZ50" s="42"/>
      <c r="BA50" s="43"/>
      <c r="BB50" s="41">
        <f>IF(ISNUMBER(AN50),AN50,0)+IF(ISNUMBER(AS50),AS50,0)</f>
        <v>741292</v>
      </c>
      <c r="BC50" s="42"/>
      <c r="BD50" s="42"/>
      <c r="BE50" s="42"/>
      <c r="BF50" s="43"/>
      <c r="BG50" s="41">
        <v>943002</v>
      </c>
      <c r="BH50" s="42"/>
      <c r="BI50" s="42"/>
      <c r="BJ50" s="42"/>
      <c r="BK50" s="43"/>
      <c r="BL50" s="41">
        <v>0</v>
      </c>
      <c r="BM50" s="42"/>
      <c r="BN50" s="42"/>
      <c r="BO50" s="42"/>
      <c r="BP50" s="43"/>
      <c r="BQ50" s="41">
        <v>0</v>
      </c>
      <c r="BR50" s="42"/>
      <c r="BS50" s="42"/>
      <c r="BT50" s="43"/>
      <c r="BU50" s="41">
        <f>IF(ISNUMBER(BG50),BG50,0)+IF(ISNUMBER(BL50),BL50,0)</f>
        <v>943002</v>
      </c>
      <c r="BV50" s="42"/>
      <c r="BW50" s="42"/>
      <c r="BX50" s="42"/>
      <c r="BY50" s="43"/>
    </row>
    <row r="52" spans="1:79" ht="14.25" customHeight="1" x14ac:dyDescent="0.2">
      <c r="A52" s="56" t="s">
        <v>221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</row>
    <row r="53" spans="1:79" ht="15" customHeight="1" x14ac:dyDescent="0.2">
      <c r="A53" s="72" t="s">
        <v>207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</row>
    <row r="54" spans="1:79" ht="23.1" customHeight="1" x14ac:dyDescent="0.2">
      <c r="A54" s="102" t="s">
        <v>119</v>
      </c>
      <c r="B54" s="103"/>
      <c r="C54" s="103"/>
      <c r="D54" s="103"/>
      <c r="E54" s="104"/>
      <c r="F54" s="36" t="s">
        <v>19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9" t="s">
        <v>208</v>
      </c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1"/>
      <c r="AN54" s="69" t="s">
        <v>211</v>
      </c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1"/>
      <c r="BG54" s="69" t="s">
        <v>219</v>
      </c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1"/>
    </row>
    <row r="55" spans="1:79" ht="51.75" customHeight="1" x14ac:dyDescent="0.2">
      <c r="A55" s="105"/>
      <c r="B55" s="106"/>
      <c r="C55" s="106"/>
      <c r="D55" s="106"/>
      <c r="E55" s="107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9" t="s">
        <v>4</v>
      </c>
      <c r="V55" s="70"/>
      <c r="W55" s="70"/>
      <c r="X55" s="70"/>
      <c r="Y55" s="71"/>
      <c r="Z55" s="69" t="s">
        <v>3</v>
      </c>
      <c r="AA55" s="70"/>
      <c r="AB55" s="70"/>
      <c r="AC55" s="70"/>
      <c r="AD55" s="71"/>
      <c r="AE55" s="96" t="s">
        <v>116</v>
      </c>
      <c r="AF55" s="97"/>
      <c r="AG55" s="97"/>
      <c r="AH55" s="98"/>
      <c r="AI55" s="69" t="s">
        <v>5</v>
      </c>
      <c r="AJ55" s="70"/>
      <c r="AK55" s="70"/>
      <c r="AL55" s="70"/>
      <c r="AM55" s="71"/>
      <c r="AN55" s="69" t="s">
        <v>4</v>
      </c>
      <c r="AO55" s="70"/>
      <c r="AP55" s="70"/>
      <c r="AQ55" s="70"/>
      <c r="AR55" s="71"/>
      <c r="AS55" s="69" t="s">
        <v>3</v>
      </c>
      <c r="AT55" s="70"/>
      <c r="AU55" s="70"/>
      <c r="AV55" s="70"/>
      <c r="AW55" s="71"/>
      <c r="AX55" s="96" t="s">
        <v>116</v>
      </c>
      <c r="AY55" s="97"/>
      <c r="AZ55" s="97"/>
      <c r="BA55" s="98"/>
      <c r="BB55" s="69" t="s">
        <v>96</v>
      </c>
      <c r="BC55" s="70"/>
      <c r="BD55" s="70"/>
      <c r="BE55" s="70"/>
      <c r="BF55" s="71"/>
      <c r="BG55" s="69" t="s">
        <v>4</v>
      </c>
      <c r="BH55" s="70"/>
      <c r="BI55" s="70"/>
      <c r="BJ55" s="70"/>
      <c r="BK55" s="71"/>
      <c r="BL55" s="69" t="s">
        <v>3</v>
      </c>
      <c r="BM55" s="70"/>
      <c r="BN55" s="70"/>
      <c r="BO55" s="70"/>
      <c r="BP55" s="71"/>
      <c r="BQ55" s="96" t="s">
        <v>116</v>
      </c>
      <c r="BR55" s="97"/>
      <c r="BS55" s="97"/>
      <c r="BT55" s="98"/>
      <c r="BU55" s="36" t="s">
        <v>97</v>
      </c>
      <c r="BV55" s="36"/>
      <c r="BW55" s="36"/>
      <c r="BX55" s="36"/>
      <c r="BY55" s="36"/>
    </row>
    <row r="56" spans="1:79" ht="15" customHeight="1" x14ac:dyDescent="0.2">
      <c r="A56" s="69">
        <v>1</v>
      </c>
      <c r="B56" s="70"/>
      <c r="C56" s="70"/>
      <c r="D56" s="70"/>
      <c r="E56" s="71"/>
      <c r="F56" s="69">
        <v>2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1"/>
      <c r="U56" s="69">
        <v>3</v>
      </c>
      <c r="V56" s="70"/>
      <c r="W56" s="70"/>
      <c r="X56" s="70"/>
      <c r="Y56" s="71"/>
      <c r="Z56" s="69">
        <v>4</v>
      </c>
      <c r="AA56" s="70"/>
      <c r="AB56" s="70"/>
      <c r="AC56" s="70"/>
      <c r="AD56" s="71"/>
      <c r="AE56" s="69">
        <v>5</v>
      </c>
      <c r="AF56" s="70"/>
      <c r="AG56" s="70"/>
      <c r="AH56" s="71"/>
      <c r="AI56" s="69">
        <v>6</v>
      </c>
      <c r="AJ56" s="70"/>
      <c r="AK56" s="70"/>
      <c r="AL56" s="70"/>
      <c r="AM56" s="71"/>
      <c r="AN56" s="69">
        <v>7</v>
      </c>
      <c r="AO56" s="70"/>
      <c r="AP56" s="70"/>
      <c r="AQ56" s="70"/>
      <c r="AR56" s="71"/>
      <c r="AS56" s="69">
        <v>8</v>
      </c>
      <c r="AT56" s="70"/>
      <c r="AU56" s="70"/>
      <c r="AV56" s="70"/>
      <c r="AW56" s="71"/>
      <c r="AX56" s="69">
        <v>9</v>
      </c>
      <c r="AY56" s="70"/>
      <c r="AZ56" s="70"/>
      <c r="BA56" s="71"/>
      <c r="BB56" s="69">
        <v>10</v>
      </c>
      <c r="BC56" s="70"/>
      <c r="BD56" s="70"/>
      <c r="BE56" s="70"/>
      <c r="BF56" s="71"/>
      <c r="BG56" s="69">
        <v>11</v>
      </c>
      <c r="BH56" s="70"/>
      <c r="BI56" s="70"/>
      <c r="BJ56" s="70"/>
      <c r="BK56" s="71"/>
      <c r="BL56" s="69">
        <v>12</v>
      </c>
      <c r="BM56" s="70"/>
      <c r="BN56" s="70"/>
      <c r="BO56" s="70"/>
      <c r="BP56" s="71"/>
      <c r="BQ56" s="69">
        <v>13</v>
      </c>
      <c r="BR56" s="70"/>
      <c r="BS56" s="70"/>
      <c r="BT56" s="71"/>
      <c r="BU56" s="36">
        <v>14</v>
      </c>
      <c r="BV56" s="36"/>
      <c r="BW56" s="36"/>
      <c r="BX56" s="36"/>
      <c r="BY56" s="36"/>
    </row>
    <row r="57" spans="1:79" s="1" customFormat="1" ht="13.5" hidden="1" customHeight="1" x14ac:dyDescent="0.2">
      <c r="A57" s="83" t="s">
        <v>64</v>
      </c>
      <c r="B57" s="84"/>
      <c r="C57" s="84"/>
      <c r="D57" s="84"/>
      <c r="E57" s="85"/>
      <c r="F57" s="83" t="s">
        <v>57</v>
      </c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5"/>
      <c r="U57" s="83" t="s">
        <v>65</v>
      </c>
      <c r="V57" s="84"/>
      <c r="W57" s="84"/>
      <c r="X57" s="84"/>
      <c r="Y57" s="85"/>
      <c r="Z57" s="83" t="s">
        <v>66</v>
      </c>
      <c r="AA57" s="84"/>
      <c r="AB57" s="84"/>
      <c r="AC57" s="84"/>
      <c r="AD57" s="85"/>
      <c r="AE57" s="83" t="s">
        <v>91</v>
      </c>
      <c r="AF57" s="84"/>
      <c r="AG57" s="84"/>
      <c r="AH57" s="85"/>
      <c r="AI57" s="93" t="s">
        <v>169</v>
      </c>
      <c r="AJ57" s="94"/>
      <c r="AK57" s="94"/>
      <c r="AL57" s="94"/>
      <c r="AM57" s="95"/>
      <c r="AN57" s="83" t="s">
        <v>67</v>
      </c>
      <c r="AO57" s="84"/>
      <c r="AP57" s="84"/>
      <c r="AQ57" s="84"/>
      <c r="AR57" s="85"/>
      <c r="AS57" s="83" t="s">
        <v>68</v>
      </c>
      <c r="AT57" s="84"/>
      <c r="AU57" s="84"/>
      <c r="AV57" s="84"/>
      <c r="AW57" s="85"/>
      <c r="AX57" s="83" t="s">
        <v>92</v>
      </c>
      <c r="AY57" s="84"/>
      <c r="AZ57" s="84"/>
      <c r="BA57" s="85"/>
      <c r="BB57" s="93" t="s">
        <v>169</v>
      </c>
      <c r="BC57" s="94"/>
      <c r="BD57" s="94"/>
      <c r="BE57" s="94"/>
      <c r="BF57" s="95"/>
      <c r="BG57" s="83" t="s">
        <v>58</v>
      </c>
      <c r="BH57" s="84"/>
      <c r="BI57" s="84"/>
      <c r="BJ57" s="84"/>
      <c r="BK57" s="85"/>
      <c r="BL57" s="83" t="s">
        <v>59</v>
      </c>
      <c r="BM57" s="84"/>
      <c r="BN57" s="84"/>
      <c r="BO57" s="84"/>
      <c r="BP57" s="85"/>
      <c r="BQ57" s="83" t="s">
        <v>93</v>
      </c>
      <c r="BR57" s="84"/>
      <c r="BS57" s="84"/>
      <c r="BT57" s="85"/>
      <c r="BU57" s="79" t="s">
        <v>169</v>
      </c>
      <c r="BV57" s="79"/>
      <c r="BW57" s="79"/>
      <c r="BX57" s="79"/>
      <c r="BY57" s="79"/>
      <c r="CA57" t="s">
        <v>27</v>
      </c>
    </row>
    <row r="58" spans="1:79" s="5" customFormat="1" ht="12.75" customHeight="1" x14ac:dyDescent="0.2">
      <c r="A58" s="37"/>
      <c r="B58" s="38"/>
      <c r="C58" s="38"/>
      <c r="D58" s="38"/>
      <c r="E58" s="45"/>
      <c r="F58" s="37" t="s">
        <v>147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45"/>
      <c r="U58" s="41"/>
      <c r="V58" s="42"/>
      <c r="W58" s="42"/>
      <c r="X58" s="42"/>
      <c r="Y58" s="43"/>
      <c r="Z58" s="41"/>
      <c r="AA58" s="42"/>
      <c r="AB58" s="42"/>
      <c r="AC58" s="42"/>
      <c r="AD58" s="43"/>
      <c r="AE58" s="41"/>
      <c r="AF58" s="42"/>
      <c r="AG58" s="42"/>
      <c r="AH58" s="43"/>
      <c r="AI58" s="41">
        <f>IF(ISNUMBER(U58),U58,0)+IF(ISNUMBER(Z58),Z58,0)</f>
        <v>0</v>
      </c>
      <c r="AJ58" s="42"/>
      <c r="AK58" s="42"/>
      <c r="AL58" s="42"/>
      <c r="AM58" s="43"/>
      <c r="AN58" s="41"/>
      <c r="AO58" s="42"/>
      <c r="AP58" s="42"/>
      <c r="AQ58" s="42"/>
      <c r="AR58" s="43"/>
      <c r="AS58" s="41"/>
      <c r="AT58" s="42"/>
      <c r="AU58" s="42"/>
      <c r="AV58" s="42"/>
      <c r="AW58" s="43"/>
      <c r="AX58" s="41"/>
      <c r="AY58" s="42"/>
      <c r="AZ58" s="42"/>
      <c r="BA58" s="43"/>
      <c r="BB58" s="41">
        <f>IF(ISNUMBER(AN58),AN58,0)+IF(ISNUMBER(AS58),AS58,0)</f>
        <v>0</v>
      </c>
      <c r="BC58" s="42"/>
      <c r="BD58" s="42"/>
      <c r="BE58" s="42"/>
      <c r="BF58" s="43"/>
      <c r="BG58" s="41"/>
      <c r="BH58" s="42"/>
      <c r="BI58" s="42"/>
      <c r="BJ58" s="42"/>
      <c r="BK58" s="43"/>
      <c r="BL58" s="41"/>
      <c r="BM58" s="42"/>
      <c r="BN58" s="42"/>
      <c r="BO58" s="42"/>
      <c r="BP58" s="43"/>
      <c r="BQ58" s="41"/>
      <c r="BR58" s="42"/>
      <c r="BS58" s="42"/>
      <c r="BT58" s="43"/>
      <c r="BU58" s="41">
        <f>IF(ISNUMBER(BG58),BG58,0)+IF(ISNUMBER(BL58),BL58,0)</f>
        <v>0</v>
      </c>
      <c r="BV58" s="42"/>
      <c r="BW58" s="42"/>
      <c r="BX58" s="42"/>
      <c r="BY58" s="43"/>
      <c r="CA58" s="5" t="s">
        <v>28</v>
      </c>
    </row>
    <row r="60" spans="1:79" ht="14.25" customHeight="1" x14ac:dyDescent="0.2">
      <c r="A60" s="56" t="s">
        <v>235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</row>
    <row r="61" spans="1:79" ht="15" customHeight="1" x14ac:dyDescent="0.2">
      <c r="A61" s="72" t="s">
        <v>207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</row>
    <row r="62" spans="1:79" ht="23.1" customHeight="1" x14ac:dyDescent="0.2">
      <c r="A62" s="102" t="s">
        <v>118</v>
      </c>
      <c r="B62" s="103"/>
      <c r="C62" s="103"/>
      <c r="D62" s="104"/>
      <c r="E62" s="73" t="s">
        <v>19</v>
      </c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5"/>
      <c r="X62" s="69" t="s">
        <v>229</v>
      </c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1"/>
      <c r="AR62" s="36" t="s">
        <v>234</v>
      </c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</row>
    <row r="63" spans="1:79" ht="48.75" customHeight="1" x14ac:dyDescent="0.2">
      <c r="A63" s="105"/>
      <c r="B63" s="106"/>
      <c r="C63" s="106"/>
      <c r="D63" s="107"/>
      <c r="E63" s="76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8"/>
      <c r="X63" s="73" t="s">
        <v>4</v>
      </c>
      <c r="Y63" s="74"/>
      <c r="Z63" s="74"/>
      <c r="AA63" s="74"/>
      <c r="AB63" s="75"/>
      <c r="AC63" s="73" t="s">
        <v>3</v>
      </c>
      <c r="AD63" s="74"/>
      <c r="AE63" s="74"/>
      <c r="AF63" s="74"/>
      <c r="AG63" s="75"/>
      <c r="AH63" s="96" t="s">
        <v>116</v>
      </c>
      <c r="AI63" s="97"/>
      <c r="AJ63" s="97"/>
      <c r="AK63" s="97"/>
      <c r="AL63" s="98"/>
      <c r="AM63" s="69" t="s">
        <v>5</v>
      </c>
      <c r="AN63" s="70"/>
      <c r="AO63" s="70"/>
      <c r="AP63" s="70"/>
      <c r="AQ63" s="71"/>
      <c r="AR63" s="69" t="s">
        <v>4</v>
      </c>
      <c r="AS63" s="70"/>
      <c r="AT63" s="70"/>
      <c r="AU63" s="70"/>
      <c r="AV63" s="71"/>
      <c r="AW63" s="69" t="s">
        <v>3</v>
      </c>
      <c r="AX63" s="70"/>
      <c r="AY63" s="70"/>
      <c r="AZ63" s="70"/>
      <c r="BA63" s="71"/>
      <c r="BB63" s="96" t="s">
        <v>116</v>
      </c>
      <c r="BC63" s="97"/>
      <c r="BD63" s="97"/>
      <c r="BE63" s="97"/>
      <c r="BF63" s="98"/>
      <c r="BG63" s="69" t="s">
        <v>96</v>
      </c>
      <c r="BH63" s="70"/>
      <c r="BI63" s="70"/>
      <c r="BJ63" s="70"/>
      <c r="BK63" s="71"/>
    </row>
    <row r="64" spans="1:79" ht="12.75" customHeight="1" x14ac:dyDescent="0.2">
      <c r="A64" s="69">
        <v>1</v>
      </c>
      <c r="B64" s="70"/>
      <c r="C64" s="70"/>
      <c r="D64" s="71"/>
      <c r="E64" s="69">
        <v>2</v>
      </c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1"/>
      <c r="X64" s="69">
        <v>3</v>
      </c>
      <c r="Y64" s="70"/>
      <c r="Z64" s="70"/>
      <c r="AA64" s="70"/>
      <c r="AB64" s="71"/>
      <c r="AC64" s="69">
        <v>4</v>
      </c>
      <c r="AD64" s="70"/>
      <c r="AE64" s="70"/>
      <c r="AF64" s="70"/>
      <c r="AG64" s="71"/>
      <c r="AH64" s="69">
        <v>5</v>
      </c>
      <c r="AI64" s="70"/>
      <c r="AJ64" s="70"/>
      <c r="AK64" s="70"/>
      <c r="AL64" s="71"/>
      <c r="AM64" s="69">
        <v>6</v>
      </c>
      <c r="AN64" s="70"/>
      <c r="AO64" s="70"/>
      <c r="AP64" s="70"/>
      <c r="AQ64" s="71"/>
      <c r="AR64" s="69">
        <v>7</v>
      </c>
      <c r="AS64" s="70"/>
      <c r="AT64" s="70"/>
      <c r="AU64" s="70"/>
      <c r="AV64" s="71"/>
      <c r="AW64" s="69">
        <v>8</v>
      </c>
      <c r="AX64" s="70"/>
      <c r="AY64" s="70"/>
      <c r="AZ64" s="70"/>
      <c r="BA64" s="71"/>
      <c r="BB64" s="69">
        <v>9</v>
      </c>
      <c r="BC64" s="70"/>
      <c r="BD64" s="70"/>
      <c r="BE64" s="70"/>
      <c r="BF64" s="71"/>
      <c r="BG64" s="69">
        <v>10</v>
      </c>
      <c r="BH64" s="70"/>
      <c r="BI64" s="70"/>
      <c r="BJ64" s="70"/>
      <c r="BK64" s="71"/>
    </row>
    <row r="65" spans="1:79" s="1" customFormat="1" ht="12.75" hidden="1" customHeight="1" x14ac:dyDescent="0.2">
      <c r="A65" s="83" t="s">
        <v>64</v>
      </c>
      <c r="B65" s="84"/>
      <c r="C65" s="84"/>
      <c r="D65" s="85"/>
      <c r="E65" s="83" t="s">
        <v>57</v>
      </c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5"/>
      <c r="X65" s="109" t="s">
        <v>60</v>
      </c>
      <c r="Y65" s="110"/>
      <c r="Z65" s="110"/>
      <c r="AA65" s="110"/>
      <c r="AB65" s="111"/>
      <c r="AC65" s="109" t="s">
        <v>61</v>
      </c>
      <c r="AD65" s="110"/>
      <c r="AE65" s="110"/>
      <c r="AF65" s="110"/>
      <c r="AG65" s="111"/>
      <c r="AH65" s="83" t="s">
        <v>94</v>
      </c>
      <c r="AI65" s="84"/>
      <c r="AJ65" s="84"/>
      <c r="AK65" s="84"/>
      <c r="AL65" s="85"/>
      <c r="AM65" s="93" t="s">
        <v>170</v>
      </c>
      <c r="AN65" s="94"/>
      <c r="AO65" s="94"/>
      <c r="AP65" s="94"/>
      <c r="AQ65" s="95"/>
      <c r="AR65" s="83" t="s">
        <v>62</v>
      </c>
      <c r="AS65" s="84"/>
      <c r="AT65" s="84"/>
      <c r="AU65" s="84"/>
      <c r="AV65" s="85"/>
      <c r="AW65" s="83" t="s">
        <v>63</v>
      </c>
      <c r="AX65" s="84"/>
      <c r="AY65" s="84"/>
      <c r="AZ65" s="84"/>
      <c r="BA65" s="85"/>
      <c r="BB65" s="83" t="s">
        <v>95</v>
      </c>
      <c r="BC65" s="84"/>
      <c r="BD65" s="84"/>
      <c r="BE65" s="84"/>
      <c r="BF65" s="85"/>
      <c r="BG65" s="93" t="s">
        <v>170</v>
      </c>
      <c r="BH65" s="94"/>
      <c r="BI65" s="94"/>
      <c r="BJ65" s="94"/>
      <c r="BK65" s="95"/>
      <c r="CA65" t="s">
        <v>29</v>
      </c>
    </row>
    <row r="66" spans="1:79" s="4" customFormat="1" ht="12.75" customHeight="1" x14ac:dyDescent="0.2">
      <c r="A66" s="28">
        <v>2730</v>
      </c>
      <c r="B66" s="29"/>
      <c r="C66" s="29"/>
      <c r="D66" s="108"/>
      <c r="E66" s="30" t="s">
        <v>174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2"/>
      <c r="X66" s="90">
        <v>943002</v>
      </c>
      <c r="Y66" s="91"/>
      <c r="Z66" s="91"/>
      <c r="AA66" s="91"/>
      <c r="AB66" s="92"/>
      <c r="AC66" s="90">
        <v>0</v>
      </c>
      <c r="AD66" s="91"/>
      <c r="AE66" s="91"/>
      <c r="AF66" s="91"/>
      <c r="AG66" s="92"/>
      <c r="AH66" s="90">
        <v>0</v>
      </c>
      <c r="AI66" s="91"/>
      <c r="AJ66" s="91"/>
      <c r="AK66" s="91"/>
      <c r="AL66" s="92"/>
      <c r="AM66" s="90">
        <f>IF(ISNUMBER(X66),X66,0)+IF(ISNUMBER(AC66),AC66,0)</f>
        <v>943002</v>
      </c>
      <c r="AN66" s="91"/>
      <c r="AO66" s="91"/>
      <c r="AP66" s="91"/>
      <c r="AQ66" s="92"/>
      <c r="AR66" s="90">
        <v>943002</v>
      </c>
      <c r="AS66" s="91"/>
      <c r="AT66" s="91"/>
      <c r="AU66" s="91"/>
      <c r="AV66" s="92"/>
      <c r="AW66" s="90">
        <v>0</v>
      </c>
      <c r="AX66" s="91"/>
      <c r="AY66" s="91"/>
      <c r="AZ66" s="91"/>
      <c r="BA66" s="92"/>
      <c r="BB66" s="90">
        <v>0</v>
      </c>
      <c r="BC66" s="91"/>
      <c r="BD66" s="91"/>
      <c r="BE66" s="91"/>
      <c r="BF66" s="92"/>
      <c r="BG66" s="89">
        <f>IF(ISNUMBER(AR66),AR66,0)+IF(ISNUMBER(AW66),AW66,0)</f>
        <v>943002</v>
      </c>
      <c r="BH66" s="89"/>
      <c r="BI66" s="89"/>
      <c r="BJ66" s="89"/>
      <c r="BK66" s="89"/>
      <c r="CA66" s="4" t="s">
        <v>30</v>
      </c>
    </row>
    <row r="67" spans="1:79" s="5" customFormat="1" ht="12.75" customHeight="1" x14ac:dyDescent="0.2">
      <c r="A67" s="37"/>
      <c r="B67" s="38"/>
      <c r="C67" s="38"/>
      <c r="D67" s="45"/>
      <c r="E67" s="23" t="s">
        <v>147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5"/>
      <c r="X67" s="41">
        <v>943002</v>
      </c>
      <c r="Y67" s="42"/>
      <c r="Z67" s="42"/>
      <c r="AA67" s="42"/>
      <c r="AB67" s="43"/>
      <c r="AC67" s="41">
        <v>0</v>
      </c>
      <c r="AD67" s="42"/>
      <c r="AE67" s="42"/>
      <c r="AF67" s="42"/>
      <c r="AG67" s="43"/>
      <c r="AH67" s="41">
        <v>0</v>
      </c>
      <c r="AI67" s="42"/>
      <c r="AJ67" s="42"/>
      <c r="AK67" s="42"/>
      <c r="AL67" s="43"/>
      <c r="AM67" s="41">
        <f>IF(ISNUMBER(X67),X67,0)+IF(ISNUMBER(AC67),AC67,0)</f>
        <v>943002</v>
      </c>
      <c r="AN67" s="42"/>
      <c r="AO67" s="42"/>
      <c r="AP67" s="42"/>
      <c r="AQ67" s="43"/>
      <c r="AR67" s="41">
        <v>943002</v>
      </c>
      <c r="AS67" s="42"/>
      <c r="AT67" s="42"/>
      <c r="AU67" s="42"/>
      <c r="AV67" s="43"/>
      <c r="AW67" s="41">
        <v>0</v>
      </c>
      <c r="AX67" s="42"/>
      <c r="AY67" s="42"/>
      <c r="AZ67" s="42"/>
      <c r="BA67" s="43"/>
      <c r="BB67" s="41">
        <v>0</v>
      </c>
      <c r="BC67" s="42"/>
      <c r="BD67" s="42"/>
      <c r="BE67" s="42"/>
      <c r="BF67" s="43"/>
      <c r="BG67" s="44">
        <f>IF(ISNUMBER(AR67),AR67,0)+IF(ISNUMBER(AW67),AW67,0)</f>
        <v>943002</v>
      </c>
      <c r="BH67" s="44"/>
      <c r="BI67" s="44"/>
      <c r="BJ67" s="44"/>
      <c r="BK67" s="44"/>
    </row>
    <row r="69" spans="1:79" ht="14.25" customHeight="1" x14ac:dyDescent="0.2">
      <c r="A69" s="56" t="s">
        <v>236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</row>
    <row r="70" spans="1:79" ht="15" customHeight="1" x14ac:dyDescent="0.2">
      <c r="A70" s="72" t="s">
        <v>207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</row>
    <row r="71" spans="1:79" ht="23.1" customHeight="1" x14ac:dyDescent="0.2">
      <c r="A71" s="102" t="s">
        <v>119</v>
      </c>
      <c r="B71" s="103"/>
      <c r="C71" s="103"/>
      <c r="D71" s="103"/>
      <c r="E71" s="104"/>
      <c r="F71" s="73" t="s">
        <v>19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5"/>
      <c r="X71" s="36" t="s">
        <v>229</v>
      </c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69" t="s">
        <v>234</v>
      </c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1"/>
    </row>
    <row r="72" spans="1:79" ht="53.25" customHeight="1" x14ac:dyDescent="0.2">
      <c r="A72" s="105"/>
      <c r="B72" s="106"/>
      <c r="C72" s="106"/>
      <c r="D72" s="106"/>
      <c r="E72" s="107"/>
      <c r="F72" s="76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8"/>
      <c r="X72" s="69" t="s">
        <v>4</v>
      </c>
      <c r="Y72" s="70"/>
      <c r="Z72" s="70"/>
      <c r="AA72" s="70"/>
      <c r="AB72" s="71"/>
      <c r="AC72" s="69" t="s">
        <v>3</v>
      </c>
      <c r="AD72" s="70"/>
      <c r="AE72" s="70"/>
      <c r="AF72" s="70"/>
      <c r="AG72" s="71"/>
      <c r="AH72" s="96" t="s">
        <v>116</v>
      </c>
      <c r="AI72" s="97"/>
      <c r="AJ72" s="97"/>
      <c r="AK72" s="97"/>
      <c r="AL72" s="98"/>
      <c r="AM72" s="69" t="s">
        <v>5</v>
      </c>
      <c r="AN72" s="70"/>
      <c r="AO72" s="70"/>
      <c r="AP72" s="70"/>
      <c r="AQ72" s="71"/>
      <c r="AR72" s="69" t="s">
        <v>4</v>
      </c>
      <c r="AS72" s="70"/>
      <c r="AT72" s="70"/>
      <c r="AU72" s="70"/>
      <c r="AV72" s="71"/>
      <c r="AW72" s="69" t="s">
        <v>3</v>
      </c>
      <c r="AX72" s="70"/>
      <c r="AY72" s="70"/>
      <c r="AZ72" s="70"/>
      <c r="BA72" s="71"/>
      <c r="BB72" s="63" t="s">
        <v>116</v>
      </c>
      <c r="BC72" s="63"/>
      <c r="BD72" s="63"/>
      <c r="BE72" s="63"/>
      <c r="BF72" s="63"/>
      <c r="BG72" s="69" t="s">
        <v>96</v>
      </c>
      <c r="BH72" s="70"/>
      <c r="BI72" s="70"/>
      <c r="BJ72" s="70"/>
      <c r="BK72" s="71"/>
    </row>
    <row r="73" spans="1:79" ht="15" customHeight="1" x14ac:dyDescent="0.2">
      <c r="A73" s="69">
        <v>1</v>
      </c>
      <c r="B73" s="70"/>
      <c r="C73" s="70"/>
      <c r="D73" s="70"/>
      <c r="E73" s="71"/>
      <c r="F73" s="69">
        <v>2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1"/>
      <c r="X73" s="69">
        <v>3</v>
      </c>
      <c r="Y73" s="70"/>
      <c r="Z73" s="70"/>
      <c r="AA73" s="70"/>
      <c r="AB73" s="71"/>
      <c r="AC73" s="69">
        <v>4</v>
      </c>
      <c r="AD73" s="70"/>
      <c r="AE73" s="70"/>
      <c r="AF73" s="70"/>
      <c r="AG73" s="71"/>
      <c r="AH73" s="69">
        <v>5</v>
      </c>
      <c r="AI73" s="70"/>
      <c r="AJ73" s="70"/>
      <c r="AK73" s="70"/>
      <c r="AL73" s="71"/>
      <c r="AM73" s="69">
        <v>6</v>
      </c>
      <c r="AN73" s="70"/>
      <c r="AO73" s="70"/>
      <c r="AP73" s="70"/>
      <c r="AQ73" s="71"/>
      <c r="AR73" s="69">
        <v>7</v>
      </c>
      <c r="AS73" s="70"/>
      <c r="AT73" s="70"/>
      <c r="AU73" s="70"/>
      <c r="AV73" s="71"/>
      <c r="AW73" s="69">
        <v>8</v>
      </c>
      <c r="AX73" s="70"/>
      <c r="AY73" s="70"/>
      <c r="AZ73" s="70"/>
      <c r="BA73" s="71"/>
      <c r="BB73" s="69">
        <v>9</v>
      </c>
      <c r="BC73" s="70"/>
      <c r="BD73" s="70"/>
      <c r="BE73" s="70"/>
      <c r="BF73" s="71"/>
      <c r="BG73" s="69">
        <v>10</v>
      </c>
      <c r="BH73" s="70"/>
      <c r="BI73" s="70"/>
      <c r="BJ73" s="70"/>
      <c r="BK73" s="71"/>
    </row>
    <row r="74" spans="1:79" s="1" customFormat="1" ht="15" hidden="1" customHeight="1" x14ac:dyDescent="0.2">
      <c r="A74" s="83" t="s">
        <v>64</v>
      </c>
      <c r="B74" s="84"/>
      <c r="C74" s="84"/>
      <c r="D74" s="84"/>
      <c r="E74" s="85"/>
      <c r="F74" s="83" t="s">
        <v>57</v>
      </c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5"/>
      <c r="X74" s="83" t="s">
        <v>60</v>
      </c>
      <c r="Y74" s="84"/>
      <c r="Z74" s="84"/>
      <c r="AA74" s="84"/>
      <c r="AB74" s="85"/>
      <c r="AC74" s="83" t="s">
        <v>61</v>
      </c>
      <c r="AD74" s="84"/>
      <c r="AE74" s="84"/>
      <c r="AF74" s="84"/>
      <c r="AG74" s="85"/>
      <c r="AH74" s="83" t="s">
        <v>94</v>
      </c>
      <c r="AI74" s="84"/>
      <c r="AJ74" s="84"/>
      <c r="AK74" s="84"/>
      <c r="AL74" s="85"/>
      <c r="AM74" s="93" t="s">
        <v>170</v>
      </c>
      <c r="AN74" s="94"/>
      <c r="AO74" s="94"/>
      <c r="AP74" s="94"/>
      <c r="AQ74" s="95"/>
      <c r="AR74" s="83" t="s">
        <v>62</v>
      </c>
      <c r="AS74" s="84"/>
      <c r="AT74" s="84"/>
      <c r="AU74" s="84"/>
      <c r="AV74" s="85"/>
      <c r="AW74" s="83" t="s">
        <v>63</v>
      </c>
      <c r="AX74" s="84"/>
      <c r="AY74" s="84"/>
      <c r="AZ74" s="84"/>
      <c r="BA74" s="85"/>
      <c r="BB74" s="83" t="s">
        <v>95</v>
      </c>
      <c r="BC74" s="84"/>
      <c r="BD74" s="84"/>
      <c r="BE74" s="84"/>
      <c r="BF74" s="85"/>
      <c r="BG74" s="93" t="s">
        <v>170</v>
      </c>
      <c r="BH74" s="94"/>
      <c r="BI74" s="94"/>
      <c r="BJ74" s="94"/>
      <c r="BK74" s="95"/>
      <c r="CA74" t="s">
        <v>31</v>
      </c>
    </row>
    <row r="75" spans="1:79" s="5" customFormat="1" ht="12.75" customHeight="1" x14ac:dyDescent="0.2">
      <c r="A75" s="37"/>
      <c r="B75" s="38"/>
      <c r="C75" s="38"/>
      <c r="D75" s="38"/>
      <c r="E75" s="45"/>
      <c r="F75" s="37" t="s">
        <v>147</v>
      </c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45"/>
      <c r="X75" s="99"/>
      <c r="Y75" s="100"/>
      <c r="Z75" s="100"/>
      <c r="AA75" s="100"/>
      <c r="AB75" s="101"/>
      <c r="AC75" s="99"/>
      <c r="AD75" s="100"/>
      <c r="AE75" s="100"/>
      <c r="AF75" s="100"/>
      <c r="AG75" s="101"/>
      <c r="AH75" s="44"/>
      <c r="AI75" s="44"/>
      <c r="AJ75" s="44"/>
      <c r="AK75" s="44"/>
      <c r="AL75" s="44"/>
      <c r="AM75" s="44">
        <f>IF(ISNUMBER(X75),X75,0)+IF(ISNUMBER(AC75),AC75,0)</f>
        <v>0</v>
      </c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>
        <f>IF(ISNUMBER(AR75),AR75,0)+IF(ISNUMBER(AW75),AW75,0)</f>
        <v>0</v>
      </c>
      <c r="BH75" s="44"/>
      <c r="BI75" s="44"/>
      <c r="BJ75" s="44"/>
      <c r="BK75" s="44"/>
      <c r="CA75" s="5" t="s">
        <v>32</v>
      </c>
    </row>
    <row r="77" spans="1:79" ht="14.25" customHeight="1" x14ac:dyDescent="0.2">
      <c r="A77" s="56" t="s">
        <v>120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</row>
    <row r="78" spans="1:79" ht="14.25" customHeight="1" x14ac:dyDescent="0.2">
      <c r="A78" s="56" t="s">
        <v>222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</row>
    <row r="79" spans="1:79" ht="15" customHeight="1" x14ac:dyDescent="0.2">
      <c r="A79" s="72" t="s">
        <v>207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</row>
    <row r="80" spans="1:79" ht="23.1" customHeight="1" x14ac:dyDescent="0.2">
      <c r="A80" s="73" t="s">
        <v>6</v>
      </c>
      <c r="B80" s="74"/>
      <c r="C80" s="74"/>
      <c r="D80" s="73" t="s">
        <v>121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5"/>
      <c r="U80" s="69" t="s">
        <v>208</v>
      </c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1"/>
      <c r="AN80" s="69" t="s">
        <v>211</v>
      </c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1"/>
      <c r="BG80" s="36" t="s">
        <v>219</v>
      </c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</row>
    <row r="81" spans="1:79" ht="52.5" customHeight="1" x14ac:dyDescent="0.2">
      <c r="A81" s="76"/>
      <c r="B81" s="77"/>
      <c r="C81" s="77"/>
      <c r="D81" s="76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8"/>
      <c r="U81" s="69" t="s">
        <v>4</v>
      </c>
      <c r="V81" s="70"/>
      <c r="W81" s="70"/>
      <c r="X81" s="70"/>
      <c r="Y81" s="71"/>
      <c r="Z81" s="69" t="s">
        <v>3</v>
      </c>
      <c r="AA81" s="70"/>
      <c r="AB81" s="70"/>
      <c r="AC81" s="70"/>
      <c r="AD81" s="71"/>
      <c r="AE81" s="96" t="s">
        <v>116</v>
      </c>
      <c r="AF81" s="97"/>
      <c r="AG81" s="97"/>
      <c r="AH81" s="98"/>
      <c r="AI81" s="69" t="s">
        <v>5</v>
      </c>
      <c r="AJ81" s="70"/>
      <c r="AK81" s="70"/>
      <c r="AL81" s="70"/>
      <c r="AM81" s="71"/>
      <c r="AN81" s="69" t="s">
        <v>4</v>
      </c>
      <c r="AO81" s="70"/>
      <c r="AP81" s="70"/>
      <c r="AQ81" s="70"/>
      <c r="AR81" s="71"/>
      <c r="AS81" s="69" t="s">
        <v>3</v>
      </c>
      <c r="AT81" s="70"/>
      <c r="AU81" s="70"/>
      <c r="AV81" s="70"/>
      <c r="AW81" s="71"/>
      <c r="AX81" s="96" t="s">
        <v>116</v>
      </c>
      <c r="AY81" s="97"/>
      <c r="AZ81" s="97"/>
      <c r="BA81" s="98"/>
      <c r="BB81" s="69" t="s">
        <v>96</v>
      </c>
      <c r="BC81" s="70"/>
      <c r="BD81" s="70"/>
      <c r="BE81" s="70"/>
      <c r="BF81" s="71"/>
      <c r="BG81" s="69" t="s">
        <v>4</v>
      </c>
      <c r="BH81" s="70"/>
      <c r="BI81" s="70"/>
      <c r="BJ81" s="70"/>
      <c r="BK81" s="71"/>
      <c r="BL81" s="36" t="s">
        <v>3</v>
      </c>
      <c r="BM81" s="36"/>
      <c r="BN81" s="36"/>
      <c r="BO81" s="36"/>
      <c r="BP81" s="36"/>
      <c r="BQ81" s="63" t="s">
        <v>116</v>
      </c>
      <c r="BR81" s="63"/>
      <c r="BS81" s="63"/>
      <c r="BT81" s="63"/>
      <c r="BU81" s="69" t="s">
        <v>97</v>
      </c>
      <c r="BV81" s="70"/>
      <c r="BW81" s="70"/>
      <c r="BX81" s="70"/>
      <c r="BY81" s="71"/>
    </row>
    <row r="82" spans="1:79" ht="15" customHeight="1" x14ac:dyDescent="0.2">
      <c r="A82" s="69">
        <v>1</v>
      </c>
      <c r="B82" s="70"/>
      <c r="C82" s="70"/>
      <c r="D82" s="69">
        <v>2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1"/>
      <c r="U82" s="69">
        <v>3</v>
      </c>
      <c r="V82" s="70"/>
      <c r="W82" s="70"/>
      <c r="X82" s="70"/>
      <c r="Y82" s="71"/>
      <c r="Z82" s="69">
        <v>4</v>
      </c>
      <c r="AA82" s="70"/>
      <c r="AB82" s="70"/>
      <c r="AC82" s="70"/>
      <c r="AD82" s="71"/>
      <c r="AE82" s="69">
        <v>5</v>
      </c>
      <c r="AF82" s="70"/>
      <c r="AG82" s="70"/>
      <c r="AH82" s="71"/>
      <c r="AI82" s="69">
        <v>6</v>
      </c>
      <c r="AJ82" s="70"/>
      <c r="AK82" s="70"/>
      <c r="AL82" s="70"/>
      <c r="AM82" s="71"/>
      <c r="AN82" s="69">
        <v>7</v>
      </c>
      <c r="AO82" s="70"/>
      <c r="AP82" s="70"/>
      <c r="AQ82" s="70"/>
      <c r="AR82" s="71"/>
      <c r="AS82" s="69">
        <v>8</v>
      </c>
      <c r="AT82" s="70"/>
      <c r="AU82" s="70"/>
      <c r="AV82" s="70"/>
      <c r="AW82" s="71"/>
      <c r="AX82" s="36">
        <v>9</v>
      </c>
      <c r="AY82" s="36"/>
      <c r="AZ82" s="36"/>
      <c r="BA82" s="36"/>
      <c r="BB82" s="69">
        <v>10</v>
      </c>
      <c r="BC82" s="70"/>
      <c r="BD82" s="70"/>
      <c r="BE82" s="70"/>
      <c r="BF82" s="71"/>
      <c r="BG82" s="69">
        <v>11</v>
      </c>
      <c r="BH82" s="70"/>
      <c r="BI82" s="70"/>
      <c r="BJ82" s="70"/>
      <c r="BK82" s="71"/>
      <c r="BL82" s="36">
        <v>12</v>
      </c>
      <c r="BM82" s="36"/>
      <c r="BN82" s="36"/>
      <c r="BO82" s="36"/>
      <c r="BP82" s="36"/>
      <c r="BQ82" s="69">
        <v>13</v>
      </c>
      <c r="BR82" s="70"/>
      <c r="BS82" s="70"/>
      <c r="BT82" s="71"/>
      <c r="BU82" s="69">
        <v>14</v>
      </c>
      <c r="BV82" s="70"/>
      <c r="BW82" s="70"/>
      <c r="BX82" s="70"/>
      <c r="BY82" s="71"/>
    </row>
    <row r="83" spans="1:79" s="1" customFormat="1" ht="14.25" hidden="1" customHeight="1" x14ac:dyDescent="0.2">
      <c r="A83" s="83" t="s">
        <v>69</v>
      </c>
      <c r="B83" s="84"/>
      <c r="C83" s="84"/>
      <c r="D83" s="83" t="s">
        <v>57</v>
      </c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5"/>
      <c r="U83" s="61" t="s">
        <v>65</v>
      </c>
      <c r="V83" s="61"/>
      <c r="W83" s="61"/>
      <c r="X83" s="61"/>
      <c r="Y83" s="61"/>
      <c r="Z83" s="61" t="s">
        <v>66</v>
      </c>
      <c r="AA83" s="61"/>
      <c r="AB83" s="61"/>
      <c r="AC83" s="61"/>
      <c r="AD83" s="61"/>
      <c r="AE83" s="61" t="s">
        <v>91</v>
      </c>
      <c r="AF83" s="61"/>
      <c r="AG83" s="61"/>
      <c r="AH83" s="61"/>
      <c r="AI83" s="79" t="s">
        <v>169</v>
      </c>
      <c r="AJ83" s="79"/>
      <c r="AK83" s="79"/>
      <c r="AL83" s="79"/>
      <c r="AM83" s="79"/>
      <c r="AN83" s="61" t="s">
        <v>67</v>
      </c>
      <c r="AO83" s="61"/>
      <c r="AP83" s="61"/>
      <c r="AQ83" s="61"/>
      <c r="AR83" s="61"/>
      <c r="AS83" s="61" t="s">
        <v>68</v>
      </c>
      <c r="AT83" s="61"/>
      <c r="AU83" s="61"/>
      <c r="AV83" s="61"/>
      <c r="AW83" s="61"/>
      <c r="AX83" s="61" t="s">
        <v>92</v>
      </c>
      <c r="AY83" s="61"/>
      <c r="AZ83" s="61"/>
      <c r="BA83" s="61"/>
      <c r="BB83" s="79" t="s">
        <v>169</v>
      </c>
      <c r="BC83" s="79"/>
      <c r="BD83" s="79"/>
      <c r="BE83" s="79"/>
      <c r="BF83" s="79"/>
      <c r="BG83" s="61" t="s">
        <v>58</v>
      </c>
      <c r="BH83" s="61"/>
      <c r="BI83" s="61"/>
      <c r="BJ83" s="61"/>
      <c r="BK83" s="61"/>
      <c r="BL83" s="61" t="s">
        <v>59</v>
      </c>
      <c r="BM83" s="61"/>
      <c r="BN83" s="61"/>
      <c r="BO83" s="61"/>
      <c r="BP83" s="61"/>
      <c r="BQ83" s="61" t="s">
        <v>93</v>
      </c>
      <c r="BR83" s="61"/>
      <c r="BS83" s="61"/>
      <c r="BT83" s="61"/>
      <c r="BU83" s="79" t="s">
        <v>169</v>
      </c>
      <c r="BV83" s="79"/>
      <c r="BW83" s="79"/>
      <c r="BX83" s="79"/>
      <c r="BY83" s="79"/>
      <c r="CA83" t="s">
        <v>33</v>
      </c>
    </row>
    <row r="84" spans="1:79" s="4" customFormat="1" ht="25.5" customHeight="1" x14ac:dyDescent="0.2">
      <c r="A84" s="28">
        <v>1</v>
      </c>
      <c r="B84" s="29"/>
      <c r="C84" s="29"/>
      <c r="D84" s="30" t="s">
        <v>175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2"/>
      <c r="U84" s="90">
        <v>223849</v>
      </c>
      <c r="V84" s="91"/>
      <c r="W84" s="91"/>
      <c r="X84" s="91"/>
      <c r="Y84" s="92"/>
      <c r="Z84" s="90">
        <v>0</v>
      </c>
      <c r="AA84" s="91"/>
      <c r="AB84" s="91"/>
      <c r="AC84" s="91"/>
      <c r="AD84" s="92"/>
      <c r="AE84" s="90">
        <v>0</v>
      </c>
      <c r="AF84" s="91"/>
      <c r="AG84" s="91"/>
      <c r="AH84" s="92"/>
      <c r="AI84" s="90">
        <f>IF(ISNUMBER(U84),U84,0)+IF(ISNUMBER(Z84),Z84,0)</f>
        <v>223849</v>
      </c>
      <c r="AJ84" s="91"/>
      <c r="AK84" s="91"/>
      <c r="AL84" s="91"/>
      <c r="AM84" s="92"/>
      <c r="AN84" s="90">
        <v>741292</v>
      </c>
      <c r="AO84" s="91"/>
      <c r="AP84" s="91"/>
      <c r="AQ84" s="91"/>
      <c r="AR84" s="92"/>
      <c r="AS84" s="90">
        <v>0</v>
      </c>
      <c r="AT84" s="91"/>
      <c r="AU84" s="91"/>
      <c r="AV84" s="91"/>
      <c r="AW84" s="92"/>
      <c r="AX84" s="90">
        <v>0</v>
      </c>
      <c r="AY84" s="91"/>
      <c r="AZ84" s="91"/>
      <c r="BA84" s="92"/>
      <c r="BB84" s="90">
        <f>IF(ISNUMBER(AN84),AN84,0)+IF(ISNUMBER(AS84),AS84,0)</f>
        <v>741292</v>
      </c>
      <c r="BC84" s="91"/>
      <c r="BD84" s="91"/>
      <c r="BE84" s="91"/>
      <c r="BF84" s="92"/>
      <c r="BG84" s="90">
        <v>943002</v>
      </c>
      <c r="BH84" s="91"/>
      <c r="BI84" s="91"/>
      <c r="BJ84" s="91"/>
      <c r="BK84" s="92"/>
      <c r="BL84" s="90">
        <v>0</v>
      </c>
      <c r="BM84" s="91"/>
      <c r="BN84" s="91"/>
      <c r="BO84" s="91"/>
      <c r="BP84" s="92"/>
      <c r="BQ84" s="90">
        <v>0</v>
      </c>
      <c r="BR84" s="91"/>
      <c r="BS84" s="91"/>
      <c r="BT84" s="92"/>
      <c r="BU84" s="90">
        <f>IF(ISNUMBER(BG84),BG84,0)+IF(ISNUMBER(BL84),BL84,0)</f>
        <v>943002</v>
      </c>
      <c r="BV84" s="91"/>
      <c r="BW84" s="91"/>
      <c r="BX84" s="91"/>
      <c r="BY84" s="92"/>
      <c r="CA84" s="4" t="s">
        <v>34</v>
      </c>
    </row>
    <row r="85" spans="1:79" s="5" customFormat="1" ht="12.75" customHeight="1" x14ac:dyDescent="0.2">
      <c r="A85" s="37"/>
      <c r="B85" s="38"/>
      <c r="C85" s="38"/>
      <c r="D85" s="23" t="s">
        <v>147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5"/>
      <c r="U85" s="41">
        <v>223849</v>
      </c>
      <c r="V85" s="42"/>
      <c r="W85" s="42"/>
      <c r="X85" s="42"/>
      <c r="Y85" s="43"/>
      <c r="Z85" s="41">
        <v>0</v>
      </c>
      <c r="AA85" s="42"/>
      <c r="AB85" s="42"/>
      <c r="AC85" s="42"/>
      <c r="AD85" s="43"/>
      <c r="AE85" s="41">
        <v>0</v>
      </c>
      <c r="AF85" s="42"/>
      <c r="AG85" s="42"/>
      <c r="AH85" s="43"/>
      <c r="AI85" s="41">
        <f>IF(ISNUMBER(U85),U85,0)+IF(ISNUMBER(Z85),Z85,0)</f>
        <v>223849</v>
      </c>
      <c r="AJ85" s="42"/>
      <c r="AK85" s="42"/>
      <c r="AL85" s="42"/>
      <c r="AM85" s="43"/>
      <c r="AN85" s="41">
        <v>741292</v>
      </c>
      <c r="AO85" s="42"/>
      <c r="AP85" s="42"/>
      <c r="AQ85" s="42"/>
      <c r="AR85" s="43"/>
      <c r="AS85" s="41">
        <v>0</v>
      </c>
      <c r="AT85" s="42"/>
      <c r="AU85" s="42"/>
      <c r="AV85" s="42"/>
      <c r="AW85" s="43"/>
      <c r="AX85" s="41">
        <v>0</v>
      </c>
      <c r="AY85" s="42"/>
      <c r="AZ85" s="42"/>
      <c r="BA85" s="43"/>
      <c r="BB85" s="41">
        <f>IF(ISNUMBER(AN85),AN85,0)+IF(ISNUMBER(AS85),AS85,0)</f>
        <v>741292</v>
      </c>
      <c r="BC85" s="42"/>
      <c r="BD85" s="42"/>
      <c r="BE85" s="42"/>
      <c r="BF85" s="43"/>
      <c r="BG85" s="41">
        <v>943002</v>
      </c>
      <c r="BH85" s="42"/>
      <c r="BI85" s="42"/>
      <c r="BJ85" s="42"/>
      <c r="BK85" s="43"/>
      <c r="BL85" s="41">
        <v>0</v>
      </c>
      <c r="BM85" s="42"/>
      <c r="BN85" s="42"/>
      <c r="BO85" s="42"/>
      <c r="BP85" s="43"/>
      <c r="BQ85" s="41">
        <v>0</v>
      </c>
      <c r="BR85" s="42"/>
      <c r="BS85" s="42"/>
      <c r="BT85" s="43"/>
      <c r="BU85" s="41">
        <f>IF(ISNUMBER(BG85),BG85,0)+IF(ISNUMBER(BL85),BL85,0)</f>
        <v>943002</v>
      </c>
      <c r="BV85" s="42"/>
      <c r="BW85" s="42"/>
      <c r="BX85" s="42"/>
      <c r="BY85" s="43"/>
    </row>
    <row r="87" spans="1:79" ht="14.25" customHeight="1" x14ac:dyDescent="0.2">
      <c r="A87" s="56" t="s">
        <v>237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</row>
    <row r="88" spans="1:79" ht="15" customHeight="1" x14ac:dyDescent="0.2">
      <c r="A88" s="62" t="s">
        <v>207</v>
      </c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</row>
    <row r="89" spans="1:79" ht="23.1" customHeight="1" x14ac:dyDescent="0.2">
      <c r="A89" s="73" t="s">
        <v>6</v>
      </c>
      <c r="B89" s="74"/>
      <c r="C89" s="74"/>
      <c r="D89" s="73" t="s">
        <v>121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5"/>
      <c r="U89" s="36" t="s">
        <v>229</v>
      </c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 t="s">
        <v>234</v>
      </c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</row>
    <row r="90" spans="1:79" ht="54" customHeight="1" x14ac:dyDescent="0.2">
      <c r="A90" s="76"/>
      <c r="B90" s="77"/>
      <c r="C90" s="77"/>
      <c r="D90" s="76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8"/>
      <c r="U90" s="69" t="s">
        <v>4</v>
      </c>
      <c r="V90" s="70"/>
      <c r="W90" s="70"/>
      <c r="X90" s="70"/>
      <c r="Y90" s="71"/>
      <c r="Z90" s="69" t="s">
        <v>3</v>
      </c>
      <c r="AA90" s="70"/>
      <c r="AB90" s="70"/>
      <c r="AC90" s="70"/>
      <c r="AD90" s="71"/>
      <c r="AE90" s="96" t="s">
        <v>116</v>
      </c>
      <c r="AF90" s="97"/>
      <c r="AG90" s="97"/>
      <c r="AH90" s="97"/>
      <c r="AI90" s="98"/>
      <c r="AJ90" s="69" t="s">
        <v>5</v>
      </c>
      <c r="AK90" s="70"/>
      <c r="AL90" s="70"/>
      <c r="AM90" s="70"/>
      <c r="AN90" s="71"/>
      <c r="AO90" s="69" t="s">
        <v>4</v>
      </c>
      <c r="AP90" s="70"/>
      <c r="AQ90" s="70"/>
      <c r="AR90" s="70"/>
      <c r="AS90" s="71"/>
      <c r="AT90" s="69" t="s">
        <v>3</v>
      </c>
      <c r="AU90" s="70"/>
      <c r="AV90" s="70"/>
      <c r="AW90" s="70"/>
      <c r="AX90" s="71"/>
      <c r="AY90" s="96" t="s">
        <v>116</v>
      </c>
      <c r="AZ90" s="97"/>
      <c r="BA90" s="97"/>
      <c r="BB90" s="97"/>
      <c r="BC90" s="98"/>
      <c r="BD90" s="36" t="s">
        <v>96</v>
      </c>
      <c r="BE90" s="36"/>
      <c r="BF90" s="36"/>
      <c r="BG90" s="36"/>
      <c r="BH90" s="36"/>
    </row>
    <row r="91" spans="1:79" ht="15" customHeight="1" x14ac:dyDescent="0.2">
      <c r="A91" s="69" t="s">
        <v>168</v>
      </c>
      <c r="B91" s="70"/>
      <c r="C91" s="70"/>
      <c r="D91" s="69">
        <v>2</v>
      </c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1"/>
      <c r="U91" s="69">
        <v>3</v>
      </c>
      <c r="V91" s="70"/>
      <c r="W91" s="70"/>
      <c r="X91" s="70"/>
      <c r="Y91" s="71"/>
      <c r="Z91" s="69">
        <v>4</v>
      </c>
      <c r="AA91" s="70"/>
      <c r="AB91" s="70"/>
      <c r="AC91" s="70"/>
      <c r="AD91" s="71"/>
      <c r="AE91" s="69">
        <v>5</v>
      </c>
      <c r="AF91" s="70"/>
      <c r="AG91" s="70"/>
      <c r="AH91" s="70"/>
      <c r="AI91" s="71"/>
      <c r="AJ91" s="69">
        <v>6</v>
      </c>
      <c r="AK91" s="70"/>
      <c r="AL91" s="70"/>
      <c r="AM91" s="70"/>
      <c r="AN91" s="71"/>
      <c r="AO91" s="69">
        <v>7</v>
      </c>
      <c r="AP91" s="70"/>
      <c r="AQ91" s="70"/>
      <c r="AR91" s="70"/>
      <c r="AS91" s="71"/>
      <c r="AT91" s="69">
        <v>8</v>
      </c>
      <c r="AU91" s="70"/>
      <c r="AV91" s="70"/>
      <c r="AW91" s="70"/>
      <c r="AX91" s="71"/>
      <c r="AY91" s="69">
        <v>9</v>
      </c>
      <c r="AZ91" s="70"/>
      <c r="BA91" s="70"/>
      <c r="BB91" s="70"/>
      <c r="BC91" s="71"/>
      <c r="BD91" s="69">
        <v>10</v>
      </c>
      <c r="BE91" s="70"/>
      <c r="BF91" s="70"/>
      <c r="BG91" s="70"/>
      <c r="BH91" s="71"/>
    </row>
    <row r="92" spans="1:79" s="1" customFormat="1" ht="12.75" hidden="1" customHeight="1" x14ac:dyDescent="0.2">
      <c r="A92" s="83" t="s">
        <v>69</v>
      </c>
      <c r="B92" s="84"/>
      <c r="C92" s="84"/>
      <c r="D92" s="83" t="s">
        <v>57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5"/>
      <c r="U92" s="83" t="s">
        <v>60</v>
      </c>
      <c r="V92" s="84"/>
      <c r="W92" s="84"/>
      <c r="X92" s="84"/>
      <c r="Y92" s="85"/>
      <c r="Z92" s="83" t="s">
        <v>61</v>
      </c>
      <c r="AA92" s="84"/>
      <c r="AB92" s="84"/>
      <c r="AC92" s="84"/>
      <c r="AD92" s="85"/>
      <c r="AE92" s="83" t="s">
        <v>94</v>
      </c>
      <c r="AF92" s="84"/>
      <c r="AG92" s="84"/>
      <c r="AH92" s="84"/>
      <c r="AI92" s="85"/>
      <c r="AJ92" s="93" t="s">
        <v>170</v>
      </c>
      <c r="AK92" s="94"/>
      <c r="AL92" s="94"/>
      <c r="AM92" s="94"/>
      <c r="AN92" s="95"/>
      <c r="AO92" s="83" t="s">
        <v>62</v>
      </c>
      <c r="AP92" s="84"/>
      <c r="AQ92" s="84"/>
      <c r="AR92" s="84"/>
      <c r="AS92" s="85"/>
      <c r="AT92" s="83" t="s">
        <v>63</v>
      </c>
      <c r="AU92" s="84"/>
      <c r="AV92" s="84"/>
      <c r="AW92" s="84"/>
      <c r="AX92" s="85"/>
      <c r="AY92" s="83" t="s">
        <v>95</v>
      </c>
      <c r="AZ92" s="84"/>
      <c r="BA92" s="84"/>
      <c r="BB92" s="84"/>
      <c r="BC92" s="85"/>
      <c r="BD92" s="79" t="s">
        <v>170</v>
      </c>
      <c r="BE92" s="79"/>
      <c r="BF92" s="79"/>
      <c r="BG92" s="79"/>
      <c r="BH92" s="79"/>
      <c r="CA92" s="1" t="s">
        <v>35</v>
      </c>
    </row>
    <row r="93" spans="1:79" s="4" customFormat="1" ht="25.5" customHeight="1" x14ac:dyDescent="0.2">
      <c r="A93" s="28">
        <v>1</v>
      </c>
      <c r="B93" s="29"/>
      <c r="C93" s="29"/>
      <c r="D93" s="30" t="s">
        <v>175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2"/>
      <c r="U93" s="90">
        <v>943002</v>
      </c>
      <c r="V93" s="91"/>
      <c r="W93" s="91"/>
      <c r="X93" s="91"/>
      <c r="Y93" s="92"/>
      <c r="Z93" s="90">
        <v>0</v>
      </c>
      <c r="AA93" s="91"/>
      <c r="AB93" s="91"/>
      <c r="AC93" s="91"/>
      <c r="AD93" s="92"/>
      <c r="AE93" s="89">
        <v>0</v>
      </c>
      <c r="AF93" s="89"/>
      <c r="AG93" s="89"/>
      <c r="AH93" s="89"/>
      <c r="AI93" s="89"/>
      <c r="AJ93" s="60">
        <f>IF(ISNUMBER(U93),U93,0)+IF(ISNUMBER(Z93),Z93,0)</f>
        <v>943002</v>
      </c>
      <c r="AK93" s="60"/>
      <c r="AL93" s="60"/>
      <c r="AM93" s="60"/>
      <c r="AN93" s="60"/>
      <c r="AO93" s="89">
        <v>943002</v>
      </c>
      <c r="AP93" s="89"/>
      <c r="AQ93" s="89"/>
      <c r="AR93" s="89"/>
      <c r="AS93" s="89"/>
      <c r="AT93" s="60">
        <v>0</v>
      </c>
      <c r="AU93" s="60"/>
      <c r="AV93" s="60"/>
      <c r="AW93" s="60"/>
      <c r="AX93" s="60"/>
      <c r="AY93" s="89">
        <v>0</v>
      </c>
      <c r="AZ93" s="89"/>
      <c r="BA93" s="89"/>
      <c r="BB93" s="89"/>
      <c r="BC93" s="89"/>
      <c r="BD93" s="60">
        <f>IF(ISNUMBER(AO93),AO93,0)+IF(ISNUMBER(AT93),AT93,0)</f>
        <v>943002</v>
      </c>
      <c r="BE93" s="60"/>
      <c r="BF93" s="60"/>
      <c r="BG93" s="60"/>
      <c r="BH93" s="60"/>
      <c r="CA93" s="4" t="s">
        <v>36</v>
      </c>
    </row>
    <row r="94" spans="1:79" s="5" customFormat="1" ht="12.75" customHeight="1" x14ac:dyDescent="0.2">
      <c r="A94" s="37"/>
      <c r="B94" s="38"/>
      <c r="C94" s="38"/>
      <c r="D94" s="23" t="s">
        <v>147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5"/>
      <c r="U94" s="41">
        <v>943002</v>
      </c>
      <c r="V94" s="42"/>
      <c r="W94" s="42"/>
      <c r="X94" s="42"/>
      <c r="Y94" s="43"/>
      <c r="Z94" s="41">
        <v>0</v>
      </c>
      <c r="AA94" s="42"/>
      <c r="AB94" s="42"/>
      <c r="AC94" s="42"/>
      <c r="AD94" s="43"/>
      <c r="AE94" s="44">
        <v>0</v>
      </c>
      <c r="AF94" s="44"/>
      <c r="AG94" s="44"/>
      <c r="AH94" s="44"/>
      <c r="AI94" s="44"/>
      <c r="AJ94" s="22">
        <f>IF(ISNUMBER(U94),U94,0)+IF(ISNUMBER(Z94),Z94,0)</f>
        <v>943002</v>
      </c>
      <c r="AK94" s="22"/>
      <c r="AL94" s="22"/>
      <c r="AM94" s="22"/>
      <c r="AN94" s="22"/>
      <c r="AO94" s="44">
        <v>943002</v>
      </c>
      <c r="AP94" s="44"/>
      <c r="AQ94" s="44"/>
      <c r="AR94" s="44"/>
      <c r="AS94" s="44"/>
      <c r="AT94" s="22">
        <v>0</v>
      </c>
      <c r="AU94" s="22"/>
      <c r="AV94" s="22"/>
      <c r="AW94" s="22"/>
      <c r="AX94" s="22"/>
      <c r="AY94" s="44">
        <v>0</v>
      </c>
      <c r="AZ94" s="44"/>
      <c r="BA94" s="44"/>
      <c r="BB94" s="44"/>
      <c r="BC94" s="44"/>
      <c r="BD94" s="22">
        <f>IF(ISNUMBER(AO94),AO94,0)+IF(ISNUMBER(AT94),AT94,0)</f>
        <v>943002</v>
      </c>
      <c r="BE94" s="22"/>
      <c r="BF94" s="22"/>
      <c r="BG94" s="22"/>
      <c r="BH94" s="22"/>
    </row>
    <row r="96" spans="1:79" ht="14.25" customHeight="1" x14ac:dyDescent="0.2">
      <c r="A96" s="56" t="s">
        <v>152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</row>
    <row r="97" spans="1:79" ht="14.25" customHeight="1" x14ac:dyDescent="0.2">
      <c r="A97" s="56" t="s">
        <v>223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</row>
    <row r="98" spans="1:79" ht="23.1" customHeight="1" x14ac:dyDescent="0.2">
      <c r="A98" s="73" t="s">
        <v>6</v>
      </c>
      <c r="B98" s="74"/>
      <c r="C98" s="74"/>
      <c r="D98" s="36" t="s">
        <v>9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 t="s">
        <v>8</v>
      </c>
      <c r="R98" s="36"/>
      <c r="S98" s="36"/>
      <c r="T98" s="36"/>
      <c r="U98" s="36"/>
      <c r="V98" s="36" t="s">
        <v>7</v>
      </c>
      <c r="W98" s="36"/>
      <c r="X98" s="36"/>
      <c r="Y98" s="36"/>
      <c r="Z98" s="36"/>
      <c r="AA98" s="36"/>
      <c r="AB98" s="36"/>
      <c r="AC98" s="36"/>
      <c r="AD98" s="36"/>
      <c r="AE98" s="36"/>
      <c r="AF98" s="69" t="s">
        <v>208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1"/>
      <c r="AU98" s="69" t="s">
        <v>211</v>
      </c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1"/>
      <c r="BJ98" s="69" t="s">
        <v>219</v>
      </c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1"/>
    </row>
    <row r="99" spans="1:79" ht="32.25" customHeight="1" x14ac:dyDescent="0.2">
      <c r="A99" s="76"/>
      <c r="B99" s="77"/>
      <c r="C99" s="77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 t="s">
        <v>4</v>
      </c>
      <c r="AG99" s="36"/>
      <c r="AH99" s="36"/>
      <c r="AI99" s="36"/>
      <c r="AJ99" s="36"/>
      <c r="AK99" s="36" t="s">
        <v>3</v>
      </c>
      <c r="AL99" s="36"/>
      <c r="AM99" s="36"/>
      <c r="AN99" s="36"/>
      <c r="AO99" s="36"/>
      <c r="AP99" s="36" t="s">
        <v>123</v>
      </c>
      <c r="AQ99" s="36"/>
      <c r="AR99" s="36"/>
      <c r="AS99" s="36"/>
      <c r="AT99" s="36"/>
      <c r="AU99" s="36" t="s">
        <v>4</v>
      </c>
      <c r="AV99" s="36"/>
      <c r="AW99" s="36"/>
      <c r="AX99" s="36"/>
      <c r="AY99" s="36"/>
      <c r="AZ99" s="36" t="s">
        <v>3</v>
      </c>
      <c r="BA99" s="36"/>
      <c r="BB99" s="36"/>
      <c r="BC99" s="36"/>
      <c r="BD99" s="36"/>
      <c r="BE99" s="36" t="s">
        <v>90</v>
      </c>
      <c r="BF99" s="36"/>
      <c r="BG99" s="36"/>
      <c r="BH99" s="36"/>
      <c r="BI99" s="36"/>
      <c r="BJ99" s="36" t="s">
        <v>4</v>
      </c>
      <c r="BK99" s="36"/>
      <c r="BL99" s="36"/>
      <c r="BM99" s="36"/>
      <c r="BN99" s="36"/>
      <c r="BO99" s="36" t="s">
        <v>3</v>
      </c>
      <c r="BP99" s="36"/>
      <c r="BQ99" s="36"/>
      <c r="BR99" s="36"/>
      <c r="BS99" s="36"/>
      <c r="BT99" s="36" t="s">
        <v>97</v>
      </c>
      <c r="BU99" s="36"/>
      <c r="BV99" s="36"/>
      <c r="BW99" s="36"/>
      <c r="BX99" s="36"/>
    </row>
    <row r="100" spans="1:79" ht="15" customHeight="1" x14ac:dyDescent="0.2">
      <c r="A100" s="69">
        <v>1</v>
      </c>
      <c r="B100" s="70"/>
      <c r="C100" s="70"/>
      <c r="D100" s="36">
        <v>2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>
        <v>3</v>
      </c>
      <c r="R100" s="36"/>
      <c r="S100" s="36"/>
      <c r="T100" s="36"/>
      <c r="U100" s="36"/>
      <c r="V100" s="36">
        <v>4</v>
      </c>
      <c r="W100" s="36"/>
      <c r="X100" s="36"/>
      <c r="Y100" s="36"/>
      <c r="Z100" s="36"/>
      <c r="AA100" s="36"/>
      <c r="AB100" s="36"/>
      <c r="AC100" s="36"/>
      <c r="AD100" s="36"/>
      <c r="AE100" s="36"/>
      <c r="AF100" s="36">
        <v>5</v>
      </c>
      <c r="AG100" s="36"/>
      <c r="AH100" s="36"/>
      <c r="AI100" s="36"/>
      <c r="AJ100" s="36"/>
      <c r="AK100" s="36">
        <v>6</v>
      </c>
      <c r="AL100" s="36"/>
      <c r="AM100" s="36"/>
      <c r="AN100" s="36"/>
      <c r="AO100" s="36"/>
      <c r="AP100" s="36">
        <v>7</v>
      </c>
      <c r="AQ100" s="36"/>
      <c r="AR100" s="36"/>
      <c r="AS100" s="36"/>
      <c r="AT100" s="36"/>
      <c r="AU100" s="36">
        <v>8</v>
      </c>
      <c r="AV100" s="36"/>
      <c r="AW100" s="36"/>
      <c r="AX100" s="36"/>
      <c r="AY100" s="36"/>
      <c r="AZ100" s="36">
        <v>9</v>
      </c>
      <c r="BA100" s="36"/>
      <c r="BB100" s="36"/>
      <c r="BC100" s="36"/>
      <c r="BD100" s="36"/>
      <c r="BE100" s="36">
        <v>10</v>
      </c>
      <c r="BF100" s="36"/>
      <c r="BG100" s="36"/>
      <c r="BH100" s="36"/>
      <c r="BI100" s="36"/>
      <c r="BJ100" s="36">
        <v>11</v>
      </c>
      <c r="BK100" s="36"/>
      <c r="BL100" s="36"/>
      <c r="BM100" s="36"/>
      <c r="BN100" s="36"/>
      <c r="BO100" s="36">
        <v>12</v>
      </c>
      <c r="BP100" s="36"/>
      <c r="BQ100" s="36"/>
      <c r="BR100" s="36"/>
      <c r="BS100" s="36"/>
      <c r="BT100" s="36">
        <v>13</v>
      </c>
      <c r="BU100" s="36"/>
      <c r="BV100" s="36"/>
      <c r="BW100" s="36"/>
      <c r="BX100" s="36"/>
    </row>
    <row r="101" spans="1:79" ht="10.5" hidden="1" customHeight="1" x14ac:dyDescent="0.2">
      <c r="A101" s="83" t="s">
        <v>154</v>
      </c>
      <c r="B101" s="84"/>
      <c r="C101" s="84"/>
      <c r="D101" s="36" t="s">
        <v>57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 t="s">
        <v>70</v>
      </c>
      <c r="R101" s="36"/>
      <c r="S101" s="36"/>
      <c r="T101" s="36"/>
      <c r="U101" s="36"/>
      <c r="V101" s="36" t="s">
        <v>71</v>
      </c>
      <c r="W101" s="36"/>
      <c r="X101" s="36"/>
      <c r="Y101" s="36"/>
      <c r="Z101" s="36"/>
      <c r="AA101" s="36"/>
      <c r="AB101" s="36"/>
      <c r="AC101" s="36"/>
      <c r="AD101" s="36"/>
      <c r="AE101" s="36"/>
      <c r="AF101" s="61" t="s">
        <v>111</v>
      </c>
      <c r="AG101" s="61"/>
      <c r="AH101" s="61"/>
      <c r="AI101" s="61"/>
      <c r="AJ101" s="61"/>
      <c r="AK101" s="58" t="s">
        <v>112</v>
      </c>
      <c r="AL101" s="58"/>
      <c r="AM101" s="58"/>
      <c r="AN101" s="58"/>
      <c r="AO101" s="58"/>
      <c r="AP101" s="79" t="s">
        <v>177</v>
      </c>
      <c r="AQ101" s="79"/>
      <c r="AR101" s="79"/>
      <c r="AS101" s="79"/>
      <c r="AT101" s="79"/>
      <c r="AU101" s="61" t="s">
        <v>113</v>
      </c>
      <c r="AV101" s="61"/>
      <c r="AW101" s="61"/>
      <c r="AX101" s="61"/>
      <c r="AY101" s="61"/>
      <c r="AZ101" s="58" t="s">
        <v>114</v>
      </c>
      <c r="BA101" s="58"/>
      <c r="BB101" s="58"/>
      <c r="BC101" s="58"/>
      <c r="BD101" s="58"/>
      <c r="BE101" s="79" t="s">
        <v>177</v>
      </c>
      <c r="BF101" s="79"/>
      <c r="BG101" s="79"/>
      <c r="BH101" s="79"/>
      <c r="BI101" s="79"/>
      <c r="BJ101" s="61" t="s">
        <v>105</v>
      </c>
      <c r="BK101" s="61"/>
      <c r="BL101" s="61"/>
      <c r="BM101" s="61"/>
      <c r="BN101" s="61"/>
      <c r="BO101" s="58" t="s">
        <v>106</v>
      </c>
      <c r="BP101" s="58"/>
      <c r="BQ101" s="58"/>
      <c r="BR101" s="58"/>
      <c r="BS101" s="58"/>
      <c r="BT101" s="79" t="s">
        <v>177</v>
      </c>
      <c r="BU101" s="79"/>
      <c r="BV101" s="79"/>
      <c r="BW101" s="79"/>
      <c r="BX101" s="79"/>
      <c r="CA101" t="s">
        <v>37</v>
      </c>
    </row>
    <row r="102" spans="1:79" s="5" customFormat="1" ht="15" customHeight="1" x14ac:dyDescent="0.2">
      <c r="A102" s="37">
        <v>0</v>
      </c>
      <c r="B102" s="38"/>
      <c r="C102" s="38"/>
      <c r="D102" s="40" t="s">
        <v>176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CA102" s="5" t="s">
        <v>38</v>
      </c>
    </row>
    <row r="103" spans="1:79" s="4" customFormat="1" ht="42.75" customHeight="1" x14ac:dyDescent="0.2">
      <c r="A103" s="28">
        <v>1</v>
      </c>
      <c r="B103" s="29"/>
      <c r="C103" s="29"/>
      <c r="D103" s="35" t="s">
        <v>178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2"/>
      <c r="Q103" s="36" t="s">
        <v>179</v>
      </c>
      <c r="R103" s="36"/>
      <c r="S103" s="36"/>
      <c r="T103" s="36"/>
      <c r="U103" s="36"/>
      <c r="V103" s="36" t="s">
        <v>180</v>
      </c>
      <c r="W103" s="36"/>
      <c r="X103" s="36"/>
      <c r="Y103" s="36"/>
      <c r="Z103" s="36"/>
      <c r="AA103" s="36"/>
      <c r="AB103" s="36"/>
      <c r="AC103" s="36"/>
      <c r="AD103" s="36"/>
      <c r="AE103" s="36"/>
      <c r="AF103" s="27">
        <v>223849</v>
      </c>
      <c r="AG103" s="27"/>
      <c r="AH103" s="27"/>
      <c r="AI103" s="27"/>
      <c r="AJ103" s="27"/>
      <c r="AK103" s="27">
        <v>0</v>
      </c>
      <c r="AL103" s="27"/>
      <c r="AM103" s="27"/>
      <c r="AN103" s="27"/>
      <c r="AO103" s="27"/>
      <c r="AP103" s="27">
        <v>223849</v>
      </c>
      <c r="AQ103" s="27"/>
      <c r="AR103" s="27"/>
      <c r="AS103" s="27"/>
      <c r="AT103" s="27"/>
      <c r="AU103" s="27">
        <v>741292</v>
      </c>
      <c r="AV103" s="27"/>
      <c r="AW103" s="27"/>
      <c r="AX103" s="27"/>
      <c r="AY103" s="27"/>
      <c r="AZ103" s="27">
        <v>0</v>
      </c>
      <c r="BA103" s="27"/>
      <c r="BB103" s="27"/>
      <c r="BC103" s="27"/>
      <c r="BD103" s="27"/>
      <c r="BE103" s="27">
        <v>741292</v>
      </c>
      <c r="BF103" s="27"/>
      <c r="BG103" s="27"/>
      <c r="BH103" s="27"/>
      <c r="BI103" s="27"/>
      <c r="BJ103" s="27">
        <v>943002</v>
      </c>
      <c r="BK103" s="27"/>
      <c r="BL103" s="27"/>
      <c r="BM103" s="27"/>
      <c r="BN103" s="27"/>
      <c r="BO103" s="27">
        <v>0</v>
      </c>
      <c r="BP103" s="27"/>
      <c r="BQ103" s="27"/>
      <c r="BR103" s="27"/>
      <c r="BS103" s="27"/>
      <c r="BT103" s="27">
        <v>943002</v>
      </c>
      <c r="BU103" s="27"/>
      <c r="BV103" s="27"/>
      <c r="BW103" s="27"/>
      <c r="BX103" s="27"/>
    </row>
    <row r="104" spans="1:79" s="5" customFormat="1" ht="15" customHeight="1" x14ac:dyDescent="0.2">
      <c r="A104" s="37">
        <v>0</v>
      </c>
      <c r="B104" s="38"/>
      <c r="C104" s="38"/>
      <c r="D104" s="39" t="s">
        <v>181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5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</row>
    <row r="105" spans="1:79" s="5" customFormat="1" ht="28.5" customHeight="1" x14ac:dyDescent="0.2">
      <c r="A105" s="37">
        <v>0</v>
      </c>
      <c r="B105" s="38"/>
      <c r="C105" s="38"/>
      <c r="D105" s="39" t="s">
        <v>182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5"/>
      <c r="Q105" s="40" t="s">
        <v>183</v>
      </c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34">
        <v>14</v>
      </c>
      <c r="AG105" s="34"/>
      <c r="AH105" s="34"/>
      <c r="AI105" s="34"/>
      <c r="AJ105" s="34"/>
      <c r="AK105" s="34">
        <v>0</v>
      </c>
      <c r="AL105" s="34"/>
      <c r="AM105" s="34"/>
      <c r="AN105" s="34"/>
      <c r="AO105" s="34"/>
      <c r="AP105" s="34">
        <v>14</v>
      </c>
      <c r="AQ105" s="34"/>
      <c r="AR105" s="34"/>
      <c r="AS105" s="34"/>
      <c r="AT105" s="34"/>
      <c r="AU105" s="34">
        <v>27</v>
      </c>
      <c r="AV105" s="34"/>
      <c r="AW105" s="34"/>
      <c r="AX105" s="34"/>
      <c r="AY105" s="34"/>
      <c r="AZ105" s="34">
        <v>0</v>
      </c>
      <c r="BA105" s="34"/>
      <c r="BB105" s="34"/>
      <c r="BC105" s="34"/>
      <c r="BD105" s="34"/>
      <c r="BE105" s="34">
        <v>27</v>
      </c>
      <c r="BF105" s="34"/>
      <c r="BG105" s="34"/>
      <c r="BH105" s="34"/>
      <c r="BI105" s="34"/>
      <c r="BJ105" s="34">
        <v>34</v>
      </c>
      <c r="BK105" s="34"/>
      <c r="BL105" s="34"/>
      <c r="BM105" s="34"/>
      <c r="BN105" s="34"/>
      <c r="BO105" s="34">
        <v>0</v>
      </c>
      <c r="BP105" s="34"/>
      <c r="BQ105" s="34"/>
      <c r="BR105" s="34"/>
      <c r="BS105" s="34"/>
      <c r="BT105" s="34">
        <v>34</v>
      </c>
      <c r="BU105" s="34"/>
      <c r="BV105" s="34"/>
      <c r="BW105" s="34"/>
      <c r="BX105" s="34"/>
    </row>
    <row r="106" spans="1:79" s="4" customFormat="1" ht="15" customHeight="1" x14ac:dyDescent="0.2">
      <c r="A106" s="28">
        <v>1</v>
      </c>
      <c r="B106" s="29"/>
      <c r="C106" s="29"/>
      <c r="D106" s="35" t="s">
        <v>184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2"/>
      <c r="Q106" s="36" t="s">
        <v>183</v>
      </c>
      <c r="R106" s="36"/>
      <c r="S106" s="36"/>
      <c r="T106" s="36"/>
      <c r="U106" s="36"/>
      <c r="V106" s="36" t="s">
        <v>185</v>
      </c>
      <c r="W106" s="36"/>
      <c r="X106" s="36"/>
      <c r="Y106" s="36"/>
      <c r="Z106" s="36"/>
      <c r="AA106" s="36"/>
      <c r="AB106" s="36"/>
      <c r="AC106" s="36"/>
      <c r="AD106" s="36"/>
      <c r="AE106" s="36"/>
      <c r="AF106" s="27">
        <v>8</v>
      </c>
      <c r="AG106" s="27"/>
      <c r="AH106" s="27"/>
      <c r="AI106" s="27"/>
      <c r="AJ106" s="27"/>
      <c r="AK106" s="27">
        <v>0</v>
      </c>
      <c r="AL106" s="27"/>
      <c r="AM106" s="27"/>
      <c r="AN106" s="27"/>
      <c r="AO106" s="27"/>
      <c r="AP106" s="27">
        <v>8</v>
      </c>
      <c r="AQ106" s="27"/>
      <c r="AR106" s="27"/>
      <c r="AS106" s="27"/>
      <c r="AT106" s="27"/>
      <c r="AU106" s="27">
        <v>17</v>
      </c>
      <c r="AV106" s="27"/>
      <c r="AW106" s="27"/>
      <c r="AX106" s="27"/>
      <c r="AY106" s="27"/>
      <c r="AZ106" s="27">
        <v>0</v>
      </c>
      <c r="BA106" s="27"/>
      <c r="BB106" s="27"/>
      <c r="BC106" s="27"/>
      <c r="BD106" s="27"/>
      <c r="BE106" s="27">
        <v>17</v>
      </c>
      <c r="BF106" s="27"/>
      <c r="BG106" s="27"/>
      <c r="BH106" s="27"/>
      <c r="BI106" s="27"/>
      <c r="BJ106" s="27">
        <v>23</v>
      </c>
      <c r="BK106" s="27"/>
      <c r="BL106" s="27"/>
      <c r="BM106" s="27"/>
      <c r="BN106" s="27"/>
      <c r="BO106" s="27">
        <v>0</v>
      </c>
      <c r="BP106" s="27"/>
      <c r="BQ106" s="27"/>
      <c r="BR106" s="27"/>
      <c r="BS106" s="27"/>
      <c r="BT106" s="27">
        <v>23</v>
      </c>
      <c r="BU106" s="27"/>
      <c r="BV106" s="27"/>
      <c r="BW106" s="27"/>
      <c r="BX106" s="27"/>
    </row>
    <row r="107" spans="1:79" s="5" customFormat="1" ht="30" customHeight="1" x14ac:dyDescent="0.2">
      <c r="A107" s="37">
        <v>0</v>
      </c>
      <c r="B107" s="38"/>
      <c r="C107" s="38"/>
      <c r="D107" s="39" t="s">
        <v>182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5"/>
      <c r="Q107" s="40" t="s">
        <v>183</v>
      </c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34">
        <v>14</v>
      </c>
      <c r="AG107" s="34"/>
      <c r="AH107" s="34"/>
      <c r="AI107" s="34"/>
      <c r="AJ107" s="34"/>
      <c r="AK107" s="34">
        <v>0</v>
      </c>
      <c r="AL107" s="34"/>
      <c r="AM107" s="34"/>
      <c r="AN107" s="34"/>
      <c r="AO107" s="34"/>
      <c r="AP107" s="34">
        <v>14</v>
      </c>
      <c r="AQ107" s="34"/>
      <c r="AR107" s="34"/>
      <c r="AS107" s="34"/>
      <c r="AT107" s="34"/>
      <c r="AU107" s="34">
        <v>27</v>
      </c>
      <c r="AV107" s="34"/>
      <c r="AW107" s="34"/>
      <c r="AX107" s="34"/>
      <c r="AY107" s="34"/>
      <c r="AZ107" s="34">
        <v>0</v>
      </c>
      <c r="BA107" s="34"/>
      <c r="BB107" s="34"/>
      <c r="BC107" s="34"/>
      <c r="BD107" s="34"/>
      <c r="BE107" s="34">
        <v>27</v>
      </c>
      <c r="BF107" s="34"/>
      <c r="BG107" s="34"/>
      <c r="BH107" s="34"/>
      <c r="BI107" s="34"/>
      <c r="BJ107" s="34">
        <v>34</v>
      </c>
      <c r="BK107" s="34"/>
      <c r="BL107" s="34"/>
      <c r="BM107" s="34"/>
      <c r="BN107" s="34"/>
      <c r="BO107" s="34">
        <v>0</v>
      </c>
      <c r="BP107" s="34"/>
      <c r="BQ107" s="34"/>
      <c r="BR107" s="34"/>
      <c r="BS107" s="34"/>
      <c r="BT107" s="34">
        <v>34</v>
      </c>
      <c r="BU107" s="34"/>
      <c r="BV107" s="34"/>
      <c r="BW107" s="34"/>
      <c r="BX107" s="34"/>
    </row>
    <row r="108" spans="1:79" s="4" customFormat="1" ht="15" customHeight="1" x14ac:dyDescent="0.2">
      <c r="A108" s="28">
        <v>2</v>
      </c>
      <c r="B108" s="29"/>
      <c r="C108" s="29"/>
      <c r="D108" s="35" t="s">
        <v>186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2"/>
      <c r="Q108" s="36" t="s">
        <v>183</v>
      </c>
      <c r="R108" s="36"/>
      <c r="S108" s="36"/>
      <c r="T108" s="36"/>
      <c r="U108" s="36"/>
      <c r="V108" s="36" t="s">
        <v>185</v>
      </c>
      <c r="W108" s="36"/>
      <c r="X108" s="36"/>
      <c r="Y108" s="36"/>
      <c r="Z108" s="36"/>
      <c r="AA108" s="36"/>
      <c r="AB108" s="36"/>
      <c r="AC108" s="36"/>
      <c r="AD108" s="36"/>
      <c r="AE108" s="36"/>
      <c r="AF108" s="27">
        <v>6</v>
      </c>
      <c r="AG108" s="27"/>
      <c r="AH108" s="27"/>
      <c r="AI108" s="27"/>
      <c r="AJ108" s="27"/>
      <c r="AK108" s="27">
        <v>0</v>
      </c>
      <c r="AL108" s="27"/>
      <c r="AM108" s="27"/>
      <c r="AN108" s="27"/>
      <c r="AO108" s="27"/>
      <c r="AP108" s="27">
        <v>6</v>
      </c>
      <c r="AQ108" s="27"/>
      <c r="AR108" s="27"/>
      <c r="AS108" s="27"/>
      <c r="AT108" s="27"/>
      <c r="AU108" s="27">
        <v>10</v>
      </c>
      <c r="AV108" s="27"/>
      <c r="AW108" s="27"/>
      <c r="AX108" s="27"/>
      <c r="AY108" s="27"/>
      <c r="AZ108" s="27">
        <v>0</v>
      </c>
      <c r="BA108" s="27"/>
      <c r="BB108" s="27"/>
      <c r="BC108" s="27"/>
      <c r="BD108" s="27"/>
      <c r="BE108" s="27">
        <v>10</v>
      </c>
      <c r="BF108" s="27"/>
      <c r="BG108" s="27"/>
      <c r="BH108" s="27"/>
      <c r="BI108" s="27"/>
      <c r="BJ108" s="27">
        <v>11</v>
      </c>
      <c r="BK108" s="27"/>
      <c r="BL108" s="27"/>
      <c r="BM108" s="27"/>
      <c r="BN108" s="27"/>
      <c r="BO108" s="27">
        <v>0</v>
      </c>
      <c r="BP108" s="27"/>
      <c r="BQ108" s="27"/>
      <c r="BR108" s="27"/>
      <c r="BS108" s="27"/>
      <c r="BT108" s="27">
        <v>11</v>
      </c>
      <c r="BU108" s="27"/>
      <c r="BV108" s="27"/>
      <c r="BW108" s="27"/>
      <c r="BX108" s="27"/>
    </row>
    <row r="109" spans="1:79" s="5" customFormat="1" ht="15" customHeight="1" x14ac:dyDescent="0.2">
      <c r="A109" s="37">
        <v>0</v>
      </c>
      <c r="B109" s="38"/>
      <c r="C109" s="38"/>
      <c r="D109" s="39" t="s">
        <v>187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5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</row>
    <row r="110" spans="1:79" s="5" customFormat="1" ht="28.5" customHeight="1" x14ac:dyDescent="0.2">
      <c r="A110" s="37">
        <v>0</v>
      </c>
      <c r="B110" s="38"/>
      <c r="C110" s="38"/>
      <c r="D110" s="39" t="s">
        <v>188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5"/>
      <c r="Q110" s="40" t="s">
        <v>179</v>
      </c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34">
        <v>32622</v>
      </c>
      <c r="AG110" s="34"/>
      <c r="AH110" s="34"/>
      <c r="AI110" s="34"/>
      <c r="AJ110" s="34"/>
      <c r="AK110" s="34">
        <v>0</v>
      </c>
      <c r="AL110" s="34"/>
      <c r="AM110" s="34"/>
      <c r="AN110" s="34"/>
      <c r="AO110" s="34"/>
      <c r="AP110" s="34">
        <v>32622</v>
      </c>
      <c r="AQ110" s="34"/>
      <c r="AR110" s="34"/>
      <c r="AS110" s="34"/>
      <c r="AT110" s="34"/>
      <c r="AU110" s="34">
        <v>54895</v>
      </c>
      <c r="AV110" s="34"/>
      <c r="AW110" s="34"/>
      <c r="AX110" s="34"/>
      <c r="AY110" s="34"/>
      <c r="AZ110" s="34">
        <v>0</v>
      </c>
      <c r="BA110" s="34"/>
      <c r="BB110" s="34"/>
      <c r="BC110" s="34"/>
      <c r="BD110" s="34"/>
      <c r="BE110" s="34">
        <v>54895</v>
      </c>
      <c r="BF110" s="34"/>
      <c r="BG110" s="34"/>
      <c r="BH110" s="34"/>
      <c r="BI110" s="34"/>
      <c r="BJ110" s="34">
        <v>56020</v>
      </c>
      <c r="BK110" s="34"/>
      <c r="BL110" s="34"/>
      <c r="BM110" s="34"/>
      <c r="BN110" s="34"/>
      <c r="BO110" s="34">
        <v>0</v>
      </c>
      <c r="BP110" s="34"/>
      <c r="BQ110" s="34"/>
      <c r="BR110" s="34"/>
      <c r="BS110" s="34"/>
      <c r="BT110" s="34">
        <v>56020</v>
      </c>
      <c r="BU110" s="34"/>
      <c r="BV110" s="34"/>
      <c r="BW110" s="34"/>
      <c r="BX110" s="34"/>
    </row>
    <row r="111" spans="1:79" s="4" customFormat="1" ht="15" customHeight="1" x14ac:dyDescent="0.2">
      <c r="A111" s="28">
        <v>1</v>
      </c>
      <c r="B111" s="29"/>
      <c r="C111" s="29"/>
      <c r="D111" s="35" t="s">
        <v>186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2"/>
      <c r="Q111" s="36" t="s">
        <v>179</v>
      </c>
      <c r="R111" s="36"/>
      <c r="S111" s="36"/>
      <c r="T111" s="36"/>
      <c r="U111" s="36"/>
      <c r="V111" s="35" t="s">
        <v>189</v>
      </c>
      <c r="W111" s="31"/>
      <c r="X111" s="31"/>
      <c r="Y111" s="31"/>
      <c r="Z111" s="31"/>
      <c r="AA111" s="31"/>
      <c r="AB111" s="31"/>
      <c r="AC111" s="31"/>
      <c r="AD111" s="31"/>
      <c r="AE111" s="32"/>
      <c r="AF111" s="27">
        <v>18562</v>
      </c>
      <c r="AG111" s="27"/>
      <c r="AH111" s="27"/>
      <c r="AI111" s="27"/>
      <c r="AJ111" s="27"/>
      <c r="AK111" s="27">
        <v>0</v>
      </c>
      <c r="AL111" s="27"/>
      <c r="AM111" s="27"/>
      <c r="AN111" s="27"/>
      <c r="AO111" s="27"/>
      <c r="AP111" s="27">
        <v>18562</v>
      </c>
      <c r="AQ111" s="27"/>
      <c r="AR111" s="27"/>
      <c r="AS111" s="27"/>
      <c r="AT111" s="27"/>
      <c r="AU111" s="27">
        <v>27477</v>
      </c>
      <c r="AV111" s="27"/>
      <c r="AW111" s="27"/>
      <c r="AX111" s="27"/>
      <c r="AY111" s="27"/>
      <c r="AZ111" s="27">
        <v>0</v>
      </c>
      <c r="BA111" s="27"/>
      <c r="BB111" s="27"/>
      <c r="BC111" s="27"/>
      <c r="BD111" s="27"/>
      <c r="BE111" s="27">
        <v>27477</v>
      </c>
      <c r="BF111" s="27"/>
      <c r="BG111" s="27"/>
      <c r="BH111" s="27"/>
      <c r="BI111" s="27"/>
      <c r="BJ111" s="27">
        <v>27232</v>
      </c>
      <c r="BK111" s="27"/>
      <c r="BL111" s="27"/>
      <c r="BM111" s="27"/>
      <c r="BN111" s="27"/>
      <c r="BO111" s="27">
        <v>0</v>
      </c>
      <c r="BP111" s="27"/>
      <c r="BQ111" s="27"/>
      <c r="BR111" s="27"/>
      <c r="BS111" s="27"/>
      <c r="BT111" s="27">
        <v>27232</v>
      </c>
      <c r="BU111" s="27"/>
      <c r="BV111" s="27"/>
      <c r="BW111" s="27"/>
      <c r="BX111" s="27"/>
    </row>
    <row r="112" spans="1:79" s="5" customFormat="1" ht="30" customHeight="1" x14ac:dyDescent="0.2">
      <c r="A112" s="37">
        <v>0</v>
      </c>
      <c r="B112" s="38"/>
      <c r="C112" s="38"/>
      <c r="D112" s="39" t="s">
        <v>188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5"/>
      <c r="Q112" s="40" t="s">
        <v>179</v>
      </c>
      <c r="R112" s="40"/>
      <c r="S112" s="40"/>
      <c r="T112" s="40"/>
      <c r="U112" s="40"/>
      <c r="V112" s="39"/>
      <c r="W112" s="24"/>
      <c r="X112" s="24"/>
      <c r="Y112" s="24"/>
      <c r="Z112" s="24"/>
      <c r="AA112" s="24"/>
      <c r="AB112" s="24"/>
      <c r="AC112" s="24"/>
      <c r="AD112" s="24"/>
      <c r="AE112" s="25"/>
      <c r="AF112" s="34">
        <v>32622</v>
      </c>
      <c r="AG112" s="34"/>
      <c r="AH112" s="34"/>
      <c r="AI112" s="34"/>
      <c r="AJ112" s="34"/>
      <c r="AK112" s="34">
        <v>0</v>
      </c>
      <c r="AL112" s="34"/>
      <c r="AM112" s="34"/>
      <c r="AN112" s="34"/>
      <c r="AO112" s="34"/>
      <c r="AP112" s="34">
        <v>32622</v>
      </c>
      <c r="AQ112" s="34"/>
      <c r="AR112" s="34"/>
      <c r="AS112" s="34"/>
      <c r="AT112" s="34"/>
      <c r="AU112" s="34">
        <v>54895</v>
      </c>
      <c r="AV112" s="34"/>
      <c r="AW112" s="34"/>
      <c r="AX112" s="34"/>
      <c r="AY112" s="34"/>
      <c r="AZ112" s="34">
        <v>0</v>
      </c>
      <c r="BA112" s="34"/>
      <c r="BB112" s="34"/>
      <c r="BC112" s="34"/>
      <c r="BD112" s="34"/>
      <c r="BE112" s="34">
        <v>54895</v>
      </c>
      <c r="BF112" s="34"/>
      <c r="BG112" s="34"/>
      <c r="BH112" s="34"/>
      <c r="BI112" s="34"/>
      <c r="BJ112" s="34">
        <v>56020</v>
      </c>
      <c r="BK112" s="34"/>
      <c r="BL112" s="34"/>
      <c r="BM112" s="34"/>
      <c r="BN112" s="34"/>
      <c r="BO112" s="34">
        <v>0</v>
      </c>
      <c r="BP112" s="34"/>
      <c r="BQ112" s="34"/>
      <c r="BR112" s="34"/>
      <c r="BS112" s="34"/>
      <c r="BT112" s="34">
        <v>56020</v>
      </c>
      <c r="BU112" s="34"/>
      <c r="BV112" s="34"/>
      <c r="BW112" s="34"/>
      <c r="BX112" s="34"/>
    </row>
    <row r="113" spans="1:79" s="4" customFormat="1" ht="15" customHeight="1" x14ac:dyDescent="0.2">
      <c r="A113" s="28">
        <v>2</v>
      </c>
      <c r="B113" s="29"/>
      <c r="C113" s="29"/>
      <c r="D113" s="35" t="s">
        <v>184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2"/>
      <c r="Q113" s="36" t="s">
        <v>179</v>
      </c>
      <c r="R113" s="36"/>
      <c r="S113" s="36"/>
      <c r="T113" s="36"/>
      <c r="U113" s="36"/>
      <c r="V113" s="35" t="s">
        <v>189</v>
      </c>
      <c r="W113" s="31"/>
      <c r="X113" s="31"/>
      <c r="Y113" s="31"/>
      <c r="Z113" s="31"/>
      <c r="AA113" s="31"/>
      <c r="AB113" s="31"/>
      <c r="AC113" s="31"/>
      <c r="AD113" s="31"/>
      <c r="AE113" s="32"/>
      <c r="AF113" s="27">
        <v>14060</v>
      </c>
      <c r="AG113" s="27"/>
      <c r="AH113" s="27"/>
      <c r="AI113" s="27"/>
      <c r="AJ113" s="27"/>
      <c r="AK113" s="27">
        <v>0</v>
      </c>
      <c r="AL113" s="27"/>
      <c r="AM113" s="27"/>
      <c r="AN113" s="27"/>
      <c r="AO113" s="27"/>
      <c r="AP113" s="27">
        <v>14060</v>
      </c>
      <c r="AQ113" s="27"/>
      <c r="AR113" s="27"/>
      <c r="AS113" s="27"/>
      <c r="AT113" s="27"/>
      <c r="AU113" s="27">
        <v>27418</v>
      </c>
      <c r="AV113" s="27"/>
      <c r="AW113" s="27"/>
      <c r="AX113" s="27"/>
      <c r="AY113" s="27"/>
      <c r="AZ113" s="27">
        <v>0</v>
      </c>
      <c r="BA113" s="27"/>
      <c r="BB113" s="27"/>
      <c r="BC113" s="27"/>
      <c r="BD113" s="27"/>
      <c r="BE113" s="27">
        <v>27418</v>
      </c>
      <c r="BF113" s="27"/>
      <c r="BG113" s="27"/>
      <c r="BH113" s="27"/>
      <c r="BI113" s="27"/>
      <c r="BJ113" s="27">
        <v>28788</v>
      </c>
      <c r="BK113" s="27"/>
      <c r="BL113" s="27"/>
      <c r="BM113" s="27"/>
      <c r="BN113" s="27"/>
      <c r="BO113" s="27">
        <v>0</v>
      </c>
      <c r="BP113" s="27"/>
      <c r="BQ113" s="27"/>
      <c r="BR113" s="27"/>
      <c r="BS113" s="27"/>
      <c r="BT113" s="27">
        <v>28788</v>
      </c>
      <c r="BU113" s="27"/>
      <c r="BV113" s="27"/>
      <c r="BW113" s="27"/>
      <c r="BX113" s="27"/>
    </row>
    <row r="114" spans="1:79" s="5" customFormat="1" ht="15" customHeight="1" x14ac:dyDescent="0.2">
      <c r="A114" s="37">
        <v>0</v>
      </c>
      <c r="B114" s="38"/>
      <c r="C114" s="38"/>
      <c r="D114" s="39" t="s">
        <v>190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5"/>
      <c r="Q114" s="40"/>
      <c r="R114" s="40"/>
      <c r="S114" s="40"/>
      <c r="T114" s="40"/>
      <c r="U114" s="40"/>
      <c r="V114" s="39"/>
      <c r="W114" s="24"/>
      <c r="X114" s="24"/>
      <c r="Y114" s="24"/>
      <c r="Z114" s="24"/>
      <c r="AA114" s="24"/>
      <c r="AB114" s="24"/>
      <c r="AC114" s="24"/>
      <c r="AD114" s="24"/>
      <c r="AE114" s="25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</row>
    <row r="115" spans="1:79" s="4" customFormat="1" ht="28.5" customHeight="1" x14ac:dyDescent="0.2">
      <c r="A115" s="28">
        <v>1</v>
      </c>
      <c r="B115" s="29"/>
      <c r="C115" s="29"/>
      <c r="D115" s="35" t="s">
        <v>191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2"/>
      <c r="Q115" s="36" t="s">
        <v>192</v>
      </c>
      <c r="R115" s="36"/>
      <c r="S115" s="36"/>
      <c r="T115" s="36"/>
      <c r="U115" s="36"/>
      <c r="V115" s="35" t="s">
        <v>185</v>
      </c>
      <c r="W115" s="31"/>
      <c r="X115" s="31"/>
      <c r="Y115" s="31"/>
      <c r="Z115" s="31"/>
      <c r="AA115" s="31"/>
      <c r="AB115" s="31"/>
      <c r="AC115" s="31"/>
      <c r="AD115" s="31"/>
      <c r="AE115" s="32"/>
      <c r="AF115" s="27">
        <v>100</v>
      </c>
      <c r="AG115" s="27"/>
      <c r="AH115" s="27"/>
      <c r="AI115" s="27"/>
      <c r="AJ115" s="27"/>
      <c r="AK115" s="27">
        <v>0</v>
      </c>
      <c r="AL115" s="27"/>
      <c r="AM115" s="27"/>
      <c r="AN115" s="27"/>
      <c r="AO115" s="27"/>
      <c r="AP115" s="27">
        <v>100</v>
      </c>
      <c r="AQ115" s="27"/>
      <c r="AR115" s="27"/>
      <c r="AS115" s="27"/>
      <c r="AT115" s="27"/>
      <c r="AU115" s="27">
        <v>100</v>
      </c>
      <c r="AV115" s="27"/>
      <c r="AW115" s="27"/>
      <c r="AX115" s="27"/>
      <c r="AY115" s="27"/>
      <c r="AZ115" s="27">
        <v>0</v>
      </c>
      <c r="BA115" s="27"/>
      <c r="BB115" s="27"/>
      <c r="BC115" s="27"/>
      <c r="BD115" s="27"/>
      <c r="BE115" s="27">
        <v>100</v>
      </c>
      <c r="BF115" s="27"/>
      <c r="BG115" s="27"/>
      <c r="BH115" s="27"/>
      <c r="BI115" s="27"/>
      <c r="BJ115" s="27">
        <v>100</v>
      </c>
      <c r="BK115" s="27"/>
      <c r="BL115" s="27"/>
      <c r="BM115" s="27"/>
      <c r="BN115" s="27"/>
      <c r="BO115" s="27">
        <v>0</v>
      </c>
      <c r="BP115" s="27"/>
      <c r="BQ115" s="27"/>
      <c r="BR115" s="27"/>
      <c r="BS115" s="27"/>
      <c r="BT115" s="27">
        <v>100</v>
      </c>
      <c r="BU115" s="27"/>
      <c r="BV115" s="27"/>
      <c r="BW115" s="27"/>
      <c r="BX115" s="27"/>
    </row>
    <row r="117" spans="1:79" ht="14.25" customHeight="1" x14ac:dyDescent="0.2">
      <c r="A117" s="56" t="s">
        <v>238</v>
      </c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</row>
    <row r="118" spans="1:79" ht="23.1" customHeight="1" x14ac:dyDescent="0.2">
      <c r="A118" s="73" t="s">
        <v>6</v>
      </c>
      <c r="B118" s="74"/>
      <c r="C118" s="74"/>
      <c r="D118" s="36" t="s">
        <v>9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 t="s">
        <v>8</v>
      </c>
      <c r="R118" s="36"/>
      <c r="S118" s="36"/>
      <c r="T118" s="36"/>
      <c r="U118" s="36"/>
      <c r="V118" s="36" t="s">
        <v>7</v>
      </c>
      <c r="W118" s="36"/>
      <c r="X118" s="36"/>
      <c r="Y118" s="36"/>
      <c r="Z118" s="36"/>
      <c r="AA118" s="36"/>
      <c r="AB118" s="36"/>
      <c r="AC118" s="36"/>
      <c r="AD118" s="36"/>
      <c r="AE118" s="36"/>
      <c r="AF118" s="69" t="s">
        <v>229</v>
      </c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1"/>
      <c r="AU118" s="69" t="s">
        <v>234</v>
      </c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1"/>
    </row>
    <row r="119" spans="1:79" ht="28.5" customHeight="1" x14ac:dyDescent="0.2">
      <c r="A119" s="76"/>
      <c r="B119" s="77"/>
      <c r="C119" s="77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 t="s">
        <v>4</v>
      </c>
      <c r="AG119" s="36"/>
      <c r="AH119" s="36"/>
      <c r="AI119" s="36"/>
      <c r="AJ119" s="36"/>
      <c r="AK119" s="36" t="s">
        <v>3</v>
      </c>
      <c r="AL119" s="36"/>
      <c r="AM119" s="36"/>
      <c r="AN119" s="36"/>
      <c r="AO119" s="36"/>
      <c r="AP119" s="36" t="s">
        <v>123</v>
      </c>
      <c r="AQ119" s="36"/>
      <c r="AR119" s="36"/>
      <c r="AS119" s="36"/>
      <c r="AT119" s="36"/>
      <c r="AU119" s="36" t="s">
        <v>4</v>
      </c>
      <c r="AV119" s="36"/>
      <c r="AW119" s="36"/>
      <c r="AX119" s="36"/>
      <c r="AY119" s="36"/>
      <c r="AZ119" s="36" t="s">
        <v>3</v>
      </c>
      <c r="BA119" s="36"/>
      <c r="BB119" s="36"/>
      <c r="BC119" s="36"/>
      <c r="BD119" s="36"/>
      <c r="BE119" s="36" t="s">
        <v>90</v>
      </c>
      <c r="BF119" s="36"/>
      <c r="BG119" s="36"/>
      <c r="BH119" s="36"/>
      <c r="BI119" s="36"/>
    </row>
    <row r="120" spans="1:79" ht="15" customHeight="1" x14ac:dyDescent="0.2">
      <c r="A120" s="69">
        <v>1</v>
      </c>
      <c r="B120" s="70"/>
      <c r="C120" s="70"/>
      <c r="D120" s="36">
        <v>2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>
        <v>3</v>
      </c>
      <c r="R120" s="36"/>
      <c r="S120" s="36"/>
      <c r="T120" s="36"/>
      <c r="U120" s="36"/>
      <c r="V120" s="36">
        <v>4</v>
      </c>
      <c r="W120" s="36"/>
      <c r="X120" s="36"/>
      <c r="Y120" s="36"/>
      <c r="Z120" s="36"/>
      <c r="AA120" s="36"/>
      <c r="AB120" s="36"/>
      <c r="AC120" s="36"/>
      <c r="AD120" s="36"/>
      <c r="AE120" s="36"/>
      <c r="AF120" s="36">
        <v>5</v>
      </c>
      <c r="AG120" s="36"/>
      <c r="AH120" s="36"/>
      <c r="AI120" s="36"/>
      <c r="AJ120" s="36"/>
      <c r="AK120" s="36">
        <v>6</v>
      </c>
      <c r="AL120" s="36"/>
      <c r="AM120" s="36"/>
      <c r="AN120" s="36"/>
      <c r="AO120" s="36"/>
      <c r="AP120" s="36">
        <v>7</v>
      </c>
      <c r="AQ120" s="36"/>
      <c r="AR120" s="36"/>
      <c r="AS120" s="36"/>
      <c r="AT120" s="36"/>
      <c r="AU120" s="36">
        <v>8</v>
      </c>
      <c r="AV120" s="36"/>
      <c r="AW120" s="36"/>
      <c r="AX120" s="36"/>
      <c r="AY120" s="36"/>
      <c r="AZ120" s="36">
        <v>9</v>
      </c>
      <c r="BA120" s="36"/>
      <c r="BB120" s="36"/>
      <c r="BC120" s="36"/>
      <c r="BD120" s="36"/>
      <c r="BE120" s="36">
        <v>10</v>
      </c>
      <c r="BF120" s="36"/>
      <c r="BG120" s="36"/>
      <c r="BH120" s="36"/>
      <c r="BI120" s="36"/>
    </row>
    <row r="121" spans="1:79" ht="15.75" hidden="1" customHeight="1" x14ac:dyDescent="0.2">
      <c r="A121" s="83" t="s">
        <v>154</v>
      </c>
      <c r="B121" s="84"/>
      <c r="C121" s="84"/>
      <c r="D121" s="36" t="s">
        <v>57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 t="s">
        <v>70</v>
      </c>
      <c r="R121" s="36"/>
      <c r="S121" s="36"/>
      <c r="T121" s="36"/>
      <c r="U121" s="36"/>
      <c r="V121" s="36" t="s">
        <v>71</v>
      </c>
      <c r="W121" s="36"/>
      <c r="X121" s="36"/>
      <c r="Y121" s="36"/>
      <c r="Z121" s="36"/>
      <c r="AA121" s="36"/>
      <c r="AB121" s="36"/>
      <c r="AC121" s="36"/>
      <c r="AD121" s="36"/>
      <c r="AE121" s="36"/>
      <c r="AF121" s="61" t="s">
        <v>107</v>
      </c>
      <c r="AG121" s="61"/>
      <c r="AH121" s="61"/>
      <c r="AI121" s="61"/>
      <c r="AJ121" s="61"/>
      <c r="AK121" s="58" t="s">
        <v>108</v>
      </c>
      <c r="AL121" s="58"/>
      <c r="AM121" s="58"/>
      <c r="AN121" s="58"/>
      <c r="AO121" s="58"/>
      <c r="AP121" s="79" t="s">
        <v>177</v>
      </c>
      <c r="AQ121" s="79"/>
      <c r="AR121" s="79"/>
      <c r="AS121" s="79"/>
      <c r="AT121" s="79"/>
      <c r="AU121" s="61" t="s">
        <v>109</v>
      </c>
      <c r="AV121" s="61"/>
      <c r="AW121" s="61"/>
      <c r="AX121" s="61"/>
      <c r="AY121" s="61"/>
      <c r="AZ121" s="58" t="s">
        <v>110</v>
      </c>
      <c r="BA121" s="58"/>
      <c r="BB121" s="58"/>
      <c r="BC121" s="58"/>
      <c r="BD121" s="58"/>
      <c r="BE121" s="79" t="s">
        <v>177</v>
      </c>
      <c r="BF121" s="79"/>
      <c r="BG121" s="79"/>
      <c r="BH121" s="79"/>
      <c r="BI121" s="79"/>
      <c r="CA121" t="s">
        <v>39</v>
      </c>
    </row>
    <row r="122" spans="1:79" s="5" customFormat="1" ht="14.25" x14ac:dyDescent="0.2">
      <c r="A122" s="37">
        <v>0</v>
      </c>
      <c r="B122" s="38"/>
      <c r="C122" s="38"/>
      <c r="D122" s="40" t="s">
        <v>176</v>
      </c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CA122" s="5" t="s">
        <v>40</v>
      </c>
    </row>
    <row r="123" spans="1:79" s="4" customFormat="1" ht="42.75" customHeight="1" x14ac:dyDescent="0.2">
      <c r="A123" s="28">
        <v>1</v>
      </c>
      <c r="B123" s="29"/>
      <c r="C123" s="29"/>
      <c r="D123" s="35" t="s">
        <v>178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2"/>
      <c r="Q123" s="36" t="s">
        <v>179</v>
      </c>
      <c r="R123" s="36"/>
      <c r="S123" s="36"/>
      <c r="T123" s="36"/>
      <c r="U123" s="36"/>
      <c r="V123" s="36" t="s">
        <v>180</v>
      </c>
      <c r="W123" s="36"/>
      <c r="X123" s="36"/>
      <c r="Y123" s="36"/>
      <c r="Z123" s="36"/>
      <c r="AA123" s="36"/>
      <c r="AB123" s="36"/>
      <c r="AC123" s="36"/>
      <c r="AD123" s="36"/>
      <c r="AE123" s="36"/>
      <c r="AF123" s="27">
        <v>943002</v>
      </c>
      <c r="AG123" s="27"/>
      <c r="AH123" s="27"/>
      <c r="AI123" s="27"/>
      <c r="AJ123" s="27"/>
      <c r="AK123" s="27">
        <v>0</v>
      </c>
      <c r="AL123" s="27"/>
      <c r="AM123" s="27"/>
      <c r="AN123" s="27"/>
      <c r="AO123" s="27"/>
      <c r="AP123" s="27">
        <v>943002</v>
      </c>
      <c r="AQ123" s="27"/>
      <c r="AR123" s="27"/>
      <c r="AS123" s="27"/>
      <c r="AT123" s="27"/>
      <c r="AU123" s="27">
        <v>943002</v>
      </c>
      <c r="AV123" s="27"/>
      <c r="AW123" s="27"/>
      <c r="AX123" s="27"/>
      <c r="AY123" s="27"/>
      <c r="AZ123" s="27">
        <v>0</v>
      </c>
      <c r="BA123" s="27"/>
      <c r="BB123" s="27"/>
      <c r="BC123" s="27"/>
      <c r="BD123" s="27"/>
      <c r="BE123" s="27">
        <v>943002</v>
      </c>
      <c r="BF123" s="27"/>
      <c r="BG123" s="27"/>
      <c r="BH123" s="27"/>
      <c r="BI123" s="27"/>
    </row>
    <row r="124" spans="1:79" s="5" customFormat="1" ht="14.25" x14ac:dyDescent="0.2">
      <c r="A124" s="37">
        <v>0</v>
      </c>
      <c r="B124" s="38"/>
      <c r="C124" s="38"/>
      <c r="D124" s="39" t="s">
        <v>181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5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</row>
    <row r="125" spans="1:79" s="5" customFormat="1" ht="28.5" customHeight="1" x14ac:dyDescent="0.2">
      <c r="A125" s="37">
        <v>0</v>
      </c>
      <c r="B125" s="38"/>
      <c r="C125" s="38"/>
      <c r="D125" s="39" t="s">
        <v>182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5"/>
      <c r="Q125" s="40" t="s">
        <v>183</v>
      </c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34">
        <v>34</v>
      </c>
      <c r="AG125" s="34"/>
      <c r="AH125" s="34"/>
      <c r="AI125" s="34"/>
      <c r="AJ125" s="34"/>
      <c r="AK125" s="34">
        <v>0</v>
      </c>
      <c r="AL125" s="34"/>
      <c r="AM125" s="34"/>
      <c r="AN125" s="34"/>
      <c r="AO125" s="34"/>
      <c r="AP125" s="34">
        <v>34</v>
      </c>
      <c r="AQ125" s="34"/>
      <c r="AR125" s="34"/>
      <c r="AS125" s="34"/>
      <c r="AT125" s="34"/>
      <c r="AU125" s="34">
        <v>34</v>
      </c>
      <c r="AV125" s="34"/>
      <c r="AW125" s="34"/>
      <c r="AX125" s="34"/>
      <c r="AY125" s="34"/>
      <c r="AZ125" s="34">
        <v>0</v>
      </c>
      <c r="BA125" s="34"/>
      <c r="BB125" s="34"/>
      <c r="BC125" s="34"/>
      <c r="BD125" s="34"/>
      <c r="BE125" s="34">
        <v>34</v>
      </c>
      <c r="BF125" s="34"/>
      <c r="BG125" s="34"/>
      <c r="BH125" s="34"/>
      <c r="BI125" s="34"/>
    </row>
    <row r="126" spans="1:79" s="4" customFormat="1" ht="15" x14ac:dyDescent="0.2">
      <c r="A126" s="28">
        <v>1</v>
      </c>
      <c r="B126" s="29"/>
      <c r="C126" s="29"/>
      <c r="D126" s="35" t="s">
        <v>184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2"/>
      <c r="Q126" s="36" t="s">
        <v>183</v>
      </c>
      <c r="R126" s="36"/>
      <c r="S126" s="36"/>
      <c r="T126" s="36"/>
      <c r="U126" s="36"/>
      <c r="V126" s="36" t="s">
        <v>185</v>
      </c>
      <c r="W126" s="36"/>
      <c r="X126" s="36"/>
      <c r="Y126" s="36"/>
      <c r="Z126" s="36"/>
      <c r="AA126" s="36"/>
      <c r="AB126" s="36"/>
      <c r="AC126" s="36"/>
      <c r="AD126" s="36"/>
      <c r="AE126" s="36"/>
      <c r="AF126" s="27">
        <v>23</v>
      </c>
      <c r="AG126" s="27"/>
      <c r="AH126" s="27"/>
      <c r="AI126" s="27"/>
      <c r="AJ126" s="27"/>
      <c r="AK126" s="27">
        <v>0</v>
      </c>
      <c r="AL126" s="27"/>
      <c r="AM126" s="27"/>
      <c r="AN126" s="27"/>
      <c r="AO126" s="27"/>
      <c r="AP126" s="27">
        <v>23</v>
      </c>
      <c r="AQ126" s="27"/>
      <c r="AR126" s="27"/>
      <c r="AS126" s="27"/>
      <c r="AT126" s="27"/>
      <c r="AU126" s="27">
        <v>23</v>
      </c>
      <c r="AV126" s="27"/>
      <c r="AW126" s="27"/>
      <c r="AX126" s="27"/>
      <c r="AY126" s="27"/>
      <c r="AZ126" s="27">
        <v>0</v>
      </c>
      <c r="BA126" s="27"/>
      <c r="BB126" s="27"/>
      <c r="BC126" s="27"/>
      <c r="BD126" s="27"/>
      <c r="BE126" s="27">
        <v>23</v>
      </c>
      <c r="BF126" s="27"/>
      <c r="BG126" s="27"/>
      <c r="BH126" s="27"/>
      <c r="BI126" s="27"/>
    </row>
    <row r="127" spans="1:79" s="5" customFormat="1" ht="30" customHeight="1" x14ac:dyDescent="0.2">
      <c r="A127" s="37">
        <v>0</v>
      </c>
      <c r="B127" s="38"/>
      <c r="C127" s="38"/>
      <c r="D127" s="39" t="s">
        <v>182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5"/>
      <c r="Q127" s="40" t="s">
        <v>183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34">
        <v>34</v>
      </c>
      <c r="AG127" s="34"/>
      <c r="AH127" s="34"/>
      <c r="AI127" s="34"/>
      <c r="AJ127" s="34"/>
      <c r="AK127" s="34">
        <v>0</v>
      </c>
      <c r="AL127" s="34"/>
      <c r="AM127" s="34"/>
      <c r="AN127" s="34"/>
      <c r="AO127" s="34"/>
      <c r="AP127" s="34">
        <v>34</v>
      </c>
      <c r="AQ127" s="34"/>
      <c r="AR127" s="34"/>
      <c r="AS127" s="34"/>
      <c r="AT127" s="34"/>
      <c r="AU127" s="34">
        <v>34</v>
      </c>
      <c r="AV127" s="34"/>
      <c r="AW127" s="34"/>
      <c r="AX127" s="34"/>
      <c r="AY127" s="34"/>
      <c r="AZ127" s="34">
        <v>0</v>
      </c>
      <c r="BA127" s="34"/>
      <c r="BB127" s="34"/>
      <c r="BC127" s="34"/>
      <c r="BD127" s="34"/>
      <c r="BE127" s="34">
        <v>34</v>
      </c>
      <c r="BF127" s="34"/>
      <c r="BG127" s="34"/>
      <c r="BH127" s="34"/>
      <c r="BI127" s="34"/>
    </row>
    <row r="128" spans="1:79" s="4" customFormat="1" ht="15" x14ac:dyDescent="0.2">
      <c r="A128" s="28">
        <v>2</v>
      </c>
      <c r="B128" s="29"/>
      <c r="C128" s="29"/>
      <c r="D128" s="35" t="s">
        <v>186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2"/>
      <c r="Q128" s="36" t="s">
        <v>183</v>
      </c>
      <c r="R128" s="36"/>
      <c r="S128" s="36"/>
      <c r="T128" s="36"/>
      <c r="U128" s="36"/>
      <c r="V128" s="36" t="s">
        <v>185</v>
      </c>
      <c r="W128" s="36"/>
      <c r="X128" s="36"/>
      <c r="Y128" s="36"/>
      <c r="Z128" s="36"/>
      <c r="AA128" s="36"/>
      <c r="AB128" s="36"/>
      <c r="AC128" s="36"/>
      <c r="AD128" s="36"/>
      <c r="AE128" s="36"/>
      <c r="AF128" s="27">
        <v>11</v>
      </c>
      <c r="AG128" s="27"/>
      <c r="AH128" s="27"/>
      <c r="AI128" s="27"/>
      <c r="AJ128" s="27"/>
      <c r="AK128" s="27">
        <v>0</v>
      </c>
      <c r="AL128" s="27"/>
      <c r="AM128" s="27"/>
      <c r="AN128" s="27"/>
      <c r="AO128" s="27"/>
      <c r="AP128" s="27">
        <v>11</v>
      </c>
      <c r="AQ128" s="27"/>
      <c r="AR128" s="27"/>
      <c r="AS128" s="27"/>
      <c r="AT128" s="27"/>
      <c r="AU128" s="27">
        <v>11</v>
      </c>
      <c r="AV128" s="27"/>
      <c r="AW128" s="27"/>
      <c r="AX128" s="27"/>
      <c r="AY128" s="27"/>
      <c r="AZ128" s="27">
        <v>0</v>
      </c>
      <c r="BA128" s="27"/>
      <c r="BB128" s="27"/>
      <c r="BC128" s="27"/>
      <c r="BD128" s="27"/>
      <c r="BE128" s="27">
        <v>11</v>
      </c>
      <c r="BF128" s="27"/>
      <c r="BG128" s="27"/>
      <c r="BH128" s="27"/>
      <c r="BI128" s="27"/>
    </row>
    <row r="129" spans="1:79" s="5" customFormat="1" ht="14.25" x14ac:dyDescent="0.2">
      <c r="A129" s="37">
        <v>0</v>
      </c>
      <c r="B129" s="38"/>
      <c r="C129" s="38"/>
      <c r="D129" s="39" t="s">
        <v>187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5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</row>
    <row r="130" spans="1:79" s="5" customFormat="1" ht="28.5" customHeight="1" x14ac:dyDescent="0.2">
      <c r="A130" s="37">
        <v>0</v>
      </c>
      <c r="B130" s="38"/>
      <c r="C130" s="38"/>
      <c r="D130" s="39" t="s">
        <v>188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5"/>
      <c r="Q130" s="40" t="s">
        <v>179</v>
      </c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34">
        <v>56020</v>
      </c>
      <c r="AG130" s="34"/>
      <c r="AH130" s="34"/>
      <c r="AI130" s="34"/>
      <c r="AJ130" s="34"/>
      <c r="AK130" s="34">
        <v>0</v>
      </c>
      <c r="AL130" s="34"/>
      <c r="AM130" s="34"/>
      <c r="AN130" s="34"/>
      <c r="AO130" s="34"/>
      <c r="AP130" s="34">
        <v>56020</v>
      </c>
      <c r="AQ130" s="34"/>
      <c r="AR130" s="34"/>
      <c r="AS130" s="34"/>
      <c r="AT130" s="34"/>
      <c r="AU130" s="34">
        <v>56020</v>
      </c>
      <c r="AV130" s="34"/>
      <c r="AW130" s="34"/>
      <c r="AX130" s="34"/>
      <c r="AY130" s="34"/>
      <c r="AZ130" s="34">
        <v>0</v>
      </c>
      <c r="BA130" s="34"/>
      <c r="BB130" s="34"/>
      <c r="BC130" s="34"/>
      <c r="BD130" s="34"/>
      <c r="BE130" s="34">
        <v>56020</v>
      </c>
      <c r="BF130" s="34"/>
      <c r="BG130" s="34"/>
      <c r="BH130" s="34"/>
      <c r="BI130" s="34"/>
    </row>
    <row r="131" spans="1:79" s="4" customFormat="1" ht="14.25" customHeight="1" x14ac:dyDescent="0.2">
      <c r="A131" s="28">
        <v>1</v>
      </c>
      <c r="B131" s="29"/>
      <c r="C131" s="29"/>
      <c r="D131" s="35" t="s">
        <v>186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2"/>
      <c r="Q131" s="36" t="s">
        <v>179</v>
      </c>
      <c r="R131" s="36"/>
      <c r="S131" s="36"/>
      <c r="T131" s="36"/>
      <c r="U131" s="36"/>
      <c r="V131" s="35" t="s">
        <v>189</v>
      </c>
      <c r="W131" s="31"/>
      <c r="X131" s="31"/>
      <c r="Y131" s="31"/>
      <c r="Z131" s="31"/>
      <c r="AA131" s="31"/>
      <c r="AB131" s="31"/>
      <c r="AC131" s="31"/>
      <c r="AD131" s="31"/>
      <c r="AE131" s="32"/>
      <c r="AF131" s="27">
        <v>27232</v>
      </c>
      <c r="AG131" s="27"/>
      <c r="AH131" s="27"/>
      <c r="AI131" s="27"/>
      <c r="AJ131" s="27"/>
      <c r="AK131" s="27">
        <v>0</v>
      </c>
      <c r="AL131" s="27"/>
      <c r="AM131" s="27"/>
      <c r="AN131" s="27"/>
      <c r="AO131" s="27"/>
      <c r="AP131" s="27">
        <v>27232</v>
      </c>
      <c r="AQ131" s="27"/>
      <c r="AR131" s="27"/>
      <c r="AS131" s="27"/>
      <c r="AT131" s="27"/>
      <c r="AU131" s="27">
        <v>27232</v>
      </c>
      <c r="AV131" s="27"/>
      <c r="AW131" s="27"/>
      <c r="AX131" s="27"/>
      <c r="AY131" s="27"/>
      <c r="AZ131" s="27">
        <v>0</v>
      </c>
      <c r="BA131" s="27"/>
      <c r="BB131" s="27"/>
      <c r="BC131" s="27"/>
      <c r="BD131" s="27"/>
      <c r="BE131" s="27">
        <v>27232</v>
      </c>
      <c r="BF131" s="27"/>
      <c r="BG131" s="27"/>
      <c r="BH131" s="27"/>
      <c r="BI131" s="27"/>
    </row>
    <row r="132" spans="1:79" s="5" customFormat="1" ht="30" customHeight="1" x14ac:dyDescent="0.2">
      <c r="A132" s="37">
        <v>0</v>
      </c>
      <c r="B132" s="38"/>
      <c r="C132" s="38"/>
      <c r="D132" s="39" t="s">
        <v>188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5"/>
      <c r="Q132" s="40" t="s">
        <v>179</v>
      </c>
      <c r="R132" s="40"/>
      <c r="S132" s="40"/>
      <c r="T132" s="40"/>
      <c r="U132" s="40"/>
      <c r="V132" s="39"/>
      <c r="W132" s="24"/>
      <c r="X132" s="24"/>
      <c r="Y132" s="24"/>
      <c r="Z132" s="24"/>
      <c r="AA132" s="24"/>
      <c r="AB132" s="24"/>
      <c r="AC132" s="24"/>
      <c r="AD132" s="24"/>
      <c r="AE132" s="25"/>
      <c r="AF132" s="34">
        <v>56020</v>
      </c>
      <c r="AG132" s="34"/>
      <c r="AH132" s="34"/>
      <c r="AI132" s="34"/>
      <c r="AJ132" s="34"/>
      <c r="AK132" s="34">
        <v>0</v>
      </c>
      <c r="AL132" s="34"/>
      <c r="AM132" s="34"/>
      <c r="AN132" s="34"/>
      <c r="AO132" s="34"/>
      <c r="AP132" s="34">
        <v>56020</v>
      </c>
      <c r="AQ132" s="34"/>
      <c r="AR132" s="34"/>
      <c r="AS132" s="34"/>
      <c r="AT132" s="34"/>
      <c r="AU132" s="34">
        <v>56020</v>
      </c>
      <c r="AV132" s="34"/>
      <c r="AW132" s="34"/>
      <c r="AX132" s="34"/>
      <c r="AY132" s="34"/>
      <c r="AZ132" s="34">
        <v>0</v>
      </c>
      <c r="BA132" s="34"/>
      <c r="BB132" s="34"/>
      <c r="BC132" s="34"/>
      <c r="BD132" s="34"/>
      <c r="BE132" s="34">
        <v>56020</v>
      </c>
      <c r="BF132" s="34"/>
      <c r="BG132" s="34"/>
      <c r="BH132" s="34"/>
      <c r="BI132" s="34"/>
    </row>
    <row r="133" spans="1:79" s="4" customFormat="1" ht="14.25" customHeight="1" x14ac:dyDescent="0.2">
      <c r="A133" s="28">
        <v>2</v>
      </c>
      <c r="B133" s="29"/>
      <c r="C133" s="29"/>
      <c r="D133" s="35" t="s">
        <v>184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2"/>
      <c r="Q133" s="36" t="s">
        <v>179</v>
      </c>
      <c r="R133" s="36"/>
      <c r="S133" s="36"/>
      <c r="T133" s="36"/>
      <c r="U133" s="36"/>
      <c r="V133" s="35" t="s">
        <v>189</v>
      </c>
      <c r="W133" s="31"/>
      <c r="X133" s="31"/>
      <c r="Y133" s="31"/>
      <c r="Z133" s="31"/>
      <c r="AA133" s="31"/>
      <c r="AB133" s="31"/>
      <c r="AC133" s="31"/>
      <c r="AD133" s="31"/>
      <c r="AE133" s="32"/>
      <c r="AF133" s="27">
        <v>28788</v>
      </c>
      <c r="AG133" s="27"/>
      <c r="AH133" s="27"/>
      <c r="AI133" s="27"/>
      <c r="AJ133" s="27"/>
      <c r="AK133" s="27">
        <v>0</v>
      </c>
      <c r="AL133" s="27"/>
      <c r="AM133" s="27"/>
      <c r="AN133" s="27"/>
      <c r="AO133" s="27"/>
      <c r="AP133" s="27">
        <v>28788</v>
      </c>
      <c r="AQ133" s="27"/>
      <c r="AR133" s="27"/>
      <c r="AS133" s="27"/>
      <c r="AT133" s="27"/>
      <c r="AU133" s="27">
        <v>28788</v>
      </c>
      <c r="AV133" s="27"/>
      <c r="AW133" s="27"/>
      <c r="AX133" s="27"/>
      <c r="AY133" s="27"/>
      <c r="AZ133" s="27">
        <v>0</v>
      </c>
      <c r="BA133" s="27"/>
      <c r="BB133" s="27"/>
      <c r="BC133" s="27"/>
      <c r="BD133" s="27"/>
      <c r="BE133" s="27">
        <v>28788</v>
      </c>
      <c r="BF133" s="27"/>
      <c r="BG133" s="27"/>
      <c r="BH133" s="27"/>
      <c r="BI133" s="27"/>
    </row>
    <row r="134" spans="1:79" s="5" customFormat="1" ht="14.25" x14ac:dyDescent="0.2">
      <c r="A134" s="37">
        <v>0</v>
      </c>
      <c r="B134" s="38"/>
      <c r="C134" s="38"/>
      <c r="D134" s="39" t="s">
        <v>190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5"/>
      <c r="Q134" s="40"/>
      <c r="R134" s="40"/>
      <c r="S134" s="40"/>
      <c r="T134" s="40"/>
      <c r="U134" s="40"/>
      <c r="V134" s="39"/>
      <c r="W134" s="24"/>
      <c r="X134" s="24"/>
      <c r="Y134" s="24"/>
      <c r="Z134" s="24"/>
      <c r="AA134" s="24"/>
      <c r="AB134" s="24"/>
      <c r="AC134" s="24"/>
      <c r="AD134" s="24"/>
      <c r="AE134" s="25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</row>
    <row r="135" spans="1:79" s="4" customFormat="1" ht="28.5" customHeight="1" x14ac:dyDescent="0.2">
      <c r="A135" s="28">
        <v>1</v>
      </c>
      <c r="B135" s="29"/>
      <c r="C135" s="29"/>
      <c r="D135" s="35" t="s">
        <v>191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2"/>
      <c r="Q135" s="36" t="s">
        <v>192</v>
      </c>
      <c r="R135" s="36"/>
      <c r="S135" s="36"/>
      <c r="T135" s="36"/>
      <c r="U135" s="36"/>
      <c r="V135" s="35" t="s">
        <v>185</v>
      </c>
      <c r="W135" s="31"/>
      <c r="X135" s="31"/>
      <c r="Y135" s="31"/>
      <c r="Z135" s="31"/>
      <c r="AA135" s="31"/>
      <c r="AB135" s="31"/>
      <c r="AC135" s="31"/>
      <c r="AD135" s="31"/>
      <c r="AE135" s="32"/>
      <c r="AF135" s="27">
        <v>100</v>
      </c>
      <c r="AG135" s="27"/>
      <c r="AH135" s="27"/>
      <c r="AI135" s="27"/>
      <c r="AJ135" s="27"/>
      <c r="AK135" s="27">
        <v>0</v>
      </c>
      <c r="AL135" s="27"/>
      <c r="AM135" s="27"/>
      <c r="AN135" s="27"/>
      <c r="AO135" s="27"/>
      <c r="AP135" s="27">
        <v>100</v>
      </c>
      <c r="AQ135" s="27"/>
      <c r="AR135" s="27"/>
      <c r="AS135" s="27"/>
      <c r="AT135" s="27"/>
      <c r="AU135" s="27">
        <v>100</v>
      </c>
      <c r="AV135" s="27"/>
      <c r="AW135" s="27"/>
      <c r="AX135" s="27"/>
      <c r="AY135" s="27"/>
      <c r="AZ135" s="27">
        <v>0</v>
      </c>
      <c r="BA135" s="27"/>
      <c r="BB135" s="27"/>
      <c r="BC135" s="27"/>
      <c r="BD135" s="27"/>
      <c r="BE135" s="27">
        <v>100</v>
      </c>
      <c r="BF135" s="27"/>
      <c r="BG135" s="27"/>
      <c r="BH135" s="27"/>
      <c r="BI135" s="27"/>
    </row>
    <row r="137" spans="1:79" ht="14.25" customHeight="1" x14ac:dyDescent="0.2">
      <c r="A137" s="56" t="s">
        <v>124</v>
      </c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</row>
    <row r="138" spans="1:79" ht="15" customHeight="1" x14ac:dyDescent="0.2">
      <c r="A138" s="72" t="s">
        <v>207</v>
      </c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9" ht="12.95" customHeight="1" x14ac:dyDescent="0.2">
      <c r="A139" s="73" t="s">
        <v>19</v>
      </c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5"/>
      <c r="U139" s="36" t="s">
        <v>208</v>
      </c>
      <c r="V139" s="36"/>
      <c r="W139" s="36"/>
      <c r="X139" s="36"/>
      <c r="Y139" s="36"/>
      <c r="Z139" s="36"/>
      <c r="AA139" s="36"/>
      <c r="AB139" s="36"/>
      <c r="AC139" s="36"/>
      <c r="AD139" s="36"/>
      <c r="AE139" s="36" t="s">
        <v>211</v>
      </c>
      <c r="AF139" s="36"/>
      <c r="AG139" s="36"/>
      <c r="AH139" s="36"/>
      <c r="AI139" s="36"/>
      <c r="AJ139" s="36"/>
      <c r="AK139" s="36"/>
      <c r="AL139" s="36"/>
      <c r="AM139" s="36"/>
      <c r="AN139" s="36"/>
      <c r="AO139" s="36" t="s">
        <v>219</v>
      </c>
      <c r="AP139" s="36"/>
      <c r="AQ139" s="36"/>
      <c r="AR139" s="36"/>
      <c r="AS139" s="36"/>
      <c r="AT139" s="36"/>
      <c r="AU139" s="36"/>
      <c r="AV139" s="36"/>
      <c r="AW139" s="36"/>
      <c r="AX139" s="36"/>
      <c r="AY139" s="36" t="s">
        <v>229</v>
      </c>
      <c r="AZ139" s="36"/>
      <c r="BA139" s="36"/>
      <c r="BB139" s="36"/>
      <c r="BC139" s="36"/>
      <c r="BD139" s="36"/>
      <c r="BE139" s="36"/>
      <c r="BF139" s="36"/>
      <c r="BG139" s="36"/>
      <c r="BH139" s="36"/>
      <c r="BI139" s="36" t="s">
        <v>234</v>
      </c>
      <c r="BJ139" s="36"/>
      <c r="BK139" s="36"/>
      <c r="BL139" s="36"/>
      <c r="BM139" s="36"/>
      <c r="BN139" s="36"/>
      <c r="BO139" s="36"/>
      <c r="BP139" s="36"/>
      <c r="BQ139" s="36"/>
      <c r="BR139" s="36"/>
    </row>
    <row r="140" spans="1:79" ht="30" customHeight="1" x14ac:dyDescent="0.2">
      <c r="A140" s="76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8"/>
      <c r="U140" s="36" t="s">
        <v>4</v>
      </c>
      <c r="V140" s="36"/>
      <c r="W140" s="36"/>
      <c r="X140" s="36"/>
      <c r="Y140" s="36"/>
      <c r="Z140" s="36" t="s">
        <v>3</v>
      </c>
      <c r="AA140" s="36"/>
      <c r="AB140" s="36"/>
      <c r="AC140" s="36"/>
      <c r="AD140" s="36"/>
      <c r="AE140" s="36" t="s">
        <v>4</v>
      </c>
      <c r="AF140" s="36"/>
      <c r="AG140" s="36"/>
      <c r="AH140" s="36"/>
      <c r="AI140" s="36"/>
      <c r="AJ140" s="36" t="s">
        <v>3</v>
      </c>
      <c r="AK140" s="36"/>
      <c r="AL140" s="36"/>
      <c r="AM140" s="36"/>
      <c r="AN140" s="36"/>
      <c r="AO140" s="36" t="s">
        <v>4</v>
      </c>
      <c r="AP140" s="36"/>
      <c r="AQ140" s="36"/>
      <c r="AR140" s="36"/>
      <c r="AS140" s="36"/>
      <c r="AT140" s="36" t="s">
        <v>3</v>
      </c>
      <c r="AU140" s="36"/>
      <c r="AV140" s="36"/>
      <c r="AW140" s="36"/>
      <c r="AX140" s="36"/>
      <c r="AY140" s="36" t="s">
        <v>4</v>
      </c>
      <c r="AZ140" s="36"/>
      <c r="BA140" s="36"/>
      <c r="BB140" s="36"/>
      <c r="BC140" s="36"/>
      <c r="BD140" s="36" t="s">
        <v>3</v>
      </c>
      <c r="BE140" s="36"/>
      <c r="BF140" s="36"/>
      <c r="BG140" s="36"/>
      <c r="BH140" s="36"/>
      <c r="BI140" s="36" t="s">
        <v>4</v>
      </c>
      <c r="BJ140" s="36"/>
      <c r="BK140" s="36"/>
      <c r="BL140" s="36"/>
      <c r="BM140" s="36"/>
      <c r="BN140" s="36" t="s">
        <v>3</v>
      </c>
      <c r="BO140" s="36"/>
      <c r="BP140" s="36"/>
      <c r="BQ140" s="36"/>
      <c r="BR140" s="36"/>
    </row>
    <row r="141" spans="1:79" ht="15" customHeight="1" x14ac:dyDescent="0.2">
      <c r="A141" s="69">
        <v>1</v>
      </c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1"/>
      <c r="U141" s="36">
        <v>2</v>
      </c>
      <c r="V141" s="36"/>
      <c r="W141" s="36"/>
      <c r="X141" s="36"/>
      <c r="Y141" s="36"/>
      <c r="Z141" s="36">
        <v>3</v>
      </c>
      <c r="AA141" s="36"/>
      <c r="AB141" s="36"/>
      <c r="AC141" s="36"/>
      <c r="AD141" s="36"/>
      <c r="AE141" s="36">
        <v>4</v>
      </c>
      <c r="AF141" s="36"/>
      <c r="AG141" s="36"/>
      <c r="AH141" s="36"/>
      <c r="AI141" s="36"/>
      <c r="AJ141" s="36">
        <v>5</v>
      </c>
      <c r="AK141" s="36"/>
      <c r="AL141" s="36"/>
      <c r="AM141" s="36"/>
      <c r="AN141" s="36"/>
      <c r="AO141" s="36">
        <v>6</v>
      </c>
      <c r="AP141" s="36"/>
      <c r="AQ141" s="36"/>
      <c r="AR141" s="36"/>
      <c r="AS141" s="36"/>
      <c r="AT141" s="36">
        <v>7</v>
      </c>
      <c r="AU141" s="36"/>
      <c r="AV141" s="36"/>
      <c r="AW141" s="36"/>
      <c r="AX141" s="36"/>
      <c r="AY141" s="36">
        <v>8</v>
      </c>
      <c r="AZ141" s="36"/>
      <c r="BA141" s="36"/>
      <c r="BB141" s="36"/>
      <c r="BC141" s="36"/>
      <c r="BD141" s="36">
        <v>9</v>
      </c>
      <c r="BE141" s="36"/>
      <c r="BF141" s="36"/>
      <c r="BG141" s="36"/>
      <c r="BH141" s="36"/>
      <c r="BI141" s="36">
        <v>10</v>
      </c>
      <c r="BJ141" s="36"/>
      <c r="BK141" s="36"/>
      <c r="BL141" s="36"/>
      <c r="BM141" s="36"/>
      <c r="BN141" s="36">
        <v>11</v>
      </c>
      <c r="BO141" s="36"/>
      <c r="BP141" s="36"/>
      <c r="BQ141" s="36"/>
      <c r="BR141" s="36"/>
    </row>
    <row r="142" spans="1:79" s="1" customFormat="1" ht="15.75" hidden="1" customHeight="1" x14ac:dyDescent="0.2">
      <c r="A142" s="83" t="s">
        <v>57</v>
      </c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5"/>
      <c r="U142" s="61" t="s">
        <v>65</v>
      </c>
      <c r="V142" s="61"/>
      <c r="W142" s="61"/>
      <c r="X142" s="61"/>
      <c r="Y142" s="61"/>
      <c r="Z142" s="58" t="s">
        <v>66</v>
      </c>
      <c r="AA142" s="58"/>
      <c r="AB142" s="58"/>
      <c r="AC142" s="58"/>
      <c r="AD142" s="58"/>
      <c r="AE142" s="61" t="s">
        <v>67</v>
      </c>
      <c r="AF142" s="61"/>
      <c r="AG142" s="61"/>
      <c r="AH142" s="61"/>
      <c r="AI142" s="61"/>
      <c r="AJ142" s="58" t="s">
        <v>68</v>
      </c>
      <c r="AK142" s="58"/>
      <c r="AL142" s="58"/>
      <c r="AM142" s="58"/>
      <c r="AN142" s="58"/>
      <c r="AO142" s="61" t="s">
        <v>58</v>
      </c>
      <c r="AP142" s="61"/>
      <c r="AQ142" s="61"/>
      <c r="AR142" s="61"/>
      <c r="AS142" s="61"/>
      <c r="AT142" s="58" t="s">
        <v>59</v>
      </c>
      <c r="AU142" s="58"/>
      <c r="AV142" s="58"/>
      <c r="AW142" s="58"/>
      <c r="AX142" s="58"/>
      <c r="AY142" s="61" t="s">
        <v>60</v>
      </c>
      <c r="AZ142" s="61"/>
      <c r="BA142" s="61"/>
      <c r="BB142" s="61"/>
      <c r="BC142" s="61"/>
      <c r="BD142" s="58" t="s">
        <v>61</v>
      </c>
      <c r="BE142" s="58"/>
      <c r="BF142" s="58"/>
      <c r="BG142" s="58"/>
      <c r="BH142" s="58"/>
      <c r="BI142" s="61" t="s">
        <v>62</v>
      </c>
      <c r="BJ142" s="61"/>
      <c r="BK142" s="61"/>
      <c r="BL142" s="61"/>
      <c r="BM142" s="61"/>
      <c r="BN142" s="58" t="s">
        <v>63</v>
      </c>
      <c r="BO142" s="58"/>
      <c r="BP142" s="58"/>
      <c r="BQ142" s="58"/>
      <c r="BR142" s="58"/>
      <c r="CA142" t="s">
        <v>41</v>
      </c>
    </row>
    <row r="143" spans="1:79" s="5" customFormat="1" ht="12.75" customHeight="1" x14ac:dyDescent="0.2">
      <c r="A143" s="37" t="s">
        <v>147</v>
      </c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45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CA143" s="5" t="s">
        <v>42</v>
      </c>
    </row>
    <row r="144" spans="1:79" s="4" customFormat="1" ht="38.25" customHeight="1" x14ac:dyDescent="0.2">
      <c r="A144" s="30" t="s">
        <v>193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2"/>
      <c r="U144" s="33" t="s">
        <v>173</v>
      </c>
      <c r="V144" s="33"/>
      <c r="W144" s="33"/>
      <c r="X144" s="33"/>
      <c r="Y144" s="33"/>
      <c r="Z144" s="33"/>
      <c r="AA144" s="33"/>
      <c r="AB144" s="33"/>
      <c r="AC144" s="33"/>
      <c r="AD144" s="33"/>
      <c r="AE144" s="33" t="s">
        <v>173</v>
      </c>
      <c r="AF144" s="33"/>
      <c r="AG144" s="33"/>
      <c r="AH144" s="33"/>
      <c r="AI144" s="33"/>
      <c r="AJ144" s="33"/>
      <c r="AK144" s="33"/>
      <c r="AL144" s="33"/>
      <c r="AM144" s="33"/>
      <c r="AN144" s="33"/>
      <c r="AO144" s="33" t="s">
        <v>173</v>
      </c>
      <c r="AP144" s="33"/>
      <c r="AQ144" s="33"/>
      <c r="AR144" s="33"/>
      <c r="AS144" s="33"/>
      <c r="AT144" s="33"/>
      <c r="AU144" s="33"/>
      <c r="AV144" s="33"/>
      <c r="AW144" s="33"/>
      <c r="AX144" s="33"/>
      <c r="AY144" s="33" t="s">
        <v>173</v>
      </c>
      <c r="AZ144" s="33"/>
      <c r="BA144" s="33"/>
      <c r="BB144" s="33"/>
      <c r="BC144" s="33"/>
      <c r="BD144" s="33"/>
      <c r="BE144" s="33"/>
      <c r="BF144" s="33"/>
      <c r="BG144" s="33"/>
      <c r="BH144" s="33"/>
      <c r="BI144" s="33" t="s">
        <v>173</v>
      </c>
      <c r="BJ144" s="33"/>
      <c r="BK144" s="33"/>
      <c r="BL144" s="33"/>
      <c r="BM144" s="33"/>
      <c r="BN144" s="33"/>
      <c r="BO144" s="33"/>
      <c r="BP144" s="33"/>
      <c r="BQ144" s="33"/>
      <c r="BR144" s="33"/>
    </row>
    <row r="146" spans="1:79" ht="14.25" customHeight="1" x14ac:dyDescent="0.2">
      <c r="A146" s="56" t="s">
        <v>125</v>
      </c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</row>
    <row r="147" spans="1:79" ht="15" customHeight="1" x14ac:dyDescent="0.2">
      <c r="A147" s="73" t="s">
        <v>6</v>
      </c>
      <c r="B147" s="74"/>
      <c r="C147" s="74"/>
      <c r="D147" s="73" t="s">
        <v>10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5"/>
      <c r="W147" s="36" t="s">
        <v>208</v>
      </c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 t="s">
        <v>212</v>
      </c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 t="s">
        <v>224</v>
      </c>
      <c r="AV147" s="36"/>
      <c r="AW147" s="36"/>
      <c r="AX147" s="36"/>
      <c r="AY147" s="36"/>
      <c r="AZ147" s="36"/>
      <c r="BA147" s="36" t="s">
        <v>230</v>
      </c>
      <c r="BB147" s="36"/>
      <c r="BC147" s="36"/>
      <c r="BD147" s="36"/>
      <c r="BE147" s="36"/>
      <c r="BF147" s="36"/>
      <c r="BG147" s="36" t="s">
        <v>239</v>
      </c>
      <c r="BH147" s="36"/>
      <c r="BI147" s="36"/>
      <c r="BJ147" s="36"/>
      <c r="BK147" s="36"/>
      <c r="BL147" s="36"/>
    </row>
    <row r="148" spans="1:79" ht="15" customHeight="1" x14ac:dyDescent="0.2">
      <c r="A148" s="86"/>
      <c r="B148" s="87"/>
      <c r="C148" s="87"/>
      <c r="D148" s="86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8"/>
      <c r="W148" s="36" t="s">
        <v>4</v>
      </c>
      <c r="X148" s="36"/>
      <c r="Y148" s="36"/>
      <c r="Z148" s="36"/>
      <c r="AA148" s="36"/>
      <c r="AB148" s="36"/>
      <c r="AC148" s="36" t="s">
        <v>3</v>
      </c>
      <c r="AD148" s="36"/>
      <c r="AE148" s="36"/>
      <c r="AF148" s="36"/>
      <c r="AG148" s="36"/>
      <c r="AH148" s="36"/>
      <c r="AI148" s="36" t="s">
        <v>4</v>
      </c>
      <c r="AJ148" s="36"/>
      <c r="AK148" s="36"/>
      <c r="AL148" s="36"/>
      <c r="AM148" s="36"/>
      <c r="AN148" s="36"/>
      <c r="AO148" s="36" t="s">
        <v>3</v>
      </c>
      <c r="AP148" s="36"/>
      <c r="AQ148" s="36"/>
      <c r="AR148" s="36"/>
      <c r="AS148" s="36"/>
      <c r="AT148" s="36"/>
      <c r="AU148" s="63" t="s">
        <v>4</v>
      </c>
      <c r="AV148" s="63"/>
      <c r="AW148" s="63"/>
      <c r="AX148" s="63" t="s">
        <v>3</v>
      </c>
      <c r="AY148" s="63"/>
      <c r="AZ148" s="63"/>
      <c r="BA148" s="63" t="s">
        <v>4</v>
      </c>
      <c r="BB148" s="63"/>
      <c r="BC148" s="63"/>
      <c r="BD148" s="63" t="s">
        <v>3</v>
      </c>
      <c r="BE148" s="63"/>
      <c r="BF148" s="63"/>
      <c r="BG148" s="63" t="s">
        <v>4</v>
      </c>
      <c r="BH148" s="63"/>
      <c r="BI148" s="63"/>
      <c r="BJ148" s="63" t="s">
        <v>3</v>
      </c>
      <c r="BK148" s="63"/>
      <c r="BL148" s="63"/>
    </row>
    <row r="149" spans="1:79" ht="57" customHeight="1" x14ac:dyDescent="0.2">
      <c r="A149" s="76"/>
      <c r="B149" s="77"/>
      <c r="C149" s="77"/>
      <c r="D149" s="76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8"/>
      <c r="W149" s="36" t="s">
        <v>12</v>
      </c>
      <c r="X149" s="36"/>
      <c r="Y149" s="36"/>
      <c r="Z149" s="36" t="s">
        <v>11</v>
      </c>
      <c r="AA149" s="36"/>
      <c r="AB149" s="36"/>
      <c r="AC149" s="36" t="s">
        <v>12</v>
      </c>
      <c r="AD149" s="36"/>
      <c r="AE149" s="36"/>
      <c r="AF149" s="36" t="s">
        <v>11</v>
      </c>
      <c r="AG149" s="36"/>
      <c r="AH149" s="36"/>
      <c r="AI149" s="36" t="s">
        <v>12</v>
      </c>
      <c r="AJ149" s="36"/>
      <c r="AK149" s="36"/>
      <c r="AL149" s="36" t="s">
        <v>11</v>
      </c>
      <c r="AM149" s="36"/>
      <c r="AN149" s="36"/>
      <c r="AO149" s="36" t="s">
        <v>12</v>
      </c>
      <c r="AP149" s="36"/>
      <c r="AQ149" s="36"/>
      <c r="AR149" s="36" t="s">
        <v>11</v>
      </c>
      <c r="AS149" s="36"/>
      <c r="AT149" s="36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</row>
    <row r="150" spans="1:79" ht="15" customHeight="1" x14ac:dyDescent="0.2">
      <c r="A150" s="69">
        <v>1</v>
      </c>
      <c r="B150" s="70"/>
      <c r="C150" s="70"/>
      <c r="D150" s="69">
        <v>2</v>
      </c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1"/>
      <c r="W150" s="36">
        <v>3</v>
      </c>
      <c r="X150" s="36"/>
      <c r="Y150" s="36"/>
      <c r="Z150" s="36">
        <v>4</v>
      </c>
      <c r="AA150" s="36"/>
      <c r="AB150" s="36"/>
      <c r="AC150" s="36">
        <v>5</v>
      </c>
      <c r="AD150" s="36"/>
      <c r="AE150" s="36"/>
      <c r="AF150" s="36">
        <v>6</v>
      </c>
      <c r="AG150" s="36"/>
      <c r="AH150" s="36"/>
      <c r="AI150" s="36">
        <v>7</v>
      </c>
      <c r="AJ150" s="36"/>
      <c r="AK150" s="36"/>
      <c r="AL150" s="36">
        <v>8</v>
      </c>
      <c r="AM150" s="36"/>
      <c r="AN150" s="36"/>
      <c r="AO150" s="36">
        <v>9</v>
      </c>
      <c r="AP150" s="36"/>
      <c r="AQ150" s="36"/>
      <c r="AR150" s="36">
        <v>10</v>
      </c>
      <c r="AS150" s="36"/>
      <c r="AT150" s="36"/>
      <c r="AU150" s="36">
        <v>11</v>
      </c>
      <c r="AV150" s="36"/>
      <c r="AW150" s="36"/>
      <c r="AX150" s="36">
        <v>12</v>
      </c>
      <c r="AY150" s="36"/>
      <c r="AZ150" s="36"/>
      <c r="BA150" s="36">
        <v>13</v>
      </c>
      <c r="BB150" s="36"/>
      <c r="BC150" s="36"/>
      <c r="BD150" s="36">
        <v>14</v>
      </c>
      <c r="BE150" s="36"/>
      <c r="BF150" s="36"/>
      <c r="BG150" s="36">
        <v>15</v>
      </c>
      <c r="BH150" s="36"/>
      <c r="BI150" s="36"/>
      <c r="BJ150" s="36">
        <v>16</v>
      </c>
      <c r="BK150" s="36"/>
      <c r="BL150" s="36"/>
    </row>
    <row r="151" spans="1:79" s="1" customFormat="1" ht="12.75" hidden="1" customHeight="1" x14ac:dyDescent="0.2">
      <c r="A151" s="83" t="s">
        <v>69</v>
      </c>
      <c r="B151" s="84"/>
      <c r="C151" s="84"/>
      <c r="D151" s="83" t="s">
        <v>57</v>
      </c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5"/>
      <c r="W151" s="61" t="s">
        <v>72</v>
      </c>
      <c r="X151" s="61"/>
      <c r="Y151" s="61"/>
      <c r="Z151" s="61" t="s">
        <v>73</v>
      </c>
      <c r="AA151" s="61"/>
      <c r="AB151" s="61"/>
      <c r="AC151" s="58" t="s">
        <v>74</v>
      </c>
      <c r="AD151" s="58"/>
      <c r="AE151" s="58"/>
      <c r="AF151" s="58" t="s">
        <v>75</v>
      </c>
      <c r="AG151" s="58"/>
      <c r="AH151" s="58"/>
      <c r="AI151" s="61" t="s">
        <v>76</v>
      </c>
      <c r="AJ151" s="61"/>
      <c r="AK151" s="61"/>
      <c r="AL151" s="61" t="s">
        <v>77</v>
      </c>
      <c r="AM151" s="61"/>
      <c r="AN151" s="61"/>
      <c r="AO151" s="58" t="s">
        <v>104</v>
      </c>
      <c r="AP151" s="58"/>
      <c r="AQ151" s="58"/>
      <c r="AR151" s="58" t="s">
        <v>78</v>
      </c>
      <c r="AS151" s="58"/>
      <c r="AT151" s="58"/>
      <c r="AU151" s="61" t="s">
        <v>105</v>
      </c>
      <c r="AV151" s="61"/>
      <c r="AW151" s="61"/>
      <c r="AX151" s="58" t="s">
        <v>106</v>
      </c>
      <c r="AY151" s="58"/>
      <c r="AZ151" s="58"/>
      <c r="BA151" s="61" t="s">
        <v>107</v>
      </c>
      <c r="BB151" s="61"/>
      <c r="BC151" s="61"/>
      <c r="BD151" s="58" t="s">
        <v>108</v>
      </c>
      <c r="BE151" s="58"/>
      <c r="BF151" s="58"/>
      <c r="BG151" s="61" t="s">
        <v>109</v>
      </c>
      <c r="BH151" s="61"/>
      <c r="BI151" s="61"/>
      <c r="BJ151" s="58" t="s">
        <v>110</v>
      </c>
      <c r="BK151" s="58"/>
      <c r="BL151" s="58"/>
      <c r="CA151" s="1" t="s">
        <v>103</v>
      </c>
    </row>
    <row r="152" spans="1:79" s="5" customFormat="1" ht="12.75" customHeight="1" x14ac:dyDescent="0.2">
      <c r="A152" s="37">
        <v>1</v>
      </c>
      <c r="B152" s="38"/>
      <c r="C152" s="38"/>
      <c r="D152" s="23" t="s">
        <v>194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5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CA152" s="5" t="s">
        <v>43</v>
      </c>
    </row>
    <row r="153" spans="1:79" s="4" customFormat="1" ht="25.5" customHeight="1" x14ac:dyDescent="0.2">
      <c r="A153" s="28"/>
      <c r="B153" s="29"/>
      <c r="C153" s="29"/>
      <c r="D153" s="30" t="s">
        <v>195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2"/>
      <c r="W153" s="27" t="s">
        <v>173</v>
      </c>
      <c r="X153" s="27"/>
      <c r="Y153" s="27"/>
      <c r="Z153" s="27" t="s">
        <v>173</v>
      </c>
      <c r="AA153" s="27"/>
      <c r="AB153" s="27"/>
      <c r="AC153" s="27"/>
      <c r="AD153" s="27"/>
      <c r="AE153" s="27"/>
      <c r="AF153" s="27"/>
      <c r="AG153" s="27"/>
      <c r="AH153" s="27"/>
      <c r="AI153" s="27" t="s">
        <v>173</v>
      </c>
      <c r="AJ153" s="27"/>
      <c r="AK153" s="27"/>
      <c r="AL153" s="27" t="s">
        <v>173</v>
      </c>
      <c r="AM153" s="27"/>
      <c r="AN153" s="27"/>
      <c r="AO153" s="27"/>
      <c r="AP153" s="27"/>
      <c r="AQ153" s="27"/>
      <c r="AR153" s="27"/>
      <c r="AS153" s="27"/>
      <c r="AT153" s="27"/>
      <c r="AU153" s="27" t="s">
        <v>173</v>
      </c>
      <c r="AV153" s="27"/>
      <c r="AW153" s="27"/>
      <c r="AX153" s="27"/>
      <c r="AY153" s="27"/>
      <c r="AZ153" s="27"/>
      <c r="BA153" s="27" t="s">
        <v>173</v>
      </c>
      <c r="BB153" s="27"/>
      <c r="BC153" s="27"/>
      <c r="BD153" s="27"/>
      <c r="BE153" s="27"/>
      <c r="BF153" s="27"/>
      <c r="BG153" s="27" t="s">
        <v>173</v>
      </c>
      <c r="BH153" s="27"/>
      <c r="BI153" s="27"/>
      <c r="BJ153" s="27"/>
      <c r="BK153" s="27"/>
      <c r="BL153" s="27"/>
    </row>
    <row r="155" spans="1:79" ht="14.25" customHeight="1" x14ac:dyDescent="0.2">
      <c r="A155" s="56" t="s">
        <v>153</v>
      </c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</row>
    <row r="156" spans="1:79" ht="14.25" customHeight="1" x14ac:dyDescent="0.2">
      <c r="A156" s="56" t="s">
        <v>225</v>
      </c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</row>
    <row r="157" spans="1:79" ht="15" customHeight="1" x14ac:dyDescent="0.2">
      <c r="A157" s="62" t="s">
        <v>207</v>
      </c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</row>
    <row r="158" spans="1:79" ht="15" customHeight="1" x14ac:dyDescent="0.2">
      <c r="A158" s="36" t="s">
        <v>6</v>
      </c>
      <c r="B158" s="36"/>
      <c r="C158" s="36"/>
      <c r="D158" s="36"/>
      <c r="E158" s="36"/>
      <c r="F158" s="36"/>
      <c r="G158" s="36" t="s">
        <v>126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 t="s">
        <v>13</v>
      </c>
      <c r="U158" s="36"/>
      <c r="V158" s="36"/>
      <c r="W158" s="36"/>
      <c r="X158" s="36"/>
      <c r="Y158" s="36"/>
      <c r="Z158" s="36"/>
      <c r="AA158" s="69" t="s">
        <v>208</v>
      </c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2"/>
      <c r="AP158" s="69" t="s">
        <v>211</v>
      </c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1"/>
      <c r="BE158" s="69" t="s">
        <v>219</v>
      </c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1"/>
    </row>
    <row r="159" spans="1:79" ht="32.1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 t="s">
        <v>4</v>
      </c>
      <c r="AB159" s="36"/>
      <c r="AC159" s="36"/>
      <c r="AD159" s="36"/>
      <c r="AE159" s="36"/>
      <c r="AF159" s="36" t="s">
        <v>3</v>
      </c>
      <c r="AG159" s="36"/>
      <c r="AH159" s="36"/>
      <c r="AI159" s="36"/>
      <c r="AJ159" s="36"/>
      <c r="AK159" s="36" t="s">
        <v>89</v>
      </c>
      <c r="AL159" s="36"/>
      <c r="AM159" s="36"/>
      <c r="AN159" s="36"/>
      <c r="AO159" s="36"/>
      <c r="AP159" s="36" t="s">
        <v>4</v>
      </c>
      <c r="AQ159" s="36"/>
      <c r="AR159" s="36"/>
      <c r="AS159" s="36"/>
      <c r="AT159" s="36"/>
      <c r="AU159" s="36" t="s">
        <v>3</v>
      </c>
      <c r="AV159" s="36"/>
      <c r="AW159" s="36"/>
      <c r="AX159" s="36"/>
      <c r="AY159" s="36"/>
      <c r="AZ159" s="36" t="s">
        <v>96</v>
      </c>
      <c r="BA159" s="36"/>
      <c r="BB159" s="36"/>
      <c r="BC159" s="36"/>
      <c r="BD159" s="36"/>
      <c r="BE159" s="36" t="s">
        <v>4</v>
      </c>
      <c r="BF159" s="36"/>
      <c r="BG159" s="36"/>
      <c r="BH159" s="36"/>
      <c r="BI159" s="36"/>
      <c r="BJ159" s="36" t="s">
        <v>3</v>
      </c>
      <c r="BK159" s="36"/>
      <c r="BL159" s="36"/>
      <c r="BM159" s="36"/>
      <c r="BN159" s="36"/>
      <c r="BO159" s="36" t="s">
        <v>127</v>
      </c>
      <c r="BP159" s="36"/>
      <c r="BQ159" s="36"/>
      <c r="BR159" s="36"/>
      <c r="BS159" s="36"/>
    </row>
    <row r="160" spans="1:79" ht="15" customHeight="1" x14ac:dyDescent="0.2">
      <c r="A160" s="36">
        <v>1</v>
      </c>
      <c r="B160" s="36"/>
      <c r="C160" s="36"/>
      <c r="D160" s="36"/>
      <c r="E160" s="36"/>
      <c r="F160" s="36"/>
      <c r="G160" s="36">
        <v>2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>
        <v>3</v>
      </c>
      <c r="U160" s="36"/>
      <c r="V160" s="36"/>
      <c r="W160" s="36"/>
      <c r="X160" s="36"/>
      <c r="Y160" s="36"/>
      <c r="Z160" s="36"/>
      <c r="AA160" s="36">
        <v>4</v>
      </c>
      <c r="AB160" s="36"/>
      <c r="AC160" s="36"/>
      <c r="AD160" s="36"/>
      <c r="AE160" s="36"/>
      <c r="AF160" s="36">
        <v>5</v>
      </c>
      <c r="AG160" s="36"/>
      <c r="AH160" s="36"/>
      <c r="AI160" s="36"/>
      <c r="AJ160" s="36"/>
      <c r="AK160" s="36">
        <v>6</v>
      </c>
      <c r="AL160" s="36"/>
      <c r="AM160" s="36"/>
      <c r="AN160" s="36"/>
      <c r="AO160" s="36"/>
      <c r="AP160" s="36">
        <v>7</v>
      </c>
      <c r="AQ160" s="36"/>
      <c r="AR160" s="36"/>
      <c r="AS160" s="36"/>
      <c r="AT160" s="36"/>
      <c r="AU160" s="36">
        <v>8</v>
      </c>
      <c r="AV160" s="36"/>
      <c r="AW160" s="36"/>
      <c r="AX160" s="36"/>
      <c r="AY160" s="36"/>
      <c r="AZ160" s="36">
        <v>9</v>
      </c>
      <c r="BA160" s="36"/>
      <c r="BB160" s="36"/>
      <c r="BC160" s="36"/>
      <c r="BD160" s="36"/>
      <c r="BE160" s="36">
        <v>10</v>
      </c>
      <c r="BF160" s="36"/>
      <c r="BG160" s="36"/>
      <c r="BH160" s="36"/>
      <c r="BI160" s="36"/>
      <c r="BJ160" s="36">
        <v>11</v>
      </c>
      <c r="BK160" s="36"/>
      <c r="BL160" s="36"/>
      <c r="BM160" s="36"/>
      <c r="BN160" s="36"/>
      <c r="BO160" s="36">
        <v>12</v>
      </c>
      <c r="BP160" s="36"/>
      <c r="BQ160" s="36"/>
      <c r="BR160" s="36"/>
      <c r="BS160" s="36"/>
    </row>
    <row r="161" spans="1:79" s="1" customFormat="1" ht="15" hidden="1" customHeight="1" x14ac:dyDescent="0.2">
      <c r="A161" s="61" t="s">
        <v>69</v>
      </c>
      <c r="B161" s="61"/>
      <c r="C161" s="61"/>
      <c r="D161" s="61"/>
      <c r="E161" s="61"/>
      <c r="F161" s="61"/>
      <c r="G161" s="59" t="s">
        <v>57</v>
      </c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 t="s">
        <v>79</v>
      </c>
      <c r="U161" s="59"/>
      <c r="V161" s="59"/>
      <c r="W161" s="59"/>
      <c r="X161" s="59"/>
      <c r="Y161" s="59"/>
      <c r="Z161" s="59"/>
      <c r="AA161" s="58" t="s">
        <v>65</v>
      </c>
      <c r="AB161" s="58"/>
      <c r="AC161" s="58"/>
      <c r="AD161" s="58"/>
      <c r="AE161" s="58"/>
      <c r="AF161" s="58" t="s">
        <v>66</v>
      </c>
      <c r="AG161" s="58"/>
      <c r="AH161" s="58"/>
      <c r="AI161" s="58"/>
      <c r="AJ161" s="58"/>
      <c r="AK161" s="79" t="s">
        <v>122</v>
      </c>
      <c r="AL161" s="79"/>
      <c r="AM161" s="79"/>
      <c r="AN161" s="79"/>
      <c r="AO161" s="79"/>
      <c r="AP161" s="58" t="s">
        <v>67</v>
      </c>
      <c r="AQ161" s="58"/>
      <c r="AR161" s="58"/>
      <c r="AS161" s="58"/>
      <c r="AT161" s="58"/>
      <c r="AU161" s="58" t="s">
        <v>68</v>
      </c>
      <c r="AV161" s="58"/>
      <c r="AW161" s="58"/>
      <c r="AX161" s="58"/>
      <c r="AY161" s="58"/>
      <c r="AZ161" s="79" t="s">
        <v>122</v>
      </c>
      <c r="BA161" s="79"/>
      <c r="BB161" s="79"/>
      <c r="BC161" s="79"/>
      <c r="BD161" s="79"/>
      <c r="BE161" s="58" t="s">
        <v>58</v>
      </c>
      <c r="BF161" s="58"/>
      <c r="BG161" s="58"/>
      <c r="BH161" s="58"/>
      <c r="BI161" s="58"/>
      <c r="BJ161" s="58" t="s">
        <v>59</v>
      </c>
      <c r="BK161" s="58"/>
      <c r="BL161" s="58"/>
      <c r="BM161" s="58"/>
      <c r="BN161" s="58"/>
      <c r="BO161" s="79" t="s">
        <v>122</v>
      </c>
      <c r="BP161" s="79"/>
      <c r="BQ161" s="79"/>
      <c r="BR161" s="79"/>
      <c r="BS161" s="79"/>
      <c r="CA161" s="1" t="s">
        <v>44</v>
      </c>
    </row>
    <row r="162" spans="1:79" s="4" customFormat="1" ht="51" customHeight="1" x14ac:dyDescent="0.2">
      <c r="A162" s="60">
        <v>1</v>
      </c>
      <c r="B162" s="60"/>
      <c r="C162" s="60"/>
      <c r="D162" s="60"/>
      <c r="E162" s="60"/>
      <c r="F162" s="60"/>
      <c r="G162" s="30" t="s">
        <v>196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80" t="s">
        <v>197</v>
      </c>
      <c r="U162" s="31"/>
      <c r="V162" s="31"/>
      <c r="W162" s="31"/>
      <c r="X162" s="31"/>
      <c r="Y162" s="31"/>
      <c r="Z162" s="32"/>
      <c r="AA162" s="33">
        <v>223849</v>
      </c>
      <c r="AB162" s="33"/>
      <c r="AC162" s="33"/>
      <c r="AD162" s="33"/>
      <c r="AE162" s="33"/>
      <c r="AF162" s="33">
        <v>0</v>
      </c>
      <c r="AG162" s="33"/>
      <c r="AH162" s="33"/>
      <c r="AI162" s="33"/>
      <c r="AJ162" s="33"/>
      <c r="AK162" s="33">
        <f>IF(ISNUMBER(AA162),AA162,0)+IF(ISNUMBER(AF162),AF162,0)</f>
        <v>223849</v>
      </c>
      <c r="AL162" s="33"/>
      <c r="AM162" s="33"/>
      <c r="AN162" s="33"/>
      <c r="AO162" s="33"/>
      <c r="AP162" s="33">
        <v>741292</v>
      </c>
      <c r="AQ162" s="33"/>
      <c r="AR162" s="33"/>
      <c r="AS162" s="33"/>
      <c r="AT162" s="33"/>
      <c r="AU162" s="33">
        <v>0</v>
      </c>
      <c r="AV162" s="33"/>
      <c r="AW162" s="33"/>
      <c r="AX162" s="33"/>
      <c r="AY162" s="33"/>
      <c r="AZ162" s="33">
        <f>IF(ISNUMBER(AP162),AP162,0)+IF(ISNUMBER(AU162),AU162,0)</f>
        <v>741292</v>
      </c>
      <c r="BA162" s="33"/>
      <c r="BB162" s="33"/>
      <c r="BC162" s="33"/>
      <c r="BD162" s="33"/>
      <c r="BE162" s="33">
        <v>943002</v>
      </c>
      <c r="BF162" s="33"/>
      <c r="BG162" s="33"/>
      <c r="BH162" s="33"/>
      <c r="BI162" s="33"/>
      <c r="BJ162" s="33">
        <v>0</v>
      </c>
      <c r="BK162" s="33"/>
      <c r="BL162" s="33"/>
      <c r="BM162" s="33"/>
      <c r="BN162" s="33"/>
      <c r="BO162" s="33">
        <f>IF(ISNUMBER(BE162),BE162,0)+IF(ISNUMBER(BJ162),BJ162,0)</f>
        <v>943002</v>
      </c>
      <c r="BP162" s="33"/>
      <c r="BQ162" s="33"/>
      <c r="BR162" s="33"/>
      <c r="BS162" s="33"/>
      <c r="CA162" s="4" t="s">
        <v>45</v>
      </c>
    </row>
    <row r="163" spans="1:79" s="5" customFormat="1" ht="12.75" customHeight="1" x14ac:dyDescent="0.2">
      <c r="A163" s="22"/>
      <c r="B163" s="22"/>
      <c r="C163" s="22"/>
      <c r="D163" s="22"/>
      <c r="E163" s="22"/>
      <c r="F163" s="22"/>
      <c r="G163" s="23" t="s">
        <v>147</v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5"/>
      <c r="T163" s="26"/>
      <c r="U163" s="24"/>
      <c r="V163" s="24"/>
      <c r="W163" s="24"/>
      <c r="X163" s="24"/>
      <c r="Y163" s="24"/>
      <c r="Z163" s="25"/>
      <c r="AA163" s="20">
        <v>223849</v>
      </c>
      <c r="AB163" s="20"/>
      <c r="AC163" s="20"/>
      <c r="AD163" s="20"/>
      <c r="AE163" s="20"/>
      <c r="AF163" s="20">
        <v>0</v>
      </c>
      <c r="AG163" s="20"/>
      <c r="AH163" s="20"/>
      <c r="AI163" s="20"/>
      <c r="AJ163" s="20"/>
      <c r="AK163" s="20">
        <f>IF(ISNUMBER(AA163),AA163,0)+IF(ISNUMBER(AF163),AF163,0)</f>
        <v>223849</v>
      </c>
      <c r="AL163" s="20"/>
      <c r="AM163" s="20"/>
      <c r="AN163" s="20"/>
      <c r="AO163" s="20"/>
      <c r="AP163" s="20">
        <v>741292</v>
      </c>
      <c r="AQ163" s="20"/>
      <c r="AR163" s="20"/>
      <c r="AS163" s="20"/>
      <c r="AT163" s="20"/>
      <c r="AU163" s="20">
        <v>0</v>
      </c>
      <c r="AV163" s="20"/>
      <c r="AW163" s="20"/>
      <c r="AX163" s="20"/>
      <c r="AY163" s="20"/>
      <c r="AZ163" s="20">
        <f>IF(ISNUMBER(AP163),AP163,0)+IF(ISNUMBER(AU163),AU163,0)</f>
        <v>741292</v>
      </c>
      <c r="BA163" s="20"/>
      <c r="BB163" s="20"/>
      <c r="BC163" s="20"/>
      <c r="BD163" s="20"/>
      <c r="BE163" s="20">
        <v>943002</v>
      </c>
      <c r="BF163" s="20"/>
      <c r="BG163" s="20"/>
      <c r="BH163" s="20"/>
      <c r="BI163" s="20"/>
      <c r="BJ163" s="20">
        <v>0</v>
      </c>
      <c r="BK163" s="20"/>
      <c r="BL163" s="20"/>
      <c r="BM163" s="20"/>
      <c r="BN163" s="20"/>
      <c r="BO163" s="20">
        <f>IF(ISNUMBER(BE163),BE163,0)+IF(ISNUMBER(BJ163),BJ163,0)</f>
        <v>943002</v>
      </c>
      <c r="BP163" s="20"/>
      <c r="BQ163" s="20"/>
      <c r="BR163" s="20"/>
      <c r="BS163" s="20"/>
    </row>
    <row r="165" spans="1:79" ht="13.5" customHeight="1" x14ac:dyDescent="0.2">
      <c r="A165" s="56" t="s">
        <v>240</v>
      </c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</row>
    <row r="166" spans="1:79" ht="15" customHeight="1" x14ac:dyDescent="0.2">
      <c r="A166" s="72" t="s">
        <v>207</v>
      </c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</row>
    <row r="167" spans="1:79" ht="15" customHeight="1" x14ac:dyDescent="0.2">
      <c r="A167" s="36" t="s">
        <v>6</v>
      </c>
      <c r="B167" s="36"/>
      <c r="C167" s="36"/>
      <c r="D167" s="36"/>
      <c r="E167" s="36"/>
      <c r="F167" s="36"/>
      <c r="G167" s="36" t="s">
        <v>126</v>
      </c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 t="s">
        <v>13</v>
      </c>
      <c r="U167" s="36"/>
      <c r="V167" s="36"/>
      <c r="W167" s="36"/>
      <c r="X167" s="36"/>
      <c r="Y167" s="36"/>
      <c r="Z167" s="36"/>
      <c r="AA167" s="69" t="s">
        <v>229</v>
      </c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2"/>
      <c r="AP167" s="69" t="s">
        <v>234</v>
      </c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1"/>
    </row>
    <row r="168" spans="1:79" ht="32.1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 t="s">
        <v>4</v>
      </c>
      <c r="AB168" s="36"/>
      <c r="AC168" s="36"/>
      <c r="AD168" s="36"/>
      <c r="AE168" s="36"/>
      <c r="AF168" s="36" t="s">
        <v>3</v>
      </c>
      <c r="AG168" s="36"/>
      <c r="AH168" s="36"/>
      <c r="AI168" s="36"/>
      <c r="AJ168" s="36"/>
      <c r="AK168" s="36" t="s">
        <v>89</v>
      </c>
      <c r="AL168" s="36"/>
      <c r="AM168" s="36"/>
      <c r="AN168" s="36"/>
      <c r="AO168" s="36"/>
      <c r="AP168" s="36" t="s">
        <v>4</v>
      </c>
      <c r="AQ168" s="36"/>
      <c r="AR168" s="36"/>
      <c r="AS168" s="36"/>
      <c r="AT168" s="36"/>
      <c r="AU168" s="36" t="s">
        <v>3</v>
      </c>
      <c r="AV168" s="36"/>
      <c r="AW168" s="36"/>
      <c r="AX168" s="36"/>
      <c r="AY168" s="36"/>
      <c r="AZ168" s="36" t="s">
        <v>96</v>
      </c>
      <c r="BA168" s="36"/>
      <c r="BB168" s="36"/>
      <c r="BC168" s="36"/>
      <c r="BD168" s="36"/>
    </row>
    <row r="169" spans="1:79" ht="15" customHeight="1" x14ac:dyDescent="0.2">
      <c r="A169" s="36">
        <v>1</v>
      </c>
      <c r="B169" s="36"/>
      <c r="C169" s="36"/>
      <c r="D169" s="36"/>
      <c r="E169" s="36"/>
      <c r="F169" s="36"/>
      <c r="G169" s="36">
        <v>2</v>
      </c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>
        <v>3</v>
      </c>
      <c r="U169" s="36"/>
      <c r="V169" s="36"/>
      <c r="W169" s="36"/>
      <c r="X169" s="36"/>
      <c r="Y169" s="36"/>
      <c r="Z169" s="36"/>
      <c r="AA169" s="36">
        <v>4</v>
      </c>
      <c r="AB169" s="36"/>
      <c r="AC169" s="36"/>
      <c r="AD169" s="36"/>
      <c r="AE169" s="36"/>
      <c r="AF169" s="36">
        <v>5</v>
      </c>
      <c r="AG169" s="36"/>
      <c r="AH169" s="36"/>
      <c r="AI169" s="36"/>
      <c r="AJ169" s="36"/>
      <c r="AK169" s="36">
        <v>6</v>
      </c>
      <c r="AL169" s="36"/>
      <c r="AM169" s="36"/>
      <c r="AN169" s="36"/>
      <c r="AO169" s="36"/>
      <c r="AP169" s="36">
        <v>7</v>
      </c>
      <c r="AQ169" s="36"/>
      <c r="AR169" s="36"/>
      <c r="AS169" s="36"/>
      <c r="AT169" s="36"/>
      <c r="AU169" s="36">
        <v>8</v>
      </c>
      <c r="AV169" s="36"/>
      <c r="AW169" s="36"/>
      <c r="AX169" s="36"/>
      <c r="AY169" s="36"/>
      <c r="AZ169" s="36">
        <v>9</v>
      </c>
      <c r="BA169" s="36"/>
      <c r="BB169" s="36"/>
      <c r="BC169" s="36"/>
      <c r="BD169" s="36"/>
    </row>
    <row r="170" spans="1:79" s="1" customFormat="1" ht="12" hidden="1" customHeight="1" x14ac:dyDescent="0.2">
      <c r="A170" s="61" t="s">
        <v>69</v>
      </c>
      <c r="B170" s="61"/>
      <c r="C170" s="61"/>
      <c r="D170" s="61"/>
      <c r="E170" s="61"/>
      <c r="F170" s="61"/>
      <c r="G170" s="59" t="s">
        <v>57</v>
      </c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 t="s">
        <v>79</v>
      </c>
      <c r="U170" s="59"/>
      <c r="V170" s="59"/>
      <c r="W170" s="59"/>
      <c r="X170" s="59"/>
      <c r="Y170" s="59"/>
      <c r="Z170" s="59"/>
      <c r="AA170" s="58" t="s">
        <v>60</v>
      </c>
      <c r="AB170" s="58"/>
      <c r="AC170" s="58"/>
      <c r="AD170" s="58"/>
      <c r="AE170" s="58"/>
      <c r="AF170" s="58" t="s">
        <v>61</v>
      </c>
      <c r="AG170" s="58"/>
      <c r="AH170" s="58"/>
      <c r="AI170" s="58"/>
      <c r="AJ170" s="58"/>
      <c r="AK170" s="79" t="s">
        <v>122</v>
      </c>
      <c r="AL170" s="79"/>
      <c r="AM170" s="79"/>
      <c r="AN170" s="79"/>
      <c r="AO170" s="79"/>
      <c r="AP170" s="58" t="s">
        <v>62</v>
      </c>
      <c r="AQ170" s="58"/>
      <c r="AR170" s="58"/>
      <c r="AS170" s="58"/>
      <c r="AT170" s="58"/>
      <c r="AU170" s="58" t="s">
        <v>63</v>
      </c>
      <c r="AV170" s="58"/>
      <c r="AW170" s="58"/>
      <c r="AX170" s="58"/>
      <c r="AY170" s="58"/>
      <c r="AZ170" s="79" t="s">
        <v>122</v>
      </c>
      <c r="BA170" s="79"/>
      <c r="BB170" s="79"/>
      <c r="BC170" s="79"/>
      <c r="BD170" s="79"/>
      <c r="CA170" s="1" t="s">
        <v>46</v>
      </c>
    </row>
    <row r="171" spans="1:79" s="4" customFormat="1" ht="51" customHeight="1" x14ac:dyDescent="0.2">
      <c r="A171" s="60">
        <v>1</v>
      </c>
      <c r="B171" s="60"/>
      <c r="C171" s="60"/>
      <c r="D171" s="60"/>
      <c r="E171" s="60"/>
      <c r="F171" s="60"/>
      <c r="G171" s="30" t="s">
        <v>196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80" t="s">
        <v>197</v>
      </c>
      <c r="U171" s="31"/>
      <c r="V171" s="31"/>
      <c r="W171" s="31"/>
      <c r="X171" s="31"/>
      <c r="Y171" s="31"/>
      <c r="Z171" s="32"/>
      <c r="AA171" s="33">
        <v>943002</v>
      </c>
      <c r="AB171" s="33"/>
      <c r="AC171" s="33"/>
      <c r="AD171" s="33"/>
      <c r="AE171" s="33"/>
      <c r="AF171" s="33">
        <v>0</v>
      </c>
      <c r="AG171" s="33"/>
      <c r="AH171" s="33"/>
      <c r="AI171" s="33"/>
      <c r="AJ171" s="33"/>
      <c r="AK171" s="33">
        <f>IF(ISNUMBER(AA171),AA171,0)+IF(ISNUMBER(AF171),AF171,0)</f>
        <v>943002</v>
      </c>
      <c r="AL171" s="33"/>
      <c r="AM171" s="33"/>
      <c r="AN171" s="33"/>
      <c r="AO171" s="33"/>
      <c r="AP171" s="33">
        <v>943002</v>
      </c>
      <c r="AQ171" s="33"/>
      <c r="AR171" s="33"/>
      <c r="AS171" s="33"/>
      <c r="AT171" s="33"/>
      <c r="AU171" s="33">
        <v>0</v>
      </c>
      <c r="AV171" s="33"/>
      <c r="AW171" s="33"/>
      <c r="AX171" s="33"/>
      <c r="AY171" s="33"/>
      <c r="AZ171" s="33">
        <f>IF(ISNUMBER(AP171),AP171,0)+IF(ISNUMBER(AU171),AU171,0)</f>
        <v>943002</v>
      </c>
      <c r="BA171" s="33"/>
      <c r="BB171" s="33"/>
      <c r="BC171" s="33"/>
      <c r="BD171" s="33"/>
      <c r="CA171" s="4" t="s">
        <v>47</v>
      </c>
    </row>
    <row r="172" spans="1:79" s="5" customFormat="1" x14ac:dyDescent="0.2">
      <c r="A172" s="22"/>
      <c r="B172" s="22"/>
      <c r="C172" s="22"/>
      <c r="D172" s="22"/>
      <c r="E172" s="22"/>
      <c r="F172" s="22"/>
      <c r="G172" s="23" t="s">
        <v>147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5"/>
      <c r="T172" s="26"/>
      <c r="U172" s="24"/>
      <c r="V172" s="24"/>
      <c r="W172" s="24"/>
      <c r="X172" s="24"/>
      <c r="Y172" s="24"/>
      <c r="Z172" s="25"/>
      <c r="AA172" s="20">
        <v>943002</v>
      </c>
      <c r="AB172" s="20"/>
      <c r="AC172" s="20"/>
      <c r="AD172" s="20"/>
      <c r="AE172" s="20"/>
      <c r="AF172" s="20">
        <v>0</v>
      </c>
      <c r="AG172" s="20"/>
      <c r="AH172" s="20"/>
      <c r="AI172" s="20"/>
      <c r="AJ172" s="20"/>
      <c r="AK172" s="20">
        <f>IF(ISNUMBER(AA172),AA172,0)+IF(ISNUMBER(AF172),AF172,0)</f>
        <v>943002</v>
      </c>
      <c r="AL172" s="20"/>
      <c r="AM172" s="20"/>
      <c r="AN172" s="20"/>
      <c r="AO172" s="20"/>
      <c r="AP172" s="20">
        <v>943002</v>
      </c>
      <c r="AQ172" s="20"/>
      <c r="AR172" s="20"/>
      <c r="AS172" s="20"/>
      <c r="AT172" s="20"/>
      <c r="AU172" s="20">
        <v>0</v>
      </c>
      <c r="AV172" s="20"/>
      <c r="AW172" s="20"/>
      <c r="AX172" s="20"/>
      <c r="AY172" s="20"/>
      <c r="AZ172" s="20">
        <f>IF(ISNUMBER(AP172),AP172,0)+IF(ISNUMBER(AU172),AU172,0)</f>
        <v>943002</v>
      </c>
      <c r="BA172" s="20"/>
      <c r="BB172" s="20"/>
      <c r="BC172" s="20"/>
      <c r="BD172" s="20"/>
    </row>
    <row r="174" spans="1:79" ht="14.25" customHeight="1" x14ac:dyDescent="0.2">
      <c r="A174" s="56" t="s">
        <v>241</v>
      </c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</row>
    <row r="175" spans="1:79" ht="15" customHeight="1" x14ac:dyDescent="0.2">
      <c r="A175" s="72" t="s">
        <v>207</v>
      </c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</row>
    <row r="176" spans="1:79" ht="23.1" customHeight="1" x14ac:dyDescent="0.2">
      <c r="A176" s="36" t="s">
        <v>128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73" t="s">
        <v>129</v>
      </c>
      <c r="O176" s="74"/>
      <c r="P176" s="74"/>
      <c r="Q176" s="74"/>
      <c r="R176" s="74"/>
      <c r="S176" s="74"/>
      <c r="T176" s="74"/>
      <c r="U176" s="75"/>
      <c r="V176" s="73" t="s">
        <v>130</v>
      </c>
      <c r="W176" s="74"/>
      <c r="X176" s="74"/>
      <c r="Y176" s="74"/>
      <c r="Z176" s="75"/>
      <c r="AA176" s="36" t="s">
        <v>208</v>
      </c>
      <c r="AB176" s="36"/>
      <c r="AC176" s="36"/>
      <c r="AD176" s="36"/>
      <c r="AE176" s="36"/>
      <c r="AF176" s="36"/>
      <c r="AG176" s="36"/>
      <c r="AH176" s="36"/>
      <c r="AI176" s="36"/>
      <c r="AJ176" s="36" t="s">
        <v>211</v>
      </c>
      <c r="AK176" s="36"/>
      <c r="AL176" s="36"/>
      <c r="AM176" s="36"/>
      <c r="AN176" s="36"/>
      <c r="AO176" s="36"/>
      <c r="AP176" s="36"/>
      <c r="AQ176" s="36"/>
      <c r="AR176" s="36"/>
      <c r="AS176" s="36" t="s">
        <v>219</v>
      </c>
      <c r="AT176" s="36"/>
      <c r="AU176" s="36"/>
      <c r="AV176" s="36"/>
      <c r="AW176" s="36"/>
      <c r="AX176" s="36"/>
      <c r="AY176" s="36"/>
      <c r="AZ176" s="36"/>
      <c r="BA176" s="36"/>
      <c r="BB176" s="36" t="s">
        <v>229</v>
      </c>
      <c r="BC176" s="36"/>
      <c r="BD176" s="36"/>
      <c r="BE176" s="36"/>
      <c r="BF176" s="36"/>
      <c r="BG176" s="36"/>
      <c r="BH176" s="36"/>
      <c r="BI176" s="36"/>
      <c r="BJ176" s="36"/>
      <c r="BK176" s="36" t="s">
        <v>234</v>
      </c>
      <c r="BL176" s="36"/>
      <c r="BM176" s="36"/>
      <c r="BN176" s="36"/>
      <c r="BO176" s="36"/>
      <c r="BP176" s="36"/>
      <c r="BQ176" s="36"/>
      <c r="BR176" s="36"/>
      <c r="BS176" s="36"/>
    </row>
    <row r="177" spans="1:79" ht="95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76"/>
      <c r="O177" s="77"/>
      <c r="P177" s="77"/>
      <c r="Q177" s="77"/>
      <c r="R177" s="77"/>
      <c r="S177" s="77"/>
      <c r="T177" s="77"/>
      <c r="U177" s="78"/>
      <c r="V177" s="76"/>
      <c r="W177" s="77"/>
      <c r="X177" s="77"/>
      <c r="Y177" s="77"/>
      <c r="Z177" s="78"/>
      <c r="AA177" s="63" t="s">
        <v>133</v>
      </c>
      <c r="AB177" s="63"/>
      <c r="AC177" s="63"/>
      <c r="AD177" s="63"/>
      <c r="AE177" s="63"/>
      <c r="AF177" s="63" t="s">
        <v>134</v>
      </c>
      <c r="AG177" s="63"/>
      <c r="AH177" s="63"/>
      <c r="AI177" s="63"/>
      <c r="AJ177" s="63" t="s">
        <v>133</v>
      </c>
      <c r="AK177" s="63"/>
      <c r="AL177" s="63"/>
      <c r="AM177" s="63"/>
      <c r="AN177" s="63"/>
      <c r="AO177" s="63" t="s">
        <v>134</v>
      </c>
      <c r="AP177" s="63"/>
      <c r="AQ177" s="63"/>
      <c r="AR177" s="63"/>
      <c r="AS177" s="63" t="s">
        <v>133</v>
      </c>
      <c r="AT177" s="63"/>
      <c r="AU177" s="63"/>
      <c r="AV177" s="63"/>
      <c r="AW177" s="63"/>
      <c r="AX177" s="63" t="s">
        <v>134</v>
      </c>
      <c r="AY177" s="63"/>
      <c r="AZ177" s="63"/>
      <c r="BA177" s="63"/>
      <c r="BB177" s="63" t="s">
        <v>133</v>
      </c>
      <c r="BC177" s="63"/>
      <c r="BD177" s="63"/>
      <c r="BE177" s="63"/>
      <c r="BF177" s="63"/>
      <c r="BG177" s="63" t="s">
        <v>134</v>
      </c>
      <c r="BH177" s="63"/>
      <c r="BI177" s="63"/>
      <c r="BJ177" s="63"/>
      <c r="BK177" s="63" t="s">
        <v>133</v>
      </c>
      <c r="BL177" s="63"/>
      <c r="BM177" s="63"/>
      <c r="BN177" s="63"/>
      <c r="BO177" s="63"/>
      <c r="BP177" s="63" t="s">
        <v>134</v>
      </c>
      <c r="BQ177" s="63"/>
      <c r="BR177" s="63"/>
      <c r="BS177" s="63"/>
    </row>
    <row r="178" spans="1:79" ht="15" customHeight="1" x14ac:dyDescent="0.2">
      <c r="A178" s="36">
        <v>1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69">
        <v>2</v>
      </c>
      <c r="O178" s="70"/>
      <c r="P178" s="70"/>
      <c r="Q178" s="70"/>
      <c r="R178" s="70"/>
      <c r="S178" s="70"/>
      <c r="T178" s="70"/>
      <c r="U178" s="71"/>
      <c r="V178" s="36">
        <v>3</v>
      </c>
      <c r="W178" s="36"/>
      <c r="X178" s="36"/>
      <c r="Y178" s="36"/>
      <c r="Z178" s="36"/>
      <c r="AA178" s="36">
        <v>4</v>
      </c>
      <c r="AB178" s="36"/>
      <c r="AC178" s="36"/>
      <c r="AD178" s="36"/>
      <c r="AE178" s="36"/>
      <c r="AF178" s="36">
        <v>5</v>
      </c>
      <c r="AG178" s="36"/>
      <c r="AH178" s="36"/>
      <c r="AI178" s="36"/>
      <c r="AJ178" s="36">
        <v>6</v>
      </c>
      <c r="AK178" s="36"/>
      <c r="AL178" s="36"/>
      <c r="AM178" s="36"/>
      <c r="AN178" s="36"/>
      <c r="AO178" s="36">
        <v>7</v>
      </c>
      <c r="AP178" s="36"/>
      <c r="AQ178" s="36"/>
      <c r="AR178" s="36"/>
      <c r="AS178" s="36">
        <v>8</v>
      </c>
      <c r="AT178" s="36"/>
      <c r="AU178" s="36"/>
      <c r="AV178" s="36"/>
      <c r="AW178" s="36"/>
      <c r="AX178" s="36">
        <v>9</v>
      </c>
      <c r="AY178" s="36"/>
      <c r="AZ178" s="36"/>
      <c r="BA178" s="36"/>
      <c r="BB178" s="36">
        <v>10</v>
      </c>
      <c r="BC178" s="36"/>
      <c r="BD178" s="36"/>
      <c r="BE178" s="36"/>
      <c r="BF178" s="36"/>
      <c r="BG178" s="36">
        <v>11</v>
      </c>
      <c r="BH178" s="36"/>
      <c r="BI178" s="36"/>
      <c r="BJ178" s="36"/>
      <c r="BK178" s="36">
        <v>12</v>
      </c>
      <c r="BL178" s="36"/>
      <c r="BM178" s="36"/>
      <c r="BN178" s="36"/>
      <c r="BO178" s="36"/>
      <c r="BP178" s="36">
        <v>13</v>
      </c>
      <c r="BQ178" s="36"/>
      <c r="BR178" s="36"/>
      <c r="BS178" s="36"/>
    </row>
    <row r="179" spans="1:79" s="1" customFormat="1" ht="12" hidden="1" customHeight="1" x14ac:dyDescent="0.2">
      <c r="A179" s="59" t="s">
        <v>146</v>
      </c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61" t="s">
        <v>131</v>
      </c>
      <c r="O179" s="61"/>
      <c r="P179" s="61"/>
      <c r="Q179" s="61"/>
      <c r="R179" s="61"/>
      <c r="S179" s="61"/>
      <c r="T179" s="61"/>
      <c r="U179" s="61"/>
      <c r="V179" s="61" t="s">
        <v>132</v>
      </c>
      <c r="W179" s="61"/>
      <c r="X179" s="61"/>
      <c r="Y179" s="61"/>
      <c r="Z179" s="61"/>
      <c r="AA179" s="58" t="s">
        <v>65</v>
      </c>
      <c r="AB179" s="58"/>
      <c r="AC179" s="58"/>
      <c r="AD179" s="58"/>
      <c r="AE179" s="58"/>
      <c r="AF179" s="58" t="s">
        <v>66</v>
      </c>
      <c r="AG179" s="58"/>
      <c r="AH179" s="58"/>
      <c r="AI179" s="58"/>
      <c r="AJ179" s="58" t="s">
        <v>67</v>
      </c>
      <c r="AK179" s="58"/>
      <c r="AL179" s="58"/>
      <c r="AM179" s="58"/>
      <c r="AN179" s="58"/>
      <c r="AO179" s="58" t="s">
        <v>68</v>
      </c>
      <c r="AP179" s="58"/>
      <c r="AQ179" s="58"/>
      <c r="AR179" s="58"/>
      <c r="AS179" s="58" t="s">
        <v>58</v>
      </c>
      <c r="AT179" s="58"/>
      <c r="AU179" s="58"/>
      <c r="AV179" s="58"/>
      <c r="AW179" s="58"/>
      <c r="AX179" s="58" t="s">
        <v>59</v>
      </c>
      <c r="AY179" s="58"/>
      <c r="AZ179" s="58"/>
      <c r="BA179" s="58"/>
      <c r="BB179" s="58" t="s">
        <v>60</v>
      </c>
      <c r="BC179" s="58"/>
      <c r="BD179" s="58"/>
      <c r="BE179" s="58"/>
      <c r="BF179" s="58"/>
      <c r="BG179" s="58" t="s">
        <v>61</v>
      </c>
      <c r="BH179" s="58"/>
      <c r="BI179" s="58"/>
      <c r="BJ179" s="58"/>
      <c r="BK179" s="58" t="s">
        <v>62</v>
      </c>
      <c r="BL179" s="58"/>
      <c r="BM179" s="58"/>
      <c r="BN179" s="58"/>
      <c r="BO179" s="58"/>
      <c r="BP179" s="58" t="s">
        <v>63</v>
      </c>
      <c r="BQ179" s="58"/>
      <c r="BR179" s="58"/>
      <c r="BS179" s="58"/>
      <c r="CA179" s="1" t="s">
        <v>48</v>
      </c>
    </row>
    <row r="180" spans="1:79" s="5" customFormat="1" ht="12.75" customHeight="1" x14ac:dyDescent="0.2">
      <c r="A180" s="21" t="s">
        <v>147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37"/>
      <c r="O180" s="38"/>
      <c r="P180" s="38"/>
      <c r="Q180" s="38"/>
      <c r="R180" s="38"/>
      <c r="S180" s="38"/>
      <c r="T180" s="38"/>
      <c r="U180" s="45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4"/>
      <c r="BQ180" s="65"/>
      <c r="BR180" s="65"/>
      <c r="BS180" s="66"/>
      <c r="CA180" s="5" t="s">
        <v>49</v>
      </c>
    </row>
    <row r="182" spans="1:79" ht="35.25" customHeight="1" x14ac:dyDescent="0.2">
      <c r="A182" s="56" t="s">
        <v>242</v>
      </c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</row>
    <row r="183" spans="1:79" ht="90" customHeight="1" x14ac:dyDescent="0.2">
      <c r="A183" s="57" t="s">
        <v>201</v>
      </c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</row>
    <row r="185" spans="1:79" ht="28.5" customHeight="1" x14ac:dyDescent="0.2">
      <c r="A185" s="67" t="s">
        <v>226</v>
      </c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</row>
    <row r="186" spans="1:79" ht="14.25" customHeight="1" x14ac:dyDescent="0.2">
      <c r="A186" s="56" t="s">
        <v>209</v>
      </c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</row>
    <row r="187" spans="1:79" ht="15" customHeight="1" x14ac:dyDescent="0.2">
      <c r="A187" s="62" t="s">
        <v>207</v>
      </c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</row>
    <row r="188" spans="1:79" ht="42.95" customHeight="1" x14ac:dyDescent="0.2">
      <c r="A188" s="63" t="s">
        <v>135</v>
      </c>
      <c r="B188" s="63"/>
      <c r="C188" s="63"/>
      <c r="D188" s="63"/>
      <c r="E188" s="63"/>
      <c r="F188" s="63"/>
      <c r="G188" s="36" t="s">
        <v>19</v>
      </c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 t="s">
        <v>15</v>
      </c>
      <c r="U188" s="36"/>
      <c r="V188" s="36"/>
      <c r="W188" s="36"/>
      <c r="X188" s="36"/>
      <c r="Y188" s="36"/>
      <c r="Z188" s="36" t="s">
        <v>14</v>
      </c>
      <c r="AA188" s="36"/>
      <c r="AB188" s="36"/>
      <c r="AC188" s="36"/>
      <c r="AD188" s="36"/>
      <c r="AE188" s="36" t="s">
        <v>136</v>
      </c>
      <c r="AF188" s="36"/>
      <c r="AG188" s="36"/>
      <c r="AH188" s="36"/>
      <c r="AI188" s="36"/>
      <c r="AJ188" s="36"/>
      <c r="AK188" s="36" t="s">
        <v>137</v>
      </c>
      <c r="AL188" s="36"/>
      <c r="AM188" s="36"/>
      <c r="AN188" s="36"/>
      <c r="AO188" s="36"/>
      <c r="AP188" s="36"/>
      <c r="AQ188" s="36" t="s">
        <v>138</v>
      </c>
      <c r="AR188" s="36"/>
      <c r="AS188" s="36"/>
      <c r="AT188" s="36"/>
      <c r="AU188" s="36"/>
      <c r="AV188" s="36"/>
      <c r="AW188" s="36" t="s">
        <v>98</v>
      </c>
      <c r="AX188" s="36"/>
      <c r="AY188" s="36"/>
      <c r="AZ188" s="36"/>
      <c r="BA188" s="36"/>
      <c r="BB188" s="36"/>
      <c r="BC188" s="36"/>
      <c r="BD188" s="36"/>
      <c r="BE188" s="36"/>
      <c r="BF188" s="36"/>
      <c r="BG188" s="36" t="s">
        <v>139</v>
      </c>
      <c r="BH188" s="36"/>
      <c r="BI188" s="36"/>
      <c r="BJ188" s="36"/>
      <c r="BK188" s="36"/>
      <c r="BL188" s="36"/>
    </row>
    <row r="189" spans="1:79" ht="39.950000000000003" customHeight="1" x14ac:dyDescent="0.2">
      <c r="A189" s="63"/>
      <c r="B189" s="63"/>
      <c r="C189" s="63"/>
      <c r="D189" s="63"/>
      <c r="E189" s="63"/>
      <c r="F189" s="63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 t="s">
        <v>17</v>
      </c>
      <c r="AX189" s="36"/>
      <c r="AY189" s="36"/>
      <c r="AZ189" s="36"/>
      <c r="BA189" s="36"/>
      <c r="BB189" s="36" t="s">
        <v>16</v>
      </c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</row>
    <row r="190" spans="1:79" ht="15" customHeight="1" x14ac:dyDescent="0.2">
      <c r="A190" s="36">
        <v>1</v>
      </c>
      <c r="B190" s="36"/>
      <c r="C190" s="36"/>
      <c r="D190" s="36"/>
      <c r="E190" s="36"/>
      <c r="F190" s="36"/>
      <c r="G190" s="36">
        <v>2</v>
      </c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>
        <v>3</v>
      </c>
      <c r="U190" s="36"/>
      <c r="V190" s="36"/>
      <c r="W190" s="36"/>
      <c r="X190" s="36"/>
      <c r="Y190" s="36"/>
      <c r="Z190" s="36">
        <v>4</v>
      </c>
      <c r="AA190" s="36"/>
      <c r="AB190" s="36"/>
      <c r="AC190" s="36"/>
      <c r="AD190" s="36"/>
      <c r="AE190" s="36">
        <v>5</v>
      </c>
      <c r="AF190" s="36"/>
      <c r="AG190" s="36"/>
      <c r="AH190" s="36"/>
      <c r="AI190" s="36"/>
      <c r="AJ190" s="36"/>
      <c r="AK190" s="36">
        <v>6</v>
      </c>
      <c r="AL190" s="36"/>
      <c r="AM190" s="36"/>
      <c r="AN190" s="36"/>
      <c r="AO190" s="36"/>
      <c r="AP190" s="36"/>
      <c r="AQ190" s="36">
        <v>7</v>
      </c>
      <c r="AR190" s="36"/>
      <c r="AS190" s="36"/>
      <c r="AT190" s="36"/>
      <c r="AU190" s="36"/>
      <c r="AV190" s="36"/>
      <c r="AW190" s="36">
        <v>8</v>
      </c>
      <c r="AX190" s="36"/>
      <c r="AY190" s="36"/>
      <c r="AZ190" s="36"/>
      <c r="BA190" s="36"/>
      <c r="BB190" s="36">
        <v>9</v>
      </c>
      <c r="BC190" s="36"/>
      <c r="BD190" s="36"/>
      <c r="BE190" s="36"/>
      <c r="BF190" s="36"/>
      <c r="BG190" s="36">
        <v>10</v>
      </c>
      <c r="BH190" s="36"/>
      <c r="BI190" s="36"/>
      <c r="BJ190" s="36"/>
      <c r="BK190" s="36"/>
      <c r="BL190" s="36"/>
    </row>
    <row r="191" spans="1:79" s="1" customFormat="1" ht="12" hidden="1" customHeight="1" x14ac:dyDescent="0.2">
      <c r="A191" s="61" t="s">
        <v>64</v>
      </c>
      <c r="B191" s="61"/>
      <c r="C191" s="61"/>
      <c r="D191" s="61"/>
      <c r="E191" s="61"/>
      <c r="F191" s="61"/>
      <c r="G191" s="59" t="s">
        <v>57</v>
      </c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8" t="s">
        <v>80</v>
      </c>
      <c r="U191" s="58"/>
      <c r="V191" s="58"/>
      <c r="W191" s="58"/>
      <c r="X191" s="58"/>
      <c r="Y191" s="58"/>
      <c r="Z191" s="58" t="s">
        <v>81</v>
      </c>
      <c r="AA191" s="58"/>
      <c r="AB191" s="58"/>
      <c r="AC191" s="58"/>
      <c r="AD191" s="58"/>
      <c r="AE191" s="58" t="s">
        <v>82</v>
      </c>
      <c r="AF191" s="58"/>
      <c r="AG191" s="58"/>
      <c r="AH191" s="58"/>
      <c r="AI191" s="58"/>
      <c r="AJ191" s="58"/>
      <c r="AK191" s="58" t="s">
        <v>83</v>
      </c>
      <c r="AL191" s="58"/>
      <c r="AM191" s="58"/>
      <c r="AN191" s="58"/>
      <c r="AO191" s="58"/>
      <c r="AP191" s="58"/>
      <c r="AQ191" s="61" t="s">
        <v>99</v>
      </c>
      <c r="AR191" s="58"/>
      <c r="AS191" s="58"/>
      <c r="AT191" s="58"/>
      <c r="AU191" s="58"/>
      <c r="AV191" s="58"/>
      <c r="AW191" s="58" t="s">
        <v>84</v>
      </c>
      <c r="AX191" s="58"/>
      <c r="AY191" s="58"/>
      <c r="AZ191" s="58"/>
      <c r="BA191" s="58"/>
      <c r="BB191" s="58" t="s">
        <v>85</v>
      </c>
      <c r="BC191" s="58"/>
      <c r="BD191" s="58"/>
      <c r="BE191" s="58"/>
      <c r="BF191" s="58"/>
      <c r="BG191" s="61" t="s">
        <v>100</v>
      </c>
      <c r="BH191" s="58"/>
      <c r="BI191" s="58"/>
      <c r="BJ191" s="58"/>
      <c r="BK191" s="58"/>
      <c r="BL191" s="58"/>
      <c r="CA191" s="1" t="s">
        <v>50</v>
      </c>
    </row>
    <row r="192" spans="1:79" s="4" customFormat="1" ht="12.75" customHeight="1" x14ac:dyDescent="0.2">
      <c r="A192" s="60">
        <v>2730</v>
      </c>
      <c r="B192" s="60"/>
      <c r="C192" s="60"/>
      <c r="D192" s="60"/>
      <c r="E192" s="60"/>
      <c r="F192" s="60"/>
      <c r="G192" s="30" t="s">
        <v>174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3">
        <v>350333</v>
      </c>
      <c r="U192" s="33"/>
      <c r="V192" s="33"/>
      <c r="W192" s="33"/>
      <c r="X192" s="33"/>
      <c r="Y192" s="33"/>
      <c r="Z192" s="33">
        <v>223849</v>
      </c>
      <c r="AA192" s="33"/>
      <c r="AB192" s="33"/>
      <c r="AC192" s="33"/>
      <c r="AD192" s="33"/>
      <c r="AE192" s="33">
        <v>0</v>
      </c>
      <c r="AF192" s="33"/>
      <c r="AG192" s="33"/>
      <c r="AH192" s="33"/>
      <c r="AI192" s="33"/>
      <c r="AJ192" s="33"/>
      <c r="AK192" s="33">
        <v>0</v>
      </c>
      <c r="AL192" s="33"/>
      <c r="AM192" s="33"/>
      <c r="AN192" s="33"/>
      <c r="AO192" s="33"/>
      <c r="AP192" s="33"/>
      <c r="AQ192" s="33">
        <f>IF(ISNUMBER(AK192),AK192,0)-IF(ISNUMBER(AE192),AE192,0)</f>
        <v>0</v>
      </c>
      <c r="AR192" s="33"/>
      <c r="AS192" s="33"/>
      <c r="AT192" s="33"/>
      <c r="AU192" s="33"/>
      <c r="AV192" s="33"/>
      <c r="AW192" s="33">
        <v>0</v>
      </c>
      <c r="AX192" s="33"/>
      <c r="AY192" s="33"/>
      <c r="AZ192" s="33"/>
      <c r="BA192" s="33"/>
      <c r="BB192" s="33">
        <v>0</v>
      </c>
      <c r="BC192" s="33"/>
      <c r="BD192" s="33"/>
      <c r="BE192" s="33"/>
      <c r="BF192" s="33"/>
      <c r="BG192" s="33">
        <f>IF(ISNUMBER(Z192),Z192,0)+IF(ISNUMBER(AK192),AK192,0)</f>
        <v>223849</v>
      </c>
      <c r="BH192" s="33"/>
      <c r="BI192" s="33"/>
      <c r="BJ192" s="33"/>
      <c r="BK192" s="33"/>
      <c r="BL192" s="33"/>
      <c r="CA192" s="4" t="s">
        <v>51</v>
      </c>
    </row>
    <row r="193" spans="1:79" s="5" customFormat="1" ht="12.75" customHeight="1" x14ac:dyDescent="0.2">
      <c r="A193" s="22"/>
      <c r="B193" s="22"/>
      <c r="C193" s="22"/>
      <c r="D193" s="22"/>
      <c r="E193" s="22"/>
      <c r="F193" s="22"/>
      <c r="G193" s="23" t="s">
        <v>147</v>
      </c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5"/>
      <c r="T193" s="20">
        <v>350333</v>
      </c>
      <c r="U193" s="20"/>
      <c r="V193" s="20"/>
      <c r="W193" s="20"/>
      <c r="X193" s="20"/>
      <c r="Y193" s="20"/>
      <c r="Z193" s="20">
        <v>223849</v>
      </c>
      <c r="AA193" s="20"/>
      <c r="AB193" s="20"/>
      <c r="AC193" s="20"/>
      <c r="AD193" s="20"/>
      <c r="AE193" s="20">
        <v>0</v>
      </c>
      <c r="AF193" s="20"/>
      <c r="AG193" s="20"/>
      <c r="AH193" s="20"/>
      <c r="AI193" s="20"/>
      <c r="AJ193" s="20"/>
      <c r="AK193" s="20">
        <v>0</v>
      </c>
      <c r="AL193" s="20"/>
      <c r="AM193" s="20"/>
      <c r="AN193" s="20"/>
      <c r="AO193" s="20"/>
      <c r="AP193" s="20"/>
      <c r="AQ193" s="20">
        <f>IF(ISNUMBER(AK193),AK193,0)-IF(ISNUMBER(AE193),AE193,0)</f>
        <v>0</v>
      </c>
      <c r="AR193" s="20"/>
      <c r="AS193" s="20"/>
      <c r="AT193" s="20"/>
      <c r="AU193" s="20"/>
      <c r="AV193" s="20"/>
      <c r="AW193" s="20">
        <v>0</v>
      </c>
      <c r="AX193" s="20"/>
      <c r="AY193" s="20"/>
      <c r="AZ193" s="20"/>
      <c r="BA193" s="20"/>
      <c r="BB193" s="20">
        <v>0</v>
      </c>
      <c r="BC193" s="20"/>
      <c r="BD193" s="20"/>
      <c r="BE193" s="20"/>
      <c r="BF193" s="20"/>
      <c r="BG193" s="20">
        <f>IF(ISNUMBER(Z193),Z193,0)+IF(ISNUMBER(AK193),AK193,0)</f>
        <v>223849</v>
      </c>
      <c r="BH193" s="20"/>
      <c r="BI193" s="20"/>
      <c r="BJ193" s="20"/>
      <c r="BK193" s="20"/>
      <c r="BL193" s="20"/>
    </row>
    <row r="195" spans="1:79" ht="14.25" customHeight="1" x14ac:dyDescent="0.2">
      <c r="A195" s="56" t="s">
        <v>227</v>
      </c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</row>
    <row r="196" spans="1:79" ht="15" customHeight="1" x14ac:dyDescent="0.2">
      <c r="A196" s="62" t="s">
        <v>207</v>
      </c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</row>
    <row r="197" spans="1:79" ht="18" customHeight="1" x14ac:dyDescent="0.2">
      <c r="A197" s="36" t="s">
        <v>135</v>
      </c>
      <c r="B197" s="36"/>
      <c r="C197" s="36"/>
      <c r="D197" s="36"/>
      <c r="E197" s="36"/>
      <c r="F197" s="36"/>
      <c r="G197" s="36" t="s">
        <v>19</v>
      </c>
      <c r="H197" s="36"/>
      <c r="I197" s="36"/>
      <c r="J197" s="36"/>
      <c r="K197" s="36"/>
      <c r="L197" s="36"/>
      <c r="M197" s="36"/>
      <c r="N197" s="36"/>
      <c r="O197" s="36"/>
      <c r="P197" s="36"/>
      <c r="Q197" s="36" t="s">
        <v>213</v>
      </c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 t="s">
        <v>224</v>
      </c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</row>
    <row r="198" spans="1:79" ht="42.9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 t="s">
        <v>140</v>
      </c>
      <c r="R198" s="36"/>
      <c r="S198" s="36"/>
      <c r="T198" s="36"/>
      <c r="U198" s="36"/>
      <c r="V198" s="63" t="s">
        <v>141</v>
      </c>
      <c r="W198" s="63"/>
      <c r="X198" s="63"/>
      <c r="Y198" s="63"/>
      <c r="Z198" s="36" t="s">
        <v>142</v>
      </c>
      <c r="AA198" s="36"/>
      <c r="AB198" s="36"/>
      <c r="AC198" s="36"/>
      <c r="AD198" s="36"/>
      <c r="AE198" s="36"/>
      <c r="AF198" s="36"/>
      <c r="AG198" s="36"/>
      <c r="AH198" s="36"/>
      <c r="AI198" s="36"/>
      <c r="AJ198" s="36" t="s">
        <v>143</v>
      </c>
      <c r="AK198" s="36"/>
      <c r="AL198" s="36"/>
      <c r="AM198" s="36"/>
      <c r="AN198" s="36"/>
      <c r="AO198" s="36" t="s">
        <v>20</v>
      </c>
      <c r="AP198" s="36"/>
      <c r="AQ198" s="36"/>
      <c r="AR198" s="36"/>
      <c r="AS198" s="36"/>
      <c r="AT198" s="63" t="s">
        <v>144</v>
      </c>
      <c r="AU198" s="63"/>
      <c r="AV198" s="63"/>
      <c r="AW198" s="63"/>
      <c r="AX198" s="36" t="s">
        <v>142</v>
      </c>
      <c r="AY198" s="36"/>
      <c r="AZ198" s="36"/>
      <c r="BA198" s="36"/>
      <c r="BB198" s="36"/>
      <c r="BC198" s="36"/>
      <c r="BD198" s="36"/>
      <c r="BE198" s="36"/>
      <c r="BF198" s="36"/>
      <c r="BG198" s="36"/>
      <c r="BH198" s="36" t="s">
        <v>145</v>
      </c>
      <c r="BI198" s="36"/>
      <c r="BJ198" s="36"/>
      <c r="BK198" s="36"/>
      <c r="BL198" s="36"/>
    </row>
    <row r="199" spans="1:79" ht="63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63"/>
      <c r="W199" s="63"/>
      <c r="X199" s="63"/>
      <c r="Y199" s="63"/>
      <c r="Z199" s="36" t="s">
        <v>17</v>
      </c>
      <c r="AA199" s="36"/>
      <c r="AB199" s="36"/>
      <c r="AC199" s="36"/>
      <c r="AD199" s="36"/>
      <c r="AE199" s="36" t="s">
        <v>16</v>
      </c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63"/>
      <c r="AU199" s="63"/>
      <c r="AV199" s="63"/>
      <c r="AW199" s="63"/>
      <c r="AX199" s="36" t="s">
        <v>17</v>
      </c>
      <c r="AY199" s="36"/>
      <c r="AZ199" s="36"/>
      <c r="BA199" s="36"/>
      <c r="BB199" s="36"/>
      <c r="BC199" s="36" t="s">
        <v>16</v>
      </c>
      <c r="BD199" s="36"/>
      <c r="BE199" s="36"/>
      <c r="BF199" s="36"/>
      <c r="BG199" s="36"/>
      <c r="BH199" s="36"/>
      <c r="BI199" s="36"/>
      <c r="BJ199" s="36"/>
      <c r="BK199" s="36"/>
      <c r="BL199" s="36"/>
    </row>
    <row r="200" spans="1:79" ht="15" customHeight="1" x14ac:dyDescent="0.2">
      <c r="A200" s="36">
        <v>1</v>
      </c>
      <c r="B200" s="36"/>
      <c r="C200" s="36"/>
      <c r="D200" s="36"/>
      <c r="E200" s="36"/>
      <c r="F200" s="36"/>
      <c r="G200" s="36">
        <v>2</v>
      </c>
      <c r="H200" s="36"/>
      <c r="I200" s="36"/>
      <c r="J200" s="36"/>
      <c r="K200" s="36"/>
      <c r="L200" s="36"/>
      <c r="M200" s="36"/>
      <c r="N200" s="36"/>
      <c r="O200" s="36"/>
      <c r="P200" s="36"/>
      <c r="Q200" s="36">
        <v>3</v>
      </c>
      <c r="R200" s="36"/>
      <c r="S200" s="36"/>
      <c r="T200" s="36"/>
      <c r="U200" s="36"/>
      <c r="V200" s="36">
        <v>4</v>
      </c>
      <c r="W200" s="36"/>
      <c r="X200" s="36"/>
      <c r="Y200" s="36"/>
      <c r="Z200" s="36">
        <v>5</v>
      </c>
      <c r="AA200" s="36"/>
      <c r="AB200" s="36"/>
      <c r="AC200" s="36"/>
      <c r="AD200" s="36"/>
      <c r="AE200" s="36">
        <v>6</v>
      </c>
      <c r="AF200" s="36"/>
      <c r="AG200" s="36"/>
      <c r="AH200" s="36"/>
      <c r="AI200" s="36"/>
      <c r="AJ200" s="36">
        <v>7</v>
      </c>
      <c r="AK200" s="36"/>
      <c r="AL200" s="36"/>
      <c r="AM200" s="36"/>
      <c r="AN200" s="36"/>
      <c r="AO200" s="36">
        <v>8</v>
      </c>
      <c r="AP200" s="36"/>
      <c r="AQ200" s="36"/>
      <c r="AR200" s="36"/>
      <c r="AS200" s="36"/>
      <c r="AT200" s="36">
        <v>9</v>
      </c>
      <c r="AU200" s="36"/>
      <c r="AV200" s="36"/>
      <c r="AW200" s="36"/>
      <c r="AX200" s="36">
        <v>10</v>
      </c>
      <c r="AY200" s="36"/>
      <c r="AZ200" s="36"/>
      <c r="BA200" s="36"/>
      <c r="BB200" s="36"/>
      <c r="BC200" s="36">
        <v>11</v>
      </c>
      <c r="BD200" s="36"/>
      <c r="BE200" s="36"/>
      <c r="BF200" s="36"/>
      <c r="BG200" s="36"/>
      <c r="BH200" s="36">
        <v>12</v>
      </c>
      <c r="BI200" s="36"/>
      <c r="BJ200" s="36"/>
      <c r="BK200" s="36"/>
      <c r="BL200" s="36"/>
    </row>
    <row r="201" spans="1:79" s="1" customFormat="1" ht="12" hidden="1" customHeight="1" x14ac:dyDescent="0.2">
      <c r="A201" s="61" t="s">
        <v>64</v>
      </c>
      <c r="B201" s="61"/>
      <c r="C201" s="61"/>
      <c r="D201" s="61"/>
      <c r="E201" s="61"/>
      <c r="F201" s="61"/>
      <c r="G201" s="59" t="s">
        <v>57</v>
      </c>
      <c r="H201" s="59"/>
      <c r="I201" s="59"/>
      <c r="J201" s="59"/>
      <c r="K201" s="59"/>
      <c r="L201" s="59"/>
      <c r="M201" s="59"/>
      <c r="N201" s="59"/>
      <c r="O201" s="59"/>
      <c r="P201" s="59"/>
      <c r="Q201" s="58" t="s">
        <v>80</v>
      </c>
      <c r="R201" s="58"/>
      <c r="S201" s="58"/>
      <c r="T201" s="58"/>
      <c r="U201" s="58"/>
      <c r="V201" s="58" t="s">
        <v>81</v>
      </c>
      <c r="W201" s="58"/>
      <c r="X201" s="58"/>
      <c r="Y201" s="58"/>
      <c r="Z201" s="58" t="s">
        <v>82</v>
      </c>
      <c r="AA201" s="58"/>
      <c r="AB201" s="58"/>
      <c r="AC201" s="58"/>
      <c r="AD201" s="58"/>
      <c r="AE201" s="58" t="s">
        <v>83</v>
      </c>
      <c r="AF201" s="58"/>
      <c r="AG201" s="58"/>
      <c r="AH201" s="58"/>
      <c r="AI201" s="58"/>
      <c r="AJ201" s="61" t="s">
        <v>101</v>
      </c>
      <c r="AK201" s="58"/>
      <c r="AL201" s="58"/>
      <c r="AM201" s="58"/>
      <c r="AN201" s="58"/>
      <c r="AO201" s="58" t="s">
        <v>84</v>
      </c>
      <c r="AP201" s="58"/>
      <c r="AQ201" s="58"/>
      <c r="AR201" s="58"/>
      <c r="AS201" s="58"/>
      <c r="AT201" s="61" t="s">
        <v>102</v>
      </c>
      <c r="AU201" s="58"/>
      <c r="AV201" s="58"/>
      <c r="AW201" s="58"/>
      <c r="AX201" s="58" t="s">
        <v>85</v>
      </c>
      <c r="AY201" s="58"/>
      <c r="AZ201" s="58"/>
      <c r="BA201" s="58"/>
      <c r="BB201" s="58"/>
      <c r="BC201" s="58" t="s">
        <v>86</v>
      </c>
      <c r="BD201" s="58"/>
      <c r="BE201" s="58"/>
      <c r="BF201" s="58"/>
      <c r="BG201" s="58"/>
      <c r="BH201" s="61" t="s">
        <v>101</v>
      </c>
      <c r="BI201" s="58"/>
      <c r="BJ201" s="58"/>
      <c r="BK201" s="58"/>
      <c r="BL201" s="58"/>
      <c r="CA201" s="1" t="s">
        <v>52</v>
      </c>
    </row>
    <row r="202" spans="1:79" s="4" customFormat="1" ht="12.75" customHeight="1" x14ac:dyDescent="0.2">
      <c r="A202" s="60">
        <v>2730</v>
      </c>
      <c r="B202" s="60"/>
      <c r="C202" s="60"/>
      <c r="D202" s="60"/>
      <c r="E202" s="60"/>
      <c r="F202" s="60"/>
      <c r="G202" s="30" t="s">
        <v>174</v>
      </c>
      <c r="H202" s="31"/>
      <c r="I202" s="31"/>
      <c r="J202" s="31"/>
      <c r="K202" s="31"/>
      <c r="L202" s="31"/>
      <c r="M202" s="31"/>
      <c r="N202" s="31"/>
      <c r="O202" s="31"/>
      <c r="P202" s="32"/>
      <c r="Q202" s="33">
        <v>741292</v>
      </c>
      <c r="R202" s="33"/>
      <c r="S202" s="33"/>
      <c r="T202" s="33"/>
      <c r="U202" s="33"/>
      <c r="V202" s="33">
        <v>0</v>
      </c>
      <c r="W202" s="33"/>
      <c r="X202" s="33"/>
      <c r="Y202" s="33"/>
      <c r="Z202" s="33">
        <v>0</v>
      </c>
      <c r="AA202" s="33"/>
      <c r="AB202" s="33"/>
      <c r="AC202" s="33"/>
      <c r="AD202" s="33"/>
      <c r="AE202" s="33">
        <v>0</v>
      </c>
      <c r="AF202" s="33"/>
      <c r="AG202" s="33"/>
      <c r="AH202" s="33"/>
      <c r="AI202" s="33"/>
      <c r="AJ202" s="33">
        <f>IF(ISNUMBER(Q202),Q202,0)-IF(ISNUMBER(Z202),Z202,0)</f>
        <v>741292</v>
      </c>
      <c r="AK202" s="33"/>
      <c r="AL202" s="33"/>
      <c r="AM202" s="33"/>
      <c r="AN202" s="33"/>
      <c r="AO202" s="33">
        <v>943002</v>
      </c>
      <c r="AP202" s="33"/>
      <c r="AQ202" s="33"/>
      <c r="AR202" s="33"/>
      <c r="AS202" s="33"/>
      <c r="AT202" s="33">
        <f>IF(ISNUMBER(V202),V202,0)-IF(ISNUMBER(Z202),Z202,0)-IF(ISNUMBER(AE202),AE202,0)</f>
        <v>0</v>
      </c>
      <c r="AU202" s="33"/>
      <c r="AV202" s="33"/>
      <c r="AW202" s="33"/>
      <c r="AX202" s="33">
        <v>0</v>
      </c>
      <c r="AY202" s="33"/>
      <c r="AZ202" s="33"/>
      <c r="BA202" s="33"/>
      <c r="BB202" s="33"/>
      <c r="BC202" s="33">
        <v>0</v>
      </c>
      <c r="BD202" s="33"/>
      <c r="BE202" s="33"/>
      <c r="BF202" s="33"/>
      <c r="BG202" s="33"/>
      <c r="BH202" s="33">
        <f>IF(ISNUMBER(AO202),AO202,0)-IF(ISNUMBER(AX202),AX202,0)</f>
        <v>943002</v>
      </c>
      <c r="BI202" s="33"/>
      <c r="BJ202" s="33"/>
      <c r="BK202" s="33"/>
      <c r="BL202" s="33"/>
      <c r="CA202" s="4" t="s">
        <v>53</v>
      </c>
    </row>
    <row r="203" spans="1:79" s="5" customFormat="1" ht="12.75" customHeight="1" x14ac:dyDescent="0.2">
      <c r="A203" s="22"/>
      <c r="B203" s="22"/>
      <c r="C203" s="22"/>
      <c r="D203" s="22"/>
      <c r="E203" s="22"/>
      <c r="F203" s="22"/>
      <c r="G203" s="23" t="s">
        <v>147</v>
      </c>
      <c r="H203" s="24"/>
      <c r="I203" s="24"/>
      <c r="J203" s="24"/>
      <c r="K203" s="24"/>
      <c r="L203" s="24"/>
      <c r="M203" s="24"/>
      <c r="N203" s="24"/>
      <c r="O203" s="24"/>
      <c r="P203" s="25"/>
      <c r="Q203" s="20">
        <v>741292</v>
      </c>
      <c r="R203" s="20"/>
      <c r="S203" s="20"/>
      <c r="T203" s="20"/>
      <c r="U203" s="20"/>
      <c r="V203" s="20">
        <v>0</v>
      </c>
      <c r="W203" s="20"/>
      <c r="X203" s="20"/>
      <c r="Y203" s="20"/>
      <c r="Z203" s="20">
        <v>0</v>
      </c>
      <c r="AA203" s="20"/>
      <c r="AB203" s="20"/>
      <c r="AC203" s="20"/>
      <c r="AD203" s="20"/>
      <c r="AE203" s="20">
        <v>0</v>
      </c>
      <c r="AF203" s="20"/>
      <c r="AG203" s="20"/>
      <c r="AH203" s="20"/>
      <c r="AI203" s="20"/>
      <c r="AJ203" s="20">
        <f>IF(ISNUMBER(Q203),Q203,0)-IF(ISNUMBER(Z203),Z203,0)</f>
        <v>741292</v>
      </c>
      <c r="AK203" s="20"/>
      <c r="AL203" s="20"/>
      <c r="AM203" s="20"/>
      <c r="AN203" s="20"/>
      <c r="AO203" s="20">
        <v>943002</v>
      </c>
      <c r="AP203" s="20"/>
      <c r="AQ203" s="20"/>
      <c r="AR203" s="20"/>
      <c r="AS203" s="20"/>
      <c r="AT203" s="20">
        <f>IF(ISNUMBER(V203),V203,0)-IF(ISNUMBER(Z203),Z203,0)-IF(ISNUMBER(AE203),AE203,0)</f>
        <v>0</v>
      </c>
      <c r="AU203" s="20"/>
      <c r="AV203" s="20"/>
      <c r="AW203" s="20"/>
      <c r="AX203" s="20">
        <v>0</v>
      </c>
      <c r="AY203" s="20"/>
      <c r="AZ203" s="20"/>
      <c r="BA203" s="20"/>
      <c r="BB203" s="20"/>
      <c r="BC203" s="20">
        <v>0</v>
      </c>
      <c r="BD203" s="20"/>
      <c r="BE203" s="20"/>
      <c r="BF203" s="20"/>
      <c r="BG203" s="20"/>
      <c r="BH203" s="20">
        <f>IF(ISNUMBER(AO203),AO203,0)-IF(ISNUMBER(AX203),AX203,0)</f>
        <v>943002</v>
      </c>
      <c r="BI203" s="20"/>
      <c r="BJ203" s="20"/>
      <c r="BK203" s="20"/>
      <c r="BL203" s="20"/>
    </row>
    <row r="205" spans="1:79" ht="14.25" customHeight="1" x14ac:dyDescent="0.2">
      <c r="A205" s="56" t="s">
        <v>214</v>
      </c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</row>
    <row r="206" spans="1:79" ht="15" customHeight="1" x14ac:dyDescent="0.2">
      <c r="A206" s="62" t="s">
        <v>207</v>
      </c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</row>
    <row r="207" spans="1:79" ht="42.95" customHeight="1" x14ac:dyDescent="0.2">
      <c r="A207" s="63" t="s">
        <v>135</v>
      </c>
      <c r="B207" s="63"/>
      <c r="C207" s="63"/>
      <c r="D207" s="63"/>
      <c r="E207" s="63"/>
      <c r="F207" s="63"/>
      <c r="G207" s="36" t="s">
        <v>19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 t="s">
        <v>15</v>
      </c>
      <c r="U207" s="36"/>
      <c r="V207" s="36"/>
      <c r="W207" s="36"/>
      <c r="X207" s="36"/>
      <c r="Y207" s="36"/>
      <c r="Z207" s="36" t="s">
        <v>14</v>
      </c>
      <c r="AA207" s="36"/>
      <c r="AB207" s="36"/>
      <c r="AC207" s="36"/>
      <c r="AD207" s="36"/>
      <c r="AE207" s="36" t="s">
        <v>210</v>
      </c>
      <c r="AF207" s="36"/>
      <c r="AG207" s="36"/>
      <c r="AH207" s="36"/>
      <c r="AI207" s="36"/>
      <c r="AJ207" s="36"/>
      <c r="AK207" s="36" t="s">
        <v>215</v>
      </c>
      <c r="AL207" s="36"/>
      <c r="AM207" s="36"/>
      <c r="AN207" s="36"/>
      <c r="AO207" s="36"/>
      <c r="AP207" s="36"/>
      <c r="AQ207" s="36" t="s">
        <v>228</v>
      </c>
      <c r="AR207" s="36"/>
      <c r="AS207" s="36"/>
      <c r="AT207" s="36"/>
      <c r="AU207" s="36"/>
      <c r="AV207" s="36"/>
      <c r="AW207" s="36" t="s">
        <v>18</v>
      </c>
      <c r="AX207" s="36"/>
      <c r="AY207" s="36"/>
      <c r="AZ207" s="36"/>
      <c r="BA207" s="36"/>
      <c r="BB207" s="36"/>
      <c r="BC207" s="36"/>
      <c r="BD207" s="36"/>
      <c r="BE207" s="36" t="s">
        <v>156</v>
      </c>
      <c r="BF207" s="36"/>
      <c r="BG207" s="36"/>
      <c r="BH207" s="36"/>
      <c r="BI207" s="36"/>
      <c r="BJ207" s="36"/>
      <c r="BK207" s="36"/>
      <c r="BL207" s="36"/>
    </row>
    <row r="208" spans="1:79" ht="21.75" customHeight="1" x14ac:dyDescent="0.2">
      <c r="A208" s="63"/>
      <c r="B208" s="63"/>
      <c r="C208" s="63"/>
      <c r="D208" s="63"/>
      <c r="E208" s="63"/>
      <c r="F208" s="63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</row>
    <row r="209" spans="1:79" ht="15" customHeight="1" x14ac:dyDescent="0.2">
      <c r="A209" s="36">
        <v>1</v>
      </c>
      <c r="B209" s="36"/>
      <c r="C209" s="36"/>
      <c r="D209" s="36"/>
      <c r="E209" s="36"/>
      <c r="F209" s="36"/>
      <c r="G209" s="36">
        <v>2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>
        <v>3</v>
      </c>
      <c r="U209" s="36"/>
      <c r="V209" s="36"/>
      <c r="W209" s="36"/>
      <c r="X209" s="36"/>
      <c r="Y209" s="36"/>
      <c r="Z209" s="36">
        <v>4</v>
      </c>
      <c r="AA209" s="36"/>
      <c r="AB209" s="36"/>
      <c r="AC209" s="36"/>
      <c r="AD209" s="36"/>
      <c r="AE209" s="36">
        <v>5</v>
      </c>
      <c r="AF209" s="36"/>
      <c r="AG209" s="36"/>
      <c r="AH209" s="36"/>
      <c r="AI209" s="36"/>
      <c r="AJ209" s="36"/>
      <c r="AK209" s="36">
        <v>6</v>
      </c>
      <c r="AL209" s="36"/>
      <c r="AM209" s="36"/>
      <c r="AN209" s="36"/>
      <c r="AO209" s="36"/>
      <c r="AP209" s="36"/>
      <c r="AQ209" s="36">
        <v>7</v>
      </c>
      <c r="AR209" s="36"/>
      <c r="AS209" s="36"/>
      <c r="AT209" s="36"/>
      <c r="AU209" s="36"/>
      <c r="AV209" s="36"/>
      <c r="AW209" s="61">
        <v>8</v>
      </c>
      <c r="AX209" s="61"/>
      <c r="AY209" s="61"/>
      <c r="AZ209" s="61"/>
      <c r="BA209" s="61"/>
      <c r="BB209" s="61"/>
      <c r="BC209" s="61"/>
      <c r="BD209" s="61"/>
      <c r="BE209" s="61">
        <v>9</v>
      </c>
      <c r="BF209" s="61"/>
      <c r="BG209" s="61"/>
      <c r="BH209" s="61"/>
      <c r="BI209" s="61"/>
      <c r="BJ209" s="61"/>
      <c r="BK209" s="61"/>
      <c r="BL209" s="61"/>
    </row>
    <row r="210" spans="1:79" s="1" customFormat="1" ht="18.75" hidden="1" customHeight="1" x14ac:dyDescent="0.2">
      <c r="A210" s="61" t="s">
        <v>64</v>
      </c>
      <c r="B210" s="61"/>
      <c r="C210" s="61"/>
      <c r="D210" s="61"/>
      <c r="E210" s="61"/>
      <c r="F210" s="61"/>
      <c r="G210" s="59" t="s">
        <v>57</v>
      </c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8" t="s">
        <v>80</v>
      </c>
      <c r="U210" s="58"/>
      <c r="V210" s="58"/>
      <c r="W210" s="58"/>
      <c r="X210" s="58"/>
      <c r="Y210" s="58"/>
      <c r="Z210" s="58" t="s">
        <v>81</v>
      </c>
      <c r="AA210" s="58"/>
      <c r="AB210" s="58"/>
      <c r="AC210" s="58"/>
      <c r="AD210" s="58"/>
      <c r="AE210" s="58" t="s">
        <v>82</v>
      </c>
      <c r="AF210" s="58"/>
      <c r="AG210" s="58"/>
      <c r="AH210" s="58"/>
      <c r="AI210" s="58"/>
      <c r="AJ210" s="58"/>
      <c r="AK210" s="58" t="s">
        <v>83</v>
      </c>
      <c r="AL210" s="58"/>
      <c r="AM210" s="58"/>
      <c r="AN210" s="58"/>
      <c r="AO210" s="58"/>
      <c r="AP210" s="58"/>
      <c r="AQ210" s="58" t="s">
        <v>84</v>
      </c>
      <c r="AR210" s="58"/>
      <c r="AS210" s="58"/>
      <c r="AT210" s="58"/>
      <c r="AU210" s="58"/>
      <c r="AV210" s="58"/>
      <c r="AW210" s="59" t="s">
        <v>87</v>
      </c>
      <c r="AX210" s="59"/>
      <c r="AY210" s="59"/>
      <c r="AZ210" s="59"/>
      <c r="BA210" s="59"/>
      <c r="BB210" s="59"/>
      <c r="BC210" s="59"/>
      <c r="BD210" s="59"/>
      <c r="BE210" s="59" t="s">
        <v>88</v>
      </c>
      <c r="BF210" s="59"/>
      <c r="BG210" s="59"/>
      <c r="BH210" s="59"/>
      <c r="BI210" s="59"/>
      <c r="BJ210" s="59"/>
      <c r="BK210" s="59"/>
      <c r="BL210" s="59"/>
      <c r="CA210" s="1" t="s">
        <v>54</v>
      </c>
    </row>
    <row r="211" spans="1:79" s="4" customFormat="1" ht="12.75" customHeight="1" x14ac:dyDescent="0.2">
      <c r="A211" s="60">
        <v>2730</v>
      </c>
      <c r="B211" s="60"/>
      <c r="C211" s="60"/>
      <c r="D211" s="60"/>
      <c r="E211" s="60"/>
      <c r="F211" s="60"/>
      <c r="G211" s="30" t="s">
        <v>174</v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3">
        <v>350333</v>
      </c>
      <c r="U211" s="33"/>
      <c r="V211" s="33"/>
      <c r="W211" s="33"/>
      <c r="X211" s="33"/>
      <c r="Y211" s="33"/>
      <c r="Z211" s="33">
        <v>223849</v>
      </c>
      <c r="AA211" s="33"/>
      <c r="AB211" s="33"/>
      <c r="AC211" s="33"/>
      <c r="AD211" s="33"/>
      <c r="AE211" s="33">
        <v>0</v>
      </c>
      <c r="AF211" s="33"/>
      <c r="AG211" s="33"/>
      <c r="AH211" s="33"/>
      <c r="AI211" s="33"/>
      <c r="AJ211" s="33"/>
      <c r="AK211" s="33">
        <v>0</v>
      </c>
      <c r="AL211" s="33"/>
      <c r="AM211" s="33"/>
      <c r="AN211" s="33"/>
      <c r="AO211" s="33"/>
      <c r="AP211" s="33"/>
      <c r="AQ211" s="33">
        <v>0</v>
      </c>
      <c r="AR211" s="33"/>
      <c r="AS211" s="33"/>
      <c r="AT211" s="33"/>
      <c r="AU211" s="33"/>
      <c r="AV211" s="33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CA211" s="4" t="s">
        <v>55</v>
      </c>
    </row>
    <row r="212" spans="1:79" s="5" customFormat="1" ht="12.75" customHeight="1" x14ac:dyDescent="0.2">
      <c r="A212" s="22"/>
      <c r="B212" s="22"/>
      <c r="C212" s="22"/>
      <c r="D212" s="22"/>
      <c r="E212" s="22"/>
      <c r="F212" s="22"/>
      <c r="G212" s="23" t="s">
        <v>147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5"/>
      <c r="T212" s="20">
        <v>350333</v>
      </c>
      <c r="U212" s="20"/>
      <c r="V212" s="20"/>
      <c r="W212" s="20"/>
      <c r="X212" s="20"/>
      <c r="Y212" s="20"/>
      <c r="Z212" s="20">
        <v>223849</v>
      </c>
      <c r="AA212" s="20"/>
      <c r="AB212" s="20"/>
      <c r="AC212" s="20"/>
      <c r="AD212" s="20"/>
      <c r="AE212" s="20">
        <v>0</v>
      </c>
      <c r="AF212" s="20"/>
      <c r="AG212" s="20"/>
      <c r="AH212" s="20"/>
      <c r="AI212" s="20"/>
      <c r="AJ212" s="20"/>
      <c r="AK212" s="20">
        <v>0</v>
      </c>
      <c r="AL212" s="20"/>
      <c r="AM212" s="20"/>
      <c r="AN212" s="20"/>
      <c r="AO212" s="20"/>
      <c r="AP212" s="20"/>
      <c r="AQ212" s="20">
        <v>0</v>
      </c>
      <c r="AR212" s="20"/>
      <c r="AS212" s="20"/>
      <c r="AT212" s="20"/>
      <c r="AU212" s="20"/>
      <c r="AV212" s="20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</row>
    <row r="214" spans="1:79" ht="14.25" customHeight="1" x14ac:dyDescent="0.2">
      <c r="A214" s="56" t="s">
        <v>216</v>
      </c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</row>
    <row r="215" spans="1:79" ht="45" customHeight="1" x14ac:dyDescent="0.2">
      <c r="A215" s="57" t="s">
        <v>202</v>
      </c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</row>
    <row r="217" spans="1:79" ht="14.25" x14ac:dyDescent="0.2">
      <c r="A217" s="56" t="s">
        <v>243</v>
      </c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</row>
    <row r="218" spans="1:79" ht="14.25" x14ac:dyDescent="0.2">
      <c r="A218" s="56" t="s">
        <v>217</v>
      </c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</row>
    <row r="219" spans="1:79" ht="15" customHeight="1" x14ac:dyDescent="0.2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</row>
    <row r="220" spans="1:79" ht="18.95" customHeight="1" x14ac:dyDescent="0.2">
      <c r="A220" s="46" t="s">
        <v>250</v>
      </c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17"/>
      <c r="AC220" s="17"/>
      <c r="AD220" s="17"/>
      <c r="AE220" s="17"/>
      <c r="AF220" s="17"/>
      <c r="AG220" s="17"/>
      <c r="AH220" s="53"/>
      <c r="AI220" s="53"/>
      <c r="AJ220" s="53"/>
      <c r="AK220" s="53"/>
      <c r="AL220" s="53"/>
      <c r="AM220" s="53"/>
      <c r="AN220" s="53"/>
      <c r="AO220" s="53"/>
      <c r="AP220" s="53"/>
      <c r="AQ220" s="17"/>
      <c r="AR220" s="17"/>
      <c r="AS220" s="17"/>
      <c r="AT220" s="17"/>
      <c r="AU220" s="54" t="s">
        <v>251</v>
      </c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</row>
    <row r="221" spans="1:79" ht="12.75" customHeight="1" x14ac:dyDescent="0.2">
      <c r="AB221" s="18"/>
      <c r="AC221" s="18"/>
      <c r="AD221" s="18"/>
      <c r="AE221" s="18"/>
      <c r="AF221" s="18"/>
      <c r="AG221" s="18"/>
      <c r="AH221" s="51" t="s">
        <v>1</v>
      </c>
      <c r="AI221" s="51"/>
      <c r="AJ221" s="51"/>
      <c r="AK221" s="51"/>
      <c r="AL221" s="51"/>
      <c r="AM221" s="51"/>
      <c r="AN221" s="51"/>
      <c r="AO221" s="51"/>
      <c r="AP221" s="51"/>
      <c r="AQ221" s="18"/>
      <c r="AR221" s="18"/>
      <c r="AS221" s="18"/>
      <c r="AT221" s="18"/>
      <c r="AU221" s="51" t="s">
        <v>171</v>
      </c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</row>
    <row r="222" spans="1:79" ht="15" x14ac:dyDescent="0.2">
      <c r="AB222" s="18"/>
      <c r="AC222" s="18"/>
      <c r="AD222" s="18"/>
      <c r="AE222" s="18"/>
      <c r="AF222" s="18"/>
      <c r="AG222" s="18"/>
      <c r="AH222" s="19"/>
      <c r="AI222" s="19"/>
      <c r="AJ222" s="19"/>
      <c r="AK222" s="19"/>
      <c r="AL222" s="19"/>
      <c r="AM222" s="19"/>
      <c r="AN222" s="19"/>
      <c r="AO222" s="19"/>
      <c r="AP222" s="19"/>
      <c r="AQ222" s="18"/>
      <c r="AR222" s="18"/>
      <c r="AS222" s="18"/>
      <c r="AT222" s="18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</row>
    <row r="223" spans="1:79" ht="18" customHeight="1" x14ac:dyDescent="0.2">
      <c r="A223" s="46" t="s">
        <v>252</v>
      </c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18"/>
      <c r="AC223" s="18"/>
      <c r="AD223" s="18"/>
      <c r="AE223" s="18"/>
      <c r="AF223" s="18"/>
      <c r="AG223" s="18"/>
      <c r="AH223" s="48"/>
      <c r="AI223" s="48"/>
      <c r="AJ223" s="48"/>
      <c r="AK223" s="48"/>
      <c r="AL223" s="48"/>
      <c r="AM223" s="48"/>
      <c r="AN223" s="48"/>
      <c r="AO223" s="48"/>
      <c r="AP223" s="48"/>
      <c r="AQ223" s="18"/>
      <c r="AR223" s="18"/>
      <c r="AS223" s="18"/>
      <c r="AT223" s="18"/>
      <c r="AU223" s="49" t="s">
        <v>253</v>
      </c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</row>
    <row r="224" spans="1:79" ht="12" customHeight="1" x14ac:dyDescent="0.2">
      <c r="AB224" s="18"/>
      <c r="AC224" s="18"/>
      <c r="AD224" s="18"/>
      <c r="AE224" s="18"/>
      <c r="AF224" s="18"/>
      <c r="AG224" s="18"/>
      <c r="AH224" s="51" t="s">
        <v>1</v>
      </c>
      <c r="AI224" s="51"/>
      <c r="AJ224" s="51"/>
      <c r="AK224" s="51"/>
      <c r="AL224" s="51"/>
      <c r="AM224" s="51"/>
      <c r="AN224" s="51"/>
      <c r="AO224" s="51"/>
      <c r="AP224" s="51"/>
      <c r="AQ224" s="18"/>
      <c r="AR224" s="18"/>
      <c r="AS224" s="18"/>
      <c r="AT224" s="18"/>
      <c r="AU224" s="51" t="s">
        <v>171</v>
      </c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</row>
  </sheetData>
  <mergeCells count="1435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2:BY42"/>
    <mergeCell ref="A43:BY43"/>
    <mergeCell ref="A44:BY44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6:BY46"/>
    <mergeCell ref="A47:D47"/>
    <mergeCell ref="E47:T47"/>
    <mergeCell ref="U47:Y47"/>
    <mergeCell ref="Z47:AD47"/>
    <mergeCell ref="AE47:AH47"/>
    <mergeCell ref="AI47:AM47"/>
    <mergeCell ref="AN47:AR47"/>
    <mergeCell ref="AS47:AW47"/>
    <mergeCell ref="AX47:BA47"/>
    <mergeCell ref="AS46:AW46"/>
    <mergeCell ref="AX46:BA46"/>
    <mergeCell ref="BB46:BF46"/>
    <mergeCell ref="BG46:BK46"/>
    <mergeCell ref="BL46:BP46"/>
    <mergeCell ref="BQ46:BT46"/>
    <mergeCell ref="A45:D46"/>
    <mergeCell ref="E45:T46"/>
    <mergeCell ref="U45:AM45"/>
    <mergeCell ref="AN45:BF45"/>
    <mergeCell ref="BG45:BY45"/>
    <mergeCell ref="U46:Y46"/>
    <mergeCell ref="Z46:AD46"/>
    <mergeCell ref="AE46:AH46"/>
    <mergeCell ref="AI46:AM46"/>
    <mergeCell ref="AN46:AR46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BG55:BK55"/>
    <mergeCell ref="BL55:BP55"/>
    <mergeCell ref="BQ55:BT55"/>
    <mergeCell ref="BU55:BY55"/>
    <mergeCell ref="A56:E56"/>
    <mergeCell ref="F56:T56"/>
    <mergeCell ref="U56:Y56"/>
    <mergeCell ref="Z56:AD56"/>
    <mergeCell ref="AE56:AH56"/>
    <mergeCell ref="AI56:AM56"/>
    <mergeCell ref="AE55:AH55"/>
    <mergeCell ref="AI55:AM55"/>
    <mergeCell ref="AN55:AR55"/>
    <mergeCell ref="AS55:AW55"/>
    <mergeCell ref="AX55:BA55"/>
    <mergeCell ref="BB55:BF55"/>
    <mergeCell ref="BU49:BY49"/>
    <mergeCell ref="A52:BL52"/>
    <mergeCell ref="A53:BY53"/>
    <mergeCell ref="A54:E55"/>
    <mergeCell ref="F54:T55"/>
    <mergeCell ref="U54:AM54"/>
    <mergeCell ref="AN54:BF54"/>
    <mergeCell ref="BG54:BY54"/>
    <mergeCell ref="U55:Y55"/>
    <mergeCell ref="Z55:AD55"/>
    <mergeCell ref="AS49:AW49"/>
    <mergeCell ref="AX49:BA49"/>
    <mergeCell ref="BB49:BF49"/>
    <mergeCell ref="BG49:BK49"/>
    <mergeCell ref="BL49:BP49"/>
    <mergeCell ref="BQ49:BT49"/>
    <mergeCell ref="AX57:BA57"/>
    <mergeCell ref="BB57:BF57"/>
    <mergeCell ref="BG57:BK57"/>
    <mergeCell ref="BL57:BP57"/>
    <mergeCell ref="BQ57:BT57"/>
    <mergeCell ref="BU57:BY57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N57:AR57"/>
    <mergeCell ref="AS57:AW57"/>
    <mergeCell ref="AN56:AR56"/>
    <mergeCell ref="AS56:AW56"/>
    <mergeCell ref="AX56:BA56"/>
    <mergeCell ref="BB56:BF56"/>
    <mergeCell ref="BG56:BK56"/>
    <mergeCell ref="BL56:BP56"/>
    <mergeCell ref="BU58:BY58"/>
    <mergeCell ref="A60:BL60"/>
    <mergeCell ref="A61:BK61"/>
    <mergeCell ref="A62:D63"/>
    <mergeCell ref="E62:W63"/>
    <mergeCell ref="X62:AQ62"/>
    <mergeCell ref="AR62:BK62"/>
    <mergeCell ref="X63:AB63"/>
    <mergeCell ref="AC63:AG63"/>
    <mergeCell ref="AN58:AR58"/>
    <mergeCell ref="AS58:AW58"/>
    <mergeCell ref="AX58:BA58"/>
    <mergeCell ref="BB58:BF58"/>
    <mergeCell ref="BG58:BK58"/>
    <mergeCell ref="BL58:BP58"/>
    <mergeCell ref="A58:E58"/>
    <mergeCell ref="F58:T58"/>
    <mergeCell ref="U58:Y58"/>
    <mergeCell ref="Z58:AD58"/>
    <mergeCell ref="AE58:AH58"/>
    <mergeCell ref="AI58:AM58"/>
    <mergeCell ref="A69:BL69"/>
    <mergeCell ref="A70:BK70"/>
    <mergeCell ref="AW67:BA67"/>
    <mergeCell ref="BB67:BF67"/>
    <mergeCell ref="BG67:BK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R64:AV64"/>
    <mergeCell ref="AW64:BA64"/>
    <mergeCell ref="BB64:BF64"/>
    <mergeCell ref="BG64:BK64"/>
    <mergeCell ref="A65:D65"/>
    <mergeCell ref="E65:W65"/>
    <mergeCell ref="X65:AB65"/>
    <mergeCell ref="AC65:AG65"/>
    <mergeCell ref="AH65:AL65"/>
    <mergeCell ref="AM65:AQ65"/>
    <mergeCell ref="A64:D64"/>
    <mergeCell ref="E64:W64"/>
    <mergeCell ref="X64:AB64"/>
    <mergeCell ref="AC64:AG64"/>
    <mergeCell ref="AH64:AL64"/>
    <mergeCell ref="AM64:AQ64"/>
    <mergeCell ref="BB72:BF72"/>
    <mergeCell ref="BG72:BK72"/>
    <mergeCell ref="A73:E73"/>
    <mergeCell ref="F73:W73"/>
    <mergeCell ref="X73:AB73"/>
    <mergeCell ref="AC73:AG73"/>
    <mergeCell ref="AH73:AL73"/>
    <mergeCell ref="AM73:AQ73"/>
    <mergeCell ref="AR73:AV73"/>
    <mergeCell ref="AW73:BA73"/>
    <mergeCell ref="A71:E72"/>
    <mergeCell ref="F71:W72"/>
    <mergeCell ref="X71:AQ71"/>
    <mergeCell ref="AR71:BK71"/>
    <mergeCell ref="X72:AB72"/>
    <mergeCell ref="AC72:AG72"/>
    <mergeCell ref="AH72:AL72"/>
    <mergeCell ref="AM72:AQ72"/>
    <mergeCell ref="AR72:AV72"/>
    <mergeCell ref="AW72:BA72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X81:BA81"/>
    <mergeCell ref="BB81:BF81"/>
    <mergeCell ref="BG81:BK81"/>
    <mergeCell ref="BL81:BP81"/>
    <mergeCell ref="BQ81:BT81"/>
    <mergeCell ref="BU81:BY81"/>
    <mergeCell ref="U81:Y81"/>
    <mergeCell ref="Z81:AD81"/>
    <mergeCell ref="AE81:AH81"/>
    <mergeCell ref="AI81:AM81"/>
    <mergeCell ref="AN81:AR81"/>
    <mergeCell ref="AS81:AW81"/>
    <mergeCell ref="BB75:BF75"/>
    <mergeCell ref="BG75:BK75"/>
    <mergeCell ref="A77:BL77"/>
    <mergeCell ref="A78:BL78"/>
    <mergeCell ref="A79:BY79"/>
    <mergeCell ref="A80:C81"/>
    <mergeCell ref="D80:T81"/>
    <mergeCell ref="U80:AM80"/>
    <mergeCell ref="AN80:BF80"/>
    <mergeCell ref="BG80:BY80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BQ82:BT82"/>
    <mergeCell ref="BU82:BY82"/>
    <mergeCell ref="A83:C83"/>
    <mergeCell ref="D83:T83"/>
    <mergeCell ref="U83:Y83"/>
    <mergeCell ref="Z83:AD83"/>
    <mergeCell ref="AE83:AH83"/>
    <mergeCell ref="AI83:AM83"/>
    <mergeCell ref="AN83:AR83"/>
    <mergeCell ref="AS83:AW83"/>
    <mergeCell ref="AN82:AR82"/>
    <mergeCell ref="AS82:AW82"/>
    <mergeCell ref="AX82:BA82"/>
    <mergeCell ref="BB82:BF82"/>
    <mergeCell ref="BG82:BK82"/>
    <mergeCell ref="BL82:BP82"/>
    <mergeCell ref="A82:C82"/>
    <mergeCell ref="D82:T82"/>
    <mergeCell ref="U82:Y82"/>
    <mergeCell ref="Z82:AD82"/>
    <mergeCell ref="AE82:AH82"/>
    <mergeCell ref="AI82:AM82"/>
    <mergeCell ref="AE92:AI92"/>
    <mergeCell ref="AJ92:AN92"/>
    <mergeCell ref="A91:C91"/>
    <mergeCell ref="D91:T91"/>
    <mergeCell ref="U91:Y91"/>
    <mergeCell ref="Z91:AD91"/>
    <mergeCell ref="AE91:AI91"/>
    <mergeCell ref="AJ91:AN91"/>
    <mergeCell ref="AE90:AI90"/>
    <mergeCell ref="AJ90:AN90"/>
    <mergeCell ref="AO90:AS90"/>
    <mergeCell ref="AT90:AX90"/>
    <mergeCell ref="AY90:BC90"/>
    <mergeCell ref="BD90:BH90"/>
    <mergeCell ref="BQ84:BT84"/>
    <mergeCell ref="BU84:BY84"/>
    <mergeCell ref="A87:BL87"/>
    <mergeCell ref="A88:BH88"/>
    <mergeCell ref="A89:C90"/>
    <mergeCell ref="D89:T90"/>
    <mergeCell ref="U89:AN89"/>
    <mergeCell ref="AO89:BH89"/>
    <mergeCell ref="U90:Y90"/>
    <mergeCell ref="Z90:AD90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BJ98:BX98"/>
    <mergeCell ref="AF99:AJ99"/>
    <mergeCell ref="AK99:AO99"/>
    <mergeCell ref="AP99:AT99"/>
    <mergeCell ref="AU99:AY99"/>
    <mergeCell ref="AZ99:BD99"/>
    <mergeCell ref="BE99:BI99"/>
    <mergeCell ref="BJ99:BN99"/>
    <mergeCell ref="BO99:BS99"/>
    <mergeCell ref="BT99:BX99"/>
    <mergeCell ref="A98:C99"/>
    <mergeCell ref="D98:P99"/>
    <mergeCell ref="Q98:U99"/>
    <mergeCell ref="V98:AE99"/>
    <mergeCell ref="AF98:AT98"/>
    <mergeCell ref="AU98:BI98"/>
    <mergeCell ref="AO93:AS93"/>
    <mergeCell ref="AT93:AX93"/>
    <mergeCell ref="AY93:BC93"/>
    <mergeCell ref="BD93:BH93"/>
    <mergeCell ref="A96:BL96"/>
    <mergeCell ref="A97:BL97"/>
    <mergeCell ref="AJ94:AN94"/>
    <mergeCell ref="AO94:AS94"/>
    <mergeCell ref="AT94:AX94"/>
    <mergeCell ref="AY94:BC94"/>
    <mergeCell ref="A93:C93"/>
    <mergeCell ref="D93:T93"/>
    <mergeCell ref="U93:Y93"/>
    <mergeCell ref="Z93:AD93"/>
    <mergeCell ref="AE93:AI93"/>
    <mergeCell ref="AJ93:AN93"/>
    <mergeCell ref="BE101:BI101"/>
    <mergeCell ref="BJ101:BN101"/>
    <mergeCell ref="BO101:BS101"/>
    <mergeCell ref="BT101:BX101"/>
    <mergeCell ref="A102:C102"/>
    <mergeCell ref="D102:P102"/>
    <mergeCell ref="Q102:U102"/>
    <mergeCell ref="V102:AE102"/>
    <mergeCell ref="AF102:AJ102"/>
    <mergeCell ref="AK102:AO102"/>
    <mergeCell ref="BT100:BX100"/>
    <mergeCell ref="A101:C101"/>
    <mergeCell ref="D101:P101"/>
    <mergeCell ref="Q101:U101"/>
    <mergeCell ref="V101:AE101"/>
    <mergeCell ref="AF101:AJ101"/>
    <mergeCell ref="AK101:AO101"/>
    <mergeCell ref="AP101:AT101"/>
    <mergeCell ref="AU101:AY101"/>
    <mergeCell ref="AZ101:BD101"/>
    <mergeCell ref="AP100:AT100"/>
    <mergeCell ref="AU100:AY100"/>
    <mergeCell ref="AZ100:BD100"/>
    <mergeCell ref="BE100:BI100"/>
    <mergeCell ref="BJ100:BN100"/>
    <mergeCell ref="BO100:BS100"/>
    <mergeCell ref="A100:C100"/>
    <mergeCell ref="D100:P100"/>
    <mergeCell ref="Q100:U100"/>
    <mergeCell ref="V100:AE100"/>
    <mergeCell ref="AF100:AJ100"/>
    <mergeCell ref="AK100:AO100"/>
    <mergeCell ref="AP119:AT119"/>
    <mergeCell ref="AU119:AY119"/>
    <mergeCell ref="AZ119:BD119"/>
    <mergeCell ref="BE119:BI119"/>
    <mergeCell ref="A120:C120"/>
    <mergeCell ref="D120:P120"/>
    <mergeCell ref="Q120:U120"/>
    <mergeCell ref="V120:AE120"/>
    <mergeCell ref="AF120:AJ120"/>
    <mergeCell ref="AK120:AO120"/>
    <mergeCell ref="BT102:BX102"/>
    <mergeCell ref="A117:BL117"/>
    <mergeCell ref="A118:C119"/>
    <mergeCell ref="D118:P119"/>
    <mergeCell ref="Q118:U119"/>
    <mergeCell ref="V118:AE119"/>
    <mergeCell ref="AF118:AT118"/>
    <mergeCell ref="AU118:BI118"/>
    <mergeCell ref="AF119:AJ119"/>
    <mergeCell ref="AK119:AO119"/>
    <mergeCell ref="AP102:AT102"/>
    <mergeCell ref="AU102:AY102"/>
    <mergeCell ref="AZ102:BD102"/>
    <mergeCell ref="BE102:BI102"/>
    <mergeCell ref="BJ102:BN102"/>
    <mergeCell ref="BO102:BS102"/>
    <mergeCell ref="AP121:AT121"/>
    <mergeCell ref="AU121:AY121"/>
    <mergeCell ref="AZ121:BD121"/>
    <mergeCell ref="BE121:BI121"/>
    <mergeCell ref="A122:C122"/>
    <mergeCell ref="D122:P122"/>
    <mergeCell ref="Q122:U122"/>
    <mergeCell ref="V122:AE122"/>
    <mergeCell ref="AF122:AJ122"/>
    <mergeCell ref="AK122:AO122"/>
    <mergeCell ref="AP120:AT120"/>
    <mergeCell ref="AU120:AY120"/>
    <mergeCell ref="AZ120:BD120"/>
    <mergeCell ref="BE120:BI120"/>
    <mergeCell ref="A121:C121"/>
    <mergeCell ref="D121:P121"/>
    <mergeCell ref="Q121:U121"/>
    <mergeCell ref="V121:AE121"/>
    <mergeCell ref="AF121:AJ121"/>
    <mergeCell ref="AK121:AO121"/>
    <mergeCell ref="AO140:AS140"/>
    <mergeCell ref="AT140:AX140"/>
    <mergeCell ref="AY140:BC140"/>
    <mergeCell ref="BD140:BH140"/>
    <mergeCell ref="BI140:BM140"/>
    <mergeCell ref="BN140:BR140"/>
    <mergeCell ref="A139:T140"/>
    <mergeCell ref="U139:AD139"/>
    <mergeCell ref="AE139:AN139"/>
    <mergeCell ref="AO139:AX139"/>
    <mergeCell ref="AY139:BH139"/>
    <mergeCell ref="BI139:BR139"/>
    <mergeCell ref="U140:Y140"/>
    <mergeCell ref="Z140:AD140"/>
    <mergeCell ref="AE140:AI140"/>
    <mergeCell ref="AJ140:AN140"/>
    <mergeCell ref="AP122:AT122"/>
    <mergeCell ref="AU122:AY122"/>
    <mergeCell ref="AZ122:BD122"/>
    <mergeCell ref="BE122:BI122"/>
    <mergeCell ref="A137:BL137"/>
    <mergeCell ref="A138:BR138"/>
    <mergeCell ref="BE123:BI123"/>
    <mergeCell ref="A124:C124"/>
    <mergeCell ref="D124:P124"/>
    <mergeCell ref="Q124:U124"/>
    <mergeCell ref="AO142:AS142"/>
    <mergeCell ref="AT142:AX142"/>
    <mergeCell ref="AY142:BC142"/>
    <mergeCell ref="BD142:BH142"/>
    <mergeCell ref="BI142:BM142"/>
    <mergeCell ref="BN142:BR142"/>
    <mergeCell ref="AT141:AX141"/>
    <mergeCell ref="AY141:BC141"/>
    <mergeCell ref="BD141:BH141"/>
    <mergeCell ref="BI141:BM141"/>
    <mergeCell ref="BN141:BR141"/>
    <mergeCell ref="A142:T142"/>
    <mergeCell ref="U142:Y142"/>
    <mergeCell ref="Z142:AD142"/>
    <mergeCell ref="AE142:AI142"/>
    <mergeCell ref="AJ142:AN142"/>
    <mergeCell ref="A141:T141"/>
    <mergeCell ref="U141:Y141"/>
    <mergeCell ref="Z141:AD141"/>
    <mergeCell ref="AE141:AI141"/>
    <mergeCell ref="AJ141:AN141"/>
    <mergeCell ref="AO141:AS141"/>
    <mergeCell ref="A147:C149"/>
    <mergeCell ref="D147:V149"/>
    <mergeCell ref="W147:AH147"/>
    <mergeCell ref="AI147:AT147"/>
    <mergeCell ref="AU147:AZ147"/>
    <mergeCell ref="BA147:BF147"/>
    <mergeCell ref="AT143:AX143"/>
    <mergeCell ref="AY143:BC143"/>
    <mergeCell ref="BD143:BH143"/>
    <mergeCell ref="BI143:BM143"/>
    <mergeCell ref="BN143:BR143"/>
    <mergeCell ref="A146:BL146"/>
    <mergeCell ref="BI144:BM144"/>
    <mergeCell ref="BN144:BR144"/>
    <mergeCell ref="A143:T143"/>
    <mergeCell ref="U143:Y143"/>
    <mergeCell ref="Z143:AD143"/>
    <mergeCell ref="AE143:AI143"/>
    <mergeCell ref="AJ143:AN143"/>
    <mergeCell ref="AO143:AS143"/>
    <mergeCell ref="BJ148:BL149"/>
    <mergeCell ref="W149:Y149"/>
    <mergeCell ref="Z149:AB149"/>
    <mergeCell ref="AC149:AE149"/>
    <mergeCell ref="AF149:AH149"/>
    <mergeCell ref="AI149:AK149"/>
    <mergeCell ref="AL149:AN149"/>
    <mergeCell ref="AO149:AQ149"/>
    <mergeCell ref="AR149:AT149"/>
    <mergeCell ref="BG147:BL147"/>
    <mergeCell ref="W148:AB148"/>
    <mergeCell ref="AC148:AH148"/>
    <mergeCell ref="AI148:AN148"/>
    <mergeCell ref="AO148:AT148"/>
    <mergeCell ref="AU148:AW149"/>
    <mergeCell ref="AX148:AZ149"/>
    <mergeCell ref="BA148:BC149"/>
    <mergeCell ref="BD148:BF149"/>
    <mergeCell ref="BG148:BI149"/>
    <mergeCell ref="BD150:BF150"/>
    <mergeCell ref="BG150:BI150"/>
    <mergeCell ref="BJ150:BL150"/>
    <mergeCell ref="A151:C151"/>
    <mergeCell ref="D151:V151"/>
    <mergeCell ref="W151:Y151"/>
    <mergeCell ref="Z151:AB151"/>
    <mergeCell ref="AC151:AE151"/>
    <mergeCell ref="AF151:AH151"/>
    <mergeCell ref="AI150:AK150"/>
    <mergeCell ref="AL150:AN150"/>
    <mergeCell ref="AO150:AQ150"/>
    <mergeCell ref="AR150:AT150"/>
    <mergeCell ref="AU150:AW150"/>
    <mergeCell ref="AX150:AZ150"/>
    <mergeCell ref="A150:C150"/>
    <mergeCell ref="D150:V150"/>
    <mergeCell ref="W150:Y150"/>
    <mergeCell ref="Z150:AB150"/>
    <mergeCell ref="AC150:AE150"/>
    <mergeCell ref="AF150:AH150"/>
    <mergeCell ref="A157:BS157"/>
    <mergeCell ref="A158:F159"/>
    <mergeCell ref="G158:S159"/>
    <mergeCell ref="T158:Z159"/>
    <mergeCell ref="AA158:AO158"/>
    <mergeCell ref="AP158:BD158"/>
    <mergeCell ref="BE158:BS158"/>
    <mergeCell ref="AA159:AE159"/>
    <mergeCell ref="AF159:AJ159"/>
    <mergeCell ref="AK159:AO159"/>
    <mergeCell ref="BA152:BC152"/>
    <mergeCell ref="BD152:BF152"/>
    <mergeCell ref="BG152:BI152"/>
    <mergeCell ref="BJ152:BL152"/>
    <mergeCell ref="A155:BL155"/>
    <mergeCell ref="A156:BS156"/>
    <mergeCell ref="AL153:AN153"/>
    <mergeCell ref="AO153:AQ153"/>
    <mergeCell ref="AR153:AT153"/>
    <mergeCell ref="AU153:AW153"/>
    <mergeCell ref="AI152:AK152"/>
    <mergeCell ref="AL152:AN152"/>
    <mergeCell ref="AO152:AQ152"/>
    <mergeCell ref="AR152:AT152"/>
    <mergeCell ref="AU152:AW152"/>
    <mergeCell ref="AX152:AZ152"/>
    <mergeCell ref="A152:C152"/>
    <mergeCell ref="D152:V152"/>
    <mergeCell ref="W152:Y152"/>
    <mergeCell ref="Z152:AB152"/>
    <mergeCell ref="AC152:AE152"/>
    <mergeCell ref="AF152:AH152"/>
    <mergeCell ref="AP160:AT160"/>
    <mergeCell ref="AU160:AY160"/>
    <mergeCell ref="AZ160:BD160"/>
    <mergeCell ref="BE160:BI160"/>
    <mergeCell ref="BJ160:BN160"/>
    <mergeCell ref="BO160:BS160"/>
    <mergeCell ref="A160:F160"/>
    <mergeCell ref="G160:S160"/>
    <mergeCell ref="T160:Z160"/>
    <mergeCell ref="AA160:AE160"/>
    <mergeCell ref="AF160:AJ160"/>
    <mergeCell ref="AK160:AO160"/>
    <mergeCell ref="AP159:AT159"/>
    <mergeCell ref="AU159:AY159"/>
    <mergeCell ref="AZ159:BD159"/>
    <mergeCell ref="BE159:BI159"/>
    <mergeCell ref="BJ159:BN159"/>
    <mergeCell ref="BO159:BS159"/>
    <mergeCell ref="AP162:AT162"/>
    <mergeCell ref="AU162:AY162"/>
    <mergeCell ref="AZ162:BD162"/>
    <mergeCell ref="BE162:BI162"/>
    <mergeCell ref="BJ162:BN162"/>
    <mergeCell ref="BO162:BS162"/>
    <mergeCell ref="A162:F162"/>
    <mergeCell ref="G162:S162"/>
    <mergeCell ref="T162:Z162"/>
    <mergeCell ref="AA162:AE162"/>
    <mergeCell ref="AF162:AJ162"/>
    <mergeCell ref="AK162:AO162"/>
    <mergeCell ref="AP161:AT161"/>
    <mergeCell ref="AU161:AY161"/>
    <mergeCell ref="AZ161:BD161"/>
    <mergeCell ref="BE161:BI161"/>
    <mergeCell ref="BJ161:BN161"/>
    <mergeCell ref="BO161:BS161"/>
    <mergeCell ref="A161:F161"/>
    <mergeCell ref="G161:S161"/>
    <mergeCell ref="T161:Z161"/>
    <mergeCell ref="AA161:AE161"/>
    <mergeCell ref="AF161:AJ161"/>
    <mergeCell ref="AK161:AO161"/>
    <mergeCell ref="AP168:AT168"/>
    <mergeCell ref="AU168:AY168"/>
    <mergeCell ref="AZ168:BD168"/>
    <mergeCell ref="A169:F169"/>
    <mergeCell ref="G169:S169"/>
    <mergeCell ref="T169:Z169"/>
    <mergeCell ref="AA169:AE169"/>
    <mergeCell ref="AF169:AJ169"/>
    <mergeCell ref="AK169:AO169"/>
    <mergeCell ref="AP169:AT169"/>
    <mergeCell ref="A165:BL165"/>
    <mergeCell ref="A166:BD166"/>
    <mergeCell ref="A167:F168"/>
    <mergeCell ref="G167:S168"/>
    <mergeCell ref="T167:Z168"/>
    <mergeCell ref="AA167:AO167"/>
    <mergeCell ref="AP167:BD167"/>
    <mergeCell ref="AA168:AE168"/>
    <mergeCell ref="AF168:AJ168"/>
    <mergeCell ref="AK168:AO168"/>
    <mergeCell ref="AZ170:BD170"/>
    <mergeCell ref="A171:F171"/>
    <mergeCell ref="G171:S171"/>
    <mergeCell ref="T171:Z171"/>
    <mergeCell ref="AA171:AE171"/>
    <mergeCell ref="AF171:AJ171"/>
    <mergeCell ref="AK171:AO171"/>
    <mergeCell ref="AP171:AT171"/>
    <mergeCell ref="AU171:AY171"/>
    <mergeCell ref="AZ171:BD171"/>
    <mergeCell ref="AU169:AY169"/>
    <mergeCell ref="AZ169:BD169"/>
    <mergeCell ref="A170:F170"/>
    <mergeCell ref="G170:S170"/>
    <mergeCell ref="T170:Z170"/>
    <mergeCell ref="AA170:AE170"/>
    <mergeCell ref="AF170:AJ170"/>
    <mergeCell ref="AK170:AO170"/>
    <mergeCell ref="AP170:AT170"/>
    <mergeCell ref="AU170:AY170"/>
    <mergeCell ref="BB177:BF177"/>
    <mergeCell ref="BG177:BJ177"/>
    <mergeCell ref="BK177:BO177"/>
    <mergeCell ref="BP177:BS177"/>
    <mergeCell ref="A178:M178"/>
    <mergeCell ref="N178:U178"/>
    <mergeCell ref="V178:Z178"/>
    <mergeCell ref="AA178:AE178"/>
    <mergeCell ref="AF178:AI178"/>
    <mergeCell ref="AJ178:AN178"/>
    <mergeCell ref="AA177:AE177"/>
    <mergeCell ref="AF177:AI177"/>
    <mergeCell ref="AJ177:AN177"/>
    <mergeCell ref="AO177:AR177"/>
    <mergeCell ref="AS177:AW177"/>
    <mergeCell ref="AX177:BA177"/>
    <mergeCell ref="A174:BL174"/>
    <mergeCell ref="A175:BM175"/>
    <mergeCell ref="A176:M177"/>
    <mergeCell ref="N176:U177"/>
    <mergeCell ref="V176:Z177"/>
    <mergeCell ref="AA176:AI176"/>
    <mergeCell ref="AJ176:AR176"/>
    <mergeCell ref="AS176:BA176"/>
    <mergeCell ref="BB176:BJ176"/>
    <mergeCell ref="BK176:BS176"/>
    <mergeCell ref="BB179:BF179"/>
    <mergeCell ref="BG179:BJ179"/>
    <mergeCell ref="BK179:BO179"/>
    <mergeCell ref="BP179:BS179"/>
    <mergeCell ref="A180:M180"/>
    <mergeCell ref="N180:U180"/>
    <mergeCell ref="V180:Z180"/>
    <mergeCell ref="AA180:AE180"/>
    <mergeCell ref="AF180:AI180"/>
    <mergeCell ref="AJ180:AN180"/>
    <mergeCell ref="BP178:BS178"/>
    <mergeCell ref="A179:M179"/>
    <mergeCell ref="N179:U179"/>
    <mergeCell ref="V179:Z179"/>
    <mergeCell ref="AA179:AE179"/>
    <mergeCell ref="AF179:AI179"/>
    <mergeCell ref="AJ179:AN179"/>
    <mergeCell ref="AO179:AR179"/>
    <mergeCell ref="AS179:AW179"/>
    <mergeCell ref="AX179:BA179"/>
    <mergeCell ref="AO178:AR178"/>
    <mergeCell ref="AS178:AW178"/>
    <mergeCell ref="AX178:BA178"/>
    <mergeCell ref="BB178:BF178"/>
    <mergeCell ref="BG178:BJ178"/>
    <mergeCell ref="BK178:BO178"/>
    <mergeCell ref="AQ188:AV189"/>
    <mergeCell ref="AW188:BF188"/>
    <mergeCell ref="BG188:BL189"/>
    <mergeCell ref="AW189:BA189"/>
    <mergeCell ref="BB189:BF189"/>
    <mergeCell ref="A190:F190"/>
    <mergeCell ref="G190:S190"/>
    <mergeCell ref="T190:Y190"/>
    <mergeCell ref="Z190:AD190"/>
    <mergeCell ref="AE190:AJ190"/>
    <mergeCell ref="A188:F189"/>
    <mergeCell ref="G188:S189"/>
    <mergeCell ref="T188:Y189"/>
    <mergeCell ref="Z188:AD189"/>
    <mergeCell ref="AE188:AJ189"/>
    <mergeCell ref="AK188:AP189"/>
    <mergeCell ref="BP180:BS180"/>
    <mergeCell ref="A182:BL182"/>
    <mergeCell ref="A183:BL183"/>
    <mergeCell ref="A185:BL185"/>
    <mergeCell ref="A186:BL186"/>
    <mergeCell ref="A187:BL187"/>
    <mergeCell ref="AO180:AR180"/>
    <mergeCell ref="AS180:AW180"/>
    <mergeCell ref="AX180:BA180"/>
    <mergeCell ref="BB180:BF180"/>
    <mergeCell ref="BG180:BJ180"/>
    <mergeCell ref="BK180:BO180"/>
    <mergeCell ref="A195:BL195"/>
    <mergeCell ref="A193:F193"/>
    <mergeCell ref="G193:S193"/>
    <mergeCell ref="T193:Y193"/>
    <mergeCell ref="Z193:AD193"/>
    <mergeCell ref="AK191:AP191"/>
    <mergeCell ref="AQ191:AV191"/>
    <mergeCell ref="AW191:BA191"/>
    <mergeCell ref="BB191:BF191"/>
    <mergeCell ref="BG191:BL191"/>
    <mergeCell ref="A192:F192"/>
    <mergeCell ref="G192:S192"/>
    <mergeCell ref="T192:Y192"/>
    <mergeCell ref="Z192:AD192"/>
    <mergeCell ref="AE192:AJ192"/>
    <mergeCell ref="AK190:AP190"/>
    <mergeCell ref="AQ190:AV190"/>
    <mergeCell ref="AW190:BA190"/>
    <mergeCell ref="BB190:BF190"/>
    <mergeCell ref="BG190:BL190"/>
    <mergeCell ref="A191:F191"/>
    <mergeCell ref="G191:S191"/>
    <mergeCell ref="T191:Y191"/>
    <mergeCell ref="Z191:AD191"/>
    <mergeCell ref="AE191:AJ191"/>
    <mergeCell ref="AT198:AW199"/>
    <mergeCell ref="AX198:BG198"/>
    <mergeCell ref="BH198:BL199"/>
    <mergeCell ref="Z199:AD199"/>
    <mergeCell ref="AE199:AI199"/>
    <mergeCell ref="AX199:BB199"/>
    <mergeCell ref="BC199:BG199"/>
    <mergeCell ref="A196:BL196"/>
    <mergeCell ref="A197:F199"/>
    <mergeCell ref="G197:P199"/>
    <mergeCell ref="Q197:AN197"/>
    <mergeCell ref="AO197:BL197"/>
    <mergeCell ref="Q198:U199"/>
    <mergeCell ref="V198:Y199"/>
    <mergeCell ref="Z198:AI198"/>
    <mergeCell ref="AJ198:AN199"/>
    <mergeCell ref="AO198:AS199"/>
    <mergeCell ref="AJ201:AN201"/>
    <mergeCell ref="AO201:AS201"/>
    <mergeCell ref="AT201:AW201"/>
    <mergeCell ref="AX201:BB201"/>
    <mergeCell ref="BC201:BG201"/>
    <mergeCell ref="BH201:BL201"/>
    <mergeCell ref="A201:F201"/>
    <mergeCell ref="G201:P201"/>
    <mergeCell ref="Q201:U201"/>
    <mergeCell ref="V201:Y201"/>
    <mergeCell ref="Z201:AD201"/>
    <mergeCell ref="AE201:AI201"/>
    <mergeCell ref="AJ200:AN200"/>
    <mergeCell ref="AO200:AS200"/>
    <mergeCell ref="AT200:AW200"/>
    <mergeCell ref="AX200:BB200"/>
    <mergeCell ref="BC200:BG200"/>
    <mergeCell ref="BH200:BL200"/>
    <mergeCell ref="A200:F200"/>
    <mergeCell ref="G200:P200"/>
    <mergeCell ref="Q200:U200"/>
    <mergeCell ref="V200:Y200"/>
    <mergeCell ref="Z200:AD200"/>
    <mergeCell ref="AE200:AI200"/>
    <mergeCell ref="Z207:AD208"/>
    <mergeCell ref="AE207:AJ208"/>
    <mergeCell ref="AK207:AP208"/>
    <mergeCell ref="AQ207:AV208"/>
    <mergeCell ref="AW207:BD208"/>
    <mergeCell ref="AJ202:AN202"/>
    <mergeCell ref="AO202:AS202"/>
    <mergeCell ref="AT202:AW202"/>
    <mergeCell ref="AX202:BB202"/>
    <mergeCell ref="BC202:BG202"/>
    <mergeCell ref="BH202:BL202"/>
    <mergeCell ref="A202:F202"/>
    <mergeCell ref="G202:P202"/>
    <mergeCell ref="Q202:U202"/>
    <mergeCell ref="V202:Y202"/>
    <mergeCell ref="Z202:AD202"/>
    <mergeCell ref="AE202:AI202"/>
    <mergeCell ref="A217:BL217"/>
    <mergeCell ref="A218:BL218"/>
    <mergeCell ref="A212:F212"/>
    <mergeCell ref="G212:S212"/>
    <mergeCell ref="T212:Y212"/>
    <mergeCell ref="Z212:AD212"/>
    <mergeCell ref="AQ210:AV210"/>
    <mergeCell ref="AW210:BD210"/>
    <mergeCell ref="BE210:BL210"/>
    <mergeCell ref="A211:F211"/>
    <mergeCell ref="G211:S211"/>
    <mergeCell ref="T211:Y211"/>
    <mergeCell ref="Z211:AD211"/>
    <mergeCell ref="AE211:AJ211"/>
    <mergeCell ref="AK211:AP211"/>
    <mergeCell ref="AQ211:AV211"/>
    <mergeCell ref="A210:F210"/>
    <mergeCell ref="G210:S210"/>
    <mergeCell ref="T210:Y210"/>
    <mergeCell ref="Z210:AD210"/>
    <mergeCell ref="AE210:AJ210"/>
    <mergeCell ref="AK210:AP210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23:AA223"/>
    <mergeCell ref="AH223:AP223"/>
    <mergeCell ref="AU223:BF223"/>
    <mergeCell ref="AH224:AP224"/>
    <mergeCell ref="AU224:BF224"/>
    <mergeCell ref="A31:D31"/>
    <mergeCell ref="E31:T31"/>
    <mergeCell ref="U31:Y31"/>
    <mergeCell ref="Z31:AD31"/>
    <mergeCell ref="AE31:AH31"/>
    <mergeCell ref="A219:BL219"/>
    <mergeCell ref="A220:AA220"/>
    <mergeCell ref="AH220:AP220"/>
    <mergeCell ref="AU220:BF220"/>
    <mergeCell ref="AH221:AP221"/>
    <mergeCell ref="AU221:BF221"/>
    <mergeCell ref="AW211:BD211"/>
    <mergeCell ref="BE211:BL211"/>
    <mergeCell ref="A214:BL214"/>
    <mergeCell ref="A215:BL215"/>
    <mergeCell ref="A67:D67"/>
    <mergeCell ref="E67:W67"/>
    <mergeCell ref="X67:AB67"/>
    <mergeCell ref="AC67:AG67"/>
    <mergeCell ref="AH67:AL67"/>
    <mergeCell ref="AM67:AQ67"/>
    <mergeCell ref="AR67:AV67"/>
    <mergeCell ref="BU50:BY50"/>
    <mergeCell ref="AS50:AW50"/>
    <mergeCell ref="AX50:BA50"/>
    <mergeCell ref="BB50:BF50"/>
    <mergeCell ref="BG50:BK50"/>
    <mergeCell ref="BL50:BP50"/>
    <mergeCell ref="BQ50:BT50"/>
    <mergeCell ref="A50:D50"/>
    <mergeCell ref="E50:T50"/>
    <mergeCell ref="U50:Y50"/>
    <mergeCell ref="Z50:AD50"/>
    <mergeCell ref="AE50:AH50"/>
    <mergeCell ref="AI50:AM50"/>
    <mergeCell ref="AN50:AR50"/>
    <mergeCell ref="AR66:AV66"/>
    <mergeCell ref="AW66:BA66"/>
    <mergeCell ref="BB66:BF66"/>
    <mergeCell ref="BG66:BK66"/>
    <mergeCell ref="AH63:AL63"/>
    <mergeCell ref="AM63:AQ63"/>
    <mergeCell ref="AR63:AV63"/>
    <mergeCell ref="AW63:BA63"/>
    <mergeCell ref="BB63:BF63"/>
    <mergeCell ref="BG63:BK63"/>
    <mergeCell ref="BQ58:BT58"/>
    <mergeCell ref="BD94:BH94"/>
    <mergeCell ref="A94:C94"/>
    <mergeCell ref="D94:T94"/>
    <mergeCell ref="U94:Y94"/>
    <mergeCell ref="Z94:AD94"/>
    <mergeCell ref="AE94:AI94"/>
    <mergeCell ref="BU85:BY85"/>
    <mergeCell ref="AS85:AW85"/>
    <mergeCell ref="AX85:BA85"/>
    <mergeCell ref="BB85:BF85"/>
    <mergeCell ref="BG85:BK85"/>
    <mergeCell ref="BL85:BP85"/>
    <mergeCell ref="BQ85:BT85"/>
    <mergeCell ref="A85:C85"/>
    <mergeCell ref="D85:T85"/>
    <mergeCell ref="U85:Y85"/>
    <mergeCell ref="Z85:AD85"/>
    <mergeCell ref="AE85:AH85"/>
    <mergeCell ref="AI85:AM85"/>
    <mergeCell ref="AN85:AR85"/>
    <mergeCell ref="AO92:AS92"/>
    <mergeCell ref="AT92:AX92"/>
    <mergeCell ref="AY92:BC92"/>
    <mergeCell ref="BD92:BH92"/>
    <mergeCell ref="AO91:AS91"/>
    <mergeCell ref="AT91:AX91"/>
    <mergeCell ref="AY91:BC91"/>
    <mergeCell ref="BD91:BH91"/>
    <mergeCell ref="A92:C92"/>
    <mergeCell ref="D92:T92"/>
    <mergeCell ref="U92:Y92"/>
    <mergeCell ref="Z92:AD92"/>
    <mergeCell ref="BE103:BI103"/>
    <mergeCell ref="BJ103:BN103"/>
    <mergeCell ref="BO103:BS103"/>
    <mergeCell ref="BT103:BX103"/>
    <mergeCell ref="A104:C104"/>
    <mergeCell ref="D104:P104"/>
    <mergeCell ref="Q104:U104"/>
    <mergeCell ref="V104:AE104"/>
    <mergeCell ref="AF104:AJ104"/>
    <mergeCell ref="AK104:AO104"/>
    <mergeCell ref="A103:C103"/>
    <mergeCell ref="D103:P103"/>
    <mergeCell ref="Q103:U103"/>
    <mergeCell ref="V103:AE103"/>
    <mergeCell ref="AF103:AJ103"/>
    <mergeCell ref="AK103:AO103"/>
    <mergeCell ref="AP103:AT103"/>
    <mergeCell ref="AU103:AY103"/>
    <mergeCell ref="AZ103:BD103"/>
    <mergeCell ref="BE105:BI105"/>
    <mergeCell ref="BJ105:BN105"/>
    <mergeCell ref="BO105:BS105"/>
    <mergeCell ref="BT105:BX105"/>
    <mergeCell ref="A106:C106"/>
    <mergeCell ref="D106:P106"/>
    <mergeCell ref="Q106:U106"/>
    <mergeCell ref="V106:AE106"/>
    <mergeCell ref="AF106:AJ106"/>
    <mergeCell ref="AK106:AO106"/>
    <mergeCell ref="BT104:BX104"/>
    <mergeCell ref="A105:C105"/>
    <mergeCell ref="D105:P105"/>
    <mergeCell ref="Q105:U105"/>
    <mergeCell ref="V105:AE105"/>
    <mergeCell ref="AF105:AJ105"/>
    <mergeCell ref="AK105:AO105"/>
    <mergeCell ref="AP105:AT105"/>
    <mergeCell ref="AU105:AY105"/>
    <mergeCell ref="AZ105:BD105"/>
    <mergeCell ref="AP104:AT104"/>
    <mergeCell ref="AU104:AY104"/>
    <mergeCell ref="AZ104:BD104"/>
    <mergeCell ref="BE104:BI104"/>
    <mergeCell ref="BJ104:BN104"/>
    <mergeCell ref="BO104:BS104"/>
    <mergeCell ref="BE107:BI107"/>
    <mergeCell ref="BJ107:BN107"/>
    <mergeCell ref="BO107:BS107"/>
    <mergeCell ref="BT107:BX107"/>
    <mergeCell ref="A108:C108"/>
    <mergeCell ref="D108:P108"/>
    <mergeCell ref="Q108:U108"/>
    <mergeCell ref="V108:AE108"/>
    <mergeCell ref="AF108:AJ108"/>
    <mergeCell ref="AK108:AO108"/>
    <mergeCell ref="BT106:BX106"/>
    <mergeCell ref="A107:C107"/>
    <mergeCell ref="D107:P107"/>
    <mergeCell ref="Q107:U107"/>
    <mergeCell ref="V107:AE107"/>
    <mergeCell ref="AF107:AJ107"/>
    <mergeCell ref="AK107:AO107"/>
    <mergeCell ref="AP107:AT107"/>
    <mergeCell ref="AU107:AY107"/>
    <mergeCell ref="AZ107:BD107"/>
    <mergeCell ref="AP106:AT106"/>
    <mergeCell ref="AU106:AY106"/>
    <mergeCell ref="AZ106:BD106"/>
    <mergeCell ref="BE106:BI106"/>
    <mergeCell ref="BJ106:BN106"/>
    <mergeCell ref="BO106:BS106"/>
    <mergeCell ref="BE109:BI109"/>
    <mergeCell ref="BJ109:BN109"/>
    <mergeCell ref="BO109:BS109"/>
    <mergeCell ref="BT109:BX109"/>
    <mergeCell ref="A110:C110"/>
    <mergeCell ref="D110:P110"/>
    <mergeCell ref="Q110:U110"/>
    <mergeCell ref="V110:AE110"/>
    <mergeCell ref="AF110:AJ110"/>
    <mergeCell ref="AK110:AO110"/>
    <mergeCell ref="BT108:BX108"/>
    <mergeCell ref="A109:C109"/>
    <mergeCell ref="D109:P109"/>
    <mergeCell ref="Q109:U109"/>
    <mergeCell ref="V109:AE109"/>
    <mergeCell ref="AF109:AJ109"/>
    <mergeCell ref="AK109:AO109"/>
    <mergeCell ref="AP109:AT109"/>
    <mergeCell ref="AU109:AY109"/>
    <mergeCell ref="AZ109:BD109"/>
    <mergeCell ref="AP108:AT108"/>
    <mergeCell ref="AU108:AY108"/>
    <mergeCell ref="AZ108:BD108"/>
    <mergeCell ref="BE108:BI108"/>
    <mergeCell ref="BJ108:BN108"/>
    <mergeCell ref="BO108:BS108"/>
    <mergeCell ref="BE111:BI111"/>
    <mergeCell ref="BJ111:BN111"/>
    <mergeCell ref="BO111:BS111"/>
    <mergeCell ref="BT111:BX111"/>
    <mergeCell ref="A112:C112"/>
    <mergeCell ref="D112:P112"/>
    <mergeCell ref="Q112:U112"/>
    <mergeCell ref="V112:AE112"/>
    <mergeCell ref="AF112:AJ112"/>
    <mergeCell ref="AK112:AO112"/>
    <mergeCell ref="BT110:BX110"/>
    <mergeCell ref="A111:C111"/>
    <mergeCell ref="D111:P111"/>
    <mergeCell ref="Q111:U111"/>
    <mergeCell ref="V111:AE111"/>
    <mergeCell ref="AF111:AJ111"/>
    <mergeCell ref="AK111:AO111"/>
    <mergeCell ref="AP111:AT111"/>
    <mergeCell ref="AU111:AY111"/>
    <mergeCell ref="AZ111:BD111"/>
    <mergeCell ref="AP110:AT110"/>
    <mergeCell ref="AU110:AY110"/>
    <mergeCell ref="AZ110:BD110"/>
    <mergeCell ref="BE110:BI110"/>
    <mergeCell ref="BJ110:BN110"/>
    <mergeCell ref="BO110:BS110"/>
    <mergeCell ref="BE113:BI113"/>
    <mergeCell ref="BJ113:BN113"/>
    <mergeCell ref="BO113:BS113"/>
    <mergeCell ref="BT113:BX113"/>
    <mergeCell ref="A114:C114"/>
    <mergeCell ref="D114:P114"/>
    <mergeCell ref="Q114:U114"/>
    <mergeCell ref="V114:AE114"/>
    <mergeCell ref="AF114:AJ114"/>
    <mergeCell ref="AK114:AO114"/>
    <mergeCell ref="BT112:BX112"/>
    <mergeCell ref="A113:C113"/>
    <mergeCell ref="D113:P113"/>
    <mergeCell ref="Q113:U113"/>
    <mergeCell ref="V113:AE113"/>
    <mergeCell ref="AF113:AJ113"/>
    <mergeCell ref="AK113:AO113"/>
    <mergeCell ref="AP113:AT113"/>
    <mergeCell ref="AU113:AY113"/>
    <mergeCell ref="AZ113:BD113"/>
    <mergeCell ref="AP112:AT112"/>
    <mergeCell ref="AU112:AY112"/>
    <mergeCell ref="AZ112:BD112"/>
    <mergeCell ref="BE112:BI112"/>
    <mergeCell ref="BJ112:BN112"/>
    <mergeCell ref="BO112:BS112"/>
    <mergeCell ref="BE115:BI115"/>
    <mergeCell ref="BJ115:BN115"/>
    <mergeCell ref="BO115:BS115"/>
    <mergeCell ref="BT115:BX115"/>
    <mergeCell ref="BT114:BX114"/>
    <mergeCell ref="A115:C115"/>
    <mergeCell ref="D115:P115"/>
    <mergeCell ref="Q115:U115"/>
    <mergeCell ref="V115:AE115"/>
    <mergeCell ref="AF115:AJ115"/>
    <mergeCell ref="AK115:AO115"/>
    <mergeCell ref="AP115:AT115"/>
    <mergeCell ref="AU115:AY115"/>
    <mergeCell ref="AZ115:BD115"/>
    <mergeCell ref="AP114:AT114"/>
    <mergeCell ref="AU114:AY114"/>
    <mergeCell ref="AZ114:BD114"/>
    <mergeCell ref="BE114:BI114"/>
    <mergeCell ref="BJ114:BN114"/>
    <mergeCell ref="BO114:BS114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V124:AE124"/>
    <mergeCell ref="AF124:AJ124"/>
    <mergeCell ref="AK124:AO124"/>
    <mergeCell ref="AP124:AT124"/>
    <mergeCell ref="AU124:AY124"/>
    <mergeCell ref="AZ124:BD124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BE126:BI126"/>
    <mergeCell ref="A127:C127"/>
    <mergeCell ref="D127:P127"/>
    <mergeCell ref="Q127:U127"/>
    <mergeCell ref="V127:AE127"/>
    <mergeCell ref="AF127:AJ127"/>
    <mergeCell ref="AK127:AO127"/>
    <mergeCell ref="AP127:AT127"/>
    <mergeCell ref="AU127:AY127"/>
    <mergeCell ref="AZ127:BD127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28:BI128"/>
    <mergeCell ref="A129:C129"/>
    <mergeCell ref="D129:P129"/>
    <mergeCell ref="Q129:U129"/>
    <mergeCell ref="V129:AE129"/>
    <mergeCell ref="AF129:AJ129"/>
    <mergeCell ref="AK129:AO129"/>
    <mergeCell ref="AP129:AT129"/>
    <mergeCell ref="AU129:AY129"/>
    <mergeCell ref="AZ129:BD129"/>
    <mergeCell ref="BE127:BI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BE130:BI130"/>
    <mergeCell ref="A131:C131"/>
    <mergeCell ref="D131:P131"/>
    <mergeCell ref="Q131:U131"/>
    <mergeCell ref="V131:AE131"/>
    <mergeCell ref="AF131:AJ131"/>
    <mergeCell ref="AK131:AO131"/>
    <mergeCell ref="AP131:AT131"/>
    <mergeCell ref="AU131:AY131"/>
    <mergeCell ref="AZ131:BD131"/>
    <mergeCell ref="BE129:BI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BE132:BI132"/>
    <mergeCell ref="A133:C133"/>
    <mergeCell ref="D133:P133"/>
    <mergeCell ref="Q133:U133"/>
    <mergeCell ref="V133:AE133"/>
    <mergeCell ref="AF133:AJ133"/>
    <mergeCell ref="AK133:AO133"/>
    <mergeCell ref="AP133:AT133"/>
    <mergeCell ref="AU133:AY133"/>
    <mergeCell ref="AZ133:BD133"/>
    <mergeCell ref="BE131:BI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BE135:BI135"/>
    <mergeCell ref="BE134:BI134"/>
    <mergeCell ref="A135:C135"/>
    <mergeCell ref="D135:P135"/>
    <mergeCell ref="Q135:U135"/>
    <mergeCell ref="V135:AE135"/>
    <mergeCell ref="AF135:AJ135"/>
    <mergeCell ref="AK135:AO135"/>
    <mergeCell ref="AP135:AT135"/>
    <mergeCell ref="AU135:AY135"/>
    <mergeCell ref="AZ135:BD135"/>
    <mergeCell ref="BE133:BI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AX153:AZ153"/>
    <mergeCell ref="BA153:BC153"/>
    <mergeCell ref="BD153:BF153"/>
    <mergeCell ref="BG153:BI153"/>
    <mergeCell ref="BJ153:BL153"/>
    <mergeCell ref="A153:C153"/>
    <mergeCell ref="D153:V153"/>
    <mergeCell ref="W153:Y153"/>
    <mergeCell ref="Z153:AB153"/>
    <mergeCell ref="AC153:AE153"/>
    <mergeCell ref="AF153:AH153"/>
    <mergeCell ref="AI153:AK153"/>
    <mergeCell ref="A144:T144"/>
    <mergeCell ref="U144:Y144"/>
    <mergeCell ref="Z144:AD144"/>
    <mergeCell ref="AE144:AI144"/>
    <mergeCell ref="AJ144:AN144"/>
    <mergeCell ref="AO144:AS144"/>
    <mergeCell ref="AT144:AX144"/>
    <mergeCell ref="AY144:BC144"/>
    <mergeCell ref="BD144:BH144"/>
    <mergeCell ref="BA151:BC151"/>
    <mergeCell ref="BD151:BF151"/>
    <mergeCell ref="BG151:BI151"/>
    <mergeCell ref="BJ151:BL151"/>
    <mergeCell ref="AI151:AK151"/>
    <mergeCell ref="AL151:AN151"/>
    <mergeCell ref="AO151:AQ151"/>
    <mergeCell ref="AR151:AT151"/>
    <mergeCell ref="AU151:AW151"/>
    <mergeCell ref="AX151:AZ151"/>
    <mergeCell ref="BA150:BC150"/>
    <mergeCell ref="AE193:AJ193"/>
    <mergeCell ref="AK193:AP193"/>
    <mergeCell ref="AQ193:AV193"/>
    <mergeCell ref="AW193:BA193"/>
    <mergeCell ref="BB193:BF193"/>
    <mergeCell ref="BG193:BL193"/>
    <mergeCell ref="AU172:AY172"/>
    <mergeCell ref="AZ172:BD172"/>
    <mergeCell ref="A172:F172"/>
    <mergeCell ref="G172:S172"/>
    <mergeCell ref="T172:Z172"/>
    <mergeCell ref="AA172:AE172"/>
    <mergeCell ref="AF172:AJ172"/>
    <mergeCell ref="AK172:AO172"/>
    <mergeCell ref="AP172:AT172"/>
    <mergeCell ref="BO163:BS163"/>
    <mergeCell ref="AK163:AO163"/>
    <mergeCell ref="AP163:AT163"/>
    <mergeCell ref="AU163:AY163"/>
    <mergeCell ref="AZ163:BD163"/>
    <mergeCell ref="BE163:BI163"/>
    <mergeCell ref="BJ163:BN163"/>
    <mergeCell ref="A163:F163"/>
    <mergeCell ref="G163:S163"/>
    <mergeCell ref="T163:Z163"/>
    <mergeCell ref="AA163:AE163"/>
    <mergeCell ref="AF163:AJ163"/>
    <mergeCell ref="AK192:AP192"/>
    <mergeCell ref="AQ192:AV192"/>
    <mergeCell ref="AW192:BA192"/>
    <mergeCell ref="BB192:BF192"/>
    <mergeCell ref="BG192:BL192"/>
    <mergeCell ref="AE212:AJ212"/>
    <mergeCell ref="AK212:AP212"/>
    <mergeCell ref="AQ212:AV212"/>
    <mergeCell ref="AW212:BD212"/>
    <mergeCell ref="BE212:BL212"/>
    <mergeCell ref="AJ203:AN203"/>
    <mergeCell ref="AO203:AS203"/>
    <mergeCell ref="AT203:AW203"/>
    <mergeCell ref="AX203:BB203"/>
    <mergeCell ref="BC203:BG203"/>
    <mergeCell ref="BH203:BL203"/>
    <mergeCell ref="A203:F203"/>
    <mergeCell ref="G203:P203"/>
    <mergeCell ref="Q203:U203"/>
    <mergeCell ref="V203:Y203"/>
    <mergeCell ref="Z203:AD203"/>
    <mergeCell ref="AE203:AI203"/>
    <mergeCell ref="BE207:BL208"/>
    <mergeCell ref="A209:F209"/>
    <mergeCell ref="G209:S209"/>
    <mergeCell ref="T209:Y209"/>
    <mergeCell ref="Z209:AD209"/>
    <mergeCell ref="AE209:AJ209"/>
    <mergeCell ref="AK209:AP209"/>
    <mergeCell ref="AQ209:AV209"/>
    <mergeCell ref="AW209:BD209"/>
    <mergeCell ref="BE209:BL209"/>
    <mergeCell ref="A205:BL205"/>
    <mergeCell ref="A206:BL206"/>
    <mergeCell ref="A207:F208"/>
    <mergeCell ref="G207:S208"/>
    <mergeCell ref="T207:Y208"/>
  </mergeCells>
  <conditionalFormatting sqref="A84 A152 A93">
    <cfRule type="cellIs" dxfId="58" priority="63" stopIfTrue="1" operator="equal">
      <formula>A83</formula>
    </cfRule>
  </conditionalFormatting>
  <conditionalFormatting sqref="A102:C102 A122:C122">
    <cfRule type="cellIs" dxfId="57" priority="64" stopIfTrue="1" operator="equal">
      <formula>A101</formula>
    </cfRule>
    <cfRule type="cellIs" dxfId="56" priority="65" stopIfTrue="1" operator="equal">
      <formula>0</formula>
    </cfRule>
  </conditionalFormatting>
  <conditionalFormatting sqref="A85">
    <cfRule type="cellIs" dxfId="55" priority="62" stopIfTrue="1" operator="equal">
      <formula>A84</formula>
    </cfRule>
  </conditionalFormatting>
  <conditionalFormatting sqref="A94">
    <cfRule type="cellIs" dxfId="53" priority="60" stopIfTrue="1" operator="equal">
      <formula>A93</formula>
    </cfRule>
  </conditionalFormatting>
  <conditionalFormatting sqref="A153">
    <cfRule type="cellIs" dxfId="52" priority="2" stopIfTrue="1" operator="equal">
      <formula>A152</formula>
    </cfRule>
  </conditionalFormatting>
  <conditionalFormatting sqref="A103:C103">
    <cfRule type="cellIs" dxfId="51" priority="57" stopIfTrue="1" operator="equal">
      <formula>A102</formula>
    </cfRule>
    <cfRule type="cellIs" dxfId="50" priority="58" stopIfTrue="1" operator="equal">
      <formula>0</formula>
    </cfRule>
  </conditionalFormatting>
  <conditionalFormatting sqref="A104:C104">
    <cfRule type="cellIs" dxfId="49" priority="55" stopIfTrue="1" operator="equal">
      <formula>A103</formula>
    </cfRule>
    <cfRule type="cellIs" dxfId="48" priority="56" stopIfTrue="1" operator="equal">
      <formula>0</formula>
    </cfRule>
  </conditionalFormatting>
  <conditionalFormatting sqref="A105:C105">
    <cfRule type="cellIs" dxfId="47" priority="53" stopIfTrue="1" operator="equal">
      <formula>A104</formula>
    </cfRule>
    <cfRule type="cellIs" dxfId="46" priority="54" stopIfTrue="1" operator="equal">
      <formula>0</formula>
    </cfRule>
  </conditionalFormatting>
  <conditionalFormatting sqref="A106:C106">
    <cfRule type="cellIs" dxfId="45" priority="51" stopIfTrue="1" operator="equal">
      <formula>A105</formula>
    </cfRule>
    <cfRule type="cellIs" dxfId="44" priority="52" stopIfTrue="1" operator="equal">
      <formula>0</formula>
    </cfRule>
  </conditionalFormatting>
  <conditionalFormatting sqref="A107:C107">
    <cfRule type="cellIs" dxfId="43" priority="49" stopIfTrue="1" operator="equal">
      <formula>A106</formula>
    </cfRule>
    <cfRule type="cellIs" dxfId="42" priority="50" stopIfTrue="1" operator="equal">
      <formula>0</formula>
    </cfRule>
  </conditionalFormatting>
  <conditionalFormatting sqref="A108:C108">
    <cfRule type="cellIs" dxfId="41" priority="47" stopIfTrue="1" operator="equal">
      <formula>A107</formula>
    </cfRule>
    <cfRule type="cellIs" dxfId="40" priority="48" stopIfTrue="1" operator="equal">
      <formula>0</formula>
    </cfRule>
  </conditionalFormatting>
  <conditionalFormatting sqref="A109:C109">
    <cfRule type="cellIs" dxfId="39" priority="45" stopIfTrue="1" operator="equal">
      <formula>A108</formula>
    </cfRule>
    <cfRule type="cellIs" dxfId="38" priority="46" stopIfTrue="1" operator="equal">
      <formula>0</formula>
    </cfRule>
  </conditionalFormatting>
  <conditionalFormatting sqref="A110:C110">
    <cfRule type="cellIs" dxfId="37" priority="43" stopIfTrue="1" operator="equal">
      <formula>A109</formula>
    </cfRule>
    <cfRule type="cellIs" dxfId="36" priority="44" stopIfTrue="1" operator="equal">
      <formula>0</formula>
    </cfRule>
  </conditionalFormatting>
  <conditionalFormatting sqref="A111:C111">
    <cfRule type="cellIs" dxfId="35" priority="41" stopIfTrue="1" operator="equal">
      <formula>A110</formula>
    </cfRule>
    <cfRule type="cellIs" dxfId="34" priority="42" stopIfTrue="1" operator="equal">
      <formula>0</formula>
    </cfRule>
  </conditionalFormatting>
  <conditionalFormatting sqref="A112:C112">
    <cfRule type="cellIs" dxfId="33" priority="39" stopIfTrue="1" operator="equal">
      <formula>A111</formula>
    </cfRule>
    <cfRule type="cellIs" dxfId="32" priority="40" stopIfTrue="1" operator="equal">
      <formula>0</formula>
    </cfRule>
  </conditionalFormatting>
  <conditionalFormatting sqref="A113:C113">
    <cfRule type="cellIs" dxfId="31" priority="37" stopIfTrue="1" operator="equal">
      <formula>A112</formula>
    </cfRule>
    <cfRule type="cellIs" dxfId="30" priority="38" stopIfTrue="1" operator="equal">
      <formula>0</formula>
    </cfRule>
  </conditionalFormatting>
  <conditionalFormatting sqref="A114:C114">
    <cfRule type="cellIs" dxfId="29" priority="35" stopIfTrue="1" operator="equal">
      <formula>A113</formula>
    </cfRule>
    <cfRule type="cellIs" dxfId="28" priority="36" stopIfTrue="1" operator="equal">
      <formula>0</formula>
    </cfRule>
  </conditionalFormatting>
  <conditionalFormatting sqref="A115:C115">
    <cfRule type="cellIs" dxfId="27" priority="33" stopIfTrue="1" operator="equal">
      <formula>A114</formula>
    </cfRule>
    <cfRule type="cellIs" dxfId="26" priority="34" stopIfTrue="1" operator="equal">
      <formula>0</formula>
    </cfRule>
  </conditionalFormatting>
  <conditionalFormatting sqref="A123:C123">
    <cfRule type="cellIs" dxfId="25" priority="29" stopIfTrue="1" operator="equal">
      <formula>A122</formula>
    </cfRule>
    <cfRule type="cellIs" dxfId="24" priority="30" stopIfTrue="1" operator="equal">
      <formula>0</formula>
    </cfRule>
  </conditionalFormatting>
  <conditionalFormatting sqref="A124:C124">
    <cfRule type="cellIs" dxfId="23" priority="27" stopIfTrue="1" operator="equal">
      <formula>A123</formula>
    </cfRule>
    <cfRule type="cellIs" dxfId="22" priority="28" stopIfTrue="1" operator="equal">
      <formula>0</formula>
    </cfRule>
  </conditionalFormatting>
  <conditionalFormatting sqref="A125:C125">
    <cfRule type="cellIs" dxfId="21" priority="25" stopIfTrue="1" operator="equal">
      <formula>A124</formula>
    </cfRule>
    <cfRule type="cellIs" dxfId="20" priority="26" stopIfTrue="1" operator="equal">
      <formula>0</formula>
    </cfRule>
  </conditionalFormatting>
  <conditionalFormatting sqref="A126:C126">
    <cfRule type="cellIs" dxfId="19" priority="23" stopIfTrue="1" operator="equal">
      <formula>A125</formula>
    </cfRule>
    <cfRule type="cellIs" dxfId="18" priority="24" stopIfTrue="1" operator="equal">
      <formula>0</formula>
    </cfRule>
  </conditionalFormatting>
  <conditionalFormatting sqref="A127:C127">
    <cfRule type="cellIs" dxfId="17" priority="21" stopIfTrue="1" operator="equal">
      <formula>A126</formula>
    </cfRule>
    <cfRule type="cellIs" dxfId="16" priority="22" stopIfTrue="1" operator="equal">
      <formula>0</formula>
    </cfRule>
  </conditionalFormatting>
  <conditionalFormatting sqref="A128:C128">
    <cfRule type="cellIs" dxfId="15" priority="19" stopIfTrue="1" operator="equal">
      <formula>A127</formula>
    </cfRule>
    <cfRule type="cellIs" dxfId="14" priority="20" stopIfTrue="1" operator="equal">
      <formula>0</formula>
    </cfRule>
  </conditionalFormatting>
  <conditionalFormatting sqref="A129:C129">
    <cfRule type="cellIs" dxfId="13" priority="17" stopIfTrue="1" operator="equal">
      <formula>A128</formula>
    </cfRule>
    <cfRule type="cellIs" dxfId="12" priority="18" stopIfTrue="1" operator="equal">
      <formula>0</formula>
    </cfRule>
  </conditionalFormatting>
  <conditionalFormatting sqref="A130:C130">
    <cfRule type="cellIs" dxfId="11" priority="15" stopIfTrue="1" operator="equal">
      <formula>A129</formula>
    </cfRule>
    <cfRule type="cellIs" dxfId="10" priority="16" stopIfTrue="1" operator="equal">
      <formula>0</formula>
    </cfRule>
  </conditionalFormatting>
  <conditionalFormatting sqref="A131:C131">
    <cfRule type="cellIs" dxfId="9" priority="13" stopIfTrue="1" operator="equal">
      <formula>A130</formula>
    </cfRule>
    <cfRule type="cellIs" dxfId="8" priority="14" stopIfTrue="1" operator="equal">
      <formula>0</formula>
    </cfRule>
  </conditionalFormatting>
  <conditionalFormatting sqref="A132:C132">
    <cfRule type="cellIs" dxfId="7" priority="11" stopIfTrue="1" operator="equal">
      <formula>A131</formula>
    </cfRule>
    <cfRule type="cellIs" dxfId="6" priority="12" stopIfTrue="1" operator="equal">
      <formula>0</formula>
    </cfRule>
  </conditionalFormatting>
  <conditionalFormatting sqref="A133:C133">
    <cfRule type="cellIs" dxfId="5" priority="9" stopIfTrue="1" operator="equal">
      <formula>A132</formula>
    </cfRule>
    <cfRule type="cellIs" dxfId="4" priority="10" stopIfTrue="1" operator="equal">
      <formula>0</formula>
    </cfRule>
  </conditionalFormatting>
  <conditionalFormatting sqref="A134:C134">
    <cfRule type="cellIs" dxfId="3" priority="7" stopIfTrue="1" operator="equal">
      <formula>A133</formula>
    </cfRule>
    <cfRule type="cellIs" dxfId="2" priority="8" stopIfTrue="1" operator="equal">
      <formula>0</formula>
    </cfRule>
  </conditionalFormatting>
  <conditionalFormatting sqref="A135:C135">
    <cfRule type="cellIs" dxfId="1" priority="5" stopIfTrue="1" operator="equal">
      <formula>A134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КПК0113160</vt:lpstr>
      <vt:lpstr>'Додаток2 КПК0113160'!Область_печати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2025-01-14T12:52:45Z</cp:lastPrinted>
  <dcterms:created xsi:type="dcterms:W3CDTF">2016-07-02T12:27:50Z</dcterms:created>
  <dcterms:modified xsi:type="dcterms:W3CDTF">2025-01-14T12:52:49Z</dcterms:modified>
</cp:coreProperties>
</file>