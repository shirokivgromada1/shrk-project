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477AEF8-A16F-4A74-A38D-85DC5E71A84C}" xr6:coauthVersionLast="46" xr6:coauthVersionMax="46" xr10:uidLastSave="{00000000-0000-0000-0000-000000000000}"/>
  <bookViews>
    <workbookView xWindow="-120" yWindow="-120" windowWidth="29040" windowHeight="15840" activeTab="1" xr2:uid="{3604A958-F406-4075-8E04-36DF27F82A4F}"/>
  </bookViews>
  <sheets>
    <sheet name="доходи" sheetId="1" r:id="rId1"/>
    <sheet name="видатки" sheetId="2" r:id="rId2"/>
  </sheets>
  <externalReferences>
    <externalReference r:id="rId3"/>
  </externalReferences>
  <definedNames>
    <definedName name="CREXPORT">#REF!</definedName>
    <definedName name="n" hidden="1">{#N/A,#N/A,FALSE,"Лист4"}</definedName>
    <definedName name="wrn.Інструкція." hidden="1">{#N/A,#N/A,FALSE,"Лист4"}</definedName>
    <definedName name="аа" hidden="1">{#N/A,#N/A,FALSE,"Лист4"}</definedName>
    <definedName name="аааа" hidden="1">{#N/A,#N/A,FALSE,"Лист4"}</definedName>
    <definedName name="ааааа" hidden="1">{#N/A,#N/A,FALSE,"Лист4"}</definedName>
    <definedName name="аааг" hidden="1">{#N/A,#N/A,FALSE,"Лист4"}</definedName>
    <definedName name="ааао" hidden="1">{#N/A,#N/A,FALSE,"Лист4"}</definedName>
    <definedName name="аааоркк" hidden="1">{#N/A,#N/A,FALSE,"Лист4"}</definedName>
    <definedName name="аарр" hidden="1">{#N/A,#N/A,FALSE,"Лист4"}</definedName>
    <definedName name="амп" hidden="1">{#N/A,#N/A,FALSE,"Лист4"}</definedName>
    <definedName name="ап" hidden="1">{#N/A,#N/A,FALSE,"Лист4"}</definedName>
    <definedName name="апро" hidden="1">{#N/A,#N/A,FALSE,"Лист4"}</definedName>
    <definedName name="аунуну" hidden="1">{#N/A,#N/A,FALSE,"Лист4"}</definedName>
    <definedName name="бб" hidden="1">{#N/A,#N/A,FALSE,"Лист4"}</definedName>
    <definedName name="вап" hidden="1">{#N/A,#N/A,FALSE,"Лист4"}</definedName>
    <definedName name="вапа" hidden="1">{#N/A,#N/A,FALSE,"Лист4"}</definedName>
    <definedName name="вапро" hidden="1">{#N/A,#N/A,FALSE,"Лист4"}</definedName>
    <definedName name="вау" hidden="1">{#N/A,#N/A,FALSE,"Лист4"}</definedName>
    <definedName name="вв" hidden="1">{#N/A,#N/A,FALSE,"Лист4"}</definedName>
    <definedName name="вмр" hidden="1">{#N/A,#N/A,FALSE,"Лист4"}</definedName>
    <definedName name="вруу" hidden="1">{#N/A,#N/A,FALSE,"Лист4"}</definedName>
    <definedName name="врууунуууу" hidden="1">{#N/A,#N/A,FALSE,"Лист4"}</definedName>
    <definedName name="гг" hidden="1">{#N/A,#N/A,FALSE,"Лист4"}</definedName>
    <definedName name="ггг" hidden="1">{#N/A,#N/A,FALSE,"Лист4"}</definedName>
    <definedName name="гго" hidden="1">{#N/A,#N/A,FALSE,"Лист4"}</definedName>
    <definedName name="ггшшз" hidden="1">{#N/A,#N/A,FALSE,"Лист4"}</definedName>
    <definedName name="гр" hidden="1">{#N/A,#N/A,FALSE,"Лист4"}</definedName>
    <definedName name="ддд" hidden="1">{#N/A,#N/A,FALSE,"Лист4"}</definedName>
    <definedName name="е" hidden="1">{#N/A,#N/A,FALSE,"Лист4"}</definedName>
    <definedName name="ее" hidden="1">{#N/A,#N/A,FALSE,"Лист4"}</definedName>
    <definedName name="ееге" hidden="1">{#N/A,#N/A,FALSE,"Лист4"}</definedName>
    <definedName name="еегше" hidden="1">{#N/A,#N/A,FALSE,"Лист4"}</definedName>
    <definedName name="еее" hidden="1">{#N/A,#N/A,FALSE,"Лист4"}</definedName>
    <definedName name="ееее" hidden="1">{#N/A,#N/A,FALSE,"Лист4"}</definedName>
    <definedName name="ееекк" hidden="1">{#N/A,#N/A,FALSE,"Лист4"}</definedName>
    <definedName name="еепке" hidden="1">{#N/A,#N/A,FALSE,"Лист4"}</definedName>
    <definedName name="еешгег" hidden="1">{#N/A,#N/A,FALSE,"Лист4"}</definedName>
    <definedName name="екуц" hidden="1">{#N/A,#N/A,FALSE,"Лист4"}</definedName>
    <definedName name="енг" hidden="1">{#N/A,#N/A,FALSE,"Лист4"}</definedName>
    <definedName name="епи" hidden="1">{#N/A,#N/A,FALSE,"Лист4"}</definedName>
    <definedName name="ешгееуу" hidden="1">{#N/A,#N/A,FALSE,"Лист4"}</definedName>
    <definedName name="є" hidden="1">{#N/A,#N/A,FALSE,"Лист4"}</definedName>
    <definedName name="єєє" hidden="1">{#N/A,#N/A,FALSE,"Лист4"}</definedName>
    <definedName name="єєєєєє" hidden="1">{#N/A,#N/A,FALSE,"Лист4"}</definedName>
    <definedName name="єєєєєєє" hidden="1">{#N/A,#N/A,FALSE,"Лист4"}</definedName>
    <definedName name="єєєєєєє." hidden="1">{#N/A,#N/A,FALSE,"Лист4"}</definedName>
    <definedName name="єж" hidden="1">{#N/A,#N/A,FALSE,"Лист4"}</definedName>
    <definedName name="жж" hidden="1">{#N/A,#N/A,FALSE,"Лист4"}</definedName>
    <definedName name="житлове" hidden="1">{#N/A,#N/A,FALSE,"Лист4"}</definedName>
    <definedName name="_xlnm.Print_Titles" localSheetId="1">видатки!$7:$8</definedName>
    <definedName name="_xlnm.Print_Titles" localSheetId="0">доходи!$A:$B</definedName>
    <definedName name="здоровя" hidden="1">{#N/A,#N/A,FALSE,"Лист4"}</definedName>
    <definedName name="зз" hidden="1">{#N/A,#N/A,FALSE,"Лист4"}</definedName>
    <definedName name="ззз" hidden="1">{#N/A,#N/A,FALSE,"Лист4"}</definedName>
    <definedName name="зззз" hidden="1">{#N/A,#N/A,FALSE,"Лист4"}</definedName>
    <definedName name="ип" hidden="1">{#N/A,#N/A,FALSE,"Лист4"}</definedName>
    <definedName name="ить" hidden="1">{#N/A,#N/A,FALSE,"Лист4"}</definedName>
    <definedName name="іваа" hidden="1">{#N/A,#N/A,FALSE,"Лист4"}</definedName>
    <definedName name="івап" hidden="1">{#N/A,#N/A,FALSE,"Лист4"}</definedName>
    <definedName name="івпа" hidden="1">{#N/A,#N/A,FALSE,"Лист4"}</definedName>
    <definedName name="іі" hidden="1">{#N/A,#N/A,FALSE,"Лист4"}</definedName>
    <definedName name="ііі" hidden="1">{#N/A,#N/A,FALSE,"Лист4"}</definedName>
    <definedName name="іііі" hidden="1">{#N/A,#N/A,FALSE,"Лист4"}</definedName>
    <definedName name="ін" hidden="1">{#N/A,#N/A,FALSE,"Лист4"}</definedName>
    <definedName name="інші" hidden="1">{#N/A,#N/A,FALSE,"Лист4"}</definedName>
    <definedName name="іук" hidden="1">{#N/A,#N/A,FALSE,"Лист4"}</definedName>
    <definedName name="їжд" hidden="1">{#N/A,#N/A,FALSE,"Лист4"}</definedName>
    <definedName name="ййй" hidden="1">{#N/A,#N/A,FALSE,"Лист4"}</definedName>
    <definedName name="йййй" hidden="1">{#N/A,#N/A,FALSE,"Лист4"}</definedName>
    <definedName name="кгккг" hidden="1">{#N/A,#N/A,FALSE,"Лист4"}</definedName>
    <definedName name="кгкккк" hidden="1">{#N/A,#N/A,FALSE,"Лист4"}</definedName>
    <definedName name="кеуц" hidden="1">{#N/A,#N/A,FALSE,"Лист4"}</definedName>
    <definedName name="кк" hidden="1">{#N/A,#N/A,FALSE,"Лист4"}</definedName>
    <definedName name="ккгкг" hidden="1">{#N/A,#N/A,FALSE,"Лист4"}</definedName>
    <definedName name="ккк" hidden="1">{#N/A,#N/A,FALSE,"Лист4"}</definedName>
    <definedName name="кккну" hidden="1">{#N/A,#N/A,FALSE,"Лист4"}</definedName>
    <definedName name="кккокк" hidden="1">{#N/A,#N/A,FALSE,"Лист4"}</definedName>
    <definedName name="комунальне" hidden="1">{#N/A,#N/A,FALSE,"Лист4"}</definedName>
    <definedName name="кот" hidden="1">{#N/A,#N/A,FALSE,"Лист4"}</definedName>
    <definedName name="кр" hidden="1">{#N/A,#N/A,FALSE,"Лист4"}</definedName>
    <definedName name="культура" hidden="1">{#N/A,#N/A,FALSE,"Лист4"}</definedName>
    <definedName name="л" hidden="1">{#N/A,#N/A,FALSE,"Лист4"}</definedName>
    <definedName name="лд" hidden="1">{#N/A,#N/A,FALSE,"Лист4"}</definedName>
    <definedName name="лл" hidden="1">{#N/A,#N/A,FALSE,"Лист4"}</definedName>
    <definedName name="ллл" hidden="1">{#N/A,#N/A,FALSE,"Лист4"}</definedName>
    <definedName name="лнпллпл" hidden="1">{#N/A,#N/A,FALSE,"Лист4"}</definedName>
    <definedName name="мак" hidden="1">{#N/A,#N/A,FALSE,"Лист4"}</definedName>
    <definedName name="мм" hidden="1">{#N/A,#N/A,FALSE,"Лист4"}</definedName>
    <definedName name="мпе" hidden="1">{#N/A,#N/A,FALSE,"Лист4"}</definedName>
    <definedName name="нгнгш" hidden="1">{#N/A,#N/A,FALSE,"Лист4"}</definedName>
    <definedName name="ннггг" hidden="1">{#N/A,#N/A,FALSE,"Лист4"}</definedName>
    <definedName name="ннн" hidden="1">{#N/A,#N/A,FALSE,"Лист4"}</definedName>
    <definedName name="ннннг" hidden="1">{#N/A,#N/A,FALSE,"Лист4"}</definedName>
    <definedName name="нннннннн" hidden="1">{#N/A,#N/A,FALSE,"Лист4"}</definedName>
    <definedName name="ннншенгке" hidden="1">{#N/A,#N/A,FALSE,"Лист4"}</definedName>
    <definedName name="нншекк" hidden="1">{#N/A,#N/A,FALSE,"Лист4"}</definedName>
    <definedName name="оггне" hidden="1">{#N/A,#N/A,FALSE,"Лист4"}</definedName>
    <definedName name="оллд" hidden="1">{#N/A,#N/A,FALSE,"Лист4"}</definedName>
    <definedName name="олол" hidden="1">{#N/A,#N/A,FALSE,"Лист4"}</definedName>
    <definedName name="оо" hidden="1">{#N/A,#N/A,FALSE,"Лист4"}</definedName>
    <definedName name="ооо" hidden="1">{#N/A,#N/A,FALSE,"Лист4"}</definedName>
    <definedName name="орнг" hidden="1">{#N/A,#N/A,FALSE,"Лист4"}</definedName>
    <definedName name="освіта" hidden="1">{#N/A,#N/A,FALSE,"Лист4"}</definedName>
    <definedName name="ох" hidden="1">{#N/A,#N/A,FALSE,"Лист4"}</definedName>
    <definedName name="охорона" hidden="1">{#N/A,#N/A,FALSE,"Лист4"}</definedName>
    <definedName name="плеккккг" hidden="1">{#N/A,#N/A,FALSE,"Лист4"}</definedName>
    <definedName name="пллеелш" hidden="1">{#N/A,#N/A,FALSE,"Лист4"}</definedName>
    <definedName name="попле" hidden="1">{#N/A,#N/A,FALSE,"Лист4"}</definedName>
    <definedName name="пот" hidden="1">{#N/A,#N/A,FALSE,"Лист4"}</definedName>
    <definedName name="пп" hidden="1">{#N/A,#N/A,FALSE,"Лист4"}</definedName>
    <definedName name="ппше" hidden="1">{#N/A,#N/A,FALSE,"Лист4"}</definedName>
    <definedName name="про" hidden="1">{#N/A,#N/A,FALSE,"Лист4"}</definedName>
    <definedName name="прое" hidden="1">{#N/A,#N/A,FALSE,"Лист4"}</definedName>
    <definedName name="прои" hidden="1">{#N/A,#N/A,FALSE,"Лист4"}</definedName>
    <definedName name="рор" hidden="1">{#N/A,#N/A,FALSE,"Лист4"}</definedName>
    <definedName name="роро" hidden="1">{#N/A,#N/A,FALSE,"Лист4"}</definedName>
    <definedName name="рррр" hidden="1">{#N/A,#N/A,FALSE,"Лист4"}</definedName>
    <definedName name="сми" hidden="1">{#N/A,#N/A,FALSE,"Лист4"}</definedName>
    <definedName name="сс" hidden="1">{#N/A,#N/A,FALSE,"Лист4"}</definedName>
    <definedName name="сум" hidden="1">{#N/A,#N/A,FALSE,"Лист4"}</definedName>
    <definedName name="Суми" hidden="1">{#N/A,#N/A,FALSE,"Лист4"}</definedName>
    <definedName name="счу" hidden="1">{#N/A,#N/A,FALSE,"Лист4"}</definedName>
    <definedName name="счя" hidden="1">{#N/A,#N/A,FALSE,"Лист4"}</definedName>
    <definedName name="тогн" hidden="1">{#N/A,#N/A,FALSE,"Лист4"}</definedName>
    <definedName name="трн" hidden="1">{#N/A,#N/A,FALSE,"Лист4"}</definedName>
    <definedName name="ттт" hidden="1">{#N/A,#N/A,FALSE,"Лист4"}</definedName>
    <definedName name="ть" hidden="1">{#N/A,#N/A,FALSE,"Лист4"}</definedName>
    <definedName name="уа" hidden="1">{#N/A,#N/A,FALSE,"Лист4"}</definedName>
    <definedName name="увке" hidden="1">{#N/A,#N/A,FALSE,"Лист4"}</definedName>
    <definedName name="уеунукнун" hidden="1">{#N/A,#N/A,FALSE,"Лист4"}</definedName>
    <definedName name="уке" hidden="1">{#N/A,#N/A,FALSE,"Лист4"}</definedName>
    <definedName name="укй" hidden="1">{#N/A,#N/A,FALSE,"Лист4"}</definedName>
    <definedName name="укунн" hidden="1">{#N/A,#N/A,FALSE,"Лист4"}</definedName>
    <definedName name="унунен" hidden="1">{#N/A,#N/A,FALSE,"Лист4"}</definedName>
    <definedName name="унунун" hidden="1">{#N/A,#N/A,FALSE,"Лист4"}</definedName>
    <definedName name="унуу" hidden="1">{#N/A,#N/A,FALSE,"Лист4"}</definedName>
    <definedName name="унуун" hidden="1">{#N/A,#N/A,FALSE,"Лист4"}</definedName>
    <definedName name="унууу" hidden="1">{#N/A,#N/A,FALSE,"Лист4"}</definedName>
    <definedName name="управ" hidden="1">{#N/A,#N/A,FALSE,"Лист4"}</definedName>
    <definedName name="управління" hidden="1">{#N/A,#N/A,FALSE,"Лист4"}</definedName>
    <definedName name="уукее" hidden="1">{#N/A,#N/A,FALSE,"Лист4"}</definedName>
    <definedName name="ууннну" hidden="1">{#N/A,#N/A,FALSE,"Лист4"}</definedName>
    <definedName name="ууну" hidden="1">{#N/A,#N/A,FALSE,"Лист4"}</definedName>
    <definedName name="уунунг" hidden="1">{#N/A,#N/A,FALSE,"Лист4"}</definedName>
    <definedName name="уунунууу" hidden="1">{#N/A,#N/A,FALSE,"Лист4"}</definedName>
    <definedName name="уунуурр" hidden="1">{#N/A,#N/A,FALSE,"Лист4"}</definedName>
    <definedName name="уунуууу" hidden="1">{#N/A,#N/A,FALSE,"Лист4"}</definedName>
    <definedName name="ууу" hidden="1">{#N/A,#N/A,FALSE,"Лист4"}</definedName>
    <definedName name="ууунну" hidden="1">{#N/A,#N/A,FALSE,"Лист4"}</definedName>
    <definedName name="ууунууууу" hidden="1">{#N/A,#N/A,FALSE,"Лист4"}</definedName>
    <definedName name="уууу" hidden="1">{#N/A,#N/A,FALSE,"Лист4"}</definedName>
    <definedName name="уууу32" hidden="1">{#N/A,#N/A,FALSE,"Лист4"}</definedName>
    <definedName name="уууун" hidden="1">{#N/A,#N/A,FALSE,"Лист4"}</definedName>
    <definedName name="фф" hidden="1">{#N/A,#N/A,FALSE,"Лист4"}</definedName>
    <definedName name="ффф" hidden="1">{#N/A,#N/A,FALSE,"Лист4"}</definedName>
    <definedName name="фффф" hidden="1">{#N/A,#N/A,FALSE,"Лист4"}</definedName>
    <definedName name="ффффф" hidden="1">{#N/A,#N/A,FALSE,"Лист4"}</definedName>
    <definedName name="хз" hidden="1">{#N/A,#N/A,FALSE,"Лист4"}</definedName>
    <definedName name="хїз" hidden="1">{#N/A,#N/A,FALSE,"Лист4"}</definedName>
    <definedName name="ххх" hidden="1">{#N/A,#N/A,FALSE,"Лист4"}</definedName>
    <definedName name="ц" hidden="1">{#N/A,#N/A,FALSE,"Лист4"}</definedName>
    <definedName name="цва" hidden="1">{#N/A,#N/A,FALSE,"Лист4"}</definedName>
    <definedName name="цекццецце" hidden="1">{#N/A,#N/A,FALSE,"Лист4"}</definedName>
    <definedName name="цеце" hidden="1">{#N/A,#N/A,FALSE,"Лист4"}</definedName>
    <definedName name="цецеце" hidden="1">{#N/A,#N/A,FALSE,"Лист4"}</definedName>
    <definedName name="цук" hidden="1">{#N/A,#N/A,FALSE,"Лист4"}</definedName>
    <definedName name="цуку" hidden="1">{#N/A,#N/A,FALSE,"Лист4"}</definedName>
    <definedName name="цууу" hidden="1">{#N/A,#N/A,FALSE,"Лист4"}</definedName>
    <definedName name="цц" hidden="1">{#N/A,#N/A,FALSE,"Лист4"}</definedName>
    <definedName name="ццвва" hidden="1">{#N/A,#N/A,FALSE,"Лист4"}</definedName>
    <definedName name="ццецц" hidden="1">{#N/A,#N/A,FALSE,"Лист4"}</definedName>
    <definedName name="ццеццке" hidden="1">{#N/A,#N/A,FALSE,"Лист4"}</definedName>
    <definedName name="ццеццкевап" hidden="1">{#N/A,#N/A,FALSE,"Лист4"}</definedName>
    <definedName name="ццке" hidden="1">{#N/A,#N/A,FALSE,"Лист4"}</definedName>
    <definedName name="ццук" hidden="1">{#N/A,#N/A,FALSE,"Лист4"}</definedName>
    <definedName name="цццецц" hidden="1">{#N/A,#N/A,FALSE,"Лист4"}</definedName>
    <definedName name="цццкеец" hidden="1">{#N/A,#N/A,FALSE,"Лист4"}</definedName>
    <definedName name="цццц" hidden="1">{#N/A,#N/A,FALSE,"Лист4"}</definedName>
    <definedName name="ццццкц" hidden="1">{#N/A,#N/A,FALSE,"Лист4"}</definedName>
    <definedName name="ццццц" hidden="1">{#N/A,#N/A,FALSE,"Лист4"}</definedName>
    <definedName name="цццццц" hidden="1">{#N/A,#N/A,FALSE,"Лист4"}</definedName>
    <definedName name="чву" hidden="1">{#N/A,#N/A,FALSE,"Лист4"}</definedName>
    <definedName name="чч" hidden="1">{#N/A,#N/A,FALSE,"Лист4"}</definedName>
    <definedName name="ччч" hidden="1">{#N/A,#N/A,FALSE,"Лист4"}</definedName>
    <definedName name="шш" hidden="1">{#N/A,#N/A,FALSE,"Лист4"}</definedName>
    <definedName name="шшшш" hidden="1">{#N/A,#N/A,FALSE,"Лист4"}</definedName>
    <definedName name="щщ" hidden="1">{#N/A,#N/A,FALSE,"Лист4"}</definedName>
    <definedName name="щщщ" hidden="1">{#N/A,#N/A,FALSE,"Лист4"}</definedName>
    <definedName name="щщщшг" hidden="1">{#N/A,#N/A,FALSE,"Лист4"}</definedName>
    <definedName name="юю" hidden="1">{#N/A,#N/A,FALSE,"Лист4"}</definedName>
    <definedName name="ююю" hidden="1">{#N/A,#N/A,FALSE,"Лист4"}</definedName>
    <definedName name="яяя" hidden="1">{#N/A,#N/A,FALSE,"Лист4"}</definedName>
    <definedName name="яяяя" hidden="1">{#N/A,#N/A,FALSE,"Лист4"}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2" l="1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</calcChain>
</file>

<file path=xl/sharedStrings.xml><?xml version="1.0" encoding="utf-8"?>
<sst xmlns="http://schemas.openxmlformats.org/spreadsheetml/2006/main" count="153" uniqueCount="144">
  <si>
    <t>тис. грн.</t>
  </si>
  <si>
    <t>ККД</t>
  </si>
  <si>
    <t>Доходи</t>
  </si>
  <si>
    <t>0852300000 - Бюджет Широкiвської сiльської територiальної громади</t>
  </si>
  <si>
    <t>Поч.річн. план</t>
  </si>
  <si>
    <t>Уточн.річн. план</t>
  </si>
  <si>
    <t xml:space="preserve"> Уточ.пл. за період</t>
  </si>
  <si>
    <t>Факт</t>
  </si>
  <si>
    <t>+/-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</si>
  <si>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</si>
  <si>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</si>
  <si>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</si>
  <si>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доходи фізичних осіб, що сплачується податковими агентами, із доходів платника податку у вигляді заробітної плати</t>
  </si>
  <si>
    <t>Податок на доходи фізичних осіб, що сплачується податковими агентами, із доходів платника податку інших ніж заробітна плата</t>
  </si>
  <si>
    <t>Податок на доходи фізичних осіб, що сплачується фізичними особами за результатами річного декларування</t>
  </si>
  <si>
    <t>Податок на доходи фізичних осіб у вигляді мінімального податкового зобов`язання, що підлягає сплаті фізичними особами</t>
  </si>
  <si>
    <t>Податок на прибуток підприємств</t>
  </si>
  <si>
    <t>Податок на прибуток підприємств та фінансових установ комунальної власності</t>
  </si>
  <si>
    <t>Рентна плата та плата за використання інших природних ресурсів</t>
  </si>
  <si>
    <t>Рентна плата за користування надрами загальнодержавного значення</t>
  </si>
  <si>
    <t>Рентна плата за користування надрами для видобування інших корисних копалин загальнодержавного значення</t>
  </si>
  <si>
    <t>Внутрішні податки на товари та послуги</t>
  </si>
  <si>
    <t>Акцизний податок з вироблених в Україні підакцизних товарів (продукції)</t>
  </si>
  <si>
    <t>Пальне</t>
  </si>
  <si>
    <t>Акцизний податок з ввезених на митну територію України підакцизних товарів (продукції)</t>
  </si>
  <si>
    <t>Акцизний податок з реалізації суб`єктами господарювання роздрібної торгівлі підакцизних товарів</t>
  </si>
  <si>
    <t>Акцизний податок з реалізації виробниками та/або імпортерами, у тому числі в роздрібній торгівлі тютюнових виробів, тютюну та промислових замінників тютюну, рідин, що використовуються в електронних сигаретах, що оподатковується згідно з підпунктом 213.1.1</t>
  </si>
  <si>
    <t>Акцизний податок з реалізації суб`єктами господарювання роздрібної торгівлі підакцизних товарів (крім тих, що оподатковуються згідно з підпунктом 213.1.14 пункту 213.1 статті 213 Податкового кодексу України)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</si>
  <si>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</si>
  <si>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</si>
  <si>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Податок на нерухоме майно, відмінне від земельної ділянки, сплачений юридичними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</si>
  <si>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</si>
  <si>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нежитлової нерухомості</t>
  </si>
  <si>
    <t>Податок на нерухоме майно, відмінне від земельної ділянки, сплачений юридичними особами, які є власниками об`єктів нежитлової нерухомості</t>
  </si>
  <si>
    <t>Земельний податок з юридичних осіб</t>
  </si>
  <si>
    <t>Орендна плата з юридичних осіб</t>
  </si>
  <si>
    <t>Земельний податок з фізичних осіб</t>
  </si>
  <si>
    <t>Орендна плата з фізичних осіб</t>
  </si>
  <si>
    <t>Єдиний податок</t>
  </si>
  <si>
    <t>Єдиний податок з юридичних осіб</t>
  </si>
  <si>
    <t>Єдиний податок з фізичних осіб</t>
  </si>
  <si>
    <t>Єдиний податок з сільськогосподарських товаровиробників, у яких частка сільськогосподарського товаровиробництва за попередній податковий (звітний) рік дорівнює або перевищує 75 відсотків</t>
  </si>
  <si>
    <t>Неподаткові надходження</t>
  </si>
  <si>
    <t>Доходи від власності та підприємницької діяльності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</si>
  <si>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</t>
  </si>
  <si>
    <t>Частина чистого прибутку (доходу) комунальних унітарних підприємств та їх об`єднань, що вилучається до відповідного місцевого бюджету</t>
  </si>
  <si>
    <t>Інші надходження</t>
  </si>
  <si>
    <t>Адміністративні штрафи та інші санкції</t>
  </si>
  <si>
    <t>Адміністративні штрафи за адміністративні правопорушення у сфері забезпечення безпеки дорожнього руху, зафіксовані в автоматичному режимі</t>
  </si>
  <si>
    <t>Адміністративні збори та платежі, доходи від некомерційної господарської діяльності</t>
  </si>
  <si>
    <t>Плата за надання адміністративних послуг</t>
  </si>
  <si>
    <t>Плата за надання інших адміністративних послуг</t>
  </si>
  <si>
    <t>Адміністративний збір за державну реєстрацію речових прав на нерухоме майно та їх обтяжень</t>
  </si>
  <si>
    <t>Державне мито</t>
  </si>
  <si>
    <t>Державне мито, що сплачується за місцем розгляду та оформлення документів, у тому числі за оформлення документів на спадщину і дарування</t>
  </si>
  <si>
    <t>Державне мито, пов`язане з видачею та оформленням закордонних паспортів (посвідок) та паспортів громадян України</t>
  </si>
  <si>
    <t>Орендна плата за водні об`єкти (їх частини), що надаються в користування на умовах оренди Радою міністрів Автономної Республіки Крим, обласними, районними, Київською та Севастопольською міськими державними адміністраціями, місцевими радами</t>
  </si>
  <si>
    <t>Інші неподаткові надходження</t>
  </si>
  <si>
    <t>Офіційні трансферти</t>
  </si>
  <si>
    <t>Від органів державного управління</t>
  </si>
  <si>
    <t>Дотації з державного бюджету місцевим бюджетам</t>
  </si>
  <si>
    <t>Базова дотація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</si>
  <si>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</t>
  </si>
  <si>
    <t>Субвенції з державного бюджету місцевим бюджетам</t>
  </si>
  <si>
    <t>Освітня субвенція з державного бюджету місцевим бюджетам</t>
  </si>
  <si>
    <t>Субвенція з державного бюджету місцевим бюджетам на надання державної підтримки особам з особливими освітніми потребами</t>
  </si>
  <si>
    <t>Субвенція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</si>
  <si>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</si>
  <si>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Субвенції з місцевих бюджетів іншим місцевим бюджетам</t>
  </si>
  <si>
    <t>Інші субвенції з місцевого бюджету</t>
  </si>
  <si>
    <t>% виконання</t>
  </si>
  <si>
    <t>ІНФОРМАЦІЯ</t>
  </si>
  <si>
    <t>про виконання доходної частини місцевого бюджету</t>
  </si>
  <si>
    <t>загальний фонд</t>
  </si>
  <si>
    <t>за січень 2025 року</t>
  </si>
  <si>
    <t>Всього без урахування трансфертів</t>
  </si>
  <si>
    <t>ВСЬОГО</t>
  </si>
  <si>
    <t>Код</t>
  </si>
  <si>
    <t>Показник</t>
  </si>
  <si>
    <t>План на рік з урахуванням змін</t>
  </si>
  <si>
    <t>План на вказаний період з урахуванням змін</t>
  </si>
  <si>
    <t>Касові видатки за вказаний період</t>
  </si>
  <si>
    <t>Залишки плану на рік відносно касових</t>
  </si>
  <si>
    <t>Залишки плану на період відносно касових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</si>
  <si>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</si>
  <si>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</si>
  <si>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</si>
  <si>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</si>
  <si>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</si>
  <si>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</si>
  <si>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0111184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</si>
  <si>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</si>
  <si>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</si>
  <si>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</si>
  <si>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</si>
  <si>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</si>
  <si>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0113031</t>
  </si>
  <si>
    <t>Надання інших пільг окремим категоріям громадян відповідно до законодавства</t>
  </si>
  <si>
    <t>0113032</t>
  </si>
  <si>
    <t>Надання пільг окремим категоріям громадян з оплати послуг зв`язку</t>
  </si>
  <si>
    <t>0113090</t>
  </si>
  <si>
    <t>Видатки на поховання учасників бойових дій та осіб з інвалідністю внаслідок війни</t>
  </si>
  <si>
    <t>0113112</t>
  </si>
  <si>
    <t>Заходи державної політики з питань дітей та їх соціального захисту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</si>
  <si>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</si>
  <si>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</si>
  <si>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</si>
  <si>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</si>
  <si>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</si>
  <si>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</si>
  <si>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</si>
  <si>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</si>
  <si>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0113242</t>
  </si>
  <si>
    <t>Інші заходи у сфері соціального захисту і соціального забезпечення</t>
  </si>
  <si>
    <t>0114081</t>
  </si>
  <si>
    <t>Забезпечення діяльності інших закладів в галузі культури і мистецтва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</si>
  <si>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</si>
  <si>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</si>
  <si>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0116030</t>
  </si>
  <si>
    <t>Організація благоустрою населених пунктів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</si>
  <si>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</si>
  <si>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</si>
  <si>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</si>
  <si>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</si>
  <si>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</si>
  <si>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</si>
  <si>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</si>
  <si>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</si>
  <si>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</si>
  <si>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</si>
  <si>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</si>
  <si>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Інші заходи у сфері медіа (засобів масової інформації)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</si>
  <si>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</si>
  <si>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</si>
  <si>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</si>
  <si>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1616030</t>
  </si>
  <si>
    <t>3710160</t>
  </si>
  <si>
    <t>3718710</t>
  </si>
  <si>
    <t>Резервний фонд місцевого бюджету</t>
  </si>
  <si>
    <t xml:space="preserve"> </t>
  </si>
  <si>
    <t xml:space="preserve">Усього </t>
  </si>
  <si>
    <t xml:space="preserve">% виконання на вказаний період </t>
  </si>
  <si>
    <t>про виконання видаткової частини місцевого бюджету</t>
  </si>
  <si>
    <t>тис.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</si>
</sst>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name val="Arial"/>
      <charset val="204"/>
    </font>
    <font>
      <b/>
      <sz val="10"/>
      <name val="Arial"/>
      <family val="2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/>
    <xf numFmtId="164" fontId="2" fillId="0" borderId="1" xfId="0" applyNumberFormat="1" applyFont="1" applyBorder="1"/>
    <xf numFmtId="0" fontId="1" fillId="0" borderId="0" xfId="0" applyFont="1"/>
    <xf numFmtId="0" fontId="2" fillId="2" borderId="1" xfId="0" applyFont="1" applyFill="1" applyBorder="1"/>
    <xf numFmtId="4" fontId="2" fillId="2" borderId="1" xfId="0" applyNumberFormat="1" applyFont="1" applyFill="1" applyBorder="1"/>
    <xf numFmtId="164" fontId="2" fillId="2" borderId="1" xfId="0" applyNumberFormat="1" applyFont="1" applyFill="1" applyBorder="1"/>
    <xf numFmtId="0" fontId="2" fillId="0" borderId="1" xfId="0" quotePrefix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1"/>
    <xf numFmtId="0" fontId="4" fillId="0" borderId="0" xfId="1" applyAlignment="1">
      <alignment horizontal="center"/>
    </xf>
    <xf numFmtId="0" fontId="4" fillId="0" borderId="0" xfId="1" applyAlignment="1">
      <alignment wrapText="1"/>
    </xf>
    <xf numFmtId="0" fontId="5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0" fontId="7" fillId="0" borderId="0" xfId="1" applyFont="1" applyAlignment="1">
      <alignment horizontal="center"/>
    </xf>
    <xf numFmtId="0" fontId="7" fillId="0" borderId="0" xfId="1" applyFont="1" applyAlignment="1">
      <alignment wrapText="1"/>
    </xf>
    <xf numFmtId="0" fontId="7" fillId="0" borderId="0" xfId="1" applyFont="1"/>
    <xf numFmtId="0" fontId="6" fillId="0" borderId="0" xfId="1" applyFont="1" applyAlignment="1">
      <alignment horizontal="center"/>
    </xf>
    <xf numFmtId="0" fontId="7" fillId="0" borderId="0" xfId="1" applyFont="1" applyAlignment="1">
      <alignment horizontal="right"/>
    </xf>
    <xf numFmtId="0" fontId="6" fillId="0" borderId="0" xfId="1" applyFont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 wrapText="1"/>
    </xf>
    <xf numFmtId="4" fontId="7" fillId="0" borderId="1" xfId="1" applyNumberFormat="1" applyFont="1" applyBorder="1" applyAlignment="1">
      <alignment vertical="center"/>
    </xf>
    <xf numFmtId="4" fontId="7" fillId="0" borderId="1" xfId="1" applyNumberFormat="1" applyFont="1" applyFill="1" applyBorder="1" applyAlignment="1">
      <alignment vertical="center"/>
    </xf>
    <xf numFmtId="4" fontId="7" fillId="0" borderId="0" xfId="1" applyNumberFormat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 wrapText="1"/>
    </xf>
    <xf numFmtId="0" fontId="6" fillId="0" borderId="0" xfId="1" applyFont="1" applyAlignment="1"/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vertical="center" wrapText="1"/>
    </xf>
    <xf numFmtId="4" fontId="6" fillId="2" borderId="1" xfId="1" applyNumberFormat="1" applyFont="1" applyFill="1" applyBorder="1" applyAlignment="1">
      <alignment vertical="center"/>
    </xf>
    <xf numFmtId="0" fontId="8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Обычный" xfId="0" builtinId="0"/>
    <cellStyle name="Обычный 2" xfId="1" xr:uid="{C6FFA8DE-0AC9-4ED5-B1BE-57ED5C074B24}"/>
  </cellStyles>
  <dxfs count="66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5;&#1080;&#1075;&#1072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z_vd0"/>
      <sheetName val="Лист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FE65-D79B-44BF-B93F-765A0AD75003}">
  <dimension ref="A1:K75"/>
  <sheetViews>
    <sheetView workbookViewId="0">
      <selection activeCell="C8" sqref="C8"/>
    </sheetView>
  </sheetViews>
  <sheetFormatPr defaultRowHeight="15" x14ac:dyDescent="0.25"/>
  <cols>
    <col min="1" max="1" width="13.5703125" style="3" customWidth="1"/>
    <col min="2" max="2" width="39.5703125" customWidth="1"/>
    <col min="3" max="4" width="13.85546875" customWidth="1"/>
    <col min="5" max="5" width="12.7109375" customWidth="1"/>
    <col min="6" max="6" width="11.5703125" customWidth="1"/>
    <col min="7" max="7" width="10.28515625" customWidth="1"/>
    <col min="8" max="8" width="12.57031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x14ac:dyDescent="0.25">
      <c r="A2" s="48" t="s">
        <v>71</v>
      </c>
      <c r="B2" s="48"/>
      <c r="C2" s="48"/>
      <c r="D2" s="48"/>
      <c r="E2" s="48"/>
      <c r="F2" s="48"/>
      <c r="G2" s="48"/>
      <c r="H2" s="48"/>
      <c r="I2" s="2"/>
      <c r="J2" s="2"/>
      <c r="K2" s="2"/>
    </row>
    <row r="3" spans="1:11" ht="15.75" x14ac:dyDescent="0.25">
      <c r="A3" s="48" t="s">
        <v>72</v>
      </c>
      <c r="B3" s="48"/>
      <c r="C3" s="48"/>
      <c r="D3" s="48"/>
      <c r="E3" s="48"/>
      <c r="F3" s="48"/>
      <c r="G3" s="48"/>
      <c r="H3" s="48"/>
      <c r="I3" s="2"/>
      <c r="J3" s="2"/>
      <c r="K3" s="2"/>
    </row>
    <row r="4" spans="1:11" ht="15.75" x14ac:dyDescent="0.25">
      <c r="A4" s="48" t="s">
        <v>73</v>
      </c>
      <c r="B4" s="48"/>
      <c r="C4" s="48"/>
      <c r="D4" s="48"/>
      <c r="E4" s="48"/>
      <c r="F4" s="48"/>
      <c r="G4" s="48"/>
      <c r="H4" s="48"/>
      <c r="I4" s="1"/>
      <c r="J4" s="1"/>
      <c r="K4" s="1"/>
    </row>
    <row r="5" spans="1:11" x14ac:dyDescent="0.25">
      <c r="A5" s="47" t="s">
        <v>74</v>
      </c>
      <c r="B5" s="47"/>
      <c r="C5" s="47"/>
      <c r="D5" s="47"/>
      <c r="E5" s="47"/>
      <c r="F5" s="47"/>
      <c r="G5" s="47"/>
      <c r="H5" s="47"/>
      <c r="I5" s="2"/>
      <c r="J5" s="2"/>
      <c r="K5" s="2"/>
    </row>
    <row r="6" spans="1:11" x14ac:dyDescent="0.25">
      <c r="G6" t="s">
        <v>0</v>
      </c>
    </row>
    <row r="7" spans="1:11" ht="27.75" customHeight="1" x14ac:dyDescent="0.25">
      <c r="A7" s="4" t="s">
        <v>1</v>
      </c>
      <c r="B7" s="4" t="s">
        <v>2</v>
      </c>
      <c r="C7" s="20" t="s">
        <v>3</v>
      </c>
      <c r="D7" s="21"/>
      <c r="E7" s="21"/>
      <c r="F7" s="21"/>
      <c r="G7" s="21"/>
      <c r="H7" s="21"/>
    </row>
    <row r="8" spans="1:11" ht="44.25" customHeight="1" x14ac:dyDescent="0.25">
      <c r="A8" s="5"/>
      <c r="B8" s="5"/>
      <c r="C8" s="6" t="s">
        <v>4</v>
      </c>
      <c r="D8" s="6" t="s">
        <v>5</v>
      </c>
      <c r="E8" s="6" t="s">
        <v>6</v>
      </c>
      <c r="F8" s="7" t="s">
        <v>7</v>
      </c>
      <c r="G8" s="7" t="s">
        <v>8</v>
      </c>
      <c r="H8" s="6" t="s">
        <v>70</v>
      </c>
    </row>
    <row r="9" spans="1:11" s="16" customFormat="1" ht="15.75" x14ac:dyDescent="0.25">
      <c r="A9" s="13">
        <v>10000000</v>
      </c>
      <c r="B9" s="22" t="s">
        <v>9</v>
      </c>
      <c r="C9" s="14">
        <v>115906.4</v>
      </c>
      <c r="D9" s="14">
        <v>115906.4</v>
      </c>
      <c r="E9" s="14">
        <v>7763.15</v>
      </c>
      <c r="F9" s="14">
        <v>11340.60759</v>
      </c>
      <c r="G9" s="14">
        <f t="shared" ref="G9:G40" si="0">F9-E9</f>
        <v>3577.45759</v>
      </c>
      <c r="H9" s="15">
        <f t="shared" ref="H9:H40" si="1">IF(E9=0,0,F9/E9*100)</f>
        <v>146.08255141276416</v>
      </c>
    </row>
    <row r="10" spans="1:11" ht="51.75" customHeight="1" x14ac:dyDescent="0.25">
      <c r="A10" s="8">
        <v>11000000</v>
      </c>
      <c r="B10" s="23" t="s">
        <v>10</v>
      </c>
      <c r="C10" s="9">
        <v>53945.4</v>
      </c>
      <c r="D10" s="9">
        <v>53945.4</v>
      </c>
      <c r="E10" s="9">
        <v>2316.9</v>
      </c>
      <c r="F10" s="9">
        <v>4210.0818499999996</v>
      </c>
      <c r="G10" s="9">
        <f t="shared" si="0"/>
        <v>1893.1818499999995</v>
      </c>
      <c r="H10" s="10">
        <f t="shared" si="1"/>
        <v>181.71184988562302</v>
      </c>
    </row>
    <row r="11" spans="1:11" ht="19.5" customHeight="1" x14ac:dyDescent="0.25">
      <c r="A11" s="8">
        <v>11010000</v>
      </c>
      <c r="B11" s="23" t="s">
        <v>11</v>
      </c>
      <c r="C11" s="9">
        <v>53895.4</v>
      </c>
      <c r="D11" s="9">
        <v>53895.4</v>
      </c>
      <c r="E11" s="9">
        <v>2316.9</v>
      </c>
      <c r="F11" s="9">
        <v>4210.0818499999996</v>
      </c>
      <c r="G11" s="9">
        <f t="shared" si="0"/>
        <v>1893.1818499999995</v>
      </c>
      <c r="H11" s="10">
        <f t="shared" si="1"/>
        <v>181.71184988562302</v>
      </c>
    </row>
    <row r="12" spans="1:11" ht="63" hidden="1" x14ac:dyDescent="0.25">
      <c r="A12" s="8">
        <v>11010100</v>
      </c>
      <c r="B12" s="23" t="s">
        <v>12</v>
      </c>
      <c r="C12" s="9">
        <v>44000</v>
      </c>
      <c r="D12" s="9">
        <v>44000</v>
      </c>
      <c r="E12" s="9">
        <v>2200</v>
      </c>
      <c r="F12" s="9">
        <v>4077.9664700000003</v>
      </c>
      <c r="G12" s="9">
        <f t="shared" si="0"/>
        <v>1877.9664700000003</v>
      </c>
      <c r="H12" s="10">
        <f t="shared" si="1"/>
        <v>185.3621122727273</v>
      </c>
    </row>
    <row r="13" spans="1:11" ht="63" hidden="1" x14ac:dyDescent="0.25">
      <c r="A13" s="8">
        <v>11010400</v>
      </c>
      <c r="B13" s="23" t="s">
        <v>13</v>
      </c>
      <c r="C13" s="9">
        <v>8494.4</v>
      </c>
      <c r="D13" s="9">
        <v>8494.4</v>
      </c>
      <c r="E13" s="9">
        <v>16.899999999999999</v>
      </c>
      <c r="F13" s="9">
        <v>142.67294000000001</v>
      </c>
      <c r="G13" s="9">
        <f t="shared" si="0"/>
        <v>125.77294000000001</v>
      </c>
      <c r="H13" s="10">
        <f t="shared" si="1"/>
        <v>844.21857988165686</v>
      </c>
    </row>
    <row r="14" spans="1:11" ht="47.25" hidden="1" x14ac:dyDescent="0.25">
      <c r="A14" s="8">
        <v>11010500</v>
      </c>
      <c r="B14" s="23" t="s">
        <v>14</v>
      </c>
      <c r="C14" s="9">
        <v>1400</v>
      </c>
      <c r="D14" s="9">
        <v>1400</v>
      </c>
      <c r="E14" s="9">
        <v>100</v>
      </c>
      <c r="F14" s="9">
        <v>11.650300000000001</v>
      </c>
      <c r="G14" s="9">
        <f t="shared" si="0"/>
        <v>-88.349699999999999</v>
      </c>
      <c r="H14" s="10">
        <f t="shared" si="1"/>
        <v>11.650300000000001</v>
      </c>
    </row>
    <row r="15" spans="1:11" ht="63" hidden="1" x14ac:dyDescent="0.25">
      <c r="A15" s="8">
        <v>11011300</v>
      </c>
      <c r="B15" s="23" t="s">
        <v>15</v>
      </c>
      <c r="C15" s="9">
        <v>1</v>
      </c>
      <c r="D15" s="9">
        <v>1</v>
      </c>
      <c r="E15" s="9">
        <v>0</v>
      </c>
      <c r="F15" s="9">
        <v>-22.20786</v>
      </c>
      <c r="G15" s="9">
        <f t="shared" si="0"/>
        <v>-22.20786</v>
      </c>
      <c r="H15" s="10">
        <f t="shared" si="1"/>
        <v>0</v>
      </c>
    </row>
    <row r="16" spans="1:11" ht="19.5" customHeight="1" x14ac:dyDescent="0.25">
      <c r="A16" s="8">
        <v>11020000</v>
      </c>
      <c r="B16" s="23" t="s">
        <v>16</v>
      </c>
      <c r="C16" s="9">
        <v>50</v>
      </c>
      <c r="D16" s="9">
        <v>50</v>
      </c>
      <c r="E16" s="9">
        <v>0</v>
      </c>
      <c r="F16" s="9">
        <v>0</v>
      </c>
      <c r="G16" s="9">
        <f t="shared" si="0"/>
        <v>0</v>
      </c>
      <c r="H16" s="10">
        <f t="shared" si="1"/>
        <v>0</v>
      </c>
    </row>
    <row r="17" spans="1:8" ht="0.75" hidden="1" customHeight="1" x14ac:dyDescent="0.25">
      <c r="A17" s="8">
        <v>11020200</v>
      </c>
      <c r="B17" s="23" t="s">
        <v>17</v>
      </c>
      <c r="C17" s="9">
        <v>50</v>
      </c>
      <c r="D17" s="9">
        <v>50</v>
      </c>
      <c r="E17" s="9">
        <v>0</v>
      </c>
      <c r="F17" s="9">
        <v>0</v>
      </c>
      <c r="G17" s="9">
        <f t="shared" si="0"/>
        <v>0</v>
      </c>
      <c r="H17" s="10">
        <f t="shared" si="1"/>
        <v>0</v>
      </c>
    </row>
    <row r="18" spans="1:8" ht="18" customHeight="1" x14ac:dyDescent="0.25">
      <c r="A18" s="8">
        <v>13000000</v>
      </c>
      <c r="B18" s="23" t="s">
        <v>18</v>
      </c>
      <c r="C18" s="9">
        <v>3</v>
      </c>
      <c r="D18" s="9">
        <v>3</v>
      </c>
      <c r="E18" s="9">
        <v>0.253</v>
      </c>
      <c r="F18" s="9">
        <v>0.28223999999999999</v>
      </c>
      <c r="G18" s="9">
        <f t="shared" si="0"/>
        <v>2.9239999999999988E-2</v>
      </c>
      <c r="H18" s="10">
        <f t="shared" si="1"/>
        <v>111.55731225296441</v>
      </c>
    </row>
    <row r="19" spans="1:8" ht="0.75" hidden="1" customHeight="1" x14ac:dyDescent="0.25">
      <c r="A19" s="8">
        <v>13030000</v>
      </c>
      <c r="B19" s="23" t="s">
        <v>19</v>
      </c>
      <c r="C19" s="9">
        <v>3</v>
      </c>
      <c r="D19" s="9">
        <v>3</v>
      </c>
      <c r="E19" s="9">
        <v>0.253</v>
      </c>
      <c r="F19" s="9">
        <v>0.28223999999999999</v>
      </c>
      <c r="G19" s="9">
        <f t="shared" si="0"/>
        <v>2.9239999999999988E-2</v>
      </c>
      <c r="H19" s="10">
        <f t="shared" si="1"/>
        <v>111.55731225296441</v>
      </c>
    </row>
    <row r="20" spans="1:8" ht="63" hidden="1" x14ac:dyDescent="0.25">
      <c r="A20" s="8">
        <v>13030100</v>
      </c>
      <c r="B20" s="23" t="s">
        <v>20</v>
      </c>
      <c r="C20" s="9">
        <v>3</v>
      </c>
      <c r="D20" s="9">
        <v>3</v>
      </c>
      <c r="E20" s="9">
        <v>0.253</v>
      </c>
      <c r="F20" s="9">
        <v>0.28223999999999999</v>
      </c>
      <c r="G20" s="9">
        <f t="shared" si="0"/>
        <v>2.9239999999999988E-2</v>
      </c>
      <c r="H20" s="10">
        <f t="shared" si="1"/>
        <v>111.55731225296441</v>
      </c>
    </row>
    <row r="21" spans="1:8" ht="33" customHeight="1" x14ac:dyDescent="0.25">
      <c r="A21" s="8">
        <v>14000000</v>
      </c>
      <c r="B21" s="23" t="s">
        <v>21</v>
      </c>
      <c r="C21" s="9">
        <v>19620</v>
      </c>
      <c r="D21" s="9">
        <v>19620</v>
      </c>
      <c r="E21" s="9">
        <v>1629.1</v>
      </c>
      <c r="F21" s="9">
        <v>2138.50612</v>
      </c>
      <c r="G21" s="9">
        <f t="shared" si="0"/>
        <v>509.4061200000001</v>
      </c>
      <c r="H21" s="10">
        <f t="shared" si="1"/>
        <v>131.26917439076792</v>
      </c>
    </row>
    <row r="22" spans="1:8" ht="47.25" hidden="1" x14ac:dyDescent="0.25">
      <c r="A22" s="8">
        <v>14020000</v>
      </c>
      <c r="B22" s="23" t="s">
        <v>22</v>
      </c>
      <c r="C22" s="9">
        <v>2000</v>
      </c>
      <c r="D22" s="9">
        <v>2000</v>
      </c>
      <c r="E22" s="9">
        <v>166.6</v>
      </c>
      <c r="F22" s="9">
        <v>292.39296999999999</v>
      </c>
      <c r="G22" s="9">
        <f t="shared" si="0"/>
        <v>125.79297</v>
      </c>
      <c r="H22" s="10">
        <f t="shared" si="1"/>
        <v>175.5059843937575</v>
      </c>
    </row>
    <row r="23" spans="1:8" ht="15.75" hidden="1" x14ac:dyDescent="0.25">
      <c r="A23" s="8">
        <v>14021900</v>
      </c>
      <c r="B23" s="23" t="s">
        <v>23</v>
      </c>
      <c r="C23" s="9">
        <v>2000</v>
      </c>
      <c r="D23" s="9">
        <v>2000</v>
      </c>
      <c r="E23" s="9">
        <v>166.6</v>
      </c>
      <c r="F23" s="9">
        <v>292.39296999999999</v>
      </c>
      <c r="G23" s="9">
        <f t="shared" si="0"/>
        <v>125.79297</v>
      </c>
      <c r="H23" s="10">
        <f t="shared" si="1"/>
        <v>175.5059843937575</v>
      </c>
    </row>
    <row r="24" spans="1:8" ht="47.25" hidden="1" x14ac:dyDescent="0.25">
      <c r="A24" s="8">
        <v>14030000</v>
      </c>
      <c r="B24" s="23" t="s">
        <v>24</v>
      </c>
      <c r="C24" s="9">
        <v>12000</v>
      </c>
      <c r="D24" s="9">
        <v>12000</v>
      </c>
      <c r="E24" s="9">
        <v>1000</v>
      </c>
      <c r="F24" s="9">
        <v>1255.9169899999999</v>
      </c>
      <c r="G24" s="9">
        <f t="shared" si="0"/>
        <v>255.91698999999994</v>
      </c>
      <c r="H24" s="10">
        <f t="shared" si="1"/>
        <v>125.59169900000001</v>
      </c>
    </row>
    <row r="25" spans="1:8" ht="15.75" hidden="1" x14ac:dyDescent="0.25">
      <c r="A25" s="8">
        <v>14031900</v>
      </c>
      <c r="B25" s="23" t="s">
        <v>23</v>
      </c>
      <c r="C25" s="9">
        <v>12000</v>
      </c>
      <c r="D25" s="9">
        <v>12000</v>
      </c>
      <c r="E25" s="9">
        <v>1000</v>
      </c>
      <c r="F25" s="9">
        <v>1255.9169899999999</v>
      </c>
      <c r="G25" s="9">
        <f t="shared" si="0"/>
        <v>255.91698999999994</v>
      </c>
      <c r="H25" s="10">
        <f t="shared" si="1"/>
        <v>125.59169900000001</v>
      </c>
    </row>
    <row r="26" spans="1:8" ht="63" hidden="1" x14ac:dyDescent="0.25">
      <c r="A26" s="8">
        <v>14040000</v>
      </c>
      <c r="B26" s="23" t="s">
        <v>25</v>
      </c>
      <c r="C26" s="9">
        <v>5620</v>
      </c>
      <c r="D26" s="9">
        <v>5620</v>
      </c>
      <c r="E26" s="9">
        <v>462.5</v>
      </c>
      <c r="F26" s="9">
        <v>590.19615999999996</v>
      </c>
      <c r="G26" s="9">
        <f t="shared" si="0"/>
        <v>127.69615999999996</v>
      </c>
      <c r="H26" s="10">
        <f t="shared" si="1"/>
        <v>127.60998054054053</v>
      </c>
    </row>
    <row r="27" spans="1:8" ht="141.75" hidden="1" x14ac:dyDescent="0.25">
      <c r="A27" s="8">
        <v>14040100</v>
      </c>
      <c r="B27" s="23" t="s">
        <v>26</v>
      </c>
      <c r="C27" s="9">
        <v>3720</v>
      </c>
      <c r="D27" s="9">
        <v>3720</v>
      </c>
      <c r="E27" s="9">
        <v>310</v>
      </c>
      <c r="F27" s="9">
        <v>421.20216999999997</v>
      </c>
      <c r="G27" s="9">
        <f t="shared" si="0"/>
        <v>111.20216999999997</v>
      </c>
      <c r="H27" s="10">
        <f t="shared" si="1"/>
        <v>135.87166774193545</v>
      </c>
    </row>
    <row r="28" spans="1:8" ht="110.25" hidden="1" x14ac:dyDescent="0.25">
      <c r="A28" s="8">
        <v>14040200</v>
      </c>
      <c r="B28" s="23" t="s">
        <v>27</v>
      </c>
      <c r="C28" s="9">
        <v>1900</v>
      </c>
      <c r="D28" s="9">
        <v>1900</v>
      </c>
      <c r="E28" s="9">
        <v>152.5</v>
      </c>
      <c r="F28" s="9">
        <v>168.99399</v>
      </c>
      <c r="G28" s="9">
        <f t="shared" si="0"/>
        <v>16.493989999999997</v>
      </c>
      <c r="H28" s="10">
        <f t="shared" si="1"/>
        <v>110.81573114754097</v>
      </c>
    </row>
    <row r="29" spans="1:8" s="16" customFormat="1" ht="63" x14ac:dyDescent="0.25">
      <c r="A29" s="13">
        <v>18000000</v>
      </c>
      <c r="B29" s="22" t="s">
        <v>28</v>
      </c>
      <c r="C29" s="14">
        <v>42338</v>
      </c>
      <c r="D29" s="14">
        <v>42338</v>
      </c>
      <c r="E29" s="14">
        <v>3816.8969999999999</v>
      </c>
      <c r="F29" s="14">
        <v>4991.7373800000005</v>
      </c>
      <c r="G29" s="14">
        <f t="shared" si="0"/>
        <v>1174.8403800000006</v>
      </c>
      <c r="H29" s="15">
        <f t="shared" si="1"/>
        <v>130.77998646544563</v>
      </c>
    </row>
    <row r="30" spans="1:8" ht="15" customHeight="1" x14ac:dyDescent="0.25">
      <c r="A30" s="8">
        <v>18010000</v>
      </c>
      <c r="B30" s="23" t="s">
        <v>29</v>
      </c>
      <c r="C30" s="9">
        <v>13938</v>
      </c>
      <c r="D30" s="9">
        <v>13938</v>
      </c>
      <c r="E30" s="9">
        <v>830.89700000000005</v>
      </c>
      <c r="F30" s="9">
        <v>1067.39599</v>
      </c>
      <c r="G30" s="9">
        <f t="shared" si="0"/>
        <v>236.49898999999994</v>
      </c>
      <c r="H30" s="10">
        <f t="shared" si="1"/>
        <v>128.46309350015704</v>
      </c>
    </row>
    <row r="31" spans="1:8" ht="78.75" hidden="1" x14ac:dyDescent="0.25">
      <c r="A31" s="8">
        <v>18010100</v>
      </c>
      <c r="B31" s="23" t="s">
        <v>30</v>
      </c>
      <c r="C31" s="9">
        <v>98</v>
      </c>
      <c r="D31" s="9">
        <v>98</v>
      </c>
      <c r="E31" s="9">
        <v>6.7969999999999997</v>
      </c>
      <c r="F31" s="9">
        <v>3.2873000000000001</v>
      </c>
      <c r="G31" s="9">
        <f t="shared" si="0"/>
        <v>-3.5096999999999996</v>
      </c>
      <c r="H31" s="10">
        <f t="shared" si="1"/>
        <v>48.363984110637048</v>
      </c>
    </row>
    <row r="32" spans="1:8" ht="63" hidden="1" x14ac:dyDescent="0.25">
      <c r="A32" s="8">
        <v>18010200</v>
      </c>
      <c r="B32" s="23" t="s">
        <v>31</v>
      </c>
      <c r="C32" s="9">
        <v>1900</v>
      </c>
      <c r="D32" s="9">
        <v>1900</v>
      </c>
      <c r="E32" s="9">
        <v>0</v>
      </c>
      <c r="F32" s="9">
        <v>141.48740000000001</v>
      </c>
      <c r="G32" s="9">
        <f t="shared" si="0"/>
        <v>141.48740000000001</v>
      </c>
      <c r="H32" s="10">
        <f t="shared" si="1"/>
        <v>0</v>
      </c>
    </row>
    <row r="33" spans="1:8" ht="63" hidden="1" x14ac:dyDescent="0.25">
      <c r="A33" s="8">
        <v>18010300</v>
      </c>
      <c r="B33" s="23" t="s">
        <v>32</v>
      </c>
      <c r="C33" s="9">
        <v>1400</v>
      </c>
      <c r="D33" s="9">
        <v>1400</v>
      </c>
      <c r="E33" s="9">
        <v>0</v>
      </c>
      <c r="F33" s="9">
        <v>42.901530000000001</v>
      </c>
      <c r="G33" s="9">
        <f t="shared" si="0"/>
        <v>42.901530000000001</v>
      </c>
      <c r="H33" s="10">
        <f t="shared" si="1"/>
        <v>0</v>
      </c>
    </row>
    <row r="34" spans="1:8" ht="78.75" hidden="1" x14ac:dyDescent="0.25">
      <c r="A34" s="8">
        <v>18010400</v>
      </c>
      <c r="B34" s="23" t="s">
        <v>33</v>
      </c>
      <c r="C34" s="9">
        <v>1700</v>
      </c>
      <c r="D34" s="9">
        <v>1700</v>
      </c>
      <c r="E34" s="9">
        <v>212.5</v>
      </c>
      <c r="F34" s="9">
        <v>253.99248</v>
      </c>
      <c r="G34" s="9">
        <f t="shared" si="0"/>
        <v>41.49248</v>
      </c>
      <c r="H34" s="10">
        <f t="shared" si="1"/>
        <v>119.52587294117647</v>
      </c>
    </row>
    <row r="35" spans="1:8" ht="15.75" hidden="1" x14ac:dyDescent="0.25">
      <c r="A35" s="8">
        <v>18010500</v>
      </c>
      <c r="B35" s="23" t="s">
        <v>34</v>
      </c>
      <c r="C35" s="9">
        <v>2100</v>
      </c>
      <c r="D35" s="9">
        <v>2100</v>
      </c>
      <c r="E35" s="9">
        <v>175</v>
      </c>
      <c r="F35" s="9">
        <v>148.17910000000001</v>
      </c>
      <c r="G35" s="9">
        <f t="shared" si="0"/>
        <v>-26.820899999999995</v>
      </c>
      <c r="H35" s="10">
        <f t="shared" si="1"/>
        <v>84.673771428571428</v>
      </c>
    </row>
    <row r="36" spans="1:8" ht="15.75" hidden="1" x14ac:dyDescent="0.25">
      <c r="A36" s="8">
        <v>18010600</v>
      </c>
      <c r="B36" s="23" t="s">
        <v>35</v>
      </c>
      <c r="C36" s="9">
        <v>4300</v>
      </c>
      <c r="D36" s="9">
        <v>4300</v>
      </c>
      <c r="E36" s="9">
        <v>358.3</v>
      </c>
      <c r="F36" s="9">
        <v>411.44639000000001</v>
      </c>
      <c r="G36" s="9">
        <f t="shared" si="0"/>
        <v>53.146389999999997</v>
      </c>
      <c r="H36" s="10">
        <f t="shared" si="1"/>
        <v>114.83293050516328</v>
      </c>
    </row>
    <row r="37" spans="1:8" ht="15.75" hidden="1" x14ac:dyDescent="0.25">
      <c r="A37" s="8">
        <v>18010700</v>
      </c>
      <c r="B37" s="23" t="s">
        <v>36</v>
      </c>
      <c r="C37" s="9">
        <v>1500</v>
      </c>
      <c r="D37" s="9">
        <v>1500</v>
      </c>
      <c r="E37" s="9">
        <v>0</v>
      </c>
      <c r="F37" s="9">
        <v>35.990749999999998</v>
      </c>
      <c r="G37" s="9">
        <f t="shared" si="0"/>
        <v>35.990749999999998</v>
      </c>
      <c r="H37" s="10">
        <f t="shared" si="1"/>
        <v>0</v>
      </c>
    </row>
    <row r="38" spans="1:8" ht="15.75" hidden="1" x14ac:dyDescent="0.25">
      <c r="A38" s="8">
        <v>18010900</v>
      </c>
      <c r="B38" s="23" t="s">
        <v>37</v>
      </c>
      <c r="C38" s="9">
        <v>940</v>
      </c>
      <c r="D38" s="9">
        <v>940</v>
      </c>
      <c r="E38" s="9">
        <v>78.3</v>
      </c>
      <c r="F38" s="9">
        <v>30.111039999999999</v>
      </c>
      <c r="G38" s="9">
        <f t="shared" si="0"/>
        <v>-48.188959999999994</v>
      </c>
      <c r="H38" s="10">
        <f t="shared" si="1"/>
        <v>38.455989782886334</v>
      </c>
    </row>
    <row r="39" spans="1:8" ht="15.75" x14ac:dyDescent="0.25">
      <c r="A39" s="8">
        <v>18050000</v>
      </c>
      <c r="B39" s="23" t="s">
        <v>38</v>
      </c>
      <c r="C39" s="9">
        <v>28400</v>
      </c>
      <c r="D39" s="9">
        <v>28400</v>
      </c>
      <c r="E39" s="9">
        <v>2986</v>
      </c>
      <c r="F39" s="9">
        <v>3924.34139</v>
      </c>
      <c r="G39" s="9">
        <f t="shared" si="0"/>
        <v>938.34139000000005</v>
      </c>
      <c r="H39" s="10">
        <f t="shared" si="1"/>
        <v>131.42469490957802</v>
      </c>
    </row>
    <row r="40" spans="1:8" ht="15.75" hidden="1" x14ac:dyDescent="0.25">
      <c r="A40" s="8">
        <v>18050300</v>
      </c>
      <c r="B40" s="23" t="s">
        <v>39</v>
      </c>
      <c r="C40" s="9">
        <v>3100</v>
      </c>
      <c r="D40" s="9">
        <v>3100</v>
      </c>
      <c r="E40" s="9">
        <v>206</v>
      </c>
      <c r="F40" s="9">
        <v>295.21015</v>
      </c>
      <c r="G40" s="9">
        <f t="shared" si="0"/>
        <v>89.210149999999999</v>
      </c>
      <c r="H40" s="10">
        <f t="shared" si="1"/>
        <v>143.30589805825241</v>
      </c>
    </row>
    <row r="41" spans="1:8" ht="15.75" hidden="1" x14ac:dyDescent="0.25">
      <c r="A41" s="8">
        <v>18050400</v>
      </c>
      <c r="B41" s="23" t="s">
        <v>40</v>
      </c>
      <c r="C41" s="9">
        <v>18700</v>
      </c>
      <c r="D41" s="9">
        <v>18700</v>
      </c>
      <c r="E41" s="9">
        <v>1200</v>
      </c>
      <c r="F41" s="9">
        <v>1902.4393</v>
      </c>
      <c r="G41" s="9">
        <f t="shared" ref="G41:G72" si="2">F41-E41</f>
        <v>702.4393</v>
      </c>
      <c r="H41" s="10">
        <f t="shared" ref="H41:H74" si="3">IF(E41=0,0,F41/E41*100)</f>
        <v>158.53660833333333</v>
      </c>
    </row>
    <row r="42" spans="1:8" ht="110.25" hidden="1" x14ac:dyDescent="0.25">
      <c r="A42" s="8">
        <v>18050500</v>
      </c>
      <c r="B42" s="23" t="s">
        <v>41</v>
      </c>
      <c r="C42" s="9">
        <v>6600</v>
      </c>
      <c r="D42" s="9">
        <v>6600</v>
      </c>
      <c r="E42" s="9">
        <v>1580</v>
      </c>
      <c r="F42" s="9">
        <v>1726.6919399999999</v>
      </c>
      <c r="G42" s="9">
        <f t="shared" si="2"/>
        <v>146.69193999999993</v>
      </c>
      <c r="H42" s="10">
        <f t="shared" si="3"/>
        <v>109.2843</v>
      </c>
    </row>
    <row r="43" spans="1:8" s="16" customFormat="1" ht="15.75" x14ac:dyDescent="0.25">
      <c r="A43" s="13">
        <v>20000000</v>
      </c>
      <c r="B43" s="22" t="s">
        <v>42</v>
      </c>
      <c r="C43" s="14">
        <v>2262.6</v>
      </c>
      <c r="D43" s="14">
        <v>2262.6</v>
      </c>
      <c r="E43" s="14">
        <v>116.45</v>
      </c>
      <c r="F43" s="14">
        <v>312.76868999999994</v>
      </c>
      <c r="G43" s="14">
        <f t="shared" si="2"/>
        <v>196.31868999999995</v>
      </c>
      <c r="H43" s="15">
        <f t="shared" si="3"/>
        <v>268.58625161013305</v>
      </c>
    </row>
    <row r="44" spans="1:8" ht="0.75" hidden="1" customHeight="1" x14ac:dyDescent="0.25">
      <c r="A44" s="8">
        <v>21000000</v>
      </c>
      <c r="B44" s="23" t="s">
        <v>43</v>
      </c>
      <c r="C44" s="9">
        <v>151</v>
      </c>
      <c r="D44" s="9">
        <v>151</v>
      </c>
      <c r="E44" s="9">
        <v>8.3000000000000007</v>
      </c>
      <c r="F44" s="9">
        <v>108.41974</v>
      </c>
      <c r="G44" s="9">
        <f t="shared" si="2"/>
        <v>100.11974000000001</v>
      </c>
      <c r="H44" s="10">
        <f t="shared" si="3"/>
        <v>1306.2619277108433</v>
      </c>
    </row>
    <row r="45" spans="1:8" ht="126" hidden="1" x14ac:dyDescent="0.25">
      <c r="A45" s="8">
        <v>21010000</v>
      </c>
      <c r="B45" s="23" t="s">
        <v>44</v>
      </c>
      <c r="C45" s="9">
        <v>1</v>
      </c>
      <c r="D45" s="9">
        <v>1</v>
      </c>
      <c r="E45" s="9">
        <v>0</v>
      </c>
      <c r="F45" s="9">
        <v>0</v>
      </c>
      <c r="G45" s="9">
        <f t="shared" si="2"/>
        <v>0</v>
      </c>
      <c r="H45" s="10">
        <f t="shared" si="3"/>
        <v>0</v>
      </c>
    </row>
    <row r="46" spans="1:8" ht="63" hidden="1" x14ac:dyDescent="0.25">
      <c r="A46" s="8">
        <v>21010300</v>
      </c>
      <c r="B46" s="23" t="s">
        <v>45</v>
      </c>
      <c r="C46" s="9">
        <v>1</v>
      </c>
      <c r="D46" s="9">
        <v>1</v>
      </c>
      <c r="E46" s="9">
        <v>0</v>
      </c>
      <c r="F46" s="9">
        <v>0</v>
      </c>
      <c r="G46" s="9">
        <f t="shared" si="2"/>
        <v>0</v>
      </c>
      <c r="H46" s="10">
        <f t="shared" si="3"/>
        <v>0</v>
      </c>
    </row>
    <row r="47" spans="1:8" ht="15.75" hidden="1" x14ac:dyDescent="0.25">
      <c r="A47" s="8">
        <v>21080000</v>
      </c>
      <c r="B47" s="23" t="s">
        <v>46</v>
      </c>
      <c r="C47" s="9">
        <v>150</v>
      </c>
      <c r="D47" s="9">
        <v>150</v>
      </c>
      <c r="E47" s="9">
        <v>8.3000000000000007</v>
      </c>
      <c r="F47" s="9">
        <v>108.41974</v>
      </c>
      <c r="G47" s="9">
        <f t="shared" si="2"/>
        <v>100.11974000000001</v>
      </c>
      <c r="H47" s="10">
        <f t="shared" si="3"/>
        <v>1306.2619277108433</v>
      </c>
    </row>
    <row r="48" spans="1:8" ht="15.75" hidden="1" x14ac:dyDescent="0.25">
      <c r="A48" s="8">
        <v>21081100</v>
      </c>
      <c r="B48" s="23" t="s">
        <v>47</v>
      </c>
      <c r="C48" s="9">
        <v>50</v>
      </c>
      <c r="D48" s="9">
        <v>50</v>
      </c>
      <c r="E48" s="9">
        <v>0</v>
      </c>
      <c r="F48" s="9">
        <v>5.3209999999999997</v>
      </c>
      <c r="G48" s="9">
        <f t="shared" si="2"/>
        <v>5.3209999999999997</v>
      </c>
      <c r="H48" s="10">
        <f t="shared" si="3"/>
        <v>0</v>
      </c>
    </row>
    <row r="49" spans="1:8" ht="78.75" hidden="1" x14ac:dyDescent="0.25">
      <c r="A49" s="8">
        <v>21081800</v>
      </c>
      <c r="B49" s="23" t="s">
        <v>48</v>
      </c>
      <c r="C49" s="9">
        <v>100</v>
      </c>
      <c r="D49" s="9">
        <v>100</v>
      </c>
      <c r="E49" s="9">
        <v>8.3000000000000007</v>
      </c>
      <c r="F49" s="9">
        <v>103.09874000000001</v>
      </c>
      <c r="G49" s="9">
        <f t="shared" si="2"/>
        <v>94.798740000000009</v>
      </c>
      <c r="H49" s="10">
        <f t="shared" si="3"/>
        <v>1242.1534939759035</v>
      </c>
    </row>
    <row r="50" spans="1:8" ht="47.25" hidden="1" x14ac:dyDescent="0.25">
      <c r="A50" s="8">
        <v>22000000</v>
      </c>
      <c r="B50" s="23" t="s">
        <v>49</v>
      </c>
      <c r="C50" s="9">
        <v>2110.6</v>
      </c>
      <c r="D50" s="9">
        <v>2110.6</v>
      </c>
      <c r="E50" s="9">
        <v>108.15</v>
      </c>
      <c r="F50" s="9">
        <v>111.47783</v>
      </c>
      <c r="G50" s="9">
        <f t="shared" si="2"/>
        <v>3.3278299999999916</v>
      </c>
      <c r="H50" s="10">
        <f t="shared" si="3"/>
        <v>103.07705039297272</v>
      </c>
    </row>
    <row r="51" spans="1:8" ht="31.5" hidden="1" x14ac:dyDescent="0.25">
      <c r="A51" s="8">
        <v>22010000</v>
      </c>
      <c r="B51" s="23" t="s">
        <v>50</v>
      </c>
      <c r="C51" s="9">
        <v>2060</v>
      </c>
      <c r="D51" s="9">
        <v>2060</v>
      </c>
      <c r="E51" s="9">
        <v>105</v>
      </c>
      <c r="F51" s="9">
        <v>111.18661999999999</v>
      </c>
      <c r="G51" s="9">
        <f t="shared" si="2"/>
        <v>6.1866199999999907</v>
      </c>
      <c r="H51" s="10">
        <f t="shared" si="3"/>
        <v>105.89201904761904</v>
      </c>
    </row>
    <row r="52" spans="1:8" ht="31.5" hidden="1" x14ac:dyDescent="0.25">
      <c r="A52" s="8">
        <v>22012500</v>
      </c>
      <c r="B52" s="23" t="s">
        <v>51</v>
      </c>
      <c r="C52" s="9">
        <v>2000</v>
      </c>
      <c r="D52" s="9">
        <v>2000</v>
      </c>
      <c r="E52" s="9">
        <v>100</v>
      </c>
      <c r="F52" s="9">
        <v>109.37672000000001</v>
      </c>
      <c r="G52" s="9">
        <f t="shared" si="2"/>
        <v>9.3767200000000059</v>
      </c>
      <c r="H52" s="10">
        <f t="shared" si="3"/>
        <v>109.37672000000001</v>
      </c>
    </row>
    <row r="53" spans="1:8" ht="47.25" hidden="1" x14ac:dyDescent="0.25">
      <c r="A53" s="8">
        <v>22012600</v>
      </c>
      <c r="B53" s="23" t="s">
        <v>52</v>
      </c>
      <c r="C53" s="9">
        <v>60</v>
      </c>
      <c r="D53" s="9">
        <v>60</v>
      </c>
      <c r="E53" s="9">
        <v>5</v>
      </c>
      <c r="F53" s="9">
        <v>1.8099000000000001</v>
      </c>
      <c r="G53" s="9">
        <f t="shared" si="2"/>
        <v>-3.1901000000000002</v>
      </c>
      <c r="H53" s="10">
        <f t="shared" si="3"/>
        <v>36.198</v>
      </c>
    </row>
    <row r="54" spans="1:8" ht="15.75" hidden="1" x14ac:dyDescent="0.25">
      <c r="A54" s="8">
        <v>22090000</v>
      </c>
      <c r="B54" s="23" t="s">
        <v>53</v>
      </c>
      <c r="C54" s="9">
        <v>47.5</v>
      </c>
      <c r="D54" s="9">
        <v>47.5</v>
      </c>
      <c r="E54" s="9">
        <v>3.15</v>
      </c>
      <c r="F54" s="9">
        <v>0.29120999999999997</v>
      </c>
      <c r="G54" s="9">
        <f t="shared" si="2"/>
        <v>-2.8587899999999999</v>
      </c>
      <c r="H54" s="10">
        <f t="shared" si="3"/>
        <v>9.244761904761905</v>
      </c>
    </row>
    <row r="55" spans="1:8" ht="78.75" hidden="1" x14ac:dyDescent="0.25">
      <c r="A55" s="8">
        <v>22090100</v>
      </c>
      <c r="B55" s="23" t="s">
        <v>54</v>
      </c>
      <c r="C55" s="9">
        <v>45</v>
      </c>
      <c r="D55" s="9">
        <v>45</v>
      </c>
      <c r="E55" s="9">
        <v>3</v>
      </c>
      <c r="F55" s="9">
        <v>0.12121</v>
      </c>
      <c r="G55" s="9">
        <f t="shared" si="2"/>
        <v>-2.87879</v>
      </c>
      <c r="H55" s="10">
        <f t="shared" si="3"/>
        <v>4.0403333333333329</v>
      </c>
    </row>
    <row r="56" spans="1:8" ht="63" hidden="1" x14ac:dyDescent="0.25">
      <c r="A56" s="8">
        <v>22090400</v>
      </c>
      <c r="B56" s="23" t="s">
        <v>55</v>
      </c>
      <c r="C56" s="9">
        <v>2.5</v>
      </c>
      <c r="D56" s="9">
        <v>2.5</v>
      </c>
      <c r="E56" s="9">
        <v>0.15</v>
      </c>
      <c r="F56" s="9">
        <v>0.17</v>
      </c>
      <c r="G56" s="9">
        <f t="shared" si="2"/>
        <v>2.0000000000000018E-2</v>
      </c>
      <c r="H56" s="10">
        <f t="shared" si="3"/>
        <v>113.33333333333336</v>
      </c>
    </row>
    <row r="57" spans="1:8" ht="141.75" hidden="1" x14ac:dyDescent="0.25">
      <c r="A57" s="8">
        <v>22130000</v>
      </c>
      <c r="B57" s="23" t="s">
        <v>56</v>
      </c>
      <c r="C57" s="9">
        <v>3.1</v>
      </c>
      <c r="D57" s="9">
        <v>3.1</v>
      </c>
      <c r="E57" s="9">
        <v>0</v>
      </c>
      <c r="F57" s="9">
        <v>0</v>
      </c>
      <c r="G57" s="9">
        <f t="shared" si="2"/>
        <v>0</v>
      </c>
      <c r="H57" s="10">
        <f t="shared" si="3"/>
        <v>0</v>
      </c>
    </row>
    <row r="58" spans="1:8" ht="15.75" hidden="1" x14ac:dyDescent="0.25">
      <c r="A58" s="8">
        <v>24000000</v>
      </c>
      <c r="B58" s="23" t="s">
        <v>57</v>
      </c>
      <c r="C58" s="9">
        <v>1</v>
      </c>
      <c r="D58" s="9">
        <v>1</v>
      </c>
      <c r="E58" s="9">
        <v>0</v>
      </c>
      <c r="F58" s="9">
        <v>92.871119999999991</v>
      </c>
      <c r="G58" s="9">
        <f t="shared" si="2"/>
        <v>92.871119999999991</v>
      </c>
      <c r="H58" s="10">
        <f t="shared" si="3"/>
        <v>0</v>
      </c>
    </row>
    <row r="59" spans="1:8" ht="15.75" hidden="1" x14ac:dyDescent="0.25">
      <c r="A59" s="8">
        <v>24060000</v>
      </c>
      <c r="B59" s="23" t="s">
        <v>46</v>
      </c>
      <c r="C59" s="9">
        <v>1</v>
      </c>
      <c r="D59" s="9">
        <v>1</v>
      </c>
      <c r="E59" s="9">
        <v>0</v>
      </c>
      <c r="F59" s="9">
        <v>92.871119999999991</v>
      </c>
      <c r="G59" s="9">
        <f t="shared" si="2"/>
        <v>92.871119999999991</v>
      </c>
      <c r="H59" s="10">
        <f t="shared" si="3"/>
        <v>0</v>
      </c>
    </row>
    <row r="60" spans="1:8" ht="15.75" hidden="1" x14ac:dyDescent="0.25">
      <c r="A60" s="8">
        <v>24060300</v>
      </c>
      <c r="B60" s="23" t="s">
        <v>46</v>
      </c>
      <c r="C60" s="9">
        <v>1</v>
      </c>
      <c r="D60" s="9">
        <v>1</v>
      </c>
      <c r="E60" s="9">
        <v>0</v>
      </c>
      <c r="F60" s="9">
        <v>92.871119999999991</v>
      </c>
      <c r="G60" s="9">
        <f t="shared" si="2"/>
        <v>92.871119999999991</v>
      </c>
      <c r="H60" s="10">
        <f t="shared" si="3"/>
        <v>0</v>
      </c>
    </row>
    <row r="61" spans="1:8" s="16" customFormat="1" ht="17.25" customHeight="1" x14ac:dyDescent="0.25">
      <c r="A61" s="13">
        <v>40000000</v>
      </c>
      <c r="B61" s="22" t="s">
        <v>58</v>
      </c>
      <c r="C61" s="14">
        <v>51782.9</v>
      </c>
      <c r="D61" s="14">
        <v>54281.599999999999</v>
      </c>
      <c r="E61" s="14">
        <v>5948.6</v>
      </c>
      <c r="F61" s="14">
        <v>5840.6</v>
      </c>
      <c r="G61" s="14">
        <f t="shared" si="2"/>
        <v>-108</v>
      </c>
      <c r="H61" s="15">
        <f t="shared" si="3"/>
        <v>98.184446760582318</v>
      </c>
    </row>
    <row r="62" spans="1:8" ht="1.5" hidden="1" customHeight="1" x14ac:dyDescent="0.25">
      <c r="A62" s="8">
        <v>41000000</v>
      </c>
      <c r="B62" s="23" t="s">
        <v>59</v>
      </c>
      <c r="C62" s="9">
        <v>51782.9</v>
      </c>
      <c r="D62" s="9">
        <v>54281.599999999999</v>
      </c>
      <c r="E62" s="9">
        <v>5948.6</v>
      </c>
      <c r="F62" s="9">
        <v>5840.6</v>
      </c>
      <c r="G62" s="9">
        <f t="shared" si="2"/>
        <v>-108</v>
      </c>
      <c r="H62" s="10">
        <f t="shared" si="3"/>
        <v>98.184446760582318</v>
      </c>
    </row>
    <row r="63" spans="1:8" ht="31.5" hidden="1" x14ac:dyDescent="0.25">
      <c r="A63" s="8">
        <v>41020000</v>
      </c>
      <c r="B63" s="23" t="s">
        <v>60</v>
      </c>
      <c r="C63" s="9">
        <v>20133.099999999999</v>
      </c>
      <c r="D63" s="9">
        <v>20133.099999999999</v>
      </c>
      <c r="E63" s="9">
        <v>1886</v>
      </c>
      <c r="F63" s="9">
        <v>1886</v>
      </c>
      <c r="G63" s="9">
        <f t="shared" si="2"/>
        <v>0</v>
      </c>
      <c r="H63" s="10">
        <f t="shared" si="3"/>
        <v>100</v>
      </c>
    </row>
    <row r="64" spans="1:8" ht="15.75" x14ac:dyDescent="0.25">
      <c r="A64" s="8">
        <v>41020100</v>
      </c>
      <c r="B64" s="23" t="s">
        <v>61</v>
      </c>
      <c r="C64" s="9">
        <v>17634.2</v>
      </c>
      <c r="D64" s="9">
        <v>17634.2</v>
      </c>
      <c r="E64" s="9">
        <v>1469.5</v>
      </c>
      <c r="F64" s="9">
        <v>1469.5</v>
      </c>
      <c r="G64" s="9">
        <f t="shared" si="2"/>
        <v>0</v>
      </c>
      <c r="H64" s="10">
        <f t="shared" si="3"/>
        <v>100</v>
      </c>
    </row>
    <row r="65" spans="1:8" ht="130.5" customHeight="1" x14ac:dyDescent="0.25">
      <c r="A65" s="8">
        <v>41021400</v>
      </c>
      <c r="B65" s="23" t="s">
        <v>62</v>
      </c>
      <c r="C65" s="9">
        <v>2498.9</v>
      </c>
      <c r="D65" s="9">
        <v>2498.9</v>
      </c>
      <c r="E65" s="9">
        <v>416.5</v>
      </c>
      <c r="F65" s="9">
        <v>416.5</v>
      </c>
      <c r="G65" s="9">
        <f t="shared" si="2"/>
        <v>0</v>
      </c>
      <c r="H65" s="10">
        <f t="shared" si="3"/>
        <v>100</v>
      </c>
    </row>
    <row r="66" spans="1:8" ht="31.5" hidden="1" x14ac:dyDescent="0.25">
      <c r="A66" s="8">
        <v>41030000</v>
      </c>
      <c r="B66" s="23" t="s">
        <v>63</v>
      </c>
      <c r="C66" s="9">
        <v>31649.8</v>
      </c>
      <c r="D66" s="9">
        <v>34040.5</v>
      </c>
      <c r="E66" s="9">
        <v>3954.6</v>
      </c>
      <c r="F66" s="9">
        <v>3954.6</v>
      </c>
      <c r="G66" s="9">
        <f t="shared" si="2"/>
        <v>0</v>
      </c>
      <c r="H66" s="10">
        <f t="shared" si="3"/>
        <v>100</v>
      </c>
    </row>
    <row r="67" spans="1:8" ht="36" customHeight="1" x14ac:dyDescent="0.25">
      <c r="A67" s="8">
        <v>41033900</v>
      </c>
      <c r="B67" s="23" t="s">
        <v>64</v>
      </c>
      <c r="C67" s="9">
        <v>31649.8</v>
      </c>
      <c r="D67" s="9">
        <v>31649.8</v>
      </c>
      <c r="E67" s="9">
        <v>3620.7</v>
      </c>
      <c r="F67" s="9">
        <v>3620.7</v>
      </c>
      <c r="G67" s="9">
        <f t="shared" si="2"/>
        <v>0</v>
      </c>
      <c r="H67" s="10">
        <f t="shared" si="3"/>
        <v>100</v>
      </c>
    </row>
    <row r="68" spans="1:8" ht="71.25" customHeight="1" x14ac:dyDescent="0.25">
      <c r="A68" s="8">
        <v>41035400</v>
      </c>
      <c r="B68" s="23" t="s">
        <v>65</v>
      </c>
      <c r="C68" s="9">
        <v>0</v>
      </c>
      <c r="D68" s="9">
        <v>205.4</v>
      </c>
      <c r="E68" s="9">
        <v>20.5</v>
      </c>
      <c r="F68" s="9">
        <v>20.5</v>
      </c>
      <c r="G68" s="9">
        <f t="shared" si="2"/>
        <v>0</v>
      </c>
      <c r="H68" s="10">
        <f t="shared" si="3"/>
        <v>100</v>
      </c>
    </row>
    <row r="69" spans="1:8" ht="99.75" customHeight="1" x14ac:dyDescent="0.25">
      <c r="A69" s="8">
        <v>41036000</v>
      </c>
      <c r="B69" s="23" t="s">
        <v>66</v>
      </c>
      <c r="C69" s="9">
        <v>0</v>
      </c>
      <c r="D69" s="9">
        <v>253.6</v>
      </c>
      <c r="E69" s="9">
        <v>0</v>
      </c>
      <c r="F69" s="9">
        <v>0</v>
      </c>
      <c r="G69" s="9">
        <f t="shared" si="2"/>
        <v>0</v>
      </c>
      <c r="H69" s="10">
        <f t="shared" si="3"/>
        <v>0</v>
      </c>
    </row>
    <row r="70" spans="1:8" ht="68.25" customHeight="1" x14ac:dyDescent="0.25">
      <c r="A70" s="8">
        <v>41036300</v>
      </c>
      <c r="B70" s="23" t="s">
        <v>67</v>
      </c>
      <c r="C70" s="9">
        <v>0</v>
      </c>
      <c r="D70" s="9">
        <v>1931.7</v>
      </c>
      <c r="E70" s="9">
        <v>313.39999999999998</v>
      </c>
      <c r="F70" s="9">
        <v>313.39999999999998</v>
      </c>
      <c r="G70" s="9">
        <f t="shared" si="2"/>
        <v>0</v>
      </c>
      <c r="H70" s="10">
        <f t="shared" si="3"/>
        <v>100</v>
      </c>
    </row>
    <row r="71" spans="1:8" ht="31.5" hidden="1" x14ac:dyDescent="0.25">
      <c r="A71" s="8">
        <v>41050000</v>
      </c>
      <c r="B71" s="23" t="s">
        <v>68</v>
      </c>
      <c r="C71" s="9">
        <v>0</v>
      </c>
      <c r="D71" s="9">
        <v>108</v>
      </c>
      <c r="E71" s="9">
        <v>108</v>
      </c>
      <c r="F71" s="9">
        <v>0</v>
      </c>
      <c r="G71" s="9">
        <f t="shared" si="2"/>
        <v>-108</v>
      </c>
      <c r="H71" s="10">
        <f t="shared" si="3"/>
        <v>0</v>
      </c>
    </row>
    <row r="72" spans="1:8" ht="19.5" customHeight="1" x14ac:dyDescent="0.25">
      <c r="A72" s="8">
        <v>41053900</v>
      </c>
      <c r="B72" s="23" t="s">
        <v>69</v>
      </c>
      <c r="C72" s="9">
        <v>0</v>
      </c>
      <c r="D72" s="9">
        <v>108</v>
      </c>
      <c r="E72" s="9">
        <v>108</v>
      </c>
      <c r="F72" s="9">
        <v>0</v>
      </c>
      <c r="G72" s="9">
        <f t="shared" si="2"/>
        <v>-108</v>
      </c>
      <c r="H72" s="10">
        <f t="shared" si="3"/>
        <v>0</v>
      </c>
    </row>
    <row r="73" spans="1:8" ht="21" customHeight="1" x14ac:dyDescent="0.25">
      <c r="A73" s="17" t="s">
        <v>75</v>
      </c>
      <c r="B73" s="17"/>
      <c r="C73" s="18">
        <v>118169</v>
      </c>
      <c r="D73" s="18">
        <v>118169</v>
      </c>
      <c r="E73" s="18">
        <v>7879.6</v>
      </c>
      <c r="F73" s="18">
        <v>11653.37628</v>
      </c>
      <c r="G73" s="18">
        <f t="shared" ref="G73:G104" si="4">F73-E73</f>
        <v>3773.77628</v>
      </c>
      <c r="H73" s="19">
        <f t="shared" si="3"/>
        <v>147.89299304533225</v>
      </c>
    </row>
    <row r="74" spans="1:8" ht="21.75" customHeight="1" x14ac:dyDescent="0.25">
      <c r="A74" s="17" t="s">
        <v>76</v>
      </c>
      <c r="B74" s="17"/>
      <c r="C74" s="18">
        <v>169951.9</v>
      </c>
      <c r="D74" s="18">
        <v>172450.6</v>
      </c>
      <c r="E74" s="18">
        <v>13828.2</v>
      </c>
      <c r="F74" s="18">
        <v>17493.976280000003</v>
      </c>
      <c r="G74" s="18">
        <f t="shared" si="4"/>
        <v>3665.7762800000019</v>
      </c>
      <c r="H74" s="19">
        <f t="shared" si="3"/>
        <v>126.50942479859997</v>
      </c>
    </row>
    <row r="75" spans="1:8" ht="15.75" x14ac:dyDescent="0.25">
      <c r="A75" s="11"/>
      <c r="B75" s="12"/>
      <c r="C75" s="12"/>
      <c r="D75" s="12"/>
      <c r="E75" s="12"/>
      <c r="F75" s="12"/>
      <c r="G75" s="12"/>
      <c r="H75" s="12"/>
    </row>
  </sheetData>
  <mergeCells count="9">
    <mergeCell ref="A2:H2"/>
    <mergeCell ref="A4:H4"/>
    <mergeCell ref="A3:H3"/>
    <mergeCell ref="A5:H5"/>
    <mergeCell ref="A73:B73"/>
    <mergeCell ref="A74:B74"/>
    <mergeCell ref="A7:A8"/>
    <mergeCell ref="B7:B8"/>
    <mergeCell ref="C7:H7"/>
  </mergeCells>
  <pageMargins left="0.59055118110236227" right="0.59055118110236227" top="0.39370078740157483" bottom="0.39370078740157483" header="0" footer="0"/>
  <pageSetup paperSize="9" scale="70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FF7F-74E1-47E0-9424-ACBC6FC97F92}">
  <dimension ref="A1:P48"/>
  <sheetViews>
    <sheetView tabSelected="1" workbookViewId="0">
      <selection activeCell="U15" sqref="U15"/>
    </sheetView>
  </sheetViews>
  <sheetFormatPr defaultRowHeight="12.75" x14ac:dyDescent="0.2"/>
  <cols>
    <col min="1" max="1" width="12.7109375" style="25" customWidth="1"/>
    <col min="2" max="2" width="50.7109375" style="26" customWidth="1"/>
    <col min="3" max="16" width="15.7109375" style="24" customWidth="1"/>
    <col min="17" max="256" width="9.140625" style="24"/>
    <col min="257" max="257" width="12.7109375" style="24" customWidth="1"/>
    <col min="258" max="258" width="50.7109375" style="24" customWidth="1"/>
    <col min="259" max="272" width="15.7109375" style="24" customWidth="1"/>
    <col min="273" max="512" width="9.140625" style="24"/>
    <col min="513" max="513" width="12.7109375" style="24" customWidth="1"/>
    <col min="514" max="514" width="50.7109375" style="24" customWidth="1"/>
    <col min="515" max="528" width="15.7109375" style="24" customWidth="1"/>
    <col min="529" max="768" width="9.140625" style="24"/>
    <col min="769" max="769" width="12.7109375" style="24" customWidth="1"/>
    <col min="770" max="770" width="50.7109375" style="24" customWidth="1"/>
    <col min="771" max="784" width="15.7109375" style="24" customWidth="1"/>
    <col min="785" max="1024" width="9.140625" style="24"/>
    <col min="1025" max="1025" width="12.7109375" style="24" customWidth="1"/>
    <col min="1026" max="1026" width="50.7109375" style="24" customWidth="1"/>
    <col min="1027" max="1040" width="15.7109375" style="24" customWidth="1"/>
    <col min="1041" max="1280" width="9.140625" style="24"/>
    <col min="1281" max="1281" width="12.7109375" style="24" customWidth="1"/>
    <col min="1282" max="1282" width="50.7109375" style="24" customWidth="1"/>
    <col min="1283" max="1296" width="15.7109375" style="24" customWidth="1"/>
    <col min="1297" max="1536" width="9.140625" style="24"/>
    <col min="1537" max="1537" width="12.7109375" style="24" customWidth="1"/>
    <col min="1538" max="1538" width="50.7109375" style="24" customWidth="1"/>
    <col min="1539" max="1552" width="15.7109375" style="24" customWidth="1"/>
    <col min="1553" max="1792" width="9.140625" style="24"/>
    <col min="1793" max="1793" width="12.7109375" style="24" customWidth="1"/>
    <col min="1794" max="1794" width="50.7109375" style="24" customWidth="1"/>
    <col min="1795" max="1808" width="15.7109375" style="24" customWidth="1"/>
    <col min="1809" max="2048" width="9.140625" style="24"/>
    <col min="2049" max="2049" width="12.7109375" style="24" customWidth="1"/>
    <col min="2050" max="2050" width="50.7109375" style="24" customWidth="1"/>
    <col min="2051" max="2064" width="15.7109375" style="24" customWidth="1"/>
    <col min="2065" max="2304" width="9.140625" style="24"/>
    <col min="2305" max="2305" width="12.7109375" style="24" customWidth="1"/>
    <col min="2306" max="2306" width="50.7109375" style="24" customWidth="1"/>
    <col min="2307" max="2320" width="15.7109375" style="24" customWidth="1"/>
    <col min="2321" max="2560" width="9.140625" style="24"/>
    <col min="2561" max="2561" width="12.7109375" style="24" customWidth="1"/>
    <col min="2562" max="2562" width="50.7109375" style="24" customWidth="1"/>
    <col min="2563" max="2576" width="15.7109375" style="24" customWidth="1"/>
    <col min="2577" max="2816" width="9.140625" style="24"/>
    <col min="2817" max="2817" width="12.7109375" style="24" customWidth="1"/>
    <col min="2818" max="2818" width="50.7109375" style="24" customWidth="1"/>
    <col min="2819" max="2832" width="15.7109375" style="24" customWidth="1"/>
    <col min="2833" max="3072" width="9.140625" style="24"/>
    <col min="3073" max="3073" width="12.7109375" style="24" customWidth="1"/>
    <col min="3074" max="3074" width="50.7109375" style="24" customWidth="1"/>
    <col min="3075" max="3088" width="15.7109375" style="24" customWidth="1"/>
    <col min="3089" max="3328" width="9.140625" style="24"/>
    <col min="3329" max="3329" width="12.7109375" style="24" customWidth="1"/>
    <col min="3330" max="3330" width="50.7109375" style="24" customWidth="1"/>
    <col min="3331" max="3344" width="15.7109375" style="24" customWidth="1"/>
    <col min="3345" max="3584" width="9.140625" style="24"/>
    <col min="3585" max="3585" width="12.7109375" style="24" customWidth="1"/>
    <col min="3586" max="3586" width="50.7109375" style="24" customWidth="1"/>
    <col min="3587" max="3600" width="15.7109375" style="24" customWidth="1"/>
    <col min="3601" max="3840" width="9.140625" style="24"/>
    <col min="3841" max="3841" width="12.7109375" style="24" customWidth="1"/>
    <col min="3842" max="3842" width="50.7109375" style="24" customWidth="1"/>
    <col min="3843" max="3856" width="15.7109375" style="24" customWidth="1"/>
    <col min="3857" max="4096" width="9.140625" style="24"/>
    <col min="4097" max="4097" width="12.7109375" style="24" customWidth="1"/>
    <col min="4098" max="4098" width="50.7109375" style="24" customWidth="1"/>
    <col min="4099" max="4112" width="15.7109375" style="24" customWidth="1"/>
    <col min="4113" max="4352" width="9.140625" style="24"/>
    <col min="4353" max="4353" width="12.7109375" style="24" customWidth="1"/>
    <col min="4354" max="4354" width="50.7109375" style="24" customWidth="1"/>
    <col min="4355" max="4368" width="15.7109375" style="24" customWidth="1"/>
    <col min="4369" max="4608" width="9.140625" style="24"/>
    <col min="4609" max="4609" width="12.7109375" style="24" customWidth="1"/>
    <col min="4610" max="4610" width="50.7109375" style="24" customWidth="1"/>
    <col min="4611" max="4624" width="15.7109375" style="24" customWidth="1"/>
    <col min="4625" max="4864" width="9.140625" style="24"/>
    <col min="4865" max="4865" width="12.7109375" style="24" customWidth="1"/>
    <col min="4866" max="4866" width="50.7109375" style="24" customWidth="1"/>
    <col min="4867" max="4880" width="15.7109375" style="24" customWidth="1"/>
    <col min="4881" max="5120" width="9.140625" style="24"/>
    <col min="5121" max="5121" width="12.7109375" style="24" customWidth="1"/>
    <col min="5122" max="5122" width="50.7109375" style="24" customWidth="1"/>
    <col min="5123" max="5136" width="15.7109375" style="24" customWidth="1"/>
    <col min="5137" max="5376" width="9.140625" style="24"/>
    <col min="5377" max="5377" width="12.7109375" style="24" customWidth="1"/>
    <col min="5378" max="5378" width="50.7109375" style="24" customWidth="1"/>
    <col min="5379" max="5392" width="15.7109375" style="24" customWidth="1"/>
    <col min="5393" max="5632" width="9.140625" style="24"/>
    <col min="5633" max="5633" width="12.7109375" style="24" customWidth="1"/>
    <col min="5634" max="5634" width="50.7109375" style="24" customWidth="1"/>
    <col min="5635" max="5648" width="15.7109375" style="24" customWidth="1"/>
    <col min="5649" max="5888" width="9.140625" style="24"/>
    <col min="5889" max="5889" width="12.7109375" style="24" customWidth="1"/>
    <col min="5890" max="5890" width="50.7109375" style="24" customWidth="1"/>
    <col min="5891" max="5904" width="15.7109375" style="24" customWidth="1"/>
    <col min="5905" max="6144" width="9.140625" style="24"/>
    <col min="6145" max="6145" width="12.7109375" style="24" customWidth="1"/>
    <col min="6146" max="6146" width="50.7109375" style="24" customWidth="1"/>
    <col min="6147" max="6160" width="15.7109375" style="24" customWidth="1"/>
    <col min="6161" max="6400" width="9.140625" style="24"/>
    <col min="6401" max="6401" width="12.7109375" style="24" customWidth="1"/>
    <col min="6402" max="6402" width="50.7109375" style="24" customWidth="1"/>
    <col min="6403" max="6416" width="15.7109375" style="24" customWidth="1"/>
    <col min="6417" max="6656" width="9.140625" style="24"/>
    <col min="6657" max="6657" width="12.7109375" style="24" customWidth="1"/>
    <col min="6658" max="6658" width="50.7109375" style="24" customWidth="1"/>
    <col min="6659" max="6672" width="15.7109375" style="24" customWidth="1"/>
    <col min="6673" max="6912" width="9.140625" style="24"/>
    <col min="6913" max="6913" width="12.7109375" style="24" customWidth="1"/>
    <col min="6914" max="6914" width="50.7109375" style="24" customWidth="1"/>
    <col min="6915" max="6928" width="15.7109375" style="24" customWidth="1"/>
    <col min="6929" max="7168" width="9.140625" style="24"/>
    <col min="7169" max="7169" width="12.7109375" style="24" customWidth="1"/>
    <col min="7170" max="7170" width="50.7109375" style="24" customWidth="1"/>
    <col min="7171" max="7184" width="15.7109375" style="24" customWidth="1"/>
    <col min="7185" max="7424" width="9.140625" style="24"/>
    <col min="7425" max="7425" width="12.7109375" style="24" customWidth="1"/>
    <col min="7426" max="7426" width="50.7109375" style="24" customWidth="1"/>
    <col min="7427" max="7440" width="15.7109375" style="24" customWidth="1"/>
    <col min="7441" max="7680" width="9.140625" style="24"/>
    <col min="7681" max="7681" width="12.7109375" style="24" customWidth="1"/>
    <col min="7682" max="7682" width="50.7109375" style="24" customWidth="1"/>
    <col min="7683" max="7696" width="15.7109375" style="24" customWidth="1"/>
    <col min="7697" max="7936" width="9.140625" style="24"/>
    <col min="7937" max="7937" width="12.7109375" style="24" customWidth="1"/>
    <col min="7938" max="7938" width="50.7109375" style="24" customWidth="1"/>
    <col min="7939" max="7952" width="15.7109375" style="24" customWidth="1"/>
    <col min="7953" max="8192" width="9.140625" style="24"/>
    <col min="8193" max="8193" width="12.7109375" style="24" customWidth="1"/>
    <col min="8194" max="8194" width="50.7109375" style="24" customWidth="1"/>
    <col min="8195" max="8208" width="15.7109375" style="24" customWidth="1"/>
    <col min="8209" max="8448" width="9.140625" style="24"/>
    <col min="8449" max="8449" width="12.7109375" style="24" customWidth="1"/>
    <col min="8450" max="8450" width="50.7109375" style="24" customWidth="1"/>
    <col min="8451" max="8464" width="15.7109375" style="24" customWidth="1"/>
    <col min="8465" max="8704" width="9.140625" style="24"/>
    <col min="8705" max="8705" width="12.7109375" style="24" customWidth="1"/>
    <col min="8706" max="8706" width="50.7109375" style="24" customWidth="1"/>
    <col min="8707" max="8720" width="15.7109375" style="24" customWidth="1"/>
    <col min="8721" max="8960" width="9.140625" style="24"/>
    <col min="8961" max="8961" width="12.7109375" style="24" customWidth="1"/>
    <col min="8962" max="8962" width="50.7109375" style="24" customWidth="1"/>
    <col min="8963" max="8976" width="15.7109375" style="24" customWidth="1"/>
    <col min="8977" max="9216" width="9.140625" style="24"/>
    <col min="9217" max="9217" width="12.7109375" style="24" customWidth="1"/>
    <col min="9218" max="9218" width="50.7109375" style="24" customWidth="1"/>
    <col min="9219" max="9232" width="15.7109375" style="24" customWidth="1"/>
    <col min="9233" max="9472" width="9.140625" style="24"/>
    <col min="9473" max="9473" width="12.7109375" style="24" customWidth="1"/>
    <col min="9474" max="9474" width="50.7109375" style="24" customWidth="1"/>
    <col min="9475" max="9488" width="15.7109375" style="24" customWidth="1"/>
    <col min="9489" max="9728" width="9.140625" style="24"/>
    <col min="9729" max="9729" width="12.7109375" style="24" customWidth="1"/>
    <col min="9730" max="9730" width="50.7109375" style="24" customWidth="1"/>
    <col min="9731" max="9744" width="15.7109375" style="24" customWidth="1"/>
    <col min="9745" max="9984" width="9.140625" style="24"/>
    <col min="9985" max="9985" width="12.7109375" style="24" customWidth="1"/>
    <col min="9986" max="9986" width="50.7109375" style="24" customWidth="1"/>
    <col min="9987" max="10000" width="15.7109375" style="24" customWidth="1"/>
    <col min="10001" max="10240" width="9.140625" style="24"/>
    <col min="10241" max="10241" width="12.7109375" style="24" customWidth="1"/>
    <col min="10242" max="10242" width="50.7109375" style="24" customWidth="1"/>
    <col min="10243" max="10256" width="15.7109375" style="24" customWidth="1"/>
    <col min="10257" max="10496" width="9.140625" style="24"/>
    <col min="10497" max="10497" width="12.7109375" style="24" customWidth="1"/>
    <col min="10498" max="10498" width="50.7109375" style="24" customWidth="1"/>
    <col min="10499" max="10512" width="15.7109375" style="24" customWidth="1"/>
    <col min="10513" max="10752" width="9.140625" style="24"/>
    <col min="10753" max="10753" width="12.7109375" style="24" customWidth="1"/>
    <col min="10754" max="10754" width="50.7109375" style="24" customWidth="1"/>
    <col min="10755" max="10768" width="15.7109375" style="24" customWidth="1"/>
    <col min="10769" max="11008" width="9.140625" style="24"/>
    <col min="11009" max="11009" width="12.7109375" style="24" customWidth="1"/>
    <col min="11010" max="11010" width="50.7109375" style="24" customWidth="1"/>
    <col min="11011" max="11024" width="15.7109375" style="24" customWidth="1"/>
    <col min="11025" max="11264" width="9.140625" style="24"/>
    <col min="11265" max="11265" width="12.7109375" style="24" customWidth="1"/>
    <col min="11266" max="11266" width="50.7109375" style="24" customWidth="1"/>
    <col min="11267" max="11280" width="15.7109375" style="24" customWidth="1"/>
    <col min="11281" max="11520" width="9.140625" style="24"/>
    <col min="11521" max="11521" width="12.7109375" style="24" customWidth="1"/>
    <col min="11522" max="11522" width="50.7109375" style="24" customWidth="1"/>
    <col min="11523" max="11536" width="15.7109375" style="24" customWidth="1"/>
    <col min="11537" max="11776" width="9.140625" style="24"/>
    <col min="11777" max="11777" width="12.7109375" style="24" customWidth="1"/>
    <col min="11778" max="11778" width="50.7109375" style="24" customWidth="1"/>
    <col min="11779" max="11792" width="15.7109375" style="24" customWidth="1"/>
    <col min="11793" max="12032" width="9.140625" style="24"/>
    <col min="12033" max="12033" width="12.7109375" style="24" customWidth="1"/>
    <col min="12034" max="12034" width="50.7109375" style="24" customWidth="1"/>
    <col min="12035" max="12048" width="15.7109375" style="24" customWidth="1"/>
    <col min="12049" max="12288" width="9.140625" style="24"/>
    <col min="12289" max="12289" width="12.7109375" style="24" customWidth="1"/>
    <col min="12290" max="12290" width="50.7109375" style="24" customWidth="1"/>
    <col min="12291" max="12304" width="15.7109375" style="24" customWidth="1"/>
    <col min="12305" max="12544" width="9.140625" style="24"/>
    <col min="12545" max="12545" width="12.7109375" style="24" customWidth="1"/>
    <col min="12546" max="12546" width="50.7109375" style="24" customWidth="1"/>
    <col min="12547" max="12560" width="15.7109375" style="24" customWidth="1"/>
    <col min="12561" max="12800" width="9.140625" style="24"/>
    <col min="12801" max="12801" width="12.7109375" style="24" customWidth="1"/>
    <col min="12802" max="12802" width="50.7109375" style="24" customWidth="1"/>
    <col min="12803" max="12816" width="15.7109375" style="24" customWidth="1"/>
    <col min="12817" max="13056" width="9.140625" style="24"/>
    <col min="13057" max="13057" width="12.7109375" style="24" customWidth="1"/>
    <col min="13058" max="13058" width="50.7109375" style="24" customWidth="1"/>
    <col min="13059" max="13072" width="15.7109375" style="24" customWidth="1"/>
    <col min="13073" max="13312" width="9.140625" style="24"/>
    <col min="13313" max="13313" width="12.7109375" style="24" customWidth="1"/>
    <col min="13314" max="13314" width="50.7109375" style="24" customWidth="1"/>
    <col min="13315" max="13328" width="15.7109375" style="24" customWidth="1"/>
    <col min="13329" max="13568" width="9.140625" style="24"/>
    <col min="13569" max="13569" width="12.7109375" style="24" customWidth="1"/>
    <col min="13570" max="13570" width="50.7109375" style="24" customWidth="1"/>
    <col min="13571" max="13584" width="15.7109375" style="24" customWidth="1"/>
    <col min="13585" max="13824" width="9.140625" style="24"/>
    <col min="13825" max="13825" width="12.7109375" style="24" customWidth="1"/>
    <col min="13826" max="13826" width="50.7109375" style="24" customWidth="1"/>
    <col min="13827" max="13840" width="15.7109375" style="24" customWidth="1"/>
    <col min="13841" max="14080" width="9.140625" style="24"/>
    <col min="14081" max="14081" width="12.7109375" style="24" customWidth="1"/>
    <col min="14082" max="14082" width="50.7109375" style="24" customWidth="1"/>
    <col min="14083" max="14096" width="15.7109375" style="24" customWidth="1"/>
    <col min="14097" max="14336" width="9.140625" style="24"/>
    <col min="14337" max="14337" width="12.7109375" style="24" customWidth="1"/>
    <col min="14338" max="14338" width="50.7109375" style="24" customWidth="1"/>
    <col min="14339" max="14352" width="15.7109375" style="24" customWidth="1"/>
    <col min="14353" max="14592" width="9.140625" style="24"/>
    <col min="14593" max="14593" width="12.7109375" style="24" customWidth="1"/>
    <col min="14594" max="14594" width="50.7109375" style="24" customWidth="1"/>
    <col min="14595" max="14608" width="15.7109375" style="24" customWidth="1"/>
    <col min="14609" max="14848" width="9.140625" style="24"/>
    <col min="14849" max="14849" width="12.7109375" style="24" customWidth="1"/>
    <col min="14850" max="14850" width="50.7109375" style="24" customWidth="1"/>
    <col min="14851" max="14864" width="15.7109375" style="24" customWidth="1"/>
    <col min="14865" max="15104" width="9.140625" style="24"/>
    <col min="15105" max="15105" width="12.7109375" style="24" customWidth="1"/>
    <col min="15106" max="15106" width="50.7109375" style="24" customWidth="1"/>
    <col min="15107" max="15120" width="15.7109375" style="24" customWidth="1"/>
    <col min="15121" max="15360" width="9.140625" style="24"/>
    <col min="15361" max="15361" width="12.7109375" style="24" customWidth="1"/>
    <col min="15362" max="15362" width="50.7109375" style="24" customWidth="1"/>
    <col min="15363" max="15376" width="15.7109375" style="24" customWidth="1"/>
    <col min="15377" max="15616" width="9.140625" style="24"/>
    <col min="15617" max="15617" width="12.7109375" style="24" customWidth="1"/>
    <col min="15618" max="15618" width="50.7109375" style="24" customWidth="1"/>
    <col min="15619" max="15632" width="15.7109375" style="24" customWidth="1"/>
    <col min="15633" max="15872" width="9.140625" style="24"/>
    <col min="15873" max="15873" width="12.7109375" style="24" customWidth="1"/>
    <col min="15874" max="15874" width="50.7109375" style="24" customWidth="1"/>
    <col min="15875" max="15888" width="15.7109375" style="24" customWidth="1"/>
    <col min="15889" max="16128" width="9.140625" style="24"/>
    <col min="16129" max="16129" width="12.7109375" style="24" customWidth="1"/>
    <col min="16130" max="16130" width="50.7109375" style="24" customWidth="1"/>
    <col min="16131" max="16144" width="15.7109375" style="24" customWidth="1"/>
    <col min="16145" max="16384" width="9.140625" style="24"/>
  </cols>
  <sheetData>
    <row r="1" spans="1:16" ht="15" x14ac:dyDescent="0.25">
      <c r="A1" s="29"/>
      <c r="B1" s="30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ht="15.75" x14ac:dyDescent="0.25">
      <c r="A2" s="46" t="s">
        <v>71</v>
      </c>
      <c r="B2" s="46"/>
      <c r="C2" s="46"/>
      <c r="D2" s="46"/>
      <c r="E2" s="46"/>
      <c r="F2" s="46"/>
      <c r="G2" s="46"/>
      <c r="H2" s="46"/>
      <c r="I2" s="31"/>
      <c r="J2" s="31"/>
      <c r="K2" s="31"/>
      <c r="L2" s="31"/>
      <c r="M2" s="31"/>
      <c r="N2" s="31"/>
      <c r="O2" s="31"/>
      <c r="P2" s="31"/>
    </row>
    <row r="3" spans="1:16" ht="15.75" x14ac:dyDescent="0.25">
      <c r="A3" s="46" t="s">
        <v>142</v>
      </c>
      <c r="B3" s="46"/>
      <c r="C3" s="46"/>
      <c r="D3" s="46"/>
      <c r="E3" s="46"/>
      <c r="F3" s="46"/>
      <c r="G3" s="46"/>
      <c r="H3" s="46"/>
      <c r="I3" s="31"/>
      <c r="J3" s="31"/>
      <c r="K3" s="31"/>
      <c r="L3" s="31"/>
      <c r="M3" s="31"/>
      <c r="N3" s="31"/>
      <c r="O3" s="31"/>
      <c r="P3" s="31"/>
    </row>
    <row r="4" spans="1:16" ht="15.75" x14ac:dyDescent="0.25">
      <c r="A4" s="46" t="s">
        <v>73</v>
      </c>
      <c r="B4" s="46"/>
      <c r="C4" s="46"/>
      <c r="D4" s="46"/>
      <c r="E4" s="46"/>
      <c r="F4" s="46"/>
      <c r="G4" s="46"/>
      <c r="H4" s="46"/>
      <c r="I4" s="42"/>
      <c r="J4" s="42"/>
      <c r="K4" s="42"/>
      <c r="L4" s="42"/>
      <c r="M4" s="42"/>
      <c r="N4" s="42"/>
      <c r="O4" s="42"/>
      <c r="P4" s="42"/>
    </row>
    <row r="5" spans="1:16" ht="14.25" x14ac:dyDescent="0.2">
      <c r="A5" s="32" t="s">
        <v>74</v>
      </c>
      <c r="B5" s="32"/>
      <c r="C5" s="32"/>
      <c r="D5" s="32"/>
      <c r="E5" s="32"/>
      <c r="F5" s="32"/>
      <c r="G5" s="32"/>
      <c r="H5" s="32"/>
      <c r="I5" s="42"/>
      <c r="J5" s="42"/>
      <c r="K5" s="42"/>
      <c r="L5" s="42"/>
      <c r="M5" s="42"/>
      <c r="N5" s="42"/>
      <c r="O5" s="42"/>
      <c r="P5" s="42"/>
    </row>
    <row r="6" spans="1:16" ht="15" x14ac:dyDescent="0.25">
      <c r="A6" s="29"/>
      <c r="B6" s="30"/>
      <c r="C6" s="31"/>
      <c r="D6" s="31"/>
      <c r="E6" s="31"/>
      <c r="F6" s="31"/>
      <c r="G6" s="33" t="s">
        <v>143</v>
      </c>
      <c r="H6" s="31"/>
      <c r="I6" s="31"/>
      <c r="J6" s="31"/>
      <c r="K6" s="31"/>
      <c r="L6" s="33"/>
      <c r="M6" s="31"/>
      <c r="N6" s="31"/>
      <c r="O6" s="31"/>
      <c r="P6" s="33"/>
    </row>
    <row r="7" spans="1:16" s="27" customFormat="1" ht="71.25" x14ac:dyDescent="0.2">
      <c r="A7" s="28" t="s">
        <v>77</v>
      </c>
      <c r="B7" s="28" t="s">
        <v>78</v>
      </c>
      <c r="C7" s="28" t="s">
        <v>79</v>
      </c>
      <c r="D7" s="28" t="s">
        <v>80</v>
      </c>
      <c r="E7" s="28" t="s">
        <v>81</v>
      </c>
      <c r="F7" s="28" t="s">
        <v>82</v>
      </c>
      <c r="G7" s="28" t="s">
        <v>83</v>
      </c>
      <c r="H7" s="28" t="s">
        <v>141</v>
      </c>
      <c r="I7" s="34"/>
      <c r="J7" s="34"/>
      <c r="K7" s="34"/>
      <c r="L7" s="34"/>
      <c r="M7" s="34"/>
      <c r="N7" s="34"/>
      <c r="O7" s="34"/>
    </row>
    <row r="8" spans="1:16" ht="15" x14ac:dyDescent="0.25">
      <c r="A8" s="28">
        <v>1</v>
      </c>
      <c r="B8" s="28">
        <v>2</v>
      </c>
      <c r="C8" s="28">
        <v>3</v>
      </c>
      <c r="D8" s="28">
        <v>4</v>
      </c>
      <c r="E8" s="28">
        <v>5</v>
      </c>
      <c r="F8" s="28">
        <v>6</v>
      </c>
      <c r="G8" s="28">
        <v>7</v>
      </c>
      <c r="H8" s="28">
        <v>8</v>
      </c>
      <c r="I8" s="31"/>
      <c r="J8" s="31"/>
      <c r="K8" s="31"/>
      <c r="L8" s="31"/>
      <c r="M8" s="31"/>
      <c r="N8" s="31"/>
      <c r="O8" s="31"/>
    </row>
    <row r="9" spans="1:16" ht="60" x14ac:dyDescent="0.25">
      <c r="A9" s="35" t="s">
        <v>84</v>
      </c>
      <c r="B9" s="36" t="s">
        <v>85</v>
      </c>
      <c r="C9" s="37">
        <v>37368.589000000014</v>
      </c>
      <c r="D9" s="37">
        <v>2938.4050000000002</v>
      </c>
      <c r="E9" s="37">
        <v>1891.24766</v>
      </c>
      <c r="F9" s="38">
        <f>C9-E9</f>
        <v>35477.341340000014</v>
      </c>
      <c r="G9" s="38">
        <f>D9-E9</f>
        <v>1047.1573400000002</v>
      </c>
      <c r="H9" s="38">
        <f>IF(D9=0,0,(E9/D9)*100)</f>
        <v>64.36306976063544</v>
      </c>
      <c r="I9" s="39"/>
      <c r="J9" s="31"/>
      <c r="K9" s="31"/>
      <c r="L9" s="31"/>
      <c r="M9" s="31"/>
      <c r="N9" s="31"/>
      <c r="O9" s="31"/>
    </row>
    <row r="10" spans="1:16" ht="45" x14ac:dyDescent="0.25">
      <c r="A10" s="35" t="s">
        <v>86</v>
      </c>
      <c r="B10" s="36" t="s">
        <v>87</v>
      </c>
      <c r="C10" s="37">
        <v>22194.064999999999</v>
      </c>
      <c r="D10" s="37">
        <v>2270.6970000000001</v>
      </c>
      <c r="E10" s="37">
        <v>924.93900000000008</v>
      </c>
      <c r="F10" s="38">
        <f>C10-E10</f>
        <v>21269.126</v>
      </c>
      <c r="G10" s="38">
        <f>D10-E10</f>
        <v>1345.758</v>
      </c>
      <c r="H10" s="38">
        <f>IF(D10=0,0,(E10/D10)*100)</f>
        <v>40.733704232665126</v>
      </c>
      <c r="I10" s="39"/>
      <c r="J10" s="31"/>
      <c r="K10" s="31"/>
      <c r="L10" s="31"/>
      <c r="M10" s="31"/>
      <c r="N10" s="31"/>
      <c r="O10" s="31"/>
    </row>
    <row r="11" spans="1:16" ht="45" x14ac:dyDescent="0.25">
      <c r="A11" s="35" t="s">
        <v>88</v>
      </c>
      <c r="B11" s="36" t="s">
        <v>89</v>
      </c>
      <c r="C11" s="37">
        <v>31649.8</v>
      </c>
      <c r="D11" s="37">
        <v>3620.7000000000003</v>
      </c>
      <c r="E11" s="37">
        <v>3117.6375600000001</v>
      </c>
      <c r="F11" s="38">
        <f>C11-E11</f>
        <v>28532.16244</v>
      </c>
      <c r="G11" s="38">
        <f>D11-E11</f>
        <v>503.06244000000015</v>
      </c>
      <c r="H11" s="38">
        <f>IF(D11=0,0,(E11/D11)*100)</f>
        <v>86.105934211616528</v>
      </c>
      <c r="I11" s="39"/>
      <c r="J11" s="31"/>
      <c r="K11" s="31"/>
      <c r="L11" s="31"/>
      <c r="M11" s="31"/>
      <c r="N11" s="31"/>
      <c r="O11" s="31"/>
    </row>
    <row r="12" spans="1:16" ht="75" x14ac:dyDescent="0.25">
      <c r="A12" s="35" t="s">
        <v>90</v>
      </c>
      <c r="B12" s="36" t="s">
        <v>91</v>
      </c>
      <c r="C12" s="37">
        <v>253.6</v>
      </c>
      <c r="D12" s="37">
        <v>0</v>
      </c>
      <c r="E12" s="37">
        <v>0</v>
      </c>
      <c r="F12" s="38">
        <f>C12-E12</f>
        <v>253.6</v>
      </c>
      <c r="G12" s="38">
        <f>D12-E12</f>
        <v>0</v>
      </c>
      <c r="H12" s="38">
        <f>IF(D12=0,0,(E12/D12)*100)</f>
        <v>0</v>
      </c>
      <c r="I12" s="39"/>
      <c r="J12" s="31"/>
      <c r="K12" s="31"/>
      <c r="L12" s="31"/>
      <c r="M12" s="31"/>
      <c r="N12" s="31"/>
      <c r="O12" s="31"/>
    </row>
    <row r="13" spans="1:16" ht="75" x14ac:dyDescent="0.25">
      <c r="A13" s="35" t="s">
        <v>92</v>
      </c>
      <c r="B13" s="36" t="s">
        <v>93</v>
      </c>
      <c r="C13" s="37">
        <v>205.4</v>
      </c>
      <c r="D13" s="37">
        <v>20.5</v>
      </c>
      <c r="E13" s="37">
        <v>20.356999999999999</v>
      </c>
      <c r="F13" s="38">
        <f>C13-E13</f>
        <v>185.04300000000001</v>
      </c>
      <c r="G13" s="38">
        <f>D13-E13</f>
        <v>0.14300000000000068</v>
      </c>
      <c r="H13" s="38">
        <f>IF(D13=0,0,(E13/D13)*100)</f>
        <v>99.302439024390239</v>
      </c>
      <c r="I13" s="39"/>
      <c r="J13" s="31"/>
      <c r="K13" s="31"/>
      <c r="L13" s="31"/>
      <c r="M13" s="31"/>
      <c r="N13" s="31"/>
      <c r="O13" s="31"/>
    </row>
    <row r="14" spans="1:16" ht="45" x14ac:dyDescent="0.25">
      <c r="A14" s="35" t="s">
        <v>94</v>
      </c>
      <c r="B14" s="36" t="s">
        <v>95</v>
      </c>
      <c r="C14" s="37">
        <v>1931.7</v>
      </c>
      <c r="D14" s="37">
        <v>313.39999999999998</v>
      </c>
      <c r="E14" s="37">
        <v>304.65156000000002</v>
      </c>
      <c r="F14" s="38">
        <f>C14-E14</f>
        <v>1627.04844</v>
      </c>
      <c r="G14" s="38">
        <f>D14-E14</f>
        <v>8.7484399999999596</v>
      </c>
      <c r="H14" s="38">
        <f>IF(D14=0,0,(E14/D14)*100)</f>
        <v>97.208538608806649</v>
      </c>
      <c r="I14" s="39"/>
      <c r="J14" s="31"/>
      <c r="K14" s="31"/>
      <c r="L14" s="31"/>
      <c r="M14" s="31"/>
      <c r="N14" s="31"/>
      <c r="O14" s="31"/>
    </row>
    <row r="15" spans="1:16" ht="30" x14ac:dyDescent="0.25">
      <c r="A15" s="35" t="s">
        <v>96</v>
      </c>
      <c r="B15" s="36" t="s">
        <v>97</v>
      </c>
      <c r="C15" s="37">
        <v>60</v>
      </c>
      <c r="D15" s="37">
        <v>5</v>
      </c>
      <c r="E15" s="37">
        <v>0</v>
      </c>
      <c r="F15" s="38">
        <f>C15-E15</f>
        <v>60</v>
      </c>
      <c r="G15" s="38">
        <f>D15-E15</f>
        <v>5</v>
      </c>
      <c r="H15" s="38">
        <f>IF(D15=0,0,(E15/D15)*100)</f>
        <v>0</v>
      </c>
      <c r="I15" s="39"/>
      <c r="J15" s="31"/>
      <c r="K15" s="31"/>
      <c r="L15" s="31"/>
      <c r="M15" s="31"/>
      <c r="N15" s="31"/>
      <c r="O15" s="31"/>
    </row>
    <row r="16" spans="1:16" ht="30" x14ac:dyDescent="0.25">
      <c r="A16" s="35" t="s">
        <v>98</v>
      </c>
      <c r="B16" s="36" t="s">
        <v>99</v>
      </c>
      <c r="C16" s="37">
        <v>1.62</v>
      </c>
      <c r="D16" s="37">
        <v>0.13500000000000001</v>
      </c>
      <c r="E16" s="37">
        <v>0</v>
      </c>
      <c r="F16" s="38">
        <f>C16-E16</f>
        <v>1.62</v>
      </c>
      <c r="G16" s="38">
        <f>D16-E16</f>
        <v>0.13500000000000001</v>
      </c>
      <c r="H16" s="38">
        <f>IF(D16=0,0,(E16/D16)*100)</f>
        <v>0</v>
      </c>
      <c r="I16" s="39"/>
      <c r="J16" s="31"/>
      <c r="K16" s="31"/>
      <c r="L16" s="31"/>
      <c r="M16" s="31"/>
      <c r="N16" s="31"/>
      <c r="O16" s="31"/>
    </row>
    <row r="17" spans="1:15" ht="30" x14ac:dyDescent="0.25">
      <c r="A17" s="35" t="s">
        <v>100</v>
      </c>
      <c r="B17" s="36" t="s">
        <v>101</v>
      </c>
      <c r="C17" s="37">
        <v>50</v>
      </c>
      <c r="D17" s="37">
        <v>50</v>
      </c>
      <c r="E17" s="37">
        <v>0</v>
      </c>
      <c r="F17" s="38">
        <f>C17-E17</f>
        <v>50</v>
      </c>
      <c r="G17" s="38">
        <f>D17-E17</f>
        <v>50</v>
      </c>
      <c r="H17" s="38">
        <f>IF(D17=0,0,(E17/D17)*100)</f>
        <v>0</v>
      </c>
      <c r="I17" s="39"/>
      <c r="J17" s="31"/>
      <c r="K17" s="31"/>
      <c r="L17" s="31"/>
      <c r="M17" s="31"/>
      <c r="N17" s="31"/>
      <c r="O17" s="31"/>
    </row>
    <row r="18" spans="1:15" ht="30" x14ac:dyDescent="0.25">
      <c r="A18" s="35" t="s">
        <v>102</v>
      </c>
      <c r="B18" s="36" t="s">
        <v>103</v>
      </c>
      <c r="C18" s="37">
        <v>28.8</v>
      </c>
      <c r="D18" s="37">
        <v>28.8</v>
      </c>
      <c r="E18" s="37">
        <v>0</v>
      </c>
      <c r="F18" s="38">
        <f>C18-E18</f>
        <v>28.8</v>
      </c>
      <c r="G18" s="38">
        <f>D18-E18</f>
        <v>28.8</v>
      </c>
      <c r="H18" s="38">
        <f>IF(D18=0,0,(E18/D18)*100)</f>
        <v>0</v>
      </c>
      <c r="I18" s="39"/>
      <c r="J18" s="31"/>
      <c r="K18" s="31"/>
      <c r="L18" s="31"/>
      <c r="M18" s="31"/>
      <c r="N18" s="31"/>
      <c r="O18" s="31"/>
    </row>
    <row r="19" spans="1:15" ht="60" x14ac:dyDescent="0.25">
      <c r="A19" s="35" t="s">
        <v>104</v>
      </c>
      <c r="B19" s="36" t="s">
        <v>105</v>
      </c>
      <c r="C19" s="37">
        <v>320</v>
      </c>
      <c r="D19" s="37">
        <v>0</v>
      </c>
      <c r="E19" s="37">
        <v>0</v>
      </c>
      <c r="F19" s="38">
        <f>C19-E19</f>
        <v>320</v>
      </c>
      <c r="G19" s="38">
        <f>D19-E19</f>
        <v>0</v>
      </c>
      <c r="H19" s="38">
        <f>IF(D19=0,0,(E19/D19)*100)</f>
        <v>0</v>
      </c>
      <c r="I19" s="39"/>
      <c r="J19" s="31"/>
      <c r="K19" s="31"/>
      <c r="L19" s="31"/>
      <c r="M19" s="31"/>
      <c r="N19" s="31"/>
      <c r="O19" s="31"/>
    </row>
    <row r="20" spans="1:15" ht="75" x14ac:dyDescent="0.25">
      <c r="A20" s="35" t="s">
        <v>106</v>
      </c>
      <c r="B20" s="36" t="s">
        <v>107</v>
      </c>
      <c r="C20" s="37">
        <v>943.00200000000007</v>
      </c>
      <c r="D20" s="37">
        <v>78.600000000000009</v>
      </c>
      <c r="E20" s="37">
        <v>34.242839999999994</v>
      </c>
      <c r="F20" s="38">
        <f>C20-E20</f>
        <v>908.75916000000007</v>
      </c>
      <c r="G20" s="38">
        <f>D20-E20</f>
        <v>44.357160000000015</v>
      </c>
      <c r="H20" s="38">
        <f>IF(D20=0,0,(E20/D20)*100)</f>
        <v>43.565954198473271</v>
      </c>
      <c r="I20" s="39"/>
      <c r="J20" s="31"/>
      <c r="K20" s="31"/>
      <c r="L20" s="31"/>
      <c r="M20" s="31"/>
      <c r="N20" s="31"/>
      <c r="O20" s="31"/>
    </row>
    <row r="21" spans="1:15" ht="45" x14ac:dyDescent="0.25">
      <c r="A21" s="35" t="s">
        <v>108</v>
      </c>
      <c r="B21" s="36" t="s">
        <v>109</v>
      </c>
      <c r="C21" s="37">
        <v>199</v>
      </c>
      <c r="D21" s="37">
        <v>199</v>
      </c>
      <c r="E21" s="37">
        <v>0</v>
      </c>
      <c r="F21" s="38">
        <f>C21-E21</f>
        <v>199</v>
      </c>
      <c r="G21" s="38">
        <f>D21-E21</f>
        <v>199</v>
      </c>
      <c r="H21" s="38">
        <f>IF(D21=0,0,(E21/D21)*100)</f>
        <v>0</v>
      </c>
      <c r="I21" s="39"/>
      <c r="J21" s="31"/>
      <c r="K21" s="31"/>
      <c r="L21" s="31"/>
      <c r="M21" s="31"/>
      <c r="N21" s="31"/>
      <c r="O21" s="31"/>
    </row>
    <row r="22" spans="1:15" ht="45" x14ac:dyDescent="0.25">
      <c r="A22" s="35" t="s">
        <v>110</v>
      </c>
      <c r="B22" s="36" t="s">
        <v>111</v>
      </c>
      <c r="C22" s="37">
        <v>11888.673000000001</v>
      </c>
      <c r="D22" s="37">
        <v>1017.6469999999999</v>
      </c>
      <c r="E22" s="37">
        <v>545.20132999999998</v>
      </c>
      <c r="F22" s="38">
        <f>C22-E22</f>
        <v>11343.471670000001</v>
      </c>
      <c r="G22" s="38">
        <f>D22-E22</f>
        <v>472.44566999999995</v>
      </c>
      <c r="H22" s="38">
        <f>IF(D22=0,0,(E22/D22)*100)</f>
        <v>53.574700264433538</v>
      </c>
      <c r="I22" s="39"/>
      <c r="J22" s="31"/>
      <c r="K22" s="31"/>
      <c r="L22" s="31"/>
      <c r="M22" s="31"/>
      <c r="N22" s="31"/>
      <c r="O22" s="31"/>
    </row>
    <row r="23" spans="1:15" ht="30" x14ac:dyDescent="0.25">
      <c r="A23" s="35" t="s">
        <v>112</v>
      </c>
      <c r="B23" s="36" t="s">
        <v>113</v>
      </c>
      <c r="C23" s="37">
        <v>3376.17</v>
      </c>
      <c r="D23" s="37">
        <v>380.4</v>
      </c>
      <c r="E23" s="37">
        <v>15</v>
      </c>
      <c r="F23" s="38">
        <f>C23-E23</f>
        <v>3361.17</v>
      </c>
      <c r="G23" s="38">
        <f>D23-E23</f>
        <v>365.4</v>
      </c>
      <c r="H23" s="38">
        <f>IF(D23=0,0,(E23/D23)*100)</f>
        <v>3.9432176656151423</v>
      </c>
      <c r="I23" s="39"/>
      <c r="J23" s="31"/>
      <c r="K23" s="31"/>
      <c r="L23" s="31"/>
      <c r="M23" s="31"/>
      <c r="N23" s="31"/>
      <c r="O23" s="31"/>
    </row>
    <row r="24" spans="1:15" ht="30" x14ac:dyDescent="0.25">
      <c r="A24" s="35" t="s">
        <v>114</v>
      </c>
      <c r="B24" s="36" t="s">
        <v>115</v>
      </c>
      <c r="C24" s="37">
        <v>10772.504999999999</v>
      </c>
      <c r="D24" s="37">
        <v>607.15</v>
      </c>
      <c r="E24" s="37">
        <v>445.05869000000007</v>
      </c>
      <c r="F24" s="38">
        <f>C24-E24</f>
        <v>10327.446309999999</v>
      </c>
      <c r="G24" s="38">
        <f>D24-E24</f>
        <v>162.09130999999991</v>
      </c>
      <c r="H24" s="38">
        <f>IF(D24=0,0,(E24/D24)*100)</f>
        <v>73.302921847978268</v>
      </c>
      <c r="I24" s="39"/>
      <c r="J24" s="31"/>
      <c r="K24" s="31"/>
      <c r="L24" s="31"/>
      <c r="M24" s="31"/>
      <c r="N24" s="31"/>
      <c r="O24" s="31"/>
    </row>
    <row r="25" spans="1:15" ht="45" x14ac:dyDescent="0.25">
      <c r="A25" s="35" t="s">
        <v>116</v>
      </c>
      <c r="B25" s="36" t="s">
        <v>117</v>
      </c>
      <c r="C25" s="37">
        <v>2179.34</v>
      </c>
      <c r="D25" s="37">
        <v>2179.34</v>
      </c>
      <c r="E25" s="37">
        <v>1633.202</v>
      </c>
      <c r="F25" s="38">
        <f>C25-E25</f>
        <v>546.13800000000015</v>
      </c>
      <c r="G25" s="38">
        <f>D25-E25</f>
        <v>546.13800000000015</v>
      </c>
      <c r="H25" s="38">
        <f>IF(D25=0,0,(E25/D25)*100)</f>
        <v>74.940211256618966</v>
      </c>
      <c r="I25" s="39"/>
      <c r="J25" s="31"/>
      <c r="K25" s="31"/>
      <c r="L25" s="31"/>
      <c r="M25" s="31"/>
      <c r="N25" s="31"/>
      <c r="O25" s="31"/>
    </row>
    <row r="26" spans="1:15" ht="15" x14ac:dyDescent="0.25">
      <c r="A26" s="35" t="s">
        <v>118</v>
      </c>
      <c r="B26" s="36" t="s">
        <v>119</v>
      </c>
      <c r="C26" s="37">
        <v>23671.657999999999</v>
      </c>
      <c r="D26" s="37">
        <v>2212.29</v>
      </c>
      <c r="E26" s="37">
        <v>1439.6067700000001</v>
      </c>
      <c r="F26" s="38">
        <f>C26-E26</f>
        <v>22232.051230000001</v>
      </c>
      <c r="G26" s="38">
        <f>D26-E26</f>
        <v>772.68322999999987</v>
      </c>
      <c r="H26" s="38">
        <f>IF(D26=0,0,(E26/D26)*100)</f>
        <v>65.073149089857125</v>
      </c>
      <c r="I26" s="39"/>
      <c r="J26" s="31"/>
      <c r="K26" s="31"/>
      <c r="L26" s="31"/>
      <c r="M26" s="31"/>
      <c r="N26" s="31"/>
      <c r="O26" s="31"/>
    </row>
    <row r="27" spans="1:15" ht="30" x14ac:dyDescent="0.25">
      <c r="A27" s="35" t="s">
        <v>120</v>
      </c>
      <c r="B27" s="36" t="s">
        <v>121</v>
      </c>
      <c r="C27" s="37">
        <v>121.892</v>
      </c>
      <c r="D27" s="37">
        <v>0</v>
      </c>
      <c r="E27" s="37">
        <v>0</v>
      </c>
      <c r="F27" s="38">
        <f>C27-E27</f>
        <v>121.892</v>
      </c>
      <c r="G27" s="38">
        <f>D27-E27</f>
        <v>0</v>
      </c>
      <c r="H27" s="38">
        <f>IF(D27=0,0,(E27/D27)*100)</f>
        <v>0</v>
      </c>
      <c r="I27" s="39"/>
      <c r="J27" s="31"/>
      <c r="K27" s="31"/>
      <c r="L27" s="31"/>
      <c r="M27" s="31"/>
      <c r="N27" s="31"/>
      <c r="O27" s="31"/>
    </row>
    <row r="28" spans="1:15" ht="15" x14ac:dyDescent="0.25">
      <c r="A28" s="35" t="s">
        <v>122</v>
      </c>
      <c r="B28" s="36" t="s">
        <v>123</v>
      </c>
      <c r="C28" s="37">
        <v>4857.0969999999998</v>
      </c>
      <c r="D28" s="37">
        <v>513.20500000000004</v>
      </c>
      <c r="E28" s="37">
        <v>302.44327000000004</v>
      </c>
      <c r="F28" s="38">
        <f>C28-E28</f>
        <v>4554.65373</v>
      </c>
      <c r="G28" s="38">
        <f>D28-E28</f>
        <v>210.76173</v>
      </c>
      <c r="H28" s="38">
        <f>IF(D28=0,0,(E28/D28)*100)</f>
        <v>58.932253193168428</v>
      </c>
      <c r="I28" s="39"/>
      <c r="J28" s="31"/>
      <c r="K28" s="31"/>
      <c r="L28" s="31"/>
      <c r="M28" s="31"/>
      <c r="N28" s="31"/>
      <c r="O28" s="31"/>
    </row>
    <row r="29" spans="1:15" ht="30" x14ac:dyDescent="0.25">
      <c r="A29" s="35" t="s">
        <v>124</v>
      </c>
      <c r="B29" s="36" t="s">
        <v>125</v>
      </c>
      <c r="C29" s="37">
        <v>300</v>
      </c>
      <c r="D29" s="37">
        <v>300</v>
      </c>
      <c r="E29" s="37">
        <v>0</v>
      </c>
      <c r="F29" s="38">
        <f>C29-E29</f>
        <v>300</v>
      </c>
      <c r="G29" s="38">
        <f>D29-E29</f>
        <v>300</v>
      </c>
      <c r="H29" s="38">
        <f>IF(D29=0,0,(E29/D29)*100)</f>
        <v>0</v>
      </c>
      <c r="I29" s="39"/>
      <c r="J29" s="31"/>
      <c r="K29" s="31"/>
      <c r="L29" s="31"/>
      <c r="M29" s="31"/>
      <c r="N29" s="31"/>
      <c r="O29" s="31"/>
    </row>
    <row r="30" spans="1:15" ht="30" x14ac:dyDescent="0.25">
      <c r="A30" s="35" t="s">
        <v>126</v>
      </c>
      <c r="B30" s="36" t="s">
        <v>127</v>
      </c>
      <c r="C30" s="37">
        <v>8165.6540000000005</v>
      </c>
      <c r="D30" s="37">
        <v>610.56000000000006</v>
      </c>
      <c r="E30" s="37">
        <v>387.51609999999999</v>
      </c>
      <c r="F30" s="38">
        <f>C30-E30</f>
        <v>7778.1379000000006</v>
      </c>
      <c r="G30" s="38">
        <f>D30-E30</f>
        <v>223.04390000000006</v>
      </c>
      <c r="H30" s="38">
        <f>IF(D30=0,0,(E30/D30)*100)</f>
        <v>63.468962919287208</v>
      </c>
      <c r="I30" s="39"/>
      <c r="J30" s="31"/>
      <c r="K30" s="31"/>
      <c r="L30" s="31"/>
      <c r="M30" s="31"/>
      <c r="N30" s="31"/>
      <c r="O30" s="31"/>
    </row>
    <row r="31" spans="1:15" ht="15" x14ac:dyDescent="0.25">
      <c r="A31" s="35" t="s">
        <v>128</v>
      </c>
      <c r="B31" s="36" t="s">
        <v>129</v>
      </c>
      <c r="C31" s="37">
        <v>100</v>
      </c>
      <c r="D31" s="37">
        <v>100</v>
      </c>
      <c r="E31" s="37">
        <v>0</v>
      </c>
      <c r="F31" s="38">
        <f>C31-E31</f>
        <v>100</v>
      </c>
      <c r="G31" s="38">
        <f>D31-E31</f>
        <v>100</v>
      </c>
      <c r="H31" s="38">
        <f>IF(D31=0,0,(E31/D31)*100)</f>
        <v>0</v>
      </c>
      <c r="I31" s="39"/>
      <c r="J31" s="31"/>
      <c r="K31" s="31"/>
      <c r="L31" s="31"/>
      <c r="M31" s="31"/>
      <c r="N31" s="31"/>
      <c r="O31" s="31"/>
    </row>
    <row r="32" spans="1:15" ht="15" x14ac:dyDescent="0.25">
      <c r="A32" s="35" t="s">
        <v>130</v>
      </c>
      <c r="B32" s="36" t="s">
        <v>131</v>
      </c>
      <c r="C32" s="37">
        <v>428.93799999999999</v>
      </c>
      <c r="D32" s="37">
        <v>23.369</v>
      </c>
      <c r="E32" s="37">
        <v>0</v>
      </c>
      <c r="F32" s="38">
        <f>C32-E32</f>
        <v>428.93799999999999</v>
      </c>
      <c r="G32" s="38">
        <f>D32-E32</f>
        <v>23.369</v>
      </c>
      <c r="H32" s="38">
        <f>IF(D32=0,0,(E32/D32)*100)</f>
        <v>0</v>
      </c>
      <c r="I32" s="39"/>
      <c r="J32" s="31"/>
      <c r="K32" s="31"/>
      <c r="L32" s="31"/>
      <c r="M32" s="31"/>
      <c r="N32" s="31"/>
      <c r="O32" s="31"/>
    </row>
    <row r="33" spans="1:16" ht="45" x14ac:dyDescent="0.25">
      <c r="A33" s="35" t="s">
        <v>132</v>
      </c>
      <c r="B33" s="36" t="s">
        <v>133</v>
      </c>
      <c r="C33" s="37">
        <v>1710.5629999999999</v>
      </c>
      <c r="D33" s="37">
        <v>102.03500000000001</v>
      </c>
      <c r="E33" s="37">
        <v>76.486159999999998</v>
      </c>
      <c r="F33" s="38">
        <f>C33-E33</f>
        <v>1634.0768399999999</v>
      </c>
      <c r="G33" s="38">
        <f>D33-E33</f>
        <v>25.548840000000013</v>
      </c>
      <c r="H33" s="38">
        <f>IF(D33=0,0,(E33/D33)*100)</f>
        <v>74.96070956044494</v>
      </c>
      <c r="I33" s="39"/>
      <c r="J33" s="31"/>
      <c r="K33" s="31"/>
      <c r="L33" s="31"/>
      <c r="M33" s="31"/>
      <c r="N33" s="31"/>
      <c r="O33" s="31"/>
    </row>
    <row r="34" spans="1:16" ht="45" x14ac:dyDescent="0.25">
      <c r="A34" s="35" t="s">
        <v>134</v>
      </c>
      <c r="B34" s="36" t="s">
        <v>133</v>
      </c>
      <c r="C34" s="37">
        <v>7434.8680000000013</v>
      </c>
      <c r="D34" s="37">
        <v>543.13400000000001</v>
      </c>
      <c r="E34" s="37">
        <v>500.05368000000004</v>
      </c>
      <c r="F34" s="38">
        <f>C34-E34</f>
        <v>6934.8143200000013</v>
      </c>
      <c r="G34" s="38">
        <f>D34-E34</f>
        <v>43.080319999999972</v>
      </c>
      <c r="H34" s="38">
        <f>IF(D34=0,0,(E34/D34)*100)</f>
        <v>92.06819679858009</v>
      </c>
      <c r="I34" s="39"/>
      <c r="J34" s="31"/>
      <c r="K34" s="31"/>
      <c r="L34" s="31"/>
      <c r="M34" s="31"/>
      <c r="N34" s="31"/>
      <c r="O34" s="31"/>
    </row>
    <row r="35" spans="1:16" ht="15" x14ac:dyDescent="0.25">
      <c r="A35" s="35" t="s">
        <v>135</v>
      </c>
      <c r="B35" s="36" t="s">
        <v>119</v>
      </c>
      <c r="C35" s="37">
        <v>1310</v>
      </c>
      <c r="D35" s="37">
        <v>510</v>
      </c>
      <c r="E35" s="37">
        <v>508.1</v>
      </c>
      <c r="F35" s="38">
        <f>C35-E35</f>
        <v>801.9</v>
      </c>
      <c r="G35" s="38">
        <f>D35-E35</f>
        <v>1.8999999999999773</v>
      </c>
      <c r="H35" s="38">
        <f>IF(D35=0,0,(E35/D35)*100)</f>
        <v>99.627450980392169</v>
      </c>
      <c r="I35" s="39"/>
      <c r="J35" s="31"/>
      <c r="K35" s="31"/>
      <c r="L35" s="31"/>
      <c r="M35" s="31"/>
      <c r="N35" s="31"/>
      <c r="O35" s="31"/>
    </row>
    <row r="36" spans="1:16" ht="45" x14ac:dyDescent="0.25">
      <c r="A36" s="35" t="s">
        <v>136</v>
      </c>
      <c r="B36" s="36" t="s">
        <v>133</v>
      </c>
      <c r="C36" s="37">
        <v>2380.7290000000003</v>
      </c>
      <c r="D36" s="37">
        <v>163.804</v>
      </c>
      <c r="E36" s="37">
        <v>135.38614000000001</v>
      </c>
      <c r="F36" s="38">
        <f>C36-E36</f>
        <v>2245.3428600000002</v>
      </c>
      <c r="G36" s="38">
        <f>D36-E36</f>
        <v>28.41785999999999</v>
      </c>
      <c r="H36" s="38">
        <f>IF(D36=0,0,(E36/D36)*100)</f>
        <v>82.651302776488976</v>
      </c>
      <c r="I36" s="39"/>
      <c r="J36" s="31"/>
      <c r="K36" s="31"/>
      <c r="L36" s="31"/>
      <c r="M36" s="31"/>
      <c r="N36" s="31"/>
      <c r="O36" s="31"/>
    </row>
    <row r="37" spans="1:16" ht="15" x14ac:dyDescent="0.25">
      <c r="A37" s="35" t="s">
        <v>137</v>
      </c>
      <c r="B37" s="36" t="s">
        <v>138</v>
      </c>
      <c r="C37" s="37">
        <v>100</v>
      </c>
      <c r="D37" s="37">
        <v>100</v>
      </c>
      <c r="E37" s="37">
        <v>0</v>
      </c>
      <c r="F37" s="38">
        <f>C37-E37</f>
        <v>100</v>
      </c>
      <c r="G37" s="38">
        <f>D37-E37</f>
        <v>100</v>
      </c>
      <c r="H37" s="38">
        <f>IF(D37=0,0,(E37/D37)*100)</f>
        <v>0</v>
      </c>
      <c r="I37" s="39"/>
      <c r="J37" s="31"/>
      <c r="K37" s="31"/>
      <c r="L37" s="31"/>
      <c r="M37" s="31"/>
      <c r="N37" s="31"/>
      <c r="O37" s="31"/>
    </row>
    <row r="38" spans="1:16" ht="15" x14ac:dyDescent="0.25">
      <c r="A38" s="43" t="s">
        <v>139</v>
      </c>
      <c r="B38" s="44" t="s">
        <v>140</v>
      </c>
      <c r="C38" s="45">
        <v>174003.66300000003</v>
      </c>
      <c r="D38" s="45">
        <v>18888.171000000002</v>
      </c>
      <c r="E38" s="45">
        <v>12281.12976</v>
      </c>
      <c r="F38" s="45">
        <f>C38-E38</f>
        <v>161722.53324000002</v>
      </c>
      <c r="G38" s="45">
        <f>D38-E38</f>
        <v>6607.0412400000023</v>
      </c>
      <c r="H38" s="45">
        <f>IF(D38=0,0,(E38/D38)*100)</f>
        <v>65.020216938950824</v>
      </c>
      <c r="I38" s="39"/>
      <c r="J38" s="31"/>
      <c r="K38" s="31"/>
      <c r="L38" s="31"/>
      <c r="M38" s="31"/>
      <c r="N38" s="31"/>
      <c r="O38" s="31"/>
    </row>
    <row r="39" spans="1:16" ht="15" x14ac:dyDescent="0.25">
      <c r="A39" s="29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</row>
    <row r="40" spans="1:16" ht="15" x14ac:dyDescent="0.25">
      <c r="A40" s="40"/>
      <c r="B40" s="41"/>
      <c r="C40" s="39"/>
      <c r="D40" s="39"/>
      <c r="E40" s="39"/>
      <c r="F40" s="39"/>
      <c r="G40" s="39"/>
      <c r="H40" s="39"/>
      <c r="I40" s="39"/>
      <c r="J40" s="39"/>
      <c r="K40" s="39"/>
      <c r="L40" s="31"/>
      <c r="M40" s="31"/>
      <c r="N40" s="31"/>
      <c r="O40" s="31"/>
      <c r="P40" s="31"/>
    </row>
    <row r="41" spans="1:16" ht="15" x14ac:dyDescent="0.25">
      <c r="A41" s="29"/>
      <c r="B41" s="30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</row>
    <row r="48" spans="1:16" hidden="1" x14ac:dyDescent="0.2"/>
  </sheetData>
  <mergeCells count="4">
    <mergeCell ref="A2:H2"/>
    <mergeCell ref="A3:H3"/>
    <mergeCell ref="A4:H4"/>
    <mergeCell ref="A5:H5"/>
  </mergeCells>
  <conditionalFormatting sqref="A9:A38">
    <cfRule type="expression" dxfId="65" priority="49" stopIfTrue="1">
      <formula>#REF!=1</formula>
    </cfRule>
    <cfRule type="expression" dxfId="64" priority="50" stopIfTrue="1">
      <formula>#REF!=2</formula>
    </cfRule>
    <cfRule type="expression" dxfId="63" priority="51" stopIfTrue="1">
      <formula>#REF!=3</formula>
    </cfRule>
  </conditionalFormatting>
  <conditionalFormatting sqref="B9:B38">
    <cfRule type="expression" dxfId="62" priority="52" stopIfTrue="1">
      <formula>#REF!=1</formula>
    </cfRule>
    <cfRule type="expression" dxfId="61" priority="53" stopIfTrue="1">
      <formula>#REF!=2</formula>
    </cfRule>
    <cfRule type="expression" dxfId="60" priority="54" stopIfTrue="1">
      <formula>#REF!=3</formula>
    </cfRule>
  </conditionalFormatting>
  <conditionalFormatting sqref="C9:C38">
    <cfRule type="expression" dxfId="56" priority="58" stopIfTrue="1">
      <formula>#REF!=1</formula>
    </cfRule>
    <cfRule type="expression" dxfId="55" priority="59" stopIfTrue="1">
      <formula>#REF!=2</formula>
    </cfRule>
    <cfRule type="expression" dxfId="54" priority="60" stopIfTrue="1">
      <formula>#REF!=3</formula>
    </cfRule>
  </conditionalFormatting>
  <conditionalFormatting sqref="D9:D38">
    <cfRule type="expression" dxfId="53" priority="61" stopIfTrue="1">
      <formula>#REF!=1</formula>
    </cfRule>
    <cfRule type="expression" dxfId="52" priority="62" stopIfTrue="1">
      <formula>#REF!=2</formula>
    </cfRule>
    <cfRule type="expression" dxfId="51" priority="63" stopIfTrue="1">
      <formula>#REF!=3</formula>
    </cfRule>
  </conditionalFormatting>
  <conditionalFormatting sqref="E9:E38">
    <cfRule type="expression" dxfId="50" priority="70" stopIfTrue="1">
      <formula>#REF!=1</formula>
    </cfRule>
    <cfRule type="expression" dxfId="49" priority="71" stopIfTrue="1">
      <formula>#REF!=2</formula>
    </cfRule>
    <cfRule type="expression" dxfId="48" priority="72" stopIfTrue="1">
      <formula>#REF!=3</formula>
    </cfRule>
  </conditionalFormatting>
  <conditionalFormatting sqref="L41:L49 G40">
    <cfRule type="expression" dxfId="47" priority="82" stopIfTrue="1">
      <formula>#REF!=1</formula>
    </cfRule>
    <cfRule type="expression" dxfId="46" priority="83" stopIfTrue="1">
      <formula>#REF!=2</formula>
    </cfRule>
    <cfRule type="expression" dxfId="45" priority="84" stopIfTrue="1">
      <formula>#REF!=3</formula>
    </cfRule>
  </conditionalFormatting>
  <conditionalFormatting sqref="M41:M49 H40">
    <cfRule type="expression" dxfId="44" priority="85" stopIfTrue="1">
      <formula>#REF!=1</formula>
    </cfRule>
    <cfRule type="expression" dxfId="43" priority="86" stopIfTrue="1">
      <formula>#REF!=2</formula>
    </cfRule>
    <cfRule type="expression" dxfId="42" priority="87" stopIfTrue="1">
      <formula>#REF!=3</formula>
    </cfRule>
  </conditionalFormatting>
  <conditionalFormatting sqref="F9:F38 N41:N49 I40">
    <cfRule type="expression" dxfId="41" priority="88" stopIfTrue="1">
      <formula>#REF!=1</formula>
    </cfRule>
    <cfRule type="expression" dxfId="40" priority="89" stopIfTrue="1">
      <formula>#REF!=2</formula>
    </cfRule>
    <cfRule type="expression" dxfId="39" priority="90" stopIfTrue="1">
      <formula>#REF!=3</formula>
    </cfRule>
  </conditionalFormatting>
  <conditionalFormatting sqref="G9:G38 O41:O49 J40">
    <cfRule type="expression" dxfId="38" priority="91" stopIfTrue="1">
      <formula>#REF!=1</formula>
    </cfRule>
    <cfRule type="expression" dxfId="37" priority="92" stopIfTrue="1">
      <formula>#REF!=2</formula>
    </cfRule>
    <cfRule type="expression" dxfId="36" priority="93" stopIfTrue="1">
      <formula>#REF!=3</formula>
    </cfRule>
  </conditionalFormatting>
  <conditionalFormatting sqref="H9:H38 P41:P49 K40">
    <cfRule type="expression" dxfId="35" priority="94" stopIfTrue="1">
      <formula>#REF!=1</formula>
    </cfRule>
    <cfRule type="expression" dxfId="34" priority="95" stopIfTrue="1">
      <formula>#REF!=2</formula>
    </cfRule>
    <cfRule type="expression" dxfId="33" priority="96" stopIfTrue="1">
      <formula>#REF!=3</formula>
    </cfRule>
  </conditionalFormatting>
  <conditionalFormatting sqref="A40:A49">
    <cfRule type="expression" dxfId="32" priority="1" stopIfTrue="1">
      <formula>#REF!=1</formula>
    </cfRule>
    <cfRule type="expression" dxfId="31" priority="2" stopIfTrue="1">
      <formula>#REF!=2</formula>
    </cfRule>
    <cfRule type="expression" dxfId="30" priority="3" stopIfTrue="1">
      <formula>#REF!=3</formula>
    </cfRule>
  </conditionalFormatting>
  <conditionalFormatting sqref="B40:B49">
    <cfRule type="expression" dxfId="29" priority="4" stopIfTrue="1">
      <formula>#REF!=1</formula>
    </cfRule>
    <cfRule type="expression" dxfId="28" priority="5" stopIfTrue="1">
      <formula>#REF!=2</formula>
    </cfRule>
    <cfRule type="expression" dxfId="27" priority="6" stopIfTrue="1">
      <formula>#REF!=3</formula>
    </cfRule>
  </conditionalFormatting>
  <conditionalFormatting sqref="C40:C49">
    <cfRule type="expression" dxfId="26" priority="7" stopIfTrue="1">
      <formula>#REF!=1</formula>
    </cfRule>
    <cfRule type="expression" dxfId="25" priority="8" stopIfTrue="1">
      <formula>#REF!=2</formula>
    </cfRule>
    <cfRule type="expression" dxfId="24" priority="9" stopIfTrue="1">
      <formula>#REF!=3</formula>
    </cfRule>
  </conditionalFormatting>
  <conditionalFormatting sqref="D40:D49">
    <cfRule type="expression" dxfId="23" priority="10" stopIfTrue="1">
      <formula>#REF!=1</formula>
    </cfRule>
    <cfRule type="expression" dxfId="22" priority="11" stopIfTrue="1">
      <formula>#REF!=2</formula>
    </cfRule>
    <cfRule type="expression" dxfId="21" priority="12" stopIfTrue="1">
      <formula>#REF!=3</formula>
    </cfRule>
  </conditionalFormatting>
  <conditionalFormatting sqref="E40:E49">
    <cfRule type="expression" dxfId="20" priority="13" stopIfTrue="1">
      <formula>#REF!=1</formula>
    </cfRule>
    <cfRule type="expression" dxfId="19" priority="14" stopIfTrue="1">
      <formula>#REF!=2</formula>
    </cfRule>
    <cfRule type="expression" dxfId="18" priority="15" stopIfTrue="1">
      <formula>#REF!=3</formula>
    </cfRule>
  </conditionalFormatting>
  <conditionalFormatting sqref="F40:F49">
    <cfRule type="expression" dxfId="17" priority="16" stopIfTrue="1">
      <formula>#REF!=1</formula>
    </cfRule>
    <cfRule type="expression" dxfId="16" priority="17" stopIfTrue="1">
      <formula>#REF!=2</formula>
    </cfRule>
    <cfRule type="expression" dxfId="15" priority="18" stopIfTrue="1">
      <formula>#REF!=3</formula>
    </cfRule>
  </conditionalFormatting>
  <conditionalFormatting sqref="G41:G49">
    <cfRule type="expression" dxfId="14" priority="19" stopIfTrue="1">
      <formula>#REF!=1</formula>
    </cfRule>
    <cfRule type="expression" dxfId="13" priority="20" stopIfTrue="1">
      <formula>#REF!=2</formula>
    </cfRule>
    <cfRule type="expression" dxfId="12" priority="21" stopIfTrue="1">
      <formula>#REF!=3</formula>
    </cfRule>
  </conditionalFormatting>
  <conditionalFormatting sqref="H41:H49">
    <cfRule type="expression" dxfId="11" priority="22" stopIfTrue="1">
      <formula>#REF!=1</formula>
    </cfRule>
    <cfRule type="expression" dxfId="10" priority="23" stopIfTrue="1">
      <formula>#REF!=2</formula>
    </cfRule>
    <cfRule type="expression" dxfId="9" priority="24" stopIfTrue="1">
      <formula>#REF!=3</formula>
    </cfRule>
  </conditionalFormatting>
  <conditionalFormatting sqref="I41:I49">
    <cfRule type="expression" dxfId="8" priority="25" stopIfTrue="1">
      <formula>#REF!=1</formula>
    </cfRule>
    <cfRule type="expression" dxfId="7" priority="26" stopIfTrue="1">
      <formula>#REF!=2</formula>
    </cfRule>
    <cfRule type="expression" dxfId="6" priority="27" stopIfTrue="1">
      <formula>#REF!=3</formula>
    </cfRule>
  </conditionalFormatting>
  <conditionalFormatting sqref="J41:J49">
    <cfRule type="expression" dxfId="5" priority="28" stopIfTrue="1">
      <formula>#REF!=1</formula>
    </cfRule>
    <cfRule type="expression" dxfId="4" priority="29" stopIfTrue="1">
      <formula>#REF!=2</formula>
    </cfRule>
    <cfRule type="expression" dxfId="3" priority="30" stopIfTrue="1">
      <formula>#REF!=3</formula>
    </cfRule>
  </conditionalFormatting>
  <conditionalFormatting sqref="K41:K49">
    <cfRule type="expression" dxfId="2" priority="31" stopIfTrue="1">
      <formula>#REF!=1</formula>
    </cfRule>
    <cfRule type="expression" dxfId="1" priority="32" stopIfTrue="1">
      <formula>#REF!=2</formula>
    </cfRule>
    <cfRule type="expression" dxfId="0" priority="33" stopIfTrue="1">
      <formula>#REF!=3</formula>
    </cfRule>
  </conditionalFormatting>
  <pageMargins left="0.51181102362204722" right="0.11811023622047245" top="0.39370078740157483" bottom="0.39370078740157483" header="0" footer="0"/>
  <pageSetup paperSize="9" scale="60" fitToHeight="50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доходи</vt:lpstr>
      <vt:lpstr>видатки</vt:lpstr>
      <vt:lpstr>видатки!Заголовки_для_печати</vt:lpstr>
      <vt:lpstr>доходи!Заголовки_для_печати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2025-02-03T12:22:28Z</cp:lastPrinted>
  <dcterms:created xsi:type="dcterms:W3CDTF">2025-02-03T06:46:23Z</dcterms:created>
  <dcterms:modified xsi:type="dcterms:W3CDTF">2025-02-03T12:22:54Z</dcterms:modified>
</cp:coreProperties>
</file>