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13A3C1-F991-4C08-853B-5F0F071C1A0E}" xr6:coauthVersionLast="46" xr6:coauthVersionMax="46" xr10:uidLastSave="{00000000-0000-0000-0000-000000000000}"/>
  <bookViews>
    <workbookView xWindow="-120" yWindow="-120" windowWidth="29040" windowHeight="15840" activeTab="1" xr2:uid="{CC716783-F4C2-4E15-899B-85D6D5BF8D33}"/>
  </bookViews>
  <sheets>
    <sheet name="доходи" sheetId="1" r:id="rId1"/>
    <sheet name="видатки" sheetId="2" r:id="rId2"/>
  </sheets>
  <externalReferences>
    <externalReference r:id="rId3"/>
  </externalReference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видатки!$8:$9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F14" i="1"/>
  <c r="G14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<sst xmlns="http://schemas.openxmlformats.org/spreadsheetml/2006/main" count="99" uniqueCount="92">
  <si>
    <t>ККД</t>
  </si>
  <si>
    <t>Доходи</t>
  </si>
  <si>
    <t>0852300000 - Бюджет Широкiвської сiльської територiальної громади</t>
  </si>
  <si>
    <t>Уточн.річн. план</t>
  </si>
  <si>
    <t xml:space="preserve"> Уточ.пл. за період</t>
  </si>
  <si>
    <t>Факт</t>
  </si>
  <si>
    <t>+/-</t>
  </si>
  <si>
    <t>% викон.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</si>
  <si>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</si>
  <si>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</si>
  <si>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</si>
  <si>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</si>
  <si>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прибуток підприємств</t>
  </si>
  <si>
    <t>Рентна плата та плата за використання інших природних ресурсів</t>
  </si>
  <si>
    <t>Внутрішні податки на товари та послуги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</si>
  <si>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</si>
  <si>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</si>
  <si>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Єдиний податок</t>
  </si>
  <si>
    <t>Неподаткові надходження</t>
  </si>
  <si>
    <t>Офіційні трансферти</t>
  </si>
  <si>
    <t>Базова дотація</t>
  </si>
  <si>
    <t>Додаткова дотація з державного бюджету місцевим бюджетам на функціонування територій, на яких ведуться бойові дії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</si>
  <si>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</si>
  <si>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Субвенція з державного бюджету місцевим бюджетам на забезпечення харчуванням учнів закладів загальної середньої освіти</t>
  </si>
  <si>
    <t>Освітня субвенція з державного бюджету місцевим бюджетам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</si>
  <si>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</si>
  <si>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</si>
  <si>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тис. грн</t>
  </si>
  <si>
    <t>ІНФОРМАЦІЯ</t>
  </si>
  <si>
    <t>про виконання доходної  частини місцевого бюджету</t>
  </si>
  <si>
    <t>загальний фонд</t>
  </si>
  <si>
    <t>Всього без урахування трансфертів</t>
  </si>
  <si>
    <t>ВСЬОГО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</si>
  <si>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</si>
  <si>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</si>
  <si>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</si>
  <si>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</si>
  <si>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</si>
  <si>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</si>
  <si>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</si>
  <si>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</si>
  <si>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</si>
  <si>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</si>
  <si>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</si>
  <si>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</si>
  <si>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</si>
  <si>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</si>
  <si>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</si>
  <si>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</si>
  <si>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</si>
  <si>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0113031</t>
  </si>
  <si>
    <t>Надання інших пільг окремим категоріям громадян відповідно до законодавства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</si>
  <si>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</si>
  <si>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</si>
  <si>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</si>
  <si>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</si>
  <si>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</si>
  <si>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</si>
  <si>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</si>
  <si>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</si>
  <si>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</si>
  <si>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</si>
  <si>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</si>
  <si>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та заклади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</si>
  <si>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</si>
  <si>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</si>
  <si>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0116030</t>
  </si>
  <si>
    <t>Організація благоустрою населених пунктів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</si>
  <si>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</si>
  <si>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</si>
  <si>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</si>
  <si>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</si>
  <si>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</si>
  <si>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</si>
  <si>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</si>
  <si>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</si>
  <si>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</si>
  <si>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</si>
  <si>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</si>
  <si>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</si>
  <si>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</si>
  <si>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</si>
  <si>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</si>
  <si>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</si>
  <si>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</si>
  <si>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</si>
  <si>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</si>
  <si>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</si>
  <si>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</si>
  <si>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 xml:space="preserve">% виконання на вказаний період </t>
  </si>
  <si>
    <t>за січень 2026 року</t>
  </si>
  <si>
    <t>про виконання видаткової частини місцевого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</si>
</sst>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  <charset val="204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/>
    <xf numFmtId="4" fontId="1" fillId="0" borderId="1" xfId="0" applyNumberFormat="1" applyFont="1" applyBorder="1"/>
    <xf numFmtId="164" fontId="1" fillId="0" borderId="1" xfId="0" applyNumberFormat="1" applyFont="1" applyBorder="1"/>
    <xf numFmtId="0" fontId="1" fillId="0" borderId="0" xfId="0" applyFont="1"/>
    <xf numFmtId="0" fontId="2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4" fontId="1" fillId="2" borderId="1" xfId="0" applyNumberFormat="1" applyFont="1" applyFill="1" applyBorder="1"/>
    <xf numFmtId="164" fontId="1" fillId="2" borderId="1" xfId="0" applyNumberFormat="1" applyFont="1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1"/>
    <xf numFmtId="0" fontId="4" fillId="0" borderId="0" xfId="1" applyAlignment="1">
      <alignment horizontal="center"/>
    </xf>
    <xf numFmtId="0" fontId="4" fillId="0" borderId="0" xfId="1" applyAlignment="1">
      <alignment wrapText="1"/>
    </xf>
    <xf numFmtId="0" fontId="5" fillId="0" borderId="0" xfId="1" applyFont="1" applyAlignment="1">
      <alignment horizontal="center"/>
    </xf>
    <xf numFmtId="0" fontId="4" fillId="0" borderId="0" xfId="1" applyAlignment="1">
      <alignment horizontal="right"/>
    </xf>
    <xf numFmtId="0" fontId="5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vertical="center" wrapText="1"/>
    </xf>
    <xf numFmtId="4" fontId="4" fillId="0" borderId="1" xfId="1" applyNumberFormat="1" applyBorder="1" applyAlignment="1">
      <alignment vertical="center"/>
    </xf>
    <xf numFmtId="4" fontId="4" fillId="0" borderId="0" xfId="1" applyNumberFormat="1" applyAlignment="1">
      <alignment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vertical="center" wrapText="1"/>
    </xf>
    <xf numFmtId="4" fontId="4" fillId="3" borderId="1" xfId="1" applyNumberFormat="1" applyFont="1" applyFill="1" applyBorder="1" applyAlignment="1">
      <alignment vertical="center"/>
    </xf>
    <xf numFmtId="4" fontId="7" fillId="2" borderId="1" xfId="1" applyNumberFormat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</cellXfs>
  <cellStyles count="2">
    <cellStyle name="Обычный" xfId="0" builtinId="0"/>
    <cellStyle name="Обычный 2" xfId="1" xr:uid="{05C89CD9-55C6-4B35-8730-FCAD0F93F114}"/>
  </cellStyles>
  <dxfs count="96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4;&#1080;&#1076;&#1072;&#1090;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z_vd0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50AC-09E2-4FC3-8B6F-EF2385769920}">
  <sheetPr>
    <pageSetUpPr fitToPage="1"/>
  </sheetPr>
  <dimension ref="A2:J29"/>
  <sheetViews>
    <sheetView topLeftCell="A16" workbookViewId="0">
      <selection activeCell="J14" sqref="J14"/>
    </sheetView>
  </sheetViews>
  <sheetFormatPr defaultRowHeight="15" x14ac:dyDescent="0.25"/>
  <cols>
    <col min="1" max="1" width="11" style="14" customWidth="1"/>
    <col min="2" max="2" width="59.5703125" customWidth="1"/>
    <col min="3" max="3" width="14.28515625" customWidth="1"/>
    <col min="4" max="4" width="13.7109375" customWidth="1"/>
    <col min="5" max="5" width="11.42578125" customWidth="1"/>
    <col min="6" max="6" width="11.140625" customWidth="1"/>
    <col min="7" max="7" width="11.28515625" customWidth="1"/>
  </cols>
  <sheetData>
    <row r="2" spans="1:10" x14ac:dyDescent="0.25">
      <c r="A2" s="16" t="s">
        <v>28</v>
      </c>
      <c r="B2" s="16"/>
      <c r="C2" s="16"/>
      <c r="D2" s="16"/>
      <c r="E2" s="16"/>
      <c r="F2" s="16"/>
      <c r="G2" s="16"/>
    </row>
    <row r="3" spans="1:10" x14ac:dyDescent="0.25">
      <c r="A3" s="16" t="s">
        <v>29</v>
      </c>
      <c r="B3" s="16"/>
      <c r="C3" s="16"/>
      <c r="D3" s="16"/>
      <c r="E3" s="16"/>
      <c r="F3" s="16"/>
      <c r="G3" s="16"/>
    </row>
    <row r="4" spans="1:10" x14ac:dyDescent="0.25">
      <c r="A4" s="16" t="s">
        <v>30</v>
      </c>
      <c r="B4" s="16"/>
      <c r="C4" s="16"/>
      <c r="D4" s="16"/>
      <c r="E4" s="16"/>
      <c r="F4" s="16"/>
      <c r="G4" s="16"/>
      <c r="H4" s="1"/>
      <c r="I4" s="1"/>
      <c r="J4" s="1"/>
    </row>
    <row r="5" spans="1:10" x14ac:dyDescent="0.25">
      <c r="A5" s="16" t="s">
        <v>90</v>
      </c>
      <c r="B5" s="16"/>
      <c r="C5" s="16"/>
      <c r="D5" s="16"/>
      <c r="E5" s="16"/>
      <c r="F5" s="16"/>
      <c r="G5" s="16"/>
      <c r="H5" s="1"/>
      <c r="I5" s="1"/>
      <c r="J5" s="1"/>
    </row>
    <row r="6" spans="1:10" x14ac:dyDescent="0.25">
      <c r="F6" s="13" t="s">
        <v>27</v>
      </c>
    </row>
    <row r="7" spans="1:10" x14ac:dyDescent="0.25">
      <c r="A7" s="5" t="s">
        <v>0</v>
      </c>
      <c r="B7" s="5" t="s">
        <v>1</v>
      </c>
      <c r="C7" s="11" t="s">
        <v>2</v>
      </c>
      <c r="D7" s="12"/>
      <c r="E7" s="12"/>
      <c r="F7" s="12"/>
      <c r="G7" s="12"/>
    </row>
    <row r="8" spans="1:10" ht="28.5" customHeight="1" x14ac:dyDescent="0.25">
      <c r="A8" s="6"/>
      <c r="B8" s="6"/>
      <c r="C8" s="2" t="s">
        <v>3</v>
      </c>
      <c r="D8" s="2" t="s">
        <v>4</v>
      </c>
      <c r="E8" s="3" t="s">
        <v>5</v>
      </c>
      <c r="F8" s="3" t="s">
        <v>6</v>
      </c>
      <c r="G8" s="3" t="s">
        <v>7</v>
      </c>
    </row>
    <row r="9" spans="1:10" s="10" customFormat="1" x14ac:dyDescent="0.25">
      <c r="A9" s="3">
        <v>10000000</v>
      </c>
      <c r="B9" s="21" t="s">
        <v>8</v>
      </c>
      <c r="C9" s="8">
        <v>138266.70000000001</v>
      </c>
      <c r="D9" s="8">
        <v>10319.719999999999</v>
      </c>
      <c r="E9" s="8">
        <v>16560.002210000002</v>
      </c>
      <c r="F9" s="8">
        <f t="shared" ref="F9:F18" si="0">E9-D9</f>
        <v>6240.282210000003</v>
      </c>
      <c r="G9" s="9">
        <f t="shared" ref="G9:G18" si="1">IF(D9=0,0,E9/D9*100)</f>
        <v>160.46949151721174</v>
      </c>
    </row>
    <row r="10" spans="1:10" ht="30" x14ac:dyDescent="0.25">
      <c r="A10" s="15">
        <v>11000000</v>
      </c>
      <c r="B10" s="20" t="s">
        <v>9</v>
      </c>
      <c r="C10" s="7">
        <v>60104.800000000003</v>
      </c>
      <c r="D10" s="7">
        <v>3722.8</v>
      </c>
      <c r="E10" s="7">
        <v>6859.7939399999996</v>
      </c>
      <c r="F10" s="7">
        <f t="shared" si="0"/>
        <v>3136.9939399999994</v>
      </c>
      <c r="G10" s="4">
        <f t="shared" si="1"/>
        <v>184.26436929193076</v>
      </c>
    </row>
    <row r="11" spans="1:10" x14ac:dyDescent="0.25">
      <c r="A11" s="15">
        <v>11010000</v>
      </c>
      <c r="B11" s="20" t="s">
        <v>10</v>
      </c>
      <c r="C11" s="7">
        <v>60004.800000000003</v>
      </c>
      <c r="D11" s="7">
        <v>3722.8</v>
      </c>
      <c r="E11" s="7">
        <v>6859.7939399999996</v>
      </c>
      <c r="F11" s="7">
        <f t="shared" si="0"/>
        <v>3136.9939399999994</v>
      </c>
      <c r="G11" s="4">
        <f t="shared" si="1"/>
        <v>184.26436929193076</v>
      </c>
    </row>
    <row r="12" spans="1:10" ht="45" x14ac:dyDescent="0.25">
      <c r="A12" s="15">
        <v>11010100</v>
      </c>
      <c r="B12" s="20" t="s">
        <v>11</v>
      </c>
      <c r="C12" s="7">
        <v>50545.8</v>
      </c>
      <c r="D12" s="7">
        <v>3670</v>
      </c>
      <c r="E12" s="7">
        <v>6368.1457699999992</v>
      </c>
      <c r="F12" s="7">
        <f t="shared" si="0"/>
        <v>2698.1457699999992</v>
      </c>
      <c r="G12" s="4">
        <f t="shared" si="1"/>
        <v>173.51895831062666</v>
      </c>
    </row>
    <row r="13" spans="1:10" x14ac:dyDescent="0.25">
      <c r="A13" s="15">
        <v>11020000</v>
      </c>
      <c r="B13" s="20" t="s">
        <v>12</v>
      </c>
      <c r="C13" s="7">
        <v>100</v>
      </c>
      <c r="D13" s="7">
        <v>0</v>
      </c>
      <c r="E13" s="7">
        <v>0</v>
      </c>
      <c r="F13" s="7">
        <f t="shared" si="0"/>
        <v>0</v>
      </c>
      <c r="G13" s="4">
        <f t="shared" si="1"/>
        <v>0</v>
      </c>
    </row>
    <row r="14" spans="1:10" ht="30" x14ac:dyDescent="0.25">
      <c r="A14" s="15">
        <v>13000000</v>
      </c>
      <c r="B14" s="20" t="s">
        <v>13</v>
      </c>
      <c r="C14" s="7">
        <v>1.3</v>
      </c>
      <c r="D14" s="7">
        <v>0.2</v>
      </c>
      <c r="E14" s="7">
        <v>2.3900000000000002E-3</v>
      </c>
      <c r="F14" s="7">
        <f t="shared" si="0"/>
        <v>-0.19761000000000001</v>
      </c>
      <c r="G14" s="4">
        <f t="shared" si="1"/>
        <v>1.1950000000000001</v>
      </c>
    </row>
    <row r="15" spans="1:10" x14ac:dyDescent="0.25">
      <c r="A15" s="15">
        <v>14000000</v>
      </c>
      <c r="B15" s="20" t="s">
        <v>14</v>
      </c>
      <c r="C15" s="7">
        <v>28859</v>
      </c>
      <c r="D15" s="7">
        <v>2103.3000000000002</v>
      </c>
      <c r="E15" s="7">
        <v>3208.8126200000002</v>
      </c>
      <c r="F15" s="7">
        <f t="shared" si="0"/>
        <v>1105.51262</v>
      </c>
      <c r="G15" s="4">
        <f t="shared" si="1"/>
        <v>152.56086245423856</v>
      </c>
    </row>
    <row r="16" spans="1:10" s="10" customFormat="1" ht="30" x14ac:dyDescent="0.25">
      <c r="A16" s="3">
        <v>18000000</v>
      </c>
      <c r="B16" s="21" t="s">
        <v>15</v>
      </c>
      <c r="C16" s="8">
        <v>49301.599999999999</v>
      </c>
      <c r="D16" s="8">
        <v>4493.42</v>
      </c>
      <c r="E16" s="8">
        <v>6491.3932599999998</v>
      </c>
      <c r="F16" s="8">
        <f t="shared" si="0"/>
        <v>1997.9732599999998</v>
      </c>
      <c r="G16" s="9">
        <f t="shared" si="1"/>
        <v>144.46442264466708</v>
      </c>
    </row>
    <row r="17" spans="1:7" x14ac:dyDescent="0.25">
      <c r="A17" s="15">
        <v>18010000</v>
      </c>
      <c r="B17" s="20" t="s">
        <v>16</v>
      </c>
      <c r="C17" s="7">
        <v>17467.599999999999</v>
      </c>
      <c r="D17" s="7">
        <v>868.42</v>
      </c>
      <c r="E17" s="7">
        <v>1333.0373599999998</v>
      </c>
      <c r="F17" s="7">
        <f t="shared" si="0"/>
        <v>464.61735999999985</v>
      </c>
      <c r="G17" s="4">
        <f t="shared" si="1"/>
        <v>153.50145781994885</v>
      </c>
    </row>
    <row r="18" spans="1:7" x14ac:dyDescent="0.25">
      <c r="A18" s="15">
        <v>18050000</v>
      </c>
      <c r="B18" s="20" t="s">
        <v>17</v>
      </c>
      <c r="C18" s="7">
        <v>31834</v>
      </c>
      <c r="D18" s="7">
        <v>3625</v>
      </c>
      <c r="E18" s="7">
        <v>5158.3559000000005</v>
      </c>
      <c r="F18" s="7">
        <f t="shared" si="0"/>
        <v>1533.3559000000005</v>
      </c>
      <c r="G18" s="4">
        <f t="shared" si="1"/>
        <v>142.29947310344829</v>
      </c>
    </row>
    <row r="19" spans="1:7" s="10" customFormat="1" x14ac:dyDescent="0.25">
      <c r="A19" s="3">
        <v>20000000</v>
      </c>
      <c r="B19" s="21" t="s">
        <v>18</v>
      </c>
      <c r="C19" s="8">
        <v>1954.3</v>
      </c>
      <c r="D19" s="8">
        <v>116.3</v>
      </c>
      <c r="E19" s="8">
        <v>151.28898000000001</v>
      </c>
      <c r="F19" s="8">
        <f t="shared" ref="F19:F26" si="2">E19-D19</f>
        <v>34.988980000000012</v>
      </c>
      <c r="G19" s="9">
        <f t="shared" ref="G19:G29" si="3">IF(D19=0,0,E19/D19*100)</f>
        <v>130.08510748065351</v>
      </c>
    </row>
    <row r="20" spans="1:7" s="10" customFormat="1" x14ac:dyDescent="0.25">
      <c r="A20" s="3">
        <v>40000000</v>
      </c>
      <c r="B20" s="21" t="s">
        <v>19</v>
      </c>
      <c r="C20" s="8">
        <v>88077.58</v>
      </c>
      <c r="D20" s="8">
        <v>9306.1479999999992</v>
      </c>
      <c r="E20" s="8">
        <v>9306.1479999999992</v>
      </c>
      <c r="F20" s="8">
        <f t="shared" si="2"/>
        <v>0</v>
      </c>
      <c r="G20" s="9">
        <f t="shared" si="3"/>
        <v>100</v>
      </c>
    </row>
    <row r="21" spans="1:7" x14ac:dyDescent="0.25">
      <c r="A21" s="15">
        <v>41020100</v>
      </c>
      <c r="B21" s="20" t="s">
        <v>20</v>
      </c>
      <c r="C21" s="7">
        <v>22616</v>
      </c>
      <c r="D21" s="7">
        <v>1884.7</v>
      </c>
      <c r="E21" s="7">
        <v>1884.7</v>
      </c>
      <c r="F21" s="7">
        <f t="shared" si="2"/>
        <v>0</v>
      </c>
      <c r="G21" s="4">
        <f t="shared" si="3"/>
        <v>100</v>
      </c>
    </row>
    <row r="22" spans="1:7" ht="45" x14ac:dyDescent="0.25">
      <c r="A22" s="15">
        <v>41020300</v>
      </c>
      <c r="B22" s="20" t="s">
        <v>21</v>
      </c>
      <c r="C22" s="7">
        <v>6228.3</v>
      </c>
      <c r="D22" s="7">
        <v>519</v>
      </c>
      <c r="E22" s="7">
        <v>519</v>
      </c>
      <c r="F22" s="7">
        <f t="shared" si="2"/>
        <v>0</v>
      </c>
      <c r="G22" s="4">
        <f t="shared" si="3"/>
        <v>100</v>
      </c>
    </row>
    <row r="23" spans="1:7" ht="75" x14ac:dyDescent="0.25">
      <c r="A23" s="15">
        <v>41021400</v>
      </c>
      <c r="B23" s="20" t="s">
        <v>22</v>
      </c>
      <c r="C23" s="7">
        <v>10140.4</v>
      </c>
      <c r="D23" s="7">
        <v>845</v>
      </c>
      <c r="E23" s="7">
        <v>845</v>
      </c>
      <c r="F23" s="7">
        <f t="shared" si="2"/>
        <v>0</v>
      </c>
      <c r="G23" s="4">
        <f t="shared" si="3"/>
        <v>100</v>
      </c>
    </row>
    <row r="24" spans="1:7" ht="45" x14ac:dyDescent="0.25">
      <c r="A24" s="15">
        <v>41031100</v>
      </c>
      <c r="B24" s="20" t="s">
        <v>23</v>
      </c>
      <c r="C24" s="7">
        <v>2060.1999999999998</v>
      </c>
      <c r="D24" s="7">
        <v>412</v>
      </c>
      <c r="E24" s="7">
        <v>412</v>
      </c>
      <c r="F24" s="7">
        <f t="shared" si="2"/>
        <v>0</v>
      </c>
      <c r="G24" s="4">
        <f t="shared" si="3"/>
        <v>100</v>
      </c>
    </row>
    <row r="25" spans="1:7" ht="30" x14ac:dyDescent="0.25">
      <c r="A25" s="15">
        <v>41033900</v>
      </c>
      <c r="B25" s="20" t="s">
        <v>24</v>
      </c>
      <c r="C25" s="7">
        <v>40191.9</v>
      </c>
      <c r="D25" s="7">
        <v>4598</v>
      </c>
      <c r="E25" s="7">
        <v>4598</v>
      </c>
      <c r="F25" s="7">
        <f t="shared" si="2"/>
        <v>0</v>
      </c>
      <c r="G25" s="4">
        <f t="shared" si="3"/>
        <v>100</v>
      </c>
    </row>
    <row r="26" spans="1:7" ht="45" x14ac:dyDescent="0.25">
      <c r="A26" s="15">
        <v>41036300</v>
      </c>
      <c r="B26" s="20" t="s">
        <v>25</v>
      </c>
      <c r="C26" s="7">
        <v>5729</v>
      </c>
      <c r="D26" s="7">
        <v>954.8</v>
      </c>
      <c r="E26" s="7">
        <v>954.8</v>
      </c>
      <c r="F26" s="7">
        <f t="shared" si="2"/>
        <v>0</v>
      </c>
      <c r="G26" s="4">
        <f t="shared" si="3"/>
        <v>100</v>
      </c>
    </row>
    <row r="27" spans="1:7" ht="75" x14ac:dyDescent="0.25">
      <c r="A27" s="15">
        <v>41059300</v>
      </c>
      <c r="B27" s="20" t="s">
        <v>26</v>
      </c>
      <c r="C27" s="7">
        <v>1111.78</v>
      </c>
      <c r="D27" s="7">
        <v>92.647999999999996</v>
      </c>
      <c r="E27" s="7">
        <v>92.647999999999996</v>
      </c>
      <c r="F27" s="7">
        <f t="shared" ref="F27:F29" si="4">E27-D27</f>
        <v>0</v>
      </c>
      <c r="G27" s="4">
        <f t="shared" si="3"/>
        <v>100</v>
      </c>
    </row>
    <row r="28" spans="1:7" x14ac:dyDescent="0.25">
      <c r="A28" s="17" t="s">
        <v>31</v>
      </c>
      <c r="B28" s="17"/>
      <c r="C28" s="18">
        <v>140221</v>
      </c>
      <c r="D28" s="18">
        <v>10436.02</v>
      </c>
      <c r="E28" s="18">
        <v>16711.29119</v>
      </c>
      <c r="F28" s="18">
        <f t="shared" si="4"/>
        <v>6275.2711899999995</v>
      </c>
      <c r="G28" s="19">
        <f t="shared" si="3"/>
        <v>160.13088505004779</v>
      </c>
    </row>
    <row r="29" spans="1:7" x14ac:dyDescent="0.25">
      <c r="A29" s="17" t="s">
        <v>32</v>
      </c>
      <c r="B29" s="17"/>
      <c r="C29" s="18">
        <v>228298.58</v>
      </c>
      <c r="D29" s="18">
        <v>19742.168000000001</v>
      </c>
      <c r="E29" s="18">
        <v>26017.439190000001</v>
      </c>
      <c r="F29" s="18">
        <f t="shared" si="4"/>
        <v>6275.2711899999995</v>
      </c>
      <c r="G29" s="19">
        <f t="shared" si="3"/>
        <v>131.78613002381502</v>
      </c>
    </row>
  </sheetData>
  <mergeCells count="9">
    <mergeCell ref="A2:G2"/>
    <mergeCell ref="A3:G3"/>
    <mergeCell ref="A4:G4"/>
    <mergeCell ref="A5:G5"/>
    <mergeCell ref="A28:B28"/>
    <mergeCell ref="A29:B29"/>
    <mergeCell ref="A7:A8"/>
    <mergeCell ref="B7:B8"/>
    <mergeCell ref="C7:G7"/>
  </mergeCells>
  <pageMargins left="0.59055118110236204" right="0.59055118110236204" top="0.39370078740157499" bottom="0.39370078740157499" header="0" footer="0"/>
  <pageSetup paperSize="9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2867-C8DA-4F11-BD73-2AFE4BBD30DE}">
  <sheetPr>
    <pageSetUpPr fitToPage="1"/>
  </sheetPr>
  <dimension ref="A2:I45"/>
  <sheetViews>
    <sheetView tabSelected="1" topLeftCell="A10" workbookViewId="0">
      <selection activeCell="O10" sqref="O10"/>
    </sheetView>
  </sheetViews>
  <sheetFormatPr defaultRowHeight="12.75" x14ac:dyDescent="0.2"/>
  <cols>
    <col min="1" max="1" width="12.7109375" style="23" customWidth="1"/>
    <col min="2" max="2" width="50.7109375" style="24" customWidth="1"/>
    <col min="3" max="8" width="15.7109375" style="22" customWidth="1"/>
    <col min="9" max="248" width="9.140625" style="22"/>
    <col min="249" max="249" width="12.7109375" style="22" customWidth="1"/>
    <col min="250" max="250" width="50.7109375" style="22" customWidth="1"/>
    <col min="251" max="264" width="15.7109375" style="22" customWidth="1"/>
    <col min="265" max="504" width="9.140625" style="22"/>
    <col min="505" max="505" width="12.7109375" style="22" customWidth="1"/>
    <col min="506" max="506" width="50.7109375" style="22" customWidth="1"/>
    <col min="507" max="520" width="15.7109375" style="22" customWidth="1"/>
    <col min="521" max="760" width="9.140625" style="22"/>
    <col min="761" max="761" width="12.7109375" style="22" customWidth="1"/>
    <col min="762" max="762" width="50.7109375" style="22" customWidth="1"/>
    <col min="763" max="776" width="15.7109375" style="22" customWidth="1"/>
    <col min="777" max="1016" width="9.140625" style="22"/>
    <col min="1017" max="1017" width="12.7109375" style="22" customWidth="1"/>
    <col min="1018" max="1018" width="50.7109375" style="22" customWidth="1"/>
    <col min="1019" max="1032" width="15.7109375" style="22" customWidth="1"/>
    <col min="1033" max="1272" width="9.140625" style="22"/>
    <col min="1273" max="1273" width="12.7109375" style="22" customWidth="1"/>
    <col min="1274" max="1274" width="50.7109375" style="22" customWidth="1"/>
    <col min="1275" max="1288" width="15.7109375" style="22" customWidth="1"/>
    <col min="1289" max="1528" width="9.140625" style="22"/>
    <col min="1529" max="1529" width="12.7109375" style="22" customWidth="1"/>
    <col min="1530" max="1530" width="50.7109375" style="22" customWidth="1"/>
    <col min="1531" max="1544" width="15.7109375" style="22" customWidth="1"/>
    <col min="1545" max="1784" width="9.140625" style="22"/>
    <col min="1785" max="1785" width="12.7109375" style="22" customWidth="1"/>
    <col min="1786" max="1786" width="50.7109375" style="22" customWidth="1"/>
    <col min="1787" max="1800" width="15.7109375" style="22" customWidth="1"/>
    <col min="1801" max="2040" width="9.140625" style="22"/>
    <col min="2041" max="2041" width="12.7109375" style="22" customWidth="1"/>
    <col min="2042" max="2042" width="50.7109375" style="22" customWidth="1"/>
    <col min="2043" max="2056" width="15.7109375" style="22" customWidth="1"/>
    <col min="2057" max="2296" width="9.140625" style="22"/>
    <col min="2297" max="2297" width="12.7109375" style="22" customWidth="1"/>
    <col min="2298" max="2298" width="50.7109375" style="22" customWidth="1"/>
    <col min="2299" max="2312" width="15.7109375" style="22" customWidth="1"/>
    <col min="2313" max="2552" width="9.140625" style="22"/>
    <col min="2553" max="2553" width="12.7109375" style="22" customWidth="1"/>
    <col min="2554" max="2554" width="50.7109375" style="22" customWidth="1"/>
    <col min="2555" max="2568" width="15.7109375" style="22" customWidth="1"/>
    <col min="2569" max="2808" width="9.140625" style="22"/>
    <col min="2809" max="2809" width="12.7109375" style="22" customWidth="1"/>
    <col min="2810" max="2810" width="50.7109375" style="22" customWidth="1"/>
    <col min="2811" max="2824" width="15.7109375" style="22" customWidth="1"/>
    <col min="2825" max="3064" width="9.140625" style="22"/>
    <col min="3065" max="3065" width="12.7109375" style="22" customWidth="1"/>
    <col min="3066" max="3066" width="50.7109375" style="22" customWidth="1"/>
    <col min="3067" max="3080" width="15.7109375" style="22" customWidth="1"/>
    <col min="3081" max="3320" width="9.140625" style="22"/>
    <col min="3321" max="3321" width="12.7109375" style="22" customWidth="1"/>
    <col min="3322" max="3322" width="50.7109375" style="22" customWidth="1"/>
    <col min="3323" max="3336" width="15.7109375" style="22" customWidth="1"/>
    <col min="3337" max="3576" width="9.140625" style="22"/>
    <col min="3577" max="3577" width="12.7109375" style="22" customWidth="1"/>
    <col min="3578" max="3578" width="50.7109375" style="22" customWidth="1"/>
    <col min="3579" max="3592" width="15.7109375" style="22" customWidth="1"/>
    <col min="3593" max="3832" width="9.140625" style="22"/>
    <col min="3833" max="3833" width="12.7109375" style="22" customWidth="1"/>
    <col min="3834" max="3834" width="50.7109375" style="22" customWidth="1"/>
    <col min="3835" max="3848" width="15.7109375" style="22" customWidth="1"/>
    <col min="3849" max="4088" width="9.140625" style="22"/>
    <col min="4089" max="4089" width="12.7109375" style="22" customWidth="1"/>
    <col min="4090" max="4090" width="50.7109375" style="22" customWidth="1"/>
    <col min="4091" max="4104" width="15.7109375" style="22" customWidth="1"/>
    <col min="4105" max="4344" width="9.140625" style="22"/>
    <col min="4345" max="4345" width="12.7109375" style="22" customWidth="1"/>
    <col min="4346" max="4346" width="50.7109375" style="22" customWidth="1"/>
    <col min="4347" max="4360" width="15.7109375" style="22" customWidth="1"/>
    <col min="4361" max="4600" width="9.140625" style="22"/>
    <col min="4601" max="4601" width="12.7109375" style="22" customWidth="1"/>
    <col min="4602" max="4602" width="50.7109375" style="22" customWidth="1"/>
    <col min="4603" max="4616" width="15.7109375" style="22" customWidth="1"/>
    <col min="4617" max="4856" width="9.140625" style="22"/>
    <col min="4857" max="4857" width="12.7109375" style="22" customWidth="1"/>
    <col min="4858" max="4858" width="50.7109375" style="22" customWidth="1"/>
    <col min="4859" max="4872" width="15.7109375" style="22" customWidth="1"/>
    <col min="4873" max="5112" width="9.140625" style="22"/>
    <col min="5113" max="5113" width="12.7109375" style="22" customWidth="1"/>
    <col min="5114" max="5114" width="50.7109375" style="22" customWidth="1"/>
    <col min="5115" max="5128" width="15.7109375" style="22" customWidth="1"/>
    <col min="5129" max="5368" width="9.140625" style="22"/>
    <col min="5369" max="5369" width="12.7109375" style="22" customWidth="1"/>
    <col min="5370" max="5370" width="50.7109375" style="22" customWidth="1"/>
    <col min="5371" max="5384" width="15.7109375" style="22" customWidth="1"/>
    <col min="5385" max="5624" width="9.140625" style="22"/>
    <col min="5625" max="5625" width="12.7109375" style="22" customWidth="1"/>
    <col min="5626" max="5626" width="50.7109375" style="22" customWidth="1"/>
    <col min="5627" max="5640" width="15.7109375" style="22" customWidth="1"/>
    <col min="5641" max="5880" width="9.140625" style="22"/>
    <col min="5881" max="5881" width="12.7109375" style="22" customWidth="1"/>
    <col min="5882" max="5882" width="50.7109375" style="22" customWidth="1"/>
    <col min="5883" max="5896" width="15.7109375" style="22" customWidth="1"/>
    <col min="5897" max="6136" width="9.140625" style="22"/>
    <col min="6137" max="6137" width="12.7109375" style="22" customWidth="1"/>
    <col min="6138" max="6138" width="50.7109375" style="22" customWidth="1"/>
    <col min="6139" max="6152" width="15.7109375" style="22" customWidth="1"/>
    <col min="6153" max="6392" width="9.140625" style="22"/>
    <col min="6393" max="6393" width="12.7109375" style="22" customWidth="1"/>
    <col min="6394" max="6394" width="50.7109375" style="22" customWidth="1"/>
    <col min="6395" max="6408" width="15.7109375" style="22" customWidth="1"/>
    <col min="6409" max="6648" width="9.140625" style="22"/>
    <col min="6649" max="6649" width="12.7109375" style="22" customWidth="1"/>
    <col min="6650" max="6650" width="50.7109375" style="22" customWidth="1"/>
    <col min="6651" max="6664" width="15.7109375" style="22" customWidth="1"/>
    <col min="6665" max="6904" width="9.140625" style="22"/>
    <col min="6905" max="6905" width="12.7109375" style="22" customWidth="1"/>
    <col min="6906" max="6906" width="50.7109375" style="22" customWidth="1"/>
    <col min="6907" max="6920" width="15.7109375" style="22" customWidth="1"/>
    <col min="6921" max="7160" width="9.140625" style="22"/>
    <col min="7161" max="7161" width="12.7109375" style="22" customWidth="1"/>
    <col min="7162" max="7162" width="50.7109375" style="22" customWidth="1"/>
    <col min="7163" max="7176" width="15.7109375" style="22" customWidth="1"/>
    <col min="7177" max="7416" width="9.140625" style="22"/>
    <col min="7417" max="7417" width="12.7109375" style="22" customWidth="1"/>
    <col min="7418" max="7418" width="50.7109375" style="22" customWidth="1"/>
    <col min="7419" max="7432" width="15.7109375" style="22" customWidth="1"/>
    <col min="7433" max="7672" width="9.140625" style="22"/>
    <col min="7673" max="7673" width="12.7109375" style="22" customWidth="1"/>
    <col min="7674" max="7674" width="50.7109375" style="22" customWidth="1"/>
    <col min="7675" max="7688" width="15.7109375" style="22" customWidth="1"/>
    <col min="7689" max="7928" width="9.140625" style="22"/>
    <col min="7929" max="7929" width="12.7109375" style="22" customWidth="1"/>
    <col min="7930" max="7930" width="50.7109375" style="22" customWidth="1"/>
    <col min="7931" max="7944" width="15.7109375" style="22" customWidth="1"/>
    <col min="7945" max="8184" width="9.140625" style="22"/>
    <col min="8185" max="8185" width="12.7109375" style="22" customWidth="1"/>
    <col min="8186" max="8186" width="50.7109375" style="22" customWidth="1"/>
    <col min="8187" max="8200" width="15.7109375" style="22" customWidth="1"/>
    <col min="8201" max="8440" width="9.140625" style="22"/>
    <col min="8441" max="8441" width="12.7109375" style="22" customWidth="1"/>
    <col min="8442" max="8442" width="50.7109375" style="22" customWidth="1"/>
    <col min="8443" max="8456" width="15.7109375" style="22" customWidth="1"/>
    <col min="8457" max="8696" width="9.140625" style="22"/>
    <col min="8697" max="8697" width="12.7109375" style="22" customWidth="1"/>
    <col min="8698" max="8698" width="50.7109375" style="22" customWidth="1"/>
    <col min="8699" max="8712" width="15.7109375" style="22" customWidth="1"/>
    <col min="8713" max="8952" width="9.140625" style="22"/>
    <col min="8953" max="8953" width="12.7109375" style="22" customWidth="1"/>
    <col min="8954" max="8954" width="50.7109375" style="22" customWidth="1"/>
    <col min="8955" max="8968" width="15.7109375" style="22" customWidth="1"/>
    <col min="8969" max="9208" width="9.140625" style="22"/>
    <col min="9209" max="9209" width="12.7109375" style="22" customWidth="1"/>
    <col min="9210" max="9210" width="50.7109375" style="22" customWidth="1"/>
    <col min="9211" max="9224" width="15.7109375" style="22" customWidth="1"/>
    <col min="9225" max="9464" width="9.140625" style="22"/>
    <col min="9465" max="9465" width="12.7109375" style="22" customWidth="1"/>
    <col min="9466" max="9466" width="50.7109375" style="22" customWidth="1"/>
    <col min="9467" max="9480" width="15.7109375" style="22" customWidth="1"/>
    <col min="9481" max="9720" width="9.140625" style="22"/>
    <col min="9721" max="9721" width="12.7109375" style="22" customWidth="1"/>
    <col min="9722" max="9722" width="50.7109375" style="22" customWidth="1"/>
    <col min="9723" max="9736" width="15.7109375" style="22" customWidth="1"/>
    <col min="9737" max="9976" width="9.140625" style="22"/>
    <col min="9977" max="9977" width="12.7109375" style="22" customWidth="1"/>
    <col min="9978" max="9978" width="50.7109375" style="22" customWidth="1"/>
    <col min="9979" max="9992" width="15.7109375" style="22" customWidth="1"/>
    <col min="9993" max="10232" width="9.140625" style="22"/>
    <col min="10233" max="10233" width="12.7109375" style="22" customWidth="1"/>
    <col min="10234" max="10234" width="50.7109375" style="22" customWidth="1"/>
    <col min="10235" max="10248" width="15.7109375" style="22" customWidth="1"/>
    <col min="10249" max="10488" width="9.140625" style="22"/>
    <col min="10489" max="10489" width="12.7109375" style="22" customWidth="1"/>
    <col min="10490" max="10490" width="50.7109375" style="22" customWidth="1"/>
    <col min="10491" max="10504" width="15.7109375" style="22" customWidth="1"/>
    <col min="10505" max="10744" width="9.140625" style="22"/>
    <col min="10745" max="10745" width="12.7109375" style="22" customWidth="1"/>
    <col min="10746" max="10746" width="50.7109375" style="22" customWidth="1"/>
    <col min="10747" max="10760" width="15.7109375" style="22" customWidth="1"/>
    <col min="10761" max="11000" width="9.140625" style="22"/>
    <col min="11001" max="11001" width="12.7109375" style="22" customWidth="1"/>
    <col min="11002" max="11002" width="50.7109375" style="22" customWidth="1"/>
    <col min="11003" max="11016" width="15.7109375" style="22" customWidth="1"/>
    <col min="11017" max="11256" width="9.140625" style="22"/>
    <col min="11257" max="11257" width="12.7109375" style="22" customWidth="1"/>
    <col min="11258" max="11258" width="50.7109375" style="22" customWidth="1"/>
    <col min="11259" max="11272" width="15.7109375" style="22" customWidth="1"/>
    <col min="11273" max="11512" width="9.140625" style="22"/>
    <col min="11513" max="11513" width="12.7109375" style="22" customWidth="1"/>
    <col min="11514" max="11514" width="50.7109375" style="22" customWidth="1"/>
    <col min="11515" max="11528" width="15.7109375" style="22" customWidth="1"/>
    <col min="11529" max="11768" width="9.140625" style="22"/>
    <col min="11769" max="11769" width="12.7109375" style="22" customWidth="1"/>
    <col min="11770" max="11770" width="50.7109375" style="22" customWidth="1"/>
    <col min="11771" max="11784" width="15.7109375" style="22" customWidth="1"/>
    <col min="11785" max="12024" width="9.140625" style="22"/>
    <col min="12025" max="12025" width="12.7109375" style="22" customWidth="1"/>
    <col min="12026" max="12026" width="50.7109375" style="22" customWidth="1"/>
    <col min="12027" max="12040" width="15.7109375" style="22" customWidth="1"/>
    <col min="12041" max="12280" width="9.140625" style="22"/>
    <col min="12281" max="12281" width="12.7109375" style="22" customWidth="1"/>
    <col min="12282" max="12282" width="50.7109375" style="22" customWidth="1"/>
    <col min="12283" max="12296" width="15.7109375" style="22" customWidth="1"/>
    <col min="12297" max="12536" width="9.140625" style="22"/>
    <col min="12537" max="12537" width="12.7109375" style="22" customWidth="1"/>
    <col min="12538" max="12538" width="50.7109375" style="22" customWidth="1"/>
    <col min="12539" max="12552" width="15.7109375" style="22" customWidth="1"/>
    <col min="12553" max="12792" width="9.140625" style="22"/>
    <col min="12793" max="12793" width="12.7109375" style="22" customWidth="1"/>
    <col min="12794" max="12794" width="50.7109375" style="22" customWidth="1"/>
    <col min="12795" max="12808" width="15.7109375" style="22" customWidth="1"/>
    <col min="12809" max="13048" width="9.140625" style="22"/>
    <col min="13049" max="13049" width="12.7109375" style="22" customWidth="1"/>
    <col min="13050" max="13050" width="50.7109375" style="22" customWidth="1"/>
    <col min="13051" max="13064" width="15.7109375" style="22" customWidth="1"/>
    <col min="13065" max="13304" width="9.140625" style="22"/>
    <col min="13305" max="13305" width="12.7109375" style="22" customWidth="1"/>
    <col min="13306" max="13306" width="50.7109375" style="22" customWidth="1"/>
    <col min="13307" max="13320" width="15.7109375" style="22" customWidth="1"/>
    <col min="13321" max="13560" width="9.140625" style="22"/>
    <col min="13561" max="13561" width="12.7109375" style="22" customWidth="1"/>
    <col min="13562" max="13562" width="50.7109375" style="22" customWidth="1"/>
    <col min="13563" max="13576" width="15.7109375" style="22" customWidth="1"/>
    <col min="13577" max="13816" width="9.140625" style="22"/>
    <col min="13817" max="13817" width="12.7109375" style="22" customWidth="1"/>
    <col min="13818" max="13818" width="50.7109375" style="22" customWidth="1"/>
    <col min="13819" max="13832" width="15.7109375" style="22" customWidth="1"/>
    <col min="13833" max="14072" width="9.140625" style="22"/>
    <col min="14073" max="14073" width="12.7109375" style="22" customWidth="1"/>
    <col min="14074" max="14074" width="50.7109375" style="22" customWidth="1"/>
    <col min="14075" max="14088" width="15.7109375" style="22" customWidth="1"/>
    <col min="14089" max="14328" width="9.140625" style="22"/>
    <col min="14329" max="14329" width="12.7109375" style="22" customWidth="1"/>
    <col min="14330" max="14330" width="50.7109375" style="22" customWidth="1"/>
    <col min="14331" max="14344" width="15.7109375" style="22" customWidth="1"/>
    <col min="14345" max="14584" width="9.140625" style="22"/>
    <col min="14585" max="14585" width="12.7109375" style="22" customWidth="1"/>
    <col min="14586" max="14586" width="50.7109375" style="22" customWidth="1"/>
    <col min="14587" max="14600" width="15.7109375" style="22" customWidth="1"/>
    <col min="14601" max="14840" width="9.140625" style="22"/>
    <col min="14841" max="14841" width="12.7109375" style="22" customWidth="1"/>
    <col min="14842" max="14842" width="50.7109375" style="22" customWidth="1"/>
    <col min="14843" max="14856" width="15.7109375" style="22" customWidth="1"/>
    <col min="14857" max="15096" width="9.140625" style="22"/>
    <col min="15097" max="15097" width="12.7109375" style="22" customWidth="1"/>
    <col min="15098" max="15098" width="50.7109375" style="22" customWidth="1"/>
    <col min="15099" max="15112" width="15.7109375" style="22" customWidth="1"/>
    <col min="15113" max="15352" width="9.140625" style="22"/>
    <col min="15353" max="15353" width="12.7109375" style="22" customWidth="1"/>
    <col min="15354" max="15354" width="50.7109375" style="22" customWidth="1"/>
    <col min="15355" max="15368" width="15.7109375" style="22" customWidth="1"/>
    <col min="15369" max="15608" width="9.140625" style="22"/>
    <col min="15609" max="15609" width="12.7109375" style="22" customWidth="1"/>
    <col min="15610" max="15610" width="50.7109375" style="22" customWidth="1"/>
    <col min="15611" max="15624" width="15.7109375" style="22" customWidth="1"/>
    <col min="15625" max="15864" width="9.140625" style="22"/>
    <col min="15865" max="15865" width="12.7109375" style="22" customWidth="1"/>
    <col min="15866" max="15866" width="50.7109375" style="22" customWidth="1"/>
    <col min="15867" max="15880" width="15.7109375" style="22" customWidth="1"/>
    <col min="15881" max="16120" width="9.140625" style="22"/>
    <col min="16121" max="16121" width="12.7109375" style="22" customWidth="1"/>
    <col min="16122" max="16122" width="50.7109375" style="22" customWidth="1"/>
    <col min="16123" max="16136" width="15.7109375" style="22" customWidth="1"/>
    <col min="16137" max="16384" width="9.140625" style="22"/>
  </cols>
  <sheetData>
    <row r="2" spans="1:9" ht="15" x14ac:dyDescent="0.25">
      <c r="A2" s="41" t="s">
        <v>28</v>
      </c>
      <c r="B2" s="41"/>
      <c r="C2" s="41"/>
      <c r="D2" s="41"/>
      <c r="E2" s="41"/>
      <c r="F2" s="41"/>
      <c r="G2" s="41"/>
      <c r="H2" s="41"/>
    </row>
    <row r="3" spans="1:9" x14ac:dyDescent="0.2">
      <c r="A3" s="25" t="s">
        <v>91</v>
      </c>
      <c r="B3" s="25"/>
      <c r="C3" s="25"/>
      <c r="D3" s="25"/>
      <c r="E3" s="25"/>
      <c r="F3" s="25"/>
      <c r="G3" s="25"/>
      <c r="H3" s="25"/>
    </row>
    <row r="4" spans="1:9" x14ac:dyDescent="0.2">
      <c r="A4" s="25" t="s">
        <v>30</v>
      </c>
      <c r="B4" s="25"/>
      <c r="C4" s="25"/>
      <c r="D4" s="25"/>
      <c r="E4" s="25"/>
      <c r="F4" s="25"/>
      <c r="G4" s="25"/>
      <c r="H4" s="25"/>
    </row>
    <row r="5" spans="1:9" x14ac:dyDescent="0.2">
      <c r="A5" s="40" t="s">
        <v>90</v>
      </c>
      <c r="B5" s="40"/>
      <c r="C5" s="40"/>
      <c r="D5" s="40"/>
      <c r="E5" s="40"/>
      <c r="F5" s="40"/>
      <c r="G5" s="40"/>
      <c r="H5" s="40"/>
    </row>
    <row r="6" spans="1:9" x14ac:dyDescent="0.2">
      <c r="A6" s="28"/>
      <c r="B6" s="28"/>
      <c r="C6" s="28"/>
      <c r="D6" s="28"/>
      <c r="E6" s="28"/>
      <c r="F6" s="28"/>
      <c r="G6" s="28"/>
      <c r="H6" s="28"/>
    </row>
    <row r="7" spans="1:9" x14ac:dyDescent="0.2">
      <c r="H7" s="26" t="s">
        <v>27</v>
      </c>
    </row>
    <row r="8" spans="1:9" s="28" customFormat="1" ht="63.75" x14ac:dyDescent="0.2">
      <c r="A8" s="27" t="s">
        <v>33</v>
      </c>
      <c r="B8" s="27" t="s">
        <v>34</v>
      </c>
      <c r="C8" s="27" t="s">
        <v>35</v>
      </c>
      <c r="D8" s="27" t="s">
        <v>36</v>
      </c>
      <c r="E8" s="27" t="s">
        <v>37</v>
      </c>
      <c r="F8" s="27" t="s">
        <v>38</v>
      </c>
      <c r="G8" s="27" t="s">
        <v>39</v>
      </c>
      <c r="H8" s="27" t="s">
        <v>89</v>
      </c>
    </row>
    <row r="9" spans="1:9" x14ac:dyDescent="0.2">
      <c r="A9" s="29">
        <v>1</v>
      </c>
      <c r="B9" s="29">
        <v>2</v>
      </c>
      <c r="C9" s="29">
        <v>3</v>
      </c>
      <c r="D9" s="29">
        <v>4</v>
      </c>
      <c r="E9" s="29">
        <v>5</v>
      </c>
      <c r="F9" s="29">
        <v>6</v>
      </c>
      <c r="G9" s="29">
        <v>7</v>
      </c>
      <c r="H9" s="29">
        <v>8</v>
      </c>
    </row>
    <row r="10" spans="1:9" ht="51" x14ac:dyDescent="0.2">
      <c r="A10" s="30" t="s">
        <v>40</v>
      </c>
      <c r="B10" s="31" t="s">
        <v>41</v>
      </c>
      <c r="C10" s="32">
        <v>51087.952000000005</v>
      </c>
      <c r="D10" s="32">
        <v>4401.4120000000003</v>
      </c>
      <c r="E10" s="32">
        <v>1995.0960299999999</v>
      </c>
      <c r="F10" s="36">
        <f>C10-E10</f>
        <v>49092.855970000004</v>
      </c>
      <c r="G10" s="36">
        <f>D10-E10</f>
        <v>2406.3159700000006</v>
      </c>
      <c r="H10" s="36">
        <f>IF(D10=0,0,(E10/D10)*100)</f>
        <v>45.328545248661108</v>
      </c>
      <c r="I10" s="33"/>
    </row>
    <row r="11" spans="1:9" ht="38.25" x14ac:dyDescent="0.2">
      <c r="A11" s="30" t="s">
        <v>42</v>
      </c>
      <c r="B11" s="31" t="s">
        <v>43</v>
      </c>
      <c r="C11" s="32">
        <v>29601.903000000002</v>
      </c>
      <c r="D11" s="32">
        <v>3814.9120000000003</v>
      </c>
      <c r="E11" s="32">
        <v>1246.03809</v>
      </c>
      <c r="F11" s="36">
        <f>C11-E11</f>
        <v>28355.864910000004</v>
      </c>
      <c r="G11" s="36">
        <f>D11-E11</f>
        <v>2568.8739100000003</v>
      </c>
      <c r="H11" s="36">
        <f>IF(D11=0,0,(E11/D11)*100)</f>
        <v>32.662302302123877</v>
      </c>
      <c r="I11" s="33"/>
    </row>
    <row r="12" spans="1:9" ht="38.25" x14ac:dyDescent="0.2">
      <c r="A12" s="30" t="s">
        <v>44</v>
      </c>
      <c r="B12" s="31" t="s">
        <v>45</v>
      </c>
      <c r="C12" s="32">
        <v>40191.9</v>
      </c>
      <c r="D12" s="32">
        <v>4598</v>
      </c>
      <c r="E12" s="32">
        <v>4489.3106000000007</v>
      </c>
      <c r="F12" s="36">
        <f>C12-E12</f>
        <v>35702.589399999997</v>
      </c>
      <c r="G12" s="36">
        <f>D12-E12</f>
        <v>108.6893999999993</v>
      </c>
      <c r="H12" s="36">
        <f>IF(D12=0,0,(E12/D12)*100)</f>
        <v>97.636159199652042</v>
      </c>
      <c r="I12" s="33"/>
    </row>
    <row r="13" spans="1:9" ht="38.25" x14ac:dyDescent="0.2">
      <c r="A13" s="30" t="s">
        <v>46</v>
      </c>
      <c r="B13" s="31" t="s">
        <v>47</v>
      </c>
      <c r="C13" s="32">
        <v>5729</v>
      </c>
      <c r="D13" s="32">
        <v>954.80000000000007</v>
      </c>
      <c r="E13" s="32">
        <v>877.7624800000001</v>
      </c>
      <c r="F13" s="36">
        <f>C13-E13</f>
        <v>4851.2375199999997</v>
      </c>
      <c r="G13" s="36">
        <f>D13-E13</f>
        <v>77.037519999999972</v>
      </c>
      <c r="H13" s="36">
        <f>IF(D13=0,0,(E13/D13)*100)</f>
        <v>91.931554252199419</v>
      </c>
      <c r="I13" s="33"/>
    </row>
    <row r="14" spans="1:9" ht="38.25" x14ac:dyDescent="0.2">
      <c r="A14" s="30" t="s">
        <v>48</v>
      </c>
      <c r="B14" s="31" t="s">
        <v>49</v>
      </c>
      <c r="C14" s="32">
        <v>2060.1999999999998</v>
      </c>
      <c r="D14" s="32">
        <v>412</v>
      </c>
      <c r="E14" s="32">
        <v>0</v>
      </c>
      <c r="F14" s="36">
        <f>C14-E14</f>
        <v>2060.1999999999998</v>
      </c>
      <c r="G14" s="36">
        <f>D14-E14</f>
        <v>412</v>
      </c>
      <c r="H14" s="36">
        <f>IF(D14=0,0,(E14/D14)*100)</f>
        <v>0</v>
      </c>
      <c r="I14" s="33"/>
    </row>
    <row r="15" spans="1:9" ht="25.5" x14ac:dyDescent="0.2">
      <c r="A15" s="30" t="s">
        <v>50</v>
      </c>
      <c r="B15" s="31" t="s">
        <v>51</v>
      </c>
      <c r="C15" s="32">
        <v>60</v>
      </c>
      <c r="D15" s="32">
        <v>0</v>
      </c>
      <c r="E15" s="32">
        <v>0</v>
      </c>
      <c r="F15" s="36">
        <f>C15-E15</f>
        <v>60</v>
      </c>
      <c r="G15" s="36">
        <f>D15-E15</f>
        <v>0</v>
      </c>
      <c r="H15" s="36">
        <f>IF(D15=0,0,(E15/D15)*100)</f>
        <v>0</v>
      </c>
      <c r="I15" s="33"/>
    </row>
    <row r="16" spans="1:9" ht="25.5" x14ac:dyDescent="0.2">
      <c r="A16" s="30" t="s">
        <v>52</v>
      </c>
      <c r="B16" s="31" t="s">
        <v>53</v>
      </c>
      <c r="C16" s="32">
        <v>30</v>
      </c>
      <c r="D16" s="32">
        <v>30</v>
      </c>
      <c r="E16" s="32">
        <v>0</v>
      </c>
      <c r="F16" s="36">
        <f>C16-E16</f>
        <v>30</v>
      </c>
      <c r="G16" s="36">
        <f>D16-E16</f>
        <v>30</v>
      </c>
      <c r="H16" s="36">
        <f>IF(D16=0,0,(E16/D16)*100)</f>
        <v>0</v>
      </c>
      <c r="I16" s="33"/>
    </row>
    <row r="17" spans="1:9" ht="51" x14ac:dyDescent="0.2">
      <c r="A17" s="30" t="s">
        <v>54</v>
      </c>
      <c r="B17" s="31" t="s">
        <v>55</v>
      </c>
      <c r="C17" s="32">
        <v>370</v>
      </c>
      <c r="D17" s="32">
        <v>0</v>
      </c>
      <c r="E17" s="32">
        <v>0</v>
      </c>
      <c r="F17" s="36">
        <f>C17-E17</f>
        <v>370</v>
      </c>
      <c r="G17" s="36">
        <f>D17-E17</f>
        <v>0</v>
      </c>
      <c r="H17" s="36">
        <f>IF(D17=0,0,(E17/D17)*100)</f>
        <v>0</v>
      </c>
      <c r="I17" s="33"/>
    </row>
    <row r="18" spans="1:9" ht="63.75" x14ac:dyDescent="0.2">
      <c r="A18" s="30" t="s">
        <v>56</v>
      </c>
      <c r="B18" s="31" t="s">
        <v>57</v>
      </c>
      <c r="C18" s="32">
        <v>508.8</v>
      </c>
      <c r="D18" s="32">
        <v>42.4</v>
      </c>
      <c r="E18" s="32">
        <v>17.503029999999999</v>
      </c>
      <c r="F18" s="36">
        <f>C18-E18</f>
        <v>491.29696999999999</v>
      </c>
      <c r="G18" s="36">
        <f>D18-E18</f>
        <v>24.89697</v>
      </c>
      <c r="H18" s="36">
        <f>IF(D18=0,0,(E18/D18)*100)</f>
        <v>41.280731132075474</v>
      </c>
      <c r="I18" s="33"/>
    </row>
    <row r="19" spans="1:9" ht="51" x14ac:dyDescent="0.2">
      <c r="A19" s="30" t="s">
        <v>58</v>
      </c>
      <c r="B19" s="31" t="s">
        <v>59</v>
      </c>
      <c r="C19" s="32">
        <v>1111.7760000000001</v>
      </c>
      <c r="D19" s="32">
        <v>92.647999999999996</v>
      </c>
      <c r="E19" s="32">
        <v>91.819860000000006</v>
      </c>
      <c r="F19" s="36">
        <f>C19-E19</f>
        <v>1019.95614</v>
      </c>
      <c r="G19" s="36">
        <f>D19-E19</f>
        <v>0.82813999999999055</v>
      </c>
      <c r="H19" s="36">
        <f>IF(D19=0,0,(E19/D19)*100)</f>
        <v>99.106143683619734</v>
      </c>
      <c r="I19" s="33"/>
    </row>
    <row r="20" spans="1:9" ht="38.25" x14ac:dyDescent="0.2">
      <c r="A20" s="30" t="s">
        <v>60</v>
      </c>
      <c r="B20" s="31" t="s">
        <v>61</v>
      </c>
      <c r="C20" s="32">
        <v>12287.383</v>
      </c>
      <c r="D20" s="32">
        <v>965.86700000000008</v>
      </c>
      <c r="E20" s="32">
        <v>568.81331</v>
      </c>
      <c r="F20" s="36">
        <f>C20-E20</f>
        <v>11718.56969</v>
      </c>
      <c r="G20" s="36">
        <f>D20-E20</f>
        <v>397.05369000000007</v>
      </c>
      <c r="H20" s="36">
        <f>IF(D20=0,0,(E20/D20)*100)</f>
        <v>58.891473670805603</v>
      </c>
      <c r="I20" s="33"/>
    </row>
    <row r="21" spans="1:9" ht="25.5" x14ac:dyDescent="0.2">
      <c r="A21" s="30" t="s">
        <v>62</v>
      </c>
      <c r="B21" s="31" t="s">
        <v>63</v>
      </c>
      <c r="C21" s="32">
        <v>3378.4</v>
      </c>
      <c r="D21" s="32">
        <v>281.53300000000002</v>
      </c>
      <c r="E21" s="32">
        <v>0</v>
      </c>
      <c r="F21" s="36">
        <f>C21-E21</f>
        <v>3378.4</v>
      </c>
      <c r="G21" s="36">
        <f>D21-E21</f>
        <v>281.53300000000002</v>
      </c>
      <c r="H21" s="36">
        <f>IF(D21=0,0,(E21/D21)*100)</f>
        <v>0</v>
      </c>
      <c r="I21" s="33"/>
    </row>
    <row r="22" spans="1:9" ht="25.5" x14ac:dyDescent="0.2">
      <c r="A22" s="30" t="s">
        <v>64</v>
      </c>
      <c r="B22" s="31" t="s">
        <v>65</v>
      </c>
      <c r="C22" s="32">
        <v>11430.532000000001</v>
      </c>
      <c r="D22" s="32">
        <v>622.51400000000001</v>
      </c>
      <c r="E22" s="32">
        <v>491.0181</v>
      </c>
      <c r="F22" s="36">
        <f>C22-E22</f>
        <v>10939.513900000002</v>
      </c>
      <c r="G22" s="36">
        <f>D22-E22</f>
        <v>131.49590000000001</v>
      </c>
      <c r="H22" s="36">
        <f>IF(D22=0,0,(E22/D22)*100)</f>
        <v>78.876635706184913</v>
      </c>
      <c r="I22" s="33"/>
    </row>
    <row r="23" spans="1:9" x14ac:dyDescent="0.2">
      <c r="A23" s="30" t="s">
        <v>66</v>
      </c>
      <c r="B23" s="31" t="s">
        <v>67</v>
      </c>
      <c r="C23" s="32">
        <v>26587.65</v>
      </c>
      <c r="D23" s="32">
        <v>2802.05</v>
      </c>
      <c r="E23" s="32">
        <v>1602.4698400000002</v>
      </c>
      <c r="F23" s="36">
        <f>C23-E23</f>
        <v>24985.18016</v>
      </c>
      <c r="G23" s="36">
        <f>D23-E23</f>
        <v>1199.58016</v>
      </c>
      <c r="H23" s="36">
        <f>IF(D23=0,0,(E23/D23)*100)</f>
        <v>57.189195053621454</v>
      </c>
      <c r="I23" s="33"/>
    </row>
    <row r="24" spans="1:9" ht="25.5" x14ac:dyDescent="0.2">
      <c r="A24" s="30" t="s">
        <v>68</v>
      </c>
      <c r="B24" s="31" t="s">
        <v>69</v>
      </c>
      <c r="C24" s="32">
        <v>138.62700000000001</v>
      </c>
      <c r="D24" s="32">
        <v>138.62700000000001</v>
      </c>
      <c r="E24" s="32">
        <v>0</v>
      </c>
      <c r="F24" s="36">
        <f>C24-E24</f>
        <v>138.62700000000001</v>
      </c>
      <c r="G24" s="36">
        <f>D24-E24</f>
        <v>138.62700000000001</v>
      </c>
      <c r="H24" s="36">
        <f>IF(D24=0,0,(E24/D24)*100)</f>
        <v>0</v>
      </c>
      <c r="I24" s="33"/>
    </row>
    <row r="25" spans="1:9" x14ac:dyDescent="0.2">
      <c r="A25" s="30" t="s">
        <v>70</v>
      </c>
      <c r="B25" s="31" t="s">
        <v>71</v>
      </c>
      <c r="C25" s="32">
        <v>5705.9480000000003</v>
      </c>
      <c r="D25" s="32">
        <v>564.89800000000002</v>
      </c>
      <c r="E25" s="32">
        <v>230.03836999999999</v>
      </c>
      <c r="F25" s="36">
        <f>C25-E25</f>
        <v>5475.9096300000001</v>
      </c>
      <c r="G25" s="36">
        <f>D25-E25</f>
        <v>334.85963000000004</v>
      </c>
      <c r="H25" s="36">
        <f>IF(D25=0,0,(E25/D25)*100)</f>
        <v>40.722107353893975</v>
      </c>
      <c r="I25" s="33"/>
    </row>
    <row r="26" spans="1:9" ht="25.5" x14ac:dyDescent="0.2">
      <c r="A26" s="30" t="s">
        <v>72</v>
      </c>
      <c r="B26" s="31" t="s">
        <v>73</v>
      </c>
      <c r="C26" s="32">
        <v>445</v>
      </c>
      <c r="D26" s="32">
        <v>0</v>
      </c>
      <c r="E26" s="32">
        <v>0</v>
      </c>
      <c r="F26" s="36">
        <f>C26-E26</f>
        <v>445</v>
      </c>
      <c r="G26" s="36">
        <f>D26-E26</f>
        <v>0</v>
      </c>
      <c r="H26" s="36">
        <f>IF(D26=0,0,(E26/D26)*100)</f>
        <v>0</v>
      </c>
      <c r="I26" s="33"/>
    </row>
    <row r="27" spans="1:9" ht="25.5" x14ac:dyDescent="0.2">
      <c r="A27" s="30" t="s">
        <v>74</v>
      </c>
      <c r="B27" s="31" t="s">
        <v>75</v>
      </c>
      <c r="C27" s="32">
        <v>8800.0310000000009</v>
      </c>
      <c r="D27" s="32">
        <v>734.36699999999996</v>
      </c>
      <c r="E27" s="32">
        <v>556.34676000000002</v>
      </c>
      <c r="F27" s="36">
        <f>C27-E27</f>
        <v>8243.6842400000005</v>
      </c>
      <c r="G27" s="36">
        <f>D27-E27</f>
        <v>178.02023999999994</v>
      </c>
      <c r="H27" s="36">
        <f>IF(D27=0,0,(E27/D27)*100)</f>
        <v>75.758681966918445</v>
      </c>
      <c r="I27" s="33"/>
    </row>
    <row r="28" spans="1:9" x14ac:dyDescent="0.2">
      <c r="A28" s="30" t="s">
        <v>76</v>
      </c>
      <c r="B28" s="31" t="s">
        <v>77</v>
      </c>
      <c r="C28" s="32">
        <v>100</v>
      </c>
      <c r="D28" s="32">
        <v>100</v>
      </c>
      <c r="E28" s="32">
        <v>0</v>
      </c>
      <c r="F28" s="36">
        <f>C28-E28</f>
        <v>100</v>
      </c>
      <c r="G28" s="36">
        <f>D28-E28</f>
        <v>100</v>
      </c>
      <c r="H28" s="36">
        <f>IF(D28=0,0,(E28/D28)*100)</f>
        <v>0</v>
      </c>
      <c r="I28" s="33"/>
    </row>
    <row r="29" spans="1:9" x14ac:dyDescent="0.2">
      <c r="A29" s="30" t="s">
        <v>78</v>
      </c>
      <c r="B29" s="31" t="s">
        <v>79</v>
      </c>
      <c r="C29" s="32">
        <v>428.93799999999999</v>
      </c>
      <c r="D29" s="32">
        <v>428.93799999999999</v>
      </c>
      <c r="E29" s="32">
        <v>0</v>
      </c>
      <c r="F29" s="36">
        <f>C29-E29</f>
        <v>428.93799999999999</v>
      </c>
      <c r="G29" s="36">
        <f>D29-E29</f>
        <v>428.93799999999999</v>
      </c>
      <c r="H29" s="36">
        <f>IF(D29=0,0,(E29/D29)*100)</f>
        <v>0</v>
      </c>
      <c r="I29" s="33"/>
    </row>
    <row r="30" spans="1:9" ht="25.5" x14ac:dyDescent="0.2">
      <c r="A30" s="30" t="s">
        <v>80</v>
      </c>
      <c r="B30" s="31" t="s">
        <v>81</v>
      </c>
      <c r="C30" s="32">
        <v>2037.9059999999999</v>
      </c>
      <c r="D30" s="32">
        <v>130.358</v>
      </c>
      <c r="E30" s="32">
        <v>92.902070000000009</v>
      </c>
      <c r="F30" s="36">
        <f>C30-E30</f>
        <v>1945.0039299999999</v>
      </c>
      <c r="G30" s="36">
        <f>D30-E30</f>
        <v>37.455929999999995</v>
      </c>
      <c r="H30" s="36">
        <f>IF(D30=0,0,(E30/D30)*100)</f>
        <v>71.266872765768113</v>
      </c>
      <c r="I30" s="33"/>
    </row>
    <row r="31" spans="1:9" ht="25.5" x14ac:dyDescent="0.2">
      <c r="A31" s="30" t="s">
        <v>82</v>
      </c>
      <c r="B31" s="31" t="s">
        <v>81</v>
      </c>
      <c r="C31" s="32">
        <v>9660.0560000000023</v>
      </c>
      <c r="D31" s="32">
        <v>899.923</v>
      </c>
      <c r="E31" s="32">
        <v>704.93432000000007</v>
      </c>
      <c r="F31" s="36">
        <f>C31-E31</f>
        <v>8955.121680000002</v>
      </c>
      <c r="G31" s="36">
        <f>D31-E31</f>
        <v>194.98867999999993</v>
      </c>
      <c r="H31" s="36">
        <f>IF(D31=0,0,(E31/D31)*100)</f>
        <v>78.332737356418278</v>
      </c>
      <c r="I31" s="33"/>
    </row>
    <row r="32" spans="1:9" x14ac:dyDescent="0.2">
      <c r="A32" s="30" t="s">
        <v>83</v>
      </c>
      <c r="B32" s="31" t="s">
        <v>67</v>
      </c>
      <c r="C32" s="32">
        <v>2388</v>
      </c>
      <c r="D32" s="32">
        <v>200</v>
      </c>
      <c r="E32" s="32">
        <v>199</v>
      </c>
      <c r="F32" s="36">
        <f>C32-E32</f>
        <v>2189</v>
      </c>
      <c r="G32" s="36">
        <f>D32-E32</f>
        <v>1</v>
      </c>
      <c r="H32" s="36">
        <f>IF(D32=0,0,(E32/D32)*100)</f>
        <v>99.5</v>
      </c>
      <c r="I32" s="33"/>
    </row>
    <row r="33" spans="1:9" ht="25.5" x14ac:dyDescent="0.2">
      <c r="A33" s="30" t="s">
        <v>84</v>
      </c>
      <c r="B33" s="31" t="s">
        <v>81</v>
      </c>
      <c r="C33" s="32">
        <v>2677.1640000000002</v>
      </c>
      <c r="D33" s="32">
        <v>173.87799999999999</v>
      </c>
      <c r="E33" s="32">
        <v>140.78915000000001</v>
      </c>
      <c r="F33" s="36">
        <f>C33-E33</f>
        <v>2536.3748500000002</v>
      </c>
      <c r="G33" s="36">
        <f>D33-E33</f>
        <v>33.088849999999979</v>
      </c>
      <c r="H33" s="36">
        <f>IF(D33=0,0,(E33/D33)*100)</f>
        <v>80.97007672045919</v>
      </c>
      <c r="I33" s="33"/>
    </row>
    <row r="34" spans="1:9" x14ac:dyDescent="0.2">
      <c r="A34" s="30" t="s">
        <v>85</v>
      </c>
      <c r="B34" s="31" t="s">
        <v>86</v>
      </c>
      <c r="C34" s="32">
        <v>100</v>
      </c>
      <c r="D34" s="32">
        <v>100</v>
      </c>
      <c r="E34" s="32">
        <v>0</v>
      </c>
      <c r="F34" s="36">
        <f>C34-E34</f>
        <v>100</v>
      </c>
      <c r="G34" s="36">
        <f>D34-E34</f>
        <v>100</v>
      </c>
      <c r="H34" s="36">
        <f>IF(D34=0,0,(E34/D34)*100)</f>
        <v>0</v>
      </c>
      <c r="I34" s="33"/>
    </row>
    <row r="35" spans="1:9" ht="18" customHeight="1" x14ac:dyDescent="0.2">
      <c r="A35" s="38" t="s">
        <v>87</v>
      </c>
      <c r="B35" s="39" t="s">
        <v>88</v>
      </c>
      <c r="C35" s="37">
        <v>216917.16599999994</v>
      </c>
      <c r="D35" s="37">
        <v>22489.125</v>
      </c>
      <c r="E35" s="37">
        <v>13303.842010000004</v>
      </c>
      <c r="F35" s="37">
        <f>C35-E35</f>
        <v>203613.32398999995</v>
      </c>
      <c r="G35" s="37">
        <f>D35-E35</f>
        <v>9185.2829899999961</v>
      </c>
      <c r="H35" s="37">
        <f>IF(D35=0,0,(E35/D35)*100)</f>
        <v>59.156779154369076</v>
      </c>
      <c r="I35" s="33"/>
    </row>
    <row r="37" spans="1:9" x14ac:dyDescent="0.2">
      <c r="A37" s="34"/>
      <c r="B37" s="35"/>
      <c r="C37" s="33"/>
      <c r="D37" s="33"/>
      <c r="E37" s="33"/>
      <c r="F37" s="33"/>
      <c r="G37" s="33"/>
      <c r="H37" s="33"/>
    </row>
    <row r="45" spans="1:9" hidden="1" x14ac:dyDescent="0.2"/>
  </sheetData>
  <mergeCells count="4">
    <mergeCell ref="A2:H2"/>
    <mergeCell ref="A3:H3"/>
    <mergeCell ref="A5:H5"/>
    <mergeCell ref="A4:H4"/>
  </mergeCells>
  <conditionalFormatting sqref="A10:A35">
    <cfRule type="expression" dxfId="95" priority="49" stopIfTrue="1">
      <formula>#REF!=1</formula>
    </cfRule>
    <cfRule type="expression" dxfId="94" priority="50" stopIfTrue="1">
      <formula>#REF!=2</formula>
    </cfRule>
    <cfRule type="expression" dxfId="93" priority="51" stopIfTrue="1">
      <formula>#REF!=3</formula>
    </cfRule>
  </conditionalFormatting>
  <conditionalFormatting sqref="B10:B35">
    <cfRule type="expression" dxfId="92" priority="52" stopIfTrue="1">
      <formula>#REF!=1</formula>
    </cfRule>
    <cfRule type="expression" dxfId="91" priority="53" stopIfTrue="1">
      <formula>#REF!=2</formula>
    </cfRule>
    <cfRule type="expression" dxfId="90" priority="54" stopIfTrue="1">
      <formula>#REF!=3</formula>
    </cfRule>
  </conditionalFormatting>
  <conditionalFormatting sqref="C10:C35">
    <cfRule type="expression" dxfId="86" priority="58" stopIfTrue="1">
      <formula>#REF!=1</formula>
    </cfRule>
    <cfRule type="expression" dxfId="85" priority="59" stopIfTrue="1">
      <formula>#REF!=2</formula>
    </cfRule>
    <cfRule type="expression" dxfId="84" priority="60" stopIfTrue="1">
      <formula>#REF!=3</formula>
    </cfRule>
  </conditionalFormatting>
  <conditionalFormatting sqref="D10:D35">
    <cfRule type="expression" dxfId="83" priority="61" stopIfTrue="1">
      <formula>#REF!=1</formula>
    </cfRule>
    <cfRule type="expression" dxfId="82" priority="62" stopIfTrue="1">
      <formula>#REF!=2</formula>
    </cfRule>
    <cfRule type="expression" dxfId="81" priority="63" stopIfTrue="1">
      <formula>#REF!=3</formula>
    </cfRule>
  </conditionalFormatting>
  <conditionalFormatting sqref="E10:E35">
    <cfRule type="expression" dxfId="74" priority="70" stopIfTrue="1">
      <formula>#REF!=1</formula>
    </cfRule>
    <cfRule type="expression" dxfId="73" priority="71" stopIfTrue="1">
      <formula>#REF!=2</formula>
    </cfRule>
    <cfRule type="expression" dxfId="72" priority="72" stopIfTrue="1">
      <formula>#REF!=3</formula>
    </cfRule>
  </conditionalFormatting>
  <conditionalFormatting sqref="F10:F35">
    <cfRule type="expression" dxfId="56" priority="88" stopIfTrue="1">
      <formula>#REF!=1</formula>
    </cfRule>
    <cfRule type="expression" dxfId="55" priority="89" stopIfTrue="1">
      <formula>#REF!=2</formula>
    </cfRule>
    <cfRule type="expression" dxfId="54" priority="90" stopIfTrue="1">
      <formula>#REF!=3</formula>
    </cfRule>
  </conditionalFormatting>
  <conditionalFormatting sqref="G10:G35">
    <cfRule type="expression" dxfId="53" priority="91" stopIfTrue="1">
      <formula>#REF!=1</formula>
    </cfRule>
    <cfRule type="expression" dxfId="52" priority="92" stopIfTrue="1">
      <formula>#REF!=2</formula>
    </cfRule>
    <cfRule type="expression" dxfId="51" priority="93" stopIfTrue="1">
      <formula>#REF!=3</formula>
    </cfRule>
  </conditionalFormatting>
  <conditionalFormatting sqref="H10:H35">
    <cfRule type="expression" dxfId="50" priority="94" stopIfTrue="1">
      <formula>#REF!=1</formula>
    </cfRule>
    <cfRule type="expression" dxfId="49" priority="95" stopIfTrue="1">
      <formula>#REF!=2</formula>
    </cfRule>
    <cfRule type="expression" dxfId="48" priority="96" stopIfTrue="1">
      <formula>#REF!=3</formula>
    </cfRule>
  </conditionalFormatting>
  <conditionalFormatting sqref="A37:A46">
    <cfRule type="expression" dxfId="47" priority="1" stopIfTrue="1">
      <formula>#REF!=1</formula>
    </cfRule>
    <cfRule type="expression" dxfId="46" priority="2" stopIfTrue="1">
      <formula>#REF!=2</formula>
    </cfRule>
    <cfRule type="expression" dxfId="45" priority="3" stopIfTrue="1">
      <formula>#REF!=3</formula>
    </cfRule>
  </conditionalFormatting>
  <conditionalFormatting sqref="B37:B46">
    <cfRule type="expression" dxfId="44" priority="4" stopIfTrue="1">
      <formula>#REF!=1</formula>
    </cfRule>
    <cfRule type="expression" dxfId="43" priority="5" stopIfTrue="1">
      <formula>#REF!=2</formula>
    </cfRule>
    <cfRule type="expression" dxfId="42" priority="6" stopIfTrue="1">
      <formula>#REF!=3</formula>
    </cfRule>
  </conditionalFormatting>
  <conditionalFormatting sqref="C37:C46">
    <cfRule type="expression" dxfId="38" priority="10" stopIfTrue="1">
      <formula>#REF!=1</formula>
    </cfRule>
    <cfRule type="expression" dxfId="37" priority="11" stopIfTrue="1">
      <formula>#REF!=2</formula>
    </cfRule>
    <cfRule type="expression" dxfId="36" priority="12" stopIfTrue="1">
      <formula>#REF!=3</formula>
    </cfRule>
  </conditionalFormatting>
  <conditionalFormatting sqref="D37:D46">
    <cfRule type="expression" dxfId="35" priority="13" stopIfTrue="1">
      <formula>#REF!=1</formula>
    </cfRule>
    <cfRule type="expression" dxfId="34" priority="14" stopIfTrue="1">
      <formula>#REF!=2</formula>
    </cfRule>
    <cfRule type="expression" dxfId="33" priority="15" stopIfTrue="1">
      <formula>#REF!=3</formula>
    </cfRule>
  </conditionalFormatting>
  <conditionalFormatting sqref="E37:E46">
    <cfRule type="expression" dxfId="26" priority="22" stopIfTrue="1">
      <formula>#REF!=1</formula>
    </cfRule>
    <cfRule type="expression" dxfId="25" priority="23" stopIfTrue="1">
      <formula>#REF!=2</formula>
    </cfRule>
    <cfRule type="expression" dxfId="24" priority="24" stopIfTrue="1">
      <formula>#REF!=3</formula>
    </cfRule>
  </conditionalFormatting>
  <conditionalFormatting sqref="F37:F46">
    <cfRule type="expression" dxfId="8" priority="40" stopIfTrue="1">
      <formula>#REF!=1</formula>
    </cfRule>
    <cfRule type="expression" dxfId="7" priority="41" stopIfTrue="1">
      <formula>#REF!=2</formula>
    </cfRule>
    <cfRule type="expression" dxfId="6" priority="42" stopIfTrue="1">
      <formula>#REF!=3</formula>
    </cfRule>
  </conditionalFormatting>
  <conditionalFormatting sqref="G37:G46">
    <cfRule type="expression" dxfId="5" priority="43" stopIfTrue="1">
      <formula>#REF!=1</formula>
    </cfRule>
    <cfRule type="expression" dxfId="4" priority="44" stopIfTrue="1">
      <formula>#REF!=2</formula>
    </cfRule>
    <cfRule type="expression" dxfId="3" priority="45" stopIfTrue="1">
      <formula>#REF!=3</formula>
    </cfRule>
  </conditionalFormatting>
  <conditionalFormatting sqref="H37:H46">
    <cfRule type="expression" dxfId="2" priority="46" stopIfTrue="1">
      <formula>#REF!=1</formula>
    </cfRule>
    <cfRule type="expression" dxfId="1" priority="47" stopIfTrue="1">
      <formula>#REF!=2</formula>
    </cfRule>
    <cfRule type="expression" dxfId="0" priority="48" stopIfTrue="1">
      <formula>#REF!=3</formula>
    </cfRule>
  </conditionalFormatting>
  <pageMargins left="0.32" right="0.33" top="0.39370078740157499" bottom="0.39370078740157499" header="0" footer="0"/>
  <pageSetup paperSize="9" scale="49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2026-02-10T06:43:48Z</dcterms:created>
  <dcterms:modified xsi:type="dcterms:W3CDTF">2026-02-10T07:11:14Z</dcterms:modified>
</cp:coreProperties>
</file>