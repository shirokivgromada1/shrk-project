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Бюджетні запити\"/>
    </mc:Choice>
  </mc:AlternateContent>
  <xr:revisionPtr revIDLastSave="0" documentId="13_ncr:1_{C9E826BB-EC56-44E5-984E-8324CEA079CB}" xr6:coauthVersionLast="46" xr6:coauthVersionMax="46" xr10:uidLastSave="{00000000-0000-0000-0000-000000000000}"/>
  <bookViews>
    <workbookView xWindow="-120" yWindow="-120" windowWidth="29040" windowHeight="15840" tabRatio="522" xr2:uid="{00000000-000D-0000-FFFF-FFFF00000000}"/>
  </bookViews>
  <sheets>
    <sheet name="Додаток1 " sheetId="1" r:id="rId1"/>
    <sheet name="Додаток2 КПК1610160" sheetId="6" r:id="rId2"/>
    <sheet name="Додаток3 КПК1610160" sheetId="8" r:id="rId3"/>
  </sheets>
  <definedNames>
    <definedName name="_xlnm.Print_Area" localSheetId="0">'Додаток1 '!$A$1:$BL$41</definedName>
    <definedName name="_xlnm.Print_Area" localSheetId="1">'Додаток2 КПК1610160'!$A$1:$BY$258</definedName>
    <definedName name="_xlnm.Print_Area" localSheetId="2">'Додаток3 КПК1610160'!$A$1:$BS$63</definedName>
  </definedNames>
  <calcPr calcId="191029"/>
</workbook>
</file>

<file path=xl/calcChain.xml><?xml version="1.0" encoding="utf-8"?>
<calcChain xmlns="http://schemas.openxmlformats.org/spreadsheetml/2006/main">
  <c r="BH235" i="6" l="1"/>
  <c r="AT235" i="6"/>
  <c r="AJ235" i="6"/>
  <c r="BG226" i="6"/>
  <c r="AQ226" i="6"/>
  <c r="AZ203" i="6"/>
  <c r="AK203" i="6"/>
  <c r="BO195" i="6"/>
  <c r="AZ195" i="6"/>
  <c r="AK195" i="6"/>
  <c r="BD120" i="6"/>
  <c r="AJ120" i="6"/>
  <c r="BD119" i="6"/>
  <c r="AJ119" i="6"/>
  <c r="BD118" i="6"/>
  <c r="AJ118" i="6"/>
  <c r="BD117" i="6"/>
  <c r="AJ117" i="6"/>
  <c r="BD116" i="6"/>
  <c r="AJ116" i="6"/>
  <c r="BD115" i="6"/>
  <c r="AJ115" i="6"/>
  <c r="BD114" i="6"/>
  <c r="AJ114" i="6"/>
  <c r="BD113" i="6"/>
  <c r="AJ113" i="6"/>
  <c r="BD112" i="6"/>
  <c r="AJ112" i="6"/>
  <c r="BD111" i="6"/>
  <c r="AJ111" i="6"/>
  <c r="BU103" i="6"/>
  <c r="BB103" i="6"/>
  <c r="AI103" i="6"/>
  <c r="BU102" i="6"/>
  <c r="BB102" i="6"/>
  <c r="AI102" i="6"/>
  <c r="BU101" i="6"/>
  <c r="BB101" i="6"/>
  <c r="AI101" i="6"/>
  <c r="BU100" i="6"/>
  <c r="BB100" i="6"/>
  <c r="AI100" i="6"/>
  <c r="BU99" i="6"/>
  <c r="BB99" i="6"/>
  <c r="AI99" i="6"/>
  <c r="BU98" i="6"/>
  <c r="BB98" i="6"/>
  <c r="AI98" i="6"/>
  <c r="BU97" i="6"/>
  <c r="BB97" i="6"/>
  <c r="AI97" i="6"/>
  <c r="BU96" i="6"/>
  <c r="BB96" i="6"/>
  <c r="AI96" i="6"/>
  <c r="BU95" i="6"/>
  <c r="BB95" i="6"/>
  <c r="AI95" i="6"/>
  <c r="BU94" i="6"/>
  <c r="BB94" i="6"/>
  <c r="AI94" i="6"/>
  <c r="BG84" i="6"/>
  <c r="AM84" i="6"/>
  <c r="BG76" i="6"/>
  <c r="AM76" i="6"/>
  <c r="BG75" i="6"/>
  <c r="AM75" i="6"/>
  <c r="BG74" i="6"/>
  <c r="AM74" i="6"/>
  <c r="BG73" i="6"/>
  <c r="AM73" i="6"/>
  <c r="BG72" i="6"/>
  <c r="AM72" i="6"/>
  <c r="BG71" i="6"/>
  <c r="AM71" i="6"/>
  <c r="BU63" i="6"/>
  <c r="BB63" i="6"/>
  <c r="AI63" i="6"/>
  <c r="BU55" i="6"/>
  <c r="BB55" i="6"/>
  <c r="AI55" i="6"/>
  <c r="BU54" i="6"/>
  <c r="BB54" i="6"/>
  <c r="AI54" i="6"/>
  <c r="BU53" i="6"/>
  <c r="BB53" i="6"/>
  <c r="AI53" i="6"/>
  <c r="BU52" i="6"/>
  <c r="BB52" i="6"/>
  <c r="AI52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<sst xmlns="http://schemas.openxmlformats.org/spreadsheetml/2006/main" count="961" uniqueCount="347">
  <si>
    <t xml:space="preserve">                (найменування головного розпорядника коштів місцевого бюджету)                        </t>
  </si>
  <si>
    <t/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</si>
  <si>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</si>
  <si>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</si>
  <si>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</si>
  <si>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</si>
  <si>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</si>
  <si>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</si>
  <si>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</si>
  <si>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</si>
  <si>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</si>
  <si>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</si>
  <si>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</si>
  <si>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</si>
  <si>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</si>
  <si>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</si>
  <si>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</si>
  <si>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</si>
  <si>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</si>
  <si>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</si>
  <si>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</si>
  <si>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</si>
  <si>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індикативні прогнозні показники</t>
  </si>
  <si>
    <t>kpk</t>
  </si>
  <si>
    <t>kpk_name</t>
  </si>
  <si>
    <t>p1.3</t>
  </si>
  <si>
    <t>s1.3</t>
  </si>
  <si>
    <t>p1.4</t>
  </si>
  <si>
    <t>s1.4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</si>
  <si>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</si>
  <si>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</si>
  <si>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</si>
  <si>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</si>
  <si>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</si>
  <si>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</si>
  <si>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</si>
  <si>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</si>
  <si>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</si>
  <si>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</si>
  <si>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</si>
  <si>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</si>
  <si>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</si>
  <si>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</si>
  <si>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</si>
  <si>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</si>
  <si>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</si>
  <si>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</si>
  <si>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</si>
  <si>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</si>
  <si>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</si>
  <si>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</si>
  <si>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</si>
  <si>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</si>
  <si>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</si>
  <si>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</si>
  <si>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</si>
  <si>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</si>
  <si>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</si>
  <si>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</si>
  <si>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</si>
  <si>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</si>
  <si>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</si>
  <si>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</si>
  <si>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</si>
  <si>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p3.2.1</t>
  </si>
  <si>
    <t>s3.2.1</t>
  </si>
  <si>
    <t>p3.2.1.1</t>
  </si>
  <si>
    <t>s3.2.1.1</t>
  </si>
  <si>
    <t>p3.2.2</t>
  </si>
  <si>
    <t>s3.2.2</t>
  </si>
  <si>
    <t>p3.2.2.1</t>
  </si>
  <si>
    <t>s3.2.2.1</t>
  </si>
  <si>
    <t>y1</t>
  </si>
  <si>
    <t>y2</t>
  </si>
  <si>
    <t>y3</t>
  </si>
  <si>
    <t>y4</t>
  </si>
  <si>
    <t>y5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</si>
  <si>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</si>
  <si>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</si>
  <si>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</si>
  <si>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</si>
  <si>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</si>
  <si>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</si>
  <si>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</si>
  <si>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</si>
  <si>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</si>
  <si>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</si>
  <si>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</si>
  <si>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</si>
  <si>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</si>
  <si>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</si>
  <si>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</si>
  <si>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</si>
  <si>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</si>
  <si>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</si>
  <si>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</si>
  <si>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</si>
  <si>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</si>
  <si>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</si>
  <si>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</si>
  <si>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</si>
  <si>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</si>
  <si>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</si>
  <si>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</si>
  <si>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</si>
  <si>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</si>
  <si>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</si>
  <si>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</si>
  <si>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</si>
  <si>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</si>
  <si>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>obgrunt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</si>
  <si>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</si>
  <si>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</si>
  <si>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</si>
  <si>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</si>
  <si>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</si>
  <si>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</si>
  <si>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</si>
  <si>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</si>
  <si>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</si>
  <si>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</si>
  <si>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необхідно додатково (+)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</si>
  <si>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</si>
  <si>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</si>
  <si>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</si>
  <si>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</si>
  <si>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</si>
  <si>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</si>
  <si>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all_kod</t>
  </si>
  <si>
    <t>p3.2.1.1.1</t>
  </si>
  <si>
    <t>s3.2.1.1.1</t>
  </si>
  <si>
    <t>p3.2.2.1.1</t>
  </si>
  <si>
    <t>s3.2.2.1.1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</si>
  <si>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</si>
  <si>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</si>
  <si>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</si>
  <si>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</si>
  <si>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</si>
  <si>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</si>
  <si>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</si>
  <si>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</si>
  <si>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</si>
  <si>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</si>
  <si>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>ЗАТВЕРДЖЕНО
Наказ Міністерства фінансів України
від 17 липня 2015 року № 648
(у редакції наказу Міністерства фінансів України від 17 липня 2018 року № 617)</t>
  </si>
  <si>
    <t>Код Функціональної класифікації видатків та кредитування бюджету</t>
  </si>
  <si>
    <t>kfk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</si>
  <si>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</si>
  <si>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</si>
  <si>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</si>
  <si>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</si>
  <si>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</si>
  <si>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</si>
  <si>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</si>
  <si>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</si>
  <si>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</si>
  <si>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</si>
  <si>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</si>
  <si>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</si>
  <si>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</si>
  <si>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</si>
  <si>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</si>
  <si>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</si>
  <si>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</si>
  <si>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</si>
  <si>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</si>
  <si>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</si>
  <si>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</si>
  <si>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</si>
  <si>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</si>
  <si>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</si>
  <si>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</si>
  <si>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</si>
  <si>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</si>
  <si>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</si>
  <si>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</si>
  <si>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</si>
  <si>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</si>
  <si>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</si>
  <si>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4. Додаткові витрати місцевого бюджету: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</si>
  <si>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</si>
  <si>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</si>
  <si>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</si>
  <si>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</si>
  <si>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</si>
  <si>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</si>
  <si>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</si>
  <si>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Зміна результативних показників, які характеризують виконання бюджетної програми, у разі передбачення додаткових коштів</t>
  </si>
  <si>
    <t>zp</t>
  </si>
  <si>
    <t xml:space="preserve">                            (найменування відповідального виконавця )               </t>
  </si>
  <si>
    <t>Зміна результативних показників бюджетної програми у разі передбачення додаткових коштів:</t>
  </si>
  <si>
    <t>Вжиті заходи щодо погашення заборгованості</t>
  </si>
  <si>
    <t>2. Мета діяльності головного розпорядника коштів місцевого бюджету.</t>
  </si>
  <si>
    <t>3. Цілі державної політики у відповідній сфері діяльності, формування та/або реалізацію якої забезпечує головний розпорядник коштів місцевого бюджету, і показники їх досягнення</t>
  </si>
  <si>
    <t>Код Типової програмної класифікації видатків та кредитування місцевого бюджету</t>
  </si>
  <si>
    <t>Найменування відповідального виконавця, найменування бюджетної програми згідно з Типовою програмною класифікацією видатків та кредитування місцевого бюджету</t>
  </si>
  <si>
    <t>Номер цілі державної політики</t>
  </si>
  <si>
    <t>id_cil</t>
  </si>
  <si>
    <t>(код за ЄДРПОУ)</t>
  </si>
  <si>
    <t>(код бюджету)</t>
  </si>
  <si>
    <t>1.</t>
  </si>
  <si>
    <t>p1.2</t>
  </si>
  <si>
    <t>s1.2</t>
  </si>
  <si>
    <t>ktkvmb</t>
  </si>
  <si>
    <t>Найменування показника результату</t>
  </si>
  <si>
    <t>name_cil_rez</t>
  </si>
  <si>
    <t xml:space="preserve"> (ініціали та прізвище)</t>
  </si>
  <si>
    <t>(код Типової відомчої класифікації видатків та кредитування місцевого бюджету)</t>
  </si>
  <si>
    <t>Код Програмної класифікації видатків та кредитування місцевого бюджету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</si>
  <si>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</si>
  <si>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</si>
  <si>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</si>
  <si>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</si>
  <si>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</si>
  <si>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</si>
  <si>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</si>
  <si>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>ЗАТВЕРДЖЕНО
Наказ Міністерства фінансів України
від 07 серпня 2019 року № 336</t>
  </si>
  <si>
    <t xml:space="preserve">  </t>
  </si>
  <si>
    <t>formula=IF(ISNUMBER(RC[-14]),RC[-14],0)+IF(ISNUMBER(RC[-9]),RC[-9],0)</t>
  </si>
  <si>
    <t>formula=IF(ISNUMBER(RC[-15]),RC[-15],0)+IF(ISNUMBER(RC[-10]),RC[-10],0)</t>
  </si>
  <si>
    <t>Ціль державної політики № 1 - Забезпечення виконання наданих законодавством повноважень у сфері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</si>
  <si>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A15:BL15</t>
  </si>
  <si>
    <t>кількість опрацьованих листів, звернень, заяв, скарг на одного працівника (крім робітників з благоустрою)</t>
  </si>
  <si>
    <t>од.</t>
  </si>
  <si>
    <t>кількість прийнятих актів органу місцевого самоврядування за поданням відділу містобудування та ЖКГ ШСР на одного працівника (крім робітників з благоустрою)</t>
  </si>
  <si>
    <t>1610000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</si>
  <si>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</si>
  <si>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1610160</t>
  </si>
  <si>
    <t>Керівництво і управління у відповідній сфері у містах (місті Києві), селищах, селах, територіальних громадах</t>
  </si>
  <si>
    <t>0111</t>
  </si>
  <si>
    <t xml:space="preserve"> </t>
  </si>
  <si>
    <t>Керівництво і управління у відповідній сфері у містах (місті Києві), селищах, селах, об`єднаних територіальних громадах</t>
  </si>
  <si>
    <t>(1)(6)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</si>
  <si>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</si>
  <si>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Керівник установи</t>
  </si>
  <si>
    <t>Керівник фінансової служби</t>
  </si>
  <si>
    <t>Вакулінський Д. І.</t>
  </si>
  <si>
    <t>Гурбич М. Є.</t>
  </si>
  <si>
    <t>45383449</t>
  </si>
  <si>
    <t>0852300000</t>
  </si>
  <si>
    <t>(грн)</t>
  </si>
  <si>
    <t>2022 рік (звіт)</t>
  </si>
  <si>
    <t>2023 рік (затверджено)</t>
  </si>
  <si>
    <t>2024 рік (проект)</t>
  </si>
  <si>
    <t>2025 рік (прогноз)</t>
  </si>
  <si>
    <t>БЮДЖЕТНИЙ ЗАПИТ НА 2024-2026  РОКИ загальний (Форма 2024-1)</t>
  </si>
  <si>
    <t>2026 рік (прогноз)</t>
  </si>
  <si>
    <t>4. Розподіл граничних показників видатків бюджету та надання кредитів з бюджету загального фонду місцевого бюджету на 2022 - 2026 роки за бюджетними програмами:</t>
  </si>
  <si>
    <t>5. Розподіл граничних показників видатків бюджету та надання кредитів з бюджету спеціального фонду місцевого бюджету на 2022 - 2026 роки за бюджетними програмами:</t>
  </si>
  <si>
    <t>Надходження із загального фонду бюджету</t>
  </si>
  <si>
    <t>X</t>
  </si>
  <si>
    <t>Заробітна плата</t>
  </si>
  <si>
    <t>Нарахування на оплату праці</t>
  </si>
  <si>
    <t>Предмети, матеріали, обладнання та інвентар</t>
  </si>
  <si>
    <t>Оплата послуг (крім комунальних)</t>
  </si>
  <si>
    <t>Видатки на відрядження</t>
  </si>
  <si>
    <t>заробітна плата</t>
  </si>
  <si>
    <t>нарахування на оплату праці</t>
  </si>
  <si>
    <t>придбання канцелярського та письмового приладдя, паперу</t>
  </si>
  <si>
    <t>придбання матеріалів та інвентарю для господарської діяльності</t>
  </si>
  <si>
    <t>придбання пально-мастильних матеріалів (талонів)</t>
  </si>
  <si>
    <t>оплата послуг з адміністрування (обслуговування) програмного забезпечення</t>
  </si>
  <si>
    <t>оплата послуг з технічного обслуговування та поточного ремонту транспортних засобів</t>
  </si>
  <si>
    <t>оплата послуг із страхування транспортних засобів</t>
  </si>
  <si>
    <t>витрати на службові відрядження</t>
  </si>
  <si>
    <t>затрат</t>
  </si>
  <si>
    <t xml:space="preserve">formula=RC[-16]+RC[-8]                          </t>
  </si>
  <si>
    <t>кількість штатних одиниць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</si>
  <si>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</si>
  <si>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</si>
  <si>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</si>
  <si>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</si>
  <si>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</si>
  <si>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виконавчого комітету, сесій сільської ради</t>
  </si>
  <si>
    <t>ефективності</t>
  </si>
  <si>
    <t>кількість виконаних листів, звернень, заяв, скарг на одного працівника (крім робітників з благоустрою)</t>
  </si>
  <si>
    <t>розрахунковий показник</t>
  </si>
  <si>
    <t>кількість прийнятих нормативно-правових актів на одного працівника (крім робітників з благоустрою)</t>
  </si>
  <si>
    <t>витрати на утримання однієї штатної одиниці</t>
  </si>
  <si>
    <t>тис.грн.</t>
  </si>
  <si>
    <t>якості</t>
  </si>
  <si>
    <t>відсоток своєчасно опрацьованих листів, звернень, заяв, скарг</t>
  </si>
  <si>
    <t>відс.</t>
  </si>
  <si>
    <t>звітність</t>
  </si>
  <si>
    <t>Обов’язкові виплати, у тому числі:</t>
  </si>
  <si>
    <t>посадовий оклад</t>
  </si>
  <si>
    <t>надбавки</t>
  </si>
  <si>
    <t>Премії</t>
  </si>
  <si>
    <t>Матеріальна допомога, у тому числі:</t>
  </si>
  <si>
    <t>на оздоровлення при наданні щорічної відпустки</t>
  </si>
  <si>
    <t>на соціально-побутові потреби</t>
  </si>
  <si>
    <t>у тому числі оплата праці  штатних одиниць за загальним фондом, що враховані також у спеціальному фонді</t>
  </si>
  <si>
    <t>010 - Керівники</t>
  </si>
  <si>
    <t>030 - Спеціалісти</t>
  </si>
  <si>
    <t>070 - Робітники</t>
  </si>
  <si>
    <t>УСЬОГО штатних одиниць</t>
  </si>
  <si>
    <t>з них штатні одиниці за загальним фондом, що враховані також у спеціальному фонді</t>
  </si>
  <si>
    <t>Забезпечення виконання наданих законодавством повноважень у сфері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</si>
  <si>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Конституція України _x000D_
Бюджетний кодекс України (із змінами)_x000D_
Закон України ""Про місцеве самоврядування в Україні"" (із змінами)_x000D_
Наказ Міністерства фінансів України ""Про деякі питання запровадження програмно-цільового методу складання та виконання місцевих бюджетів"" від 26.08.2014 № 836 (із змінами)_x000D_
Наказ Міністерства фінансів України ""Про затвердження складових програмної класифікації видатків та кредитування місцевих бюджетів"" від 20.09.2017 № 793 (із змінами)_x000D_
Наказ Міністерства фінансів України ""Про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змінами).</t>
  </si>
  <si>
    <t>Станом на 01.01.2023  кредиторська заборгованість відсутня._x000D_
Відповідно до положень статті 48 Бюджетного кодексу України із змінами відділом містобудування, архітектури, житлово-комунального господарства та благоустрою Широківської сільської ради Запорізького району Запорізької області реєструються бюджетні зобов'язання та здійснюються платежі тільки в межах бюджетних асигнувань, затверджених кошторисом на 2023 рік. Бюджетні зобов'язання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</si>
  <si>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1) кредиторська заборгованість місцевого бюджету у 2022 році:</t>
  </si>
  <si>
    <t>Дебіторська заборгованість на 01.01.2022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</si>
  <si>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</si>
  <si>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</si>
  <si>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</si>
  <si>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</si>
  <si>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</si>
  <si>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</si>
  <si>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</si>
  <si>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</si>
  <si>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</si>
  <si>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</si>
  <si>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</si>
  <si>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</si>
  <si>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</si>
  <si>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</si>
  <si>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</si>
  <si>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</si>
  <si>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</si>
  <si>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</si>
  <si>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</si>
  <si>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</si>
  <si>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</si>
  <si>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</si>
  <si>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</si>
  <si>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</si>
  <si>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</si>
  <si>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</si>
  <si>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</si>
  <si>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</si>
  <si>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</si>
  <si>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(1)(6)(1)(0)(1)(6)(0)</t>
  </si>
  <si>
    <t>(0)(1)(6)(0)</t>
  </si>
  <si>
    <t>(0)(1)(1)(1)</t>
  </si>
  <si>
    <t>(1)(6)(1)</t>
  </si>
  <si>
    <t>1) додаткові витрати на 2024 рік за бюджетними програмами:</t>
  </si>
  <si>
    <t>Обґрунтування необхідності додаткових коштів на 2024 рік</t>
  </si>
  <si>
    <t>2024 рік (проект) в межах доведених граничних обсягів</t>
  </si>
  <si>
    <t>2024 рік (проект) зміни у разі передбачення додаткових коштів</t>
  </si>
  <si>
    <t>Наслідки у разі, якщо додаткові кошти не будуть передбачені у 2024 році, та альтернативні заходи, яких необхідно вжити для забезпечення виконання бюджетної програми</t>
  </si>
  <si>
    <t>2025 рік (прогноз) в межах доведених індикативних прогнозних показників</t>
  </si>
  <si>
    <t>2025 рік (прогноз) зміни у разі передбачення додаткових коштів</t>
  </si>
  <si>
    <t>БЮДЖЕТНИЙ ЗАПИТ НА 2024 – 2026 РОКИ додатковий (Форма 2024-3)</t>
  </si>
  <si>
    <t>2) додаткові витрати на 2025 - 2026  роки за бюджетними програмами:</t>
  </si>
  <si>
    <t>Обґрунтування необхідності додаткових коштів  на 2025 - 2026 роки</t>
  </si>
  <si>
    <t>2026 рік (прогноз) в межах доведених індикативних прогнозних показників</t>
  </si>
  <si>
    <t>2026 рік (прогноз) зміни у разі передбачення додаткових коштів</t>
  </si>
  <si>
    <t>Наслідки у разі, якщо додаткові кошти не будуть передбачені у 2025-2026 роках, та альтернативні заходи, яких необхідно вжити для забезпечення виконання бюджетної програми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</si>
</sst>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22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 CYR"/>
      <charset val="204"/>
    </font>
    <font>
      <b/>
      <sz val="10"/>
      <name val="Arial Cyr"/>
      <charset val="204"/>
    </font>
    <font>
      <i/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sz val="10"/>
      <color indexed="9"/>
      <name val="Arial Cyr"/>
      <charset val="204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5" fillId="0" borderId="0" xfId="0" applyFont="1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164" fontId="5" fillId="0" borderId="1" xfId="0" applyNumberFormat="1" applyFont="1" applyBorder="1" applyAlignment="1">
      <alignment vertical="center" wrapText="1"/>
    </xf>
    <xf numFmtId="164" fontId="5" fillId="0" borderId="2" xfId="0" applyNumberFormat="1" applyFont="1" applyBorder="1" applyAlignment="1">
      <alignment vertical="center" wrapText="1"/>
    </xf>
    <xf numFmtId="164" fontId="5" fillId="0" borderId="3" xfId="0" applyNumberFormat="1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7" fillId="0" borderId="0" xfId="0" applyFont="1"/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3" fontId="5" fillId="0" borderId="0" xfId="0" applyNumberFormat="1" applyFont="1" applyAlignment="1">
      <alignment vertical="center" wrapText="1"/>
    </xf>
    <xf numFmtId="0" fontId="5" fillId="0" borderId="1" xfId="0" quotePrefix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6" xfId="0" quotePrefix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3" fontId="5" fillId="0" borderId="6" xfId="0" applyNumberFormat="1" applyFont="1" applyBorder="1" applyAlignment="1">
      <alignment horizontal="center" vertical="top" wrapText="1"/>
    </xf>
    <xf numFmtId="0" fontId="0" fillId="0" borderId="1" xfId="0" quotePrefix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6" xfId="0" quotePrefix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3" fontId="0" fillId="0" borderId="6" xfId="0" applyNumberFormat="1" applyBorder="1" applyAlignment="1">
      <alignment horizontal="center" vertical="top" wrapText="1"/>
    </xf>
    <xf numFmtId="3" fontId="0" fillId="0" borderId="1" xfId="0" applyNumberFormat="1" applyBorder="1" applyAlignment="1">
      <alignment horizontal="center" vertical="top" wrapText="1"/>
    </xf>
    <xf numFmtId="3" fontId="0" fillId="0" borderId="2" xfId="0" applyNumberFormat="1" applyBorder="1" applyAlignment="1">
      <alignment horizontal="center" vertical="top" wrapText="1"/>
    </xf>
    <xf numFmtId="3" fontId="0" fillId="0" borderId="3" xfId="0" applyNumberForma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6" fillId="0" borderId="5" xfId="0" quotePrefix="1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8" fillId="0" borderId="5" xfId="0" quotePrefix="1" applyFont="1" applyBorder="1" applyAlignment="1">
      <alignment horizontal="left" vertical="top" wrapText="1"/>
    </xf>
    <xf numFmtId="164" fontId="1" fillId="0" borderId="6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15" fillId="0" borderId="5" xfId="0" quotePrefix="1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14" fillId="0" borderId="5" xfId="0" quotePrefix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0" fillId="0" borderId="6" xfId="0" applyNumberFormat="1" applyBorder="1" applyAlignment="1">
      <alignment horizontal="right" vertical="center" wrapText="1"/>
    </xf>
    <xf numFmtId="3" fontId="5" fillId="0" borderId="6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/>
    </xf>
    <xf numFmtId="0" fontId="14" fillId="0" borderId="5" xfId="0" quotePrefix="1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3" fontId="1" fillId="0" borderId="6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right" vertical="center"/>
    </xf>
    <xf numFmtId="3" fontId="1" fillId="0" borderId="6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6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CB42"/>
  <sheetViews>
    <sheetView tabSelected="1" topLeftCell="A28" zoomScaleNormal="100" workbookViewId="0">
      <selection activeCell="AP23" sqref="AP23:AU23"/>
    </sheetView>
  </sheetViews>
  <sheetFormatPr defaultRowHeight="12.75" x14ac:dyDescent="0.2"/>
  <cols>
    <col min="1" max="64" width="2.85546875" customWidth="1"/>
    <col min="79" max="79" width="4.140625" hidden="1" customWidth="1"/>
  </cols>
  <sheetData>
    <row r="1" spans="1:80" ht="34.5" customHeight="1" x14ac:dyDescent="0.2">
      <c r="BA1" s="79" t="s">
        <v>215</v>
      </c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spans="1:80" x14ac:dyDescent="0.2">
      <c r="BA2" s="33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</row>
    <row r="3" spans="1:80" ht="14.25" customHeight="1" x14ac:dyDescent="0.2">
      <c r="A3" s="83" t="s">
        <v>244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</row>
    <row r="5" spans="1:80" ht="28.5" customHeight="1" x14ac:dyDescent="0.2">
      <c r="A5" s="25" t="s">
        <v>199</v>
      </c>
      <c r="B5" s="86" t="s">
        <v>232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22"/>
      <c r="AH5" s="89" t="s">
        <v>231</v>
      </c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22"/>
      <c r="AT5" s="22"/>
      <c r="AU5" s="88" t="s">
        <v>237</v>
      </c>
      <c r="AV5" s="89"/>
      <c r="AW5" s="89"/>
      <c r="AX5" s="89"/>
      <c r="AY5" s="89"/>
      <c r="AZ5" s="89"/>
      <c r="BA5" s="89"/>
      <c r="BB5" s="89"/>
      <c r="BC5" s="22"/>
      <c r="BD5" s="22"/>
      <c r="BE5" s="88" t="s">
        <v>238</v>
      </c>
      <c r="BF5" s="89"/>
      <c r="BG5" s="89"/>
      <c r="BH5" s="89"/>
      <c r="BI5" s="89"/>
      <c r="BJ5" s="89"/>
      <c r="BK5" s="89"/>
      <c r="BL5" s="89"/>
    </row>
    <row r="6" spans="1:80" s="21" customFormat="1" ht="24.75" customHeight="1" x14ac:dyDescent="0.2">
      <c r="A6" s="57" t="s">
        <v>0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20"/>
      <c r="AH6" s="85" t="s">
        <v>206</v>
      </c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20"/>
      <c r="AT6" s="20"/>
      <c r="AU6" s="85" t="s">
        <v>197</v>
      </c>
      <c r="AV6" s="85"/>
      <c r="AW6" s="85"/>
      <c r="AX6" s="85"/>
      <c r="AY6" s="85"/>
      <c r="AZ6" s="85"/>
      <c r="BA6" s="85"/>
      <c r="BB6" s="85"/>
      <c r="BC6" s="20"/>
      <c r="BD6" s="20"/>
      <c r="BE6" s="85" t="s">
        <v>198</v>
      </c>
      <c r="BF6" s="85"/>
      <c r="BG6" s="85"/>
      <c r="BH6" s="85"/>
      <c r="BI6" s="85"/>
      <c r="BJ6" s="85"/>
      <c r="BK6" s="85"/>
      <c r="BL6" s="85"/>
    </row>
    <row r="7" spans="1:80" ht="15" customHeight="1" x14ac:dyDescent="0.2"/>
    <row r="8" spans="1:80" ht="14.25" customHeight="1" x14ac:dyDescent="0.2">
      <c r="A8" s="82" t="s">
        <v>191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</row>
    <row r="9" spans="1:80" ht="15" customHeight="1" x14ac:dyDescent="0.2">
      <c r="A9" s="84" t="s">
        <v>230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</row>
    <row r="10" spans="1:80" x14ac:dyDescent="0.2">
      <c r="A10" s="87" t="s">
        <v>192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</row>
    <row r="11" spans="1:80" ht="15" customHeight="1" x14ac:dyDescent="0.2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</row>
    <row r="12" spans="1:80" ht="37.5" customHeight="1" x14ac:dyDescent="0.2">
      <c r="A12" s="61" t="s">
        <v>203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3"/>
      <c r="X12" s="61" t="s">
        <v>9</v>
      </c>
      <c r="Y12" s="62"/>
      <c r="Z12" s="62"/>
      <c r="AA12" s="62"/>
      <c r="AB12" s="62"/>
      <c r="AC12" s="62"/>
      <c r="AD12" s="62"/>
      <c r="AE12" s="62"/>
      <c r="AF12" s="62"/>
      <c r="AG12" s="62"/>
      <c r="AH12" s="63"/>
      <c r="AI12" s="59" t="s">
        <v>240</v>
      </c>
      <c r="AJ12" s="59"/>
      <c r="AK12" s="59"/>
      <c r="AL12" s="59"/>
      <c r="AM12" s="59"/>
      <c r="AN12" s="59"/>
      <c r="AO12" s="59" t="s">
        <v>241</v>
      </c>
      <c r="AP12" s="59"/>
      <c r="AQ12" s="59"/>
      <c r="AR12" s="59"/>
      <c r="AS12" s="59"/>
      <c r="AT12" s="59"/>
      <c r="AU12" s="59" t="s">
        <v>242</v>
      </c>
      <c r="AV12" s="59"/>
      <c r="AW12" s="59"/>
      <c r="AX12" s="59"/>
      <c r="AY12" s="59"/>
      <c r="AZ12" s="59"/>
      <c r="BA12" s="59" t="s">
        <v>243</v>
      </c>
      <c r="BB12" s="59"/>
      <c r="BC12" s="59"/>
      <c r="BD12" s="59"/>
      <c r="BE12" s="59"/>
      <c r="BF12" s="59"/>
      <c r="BG12" s="59" t="s">
        <v>245</v>
      </c>
      <c r="BH12" s="59"/>
      <c r="BI12" s="59"/>
      <c r="BJ12" s="59"/>
      <c r="BK12" s="59"/>
      <c r="BL12" s="59"/>
    </row>
    <row r="13" spans="1:80" ht="15" customHeight="1" x14ac:dyDescent="0.2">
      <c r="A13" s="64">
        <v>1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6"/>
      <c r="X13" s="64">
        <v>2</v>
      </c>
      <c r="Y13" s="65"/>
      <c r="Z13" s="65"/>
      <c r="AA13" s="65"/>
      <c r="AB13" s="65"/>
      <c r="AC13" s="65"/>
      <c r="AD13" s="65"/>
      <c r="AE13" s="65"/>
      <c r="AF13" s="65"/>
      <c r="AG13" s="65"/>
      <c r="AH13" s="66"/>
      <c r="AI13" s="60">
        <v>3</v>
      </c>
      <c r="AJ13" s="60"/>
      <c r="AK13" s="60"/>
      <c r="AL13" s="60"/>
      <c r="AM13" s="60"/>
      <c r="AN13" s="60"/>
      <c r="AO13" s="60">
        <v>4</v>
      </c>
      <c r="AP13" s="60"/>
      <c r="AQ13" s="60"/>
      <c r="AR13" s="60"/>
      <c r="AS13" s="60"/>
      <c r="AT13" s="60"/>
      <c r="AU13" s="60">
        <v>5</v>
      </c>
      <c r="AV13" s="60"/>
      <c r="AW13" s="60"/>
      <c r="AX13" s="60"/>
      <c r="AY13" s="60"/>
      <c r="AZ13" s="60"/>
      <c r="BA13" s="60">
        <v>6</v>
      </c>
      <c r="BB13" s="60"/>
      <c r="BC13" s="60"/>
      <c r="BD13" s="60"/>
      <c r="BE13" s="60"/>
      <c r="BF13" s="60"/>
      <c r="BG13" s="60">
        <v>7</v>
      </c>
      <c r="BH13" s="60"/>
      <c r="BI13" s="60"/>
      <c r="BJ13" s="60"/>
      <c r="BK13" s="60"/>
      <c r="BL13" s="60"/>
    </row>
    <row r="14" spans="1:80" hidden="1" x14ac:dyDescent="0.2">
      <c r="A14" s="67" t="s">
        <v>204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9"/>
      <c r="X14" s="67" t="s">
        <v>91</v>
      </c>
      <c r="Y14" s="68"/>
      <c r="Z14" s="68"/>
      <c r="AA14" s="68"/>
      <c r="AB14" s="68"/>
      <c r="AC14" s="68"/>
      <c r="AD14" s="68"/>
      <c r="AE14" s="68"/>
      <c r="AF14" s="68"/>
      <c r="AG14" s="68"/>
      <c r="AH14" s="69"/>
      <c r="AI14" s="76" t="s">
        <v>72</v>
      </c>
      <c r="AJ14" s="76"/>
      <c r="AK14" s="76"/>
      <c r="AL14" s="76"/>
      <c r="AM14" s="76"/>
      <c r="AN14" s="76"/>
      <c r="AO14" s="76" t="s">
        <v>73</v>
      </c>
      <c r="AP14" s="76"/>
      <c r="AQ14" s="76"/>
      <c r="AR14" s="76"/>
      <c r="AS14" s="76"/>
      <c r="AT14" s="76"/>
      <c r="AU14" s="76" t="s">
        <v>74</v>
      </c>
      <c r="AV14" s="76"/>
      <c r="AW14" s="76"/>
      <c r="AX14" s="76"/>
      <c r="AY14" s="76"/>
      <c r="AZ14" s="76"/>
      <c r="BA14" s="76" t="s">
        <v>75</v>
      </c>
      <c r="BB14" s="76"/>
      <c r="BC14" s="76"/>
      <c r="BD14" s="76"/>
      <c r="BE14" s="76"/>
      <c r="BF14" s="76"/>
      <c r="BG14" s="76" t="s">
        <v>76</v>
      </c>
      <c r="BH14" s="76"/>
      <c r="BI14" s="76"/>
      <c r="BJ14" s="76"/>
      <c r="BK14" s="76"/>
      <c r="BL14" s="76"/>
      <c r="CA14" t="s">
        <v>200</v>
      </c>
    </row>
    <row r="15" spans="1:80" s="8" customFormat="1" ht="25.5" customHeight="1" x14ac:dyDescent="0.2">
      <c r="A15" s="45" t="s">
        <v>219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2"/>
      <c r="CA15" s="8" t="s">
        <v>201</v>
      </c>
      <c r="CB15" s="38" t="s">
        <v>220</v>
      </c>
    </row>
    <row r="16" spans="1:80" s="7" customFormat="1" ht="25.5" customHeight="1" x14ac:dyDescent="0.2">
      <c r="A16" s="52" t="s">
        <v>221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9"/>
      <c r="X16" s="52" t="s">
        <v>222</v>
      </c>
      <c r="Y16" s="48"/>
      <c r="Z16" s="48"/>
      <c r="AA16" s="48"/>
      <c r="AB16" s="48"/>
      <c r="AC16" s="48"/>
      <c r="AD16" s="48"/>
      <c r="AE16" s="48"/>
      <c r="AF16" s="48"/>
      <c r="AG16" s="48"/>
      <c r="AH16" s="49"/>
      <c r="AI16" s="54">
        <v>0</v>
      </c>
      <c r="AJ16" s="55"/>
      <c r="AK16" s="55"/>
      <c r="AL16" s="55"/>
      <c r="AM16" s="55"/>
      <c r="AN16" s="56"/>
      <c r="AO16" s="54">
        <v>42</v>
      </c>
      <c r="AP16" s="55"/>
      <c r="AQ16" s="55"/>
      <c r="AR16" s="55"/>
      <c r="AS16" s="55"/>
      <c r="AT16" s="56"/>
      <c r="AU16" s="54">
        <v>114</v>
      </c>
      <c r="AV16" s="55"/>
      <c r="AW16" s="55"/>
      <c r="AX16" s="55"/>
      <c r="AY16" s="55"/>
      <c r="AZ16" s="56"/>
      <c r="BA16" s="54">
        <v>114</v>
      </c>
      <c r="BB16" s="55"/>
      <c r="BC16" s="55"/>
      <c r="BD16" s="55"/>
      <c r="BE16" s="55"/>
      <c r="BF16" s="56"/>
      <c r="BG16" s="54">
        <v>114</v>
      </c>
      <c r="BH16" s="55"/>
      <c r="BI16" s="55"/>
      <c r="BJ16" s="55"/>
      <c r="BK16" s="55"/>
      <c r="BL16" s="56"/>
    </row>
    <row r="17" spans="1:79" s="7" customFormat="1" ht="38.25" customHeight="1" x14ac:dyDescent="0.2">
      <c r="A17" s="52" t="s">
        <v>223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9"/>
      <c r="X17" s="52" t="s">
        <v>222</v>
      </c>
      <c r="Y17" s="48"/>
      <c r="Z17" s="48"/>
      <c r="AA17" s="48"/>
      <c r="AB17" s="48"/>
      <c r="AC17" s="48"/>
      <c r="AD17" s="48"/>
      <c r="AE17" s="48"/>
      <c r="AF17" s="48"/>
      <c r="AG17" s="48"/>
      <c r="AH17" s="49"/>
      <c r="AI17" s="54">
        <v>0</v>
      </c>
      <c r="AJ17" s="55"/>
      <c r="AK17" s="55"/>
      <c r="AL17" s="55"/>
      <c r="AM17" s="55"/>
      <c r="AN17" s="56"/>
      <c r="AO17" s="54">
        <v>20</v>
      </c>
      <c r="AP17" s="55"/>
      <c r="AQ17" s="55"/>
      <c r="AR17" s="55"/>
      <c r="AS17" s="55"/>
      <c r="AT17" s="56"/>
      <c r="AU17" s="54">
        <v>50</v>
      </c>
      <c r="AV17" s="55"/>
      <c r="AW17" s="55"/>
      <c r="AX17" s="55"/>
      <c r="AY17" s="55"/>
      <c r="AZ17" s="56"/>
      <c r="BA17" s="54">
        <v>50</v>
      </c>
      <c r="BB17" s="55"/>
      <c r="BC17" s="55"/>
      <c r="BD17" s="55"/>
      <c r="BE17" s="55"/>
      <c r="BF17" s="56"/>
      <c r="BG17" s="54">
        <v>50</v>
      </c>
      <c r="BH17" s="55"/>
      <c r="BI17" s="55"/>
      <c r="BJ17" s="55"/>
      <c r="BK17" s="55"/>
      <c r="BL17" s="56"/>
    </row>
    <row r="19" spans="1:79" x14ac:dyDescent="0.2">
      <c r="A19" s="87" t="s">
        <v>246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</row>
    <row r="20" spans="1:79" x14ac:dyDescent="0.2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</row>
    <row r="21" spans="1:79" ht="15" customHeight="1" x14ac:dyDescent="0.2">
      <c r="A21" s="81" t="s">
        <v>239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</row>
    <row r="22" spans="1:79" ht="84.75" customHeight="1" x14ac:dyDescent="0.2">
      <c r="A22" s="59" t="s">
        <v>207</v>
      </c>
      <c r="B22" s="59"/>
      <c r="C22" s="59"/>
      <c r="D22" s="59"/>
      <c r="E22" s="59"/>
      <c r="F22" s="59" t="s">
        <v>193</v>
      </c>
      <c r="G22" s="59"/>
      <c r="H22" s="59"/>
      <c r="I22" s="59"/>
      <c r="J22" s="59" t="s">
        <v>144</v>
      </c>
      <c r="K22" s="59"/>
      <c r="L22" s="59"/>
      <c r="M22" s="59"/>
      <c r="N22" s="59" t="s">
        <v>194</v>
      </c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 t="s">
        <v>240</v>
      </c>
      <c r="AE22" s="59"/>
      <c r="AF22" s="59"/>
      <c r="AG22" s="59"/>
      <c r="AH22" s="59"/>
      <c r="AI22" s="59"/>
      <c r="AJ22" s="59" t="s">
        <v>241</v>
      </c>
      <c r="AK22" s="59"/>
      <c r="AL22" s="59"/>
      <c r="AM22" s="59"/>
      <c r="AN22" s="59"/>
      <c r="AO22" s="59"/>
      <c r="AP22" s="59" t="s">
        <v>242</v>
      </c>
      <c r="AQ22" s="59"/>
      <c r="AR22" s="59"/>
      <c r="AS22" s="59"/>
      <c r="AT22" s="59"/>
      <c r="AU22" s="59"/>
      <c r="AV22" s="59" t="s">
        <v>243</v>
      </c>
      <c r="AW22" s="59"/>
      <c r="AX22" s="59"/>
      <c r="AY22" s="59"/>
      <c r="AZ22" s="59"/>
      <c r="BA22" s="59"/>
      <c r="BB22" s="59" t="s">
        <v>245</v>
      </c>
      <c r="BC22" s="59"/>
      <c r="BD22" s="59"/>
      <c r="BE22" s="59"/>
      <c r="BF22" s="59"/>
      <c r="BG22" s="59"/>
      <c r="BH22" s="59" t="s">
        <v>195</v>
      </c>
      <c r="BI22" s="59"/>
      <c r="BJ22" s="59"/>
      <c r="BK22" s="59"/>
      <c r="BL22" s="59"/>
    </row>
    <row r="23" spans="1:79" ht="15" customHeight="1" x14ac:dyDescent="0.2">
      <c r="A23" s="60">
        <v>1</v>
      </c>
      <c r="B23" s="60"/>
      <c r="C23" s="60"/>
      <c r="D23" s="60"/>
      <c r="E23" s="60"/>
      <c r="F23" s="60">
        <v>2</v>
      </c>
      <c r="G23" s="60"/>
      <c r="H23" s="60"/>
      <c r="I23" s="60"/>
      <c r="J23" s="60">
        <v>3</v>
      </c>
      <c r="K23" s="60"/>
      <c r="L23" s="60"/>
      <c r="M23" s="60"/>
      <c r="N23" s="60">
        <v>4</v>
      </c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>
        <v>5</v>
      </c>
      <c r="AE23" s="60"/>
      <c r="AF23" s="60"/>
      <c r="AG23" s="60"/>
      <c r="AH23" s="60"/>
      <c r="AI23" s="60"/>
      <c r="AJ23" s="60">
        <v>6</v>
      </c>
      <c r="AK23" s="60"/>
      <c r="AL23" s="60"/>
      <c r="AM23" s="60"/>
      <c r="AN23" s="60"/>
      <c r="AO23" s="60"/>
      <c r="AP23" s="60">
        <v>7</v>
      </c>
      <c r="AQ23" s="60"/>
      <c r="AR23" s="60"/>
      <c r="AS23" s="60"/>
      <c r="AT23" s="60"/>
      <c r="AU23" s="60"/>
      <c r="AV23" s="60">
        <v>8</v>
      </c>
      <c r="AW23" s="60"/>
      <c r="AX23" s="60"/>
      <c r="AY23" s="60"/>
      <c r="AZ23" s="60"/>
      <c r="BA23" s="60"/>
      <c r="BB23" s="60">
        <v>9</v>
      </c>
      <c r="BC23" s="60"/>
      <c r="BD23" s="60"/>
      <c r="BE23" s="60"/>
      <c r="BF23" s="60"/>
      <c r="BG23" s="60"/>
      <c r="BH23" s="60">
        <v>10</v>
      </c>
      <c r="BI23" s="60"/>
      <c r="BJ23" s="60"/>
      <c r="BK23" s="60"/>
      <c r="BL23" s="60"/>
    </row>
    <row r="24" spans="1:79" ht="9.75" hidden="1" customHeight="1" x14ac:dyDescent="0.2">
      <c r="A24" s="58" t="s">
        <v>23</v>
      </c>
      <c r="B24" s="58"/>
      <c r="C24" s="58"/>
      <c r="D24" s="58"/>
      <c r="E24" s="58"/>
      <c r="F24" s="58" t="s">
        <v>202</v>
      </c>
      <c r="G24" s="58"/>
      <c r="H24" s="58"/>
      <c r="I24" s="58"/>
      <c r="J24" s="58" t="s">
        <v>145</v>
      </c>
      <c r="K24" s="58"/>
      <c r="L24" s="58"/>
      <c r="M24" s="58"/>
      <c r="N24" s="58" t="s">
        <v>24</v>
      </c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76" t="s">
        <v>72</v>
      </c>
      <c r="AE24" s="76"/>
      <c r="AF24" s="76"/>
      <c r="AG24" s="76"/>
      <c r="AH24" s="76"/>
      <c r="AI24" s="76"/>
      <c r="AJ24" s="76" t="s">
        <v>73</v>
      </c>
      <c r="AK24" s="76"/>
      <c r="AL24" s="76"/>
      <c r="AM24" s="76"/>
      <c r="AN24" s="76"/>
      <c r="AO24" s="76"/>
      <c r="AP24" s="76" t="s">
        <v>74</v>
      </c>
      <c r="AQ24" s="76"/>
      <c r="AR24" s="76"/>
      <c r="AS24" s="76"/>
      <c r="AT24" s="76"/>
      <c r="AU24" s="76"/>
      <c r="AV24" s="76" t="s">
        <v>75</v>
      </c>
      <c r="AW24" s="76"/>
      <c r="AX24" s="76"/>
      <c r="AY24" s="76"/>
      <c r="AZ24" s="76"/>
      <c r="BA24" s="76"/>
      <c r="BB24" s="76" t="s">
        <v>76</v>
      </c>
      <c r="BC24" s="76"/>
      <c r="BD24" s="76"/>
      <c r="BE24" s="76"/>
      <c r="BF24" s="76"/>
      <c r="BG24" s="76"/>
      <c r="BH24" s="58" t="s">
        <v>196</v>
      </c>
      <c r="BI24" s="58"/>
      <c r="BJ24" s="58"/>
      <c r="BK24" s="58"/>
      <c r="BL24" s="58"/>
      <c r="CA24" t="s">
        <v>25</v>
      </c>
    </row>
    <row r="25" spans="1:79" s="9" customFormat="1" ht="51" customHeight="1" x14ac:dyDescent="0.2">
      <c r="A25" s="40" t="s">
        <v>224</v>
      </c>
      <c r="B25" s="41"/>
      <c r="C25" s="41"/>
      <c r="D25" s="41"/>
      <c r="E25" s="42"/>
      <c r="F25" s="43"/>
      <c r="G25" s="43"/>
      <c r="H25" s="43"/>
      <c r="I25" s="43"/>
      <c r="J25" s="44" t="s">
        <v>1</v>
      </c>
      <c r="K25" s="43"/>
      <c r="L25" s="43"/>
      <c r="M25" s="43"/>
      <c r="N25" s="45" t="s">
        <v>225</v>
      </c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2"/>
      <c r="AD25" s="46">
        <v>0</v>
      </c>
      <c r="AE25" s="46"/>
      <c r="AF25" s="46"/>
      <c r="AG25" s="46"/>
      <c r="AH25" s="46"/>
      <c r="AI25" s="46"/>
      <c r="AJ25" s="46">
        <v>1579372</v>
      </c>
      <c r="AK25" s="46"/>
      <c r="AL25" s="46"/>
      <c r="AM25" s="46"/>
      <c r="AN25" s="46"/>
      <c r="AO25" s="46"/>
      <c r="AP25" s="46">
        <v>4988878</v>
      </c>
      <c r="AQ25" s="46"/>
      <c r="AR25" s="46"/>
      <c r="AS25" s="46"/>
      <c r="AT25" s="46"/>
      <c r="AU25" s="46"/>
      <c r="AV25" s="46">
        <v>5008471</v>
      </c>
      <c r="AW25" s="46"/>
      <c r="AX25" s="46"/>
      <c r="AY25" s="46"/>
      <c r="AZ25" s="46"/>
      <c r="BA25" s="46"/>
      <c r="BB25" s="46">
        <v>5025842</v>
      </c>
      <c r="BC25" s="46"/>
      <c r="BD25" s="46"/>
      <c r="BE25" s="46"/>
      <c r="BF25" s="46"/>
      <c r="BG25" s="46"/>
      <c r="BH25" s="43"/>
      <c r="BI25" s="43"/>
      <c r="BJ25" s="43"/>
      <c r="BK25" s="43"/>
      <c r="BL25" s="43"/>
      <c r="CA25" s="9" t="s">
        <v>26</v>
      </c>
    </row>
    <row r="26" spans="1:79" s="7" customFormat="1" ht="38.25" customHeight="1" x14ac:dyDescent="0.2">
      <c r="A26" s="47" t="s">
        <v>226</v>
      </c>
      <c r="B26" s="48"/>
      <c r="C26" s="48"/>
      <c r="D26" s="48"/>
      <c r="E26" s="49"/>
      <c r="F26" s="50">
        <v>160</v>
      </c>
      <c r="G26" s="50"/>
      <c r="H26" s="50"/>
      <c r="I26" s="50"/>
      <c r="J26" s="51" t="s">
        <v>228</v>
      </c>
      <c r="K26" s="50"/>
      <c r="L26" s="50"/>
      <c r="M26" s="50"/>
      <c r="N26" s="52" t="s">
        <v>227</v>
      </c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9"/>
      <c r="AD26" s="53">
        <v>0</v>
      </c>
      <c r="AE26" s="53"/>
      <c r="AF26" s="53"/>
      <c r="AG26" s="53"/>
      <c r="AH26" s="53"/>
      <c r="AI26" s="53"/>
      <c r="AJ26" s="53">
        <v>1579372</v>
      </c>
      <c r="AK26" s="53"/>
      <c r="AL26" s="53"/>
      <c r="AM26" s="53"/>
      <c r="AN26" s="53"/>
      <c r="AO26" s="53"/>
      <c r="AP26" s="53">
        <v>4988878</v>
      </c>
      <c r="AQ26" s="53"/>
      <c r="AR26" s="53"/>
      <c r="AS26" s="53"/>
      <c r="AT26" s="53"/>
      <c r="AU26" s="53"/>
      <c r="AV26" s="53">
        <v>5008471</v>
      </c>
      <c r="AW26" s="53"/>
      <c r="AX26" s="53"/>
      <c r="AY26" s="53"/>
      <c r="AZ26" s="53"/>
      <c r="BA26" s="53"/>
      <c r="BB26" s="53">
        <v>5025842</v>
      </c>
      <c r="BC26" s="53"/>
      <c r="BD26" s="53"/>
      <c r="BE26" s="53"/>
      <c r="BF26" s="53"/>
      <c r="BG26" s="53"/>
      <c r="BH26" s="50">
        <v>1</v>
      </c>
      <c r="BI26" s="50"/>
      <c r="BJ26" s="50"/>
      <c r="BK26" s="50"/>
      <c r="BL26" s="50"/>
    </row>
    <row r="27" spans="1:79" s="9" customFormat="1" x14ac:dyDescent="0.2">
      <c r="A27" s="40" t="s">
        <v>229</v>
      </c>
      <c r="B27" s="41"/>
      <c r="C27" s="41"/>
      <c r="D27" s="41"/>
      <c r="E27" s="42"/>
      <c r="F27" s="43"/>
      <c r="G27" s="43"/>
      <c r="H27" s="43"/>
      <c r="I27" s="43"/>
      <c r="J27" s="44" t="s">
        <v>1</v>
      </c>
      <c r="K27" s="43"/>
      <c r="L27" s="43"/>
      <c r="M27" s="43"/>
      <c r="N27" s="45" t="s">
        <v>179</v>
      </c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2"/>
      <c r="AD27" s="46">
        <v>0</v>
      </c>
      <c r="AE27" s="46"/>
      <c r="AF27" s="46"/>
      <c r="AG27" s="46"/>
      <c r="AH27" s="46"/>
      <c r="AI27" s="46"/>
      <c r="AJ27" s="46">
        <v>1579372</v>
      </c>
      <c r="AK27" s="46"/>
      <c r="AL27" s="46"/>
      <c r="AM27" s="46"/>
      <c r="AN27" s="46"/>
      <c r="AO27" s="46"/>
      <c r="AP27" s="46">
        <v>4988878</v>
      </c>
      <c r="AQ27" s="46"/>
      <c r="AR27" s="46"/>
      <c r="AS27" s="46"/>
      <c r="AT27" s="46"/>
      <c r="AU27" s="46"/>
      <c r="AV27" s="46">
        <v>5008471</v>
      </c>
      <c r="AW27" s="46"/>
      <c r="AX27" s="46"/>
      <c r="AY27" s="46"/>
      <c r="AZ27" s="46"/>
      <c r="BA27" s="46"/>
      <c r="BB27" s="46">
        <v>5025842</v>
      </c>
      <c r="BC27" s="46"/>
      <c r="BD27" s="46"/>
      <c r="BE27" s="46"/>
      <c r="BF27" s="46"/>
      <c r="BG27" s="46"/>
      <c r="BH27" s="43"/>
      <c r="BI27" s="43"/>
      <c r="BJ27" s="43"/>
      <c r="BK27" s="43"/>
      <c r="BL27" s="43"/>
    </row>
    <row r="29" spans="1:79" ht="28.5" customHeight="1" x14ac:dyDescent="0.2">
      <c r="A29" s="87" t="s">
        <v>247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</row>
    <row r="30" spans="1:79" ht="15" customHeight="1" x14ac:dyDescent="0.2">
      <c r="A30" s="81" t="s">
        <v>239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</row>
    <row r="31" spans="1:79" ht="84.75" customHeight="1" x14ac:dyDescent="0.2">
      <c r="A31" s="59" t="s">
        <v>207</v>
      </c>
      <c r="B31" s="59"/>
      <c r="C31" s="59"/>
      <c r="D31" s="59"/>
      <c r="E31" s="59"/>
      <c r="F31" s="59" t="s">
        <v>193</v>
      </c>
      <c r="G31" s="59"/>
      <c r="H31" s="59"/>
      <c r="I31" s="59"/>
      <c r="J31" s="59" t="s">
        <v>144</v>
      </c>
      <c r="K31" s="59"/>
      <c r="L31" s="59"/>
      <c r="M31" s="59"/>
      <c r="N31" s="59" t="s">
        <v>194</v>
      </c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 t="s">
        <v>240</v>
      </c>
      <c r="AE31" s="59"/>
      <c r="AF31" s="59"/>
      <c r="AG31" s="59"/>
      <c r="AH31" s="59"/>
      <c r="AI31" s="59"/>
      <c r="AJ31" s="59" t="s">
        <v>241</v>
      </c>
      <c r="AK31" s="59"/>
      <c r="AL31" s="59"/>
      <c r="AM31" s="59"/>
      <c r="AN31" s="59"/>
      <c r="AO31" s="59"/>
      <c r="AP31" s="59" t="s">
        <v>242</v>
      </c>
      <c r="AQ31" s="59"/>
      <c r="AR31" s="59"/>
      <c r="AS31" s="59"/>
      <c r="AT31" s="59"/>
      <c r="AU31" s="59"/>
      <c r="AV31" s="59" t="s">
        <v>243</v>
      </c>
      <c r="AW31" s="59"/>
      <c r="AX31" s="59"/>
      <c r="AY31" s="59"/>
      <c r="AZ31" s="59"/>
      <c r="BA31" s="59"/>
      <c r="BB31" s="59" t="s">
        <v>245</v>
      </c>
      <c r="BC31" s="59"/>
      <c r="BD31" s="59"/>
      <c r="BE31" s="59"/>
      <c r="BF31" s="59"/>
      <c r="BG31" s="59"/>
      <c r="BH31" s="59" t="s">
        <v>195</v>
      </c>
      <c r="BI31" s="59"/>
      <c r="BJ31" s="59"/>
      <c r="BK31" s="59"/>
      <c r="BL31" s="59"/>
    </row>
    <row r="32" spans="1:79" ht="15" customHeight="1" x14ac:dyDescent="0.2">
      <c r="A32" s="60">
        <v>1</v>
      </c>
      <c r="B32" s="60"/>
      <c r="C32" s="60"/>
      <c r="D32" s="60"/>
      <c r="E32" s="60"/>
      <c r="F32" s="60">
        <v>2</v>
      </c>
      <c r="G32" s="60"/>
      <c r="H32" s="60"/>
      <c r="I32" s="60"/>
      <c r="J32" s="60">
        <v>3</v>
      </c>
      <c r="K32" s="60"/>
      <c r="L32" s="60"/>
      <c r="M32" s="60"/>
      <c r="N32" s="60">
        <v>4</v>
      </c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>
        <v>5</v>
      </c>
      <c r="AE32" s="60"/>
      <c r="AF32" s="60"/>
      <c r="AG32" s="60"/>
      <c r="AH32" s="60"/>
      <c r="AI32" s="60"/>
      <c r="AJ32" s="60">
        <v>6</v>
      </c>
      <c r="AK32" s="60"/>
      <c r="AL32" s="60"/>
      <c r="AM32" s="60"/>
      <c r="AN32" s="60"/>
      <c r="AO32" s="60"/>
      <c r="AP32" s="60">
        <v>7</v>
      </c>
      <c r="AQ32" s="60"/>
      <c r="AR32" s="60"/>
      <c r="AS32" s="60"/>
      <c r="AT32" s="60"/>
      <c r="AU32" s="60"/>
      <c r="AV32" s="60">
        <v>8</v>
      </c>
      <c r="AW32" s="60"/>
      <c r="AX32" s="60"/>
      <c r="AY32" s="60"/>
      <c r="AZ32" s="60"/>
      <c r="BA32" s="60"/>
      <c r="BB32" s="60">
        <v>9</v>
      </c>
      <c r="BC32" s="60"/>
      <c r="BD32" s="60"/>
      <c r="BE32" s="60"/>
      <c r="BF32" s="60"/>
      <c r="BG32" s="60"/>
      <c r="BH32" s="60">
        <v>10</v>
      </c>
      <c r="BI32" s="60"/>
      <c r="BJ32" s="60"/>
      <c r="BK32" s="60"/>
      <c r="BL32" s="60"/>
    </row>
    <row r="33" spans="1:79" ht="9.75" hidden="1" customHeight="1" x14ac:dyDescent="0.2">
      <c r="A33" s="58" t="s">
        <v>23</v>
      </c>
      <c r="B33" s="58"/>
      <c r="C33" s="58"/>
      <c r="D33" s="58"/>
      <c r="E33" s="58"/>
      <c r="F33" s="58" t="s">
        <v>202</v>
      </c>
      <c r="G33" s="58"/>
      <c r="H33" s="58"/>
      <c r="I33" s="58"/>
      <c r="J33" s="58" t="s">
        <v>145</v>
      </c>
      <c r="K33" s="58"/>
      <c r="L33" s="58"/>
      <c r="M33" s="58"/>
      <c r="N33" s="58" t="s">
        <v>24</v>
      </c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76" t="s">
        <v>72</v>
      </c>
      <c r="AE33" s="76"/>
      <c r="AF33" s="76"/>
      <c r="AG33" s="76"/>
      <c r="AH33" s="76"/>
      <c r="AI33" s="76"/>
      <c r="AJ33" s="76" t="s">
        <v>73</v>
      </c>
      <c r="AK33" s="76"/>
      <c r="AL33" s="76"/>
      <c r="AM33" s="76"/>
      <c r="AN33" s="76"/>
      <c r="AO33" s="76"/>
      <c r="AP33" s="76" t="s">
        <v>74</v>
      </c>
      <c r="AQ33" s="76"/>
      <c r="AR33" s="76"/>
      <c r="AS33" s="76"/>
      <c r="AT33" s="76"/>
      <c r="AU33" s="76"/>
      <c r="AV33" s="76" t="s">
        <v>75</v>
      </c>
      <c r="AW33" s="76"/>
      <c r="AX33" s="76"/>
      <c r="AY33" s="76"/>
      <c r="AZ33" s="76"/>
      <c r="BA33" s="76"/>
      <c r="BB33" s="76" t="s">
        <v>76</v>
      </c>
      <c r="BC33" s="76"/>
      <c r="BD33" s="76"/>
      <c r="BE33" s="76"/>
      <c r="BF33" s="76"/>
      <c r="BG33" s="76"/>
      <c r="BH33" s="58" t="s">
        <v>196</v>
      </c>
      <c r="BI33" s="58"/>
      <c r="BJ33" s="58"/>
      <c r="BK33" s="58"/>
      <c r="BL33" s="58"/>
      <c r="CA33" t="s">
        <v>27</v>
      </c>
    </row>
    <row r="34" spans="1:79" s="9" customFormat="1" x14ac:dyDescent="0.2">
      <c r="A34" s="40" t="s">
        <v>229</v>
      </c>
      <c r="B34" s="41"/>
      <c r="C34" s="41"/>
      <c r="D34" s="41"/>
      <c r="E34" s="42"/>
      <c r="F34" s="43"/>
      <c r="G34" s="43"/>
      <c r="H34" s="43"/>
      <c r="I34" s="43"/>
      <c r="J34" s="44" t="s">
        <v>1</v>
      </c>
      <c r="K34" s="43"/>
      <c r="L34" s="43"/>
      <c r="M34" s="43"/>
      <c r="N34" s="43" t="s">
        <v>179</v>
      </c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3"/>
      <c r="BI34" s="43"/>
      <c r="BJ34" s="43"/>
      <c r="BK34" s="43"/>
      <c r="BL34" s="43"/>
      <c r="CA34" s="9" t="s">
        <v>28</v>
      </c>
    </row>
    <row r="37" spans="1:79" ht="18.95" customHeight="1" x14ac:dyDescent="0.2">
      <c r="A37" s="73" t="s">
        <v>233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35"/>
      <c r="AC37" s="35"/>
      <c r="AD37" s="35"/>
      <c r="AE37" s="35"/>
      <c r="AF37" s="35"/>
      <c r="AG37" s="35"/>
      <c r="AH37" s="77"/>
      <c r="AI37" s="77"/>
      <c r="AJ37" s="77"/>
      <c r="AK37" s="77"/>
      <c r="AL37" s="77"/>
      <c r="AM37" s="77"/>
      <c r="AN37" s="77"/>
      <c r="AO37" s="77"/>
      <c r="AP37" s="77"/>
      <c r="AQ37" s="35"/>
      <c r="AR37" s="35"/>
      <c r="AS37" s="35"/>
      <c r="AT37" s="35"/>
      <c r="AU37" s="75" t="s">
        <v>235</v>
      </c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</row>
    <row r="38" spans="1:79" ht="12.75" customHeight="1" x14ac:dyDescent="0.2">
      <c r="AB38" s="36"/>
      <c r="AC38" s="36"/>
      <c r="AD38" s="36"/>
      <c r="AE38" s="36"/>
      <c r="AF38" s="36"/>
      <c r="AG38" s="36"/>
      <c r="AH38" s="70" t="s">
        <v>2</v>
      </c>
      <c r="AI38" s="70"/>
      <c r="AJ38" s="70"/>
      <c r="AK38" s="70"/>
      <c r="AL38" s="70"/>
      <c r="AM38" s="70"/>
      <c r="AN38" s="70"/>
      <c r="AO38" s="70"/>
      <c r="AP38" s="70"/>
      <c r="AQ38" s="36"/>
      <c r="AR38" s="36"/>
      <c r="AS38" s="36"/>
      <c r="AT38" s="36"/>
      <c r="AU38" s="70" t="s">
        <v>205</v>
      </c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</row>
    <row r="39" spans="1:79" ht="15" x14ac:dyDescent="0.2">
      <c r="AB39" s="36"/>
      <c r="AC39" s="36"/>
      <c r="AD39" s="36"/>
      <c r="AE39" s="36"/>
      <c r="AF39" s="36"/>
      <c r="AG39" s="36"/>
      <c r="AH39" s="37"/>
      <c r="AI39" s="37"/>
      <c r="AJ39" s="37"/>
      <c r="AK39" s="37"/>
      <c r="AL39" s="37"/>
      <c r="AM39" s="37"/>
      <c r="AN39" s="37"/>
      <c r="AO39" s="37"/>
      <c r="AP39" s="37"/>
      <c r="AQ39" s="36"/>
      <c r="AR39" s="36"/>
      <c r="AS39" s="36"/>
      <c r="AT39" s="36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</row>
    <row r="40" spans="1:79" ht="18" customHeight="1" x14ac:dyDescent="0.2">
      <c r="A40" s="73" t="s">
        <v>234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36"/>
      <c r="AC40" s="36"/>
      <c r="AD40" s="36"/>
      <c r="AE40" s="36"/>
      <c r="AF40" s="36"/>
      <c r="AG40" s="36"/>
      <c r="AH40" s="78"/>
      <c r="AI40" s="78"/>
      <c r="AJ40" s="78"/>
      <c r="AK40" s="78"/>
      <c r="AL40" s="78"/>
      <c r="AM40" s="78"/>
      <c r="AN40" s="78"/>
      <c r="AO40" s="78"/>
      <c r="AP40" s="78"/>
      <c r="AQ40" s="36"/>
      <c r="AR40" s="36"/>
      <c r="AS40" s="36"/>
      <c r="AT40" s="36"/>
      <c r="AU40" s="71" t="s">
        <v>236</v>
      </c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</row>
    <row r="41" spans="1:79" ht="12" customHeight="1" x14ac:dyDescent="0.2">
      <c r="AB41" s="36"/>
      <c r="AC41" s="36"/>
      <c r="AD41" s="36"/>
      <c r="AE41" s="36"/>
      <c r="AF41" s="36"/>
      <c r="AG41" s="36"/>
      <c r="AH41" s="70" t="s">
        <v>2</v>
      </c>
      <c r="AI41" s="70"/>
      <c r="AJ41" s="70"/>
      <c r="AK41" s="70"/>
      <c r="AL41" s="70"/>
      <c r="AM41" s="70"/>
      <c r="AN41" s="70"/>
      <c r="AO41" s="70"/>
      <c r="AP41" s="70"/>
      <c r="AQ41" s="36"/>
      <c r="AR41" s="36"/>
      <c r="AS41" s="36"/>
      <c r="AT41" s="36"/>
      <c r="AU41" s="70" t="s">
        <v>205</v>
      </c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</row>
    <row r="42" spans="1:79" x14ac:dyDescent="0.2">
      <c r="A42" s="5"/>
    </row>
  </sheetData>
  <mergeCells count="163">
    <mergeCell ref="AU5:BB5"/>
    <mergeCell ref="AU6:BB6"/>
    <mergeCell ref="AH5:AR5"/>
    <mergeCell ref="AH6:AR6"/>
    <mergeCell ref="AJ22:AO22"/>
    <mergeCell ref="AV34:BA34"/>
    <mergeCell ref="F25:I25"/>
    <mergeCell ref="J25:M25"/>
    <mergeCell ref="N25:AC25"/>
    <mergeCell ref="AD25:AI25"/>
    <mergeCell ref="AV23:BA23"/>
    <mergeCell ref="BB23:BG23"/>
    <mergeCell ref="J23:M23"/>
    <mergeCell ref="N23:AC23"/>
    <mergeCell ref="AD23:AI23"/>
    <mergeCell ref="AJ23:AO23"/>
    <mergeCell ref="AP22:AU22"/>
    <mergeCell ref="AV22:BA22"/>
    <mergeCell ref="AD24:AI24"/>
    <mergeCell ref="AJ24:AO24"/>
    <mergeCell ref="AD22:AI22"/>
    <mergeCell ref="AP24:AU24"/>
    <mergeCell ref="AV24:BA24"/>
    <mergeCell ref="AP23:AU23"/>
    <mergeCell ref="AP32:AU32"/>
    <mergeCell ref="AV32:BA32"/>
    <mergeCell ref="AD32:AI32"/>
    <mergeCell ref="AJ32:AO32"/>
    <mergeCell ref="AJ25:AO25"/>
    <mergeCell ref="AP25:AU25"/>
    <mergeCell ref="AV25:BA25"/>
    <mergeCell ref="BH32:BL32"/>
    <mergeCell ref="BH33:BL33"/>
    <mergeCell ref="AP27:AU27"/>
    <mergeCell ref="AV27:BA27"/>
    <mergeCell ref="AP26:AU26"/>
    <mergeCell ref="AV26:BA26"/>
    <mergeCell ref="BG14:BL14"/>
    <mergeCell ref="BB22:BG22"/>
    <mergeCell ref="BB25:BG25"/>
    <mergeCell ref="BH22:BL22"/>
    <mergeCell ref="BG16:BL16"/>
    <mergeCell ref="BG17:BL17"/>
    <mergeCell ref="BH34:BL34"/>
    <mergeCell ref="BB34:BG34"/>
    <mergeCell ref="BB32:BG32"/>
    <mergeCell ref="BB33:BG33"/>
    <mergeCell ref="BH25:BL25"/>
    <mergeCell ref="BB24:BG24"/>
    <mergeCell ref="BH24:BL24"/>
    <mergeCell ref="BB27:BG27"/>
    <mergeCell ref="BH27:BL27"/>
    <mergeCell ref="BB26:BG26"/>
    <mergeCell ref="BH26:BL26"/>
    <mergeCell ref="A32:E32"/>
    <mergeCell ref="N32:AC32"/>
    <mergeCell ref="F33:I33"/>
    <mergeCell ref="J32:M32"/>
    <mergeCell ref="J33:M33"/>
    <mergeCell ref="F32:I32"/>
    <mergeCell ref="BE5:BL5"/>
    <mergeCell ref="A29:BL29"/>
    <mergeCell ref="A30:BL30"/>
    <mergeCell ref="BH31:BL31"/>
    <mergeCell ref="BB31:BG31"/>
    <mergeCell ref="N31:AC31"/>
    <mergeCell ref="AP31:AU31"/>
    <mergeCell ref="AV31:BA31"/>
    <mergeCell ref="J31:M31"/>
    <mergeCell ref="F31:I31"/>
    <mergeCell ref="AI12:AN12"/>
    <mergeCell ref="AO12:AT12"/>
    <mergeCell ref="A19:BL20"/>
    <mergeCell ref="BH23:BL23"/>
    <mergeCell ref="AD31:AI31"/>
    <mergeCell ref="AJ31:AO31"/>
    <mergeCell ref="A31:E31"/>
    <mergeCell ref="A25:E25"/>
    <mergeCell ref="BA1:BL1"/>
    <mergeCell ref="A21:BL21"/>
    <mergeCell ref="A8:BL8"/>
    <mergeCell ref="A3:BL3"/>
    <mergeCell ref="A9:BL9"/>
    <mergeCell ref="BE6:BL6"/>
    <mergeCell ref="B5:AF5"/>
    <mergeCell ref="A10:BL11"/>
    <mergeCell ref="AU12:AZ12"/>
    <mergeCell ref="BA12:BF12"/>
    <mergeCell ref="BG12:BL12"/>
    <mergeCell ref="AI13:AN13"/>
    <mergeCell ref="AO13:AT13"/>
    <mergeCell ref="AU13:AZ13"/>
    <mergeCell ref="BA13:BF13"/>
    <mergeCell ref="BG13:BL13"/>
    <mergeCell ref="AI14:AN14"/>
    <mergeCell ref="AO14:AT14"/>
    <mergeCell ref="AU14:AZ14"/>
    <mergeCell ref="BA14:BF14"/>
    <mergeCell ref="A15:BL15"/>
    <mergeCell ref="A12:W12"/>
    <mergeCell ref="A13:W13"/>
    <mergeCell ref="A14:W14"/>
    <mergeCell ref="AU41:BF41"/>
    <mergeCell ref="AU38:BF38"/>
    <mergeCell ref="A33:E33"/>
    <mergeCell ref="A34:E34"/>
    <mergeCell ref="F34:I34"/>
    <mergeCell ref="AU40:BF40"/>
    <mergeCell ref="A37:AA37"/>
    <mergeCell ref="AU37:BF37"/>
    <mergeCell ref="A40:AA40"/>
    <mergeCell ref="AD33:AI33"/>
    <mergeCell ref="J34:M34"/>
    <mergeCell ref="N33:AC33"/>
    <mergeCell ref="N34:AC34"/>
    <mergeCell ref="AD34:AI34"/>
    <mergeCell ref="AJ34:AO34"/>
    <mergeCell ref="AJ33:AO33"/>
    <mergeCell ref="AP33:AU33"/>
    <mergeCell ref="AV33:BA33"/>
    <mergeCell ref="AP34:AU34"/>
    <mergeCell ref="AH37:AP37"/>
    <mergeCell ref="AH40:AP40"/>
    <mergeCell ref="AH41:AP41"/>
    <mergeCell ref="AH38:AP38"/>
    <mergeCell ref="A6:AF6"/>
    <mergeCell ref="J24:M24"/>
    <mergeCell ref="A22:E22"/>
    <mergeCell ref="A23:E23"/>
    <mergeCell ref="N24:AC24"/>
    <mergeCell ref="F22:I22"/>
    <mergeCell ref="J22:M22"/>
    <mergeCell ref="N22:AC22"/>
    <mergeCell ref="A24:E24"/>
    <mergeCell ref="F23:I23"/>
    <mergeCell ref="F24:I24"/>
    <mergeCell ref="X12:AH12"/>
    <mergeCell ref="X13:AH13"/>
    <mergeCell ref="X14:AH14"/>
    <mergeCell ref="A17:W17"/>
    <mergeCell ref="X17:AH17"/>
    <mergeCell ref="AI17:AN17"/>
    <mergeCell ref="AO17:AT17"/>
    <mergeCell ref="AU17:AZ17"/>
    <mergeCell ref="BA17:BF17"/>
    <mergeCell ref="A16:W16"/>
    <mergeCell ref="X16:AH16"/>
    <mergeCell ref="AI16:AN16"/>
    <mergeCell ref="AO16:AT16"/>
    <mergeCell ref="AU16:AZ16"/>
    <mergeCell ref="BA16:BF16"/>
    <mergeCell ref="A27:E27"/>
    <mergeCell ref="F27:I27"/>
    <mergeCell ref="J27:M27"/>
    <mergeCell ref="N27:AC27"/>
    <mergeCell ref="AD27:AI27"/>
    <mergeCell ref="AJ27:AO27"/>
    <mergeCell ref="A26:E26"/>
    <mergeCell ref="F26:I26"/>
    <mergeCell ref="J26:M26"/>
    <mergeCell ref="N26:AC26"/>
    <mergeCell ref="AD26:AI26"/>
    <mergeCell ref="AJ26:AO26"/>
  </mergeCells>
  <phoneticPr fontId="7" type="noConversion"/>
  <pageMargins left="0.31496062992125984" right="0.31496062992125984" top="0.39370078740157483" bottom="0.39370078740157483" header="0" footer="0"/>
  <pageSetup paperSize="9" scale="79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259"/>
  <sheetViews>
    <sheetView topLeftCell="A155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154" t="s">
        <v>146</v>
      </c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</row>
    <row r="2" spans="1:79" ht="14.25" customHeight="1" x14ac:dyDescent="0.2">
      <c r="A2" s="83" t="s">
        <v>318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</row>
    <row r="4" spans="1:79" ht="28.5" customHeight="1" x14ac:dyDescent="0.2">
      <c r="A4" s="25" t="s">
        <v>199</v>
      </c>
      <c r="B4" s="86" t="s">
        <v>232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22"/>
      <c r="AH4" s="89" t="s">
        <v>231</v>
      </c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22"/>
      <c r="AT4" s="88" t="s">
        <v>237</v>
      </c>
      <c r="AU4" s="89"/>
      <c r="AV4" s="89"/>
      <c r="AW4" s="89"/>
      <c r="AX4" s="89"/>
      <c r="AY4" s="89"/>
      <c r="AZ4" s="89"/>
      <c r="BA4" s="89"/>
      <c r="BB4" s="29"/>
      <c r="BC4" s="22"/>
      <c r="BD4" s="22"/>
      <c r="BE4" s="26"/>
      <c r="BF4" s="26"/>
      <c r="BG4" s="26"/>
      <c r="BH4" s="26"/>
      <c r="BI4" s="26"/>
      <c r="BJ4" s="26"/>
      <c r="BK4" s="26"/>
      <c r="BL4" s="26"/>
    </row>
    <row r="5" spans="1:79" ht="24" customHeight="1" x14ac:dyDescent="0.2">
      <c r="A5" s="57" t="s">
        <v>0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20"/>
      <c r="AH5" s="85" t="s">
        <v>206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20"/>
      <c r="AT5" s="85" t="s">
        <v>197</v>
      </c>
      <c r="AU5" s="85"/>
      <c r="AV5" s="85"/>
      <c r="AW5" s="85"/>
      <c r="AX5" s="85"/>
      <c r="AY5" s="85"/>
      <c r="AZ5" s="85"/>
      <c r="BA5" s="85"/>
      <c r="BB5" s="27"/>
      <c r="BC5" s="20"/>
      <c r="BD5" s="20"/>
      <c r="BE5" s="27"/>
      <c r="BF5" s="27"/>
      <c r="BG5" s="27"/>
      <c r="BH5" s="27"/>
      <c r="BI5" s="27"/>
      <c r="BJ5" s="27"/>
      <c r="BK5" s="27"/>
      <c r="BL5" s="27"/>
    </row>
    <row r="6" spans="1:79" x14ac:dyDescent="0.2">
      <c r="BE6" s="28"/>
      <c r="BF6" s="28"/>
      <c r="BG6" s="28"/>
      <c r="BH6" s="28"/>
      <c r="BI6" s="28"/>
      <c r="BJ6" s="28"/>
      <c r="BK6" s="28"/>
      <c r="BL6" s="28"/>
    </row>
    <row r="7" spans="1:79" ht="28.5" customHeight="1" x14ac:dyDescent="0.2">
      <c r="A7" s="25" t="s">
        <v>208</v>
      </c>
      <c r="B7" s="86" t="s">
        <v>225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22"/>
      <c r="AH7" s="89" t="s">
        <v>333</v>
      </c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29"/>
      <c r="BC7" s="88" t="s">
        <v>237</v>
      </c>
      <c r="BD7" s="89"/>
      <c r="BE7" s="89"/>
      <c r="BF7" s="89"/>
      <c r="BG7" s="89"/>
      <c r="BH7" s="89"/>
      <c r="BI7" s="89"/>
      <c r="BJ7" s="89"/>
      <c r="BK7" s="29"/>
      <c r="BL7" s="26"/>
      <c r="BP7" s="29"/>
      <c r="BQ7" s="29"/>
      <c r="BR7" s="29"/>
      <c r="BS7" s="29"/>
      <c r="BT7" s="29"/>
      <c r="BU7" s="29"/>
      <c r="BV7" s="29"/>
      <c r="BW7" s="29"/>
    </row>
    <row r="8" spans="1:79" ht="24" customHeight="1" x14ac:dyDescent="0.2">
      <c r="A8" s="57" t="s">
        <v>188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20"/>
      <c r="AH8" s="85" t="s">
        <v>209</v>
      </c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27"/>
      <c r="BC8" s="85" t="s">
        <v>197</v>
      </c>
      <c r="BD8" s="85"/>
      <c r="BE8" s="85"/>
      <c r="BF8" s="85"/>
      <c r="BG8" s="85"/>
      <c r="BH8" s="85"/>
      <c r="BI8" s="85"/>
      <c r="BJ8" s="85"/>
      <c r="BK8" s="27"/>
      <c r="BL8" s="27"/>
      <c r="BP8" s="27"/>
      <c r="BQ8" s="27"/>
      <c r="BR8" s="27"/>
      <c r="BS8" s="27"/>
      <c r="BT8" s="27"/>
      <c r="BU8" s="27"/>
      <c r="BV8" s="27"/>
      <c r="BW8" s="27"/>
    </row>
    <row r="10" spans="1:79" ht="28.5" customHeight="1" x14ac:dyDescent="0.2">
      <c r="A10" s="25" t="s">
        <v>210</v>
      </c>
      <c r="B10" s="89" t="s">
        <v>330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N10" s="89" t="s">
        <v>331</v>
      </c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29"/>
      <c r="AA10" s="89" t="s">
        <v>332</v>
      </c>
      <c r="AB10" s="89"/>
      <c r="AC10" s="89"/>
      <c r="AD10" s="89"/>
      <c r="AE10" s="89"/>
      <c r="AF10" s="89"/>
      <c r="AG10" s="89"/>
      <c r="AH10" s="89"/>
      <c r="AI10" s="89"/>
      <c r="AJ10" s="29"/>
      <c r="AK10" s="156" t="s">
        <v>227</v>
      </c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32"/>
      <c r="BL10" s="88" t="s">
        <v>238</v>
      </c>
      <c r="BM10" s="89"/>
      <c r="BN10" s="89"/>
      <c r="BO10" s="89"/>
      <c r="BP10" s="89"/>
      <c r="BQ10" s="89"/>
      <c r="BR10" s="89"/>
      <c r="BS10" s="89"/>
      <c r="BT10" s="29"/>
      <c r="BU10" s="29"/>
      <c r="BV10" s="29"/>
      <c r="BW10" s="29"/>
      <c r="BX10" s="29"/>
      <c r="BY10" s="29"/>
      <c r="BZ10" s="29"/>
      <c r="CA10" s="29"/>
    </row>
    <row r="11" spans="1:79" ht="25.5" customHeight="1" x14ac:dyDescent="0.2">
      <c r="B11" s="85" t="s">
        <v>211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N11" s="85" t="s">
        <v>213</v>
      </c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27"/>
      <c r="AA11" s="157" t="s">
        <v>214</v>
      </c>
      <c r="AB11" s="157"/>
      <c r="AC11" s="157"/>
      <c r="AD11" s="157"/>
      <c r="AE11" s="157"/>
      <c r="AF11" s="157"/>
      <c r="AG11" s="157"/>
      <c r="AH11" s="157"/>
      <c r="AI11" s="157"/>
      <c r="AJ11" s="27"/>
      <c r="AK11" s="158" t="s">
        <v>212</v>
      </c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0"/>
      <c r="BL11" s="85" t="s">
        <v>198</v>
      </c>
      <c r="BM11" s="85"/>
      <c r="BN11" s="85"/>
      <c r="BO11" s="85"/>
      <c r="BP11" s="85"/>
      <c r="BQ11" s="85"/>
      <c r="BR11" s="85"/>
      <c r="BS11" s="85"/>
      <c r="BT11" s="27"/>
      <c r="BU11" s="27"/>
      <c r="BV11" s="27"/>
      <c r="BW11" s="27"/>
      <c r="BX11" s="27"/>
      <c r="BY11" s="27"/>
      <c r="BZ11" s="27"/>
      <c r="CA11" s="27"/>
    </row>
    <row r="13" spans="1:79" ht="14.25" customHeight="1" x14ac:dyDescent="0.2">
      <c r="A13" s="115" t="s">
        <v>319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115"/>
      <c r="BY13" s="115"/>
    </row>
    <row r="14" spans="1:79" ht="14.25" customHeight="1" x14ac:dyDescent="0.2">
      <c r="A14" s="115" t="s">
        <v>180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115"/>
      <c r="BU14" s="115"/>
      <c r="BV14" s="115"/>
      <c r="BW14" s="115"/>
      <c r="BX14" s="115"/>
      <c r="BY14" s="115"/>
    </row>
    <row r="15" spans="1:79" ht="15" customHeight="1" x14ac:dyDescent="0.2">
      <c r="A15" s="84" t="s">
        <v>230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</row>
    <row r="16" spans="1:79" ht="1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9" ht="15" customHeight="1" x14ac:dyDescent="0.25">
      <c r="A17" s="155" t="s">
        <v>181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</row>
    <row r="18" spans="1:79" ht="15" customHeight="1" x14ac:dyDescent="0.2">
      <c r="A18" s="84" t="s">
        <v>296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</row>
    <row r="19" spans="1:79" ht="1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1:79" ht="14.25" customHeight="1" x14ac:dyDescent="0.2">
      <c r="A20" s="115" t="s">
        <v>182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5"/>
      <c r="BM20" s="115"/>
      <c r="BN20" s="115"/>
      <c r="BO20" s="115"/>
      <c r="BP20" s="115"/>
      <c r="BQ20" s="115"/>
      <c r="BR20" s="115"/>
      <c r="BS20" s="115"/>
      <c r="BT20" s="115"/>
      <c r="BU20" s="115"/>
      <c r="BV20" s="115"/>
      <c r="BW20" s="115"/>
      <c r="BX20" s="115"/>
      <c r="BY20" s="115"/>
    </row>
    <row r="21" spans="1:79" ht="90" customHeight="1" x14ac:dyDescent="0.2">
      <c r="A21" s="84" t="s">
        <v>297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</row>
    <row r="22" spans="1:79" ht="1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9" ht="14.25" customHeight="1" x14ac:dyDescent="0.2">
      <c r="A23" s="115" t="s">
        <v>183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115"/>
      <c r="BN23" s="115"/>
      <c r="BO23" s="115"/>
      <c r="BP23" s="115"/>
      <c r="BQ23" s="115"/>
      <c r="BR23" s="115"/>
      <c r="BS23" s="115"/>
      <c r="BT23" s="115"/>
      <c r="BU23" s="115"/>
      <c r="BV23" s="115"/>
      <c r="BW23" s="115"/>
      <c r="BX23" s="115"/>
      <c r="BY23" s="115"/>
    </row>
    <row r="24" spans="1:79" ht="14.25" customHeight="1" x14ac:dyDescent="0.2">
      <c r="A24" s="115" t="s">
        <v>307</v>
      </c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  <c r="BQ24" s="115"/>
      <c r="BR24" s="115"/>
      <c r="BS24" s="115"/>
      <c r="BT24" s="115"/>
      <c r="BU24" s="115"/>
      <c r="BV24" s="115"/>
      <c r="BW24" s="115"/>
      <c r="BX24" s="115"/>
      <c r="BY24" s="115"/>
    </row>
    <row r="25" spans="1:79" ht="15" customHeight="1" x14ac:dyDescent="0.2">
      <c r="A25" s="81" t="s">
        <v>239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</row>
    <row r="26" spans="1:79" ht="23.1" customHeight="1" x14ac:dyDescent="0.2">
      <c r="A26" s="123" t="s">
        <v>3</v>
      </c>
      <c r="B26" s="124"/>
      <c r="C26" s="124"/>
      <c r="D26" s="125"/>
      <c r="E26" s="123" t="s">
        <v>20</v>
      </c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60" t="s">
        <v>240</v>
      </c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 t="s">
        <v>241</v>
      </c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 t="s">
        <v>242</v>
      </c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</row>
    <row r="27" spans="1:79" ht="54.75" customHeight="1" x14ac:dyDescent="0.2">
      <c r="A27" s="126"/>
      <c r="B27" s="127"/>
      <c r="C27" s="127"/>
      <c r="D27" s="128"/>
      <c r="E27" s="126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64" t="s">
        <v>5</v>
      </c>
      <c r="V27" s="65"/>
      <c r="W27" s="65"/>
      <c r="X27" s="65"/>
      <c r="Y27" s="66"/>
      <c r="Z27" s="64" t="s">
        <v>4</v>
      </c>
      <c r="AA27" s="65"/>
      <c r="AB27" s="65"/>
      <c r="AC27" s="65"/>
      <c r="AD27" s="66"/>
      <c r="AE27" s="139" t="s">
        <v>147</v>
      </c>
      <c r="AF27" s="140"/>
      <c r="AG27" s="140"/>
      <c r="AH27" s="141"/>
      <c r="AI27" s="64" t="s">
        <v>6</v>
      </c>
      <c r="AJ27" s="65"/>
      <c r="AK27" s="65"/>
      <c r="AL27" s="65"/>
      <c r="AM27" s="66"/>
      <c r="AN27" s="64" t="s">
        <v>5</v>
      </c>
      <c r="AO27" s="65"/>
      <c r="AP27" s="65"/>
      <c r="AQ27" s="65"/>
      <c r="AR27" s="66"/>
      <c r="AS27" s="64" t="s">
        <v>4</v>
      </c>
      <c r="AT27" s="65"/>
      <c r="AU27" s="65"/>
      <c r="AV27" s="65"/>
      <c r="AW27" s="66"/>
      <c r="AX27" s="139" t="s">
        <v>147</v>
      </c>
      <c r="AY27" s="140"/>
      <c r="AZ27" s="140"/>
      <c r="BA27" s="141"/>
      <c r="BB27" s="64" t="s">
        <v>118</v>
      </c>
      <c r="BC27" s="65"/>
      <c r="BD27" s="65"/>
      <c r="BE27" s="65"/>
      <c r="BF27" s="66"/>
      <c r="BG27" s="64" t="s">
        <v>5</v>
      </c>
      <c r="BH27" s="65"/>
      <c r="BI27" s="65"/>
      <c r="BJ27" s="65"/>
      <c r="BK27" s="66"/>
      <c r="BL27" s="64" t="s">
        <v>4</v>
      </c>
      <c r="BM27" s="65"/>
      <c r="BN27" s="65"/>
      <c r="BO27" s="65"/>
      <c r="BP27" s="66"/>
      <c r="BQ27" s="139" t="s">
        <v>147</v>
      </c>
      <c r="BR27" s="140"/>
      <c r="BS27" s="140"/>
      <c r="BT27" s="141"/>
      <c r="BU27" s="64" t="s">
        <v>119</v>
      </c>
      <c r="BV27" s="65"/>
      <c r="BW27" s="65"/>
      <c r="BX27" s="65"/>
      <c r="BY27" s="66"/>
    </row>
    <row r="28" spans="1:79" ht="15" customHeight="1" x14ac:dyDescent="0.2">
      <c r="A28" s="64">
        <v>1</v>
      </c>
      <c r="B28" s="65"/>
      <c r="C28" s="65"/>
      <c r="D28" s="66"/>
      <c r="E28" s="64">
        <v>2</v>
      </c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4">
        <v>3</v>
      </c>
      <c r="V28" s="65"/>
      <c r="W28" s="65"/>
      <c r="X28" s="65"/>
      <c r="Y28" s="66"/>
      <c r="Z28" s="64">
        <v>4</v>
      </c>
      <c r="AA28" s="65"/>
      <c r="AB28" s="65"/>
      <c r="AC28" s="65"/>
      <c r="AD28" s="66"/>
      <c r="AE28" s="64">
        <v>5</v>
      </c>
      <c r="AF28" s="65"/>
      <c r="AG28" s="65"/>
      <c r="AH28" s="66"/>
      <c r="AI28" s="64">
        <v>6</v>
      </c>
      <c r="AJ28" s="65"/>
      <c r="AK28" s="65"/>
      <c r="AL28" s="65"/>
      <c r="AM28" s="66"/>
      <c r="AN28" s="64">
        <v>7</v>
      </c>
      <c r="AO28" s="65"/>
      <c r="AP28" s="65"/>
      <c r="AQ28" s="65"/>
      <c r="AR28" s="66"/>
      <c r="AS28" s="64">
        <v>8</v>
      </c>
      <c r="AT28" s="65"/>
      <c r="AU28" s="65"/>
      <c r="AV28" s="65"/>
      <c r="AW28" s="66"/>
      <c r="AX28" s="64">
        <v>9</v>
      </c>
      <c r="AY28" s="65"/>
      <c r="AZ28" s="65"/>
      <c r="BA28" s="66"/>
      <c r="BB28" s="64">
        <v>10</v>
      </c>
      <c r="BC28" s="65"/>
      <c r="BD28" s="65"/>
      <c r="BE28" s="65"/>
      <c r="BF28" s="66"/>
      <c r="BG28" s="64">
        <v>11</v>
      </c>
      <c r="BH28" s="65"/>
      <c r="BI28" s="65"/>
      <c r="BJ28" s="65"/>
      <c r="BK28" s="66"/>
      <c r="BL28" s="64">
        <v>12</v>
      </c>
      <c r="BM28" s="65"/>
      <c r="BN28" s="65"/>
      <c r="BO28" s="65"/>
      <c r="BP28" s="66"/>
      <c r="BQ28" s="64">
        <v>13</v>
      </c>
      <c r="BR28" s="65"/>
      <c r="BS28" s="65"/>
      <c r="BT28" s="66"/>
      <c r="BU28" s="64">
        <v>14</v>
      </c>
      <c r="BV28" s="65"/>
      <c r="BW28" s="65"/>
      <c r="BX28" s="65"/>
      <c r="BY28" s="66"/>
    </row>
    <row r="29" spans="1:79" ht="13.5" hidden="1" customHeight="1" x14ac:dyDescent="0.2">
      <c r="A29" s="67" t="s">
        <v>77</v>
      </c>
      <c r="B29" s="68"/>
      <c r="C29" s="68"/>
      <c r="D29" s="69"/>
      <c r="E29" s="67" t="s">
        <v>78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7" t="s">
        <v>86</v>
      </c>
      <c r="V29" s="68"/>
      <c r="W29" s="68"/>
      <c r="X29" s="68"/>
      <c r="Y29" s="69"/>
      <c r="Z29" s="67" t="s">
        <v>87</v>
      </c>
      <c r="AA29" s="68"/>
      <c r="AB29" s="68"/>
      <c r="AC29" s="68"/>
      <c r="AD29" s="69"/>
      <c r="AE29" s="67" t="s">
        <v>113</v>
      </c>
      <c r="AF29" s="68"/>
      <c r="AG29" s="68"/>
      <c r="AH29" s="69"/>
      <c r="AI29" s="136" t="s">
        <v>217</v>
      </c>
      <c r="AJ29" s="137"/>
      <c r="AK29" s="137"/>
      <c r="AL29" s="137"/>
      <c r="AM29" s="138"/>
      <c r="AN29" s="67" t="s">
        <v>88</v>
      </c>
      <c r="AO29" s="68"/>
      <c r="AP29" s="68"/>
      <c r="AQ29" s="68"/>
      <c r="AR29" s="69"/>
      <c r="AS29" s="67" t="s">
        <v>89</v>
      </c>
      <c r="AT29" s="68"/>
      <c r="AU29" s="68"/>
      <c r="AV29" s="68"/>
      <c r="AW29" s="69"/>
      <c r="AX29" s="67" t="s">
        <v>114</v>
      </c>
      <c r="AY29" s="68"/>
      <c r="AZ29" s="68"/>
      <c r="BA29" s="69"/>
      <c r="BB29" s="136" t="s">
        <v>217</v>
      </c>
      <c r="BC29" s="137"/>
      <c r="BD29" s="137"/>
      <c r="BE29" s="137"/>
      <c r="BF29" s="138"/>
      <c r="BG29" s="67" t="s">
        <v>79</v>
      </c>
      <c r="BH29" s="68"/>
      <c r="BI29" s="68"/>
      <c r="BJ29" s="68"/>
      <c r="BK29" s="69"/>
      <c r="BL29" s="67" t="s">
        <v>80</v>
      </c>
      <c r="BM29" s="68"/>
      <c r="BN29" s="68"/>
      <c r="BO29" s="68"/>
      <c r="BP29" s="69"/>
      <c r="BQ29" s="67" t="s">
        <v>115</v>
      </c>
      <c r="BR29" s="68"/>
      <c r="BS29" s="68"/>
      <c r="BT29" s="69"/>
      <c r="BU29" s="136" t="s">
        <v>217</v>
      </c>
      <c r="BV29" s="137"/>
      <c r="BW29" s="137"/>
      <c r="BX29" s="137"/>
      <c r="BY29" s="138"/>
      <c r="CA29" t="s">
        <v>29</v>
      </c>
    </row>
    <row r="30" spans="1:79" s="7" customFormat="1" ht="12.75" customHeight="1" x14ac:dyDescent="0.2">
      <c r="A30" s="92"/>
      <c r="B30" s="93"/>
      <c r="C30" s="93"/>
      <c r="D30" s="112"/>
      <c r="E30" s="52" t="s">
        <v>248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9"/>
      <c r="U30" s="110">
        <v>0</v>
      </c>
      <c r="V30" s="110"/>
      <c r="W30" s="110"/>
      <c r="X30" s="110"/>
      <c r="Y30" s="110"/>
      <c r="Z30" s="110" t="s">
        <v>249</v>
      </c>
      <c r="AA30" s="110"/>
      <c r="AB30" s="110"/>
      <c r="AC30" s="110"/>
      <c r="AD30" s="110"/>
      <c r="AE30" s="107" t="s">
        <v>249</v>
      </c>
      <c r="AF30" s="108"/>
      <c r="AG30" s="108"/>
      <c r="AH30" s="109"/>
      <c r="AI30" s="107">
        <f>IF(ISNUMBER(U30),U30,0)+IF(ISNUMBER(Z30),Z30,0)</f>
        <v>0</v>
      </c>
      <c r="AJ30" s="108"/>
      <c r="AK30" s="108"/>
      <c r="AL30" s="108"/>
      <c r="AM30" s="109"/>
      <c r="AN30" s="107">
        <v>1579372</v>
      </c>
      <c r="AO30" s="108"/>
      <c r="AP30" s="108"/>
      <c r="AQ30" s="108"/>
      <c r="AR30" s="109"/>
      <c r="AS30" s="107" t="s">
        <v>249</v>
      </c>
      <c r="AT30" s="108"/>
      <c r="AU30" s="108"/>
      <c r="AV30" s="108"/>
      <c r="AW30" s="109"/>
      <c r="AX30" s="107" t="s">
        <v>249</v>
      </c>
      <c r="AY30" s="108"/>
      <c r="AZ30" s="108"/>
      <c r="BA30" s="109"/>
      <c r="BB30" s="107">
        <f>IF(ISNUMBER(AN30),AN30,0)+IF(ISNUMBER(AS30),AS30,0)</f>
        <v>1579372</v>
      </c>
      <c r="BC30" s="108"/>
      <c r="BD30" s="108"/>
      <c r="BE30" s="108"/>
      <c r="BF30" s="109"/>
      <c r="BG30" s="107">
        <v>4988878</v>
      </c>
      <c r="BH30" s="108"/>
      <c r="BI30" s="108"/>
      <c r="BJ30" s="108"/>
      <c r="BK30" s="109"/>
      <c r="BL30" s="107" t="s">
        <v>249</v>
      </c>
      <c r="BM30" s="108"/>
      <c r="BN30" s="108"/>
      <c r="BO30" s="108"/>
      <c r="BP30" s="109"/>
      <c r="BQ30" s="107" t="s">
        <v>249</v>
      </c>
      <c r="BR30" s="108"/>
      <c r="BS30" s="108"/>
      <c r="BT30" s="109"/>
      <c r="BU30" s="107">
        <f>IF(ISNUMBER(BG30),BG30,0)+IF(ISNUMBER(BL30),BL30,0)</f>
        <v>4988878</v>
      </c>
      <c r="BV30" s="108"/>
      <c r="BW30" s="108"/>
      <c r="BX30" s="108"/>
      <c r="BY30" s="109"/>
      <c r="CA30" s="7" t="s">
        <v>30</v>
      </c>
    </row>
    <row r="31" spans="1:79" s="9" customFormat="1" ht="12.75" customHeight="1" x14ac:dyDescent="0.2">
      <c r="A31" s="94"/>
      <c r="B31" s="95"/>
      <c r="C31" s="95"/>
      <c r="D31" s="111"/>
      <c r="E31" s="45" t="s">
        <v>179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2"/>
      <c r="U31" s="106">
        <v>0</v>
      </c>
      <c r="V31" s="106"/>
      <c r="W31" s="106"/>
      <c r="X31" s="106"/>
      <c r="Y31" s="106"/>
      <c r="Z31" s="106">
        <v>0</v>
      </c>
      <c r="AA31" s="106"/>
      <c r="AB31" s="106"/>
      <c r="AC31" s="106"/>
      <c r="AD31" s="106"/>
      <c r="AE31" s="103">
        <v>0</v>
      </c>
      <c r="AF31" s="104"/>
      <c r="AG31" s="104"/>
      <c r="AH31" s="105"/>
      <c r="AI31" s="103">
        <f>IF(ISNUMBER(U31),U31,0)+IF(ISNUMBER(Z31),Z31,0)</f>
        <v>0</v>
      </c>
      <c r="AJ31" s="104"/>
      <c r="AK31" s="104"/>
      <c r="AL31" s="104"/>
      <c r="AM31" s="105"/>
      <c r="AN31" s="103">
        <v>1579372</v>
      </c>
      <c r="AO31" s="104"/>
      <c r="AP31" s="104"/>
      <c r="AQ31" s="104"/>
      <c r="AR31" s="105"/>
      <c r="AS31" s="103">
        <v>0</v>
      </c>
      <c r="AT31" s="104"/>
      <c r="AU31" s="104"/>
      <c r="AV31" s="104"/>
      <c r="AW31" s="105"/>
      <c r="AX31" s="103">
        <v>0</v>
      </c>
      <c r="AY31" s="104"/>
      <c r="AZ31" s="104"/>
      <c r="BA31" s="105"/>
      <c r="BB31" s="103">
        <f>IF(ISNUMBER(AN31),AN31,0)+IF(ISNUMBER(AS31),AS31,0)</f>
        <v>1579372</v>
      </c>
      <c r="BC31" s="104"/>
      <c r="BD31" s="104"/>
      <c r="BE31" s="104"/>
      <c r="BF31" s="105"/>
      <c r="BG31" s="103">
        <v>4988878</v>
      </c>
      <c r="BH31" s="104"/>
      <c r="BI31" s="104"/>
      <c r="BJ31" s="104"/>
      <c r="BK31" s="105"/>
      <c r="BL31" s="103">
        <v>0</v>
      </c>
      <c r="BM31" s="104"/>
      <c r="BN31" s="104"/>
      <c r="BO31" s="104"/>
      <c r="BP31" s="105"/>
      <c r="BQ31" s="103">
        <v>0</v>
      </c>
      <c r="BR31" s="104"/>
      <c r="BS31" s="104"/>
      <c r="BT31" s="105"/>
      <c r="BU31" s="103">
        <f>IF(ISNUMBER(BG31),BG31,0)+IF(ISNUMBER(BL31),BL31,0)</f>
        <v>4988878</v>
      </c>
      <c r="BV31" s="104"/>
      <c r="BW31" s="104"/>
      <c r="BX31" s="104"/>
      <c r="BY31" s="105"/>
    </row>
    <row r="33" spans="1:79" ht="14.25" customHeight="1" x14ac:dyDescent="0.2">
      <c r="A33" s="115" t="s">
        <v>320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</row>
    <row r="34" spans="1:79" ht="15" customHeight="1" x14ac:dyDescent="0.2">
      <c r="A34" s="122" t="s">
        <v>239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79" ht="22.5" customHeight="1" x14ac:dyDescent="0.2">
      <c r="A35" s="123" t="s">
        <v>3</v>
      </c>
      <c r="B35" s="124"/>
      <c r="C35" s="124"/>
      <c r="D35" s="125"/>
      <c r="E35" s="123" t="s">
        <v>20</v>
      </c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5"/>
      <c r="X35" s="64" t="s">
        <v>243</v>
      </c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6"/>
      <c r="AR35" s="60" t="s">
        <v>245</v>
      </c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</row>
    <row r="36" spans="1:79" ht="36" customHeight="1" x14ac:dyDescent="0.2">
      <c r="A36" s="126"/>
      <c r="B36" s="127"/>
      <c r="C36" s="127"/>
      <c r="D36" s="128"/>
      <c r="E36" s="126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8"/>
      <c r="X36" s="60" t="s">
        <v>5</v>
      </c>
      <c r="Y36" s="60"/>
      <c r="Z36" s="60"/>
      <c r="AA36" s="60"/>
      <c r="AB36" s="60"/>
      <c r="AC36" s="60" t="s">
        <v>4</v>
      </c>
      <c r="AD36" s="60"/>
      <c r="AE36" s="60"/>
      <c r="AF36" s="60"/>
      <c r="AG36" s="60"/>
      <c r="AH36" s="139" t="s">
        <v>147</v>
      </c>
      <c r="AI36" s="140"/>
      <c r="AJ36" s="140"/>
      <c r="AK36" s="140"/>
      <c r="AL36" s="141"/>
      <c r="AM36" s="64" t="s">
        <v>6</v>
      </c>
      <c r="AN36" s="65"/>
      <c r="AO36" s="65"/>
      <c r="AP36" s="65"/>
      <c r="AQ36" s="66"/>
      <c r="AR36" s="64" t="s">
        <v>5</v>
      </c>
      <c r="AS36" s="65"/>
      <c r="AT36" s="65"/>
      <c r="AU36" s="65"/>
      <c r="AV36" s="66"/>
      <c r="AW36" s="64" t="s">
        <v>4</v>
      </c>
      <c r="AX36" s="65"/>
      <c r="AY36" s="65"/>
      <c r="AZ36" s="65"/>
      <c r="BA36" s="66"/>
      <c r="BB36" s="139" t="s">
        <v>147</v>
      </c>
      <c r="BC36" s="140"/>
      <c r="BD36" s="140"/>
      <c r="BE36" s="140"/>
      <c r="BF36" s="141"/>
      <c r="BG36" s="64" t="s">
        <v>118</v>
      </c>
      <c r="BH36" s="65"/>
      <c r="BI36" s="65"/>
      <c r="BJ36" s="65"/>
      <c r="BK36" s="66"/>
    </row>
    <row r="37" spans="1:79" ht="15" customHeight="1" x14ac:dyDescent="0.2">
      <c r="A37" s="64">
        <v>1</v>
      </c>
      <c r="B37" s="65"/>
      <c r="C37" s="65"/>
      <c r="D37" s="66"/>
      <c r="E37" s="64">
        <v>2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6"/>
      <c r="X37" s="60">
        <v>3</v>
      </c>
      <c r="Y37" s="60"/>
      <c r="Z37" s="60"/>
      <c r="AA37" s="60"/>
      <c r="AB37" s="60"/>
      <c r="AC37" s="60">
        <v>4</v>
      </c>
      <c r="AD37" s="60"/>
      <c r="AE37" s="60"/>
      <c r="AF37" s="60"/>
      <c r="AG37" s="60"/>
      <c r="AH37" s="60">
        <v>5</v>
      </c>
      <c r="AI37" s="60"/>
      <c r="AJ37" s="60"/>
      <c r="AK37" s="60"/>
      <c r="AL37" s="60"/>
      <c r="AM37" s="60">
        <v>6</v>
      </c>
      <c r="AN37" s="60"/>
      <c r="AO37" s="60"/>
      <c r="AP37" s="60"/>
      <c r="AQ37" s="60"/>
      <c r="AR37" s="64">
        <v>7</v>
      </c>
      <c r="AS37" s="65"/>
      <c r="AT37" s="65"/>
      <c r="AU37" s="65"/>
      <c r="AV37" s="66"/>
      <c r="AW37" s="64">
        <v>8</v>
      </c>
      <c r="AX37" s="65"/>
      <c r="AY37" s="65"/>
      <c r="AZ37" s="65"/>
      <c r="BA37" s="66"/>
      <c r="BB37" s="64">
        <v>9</v>
      </c>
      <c r="BC37" s="65"/>
      <c r="BD37" s="65"/>
      <c r="BE37" s="65"/>
      <c r="BF37" s="66"/>
      <c r="BG37" s="64">
        <v>10</v>
      </c>
      <c r="BH37" s="65"/>
      <c r="BI37" s="65"/>
      <c r="BJ37" s="65"/>
      <c r="BK37" s="66"/>
    </row>
    <row r="38" spans="1:79" ht="20.25" hidden="1" customHeight="1" x14ac:dyDescent="0.2">
      <c r="A38" s="67" t="s">
        <v>77</v>
      </c>
      <c r="B38" s="68"/>
      <c r="C38" s="68"/>
      <c r="D38" s="69"/>
      <c r="E38" s="67" t="s">
        <v>78</v>
      </c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9"/>
      <c r="X38" s="58" t="s">
        <v>81</v>
      </c>
      <c r="Y38" s="58"/>
      <c r="Z38" s="58"/>
      <c r="AA38" s="58"/>
      <c r="AB38" s="58"/>
      <c r="AC38" s="58" t="s">
        <v>82</v>
      </c>
      <c r="AD38" s="58"/>
      <c r="AE38" s="58"/>
      <c r="AF38" s="58"/>
      <c r="AG38" s="58"/>
      <c r="AH38" s="67" t="s">
        <v>116</v>
      </c>
      <c r="AI38" s="68"/>
      <c r="AJ38" s="68"/>
      <c r="AK38" s="68"/>
      <c r="AL38" s="69"/>
      <c r="AM38" s="136" t="s">
        <v>218</v>
      </c>
      <c r="AN38" s="137"/>
      <c r="AO38" s="137"/>
      <c r="AP38" s="137"/>
      <c r="AQ38" s="138"/>
      <c r="AR38" s="67" t="s">
        <v>83</v>
      </c>
      <c r="AS38" s="68"/>
      <c r="AT38" s="68"/>
      <c r="AU38" s="68"/>
      <c r="AV38" s="69"/>
      <c r="AW38" s="67" t="s">
        <v>84</v>
      </c>
      <c r="AX38" s="68"/>
      <c r="AY38" s="68"/>
      <c r="AZ38" s="68"/>
      <c r="BA38" s="69"/>
      <c r="BB38" s="67" t="s">
        <v>117</v>
      </c>
      <c r="BC38" s="68"/>
      <c r="BD38" s="68"/>
      <c r="BE38" s="68"/>
      <c r="BF38" s="69"/>
      <c r="BG38" s="136" t="s">
        <v>218</v>
      </c>
      <c r="BH38" s="137"/>
      <c r="BI38" s="137"/>
      <c r="BJ38" s="137"/>
      <c r="BK38" s="138"/>
      <c r="CA38" t="s">
        <v>31</v>
      </c>
    </row>
    <row r="39" spans="1:79" s="7" customFormat="1" ht="12.75" customHeight="1" x14ac:dyDescent="0.2">
      <c r="A39" s="92"/>
      <c r="B39" s="93"/>
      <c r="C39" s="93"/>
      <c r="D39" s="112"/>
      <c r="E39" s="52" t="s">
        <v>248</v>
      </c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9"/>
      <c r="X39" s="107">
        <v>5008471</v>
      </c>
      <c r="Y39" s="108"/>
      <c r="Z39" s="108"/>
      <c r="AA39" s="108"/>
      <c r="AB39" s="109"/>
      <c r="AC39" s="107" t="s">
        <v>249</v>
      </c>
      <c r="AD39" s="108"/>
      <c r="AE39" s="108"/>
      <c r="AF39" s="108"/>
      <c r="AG39" s="109"/>
      <c r="AH39" s="107" t="s">
        <v>249</v>
      </c>
      <c r="AI39" s="108"/>
      <c r="AJ39" s="108"/>
      <c r="AK39" s="108"/>
      <c r="AL39" s="109"/>
      <c r="AM39" s="107">
        <f>IF(ISNUMBER(X39),X39,0)+IF(ISNUMBER(AC39),AC39,0)</f>
        <v>5008471</v>
      </c>
      <c r="AN39" s="108"/>
      <c r="AO39" s="108"/>
      <c r="AP39" s="108"/>
      <c r="AQ39" s="109"/>
      <c r="AR39" s="107">
        <v>5025842</v>
      </c>
      <c r="AS39" s="108"/>
      <c r="AT39" s="108"/>
      <c r="AU39" s="108"/>
      <c r="AV39" s="109"/>
      <c r="AW39" s="107" t="s">
        <v>249</v>
      </c>
      <c r="AX39" s="108"/>
      <c r="AY39" s="108"/>
      <c r="AZ39" s="108"/>
      <c r="BA39" s="109"/>
      <c r="BB39" s="107" t="s">
        <v>249</v>
      </c>
      <c r="BC39" s="108"/>
      <c r="BD39" s="108"/>
      <c r="BE39" s="108"/>
      <c r="BF39" s="109"/>
      <c r="BG39" s="110">
        <f>IF(ISNUMBER(AR39),AR39,0)+IF(ISNUMBER(AW39),AW39,0)</f>
        <v>5025842</v>
      </c>
      <c r="BH39" s="110"/>
      <c r="BI39" s="110"/>
      <c r="BJ39" s="110"/>
      <c r="BK39" s="110"/>
      <c r="CA39" s="7" t="s">
        <v>32</v>
      </c>
    </row>
    <row r="40" spans="1:79" s="9" customFormat="1" ht="12.75" customHeight="1" x14ac:dyDescent="0.2">
      <c r="A40" s="94"/>
      <c r="B40" s="95"/>
      <c r="C40" s="95"/>
      <c r="D40" s="111"/>
      <c r="E40" s="45" t="s">
        <v>179</v>
      </c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2"/>
      <c r="X40" s="103">
        <v>5008471</v>
      </c>
      <c r="Y40" s="104"/>
      <c r="Z40" s="104"/>
      <c r="AA40" s="104"/>
      <c r="AB40" s="105"/>
      <c r="AC40" s="103">
        <v>0</v>
      </c>
      <c r="AD40" s="104"/>
      <c r="AE40" s="104"/>
      <c r="AF40" s="104"/>
      <c r="AG40" s="105"/>
      <c r="AH40" s="103">
        <v>0</v>
      </c>
      <c r="AI40" s="104"/>
      <c r="AJ40" s="104"/>
      <c r="AK40" s="104"/>
      <c r="AL40" s="105"/>
      <c r="AM40" s="103">
        <f>IF(ISNUMBER(X40),X40,0)+IF(ISNUMBER(AC40),AC40,0)</f>
        <v>5008471</v>
      </c>
      <c r="AN40" s="104"/>
      <c r="AO40" s="104"/>
      <c r="AP40" s="104"/>
      <c r="AQ40" s="105"/>
      <c r="AR40" s="103">
        <v>5025842</v>
      </c>
      <c r="AS40" s="104"/>
      <c r="AT40" s="104"/>
      <c r="AU40" s="104"/>
      <c r="AV40" s="105"/>
      <c r="AW40" s="103">
        <v>0</v>
      </c>
      <c r="AX40" s="104"/>
      <c r="AY40" s="104"/>
      <c r="AZ40" s="104"/>
      <c r="BA40" s="105"/>
      <c r="BB40" s="103">
        <v>0</v>
      </c>
      <c r="BC40" s="104"/>
      <c r="BD40" s="104"/>
      <c r="BE40" s="104"/>
      <c r="BF40" s="105"/>
      <c r="BG40" s="106">
        <f>IF(ISNUMBER(AR40),AR40,0)+IF(ISNUMBER(AW40),AW40,0)</f>
        <v>5025842</v>
      </c>
      <c r="BH40" s="106"/>
      <c r="BI40" s="106"/>
      <c r="BJ40" s="106"/>
      <c r="BK40" s="106"/>
    </row>
    <row r="41" spans="1:79" s="7" customFormat="1" ht="12.75" customHeight="1" x14ac:dyDescent="0.2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</row>
    <row r="43" spans="1:79" s="6" customFormat="1" ht="14.25" customHeight="1" x14ac:dyDescent="0.2">
      <c r="A43" s="115" t="s">
        <v>148</v>
      </c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  <c r="BP43" s="115"/>
      <c r="BQ43" s="115"/>
      <c r="BR43" s="115"/>
      <c r="BS43" s="115"/>
      <c r="BT43" s="115"/>
      <c r="BU43" s="115"/>
      <c r="BV43" s="115"/>
      <c r="BW43" s="115"/>
      <c r="BX43" s="115"/>
      <c r="BY43" s="115"/>
      <c r="BZ43" s="23"/>
    </row>
    <row r="44" spans="1:79" ht="14.25" customHeight="1" x14ac:dyDescent="0.2">
      <c r="A44" s="115" t="s">
        <v>308</v>
      </c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115"/>
      <c r="BY44" s="115"/>
    </row>
    <row r="45" spans="1:79" ht="15" customHeight="1" x14ac:dyDescent="0.2">
      <c r="A45" s="81" t="s">
        <v>239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</row>
    <row r="46" spans="1:79" ht="23.1" customHeight="1" x14ac:dyDescent="0.2">
      <c r="A46" s="145" t="s">
        <v>149</v>
      </c>
      <c r="B46" s="146"/>
      <c r="C46" s="146"/>
      <c r="D46" s="147"/>
      <c r="E46" s="60" t="s">
        <v>20</v>
      </c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4" t="s">
        <v>240</v>
      </c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6"/>
      <c r="AN46" s="64" t="s">
        <v>241</v>
      </c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6"/>
      <c r="BG46" s="64" t="s">
        <v>242</v>
      </c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6"/>
    </row>
    <row r="47" spans="1:79" ht="48.75" customHeight="1" x14ac:dyDescent="0.2">
      <c r="A47" s="148"/>
      <c r="B47" s="149"/>
      <c r="C47" s="149"/>
      <c r="D47" s="15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4" t="s">
        <v>5</v>
      </c>
      <c r="V47" s="65"/>
      <c r="W47" s="65"/>
      <c r="X47" s="65"/>
      <c r="Y47" s="66"/>
      <c r="Z47" s="64" t="s">
        <v>4</v>
      </c>
      <c r="AA47" s="65"/>
      <c r="AB47" s="65"/>
      <c r="AC47" s="65"/>
      <c r="AD47" s="66"/>
      <c r="AE47" s="139" t="s">
        <v>147</v>
      </c>
      <c r="AF47" s="140"/>
      <c r="AG47" s="140"/>
      <c r="AH47" s="141"/>
      <c r="AI47" s="64" t="s">
        <v>6</v>
      </c>
      <c r="AJ47" s="65"/>
      <c r="AK47" s="65"/>
      <c r="AL47" s="65"/>
      <c r="AM47" s="66"/>
      <c r="AN47" s="64" t="s">
        <v>5</v>
      </c>
      <c r="AO47" s="65"/>
      <c r="AP47" s="65"/>
      <c r="AQ47" s="65"/>
      <c r="AR47" s="66"/>
      <c r="AS47" s="64" t="s">
        <v>4</v>
      </c>
      <c r="AT47" s="65"/>
      <c r="AU47" s="65"/>
      <c r="AV47" s="65"/>
      <c r="AW47" s="66"/>
      <c r="AX47" s="139" t="s">
        <v>147</v>
      </c>
      <c r="AY47" s="140"/>
      <c r="AZ47" s="140"/>
      <c r="BA47" s="141"/>
      <c r="BB47" s="64" t="s">
        <v>118</v>
      </c>
      <c r="BC47" s="65"/>
      <c r="BD47" s="65"/>
      <c r="BE47" s="65"/>
      <c r="BF47" s="66"/>
      <c r="BG47" s="64" t="s">
        <v>5</v>
      </c>
      <c r="BH47" s="65"/>
      <c r="BI47" s="65"/>
      <c r="BJ47" s="65"/>
      <c r="BK47" s="66"/>
      <c r="BL47" s="64" t="s">
        <v>4</v>
      </c>
      <c r="BM47" s="65"/>
      <c r="BN47" s="65"/>
      <c r="BO47" s="65"/>
      <c r="BP47" s="66"/>
      <c r="BQ47" s="139" t="s">
        <v>147</v>
      </c>
      <c r="BR47" s="140"/>
      <c r="BS47" s="140"/>
      <c r="BT47" s="141"/>
      <c r="BU47" s="64" t="s">
        <v>119</v>
      </c>
      <c r="BV47" s="65"/>
      <c r="BW47" s="65"/>
      <c r="BX47" s="65"/>
      <c r="BY47" s="66"/>
    </row>
    <row r="48" spans="1:79" ht="15" customHeight="1" x14ac:dyDescent="0.2">
      <c r="A48" s="64">
        <v>1</v>
      </c>
      <c r="B48" s="65"/>
      <c r="C48" s="65"/>
      <c r="D48" s="66"/>
      <c r="E48" s="64">
        <v>2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6"/>
      <c r="U48" s="64">
        <v>3</v>
      </c>
      <c r="V48" s="65"/>
      <c r="W48" s="65"/>
      <c r="X48" s="65"/>
      <c r="Y48" s="66"/>
      <c r="Z48" s="64">
        <v>4</v>
      </c>
      <c r="AA48" s="65"/>
      <c r="AB48" s="65"/>
      <c r="AC48" s="65"/>
      <c r="AD48" s="66"/>
      <c r="AE48" s="64">
        <v>5</v>
      </c>
      <c r="AF48" s="65"/>
      <c r="AG48" s="65"/>
      <c r="AH48" s="66"/>
      <c r="AI48" s="64">
        <v>6</v>
      </c>
      <c r="AJ48" s="65"/>
      <c r="AK48" s="65"/>
      <c r="AL48" s="65"/>
      <c r="AM48" s="66"/>
      <c r="AN48" s="64">
        <v>7</v>
      </c>
      <c r="AO48" s="65"/>
      <c r="AP48" s="65"/>
      <c r="AQ48" s="65"/>
      <c r="AR48" s="66"/>
      <c r="AS48" s="64">
        <v>8</v>
      </c>
      <c r="AT48" s="65"/>
      <c r="AU48" s="65"/>
      <c r="AV48" s="65"/>
      <c r="AW48" s="66"/>
      <c r="AX48" s="64">
        <v>9</v>
      </c>
      <c r="AY48" s="65"/>
      <c r="AZ48" s="65"/>
      <c r="BA48" s="66"/>
      <c r="BB48" s="64">
        <v>10</v>
      </c>
      <c r="BC48" s="65"/>
      <c r="BD48" s="65"/>
      <c r="BE48" s="65"/>
      <c r="BF48" s="66"/>
      <c r="BG48" s="64">
        <v>11</v>
      </c>
      <c r="BH48" s="65"/>
      <c r="BI48" s="65"/>
      <c r="BJ48" s="65"/>
      <c r="BK48" s="66"/>
      <c r="BL48" s="64">
        <v>12</v>
      </c>
      <c r="BM48" s="65"/>
      <c r="BN48" s="65"/>
      <c r="BO48" s="65"/>
      <c r="BP48" s="66"/>
      <c r="BQ48" s="64">
        <v>13</v>
      </c>
      <c r="BR48" s="65"/>
      <c r="BS48" s="65"/>
      <c r="BT48" s="66"/>
      <c r="BU48" s="64">
        <v>14</v>
      </c>
      <c r="BV48" s="65"/>
      <c r="BW48" s="65"/>
      <c r="BX48" s="65"/>
      <c r="BY48" s="66"/>
    </row>
    <row r="49" spans="1:79" s="2" customFormat="1" ht="12.75" hidden="1" customHeight="1" x14ac:dyDescent="0.2">
      <c r="A49" s="67" t="s">
        <v>85</v>
      </c>
      <c r="B49" s="68"/>
      <c r="C49" s="68"/>
      <c r="D49" s="69"/>
      <c r="E49" s="67" t="s">
        <v>78</v>
      </c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9"/>
      <c r="U49" s="67" t="s">
        <v>86</v>
      </c>
      <c r="V49" s="68"/>
      <c r="W49" s="68"/>
      <c r="X49" s="68"/>
      <c r="Y49" s="69"/>
      <c r="Z49" s="67" t="s">
        <v>87</v>
      </c>
      <c r="AA49" s="68"/>
      <c r="AB49" s="68"/>
      <c r="AC49" s="68"/>
      <c r="AD49" s="69"/>
      <c r="AE49" s="67" t="s">
        <v>113</v>
      </c>
      <c r="AF49" s="68"/>
      <c r="AG49" s="68"/>
      <c r="AH49" s="69"/>
      <c r="AI49" s="136" t="s">
        <v>217</v>
      </c>
      <c r="AJ49" s="137"/>
      <c r="AK49" s="137"/>
      <c r="AL49" s="137"/>
      <c r="AM49" s="138"/>
      <c r="AN49" s="67" t="s">
        <v>88</v>
      </c>
      <c r="AO49" s="68"/>
      <c r="AP49" s="68"/>
      <c r="AQ49" s="68"/>
      <c r="AR49" s="69"/>
      <c r="AS49" s="67" t="s">
        <v>89</v>
      </c>
      <c r="AT49" s="68"/>
      <c r="AU49" s="68"/>
      <c r="AV49" s="68"/>
      <c r="AW49" s="69"/>
      <c r="AX49" s="67" t="s">
        <v>114</v>
      </c>
      <c r="AY49" s="68"/>
      <c r="AZ49" s="68"/>
      <c r="BA49" s="69"/>
      <c r="BB49" s="136" t="s">
        <v>217</v>
      </c>
      <c r="BC49" s="137"/>
      <c r="BD49" s="137"/>
      <c r="BE49" s="137"/>
      <c r="BF49" s="138"/>
      <c r="BG49" s="67" t="s">
        <v>79</v>
      </c>
      <c r="BH49" s="68"/>
      <c r="BI49" s="68"/>
      <c r="BJ49" s="68"/>
      <c r="BK49" s="69"/>
      <c r="BL49" s="67" t="s">
        <v>80</v>
      </c>
      <c r="BM49" s="68"/>
      <c r="BN49" s="68"/>
      <c r="BO49" s="68"/>
      <c r="BP49" s="69"/>
      <c r="BQ49" s="67" t="s">
        <v>115</v>
      </c>
      <c r="BR49" s="68"/>
      <c r="BS49" s="68"/>
      <c r="BT49" s="69"/>
      <c r="BU49" s="136" t="s">
        <v>217</v>
      </c>
      <c r="BV49" s="137"/>
      <c r="BW49" s="137"/>
      <c r="BX49" s="137"/>
      <c r="BY49" s="138"/>
      <c r="CA49" t="s">
        <v>33</v>
      </c>
    </row>
    <row r="50" spans="1:79" s="7" customFormat="1" ht="12.75" customHeight="1" x14ac:dyDescent="0.2">
      <c r="A50" s="92">
        <v>2111</v>
      </c>
      <c r="B50" s="93"/>
      <c r="C50" s="93"/>
      <c r="D50" s="112"/>
      <c r="E50" s="52" t="s">
        <v>250</v>
      </c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9"/>
      <c r="U50" s="107">
        <v>0</v>
      </c>
      <c r="V50" s="108"/>
      <c r="W50" s="108"/>
      <c r="X50" s="108"/>
      <c r="Y50" s="109"/>
      <c r="Z50" s="107">
        <v>0</v>
      </c>
      <c r="AA50" s="108"/>
      <c r="AB50" s="108"/>
      <c r="AC50" s="108"/>
      <c r="AD50" s="109"/>
      <c r="AE50" s="107">
        <v>0</v>
      </c>
      <c r="AF50" s="108"/>
      <c r="AG50" s="108"/>
      <c r="AH50" s="109"/>
      <c r="AI50" s="107">
        <f t="shared" ref="AI50:AI55" si="0">IF(ISNUMBER(U50),U50,0)+IF(ISNUMBER(Z50),Z50,0)</f>
        <v>0</v>
      </c>
      <c r="AJ50" s="108"/>
      <c r="AK50" s="108"/>
      <c r="AL50" s="108"/>
      <c r="AM50" s="109"/>
      <c r="AN50" s="107">
        <v>1237092</v>
      </c>
      <c r="AO50" s="108"/>
      <c r="AP50" s="108"/>
      <c r="AQ50" s="108"/>
      <c r="AR50" s="109"/>
      <c r="AS50" s="107">
        <v>0</v>
      </c>
      <c r="AT50" s="108"/>
      <c r="AU50" s="108"/>
      <c r="AV50" s="108"/>
      <c r="AW50" s="109"/>
      <c r="AX50" s="107">
        <v>0</v>
      </c>
      <c r="AY50" s="108"/>
      <c r="AZ50" s="108"/>
      <c r="BA50" s="109"/>
      <c r="BB50" s="107">
        <f t="shared" ref="BB50:BB55" si="1">IF(ISNUMBER(AN50),AN50,0)+IF(ISNUMBER(AS50),AS50,0)</f>
        <v>1237092</v>
      </c>
      <c r="BC50" s="108"/>
      <c r="BD50" s="108"/>
      <c r="BE50" s="108"/>
      <c r="BF50" s="109"/>
      <c r="BG50" s="107">
        <v>3859818</v>
      </c>
      <c r="BH50" s="108"/>
      <c r="BI50" s="108"/>
      <c r="BJ50" s="108"/>
      <c r="BK50" s="109"/>
      <c r="BL50" s="107">
        <v>0</v>
      </c>
      <c r="BM50" s="108"/>
      <c r="BN50" s="108"/>
      <c r="BO50" s="108"/>
      <c r="BP50" s="109"/>
      <c r="BQ50" s="107">
        <v>0</v>
      </c>
      <c r="BR50" s="108"/>
      <c r="BS50" s="108"/>
      <c r="BT50" s="109"/>
      <c r="BU50" s="107">
        <f t="shared" ref="BU50:BU55" si="2">IF(ISNUMBER(BG50),BG50,0)+IF(ISNUMBER(BL50),BL50,0)</f>
        <v>3859818</v>
      </c>
      <c r="BV50" s="108"/>
      <c r="BW50" s="108"/>
      <c r="BX50" s="108"/>
      <c r="BY50" s="109"/>
      <c r="CA50" s="7" t="s">
        <v>34</v>
      </c>
    </row>
    <row r="51" spans="1:79" s="7" customFormat="1" ht="12.75" customHeight="1" x14ac:dyDescent="0.2">
      <c r="A51" s="92">
        <v>2120</v>
      </c>
      <c r="B51" s="93"/>
      <c r="C51" s="93"/>
      <c r="D51" s="112"/>
      <c r="E51" s="52" t="s">
        <v>251</v>
      </c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9"/>
      <c r="U51" s="107">
        <v>0</v>
      </c>
      <c r="V51" s="108"/>
      <c r="W51" s="108"/>
      <c r="X51" s="108"/>
      <c r="Y51" s="109"/>
      <c r="Z51" s="107">
        <v>0</v>
      </c>
      <c r="AA51" s="108"/>
      <c r="AB51" s="108"/>
      <c r="AC51" s="108"/>
      <c r="AD51" s="109"/>
      <c r="AE51" s="107">
        <v>0</v>
      </c>
      <c r="AF51" s="108"/>
      <c r="AG51" s="108"/>
      <c r="AH51" s="109"/>
      <c r="AI51" s="107">
        <f t="shared" si="0"/>
        <v>0</v>
      </c>
      <c r="AJ51" s="108"/>
      <c r="AK51" s="108"/>
      <c r="AL51" s="108"/>
      <c r="AM51" s="109"/>
      <c r="AN51" s="107">
        <v>272160</v>
      </c>
      <c r="AO51" s="108"/>
      <c r="AP51" s="108"/>
      <c r="AQ51" s="108"/>
      <c r="AR51" s="109"/>
      <c r="AS51" s="107">
        <v>0</v>
      </c>
      <c r="AT51" s="108"/>
      <c r="AU51" s="108"/>
      <c r="AV51" s="108"/>
      <c r="AW51" s="109"/>
      <c r="AX51" s="107">
        <v>0</v>
      </c>
      <c r="AY51" s="108"/>
      <c r="AZ51" s="108"/>
      <c r="BA51" s="109"/>
      <c r="BB51" s="107">
        <f t="shared" si="1"/>
        <v>272160</v>
      </c>
      <c r="BC51" s="108"/>
      <c r="BD51" s="108"/>
      <c r="BE51" s="108"/>
      <c r="BF51" s="109"/>
      <c r="BG51" s="107">
        <v>849160</v>
      </c>
      <c r="BH51" s="108"/>
      <c r="BI51" s="108"/>
      <c r="BJ51" s="108"/>
      <c r="BK51" s="109"/>
      <c r="BL51" s="107">
        <v>0</v>
      </c>
      <c r="BM51" s="108"/>
      <c r="BN51" s="108"/>
      <c r="BO51" s="108"/>
      <c r="BP51" s="109"/>
      <c r="BQ51" s="107">
        <v>0</v>
      </c>
      <c r="BR51" s="108"/>
      <c r="BS51" s="108"/>
      <c r="BT51" s="109"/>
      <c r="BU51" s="107">
        <f t="shared" si="2"/>
        <v>849160</v>
      </c>
      <c r="BV51" s="108"/>
      <c r="BW51" s="108"/>
      <c r="BX51" s="108"/>
      <c r="BY51" s="109"/>
    </row>
    <row r="52" spans="1:79" s="7" customFormat="1" ht="12.75" customHeight="1" x14ac:dyDescent="0.2">
      <c r="A52" s="92">
        <v>2210</v>
      </c>
      <c r="B52" s="93"/>
      <c r="C52" s="93"/>
      <c r="D52" s="112"/>
      <c r="E52" s="52" t="s">
        <v>252</v>
      </c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9"/>
      <c r="U52" s="107">
        <v>0</v>
      </c>
      <c r="V52" s="108"/>
      <c r="W52" s="108"/>
      <c r="X52" s="108"/>
      <c r="Y52" s="109"/>
      <c r="Z52" s="107">
        <v>0</v>
      </c>
      <c r="AA52" s="108"/>
      <c r="AB52" s="108"/>
      <c r="AC52" s="108"/>
      <c r="AD52" s="109"/>
      <c r="AE52" s="107">
        <v>0</v>
      </c>
      <c r="AF52" s="108"/>
      <c r="AG52" s="108"/>
      <c r="AH52" s="109"/>
      <c r="AI52" s="107">
        <f t="shared" si="0"/>
        <v>0</v>
      </c>
      <c r="AJ52" s="108"/>
      <c r="AK52" s="108"/>
      <c r="AL52" s="108"/>
      <c r="AM52" s="109"/>
      <c r="AN52" s="107">
        <v>55000</v>
      </c>
      <c r="AO52" s="108"/>
      <c r="AP52" s="108"/>
      <c r="AQ52" s="108"/>
      <c r="AR52" s="109"/>
      <c r="AS52" s="107">
        <v>0</v>
      </c>
      <c r="AT52" s="108"/>
      <c r="AU52" s="108"/>
      <c r="AV52" s="108"/>
      <c r="AW52" s="109"/>
      <c r="AX52" s="107">
        <v>0</v>
      </c>
      <c r="AY52" s="108"/>
      <c r="AZ52" s="108"/>
      <c r="BA52" s="109"/>
      <c r="BB52" s="107">
        <f t="shared" si="1"/>
        <v>55000</v>
      </c>
      <c r="BC52" s="108"/>
      <c r="BD52" s="108"/>
      <c r="BE52" s="108"/>
      <c r="BF52" s="109"/>
      <c r="BG52" s="107">
        <v>169900</v>
      </c>
      <c r="BH52" s="108"/>
      <c r="BI52" s="108"/>
      <c r="BJ52" s="108"/>
      <c r="BK52" s="109"/>
      <c r="BL52" s="107">
        <v>0</v>
      </c>
      <c r="BM52" s="108"/>
      <c r="BN52" s="108"/>
      <c r="BO52" s="108"/>
      <c r="BP52" s="109"/>
      <c r="BQ52" s="107">
        <v>0</v>
      </c>
      <c r="BR52" s="108"/>
      <c r="BS52" s="108"/>
      <c r="BT52" s="109"/>
      <c r="BU52" s="107">
        <f t="shared" si="2"/>
        <v>169900</v>
      </c>
      <c r="BV52" s="108"/>
      <c r="BW52" s="108"/>
      <c r="BX52" s="108"/>
      <c r="BY52" s="109"/>
    </row>
    <row r="53" spans="1:79" s="7" customFormat="1" ht="12.75" customHeight="1" x14ac:dyDescent="0.2">
      <c r="A53" s="92">
        <v>2240</v>
      </c>
      <c r="B53" s="93"/>
      <c r="C53" s="93"/>
      <c r="D53" s="112"/>
      <c r="E53" s="52" t="s">
        <v>253</v>
      </c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9"/>
      <c r="U53" s="107">
        <v>0</v>
      </c>
      <c r="V53" s="108"/>
      <c r="W53" s="108"/>
      <c r="X53" s="108"/>
      <c r="Y53" s="109"/>
      <c r="Z53" s="107">
        <v>0</v>
      </c>
      <c r="AA53" s="108"/>
      <c r="AB53" s="108"/>
      <c r="AC53" s="108"/>
      <c r="AD53" s="109"/>
      <c r="AE53" s="107">
        <v>0</v>
      </c>
      <c r="AF53" s="108"/>
      <c r="AG53" s="108"/>
      <c r="AH53" s="109"/>
      <c r="AI53" s="107">
        <f t="shared" si="0"/>
        <v>0</v>
      </c>
      <c r="AJ53" s="108"/>
      <c r="AK53" s="108"/>
      <c r="AL53" s="108"/>
      <c r="AM53" s="109"/>
      <c r="AN53" s="107">
        <v>5120</v>
      </c>
      <c r="AO53" s="108"/>
      <c r="AP53" s="108"/>
      <c r="AQ53" s="108"/>
      <c r="AR53" s="109"/>
      <c r="AS53" s="107">
        <v>0</v>
      </c>
      <c r="AT53" s="108"/>
      <c r="AU53" s="108"/>
      <c r="AV53" s="108"/>
      <c r="AW53" s="109"/>
      <c r="AX53" s="107">
        <v>0</v>
      </c>
      <c r="AY53" s="108"/>
      <c r="AZ53" s="108"/>
      <c r="BA53" s="109"/>
      <c r="BB53" s="107">
        <f t="shared" si="1"/>
        <v>5120</v>
      </c>
      <c r="BC53" s="108"/>
      <c r="BD53" s="108"/>
      <c r="BE53" s="108"/>
      <c r="BF53" s="109"/>
      <c r="BG53" s="107">
        <v>100000</v>
      </c>
      <c r="BH53" s="108"/>
      <c r="BI53" s="108"/>
      <c r="BJ53" s="108"/>
      <c r="BK53" s="109"/>
      <c r="BL53" s="107">
        <v>0</v>
      </c>
      <c r="BM53" s="108"/>
      <c r="BN53" s="108"/>
      <c r="BO53" s="108"/>
      <c r="BP53" s="109"/>
      <c r="BQ53" s="107">
        <v>0</v>
      </c>
      <c r="BR53" s="108"/>
      <c r="BS53" s="108"/>
      <c r="BT53" s="109"/>
      <c r="BU53" s="107">
        <f t="shared" si="2"/>
        <v>100000</v>
      </c>
      <c r="BV53" s="108"/>
      <c r="BW53" s="108"/>
      <c r="BX53" s="108"/>
      <c r="BY53" s="109"/>
    </row>
    <row r="54" spans="1:79" s="7" customFormat="1" ht="12.75" customHeight="1" x14ac:dyDescent="0.2">
      <c r="A54" s="92">
        <v>2250</v>
      </c>
      <c r="B54" s="93"/>
      <c r="C54" s="93"/>
      <c r="D54" s="112"/>
      <c r="E54" s="52" t="s">
        <v>254</v>
      </c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9"/>
      <c r="U54" s="107">
        <v>0</v>
      </c>
      <c r="V54" s="108"/>
      <c r="W54" s="108"/>
      <c r="X54" s="108"/>
      <c r="Y54" s="109"/>
      <c r="Z54" s="107">
        <v>0</v>
      </c>
      <c r="AA54" s="108"/>
      <c r="AB54" s="108"/>
      <c r="AC54" s="108"/>
      <c r="AD54" s="109"/>
      <c r="AE54" s="107">
        <v>0</v>
      </c>
      <c r="AF54" s="108"/>
      <c r="AG54" s="108"/>
      <c r="AH54" s="109"/>
      <c r="AI54" s="107">
        <f t="shared" si="0"/>
        <v>0</v>
      </c>
      <c r="AJ54" s="108"/>
      <c r="AK54" s="108"/>
      <c r="AL54" s="108"/>
      <c r="AM54" s="109"/>
      <c r="AN54" s="107">
        <v>10000</v>
      </c>
      <c r="AO54" s="108"/>
      <c r="AP54" s="108"/>
      <c r="AQ54" s="108"/>
      <c r="AR54" s="109"/>
      <c r="AS54" s="107">
        <v>0</v>
      </c>
      <c r="AT54" s="108"/>
      <c r="AU54" s="108"/>
      <c r="AV54" s="108"/>
      <c r="AW54" s="109"/>
      <c r="AX54" s="107">
        <v>0</v>
      </c>
      <c r="AY54" s="108"/>
      <c r="AZ54" s="108"/>
      <c r="BA54" s="109"/>
      <c r="BB54" s="107">
        <f t="shared" si="1"/>
        <v>10000</v>
      </c>
      <c r="BC54" s="108"/>
      <c r="BD54" s="108"/>
      <c r="BE54" s="108"/>
      <c r="BF54" s="109"/>
      <c r="BG54" s="107">
        <v>10000</v>
      </c>
      <c r="BH54" s="108"/>
      <c r="BI54" s="108"/>
      <c r="BJ54" s="108"/>
      <c r="BK54" s="109"/>
      <c r="BL54" s="107">
        <v>0</v>
      </c>
      <c r="BM54" s="108"/>
      <c r="BN54" s="108"/>
      <c r="BO54" s="108"/>
      <c r="BP54" s="109"/>
      <c r="BQ54" s="107">
        <v>0</v>
      </c>
      <c r="BR54" s="108"/>
      <c r="BS54" s="108"/>
      <c r="BT54" s="109"/>
      <c r="BU54" s="107">
        <f t="shared" si="2"/>
        <v>10000</v>
      </c>
      <c r="BV54" s="108"/>
      <c r="BW54" s="108"/>
      <c r="BX54" s="108"/>
      <c r="BY54" s="109"/>
    </row>
    <row r="55" spans="1:79" s="9" customFormat="1" ht="12.75" customHeight="1" x14ac:dyDescent="0.2">
      <c r="A55" s="94"/>
      <c r="B55" s="95"/>
      <c r="C55" s="95"/>
      <c r="D55" s="111"/>
      <c r="E55" s="45" t="s">
        <v>179</v>
      </c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2"/>
      <c r="U55" s="103">
        <v>0</v>
      </c>
      <c r="V55" s="104"/>
      <c r="W55" s="104"/>
      <c r="X55" s="104"/>
      <c r="Y55" s="105"/>
      <c r="Z55" s="103">
        <v>0</v>
      </c>
      <c r="AA55" s="104"/>
      <c r="AB55" s="104"/>
      <c r="AC55" s="104"/>
      <c r="AD55" s="105"/>
      <c r="AE55" s="103">
        <v>0</v>
      </c>
      <c r="AF55" s="104"/>
      <c r="AG55" s="104"/>
      <c r="AH55" s="105"/>
      <c r="AI55" s="103">
        <f t="shared" si="0"/>
        <v>0</v>
      </c>
      <c r="AJ55" s="104"/>
      <c r="AK55" s="104"/>
      <c r="AL55" s="104"/>
      <c r="AM55" s="105"/>
      <c r="AN55" s="103">
        <v>1579372</v>
      </c>
      <c r="AO55" s="104"/>
      <c r="AP55" s="104"/>
      <c r="AQ55" s="104"/>
      <c r="AR55" s="105"/>
      <c r="AS55" s="103">
        <v>0</v>
      </c>
      <c r="AT55" s="104"/>
      <c r="AU55" s="104"/>
      <c r="AV55" s="104"/>
      <c r="AW55" s="105"/>
      <c r="AX55" s="103">
        <v>0</v>
      </c>
      <c r="AY55" s="104"/>
      <c r="AZ55" s="104"/>
      <c r="BA55" s="105"/>
      <c r="BB55" s="103">
        <f t="shared" si="1"/>
        <v>1579372</v>
      </c>
      <c r="BC55" s="104"/>
      <c r="BD55" s="104"/>
      <c r="BE55" s="104"/>
      <c r="BF55" s="105"/>
      <c r="BG55" s="103">
        <v>4988878</v>
      </c>
      <c r="BH55" s="104"/>
      <c r="BI55" s="104"/>
      <c r="BJ55" s="104"/>
      <c r="BK55" s="105"/>
      <c r="BL55" s="103">
        <v>0</v>
      </c>
      <c r="BM55" s="104"/>
      <c r="BN55" s="104"/>
      <c r="BO55" s="104"/>
      <c r="BP55" s="105"/>
      <c r="BQ55" s="103">
        <v>0</v>
      </c>
      <c r="BR55" s="104"/>
      <c r="BS55" s="104"/>
      <c r="BT55" s="105"/>
      <c r="BU55" s="103">
        <f t="shared" si="2"/>
        <v>4988878</v>
      </c>
      <c r="BV55" s="104"/>
      <c r="BW55" s="104"/>
      <c r="BX55" s="104"/>
      <c r="BY55" s="105"/>
    </row>
    <row r="57" spans="1:79" ht="14.25" customHeight="1" x14ac:dyDescent="0.2">
      <c r="A57" s="115" t="s">
        <v>309</v>
      </c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</row>
    <row r="58" spans="1:79" ht="15" customHeight="1" x14ac:dyDescent="0.2">
      <c r="A58" s="122" t="s">
        <v>239</v>
      </c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</row>
    <row r="59" spans="1:79" ht="23.1" customHeight="1" x14ac:dyDescent="0.2">
      <c r="A59" s="145" t="s">
        <v>150</v>
      </c>
      <c r="B59" s="146"/>
      <c r="C59" s="146"/>
      <c r="D59" s="146"/>
      <c r="E59" s="147"/>
      <c r="F59" s="60" t="s">
        <v>20</v>
      </c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4" t="s">
        <v>240</v>
      </c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6"/>
      <c r="AN59" s="64" t="s">
        <v>241</v>
      </c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6"/>
      <c r="BG59" s="64" t="s">
        <v>242</v>
      </c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6"/>
    </row>
    <row r="60" spans="1:79" ht="51.75" customHeight="1" x14ac:dyDescent="0.2">
      <c r="A60" s="148"/>
      <c r="B60" s="149"/>
      <c r="C60" s="149"/>
      <c r="D60" s="149"/>
      <c r="E60" s="15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4" t="s">
        <v>5</v>
      </c>
      <c r="V60" s="65"/>
      <c r="W60" s="65"/>
      <c r="X60" s="65"/>
      <c r="Y60" s="66"/>
      <c r="Z60" s="64" t="s">
        <v>4</v>
      </c>
      <c r="AA60" s="65"/>
      <c r="AB60" s="65"/>
      <c r="AC60" s="65"/>
      <c r="AD60" s="66"/>
      <c r="AE60" s="139" t="s">
        <v>147</v>
      </c>
      <c r="AF60" s="140"/>
      <c r="AG60" s="140"/>
      <c r="AH60" s="141"/>
      <c r="AI60" s="64" t="s">
        <v>6</v>
      </c>
      <c r="AJ60" s="65"/>
      <c r="AK60" s="65"/>
      <c r="AL60" s="65"/>
      <c r="AM60" s="66"/>
      <c r="AN60" s="64" t="s">
        <v>5</v>
      </c>
      <c r="AO60" s="65"/>
      <c r="AP60" s="65"/>
      <c r="AQ60" s="65"/>
      <c r="AR60" s="66"/>
      <c r="AS60" s="64" t="s">
        <v>4</v>
      </c>
      <c r="AT60" s="65"/>
      <c r="AU60" s="65"/>
      <c r="AV60" s="65"/>
      <c r="AW60" s="66"/>
      <c r="AX60" s="139" t="s">
        <v>147</v>
      </c>
      <c r="AY60" s="140"/>
      <c r="AZ60" s="140"/>
      <c r="BA60" s="141"/>
      <c r="BB60" s="64" t="s">
        <v>118</v>
      </c>
      <c r="BC60" s="65"/>
      <c r="BD60" s="65"/>
      <c r="BE60" s="65"/>
      <c r="BF60" s="66"/>
      <c r="BG60" s="64" t="s">
        <v>5</v>
      </c>
      <c r="BH60" s="65"/>
      <c r="BI60" s="65"/>
      <c r="BJ60" s="65"/>
      <c r="BK60" s="66"/>
      <c r="BL60" s="64" t="s">
        <v>4</v>
      </c>
      <c r="BM60" s="65"/>
      <c r="BN60" s="65"/>
      <c r="BO60" s="65"/>
      <c r="BP60" s="66"/>
      <c r="BQ60" s="139" t="s">
        <v>147</v>
      </c>
      <c r="BR60" s="140"/>
      <c r="BS60" s="140"/>
      <c r="BT60" s="141"/>
      <c r="BU60" s="60" t="s">
        <v>119</v>
      </c>
      <c r="BV60" s="60"/>
      <c r="BW60" s="60"/>
      <c r="BX60" s="60"/>
      <c r="BY60" s="60"/>
    </row>
    <row r="61" spans="1:79" ht="15" customHeight="1" x14ac:dyDescent="0.2">
      <c r="A61" s="64">
        <v>1</v>
      </c>
      <c r="B61" s="65"/>
      <c r="C61" s="65"/>
      <c r="D61" s="65"/>
      <c r="E61" s="66"/>
      <c r="F61" s="64">
        <v>2</v>
      </c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6"/>
      <c r="U61" s="64">
        <v>3</v>
      </c>
      <c r="V61" s="65"/>
      <c r="W61" s="65"/>
      <c r="X61" s="65"/>
      <c r="Y61" s="66"/>
      <c r="Z61" s="64">
        <v>4</v>
      </c>
      <c r="AA61" s="65"/>
      <c r="AB61" s="65"/>
      <c r="AC61" s="65"/>
      <c r="AD61" s="66"/>
      <c r="AE61" s="64">
        <v>5</v>
      </c>
      <c r="AF61" s="65"/>
      <c r="AG61" s="65"/>
      <c r="AH61" s="66"/>
      <c r="AI61" s="64">
        <v>6</v>
      </c>
      <c r="AJ61" s="65"/>
      <c r="AK61" s="65"/>
      <c r="AL61" s="65"/>
      <c r="AM61" s="66"/>
      <c r="AN61" s="64">
        <v>7</v>
      </c>
      <c r="AO61" s="65"/>
      <c r="AP61" s="65"/>
      <c r="AQ61" s="65"/>
      <c r="AR61" s="66"/>
      <c r="AS61" s="64">
        <v>8</v>
      </c>
      <c r="AT61" s="65"/>
      <c r="AU61" s="65"/>
      <c r="AV61" s="65"/>
      <c r="AW61" s="66"/>
      <c r="AX61" s="64">
        <v>9</v>
      </c>
      <c r="AY61" s="65"/>
      <c r="AZ61" s="65"/>
      <c r="BA61" s="66"/>
      <c r="BB61" s="64">
        <v>10</v>
      </c>
      <c r="BC61" s="65"/>
      <c r="BD61" s="65"/>
      <c r="BE61" s="65"/>
      <c r="BF61" s="66"/>
      <c r="BG61" s="64">
        <v>11</v>
      </c>
      <c r="BH61" s="65"/>
      <c r="BI61" s="65"/>
      <c r="BJ61" s="65"/>
      <c r="BK61" s="66"/>
      <c r="BL61" s="64">
        <v>12</v>
      </c>
      <c r="BM61" s="65"/>
      <c r="BN61" s="65"/>
      <c r="BO61" s="65"/>
      <c r="BP61" s="66"/>
      <c r="BQ61" s="64">
        <v>13</v>
      </c>
      <c r="BR61" s="65"/>
      <c r="BS61" s="65"/>
      <c r="BT61" s="66"/>
      <c r="BU61" s="60">
        <v>14</v>
      </c>
      <c r="BV61" s="60"/>
      <c r="BW61" s="60"/>
      <c r="BX61" s="60"/>
      <c r="BY61" s="60"/>
    </row>
    <row r="62" spans="1:79" s="2" customFormat="1" ht="13.5" hidden="1" customHeight="1" x14ac:dyDescent="0.2">
      <c r="A62" s="67" t="s">
        <v>85</v>
      </c>
      <c r="B62" s="68"/>
      <c r="C62" s="68"/>
      <c r="D62" s="68"/>
      <c r="E62" s="69"/>
      <c r="F62" s="67" t="s">
        <v>78</v>
      </c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9"/>
      <c r="U62" s="67" t="s">
        <v>86</v>
      </c>
      <c r="V62" s="68"/>
      <c r="W62" s="68"/>
      <c r="X62" s="68"/>
      <c r="Y62" s="69"/>
      <c r="Z62" s="67" t="s">
        <v>87</v>
      </c>
      <c r="AA62" s="68"/>
      <c r="AB62" s="68"/>
      <c r="AC62" s="68"/>
      <c r="AD62" s="69"/>
      <c r="AE62" s="67" t="s">
        <v>113</v>
      </c>
      <c r="AF62" s="68"/>
      <c r="AG62" s="68"/>
      <c r="AH62" s="69"/>
      <c r="AI62" s="136" t="s">
        <v>217</v>
      </c>
      <c r="AJ62" s="137"/>
      <c r="AK62" s="137"/>
      <c r="AL62" s="137"/>
      <c r="AM62" s="138"/>
      <c r="AN62" s="67" t="s">
        <v>88</v>
      </c>
      <c r="AO62" s="68"/>
      <c r="AP62" s="68"/>
      <c r="AQ62" s="68"/>
      <c r="AR62" s="69"/>
      <c r="AS62" s="67" t="s">
        <v>89</v>
      </c>
      <c r="AT62" s="68"/>
      <c r="AU62" s="68"/>
      <c r="AV62" s="68"/>
      <c r="AW62" s="69"/>
      <c r="AX62" s="67" t="s">
        <v>114</v>
      </c>
      <c r="AY62" s="68"/>
      <c r="AZ62" s="68"/>
      <c r="BA62" s="69"/>
      <c r="BB62" s="136" t="s">
        <v>217</v>
      </c>
      <c r="BC62" s="137"/>
      <c r="BD62" s="137"/>
      <c r="BE62" s="137"/>
      <c r="BF62" s="138"/>
      <c r="BG62" s="67" t="s">
        <v>79</v>
      </c>
      <c r="BH62" s="68"/>
      <c r="BI62" s="68"/>
      <c r="BJ62" s="68"/>
      <c r="BK62" s="69"/>
      <c r="BL62" s="67" t="s">
        <v>80</v>
      </c>
      <c r="BM62" s="68"/>
      <c r="BN62" s="68"/>
      <c r="BO62" s="68"/>
      <c r="BP62" s="69"/>
      <c r="BQ62" s="67" t="s">
        <v>115</v>
      </c>
      <c r="BR62" s="68"/>
      <c r="BS62" s="68"/>
      <c r="BT62" s="69"/>
      <c r="BU62" s="129" t="s">
        <v>217</v>
      </c>
      <c r="BV62" s="129"/>
      <c r="BW62" s="129"/>
      <c r="BX62" s="129"/>
      <c r="BY62" s="129"/>
      <c r="CA62" t="s">
        <v>35</v>
      </c>
    </row>
    <row r="63" spans="1:79" s="9" customFormat="1" ht="12.75" customHeight="1" x14ac:dyDescent="0.2">
      <c r="A63" s="94"/>
      <c r="B63" s="95"/>
      <c r="C63" s="95"/>
      <c r="D63" s="95"/>
      <c r="E63" s="111"/>
      <c r="F63" s="94" t="s">
        <v>179</v>
      </c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111"/>
      <c r="U63" s="103"/>
      <c r="V63" s="104"/>
      <c r="W63" s="104"/>
      <c r="X63" s="104"/>
      <c r="Y63" s="105"/>
      <c r="Z63" s="103"/>
      <c r="AA63" s="104"/>
      <c r="AB63" s="104"/>
      <c r="AC63" s="104"/>
      <c r="AD63" s="105"/>
      <c r="AE63" s="103"/>
      <c r="AF63" s="104"/>
      <c r="AG63" s="104"/>
      <c r="AH63" s="105"/>
      <c r="AI63" s="103">
        <f>IF(ISNUMBER(U63),U63,0)+IF(ISNUMBER(Z63),Z63,0)</f>
        <v>0</v>
      </c>
      <c r="AJ63" s="104"/>
      <c r="AK63" s="104"/>
      <c r="AL63" s="104"/>
      <c r="AM63" s="105"/>
      <c r="AN63" s="103"/>
      <c r="AO63" s="104"/>
      <c r="AP63" s="104"/>
      <c r="AQ63" s="104"/>
      <c r="AR63" s="105"/>
      <c r="AS63" s="103"/>
      <c r="AT63" s="104"/>
      <c r="AU63" s="104"/>
      <c r="AV63" s="104"/>
      <c r="AW63" s="105"/>
      <c r="AX63" s="103"/>
      <c r="AY63" s="104"/>
      <c r="AZ63" s="104"/>
      <c r="BA63" s="105"/>
      <c r="BB63" s="103">
        <f>IF(ISNUMBER(AN63),AN63,0)+IF(ISNUMBER(AS63),AS63,0)</f>
        <v>0</v>
      </c>
      <c r="BC63" s="104"/>
      <c r="BD63" s="104"/>
      <c r="BE63" s="104"/>
      <c r="BF63" s="105"/>
      <c r="BG63" s="103"/>
      <c r="BH63" s="104"/>
      <c r="BI63" s="104"/>
      <c r="BJ63" s="104"/>
      <c r="BK63" s="105"/>
      <c r="BL63" s="103"/>
      <c r="BM63" s="104"/>
      <c r="BN63" s="104"/>
      <c r="BO63" s="104"/>
      <c r="BP63" s="105"/>
      <c r="BQ63" s="103"/>
      <c r="BR63" s="104"/>
      <c r="BS63" s="104"/>
      <c r="BT63" s="105"/>
      <c r="BU63" s="103">
        <f>IF(ISNUMBER(BG63),BG63,0)+IF(ISNUMBER(BL63),BL63,0)</f>
        <v>0</v>
      </c>
      <c r="BV63" s="104"/>
      <c r="BW63" s="104"/>
      <c r="BX63" s="104"/>
      <c r="BY63" s="105"/>
      <c r="CA63" s="9" t="s">
        <v>36</v>
      </c>
    </row>
    <row r="65" spans="1:79" ht="14.25" customHeight="1" x14ac:dyDescent="0.2">
      <c r="A65" s="115" t="s">
        <v>321</v>
      </c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 s="115"/>
      <c r="BH65" s="115"/>
      <c r="BI65" s="115"/>
      <c r="BJ65" s="115"/>
      <c r="BK65" s="115"/>
      <c r="BL65" s="115"/>
    </row>
    <row r="66" spans="1:79" ht="15" customHeight="1" x14ac:dyDescent="0.2">
      <c r="A66" s="122" t="s">
        <v>239</v>
      </c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</row>
    <row r="67" spans="1:79" ht="23.1" customHeight="1" x14ac:dyDescent="0.2">
      <c r="A67" s="145" t="s">
        <v>149</v>
      </c>
      <c r="B67" s="146"/>
      <c r="C67" s="146"/>
      <c r="D67" s="147"/>
      <c r="E67" s="123" t="s">
        <v>20</v>
      </c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5"/>
      <c r="X67" s="64" t="s">
        <v>243</v>
      </c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6"/>
      <c r="AR67" s="60" t="s">
        <v>245</v>
      </c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</row>
    <row r="68" spans="1:79" ht="48.75" customHeight="1" x14ac:dyDescent="0.2">
      <c r="A68" s="148"/>
      <c r="B68" s="149"/>
      <c r="C68" s="149"/>
      <c r="D68" s="150"/>
      <c r="E68" s="126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8"/>
      <c r="X68" s="123" t="s">
        <v>5</v>
      </c>
      <c r="Y68" s="124"/>
      <c r="Z68" s="124"/>
      <c r="AA68" s="124"/>
      <c r="AB68" s="125"/>
      <c r="AC68" s="123" t="s">
        <v>4</v>
      </c>
      <c r="AD68" s="124"/>
      <c r="AE68" s="124"/>
      <c r="AF68" s="124"/>
      <c r="AG68" s="125"/>
      <c r="AH68" s="139" t="s">
        <v>147</v>
      </c>
      <c r="AI68" s="140"/>
      <c r="AJ68" s="140"/>
      <c r="AK68" s="140"/>
      <c r="AL68" s="141"/>
      <c r="AM68" s="64" t="s">
        <v>6</v>
      </c>
      <c r="AN68" s="65"/>
      <c r="AO68" s="65"/>
      <c r="AP68" s="65"/>
      <c r="AQ68" s="66"/>
      <c r="AR68" s="64" t="s">
        <v>5</v>
      </c>
      <c r="AS68" s="65"/>
      <c r="AT68" s="65"/>
      <c r="AU68" s="65"/>
      <c r="AV68" s="66"/>
      <c r="AW68" s="64" t="s">
        <v>4</v>
      </c>
      <c r="AX68" s="65"/>
      <c r="AY68" s="65"/>
      <c r="AZ68" s="65"/>
      <c r="BA68" s="66"/>
      <c r="BB68" s="139" t="s">
        <v>147</v>
      </c>
      <c r="BC68" s="140"/>
      <c r="BD68" s="140"/>
      <c r="BE68" s="140"/>
      <c r="BF68" s="141"/>
      <c r="BG68" s="64" t="s">
        <v>118</v>
      </c>
      <c r="BH68" s="65"/>
      <c r="BI68" s="65"/>
      <c r="BJ68" s="65"/>
      <c r="BK68" s="66"/>
    </row>
    <row r="69" spans="1:79" ht="12.75" customHeight="1" x14ac:dyDescent="0.2">
      <c r="A69" s="64">
        <v>1</v>
      </c>
      <c r="B69" s="65"/>
      <c r="C69" s="65"/>
      <c r="D69" s="66"/>
      <c r="E69" s="64">
        <v>2</v>
      </c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6"/>
      <c r="X69" s="64">
        <v>3</v>
      </c>
      <c r="Y69" s="65"/>
      <c r="Z69" s="65"/>
      <c r="AA69" s="65"/>
      <c r="AB69" s="66"/>
      <c r="AC69" s="64">
        <v>4</v>
      </c>
      <c r="AD69" s="65"/>
      <c r="AE69" s="65"/>
      <c r="AF69" s="65"/>
      <c r="AG69" s="66"/>
      <c r="AH69" s="64">
        <v>5</v>
      </c>
      <c r="AI69" s="65"/>
      <c r="AJ69" s="65"/>
      <c r="AK69" s="65"/>
      <c r="AL69" s="66"/>
      <c r="AM69" s="64">
        <v>6</v>
      </c>
      <c r="AN69" s="65"/>
      <c r="AO69" s="65"/>
      <c r="AP69" s="65"/>
      <c r="AQ69" s="66"/>
      <c r="AR69" s="64">
        <v>7</v>
      </c>
      <c r="AS69" s="65"/>
      <c r="AT69" s="65"/>
      <c r="AU69" s="65"/>
      <c r="AV69" s="66"/>
      <c r="AW69" s="64">
        <v>8</v>
      </c>
      <c r="AX69" s="65"/>
      <c r="AY69" s="65"/>
      <c r="AZ69" s="65"/>
      <c r="BA69" s="66"/>
      <c r="BB69" s="64">
        <v>9</v>
      </c>
      <c r="BC69" s="65"/>
      <c r="BD69" s="65"/>
      <c r="BE69" s="65"/>
      <c r="BF69" s="66"/>
      <c r="BG69" s="64">
        <v>10</v>
      </c>
      <c r="BH69" s="65"/>
      <c r="BI69" s="65"/>
      <c r="BJ69" s="65"/>
      <c r="BK69" s="66"/>
    </row>
    <row r="70" spans="1:79" s="2" customFormat="1" ht="12.75" hidden="1" customHeight="1" x14ac:dyDescent="0.2">
      <c r="A70" s="67" t="s">
        <v>85</v>
      </c>
      <c r="B70" s="68"/>
      <c r="C70" s="68"/>
      <c r="D70" s="69"/>
      <c r="E70" s="67" t="s">
        <v>78</v>
      </c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9"/>
      <c r="X70" s="151" t="s">
        <v>81</v>
      </c>
      <c r="Y70" s="152"/>
      <c r="Z70" s="152"/>
      <c r="AA70" s="152"/>
      <c r="AB70" s="153"/>
      <c r="AC70" s="151" t="s">
        <v>82</v>
      </c>
      <c r="AD70" s="152"/>
      <c r="AE70" s="152"/>
      <c r="AF70" s="152"/>
      <c r="AG70" s="153"/>
      <c r="AH70" s="67" t="s">
        <v>116</v>
      </c>
      <c r="AI70" s="68"/>
      <c r="AJ70" s="68"/>
      <c r="AK70" s="68"/>
      <c r="AL70" s="69"/>
      <c r="AM70" s="136" t="s">
        <v>218</v>
      </c>
      <c r="AN70" s="137"/>
      <c r="AO70" s="137"/>
      <c r="AP70" s="137"/>
      <c r="AQ70" s="138"/>
      <c r="AR70" s="67" t="s">
        <v>83</v>
      </c>
      <c r="AS70" s="68"/>
      <c r="AT70" s="68"/>
      <c r="AU70" s="68"/>
      <c r="AV70" s="69"/>
      <c r="AW70" s="67" t="s">
        <v>84</v>
      </c>
      <c r="AX70" s="68"/>
      <c r="AY70" s="68"/>
      <c r="AZ70" s="68"/>
      <c r="BA70" s="69"/>
      <c r="BB70" s="67" t="s">
        <v>117</v>
      </c>
      <c r="BC70" s="68"/>
      <c r="BD70" s="68"/>
      <c r="BE70" s="68"/>
      <c r="BF70" s="69"/>
      <c r="BG70" s="136" t="s">
        <v>218</v>
      </c>
      <c r="BH70" s="137"/>
      <c r="BI70" s="137"/>
      <c r="BJ70" s="137"/>
      <c r="BK70" s="138"/>
      <c r="CA70" t="s">
        <v>37</v>
      </c>
    </row>
    <row r="71" spans="1:79" s="7" customFormat="1" ht="12.75" customHeight="1" x14ac:dyDescent="0.2">
      <c r="A71" s="92">
        <v>2111</v>
      </c>
      <c r="B71" s="93"/>
      <c r="C71" s="93"/>
      <c r="D71" s="112"/>
      <c r="E71" s="52" t="s">
        <v>250</v>
      </c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9"/>
      <c r="X71" s="107">
        <v>3859818</v>
      </c>
      <c r="Y71" s="108"/>
      <c r="Z71" s="108"/>
      <c r="AA71" s="108"/>
      <c r="AB71" s="109"/>
      <c r="AC71" s="107">
        <v>0</v>
      </c>
      <c r="AD71" s="108"/>
      <c r="AE71" s="108"/>
      <c r="AF71" s="108"/>
      <c r="AG71" s="109"/>
      <c r="AH71" s="107">
        <v>0</v>
      </c>
      <c r="AI71" s="108"/>
      <c r="AJ71" s="108"/>
      <c r="AK71" s="108"/>
      <c r="AL71" s="109"/>
      <c r="AM71" s="107">
        <f t="shared" ref="AM71:AM76" si="3">IF(ISNUMBER(X71),X71,0)+IF(ISNUMBER(AC71),AC71,0)</f>
        <v>3859818</v>
      </c>
      <c r="AN71" s="108"/>
      <c r="AO71" s="108"/>
      <c r="AP71" s="108"/>
      <c r="AQ71" s="109"/>
      <c r="AR71" s="107">
        <v>3859818</v>
      </c>
      <c r="AS71" s="108"/>
      <c r="AT71" s="108"/>
      <c r="AU71" s="108"/>
      <c r="AV71" s="109"/>
      <c r="AW71" s="107">
        <v>0</v>
      </c>
      <c r="AX71" s="108"/>
      <c r="AY71" s="108"/>
      <c r="AZ71" s="108"/>
      <c r="BA71" s="109"/>
      <c r="BB71" s="107">
        <v>0</v>
      </c>
      <c r="BC71" s="108"/>
      <c r="BD71" s="108"/>
      <c r="BE71" s="108"/>
      <c r="BF71" s="109"/>
      <c r="BG71" s="110">
        <f t="shared" ref="BG71:BG76" si="4">IF(ISNUMBER(AR71),AR71,0)+IF(ISNUMBER(AW71),AW71,0)</f>
        <v>3859818</v>
      </c>
      <c r="BH71" s="110"/>
      <c r="BI71" s="110"/>
      <c r="BJ71" s="110"/>
      <c r="BK71" s="110"/>
      <c r="CA71" s="7" t="s">
        <v>38</v>
      </c>
    </row>
    <row r="72" spans="1:79" s="7" customFormat="1" ht="12.75" customHeight="1" x14ac:dyDescent="0.2">
      <c r="A72" s="92">
        <v>2120</v>
      </c>
      <c r="B72" s="93"/>
      <c r="C72" s="93"/>
      <c r="D72" s="112"/>
      <c r="E72" s="52" t="s">
        <v>251</v>
      </c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9"/>
      <c r="X72" s="107">
        <v>849160</v>
      </c>
      <c r="Y72" s="108"/>
      <c r="Z72" s="108"/>
      <c r="AA72" s="108"/>
      <c r="AB72" s="109"/>
      <c r="AC72" s="107">
        <v>0</v>
      </c>
      <c r="AD72" s="108"/>
      <c r="AE72" s="108"/>
      <c r="AF72" s="108"/>
      <c r="AG72" s="109"/>
      <c r="AH72" s="107">
        <v>0</v>
      </c>
      <c r="AI72" s="108"/>
      <c r="AJ72" s="108"/>
      <c r="AK72" s="108"/>
      <c r="AL72" s="109"/>
      <c r="AM72" s="107">
        <f t="shared" si="3"/>
        <v>849160</v>
      </c>
      <c r="AN72" s="108"/>
      <c r="AO72" s="108"/>
      <c r="AP72" s="108"/>
      <c r="AQ72" s="109"/>
      <c r="AR72" s="107">
        <v>849160</v>
      </c>
      <c r="AS72" s="108"/>
      <c r="AT72" s="108"/>
      <c r="AU72" s="108"/>
      <c r="AV72" s="109"/>
      <c r="AW72" s="107">
        <v>0</v>
      </c>
      <c r="AX72" s="108"/>
      <c r="AY72" s="108"/>
      <c r="AZ72" s="108"/>
      <c r="BA72" s="109"/>
      <c r="BB72" s="107">
        <v>0</v>
      </c>
      <c r="BC72" s="108"/>
      <c r="BD72" s="108"/>
      <c r="BE72" s="108"/>
      <c r="BF72" s="109"/>
      <c r="BG72" s="110">
        <f t="shared" si="4"/>
        <v>849160</v>
      </c>
      <c r="BH72" s="110"/>
      <c r="BI72" s="110"/>
      <c r="BJ72" s="110"/>
      <c r="BK72" s="110"/>
    </row>
    <row r="73" spans="1:79" s="7" customFormat="1" ht="12.75" customHeight="1" x14ac:dyDescent="0.2">
      <c r="A73" s="92">
        <v>2210</v>
      </c>
      <c r="B73" s="93"/>
      <c r="C73" s="93"/>
      <c r="D73" s="112"/>
      <c r="E73" s="52" t="s">
        <v>252</v>
      </c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9"/>
      <c r="X73" s="107">
        <v>181793</v>
      </c>
      <c r="Y73" s="108"/>
      <c r="Z73" s="108"/>
      <c r="AA73" s="108"/>
      <c r="AB73" s="109"/>
      <c r="AC73" s="107">
        <v>0</v>
      </c>
      <c r="AD73" s="108"/>
      <c r="AE73" s="108"/>
      <c r="AF73" s="108"/>
      <c r="AG73" s="109"/>
      <c r="AH73" s="107">
        <v>0</v>
      </c>
      <c r="AI73" s="108"/>
      <c r="AJ73" s="108"/>
      <c r="AK73" s="108"/>
      <c r="AL73" s="109"/>
      <c r="AM73" s="107">
        <f t="shared" si="3"/>
        <v>181793</v>
      </c>
      <c r="AN73" s="108"/>
      <c r="AO73" s="108"/>
      <c r="AP73" s="108"/>
      <c r="AQ73" s="109"/>
      <c r="AR73" s="107">
        <v>192337</v>
      </c>
      <c r="AS73" s="108"/>
      <c r="AT73" s="108"/>
      <c r="AU73" s="108"/>
      <c r="AV73" s="109"/>
      <c r="AW73" s="107">
        <v>0</v>
      </c>
      <c r="AX73" s="108"/>
      <c r="AY73" s="108"/>
      <c r="AZ73" s="108"/>
      <c r="BA73" s="109"/>
      <c r="BB73" s="107">
        <v>0</v>
      </c>
      <c r="BC73" s="108"/>
      <c r="BD73" s="108"/>
      <c r="BE73" s="108"/>
      <c r="BF73" s="109"/>
      <c r="BG73" s="110">
        <f t="shared" si="4"/>
        <v>192337</v>
      </c>
      <c r="BH73" s="110"/>
      <c r="BI73" s="110"/>
      <c r="BJ73" s="110"/>
      <c r="BK73" s="110"/>
    </row>
    <row r="74" spans="1:79" s="7" customFormat="1" ht="12.75" customHeight="1" x14ac:dyDescent="0.2">
      <c r="A74" s="92">
        <v>2240</v>
      </c>
      <c r="B74" s="93"/>
      <c r="C74" s="93"/>
      <c r="D74" s="112"/>
      <c r="E74" s="52" t="s">
        <v>253</v>
      </c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9"/>
      <c r="X74" s="107">
        <v>107000</v>
      </c>
      <c r="Y74" s="108"/>
      <c r="Z74" s="108"/>
      <c r="AA74" s="108"/>
      <c r="AB74" s="109"/>
      <c r="AC74" s="107">
        <v>0</v>
      </c>
      <c r="AD74" s="108"/>
      <c r="AE74" s="108"/>
      <c r="AF74" s="108"/>
      <c r="AG74" s="109"/>
      <c r="AH74" s="107">
        <v>0</v>
      </c>
      <c r="AI74" s="108"/>
      <c r="AJ74" s="108"/>
      <c r="AK74" s="108"/>
      <c r="AL74" s="109"/>
      <c r="AM74" s="107">
        <f t="shared" si="3"/>
        <v>107000</v>
      </c>
      <c r="AN74" s="108"/>
      <c r="AO74" s="108"/>
      <c r="AP74" s="108"/>
      <c r="AQ74" s="109"/>
      <c r="AR74" s="107">
        <v>113206</v>
      </c>
      <c r="AS74" s="108"/>
      <c r="AT74" s="108"/>
      <c r="AU74" s="108"/>
      <c r="AV74" s="109"/>
      <c r="AW74" s="107">
        <v>0</v>
      </c>
      <c r="AX74" s="108"/>
      <c r="AY74" s="108"/>
      <c r="AZ74" s="108"/>
      <c r="BA74" s="109"/>
      <c r="BB74" s="107">
        <v>0</v>
      </c>
      <c r="BC74" s="108"/>
      <c r="BD74" s="108"/>
      <c r="BE74" s="108"/>
      <c r="BF74" s="109"/>
      <c r="BG74" s="110">
        <f t="shared" si="4"/>
        <v>113206</v>
      </c>
      <c r="BH74" s="110"/>
      <c r="BI74" s="110"/>
      <c r="BJ74" s="110"/>
      <c r="BK74" s="110"/>
    </row>
    <row r="75" spans="1:79" s="7" customFormat="1" ht="12.75" customHeight="1" x14ac:dyDescent="0.2">
      <c r="A75" s="92">
        <v>2250</v>
      </c>
      <c r="B75" s="93"/>
      <c r="C75" s="93"/>
      <c r="D75" s="112"/>
      <c r="E75" s="52" t="s">
        <v>254</v>
      </c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9"/>
      <c r="X75" s="107">
        <v>10700</v>
      </c>
      <c r="Y75" s="108"/>
      <c r="Z75" s="108"/>
      <c r="AA75" s="108"/>
      <c r="AB75" s="109"/>
      <c r="AC75" s="107">
        <v>0</v>
      </c>
      <c r="AD75" s="108"/>
      <c r="AE75" s="108"/>
      <c r="AF75" s="108"/>
      <c r="AG75" s="109"/>
      <c r="AH75" s="107">
        <v>0</v>
      </c>
      <c r="AI75" s="108"/>
      <c r="AJ75" s="108"/>
      <c r="AK75" s="108"/>
      <c r="AL75" s="109"/>
      <c r="AM75" s="107">
        <f t="shared" si="3"/>
        <v>10700</v>
      </c>
      <c r="AN75" s="108"/>
      <c r="AO75" s="108"/>
      <c r="AP75" s="108"/>
      <c r="AQ75" s="109"/>
      <c r="AR75" s="107">
        <v>11321</v>
      </c>
      <c r="AS75" s="108"/>
      <c r="AT75" s="108"/>
      <c r="AU75" s="108"/>
      <c r="AV75" s="109"/>
      <c r="AW75" s="107">
        <v>0</v>
      </c>
      <c r="AX75" s="108"/>
      <c r="AY75" s="108"/>
      <c r="AZ75" s="108"/>
      <c r="BA75" s="109"/>
      <c r="BB75" s="107">
        <v>0</v>
      </c>
      <c r="BC75" s="108"/>
      <c r="BD75" s="108"/>
      <c r="BE75" s="108"/>
      <c r="BF75" s="109"/>
      <c r="BG75" s="110">
        <f t="shared" si="4"/>
        <v>11321</v>
      </c>
      <c r="BH75" s="110"/>
      <c r="BI75" s="110"/>
      <c r="BJ75" s="110"/>
      <c r="BK75" s="110"/>
    </row>
    <row r="76" spans="1:79" s="9" customFormat="1" ht="12.75" customHeight="1" x14ac:dyDescent="0.2">
      <c r="A76" s="94"/>
      <c r="B76" s="95"/>
      <c r="C76" s="95"/>
      <c r="D76" s="111"/>
      <c r="E76" s="45" t="s">
        <v>179</v>
      </c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2"/>
      <c r="X76" s="103">
        <v>5008471</v>
      </c>
      <c r="Y76" s="104"/>
      <c r="Z76" s="104"/>
      <c r="AA76" s="104"/>
      <c r="AB76" s="105"/>
      <c r="AC76" s="103">
        <v>0</v>
      </c>
      <c r="AD76" s="104"/>
      <c r="AE76" s="104"/>
      <c r="AF76" s="104"/>
      <c r="AG76" s="105"/>
      <c r="AH76" s="103">
        <v>0</v>
      </c>
      <c r="AI76" s="104"/>
      <c r="AJ76" s="104"/>
      <c r="AK76" s="104"/>
      <c r="AL76" s="105"/>
      <c r="AM76" s="103">
        <f t="shared" si="3"/>
        <v>5008471</v>
      </c>
      <c r="AN76" s="104"/>
      <c r="AO76" s="104"/>
      <c r="AP76" s="104"/>
      <c r="AQ76" s="105"/>
      <c r="AR76" s="103">
        <v>5025842</v>
      </c>
      <c r="AS76" s="104"/>
      <c r="AT76" s="104"/>
      <c r="AU76" s="104"/>
      <c r="AV76" s="105"/>
      <c r="AW76" s="103">
        <v>0</v>
      </c>
      <c r="AX76" s="104"/>
      <c r="AY76" s="104"/>
      <c r="AZ76" s="104"/>
      <c r="BA76" s="105"/>
      <c r="BB76" s="103">
        <v>0</v>
      </c>
      <c r="BC76" s="104"/>
      <c r="BD76" s="104"/>
      <c r="BE76" s="104"/>
      <c r="BF76" s="105"/>
      <c r="BG76" s="106">
        <f t="shared" si="4"/>
        <v>5025842</v>
      </c>
      <c r="BH76" s="106"/>
      <c r="BI76" s="106"/>
      <c r="BJ76" s="106"/>
      <c r="BK76" s="106"/>
    </row>
    <row r="78" spans="1:79" ht="14.25" customHeight="1" x14ac:dyDescent="0.2">
      <c r="A78" s="115" t="s">
        <v>322</v>
      </c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115"/>
      <c r="AU78" s="115"/>
      <c r="AV78" s="115"/>
      <c r="AW78" s="115"/>
      <c r="AX78" s="115"/>
      <c r="AY78" s="115"/>
      <c r="AZ78" s="115"/>
      <c r="BA78" s="115"/>
      <c r="BB78" s="115"/>
      <c r="BC78" s="115"/>
      <c r="BD78" s="115"/>
      <c r="BE78" s="115"/>
      <c r="BF78" s="115"/>
      <c r="BG78" s="115"/>
      <c r="BH78" s="115"/>
      <c r="BI78" s="115"/>
      <c r="BJ78" s="115"/>
      <c r="BK78" s="115"/>
      <c r="BL78" s="115"/>
    </row>
    <row r="79" spans="1:79" ht="15" customHeight="1" x14ac:dyDescent="0.2">
      <c r="A79" s="122" t="s">
        <v>239</v>
      </c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</row>
    <row r="80" spans="1:79" ht="23.1" customHeight="1" x14ac:dyDescent="0.2">
      <c r="A80" s="145" t="s">
        <v>150</v>
      </c>
      <c r="B80" s="146"/>
      <c r="C80" s="146"/>
      <c r="D80" s="146"/>
      <c r="E80" s="147"/>
      <c r="F80" s="123" t="s">
        <v>20</v>
      </c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5"/>
      <c r="X80" s="60" t="s">
        <v>243</v>
      </c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4" t="s">
        <v>245</v>
      </c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6"/>
    </row>
    <row r="81" spans="1:79" ht="53.25" customHeight="1" x14ac:dyDescent="0.2">
      <c r="A81" s="148"/>
      <c r="B81" s="149"/>
      <c r="C81" s="149"/>
      <c r="D81" s="149"/>
      <c r="E81" s="150"/>
      <c r="F81" s="126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8"/>
      <c r="X81" s="64" t="s">
        <v>5</v>
      </c>
      <c r="Y81" s="65"/>
      <c r="Z81" s="65"/>
      <c r="AA81" s="65"/>
      <c r="AB81" s="66"/>
      <c r="AC81" s="64" t="s">
        <v>4</v>
      </c>
      <c r="AD81" s="65"/>
      <c r="AE81" s="65"/>
      <c r="AF81" s="65"/>
      <c r="AG81" s="66"/>
      <c r="AH81" s="139" t="s">
        <v>147</v>
      </c>
      <c r="AI81" s="140"/>
      <c r="AJ81" s="140"/>
      <c r="AK81" s="140"/>
      <c r="AL81" s="141"/>
      <c r="AM81" s="64" t="s">
        <v>6</v>
      </c>
      <c r="AN81" s="65"/>
      <c r="AO81" s="65"/>
      <c r="AP81" s="65"/>
      <c r="AQ81" s="66"/>
      <c r="AR81" s="64" t="s">
        <v>5</v>
      </c>
      <c r="AS81" s="65"/>
      <c r="AT81" s="65"/>
      <c r="AU81" s="65"/>
      <c r="AV81" s="66"/>
      <c r="AW81" s="64" t="s">
        <v>4</v>
      </c>
      <c r="AX81" s="65"/>
      <c r="AY81" s="65"/>
      <c r="AZ81" s="65"/>
      <c r="BA81" s="66"/>
      <c r="BB81" s="117" t="s">
        <v>147</v>
      </c>
      <c r="BC81" s="117"/>
      <c r="BD81" s="117"/>
      <c r="BE81" s="117"/>
      <c r="BF81" s="117"/>
      <c r="BG81" s="64" t="s">
        <v>118</v>
      </c>
      <c r="BH81" s="65"/>
      <c r="BI81" s="65"/>
      <c r="BJ81" s="65"/>
      <c r="BK81" s="66"/>
    </row>
    <row r="82" spans="1:79" ht="15" customHeight="1" x14ac:dyDescent="0.2">
      <c r="A82" s="64">
        <v>1</v>
      </c>
      <c r="B82" s="65"/>
      <c r="C82" s="65"/>
      <c r="D82" s="65"/>
      <c r="E82" s="66"/>
      <c r="F82" s="64">
        <v>2</v>
      </c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6"/>
      <c r="X82" s="64">
        <v>3</v>
      </c>
      <c r="Y82" s="65"/>
      <c r="Z82" s="65"/>
      <c r="AA82" s="65"/>
      <c r="AB82" s="66"/>
      <c r="AC82" s="64">
        <v>4</v>
      </c>
      <c r="AD82" s="65"/>
      <c r="AE82" s="65"/>
      <c r="AF82" s="65"/>
      <c r="AG82" s="66"/>
      <c r="AH82" s="64">
        <v>5</v>
      </c>
      <c r="AI82" s="65"/>
      <c r="AJ82" s="65"/>
      <c r="AK82" s="65"/>
      <c r="AL82" s="66"/>
      <c r="AM82" s="64">
        <v>6</v>
      </c>
      <c r="AN82" s="65"/>
      <c r="AO82" s="65"/>
      <c r="AP82" s="65"/>
      <c r="AQ82" s="66"/>
      <c r="AR82" s="64">
        <v>7</v>
      </c>
      <c r="AS82" s="65"/>
      <c r="AT82" s="65"/>
      <c r="AU82" s="65"/>
      <c r="AV82" s="66"/>
      <c r="AW82" s="64">
        <v>8</v>
      </c>
      <c r="AX82" s="65"/>
      <c r="AY82" s="65"/>
      <c r="AZ82" s="65"/>
      <c r="BA82" s="66"/>
      <c r="BB82" s="64">
        <v>9</v>
      </c>
      <c r="BC82" s="65"/>
      <c r="BD82" s="65"/>
      <c r="BE82" s="65"/>
      <c r="BF82" s="66"/>
      <c r="BG82" s="64">
        <v>10</v>
      </c>
      <c r="BH82" s="65"/>
      <c r="BI82" s="65"/>
      <c r="BJ82" s="65"/>
      <c r="BK82" s="66"/>
    </row>
    <row r="83" spans="1:79" s="2" customFormat="1" ht="15" hidden="1" customHeight="1" x14ac:dyDescent="0.2">
      <c r="A83" s="67" t="s">
        <v>85</v>
      </c>
      <c r="B83" s="68"/>
      <c r="C83" s="68"/>
      <c r="D83" s="68"/>
      <c r="E83" s="69"/>
      <c r="F83" s="67" t="s">
        <v>78</v>
      </c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9"/>
      <c r="X83" s="67" t="s">
        <v>81</v>
      </c>
      <c r="Y83" s="68"/>
      <c r="Z83" s="68"/>
      <c r="AA83" s="68"/>
      <c r="AB83" s="69"/>
      <c r="AC83" s="67" t="s">
        <v>82</v>
      </c>
      <c r="AD83" s="68"/>
      <c r="AE83" s="68"/>
      <c r="AF83" s="68"/>
      <c r="AG83" s="69"/>
      <c r="AH83" s="67" t="s">
        <v>116</v>
      </c>
      <c r="AI83" s="68"/>
      <c r="AJ83" s="68"/>
      <c r="AK83" s="68"/>
      <c r="AL83" s="69"/>
      <c r="AM83" s="136" t="s">
        <v>218</v>
      </c>
      <c r="AN83" s="137"/>
      <c r="AO83" s="137"/>
      <c r="AP83" s="137"/>
      <c r="AQ83" s="138"/>
      <c r="AR83" s="67" t="s">
        <v>83</v>
      </c>
      <c r="AS83" s="68"/>
      <c r="AT83" s="68"/>
      <c r="AU83" s="68"/>
      <c r="AV83" s="69"/>
      <c r="AW83" s="67" t="s">
        <v>84</v>
      </c>
      <c r="AX83" s="68"/>
      <c r="AY83" s="68"/>
      <c r="AZ83" s="68"/>
      <c r="BA83" s="69"/>
      <c r="BB83" s="67" t="s">
        <v>117</v>
      </c>
      <c r="BC83" s="68"/>
      <c r="BD83" s="68"/>
      <c r="BE83" s="68"/>
      <c r="BF83" s="69"/>
      <c r="BG83" s="136" t="s">
        <v>218</v>
      </c>
      <c r="BH83" s="137"/>
      <c r="BI83" s="137"/>
      <c r="BJ83" s="137"/>
      <c r="BK83" s="138"/>
      <c r="CA83" t="s">
        <v>39</v>
      </c>
    </row>
    <row r="84" spans="1:79" s="9" customFormat="1" ht="12.75" customHeight="1" x14ac:dyDescent="0.2">
      <c r="A84" s="94"/>
      <c r="B84" s="95"/>
      <c r="C84" s="95"/>
      <c r="D84" s="95"/>
      <c r="E84" s="111"/>
      <c r="F84" s="94" t="s">
        <v>179</v>
      </c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111"/>
      <c r="X84" s="142"/>
      <c r="Y84" s="143"/>
      <c r="Z84" s="143"/>
      <c r="AA84" s="143"/>
      <c r="AB84" s="144"/>
      <c r="AC84" s="142"/>
      <c r="AD84" s="143"/>
      <c r="AE84" s="143"/>
      <c r="AF84" s="143"/>
      <c r="AG84" s="144"/>
      <c r="AH84" s="106"/>
      <c r="AI84" s="106"/>
      <c r="AJ84" s="106"/>
      <c r="AK84" s="106"/>
      <c r="AL84" s="106"/>
      <c r="AM84" s="106">
        <f>IF(ISNUMBER(X84),X84,0)+IF(ISNUMBER(AC84),AC84,0)</f>
        <v>0</v>
      </c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>
        <f>IF(ISNUMBER(AR84),AR84,0)+IF(ISNUMBER(AW84),AW84,0)</f>
        <v>0</v>
      </c>
      <c r="BH84" s="106"/>
      <c r="BI84" s="106"/>
      <c r="BJ84" s="106"/>
      <c r="BK84" s="106"/>
      <c r="CA84" s="9" t="s">
        <v>40</v>
      </c>
    </row>
    <row r="87" spans="1:79" ht="14.25" customHeight="1" x14ac:dyDescent="0.2">
      <c r="A87" s="115" t="s">
        <v>151</v>
      </c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115"/>
      <c r="AT87" s="115"/>
      <c r="AU87" s="115"/>
      <c r="AV87" s="115"/>
      <c r="AW87" s="115"/>
      <c r="AX87" s="115"/>
      <c r="AY87" s="115"/>
      <c r="AZ87" s="115"/>
      <c r="BA87" s="115"/>
      <c r="BB87" s="115"/>
      <c r="BC87" s="115"/>
      <c r="BD87" s="115"/>
      <c r="BE87" s="115"/>
      <c r="BF87" s="115"/>
      <c r="BG87" s="115"/>
      <c r="BH87" s="115"/>
      <c r="BI87" s="115"/>
      <c r="BJ87" s="115"/>
      <c r="BK87" s="115"/>
      <c r="BL87" s="115"/>
    </row>
    <row r="88" spans="1:79" ht="14.25" customHeight="1" x14ac:dyDescent="0.2">
      <c r="A88" s="115" t="s">
        <v>310</v>
      </c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5"/>
      <c r="AK88" s="115"/>
      <c r="AL88" s="115"/>
      <c r="AM88" s="115"/>
      <c r="AN88" s="115"/>
      <c r="AO88" s="115"/>
      <c r="AP88" s="115"/>
      <c r="AQ88" s="115"/>
      <c r="AR88" s="115"/>
      <c r="AS88" s="115"/>
      <c r="AT88" s="115"/>
      <c r="AU88" s="115"/>
      <c r="AV88" s="115"/>
      <c r="AW88" s="115"/>
      <c r="AX88" s="115"/>
      <c r="AY88" s="115"/>
      <c r="AZ88" s="115"/>
      <c r="BA88" s="115"/>
      <c r="BB88" s="115"/>
      <c r="BC88" s="115"/>
      <c r="BD88" s="115"/>
      <c r="BE88" s="115"/>
      <c r="BF88" s="115"/>
      <c r="BG88" s="115"/>
      <c r="BH88" s="115"/>
      <c r="BI88" s="115"/>
      <c r="BJ88" s="115"/>
      <c r="BK88" s="115"/>
      <c r="BL88" s="115"/>
    </row>
    <row r="89" spans="1:79" ht="15" customHeight="1" x14ac:dyDescent="0.2">
      <c r="A89" s="122" t="s">
        <v>239</v>
      </c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  <c r="BS89" s="122"/>
      <c r="BT89" s="122"/>
      <c r="BU89" s="122"/>
      <c r="BV89" s="122"/>
      <c r="BW89" s="122"/>
      <c r="BX89" s="122"/>
      <c r="BY89" s="122"/>
    </row>
    <row r="90" spans="1:79" ht="23.1" customHeight="1" x14ac:dyDescent="0.2">
      <c r="A90" s="123" t="s">
        <v>7</v>
      </c>
      <c r="B90" s="124"/>
      <c r="C90" s="124"/>
      <c r="D90" s="123" t="s">
        <v>152</v>
      </c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5"/>
      <c r="U90" s="64" t="s">
        <v>240</v>
      </c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6"/>
      <c r="AN90" s="64" t="s">
        <v>241</v>
      </c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6"/>
      <c r="BG90" s="60" t="s">
        <v>242</v>
      </c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</row>
    <row r="91" spans="1:79" ht="52.5" customHeight="1" x14ac:dyDescent="0.2">
      <c r="A91" s="126"/>
      <c r="B91" s="127"/>
      <c r="C91" s="127"/>
      <c r="D91" s="126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8"/>
      <c r="U91" s="64" t="s">
        <v>5</v>
      </c>
      <c r="V91" s="65"/>
      <c r="W91" s="65"/>
      <c r="X91" s="65"/>
      <c r="Y91" s="66"/>
      <c r="Z91" s="64" t="s">
        <v>4</v>
      </c>
      <c r="AA91" s="65"/>
      <c r="AB91" s="65"/>
      <c r="AC91" s="65"/>
      <c r="AD91" s="66"/>
      <c r="AE91" s="139" t="s">
        <v>147</v>
      </c>
      <c r="AF91" s="140"/>
      <c r="AG91" s="140"/>
      <c r="AH91" s="141"/>
      <c r="AI91" s="64" t="s">
        <v>6</v>
      </c>
      <c r="AJ91" s="65"/>
      <c r="AK91" s="65"/>
      <c r="AL91" s="65"/>
      <c r="AM91" s="66"/>
      <c r="AN91" s="64" t="s">
        <v>5</v>
      </c>
      <c r="AO91" s="65"/>
      <c r="AP91" s="65"/>
      <c r="AQ91" s="65"/>
      <c r="AR91" s="66"/>
      <c r="AS91" s="64" t="s">
        <v>4</v>
      </c>
      <c r="AT91" s="65"/>
      <c r="AU91" s="65"/>
      <c r="AV91" s="65"/>
      <c r="AW91" s="66"/>
      <c r="AX91" s="139" t="s">
        <v>147</v>
      </c>
      <c r="AY91" s="140"/>
      <c r="AZ91" s="140"/>
      <c r="BA91" s="141"/>
      <c r="BB91" s="64" t="s">
        <v>118</v>
      </c>
      <c r="BC91" s="65"/>
      <c r="BD91" s="65"/>
      <c r="BE91" s="65"/>
      <c r="BF91" s="66"/>
      <c r="BG91" s="64" t="s">
        <v>5</v>
      </c>
      <c r="BH91" s="65"/>
      <c r="BI91" s="65"/>
      <c r="BJ91" s="65"/>
      <c r="BK91" s="66"/>
      <c r="BL91" s="60" t="s">
        <v>4</v>
      </c>
      <c r="BM91" s="60"/>
      <c r="BN91" s="60"/>
      <c r="BO91" s="60"/>
      <c r="BP91" s="60"/>
      <c r="BQ91" s="117" t="s">
        <v>147</v>
      </c>
      <c r="BR91" s="117"/>
      <c r="BS91" s="117"/>
      <c r="BT91" s="117"/>
      <c r="BU91" s="64" t="s">
        <v>119</v>
      </c>
      <c r="BV91" s="65"/>
      <c r="BW91" s="65"/>
      <c r="BX91" s="65"/>
      <c r="BY91" s="66"/>
    </row>
    <row r="92" spans="1:79" ht="15" customHeight="1" x14ac:dyDescent="0.2">
      <c r="A92" s="64">
        <v>1</v>
      </c>
      <c r="B92" s="65"/>
      <c r="C92" s="65"/>
      <c r="D92" s="64">
        <v>2</v>
      </c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6"/>
      <c r="U92" s="64">
        <v>3</v>
      </c>
      <c r="V92" s="65"/>
      <c r="W92" s="65"/>
      <c r="X92" s="65"/>
      <c r="Y92" s="66"/>
      <c r="Z92" s="64">
        <v>4</v>
      </c>
      <c r="AA92" s="65"/>
      <c r="AB92" s="65"/>
      <c r="AC92" s="65"/>
      <c r="AD92" s="66"/>
      <c r="AE92" s="64">
        <v>5</v>
      </c>
      <c r="AF92" s="65"/>
      <c r="AG92" s="65"/>
      <c r="AH92" s="66"/>
      <c r="AI92" s="64">
        <v>6</v>
      </c>
      <c r="AJ92" s="65"/>
      <c r="AK92" s="65"/>
      <c r="AL92" s="65"/>
      <c r="AM92" s="66"/>
      <c r="AN92" s="64">
        <v>7</v>
      </c>
      <c r="AO92" s="65"/>
      <c r="AP92" s="65"/>
      <c r="AQ92" s="65"/>
      <c r="AR92" s="66"/>
      <c r="AS92" s="64">
        <v>8</v>
      </c>
      <c r="AT92" s="65"/>
      <c r="AU92" s="65"/>
      <c r="AV92" s="65"/>
      <c r="AW92" s="66"/>
      <c r="AX92" s="60">
        <v>9</v>
      </c>
      <c r="AY92" s="60"/>
      <c r="AZ92" s="60"/>
      <c r="BA92" s="60"/>
      <c r="BB92" s="64">
        <v>10</v>
      </c>
      <c r="BC92" s="65"/>
      <c r="BD92" s="65"/>
      <c r="BE92" s="65"/>
      <c r="BF92" s="66"/>
      <c r="BG92" s="64">
        <v>11</v>
      </c>
      <c r="BH92" s="65"/>
      <c r="BI92" s="65"/>
      <c r="BJ92" s="65"/>
      <c r="BK92" s="66"/>
      <c r="BL92" s="60">
        <v>12</v>
      </c>
      <c r="BM92" s="60"/>
      <c r="BN92" s="60"/>
      <c r="BO92" s="60"/>
      <c r="BP92" s="60"/>
      <c r="BQ92" s="64">
        <v>13</v>
      </c>
      <c r="BR92" s="65"/>
      <c r="BS92" s="65"/>
      <c r="BT92" s="66"/>
      <c r="BU92" s="64">
        <v>14</v>
      </c>
      <c r="BV92" s="65"/>
      <c r="BW92" s="65"/>
      <c r="BX92" s="65"/>
      <c r="BY92" s="66"/>
    </row>
    <row r="93" spans="1:79" s="2" customFormat="1" ht="14.25" hidden="1" customHeight="1" x14ac:dyDescent="0.2">
      <c r="A93" s="67" t="s">
        <v>90</v>
      </c>
      <c r="B93" s="68"/>
      <c r="C93" s="68"/>
      <c r="D93" s="67" t="s">
        <v>78</v>
      </c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9"/>
      <c r="U93" s="58" t="s">
        <v>86</v>
      </c>
      <c r="V93" s="58"/>
      <c r="W93" s="58"/>
      <c r="X93" s="58"/>
      <c r="Y93" s="58"/>
      <c r="Z93" s="58" t="s">
        <v>87</v>
      </c>
      <c r="AA93" s="58"/>
      <c r="AB93" s="58"/>
      <c r="AC93" s="58"/>
      <c r="AD93" s="58"/>
      <c r="AE93" s="58" t="s">
        <v>113</v>
      </c>
      <c r="AF93" s="58"/>
      <c r="AG93" s="58"/>
      <c r="AH93" s="58"/>
      <c r="AI93" s="129" t="s">
        <v>217</v>
      </c>
      <c r="AJ93" s="129"/>
      <c r="AK93" s="129"/>
      <c r="AL93" s="129"/>
      <c r="AM93" s="129"/>
      <c r="AN93" s="58" t="s">
        <v>88</v>
      </c>
      <c r="AO93" s="58"/>
      <c r="AP93" s="58"/>
      <c r="AQ93" s="58"/>
      <c r="AR93" s="58"/>
      <c r="AS93" s="58" t="s">
        <v>89</v>
      </c>
      <c r="AT93" s="58"/>
      <c r="AU93" s="58"/>
      <c r="AV93" s="58"/>
      <c r="AW93" s="58"/>
      <c r="AX93" s="58" t="s">
        <v>114</v>
      </c>
      <c r="AY93" s="58"/>
      <c r="AZ93" s="58"/>
      <c r="BA93" s="58"/>
      <c r="BB93" s="129" t="s">
        <v>217</v>
      </c>
      <c r="BC93" s="129"/>
      <c r="BD93" s="129"/>
      <c r="BE93" s="129"/>
      <c r="BF93" s="129"/>
      <c r="BG93" s="58" t="s">
        <v>79</v>
      </c>
      <c r="BH93" s="58"/>
      <c r="BI93" s="58"/>
      <c r="BJ93" s="58"/>
      <c r="BK93" s="58"/>
      <c r="BL93" s="58" t="s">
        <v>80</v>
      </c>
      <c r="BM93" s="58"/>
      <c r="BN93" s="58"/>
      <c r="BO93" s="58"/>
      <c r="BP93" s="58"/>
      <c r="BQ93" s="58" t="s">
        <v>115</v>
      </c>
      <c r="BR93" s="58"/>
      <c r="BS93" s="58"/>
      <c r="BT93" s="58"/>
      <c r="BU93" s="129" t="s">
        <v>217</v>
      </c>
      <c r="BV93" s="129"/>
      <c r="BW93" s="129"/>
      <c r="BX93" s="129"/>
      <c r="BY93" s="129"/>
      <c r="CA93" t="s">
        <v>41</v>
      </c>
    </row>
    <row r="94" spans="1:79" s="7" customFormat="1" ht="12.75" customHeight="1" x14ac:dyDescent="0.2">
      <c r="A94" s="92">
        <v>1</v>
      </c>
      <c r="B94" s="93"/>
      <c r="C94" s="93"/>
      <c r="D94" s="52" t="s">
        <v>255</v>
      </c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9"/>
      <c r="U94" s="107">
        <v>0</v>
      </c>
      <c r="V94" s="108"/>
      <c r="W94" s="108"/>
      <c r="X94" s="108"/>
      <c r="Y94" s="109"/>
      <c r="Z94" s="107">
        <v>0</v>
      </c>
      <c r="AA94" s="108"/>
      <c r="AB94" s="108"/>
      <c r="AC94" s="108"/>
      <c r="AD94" s="109"/>
      <c r="AE94" s="107">
        <v>0</v>
      </c>
      <c r="AF94" s="108"/>
      <c r="AG94" s="108"/>
      <c r="AH94" s="109"/>
      <c r="AI94" s="107">
        <f t="shared" ref="AI94:AI103" si="5">IF(ISNUMBER(U94),U94,0)+IF(ISNUMBER(Z94),Z94,0)</f>
        <v>0</v>
      </c>
      <c r="AJ94" s="108"/>
      <c r="AK94" s="108"/>
      <c r="AL94" s="108"/>
      <c r="AM94" s="109"/>
      <c r="AN94" s="107">
        <v>1237092</v>
      </c>
      <c r="AO94" s="108"/>
      <c r="AP94" s="108"/>
      <c r="AQ94" s="108"/>
      <c r="AR94" s="109"/>
      <c r="AS94" s="107">
        <v>0</v>
      </c>
      <c r="AT94" s="108"/>
      <c r="AU94" s="108"/>
      <c r="AV94" s="108"/>
      <c r="AW94" s="109"/>
      <c r="AX94" s="107">
        <v>0</v>
      </c>
      <c r="AY94" s="108"/>
      <c r="AZ94" s="108"/>
      <c r="BA94" s="109"/>
      <c r="BB94" s="107">
        <f t="shared" ref="BB94:BB103" si="6">IF(ISNUMBER(AN94),AN94,0)+IF(ISNUMBER(AS94),AS94,0)</f>
        <v>1237092</v>
      </c>
      <c r="BC94" s="108"/>
      <c r="BD94" s="108"/>
      <c r="BE94" s="108"/>
      <c r="BF94" s="109"/>
      <c r="BG94" s="107">
        <v>3859818</v>
      </c>
      <c r="BH94" s="108"/>
      <c r="BI94" s="108"/>
      <c r="BJ94" s="108"/>
      <c r="BK94" s="109"/>
      <c r="BL94" s="107">
        <v>0</v>
      </c>
      <c r="BM94" s="108"/>
      <c r="BN94" s="108"/>
      <c r="BO94" s="108"/>
      <c r="BP94" s="109"/>
      <c r="BQ94" s="107">
        <v>0</v>
      </c>
      <c r="BR94" s="108"/>
      <c r="BS94" s="108"/>
      <c r="BT94" s="109"/>
      <c r="BU94" s="107">
        <f t="shared" ref="BU94:BU103" si="7">IF(ISNUMBER(BG94),BG94,0)+IF(ISNUMBER(BL94),BL94,0)</f>
        <v>3859818</v>
      </c>
      <c r="BV94" s="108"/>
      <c r="BW94" s="108"/>
      <c r="BX94" s="108"/>
      <c r="BY94" s="109"/>
      <c r="CA94" s="7" t="s">
        <v>42</v>
      </c>
    </row>
    <row r="95" spans="1:79" s="7" customFormat="1" ht="12.75" customHeight="1" x14ac:dyDescent="0.2">
      <c r="A95" s="92">
        <v>2</v>
      </c>
      <c r="B95" s="93"/>
      <c r="C95" s="93"/>
      <c r="D95" s="52" t="s">
        <v>256</v>
      </c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9"/>
      <c r="U95" s="107">
        <v>0</v>
      </c>
      <c r="V95" s="108"/>
      <c r="W95" s="108"/>
      <c r="X95" s="108"/>
      <c r="Y95" s="109"/>
      <c r="Z95" s="107">
        <v>0</v>
      </c>
      <c r="AA95" s="108"/>
      <c r="AB95" s="108"/>
      <c r="AC95" s="108"/>
      <c r="AD95" s="109"/>
      <c r="AE95" s="107">
        <v>0</v>
      </c>
      <c r="AF95" s="108"/>
      <c r="AG95" s="108"/>
      <c r="AH95" s="109"/>
      <c r="AI95" s="107">
        <f t="shared" si="5"/>
        <v>0</v>
      </c>
      <c r="AJ95" s="108"/>
      <c r="AK95" s="108"/>
      <c r="AL95" s="108"/>
      <c r="AM95" s="109"/>
      <c r="AN95" s="107">
        <v>272160</v>
      </c>
      <c r="AO95" s="108"/>
      <c r="AP95" s="108"/>
      <c r="AQ95" s="108"/>
      <c r="AR95" s="109"/>
      <c r="AS95" s="107">
        <v>0</v>
      </c>
      <c r="AT95" s="108"/>
      <c r="AU95" s="108"/>
      <c r="AV95" s="108"/>
      <c r="AW95" s="109"/>
      <c r="AX95" s="107">
        <v>0</v>
      </c>
      <c r="AY95" s="108"/>
      <c r="AZ95" s="108"/>
      <c r="BA95" s="109"/>
      <c r="BB95" s="107">
        <f t="shared" si="6"/>
        <v>272160</v>
      </c>
      <c r="BC95" s="108"/>
      <c r="BD95" s="108"/>
      <c r="BE95" s="108"/>
      <c r="BF95" s="109"/>
      <c r="BG95" s="107">
        <v>849160</v>
      </c>
      <c r="BH95" s="108"/>
      <c r="BI95" s="108"/>
      <c r="BJ95" s="108"/>
      <c r="BK95" s="109"/>
      <c r="BL95" s="107">
        <v>0</v>
      </c>
      <c r="BM95" s="108"/>
      <c r="BN95" s="108"/>
      <c r="BO95" s="108"/>
      <c r="BP95" s="109"/>
      <c r="BQ95" s="107">
        <v>0</v>
      </c>
      <c r="BR95" s="108"/>
      <c r="BS95" s="108"/>
      <c r="BT95" s="109"/>
      <c r="BU95" s="107">
        <f t="shared" si="7"/>
        <v>849160</v>
      </c>
      <c r="BV95" s="108"/>
      <c r="BW95" s="108"/>
      <c r="BX95" s="108"/>
      <c r="BY95" s="109"/>
    </row>
    <row r="96" spans="1:79" s="7" customFormat="1" ht="25.5" customHeight="1" x14ac:dyDescent="0.2">
      <c r="A96" s="92">
        <v>3</v>
      </c>
      <c r="B96" s="93"/>
      <c r="C96" s="93"/>
      <c r="D96" s="52" t="s">
        <v>257</v>
      </c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9"/>
      <c r="U96" s="107">
        <v>0</v>
      </c>
      <c r="V96" s="108"/>
      <c r="W96" s="108"/>
      <c r="X96" s="108"/>
      <c r="Y96" s="109"/>
      <c r="Z96" s="107">
        <v>0</v>
      </c>
      <c r="AA96" s="108"/>
      <c r="AB96" s="108"/>
      <c r="AC96" s="108"/>
      <c r="AD96" s="109"/>
      <c r="AE96" s="107">
        <v>0</v>
      </c>
      <c r="AF96" s="108"/>
      <c r="AG96" s="108"/>
      <c r="AH96" s="109"/>
      <c r="AI96" s="107">
        <f t="shared" si="5"/>
        <v>0</v>
      </c>
      <c r="AJ96" s="108"/>
      <c r="AK96" s="108"/>
      <c r="AL96" s="108"/>
      <c r="AM96" s="109"/>
      <c r="AN96" s="107">
        <v>5000</v>
      </c>
      <c r="AO96" s="108"/>
      <c r="AP96" s="108"/>
      <c r="AQ96" s="108"/>
      <c r="AR96" s="109"/>
      <c r="AS96" s="107">
        <v>0</v>
      </c>
      <c r="AT96" s="108"/>
      <c r="AU96" s="108"/>
      <c r="AV96" s="108"/>
      <c r="AW96" s="109"/>
      <c r="AX96" s="107">
        <v>0</v>
      </c>
      <c r="AY96" s="108"/>
      <c r="AZ96" s="108"/>
      <c r="BA96" s="109"/>
      <c r="BB96" s="107">
        <f t="shared" si="6"/>
        <v>5000</v>
      </c>
      <c r="BC96" s="108"/>
      <c r="BD96" s="108"/>
      <c r="BE96" s="108"/>
      <c r="BF96" s="109"/>
      <c r="BG96" s="107">
        <v>10000</v>
      </c>
      <c r="BH96" s="108"/>
      <c r="BI96" s="108"/>
      <c r="BJ96" s="108"/>
      <c r="BK96" s="109"/>
      <c r="BL96" s="107">
        <v>0</v>
      </c>
      <c r="BM96" s="108"/>
      <c r="BN96" s="108"/>
      <c r="BO96" s="108"/>
      <c r="BP96" s="109"/>
      <c r="BQ96" s="107">
        <v>0</v>
      </c>
      <c r="BR96" s="108"/>
      <c r="BS96" s="108"/>
      <c r="BT96" s="109"/>
      <c r="BU96" s="107">
        <f t="shared" si="7"/>
        <v>10000</v>
      </c>
      <c r="BV96" s="108"/>
      <c r="BW96" s="108"/>
      <c r="BX96" s="108"/>
      <c r="BY96" s="109"/>
    </row>
    <row r="97" spans="1:79" s="7" customFormat="1" ht="25.5" customHeight="1" x14ac:dyDescent="0.2">
      <c r="A97" s="92">
        <v>4</v>
      </c>
      <c r="B97" s="93"/>
      <c r="C97" s="93"/>
      <c r="D97" s="52" t="s">
        <v>258</v>
      </c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9"/>
      <c r="U97" s="107">
        <v>0</v>
      </c>
      <c r="V97" s="108"/>
      <c r="W97" s="108"/>
      <c r="X97" s="108"/>
      <c r="Y97" s="109"/>
      <c r="Z97" s="107">
        <v>0</v>
      </c>
      <c r="AA97" s="108"/>
      <c r="AB97" s="108"/>
      <c r="AC97" s="108"/>
      <c r="AD97" s="109"/>
      <c r="AE97" s="107">
        <v>0</v>
      </c>
      <c r="AF97" s="108"/>
      <c r="AG97" s="108"/>
      <c r="AH97" s="109"/>
      <c r="AI97" s="107">
        <f t="shared" si="5"/>
        <v>0</v>
      </c>
      <c r="AJ97" s="108"/>
      <c r="AK97" s="108"/>
      <c r="AL97" s="108"/>
      <c r="AM97" s="109"/>
      <c r="AN97" s="107">
        <v>50000</v>
      </c>
      <c r="AO97" s="108"/>
      <c r="AP97" s="108"/>
      <c r="AQ97" s="108"/>
      <c r="AR97" s="109"/>
      <c r="AS97" s="107">
        <v>0</v>
      </c>
      <c r="AT97" s="108"/>
      <c r="AU97" s="108"/>
      <c r="AV97" s="108"/>
      <c r="AW97" s="109"/>
      <c r="AX97" s="107">
        <v>0</v>
      </c>
      <c r="AY97" s="108"/>
      <c r="AZ97" s="108"/>
      <c r="BA97" s="109"/>
      <c r="BB97" s="107">
        <f t="shared" si="6"/>
        <v>50000</v>
      </c>
      <c r="BC97" s="108"/>
      <c r="BD97" s="108"/>
      <c r="BE97" s="108"/>
      <c r="BF97" s="109"/>
      <c r="BG97" s="107">
        <v>99900</v>
      </c>
      <c r="BH97" s="108"/>
      <c r="BI97" s="108"/>
      <c r="BJ97" s="108"/>
      <c r="BK97" s="109"/>
      <c r="BL97" s="107">
        <v>0</v>
      </c>
      <c r="BM97" s="108"/>
      <c r="BN97" s="108"/>
      <c r="BO97" s="108"/>
      <c r="BP97" s="109"/>
      <c r="BQ97" s="107">
        <v>0</v>
      </c>
      <c r="BR97" s="108"/>
      <c r="BS97" s="108"/>
      <c r="BT97" s="109"/>
      <c r="BU97" s="107">
        <f t="shared" si="7"/>
        <v>99900</v>
      </c>
      <c r="BV97" s="108"/>
      <c r="BW97" s="108"/>
      <c r="BX97" s="108"/>
      <c r="BY97" s="109"/>
    </row>
    <row r="98" spans="1:79" s="7" customFormat="1" ht="12.75" customHeight="1" x14ac:dyDescent="0.2">
      <c r="A98" s="92">
        <v>5</v>
      </c>
      <c r="B98" s="93"/>
      <c r="C98" s="93"/>
      <c r="D98" s="52" t="s">
        <v>259</v>
      </c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9"/>
      <c r="U98" s="107">
        <v>0</v>
      </c>
      <c r="V98" s="108"/>
      <c r="W98" s="108"/>
      <c r="X98" s="108"/>
      <c r="Y98" s="109"/>
      <c r="Z98" s="107">
        <v>0</v>
      </c>
      <c r="AA98" s="108"/>
      <c r="AB98" s="108"/>
      <c r="AC98" s="108"/>
      <c r="AD98" s="109"/>
      <c r="AE98" s="107">
        <v>0</v>
      </c>
      <c r="AF98" s="108"/>
      <c r="AG98" s="108"/>
      <c r="AH98" s="109"/>
      <c r="AI98" s="107">
        <f t="shared" si="5"/>
        <v>0</v>
      </c>
      <c r="AJ98" s="108"/>
      <c r="AK98" s="108"/>
      <c r="AL98" s="108"/>
      <c r="AM98" s="109"/>
      <c r="AN98" s="107">
        <v>0</v>
      </c>
      <c r="AO98" s="108"/>
      <c r="AP98" s="108"/>
      <c r="AQ98" s="108"/>
      <c r="AR98" s="109"/>
      <c r="AS98" s="107">
        <v>0</v>
      </c>
      <c r="AT98" s="108"/>
      <c r="AU98" s="108"/>
      <c r="AV98" s="108"/>
      <c r="AW98" s="109"/>
      <c r="AX98" s="107">
        <v>0</v>
      </c>
      <c r="AY98" s="108"/>
      <c r="AZ98" s="108"/>
      <c r="BA98" s="109"/>
      <c r="BB98" s="107">
        <f t="shared" si="6"/>
        <v>0</v>
      </c>
      <c r="BC98" s="108"/>
      <c r="BD98" s="108"/>
      <c r="BE98" s="108"/>
      <c r="BF98" s="109"/>
      <c r="BG98" s="107">
        <v>60000</v>
      </c>
      <c r="BH98" s="108"/>
      <c r="BI98" s="108"/>
      <c r="BJ98" s="108"/>
      <c r="BK98" s="109"/>
      <c r="BL98" s="107">
        <v>0</v>
      </c>
      <c r="BM98" s="108"/>
      <c r="BN98" s="108"/>
      <c r="BO98" s="108"/>
      <c r="BP98" s="109"/>
      <c r="BQ98" s="107">
        <v>0</v>
      </c>
      <c r="BR98" s="108"/>
      <c r="BS98" s="108"/>
      <c r="BT98" s="109"/>
      <c r="BU98" s="107">
        <f t="shared" si="7"/>
        <v>60000</v>
      </c>
      <c r="BV98" s="108"/>
      <c r="BW98" s="108"/>
      <c r="BX98" s="108"/>
      <c r="BY98" s="109"/>
    </row>
    <row r="99" spans="1:79" s="7" customFormat="1" ht="25.5" customHeight="1" x14ac:dyDescent="0.2">
      <c r="A99" s="92">
        <v>6</v>
      </c>
      <c r="B99" s="93"/>
      <c r="C99" s="93"/>
      <c r="D99" s="52" t="s">
        <v>260</v>
      </c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9"/>
      <c r="U99" s="107">
        <v>0</v>
      </c>
      <c r="V99" s="108"/>
      <c r="W99" s="108"/>
      <c r="X99" s="108"/>
      <c r="Y99" s="109"/>
      <c r="Z99" s="107">
        <v>0</v>
      </c>
      <c r="AA99" s="108"/>
      <c r="AB99" s="108"/>
      <c r="AC99" s="108"/>
      <c r="AD99" s="109"/>
      <c r="AE99" s="107">
        <v>0</v>
      </c>
      <c r="AF99" s="108"/>
      <c r="AG99" s="108"/>
      <c r="AH99" s="109"/>
      <c r="AI99" s="107">
        <f t="shared" si="5"/>
        <v>0</v>
      </c>
      <c r="AJ99" s="108"/>
      <c r="AK99" s="108"/>
      <c r="AL99" s="108"/>
      <c r="AM99" s="109"/>
      <c r="AN99" s="107">
        <v>5120</v>
      </c>
      <c r="AO99" s="108"/>
      <c r="AP99" s="108"/>
      <c r="AQ99" s="108"/>
      <c r="AR99" s="109"/>
      <c r="AS99" s="107">
        <v>0</v>
      </c>
      <c r="AT99" s="108"/>
      <c r="AU99" s="108"/>
      <c r="AV99" s="108"/>
      <c r="AW99" s="109"/>
      <c r="AX99" s="107">
        <v>0</v>
      </c>
      <c r="AY99" s="108"/>
      <c r="AZ99" s="108"/>
      <c r="BA99" s="109"/>
      <c r="BB99" s="107">
        <f t="shared" si="6"/>
        <v>5120</v>
      </c>
      <c r="BC99" s="108"/>
      <c r="BD99" s="108"/>
      <c r="BE99" s="108"/>
      <c r="BF99" s="109"/>
      <c r="BG99" s="107">
        <v>6000</v>
      </c>
      <c r="BH99" s="108"/>
      <c r="BI99" s="108"/>
      <c r="BJ99" s="108"/>
      <c r="BK99" s="109"/>
      <c r="BL99" s="107">
        <v>0</v>
      </c>
      <c r="BM99" s="108"/>
      <c r="BN99" s="108"/>
      <c r="BO99" s="108"/>
      <c r="BP99" s="109"/>
      <c r="BQ99" s="107">
        <v>0</v>
      </c>
      <c r="BR99" s="108"/>
      <c r="BS99" s="108"/>
      <c r="BT99" s="109"/>
      <c r="BU99" s="107">
        <f t="shared" si="7"/>
        <v>6000</v>
      </c>
      <c r="BV99" s="108"/>
      <c r="BW99" s="108"/>
      <c r="BX99" s="108"/>
      <c r="BY99" s="109"/>
    </row>
    <row r="100" spans="1:79" s="7" customFormat="1" ht="25.5" customHeight="1" x14ac:dyDescent="0.2">
      <c r="A100" s="92">
        <v>7</v>
      </c>
      <c r="B100" s="93"/>
      <c r="C100" s="93"/>
      <c r="D100" s="52" t="s">
        <v>261</v>
      </c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9"/>
      <c r="U100" s="107">
        <v>0</v>
      </c>
      <c r="V100" s="108"/>
      <c r="W100" s="108"/>
      <c r="X100" s="108"/>
      <c r="Y100" s="109"/>
      <c r="Z100" s="107">
        <v>0</v>
      </c>
      <c r="AA100" s="108"/>
      <c r="AB100" s="108"/>
      <c r="AC100" s="108"/>
      <c r="AD100" s="109"/>
      <c r="AE100" s="107">
        <v>0</v>
      </c>
      <c r="AF100" s="108"/>
      <c r="AG100" s="108"/>
      <c r="AH100" s="109"/>
      <c r="AI100" s="107">
        <f t="shared" si="5"/>
        <v>0</v>
      </c>
      <c r="AJ100" s="108"/>
      <c r="AK100" s="108"/>
      <c r="AL100" s="108"/>
      <c r="AM100" s="109"/>
      <c r="AN100" s="107">
        <v>0</v>
      </c>
      <c r="AO100" s="108"/>
      <c r="AP100" s="108"/>
      <c r="AQ100" s="108"/>
      <c r="AR100" s="109"/>
      <c r="AS100" s="107">
        <v>0</v>
      </c>
      <c r="AT100" s="108"/>
      <c r="AU100" s="108"/>
      <c r="AV100" s="108"/>
      <c r="AW100" s="109"/>
      <c r="AX100" s="107">
        <v>0</v>
      </c>
      <c r="AY100" s="108"/>
      <c r="AZ100" s="108"/>
      <c r="BA100" s="109"/>
      <c r="BB100" s="107">
        <f t="shared" si="6"/>
        <v>0</v>
      </c>
      <c r="BC100" s="108"/>
      <c r="BD100" s="108"/>
      <c r="BE100" s="108"/>
      <c r="BF100" s="109"/>
      <c r="BG100" s="107">
        <v>52000</v>
      </c>
      <c r="BH100" s="108"/>
      <c r="BI100" s="108"/>
      <c r="BJ100" s="108"/>
      <c r="BK100" s="109"/>
      <c r="BL100" s="107">
        <v>0</v>
      </c>
      <c r="BM100" s="108"/>
      <c r="BN100" s="108"/>
      <c r="BO100" s="108"/>
      <c r="BP100" s="109"/>
      <c r="BQ100" s="107">
        <v>0</v>
      </c>
      <c r="BR100" s="108"/>
      <c r="BS100" s="108"/>
      <c r="BT100" s="109"/>
      <c r="BU100" s="107">
        <f t="shared" si="7"/>
        <v>52000</v>
      </c>
      <c r="BV100" s="108"/>
      <c r="BW100" s="108"/>
      <c r="BX100" s="108"/>
      <c r="BY100" s="109"/>
    </row>
    <row r="101" spans="1:79" s="7" customFormat="1" ht="12.75" customHeight="1" x14ac:dyDescent="0.2">
      <c r="A101" s="92">
        <v>8</v>
      </c>
      <c r="B101" s="93"/>
      <c r="C101" s="93"/>
      <c r="D101" s="52" t="s">
        <v>262</v>
      </c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9"/>
      <c r="U101" s="107">
        <v>0</v>
      </c>
      <c r="V101" s="108"/>
      <c r="W101" s="108"/>
      <c r="X101" s="108"/>
      <c r="Y101" s="109"/>
      <c r="Z101" s="107">
        <v>0</v>
      </c>
      <c r="AA101" s="108"/>
      <c r="AB101" s="108"/>
      <c r="AC101" s="108"/>
      <c r="AD101" s="109"/>
      <c r="AE101" s="107">
        <v>0</v>
      </c>
      <c r="AF101" s="108"/>
      <c r="AG101" s="108"/>
      <c r="AH101" s="109"/>
      <c r="AI101" s="107">
        <f t="shared" si="5"/>
        <v>0</v>
      </c>
      <c r="AJ101" s="108"/>
      <c r="AK101" s="108"/>
      <c r="AL101" s="108"/>
      <c r="AM101" s="109"/>
      <c r="AN101" s="107">
        <v>0</v>
      </c>
      <c r="AO101" s="108"/>
      <c r="AP101" s="108"/>
      <c r="AQ101" s="108"/>
      <c r="AR101" s="109"/>
      <c r="AS101" s="107">
        <v>0</v>
      </c>
      <c r="AT101" s="108"/>
      <c r="AU101" s="108"/>
      <c r="AV101" s="108"/>
      <c r="AW101" s="109"/>
      <c r="AX101" s="107">
        <v>0</v>
      </c>
      <c r="AY101" s="108"/>
      <c r="AZ101" s="108"/>
      <c r="BA101" s="109"/>
      <c r="BB101" s="107">
        <f t="shared" si="6"/>
        <v>0</v>
      </c>
      <c r="BC101" s="108"/>
      <c r="BD101" s="108"/>
      <c r="BE101" s="108"/>
      <c r="BF101" s="109"/>
      <c r="BG101" s="107">
        <v>42000</v>
      </c>
      <c r="BH101" s="108"/>
      <c r="BI101" s="108"/>
      <c r="BJ101" s="108"/>
      <c r="BK101" s="109"/>
      <c r="BL101" s="107">
        <v>0</v>
      </c>
      <c r="BM101" s="108"/>
      <c r="BN101" s="108"/>
      <c r="BO101" s="108"/>
      <c r="BP101" s="109"/>
      <c r="BQ101" s="107">
        <v>0</v>
      </c>
      <c r="BR101" s="108"/>
      <c r="BS101" s="108"/>
      <c r="BT101" s="109"/>
      <c r="BU101" s="107">
        <f t="shared" si="7"/>
        <v>42000</v>
      </c>
      <c r="BV101" s="108"/>
      <c r="BW101" s="108"/>
      <c r="BX101" s="108"/>
      <c r="BY101" s="109"/>
    </row>
    <row r="102" spans="1:79" s="7" customFormat="1" ht="12.75" customHeight="1" x14ac:dyDescent="0.2">
      <c r="A102" s="92">
        <v>9</v>
      </c>
      <c r="B102" s="93"/>
      <c r="C102" s="93"/>
      <c r="D102" s="52" t="s">
        <v>263</v>
      </c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9"/>
      <c r="U102" s="107">
        <v>0</v>
      </c>
      <c r="V102" s="108"/>
      <c r="W102" s="108"/>
      <c r="X102" s="108"/>
      <c r="Y102" s="109"/>
      <c r="Z102" s="107">
        <v>0</v>
      </c>
      <c r="AA102" s="108"/>
      <c r="AB102" s="108"/>
      <c r="AC102" s="108"/>
      <c r="AD102" s="109"/>
      <c r="AE102" s="107">
        <v>0</v>
      </c>
      <c r="AF102" s="108"/>
      <c r="AG102" s="108"/>
      <c r="AH102" s="109"/>
      <c r="AI102" s="107">
        <f t="shared" si="5"/>
        <v>0</v>
      </c>
      <c r="AJ102" s="108"/>
      <c r="AK102" s="108"/>
      <c r="AL102" s="108"/>
      <c r="AM102" s="109"/>
      <c r="AN102" s="107">
        <v>10000</v>
      </c>
      <c r="AO102" s="108"/>
      <c r="AP102" s="108"/>
      <c r="AQ102" s="108"/>
      <c r="AR102" s="109"/>
      <c r="AS102" s="107">
        <v>0</v>
      </c>
      <c r="AT102" s="108"/>
      <c r="AU102" s="108"/>
      <c r="AV102" s="108"/>
      <c r="AW102" s="109"/>
      <c r="AX102" s="107">
        <v>0</v>
      </c>
      <c r="AY102" s="108"/>
      <c r="AZ102" s="108"/>
      <c r="BA102" s="109"/>
      <c r="BB102" s="107">
        <f t="shared" si="6"/>
        <v>10000</v>
      </c>
      <c r="BC102" s="108"/>
      <c r="BD102" s="108"/>
      <c r="BE102" s="108"/>
      <c r="BF102" s="109"/>
      <c r="BG102" s="107">
        <v>10000</v>
      </c>
      <c r="BH102" s="108"/>
      <c r="BI102" s="108"/>
      <c r="BJ102" s="108"/>
      <c r="BK102" s="109"/>
      <c r="BL102" s="107">
        <v>0</v>
      </c>
      <c r="BM102" s="108"/>
      <c r="BN102" s="108"/>
      <c r="BO102" s="108"/>
      <c r="BP102" s="109"/>
      <c r="BQ102" s="107">
        <v>0</v>
      </c>
      <c r="BR102" s="108"/>
      <c r="BS102" s="108"/>
      <c r="BT102" s="109"/>
      <c r="BU102" s="107">
        <f t="shared" si="7"/>
        <v>10000</v>
      </c>
      <c r="BV102" s="108"/>
      <c r="BW102" s="108"/>
      <c r="BX102" s="108"/>
      <c r="BY102" s="109"/>
    </row>
    <row r="103" spans="1:79" s="9" customFormat="1" ht="12.75" customHeight="1" x14ac:dyDescent="0.2">
      <c r="A103" s="94"/>
      <c r="B103" s="95"/>
      <c r="C103" s="95"/>
      <c r="D103" s="45" t="s">
        <v>179</v>
      </c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2"/>
      <c r="U103" s="103">
        <v>0</v>
      </c>
      <c r="V103" s="104"/>
      <c r="W103" s="104"/>
      <c r="X103" s="104"/>
      <c r="Y103" s="105"/>
      <c r="Z103" s="103">
        <v>0</v>
      </c>
      <c r="AA103" s="104"/>
      <c r="AB103" s="104"/>
      <c r="AC103" s="104"/>
      <c r="AD103" s="105"/>
      <c r="AE103" s="103">
        <v>0</v>
      </c>
      <c r="AF103" s="104"/>
      <c r="AG103" s="104"/>
      <c r="AH103" s="105"/>
      <c r="AI103" s="103">
        <f t="shared" si="5"/>
        <v>0</v>
      </c>
      <c r="AJ103" s="104"/>
      <c r="AK103" s="104"/>
      <c r="AL103" s="104"/>
      <c r="AM103" s="105"/>
      <c r="AN103" s="103">
        <v>1579372</v>
      </c>
      <c r="AO103" s="104"/>
      <c r="AP103" s="104"/>
      <c r="AQ103" s="104"/>
      <c r="AR103" s="105"/>
      <c r="AS103" s="103">
        <v>0</v>
      </c>
      <c r="AT103" s="104"/>
      <c r="AU103" s="104"/>
      <c r="AV103" s="104"/>
      <c r="AW103" s="105"/>
      <c r="AX103" s="103">
        <v>0</v>
      </c>
      <c r="AY103" s="104"/>
      <c r="AZ103" s="104"/>
      <c r="BA103" s="105"/>
      <c r="BB103" s="103">
        <f t="shared" si="6"/>
        <v>1579372</v>
      </c>
      <c r="BC103" s="104"/>
      <c r="BD103" s="104"/>
      <c r="BE103" s="104"/>
      <c r="BF103" s="105"/>
      <c r="BG103" s="103">
        <v>4988878</v>
      </c>
      <c r="BH103" s="104"/>
      <c r="BI103" s="104"/>
      <c r="BJ103" s="104"/>
      <c r="BK103" s="105"/>
      <c r="BL103" s="103">
        <v>0</v>
      </c>
      <c r="BM103" s="104"/>
      <c r="BN103" s="104"/>
      <c r="BO103" s="104"/>
      <c r="BP103" s="105"/>
      <c r="BQ103" s="103">
        <v>0</v>
      </c>
      <c r="BR103" s="104"/>
      <c r="BS103" s="104"/>
      <c r="BT103" s="105"/>
      <c r="BU103" s="103">
        <f t="shared" si="7"/>
        <v>4988878</v>
      </c>
      <c r="BV103" s="104"/>
      <c r="BW103" s="104"/>
      <c r="BX103" s="104"/>
      <c r="BY103" s="105"/>
    </row>
    <row r="105" spans="1:79" ht="14.25" customHeight="1" x14ac:dyDescent="0.2">
      <c r="A105" s="115" t="s">
        <v>323</v>
      </c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115"/>
      <c r="AU105" s="115"/>
      <c r="AV105" s="115"/>
      <c r="AW105" s="115"/>
      <c r="AX105" s="115"/>
      <c r="AY105" s="115"/>
      <c r="AZ105" s="115"/>
      <c r="BA105" s="115"/>
      <c r="BB105" s="115"/>
      <c r="BC105" s="115"/>
      <c r="BD105" s="115"/>
      <c r="BE105" s="115"/>
      <c r="BF105" s="115"/>
      <c r="BG105" s="115"/>
      <c r="BH105" s="115"/>
      <c r="BI105" s="115"/>
      <c r="BJ105" s="115"/>
      <c r="BK105" s="115"/>
      <c r="BL105" s="115"/>
    </row>
    <row r="106" spans="1:79" ht="15" customHeight="1" x14ac:dyDescent="0.2">
      <c r="A106" s="81" t="s">
        <v>239</v>
      </c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</row>
    <row r="107" spans="1:79" ht="23.1" customHeight="1" x14ac:dyDescent="0.2">
      <c r="A107" s="123" t="s">
        <v>7</v>
      </c>
      <c r="B107" s="124"/>
      <c r="C107" s="124"/>
      <c r="D107" s="123" t="s">
        <v>152</v>
      </c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5"/>
      <c r="U107" s="60" t="s">
        <v>243</v>
      </c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 t="s">
        <v>245</v>
      </c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</row>
    <row r="108" spans="1:79" ht="54" customHeight="1" x14ac:dyDescent="0.2">
      <c r="A108" s="126"/>
      <c r="B108" s="127"/>
      <c r="C108" s="127"/>
      <c r="D108" s="126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8"/>
      <c r="U108" s="64" t="s">
        <v>5</v>
      </c>
      <c r="V108" s="65"/>
      <c r="W108" s="65"/>
      <c r="X108" s="65"/>
      <c r="Y108" s="66"/>
      <c r="Z108" s="64" t="s">
        <v>4</v>
      </c>
      <c r="AA108" s="65"/>
      <c r="AB108" s="65"/>
      <c r="AC108" s="65"/>
      <c r="AD108" s="66"/>
      <c r="AE108" s="139" t="s">
        <v>147</v>
      </c>
      <c r="AF108" s="140"/>
      <c r="AG108" s="140"/>
      <c r="AH108" s="140"/>
      <c r="AI108" s="141"/>
      <c r="AJ108" s="64" t="s">
        <v>6</v>
      </c>
      <c r="AK108" s="65"/>
      <c r="AL108" s="65"/>
      <c r="AM108" s="65"/>
      <c r="AN108" s="66"/>
      <c r="AO108" s="64" t="s">
        <v>5</v>
      </c>
      <c r="AP108" s="65"/>
      <c r="AQ108" s="65"/>
      <c r="AR108" s="65"/>
      <c r="AS108" s="66"/>
      <c r="AT108" s="64" t="s">
        <v>4</v>
      </c>
      <c r="AU108" s="65"/>
      <c r="AV108" s="65"/>
      <c r="AW108" s="65"/>
      <c r="AX108" s="66"/>
      <c r="AY108" s="139" t="s">
        <v>147</v>
      </c>
      <c r="AZ108" s="140"/>
      <c r="BA108" s="140"/>
      <c r="BB108" s="140"/>
      <c r="BC108" s="141"/>
      <c r="BD108" s="60" t="s">
        <v>118</v>
      </c>
      <c r="BE108" s="60"/>
      <c r="BF108" s="60"/>
      <c r="BG108" s="60"/>
      <c r="BH108" s="60"/>
    </row>
    <row r="109" spans="1:79" ht="15" customHeight="1" x14ac:dyDescent="0.2">
      <c r="A109" s="64" t="s">
        <v>216</v>
      </c>
      <c r="B109" s="65"/>
      <c r="C109" s="65"/>
      <c r="D109" s="64">
        <v>2</v>
      </c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6"/>
      <c r="U109" s="64">
        <v>3</v>
      </c>
      <c r="V109" s="65"/>
      <c r="W109" s="65"/>
      <c r="X109" s="65"/>
      <c r="Y109" s="66"/>
      <c r="Z109" s="64">
        <v>4</v>
      </c>
      <c r="AA109" s="65"/>
      <c r="AB109" s="65"/>
      <c r="AC109" s="65"/>
      <c r="AD109" s="66"/>
      <c r="AE109" s="64">
        <v>5</v>
      </c>
      <c r="AF109" s="65"/>
      <c r="AG109" s="65"/>
      <c r="AH109" s="65"/>
      <c r="AI109" s="66"/>
      <c r="AJ109" s="64">
        <v>6</v>
      </c>
      <c r="AK109" s="65"/>
      <c r="AL109" s="65"/>
      <c r="AM109" s="65"/>
      <c r="AN109" s="66"/>
      <c r="AO109" s="64">
        <v>7</v>
      </c>
      <c r="AP109" s="65"/>
      <c r="AQ109" s="65"/>
      <c r="AR109" s="65"/>
      <c r="AS109" s="66"/>
      <c r="AT109" s="64">
        <v>8</v>
      </c>
      <c r="AU109" s="65"/>
      <c r="AV109" s="65"/>
      <c r="AW109" s="65"/>
      <c r="AX109" s="66"/>
      <c r="AY109" s="64">
        <v>9</v>
      </c>
      <c r="AZ109" s="65"/>
      <c r="BA109" s="65"/>
      <c r="BB109" s="65"/>
      <c r="BC109" s="66"/>
      <c r="BD109" s="64">
        <v>10</v>
      </c>
      <c r="BE109" s="65"/>
      <c r="BF109" s="65"/>
      <c r="BG109" s="65"/>
      <c r="BH109" s="66"/>
    </row>
    <row r="110" spans="1:79" s="2" customFormat="1" ht="12.75" hidden="1" customHeight="1" x14ac:dyDescent="0.2">
      <c r="A110" s="67" t="s">
        <v>90</v>
      </c>
      <c r="B110" s="68"/>
      <c r="C110" s="68"/>
      <c r="D110" s="67" t="s">
        <v>78</v>
      </c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9"/>
      <c r="U110" s="67" t="s">
        <v>81</v>
      </c>
      <c r="V110" s="68"/>
      <c r="W110" s="68"/>
      <c r="X110" s="68"/>
      <c r="Y110" s="69"/>
      <c r="Z110" s="67" t="s">
        <v>82</v>
      </c>
      <c r="AA110" s="68"/>
      <c r="AB110" s="68"/>
      <c r="AC110" s="68"/>
      <c r="AD110" s="69"/>
      <c r="AE110" s="67" t="s">
        <v>116</v>
      </c>
      <c r="AF110" s="68"/>
      <c r="AG110" s="68"/>
      <c r="AH110" s="68"/>
      <c r="AI110" s="69"/>
      <c r="AJ110" s="136" t="s">
        <v>218</v>
      </c>
      <c r="AK110" s="137"/>
      <c r="AL110" s="137"/>
      <c r="AM110" s="137"/>
      <c r="AN110" s="138"/>
      <c r="AO110" s="67" t="s">
        <v>83</v>
      </c>
      <c r="AP110" s="68"/>
      <c r="AQ110" s="68"/>
      <c r="AR110" s="68"/>
      <c r="AS110" s="69"/>
      <c r="AT110" s="67" t="s">
        <v>84</v>
      </c>
      <c r="AU110" s="68"/>
      <c r="AV110" s="68"/>
      <c r="AW110" s="68"/>
      <c r="AX110" s="69"/>
      <c r="AY110" s="67" t="s">
        <v>117</v>
      </c>
      <c r="AZ110" s="68"/>
      <c r="BA110" s="68"/>
      <c r="BB110" s="68"/>
      <c r="BC110" s="69"/>
      <c r="BD110" s="129" t="s">
        <v>218</v>
      </c>
      <c r="BE110" s="129"/>
      <c r="BF110" s="129"/>
      <c r="BG110" s="129"/>
      <c r="BH110" s="129"/>
      <c r="CA110" s="2" t="s">
        <v>43</v>
      </c>
    </row>
    <row r="111" spans="1:79" s="7" customFormat="1" ht="12.75" customHeight="1" x14ac:dyDescent="0.2">
      <c r="A111" s="92">
        <v>1</v>
      </c>
      <c r="B111" s="93"/>
      <c r="C111" s="93"/>
      <c r="D111" s="52" t="s">
        <v>255</v>
      </c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9"/>
      <c r="U111" s="107">
        <v>3859818</v>
      </c>
      <c r="V111" s="108"/>
      <c r="W111" s="108"/>
      <c r="X111" s="108"/>
      <c r="Y111" s="109"/>
      <c r="Z111" s="107">
        <v>0</v>
      </c>
      <c r="AA111" s="108"/>
      <c r="AB111" s="108"/>
      <c r="AC111" s="108"/>
      <c r="AD111" s="109"/>
      <c r="AE111" s="110">
        <v>0</v>
      </c>
      <c r="AF111" s="110"/>
      <c r="AG111" s="110"/>
      <c r="AH111" s="110"/>
      <c r="AI111" s="110"/>
      <c r="AJ111" s="102">
        <f t="shared" ref="AJ111:AJ120" si="8">IF(ISNUMBER(U111),U111,0)+IF(ISNUMBER(Z111),Z111,0)</f>
        <v>3859818</v>
      </c>
      <c r="AK111" s="102"/>
      <c r="AL111" s="102"/>
      <c r="AM111" s="102"/>
      <c r="AN111" s="102"/>
      <c r="AO111" s="110">
        <v>3859818</v>
      </c>
      <c r="AP111" s="110"/>
      <c r="AQ111" s="110"/>
      <c r="AR111" s="110"/>
      <c r="AS111" s="110"/>
      <c r="AT111" s="102">
        <v>0</v>
      </c>
      <c r="AU111" s="102"/>
      <c r="AV111" s="102"/>
      <c r="AW111" s="102"/>
      <c r="AX111" s="102"/>
      <c r="AY111" s="110">
        <v>0</v>
      </c>
      <c r="AZ111" s="110"/>
      <c r="BA111" s="110"/>
      <c r="BB111" s="110"/>
      <c r="BC111" s="110"/>
      <c r="BD111" s="102">
        <f t="shared" ref="BD111:BD120" si="9">IF(ISNUMBER(AO111),AO111,0)+IF(ISNUMBER(AT111),AT111,0)</f>
        <v>3859818</v>
      </c>
      <c r="BE111" s="102"/>
      <c r="BF111" s="102"/>
      <c r="BG111" s="102"/>
      <c r="BH111" s="102"/>
      <c r="CA111" s="7" t="s">
        <v>44</v>
      </c>
    </row>
    <row r="112" spans="1:79" s="7" customFormat="1" ht="12.75" customHeight="1" x14ac:dyDescent="0.2">
      <c r="A112" s="92">
        <v>2</v>
      </c>
      <c r="B112" s="93"/>
      <c r="C112" s="93"/>
      <c r="D112" s="52" t="s">
        <v>256</v>
      </c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9"/>
      <c r="U112" s="107">
        <v>849160</v>
      </c>
      <c r="V112" s="108"/>
      <c r="W112" s="108"/>
      <c r="X112" s="108"/>
      <c r="Y112" s="109"/>
      <c r="Z112" s="107">
        <v>0</v>
      </c>
      <c r="AA112" s="108"/>
      <c r="AB112" s="108"/>
      <c r="AC112" s="108"/>
      <c r="AD112" s="109"/>
      <c r="AE112" s="110">
        <v>0</v>
      </c>
      <c r="AF112" s="110"/>
      <c r="AG112" s="110"/>
      <c r="AH112" s="110"/>
      <c r="AI112" s="110"/>
      <c r="AJ112" s="102">
        <f t="shared" si="8"/>
        <v>849160</v>
      </c>
      <c r="AK112" s="102"/>
      <c r="AL112" s="102"/>
      <c r="AM112" s="102"/>
      <c r="AN112" s="102"/>
      <c r="AO112" s="110">
        <v>849160</v>
      </c>
      <c r="AP112" s="110"/>
      <c r="AQ112" s="110"/>
      <c r="AR112" s="110"/>
      <c r="AS112" s="110"/>
      <c r="AT112" s="102">
        <v>0</v>
      </c>
      <c r="AU112" s="102"/>
      <c r="AV112" s="102"/>
      <c r="AW112" s="102"/>
      <c r="AX112" s="102"/>
      <c r="AY112" s="110">
        <v>0</v>
      </c>
      <c r="AZ112" s="110"/>
      <c r="BA112" s="110"/>
      <c r="BB112" s="110"/>
      <c r="BC112" s="110"/>
      <c r="BD112" s="102">
        <f t="shared" si="9"/>
        <v>849160</v>
      </c>
      <c r="BE112" s="102"/>
      <c r="BF112" s="102"/>
      <c r="BG112" s="102"/>
      <c r="BH112" s="102"/>
    </row>
    <row r="113" spans="1:79" s="7" customFormat="1" ht="25.5" customHeight="1" x14ac:dyDescent="0.2">
      <c r="A113" s="92">
        <v>3</v>
      </c>
      <c r="B113" s="93"/>
      <c r="C113" s="93"/>
      <c r="D113" s="52" t="s">
        <v>257</v>
      </c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9"/>
      <c r="U113" s="107">
        <v>10700</v>
      </c>
      <c r="V113" s="108"/>
      <c r="W113" s="108"/>
      <c r="X113" s="108"/>
      <c r="Y113" s="109"/>
      <c r="Z113" s="107">
        <v>0</v>
      </c>
      <c r="AA113" s="108"/>
      <c r="AB113" s="108"/>
      <c r="AC113" s="108"/>
      <c r="AD113" s="109"/>
      <c r="AE113" s="110">
        <v>0</v>
      </c>
      <c r="AF113" s="110"/>
      <c r="AG113" s="110"/>
      <c r="AH113" s="110"/>
      <c r="AI113" s="110"/>
      <c r="AJ113" s="102">
        <f t="shared" si="8"/>
        <v>10700</v>
      </c>
      <c r="AK113" s="102"/>
      <c r="AL113" s="102"/>
      <c r="AM113" s="102"/>
      <c r="AN113" s="102"/>
      <c r="AO113" s="110">
        <v>11320</v>
      </c>
      <c r="AP113" s="110"/>
      <c r="AQ113" s="110"/>
      <c r="AR113" s="110"/>
      <c r="AS113" s="110"/>
      <c r="AT113" s="102">
        <v>0</v>
      </c>
      <c r="AU113" s="102"/>
      <c r="AV113" s="102"/>
      <c r="AW113" s="102"/>
      <c r="AX113" s="102"/>
      <c r="AY113" s="110">
        <v>0</v>
      </c>
      <c r="AZ113" s="110"/>
      <c r="BA113" s="110"/>
      <c r="BB113" s="110"/>
      <c r="BC113" s="110"/>
      <c r="BD113" s="102">
        <f t="shared" si="9"/>
        <v>11320</v>
      </c>
      <c r="BE113" s="102"/>
      <c r="BF113" s="102"/>
      <c r="BG113" s="102"/>
      <c r="BH113" s="102"/>
    </row>
    <row r="114" spans="1:79" s="7" customFormat="1" ht="25.5" customHeight="1" x14ac:dyDescent="0.2">
      <c r="A114" s="92">
        <v>4</v>
      </c>
      <c r="B114" s="93"/>
      <c r="C114" s="93"/>
      <c r="D114" s="52" t="s">
        <v>258</v>
      </c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9"/>
      <c r="U114" s="107">
        <v>106893</v>
      </c>
      <c r="V114" s="108"/>
      <c r="W114" s="108"/>
      <c r="X114" s="108"/>
      <c r="Y114" s="109"/>
      <c r="Z114" s="107">
        <v>0</v>
      </c>
      <c r="AA114" s="108"/>
      <c r="AB114" s="108"/>
      <c r="AC114" s="108"/>
      <c r="AD114" s="109"/>
      <c r="AE114" s="110">
        <v>0</v>
      </c>
      <c r="AF114" s="110"/>
      <c r="AG114" s="110"/>
      <c r="AH114" s="110"/>
      <c r="AI114" s="110"/>
      <c r="AJ114" s="102">
        <f t="shared" si="8"/>
        <v>106893</v>
      </c>
      <c r="AK114" s="102"/>
      <c r="AL114" s="102"/>
      <c r="AM114" s="102"/>
      <c r="AN114" s="102"/>
      <c r="AO114" s="110">
        <v>113093</v>
      </c>
      <c r="AP114" s="110"/>
      <c r="AQ114" s="110"/>
      <c r="AR114" s="110"/>
      <c r="AS114" s="110"/>
      <c r="AT114" s="102">
        <v>0</v>
      </c>
      <c r="AU114" s="102"/>
      <c r="AV114" s="102"/>
      <c r="AW114" s="102"/>
      <c r="AX114" s="102"/>
      <c r="AY114" s="110">
        <v>0</v>
      </c>
      <c r="AZ114" s="110"/>
      <c r="BA114" s="110"/>
      <c r="BB114" s="110"/>
      <c r="BC114" s="110"/>
      <c r="BD114" s="102">
        <f t="shared" si="9"/>
        <v>113093</v>
      </c>
      <c r="BE114" s="102"/>
      <c r="BF114" s="102"/>
      <c r="BG114" s="102"/>
      <c r="BH114" s="102"/>
    </row>
    <row r="115" spans="1:79" s="7" customFormat="1" ht="12.75" customHeight="1" x14ac:dyDescent="0.2">
      <c r="A115" s="92">
        <v>5</v>
      </c>
      <c r="B115" s="93"/>
      <c r="C115" s="93"/>
      <c r="D115" s="52" t="s">
        <v>259</v>
      </c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9"/>
      <c r="U115" s="107">
        <v>64200</v>
      </c>
      <c r="V115" s="108"/>
      <c r="W115" s="108"/>
      <c r="X115" s="108"/>
      <c r="Y115" s="109"/>
      <c r="Z115" s="107">
        <v>0</v>
      </c>
      <c r="AA115" s="108"/>
      <c r="AB115" s="108"/>
      <c r="AC115" s="108"/>
      <c r="AD115" s="109"/>
      <c r="AE115" s="110">
        <v>0</v>
      </c>
      <c r="AF115" s="110"/>
      <c r="AG115" s="110"/>
      <c r="AH115" s="110"/>
      <c r="AI115" s="110"/>
      <c r="AJ115" s="102">
        <f t="shared" si="8"/>
        <v>64200</v>
      </c>
      <c r="AK115" s="102"/>
      <c r="AL115" s="102"/>
      <c r="AM115" s="102"/>
      <c r="AN115" s="102"/>
      <c r="AO115" s="110">
        <v>67924</v>
      </c>
      <c r="AP115" s="110"/>
      <c r="AQ115" s="110"/>
      <c r="AR115" s="110"/>
      <c r="AS115" s="110"/>
      <c r="AT115" s="102">
        <v>0</v>
      </c>
      <c r="AU115" s="102"/>
      <c r="AV115" s="102"/>
      <c r="AW115" s="102"/>
      <c r="AX115" s="102"/>
      <c r="AY115" s="110">
        <v>0</v>
      </c>
      <c r="AZ115" s="110"/>
      <c r="BA115" s="110"/>
      <c r="BB115" s="110"/>
      <c r="BC115" s="110"/>
      <c r="BD115" s="102">
        <f t="shared" si="9"/>
        <v>67924</v>
      </c>
      <c r="BE115" s="102"/>
      <c r="BF115" s="102"/>
      <c r="BG115" s="102"/>
      <c r="BH115" s="102"/>
    </row>
    <row r="116" spans="1:79" s="7" customFormat="1" ht="25.5" customHeight="1" x14ac:dyDescent="0.2">
      <c r="A116" s="92">
        <v>6</v>
      </c>
      <c r="B116" s="93"/>
      <c r="C116" s="93"/>
      <c r="D116" s="52" t="s">
        <v>260</v>
      </c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9"/>
      <c r="U116" s="107">
        <v>6420</v>
      </c>
      <c r="V116" s="108"/>
      <c r="W116" s="108"/>
      <c r="X116" s="108"/>
      <c r="Y116" s="109"/>
      <c r="Z116" s="107">
        <v>0</v>
      </c>
      <c r="AA116" s="108"/>
      <c r="AB116" s="108"/>
      <c r="AC116" s="108"/>
      <c r="AD116" s="109"/>
      <c r="AE116" s="110">
        <v>0</v>
      </c>
      <c r="AF116" s="110"/>
      <c r="AG116" s="110"/>
      <c r="AH116" s="110"/>
      <c r="AI116" s="110"/>
      <c r="AJ116" s="102">
        <f t="shared" si="8"/>
        <v>6420</v>
      </c>
      <c r="AK116" s="102"/>
      <c r="AL116" s="102"/>
      <c r="AM116" s="102"/>
      <c r="AN116" s="102"/>
      <c r="AO116" s="110">
        <v>6792</v>
      </c>
      <c r="AP116" s="110"/>
      <c r="AQ116" s="110"/>
      <c r="AR116" s="110"/>
      <c r="AS116" s="110"/>
      <c r="AT116" s="102">
        <v>0</v>
      </c>
      <c r="AU116" s="102"/>
      <c r="AV116" s="102"/>
      <c r="AW116" s="102"/>
      <c r="AX116" s="102"/>
      <c r="AY116" s="110">
        <v>0</v>
      </c>
      <c r="AZ116" s="110"/>
      <c r="BA116" s="110"/>
      <c r="BB116" s="110"/>
      <c r="BC116" s="110"/>
      <c r="BD116" s="102">
        <f t="shared" si="9"/>
        <v>6792</v>
      </c>
      <c r="BE116" s="102"/>
      <c r="BF116" s="102"/>
      <c r="BG116" s="102"/>
      <c r="BH116" s="102"/>
    </row>
    <row r="117" spans="1:79" s="7" customFormat="1" ht="25.5" customHeight="1" x14ac:dyDescent="0.2">
      <c r="A117" s="92">
        <v>7</v>
      </c>
      <c r="B117" s="93"/>
      <c r="C117" s="93"/>
      <c r="D117" s="52" t="s">
        <v>261</v>
      </c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9"/>
      <c r="U117" s="107">
        <v>55640</v>
      </c>
      <c r="V117" s="108"/>
      <c r="W117" s="108"/>
      <c r="X117" s="108"/>
      <c r="Y117" s="109"/>
      <c r="Z117" s="107">
        <v>0</v>
      </c>
      <c r="AA117" s="108"/>
      <c r="AB117" s="108"/>
      <c r="AC117" s="108"/>
      <c r="AD117" s="109"/>
      <c r="AE117" s="110">
        <v>0</v>
      </c>
      <c r="AF117" s="110"/>
      <c r="AG117" s="110"/>
      <c r="AH117" s="110"/>
      <c r="AI117" s="110"/>
      <c r="AJ117" s="102">
        <f t="shared" si="8"/>
        <v>55640</v>
      </c>
      <c r="AK117" s="102"/>
      <c r="AL117" s="102"/>
      <c r="AM117" s="102"/>
      <c r="AN117" s="102"/>
      <c r="AO117" s="110">
        <v>58867</v>
      </c>
      <c r="AP117" s="110"/>
      <c r="AQ117" s="110"/>
      <c r="AR117" s="110"/>
      <c r="AS117" s="110"/>
      <c r="AT117" s="102">
        <v>0</v>
      </c>
      <c r="AU117" s="102"/>
      <c r="AV117" s="102"/>
      <c r="AW117" s="102"/>
      <c r="AX117" s="102"/>
      <c r="AY117" s="110">
        <v>0</v>
      </c>
      <c r="AZ117" s="110"/>
      <c r="BA117" s="110"/>
      <c r="BB117" s="110"/>
      <c r="BC117" s="110"/>
      <c r="BD117" s="102">
        <f t="shared" si="9"/>
        <v>58867</v>
      </c>
      <c r="BE117" s="102"/>
      <c r="BF117" s="102"/>
      <c r="BG117" s="102"/>
      <c r="BH117" s="102"/>
    </row>
    <row r="118" spans="1:79" s="7" customFormat="1" ht="12.75" customHeight="1" x14ac:dyDescent="0.2">
      <c r="A118" s="92">
        <v>8</v>
      </c>
      <c r="B118" s="93"/>
      <c r="C118" s="93"/>
      <c r="D118" s="52" t="s">
        <v>262</v>
      </c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9"/>
      <c r="U118" s="107">
        <v>44940</v>
      </c>
      <c r="V118" s="108"/>
      <c r="W118" s="108"/>
      <c r="X118" s="108"/>
      <c r="Y118" s="109"/>
      <c r="Z118" s="107">
        <v>0</v>
      </c>
      <c r="AA118" s="108"/>
      <c r="AB118" s="108"/>
      <c r="AC118" s="108"/>
      <c r="AD118" s="109"/>
      <c r="AE118" s="110">
        <v>0</v>
      </c>
      <c r="AF118" s="110"/>
      <c r="AG118" s="110"/>
      <c r="AH118" s="110"/>
      <c r="AI118" s="110"/>
      <c r="AJ118" s="102">
        <f t="shared" si="8"/>
        <v>44940</v>
      </c>
      <c r="AK118" s="102"/>
      <c r="AL118" s="102"/>
      <c r="AM118" s="102"/>
      <c r="AN118" s="102"/>
      <c r="AO118" s="110">
        <v>47547</v>
      </c>
      <c r="AP118" s="110"/>
      <c r="AQ118" s="110"/>
      <c r="AR118" s="110"/>
      <c r="AS118" s="110"/>
      <c r="AT118" s="102">
        <v>0</v>
      </c>
      <c r="AU118" s="102"/>
      <c r="AV118" s="102"/>
      <c r="AW118" s="102"/>
      <c r="AX118" s="102"/>
      <c r="AY118" s="110">
        <v>0</v>
      </c>
      <c r="AZ118" s="110"/>
      <c r="BA118" s="110"/>
      <c r="BB118" s="110"/>
      <c r="BC118" s="110"/>
      <c r="BD118" s="102">
        <f t="shared" si="9"/>
        <v>47547</v>
      </c>
      <c r="BE118" s="102"/>
      <c r="BF118" s="102"/>
      <c r="BG118" s="102"/>
      <c r="BH118" s="102"/>
    </row>
    <row r="119" spans="1:79" s="7" customFormat="1" ht="12.75" customHeight="1" x14ac:dyDescent="0.2">
      <c r="A119" s="92">
        <v>9</v>
      </c>
      <c r="B119" s="93"/>
      <c r="C119" s="93"/>
      <c r="D119" s="52" t="s">
        <v>263</v>
      </c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9"/>
      <c r="U119" s="107">
        <v>10700</v>
      </c>
      <c r="V119" s="108"/>
      <c r="W119" s="108"/>
      <c r="X119" s="108"/>
      <c r="Y119" s="109"/>
      <c r="Z119" s="107">
        <v>0</v>
      </c>
      <c r="AA119" s="108"/>
      <c r="AB119" s="108"/>
      <c r="AC119" s="108"/>
      <c r="AD119" s="109"/>
      <c r="AE119" s="110">
        <v>0</v>
      </c>
      <c r="AF119" s="110"/>
      <c r="AG119" s="110"/>
      <c r="AH119" s="110"/>
      <c r="AI119" s="110"/>
      <c r="AJ119" s="102">
        <f t="shared" si="8"/>
        <v>10700</v>
      </c>
      <c r="AK119" s="102"/>
      <c r="AL119" s="102"/>
      <c r="AM119" s="102"/>
      <c r="AN119" s="102"/>
      <c r="AO119" s="110">
        <v>11321</v>
      </c>
      <c r="AP119" s="110"/>
      <c r="AQ119" s="110"/>
      <c r="AR119" s="110"/>
      <c r="AS119" s="110"/>
      <c r="AT119" s="102">
        <v>0</v>
      </c>
      <c r="AU119" s="102"/>
      <c r="AV119" s="102"/>
      <c r="AW119" s="102"/>
      <c r="AX119" s="102"/>
      <c r="AY119" s="110">
        <v>0</v>
      </c>
      <c r="AZ119" s="110"/>
      <c r="BA119" s="110"/>
      <c r="BB119" s="110"/>
      <c r="BC119" s="110"/>
      <c r="BD119" s="102">
        <f t="shared" si="9"/>
        <v>11321</v>
      </c>
      <c r="BE119" s="102"/>
      <c r="BF119" s="102"/>
      <c r="BG119" s="102"/>
      <c r="BH119" s="102"/>
    </row>
    <row r="120" spans="1:79" s="9" customFormat="1" ht="12.75" customHeight="1" x14ac:dyDescent="0.2">
      <c r="A120" s="94"/>
      <c r="B120" s="95"/>
      <c r="C120" s="95"/>
      <c r="D120" s="45" t="s">
        <v>179</v>
      </c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2"/>
      <c r="U120" s="103">
        <v>5008471</v>
      </c>
      <c r="V120" s="104"/>
      <c r="W120" s="104"/>
      <c r="X120" s="104"/>
      <c r="Y120" s="105"/>
      <c r="Z120" s="103">
        <v>0</v>
      </c>
      <c r="AA120" s="104"/>
      <c r="AB120" s="104"/>
      <c r="AC120" s="104"/>
      <c r="AD120" s="105"/>
      <c r="AE120" s="106">
        <v>0</v>
      </c>
      <c r="AF120" s="106"/>
      <c r="AG120" s="106"/>
      <c r="AH120" s="106"/>
      <c r="AI120" s="106"/>
      <c r="AJ120" s="101">
        <f t="shared" si="8"/>
        <v>5008471</v>
      </c>
      <c r="AK120" s="101"/>
      <c r="AL120" s="101"/>
      <c r="AM120" s="101"/>
      <c r="AN120" s="101"/>
      <c r="AO120" s="106">
        <v>5025842</v>
      </c>
      <c r="AP120" s="106"/>
      <c r="AQ120" s="106"/>
      <c r="AR120" s="106"/>
      <c r="AS120" s="106"/>
      <c r="AT120" s="101">
        <v>0</v>
      </c>
      <c r="AU120" s="101"/>
      <c r="AV120" s="101"/>
      <c r="AW120" s="101"/>
      <c r="AX120" s="101"/>
      <c r="AY120" s="106">
        <v>0</v>
      </c>
      <c r="AZ120" s="106"/>
      <c r="BA120" s="106"/>
      <c r="BB120" s="106"/>
      <c r="BC120" s="106"/>
      <c r="BD120" s="101">
        <f t="shared" si="9"/>
        <v>5025842</v>
      </c>
      <c r="BE120" s="101"/>
      <c r="BF120" s="101"/>
      <c r="BG120" s="101"/>
      <c r="BH120" s="101"/>
    </row>
    <row r="121" spans="1:79" s="8" customFormat="1" ht="12.75" customHeight="1" x14ac:dyDescent="0.2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3" spans="1:79" ht="14.25" customHeight="1" x14ac:dyDescent="0.2">
      <c r="A123" s="115" t="s">
        <v>184</v>
      </c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115"/>
      <c r="AK123" s="115"/>
      <c r="AL123" s="115"/>
      <c r="AM123" s="115"/>
      <c r="AN123" s="115"/>
      <c r="AO123" s="115"/>
      <c r="AP123" s="115"/>
      <c r="AQ123" s="115"/>
      <c r="AR123" s="115"/>
      <c r="AS123" s="115"/>
      <c r="AT123" s="115"/>
      <c r="AU123" s="115"/>
      <c r="AV123" s="115"/>
      <c r="AW123" s="115"/>
      <c r="AX123" s="115"/>
      <c r="AY123" s="115"/>
      <c r="AZ123" s="115"/>
      <c r="BA123" s="115"/>
      <c r="BB123" s="115"/>
      <c r="BC123" s="115"/>
      <c r="BD123" s="115"/>
      <c r="BE123" s="115"/>
      <c r="BF123" s="115"/>
      <c r="BG123" s="115"/>
      <c r="BH123" s="115"/>
      <c r="BI123" s="115"/>
      <c r="BJ123" s="115"/>
      <c r="BK123" s="115"/>
      <c r="BL123" s="115"/>
    </row>
    <row r="124" spans="1:79" ht="14.25" customHeight="1" x14ac:dyDescent="0.2">
      <c r="A124" s="115" t="s">
        <v>311</v>
      </c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  <c r="AI124" s="115"/>
      <c r="AJ124" s="115"/>
      <c r="AK124" s="115"/>
      <c r="AL124" s="115"/>
      <c r="AM124" s="115"/>
      <c r="AN124" s="115"/>
      <c r="AO124" s="115"/>
      <c r="AP124" s="115"/>
      <c r="AQ124" s="115"/>
      <c r="AR124" s="115"/>
      <c r="AS124" s="115"/>
      <c r="AT124" s="115"/>
      <c r="AU124" s="115"/>
      <c r="AV124" s="115"/>
      <c r="AW124" s="115"/>
      <c r="AX124" s="115"/>
      <c r="AY124" s="115"/>
      <c r="AZ124" s="115"/>
      <c r="BA124" s="115"/>
      <c r="BB124" s="115"/>
      <c r="BC124" s="115"/>
      <c r="BD124" s="115"/>
      <c r="BE124" s="115"/>
      <c r="BF124" s="115"/>
      <c r="BG124" s="115"/>
      <c r="BH124" s="115"/>
      <c r="BI124" s="115"/>
      <c r="BJ124" s="115"/>
      <c r="BK124" s="115"/>
      <c r="BL124" s="115"/>
    </row>
    <row r="125" spans="1:79" ht="23.1" customHeight="1" x14ac:dyDescent="0.2">
      <c r="A125" s="123" t="s">
        <v>7</v>
      </c>
      <c r="B125" s="124"/>
      <c r="C125" s="124"/>
      <c r="D125" s="60" t="s">
        <v>10</v>
      </c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 t="s">
        <v>9</v>
      </c>
      <c r="R125" s="60"/>
      <c r="S125" s="60"/>
      <c r="T125" s="60"/>
      <c r="U125" s="60"/>
      <c r="V125" s="60" t="s">
        <v>8</v>
      </c>
      <c r="W125" s="60"/>
      <c r="X125" s="60"/>
      <c r="Y125" s="60"/>
      <c r="Z125" s="60"/>
      <c r="AA125" s="60"/>
      <c r="AB125" s="60"/>
      <c r="AC125" s="60"/>
      <c r="AD125" s="60"/>
      <c r="AE125" s="60"/>
      <c r="AF125" s="64" t="s">
        <v>240</v>
      </c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6"/>
      <c r="AU125" s="64" t="s">
        <v>241</v>
      </c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6"/>
      <c r="BJ125" s="64" t="s">
        <v>242</v>
      </c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6"/>
    </row>
    <row r="126" spans="1:79" ht="32.25" customHeight="1" x14ac:dyDescent="0.2">
      <c r="A126" s="126"/>
      <c r="B126" s="127"/>
      <c r="C126" s="127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 t="s">
        <v>5</v>
      </c>
      <c r="AG126" s="60"/>
      <c r="AH126" s="60"/>
      <c r="AI126" s="60"/>
      <c r="AJ126" s="60"/>
      <c r="AK126" s="60" t="s">
        <v>4</v>
      </c>
      <c r="AL126" s="60"/>
      <c r="AM126" s="60"/>
      <c r="AN126" s="60"/>
      <c r="AO126" s="60"/>
      <c r="AP126" s="60" t="s">
        <v>154</v>
      </c>
      <c r="AQ126" s="60"/>
      <c r="AR126" s="60"/>
      <c r="AS126" s="60"/>
      <c r="AT126" s="60"/>
      <c r="AU126" s="60" t="s">
        <v>5</v>
      </c>
      <c r="AV126" s="60"/>
      <c r="AW126" s="60"/>
      <c r="AX126" s="60"/>
      <c r="AY126" s="60"/>
      <c r="AZ126" s="60" t="s">
        <v>4</v>
      </c>
      <c r="BA126" s="60"/>
      <c r="BB126" s="60"/>
      <c r="BC126" s="60"/>
      <c r="BD126" s="60"/>
      <c r="BE126" s="60" t="s">
        <v>112</v>
      </c>
      <c r="BF126" s="60"/>
      <c r="BG126" s="60"/>
      <c r="BH126" s="60"/>
      <c r="BI126" s="60"/>
      <c r="BJ126" s="60" t="s">
        <v>5</v>
      </c>
      <c r="BK126" s="60"/>
      <c r="BL126" s="60"/>
      <c r="BM126" s="60"/>
      <c r="BN126" s="60"/>
      <c r="BO126" s="60" t="s">
        <v>4</v>
      </c>
      <c r="BP126" s="60"/>
      <c r="BQ126" s="60"/>
      <c r="BR126" s="60"/>
      <c r="BS126" s="60"/>
      <c r="BT126" s="60" t="s">
        <v>119</v>
      </c>
      <c r="BU126" s="60"/>
      <c r="BV126" s="60"/>
      <c r="BW126" s="60"/>
      <c r="BX126" s="60"/>
    </row>
    <row r="127" spans="1:79" ht="15" customHeight="1" x14ac:dyDescent="0.2">
      <c r="A127" s="64">
        <v>1</v>
      </c>
      <c r="B127" s="65"/>
      <c r="C127" s="65"/>
      <c r="D127" s="60">
        <v>2</v>
      </c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>
        <v>3</v>
      </c>
      <c r="R127" s="60"/>
      <c r="S127" s="60"/>
      <c r="T127" s="60"/>
      <c r="U127" s="60"/>
      <c r="V127" s="60">
        <v>4</v>
      </c>
      <c r="W127" s="60"/>
      <c r="X127" s="60"/>
      <c r="Y127" s="60"/>
      <c r="Z127" s="60"/>
      <c r="AA127" s="60"/>
      <c r="AB127" s="60"/>
      <c r="AC127" s="60"/>
      <c r="AD127" s="60"/>
      <c r="AE127" s="60"/>
      <c r="AF127" s="60">
        <v>5</v>
      </c>
      <c r="AG127" s="60"/>
      <c r="AH127" s="60"/>
      <c r="AI127" s="60"/>
      <c r="AJ127" s="60"/>
      <c r="AK127" s="60">
        <v>6</v>
      </c>
      <c r="AL127" s="60"/>
      <c r="AM127" s="60"/>
      <c r="AN127" s="60"/>
      <c r="AO127" s="60"/>
      <c r="AP127" s="60">
        <v>7</v>
      </c>
      <c r="AQ127" s="60"/>
      <c r="AR127" s="60"/>
      <c r="AS127" s="60"/>
      <c r="AT127" s="60"/>
      <c r="AU127" s="60">
        <v>8</v>
      </c>
      <c r="AV127" s="60"/>
      <c r="AW127" s="60"/>
      <c r="AX127" s="60"/>
      <c r="AY127" s="60"/>
      <c r="AZ127" s="60">
        <v>9</v>
      </c>
      <c r="BA127" s="60"/>
      <c r="BB127" s="60"/>
      <c r="BC127" s="60"/>
      <c r="BD127" s="60"/>
      <c r="BE127" s="60">
        <v>10</v>
      </c>
      <c r="BF127" s="60"/>
      <c r="BG127" s="60"/>
      <c r="BH127" s="60"/>
      <c r="BI127" s="60"/>
      <c r="BJ127" s="60">
        <v>11</v>
      </c>
      <c r="BK127" s="60"/>
      <c r="BL127" s="60"/>
      <c r="BM127" s="60"/>
      <c r="BN127" s="60"/>
      <c r="BO127" s="60">
        <v>12</v>
      </c>
      <c r="BP127" s="60"/>
      <c r="BQ127" s="60"/>
      <c r="BR127" s="60"/>
      <c r="BS127" s="60"/>
      <c r="BT127" s="60">
        <v>13</v>
      </c>
      <c r="BU127" s="60"/>
      <c r="BV127" s="60"/>
      <c r="BW127" s="60"/>
      <c r="BX127" s="60"/>
    </row>
    <row r="128" spans="1:79" ht="10.5" hidden="1" customHeight="1" x14ac:dyDescent="0.2">
      <c r="A128" s="67" t="s">
        <v>187</v>
      </c>
      <c r="B128" s="68"/>
      <c r="C128" s="68"/>
      <c r="D128" s="60" t="s">
        <v>78</v>
      </c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 t="s">
        <v>91</v>
      </c>
      <c r="R128" s="60"/>
      <c r="S128" s="60"/>
      <c r="T128" s="60"/>
      <c r="U128" s="60"/>
      <c r="V128" s="60" t="s">
        <v>92</v>
      </c>
      <c r="W128" s="60"/>
      <c r="X128" s="60"/>
      <c r="Y128" s="60"/>
      <c r="Z128" s="60"/>
      <c r="AA128" s="60"/>
      <c r="AB128" s="60"/>
      <c r="AC128" s="60"/>
      <c r="AD128" s="60"/>
      <c r="AE128" s="60"/>
      <c r="AF128" s="58" t="s">
        <v>139</v>
      </c>
      <c r="AG128" s="58"/>
      <c r="AH128" s="58"/>
      <c r="AI128" s="58"/>
      <c r="AJ128" s="58"/>
      <c r="AK128" s="76" t="s">
        <v>140</v>
      </c>
      <c r="AL128" s="76"/>
      <c r="AM128" s="76"/>
      <c r="AN128" s="76"/>
      <c r="AO128" s="76"/>
      <c r="AP128" s="129" t="s">
        <v>265</v>
      </c>
      <c r="AQ128" s="129"/>
      <c r="AR128" s="129"/>
      <c r="AS128" s="129"/>
      <c r="AT128" s="129"/>
      <c r="AU128" s="58" t="s">
        <v>141</v>
      </c>
      <c r="AV128" s="58"/>
      <c r="AW128" s="58"/>
      <c r="AX128" s="58"/>
      <c r="AY128" s="58"/>
      <c r="AZ128" s="76" t="s">
        <v>142</v>
      </c>
      <c r="BA128" s="76"/>
      <c r="BB128" s="76"/>
      <c r="BC128" s="76"/>
      <c r="BD128" s="76"/>
      <c r="BE128" s="129" t="s">
        <v>265</v>
      </c>
      <c r="BF128" s="129"/>
      <c r="BG128" s="129"/>
      <c r="BH128" s="129"/>
      <c r="BI128" s="129"/>
      <c r="BJ128" s="58" t="s">
        <v>133</v>
      </c>
      <c r="BK128" s="58"/>
      <c r="BL128" s="58"/>
      <c r="BM128" s="58"/>
      <c r="BN128" s="58"/>
      <c r="BO128" s="76" t="s">
        <v>134</v>
      </c>
      <c r="BP128" s="76"/>
      <c r="BQ128" s="76"/>
      <c r="BR128" s="76"/>
      <c r="BS128" s="76"/>
      <c r="BT128" s="129" t="s">
        <v>265</v>
      </c>
      <c r="BU128" s="129"/>
      <c r="BV128" s="129"/>
      <c r="BW128" s="129"/>
      <c r="BX128" s="129"/>
      <c r="CA128" t="s">
        <v>45</v>
      </c>
    </row>
    <row r="129" spans="1:79" s="9" customFormat="1" ht="15" customHeight="1" x14ac:dyDescent="0.2">
      <c r="A129" s="94">
        <v>0</v>
      </c>
      <c r="B129" s="95"/>
      <c r="C129" s="95"/>
      <c r="D129" s="100" t="s">
        <v>264</v>
      </c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CA129" s="9" t="s">
        <v>46</v>
      </c>
    </row>
    <row r="130" spans="1:79" s="7" customFormat="1" ht="15" customHeight="1" x14ac:dyDescent="0.2">
      <c r="A130" s="92">
        <v>1</v>
      </c>
      <c r="B130" s="93"/>
      <c r="C130" s="93"/>
      <c r="D130" s="98" t="s">
        <v>266</v>
      </c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9"/>
      <c r="Q130" s="60" t="s">
        <v>222</v>
      </c>
      <c r="R130" s="60"/>
      <c r="S130" s="60"/>
      <c r="T130" s="60"/>
      <c r="U130" s="60"/>
      <c r="V130" s="60" t="s">
        <v>267</v>
      </c>
      <c r="W130" s="60"/>
      <c r="X130" s="60"/>
      <c r="Y130" s="60"/>
      <c r="Z130" s="60"/>
      <c r="AA130" s="60"/>
      <c r="AB130" s="60"/>
      <c r="AC130" s="60"/>
      <c r="AD130" s="60"/>
      <c r="AE130" s="60"/>
      <c r="AF130" s="90">
        <v>0</v>
      </c>
      <c r="AG130" s="90"/>
      <c r="AH130" s="90"/>
      <c r="AI130" s="90"/>
      <c r="AJ130" s="90"/>
      <c r="AK130" s="90">
        <v>0</v>
      </c>
      <c r="AL130" s="90"/>
      <c r="AM130" s="90"/>
      <c r="AN130" s="90"/>
      <c r="AO130" s="90"/>
      <c r="AP130" s="90">
        <v>0</v>
      </c>
      <c r="AQ130" s="90"/>
      <c r="AR130" s="90"/>
      <c r="AS130" s="90"/>
      <c r="AT130" s="90"/>
      <c r="AU130" s="90">
        <v>1237092</v>
      </c>
      <c r="AV130" s="90"/>
      <c r="AW130" s="90"/>
      <c r="AX130" s="90"/>
      <c r="AY130" s="90"/>
      <c r="AZ130" s="90">
        <v>0</v>
      </c>
      <c r="BA130" s="90"/>
      <c r="BB130" s="90"/>
      <c r="BC130" s="90"/>
      <c r="BD130" s="90"/>
      <c r="BE130" s="90">
        <v>1237092</v>
      </c>
      <c r="BF130" s="90"/>
      <c r="BG130" s="90"/>
      <c r="BH130" s="90"/>
      <c r="BI130" s="90"/>
      <c r="BJ130" s="90">
        <v>3859818</v>
      </c>
      <c r="BK130" s="90"/>
      <c r="BL130" s="90"/>
      <c r="BM130" s="90"/>
      <c r="BN130" s="90"/>
      <c r="BO130" s="90">
        <v>0</v>
      </c>
      <c r="BP130" s="90"/>
      <c r="BQ130" s="90"/>
      <c r="BR130" s="90"/>
      <c r="BS130" s="90"/>
      <c r="BT130" s="90">
        <v>3859818</v>
      </c>
      <c r="BU130" s="90"/>
      <c r="BV130" s="90"/>
      <c r="BW130" s="90"/>
      <c r="BX130" s="90"/>
    </row>
    <row r="131" spans="1:79" s="9" customFormat="1" ht="15" customHeight="1" x14ac:dyDescent="0.2">
      <c r="A131" s="94">
        <v>0</v>
      </c>
      <c r="B131" s="95"/>
      <c r="C131" s="95"/>
      <c r="D131" s="99" t="s">
        <v>268</v>
      </c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2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</row>
    <row r="132" spans="1:79" s="7" customFormat="1" ht="28.5" customHeight="1" x14ac:dyDescent="0.2">
      <c r="A132" s="92">
        <v>1</v>
      </c>
      <c r="B132" s="93"/>
      <c r="C132" s="93"/>
      <c r="D132" s="98" t="s">
        <v>269</v>
      </c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9"/>
      <c r="Q132" s="60" t="s">
        <v>222</v>
      </c>
      <c r="R132" s="60"/>
      <c r="S132" s="60"/>
      <c r="T132" s="60"/>
      <c r="U132" s="60"/>
      <c r="V132" s="98" t="s">
        <v>270</v>
      </c>
      <c r="W132" s="48"/>
      <c r="X132" s="48"/>
      <c r="Y132" s="48"/>
      <c r="Z132" s="48"/>
      <c r="AA132" s="48"/>
      <c r="AB132" s="48"/>
      <c r="AC132" s="48"/>
      <c r="AD132" s="48"/>
      <c r="AE132" s="49"/>
      <c r="AF132" s="90">
        <v>0</v>
      </c>
      <c r="AG132" s="90"/>
      <c r="AH132" s="90"/>
      <c r="AI132" s="90"/>
      <c r="AJ132" s="90"/>
      <c r="AK132" s="90">
        <v>0</v>
      </c>
      <c r="AL132" s="90"/>
      <c r="AM132" s="90"/>
      <c r="AN132" s="90"/>
      <c r="AO132" s="90"/>
      <c r="AP132" s="90">
        <v>0</v>
      </c>
      <c r="AQ132" s="90"/>
      <c r="AR132" s="90"/>
      <c r="AS132" s="90"/>
      <c r="AT132" s="90"/>
      <c r="AU132" s="90">
        <v>300</v>
      </c>
      <c r="AV132" s="90"/>
      <c r="AW132" s="90"/>
      <c r="AX132" s="90"/>
      <c r="AY132" s="90"/>
      <c r="AZ132" s="90">
        <v>0</v>
      </c>
      <c r="BA132" s="90"/>
      <c r="BB132" s="90"/>
      <c r="BC132" s="90"/>
      <c r="BD132" s="90"/>
      <c r="BE132" s="90">
        <v>300</v>
      </c>
      <c r="BF132" s="90"/>
      <c r="BG132" s="90"/>
      <c r="BH132" s="90"/>
      <c r="BI132" s="90"/>
      <c r="BJ132" s="90">
        <v>800</v>
      </c>
      <c r="BK132" s="90"/>
      <c r="BL132" s="90"/>
      <c r="BM132" s="90"/>
      <c r="BN132" s="90"/>
      <c r="BO132" s="90">
        <v>0</v>
      </c>
      <c r="BP132" s="90"/>
      <c r="BQ132" s="90"/>
      <c r="BR132" s="90"/>
      <c r="BS132" s="90"/>
      <c r="BT132" s="90">
        <v>800</v>
      </c>
      <c r="BU132" s="90"/>
      <c r="BV132" s="90"/>
      <c r="BW132" s="90"/>
      <c r="BX132" s="90"/>
    </row>
    <row r="133" spans="1:79" s="7" customFormat="1" ht="45" customHeight="1" x14ac:dyDescent="0.2">
      <c r="A133" s="92">
        <v>2</v>
      </c>
      <c r="B133" s="93"/>
      <c r="C133" s="93"/>
      <c r="D133" s="98" t="s">
        <v>271</v>
      </c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9"/>
      <c r="Q133" s="60" t="s">
        <v>222</v>
      </c>
      <c r="R133" s="60"/>
      <c r="S133" s="60"/>
      <c r="T133" s="60"/>
      <c r="U133" s="60"/>
      <c r="V133" s="98" t="s">
        <v>272</v>
      </c>
      <c r="W133" s="48"/>
      <c r="X133" s="48"/>
      <c r="Y133" s="48"/>
      <c r="Z133" s="48"/>
      <c r="AA133" s="48"/>
      <c r="AB133" s="48"/>
      <c r="AC133" s="48"/>
      <c r="AD133" s="48"/>
      <c r="AE133" s="49"/>
      <c r="AF133" s="90">
        <v>0</v>
      </c>
      <c r="AG133" s="90"/>
      <c r="AH133" s="90"/>
      <c r="AI133" s="90"/>
      <c r="AJ133" s="90"/>
      <c r="AK133" s="90">
        <v>0</v>
      </c>
      <c r="AL133" s="90"/>
      <c r="AM133" s="90"/>
      <c r="AN133" s="90"/>
      <c r="AO133" s="90"/>
      <c r="AP133" s="90">
        <v>0</v>
      </c>
      <c r="AQ133" s="90"/>
      <c r="AR133" s="90"/>
      <c r="AS133" s="90"/>
      <c r="AT133" s="90"/>
      <c r="AU133" s="90">
        <v>145</v>
      </c>
      <c r="AV133" s="90"/>
      <c r="AW133" s="90"/>
      <c r="AX133" s="90"/>
      <c r="AY133" s="90"/>
      <c r="AZ133" s="90">
        <v>0</v>
      </c>
      <c r="BA133" s="90"/>
      <c r="BB133" s="90"/>
      <c r="BC133" s="90"/>
      <c r="BD133" s="90"/>
      <c r="BE133" s="90">
        <v>145</v>
      </c>
      <c r="BF133" s="90"/>
      <c r="BG133" s="90"/>
      <c r="BH133" s="90"/>
      <c r="BI133" s="90"/>
      <c r="BJ133" s="90">
        <v>350</v>
      </c>
      <c r="BK133" s="90"/>
      <c r="BL133" s="90"/>
      <c r="BM133" s="90"/>
      <c r="BN133" s="90"/>
      <c r="BO133" s="90">
        <v>0</v>
      </c>
      <c r="BP133" s="90"/>
      <c r="BQ133" s="90"/>
      <c r="BR133" s="90"/>
      <c r="BS133" s="90"/>
      <c r="BT133" s="90">
        <v>350</v>
      </c>
      <c r="BU133" s="90"/>
      <c r="BV133" s="90"/>
      <c r="BW133" s="90"/>
      <c r="BX133" s="90"/>
    </row>
    <row r="134" spans="1:79" s="9" customFormat="1" ht="15" customHeight="1" x14ac:dyDescent="0.2">
      <c r="A134" s="94">
        <v>0</v>
      </c>
      <c r="B134" s="95"/>
      <c r="C134" s="95"/>
      <c r="D134" s="99" t="s">
        <v>273</v>
      </c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2"/>
      <c r="Q134" s="100"/>
      <c r="R134" s="100"/>
      <c r="S134" s="100"/>
      <c r="T134" s="100"/>
      <c r="U134" s="100"/>
      <c r="V134" s="99"/>
      <c r="W134" s="41"/>
      <c r="X134" s="41"/>
      <c r="Y134" s="41"/>
      <c r="Z134" s="41"/>
      <c r="AA134" s="41"/>
      <c r="AB134" s="41"/>
      <c r="AC134" s="41"/>
      <c r="AD134" s="41"/>
      <c r="AE134" s="42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</row>
    <row r="135" spans="1:79" s="7" customFormat="1" ht="57" customHeight="1" x14ac:dyDescent="0.2">
      <c r="A135" s="92">
        <v>1</v>
      </c>
      <c r="B135" s="93"/>
      <c r="C135" s="93"/>
      <c r="D135" s="98" t="s">
        <v>274</v>
      </c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9"/>
      <c r="Q135" s="60" t="s">
        <v>222</v>
      </c>
      <c r="R135" s="60"/>
      <c r="S135" s="60"/>
      <c r="T135" s="60"/>
      <c r="U135" s="60"/>
      <c r="V135" s="98" t="s">
        <v>275</v>
      </c>
      <c r="W135" s="48"/>
      <c r="X135" s="48"/>
      <c r="Y135" s="48"/>
      <c r="Z135" s="48"/>
      <c r="AA135" s="48"/>
      <c r="AB135" s="48"/>
      <c r="AC135" s="48"/>
      <c r="AD135" s="48"/>
      <c r="AE135" s="49"/>
      <c r="AF135" s="90">
        <v>0</v>
      </c>
      <c r="AG135" s="90"/>
      <c r="AH135" s="90"/>
      <c r="AI135" s="90"/>
      <c r="AJ135" s="90"/>
      <c r="AK135" s="90">
        <v>0</v>
      </c>
      <c r="AL135" s="90"/>
      <c r="AM135" s="90"/>
      <c r="AN135" s="90"/>
      <c r="AO135" s="90"/>
      <c r="AP135" s="90">
        <v>0</v>
      </c>
      <c r="AQ135" s="90"/>
      <c r="AR135" s="90"/>
      <c r="AS135" s="90"/>
      <c r="AT135" s="90"/>
      <c r="AU135" s="90">
        <v>42</v>
      </c>
      <c r="AV135" s="90"/>
      <c r="AW135" s="90"/>
      <c r="AX135" s="90"/>
      <c r="AY135" s="90"/>
      <c r="AZ135" s="90">
        <v>0</v>
      </c>
      <c r="BA135" s="90"/>
      <c r="BB135" s="90"/>
      <c r="BC135" s="90"/>
      <c r="BD135" s="90"/>
      <c r="BE135" s="90">
        <v>42</v>
      </c>
      <c r="BF135" s="90"/>
      <c r="BG135" s="90"/>
      <c r="BH135" s="90"/>
      <c r="BI135" s="90"/>
      <c r="BJ135" s="90">
        <v>114</v>
      </c>
      <c r="BK135" s="90"/>
      <c r="BL135" s="90"/>
      <c r="BM135" s="90"/>
      <c r="BN135" s="90"/>
      <c r="BO135" s="90">
        <v>0</v>
      </c>
      <c r="BP135" s="90"/>
      <c r="BQ135" s="90"/>
      <c r="BR135" s="90"/>
      <c r="BS135" s="90"/>
      <c r="BT135" s="90">
        <v>114</v>
      </c>
      <c r="BU135" s="90"/>
      <c r="BV135" s="90"/>
      <c r="BW135" s="90"/>
      <c r="BX135" s="90"/>
    </row>
    <row r="136" spans="1:79" s="7" customFormat="1" ht="45" customHeight="1" x14ac:dyDescent="0.2">
      <c r="A136" s="92">
        <v>2</v>
      </c>
      <c r="B136" s="93"/>
      <c r="C136" s="93"/>
      <c r="D136" s="98" t="s">
        <v>276</v>
      </c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9"/>
      <c r="Q136" s="60" t="s">
        <v>222</v>
      </c>
      <c r="R136" s="60"/>
      <c r="S136" s="60"/>
      <c r="T136" s="60"/>
      <c r="U136" s="60"/>
      <c r="V136" s="98" t="s">
        <v>275</v>
      </c>
      <c r="W136" s="48"/>
      <c r="X136" s="48"/>
      <c r="Y136" s="48"/>
      <c r="Z136" s="48"/>
      <c r="AA136" s="48"/>
      <c r="AB136" s="48"/>
      <c r="AC136" s="48"/>
      <c r="AD136" s="48"/>
      <c r="AE136" s="49"/>
      <c r="AF136" s="90">
        <v>0</v>
      </c>
      <c r="AG136" s="90"/>
      <c r="AH136" s="90"/>
      <c r="AI136" s="90"/>
      <c r="AJ136" s="90"/>
      <c r="AK136" s="90">
        <v>0</v>
      </c>
      <c r="AL136" s="90"/>
      <c r="AM136" s="90"/>
      <c r="AN136" s="90"/>
      <c r="AO136" s="90"/>
      <c r="AP136" s="90">
        <v>0</v>
      </c>
      <c r="AQ136" s="90"/>
      <c r="AR136" s="90"/>
      <c r="AS136" s="90"/>
      <c r="AT136" s="90"/>
      <c r="AU136" s="90">
        <v>20</v>
      </c>
      <c r="AV136" s="90"/>
      <c r="AW136" s="90"/>
      <c r="AX136" s="90"/>
      <c r="AY136" s="90"/>
      <c r="AZ136" s="90">
        <v>0</v>
      </c>
      <c r="BA136" s="90"/>
      <c r="BB136" s="90"/>
      <c r="BC136" s="90"/>
      <c r="BD136" s="90"/>
      <c r="BE136" s="90">
        <v>20</v>
      </c>
      <c r="BF136" s="90"/>
      <c r="BG136" s="90"/>
      <c r="BH136" s="90"/>
      <c r="BI136" s="90"/>
      <c r="BJ136" s="90">
        <v>50</v>
      </c>
      <c r="BK136" s="90"/>
      <c r="BL136" s="90"/>
      <c r="BM136" s="90"/>
      <c r="BN136" s="90"/>
      <c r="BO136" s="90">
        <v>0</v>
      </c>
      <c r="BP136" s="90"/>
      <c r="BQ136" s="90"/>
      <c r="BR136" s="90"/>
      <c r="BS136" s="90"/>
      <c r="BT136" s="90">
        <v>50</v>
      </c>
      <c r="BU136" s="90"/>
      <c r="BV136" s="90"/>
      <c r="BW136" s="90"/>
      <c r="BX136" s="90"/>
    </row>
    <row r="137" spans="1:79" s="7" customFormat="1" ht="30" customHeight="1" x14ac:dyDescent="0.2">
      <c r="A137" s="92">
        <v>3</v>
      </c>
      <c r="B137" s="93"/>
      <c r="C137" s="93"/>
      <c r="D137" s="98" t="s">
        <v>277</v>
      </c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9"/>
      <c r="Q137" s="60" t="s">
        <v>278</v>
      </c>
      <c r="R137" s="60"/>
      <c r="S137" s="60"/>
      <c r="T137" s="60"/>
      <c r="U137" s="60"/>
      <c r="V137" s="98" t="s">
        <v>275</v>
      </c>
      <c r="W137" s="48"/>
      <c r="X137" s="48"/>
      <c r="Y137" s="48"/>
      <c r="Z137" s="48"/>
      <c r="AA137" s="48"/>
      <c r="AB137" s="48"/>
      <c r="AC137" s="48"/>
      <c r="AD137" s="48"/>
      <c r="AE137" s="49"/>
      <c r="AF137" s="90">
        <v>0</v>
      </c>
      <c r="AG137" s="90"/>
      <c r="AH137" s="90"/>
      <c r="AI137" s="90"/>
      <c r="AJ137" s="90"/>
      <c r="AK137" s="90">
        <v>0</v>
      </c>
      <c r="AL137" s="90"/>
      <c r="AM137" s="90"/>
      <c r="AN137" s="90"/>
      <c r="AO137" s="90"/>
      <c r="AP137" s="90">
        <v>0</v>
      </c>
      <c r="AQ137" s="90"/>
      <c r="AR137" s="90"/>
      <c r="AS137" s="90"/>
      <c r="AT137" s="90"/>
      <c r="AU137" s="90">
        <v>72770.12</v>
      </c>
      <c r="AV137" s="90"/>
      <c r="AW137" s="90"/>
      <c r="AX137" s="90"/>
      <c r="AY137" s="90"/>
      <c r="AZ137" s="90">
        <v>0</v>
      </c>
      <c r="BA137" s="90"/>
      <c r="BB137" s="90"/>
      <c r="BC137" s="90"/>
      <c r="BD137" s="90"/>
      <c r="BE137" s="90">
        <v>72770.12</v>
      </c>
      <c r="BF137" s="90"/>
      <c r="BG137" s="90"/>
      <c r="BH137" s="90"/>
      <c r="BI137" s="90"/>
      <c r="BJ137" s="90">
        <v>227048.12</v>
      </c>
      <c r="BK137" s="90"/>
      <c r="BL137" s="90"/>
      <c r="BM137" s="90"/>
      <c r="BN137" s="90"/>
      <c r="BO137" s="90">
        <v>0</v>
      </c>
      <c r="BP137" s="90"/>
      <c r="BQ137" s="90"/>
      <c r="BR137" s="90"/>
      <c r="BS137" s="90"/>
      <c r="BT137" s="90">
        <v>227048.12</v>
      </c>
      <c r="BU137" s="90"/>
      <c r="BV137" s="90"/>
      <c r="BW137" s="90"/>
      <c r="BX137" s="90"/>
    </row>
    <row r="138" spans="1:79" s="9" customFormat="1" ht="15" customHeight="1" x14ac:dyDescent="0.2">
      <c r="A138" s="94">
        <v>0</v>
      </c>
      <c r="B138" s="95"/>
      <c r="C138" s="95"/>
      <c r="D138" s="99" t="s">
        <v>279</v>
      </c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2"/>
      <c r="Q138" s="100"/>
      <c r="R138" s="100"/>
      <c r="S138" s="100"/>
      <c r="T138" s="100"/>
      <c r="U138" s="100"/>
      <c r="V138" s="99"/>
      <c r="W138" s="41"/>
      <c r="X138" s="41"/>
      <c r="Y138" s="41"/>
      <c r="Z138" s="41"/>
      <c r="AA138" s="41"/>
      <c r="AB138" s="41"/>
      <c r="AC138" s="41"/>
      <c r="AD138" s="41"/>
      <c r="AE138" s="42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</row>
    <row r="139" spans="1:79" s="7" customFormat="1" ht="28.5" customHeight="1" x14ac:dyDescent="0.2">
      <c r="A139" s="92">
        <v>1</v>
      </c>
      <c r="B139" s="93"/>
      <c r="C139" s="93"/>
      <c r="D139" s="98" t="s">
        <v>280</v>
      </c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9"/>
      <c r="Q139" s="60" t="s">
        <v>281</v>
      </c>
      <c r="R139" s="60"/>
      <c r="S139" s="60"/>
      <c r="T139" s="60"/>
      <c r="U139" s="60"/>
      <c r="V139" s="98" t="s">
        <v>282</v>
      </c>
      <c r="W139" s="48"/>
      <c r="X139" s="48"/>
      <c r="Y139" s="48"/>
      <c r="Z139" s="48"/>
      <c r="AA139" s="48"/>
      <c r="AB139" s="48"/>
      <c r="AC139" s="48"/>
      <c r="AD139" s="48"/>
      <c r="AE139" s="49"/>
      <c r="AF139" s="90">
        <v>0</v>
      </c>
      <c r="AG139" s="90"/>
      <c r="AH139" s="90"/>
      <c r="AI139" s="90"/>
      <c r="AJ139" s="90"/>
      <c r="AK139" s="90">
        <v>0</v>
      </c>
      <c r="AL139" s="90"/>
      <c r="AM139" s="90"/>
      <c r="AN139" s="90"/>
      <c r="AO139" s="90"/>
      <c r="AP139" s="90">
        <v>0</v>
      </c>
      <c r="AQ139" s="90"/>
      <c r="AR139" s="90"/>
      <c r="AS139" s="90"/>
      <c r="AT139" s="90"/>
      <c r="AU139" s="90">
        <v>100</v>
      </c>
      <c r="AV139" s="90"/>
      <c r="AW139" s="90"/>
      <c r="AX139" s="90"/>
      <c r="AY139" s="90"/>
      <c r="AZ139" s="90">
        <v>0</v>
      </c>
      <c r="BA139" s="90"/>
      <c r="BB139" s="90"/>
      <c r="BC139" s="90"/>
      <c r="BD139" s="90"/>
      <c r="BE139" s="90">
        <v>100</v>
      </c>
      <c r="BF139" s="90"/>
      <c r="BG139" s="90"/>
      <c r="BH139" s="90"/>
      <c r="BI139" s="90"/>
      <c r="BJ139" s="90">
        <v>100</v>
      </c>
      <c r="BK139" s="90"/>
      <c r="BL139" s="90"/>
      <c r="BM139" s="90"/>
      <c r="BN139" s="90"/>
      <c r="BO139" s="90">
        <v>0</v>
      </c>
      <c r="BP139" s="90"/>
      <c r="BQ139" s="90"/>
      <c r="BR139" s="90"/>
      <c r="BS139" s="90"/>
      <c r="BT139" s="90">
        <v>100</v>
      </c>
      <c r="BU139" s="90"/>
      <c r="BV139" s="90"/>
      <c r="BW139" s="90"/>
      <c r="BX139" s="90"/>
    </row>
    <row r="141" spans="1:79" ht="14.25" customHeight="1" x14ac:dyDescent="0.2">
      <c r="A141" s="115" t="s">
        <v>324</v>
      </c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115"/>
      <c r="AL141" s="115"/>
      <c r="AM141" s="115"/>
      <c r="AN141" s="115"/>
      <c r="AO141" s="115"/>
      <c r="AP141" s="115"/>
      <c r="AQ141" s="115"/>
      <c r="AR141" s="115"/>
      <c r="AS141" s="115"/>
      <c r="AT141" s="115"/>
      <c r="AU141" s="115"/>
      <c r="AV141" s="115"/>
      <c r="AW141" s="115"/>
      <c r="AX141" s="115"/>
      <c r="AY141" s="115"/>
      <c r="AZ141" s="115"/>
      <c r="BA141" s="115"/>
      <c r="BB141" s="115"/>
      <c r="BC141" s="115"/>
      <c r="BD141" s="115"/>
      <c r="BE141" s="115"/>
      <c r="BF141" s="115"/>
      <c r="BG141" s="115"/>
      <c r="BH141" s="115"/>
      <c r="BI141" s="115"/>
      <c r="BJ141" s="115"/>
      <c r="BK141" s="115"/>
      <c r="BL141" s="115"/>
    </row>
    <row r="142" spans="1:79" ht="23.1" customHeight="1" x14ac:dyDescent="0.2">
      <c r="A142" s="123" t="s">
        <v>7</v>
      </c>
      <c r="B142" s="124"/>
      <c r="C142" s="124"/>
      <c r="D142" s="60" t="s">
        <v>10</v>
      </c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 t="s">
        <v>9</v>
      </c>
      <c r="R142" s="60"/>
      <c r="S142" s="60"/>
      <c r="T142" s="60"/>
      <c r="U142" s="60"/>
      <c r="V142" s="60" t="s">
        <v>8</v>
      </c>
      <c r="W142" s="60"/>
      <c r="X142" s="60"/>
      <c r="Y142" s="60"/>
      <c r="Z142" s="60"/>
      <c r="AA142" s="60"/>
      <c r="AB142" s="60"/>
      <c r="AC142" s="60"/>
      <c r="AD142" s="60"/>
      <c r="AE142" s="60"/>
      <c r="AF142" s="64" t="s">
        <v>243</v>
      </c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6"/>
      <c r="AU142" s="64" t="s">
        <v>245</v>
      </c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6"/>
    </row>
    <row r="143" spans="1:79" ht="28.5" customHeight="1" x14ac:dyDescent="0.2">
      <c r="A143" s="126"/>
      <c r="B143" s="127"/>
      <c r="C143" s="127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 t="s">
        <v>5</v>
      </c>
      <c r="AG143" s="60"/>
      <c r="AH143" s="60"/>
      <c r="AI143" s="60"/>
      <c r="AJ143" s="60"/>
      <c r="AK143" s="60" t="s">
        <v>4</v>
      </c>
      <c r="AL143" s="60"/>
      <c r="AM143" s="60"/>
      <c r="AN143" s="60"/>
      <c r="AO143" s="60"/>
      <c r="AP143" s="60" t="s">
        <v>154</v>
      </c>
      <c r="AQ143" s="60"/>
      <c r="AR143" s="60"/>
      <c r="AS143" s="60"/>
      <c r="AT143" s="60"/>
      <c r="AU143" s="60" t="s">
        <v>5</v>
      </c>
      <c r="AV143" s="60"/>
      <c r="AW143" s="60"/>
      <c r="AX143" s="60"/>
      <c r="AY143" s="60"/>
      <c r="AZ143" s="60" t="s">
        <v>4</v>
      </c>
      <c r="BA143" s="60"/>
      <c r="BB143" s="60"/>
      <c r="BC143" s="60"/>
      <c r="BD143" s="60"/>
      <c r="BE143" s="60" t="s">
        <v>112</v>
      </c>
      <c r="BF143" s="60"/>
      <c r="BG143" s="60"/>
      <c r="BH143" s="60"/>
      <c r="BI143" s="60"/>
    </row>
    <row r="144" spans="1:79" ht="15" customHeight="1" x14ac:dyDescent="0.2">
      <c r="A144" s="64">
        <v>1</v>
      </c>
      <c r="B144" s="65"/>
      <c r="C144" s="65"/>
      <c r="D144" s="60">
        <v>2</v>
      </c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>
        <v>3</v>
      </c>
      <c r="R144" s="60"/>
      <c r="S144" s="60"/>
      <c r="T144" s="60"/>
      <c r="U144" s="60"/>
      <c r="V144" s="60">
        <v>4</v>
      </c>
      <c r="W144" s="60"/>
      <c r="X144" s="60"/>
      <c r="Y144" s="60"/>
      <c r="Z144" s="60"/>
      <c r="AA144" s="60"/>
      <c r="AB144" s="60"/>
      <c r="AC144" s="60"/>
      <c r="AD144" s="60"/>
      <c r="AE144" s="60"/>
      <c r="AF144" s="60">
        <v>5</v>
      </c>
      <c r="AG144" s="60"/>
      <c r="AH144" s="60"/>
      <c r="AI144" s="60"/>
      <c r="AJ144" s="60"/>
      <c r="AK144" s="60">
        <v>6</v>
      </c>
      <c r="AL144" s="60"/>
      <c r="AM144" s="60"/>
      <c r="AN144" s="60"/>
      <c r="AO144" s="60"/>
      <c r="AP144" s="60">
        <v>7</v>
      </c>
      <c r="AQ144" s="60"/>
      <c r="AR144" s="60"/>
      <c r="AS144" s="60"/>
      <c r="AT144" s="60"/>
      <c r="AU144" s="60">
        <v>8</v>
      </c>
      <c r="AV144" s="60"/>
      <c r="AW144" s="60"/>
      <c r="AX144" s="60"/>
      <c r="AY144" s="60"/>
      <c r="AZ144" s="60">
        <v>9</v>
      </c>
      <c r="BA144" s="60"/>
      <c r="BB144" s="60"/>
      <c r="BC144" s="60"/>
      <c r="BD144" s="60"/>
      <c r="BE144" s="60">
        <v>10</v>
      </c>
      <c r="BF144" s="60"/>
      <c r="BG144" s="60"/>
      <c r="BH144" s="60"/>
      <c r="BI144" s="60"/>
    </row>
    <row r="145" spans="1:79" ht="15.75" hidden="1" customHeight="1" x14ac:dyDescent="0.2">
      <c r="A145" s="67" t="s">
        <v>187</v>
      </c>
      <c r="B145" s="68"/>
      <c r="C145" s="68"/>
      <c r="D145" s="60" t="s">
        <v>78</v>
      </c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 t="s">
        <v>91</v>
      </c>
      <c r="R145" s="60"/>
      <c r="S145" s="60"/>
      <c r="T145" s="60"/>
      <c r="U145" s="60"/>
      <c r="V145" s="60" t="s">
        <v>92</v>
      </c>
      <c r="W145" s="60"/>
      <c r="X145" s="60"/>
      <c r="Y145" s="60"/>
      <c r="Z145" s="60"/>
      <c r="AA145" s="60"/>
      <c r="AB145" s="60"/>
      <c r="AC145" s="60"/>
      <c r="AD145" s="60"/>
      <c r="AE145" s="60"/>
      <c r="AF145" s="58" t="s">
        <v>135</v>
      </c>
      <c r="AG145" s="58"/>
      <c r="AH145" s="58"/>
      <c r="AI145" s="58"/>
      <c r="AJ145" s="58"/>
      <c r="AK145" s="76" t="s">
        <v>136</v>
      </c>
      <c r="AL145" s="76"/>
      <c r="AM145" s="76"/>
      <c r="AN145" s="76"/>
      <c r="AO145" s="76"/>
      <c r="AP145" s="129" t="s">
        <v>265</v>
      </c>
      <c r="AQ145" s="129"/>
      <c r="AR145" s="129"/>
      <c r="AS145" s="129"/>
      <c r="AT145" s="129"/>
      <c r="AU145" s="58" t="s">
        <v>137</v>
      </c>
      <c r="AV145" s="58"/>
      <c r="AW145" s="58"/>
      <c r="AX145" s="58"/>
      <c r="AY145" s="58"/>
      <c r="AZ145" s="76" t="s">
        <v>138</v>
      </c>
      <c r="BA145" s="76"/>
      <c r="BB145" s="76"/>
      <c r="BC145" s="76"/>
      <c r="BD145" s="76"/>
      <c r="BE145" s="129" t="s">
        <v>265</v>
      </c>
      <c r="BF145" s="129"/>
      <c r="BG145" s="129"/>
      <c r="BH145" s="129"/>
      <c r="BI145" s="129"/>
      <c r="CA145" t="s">
        <v>47</v>
      </c>
    </row>
    <row r="146" spans="1:79" s="9" customFormat="1" ht="14.25" x14ac:dyDescent="0.2">
      <c r="A146" s="94">
        <v>0</v>
      </c>
      <c r="B146" s="95"/>
      <c r="C146" s="95"/>
      <c r="D146" s="100" t="s">
        <v>264</v>
      </c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CA146" s="9" t="s">
        <v>48</v>
      </c>
    </row>
    <row r="147" spans="1:79" s="7" customFormat="1" ht="14.25" customHeight="1" x14ac:dyDescent="0.2">
      <c r="A147" s="92">
        <v>1</v>
      </c>
      <c r="B147" s="93"/>
      <c r="C147" s="93"/>
      <c r="D147" s="98" t="s">
        <v>266</v>
      </c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9"/>
      <c r="Q147" s="60" t="s">
        <v>222</v>
      </c>
      <c r="R147" s="60"/>
      <c r="S147" s="60"/>
      <c r="T147" s="60"/>
      <c r="U147" s="60"/>
      <c r="V147" s="60" t="s">
        <v>267</v>
      </c>
      <c r="W147" s="60"/>
      <c r="X147" s="60"/>
      <c r="Y147" s="60"/>
      <c r="Z147" s="60"/>
      <c r="AA147" s="60"/>
      <c r="AB147" s="60"/>
      <c r="AC147" s="60"/>
      <c r="AD147" s="60"/>
      <c r="AE147" s="60"/>
      <c r="AF147" s="90">
        <v>3859818</v>
      </c>
      <c r="AG147" s="90"/>
      <c r="AH147" s="90"/>
      <c r="AI147" s="90"/>
      <c r="AJ147" s="90"/>
      <c r="AK147" s="90">
        <v>0</v>
      </c>
      <c r="AL147" s="90"/>
      <c r="AM147" s="90"/>
      <c r="AN147" s="90"/>
      <c r="AO147" s="90"/>
      <c r="AP147" s="90">
        <v>3859818</v>
      </c>
      <c r="AQ147" s="90"/>
      <c r="AR147" s="90"/>
      <c r="AS147" s="90"/>
      <c r="AT147" s="90"/>
      <c r="AU147" s="90">
        <v>3859818</v>
      </c>
      <c r="AV147" s="90"/>
      <c r="AW147" s="90"/>
      <c r="AX147" s="90"/>
      <c r="AY147" s="90"/>
      <c r="AZ147" s="90">
        <v>0</v>
      </c>
      <c r="BA147" s="90"/>
      <c r="BB147" s="90"/>
      <c r="BC147" s="90"/>
      <c r="BD147" s="90"/>
      <c r="BE147" s="90">
        <v>3859818</v>
      </c>
      <c r="BF147" s="90"/>
      <c r="BG147" s="90"/>
      <c r="BH147" s="90"/>
      <c r="BI147" s="90"/>
    </row>
    <row r="148" spans="1:79" s="9" customFormat="1" ht="14.25" x14ac:dyDescent="0.2">
      <c r="A148" s="94">
        <v>0</v>
      </c>
      <c r="B148" s="95"/>
      <c r="C148" s="95"/>
      <c r="D148" s="99" t="s">
        <v>268</v>
      </c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2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</row>
    <row r="149" spans="1:79" s="7" customFormat="1" ht="28.5" customHeight="1" x14ac:dyDescent="0.2">
      <c r="A149" s="92">
        <v>1</v>
      </c>
      <c r="B149" s="93"/>
      <c r="C149" s="93"/>
      <c r="D149" s="98" t="s">
        <v>269</v>
      </c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9"/>
      <c r="Q149" s="60" t="s">
        <v>222</v>
      </c>
      <c r="R149" s="60"/>
      <c r="S149" s="60"/>
      <c r="T149" s="60"/>
      <c r="U149" s="60"/>
      <c r="V149" s="98" t="s">
        <v>270</v>
      </c>
      <c r="W149" s="48"/>
      <c r="X149" s="48"/>
      <c r="Y149" s="48"/>
      <c r="Z149" s="48"/>
      <c r="AA149" s="48"/>
      <c r="AB149" s="48"/>
      <c r="AC149" s="48"/>
      <c r="AD149" s="48"/>
      <c r="AE149" s="49"/>
      <c r="AF149" s="90">
        <v>800</v>
      </c>
      <c r="AG149" s="90"/>
      <c r="AH149" s="90"/>
      <c r="AI149" s="90"/>
      <c r="AJ149" s="90"/>
      <c r="AK149" s="90">
        <v>0</v>
      </c>
      <c r="AL149" s="90"/>
      <c r="AM149" s="90"/>
      <c r="AN149" s="90"/>
      <c r="AO149" s="90"/>
      <c r="AP149" s="90">
        <v>800</v>
      </c>
      <c r="AQ149" s="90"/>
      <c r="AR149" s="90"/>
      <c r="AS149" s="90"/>
      <c r="AT149" s="90"/>
      <c r="AU149" s="90">
        <v>800</v>
      </c>
      <c r="AV149" s="90"/>
      <c r="AW149" s="90"/>
      <c r="AX149" s="90"/>
      <c r="AY149" s="90"/>
      <c r="AZ149" s="90">
        <v>0</v>
      </c>
      <c r="BA149" s="90"/>
      <c r="BB149" s="90"/>
      <c r="BC149" s="90"/>
      <c r="BD149" s="90"/>
      <c r="BE149" s="90">
        <v>800</v>
      </c>
      <c r="BF149" s="90"/>
      <c r="BG149" s="90"/>
      <c r="BH149" s="90"/>
      <c r="BI149" s="90"/>
    </row>
    <row r="150" spans="1:79" s="7" customFormat="1" ht="45" customHeight="1" x14ac:dyDescent="0.2">
      <c r="A150" s="92">
        <v>2</v>
      </c>
      <c r="B150" s="93"/>
      <c r="C150" s="93"/>
      <c r="D150" s="98" t="s">
        <v>271</v>
      </c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9"/>
      <c r="Q150" s="60" t="s">
        <v>222</v>
      </c>
      <c r="R150" s="60"/>
      <c r="S150" s="60"/>
      <c r="T150" s="60"/>
      <c r="U150" s="60"/>
      <c r="V150" s="98" t="s">
        <v>272</v>
      </c>
      <c r="W150" s="48"/>
      <c r="X150" s="48"/>
      <c r="Y150" s="48"/>
      <c r="Z150" s="48"/>
      <c r="AA150" s="48"/>
      <c r="AB150" s="48"/>
      <c r="AC150" s="48"/>
      <c r="AD150" s="48"/>
      <c r="AE150" s="49"/>
      <c r="AF150" s="90">
        <v>350</v>
      </c>
      <c r="AG150" s="90"/>
      <c r="AH150" s="90"/>
      <c r="AI150" s="90"/>
      <c r="AJ150" s="90"/>
      <c r="AK150" s="90">
        <v>0</v>
      </c>
      <c r="AL150" s="90"/>
      <c r="AM150" s="90"/>
      <c r="AN150" s="90"/>
      <c r="AO150" s="90"/>
      <c r="AP150" s="90">
        <v>350</v>
      </c>
      <c r="AQ150" s="90"/>
      <c r="AR150" s="90"/>
      <c r="AS150" s="90"/>
      <c r="AT150" s="90"/>
      <c r="AU150" s="90">
        <v>350</v>
      </c>
      <c r="AV150" s="90"/>
      <c r="AW150" s="90"/>
      <c r="AX150" s="90"/>
      <c r="AY150" s="90"/>
      <c r="AZ150" s="90">
        <v>0</v>
      </c>
      <c r="BA150" s="90"/>
      <c r="BB150" s="90"/>
      <c r="BC150" s="90"/>
      <c r="BD150" s="90"/>
      <c r="BE150" s="90">
        <v>350</v>
      </c>
      <c r="BF150" s="90"/>
      <c r="BG150" s="90"/>
      <c r="BH150" s="90"/>
      <c r="BI150" s="90"/>
    </row>
    <row r="151" spans="1:79" s="9" customFormat="1" ht="14.25" x14ac:dyDescent="0.2">
      <c r="A151" s="94">
        <v>0</v>
      </c>
      <c r="B151" s="95"/>
      <c r="C151" s="95"/>
      <c r="D151" s="99" t="s">
        <v>273</v>
      </c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2"/>
      <c r="Q151" s="100"/>
      <c r="R151" s="100"/>
      <c r="S151" s="100"/>
      <c r="T151" s="100"/>
      <c r="U151" s="100"/>
      <c r="V151" s="99"/>
      <c r="W151" s="41"/>
      <c r="X151" s="41"/>
      <c r="Y151" s="41"/>
      <c r="Z151" s="41"/>
      <c r="AA151" s="41"/>
      <c r="AB151" s="41"/>
      <c r="AC151" s="41"/>
      <c r="AD151" s="41"/>
      <c r="AE151" s="42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</row>
    <row r="152" spans="1:79" s="7" customFormat="1" ht="57" customHeight="1" x14ac:dyDescent="0.2">
      <c r="A152" s="92">
        <v>1</v>
      </c>
      <c r="B152" s="93"/>
      <c r="C152" s="93"/>
      <c r="D152" s="98" t="s">
        <v>274</v>
      </c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9"/>
      <c r="Q152" s="60" t="s">
        <v>222</v>
      </c>
      <c r="R152" s="60"/>
      <c r="S152" s="60"/>
      <c r="T152" s="60"/>
      <c r="U152" s="60"/>
      <c r="V152" s="98" t="s">
        <v>275</v>
      </c>
      <c r="W152" s="48"/>
      <c r="X152" s="48"/>
      <c r="Y152" s="48"/>
      <c r="Z152" s="48"/>
      <c r="AA152" s="48"/>
      <c r="AB152" s="48"/>
      <c r="AC152" s="48"/>
      <c r="AD152" s="48"/>
      <c r="AE152" s="49"/>
      <c r="AF152" s="90">
        <v>114</v>
      </c>
      <c r="AG152" s="90"/>
      <c r="AH152" s="90"/>
      <c r="AI152" s="90"/>
      <c r="AJ152" s="90"/>
      <c r="AK152" s="90">
        <v>0</v>
      </c>
      <c r="AL152" s="90"/>
      <c r="AM152" s="90"/>
      <c r="AN152" s="90"/>
      <c r="AO152" s="90"/>
      <c r="AP152" s="90">
        <v>114</v>
      </c>
      <c r="AQ152" s="90"/>
      <c r="AR152" s="90"/>
      <c r="AS152" s="90"/>
      <c r="AT152" s="90"/>
      <c r="AU152" s="90">
        <v>114</v>
      </c>
      <c r="AV152" s="90"/>
      <c r="AW152" s="90"/>
      <c r="AX152" s="90"/>
      <c r="AY152" s="90"/>
      <c r="AZ152" s="90">
        <v>0</v>
      </c>
      <c r="BA152" s="90"/>
      <c r="BB152" s="90"/>
      <c r="BC152" s="90"/>
      <c r="BD152" s="90"/>
      <c r="BE152" s="90">
        <v>114</v>
      </c>
      <c r="BF152" s="90"/>
      <c r="BG152" s="90"/>
      <c r="BH152" s="90"/>
      <c r="BI152" s="90"/>
    </row>
    <row r="153" spans="1:79" s="7" customFormat="1" ht="45" customHeight="1" x14ac:dyDescent="0.2">
      <c r="A153" s="92">
        <v>2</v>
      </c>
      <c r="B153" s="93"/>
      <c r="C153" s="93"/>
      <c r="D153" s="98" t="s">
        <v>276</v>
      </c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9"/>
      <c r="Q153" s="60" t="s">
        <v>222</v>
      </c>
      <c r="R153" s="60"/>
      <c r="S153" s="60"/>
      <c r="T153" s="60"/>
      <c r="U153" s="60"/>
      <c r="V153" s="98" t="s">
        <v>275</v>
      </c>
      <c r="W153" s="48"/>
      <c r="X153" s="48"/>
      <c r="Y153" s="48"/>
      <c r="Z153" s="48"/>
      <c r="AA153" s="48"/>
      <c r="AB153" s="48"/>
      <c r="AC153" s="48"/>
      <c r="AD153" s="48"/>
      <c r="AE153" s="49"/>
      <c r="AF153" s="90">
        <v>50</v>
      </c>
      <c r="AG153" s="90"/>
      <c r="AH153" s="90"/>
      <c r="AI153" s="90"/>
      <c r="AJ153" s="90"/>
      <c r="AK153" s="90">
        <v>0</v>
      </c>
      <c r="AL153" s="90"/>
      <c r="AM153" s="90"/>
      <c r="AN153" s="90"/>
      <c r="AO153" s="90"/>
      <c r="AP153" s="90">
        <v>50</v>
      </c>
      <c r="AQ153" s="90"/>
      <c r="AR153" s="90"/>
      <c r="AS153" s="90"/>
      <c r="AT153" s="90"/>
      <c r="AU153" s="90">
        <v>50</v>
      </c>
      <c r="AV153" s="90"/>
      <c r="AW153" s="90"/>
      <c r="AX153" s="90"/>
      <c r="AY153" s="90"/>
      <c r="AZ153" s="90">
        <v>0</v>
      </c>
      <c r="BA153" s="90"/>
      <c r="BB153" s="90"/>
      <c r="BC153" s="90"/>
      <c r="BD153" s="90"/>
      <c r="BE153" s="90">
        <v>50</v>
      </c>
      <c r="BF153" s="90"/>
      <c r="BG153" s="90"/>
      <c r="BH153" s="90"/>
      <c r="BI153" s="90"/>
    </row>
    <row r="154" spans="1:79" s="7" customFormat="1" ht="30" customHeight="1" x14ac:dyDescent="0.2">
      <c r="A154" s="92">
        <v>3</v>
      </c>
      <c r="B154" s="93"/>
      <c r="C154" s="93"/>
      <c r="D154" s="98" t="s">
        <v>277</v>
      </c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9"/>
      <c r="Q154" s="60" t="s">
        <v>278</v>
      </c>
      <c r="R154" s="60"/>
      <c r="S154" s="60"/>
      <c r="T154" s="60"/>
      <c r="U154" s="60"/>
      <c r="V154" s="98" t="s">
        <v>275</v>
      </c>
      <c r="W154" s="48"/>
      <c r="X154" s="48"/>
      <c r="Y154" s="48"/>
      <c r="Z154" s="48"/>
      <c r="AA154" s="48"/>
      <c r="AB154" s="48"/>
      <c r="AC154" s="48"/>
      <c r="AD154" s="48"/>
      <c r="AE154" s="49"/>
      <c r="AF154" s="90">
        <v>227048.12</v>
      </c>
      <c r="AG154" s="90"/>
      <c r="AH154" s="90"/>
      <c r="AI154" s="90"/>
      <c r="AJ154" s="90"/>
      <c r="AK154" s="90">
        <v>0</v>
      </c>
      <c r="AL154" s="90"/>
      <c r="AM154" s="90"/>
      <c r="AN154" s="90"/>
      <c r="AO154" s="90"/>
      <c r="AP154" s="90">
        <v>227048.12</v>
      </c>
      <c r="AQ154" s="90"/>
      <c r="AR154" s="90"/>
      <c r="AS154" s="90"/>
      <c r="AT154" s="90"/>
      <c r="AU154" s="90">
        <v>227048.12</v>
      </c>
      <c r="AV154" s="90"/>
      <c r="AW154" s="90"/>
      <c r="AX154" s="90"/>
      <c r="AY154" s="90"/>
      <c r="AZ154" s="90">
        <v>0</v>
      </c>
      <c r="BA154" s="90"/>
      <c r="BB154" s="90"/>
      <c r="BC154" s="90"/>
      <c r="BD154" s="90"/>
      <c r="BE154" s="90">
        <v>227048.12</v>
      </c>
      <c r="BF154" s="90"/>
      <c r="BG154" s="90"/>
      <c r="BH154" s="90"/>
      <c r="BI154" s="90"/>
    </row>
    <row r="155" spans="1:79" s="9" customFormat="1" ht="14.25" x14ac:dyDescent="0.2">
      <c r="A155" s="94">
        <v>0</v>
      </c>
      <c r="B155" s="95"/>
      <c r="C155" s="95"/>
      <c r="D155" s="99" t="s">
        <v>279</v>
      </c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2"/>
      <c r="Q155" s="100"/>
      <c r="R155" s="100"/>
      <c r="S155" s="100"/>
      <c r="T155" s="100"/>
      <c r="U155" s="100"/>
      <c r="V155" s="99"/>
      <c r="W155" s="41"/>
      <c r="X155" s="41"/>
      <c r="Y155" s="41"/>
      <c r="Z155" s="41"/>
      <c r="AA155" s="41"/>
      <c r="AB155" s="41"/>
      <c r="AC155" s="41"/>
      <c r="AD155" s="41"/>
      <c r="AE155" s="42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</row>
    <row r="156" spans="1:79" s="7" customFormat="1" ht="28.5" customHeight="1" x14ac:dyDescent="0.2">
      <c r="A156" s="92">
        <v>1</v>
      </c>
      <c r="B156" s="93"/>
      <c r="C156" s="93"/>
      <c r="D156" s="98" t="s">
        <v>280</v>
      </c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9"/>
      <c r="Q156" s="60" t="s">
        <v>281</v>
      </c>
      <c r="R156" s="60"/>
      <c r="S156" s="60"/>
      <c r="T156" s="60"/>
      <c r="U156" s="60"/>
      <c r="V156" s="98" t="s">
        <v>282</v>
      </c>
      <c r="W156" s="48"/>
      <c r="X156" s="48"/>
      <c r="Y156" s="48"/>
      <c r="Z156" s="48"/>
      <c r="AA156" s="48"/>
      <c r="AB156" s="48"/>
      <c r="AC156" s="48"/>
      <c r="AD156" s="48"/>
      <c r="AE156" s="49"/>
      <c r="AF156" s="90">
        <v>100</v>
      </c>
      <c r="AG156" s="90"/>
      <c r="AH156" s="90"/>
      <c r="AI156" s="90"/>
      <c r="AJ156" s="90"/>
      <c r="AK156" s="90">
        <v>0</v>
      </c>
      <c r="AL156" s="90"/>
      <c r="AM156" s="90"/>
      <c r="AN156" s="90"/>
      <c r="AO156" s="90"/>
      <c r="AP156" s="90">
        <v>100</v>
      </c>
      <c r="AQ156" s="90"/>
      <c r="AR156" s="90"/>
      <c r="AS156" s="90"/>
      <c r="AT156" s="90"/>
      <c r="AU156" s="90">
        <v>100</v>
      </c>
      <c r="AV156" s="90"/>
      <c r="AW156" s="90"/>
      <c r="AX156" s="90"/>
      <c r="AY156" s="90"/>
      <c r="AZ156" s="90">
        <v>0</v>
      </c>
      <c r="BA156" s="90"/>
      <c r="BB156" s="90"/>
      <c r="BC156" s="90"/>
      <c r="BD156" s="90"/>
      <c r="BE156" s="90">
        <v>100</v>
      </c>
      <c r="BF156" s="90"/>
      <c r="BG156" s="90"/>
      <c r="BH156" s="90"/>
      <c r="BI156" s="90"/>
    </row>
    <row r="158" spans="1:79" ht="14.25" customHeight="1" x14ac:dyDescent="0.2">
      <c r="A158" s="115" t="s">
        <v>155</v>
      </c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</row>
    <row r="159" spans="1:79" ht="15" customHeight="1" x14ac:dyDescent="0.2">
      <c r="A159" s="122" t="s">
        <v>239</v>
      </c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  <c r="AR159" s="122"/>
      <c r="AS159" s="122"/>
      <c r="AT159" s="122"/>
      <c r="AU159" s="122"/>
      <c r="AV159" s="122"/>
      <c r="AW159" s="122"/>
      <c r="AX159" s="122"/>
      <c r="AY159" s="122"/>
      <c r="AZ159" s="122"/>
      <c r="BA159" s="122"/>
      <c r="BB159" s="122"/>
      <c r="BC159" s="122"/>
      <c r="BD159" s="122"/>
      <c r="BE159" s="122"/>
      <c r="BF159" s="122"/>
      <c r="BG159" s="122"/>
      <c r="BH159" s="122"/>
      <c r="BI159" s="122"/>
      <c r="BJ159" s="122"/>
      <c r="BK159" s="122"/>
      <c r="BL159" s="122"/>
      <c r="BM159" s="122"/>
      <c r="BN159" s="122"/>
      <c r="BO159" s="122"/>
      <c r="BP159" s="122"/>
      <c r="BQ159" s="122"/>
      <c r="BR159" s="122"/>
    </row>
    <row r="160" spans="1:79" ht="12.95" customHeight="1" x14ac:dyDescent="0.2">
      <c r="A160" s="123" t="s">
        <v>20</v>
      </c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5"/>
      <c r="U160" s="60" t="s">
        <v>240</v>
      </c>
      <c r="V160" s="60"/>
      <c r="W160" s="60"/>
      <c r="X160" s="60"/>
      <c r="Y160" s="60"/>
      <c r="Z160" s="60"/>
      <c r="AA160" s="60"/>
      <c r="AB160" s="60"/>
      <c r="AC160" s="60"/>
      <c r="AD160" s="60"/>
      <c r="AE160" s="60" t="s">
        <v>241</v>
      </c>
      <c r="AF160" s="60"/>
      <c r="AG160" s="60"/>
      <c r="AH160" s="60"/>
      <c r="AI160" s="60"/>
      <c r="AJ160" s="60"/>
      <c r="AK160" s="60"/>
      <c r="AL160" s="60"/>
      <c r="AM160" s="60"/>
      <c r="AN160" s="60"/>
      <c r="AO160" s="60" t="s">
        <v>242</v>
      </c>
      <c r="AP160" s="60"/>
      <c r="AQ160" s="60"/>
      <c r="AR160" s="60"/>
      <c r="AS160" s="60"/>
      <c r="AT160" s="60"/>
      <c r="AU160" s="60"/>
      <c r="AV160" s="60"/>
      <c r="AW160" s="60"/>
      <c r="AX160" s="60"/>
      <c r="AY160" s="60" t="s">
        <v>243</v>
      </c>
      <c r="AZ160" s="60"/>
      <c r="BA160" s="60"/>
      <c r="BB160" s="60"/>
      <c r="BC160" s="60"/>
      <c r="BD160" s="60"/>
      <c r="BE160" s="60"/>
      <c r="BF160" s="60"/>
      <c r="BG160" s="60"/>
      <c r="BH160" s="60"/>
      <c r="BI160" s="60" t="s">
        <v>245</v>
      </c>
      <c r="BJ160" s="60"/>
      <c r="BK160" s="60"/>
      <c r="BL160" s="60"/>
      <c r="BM160" s="60"/>
      <c r="BN160" s="60"/>
      <c r="BO160" s="60"/>
      <c r="BP160" s="60"/>
      <c r="BQ160" s="60"/>
      <c r="BR160" s="60"/>
    </row>
    <row r="161" spans="1:79" ht="30" customHeight="1" x14ac:dyDescent="0.2">
      <c r="A161" s="126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8"/>
      <c r="U161" s="60" t="s">
        <v>5</v>
      </c>
      <c r="V161" s="60"/>
      <c r="W161" s="60"/>
      <c r="X161" s="60"/>
      <c r="Y161" s="60"/>
      <c r="Z161" s="60" t="s">
        <v>4</v>
      </c>
      <c r="AA161" s="60"/>
      <c r="AB161" s="60"/>
      <c r="AC161" s="60"/>
      <c r="AD161" s="60"/>
      <c r="AE161" s="60" t="s">
        <v>5</v>
      </c>
      <c r="AF161" s="60"/>
      <c r="AG161" s="60"/>
      <c r="AH161" s="60"/>
      <c r="AI161" s="60"/>
      <c r="AJ161" s="60" t="s">
        <v>4</v>
      </c>
      <c r="AK161" s="60"/>
      <c r="AL161" s="60"/>
      <c r="AM161" s="60"/>
      <c r="AN161" s="60"/>
      <c r="AO161" s="60" t="s">
        <v>5</v>
      </c>
      <c r="AP161" s="60"/>
      <c r="AQ161" s="60"/>
      <c r="AR161" s="60"/>
      <c r="AS161" s="60"/>
      <c r="AT161" s="60" t="s">
        <v>4</v>
      </c>
      <c r="AU161" s="60"/>
      <c r="AV161" s="60"/>
      <c r="AW161" s="60"/>
      <c r="AX161" s="60"/>
      <c r="AY161" s="60" t="s">
        <v>5</v>
      </c>
      <c r="AZ161" s="60"/>
      <c r="BA161" s="60"/>
      <c r="BB161" s="60"/>
      <c r="BC161" s="60"/>
      <c r="BD161" s="60" t="s">
        <v>4</v>
      </c>
      <c r="BE161" s="60"/>
      <c r="BF161" s="60"/>
      <c r="BG161" s="60"/>
      <c r="BH161" s="60"/>
      <c r="BI161" s="60" t="s">
        <v>5</v>
      </c>
      <c r="BJ161" s="60"/>
      <c r="BK161" s="60"/>
      <c r="BL161" s="60"/>
      <c r="BM161" s="60"/>
      <c r="BN161" s="60" t="s">
        <v>4</v>
      </c>
      <c r="BO161" s="60"/>
      <c r="BP161" s="60"/>
      <c r="BQ161" s="60"/>
      <c r="BR161" s="60"/>
    </row>
    <row r="162" spans="1:79" ht="15" customHeight="1" x14ac:dyDescent="0.2">
      <c r="A162" s="64">
        <v>1</v>
      </c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6"/>
      <c r="U162" s="60">
        <v>2</v>
      </c>
      <c r="V162" s="60"/>
      <c r="W162" s="60"/>
      <c r="X162" s="60"/>
      <c r="Y162" s="60"/>
      <c r="Z162" s="60">
        <v>3</v>
      </c>
      <c r="AA162" s="60"/>
      <c r="AB162" s="60"/>
      <c r="AC162" s="60"/>
      <c r="AD162" s="60"/>
      <c r="AE162" s="60">
        <v>4</v>
      </c>
      <c r="AF162" s="60"/>
      <c r="AG162" s="60"/>
      <c r="AH162" s="60"/>
      <c r="AI162" s="60"/>
      <c r="AJ162" s="60">
        <v>5</v>
      </c>
      <c r="AK162" s="60"/>
      <c r="AL162" s="60"/>
      <c r="AM162" s="60"/>
      <c r="AN162" s="60"/>
      <c r="AO162" s="60">
        <v>6</v>
      </c>
      <c r="AP162" s="60"/>
      <c r="AQ162" s="60"/>
      <c r="AR162" s="60"/>
      <c r="AS162" s="60"/>
      <c r="AT162" s="60">
        <v>7</v>
      </c>
      <c r="AU162" s="60"/>
      <c r="AV162" s="60"/>
      <c r="AW162" s="60"/>
      <c r="AX162" s="60"/>
      <c r="AY162" s="60">
        <v>8</v>
      </c>
      <c r="AZ162" s="60"/>
      <c r="BA162" s="60"/>
      <c r="BB162" s="60"/>
      <c r="BC162" s="60"/>
      <c r="BD162" s="60">
        <v>9</v>
      </c>
      <c r="BE162" s="60"/>
      <c r="BF162" s="60"/>
      <c r="BG162" s="60"/>
      <c r="BH162" s="60"/>
      <c r="BI162" s="60">
        <v>10</v>
      </c>
      <c r="BJ162" s="60"/>
      <c r="BK162" s="60"/>
      <c r="BL162" s="60"/>
      <c r="BM162" s="60"/>
      <c r="BN162" s="60">
        <v>11</v>
      </c>
      <c r="BO162" s="60"/>
      <c r="BP162" s="60"/>
      <c r="BQ162" s="60"/>
      <c r="BR162" s="60"/>
    </row>
    <row r="163" spans="1:79" s="2" customFormat="1" ht="15.75" hidden="1" customHeight="1" x14ac:dyDescent="0.2">
      <c r="A163" s="67" t="s">
        <v>78</v>
      </c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9"/>
      <c r="U163" s="58" t="s">
        <v>86</v>
      </c>
      <c r="V163" s="58"/>
      <c r="W163" s="58"/>
      <c r="X163" s="58"/>
      <c r="Y163" s="58"/>
      <c r="Z163" s="76" t="s">
        <v>87</v>
      </c>
      <c r="AA163" s="76"/>
      <c r="AB163" s="76"/>
      <c r="AC163" s="76"/>
      <c r="AD163" s="76"/>
      <c r="AE163" s="58" t="s">
        <v>88</v>
      </c>
      <c r="AF163" s="58"/>
      <c r="AG163" s="58"/>
      <c r="AH163" s="58"/>
      <c r="AI163" s="58"/>
      <c r="AJ163" s="76" t="s">
        <v>89</v>
      </c>
      <c r="AK163" s="76"/>
      <c r="AL163" s="76"/>
      <c r="AM163" s="76"/>
      <c r="AN163" s="76"/>
      <c r="AO163" s="58" t="s">
        <v>79</v>
      </c>
      <c r="AP163" s="58"/>
      <c r="AQ163" s="58"/>
      <c r="AR163" s="58"/>
      <c r="AS163" s="58"/>
      <c r="AT163" s="76" t="s">
        <v>80</v>
      </c>
      <c r="AU163" s="76"/>
      <c r="AV163" s="76"/>
      <c r="AW163" s="76"/>
      <c r="AX163" s="76"/>
      <c r="AY163" s="58" t="s">
        <v>81</v>
      </c>
      <c r="AZ163" s="58"/>
      <c r="BA163" s="58"/>
      <c r="BB163" s="58"/>
      <c r="BC163" s="58"/>
      <c r="BD163" s="76" t="s">
        <v>82</v>
      </c>
      <c r="BE163" s="76"/>
      <c r="BF163" s="76"/>
      <c r="BG163" s="76"/>
      <c r="BH163" s="76"/>
      <c r="BI163" s="58" t="s">
        <v>83</v>
      </c>
      <c r="BJ163" s="58"/>
      <c r="BK163" s="58"/>
      <c r="BL163" s="58"/>
      <c r="BM163" s="58"/>
      <c r="BN163" s="76" t="s">
        <v>84</v>
      </c>
      <c r="BO163" s="76"/>
      <c r="BP163" s="76"/>
      <c r="BQ163" s="76"/>
      <c r="BR163" s="76"/>
      <c r="CA163" t="s">
        <v>49</v>
      </c>
    </row>
    <row r="164" spans="1:79" s="9" customFormat="1" ht="12.75" customHeight="1" x14ac:dyDescent="0.2">
      <c r="A164" s="45" t="s">
        <v>283</v>
      </c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2"/>
      <c r="U164" s="97">
        <v>0</v>
      </c>
      <c r="V164" s="97"/>
      <c r="W164" s="97"/>
      <c r="X164" s="97"/>
      <c r="Y164" s="97"/>
      <c r="Z164" s="97">
        <v>0</v>
      </c>
      <c r="AA164" s="97"/>
      <c r="AB164" s="97"/>
      <c r="AC164" s="97"/>
      <c r="AD164" s="97"/>
      <c r="AE164" s="97">
        <v>560313.5</v>
      </c>
      <c r="AF164" s="97"/>
      <c r="AG164" s="97"/>
      <c r="AH164" s="97"/>
      <c r="AI164" s="97"/>
      <c r="AJ164" s="97">
        <v>0</v>
      </c>
      <c r="AK164" s="97"/>
      <c r="AL164" s="97"/>
      <c r="AM164" s="97"/>
      <c r="AN164" s="97"/>
      <c r="AO164" s="97">
        <v>1280281.5</v>
      </c>
      <c r="AP164" s="97"/>
      <c r="AQ164" s="97"/>
      <c r="AR164" s="97"/>
      <c r="AS164" s="97"/>
      <c r="AT164" s="97">
        <v>0</v>
      </c>
      <c r="AU164" s="97"/>
      <c r="AV164" s="97"/>
      <c r="AW164" s="97"/>
      <c r="AX164" s="97"/>
      <c r="AY164" s="97">
        <v>1280281.5</v>
      </c>
      <c r="AZ164" s="97"/>
      <c r="BA164" s="97"/>
      <c r="BB164" s="97"/>
      <c r="BC164" s="97"/>
      <c r="BD164" s="97">
        <v>0</v>
      </c>
      <c r="BE164" s="97"/>
      <c r="BF164" s="97"/>
      <c r="BG164" s="97"/>
      <c r="BH164" s="97"/>
      <c r="BI164" s="97">
        <v>1280281.5</v>
      </c>
      <c r="BJ164" s="97"/>
      <c r="BK164" s="97"/>
      <c r="BL164" s="97"/>
      <c r="BM164" s="97"/>
      <c r="BN164" s="97">
        <v>0</v>
      </c>
      <c r="BO164" s="97"/>
      <c r="BP164" s="97"/>
      <c r="BQ164" s="97"/>
      <c r="BR164" s="97"/>
      <c r="CA164" s="9" t="s">
        <v>50</v>
      </c>
    </row>
    <row r="165" spans="1:79" s="7" customFormat="1" ht="12.75" customHeight="1" x14ac:dyDescent="0.2">
      <c r="A165" s="52" t="s">
        <v>284</v>
      </c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9"/>
      <c r="U165" s="96">
        <v>0</v>
      </c>
      <c r="V165" s="96"/>
      <c r="W165" s="96"/>
      <c r="X165" s="96"/>
      <c r="Y165" s="96"/>
      <c r="Z165" s="96">
        <v>0</v>
      </c>
      <c r="AA165" s="96"/>
      <c r="AB165" s="96"/>
      <c r="AC165" s="96"/>
      <c r="AD165" s="96"/>
      <c r="AE165" s="96">
        <v>355530</v>
      </c>
      <c r="AF165" s="96"/>
      <c r="AG165" s="96"/>
      <c r="AH165" s="96"/>
      <c r="AI165" s="96"/>
      <c r="AJ165" s="96">
        <v>0</v>
      </c>
      <c r="AK165" s="96"/>
      <c r="AL165" s="96"/>
      <c r="AM165" s="96"/>
      <c r="AN165" s="96"/>
      <c r="AO165" s="96">
        <v>972030</v>
      </c>
      <c r="AP165" s="96"/>
      <c r="AQ165" s="96"/>
      <c r="AR165" s="96"/>
      <c r="AS165" s="96"/>
      <c r="AT165" s="96">
        <v>0</v>
      </c>
      <c r="AU165" s="96"/>
      <c r="AV165" s="96"/>
      <c r="AW165" s="96"/>
      <c r="AX165" s="96"/>
      <c r="AY165" s="96">
        <v>972030</v>
      </c>
      <c r="AZ165" s="96"/>
      <c r="BA165" s="96"/>
      <c r="BB165" s="96"/>
      <c r="BC165" s="96"/>
      <c r="BD165" s="96">
        <v>0</v>
      </c>
      <c r="BE165" s="96"/>
      <c r="BF165" s="96"/>
      <c r="BG165" s="96"/>
      <c r="BH165" s="96"/>
      <c r="BI165" s="96">
        <v>972030</v>
      </c>
      <c r="BJ165" s="96"/>
      <c r="BK165" s="96"/>
      <c r="BL165" s="96"/>
      <c r="BM165" s="96"/>
      <c r="BN165" s="96">
        <v>0</v>
      </c>
      <c r="BO165" s="96"/>
      <c r="BP165" s="96"/>
      <c r="BQ165" s="96"/>
      <c r="BR165" s="96"/>
    </row>
    <row r="166" spans="1:79" s="7" customFormat="1" ht="12.75" customHeight="1" x14ac:dyDescent="0.2">
      <c r="A166" s="52" t="s">
        <v>285</v>
      </c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9"/>
      <c r="U166" s="96">
        <v>0</v>
      </c>
      <c r="V166" s="96"/>
      <c r="W166" s="96"/>
      <c r="X166" s="96"/>
      <c r="Y166" s="96"/>
      <c r="Z166" s="96">
        <v>0</v>
      </c>
      <c r="AA166" s="96"/>
      <c r="AB166" s="96"/>
      <c r="AC166" s="96"/>
      <c r="AD166" s="96"/>
      <c r="AE166" s="96">
        <v>204783.5</v>
      </c>
      <c r="AF166" s="96"/>
      <c r="AG166" s="96"/>
      <c r="AH166" s="96"/>
      <c r="AI166" s="96"/>
      <c r="AJ166" s="96">
        <v>0</v>
      </c>
      <c r="AK166" s="96"/>
      <c r="AL166" s="96"/>
      <c r="AM166" s="96"/>
      <c r="AN166" s="96"/>
      <c r="AO166" s="96">
        <v>308251.5</v>
      </c>
      <c r="AP166" s="96"/>
      <c r="AQ166" s="96"/>
      <c r="AR166" s="96"/>
      <c r="AS166" s="96"/>
      <c r="AT166" s="96">
        <v>0</v>
      </c>
      <c r="AU166" s="96"/>
      <c r="AV166" s="96"/>
      <c r="AW166" s="96"/>
      <c r="AX166" s="96"/>
      <c r="AY166" s="96">
        <v>308251.5</v>
      </c>
      <c r="AZ166" s="96"/>
      <c r="BA166" s="96"/>
      <c r="BB166" s="96"/>
      <c r="BC166" s="96"/>
      <c r="BD166" s="96">
        <v>0</v>
      </c>
      <c r="BE166" s="96"/>
      <c r="BF166" s="96"/>
      <c r="BG166" s="96"/>
      <c r="BH166" s="96"/>
      <c r="BI166" s="96">
        <v>308251.5</v>
      </c>
      <c r="BJ166" s="96"/>
      <c r="BK166" s="96"/>
      <c r="BL166" s="96"/>
      <c r="BM166" s="96"/>
      <c r="BN166" s="96">
        <v>0</v>
      </c>
      <c r="BO166" s="96"/>
      <c r="BP166" s="96"/>
      <c r="BQ166" s="96"/>
      <c r="BR166" s="96"/>
    </row>
    <row r="167" spans="1:79" s="7" customFormat="1" ht="12.75" customHeight="1" x14ac:dyDescent="0.2">
      <c r="A167" s="52" t="s">
        <v>286</v>
      </c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9"/>
      <c r="U167" s="96">
        <v>0</v>
      </c>
      <c r="V167" s="96"/>
      <c r="W167" s="96"/>
      <c r="X167" s="96"/>
      <c r="Y167" s="96"/>
      <c r="Z167" s="96">
        <v>0</v>
      </c>
      <c r="AA167" s="96"/>
      <c r="AB167" s="96"/>
      <c r="AC167" s="96"/>
      <c r="AD167" s="96"/>
      <c r="AE167" s="96">
        <v>576889.5</v>
      </c>
      <c r="AF167" s="96"/>
      <c r="AG167" s="96"/>
      <c r="AH167" s="96"/>
      <c r="AI167" s="96"/>
      <c r="AJ167" s="96">
        <v>0</v>
      </c>
      <c r="AK167" s="96"/>
      <c r="AL167" s="96"/>
      <c r="AM167" s="96"/>
      <c r="AN167" s="96"/>
      <c r="AO167" s="96">
        <v>2151749</v>
      </c>
      <c r="AP167" s="96"/>
      <c r="AQ167" s="96"/>
      <c r="AR167" s="96"/>
      <c r="AS167" s="96"/>
      <c r="AT167" s="96">
        <v>0</v>
      </c>
      <c r="AU167" s="96"/>
      <c r="AV167" s="96"/>
      <c r="AW167" s="96"/>
      <c r="AX167" s="96"/>
      <c r="AY167" s="96">
        <v>2151749</v>
      </c>
      <c r="AZ167" s="96"/>
      <c r="BA167" s="96"/>
      <c r="BB167" s="96"/>
      <c r="BC167" s="96"/>
      <c r="BD167" s="96">
        <v>0</v>
      </c>
      <c r="BE167" s="96"/>
      <c r="BF167" s="96"/>
      <c r="BG167" s="96"/>
      <c r="BH167" s="96"/>
      <c r="BI167" s="96">
        <v>2151749</v>
      </c>
      <c r="BJ167" s="96"/>
      <c r="BK167" s="96"/>
      <c r="BL167" s="96"/>
      <c r="BM167" s="96"/>
      <c r="BN167" s="96">
        <v>0</v>
      </c>
      <c r="BO167" s="96"/>
      <c r="BP167" s="96"/>
      <c r="BQ167" s="96"/>
      <c r="BR167" s="96"/>
    </row>
    <row r="168" spans="1:79" s="9" customFormat="1" ht="12.75" customHeight="1" x14ac:dyDescent="0.2">
      <c r="A168" s="45" t="s">
        <v>287</v>
      </c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2"/>
      <c r="U168" s="97">
        <v>0</v>
      </c>
      <c r="V168" s="97"/>
      <c r="W168" s="97"/>
      <c r="X168" s="97"/>
      <c r="Y168" s="97"/>
      <c r="Z168" s="97">
        <v>0</v>
      </c>
      <c r="AA168" s="97"/>
      <c r="AB168" s="97"/>
      <c r="AC168" s="97"/>
      <c r="AD168" s="97"/>
      <c r="AE168" s="97">
        <v>99889</v>
      </c>
      <c r="AF168" s="97"/>
      <c r="AG168" s="97"/>
      <c r="AH168" s="97"/>
      <c r="AI168" s="97"/>
      <c r="AJ168" s="97">
        <v>0</v>
      </c>
      <c r="AK168" s="97"/>
      <c r="AL168" s="97"/>
      <c r="AM168" s="97"/>
      <c r="AN168" s="97"/>
      <c r="AO168" s="97">
        <v>427787.5</v>
      </c>
      <c r="AP168" s="97"/>
      <c r="AQ168" s="97"/>
      <c r="AR168" s="97"/>
      <c r="AS168" s="97"/>
      <c r="AT168" s="97">
        <v>0</v>
      </c>
      <c r="AU168" s="97"/>
      <c r="AV168" s="97"/>
      <c r="AW168" s="97"/>
      <c r="AX168" s="97"/>
      <c r="AY168" s="97">
        <v>427787.5</v>
      </c>
      <c r="AZ168" s="97"/>
      <c r="BA168" s="97"/>
      <c r="BB168" s="97"/>
      <c r="BC168" s="97"/>
      <c r="BD168" s="97">
        <v>0</v>
      </c>
      <c r="BE168" s="97"/>
      <c r="BF168" s="97"/>
      <c r="BG168" s="97"/>
      <c r="BH168" s="97"/>
      <c r="BI168" s="97">
        <v>427787.5</v>
      </c>
      <c r="BJ168" s="97"/>
      <c r="BK168" s="97"/>
      <c r="BL168" s="97"/>
      <c r="BM168" s="97"/>
      <c r="BN168" s="97">
        <v>0</v>
      </c>
      <c r="BO168" s="97"/>
      <c r="BP168" s="97"/>
      <c r="BQ168" s="97"/>
      <c r="BR168" s="97"/>
    </row>
    <row r="169" spans="1:79" s="7" customFormat="1" ht="12.75" customHeight="1" x14ac:dyDescent="0.2">
      <c r="A169" s="52" t="s">
        <v>288</v>
      </c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9"/>
      <c r="U169" s="96">
        <v>0</v>
      </c>
      <c r="V169" s="96"/>
      <c r="W169" s="96"/>
      <c r="X169" s="96"/>
      <c r="Y169" s="96"/>
      <c r="Z169" s="96">
        <v>0</v>
      </c>
      <c r="AA169" s="96"/>
      <c r="AB169" s="96"/>
      <c r="AC169" s="96"/>
      <c r="AD169" s="96"/>
      <c r="AE169" s="96">
        <v>40530</v>
      </c>
      <c r="AF169" s="96"/>
      <c r="AG169" s="96"/>
      <c r="AH169" s="96"/>
      <c r="AI169" s="96"/>
      <c r="AJ169" s="96">
        <v>0</v>
      </c>
      <c r="AK169" s="96"/>
      <c r="AL169" s="96"/>
      <c r="AM169" s="96"/>
      <c r="AN169" s="96"/>
      <c r="AO169" s="96">
        <v>270440</v>
      </c>
      <c r="AP169" s="96"/>
      <c r="AQ169" s="96"/>
      <c r="AR169" s="96"/>
      <c r="AS169" s="96"/>
      <c r="AT169" s="96">
        <v>0</v>
      </c>
      <c r="AU169" s="96"/>
      <c r="AV169" s="96"/>
      <c r="AW169" s="96"/>
      <c r="AX169" s="96"/>
      <c r="AY169" s="96">
        <v>270440</v>
      </c>
      <c r="AZ169" s="96"/>
      <c r="BA169" s="96"/>
      <c r="BB169" s="96"/>
      <c r="BC169" s="96"/>
      <c r="BD169" s="96">
        <v>0</v>
      </c>
      <c r="BE169" s="96"/>
      <c r="BF169" s="96"/>
      <c r="BG169" s="96"/>
      <c r="BH169" s="96"/>
      <c r="BI169" s="96">
        <v>270440</v>
      </c>
      <c r="BJ169" s="96"/>
      <c r="BK169" s="96"/>
      <c r="BL169" s="96"/>
      <c r="BM169" s="96"/>
      <c r="BN169" s="96">
        <v>0</v>
      </c>
      <c r="BO169" s="96"/>
      <c r="BP169" s="96"/>
      <c r="BQ169" s="96"/>
      <c r="BR169" s="96"/>
    </row>
    <row r="170" spans="1:79" s="7" customFormat="1" ht="12.75" customHeight="1" x14ac:dyDescent="0.2">
      <c r="A170" s="52" t="s">
        <v>289</v>
      </c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9"/>
      <c r="U170" s="96">
        <v>0</v>
      </c>
      <c r="V170" s="96"/>
      <c r="W170" s="96"/>
      <c r="X170" s="96"/>
      <c r="Y170" s="96"/>
      <c r="Z170" s="96">
        <v>0</v>
      </c>
      <c r="AA170" s="96"/>
      <c r="AB170" s="96"/>
      <c r="AC170" s="96"/>
      <c r="AD170" s="96"/>
      <c r="AE170" s="96">
        <v>59359</v>
      </c>
      <c r="AF170" s="96"/>
      <c r="AG170" s="96"/>
      <c r="AH170" s="96"/>
      <c r="AI170" s="96"/>
      <c r="AJ170" s="96">
        <v>0</v>
      </c>
      <c r="AK170" s="96"/>
      <c r="AL170" s="96"/>
      <c r="AM170" s="96"/>
      <c r="AN170" s="96"/>
      <c r="AO170" s="96">
        <v>157347.5</v>
      </c>
      <c r="AP170" s="96"/>
      <c r="AQ170" s="96"/>
      <c r="AR170" s="96"/>
      <c r="AS170" s="96"/>
      <c r="AT170" s="96">
        <v>0</v>
      </c>
      <c r="AU170" s="96"/>
      <c r="AV170" s="96"/>
      <c r="AW170" s="96"/>
      <c r="AX170" s="96"/>
      <c r="AY170" s="96">
        <v>157347.5</v>
      </c>
      <c r="AZ170" s="96"/>
      <c r="BA170" s="96"/>
      <c r="BB170" s="96"/>
      <c r="BC170" s="96"/>
      <c r="BD170" s="96">
        <v>0</v>
      </c>
      <c r="BE170" s="96"/>
      <c r="BF170" s="96"/>
      <c r="BG170" s="96"/>
      <c r="BH170" s="96"/>
      <c r="BI170" s="96">
        <v>157347.5</v>
      </c>
      <c r="BJ170" s="96"/>
      <c r="BK170" s="96"/>
      <c r="BL170" s="96"/>
      <c r="BM170" s="96"/>
      <c r="BN170" s="96">
        <v>0</v>
      </c>
      <c r="BO170" s="96"/>
      <c r="BP170" s="96"/>
      <c r="BQ170" s="96"/>
      <c r="BR170" s="96"/>
    </row>
    <row r="171" spans="1:79" s="9" customFormat="1" ht="12.75" customHeight="1" x14ac:dyDescent="0.2">
      <c r="A171" s="45" t="s">
        <v>179</v>
      </c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2"/>
      <c r="U171" s="97">
        <v>0</v>
      </c>
      <c r="V171" s="97"/>
      <c r="W171" s="97"/>
      <c r="X171" s="97"/>
      <c r="Y171" s="97"/>
      <c r="Z171" s="97">
        <v>0</v>
      </c>
      <c r="AA171" s="97"/>
      <c r="AB171" s="97"/>
      <c r="AC171" s="97"/>
      <c r="AD171" s="97"/>
      <c r="AE171" s="97">
        <v>1237092</v>
      </c>
      <c r="AF171" s="97"/>
      <c r="AG171" s="97"/>
      <c r="AH171" s="97"/>
      <c r="AI171" s="97"/>
      <c r="AJ171" s="97">
        <v>0</v>
      </c>
      <c r="AK171" s="97"/>
      <c r="AL171" s="97"/>
      <c r="AM171" s="97"/>
      <c r="AN171" s="97"/>
      <c r="AO171" s="97">
        <v>3859818</v>
      </c>
      <c r="AP171" s="97"/>
      <c r="AQ171" s="97"/>
      <c r="AR171" s="97"/>
      <c r="AS171" s="97"/>
      <c r="AT171" s="97">
        <v>0</v>
      </c>
      <c r="AU171" s="97"/>
      <c r="AV171" s="97"/>
      <c r="AW171" s="97"/>
      <c r="AX171" s="97"/>
      <c r="AY171" s="97">
        <v>3859818</v>
      </c>
      <c r="AZ171" s="97"/>
      <c r="BA171" s="97"/>
      <c r="BB171" s="97"/>
      <c r="BC171" s="97"/>
      <c r="BD171" s="97">
        <v>0</v>
      </c>
      <c r="BE171" s="97"/>
      <c r="BF171" s="97"/>
      <c r="BG171" s="97"/>
      <c r="BH171" s="97"/>
      <c r="BI171" s="97">
        <v>3859818</v>
      </c>
      <c r="BJ171" s="97"/>
      <c r="BK171" s="97"/>
      <c r="BL171" s="97"/>
      <c r="BM171" s="97"/>
      <c r="BN171" s="97">
        <v>0</v>
      </c>
      <c r="BO171" s="97"/>
      <c r="BP171" s="97"/>
      <c r="BQ171" s="97"/>
      <c r="BR171" s="97"/>
    </row>
    <row r="172" spans="1:79" s="7" customFormat="1" ht="38.25" customHeight="1" x14ac:dyDescent="0.2">
      <c r="A172" s="52" t="s">
        <v>290</v>
      </c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9"/>
      <c r="U172" s="96" t="s">
        <v>249</v>
      </c>
      <c r="V172" s="96"/>
      <c r="W172" s="96"/>
      <c r="X172" s="96"/>
      <c r="Y172" s="96"/>
      <c r="Z172" s="96"/>
      <c r="AA172" s="96"/>
      <c r="AB172" s="96"/>
      <c r="AC172" s="96"/>
      <c r="AD172" s="96"/>
      <c r="AE172" s="96" t="s">
        <v>249</v>
      </c>
      <c r="AF172" s="96"/>
      <c r="AG172" s="96"/>
      <c r="AH172" s="96"/>
      <c r="AI172" s="96"/>
      <c r="AJ172" s="96"/>
      <c r="AK172" s="96"/>
      <c r="AL172" s="96"/>
      <c r="AM172" s="96"/>
      <c r="AN172" s="96"/>
      <c r="AO172" s="96" t="s">
        <v>249</v>
      </c>
      <c r="AP172" s="96"/>
      <c r="AQ172" s="96"/>
      <c r="AR172" s="96"/>
      <c r="AS172" s="96"/>
      <c r="AT172" s="96"/>
      <c r="AU172" s="96"/>
      <c r="AV172" s="96"/>
      <c r="AW172" s="96"/>
      <c r="AX172" s="96"/>
      <c r="AY172" s="96" t="s">
        <v>249</v>
      </c>
      <c r="AZ172" s="96"/>
      <c r="BA172" s="96"/>
      <c r="BB172" s="96"/>
      <c r="BC172" s="96"/>
      <c r="BD172" s="96"/>
      <c r="BE172" s="96"/>
      <c r="BF172" s="96"/>
      <c r="BG172" s="96"/>
      <c r="BH172" s="96"/>
      <c r="BI172" s="96" t="s">
        <v>249</v>
      </c>
      <c r="BJ172" s="96"/>
      <c r="BK172" s="96"/>
      <c r="BL172" s="96"/>
      <c r="BM172" s="96"/>
      <c r="BN172" s="96"/>
      <c r="BO172" s="96"/>
      <c r="BP172" s="96"/>
      <c r="BQ172" s="96"/>
      <c r="BR172" s="96"/>
    </row>
    <row r="175" spans="1:79" ht="14.25" customHeight="1" x14ac:dyDescent="0.2">
      <c r="A175" s="115" t="s">
        <v>156</v>
      </c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/>
      <c r="AJ175" s="115"/>
      <c r="AK175" s="115"/>
      <c r="AL175" s="115"/>
      <c r="AM175" s="115"/>
      <c r="AN175" s="115"/>
      <c r="AO175" s="115"/>
      <c r="AP175" s="115"/>
      <c r="AQ175" s="115"/>
      <c r="AR175" s="115"/>
      <c r="AS175" s="115"/>
      <c r="AT175" s="115"/>
      <c r="AU175" s="115"/>
      <c r="AV175" s="115"/>
      <c r="AW175" s="115"/>
      <c r="AX175" s="115"/>
      <c r="AY175" s="115"/>
      <c r="AZ175" s="115"/>
      <c r="BA175" s="115"/>
      <c r="BB175" s="115"/>
      <c r="BC175" s="115"/>
      <c r="BD175" s="115"/>
      <c r="BE175" s="115"/>
      <c r="BF175" s="115"/>
      <c r="BG175" s="115"/>
      <c r="BH175" s="115"/>
      <c r="BI175" s="115"/>
      <c r="BJ175" s="115"/>
      <c r="BK175" s="115"/>
      <c r="BL175" s="115"/>
    </row>
    <row r="176" spans="1:79" ht="15" customHeight="1" x14ac:dyDescent="0.2">
      <c r="A176" s="123" t="s">
        <v>7</v>
      </c>
      <c r="B176" s="124"/>
      <c r="C176" s="124"/>
      <c r="D176" s="123" t="s">
        <v>11</v>
      </c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5"/>
      <c r="W176" s="60" t="s">
        <v>240</v>
      </c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 t="s">
        <v>301</v>
      </c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 t="s">
        <v>312</v>
      </c>
      <c r="AV176" s="60"/>
      <c r="AW176" s="60"/>
      <c r="AX176" s="60"/>
      <c r="AY176" s="60"/>
      <c r="AZ176" s="60"/>
      <c r="BA176" s="60" t="s">
        <v>317</v>
      </c>
      <c r="BB176" s="60"/>
      <c r="BC176" s="60"/>
      <c r="BD176" s="60"/>
      <c r="BE176" s="60"/>
      <c r="BF176" s="60"/>
      <c r="BG176" s="60" t="s">
        <v>325</v>
      </c>
      <c r="BH176" s="60"/>
      <c r="BI176" s="60"/>
      <c r="BJ176" s="60"/>
      <c r="BK176" s="60"/>
      <c r="BL176" s="60"/>
    </row>
    <row r="177" spans="1:79" ht="15" customHeight="1" x14ac:dyDescent="0.2">
      <c r="A177" s="133"/>
      <c r="B177" s="134"/>
      <c r="C177" s="134"/>
      <c r="D177" s="133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5"/>
      <c r="W177" s="60" t="s">
        <v>5</v>
      </c>
      <c r="X177" s="60"/>
      <c r="Y177" s="60"/>
      <c r="Z177" s="60"/>
      <c r="AA177" s="60"/>
      <c r="AB177" s="60"/>
      <c r="AC177" s="60" t="s">
        <v>4</v>
      </c>
      <c r="AD177" s="60"/>
      <c r="AE177" s="60"/>
      <c r="AF177" s="60"/>
      <c r="AG177" s="60"/>
      <c r="AH177" s="60"/>
      <c r="AI177" s="60" t="s">
        <v>5</v>
      </c>
      <c r="AJ177" s="60"/>
      <c r="AK177" s="60"/>
      <c r="AL177" s="60"/>
      <c r="AM177" s="60"/>
      <c r="AN177" s="60"/>
      <c r="AO177" s="60" t="s">
        <v>4</v>
      </c>
      <c r="AP177" s="60"/>
      <c r="AQ177" s="60"/>
      <c r="AR177" s="60"/>
      <c r="AS177" s="60"/>
      <c r="AT177" s="60"/>
      <c r="AU177" s="117" t="s">
        <v>5</v>
      </c>
      <c r="AV177" s="117"/>
      <c r="AW177" s="117"/>
      <c r="AX177" s="117" t="s">
        <v>4</v>
      </c>
      <c r="AY177" s="117"/>
      <c r="AZ177" s="117"/>
      <c r="BA177" s="117" t="s">
        <v>5</v>
      </c>
      <c r="BB177" s="117"/>
      <c r="BC177" s="117"/>
      <c r="BD177" s="117" t="s">
        <v>4</v>
      </c>
      <c r="BE177" s="117"/>
      <c r="BF177" s="117"/>
      <c r="BG177" s="117" t="s">
        <v>5</v>
      </c>
      <c r="BH177" s="117"/>
      <c r="BI177" s="117"/>
      <c r="BJ177" s="117" t="s">
        <v>4</v>
      </c>
      <c r="BK177" s="117"/>
      <c r="BL177" s="117"/>
    </row>
    <row r="178" spans="1:79" ht="57" customHeight="1" x14ac:dyDescent="0.2">
      <c r="A178" s="126"/>
      <c r="B178" s="127"/>
      <c r="C178" s="127"/>
      <c r="D178" s="126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8"/>
      <c r="W178" s="60" t="s">
        <v>13</v>
      </c>
      <c r="X178" s="60"/>
      <c r="Y178" s="60"/>
      <c r="Z178" s="60" t="s">
        <v>12</v>
      </c>
      <c r="AA178" s="60"/>
      <c r="AB178" s="60"/>
      <c r="AC178" s="60" t="s">
        <v>13</v>
      </c>
      <c r="AD178" s="60"/>
      <c r="AE178" s="60"/>
      <c r="AF178" s="60" t="s">
        <v>12</v>
      </c>
      <c r="AG178" s="60"/>
      <c r="AH178" s="60"/>
      <c r="AI178" s="60" t="s">
        <v>13</v>
      </c>
      <c r="AJ178" s="60"/>
      <c r="AK178" s="60"/>
      <c r="AL178" s="60" t="s">
        <v>12</v>
      </c>
      <c r="AM178" s="60"/>
      <c r="AN178" s="60"/>
      <c r="AO178" s="60" t="s">
        <v>13</v>
      </c>
      <c r="AP178" s="60"/>
      <c r="AQ178" s="60"/>
      <c r="AR178" s="60" t="s">
        <v>12</v>
      </c>
      <c r="AS178" s="60"/>
      <c r="AT178" s="60"/>
      <c r="AU178" s="117"/>
      <c r="AV178" s="117"/>
      <c r="AW178" s="117"/>
      <c r="AX178" s="117"/>
      <c r="AY178" s="117"/>
      <c r="AZ178" s="117"/>
      <c r="BA178" s="117"/>
      <c r="BB178" s="117"/>
      <c r="BC178" s="117"/>
      <c r="BD178" s="117"/>
      <c r="BE178" s="117"/>
      <c r="BF178" s="117"/>
      <c r="BG178" s="117"/>
      <c r="BH178" s="117"/>
      <c r="BI178" s="117"/>
      <c r="BJ178" s="117"/>
      <c r="BK178" s="117"/>
      <c r="BL178" s="117"/>
    </row>
    <row r="179" spans="1:79" ht="15" customHeight="1" x14ac:dyDescent="0.2">
      <c r="A179" s="64">
        <v>1</v>
      </c>
      <c r="B179" s="65"/>
      <c r="C179" s="65"/>
      <c r="D179" s="64">
        <v>2</v>
      </c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6"/>
      <c r="W179" s="60">
        <v>3</v>
      </c>
      <c r="X179" s="60"/>
      <c r="Y179" s="60"/>
      <c r="Z179" s="60">
        <v>4</v>
      </c>
      <c r="AA179" s="60"/>
      <c r="AB179" s="60"/>
      <c r="AC179" s="60">
        <v>5</v>
      </c>
      <c r="AD179" s="60"/>
      <c r="AE179" s="60"/>
      <c r="AF179" s="60">
        <v>6</v>
      </c>
      <c r="AG179" s="60"/>
      <c r="AH179" s="60"/>
      <c r="AI179" s="60">
        <v>7</v>
      </c>
      <c r="AJ179" s="60"/>
      <c r="AK179" s="60"/>
      <c r="AL179" s="60">
        <v>8</v>
      </c>
      <c r="AM179" s="60"/>
      <c r="AN179" s="60"/>
      <c r="AO179" s="60">
        <v>9</v>
      </c>
      <c r="AP179" s="60"/>
      <c r="AQ179" s="60"/>
      <c r="AR179" s="60">
        <v>10</v>
      </c>
      <c r="AS179" s="60"/>
      <c r="AT179" s="60"/>
      <c r="AU179" s="60">
        <v>11</v>
      </c>
      <c r="AV179" s="60"/>
      <c r="AW179" s="60"/>
      <c r="AX179" s="60">
        <v>12</v>
      </c>
      <c r="AY179" s="60"/>
      <c r="AZ179" s="60"/>
      <c r="BA179" s="60">
        <v>13</v>
      </c>
      <c r="BB179" s="60"/>
      <c r="BC179" s="60"/>
      <c r="BD179" s="60">
        <v>14</v>
      </c>
      <c r="BE179" s="60"/>
      <c r="BF179" s="60"/>
      <c r="BG179" s="60">
        <v>15</v>
      </c>
      <c r="BH179" s="60"/>
      <c r="BI179" s="60"/>
      <c r="BJ179" s="60">
        <v>16</v>
      </c>
      <c r="BK179" s="60"/>
      <c r="BL179" s="60"/>
    </row>
    <row r="180" spans="1:79" s="2" customFormat="1" ht="12.75" hidden="1" customHeight="1" x14ac:dyDescent="0.2">
      <c r="A180" s="67" t="s">
        <v>90</v>
      </c>
      <c r="B180" s="68"/>
      <c r="C180" s="68"/>
      <c r="D180" s="67" t="s">
        <v>78</v>
      </c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9"/>
      <c r="W180" s="58" t="s">
        <v>93</v>
      </c>
      <c r="X180" s="58"/>
      <c r="Y180" s="58"/>
      <c r="Z180" s="58" t="s">
        <v>94</v>
      </c>
      <c r="AA180" s="58"/>
      <c r="AB180" s="58"/>
      <c r="AC180" s="76" t="s">
        <v>95</v>
      </c>
      <c r="AD180" s="76"/>
      <c r="AE180" s="76"/>
      <c r="AF180" s="76" t="s">
        <v>96</v>
      </c>
      <c r="AG180" s="76"/>
      <c r="AH180" s="76"/>
      <c r="AI180" s="58" t="s">
        <v>97</v>
      </c>
      <c r="AJ180" s="58"/>
      <c r="AK180" s="58"/>
      <c r="AL180" s="58" t="s">
        <v>98</v>
      </c>
      <c r="AM180" s="58"/>
      <c r="AN180" s="58"/>
      <c r="AO180" s="76" t="s">
        <v>127</v>
      </c>
      <c r="AP180" s="76"/>
      <c r="AQ180" s="76"/>
      <c r="AR180" s="76" t="s">
        <v>99</v>
      </c>
      <c r="AS180" s="76"/>
      <c r="AT180" s="76"/>
      <c r="AU180" s="58" t="s">
        <v>133</v>
      </c>
      <c r="AV180" s="58"/>
      <c r="AW180" s="58"/>
      <c r="AX180" s="76" t="s">
        <v>134</v>
      </c>
      <c r="AY180" s="76"/>
      <c r="AZ180" s="76"/>
      <c r="BA180" s="58" t="s">
        <v>135</v>
      </c>
      <c r="BB180" s="58"/>
      <c r="BC180" s="58"/>
      <c r="BD180" s="76" t="s">
        <v>136</v>
      </c>
      <c r="BE180" s="76"/>
      <c r="BF180" s="76"/>
      <c r="BG180" s="58" t="s">
        <v>137</v>
      </c>
      <c r="BH180" s="58"/>
      <c r="BI180" s="58"/>
      <c r="BJ180" s="76" t="s">
        <v>138</v>
      </c>
      <c r="BK180" s="76"/>
      <c r="BL180" s="76"/>
      <c r="CA180" s="2" t="s">
        <v>126</v>
      </c>
    </row>
    <row r="181" spans="1:79" s="7" customFormat="1" ht="12.75" customHeight="1" x14ac:dyDescent="0.2">
      <c r="A181" s="92">
        <v>1</v>
      </c>
      <c r="B181" s="93"/>
      <c r="C181" s="93"/>
      <c r="D181" s="52" t="s">
        <v>291</v>
      </c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9"/>
      <c r="W181" s="90">
        <v>0</v>
      </c>
      <c r="X181" s="90"/>
      <c r="Y181" s="90"/>
      <c r="Z181" s="90">
        <v>0</v>
      </c>
      <c r="AA181" s="90"/>
      <c r="AB181" s="90"/>
      <c r="AC181" s="90">
        <v>0</v>
      </c>
      <c r="AD181" s="90"/>
      <c r="AE181" s="90"/>
      <c r="AF181" s="90">
        <v>0</v>
      </c>
      <c r="AG181" s="90"/>
      <c r="AH181" s="90"/>
      <c r="AI181" s="90">
        <v>1</v>
      </c>
      <c r="AJ181" s="90"/>
      <c r="AK181" s="90"/>
      <c r="AL181" s="90">
        <v>0</v>
      </c>
      <c r="AM181" s="90"/>
      <c r="AN181" s="90"/>
      <c r="AO181" s="90">
        <v>0</v>
      </c>
      <c r="AP181" s="90"/>
      <c r="AQ181" s="90"/>
      <c r="AR181" s="90">
        <v>0</v>
      </c>
      <c r="AS181" s="90"/>
      <c r="AT181" s="90"/>
      <c r="AU181" s="90">
        <v>1</v>
      </c>
      <c r="AV181" s="90"/>
      <c r="AW181" s="90"/>
      <c r="AX181" s="90">
        <v>0</v>
      </c>
      <c r="AY181" s="90"/>
      <c r="AZ181" s="90"/>
      <c r="BA181" s="90">
        <v>1</v>
      </c>
      <c r="BB181" s="90"/>
      <c r="BC181" s="90"/>
      <c r="BD181" s="90">
        <v>0</v>
      </c>
      <c r="BE181" s="90"/>
      <c r="BF181" s="90"/>
      <c r="BG181" s="90">
        <v>1</v>
      </c>
      <c r="BH181" s="90"/>
      <c r="BI181" s="90"/>
      <c r="BJ181" s="90">
        <v>0</v>
      </c>
      <c r="BK181" s="90"/>
      <c r="BL181" s="90"/>
      <c r="CA181" s="7" t="s">
        <v>51</v>
      </c>
    </row>
    <row r="182" spans="1:79" s="7" customFormat="1" ht="12.75" customHeight="1" x14ac:dyDescent="0.2">
      <c r="A182" s="92">
        <v>2</v>
      </c>
      <c r="B182" s="93"/>
      <c r="C182" s="93"/>
      <c r="D182" s="52" t="s">
        <v>292</v>
      </c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9"/>
      <c r="W182" s="90">
        <v>0</v>
      </c>
      <c r="X182" s="90"/>
      <c r="Y182" s="90"/>
      <c r="Z182" s="90">
        <v>0</v>
      </c>
      <c r="AA182" s="90"/>
      <c r="AB182" s="90"/>
      <c r="AC182" s="90">
        <v>0</v>
      </c>
      <c r="AD182" s="90"/>
      <c r="AE182" s="90"/>
      <c r="AF182" s="90">
        <v>0</v>
      </c>
      <c r="AG182" s="90"/>
      <c r="AH182" s="90"/>
      <c r="AI182" s="90">
        <v>6</v>
      </c>
      <c r="AJ182" s="90"/>
      <c r="AK182" s="90"/>
      <c r="AL182" s="90">
        <v>0</v>
      </c>
      <c r="AM182" s="90"/>
      <c r="AN182" s="90"/>
      <c r="AO182" s="90">
        <v>0</v>
      </c>
      <c r="AP182" s="90"/>
      <c r="AQ182" s="90"/>
      <c r="AR182" s="90">
        <v>0</v>
      </c>
      <c r="AS182" s="90"/>
      <c r="AT182" s="90"/>
      <c r="AU182" s="90">
        <v>6</v>
      </c>
      <c r="AV182" s="90"/>
      <c r="AW182" s="90"/>
      <c r="AX182" s="90">
        <v>0</v>
      </c>
      <c r="AY182" s="90"/>
      <c r="AZ182" s="90"/>
      <c r="BA182" s="90">
        <v>6</v>
      </c>
      <c r="BB182" s="90"/>
      <c r="BC182" s="90"/>
      <c r="BD182" s="90">
        <v>0</v>
      </c>
      <c r="BE182" s="90"/>
      <c r="BF182" s="90"/>
      <c r="BG182" s="90">
        <v>6</v>
      </c>
      <c r="BH182" s="90"/>
      <c r="BI182" s="90"/>
      <c r="BJ182" s="90">
        <v>0</v>
      </c>
      <c r="BK182" s="90"/>
      <c r="BL182" s="90"/>
    </row>
    <row r="183" spans="1:79" s="7" customFormat="1" ht="12.75" customHeight="1" x14ac:dyDescent="0.2">
      <c r="A183" s="92">
        <v>3</v>
      </c>
      <c r="B183" s="93"/>
      <c r="C183" s="93"/>
      <c r="D183" s="52" t="s">
        <v>293</v>
      </c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9"/>
      <c r="W183" s="90">
        <v>0</v>
      </c>
      <c r="X183" s="90"/>
      <c r="Y183" s="90"/>
      <c r="Z183" s="90">
        <v>0</v>
      </c>
      <c r="AA183" s="90"/>
      <c r="AB183" s="90"/>
      <c r="AC183" s="90">
        <v>0</v>
      </c>
      <c r="AD183" s="90"/>
      <c r="AE183" s="90"/>
      <c r="AF183" s="90">
        <v>0</v>
      </c>
      <c r="AG183" s="90"/>
      <c r="AH183" s="90"/>
      <c r="AI183" s="90">
        <v>10</v>
      </c>
      <c r="AJ183" s="90"/>
      <c r="AK183" s="90"/>
      <c r="AL183" s="90">
        <v>0</v>
      </c>
      <c r="AM183" s="90"/>
      <c r="AN183" s="90"/>
      <c r="AO183" s="90">
        <v>0</v>
      </c>
      <c r="AP183" s="90"/>
      <c r="AQ183" s="90"/>
      <c r="AR183" s="90">
        <v>0</v>
      </c>
      <c r="AS183" s="90"/>
      <c r="AT183" s="90"/>
      <c r="AU183" s="90">
        <v>10</v>
      </c>
      <c r="AV183" s="90"/>
      <c r="AW183" s="90"/>
      <c r="AX183" s="90">
        <v>0</v>
      </c>
      <c r="AY183" s="90"/>
      <c r="AZ183" s="90"/>
      <c r="BA183" s="90">
        <v>0</v>
      </c>
      <c r="BB183" s="90"/>
      <c r="BC183" s="90"/>
      <c r="BD183" s="90">
        <v>0</v>
      </c>
      <c r="BE183" s="90"/>
      <c r="BF183" s="90"/>
      <c r="BG183" s="90">
        <v>10</v>
      </c>
      <c r="BH183" s="90"/>
      <c r="BI183" s="90"/>
      <c r="BJ183" s="90">
        <v>0</v>
      </c>
      <c r="BK183" s="90"/>
      <c r="BL183" s="90"/>
    </row>
    <row r="184" spans="1:79" s="9" customFormat="1" ht="12.75" customHeight="1" x14ac:dyDescent="0.2">
      <c r="A184" s="94">
        <v>4</v>
      </c>
      <c r="B184" s="95"/>
      <c r="C184" s="95"/>
      <c r="D184" s="45" t="s">
        <v>294</v>
      </c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2"/>
      <c r="W184" s="91">
        <v>0</v>
      </c>
      <c r="X184" s="91"/>
      <c r="Y184" s="91"/>
      <c r="Z184" s="91">
        <v>0</v>
      </c>
      <c r="AA184" s="91"/>
      <c r="AB184" s="91"/>
      <c r="AC184" s="91">
        <v>0</v>
      </c>
      <c r="AD184" s="91"/>
      <c r="AE184" s="91"/>
      <c r="AF184" s="91">
        <v>0</v>
      </c>
      <c r="AG184" s="91"/>
      <c r="AH184" s="91"/>
      <c r="AI184" s="91">
        <v>17</v>
      </c>
      <c r="AJ184" s="91"/>
      <c r="AK184" s="91"/>
      <c r="AL184" s="91">
        <v>0</v>
      </c>
      <c r="AM184" s="91"/>
      <c r="AN184" s="91"/>
      <c r="AO184" s="91">
        <v>0</v>
      </c>
      <c r="AP184" s="91"/>
      <c r="AQ184" s="91"/>
      <c r="AR184" s="91">
        <v>0</v>
      </c>
      <c r="AS184" s="91"/>
      <c r="AT184" s="91"/>
      <c r="AU184" s="91">
        <v>17</v>
      </c>
      <c r="AV184" s="91"/>
      <c r="AW184" s="91"/>
      <c r="AX184" s="91">
        <v>0</v>
      </c>
      <c r="AY184" s="91"/>
      <c r="AZ184" s="91"/>
      <c r="BA184" s="91">
        <v>7</v>
      </c>
      <c r="BB184" s="91"/>
      <c r="BC184" s="91"/>
      <c r="BD184" s="91">
        <v>0</v>
      </c>
      <c r="BE184" s="91"/>
      <c r="BF184" s="91"/>
      <c r="BG184" s="91">
        <v>17</v>
      </c>
      <c r="BH184" s="91"/>
      <c r="BI184" s="91"/>
      <c r="BJ184" s="91">
        <v>0</v>
      </c>
      <c r="BK184" s="91"/>
      <c r="BL184" s="91"/>
    </row>
    <row r="185" spans="1:79" s="7" customFormat="1" ht="25.5" customHeight="1" x14ac:dyDescent="0.2">
      <c r="A185" s="92">
        <v>5</v>
      </c>
      <c r="B185" s="93"/>
      <c r="C185" s="93"/>
      <c r="D185" s="52" t="s">
        <v>295</v>
      </c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9"/>
      <c r="W185" s="90" t="s">
        <v>249</v>
      </c>
      <c r="X185" s="90"/>
      <c r="Y185" s="90"/>
      <c r="Z185" s="90" t="s">
        <v>249</v>
      </c>
      <c r="AA185" s="90"/>
      <c r="AB185" s="90"/>
      <c r="AC185" s="90"/>
      <c r="AD185" s="90"/>
      <c r="AE185" s="90"/>
      <c r="AF185" s="90"/>
      <c r="AG185" s="90"/>
      <c r="AH185" s="90"/>
      <c r="AI185" s="90" t="s">
        <v>249</v>
      </c>
      <c r="AJ185" s="90"/>
      <c r="AK185" s="90"/>
      <c r="AL185" s="90" t="s">
        <v>249</v>
      </c>
      <c r="AM185" s="90"/>
      <c r="AN185" s="90"/>
      <c r="AO185" s="90"/>
      <c r="AP185" s="90"/>
      <c r="AQ185" s="90"/>
      <c r="AR185" s="90"/>
      <c r="AS185" s="90"/>
      <c r="AT185" s="90"/>
      <c r="AU185" s="90" t="s">
        <v>249</v>
      </c>
      <c r="AV185" s="90"/>
      <c r="AW185" s="90"/>
      <c r="AX185" s="90"/>
      <c r="AY185" s="90"/>
      <c r="AZ185" s="90"/>
      <c r="BA185" s="90" t="s">
        <v>249</v>
      </c>
      <c r="BB185" s="90"/>
      <c r="BC185" s="90"/>
      <c r="BD185" s="90"/>
      <c r="BE185" s="90"/>
      <c r="BF185" s="90"/>
      <c r="BG185" s="90" t="s">
        <v>249</v>
      </c>
      <c r="BH185" s="90"/>
      <c r="BI185" s="90"/>
      <c r="BJ185" s="90"/>
      <c r="BK185" s="90"/>
      <c r="BL185" s="90"/>
    </row>
    <row r="188" spans="1:79" ht="14.25" customHeight="1" x14ac:dyDescent="0.2">
      <c r="A188" s="115" t="s">
        <v>185</v>
      </c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15"/>
      <c r="AK188" s="115"/>
      <c r="AL188" s="115"/>
      <c r="AM188" s="115"/>
      <c r="AN188" s="115"/>
      <c r="AO188" s="115"/>
      <c r="AP188" s="115"/>
      <c r="AQ188" s="115"/>
      <c r="AR188" s="115"/>
      <c r="AS188" s="115"/>
      <c r="AT188" s="115"/>
      <c r="AU188" s="115"/>
      <c r="AV188" s="115"/>
      <c r="AW188" s="115"/>
      <c r="AX188" s="115"/>
      <c r="AY188" s="115"/>
      <c r="AZ188" s="115"/>
      <c r="BA188" s="115"/>
      <c r="BB188" s="115"/>
      <c r="BC188" s="115"/>
      <c r="BD188" s="115"/>
      <c r="BE188" s="115"/>
      <c r="BF188" s="115"/>
      <c r="BG188" s="115"/>
      <c r="BH188" s="115"/>
      <c r="BI188" s="115"/>
      <c r="BJ188" s="115"/>
      <c r="BK188" s="115"/>
      <c r="BL188" s="115"/>
    </row>
    <row r="189" spans="1:79" ht="14.25" customHeight="1" x14ac:dyDescent="0.2">
      <c r="A189" s="115" t="s">
        <v>313</v>
      </c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/>
      <c r="AM189" s="115"/>
      <c r="AN189" s="115"/>
      <c r="AO189" s="115"/>
      <c r="AP189" s="115"/>
      <c r="AQ189" s="115"/>
      <c r="AR189" s="115"/>
      <c r="AS189" s="115"/>
      <c r="AT189" s="115"/>
      <c r="AU189" s="115"/>
      <c r="AV189" s="115"/>
      <c r="AW189" s="115"/>
      <c r="AX189" s="115"/>
      <c r="AY189" s="115"/>
      <c r="AZ189" s="115"/>
      <c r="BA189" s="115"/>
      <c r="BB189" s="115"/>
      <c r="BC189" s="115"/>
      <c r="BD189" s="115"/>
      <c r="BE189" s="115"/>
      <c r="BF189" s="115"/>
      <c r="BG189" s="115"/>
      <c r="BH189" s="115"/>
      <c r="BI189" s="115"/>
      <c r="BJ189" s="115"/>
      <c r="BK189" s="115"/>
      <c r="BL189" s="115"/>
      <c r="BM189" s="115"/>
      <c r="BN189" s="115"/>
      <c r="BO189" s="115"/>
      <c r="BP189" s="115"/>
      <c r="BQ189" s="115"/>
      <c r="BR189" s="115"/>
      <c r="BS189" s="115"/>
    </row>
    <row r="190" spans="1:79" ht="15" customHeight="1" x14ac:dyDescent="0.2">
      <c r="A190" s="81" t="s">
        <v>239</v>
      </c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</row>
    <row r="191" spans="1:79" ht="15" customHeight="1" x14ac:dyDescent="0.2">
      <c r="A191" s="60" t="s">
        <v>7</v>
      </c>
      <c r="B191" s="60"/>
      <c r="C191" s="60"/>
      <c r="D191" s="60"/>
      <c r="E191" s="60"/>
      <c r="F191" s="60"/>
      <c r="G191" s="60" t="s">
        <v>157</v>
      </c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 t="s">
        <v>14</v>
      </c>
      <c r="U191" s="60"/>
      <c r="V191" s="60"/>
      <c r="W191" s="60"/>
      <c r="X191" s="60"/>
      <c r="Y191" s="60"/>
      <c r="Z191" s="60"/>
      <c r="AA191" s="64" t="s">
        <v>240</v>
      </c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2"/>
      <c r="AP191" s="64" t="s">
        <v>241</v>
      </c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6"/>
      <c r="BE191" s="64" t="s">
        <v>242</v>
      </c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6"/>
    </row>
    <row r="192" spans="1:79" ht="32.1" customHeight="1" x14ac:dyDescent="0.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 t="s">
        <v>5</v>
      </c>
      <c r="AB192" s="60"/>
      <c r="AC192" s="60"/>
      <c r="AD192" s="60"/>
      <c r="AE192" s="60"/>
      <c r="AF192" s="60" t="s">
        <v>4</v>
      </c>
      <c r="AG192" s="60"/>
      <c r="AH192" s="60"/>
      <c r="AI192" s="60"/>
      <c r="AJ192" s="60"/>
      <c r="AK192" s="60" t="s">
        <v>111</v>
      </c>
      <c r="AL192" s="60"/>
      <c r="AM192" s="60"/>
      <c r="AN192" s="60"/>
      <c r="AO192" s="60"/>
      <c r="AP192" s="60" t="s">
        <v>5</v>
      </c>
      <c r="AQ192" s="60"/>
      <c r="AR192" s="60"/>
      <c r="AS192" s="60"/>
      <c r="AT192" s="60"/>
      <c r="AU192" s="60" t="s">
        <v>4</v>
      </c>
      <c r="AV192" s="60"/>
      <c r="AW192" s="60"/>
      <c r="AX192" s="60"/>
      <c r="AY192" s="60"/>
      <c r="AZ192" s="60" t="s">
        <v>118</v>
      </c>
      <c r="BA192" s="60"/>
      <c r="BB192" s="60"/>
      <c r="BC192" s="60"/>
      <c r="BD192" s="60"/>
      <c r="BE192" s="60" t="s">
        <v>5</v>
      </c>
      <c r="BF192" s="60"/>
      <c r="BG192" s="60"/>
      <c r="BH192" s="60"/>
      <c r="BI192" s="60"/>
      <c r="BJ192" s="60" t="s">
        <v>4</v>
      </c>
      <c r="BK192" s="60"/>
      <c r="BL192" s="60"/>
      <c r="BM192" s="60"/>
      <c r="BN192" s="60"/>
      <c r="BO192" s="60" t="s">
        <v>158</v>
      </c>
      <c r="BP192" s="60"/>
      <c r="BQ192" s="60"/>
      <c r="BR192" s="60"/>
      <c r="BS192" s="60"/>
    </row>
    <row r="193" spans="1:79" ht="15" customHeight="1" x14ac:dyDescent="0.2">
      <c r="A193" s="60">
        <v>1</v>
      </c>
      <c r="B193" s="60"/>
      <c r="C193" s="60"/>
      <c r="D193" s="60"/>
      <c r="E193" s="60"/>
      <c r="F193" s="60"/>
      <c r="G193" s="60">
        <v>2</v>
      </c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>
        <v>3</v>
      </c>
      <c r="U193" s="60"/>
      <c r="V193" s="60"/>
      <c r="W193" s="60"/>
      <c r="X193" s="60"/>
      <c r="Y193" s="60"/>
      <c r="Z193" s="60"/>
      <c r="AA193" s="60">
        <v>4</v>
      </c>
      <c r="AB193" s="60"/>
      <c r="AC193" s="60"/>
      <c r="AD193" s="60"/>
      <c r="AE193" s="60"/>
      <c r="AF193" s="60">
        <v>5</v>
      </c>
      <c r="AG193" s="60"/>
      <c r="AH193" s="60"/>
      <c r="AI193" s="60"/>
      <c r="AJ193" s="60"/>
      <c r="AK193" s="60">
        <v>6</v>
      </c>
      <c r="AL193" s="60"/>
      <c r="AM193" s="60"/>
      <c r="AN193" s="60"/>
      <c r="AO193" s="60"/>
      <c r="AP193" s="60">
        <v>7</v>
      </c>
      <c r="AQ193" s="60"/>
      <c r="AR193" s="60"/>
      <c r="AS193" s="60"/>
      <c r="AT193" s="60"/>
      <c r="AU193" s="60">
        <v>8</v>
      </c>
      <c r="AV193" s="60"/>
      <c r="AW193" s="60"/>
      <c r="AX193" s="60"/>
      <c r="AY193" s="60"/>
      <c r="AZ193" s="60">
        <v>9</v>
      </c>
      <c r="BA193" s="60"/>
      <c r="BB193" s="60"/>
      <c r="BC193" s="60"/>
      <c r="BD193" s="60"/>
      <c r="BE193" s="60">
        <v>10</v>
      </c>
      <c r="BF193" s="60"/>
      <c r="BG193" s="60"/>
      <c r="BH193" s="60"/>
      <c r="BI193" s="60"/>
      <c r="BJ193" s="60">
        <v>11</v>
      </c>
      <c r="BK193" s="60"/>
      <c r="BL193" s="60"/>
      <c r="BM193" s="60"/>
      <c r="BN193" s="60"/>
      <c r="BO193" s="60">
        <v>12</v>
      </c>
      <c r="BP193" s="60"/>
      <c r="BQ193" s="60"/>
      <c r="BR193" s="60"/>
      <c r="BS193" s="60"/>
    </row>
    <row r="194" spans="1:79" s="2" customFormat="1" ht="15" hidden="1" customHeight="1" x14ac:dyDescent="0.2">
      <c r="A194" s="58" t="s">
        <v>90</v>
      </c>
      <c r="B194" s="58"/>
      <c r="C194" s="58"/>
      <c r="D194" s="58"/>
      <c r="E194" s="58"/>
      <c r="F194" s="58"/>
      <c r="G194" s="116" t="s">
        <v>78</v>
      </c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 t="s">
        <v>100</v>
      </c>
      <c r="U194" s="116"/>
      <c r="V194" s="116"/>
      <c r="W194" s="116"/>
      <c r="X194" s="116"/>
      <c r="Y194" s="116"/>
      <c r="Z194" s="116"/>
      <c r="AA194" s="76" t="s">
        <v>86</v>
      </c>
      <c r="AB194" s="76"/>
      <c r="AC194" s="76"/>
      <c r="AD194" s="76"/>
      <c r="AE194" s="76"/>
      <c r="AF194" s="76" t="s">
        <v>87</v>
      </c>
      <c r="AG194" s="76"/>
      <c r="AH194" s="76"/>
      <c r="AI194" s="76"/>
      <c r="AJ194" s="76"/>
      <c r="AK194" s="129" t="s">
        <v>153</v>
      </c>
      <c r="AL194" s="129"/>
      <c r="AM194" s="129"/>
      <c r="AN194" s="129"/>
      <c r="AO194" s="129"/>
      <c r="AP194" s="76" t="s">
        <v>88</v>
      </c>
      <c r="AQ194" s="76"/>
      <c r="AR194" s="76"/>
      <c r="AS194" s="76"/>
      <c r="AT194" s="76"/>
      <c r="AU194" s="76" t="s">
        <v>89</v>
      </c>
      <c r="AV194" s="76"/>
      <c r="AW194" s="76"/>
      <c r="AX194" s="76"/>
      <c r="AY194" s="76"/>
      <c r="AZ194" s="129" t="s">
        <v>153</v>
      </c>
      <c r="BA194" s="129"/>
      <c r="BB194" s="129"/>
      <c r="BC194" s="129"/>
      <c r="BD194" s="129"/>
      <c r="BE194" s="76" t="s">
        <v>79</v>
      </c>
      <c r="BF194" s="76"/>
      <c r="BG194" s="76"/>
      <c r="BH194" s="76"/>
      <c r="BI194" s="76"/>
      <c r="BJ194" s="76" t="s">
        <v>80</v>
      </c>
      <c r="BK194" s="76"/>
      <c r="BL194" s="76"/>
      <c r="BM194" s="76"/>
      <c r="BN194" s="76"/>
      <c r="BO194" s="129" t="s">
        <v>153</v>
      </c>
      <c r="BP194" s="129"/>
      <c r="BQ194" s="129"/>
      <c r="BR194" s="129"/>
      <c r="BS194" s="129"/>
      <c r="CA194" s="2" t="s">
        <v>52</v>
      </c>
    </row>
    <row r="195" spans="1:79" s="9" customFormat="1" ht="12.75" customHeight="1" x14ac:dyDescent="0.2">
      <c r="A195" s="101"/>
      <c r="B195" s="101"/>
      <c r="C195" s="101"/>
      <c r="D195" s="101"/>
      <c r="E195" s="101"/>
      <c r="F195" s="101"/>
      <c r="G195" s="114" t="s">
        <v>179</v>
      </c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30"/>
      <c r="U195" s="130"/>
      <c r="V195" s="130"/>
      <c r="W195" s="130"/>
      <c r="X195" s="130"/>
      <c r="Y195" s="130"/>
      <c r="Z195" s="130"/>
      <c r="AA195" s="97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>
        <f>IF(ISNUMBER(AA195),AA195,0)+IF(ISNUMBER(AF195),AF195,0)</f>
        <v>0</v>
      </c>
      <c r="AL195" s="97"/>
      <c r="AM195" s="97"/>
      <c r="AN195" s="97"/>
      <c r="AO195" s="97"/>
      <c r="AP195" s="97"/>
      <c r="AQ195" s="97"/>
      <c r="AR195" s="97"/>
      <c r="AS195" s="97"/>
      <c r="AT195" s="97"/>
      <c r="AU195" s="97"/>
      <c r="AV195" s="97"/>
      <c r="AW195" s="97"/>
      <c r="AX195" s="97"/>
      <c r="AY195" s="97"/>
      <c r="AZ195" s="97">
        <f>IF(ISNUMBER(AP195),AP195,0)+IF(ISNUMBER(AU195),AU195,0)</f>
        <v>0</v>
      </c>
      <c r="BA195" s="97"/>
      <c r="BB195" s="97"/>
      <c r="BC195" s="97"/>
      <c r="BD195" s="97"/>
      <c r="BE195" s="97"/>
      <c r="BF195" s="97"/>
      <c r="BG195" s="97"/>
      <c r="BH195" s="97"/>
      <c r="BI195" s="97"/>
      <c r="BJ195" s="97"/>
      <c r="BK195" s="97"/>
      <c r="BL195" s="97"/>
      <c r="BM195" s="97"/>
      <c r="BN195" s="97"/>
      <c r="BO195" s="97">
        <f>IF(ISNUMBER(BE195),BE195,0)+IF(ISNUMBER(BJ195),BJ195,0)</f>
        <v>0</v>
      </c>
      <c r="BP195" s="97"/>
      <c r="BQ195" s="97"/>
      <c r="BR195" s="97"/>
      <c r="BS195" s="97"/>
      <c r="CA195" s="9" t="s">
        <v>53</v>
      </c>
    </row>
    <row r="197" spans="1:79" ht="13.5" customHeight="1" x14ac:dyDescent="0.2">
      <c r="A197" s="115" t="s">
        <v>326</v>
      </c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15"/>
      <c r="AL197" s="115"/>
      <c r="AM197" s="115"/>
      <c r="AN197" s="115"/>
      <c r="AO197" s="115"/>
      <c r="AP197" s="115"/>
      <c r="AQ197" s="115"/>
      <c r="AR197" s="115"/>
      <c r="AS197" s="115"/>
      <c r="AT197" s="115"/>
      <c r="AU197" s="115"/>
      <c r="AV197" s="115"/>
      <c r="AW197" s="115"/>
      <c r="AX197" s="115"/>
      <c r="AY197" s="115"/>
      <c r="AZ197" s="115"/>
      <c r="BA197" s="115"/>
      <c r="BB197" s="115"/>
      <c r="BC197" s="115"/>
      <c r="BD197" s="115"/>
      <c r="BE197" s="115"/>
      <c r="BF197" s="115"/>
      <c r="BG197" s="115"/>
      <c r="BH197" s="115"/>
      <c r="BI197" s="115"/>
      <c r="BJ197" s="115"/>
      <c r="BK197" s="115"/>
      <c r="BL197" s="115"/>
    </row>
    <row r="198" spans="1:79" ht="15" customHeight="1" x14ac:dyDescent="0.2">
      <c r="A198" s="122" t="s">
        <v>239</v>
      </c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P198" s="122"/>
      <c r="AQ198" s="122"/>
      <c r="AR198" s="122"/>
      <c r="AS198" s="122"/>
      <c r="AT198" s="122"/>
      <c r="AU198" s="122"/>
      <c r="AV198" s="122"/>
      <c r="AW198" s="122"/>
      <c r="AX198" s="122"/>
      <c r="AY198" s="122"/>
      <c r="AZ198" s="122"/>
      <c r="BA198" s="122"/>
      <c r="BB198" s="122"/>
      <c r="BC198" s="122"/>
      <c r="BD198" s="122"/>
    </row>
    <row r="199" spans="1:79" ht="15" customHeight="1" x14ac:dyDescent="0.2">
      <c r="A199" s="60" t="s">
        <v>7</v>
      </c>
      <c r="B199" s="60"/>
      <c r="C199" s="60"/>
      <c r="D199" s="60"/>
      <c r="E199" s="60"/>
      <c r="F199" s="60"/>
      <c r="G199" s="60" t="s">
        <v>157</v>
      </c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 t="s">
        <v>14</v>
      </c>
      <c r="U199" s="60"/>
      <c r="V199" s="60"/>
      <c r="W199" s="60"/>
      <c r="X199" s="60"/>
      <c r="Y199" s="60"/>
      <c r="Z199" s="60"/>
      <c r="AA199" s="64" t="s">
        <v>243</v>
      </c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2"/>
      <c r="AP199" s="64" t="s">
        <v>245</v>
      </c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6"/>
    </row>
    <row r="200" spans="1:79" ht="32.1" customHeight="1" x14ac:dyDescent="0.2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 t="s">
        <v>5</v>
      </c>
      <c r="AB200" s="60"/>
      <c r="AC200" s="60"/>
      <c r="AD200" s="60"/>
      <c r="AE200" s="60"/>
      <c r="AF200" s="60" t="s">
        <v>4</v>
      </c>
      <c r="AG200" s="60"/>
      <c r="AH200" s="60"/>
      <c r="AI200" s="60"/>
      <c r="AJ200" s="60"/>
      <c r="AK200" s="60" t="s">
        <v>111</v>
      </c>
      <c r="AL200" s="60"/>
      <c r="AM200" s="60"/>
      <c r="AN200" s="60"/>
      <c r="AO200" s="60"/>
      <c r="AP200" s="60" t="s">
        <v>5</v>
      </c>
      <c r="AQ200" s="60"/>
      <c r="AR200" s="60"/>
      <c r="AS200" s="60"/>
      <c r="AT200" s="60"/>
      <c r="AU200" s="60" t="s">
        <v>4</v>
      </c>
      <c r="AV200" s="60"/>
      <c r="AW200" s="60"/>
      <c r="AX200" s="60"/>
      <c r="AY200" s="60"/>
      <c r="AZ200" s="60" t="s">
        <v>118</v>
      </c>
      <c r="BA200" s="60"/>
      <c r="BB200" s="60"/>
      <c r="BC200" s="60"/>
      <c r="BD200" s="60"/>
    </row>
    <row r="201" spans="1:79" ht="15" customHeight="1" x14ac:dyDescent="0.2">
      <c r="A201" s="60">
        <v>1</v>
      </c>
      <c r="B201" s="60"/>
      <c r="C201" s="60"/>
      <c r="D201" s="60"/>
      <c r="E201" s="60"/>
      <c r="F201" s="60"/>
      <c r="G201" s="60">
        <v>2</v>
      </c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>
        <v>3</v>
      </c>
      <c r="U201" s="60"/>
      <c r="V201" s="60"/>
      <c r="W201" s="60"/>
      <c r="X201" s="60"/>
      <c r="Y201" s="60"/>
      <c r="Z201" s="60"/>
      <c r="AA201" s="60">
        <v>4</v>
      </c>
      <c r="AB201" s="60"/>
      <c r="AC201" s="60"/>
      <c r="AD201" s="60"/>
      <c r="AE201" s="60"/>
      <c r="AF201" s="60">
        <v>5</v>
      </c>
      <c r="AG201" s="60"/>
      <c r="AH201" s="60"/>
      <c r="AI201" s="60"/>
      <c r="AJ201" s="60"/>
      <c r="AK201" s="60">
        <v>6</v>
      </c>
      <c r="AL201" s="60"/>
      <c r="AM201" s="60"/>
      <c r="AN201" s="60"/>
      <c r="AO201" s="60"/>
      <c r="AP201" s="60">
        <v>7</v>
      </c>
      <c r="AQ201" s="60"/>
      <c r="AR201" s="60"/>
      <c r="AS201" s="60"/>
      <c r="AT201" s="60"/>
      <c r="AU201" s="60">
        <v>8</v>
      </c>
      <c r="AV201" s="60"/>
      <c r="AW201" s="60"/>
      <c r="AX201" s="60"/>
      <c r="AY201" s="60"/>
      <c r="AZ201" s="60">
        <v>9</v>
      </c>
      <c r="BA201" s="60"/>
      <c r="BB201" s="60"/>
      <c r="BC201" s="60"/>
      <c r="BD201" s="60"/>
    </row>
    <row r="202" spans="1:79" s="2" customFormat="1" ht="12" hidden="1" customHeight="1" x14ac:dyDescent="0.2">
      <c r="A202" s="58" t="s">
        <v>90</v>
      </c>
      <c r="B202" s="58"/>
      <c r="C202" s="58"/>
      <c r="D202" s="58"/>
      <c r="E202" s="58"/>
      <c r="F202" s="58"/>
      <c r="G202" s="116" t="s">
        <v>78</v>
      </c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 t="s">
        <v>100</v>
      </c>
      <c r="U202" s="116"/>
      <c r="V202" s="116"/>
      <c r="W202" s="116"/>
      <c r="X202" s="116"/>
      <c r="Y202" s="116"/>
      <c r="Z202" s="116"/>
      <c r="AA202" s="76" t="s">
        <v>81</v>
      </c>
      <c r="AB202" s="76"/>
      <c r="AC202" s="76"/>
      <c r="AD202" s="76"/>
      <c r="AE202" s="76"/>
      <c r="AF202" s="76" t="s">
        <v>82</v>
      </c>
      <c r="AG202" s="76"/>
      <c r="AH202" s="76"/>
      <c r="AI202" s="76"/>
      <c r="AJ202" s="76"/>
      <c r="AK202" s="129" t="s">
        <v>153</v>
      </c>
      <c r="AL202" s="129"/>
      <c r="AM202" s="129"/>
      <c r="AN202" s="129"/>
      <c r="AO202" s="129"/>
      <c r="AP202" s="76" t="s">
        <v>83</v>
      </c>
      <c r="AQ202" s="76"/>
      <c r="AR202" s="76"/>
      <c r="AS202" s="76"/>
      <c r="AT202" s="76"/>
      <c r="AU202" s="76" t="s">
        <v>84</v>
      </c>
      <c r="AV202" s="76"/>
      <c r="AW202" s="76"/>
      <c r="AX202" s="76"/>
      <c r="AY202" s="76"/>
      <c r="AZ202" s="129" t="s">
        <v>153</v>
      </c>
      <c r="BA202" s="129"/>
      <c r="BB202" s="129"/>
      <c r="BC202" s="129"/>
      <c r="BD202" s="129"/>
      <c r="CA202" s="2" t="s">
        <v>54</v>
      </c>
    </row>
    <row r="203" spans="1:79" s="9" customFormat="1" x14ac:dyDescent="0.2">
      <c r="A203" s="101"/>
      <c r="B203" s="101"/>
      <c r="C203" s="101"/>
      <c r="D203" s="101"/>
      <c r="E203" s="101"/>
      <c r="F203" s="101"/>
      <c r="G203" s="114" t="s">
        <v>179</v>
      </c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30"/>
      <c r="U203" s="130"/>
      <c r="V203" s="130"/>
      <c r="W203" s="130"/>
      <c r="X203" s="130"/>
      <c r="Y203" s="130"/>
      <c r="Z203" s="130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>
        <f>IF(ISNUMBER(AA203),AA203,0)+IF(ISNUMBER(AF203),AF203,0)</f>
        <v>0</v>
      </c>
      <c r="AL203" s="97"/>
      <c r="AM203" s="97"/>
      <c r="AN203" s="97"/>
      <c r="AO203" s="97"/>
      <c r="AP203" s="97"/>
      <c r="AQ203" s="97"/>
      <c r="AR203" s="97"/>
      <c r="AS203" s="97"/>
      <c r="AT203" s="97"/>
      <c r="AU203" s="97"/>
      <c r="AV203" s="97"/>
      <c r="AW203" s="97"/>
      <c r="AX203" s="97"/>
      <c r="AY203" s="97"/>
      <c r="AZ203" s="97">
        <f>IF(ISNUMBER(AP203),AP203,0)+IF(ISNUMBER(AU203),AU203,0)</f>
        <v>0</v>
      </c>
      <c r="BA203" s="97"/>
      <c r="BB203" s="97"/>
      <c r="BC203" s="97"/>
      <c r="BD203" s="97"/>
      <c r="CA203" s="9" t="s">
        <v>55</v>
      </c>
    </row>
    <row r="206" spans="1:79" ht="14.25" customHeight="1" x14ac:dyDescent="0.2">
      <c r="A206" s="115" t="s">
        <v>327</v>
      </c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115"/>
      <c r="AL206" s="115"/>
      <c r="AM206" s="115"/>
      <c r="AN206" s="115"/>
      <c r="AO206" s="115"/>
      <c r="AP206" s="115"/>
      <c r="AQ206" s="115"/>
      <c r="AR206" s="115"/>
      <c r="AS206" s="115"/>
      <c r="AT206" s="115"/>
      <c r="AU206" s="115"/>
      <c r="AV206" s="115"/>
      <c r="AW206" s="115"/>
      <c r="AX206" s="115"/>
      <c r="AY206" s="115"/>
      <c r="AZ206" s="115"/>
      <c r="BA206" s="115"/>
      <c r="BB206" s="115"/>
      <c r="BC206" s="115"/>
      <c r="BD206" s="115"/>
      <c r="BE206" s="115"/>
      <c r="BF206" s="115"/>
      <c r="BG206" s="115"/>
      <c r="BH206" s="115"/>
      <c r="BI206" s="115"/>
      <c r="BJ206" s="115"/>
      <c r="BK206" s="115"/>
      <c r="BL206" s="115"/>
    </row>
    <row r="207" spans="1:79" ht="15" customHeight="1" x14ac:dyDescent="0.2">
      <c r="A207" s="122" t="s">
        <v>239</v>
      </c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</row>
    <row r="208" spans="1:79" ht="23.1" customHeight="1" x14ac:dyDescent="0.2">
      <c r="A208" s="60" t="s">
        <v>159</v>
      </c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123" t="s">
        <v>160</v>
      </c>
      <c r="O208" s="124"/>
      <c r="P208" s="124"/>
      <c r="Q208" s="124"/>
      <c r="R208" s="124"/>
      <c r="S208" s="124"/>
      <c r="T208" s="124"/>
      <c r="U208" s="125"/>
      <c r="V208" s="123" t="s">
        <v>161</v>
      </c>
      <c r="W208" s="124"/>
      <c r="X208" s="124"/>
      <c r="Y208" s="124"/>
      <c r="Z208" s="125"/>
      <c r="AA208" s="60" t="s">
        <v>240</v>
      </c>
      <c r="AB208" s="60"/>
      <c r="AC208" s="60"/>
      <c r="AD208" s="60"/>
      <c r="AE208" s="60"/>
      <c r="AF208" s="60"/>
      <c r="AG208" s="60"/>
      <c r="AH208" s="60"/>
      <c r="AI208" s="60"/>
      <c r="AJ208" s="60" t="s">
        <v>241</v>
      </c>
      <c r="AK208" s="60"/>
      <c r="AL208" s="60"/>
      <c r="AM208" s="60"/>
      <c r="AN208" s="60"/>
      <c r="AO208" s="60"/>
      <c r="AP208" s="60"/>
      <c r="AQ208" s="60"/>
      <c r="AR208" s="60"/>
      <c r="AS208" s="60" t="s">
        <v>242</v>
      </c>
      <c r="AT208" s="60"/>
      <c r="AU208" s="60"/>
      <c r="AV208" s="60"/>
      <c r="AW208" s="60"/>
      <c r="AX208" s="60"/>
      <c r="AY208" s="60"/>
      <c r="AZ208" s="60"/>
      <c r="BA208" s="60"/>
      <c r="BB208" s="60" t="s">
        <v>243</v>
      </c>
      <c r="BC208" s="60"/>
      <c r="BD208" s="60"/>
      <c r="BE208" s="60"/>
      <c r="BF208" s="60"/>
      <c r="BG208" s="60"/>
      <c r="BH208" s="60"/>
      <c r="BI208" s="60"/>
      <c r="BJ208" s="60"/>
      <c r="BK208" s="60" t="s">
        <v>245</v>
      </c>
      <c r="BL208" s="60"/>
      <c r="BM208" s="60"/>
      <c r="BN208" s="60"/>
      <c r="BO208" s="60"/>
      <c r="BP208" s="60"/>
      <c r="BQ208" s="60"/>
      <c r="BR208" s="60"/>
      <c r="BS208" s="60"/>
    </row>
    <row r="209" spans="1:79" ht="95.25" customHeight="1" x14ac:dyDescent="0.2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126"/>
      <c r="O209" s="127"/>
      <c r="P209" s="127"/>
      <c r="Q209" s="127"/>
      <c r="R209" s="127"/>
      <c r="S209" s="127"/>
      <c r="T209" s="127"/>
      <c r="U209" s="128"/>
      <c r="V209" s="126"/>
      <c r="W209" s="127"/>
      <c r="X209" s="127"/>
      <c r="Y209" s="127"/>
      <c r="Z209" s="128"/>
      <c r="AA209" s="117" t="s">
        <v>164</v>
      </c>
      <c r="AB209" s="117"/>
      <c r="AC209" s="117"/>
      <c r="AD209" s="117"/>
      <c r="AE209" s="117"/>
      <c r="AF209" s="117" t="s">
        <v>165</v>
      </c>
      <c r="AG209" s="117"/>
      <c r="AH209" s="117"/>
      <c r="AI209" s="117"/>
      <c r="AJ209" s="117" t="s">
        <v>164</v>
      </c>
      <c r="AK209" s="117"/>
      <c r="AL209" s="117"/>
      <c r="AM209" s="117"/>
      <c r="AN209" s="117"/>
      <c r="AO209" s="117" t="s">
        <v>165</v>
      </c>
      <c r="AP209" s="117"/>
      <c r="AQ209" s="117"/>
      <c r="AR209" s="117"/>
      <c r="AS209" s="117" t="s">
        <v>164</v>
      </c>
      <c r="AT209" s="117"/>
      <c r="AU209" s="117"/>
      <c r="AV209" s="117"/>
      <c r="AW209" s="117"/>
      <c r="AX209" s="117" t="s">
        <v>165</v>
      </c>
      <c r="AY209" s="117"/>
      <c r="AZ209" s="117"/>
      <c r="BA209" s="117"/>
      <c r="BB209" s="117" t="s">
        <v>164</v>
      </c>
      <c r="BC209" s="117"/>
      <c r="BD209" s="117"/>
      <c r="BE209" s="117"/>
      <c r="BF209" s="117"/>
      <c r="BG209" s="117" t="s">
        <v>165</v>
      </c>
      <c r="BH209" s="117"/>
      <c r="BI209" s="117"/>
      <c r="BJ209" s="117"/>
      <c r="BK209" s="117" t="s">
        <v>164</v>
      </c>
      <c r="BL209" s="117"/>
      <c r="BM209" s="117"/>
      <c r="BN209" s="117"/>
      <c r="BO209" s="117"/>
      <c r="BP209" s="117" t="s">
        <v>165</v>
      </c>
      <c r="BQ209" s="117"/>
      <c r="BR209" s="117"/>
      <c r="BS209" s="117"/>
    </row>
    <row r="210" spans="1:79" ht="15" customHeight="1" x14ac:dyDescent="0.2">
      <c r="A210" s="60">
        <v>1</v>
      </c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4">
        <v>2</v>
      </c>
      <c r="O210" s="65"/>
      <c r="P210" s="65"/>
      <c r="Q210" s="65"/>
      <c r="R210" s="65"/>
      <c r="S210" s="65"/>
      <c r="T210" s="65"/>
      <c r="U210" s="66"/>
      <c r="V210" s="60">
        <v>3</v>
      </c>
      <c r="W210" s="60"/>
      <c r="X210" s="60"/>
      <c r="Y210" s="60"/>
      <c r="Z210" s="60"/>
      <c r="AA210" s="60">
        <v>4</v>
      </c>
      <c r="AB210" s="60"/>
      <c r="AC210" s="60"/>
      <c r="AD210" s="60"/>
      <c r="AE210" s="60"/>
      <c r="AF210" s="60">
        <v>5</v>
      </c>
      <c r="AG210" s="60"/>
      <c r="AH210" s="60"/>
      <c r="AI210" s="60"/>
      <c r="AJ210" s="60">
        <v>6</v>
      </c>
      <c r="AK210" s="60"/>
      <c r="AL210" s="60"/>
      <c r="AM210" s="60"/>
      <c r="AN210" s="60"/>
      <c r="AO210" s="60">
        <v>7</v>
      </c>
      <c r="AP210" s="60"/>
      <c r="AQ210" s="60"/>
      <c r="AR210" s="60"/>
      <c r="AS210" s="60">
        <v>8</v>
      </c>
      <c r="AT210" s="60"/>
      <c r="AU210" s="60"/>
      <c r="AV210" s="60"/>
      <c r="AW210" s="60"/>
      <c r="AX210" s="60">
        <v>9</v>
      </c>
      <c r="AY210" s="60"/>
      <c r="AZ210" s="60"/>
      <c r="BA210" s="60"/>
      <c r="BB210" s="60">
        <v>10</v>
      </c>
      <c r="BC210" s="60"/>
      <c r="BD210" s="60"/>
      <c r="BE210" s="60"/>
      <c r="BF210" s="60"/>
      <c r="BG210" s="60">
        <v>11</v>
      </c>
      <c r="BH210" s="60"/>
      <c r="BI210" s="60"/>
      <c r="BJ210" s="60"/>
      <c r="BK210" s="60">
        <v>12</v>
      </c>
      <c r="BL210" s="60"/>
      <c r="BM210" s="60"/>
      <c r="BN210" s="60"/>
      <c r="BO210" s="60"/>
      <c r="BP210" s="60">
        <v>13</v>
      </c>
      <c r="BQ210" s="60"/>
      <c r="BR210" s="60"/>
      <c r="BS210" s="60"/>
    </row>
    <row r="211" spans="1:79" s="2" customFormat="1" ht="12" hidden="1" customHeight="1" x14ac:dyDescent="0.2">
      <c r="A211" s="116" t="s">
        <v>177</v>
      </c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58" t="s">
        <v>162</v>
      </c>
      <c r="O211" s="58"/>
      <c r="P211" s="58"/>
      <c r="Q211" s="58"/>
      <c r="R211" s="58"/>
      <c r="S211" s="58"/>
      <c r="T211" s="58"/>
      <c r="U211" s="58"/>
      <c r="V211" s="58" t="s">
        <v>163</v>
      </c>
      <c r="W211" s="58"/>
      <c r="X211" s="58"/>
      <c r="Y211" s="58"/>
      <c r="Z211" s="58"/>
      <c r="AA211" s="76" t="s">
        <v>86</v>
      </c>
      <c r="AB211" s="76"/>
      <c r="AC211" s="76"/>
      <c r="AD211" s="76"/>
      <c r="AE211" s="76"/>
      <c r="AF211" s="76" t="s">
        <v>87</v>
      </c>
      <c r="AG211" s="76"/>
      <c r="AH211" s="76"/>
      <c r="AI211" s="76"/>
      <c r="AJ211" s="76" t="s">
        <v>88</v>
      </c>
      <c r="AK211" s="76"/>
      <c r="AL211" s="76"/>
      <c r="AM211" s="76"/>
      <c r="AN211" s="76"/>
      <c r="AO211" s="76" t="s">
        <v>89</v>
      </c>
      <c r="AP211" s="76"/>
      <c r="AQ211" s="76"/>
      <c r="AR211" s="76"/>
      <c r="AS211" s="76" t="s">
        <v>79</v>
      </c>
      <c r="AT211" s="76"/>
      <c r="AU211" s="76"/>
      <c r="AV211" s="76"/>
      <c r="AW211" s="76"/>
      <c r="AX211" s="76" t="s">
        <v>80</v>
      </c>
      <c r="AY211" s="76"/>
      <c r="AZ211" s="76"/>
      <c r="BA211" s="76"/>
      <c r="BB211" s="76" t="s">
        <v>81</v>
      </c>
      <c r="BC211" s="76"/>
      <c r="BD211" s="76"/>
      <c r="BE211" s="76"/>
      <c r="BF211" s="76"/>
      <c r="BG211" s="76" t="s">
        <v>82</v>
      </c>
      <c r="BH211" s="76"/>
      <c r="BI211" s="76"/>
      <c r="BJ211" s="76"/>
      <c r="BK211" s="76" t="s">
        <v>83</v>
      </c>
      <c r="BL211" s="76"/>
      <c r="BM211" s="76"/>
      <c r="BN211" s="76"/>
      <c r="BO211" s="76"/>
      <c r="BP211" s="76" t="s">
        <v>84</v>
      </c>
      <c r="BQ211" s="76"/>
      <c r="BR211" s="76"/>
      <c r="BS211" s="76"/>
      <c r="CA211" s="2" t="s">
        <v>56</v>
      </c>
    </row>
    <row r="212" spans="1:79" s="9" customFormat="1" ht="12.75" customHeight="1" x14ac:dyDescent="0.2">
      <c r="A212" s="114" t="s">
        <v>179</v>
      </c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94"/>
      <c r="O212" s="95"/>
      <c r="P212" s="95"/>
      <c r="Q212" s="95"/>
      <c r="R212" s="95"/>
      <c r="S212" s="95"/>
      <c r="T212" s="95"/>
      <c r="U212" s="11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  <c r="AL212" s="121"/>
      <c r="AM212" s="121"/>
      <c r="AN212" s="121"/>
      <c r="AO212" s="121"/>
      <c r="AP212" s="121"/>
      <c r="AQ212" s="121"/>
      <c r="AR212" s="121"/>
      <c r="AS212" s="121"/>
      <c r="AT212" s="121"/>
      <c r="AU212" s="121"/>
      <c r="AV212" s="121"/>
      <c r="AW212" s="121"/>
      <c r="AX212" s="121"/>
      <c r="AY212" s="121"/>
      <c r="AZ212" s="121"/>
      <c r="BA212" s="121"/>
      <c r="BB212" s="121"/>
      <c r="BC212" s="121"/>
      <c r="BD212" s="121"/>
      <c r="BE212" s="121"/>
      <c r="BF212" s="121"/>
      <c r="BG212" s="121"/>
      <c r="BH212" s="121"/>
      <c r="BI212" s="121"/>
      <c r="BJ212" s="121"/>
      <c r="BK212" s="121"/>
      <c r="BL212" s="121"/>
      <c r="BM212" s="121"/>
      <c r="BN212" s="121"/>
      <c r="BO212" s="121"/>
      <c r="BP212" s="118"/>
      <c r="BQ212" s="119"/>
      <c r="BR212" s="119"/>
      <c r="BS212" s="120"/>
      <c r="CA212" s="9" t="s">
        <v>57</v>
      </c>
    </row>
    <row r="215" spans="1:79" ht="35.25" customHeight="1" x14ac:dyDescent="0.2">
      <c r="A215" s="115" t="s">
        <v>328</v>
      </c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115"/>
      <c r="AM215" s="115"/>
      <c r="AN215" s="115"/>
      <c r="AO215" s="115"/>
      <c r="AP215" s="115"/>
      <c r="AQ215" s="115"/>
      <c r="AR215" s="115"/>
      <c r="AS215" s="115"/>
      <c r="AT215" s="115"/>
      <c r="AU215" s="115"/>
      <c r="AV215" s="115"/>
      <c r="AW215" s="115"/>
      <c r="AX215" s="115"/>
      <c r="AY215" s="115"/>
      <c r="AZ215" s="115"/>
      <c r="BA215" s="115"/>
      <c r="BB215" s="115"/>
      <c r="BC215" s="115"/>
      <c r="BD215" s="115"/>
      <c r="BE215" s="115"/>
      <c r="BF215" s="115"/>
      <c r="BG215" s="115"/>
      <c r="BH215" s="115"/>
      <c r="BI215" s="115"/>
      <c r="BJ215" s="115"/>
      <c r="BK215" s="115"/>
      <c r="BL215" s="115"/>
    </row>
    <row r="216" spans="1:79" ht="15" x14ac:dyDescent="0.2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  <c r="AM216" s="113"/>
      <c r="AN216" s="113"/>
      <c r="AO216" s="113"/>
      <c r="AP216" s="113"/>
      <c r="AQ216" s="113"/>
      <c r="AR216" s="113"/>
      <c r="AS216" s="113"/>
      <c r="AT216" s="113"/>
      <c r="AU216" s="113"/>
      <c r="AV216" s="113"/>
      <c r="AW216" s="113"/>
      <c r="AX216" s="113"/>
      <c r="AY216" s="113"/>
      <c r="AZ216" s="113"/>
      <c r="BA216" s="113"/>
      <c r="BB216" s="113"/>
      <c r="BC216" s="113"/>
      <c r="BD216" s="113"/>
      <c r="BE216" s="113"/>
      <c r="BF216" s="113"/>
      <c r="BG216" s="113"/>
      <c r="BH216" s="113"/>
      <c r="BI216" s="113"/>
      <c r="BJ216" s="113"/>
      <c r="BK216" s="113"/>
      <c r="BL216" s="113"/>
    </row>
    <row r="217" spans="1:79" ht="1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9" spans="1:79" ht="28.5" customHeight="1" x14ac:dyDescent="0.2">
      <c r="A219" s="87" t="s">
        <v>314</v>
      </c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</row>
    <row r="220" spans="1:79" ht="14.25" customHeight="1" x14ac:dyDescent="0.2">
      <c r="A220" s="115" t="s">
        <v>299</v>
      </c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115"/>
      <c r="AM220" s="115"/>
      <c r="AN220" s="115"/>
      <c r="AO220" s="115"/>
      <c r="AP220" s="115"/>
      <c r="AQ220" s="115"/>
      <c r="AR220" s="115"/>
      <c r="AS220" s="115"/>
      <c r="AT220" s="115"/>
      <c r="AU220" s="115"/>
      <c r="AV220" s="115"/>
      <c r="AW220" s="115"/>
      <c r="AX220" s="115"/>
      <c r="AY220" s="115"/>
      <c r="AZ220" s="115"/>
      <c r="BA220" s="115"/>
      <c r="BB220" s="115"/>
      <c r="BC220" s="115"/>
      <c r="BD220" s="115"/>
      <c r="BE220" s="115"/>
      <c r="BF220" s="115"/>
      <c r="BG220" s="115"/>
      <c r="BH220" s="115"/>
      <c r="BI220" s="115"/>
      <c r="BJ220" s="115"/>
      <c r="BK220" s="115"/>
      <c r="BL220" s="115"/>
    </row>
    <row r="221" spans="1:79" ht="15" customHeight="1" x14ac:dyDescent="0.2">
      <c r="A221" s="81" t="s">
        <v>239</v>
      </c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</row>
    <row r="222" spans="1:79" ht="42.95" customHeight="1" x14ac:dyDescent="0.2">
      <c r="A222" s="117" t="s">
        <v>166</v>
      </c>
      <c r="B222" s="117"/>
      <c r="C222" s="117"/>
      <c r="D222" s="117"/>
      <c r="E222" s="117"/>
      <c r="F222" s="117"/>
      <c r="G222" s="60" t="s">
        <v>20</v>
      </c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 t="s">
        <v>16</v>
      </c>
      <c r="U222" s="60"/>
      <c r="V222" s="60"/>
      <c r="W222" s="60"/>
      <c r="X222" s="60"/>
      <c r="Y222" s="60"/>
      <c r="Z222" s="60" t="s">
        <v>15</v>
      </c>
      <c r="AA222" s="60"/>
      <c r="AB222" s="60"/>
      <c r="AC222" s="60"/>
      <c r="AD222" s="60"/>
      <c r="AE222" s="60" t="s">
        <v>167</v>
      </c>
      <c r="AF222" s="60"/>
      <c r="AG222" s="60"/>
      <c r="AH222" s="60"/>
      <c r="AI222" s="60"/>
      <c r="AJ222" s="60"/>
      <c r="AK222" s="60" t="s">
        <v>168</v>
      </c>
      <c r="AL222" s="60"/>
      <c r="AM222" s="60"/>
      <c r="AN222" s="60"/>
      <c r="AO222" s="60"/>
      <c r="AP222" s="60"/>
      <c r="AQ222" s="60" t="s">
        <v>169</v>
      </c>
      <c r="AR222" s="60"/>
      <c r="AS222" s="60"/>
      <c r="AT222" s="60"/>
      <c r="AU222" s="60"/>
      <c r="AV222" s="60"/>
      <c r="AW222" s="60" t="s">
        <v>120</v>
      </c>
      <c r="AX222" s="60"/>
      <c r="AY222" s="60"/>
      <c r="AZ222" s="60"/>
      <c r="BA222" s="60"/>
      <c r="BB222" s="60"/>
      <c r="BC222" s="60"/>
      <c r="BD222" s="60"/>
      <c r="BE222" s="60"/>
      <c r="BF222" s="60"/>
      <c r="BG222" s="60" t="s">
        <v>170</v>
      </c>
      <c r="BH222" s="60"/>
      <c r="BI222" s="60"/>
      <c r="BJ222" s="60"/>
      <c r="BK222" s="60"/>
      <c r="BL222" s="60"/>
    </row>
    <row r="223" spans="1:79" ht="39.950000000000003" customHeight="1" x14ac:dyDescent="0.2">
      <c r="A223" s="117"/>
      <c r="B223" s="117"/>
      <c r="C223" s="117"/>
      <c r="D223" s="117"/>
      <c r="E223" s="117"/>
      <c r="F223" s="117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 t="s">
        <v>18</v>
      </c>
      <c r="AX223" s="60"/>
      <c r="AY223" s="60"/>
      <c r="AZ223" s="60"/>
      <c r="BA223" s="60"/>
      <c r="BB223" s="60" t="s">
        <v>17</v>
      </c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</row>
    <row r="224" spans="1:79" ht="15" customHeight="1" x14ac:dyDescent="0.2">
      <c r="A224" s="60">
        <v>1</v>
      </c>
      <c r="B224" s="60"/>
      <c r="C224" s="60"/>
      <c r="D224" s="60"/>
      <c r="E224" s="60"/>
      <c r="F224" s="60"/>
      <c r="G224" s="60">
        <v>2</v>
      </c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>
        <v>3</v>
      </c>
      <c r="U224" s="60"/>
      <c r="V224" s="60"/>
      <c r="W224" s="60"/>
      <c r="X224" s="60"/>
      <c r="Y224" s="60"/>
      <c r="Z224" s="60">
        <v>4</v>
      </c>
      <c r="AA224" s="60"/>
      <c r="AB224" s="60"/>
      <c r="AC224" s="60"/>
      <c r="AD224" s="60"/>
      <c r="AE224" s="60">
        <v>5</v>
      </c>
      <c r="AF224" s="60"/>
      <c r="AG224" s="60"/>
      <c r="AH224" s="60"/>
      <c r="AI224" s="60"/>
      <c r="AJ224" s="60"/>
      <c r="AK224" s="60">
        <v>6</v>
      </c>
      <c r="AL224" s="60"/>
      <c r="AM224" s="60"/>
      <c r="AN224" s="60"/>
      <c r="AO224" s="60"/>
      <c r="AP224" s="60"/>
      <c r="AQ224" s="60">
        <v>7</v>
      </c>
      <c r="AR224" s="60"/>
      <c r="AS224" s="60"/>
      <c r="AT224" s="60"/>
      <c r="AU224" s="60"/>
      <c r="AV224" s="60"/>
      <c r="AW224" s="60">
        <v>8</v>
      </c>
      <c r="AX224" s="60"/>
      <c r="AY224" s="60"/>
      <c r="AZ224" s="60"/>
      <c r="BA224" s="60"/>
      <c r="BB224" s="60">
        <v>9</v>
      </c>
      <c r="BC224" s="60"/>
      <c r="BD224" s="60"/>
      <c r="BE224" s="60"/>
      <c r="BF224" s="60"/>
      <c r="BG224" s="60">
        <v>10</v>
      </c>
      <c r="BH224" s="60"/>
      <c r="BI224" s="60"/>
      <c r="BJ224" s="60"/>
      <c r="BK224" s="60"/>
      <c r="BL224" s="60"/>
    </row>
    <row r="225" spans="1:79" s="2" customFormat="1" ht="12" hidden="1" customHeight="1" x14ac:dyDescent="0.2">
      <c r="A225" s="58" t="s">
        <v>85</v>
      </c>
      <c r="B225" s="58"/>
      <c r="C225" s="58"/>
      <c r="D225" s="58"/>
      <c r="E225" s="58"/>
      <c r="F225" s="58"/>
      <c r="G225" s="116" t="s">
        <v>78</v>
      </c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76" t="s">
        <v>101</v>
      </c>
      <c r="U225" s="76"/>
      <c r="V225" s="76"/>
      <c r="W225" s="76"/>
      <c r="X225" s="76"/>
      <c r="Y225" s="76"/>
      <c r="Z225" s="76" t="s">
        <v>102</v>
      </c>
      <c r="AA225" s="76"/>
      <c r="AB225" s="76"/>
      <c r="AC225" s="76"/>
      <c r="AD225" s="76"/>
      <c r="AE225" s="76" t="s">
        <v>103</v>
      </c>
      <c r="AF225" s="76"/>
      <c r="AG225" s="76"/>
      <c r="AH225" s="76"/>
      <c r="AI225" s="76"/>
      <c r="AJ225" s="76"/>
      <c r="AK225" s="76" t="s">
        <v>104</v>
      </c>
      <c r="AL225" s="76"/>
      <c r="AM225" s="76"/>
      <c r="AN225" s="76"/>
      <c r="AO225" s="76"/>
      <c r="AP225" s="76"/>
      <c r="AQ225" s="58" t="s">
        <v>122</v>
      </c>
      <c r="AR225" s="76"/>
      <c r="AS225" s="76"/>
      <c r="AT225" s="76"/>
      <c r="AU225" s="76"/>
      <c r="AV225" s="76"/>
      <c r="AW225" s="76" t="s">
        <v>105</v>
      </c>
      <c r="AX225" s="76"/>
      <c r="AY225" s="76"/>
      <c r="AZ225" s="76"/>
      <c r="BA225" s="76"/>
      <c r="BB225" s="76" t="s">
        <v>106</v>
      </c>
      <c r="BC225" s="76"/>
      <c r="BD225" s="76"/>
      <c r="BE225" s="76"/>
      <c r="BF225" s="76"/>
      <c r="BG225" s="58" t="s">
        <v>123</v>
      </c>
      <c r="BH225" s="76"/>
      <c r="BI225" s="76"/>
      <c r="BJ225" s="76"/>
      <c r="BK225" s="76"/>
      <c r="BL225" s="76"/>
      <c r="CA225" s="2" t="s">
        <v>58</v>
      </c>
    </row>
    <row r="226" spans="1:79" s="9" customFormat="1" ht="12.75" customHeight="1" x14ac:dyDescent="0.2">
      <c r="A226" s="101"/>
      <c r="B226" s="101"/>
      <c r="C226" s="101"/>
      <c r="D226" s="101"/>
      <c r="E226" s="101"/>
      <c r="F226" s="101"/>
      <c r="G226" s="114" t="s">
        <v>179</v>
      </c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>
        <f>IF(ISNUMBER(AK226),AK226,0)-IF(ISNUMBER(AE226),AE226,0)</f>
        <v>0</v>
      </c>
      <c r="AR226" s="97"/>
      <c r="AS226" s="97"/>
      <c r="AT226" s="97"/>
      <c r="AU226" s="97"/>
      <c r="AV226" s="97"/>
      <c r="AW226" s="97"/>
      <c r="AX226" s="97"/>
      <c r="AY226" s="97"/>
      <c r="AZ226" s="97"/>
      <c r="BA226" s="97"/>
      <c r="BB226" s="97"/>
      <c r="BC226" s="97"/>
      <c r="BD226" s="97"/>
      <c r="BE226" s="97"/>
      <c r="BF226" s="97"/>
      <c r="BG226" s="97">
        <f>IF(ISNUMBER(Z226),Z226,0)+IF(ISNUMBER(AK226),AK226,0)</f>
        <v>0</v>
      </c>
      <c r="BH226" s="97"/>
      <c r="BI226" s="97"/>
      <c r="BJ226" s="97"/>
      <c r="BK226" s="97"/>
      <c r="BL226" s="97"/>
      <c r="CA226" s="9" t="s">
        <v>59</v>
      </c>
    </row>
    <row r="228" spans="1:79" ht="14.25" customHeight="1" x14ac:dyDescent="0.2">
      <c r="A228" s="115" t="s">
        <v>315</v>
      </c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15"/>
      <c r="AK228" s="115"/>
      <c r="AL228" s="115"/>
      <c r="AM228" s="115"/>
      <c r="AN228" s="115"/>
      <c r="AO228" s="115"/>
      <c r="AP228" s="115"/>
      <c r="AQ228" s="115"/>
      <c r="AR228" s="115"/>
      <c r="AS228" s="115"/>
      <c r="AT228" s="115"/>
      <c r="AU228" s="115"/>
      <c r="AV228" s="115"/>
      <c r="AW228" s="115"/>
      <c r="AX228" s="115"/>
      <c r="AY228" s="115"/>
      <c r="AZ228" s="115"/>
      <c r="BA228" s="115"/>
      <c r="BB228" s="115"/>
      <c r="BC228" s="115"/>
      <c r="BD228" s="115"/>
      <c r="BE228" s="115"/>
      <c r="BF228" s="115"/>
      <c r="BG228" s="115"/>
      <c r="BH228" s="115"/>
      <c r="BI228" s="115"/>
      <c r="BJ228" s="115"/>
      <c r="BK228" s="115"/>
      <c r="BL228" s="115"/>
    </row>
    <row r="229" spans="1:79" ht="15" customHeight="1" x14ac:dyDescent="0.2">
      <c r="A229" s="81" t="s">
        <v>239</v>
      </c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</row>
    <row r="230" spans="1:79" ht="18" customHeight="1" x14ac:dyDescent="0.2">
      <c r="A230" s="60" t="s">
        <v>166</v>
      </c>
      <c r="B230" s="60"/>
      <c r="C230" s="60"/>
      <c r="D230" s="60"/>
      <c r="E230" s="60"/>
      <c r="F230" s="60"/>
      <c r="G230" s="60" t="s">
        <v>20</v>
      </c>
      <c r="H230" s="60"/>
      <c r="I230" s="60"/>
      <c r="J230" s="60"/>
      <c r="K230" s="60"/>
      <c r="L230" s="60"/>
      <c r="M230" s="60"/>
      <c r="N230" s="60"/>
      <c r="O230" s="60"/>
      <c r="P230" s="60"/>
      <c r="Q230" s="60" t="s">
        <v>302</v>
      </c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 t="s">
        <v>312</v>
      </c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</row>
    <row r="231" spans="1:79" ht="42.95" customHeight="1" x14ac:dyDescent="0.2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 t="s">
        <v>171</v>
      </c>
      <c r="R231" s="60"/>
      <c r="S231" s="60"/>
      <c r="T231" s="60"/>
      <c r="U231" s="60"/>
      <c r="V231" s="117" t="s">
        <v>172</v>
      </c>
      <c r="W231" s="117"/>
      <c r="X231" s="117"/>
      <c r="Y231" s="117"/>
      <c r="Z231" s="60" t="s">
        <v>173</v>
      </c>
      <c r="AA231" s="60"/>
      <c r="AB231" s="60"/>
      <c r="AC231" s="60"/>
      <c r="AD231" s="60"/>
      <c r="AE231" s="60"/>
      <c r="AF231" s="60"/>
      <c r="AG231" s="60"/>
      <c r="AH231" s="60"/>
      <c r="AI231" s="60"/>
      <c r="AJ231" s="60" t="s">
        <v>174</v>
      </c>
      <c r="AK231" s="60"/>
      <c r="AL231" s="60"/>
      <c r="AM231" s="60"/>
      <c r="AN231" s="60"/>
      <c r="AO231" s="60" t="s">
        <v>21</v>
      </c>
      <c r="AP231" s="60"/>
      <c r="AQ231" s="60"/>
      <c r="AR231" s="60"/>
      <c r="AS231" s="60"/>
      <c r="AT231" s="117" t="s">
        <v>175</v>
      </c>
      <c r="AU231" s="117"/>
      <c r="AV231" s="117"/>
      <c r="AW231" s="117"/>
      <c r="AX231" s="60" t="s">
        <v>173</v>
      </c>
      <c r="AY231" s="60"/>
      <c r="AZ231" s="60"/>
      <c r="BA231" s="60"/>
      <c r="BB231" s="60"/>
      <c r="BC231" s="60"/>
      <c r="BD231" s="60"/>
      <c r="BE231" s="60"/>
      <c r="BF231" s="60"/>
      <c r="BG231" s="60"/>
      <c r="BH231" s="60" t="s">
        <v>176</v>
      </c>
      <c r="BI231" s="60"/>
      <c r="BJ231" s="60"/>
      <c r="BK231" s="60"/>
      <c r="BL231" s="60"/>
    </row>
    <row r="232" spans="1:79" ht="63" customHeight="1" x14ac:dyDescent="0.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117"/>
      <c r="W232" s="117"/>
      <c r="X232" s="117"/>
      <c r="Y232" s="117"/>
      <c r="Z232" s="60" t="s">
        <v>18</v>
      </c>
      <c r="AA232" s="60"/>
      <c r="AB232" s="60"/>
      <c r="AC232" s="60"/>
      <c r="AD232" s="60"/>
      <c r="AE232" s="60" t="s">
        <v>17</v>
      </c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117"/>
      <c r="AU232" s="117"/>
      <c r="AV232" s="117"/>
      <c r="AW232" s="117"/>
      <c r="AX232" s="60" t="s">
        <v>18</v>
      </c>
      <c r="AY232" s="60"/>
      <c r="AZ232" s="60"/>
      <c r="BA232" s="60"/>
      <c r="BB232" s="60"/>
      <c r="BC232" s="60" t="s">
        <v>17</v>
      </c>
      <c r="BD232" s="60"/>
      <c r="BE232" s="60"/>
      <c r="BF232" s="60"/>
      <c r="BG232" s="60"/>
      <c r="BH232" s="60"/>
      <c r="BI232" s="60"/>
      <c r="BJ232" s="60"/>
      <c r="BK232" s="60"/>
      <c r="BL232" s="60"/>
    </row>
    <row r="233" spans="1:79" ht="15" customHeight="1" x14ac:dyDescent="0.2">
      <c r="A233" s="60">
        <v>1</v>
      </c>
      <c r="B233" s="60"/>
      <c r="C233" s="60"/>
      <c r="D233" s="60"/>
      <c r="E233" s="60"/>
      <c r="F233" s="60"/>
      <c r="G233" s="60">
        <v>2</v>
      </c>
      <c r="H233" s="60"/>
      <c r="I233" s="60"/>
      <c r="J233" s="60"/>
      <c r="K233" s="60"/>
      <c r="L233" s="60"/>
      <c r="M233" s="60"/>
      <c r="N233" s="60"/>
      <c r="O233" s="60"/>
      <c r="P233" s="60"/>
      <c r="Q233" s="60">
        <v>3</v>
      </c>
      <c r="R233" s="60"/>
      <c r="S233" s="60"/>
      <c r="T233" s="60"/>
      <c r="U233" s="60"/>
      <c r="V233" s="60">
        <v>4</v>
      </c>
      <c r="W233" s="60"/>
      <c r="X233" s="60"/>
      <c r="Y233" s="60"/>
      <c r="Z233" s="60">
        <v>5</v>
      </c>
      <c r="AA233" s="60"/>
      <c r="AB233" s="60"/>
      <c r="AC233" s="60"/>
      <c r="AD233" s="60"/>
      <c r="AE233" s="60">
        <v>6</v>
      </c>
      <c r="AF233" s="60"/>
      <c r="AG233" s="60"/>
      <c r="AH233" s="60"/>
      <c r="AI233" s="60"/>
      <c r="AJ233" s="60">
        <v>7</v>
      </c>
      <c r="AK233" s="60"/>
      <c r="AL233" s="60"/>
      <c r="AM233" s="60"/>
      <c r="AN233" s="60"/>
      <c r="AO233" s="60">
        <v>8</v>
      </c>
      <c r="AP233" s="60"/>
      <c r="AQ233" s="60"/>
      <c r="AR233" s="60"/>
      <c r="AS233" s="60"/>
      <c r="AT233" s="60">
        <v>9</v>
      </c>
      <c r="AU233" s="60"/>
      <c r="AV233" s="60"/>
      <c r="AW233" s="60"/>
      <c r="AX233" s="60">
        <v>10</v>
      </c>
      <c r="AY233" s="60"/>
      <c r="AZ233" s="60"/>
      <c r="BA233" s="60"/>
      <c r="BB233" s="60"/>
      <c r="BC233" s="60">
        <v>11</v>
      </c>
      <c r="BD233" s="60"/>
      <c r="BE233" s="60"/>
      <c r="BF233" s="60"/>
      <c r="BG233" s="60"/>
      <c r="BH233" s="60">
        <v>12</v>
      </c>
      <c r="BI233" s="60"/>
      <c r="BJ233" s="60"/>
      <c r="BK233" s="60"/>
      <c r="BL233" s="60"/>
    </row>
    <row r="234" spans="1:79" s="2" customFormat="1" ht="12" hidden="1" customHeight="1" x14ac:dyDescent="0.2">
      <c r="A234" s="58" t="s">
        <v>85</v>
      </c>
      <c r="B234" s="58"/>
      <c r="C234" s="58"/>
      <c r="D234" s="58"/>
      <c r="E234" s="58"/>
      <c r="F234" s="58"/>
      <c r="G234" s="116" t="s">
        <v>78</v>
      </c>
      <c r="H234" s="116"/>
      <c r="I234" s="116"/>
      <c r="J234" s="116"/>
      <c r="K234" s="116"/>
      <c r="L234" s="116"/>
      <c r="M234" s="116"/>
      <c r="N234" s="116"/>
      <c r="O234" s="116"/>
      <c r="P234" s="116"/>
      <c r="Q234" s="76" t="s">
        <v>101</v>
      </c>
      <c r="R234" s="76"/>
      <c r="S234" s="76"/>
      <c r="T234" s="76"/>
      <c r="U234" s="76"/>
      <c r="V234" s="76" t="s">
        <v>102</v>
      </c>
      <c r="W234" s="76"/>
      <c r="X234" s="76"/>
      <c r="Y234" s="76"/>
      <c r="Z234" s="76" t="s">
        <v>103</v>
      </c>
      <c r="AA234" s="76"/>
      <c r="AB234" s="76"/>
      <c r="AC234" s="76"/>
      <c r="AD234" s="76"/>
      <c r="AE234" s="76" t="s">
        <v>104</v>
      </c>
      <c r="AF234" s="76"/>
      <c r="AG234" s="76"/>
      <c r="AH234" s="76"/>
      <c r="AI234" s="76"/>
      <c r="AJ234" s="58" t="s">
        <v>124</v>
      </c>
      <c r="AK234" s="76"/>
      <c r="AL234" s="76"/>
      <c r="AM234" s="76"/>
      <c r="AN234" s="76"/>
      <c r="AO234" s="76" t="s">
        <v>105</v>
      </c>
      <c r="AP234" s="76"/>
      <c r="AQ234" s="76"/>
      <c r="AR234" s="76"/>
      <c r="AS234" s="76"/>
      <c r="AT234" s="58" t="s">
        <v>125</v>
      </c>
      <c r="AU234" s="76"/>
      <c r="AV234" s="76"/>
      <c r="AW234" s="76"/>
      <c r="AX234" s="76" t="s">
        <v>106</v>
      </c>
      <c r="AY234" s="76"/>
      <c r="AZ234" s="76"/>
      <c r="BA234" s="76"/>
      <c r="BB234" s="76"/>
      <c r="BC234" s="76" t="s">
        <v>107</v>
      </c>
      <c r="BD234" s="76"/>
      <c r="BE234" s="76"/>
      <c r="BF234" s="76"/>
      <c r="BG234" s="76"/>
      <c r="BH234" s="58" t="s">
        <v>124</v>
      </c>
      <c r="BI234" s="76"/>
      <c r="BJ234" s="76"/>
      <c r="BK234" s="76"/>
      <c r="BL234" s="76"/>
      <c r="CA234" s="2" t="s">
        <v>60</v>
      </c>
    </row>
    <row r="235" spans="1:79" s="9" customFormat="1" ht="12.75" customHeight="1" x14ac:dyDescent="0.2">
      <c r="A235" s="101"/>
      <c r="B235" s="101"/>
      <c r="C235" s="101"/>
      <c r="D235" s="101"/>
      <c r="E235" s="101"/>
      <c r="F235" s="101"/>
      <c r="G235" s="114" t="s">
        <v>179</v>
      </c>
      <c r="H235" s="114"/>
      <c r="I235" s="114"/>
      <c r="J235" s="114"/>
      <c r="K235" s="114"/>
      <c r="L235" s="114"/>
      <c r="M235" s="114"/>
      <c r="N235" s="114"/>
      <c r="O235" s="114"/>
      <c r="P235" s="114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7"/>
      <c r="AI235" s="97"/>
      <c r="AJ235" s="97">
        <f>IF(ISNUMBER(Q235),Q235,0)-IF(ISNUMBER(Z235),Z235,0)</f>
        <v>0</v>
      </c>
      <c r="AK235" s="97"/>
      <c r="AL235" s="97"/>
      <c r="AM235" s="97"/>
      <c r="AN235" s="97"/>
      <c r="AO235" s="97"/>
      <c r="AP235" s="97"/>
      <c r="AQ235" s="97"/>
      <c r="AR235" s="97"/>
      <c r="AS235" s="97"/>
      <c r="AT235" s="97">
        <f>IF(ISNUMBER(V235),V235,0)-IF(ISNUMBER(Z235),Z235,0)-IF(ISNUMBER(AE235),AE235,0)</f>
        <v>0</v>
      </c>
      <c r="AU235" s="97"/>
      <c r="AV235" s="97"/>
      <c r="AW235" s="97"/>
      <c r="AX235" s="97"/>
      <c r="AY235" s="97"/>
      <c r="AZ235" s="97"/>
      <c r="BA235" s="97"/>
      <c r="BB235" s="97"/>
      <c r="BC235" s="97"/>
      <c r="BD235" s="97"/>
      <c r="BE235" s="97"/>
      <c r="BF235" s="97"/>
      <c r="BG235" s="97"/>
      <c r="BH235" s="97">
        <f>IF(ISNUMBER(AO235),AO235,0)-IF(ISNUMBER(AX235),AX235,0)</f>
        <v>0</v>
      </c>
      <c r="BI235" s="97"/>
      <c r="BJ235" s="97"/>
      <c r="BK235" s="97"/>
      <c r="BL235" s="97"/>
      <c r="CA235" s="9" t="s">
        <v>61</v>
      </c>
    </row>
    <row r="237" spans="1:79" ht="14.25" customHeight="1" x14ac:dyDescent="0.2">
      <c r="A237" s="115" t="s">
        <v>303</v>
      </c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15"/>
      <c r="AL237" s="115"/>
      <c r="AM237" s="115"/>
      <c r="AN237" s="115"/>
      <c r="AO237" s="115"/>
      <c r="AP237" s="115"/>
      <c r="AQ237" s="115"/>
      <c r="AR237" s="115"/>
      <c r="AS237" s="115"/>
      <c r="AT237" s="115"/>
      <c r="AU237" s="115"/>
      <c r="AV237" s="115"/>
      <c r="AW237" s="115"/>
      <c r="AX237" s="115"/>
      <c r="AY237" s="115"/>
      <c r="AZ237" s="115"/>
      <c r="BA237" s="115"/>
      <c r="BB237" s="115"/>
      <c r="BC237" s="115"/>
      <c r="BD237" s="115"/>
      <c r="BE237" s="115"/>
      <c r="BF237" s="115"/>
      <c r="BG237" s="115"/>
      <c r="BH237" s="115"/>
      <c r="BI237" s="115"/>
      <c r="BJ237" s="115"/>
      <c r="BK237" s="115"/>
      <c r="BL237" s="115"/>
    </row>
    <row r="238" spans="1:79" ht="15" customHeight="1" x14ac:dyDescent="0.2">
      <c r="A238" s="81" t="s">
        <v>239</v>
      </c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</row>
    <row r="239" spans="1:79" ht="42.95" customHeight="1" x14ac:dyDescent="0.2">
      <c r="A239" s="117" t="s">
        <v>166</v>
      </c>
      <c r="B239" s="117"/>
      <c r="C239" s="117"/>
      <c r="D239" s="117"/>
      <c r="E239" s="117"/>
      <c r="F239" s="117"/>
      <c r="G239" s="60" t="s">
        <v>20</v>
      </c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 t="s">
        <v>16</v>
      </c>
      <c r="U239" s="60"/>
      <c r="V239" s="60"/>
      <c r="W239" s="60"/>
      <c r="X239" s="60"/>
      <c r="Y239" s="60"/>
      <c r="Z239" s="60" t="s">
        <v>15</v>
      </c>
      <c r="AA239" s="60"/>
      <c r="AB239" s="60"/>
      <c r="AC239" s="60"/>
      <c r="AD239" s="60"/>
      <c r="AE239" s="60" t="s">
        <v>300</v>
      </c>
      <c r="AF239" s="60"/>
      <c r="AG239" s="60"/>
      <c r="AH239" s="60"/>
      <c r="AI239" s="60"/>
      <c r="AJ239" s="60"/>
      <c r="AK239" s="60" t="s">
        <v>304</v>
      </c>
      <c r="AL239" s="60"/>
      <c r="AM239" s="60"/>
      <c r="AN239" s="60"/>
      <c r="AO239" s="60"/>
      <c r="AP239" s="60"/>
      <c r="AQ239" s="60" t="s">
        <v>316</v>
      </c>
      <c r="AR239" s="60"/>
      <c r="AS239" s="60"/>
      <c r="AT239" s="60"/>
      <c r="AU239" s="60"/>
      <c r="AV239" s="60"/>
      <c r="AW239" s="60" t="s">
        <v>19</v>
      </c>
      <c r="AX239" s="60"/>
      <c r="AY239" s="60"/>
      <c r="AZ239" s="60"/>
      <c r="BA239" s="60"/>
      <c r="BB239" s="60"/>
      <c r="BC239" s="60"/>
      <c r="BD239" s="60"/>
      <c r="BE239" s="60" t="s">
        <v>190</v>
      </c>
      <c r="BF239" s="60"/>
      <c r="BG239" s="60"/>
      <c r="BH239" s="60"/>
      <c r="BI239" s="60"/>
      <c r="BJ239" s="60"/>
      <c r="BK239" s="60"/>
      <c r="BL239" s="60"/>
    </row>
    <row r="240" spans="1:79" ht="21.75" customHeight="1" x14ac:dyDescent="0.2">
      <c r="A240" s="117"/>
      <c r="B240" s="117"/>
      <c r="C240" s="117"/>
      <c r="D240" s="117"/>
      <c r="E240" s="117"/>
      <c r="F240" s="117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</row>
    <row r="241" spans="1:79" ht="15" customHeight="1" x14ac:dyDescent="0.2">
      <c r="A241" s="60">
        <v>1</v>
      </c>
      <c r="B241" s="60"/>
      <c r="C241" s="60"/>
      <c r="D241" s="60"/>
      <c r="E241" s="60"/>
      <c r="F241" s="60"/>
      <c r="G241" s="60">
        <v>2</v>
      </c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>
        <v>3</v>
      </c>
      <c r="U241" s="60"/>
      <c r="V241" s="60"/>
      <c r="W241" s="60"/>
      <c r="X241" s="60"/>
      <c r="Y241" s="60"/>
      <c r="Z241" s="60">
        <v>4</v>
      </c>
      <c r="AA241" s="60"/>
      <c r="AB241" s="60"/>
      <c r="AC241" s="60"/>
      <c r="AD241" s="60"/>
      <c r="AE241" s="60">
        <v>5</v>
      </c>
      <c r="AF241" s="60"/>
      <c r="AG241" s="60"/>
      <c r="AH241" s="60"/>
      <c r="AI241" s="60"/>
      <c r="AJ241" s="60"/>
      <c r="AK241" s="60">
        <v>6</v>
      </c>
      <c r="AL241" s="60"/>
      <c r="AM241" s="60"/>
      <c r="AN241" s="60"/>
      <c r="AO241" s="60"/>
      <c r="AP241" s="60"/>
      <c r="AQ241" s="60">
        <v>7</v>
      </c>
      <c r="AR241" s="60"/>
      <c r="AS241" s="60"/>
      <c r="AT241" s="60"/>
      <c r="AU241" s="60"/>
      <c r="AV241" s="60"/>
      <c r="AW241" s="58">
        <v>8</v>
      </c>
      <c r="AX241" s="58"/>
      <c r="AY241" s="58"/>
      <c r="AZ241" s="58"/>
      <c r="BA241" s="58"/>
      <c r="BB241" s="58"/>
      <c r="BC241" s="58"/>
      <c r="BD241" s="58"/>
      <c r="BE241" s="58">
        <v>9</v>
      </c>
      <c r="BF241" s="58"/>
      <c r="BG241" s="58"/>
      <c r="BH241" s="58"/>
      <c r="BI241" s="58"/>
      <c r="BJ241" s="58"/>
      <c r="BK241" s="58"/>
      <c r="BL241" s="58"/>
    </row>
    <row r="242" spans="1:79" s="2" customFormat="1" ht="18.75" hidden="1" customHeight="1" x14ac:dyDescent="0.2">
      <c r="A242" s="58" t="s">
        <v>85</v>
      </c>
      <c r="B242" s="58"/>
      <c r="C242" s="58"/>
      <c r="D242" s="58"/>
      <c r="E242" s="58"/>
      <c r="F242" s="58"/>
      <c r="G242" s="116" t="s">
        <v>78</v>
      </c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76" t="s">
        <v>101</v>
      </c>
      <c r="U242" s="76"/>
      <c r="V242" s="76"/>
      <c r="W242" s="76"/>
      <c r="X242" s="76"/>
      <c r="Y242" s="76"/>
      <c r="Z242" s="76" t="s">
        <v>102</v>
      </c>
      <c r="AA242" s="76"/>
      <c r="AB242" s="76"/>
      <c r="AC242" s="76"/>
      <c r="AD242" s="76"/>
      <c r="AE242" s="76" t="s">
        <v>103</v>
      </c>
      <c r="AF242" s="76"/>
      <c r="AG242" s="76"/>
      <c r="AH242" s="76"/>
      <c r="AI242" s="76"/>
      <c r="AJ242" s="76"/>
      <c r="AK242" s="76" t="s">
        <v>104</v>
      </c>
      <c r="AL242" s="76"/>
      <c r="AM242" s="76"/>
      <c r="AN242" s="76"/>
      <c r="AO242" s="76"/>
      <c r="AP242" s="76"/>
      <c r="AQ242" s="76" t="s">
        <v>105</v>
      </c>
      <c r="AR242" s="76"/>
      <c r="AS242" s="76"/>
      <c r="AT242" s="76"/>
      <c r="AU242" s="76"/>
      <c r="AV242" s="76"/>
      <c r="AW242" s="116" t="s">
        <v>108</v>
      </c>
      <c r="AX242" s="116"/>
      <c r="AY242" s="116"/>
      <c r="AZ242" s="116"/>
      <c r="BA242" s="116"/>
      <c r="BB242" s="116"/>
      <c r="BC242" s="116"/>
      <c r="BD242" s="116"/>
      <c r="BE242" s="116" t="s">
        <v>109</v>
      </c>
      <c r="BF242" s="116"/>
      <c r="BG242" s="116"/>
      <c r="BH242" s="116"/>
      <c r="BI242" s="116"/>
      <c r="BJ242" s="116"/>
      <c r="BK242" s="116"/>
      <c r="BL242" s="116"/>
      <c r="CA242" s="2" t="s">
        <v>62</v>
      </c>
    </row>
    <row r="243" spans="1:79" s="9" customFormat="1" ht="12.75" customHeight="1" x14ac:dyDescent="0.2">
      <c r="A243" s="101"/>
      <c r="B243" s="101"/>
      <c r="C243" s="101"/>
      <c r="D243" s="101"/>
      <c r="E243" s="101"/>
      <c r="F243" s="101"/>
      <c r="G243" s="114" t="s">
        <v>179</v>
      </c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  <c r="AI243" s="97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  <c r="AT243" s="97"/>
      <c r="AU243" s="97"/>
      <c r="AV243" s="97"/>
      <c r="AW243" s="114"/>
      <c r="AX243" s="114"/>
      <c r="AY243" s="114"/>
      <c r="AZ243" s="114"/>
      <c r="BA243" s="114"/>
      <c r="BB243" s="114"/>
      <c r="BC243" s="114"/>
      <c r="BD243" s="114"/>
      <c r="BE243" s="114"/>
      <c r="BF243" s="114"/>
      <c r="BG243" s="114"/>
      <c r="BH243" s="114"/>
      <c r="BI243" s="114"/>
      <c r="BJ243" s="114"/>
      <c r="BK243" s="114"/>
      <c r="BL243" s="114"/>
      <c r="CA243" s="9" t="s">
        <v>63</v>
      </c>
    </row>
    <row r="245" spans="1:79" ht="14.25" customHeight="1" x14ac:dyDescent="0.2">
      <c r="A245" s="115" t="s">
        <v>305</v>
      </c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15"/>
      <c r="AM245" s="115"/>
      <c r="AN245" s="115"/>
      <c r="AO245" s="115"/>
      <c r="AP245" s="115"/>
      <c r="AQ245" s="115"/>
      <c r="AR245" s="115"/>
      <c r="AS245" s="115"/>
      <c r="AT245" s="115"/>
      <c r="AU245" s="115"/>
      <c r="AV245" s="115"/>
      <c r="AW245" s="115"/>
      <c r="AX245" s="115"/>
      <c r="AY245" s="115"/>
      <c r="AZ245" s="115"/>
      <c r="BA245" s="115"/>
      <c r="BB245" s="115"/>
      <c r="BC245" s="115"/>
      <c r="BD245" s="115"/>
      <c r="BE245" s="115"/>
      <c r="BF245" s="115"/>
      <c r="BG245" s="115"/>
      <c r="BH245" s="115"/>
      <c r="BI245" s="115"/>
      <c r="BJ245" s="115"/>
      <c r="BK245" s="115"/>
      <c r="BL245" s="115"/>
    </row>
    <row r="246" spans="1:79" ht="60" customHeight="1" x14ac:dyDescent="0.2">
      <c r="A246" s="84" t="s">
        <v>298</v>
      </c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</row>
    <row r="247" spans="1:79" ht="1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9" spans="1:79" ht="14.25" x14ac:dyDescent="0.2">
      <c r="A249" s="115" t="s">
        <v>329</v>
      </c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15"/>
      <c r="AL249" s="115"/>
      <c r="AM249" s="115"/>
      <c r="AN249" s="115"/>
      <c r="AO249" s="115"/>
      <c r="AP249" s="115"/>
      <c r="AQ249" s="115"/>
      <c r="AR249" s="115"/>
      <c r="AS249" s="115"/>
      <c r="AT249" s="115"/>
      <c r="AU249" s="115"/>
      <c r="AV249" s="115"/>
      <c r="AW249" s="115"/>
      <c r="AX249" s="115"/>
      <c r="AY249" s="115"/>
      <c r="AZ249" s="115"/>
      <c r="BA249" s="115"/>
      <c r="BB249" s="115"/>
      <c r="BC249" s="115"/>
      <c r="BD249" s="115"/>
      <c r="BE249" s="115"/>
      <c r="BF249" s="115"/>
      <c r="BG249" s="115"/>
      <c r="BH249" s="115"/>
      <c r="BI249" s="115"/>
      <c r="BJ249" s="115"/>
      <c r="BK249" s="115"/>
      <c r="BL249" s="115"/>
    </row>
    <row r="250" spans="1:79" ht="14.25" x14ac:dyDescent="0.2">
      <c r="A250" s="115" t="s">
        <v>306</v>
      </c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115"/>
      <c r="AL250" s="115"/>
      <c r="AM250" s="115"/>
      <c r="AN250" s="115"/>
      <c r="AO250" s="115"/>
      <c r="AP250" s="115"/>
      <c r="AQ250" s="115"/>
      <c r="AR250" s="115"/>
      <c r="AS250" s="115"/>
      <c r="AT250" s="115"/>
      <c r="AU250" s="115"/>
      <c r="AV250" s="115"/>
      <c r="AW250" s="115"/>
      <c r="AX250" s="115"/>
      <c r="AY250" s="115"/>
      <c r="AZ250" s="115"/>
      <c r="BA250" s="115"/>
      <c r="BB250" s="115"/>
      <c r="BC250" s="115"/>
      <c r="BD250" s="115"/>
      <c r="BE250" s="115"/>
      <c r="BF250" s="115"/>
      <c r="BG250" s="115"/>
      <c r="BH250" s="115"/>
      <c r="BI250" s="115"/>
      <c r="BJ250" s="115"/>
      <c r="BK250" s="115"/>
      <c r="BL250" s="115"/>
    </row>
    <row r="251" spans="1:79" ht="15" customHeight="1" x14ac:dyDescent="0.2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  <c r="AM251" s="113"/>
      <c r="AN251" s="113"/>
      <c r="AO251" s="113"/>
      <c r="AP251" s="113"/>
      <c r="AQ251" s="113"/>
      <c r="AR251" s="113"/>
      <c r="AS251" s="113"/>
      <c r="AT251" s="113"/>
      <c r="AU251" s="113"/>
      <c r="AV251" s="113"/>
      <c r="AW251" s="113"/>
      <c r="AX251" s="113"/>
      <c r="AY251" s="113"/>
      <c r="AZ251" s="113"/>
      <c r="BA251" s="113"/>
      <c r="BB251" s="113"/>
      <c r="BC251" s="113"/>
      <c r="BD251" s="113"/>
      <c r="BE251" s="113"/>
      <c r="BF251" s="113"/>
      <c r="BG251" s="113"/>
      <c r="BH251" s="113"/>
      <c r="BI251" s="113"/>
      <c r="BJ251" s="113"/>
      <c r="BK251" s="113"/>
      <c r="BL251" s="113"/>
    </row>
    <row r="252" spans="1:79" ht="1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5" spans="1:79" ht="18.95" customHeight="1" x14ac:dyDescent="0.2">
      <c r="A255" s="73" t="s">
        <v>233</v>
      </c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35"/>
      <c r="AC255" s="35"/>
      <c r="AD255" s="35"/>
      <c r="AE255" s="35"/>
      <c r="AF255" s="35"/>
      <c r="AG255" s="35"/>
      <c r="AH255" s="77"/>
      <c r="AI255" s="77"/>
      <c r="AJ255" s="77"/>
      <c r="AK255" s="77"/>
      <c r="AL255" s="77"/>
      <c r="AM255" s="77"/>
      <c r="AN255" s="77"/>
      <c r="AO255" s="77"/>
      <c r="AP255" s="77"/>
      <c r="AQ255" s="35"/>
      <c r="AR255" s="35"/>
      <c r="AS255" s="35"/>
      <c r="AT255" s="35"/>
      <c r="AU255" s="75" t="s">
        <v>235</v>
      </c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</row>
    <row r="256" spans="1:79" ht="12.75" customHeight="1" x14ac:dyDescent="0.2">
      <c r="AB256" s="36"/>
      <c r="AC256" s="36"/>
      <c r="AD256" s="36"/>
      <c r="AE256" s="36"/>
      <c r="AF256" s="36"/>
      <c r="AG256" s="36"/>
      <c r="AH256" s="70" t="s">
        <v>2</v>
      </c>
      <c r="AI256" s="70"/>
      <c r="AJ256" s="70"/>
      <c r="AK256" s="70"/>
      <c r="AL256" s="70"/>
      <c r="AM256" s="70"/>
      <c r="AN256" s="70"/>
      <c r="AO256" s="70"/>
      <c r="AP256" s="70"/>
      <c r="AQ256" s="36"/>
      <c r="AR256" s="36"/>
      <c r="AS256" s="36"/>
      <c r="AT256" s="36"/>
      <c r="AU256" s="70" t="s">
        <v>205</v>
      </c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</row>
    <row r="257" spans="1:58" ht="15" x14ac:dyDescent="0.2">
      <c r="AB257" s="36"/>
      <c r="AC257" s="36"/>
      <c r="AD257" s="36"/>
      <c r="AE257" s="36"/>
      <c r="AF257" s="36"/>
      <c r="AG257" s="36"/>
      <c r="AH257" s="37"/>
      <c r="AI257" s="37"/>
      <c r="AJ257" s="37"/>
      <c r="AK257" s="37"/>
      <c r="AL257" s="37"/>
      <c r="AM257" s="37"/>
      <c r="AN257" s="37"/>
      <c r="AO257" s="37"/>
      <c r="AP257" s="37"/>
      <c r="AQ257" s="36"/>
      <c r="AR257" s="36"/>
      <c r="AS257" s="36"/>
      <c r="AT257" s="36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</row>
    <row r="258" spans="1:58" ht="18" customHeight="1" x14ac:dyDescent="0.2">
      <c r="A258" s="73" t="s">
        <v>234</v>
      </c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36"/>
      <c r="AC258" s="36"/>
      <c r="AD258" s="36"/>
      <c r="AE258" s="36"/>
      <c r="AF258" s="36"/>
      <c r="AG258" s="36"/>
      <c r="AH258" s="78"/>
      <c r="AI258" s="78"/>
      <c r="AJ258" s="78"/>
      <c r="AK258" s="78"/>
      <c r="AL258" s="78"/>
      <c r="AM258" s="78"/>
      <c r="AN258" s="78"/>
      <c r="AO258" s="78"/>
      <c r="AP258" s="78"/>
      <c r="AQ258" s="36"/>
      <c r="AR258" s="36"/>
      <c r="AS258" s="36"/>
      <c r="AT258" s="36"/>
      <c r="AU258" s="71" t="s">
        <v>236</v>
      </c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</row>
    <row r="259" spans="1:58" ht="12" customHeight="1" x14ac:dyDescent="0.2">
      <c r="AB259" s="36"/>
      <c r="AC259" s="36"/>
      <c r="AD259" s="36"/>
      <c r="AE259" s="36"/>
      <c r="AF259" s="36"/>
      <c r="AG259" s="36"/>
      <c r="AH259" s="70" t="s">
        <v>2</v>
      </c>
      <c r="AI259" s="70"/>
      <c r="AJ259" s="70"/>
      <c r="AK259" s="70"/>
      <c r="AL259" s="70"/>
      <c r="AM259" s="70"/>
      <c r="AN259" s="70"/>
      <c r="AO259" s="70"/>
      <c r="AP259" s="70"/>
      <c r="AQ259" s="36"/>
      <c r="AR259" s="36"/>
      <c r="AS259" s="36"/>
      <c r="AT259" s="36"/>
      <c r="AU259" s="70" t="s">
        <v>205</v>
      </c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</row>
  </sheetData>
  <mergeCells count="1727">
    <mergeCell ref="BN1:BZ1"/>
    <mergeCell ref="A2:BZ2"/>
    <mergeCell ref="B4:AF4"/>
    <mergeCell ref="AH4:AR4"/>
    <mergeCell ref="AT4:BA4"/>
    <mergeCell ref="A5:AF5"/>
    <mergeCell ref="AH5:AR5"/>
    <mergeCell ref="AT5:BA5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B31:BF31"/>
    <mergeCell ref="BG31:BK31"/>
    <mergeCell ref="BL31:BP31"/>
    <mergeCell ref="BQ31:BT31"/>
    <mergeCell ref="BU31:BY31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40:D40"/>
    <mergeCell ref="E40:W40"/>
    <mergeCell ref="X40:AB40"/>
    <mergeCell ref="AC40:AG40"/>
    <mergeCell ref="AH40:AL40"/>
    <mergeCell ref="AM40:AQ40"/>
    <mergeCell ref="AR40:AV40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G60:BK60"/>
    <mergeCell ref="BL60:BP60"/>
    <mergeCell ref="BQ60:BT60"/>
    <mergeCell ref="BU60:BY60"/>
    <mergeCell ref="A61:E61"/>
    <mergeCell ref="F61:T61"/>
    <mergeCell ref="U61:Y61"/>
    <mergeCell ref="Z61:AD61"/>
    <mergeCell ref="AE61:AH61"/>
    <mergeCell ref="AI61:AM61"/>
    <mergeCell ref="AE60:AH60"/>
    <mergeCell ref="AI60:AM60"/>
    <mergeCell ref="AN60:AR60"/>
    <mergeCell ref="AS60:AW60"/>
    <mergeCell ref="AX60:BA60"/>
    <mergeCell ref="BB60:BF60"/>
    <mergeCell ref="BU50:BY50"/>
    <mergeCell ref="A57:BL57"/>
    <mergeCell ref="A58:BY58"/>
    <mergeCell ref="A59:E60"/>
    <mergeCell ref="F59:T60"/>
    <mergeCell ref="U59:AM59"/>
    <mergeCell ref="AN59:BF59"/>
    <mergeCell ref="BG59:BY59"/>
    <mergeCell ref="U60:Y60"/>
    <mergeCell ref="Z60:AD60"/>
    <mergeCell ref="AS50:AW50"/>
    <mergeCell ref="AX50:BA50"/>
    <mergeCell ref="BB50:BF50"/>
    <mergeCell ref="BG50:BK50"/>
    <mergeCell ref="BL50:BP50"/>
    <mergeCell ref="BQ50:BT50"/>
    <mergeCell ref="AX62:BA62"/>
    <mergeCell ref="BB62:BF62"/>
    <mergeCell ref="BG62:BK62"/>
    <mergeCell ref="BL62:BP62"/>
    <mergeCell ref="BQ62:BT62"/>
    <mergeCell ref="BU62:BY62"/>
    <mergeCell ref="BQ61:BT61"/>
    <mergeCell ref="BU61:BY61"/>
    <mergeCell ref="A62:E62"/>
    <mergeCell ref="F62:T62"/>
    <mergeCell ref="U62:Y62"/>
    <mergeCell ref="Z62:AD62"/>
    <mergeCell ref="AE62:AH62"/>
    <mergeCell ref="AI62:AM62"/>
    <mergeCell ref="AN62:AR62"/>
    <mergeCell ref="AS62:AW62"/>
    <mergeCell ref="AN61:AR61"/>
    <mergeCell ref="AS61:AW61"/>
    <mergeCell ref="AX61:BA61"/>
    <mergeCell ref="BB61:BF61"/>
    <mergeCell ref="BG61:BK61"/>
    <mergeCell ref="BL61:BP61"/>
    <mergeCell ref="BQ63:BT63"/>
    <mergeCell ref="BU63:BY63"/>
    <mergeCell ref="A65:BL65"/>
    <mergeCell ref="A66:BK66"/>
    <mergeCell ref="A67:D68"/>
    <mergeCell ref="E67:W68"/>
    <mergeCell ref="X67:AQ67"/>
    <mergeCell ref="AR67:BK67"/>
    <mergeCell ref="X68:AB68"/>
    <mergeCell ref="AC68:AG68"/>
    <mergeCell ref="AN63:AR63"/>
    <mergeCell ref="AS63:AW63"/>
    <mergeCell ref="AX63:BA63"/>
    <mergeCell ref="BB63:BF63"/>
    <mergeCell ref="BG63:BK63"/>
    <mergeCell ref="BL63:BP63"/>
    <mergeCell ref="A63:E63"/>
    <mergeCell ref="F63:T63"/>
    <mergeCell ref="U63:Y63"/>
    <mergeCell ref="Z63:AD63"/>
    <mergeCell ref="AE63:AH63"/>
    <mergeCell ref="AI63:AM63"/>
    <mergeCell ref="AR69:AV69"/>
    <mergeCell ref="AW69:BA69"/>
    <mergeCell ref="BB69:BF69"/>
    <mergeCell ref="BG69:BK69"/>
    <mergeCell ref="A70:D70"/>
    <mergeCell ref="E70:W70"/>
    <mergeCell ref="X70:AB70"/>
    <mergeCell ref="AC70:AG70"/>
    <mergeCell ref="AH70:AL70"/>
    <mergeCell ref="AM70:AQ70"/>
    <mergeCell ref="A69:D69"/>
    <mergeCell ref="E69:W69"/>
    <mergeCell ref="X69:AB69"/>
    <mergeCell ref="AC69:AG69"/>
    <mergeCell ref="AH69:AL69"/>
    <mergeCell ref="AM69:AQ69"/>
    <mergeCell ref="AH68:AL68"/>
    <mergeCell ref="AM68:AQ68"/>
    <mergeCell ref="AR68:AV68"/>
    <mergeCell ref="AW68:BA68"/>
    <mergeCell ref="BB68:BF68"/>
    <mergeCell ref="BG68:BK68"/>
    <mergeCell ref="AR71:AV71"/>
    <mergeCell ref="AW71:BA71"/>
    <mergeCell ref="BB71:BF71"/>
    <mergeCell ref="BG71:BK71"/>
    <mergeCell ref="A78:BL78"/>
    <mergeCell ref="A79:BK79"/>
    <mergeCell ref="BG72:BK72"/>
    <mergeCell ref="A73:D73"/>
    <mergeCell ref="E73:W73"/>
    <mergeCell ref="X73:AB73"/>
    <mergeCell ref="AR70:AV70"/>
    <mergeCell ref="AW70:BA70"/>
    <mergeCell ref="BB70:BF70"/>
    <mergeCell ref="BG70:BK70"/>
    <mergeCell ref="A71:D71"/>
    <mergeCell ref="E71:W71"/>
    <mergeCell ref="X71:AB71"/>
    <mergeCell ref="AC71:AG71"/>
    <mergeCell ref="AH71:AL71"/>
    <mergeCell ref="AM71:AQ71"/>
    <mergeCell ref="AW74:BA74"/>
    <mergeCell ref="BB74:BF74"/>
    <mergeCell ref="AC73:AG73"/>
    <mergeCell ref="AH73:AL73"/>
    <mergeCell ref="AM73:AQ73"/>
    <mergeCell ref="AR73:AV73"/>
    <mergeCell ref="AW73:BA73"/>
    <mergeCell ref="BB73:BF73"/>
    <mergeCell ref="A72:D72"/>
    <mergeCell ref="E72:W72"/>
    <mergeCell ref="X72:AB72"/>
    <mergeCell ref="AC72:AG72"/>
    <mergeCell ref="BB81:BF81"/>
    <mergeCell ref="BG81:BK81"/>
    <mergeCell ref="A82:E82"/>
    <mergeCell ref="F82:W82"/>
    <mergeCell ref="X82:AB82"/>
    <mergeCell ref="AC82:AG82"/>
    <mergeCell ref="AH82:AL82"/>
    <mergeCell ref="AM82:AQ82"/>
    <mergeCell ref="AR82:AV82"/>
    <mergeCell ref="AW82:BA82"/>
    <mergeCell ref="A80:E81"/>
    <mergeCell ref="F80:W81"/>
    <mergeCell ref="X80:AQ80"/>
    <mergeCell ref="AR80:BK80"/>
    <mergeCell ref="X81:AB81"/>
    <mergeCell ref="AC81:AG81"/>
    <mergeCell ref="AH81:AL81"/>
    <mergeCell ref="AM81:AQ81"/>
    <mergeCell ref="AR81:AV81"/>
    <mergeCell ref="AW81:BA81"/>
    <mergeCell ref="BB83:BF83"/>
    <mergeCell ref="BG83:BK83"/>
    <mergeCell ref="A84:E84"/>
    <mergeCell ref="F84:W84"/>
    <mergeCell ref="X84:AB84"/>
    <mergeCell ref="AC84:AG84"/>
    <mergeCell ref="AH84:AL84"/>
    <mergeCell ref="AM84:AQ84"/>
    <mergeCell ref="AR84:AV84"/>
    <mergeCell ref="AW84:BA84"/>
    <mergeCell ref="BB82:BF82"/>
    <mergeCell ref="BG82:BK82"/>
    <mergeCell ref="A83:E83"/>
    <mergeCell ref="F83:W83"/>
    <mergeCell ref="X83:AB83"/>
    <mergeCell ref="AC83:AG83"/>
    <mergeCell ref="AH83:AL83"/>
    <mergeCell ref="AM83:AQ83"/>
    <mergeCell ref="AR83:AV83"/>
    <mergeCell ref="AW83:BA83"/>
    <mergeCell ref="AX91:BA91"/>
    <mergeCell ref="BB91:BF91"/>
    <mergeCell ref="BG91:BK91"/>
    <mergeCell ref="BL91:BP91"/>
    <mergeCell ref="BQ91:BT91"/>
    <mergeCell ref="BU91:BY91"/>
    <mergeCell ref="U91:Y91"/>
    <mergeCell ref="Z91:AD91"/>
    <mergeCell ref="AE91:AH91"/>
    <mergeCell ref="AI91:AM91"/>
    <mergeCell ref="AN91:AR91"/>
    <mergeCell ref="AS91:AW91"/>
    <mergeCell ref="BB84:BF84"/>
    <mergeCell ref="BG84:BK84"/>
    <mergeCell ref="A87:BL87"/>
    <mergeCell ref="A88:BL88"/>
    <mergeCell ref="A89:BY89"/>
    <mergeCell ref="A90:C91"/>
    <mergeCell ref="D90:T91"/>
    <mergeCell ref="U90:AM90"/>
    <mergeCell ref="AN90:BF90"/>
    <mergeCell ref="BG90:BY90"/>
    <mergeCell ref="BL93:BP93"/>
    <mergeCell ref="BQ93:BT93"/>
    <mergeCell ref="BU93:BY93"/>
    <mergeCell ref="BQ92:BT92"/>
    <mergeCell ref="BU92:BY92"/>
    <mergeCell ref="A93:C93"/>
    <mergeCell ref="D93:T93"/>
    <mergeCell ref="U93:Y93"/>
    <mergeCell ref="Z93:AD93"/>
    <mergeCell ref="AE93:AH93"/>
    <mergeCell ref="AI93:AM93"/>
    <mergeCell ref="AN93:AR93"/>
    <mergeCell ref="AS93:AW93"/>
    <mergeCell ref="AN92:AR92"/>
    <mergeCell ref="AS92:AW92"/>
    <mergeCell ref="AX92:BA92"/>
    <mergeCell ref="BB92:BF92"/>
    <mergeCell ref="BG92:BK92"/>
    <mergeCell ref="BL92:BP92"/>
    <mergeCell ref="A92:C92"/>
    <mergeCell ref="D92:T92"/>
    <mergeCell ref="U92:Y92"/>
    <mergeCell ref="Z92:AD92"/>
    <mergeCell ref="AE92:AH92"/>
    <mergeCell ref="AI92:AM92"/>
    <mergeCell ref="BU94:BY94"/>
    <mergeCell ref="A105:BL105"/>
    <mergeCell ref="A106:BH106"/>
    <mergeCell ref="A107:C108"/>
    <mergeCell ref="D107:T108"/>
    <mergeCell ref="U107:AN107"/>
    <mergeCell ref="AO107:BH107"/>
    <mergeCell ref="U108:Y108"/>
    <mergeCell ref="Z108:AD108"/>
    <mergeCell ref="AN94:AR94"/>
    <mergeCell ref="AS94:AW94"/>
    <mergeCell ref="AX94:BA94"/>
    <mergeCell ref="BB94:BF94"/>
    <mergeCell ref="BG94:BK94"/>
    <mergeCell ref="BL94:BP94"/>
    <mergeCell ref="A94:C94"/>
    <mergeCell ref="D94:T94"/>
    <mergeCell ref="U94:Y94"/>
    <mergeCell ref="Z94:AD94"/>
    <mergeCell ref="AE94:AH94"/>
    <mergeCell ref="AI94:AM94"/>
    <mergeCell ref="BB95:BF95"/>
    <mergeCell ref="BG95:BK95"/>
    <mergeCell ref="BL95:BP95"/>
    <mergeCell ref="BQ95:BT95"/>
    <mergeCell ref="AO109:AS109"/>
    <mergeCell ref="AT109:AX109"/>
    <mergeCell ref="AY109:BC109"/>
    <mergeCell ref="BD109:BH109"/>
    <mergeCell ref="A110:C110"/>
    <mergeCell ref="D110:T110"/>
    <mergeCell ref="U110:Y110"/>
    <mergeCell ref="Z110:AD110"/>
    <mergeCell ref="AE110:AI110"/>
    <mergeCell ref="AJ110:AN110"/>
    <mergeCell ref="A109:C109"/>
    <mergeCell ref="D109:T109"/>
    <mergeCell ref="U109:Y109"/>
    <mergeCell ref="Z109:AD109"/>
    <mergeCell ref="AE109:AI109"/>
    <mergeCell ref="AJ109:AN109"/>
    <mergeCell ref="AE108:AI108"/>
    <mergeCell ref="AJ108:AN108"/>
    <mergeCell ref="AO108:AS108"/>
    <mergeCell ref="AT108:AX108"/>
    <mergeCell ref="AY108:BC108"/>
    <mergeCell ref="BD108:BH108"/>
    <mergeCell ref="BJ125:BX125"/>
    <mergeCell ref="AF126:AJ126"/>
    <mergeCell ref="AK126:AO126"/>
    <mergeCell ref="AP126:AT126"/>
    <mergeCell ref="AU126:AY126"/>
    <mergeCell ref="AZ126:BD126"/>
    <mergeCell ref="BE126:BI126"/>
    <mergeCell ref="BJ126:BN126"/>
    <mergeCell ref="BO126:BS126"/>
    <mergeCell ref="BT126:BX126"/>
    <mergeCell ref="A125:C126"/>
    <mergeCell ref="D125:P126"/>
    <mergeCell ref="Q125:U126"/>
    <mergeCell ref="V125:AE126"/>
    <mergeCell ref="AF125:AT125"/>
    <mergeCell ref="AU125:BI125"/>
    <mergeCell ref="AO111:AS111"/>
    <mergeCell ref="AT111:AX111"/>
    <mergeCell ref="AY111:BC111"/>
    <mergeCell ref="BD111:BH111"/>
    <mergeCell ref="A123:BL123"/>
    <mergeCell ref="A124:BL124"/>
    <mergeCell ref="AJ112:AN112"/>
    <mergeCell ref="AO112:AS112"/>
    <mergeCell ref="AT112:AX112"/>
    <mergeCell ref="AY112:BC112"/>
    <mergeCell ref="BD113:BH113"/>
    <mergeCell ref="A114:C114"/>
    <mergeCell ref="D114:T114"/>
    <mergeCell ref="U114:Y114"/>
    <mergeCell ref="Z114:AD114"/>
    <mergeCell ref="AE114:AI114"/>
    <mergeCell ref="BT127:BX127"/>
    <mergeCell ref="A128:C128"/>
    <mergeCell ref="D128:P128"/>
    <mergeCell ref="Q128:U128"/>
    <mergeCell ref="V128:AE128"/>
    <mergeCell ref="AF128:AJ128"/>
    <mergeCell ref="AK128:AO128"/>
    <mergeCell ref="AP128:AT128"/>
    <mergeCell ref="AU128:AY128"/>
    <mergeCell ref="AZ128:BD128"/>
    <mergeCell ref="AP127:AT127"/>
    <mergeCell ref="AU127:AY127"/>
    <mergeCell ref="AZ127:BD127"/>
    <mergeCell ref="BE127:BI127"/>
    <mergeCell ref="BJ127:BN127"/>
    <mergeCell ref="BO127:BS127"/>
    <mergeCell ref="A127:C127"/>
    <mergeCell ref="D127:P127"/>
    <mergeCell ref="Q127:U127"/>
    <mergeCell ref="V127:AE127"/>
    <mergeCell ref="AF127:AJ127"/>
    <mergeCell ref="AK127:AO127"/>
    <mergeCell ref="BT129:BX129"/>
    <mergeCell ref="A141:BL141"/>
    <mergeCell ref="A142:C143"/>
    <mergeCell ref="D142:P143"/>
    <mergeCell ref="Q142:U143"/>
    <mergeCell ref="V142:AE143"/>
    <mergeCell ref="AF142:AT142"/>
    <mergeCell ref="AU142:BI142"/>
    <mergeCell ref="AF143:AJ143"/>
    <mergeCell ref="AK143:AO143"/>
    <mergeCell ref="AP129:AT129"/>
    <mergeCell ref="AU129:AY129"/>
    <mergeCell ref="AZ129:BD129"/>
    <mergeCell ref="BE129:BI129"/>
    <mergeCell ref="BJ129:BN129"/>
    <mergeCell ref="BO129:BS129"/>
    <mergeCell ref="BE128:BI128"/>
    <mergeCell ref="BJ128:BN128"/>
    <mergeCell ref="BO128:BS128"/>
    <mergeCell ref="BT128:BX128"/>
    <mergeCell ref="A129:C129"/>
    <mergeCell ref="D129:P129"/>
    <mergeCell ref="Q129:U129"/>
    <mergeCell ref="V129:AE129"/>
    <mergeCell ref="AF129:AJ129"/>
    <mergeCell ref="AK129:AO129"/>
    <mergeCell ref="AP130:AT130"/>
    <mergeCell ref="AU130:AY130"/>
    <mergeCell ref="AZ130:BD130"/>
    <mergeCell ref="BT131:BX131"/>
    <mergeCell ref="A132:C132"/>
    <mergeCell ref="D132:P132"/>
    <mergeCell ref="AU147:AY147"/>
    <mergeCell ref="AZ147:BD147"/>
    <mergeCell ref="BE147:BI147"/>
    <mergeCell ref="AP145:AT145"/>
    <mergeCell ref="AU145:AY145"/>
    <mergeCell ref="AZ145:BD145"/>
    <mergeCell ref="BE145:BI145"/>
    <mergeCell ref="A146:C146"/>
    <mergeCell ref="D146:P146"/>
    <mergeCell ref="Q146:U146"/>
    <mergeCell ref="V146:AE146"/>
    <mergeCell ref="AF146:AJ146"/>
    <mergeCell ref="AK146:AO146"/>
    <mergeCell ref="AP144:AT144"/>
    <mergeCell ref="AU144:AY144"/>
    <mergeCell ref="AZ144:BD144"/>
    <mergeCell ref="BE144:BI144"/>
    <mergeCell ref="A145:C145"/>
    <mergeCell ref="D145:P145"/>
    <mergeCell ref="Q145:U145"/>
    <mergeCell ref="V145:AE145"/>
    <mergeCell ref="AF145:AJ145"/>
    <mergeCell ref="AK145:AO145"/>
    <mergeCell ref="A144:C144"/>
    <mergeCell ref="D144:P144"/>
    <mergeCell ref="Q144:U144"/>
    <mergeCell ref="V144:AE144"/>
    <mergeCell ref="AF144:AJ144"/>
    <mergeCell ref="AK144:AO144"/>
    <mergeCell ref="AO161:AS161"/>
    <mergeCell ref="AT161:AX161"/>
    <mergeCell ref="AY161:BC161"/>
    <mergeCell ref="BD161:BH161"/>
    <mergeCell ref="BI161:BM161"/>
    <mergeCell ref="BN161:BR161"/>
    <mergeCell ref="A160:T161"/>
    <mergeCell ref="U160:AD160"/>
    <mergeCell ref="AE160:AN160"/>
    <mergeCell ref="AO160:AX160"/>
    <mergeCell ref="AY160:BH160"/>
    <mergeCell ref="BI160:BR160"/>
    <mergeCell ref="U161:Y161"/>
    <mergeCell ref="Z161:AD161"/>
    <mergeCell ref="AE161:AI161"/>
    <mergeCell ref="AJ161:AN161"/>
    <mergeCell ref="A158:BL158"/>
    <mergeCell ref="A159:BR159"/>
    <mergeCell ref="A176:C178"/>
    <mergeCell ref="D176:V178"/>
    <mergeCell ref="W176:AH176"/>
    <mergeCell ref="AI176:AT176"/>
    <mergeCell ref="AU176:AZ176"/>
    <mergeCell ref="BA176:BF176"/>
    <mergeCell ref="AT164:AX164"/>
    <mergeCell ref="AY164:BC164"/>
    <mergeCell ref="BD164:BH164"/>
    <mergeCell ref="BI164:BM164"/>
    <mergeCell ref="BN164:BR164"/>
    <mergeCell ref="A175:BL175"/>
    <mergeCell ref="AT165:AX165"/>
    <mergeCell ref="AY165:BC165"/>
    <mergeCell ref="BD165:BH165"/>
    <mergeCell ref="BI165:BM165"/>
    <mergeCell ref="A164:T164"/>
    <mergeCell ref="U164:Y164"/>
    <mergeCell ref="Z164:AD164"/>
    <mergeCell ref="AE164:AI164"/>
    <mergeCell ref="AJ164:AN164"/>
    <mergeCell ref="AO164:AS164"/>
    <mergeCell ref="BN165:BR165"/>
    <mergeCell ref="A166:T166"/>
    <mergeCell ref="U166:Y166"/>
    <mergeCell ref="Z166:AD166"/>
    <mergeCell ref="AE166:AI166"/>
    <mergeCell ref="AJ166:AN166"/>
    <mergeCell ref="AO166:AS166"/>
    <mergeCell ref="AT166:AX166"/>
    <mergeCell ref="AY166:BC166"/>
    <mergeCell ref="BD166:BH166"/>
    <mergeCell ref="AF179:AH179"/>
    <mergeCell ref="BJ177:BL178"/>
    <mergeCell ref="W178:Y178"/>
    <mergeCell ref="Z178:AB178"/>
    <mergeCell ref="AC178:AE178"/>
    <mergeCell ref="AF178:AH178"/>
    <mergeCell ref="AI178:AK178"/>
    <mergeCell ref="AL178:AN178"/>
    <mergeCell ref="AO178:AQ178"/>
    <mergeCell ref="AR178:AT178"/>
    <mergeCell ref="BG176:BL176"/>
    <mergeCell ref="W177:AB177"/>
    <mergeCell ref="AC177:AH177"/>
    <mergeCell ref="AI177:AN177"/>
    <mergeCell ref="AO177:AT177"/>
    <mergeCell ref="AU177:AW178"/>
    <mergeCell ref="AX177:AZ178"/>
    <mergeCell ref="BA177:BC178"/>
    <mergeCell ref="BD177:BF178"/>
    <mergeCell ref="BG177:BI178"/>
    <mergeCell ref="D181:V181"/>
    <mergeCell ref="W181:Y181"/>
    <mergeCell ref="Z181:AB181"/>
    <mergeCell ref="AC181:AE181"/>
    <mergeCell ref="AF181:AH181"/>
    <mergeCell ref="AI180:AK180"/>
    <mergeCell ref="AL180:AN180"/>
    <mergeCell ref="AO180:AQ180"/>
    <mergeCell ref="AR180:AT180"/>
    <mergeCell ref="AU180:AW180"/>
    <mergeCell ref="AX180:AZ180"/>
    <mergeCell ref="BA179:BC179"/>
    <mergeCell ref="BD179:BF179"/>
    <mergeCell ref="BG179:BI179"/>
    <mergeCell ref="BJ179:BL179"/>
    <mergeCell ref="A180:C180"/>
    <mergeCell ref="D180:V180"/>
    <mergeCell ref="W180:Y180"/>
    <mergeCell ref="Z180:AB180"/>
    <mergeCell ref="AC180:AE180"/>
    <mergeCell ref="AF180:AH180"/>
    <mergeCell ref="AI179:AK179"/>
    <mergeCell ref="AL179:AN179"/>
    <mergeCell ref="AO179:AQ179"/>
    <mergeCell ref="AR179:AT179"/>
    <mergeCell ref="AU179:AW179"/>
    <mergeCell ref="AX179:AZ179"/>
    <mergeCell ref="A179:C179"/>
    <mergeCell ref="D179:V179"/>
    <mergeCell ref="W179:Y179"/>
    <mergeCell ref="Z179:AB179"/>
    <mergeCell ref="AC179:AE179"/>
    <mergeCell ref="AP192:AT192"/>
    <mergeCell ref="AU192:AY192"/>
    <mergeCell ref="AZ192:BD192"/>
    <mergeCell ref="BE192:BI192"/>
    <mergeCell ref="BJ192:BN192"/>
    <mergeCell ref="BO192:BS192"/>
    <mergeCell ref="A190:BS190"/>
    <mergeCell ref="A191:F192"/>
    <mergeCell ref="G191:S192"/>
    <mergeCell ref="T191:Z192"/>
    <mergeCell ref="AA191:AO191"/>
    <mergeCell ref="AP191:BD191"/>
    <mergeCell ref="BE191:BS191"/>
    <mergeCell ref="AA192:AE192"/>
    <mergeCell ref="AF192:AJ192"/>
    <mergeCell ref="AK192:AO192"/>
    <mergeCell ref="BA181:BC181"/>
    <mergeCell ref="BD181:BF181"/>
    <mergeCell ref="BG181:BI181"/>
    <mergeCell ref="BJ181:BL181"/>
    <mergeCell ref="A188:BL188"/>
    <mergeCell ref="A189:BS189"/>
    <mergeCell ref="AF182:AH182"/>
    <mergeCell ref="AI182:AK182"/>
    <mergeCell ref="AL182:AN182"/>
    <mergeCell ref="AO182:AQ182"/>
    <mergeCell ref="AI181:AK181"/>
    <mergeCell ref="AL181:AN181"/>
    <mergeCell ref="AO181:AQ181"/>
    <mergeCell ref="AR181:AT181"/>
    <mergeCell ref="AU181:AW181"/>
    <mergeCell ref="AX181:AZ181"/>
    <mergeCell ref="AP194:AT194"/>
    <mergeCell ref="AU194:AY194"/>
    <mergeCell ref="AZ194:BD194"/>
    <mergeCell ref="BE194:BI194"/>
    <mergeCell ref="BJ194:BN194"/>
    <mergeCell ref="BO194:BS194"/>
    <mergeCell ref="A194:F194"/>
    <mergeCell ref="G194:S194"/>
    <mergeCell ref="T194:Z194"/>
    <mergeCell ref="AA194:AE194"/>
    <mergeCell ref="AF194:AJ194"/>
    <mergeCell ref="AK194:AO194"/>
    <mergeCell ref="AP193:AT193"/>
    <mergeCell ref="AU193:AY193"/>
    <mergeCell ref="AZ193:BD193"/>
    <mergeCell ref="BE193:BI193"/>
    <mergeCell ref="BJ193:BN193"/>
    <mergeCell ref="BO193:BS193"/>
    <mergeCell ref="A193:F193"/>
    <mergeCell ref="G193:S193"/>
    <mergeCell ref="T193:Z193"/>
    <mergeCell ref="AA193:AE193"/>
    <mergeCell ref="AF193:AJ193"/>
    <mergeCell ref="AK193:AO193"/>
    <mergeCell ref="A197:BL197"/>
    <mergeCell ref="A198:BD198"/>
    <mergeCell ref="A199:F200"/>
    <mergeCell ref="G199:S200"/>
    <mergeCell ref="T199:Z200"/>
    <mergeCell ref="AA199:AO199"/>
    <mergeCell ref="AP199:BD199"/>
    <mergeCell ref="AA200:AE200"/>
    <mergeCell ref="AF200:AJ200"/>
    <mergeCell ref="AK200:AO200"/>
    <mergeCell ref="AP195:AT195"/>
    <mergeCell ref="AU195:AY195"/>
    <mergeCell ref="AZ195:BD195"/>
    <mergeCell ref="BE195:BI195"/>
    <mergeCell ref="BJ195:BN195"/>
    <mergeCell ref="BO195:BS195"/>
    <mergeCell ref="A195:F195"/>
    <mergeCell ref="G195:S195"/>
    <mergeCell ref="T195:Z195"/>
    <mergeCell ref="AA195:AE195"/>
    <mergeCell ref="AF195:AJ195"/>
    <mergeCell ref="AK195:AO195"/>
    <mergeCell ref="AU201:AY201"/>
    <mergeCell ref="AZ201:BD201"/>
    <mergeCell ref="A202:F202"/>
    <mergeCell ref="G202:S202"/>
    <mergeCell ref="T202:Z202"/>
    <mergeCell ref="AA202:AE202"/>
    <mergeCell ref="AF202:AJ202"/>
    <mergeCell ref="AK202:AO202"/>
    <mergeCell ref="AP202:AT202"/>
    <mergeCell ref="AU202:AY202"/>
    <mergeCell ref="AP200:AT200"/>
    <mergeCell ref="AU200:AY200"/>
    <mergeCell ref="AZ200:BD200"/>
    <mergeCell ref="A201:F201"/>
    <mergeCell ref="G201:S201"/>
    <mergeCell ref="T201:Z201"/>
    <mergeCell ref="AA201:AE201"/>
    <mergeCell ref="AF201:AJ201"/>
    <mergeCell ref="AK201:AO201"/>
    <mergeCell ref="AP201:AT201"/>
    <mergeCell ref="A206:BL206"/>
    <mergeCell ref="A207:BM207"/>
    <mergeCell ref="A208:M209"/>
    <mergeCell ref="N208:U209"/>
    <mergeCell ref="V208:Z209"/>
    <mergeCell ref="AA208:AI208"/>
    <mergeCell ref="AJ208:AR208"/>
    <mergeCell ref="AS208:BA208"/>
    <mergeCell ref="BB208:BJ208"/>
    <mergeCell ref="BK208:BS208"/>
    <mergeCell ref="AZ202:BD202"/>
    <mergeCell ref="A203:F203"/>
    <mergeCell ref="G203:S203"/>
    <mergeCell ref="T203:Z203"/>
    <mergeCell ref="AA203:AE203"/>
    <mergeCell ref="AF203:AJ203"/>
    <mergeCell ref="AK203:AO203"/>
    <mergeCell ref="AP203:AT203"/>
    <mergeCell ref="AU203:AY203"/>
    <mergeCell ref="AZ203:BD203"/>
    <mergeCell ref="BP210:BS210"/>
    <mergeCell ref="A211:M211"/>
    <mergeCell ref="N211:U211"/>
    <mergeCell ref="V211:Z211"/>
    <mergeCell ref="AA211:AE211"/>
    <mergeCell ref="AF211:AI211"/>
    <mergeCell ref="AJ211:AN211"/>
    <mergeCell ref="AO211:AR211"/>
    <mergeCell ref="AS211:AW211"/>
    <mergeCell ref="AX211:BA211"/>
    <mergeCell ref="AO210:AR210"/>
    <mergeCell ref="AS210:AW210"/>
    <mergeCell ref="AX210:BA210"/>
    <mergeCell ref="BB210:BF210"/>
    <mergeCell ref="BG210:BJ210"/>
    <mergeCell ref="BK210:BO210"/>
    <mergeCell ref="BB209:BF209"/>
    <mergeCell ref="BG209:BJ209"/>
    <mergeCell ref="BK209:BO209"/>
    <mergeCell ref="BP209:BS209"/>
    <mergeCell ref="A210:M210"/>
    <mergeCell ref="N210:U210"/>
    <mergeCell ref="V210:Z210"/>
    <mergeCell ref="AA210:AE210"/>
    <mergeCell ref="AF210:AI210"/>
    <mergeCell ref="AJ210:AN210"/>
    <mergeCell ref="AA209:AE209"/>
    <mergeCell ref="AF209:AI209"/>
    <mergeCell ref="AJ209:AN209"/>
    <mergeCell ref="AO209:AR209"/>
    <mergeCell ref="AS209:AW209"/>
    <mergeCell ref="AX209:BA209"/>
    <mergeCell ref="BP212:BS212"/>
    <mergeCell ref="A215:BL215"/>
    <mergeCell ref="A216:BL216"/>
    <mergeCell ref="A219:BL219"/>
    <mergeCell ref="A220:BL220"/>
    <mergeCell ref="A221:BL221"/>
    <mergeCell ref="AO212:AR212"/>
    <mergeCell ref="AS212:AW212"/>
    <mergeCell ref="AX212:BA212"/>
    <mergeCell ref="BB212:BF212"/>
    <mergeCell ref="BG212:BJ212"/>
    <mergeCell ref="BK212:BO212"/>
    <mergeCell ref="BB211:BF211"/>
    <mergeCell ref="BG211:BJ211"/>
    <mergeCell ref="BK211:BO211"/>
    <mergeCell ref="BP211:BS211"/>
    <mergeCell ref="A212:M212"/>
    <mergeCell ref="N212:U212"/>
    <mergeCell ref="V212:Z212"/>
    <mergeCell ref="AA212:AE212"/>
    <mergeCell ref="AF212:AI212"/>
    <mergeCell ref="AJ212:AN212"/>
    <mergeCell ref="AK224:AP224"/>
    <mergeCell ref="AQ224:AV224"/>
    <mergeCell ref="AW224:BA224"/>
    <mergeCell ref="BB224:BF224"/>
    <mergeCell ref="BG224:BL224"/>
    <mergeCell ref="A225:F225"/>
    <mergeCell ref="G225:S225"/>
    <mergeCell ref="T225:Y225"/>
    <mergeCell ref="Z225:AD225"/>
    <mergeCell ref="AE225:AJ225"/>
    <mergeCell ref="AQ222:AV223"/>
    <mergeCell ref="AW222:BF222"/>
    <mergeCell ref="BG222:BL223"/>
    <mergeCell ref="AW223:BA223"/>
    <mergeCell ref="BB223:BF223"/>
    <mergeCell ref="A224:F224"/>
    <mergeCell ref="G224:S224"/>
    <mergeCell ref="T224:Y224"/>
    <mergeCell ref="Z224:AD224"/>
    <mergeCell ref="AE224:AJ224"/>
    <mergeCell ref="A222:F223"/>
    <mergeCell ref="G222:S223"/>
    <mergeCell ref="T222:Y223"/>
    <mergeCell ref="Z222:AD223"/>
    <mergeCell ref="AE222:AJ223"/>
    <mergeCell ref="AK222:AP223"/>
    <mergeCell ref="A229:BL229"/>
    <mergeCell ref="A230:F232"/>
    <mergeCell ref="G230:P232"/>
    <mergeCell ref="Q230:AN230"/>
    <mergeCell ref="AO230:BL230"/>
    <mergeCell ref="Q231:U232"/>
    <mergeCell ref="V231:Y232"/>
    <mergeCell ref="Z231:AI231"/>
    <mergeCell ref="AJ231:AN232"/>
    <mergeCell ref="AO231:AS232"/>
    <mergeCell ref="AK226:AP226"/>
    <mergeCell ref="AQ226:AV226"/>
    <mergeCell ref="AW226:BA226"/>
    <mergeCell ref="BB226:BF226"/>
    <mergeCell ref="BG226:BL226"/>
    <mergeCell ref="A228:BL228"/>
    <mergeCell ref="AK225:AP225"/>
    <mergeCell ref="AQ225:AV225"/>
    <mergeCell ref="AW225:BA225"/>
    <mergeCell ref="BB225:BF225"/>
    <mergeCell ref="BG225:BL225"/>
    <mergeCell ref="A226:F226"/>
    <mergeCell ref="G226:S226"/>
    <mergeCell ref="T226:Y226"/>
    <mergeCell ref="Z226:AD226"/>
    <mergeCell ref="AE226:AJ226"/>
    <mergeCell ref="AJ233:AN233"/>
    <mergeCell ref="AO233:AS233"/>
    <mergeCell ref="AT233:AW233"/>
    <mergeCell ref="AX233:BB233"/>
    <mergeCell ref="BC233:BG233"/>
    <mergeCell ref="BH233:BL233"/>
    <mergeCell ref="A233:F233"/>
    <mergeCell ref="G233:P233"/>
    <mergeCell ref="Q233:U233"/>
    <mergeCell ref="V233:Y233"/>
    <mergeCell ref="Z233:AD233"/>
    <mergeCell ref="AE233:AI233"/>
    <mergeCell ref="AT231:AW232"/>
    <mergeCell ref="AX231:BG231"/>
    <mergeCell ref="BH231:BL232"/>
    <mergeCell ref="Z232:AD232"/>
    <mergeCell ref="AE232:AI232"/>
    <mergeCell ref="AX232:BB232"/>
    <mergeCell ref="BC232:BG232"/>
    <mergeCell ref="AJ235:AN235"/>
    <mergeCell ref="AO235:AS235"/>
    <mergeCell ref="AT235:AW235"/>
    <mergeCell ref="AX235:BB235"/>
    <mergeCell ref="BC235:BG235"/>
    <mergeCell ref="BH235:BL235"/>
    <mergeCell ref="A235:F235"/>
    <mergeCell ref="G235:P235"/>
    <mergeCell ref="Q235:U235"/>
    <mergeCell ref="V235:Y235"/>
    <mergeCell ref="Z235:AD235"/>
    <mergeCell ref="AE235:AI235"/>
    <mergeCell ref="AJ234:AN234"/>
    <mergeCell ref="AO234:AS234"/>
    <mergeCell ref="AT234:AW234"/>
    <mergeCell ref="AX234:BB234"/>
    <mergeCell ref="BC234:BG234"/>
    <mergeCell ref="BH234:BL234"/>
    <mergeCell ref="A234:F234"/>
    <mergeCell ref="G234:P234"/>
    <mergeCell ref="Q234:U234"/>
    <mergeCell ref="V234:Y234"/>
    <mergeCell ref="Z234:AD234"/>
    <mergeCell ref="AE234:AI234"/>
    <mergeCell ref="BE239:BL240"/>
    <mergeCell ref="A241:F241"/>
    <mergeCell ref="G241:S241"/>
    <mergeCell ref="T241:Y241"/>
    <mergeCell ref="Z241:AD241"/>
    <mergeCell ref="AE241:AJ241"/>
    <mergeCell ref="AK241:AP241"/>
    <mergeCell ref="AQ241:AV241"/>
    <mergeCell ref="AW241:BD241"/>
    <mergeCell ref="BE241:BL241"/>
    <mergeCell ref="A237:BL237"/>
    <mergeCell ref="A238:BL238"/>
    <mergeCell ref="A239:F240"/>
    <mergeCell ref="G239:S240"/>
    <mergeCell ref="T239:Y240"/>
    <mergeCell ref="Z239:AD240"/>
    <mergeCell ref="AE239:AJ240"/>
    <mergeCell ref="AK239:AP240"/>
    <mergeCell ref="AQ239:AV240"/>
    <mergeCell ref="AW239:BD240"/>
    <mergeCell ref="A249:BL249"/>
    <mergeCell ref="A250:BL250"/>
    <mergeCell ref="AQ242:AV242"/>
    <mergeCell ref="AW242:BD242"/>
    <mergeCell ref="BE242:BL242"/>
    <mergeCell ref="A243:F243"/>
    <mergeCell ref="G243:S243"/>
    <mergeCell ref="T243:Y243"/>
    <mergeCell ref="Z243:AD243"/>
    <mergeCell ref="AE243:AJ243"/>
    <mergeCell ref="AK243:AP243"/>
    <mergeCell ref="AQ243:AV243"/>
    <mergeCell ref="A242:F242"/>
    <mergeCell ref="G242:S242"/>
    <mergeCell ref="T242:Y242"/>
    <mergeCell ref="Z242:AD242"/>
    <mergeCell ref="AE242:AJ242"/>
    <mergeCell ref="AK242:AP242"/>
    <mergeCell ref="A258:AA258"/>
    <mergeCell ref="AH258:AP258"/>
    <mergeCell ref="AU258:BF258"/>
    <mergeCell ref="AH259:AP259"/>
    <mergeCell ref="AU259:BF259"/>
    <mergeCell ref="A31:D31"/>
    <mergeCell ref="E31:T31"/>
    <mergeCell ref="U31:Y31"/>
    <mergeCell ref="Z31:AD31"/>
    <mergeCell ref="AE31:AH31"/>
    <mergeCell ref="A251:BL251"/>
    <mergeCell ref="A255:AA255"/>
    <mergeCell ref="AH255:AP255"/>
    <mergeCell ref="AU255:BF255"/>
    <mergeCell ref="AH256:AP256"/>
    <mergeCell ref="AU256:BF256"/>
    <mergeCell ref="AW243:BD243"/>
    <mergeCell ref="BE243:BL243"/>
    <mergeCell ref="A245:BL245"/>
    <mergeCell ref="A246:BL246"/>
    <mergeCell ref="BL53:BP53"/>
    <mergeCell ref="BB55:BF55"/>
    <mergeCell ref="BG55:BK55"/>
    <mergeCell ref="BL55:BP55"/>
    <mergeCell ref="BG73:BK73"/>
    <mergeCell ref="A74:D74"/>
    <mergeCell ref="E74:W74"/>
    <mergeCell ref="X74:AB74"/>
    <mergeCell ref="AC74:AG74"/>
    <mergeCell ref="AH74:AL74"/>
    <mergeCell ref="AM74:AQ74"/>
    <mergeCell ref="AR74:AV74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S52:AW52"/>
    <mergeCell ref="AX52:BA52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BQ53:BT53"/>
    <mergeCell ref="BU53:BY53"/>
    <mergeCell ref="A54:D54"/>
    <mergeCell ref="E54:T54"/>
    <mergeCell ref="U54:Y54"/>
    <mergeCell ref="Z54:AD54"/>
    <mergeCell ref="AE54:AH54"/>
    <mergeCell ref="AI54:AM54"/>
    <mergeCell ref="AN54:AR54"/>
    <mergeCell ref="AI53:AM53"/>
    <mergeCell ref="AN53:AR53"/>
    <mergeCell ref="AS53:AW53"/>
    <mergeCell ref="AX53:BA53"/>
    <mergeCell ref="BB53:BF53"/>
    <mergeCell ref="BG53:BK53"/>
    <mergeCell ref="BB52:BF52"/>
    <mergeCell ref="BG52:BK52"/>
    <mergeCell ref="BL52:BP52"/>
    <mergeCell ref="BQ52:BT52"/>
    <mergeCell ref="BU52:BY52"/>
    <mergeCell ref="A53:D53"/>
    <mergeCell ref="E53:T53"/>
    <mergeCell ref="U53:Y53"/>
    <mergeCell ref="Z53:AD53"/>
    <mergeCell ref="AE53:AH53"/>
    <mergeCell ref="BQ55:BT55"/>
    <mergeCell ref="BU55:BY55"/>
    <mergeCell ref="BU54:BY54"/>
    <mergeCell ref="A55:D55"/>
    <mergeCell ref="E55:T55"/>
    <mergeCell ref="U55:Y55"/>
    <mergeCell ref="Z55:AD55"/>
    <mergeCell ref="AE55:AH55"/>
    <mergeCell ref="AI55:AM55"/>
    <mergeCell ref="AN55:AR55"/>
    <mergeCell ref="AS55:AW55"/>
    <mergeCell ref="AX55:BA55"/>
    <mergeCell ref="AS54:AW54"/>
    <mergeCell ref="AX54:BA54"/>
    <mergeCell ref="BB54:BF54"/>
    <mergeCell ref="BG54:BK54"/>
    <mergeCell ref="BL54:BP54"/>
    <mergeCell ref="BQ54:BT54"/>
    <mergeCell ref="BQ97:BT97"/>
    <mergeCell ref="BL96:BP96"/>
    <mergeCell ref="AH72:AL72"/>
    <mergeCell ref="AM72:AQ72"/>
    <mergeCell ref="AR72:AV72"/>
    <mergeCell ref="AW72:BA72"/>
    <mergeCell ref="BB72:BF72"/>
    <mergeCell ref="BG76:BK76"/>
    <mergeCell ref="BG75:BK75"/>
    <mergeCell ref="A76:D76"/>
    <mergeCell ref="E76:W76"/>
    <mergeCell ref="X76:AB76"/>
    <mergeCell ref="AC76:AG76"/>
    <mergeCell ref="AH76:AL76"/>
    <mergeCell ref="AM76:AQ76"/>
    <mergeCell ref="AR76:AV76"/>
    <mergeCell ref="AW76:BA76"/>
    <mergeCell ref="BB76:BF76"/>
    <mergeCell ref="BG74:BK74"/>
    <mergeCell ref="A75:D75"/>
    <mergeCell ref="E75:W75"/>
    <mergeCell ref="X75:AB75"/>
    <mergeCell ref="AC75:AG75"/>
    <mergeCell ref="AH75:AL75"/>
    <mergeCell ref="AM75:AQ75"/>
    <mergeCell ref="AR75:AV75"/>
    <mergeCell ref="AW75:BA75"/>
    <mergeCell ref="BB75:BF75"/>
    <mergeCell ref="BQ94:BT94"/>
    <mergeCell ref="AX93:BA93"/>
    <mergeCell ref="BB93:BF93"/>
    <mergeCell ref="BG93:BK93"/>
    <mergeCell ref="BU99:BY99"/>
    <mergeCell ref="BU98:BY98"/>
    <mergeCell ref="BU95:BY95"/>
    <mergeCell ref="A96:C96"/>
    <mergeCell ref="D96:T96"/>
    <mergeCell ref="U96:Y96"/>
    <mergeCell ref="Z96:AD96"/>
    <mergeCell ref="AE96:AH96"/>
    <mergeCell ref="A95:C95"/>
    <mergeCell ref="D95:T95"/>
    <mergeCell ref="U95:Y95"/>
    <mergeCell ref="Z95:AD95"/>
    <mergeCell ref="AE95:AH95"/>
    <mergeCell ref="AI95:AM95"/>
    <mergeCell ref="AN95:AR95"/>
    <mergeCell ref="AS95:AW95"/>
    <mergeCell ref="AX95:BA95"/>
    <mergeCell ref="BU97:BY97"/>
    <mergeCell ref="A98:C98"/>
    <mergeCell ref="D98:T98"/>
    <mergeCell ref="U98:Y98"/>
    <mergeCell ref="Z98:AD98"/>
    <mergeCell ref="AE98:AH98"/>
    <mergeCell ref="AI98:AM98"/>
    <mergeCell ref="AN98:AR98"/>
    <mergeCell ref="AS98:AW98"/>
    <mergeCell ref="AX98:BA98"/>
    <mergeCell ref="AS97:AW97"/>
    <mergeCell ref="AX97:BA97"/>
    <mergeCell ref="BB97:BF97"/>
    <mergeCell ref="BG97:BK97"/>
    <mergeCell ref="BL97:BP97"/>
    <mergeCell ref="AI99:AM99"/>
    <mergeCell ref="AN99:AR99"/>
    <mergeCell ref="AS99:AW99"/>
    <mergeCell ref="AX99:BA99"/>
    <mergeCell ref="BB99:BF99"/>
    <mergeCell ref="BG99:BK99"/>
    <mergeCell ref="BB98:BF98"/>
    <mergeCell ref="BG98:BK98"/>
    <mergeCell ref="BL98:BP98"/>
    <mergeCell ref="BQ98:BT98"/>
    <mergeCell ref="A99:C99"/>
    <mergeCell ref="D99:T99"/>
    <mergeCell ref="U99:Y99"/>
    <mergeCell ref="Z99:AD99"/>
    <mergeCell ref="AE99:AH99"/>
    <mergeCell ref="BQ96:BT96"/>
    <mergeCell ref="BU96:BY96"/>
    <mergeCell ref="A97:C97"/>
    <mergeCell ref="D97:T97"/>
    <mergeCell ref="U97:Y97"/>
    <mergeCell ref="Z97:AD97"/>
    <mergeCell ref="AE97:AH97"/>
    <mergeCell ref="AI97:AM97"/>
    <mergeCell ref="AN97:AR97"/>
    <mergeCell ref="AI96:AM96"/>
    <mergeCell ref="AN96:AR96"/>
    <mergeCell ref="AS96:AW96"/>
    <mergeCell ref="AX96:BA96"/>
    <mergeCell ref="BB96:BF96"/>
    <mergeCell ref="BG96:BK96"/>
    <mergeCell ref="BL99:BP99"/>
    <mergeCell ref="BQ99:BT99"/>
    <mergeCell ref="BU100:BY100"/>
    <mergeCell ref="A101:C101"/>
    <mergeCell ref="D101:T101"/>
    <mergeCell ref="U101:Y101"/>
    <mergeCell ref="Z101:AD101"/>
    <mergeCell ref="AE101:AH101"/>
    <mergeCell ref="AI101:AM101"/>
    <mergeCell ref="AN101:AR101"/>
    <mergeCell ref="AS101:AW101"/>
    <mergeCell ref="AX101:BA101"/>
    <mergeCell ref="AS100:AW100"/>
    <mergeCell ref="AX100:BA100"/>
    <mergeCell ref="BB100:BF100"/>
    <mergeCell ref="BG100:BK100"/>
    <mergeCell ref="BL100:BP100"/>
    <mergeCell ref="BQ100:BT100"/>
    <mergeCell ref="A100:C100"/>
    <mergeCell ref="D100:T100"/>
    <mergeCell ref="U100:Y100"/>
    <mergeCell ref="Z100:AD100"/>
    <mergeCell ref="AE100:AH100"/>
    <mergeCell ref="AI100:AM100"/>
    <mergeCell ref="AN100:AR100"/>
    <mergeCell ref="BL102:BP102"/>
    <mergeCell ref="BQ102:BT102"/>
    <mergeCell ref="BU102:BY102"/>
    <mergeCell ref="A103:C103"/>
    <mergeCell ref="D103:T103"/>
    <mergeCell ref="U103:Y103"/>
    <mergeCell ref="Z103:AD103"/>
    <mergeCell ref="AE103:AH103"/>
    <mergeCell ref="AI103:AM103"/>
    <mergeCell ref="AN103:AR103"/>
    <mergeCell ref="AI102:AM102"/>
    <mergeCell ref="AN102:AR102"/>
    <mergeCell ref="AS102:AW102"/>
    <mergeCell ref="AX102:BA102"/>
    <mergeCell ref="BB102:BF102"/>
    <mergeCell ref="BG102:BK102"/>
    <mergeCell ref="BB101:BF101"/>
    <mergeCell ref="BG101:BK101"/>
    <mergeCell ref="BL101:BP101"/>
    <mergeCell ref="BQ101:BT101"/>
    <mergeCell ref="BU101:BY101"/>
    <mergeCell ref="A102:C102"/>
    <mergeCell ref="D102:T102"/>
    <mergeCell ref="U102:Y102"/>
    <mergeCell ref="Z102:AD102"/>
    <mergeCell ref="AE102:AH102"/>
    <mergeCell ref="BD112:BH112"/>
    <mergeCell ref="A113:C113"/>
    <mergeCell ref="D113:T113"/>
    <mergeCell ref="U113:Y113"/>
    <mergeCell ref="Z113:AD113"/>
    <mergeCell ref="AE113:AI113"/>
    <mergeCell ref="AJ113:AN113"/>
    <mergeCell ref="AO113:AS113"/>
    <mergeCell ref="AT113:AX113"/>
    <mergeCell ref="AY113:BC113"/>
    <mergeCell ref="A112:C112"/>
    <mergeCell ref="D112:T112"/>
    <mergeCell ref="U112:Y112"/>
    <mergeCell ref="Z112:AD112"/>
    <mergeCell ref="AE112:AI112"/>
    <mergeCell ref="BU103:BY103"/>
    <mergeCell ref="AS103:AW103"/>
    <mergeCell ref="AX103:BA103"/>
    <mergeCell ref="BB103:BF103"/>
    <mergeCell ref="BG103:BK103"/>
    <mergeCell ref="BL103:BP103"/>
    <mergeCell ref="BQ103:BT103"/>
    <mergeCell ref="AO110:AS110"/>
    <mergeCell ref="AT110:AX110"/>
    <mergeCell ref="AY110:BC110"/>
    <mergeCell ref="BD110:BH110"/>
    <mergeCell ref="A111:C111"/>
    <mergeCell ref="D111:T111"/>
    <mergeCell ref="U111:Y111"/>
    <mergeCell ref="Z111:AD111"/>
    <mergeCell ref="AE111:AI111"/>
    <mergeCell ref="AJ111:AN111"/>
    <mergeCell ref="BD115:BH115"/>
    <mergeCell ref="A116:C116"/>
    <mergeCell ref="D116:T116"/>
    <mergeCell ref="U116:Y116"/>
    <mergeCell ref="Z116:AD116"/>
    <mergeCell ref="AE116:AI116"/>
    <mergeCell ref="AJ116:AN116"/>
    <mergeCell ref="AO116:AS116"/>
    <mergeCell ref="AT116:AX116"/>
    <mergeCell ref="AY116:BC116"/>
    <mergeCell ref="BD114:BH114"/>
    <mergeCell ref="A115:C115"/>
    <mergeCell ref="D115:T115"/>
    <mergeCell ref="U115:Y115"/>
    <mergeCell ref="Z115:AD115"/>
    <mergeCell ref="AE115:AI115"/>
    <mergeCell ref="AJ115:AN115"/>
    <mergeCell ref="AO115:AS115"/>
    <mergeCell ref="AT115:AX115"/>
    <mergeCell ref="AY115:BC115"/>
    <mergeCell ref="AJ114:AN114"/>
    <mergeCell ref="AO114:AS114"/>
    <mergeCell ref="AT114:AX114"/>
    <mergeCell ref="AY114:BC114"/>
    <mergeCell ref="BD117:BH117"/>
    <mergeCell ref="A118:C118"/>
    <mergeCell ref="D118:T118"/>
    <mergeCell ref="U118:Y118"/>
    <mergeCell ref="Z118:AD118"/>
    <mergeCell ref="AE118:AI118"/>
    <mergeCell ref="AJ118:AN118"/>
    <mergeCell ref="AO118:AS118"/>
    <mergeCell ref="AT118:AX118"/>
    <mergeCell ref="AY118:BC118"/>
    <mergeCell ref="BD116:BH116"/>
    <mergeCell ref="A117:C117"/>
    <mergeCell ref="D117:T117"/>
    <mergeCell ref="U117:Y117"/>
    <mergeCell ref="Z117:AD117"/>
    <mergeCell ref="AE117:AI117"/>
    <mergeCell ref="AJ117:AN117"/>
    <mergeCell ref="AO117:AS117"/>
    <mergeCell ref="AT117:AX117"/>
    <mergeCell ref="AY117:BC117"/>
    <mergeCell ref="BD120:BH120"/>
    <mergeCell ref="BD119:BH119"/>
    <mergeCell ref="A120:C120"/>
    <mergeCell ref="D120:T120"/>
    <mergeCell ref="U120:Y120"/>
    <mergeCell ref="Z120:AD120"/>
    <mergeCell ref="AE120:AI120"/>
    <mergeCell ref="AJ120:AN120"/>
    <mergeCell ref="AO120:AS120"/>
    <mergeCell ref="AT120:AX120"/>
    <mergeCell ref="AY120:BC120"/>
    <mergeCell ref="BD118:BH118"/>
    <mergeCell ref="A119:C119"/>
    <mergeCell ref="D119:T119"/>
    <mergeCell ref="U119:Y119"/>
    <mergeCell ref="Z119:AD119"/>
    <mergeCell ref="AE119:AI119"/>
    <mergeCell ref="AJ119:AN119"/>
    <mergeCell ref="AO119:AS119"/>
    <mergeCell ref="AT119:AX119"/>
    <mergeCell ref="AY119:BC119"/>
    <mergeCell ref="Q132:U132"/>
    <mergeCell ref="V132:AE132"/>
    <mergeCell ref="AF132:AJ132"/>
    <mergeCell ref="AK132:AO132"/>
    <mergeCell ref="AP132:AT132"/>
    <mergeCell ref="AU132:AY132"/>
    <mergeCell ref="AZ132:BD132"/>
    <mergeCell ref="AP131:AT131"/>
    <mergeCell ref="AU131:AY131"/>
    <mergeCell ref="AZ131:BD131"/>
    <mergeCell ref="BE131:BI131"/>
    <mergeCell ref="BJ131:BN131"/>
    <mergeCell ref="BO131:BS131"/>
    <mergeCell ref="BE130:BI130"/>
    <mergeCell ref="BJ130:BN130"/>
    <mergeCell ref="BO130:BS130"/>
    <mergeCell ref="BT130:BX130"/>
    <mergeCell ref="A131:C131"/>
    <mergeCell ref="D131:P131"/>
    <mergeCell ref="Q131:U131"/>
    <mergeCell ref="V131:AE131"/>
    <mergeCell ref="AF131:AJ131"/>
    <mergeCell ref="AK131:AO131"/>
    <mergeCell ref="A130:C130"/>
    <mergeCell ref="D130:P130"/>
    <mergeCell ref="Q130:U130"/>
    <mergeCell ref="V130:AE130"/>
    <mergeCell ref="AF130:AJ130"/>
    <mergeCell ref="AK130:AO130"/>
    <mergeCell ref="BT133:BX133"/>
    <mergeCell ref="A134:C134"/>
    <mergeCell ref="D134:P134"/>
    <mergeCell ref="Q134:U134"/>
    <mergeCell ref="V134:AE134"/>
    <mergeCell ref="AF134:AJ134"/>
    <mergeCell ref="AK134:AO134"/>
    <mergeCell ref="AP134:AT134"/>
    <mergeCell ref="AU134:AY134"/>
    <mergeCell ref="AZ134:BD134"/>
    <mergeCell ref="AP133:AT133"/>
    <mergeCell ref="AU133:AY133"/>
    <mergeCell ref="AZ133:BD133"/>
    <mergeCell ref="BE133:BI133"/>
    <mergeCell ref="BJ133:BN133"/>
    <mergeCell ref="BO133:BS133"/>
    <mergeCell ref="BE132:BI132"/>
    <mergeCell ref="BJ132:BN132"/>
    <mergeCell ref="BO132:BS132"/>
    <mergeCell ref="BT132:BX132"/>
    <mergeCell ref="A133:C133"/>
    <mergeCell ref="D133:P133"/>
    <mergeCell ref="Q133:U133"/>
    <mergeCell ref="V133:AE133"/>
    <mergeCell ref="AF133:AJ133"/>
    <mergeCell ref="AK133:AO133"/>
    <mergeCell ref="BT135:BX135"/>
    <mergeCell ref="A136:C136"/>
    <mergeCell ref="D136:P136"/>
    <mergeCell ref="Q136:U136"/>
    <mergeCell ref="V136:AE136"/>
    <mergeCell ref="AF136:AJ136"/>
    <mergeCell ref="AK136:AO136"/>
    <mergeCell ref="AP136:AT136"/>
    <mergeCell ref="AU136:AY136"/>
    <mergeCell ref="AZ136:BD136"/>
    <mergeCell ref="AP135:AT135"/>
    <mergeCell ref="AU135:AY135"/>
    <mergeCell ref="AZ135:BD135"/>
    <mergeCell ref="BE135:BI135"/>
    <mergeCell ref="BJ135:BN135"/>
    <mergeCell ref="BO135:BS135"/>
    <mergeCell ref="BE134:BI134"/>
    <mergeCell ref="BJ134:BN134"/>
    <mergeCell ref="BO134:BS134"/>
    <mergeCell ref="BT134:BX134"/>
    <mergeCell ref="A135:C135"/>
    <mergeCell ref="D135:P135"/>
    <mergeCell ref="Q135:U135"/>
    <mergeCell ref="V135:AE135"/>
    <mergeCell ref="AF135:AJ135"/>
    <mergeCell ref="AK135:AO135"/>
    <mergeCell ref="BT137:BX137"/>
    <mergeCell ref="A138:C138"/>
    <mergeCell ref="D138:P138"/>
    <mergeCell ref="Q138:U138"/>
    <mergeCell ref="V138:AE138"/>
    <mergeCell ref="AF138:AJ138"/>
    <mergeCell ref="AK138:AO138"/>
    <mergeCell ref="AP138:AT138"/>
    <mergeCell ref="AU138:AY138"/>
    <mergeCell ref="AZ138:BD138"/>
    <mergeCell ref="AP137:AT137"/>
    <mergeCell ref="AU137:AY137"/>
    <mergeCell ref="AZ137:BD137"/>
    <mergeCell ref="BE137:BI137"/>
    <mergeCell ref="BJ137:BN137"/>
    <mergeCell ref="BO137:BS137"/>
    <mergeCell ref="BE136:BI136"/>
    <mergeCell ref="BJ136:BN136"/>
    <mergeCell ref="BO136:BS136"/>
    <mergeCell ref="BT136:BX136"/>
    <mergeCell ref="A137:C137"/>
    <mergeCell ref="D137:P137"/>
    <mergeCell ref="Q137:U137"/>
    <mergeCell ref="V137:AE137"/>
    <mergeCell ref="AF137:AJ137"/>
    <mergeCell ref="AK137:AO137"/>
    <mergeCell ref="A147:C147"/>
    <mergeCell ref="D147:P147"/>
    <mergeCell ref="Q147:U147"/>
    <mergeCell ref="V147:AE147"/>
    <mergeCell ref="AF147:AJ147"/>
    <mergeCell ref="AK147:AO147"/>
    <mergeCell ref="BT139:BX139"/>
    <mergeCell ref="AP139:AT139"/>
    <mergeCell ref="AU139:AY139"/>
    <mergeCell ref="AZ139:BD139"/>
    <mergeCell ref="BE139:BI139"/>
    <mergeCell ref="BJ139:BN139"/>
    <mergeCell ref="BO139:BS139"/>
    <mergeCell ref="BE138:BI138"/>
    <mergeCell ref="BJ138:BN138"/>
    <mergeCell ref="BO138:BS138"/>
    <mergeCell ref="BT138:BX138"/>
    <mergeCell ref="A139:C139"/>
    <mergeCell ref="D139:P139"/>
    <mergeCell ref="Q139:U139"/>
    <mergeCell ref="V139:AE139"/>
    <mergeCell ref="AF139:AJ139"/>
    <mergeCell ref="AK139:AO139"/>
    <mergeCell ref="AP146:AT146"/>
    <mergeCell ref="AU146:AY146"/>
    <mergeCell ref="AZ146:BD146"/>
    <mergeCell ref="BE146:BI146"/>
    <mergeCell ref="AP143:AT143"/>
    <mergeCell ref="AU143:AY143"/>
    <mergeCell ref="AZ143:BD143"/>
    <mergeCell ref="BE143:BI143"/>
    <mergeCell ref="AP147:AT147"/>
    <mergeCell ref="AP149:AT149"/>
    <mergeCell ref="AU149:AY149"/>
    <mergeCell ref="AZ149:BD149"/>
    <mergeCell ref="BE149:BI149"/>
    <mergeCell ref="A150:C150"/>
    <mergeCell ref="D150:P150"/>
    <mergeCell ref="Q150:U150"/>
    <mergeCell ref="V150:AE150"/>
    <mergeCell ref="AF150:AJ150"/>
    <mergeCell ref="AK150:AO150"/>
    <mergeCell ref="AP148:AT148"/>
    <mergeCell ref="AU148:AY148"/>
    <mergeCell ref="AZ148:BD148"/>
    <mergeCell ref="BE148:BI148"/>
    <mergeCell ref="A149:C149"/>
    <mergeCell ref="D149:P149"/>
    <mergeCell ref="Q149:U149"/>
    <mergeCell ref="V149:AE149"/>
    <mergeCell ref="AF149:AJ149"/>
    <mergeCell ref="AK149:AO149"/>
    <mergeCell ref="A148:C148"/>
    <mergeCell ref="D148:P148"/>
    <mergeCell ref="Q148:U148"/>
    <mergeCell ref="V148:AE148"/>
    <mergeCell ref="AF148:AJ148"/>
    <mergeCell ref="AK148:AO148"/>
    <mergeCell ref="AP151:AT151"/>
    <mergeCell ref="AU151:AY151"/>
    <mergeCell ref="AZ151:BD151"/>
    <mergeCell ref="BE151:BI151"/>
    <mergeCell ref="A152:C152"/>
    <mergeCell ref="D152:P152"/>
    <mergeCell ref="Q152:U152"/>
    <mergeCell ref="V152:AE152"/>
    <mergeCell ref="AF152:AJ152"/>
    <mergeCell ref="AK152:AO152"/>
    <mergeCell ref="AP150:AT150"/>
    <mergeCell ref="AU150:AY150"/>
    <mergeCell ref="AZ150:BD150"/>
    <mergeCell ref="BE150:BI150"/>
    <mergeCell ref="A151:C151"/>
    <mergeCell ref="D151:P151"/>
    <mergeCell ref="Q151:U151"/>
    <mergeCell ref="V151:AE151"/>
    <mergeCell ref="AF151:AJ151"/>
    <mergeCell ref="AK151:AO151"/>
    <mergeCell ref="AP153:AT153"/>
    <mergeCell ref="AU153:AY153"/>
    <mergeCell ref="AZ153:BD153"/>
    <mergeCell ref="BE153:BI153"/>
    <mergeCell ref="A154:C154"/>
    <mergeCell ref="D154:P154"/>
    <mergeCell ref="Q154:U154"/>
    <mergeCell ref="V154:AE154"/>
    <mergeCell ref="AF154:AJ154"/>
    <mergeCell ref="AK154:AO154"/>
    <mergeCell ref="AP152:AT152"/>
    <mergeCell ref="AU152:AY152"/>
    <mergeCell ref="AZ152:BD152"/>
    <mergeCell ref="BE152:BI152"/>
    <mergeCell ref="A153:C153"/>
    <mergeCell ref="D153:P153"/>
    <mergeCell ref="Q153:U153"/>
    <mergeCell ref="V153:AE153"/>
    <mergeCell ref="AF153:AJ153"/>
    <mergeCell ref="AK153:AO153"/>
    <mergeCell ref="AP155:AT155"/>
    <mergeCell ref="AU155:AY155"/>
    <mergeCell ref="AZ155:BD155"/>
    <mergeCell ref="BE155:BI155"/>
    <mergeCell ref="A156:C156"/>
    <mergeCell ref="D156:P156"/>
    <mergeCell ref="Q156:U156"/>
    <mergeCell ref="V156:AE156"/>
    <mergeCell ref="AF156:AJ156"/>
    <mergeCell ref="AK156:AO156"/>
    <mergeCell ref="AP154:AT154"/>
    <mergeCell ref="AU154:AY154"/>
    <mergeCell ref="AZ154:BD154"/>
    <mergeCell ref="BE154:BI154"/>
    <mergeCell ref="A155:C155"/>
    <mergeCell ref="D155:P155"/>
    <mergeCell ref="Q155:U155"/>
    <mergeCell ref="V155:AE155"/>
    <mergeCell ref="AF155:AJ155"/>
    <mergeCell ref="AK155:AO155"/>
    <mergeCell ref="A165:T165"/>
    <mergeCell ref="U165:Y165"/>
    <mergeCell ref="Z165:AD165"/>
    <mergeCell ref="AE165:AI165"/>
    <mergeCell ref="AJ165:AN165"/>
    <mergeCell ref="AO165:AS165"/>
    <mergeCell ref="AP156:AT156"/>
    <mergeCell ref="AU156:AY156"/>
    <mergeCell ref="AZ156:BD156"/>
    <mergeCell ref="BE156:BI156"/>
    <mergeCell ref="AO163:AS163"/>
    <mergeCell ref="AT163:AX163"/>
    <mergeCell ref="AY163:BC163"/>
    <mergeCell ref="BD163:BH163"/>
    <mergeCell ref="BI163:BM163"/>
    <mergeCell ref="BN163:BR163"/>
    <mergeCell ref="AT162:AX162"/>
    <mergeCell ref="AY162:BC162"/>
    <mergeCell ref="BD162:BH162"/>
    <mergeCell ref="BI162:BM162"/>
    <mergeCell ref="BN162:BR162"/>
    <mergeCell ref="A163:T163"/>
    <mergeCell ref="U163:Y163"/>
    <mergeCell ref="Z163:AD163"/>
    <mergeCell ref="AE163:AI163"/>
    <mergeCell ref="AJ163:AN163"/>
    <mergeCell ref="A162:T162"/>
    <mergeCell ref="U162:Y162"/>
    <mergeCell ref="Z162:AD162"/>
    <mergeCell ref="AE162:AI162"/>
    <mergeCell ref="AJ162:AN162"/>
    <mergeCell ref="AO162:AS162"/>
    <mergeCell ref="BD167:BH167"/>
    <mergeCell ref="BI167:BM167"/>
    <mergeCell ref="BN167:BR167"/>
    <mergeCell ref="A168:T168"/>
    <mergeCell ref="U168:Y168"/>
    <mergeCell ref="Z168:AD168"/>
    <mergeCell ref="AE168:AI168"/>
    <mergeCell ref="AJ168:AN168"/>
    <mergeCell ref="AO168:AS168"/>
    <mergeCell ref="AT168:AX168"/>
    <mergeCell ref="BI166:BM166"/>
    <mergeCell ref="BN166:BR166"/>
    <mergeCell ref="A167:T167"/>
    <mergeCell ref="U167:Y167"/>
    <mergeCell ref="Z167:AD167"/>
    <mergeCell ref="AE167:AI167"/>
    <mergeCell ref="AJ167:AN167"/>
    <mergeCell ref="AO167:AS167"/>
    <mergeCell ref="AT167:AX167"/>
    <mergeCell ref="AY167:BC167"/>
    <mergeCell ref="AO170:AS170"/>
    <mergeCell ref="AT170:AX170"/>
    <mergeCell ref="AY170:BC170"/>
    <mergeCell ref="BD170:BH170"/>
    <mergeCell ref="BI170:BM170"/>
    <mergeCell ref="BN170:BR170"/>
    <mergeCell ref="AT169:AX169"/>
    <mergeCell ref="AY169:BC169"/>
    <mergeCell ref="BD169:BH169"/>
    <mergeCell ref="BI169:BM169"/>
    <mergeCell ref="BN169:BR169"/>
    <mergeCell ref="A170:T170"/>
    <mergeCell ref="U170:Y170"/>
    <mergeCell ref="Z170:AD170"/>
    <mergeCell ref="AE170:AI170"/>
    <mergeCell ref="AJ170:AN170"/>
    <mergeCell ref="AY168:BC168"/>
    <mergeCell ref="BD168:BH168"/>
    <mergeCell ref="BI168:BM168"/>
    <mergeCell ref="BN168:BR168"/>
    <mergeCell ref="A169:T169"/>
    <mergeCell ref="U169:Y169"/>
    <mergeCell ref="Z169:AD169"/>
    <mergeCell ref="AE169:AI169"/>
    <mergeCell ref="AJ169:AN169"/>
    <mergeCell ref="AO169:AS169"/>
    <mergeCell ref="A182:C182"/>
    <mergeCell ref="D182:V182"/>
    <mergeCell ref="W182:Y182"/>
    <mergeCell ref="Z182:AB182"/>
    <mergeCell ref="AC182:AE182"/>
    <mergeCell ref="AO172:AS172"/>
    <mergeCell ref="AT172:AX172"/>
    <mergeCell ref="AY172:BC172"/>
    <mergeCell ref="BD172:BH172"/>
    <mergeCell ref="BI172:BM172"/>
    <mergeCell ref="BN172:BR172"/>
    <mergeCell ref="AT171:AX171"/>
    <mergeCell ref="AY171:BC171"/>
    <mergeCell ref="BD171:BH171"/>
    <mergeCell ref="BI171:BM171"/>
    <mergeCell ref="BN171:BR171"/>
    <mergeCell ref="A172:T172"/>
    <mergeCell ref="U172:Y172"/>
    <mergeCell ref="Z172:AD172"/>
    <mergeCell ref="AE172:AI172"/>
    <mergeCell ref="AJ172:AN172"/>
    <mergeCell ref="A171:T171"/>
    <mergeCell ref="U171:Y171"/>
    <mergeCell ref="Z171:AD171"/>
    <mergeCell ref="AE171:AI171"/>
    <mergeCell ref="AJ171:AN171"/>
    <mergeCell ref="AO171:AS171"/>
    <mergeCell ref="BA180:BC180"/>
    <mergeCell ref="BD180:BF180"/>
    <mergeCell ref="BG180:BI180"/>
    <mergeCell ref="BJ180:BL180"/>
    <mergeCell ref="A181:C181"/>
    <mergeCell ref="BJ183:BL183"/>
    <mergeCell ref="A184:C184"/>
    <mergeCell ref="D184:V184"/>
    <mergeCell ref="W184:Y184"/>
    <mergeCell ref="Z184:AB184"/>
    <mergeCell ref="AC184:AE184"/>
    <mergeCell ref="AF184:AH184"/>
    <mergeCell ref="AI184:AK184"/>
    <mergeCell ref="AL184:AN184"/>
    <mergeCell ref="AO184:AQ184"/>
    <mergeCell ref="AR183:AT183"/>
    <mergeCell ref="AU183:AW183"/>
    <mergeCell ref="AX183:AZ183"/>
    <mergeCell ref="BA183:BC183"/>
    <mergeCell ref="BD183:BF183"/>
    <mergeCell ref="BG183:BI183"/>
    <mergeCell ref="BJ182:BL182"/>
    <mergeCell ref="A183:C183"/>
    <mergeCell ref="D183:V183"/>
    <mergeCell ref="W183:Y183"/>
    <mergeCell ref="Z183:AB183"/>
    <mergeCell ref="AC183:AE183"/>
    <mergeCell ref="AF183:AH183"/>
    <mergeCell ref="AI183:AK183"/>
    <mergeCell ref="AL183:AN183"/>
    <mergeCell ref="AO183:AQ183"/>
    <mergeCell ref="AR182:AT182"/>
    <mergeCell ref="AU182:AW182"/>
    <mergeCell ref="AX182:AZ182"/>
    <mergeCell ref="BA182:BC182"/>
    <mergeCell ref="BD182:BF182"/>
    <mergeCell ref="BG182:BI182"/>
    <mergeCell ref="BJ185:BL185"/>
    <mergeCell ref="AR185:AT185"/>
    <mergeCell ref="AU185:AW185"/>
    <mergeCell ref="AX185:AZ185"/>
    <mergeCell ref="BA185:BC185"/>
    <mergeCell ref="BD185:BF185"/>
    <mergeCell ref="BG185:BI185"/>
    <mergeCell ref="BJ184:BL184"/>
    <mergeCell ref="A185:C185"/>
    <mergeCell ref="D185:V185"/>
    <mergeCell ref="W185:Y185"/>
    <mergeCell ref="Z185:AB185"/>
    <mergeCell ref="AC185:AE185"/>
    <mergeCell ref="AF185:AH185"/>
    <mergeCell ref="AI185:AK185"/>
    <mergeCell ref="AL185:AN185"/>
    <mergeCell ref="AO185:AQ185"/>
    <mergeCell ref="AR184:AT184"/>
    <mergeCell ref="AU184:AW184"/>
    <mergeCell ref="AX184:AZ184"/>
    <mergeCell ref="BA184:BC184"/>
    <mergeCell ref="BD184:BF184"/>
    <mergeCell ref="BG184:BI184"/>
  </mergeCells>
  <conditionalFormatting sqref="A94 A181 A111">
    <cfRule type="cellIs" dxfId="66" priority="70" stopIfTrue="1" operator="equal">
      <formula>A93</formula>
    </cfRule>
  </conditionalFormatting>
  <conditionalFormatting sqref="A129:C129 A146:C146">
    <cfRule type="cellIs" dxfId="65" priority="71" stopIfTrue="1" operator="equal">
      <formula>A128</formula>
    </cfRule>
    <cfRule type="cellIs" dxfId="64" priority="72" stopIfTrue="1" operator="equal">
      <formula>0</formula>
    </cfRule>
  </conditionalFormatting>
  <conditionalFormatting sqref="A95">
    <cfRule type="cellIs" dxfId="63" priority="69" stopIfTrue="1" operator="equal">
      <formula>A94</formula>
    </cfRule>
  </conditionalFormatting>
  <conditionalFormatting sqref="A96">
    <cfRule type="cellIs" dxfId="62" priority="68" stopIfTrue="1" operator="equal">
      <formula>A95</formula>
    </cfRule>
  </conditionalFormatting>
  <conditionalFormatting sqref="A97">
    <cfRule type="cellIs" dxfId="61" priority="67" stopIfTrue="1" operator="equal">
      <formula>A96</formula>
    </cfRule>
  </conditionalFormatting>
  <conditionalFormatting sqref="A98">
    <cfRule type="cellIs" dxfId="60" priority="66" stopIfTrue="1" operator="equal">
      <formula>A97</formula>
    </cfRule>
  </conditionalFormatting>
  <conditionalFormatting sqref="A99">
    <cfRule type="cellIs" dxfId="59" priority="65" stopIfTrue="1" operator="equal">
      <formula>A98</formula>
    </cfRule>
  </conditionalFormatting>
  <conditionalFormatting sqref="A100">
    <cfRule type="cellIs" dxfId="58" priority="64" stopIfTrue="1" operator="equal">
      <formula>A99</formula>
    </cfRule>
  </conditionalFormatting>
  <conditionalFormatting sqref="A101">
    <cfRule type="cellIs" dxfId="57" priority="63" stopIfTrue="1" operator="equal">
      <formula>A100</formula>
    </cfRule>
  </conditionalFormatting>
  <conditionalFormatting sqref="A102">
    <cfRule type="cellIs" dxfId="56" priority="62" stopIfTrue="1" operator="equal">
      <formula>A101</formula>
    </cfRule>
  </conditionalFormatting>
  <conditionalFormatting sqref="A103">
    <cfRule type="cellIs" dxfId="55" priority="61" stopIfTrue="1" operator="equal">
      <formula>A102</formula>
    </cfRule>
  </conditionalFormatting>
  <conditionalFormatting sqref="A121">
    <cfRule type="cellIs" dxfId="54" priority="74" stopIfTrue="1" operator="equal">
      <formula>A111</formula>
    </cfRule>
  </conditionalFormatting>
  <conditionalFormatting sqref="A112">
    <cfRule type="cellIs" dxfId="53" priority="59" stopIfTrue="1" operator="equal">
      <formula>A111</formula>
    </cfRule>
  </conditionalFormatting>
  <conditionalFormatting sqref="A113">
    <cfRule type="cellIs" dxfId="52" priority="58" stopIfTrue="1" operator="equal">
      <formula>A112</formula>
    </cfRule>
  </conditionalFormatting>
  <conditionalFormatting sqref="A114">
    <cfRule type="cellIs" dxfId="51" priority="57" stopIfTrue="1" operator="equal">
      <formula>A113</formula>
    </cfRule>
  </conditionalFormatting>
  <conditionalFormatting sqref="A115">
    <cfRule type="cellIs" dxfId="50" priority="56" stopIfTrue="1" operator="equal">
      <formula>A114</formula>
    </cfRule>
  </conditionalFormatting>
  <conditionalFormatting sqref="A116">
    <cfRule type="cellIs" dxfId="49" priority="55" stopIfTrue="1" operator="equal">
      <formula>A115</formula>
    </cfRule>
  </conditionalFormatting>
  <conditionalFormatting sqref="A117">
    <cfRule type="cellIs" dxfId="48" priority="54" stopIfTrue="1" operator="equal">
      <formula>A116</formula>
    </cfRule>
  </conditionalFormatting>
  <conditionalFormatting sqref="A118">
    <cfRule type="cellIs" dxfId="47" priority="53" stopIfTrue="1" operator="equal">
      <formula>A117</formula>
    </cfRule>
  </conditionalFormatting>
  <conditionalFormatting sqref="A119">
    <cfRule type="cellIs" dxfId="46" priority="52" stopIfTrue="1" operator="equal">
      <formula>A118</formula>
    </cfRule>
  </conditionalFormatting>
  <conditionalFormatting sqref="A120">
    <cfRule type="cellIs" dxfId="45" priority="51" stopIfTrue="1" operator="equal">
      <formula>A119</formula>
    </cfRule>
  </conditionalFormatting>
  <conditionalFormatting sqref="A182">
    <cfRule type="cellIs" dxfId="44" priority="5" stopIfTrue="1" operator="equal">
      <formula>A181</formula>
    </cfRule>
  </conditionalFormatting>
  <conditionalFormatting sqref="A130:C130">
    <cfRule type="cellIs" dxfId="43" priority="48" stopIfTrue="1" operator="equal">
      <formula>A129</formula>
    </cfRule>
    <cfRule type="cellIs" dxfId="42" priority="49" stopIfTrue="1" operator="equal">
      <formula>0</formula>
    </cfRule>
  </conditionalFormatting>
  <conditionalFormatting sqref="A131:C131">
    <cfRule type="cellIs" dxfId="41" priority="46" stopIfTrue="1" operator="equal">
      <formula>A130</formula>
    </cfRule>
    <cfRule type="cellIs" dxfId="40" priority="47" stopIfTrue="1" operator="equal">
      <formula>0</formula>
    </cfRule>
  </conditionalFormatting>
  <conditionalFormatting sqref="A132:C132">
    <cfRule type="cellIs" dxfId="39" priority="44" stopIfTrue="1" operator="equal">
      <formula>A131</formula>
    </cfRule>
    <cfRule type="cellIs" dxfId="38" priority="45" stopIfTrue="1" operator="equal">
      <formula>0</formula>
    </cfRule>
  </conditionalFormatting>
  <conditionalFormatting sqref="A133:C133">
    <cfRule type="cellIs" dxfId="37" priority="42" stopIfTrue="1" operator="equal">
      <formula>A132</formula>
    </cfRule>
    <cfRule type="cellIs" dxfId="36" priority="43" stopIfTrue="1" operator="equal">
      <formula>0</formula>
    </cfRule>
  </conditionalFormatting>
  <conditionalFormatting sqref="A134:C134">
    <cfRule type="cellIs" dxfId="35" priority="40" stopIfTrue="1" operator="equal">
      <formula>A133</formula>
    </cfRule>
    <cfRule type="cellIs" dxfId="34" priority="41" stopIfTrue="1" operator="equal">
      <formula>0</formula>
    </cfRule>
  </conditionalFormatting>
  <conditionalFormatting sqref="A135:C135">
    <cfRule type="cellIs" dxfId="33" priority="38" stopIfTrue="1" operator="equal">
      <formula>A134</formula>
    </cfRule>
    <cfRule type="cellIs" dxfId="32" priority="39" stopIfTrue="1" operator="equal">
      <formula>0</formula>
    </cfRule>
  </conditionalFormatting>
  <conditionalFormatting sqref="A136:C136">
    <cfRule type="cellIs" dxfId="31" priority="36" stopIfTrue="1" operator="equal">
      <formula>A135</formula>
    </cfRule>
    <cfRule type="cellIs" dxfId="30" priority="37" stopIfTrue="1" operator="equal">
      <formula>0</formula>
    </cfRule>
  </conditionalFormatting>
  <conditionalFormatting sqref="A137:C137">
    <cfRule type="cellIs" dxfId="29" priority="34" stopIfTrue="1" operator="equal">
      <formula>A136</formula>
    </cfRule>
    <cfRule type="cellIs" dxfId="28" priority="35" stopIfTrue="1" operator="equal">
      <formula>0</formula>
    </cfRule>
  </conditionalFormatting>
  <conditionalFormatting sqref="A138:C138">
    <cfRule type="cellIs" dxfId="27" priority="32" stopIfTrue="1" operator="equal">
      <formula>A137</formula>
    </cfRule>
    <cfRule type="cellIs" dxfId="26" priority="33" stopIfTrue="1" operator="equal">
      <formula>0</formula>
    </cfRule>
  </conditionalFormatting>
  <conditionalFormatting sqref="A139:C139">
    <cfRule type="cellIs" dxfId="25" priority="30" stopIfTrue="1" operator="equal">
      <formula>A138</formula>
    </cfRule>
    <cfRule type="cellIs" dxfId="24" priority="31" stopIfTrue="1" operator="equal">
      <formula>0</formula>
    </cfRule>
  </conditionalFormatting>
  <conditionalFormatting sqref="A147:C147">
    <cfRule type="cellIs" dxfId="23" priority="26" stopIfTrue="1" operator="equal">
      <formula>A146</formula>
    </cfRule>
    <cfRule type="cellIs" dxfId="22" priority="27" stopIfTrue="1" operator="equal">
      <formula>0</formula>
    </cfRule>
  </conditionalFormatting>
  <conditionalFormatting sqref="A148:C148">
    <cfRule type="cellIs" dxfId="21" priority="24" stopIfTrue="1" operator="equal">
      <formula>A147</formula>
    </cfRule>
    <cfRule type="cellIs" dxfId="20" priority="25" stopIfTrue="1" operator="equal">
      <formula>0</formula>
    </cfRule>
  </conditionalFormatting>
  <conditionalFormatting sqref="A149:C149">
    <cfRule type="cellIs" dxfId="19" priority="22" stopIfTrue="1" operator="equal">
      <formula>A148</formula>
    </cfRule>
    <cfRule type="cellIs" dxfId="18" priority="23" stopIfTrue="1" operator="equal">
      <formula>0</formula>
    </cfRule>
  </conditionalFormatting>
  <conditionalFormatting sqref="A150:C150">
    <cfRule type="cellIs" dxfId="17" priority="20" stopIfTrue="1" operator="equal">
      <formula>A149</formula>
    </cfRule>
    <cfRule type="cellIs" dxfId="16" priority="21" stopIfTrue="1" operator="equal">
      <formula>0</formula>
    </cfRule>
  </conditionalFormatting>
  <conditionalFormatting sqref="A151:C151">
    <cfRule type="cellIs" dxfId="15" priority="18" stopIfTrue="1" operator="equal">
      <formula>A150</formula>
    </cfRule>
    <cfRule type="cellIs" dxfId="14" priority="19" stopIfTrue="1" operator="equal">
      <formula>0</formula>
    </cfRule>
  </conditionalFormatting>
  <conditionalFormatting sqref="A152:C152">
    <cfRule type="cellIs" dxfId="13" priority="16" stopIfTrue="1" operator="equal">
      <formula>A151</formula>
    </cfRule>
    <cfRule type="cellIs" dxfId="12" priority="17" stopIfTrue="1" operator="equal">
      <formula>0</formula>
    </cfRule>
  </conditionalFormatting>
  <conditionalFormatting sqref="A153:C153">
    <cfRule type="cellIs" dxfId="11" priority="14" stopIfTrue="1" operator="equal">
      <formula>A152</formula>
    </cfRule>
    <cfRule type="cellIs" dxfId="10" priority="15" stopIfTrue="1" operator="equal">
      <formula>0</formula>
    </cfRule>
  </conditionalFormatting>
  <conditionalFormatting sqref="A154:C154">
    <cfRule type="cellIs" dxfId="9" priority="12" stopIfTrue="1" operator="equal">
      <formula>A153</formula>
    </cfRule>
    <cfRule type="cellIs" dxfId="8" priority="13" stopIfTrue="1" operator="equal">
      <formula>0</formula>
    </cfRule>
  </conditionalFormatting>
  <conditionalFormatting sqref="A155:C155">
    <cfRule type="cellIs" dxfId="7" priority="10" stopIfTrue="1" operator="equal">
      <formula>A154</formula>
    </cfRule>
    <cfRule type="cellIs" dxfId="6" priority="11" stopIfTrue="1" operator="equal">
      <formula>0</formula>
    </cfRule>
  </conditionalFormatting>
  <conditionalFormatting sqref="A156:C156">
    <cfRule type="cellIs" dxfId="5" priority="8" stopIfTrue="1" operator="equal">
      <formula>A155</formula>
    </cfRule>
    <cfRule type="cellIs" dxfId="4" priority="9" stopIfTrue="1" operator="equal">
      <formula>0</formula>
    </cfRule>
  </conditionalFormatting>
  <conditionalFormatting sqref="A183">
    <cfRule type="cellIs" dxfId="3" priority="4" stopIfTrue="1" operator="equal">
      <formula>A182</formula>
    </cfRule>
  </conditionalFormatting>
  <conditionalFormatting sqref="A184">
    <cfRule type="cellIs" dxfId="2" priority="3" stopIfTrue="1" operator="equal">
      <formula>A183</formula>
    </cfRule>
  </conditionalFormatting>
  <conditionalFormatting sqref="A185">
    <cfRule type="cellIs" dxfId="1" priority="2" stopIfTrue="1" operator="equal">
      <formula>A184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A64"/>
  <sheetViews>
    <sheetView topLeftCell="A16" zoomScaleNormal="100" workbookViewId="0"/>
  </sheetViews>
  <sheetFormatPr defaultRowHeight="12.75" x14ac:dyDescent="0.2"/>
  <cols>
    <col min="1" max="78" width="2.85546875" customWidth="1"/>
    <col min="79" max="79" width="8" hidden="1" customWidth="1"/>
  </cols>
  <sheetData>
    <row r="1" spans="1:79" ht="60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154" t="s">
        <v>143</v>
      </c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</row>
    <row r="2" spans="1:79" ht="14.25" customHeight="1" x14ac:dyDescent="0.2">
      <c r="A2" s="83" t="s">
        <v>341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</row>
    <row r="4" spans="1:79" ht="28.5" customHeight="1" x14ac:dyDescent="0.2">
      <c r="A4" s="25" t="s">
        <v>199</v>
      </c>
      <c r="B4" s="86" t="s">
        <v>232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22"/>
      <c r="AH4" s="89" t="s">
        <v>231</v>
      </c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22"/>
      <c r="AT4" s="88" t="s">
        <v>237</v>
      </c>
      <c r="AU4" s="89"/>
      <c r="AV4" s="89"/>
      <c r="AW4" s="89"/>
      <c r="AX4" s="89"/>
      <c r="AY4" s="89"/>
      <c r="AZ4" s="89"/>
      <c r="BA4" s="89"/>
      <c r="BB4" s="29"/>
      <c r="BC4" s="22"/>
      <c r="BD4" s="22"/>
      <c r="BE4" s="26"/>
      <c r="BF4" s="26"/>
      <c r="BG4" s="26"/>
      <c r="BH4" s="26"/>
      <c r="BI4" s="26"/>
      <c r="BJ4" s="26"/>
      <c r="BK4" s="26"/>
      <c r="BL4" s="26"/>
    </row>
    <row r="5" spans="1:79" ht="24" customHeight="1" x14ac:dyDescent="0.2">
      <c r="A5" s="57" t="s">
        <v>0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20"/>
      <c r="AH5" s="85" t="s">
        <v>206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20"/>
      <c r="AT5" s="85" t="s">
        <v>197</v>
      </c>
      <c r="AU5" s="85"/>
      <c r="AV5" s="85"/>
      <c r="AW5" s="85"/>
      <c r="AX5" s="85"/>
      <c r="AY5" s="85"/>
      <c r="AZ5" s="85"/>
      <c r="BA5" s="85"/>
      <c r="BB5" s="27"/>
      <c r="BC5" s="20"/>
      <c r="BD5" s="20"/>
      <c r="BE5" s="27"/>
      <c r="BF5" s="27"/>
      <c r="BG5" s="27"/>
      <c r="BH5" s="27"/>
      <c r="BI5" s="27"/>
      <c r="BJ5" s="27"/>
      <c r="BK5" s="27"/>
      <c r="BL5" s="27"/>
    </row>
    <row r="6" spans="1:79" x14ac:dyDescent="0.2">
      <c r="BE6" s="28"/>
      <c r="BF6" s="28"/>
      <c r="BG6" s="28"/>
      <c r="BH6" s="28"/>
      <c r="BI6" s="28"/>
      <c r="BJ6" s="28"/>
      <c r="BK6" s="28"/>
      <c r="BL6" s="28"/>
    </row>
    <row r="7" spans="1:79" ht="28.5" customHeight="1" x14ac:dyDescent="0.2">
      <c r="A7" s="25" t="s">
        <v>208</v>
      </c>
      <c r="B7" s="86" t="s">
        <v>225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22"/>
      <c r="AH7" s="89" t="s">
        <v>333</v>
      </c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29"/>
      <c r="BC7" s="88" t="s">
        <v>237</v>
      </c>
      <c r="BD7" s="89"/>
      <c r="BE7" s="89"/>
      <c r="BF7" s="89"/>
      <c r="BG7" s="89"/>
      <c r="BH7" s="89"/>
      <c r="BI7" s="89"/>
      <c r="BJ7" s="89"/>
      <c r="BK7" s="29"/>
      <c r="BL7" s="26"/>
      <c r="BP7" s="29"/>
      <c r="BQ7" s="29"/>
      <c r="BR7" s="29"/>
      <c r="BS7" s="29"/>
      <c r="BT7" s="29"/>
      <c r="BU7" s="29"/>
      <c r="BV7" s="29"/>
      <c r="BW7" s="29"/>
    </row>
    <row r="8" spans="1:79" ht="24" customHeight="1" x14ac:dyDescent="0.2">
      <c r="A8" s="57" t="s">
        <v>188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20"/>
      <c r="AH8" s="85" t="s">
        <v>209</v>
      </c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27"/>
      <c r="BC8" s="85" t="s">
        <v>197</v>
      </c>
      <c r="BD8" s="85"/>
      <c r="BE8" s="85"/>
      <c r="BF8" s="85"/>
      <c r="BG8" s="85"/>
      <c r="BH8" s="85"/>
      <c r="BI8" s="85"/>
      <c r="BJ8" s="85"/>
      <c r="BK8" s="27"/>
      <c r="BL8" s="27"/>
      <c r="BP8" s="27"/>
      <c r="BQ8" s="27"/>
      <c r="BR8" s="27"/>
      <c r="BS8" s="27"/>
      <c r="BT8" s="27"/>
      <c r="BU8" s="27"/>
      <c r="BV8" s="27"/>
      <c r="BW8" s="27"/>
    </row>
    <row r="10" spans="1:79" ht="28.5" customHeight="1" x14ac:dyDescent="0.2">
      <c r="A10" s="25" t="s">
        <v>210</v>
      </c>
      <c r="B10" s="89" t="s">
        <v>330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N10" s="89" t="s">
        <v>331</v>
      </c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29"/>
      <c r="AA10" s="89" t="s">
        <v>332</v>
      </c>
      <c r="AB10" s="89"/>
      <c r="AC10" s="89"/>
      <c r="AD10" s="89"/>
      <c r="AE10" s="89"/>
      <c r="AF10" s="89"/>
      <c r="AG10" s="89"/>
      <c r="AH10" s="89"/>
      <c r="AI10" s="89"/>
      <c r="AJ10" s="29"/>
      <c r="AK10" s="156" t="s">
        <v>227</v>
      </c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32"/>
      <c r="BL10" s="88" t="s">
        <v>238</v>
      </c>
      <c r="BM10" s="89"/>
      <c r="BN10" s="89"/>
      <c r="BO10" s="89"/>
      <c r="BP10" s="89"/>
      <c r="BQ10" s="89"/>
      <c r="BR10" s="89"/>
      <c r="BS10" s="89"/>
      <c r="BT10" s="29"/>
      <c r="BU10" s="29"/>
      <c r="BV10" s="29"/>
      <c r="BW10" s="29"/>
      <c r="BX10" s="29"/>
      <c r="BY10" s="29"/>
      <c r="BZ10" s="29"/>
      <c r="CA10" s="29"/>
    </row>
    <row r="11" spans="1:79" ht="25.5" customHeight="1" x14ac:dyDescent="0.2">
      <c r="B11" s="85" t="s">
        <v>211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N11" s="85" t="s">
        <v>213</v>
      </c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27"/>
      <c r="AA11" s="157" t="s">
        <v>214</v>
      </c>
      <c r="AB11" s="157"/>
      <c r="AC11" s="157"/>
      <c r="AD11" s="157"/>
      <c r="AE11" s="157"/>
      <c r="AF11" s="157"/>
      <c r="AG11" s="157"/>
      <c r="AH11" s="157"/>
      <c r="AI11" s="157"/>
      <c r="AJ11" s="27"/>
      <c r="AK11" s="158" t="s">
        <v>212</v>
      </c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0"/>
      <c r="BL11" s="85" t="s">
        <v>198</v>
      </c>
      <c r="BM11" s="85"/>
      <c r="BN11" s="85"/>
      <c r="BO11" s="85"/>
      <c r="BP11" s="85"/>
      <c r="BQ11" s="85"/>
      <c r="BR11" s="85"/>
      <c r="BS11" s="85"/>
      <c r="BT11" s="27"/>
      <c r="BU11" s="27"/>
      <c r="BV11" s="27"/>
      <c r="BW11" s="27"/>
      <c r="BX11" s="27"/>
      <c r="BY11" s="27"/>
      <c r="BZ11" s="27"/>
      <c r="CA11" s="27"/>
    </row>
    <row r="13" spans="1:79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79" ht="14.25" customHeight="1" x14ac:dyDescent="0.2">
      <c r="A14" s="115" t="s">
        <v>178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</row>
    <row r="15" spans="1:79" ht="14.25" customHeight="1" x14ac:dyDescent="0.2">
      <c r="A15" s="115" t="s">
        <v>334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5"/>
    </row>
    <row r="16" spans="1:79" ht="15" customHeight="1" x14ac:dyDescent="0.2">
      <c r="A16" s="81" t="s">
        <v>239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</row>
    <row r="17" spans="1:79" ht="36.75" customHeight="1" x14ac:dyDescent="0.2">
      <c r="A17" s="117" t="s">
        <v>166</v>
      </c>
      <c r="B17" s="117"/>
      <c r="C17" s="117"/>
      <c r="D17" s="117"/>
      <c r="E17" s="117"/>
      <c r="F17" s="117"/>
      <c r="G17" s="60" t="s">
        <v>20</v>
      </c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 t="s">
        <v>240</v>
      </c>
      <c r="U17" s="60"/>
      <c r="V17" s="60"/>
      <c r="W17" s="60"/>
      <c r="X17" s="60"/>
      <c r="Y17" s="60"/>
      <c r="Z17" s="60"/>
      <c r="AA17" s="60" t="s">
        <v>241</v>
      </c>
      <c r="AB17" s="60"/>
      <c r="AC17" s="60"/>
      <c r="AD17" s="60"/>
      <c r="AE17" s="60"/>
      <c r="AF17" s="60"/>
      <c r="AG17" s="60"/>
      <c r="AH17" s="60" t="s">
        <v>242</v>
      </c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 t="s">
        <v>335</v>
      </c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</row>
    <row r="18" spans="1:79" ht="48" customHeight="1" x14ac:dyDescent="0.2">
      <c r="A18" s="117"/>
      <c r="B18" s="117"/>
      <c r="C18" s="117"/>
      <c r="D18" s="117"/>
      <c r="E18" s="117"/>
      <c r="F18" s="117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 t="s">
        <v>21</v>
      </c>
      <c r="AI18" s="60"/>
      <c r="AJ18" s="60"/>
      <c r="AK18" s="60"/>
      <c r="AL18" s="60"/>
      <c r="AM18" s="60"/>
      <c r="AN18" s="60"/>
      <c r="AO18" s="60" t="s">
        <v>121</v>
      </c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</row>
    <row r="19" spans="1:79" ht="15" customHeight="1" x14ac:dyDescent="0.2">
      <c r="A19" s="60">
        <v>1</v>
      </c>
      <c r="B19" s="60"/>
      <c r="C19" s="60"/>
      <c r="D19" s="60"/>
      <c r="E19" s="60"/>
      <c r="F19" s="60"/>
      <c r="G19" s="60">
        <v>2</v>
      </c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>
        <v>3</v>
      </c>
      <c r="U19" s="60"/>
      <c r="V19" s="60"/>
      <c r="W19" s="60"/>
      <c r="X19" s="60"/>
      <c r="Y19" s="60"/>
      <c r="Z19" s="60"/>
      <c r="AA19" s="60">
        <v>4</v>
      </c>
      <c r="AB19" s="60"/>
      <c r="AC19" s="60"/>
      <c r="AD19" s="60"/>
      <c r="AE19" s="60"/>
      <c r="AF19" s="60"/>
      <c r="AG19" s="60"/>
      <c r="AH19" s="60">
        <v>5</v>
      </c>
      <c r="AI19" s="60"/>
      <c r="AJ19" s="60"/>
      <c r="AK19" s="60"/>
      <c r="AL19" s="60"/>
      <c r="AM19" s="60"/>
      <c r="AN19" s="60"/>
      <c r="AO19" s="60">
        <v>6</v>
      </c>
      <c r="AP19" s="60"/>
      <c r="AQ19" s="60"/>
      <c r="AR19" s="60"/>
      <c r="AS19" s="60"/>
      <c r="AT19" s="60"/>
      <c r="AU19" s="60"/>
      <c r="AV19" s="60">
        <v>7</v>
      </c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</row>
    <row r="20" spans="1:79" hidden="1" x14ac:dyDescent="0.2">
      <c r="A20" s="167" t="s">
        <v>128</v>
      </c>
      <c r="B20" s="167"/>
      <c r="C20" s="167"/>
      <c r="D20" s="167"/>
      <c r="E20" s="167"/>
      <c r="F20" s="167"/>
      <c r="G20" s="167" t="s">
        <v>78</v>
      </c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 t="s">
        <v>101</v>
      </c>
      <c r="U20" s="167"/>
      <c r="V20" s="167"/>
      <c r="W20" s="167"/>
      <c r="X20" s="167"/>
      <c r="Y20" s="167"/>
      <c r="Z20" s="167"/>
      <c r="AA20" s="167" t="s">
        <v>102</v>
      </c>
      <c r="AB20" s="167"/>
      <c r="AC20" s="167"/>
      <c r="AD20" s="167"/>
      <c r="AE20" s="167"/>
      <c r="AF20" s="167"/>
      <c r="AG20" s="167"/>
      <c r="AH20" s="167" t="s">
        <v>103</v>
      </c>
      <c r="AI20" s="167"/>
      <c r="AJ20" s="167"/>
      <c r="AK20" s="167"/>
      <c r="AL20" s="167"/>
      <c r="AM20" s="167"/>
      <c r="AN20" s="167"/>
      <c r="AO20" s="167" t="s">
        <v>104</v>
      </c>
      <c r="AP20" s="167"/>
      <c r="AQ20" s="167"/>
      <c r="AR20" s="167"/>
      <c r="AS20" s="167"/>
      <c r="AT20" s="167"/>
      <c r="AU20" s="167"/>
      <c r="AV20" s="167" t="s">
        <v>110</v>
      </c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CA20" t="s">
        <v>64</v>
      </c>
    </row>
    <row r="21" spans="1:79" s="7" customFormat="1" x14ac:dyDescent="0.2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  <c r="BG21" s="163"/>
      <c r="BH21" s="163"/>
      <c r="BI21" s="163"/>
      <c r="BJ21" s="163"/>
      <c r="BK21" s="163"/>
      <c r="BL21" s="163"/>
      <c r="CA21" s="7" t="s">
        <v>65</v>
      </c>
    </row>
    <row r="23" spans="1:79" ht="15" customHeight="1" x14ac:dyDescent="0.2">
      <c r="A23" s="115" t="s">
        <v>186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</row>
    <row r="25" spans="1:79" ht="48" customHeight="1" x14ac:dyDescent="0.2">
      <c r="A25" s="60" t="s">
        <v>7</v>
      </c>
      <c r="B25" s="60"/>
      <c r="C25" s="60"/>
      <c r="D25" s="60"/>
      <c r="E25" s="60"/>
      <c r="F25" s="60"/>
      <c r="G25" s="64" t="s">
        <v>20</v>
      </c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0" t="s">
        <v>9</v>
      </c>
      <c r="AG25" s="60"/>
      <c r="AH25" s="60"/>
      <c r="AI25" s="60"/>
      <c r="AJ25" s="60"/>
      <c r="AK25" s="60" t="s">
        <v>8</v>
      </c>
      <c r="AL25" s="60"/>
      <c r="AM25" s="60"/>
      <c r="AN25" s="60"/>
      <c r="AO25" s="60"/>
      <c r="AP25" s="60"/>
      <c r="AQ25" s="60"/>
      <c r="AR25" s="60"/>
      <c r="AS25" s="60"/>
      <c r="AT25" s="60"/>
      <c r="AU25" s="60" t="s">
        <v>336</v>
      </c>
      <c r="AV25" s="60"/>
      <c r="AW25" s="60"/>
      <c r="AX25" s="60"/>
      <c r="AY25" s="60"/>
      <c r="AZ25" s="60"/>
      <c r="BA25" s="60"/>
      <c r="BB25" s="60"/>
      <c r="BC25" s="60"/>
      <c r="BD25" s="60"/>
      <c r="BE25" s="60" t="s">
        <v>337</v>
      </c>
      <c r="BF25" s="60"/>
      <c r="BG25" s="60"/>
      <c r="BH25" s="60"/>
      <c r="BI25" s="60"/>
      <c r="BJ25" s="60"/>
      <c r="BK25" s="60"/>
      <c r="BL25" s="60"/>
      <c r="BM25" s="60"/>
      <c r="BN25" s="60"/>
    </row>
    <row r="26" spans="1:79" ht="15" customHeight="1" x14ac:dyDescent="0.2">
      <c r="A26" s="60">
        <v>1</v>
      </c>
      <c r="B26" s="60"/>
      <c r="C26" s="60"/>
      <c r="D26" s="60"/>
      <c r="E26" s="60"/>
      <c r="F26" s="60"/>
      <c r="G26" s="64">
        <v>2</v>
      </c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0">
        <v>3</v>
      </c>
      <c r="AG26" s="60"/>
      <c r="AH26" s="60"/>
      <c r="AI26" s="60"/>
      <c r="AJ26" s="60"/>
      <c r="AK26" s="60">
        <v>4</v>
      </c>
      <c r="AL26" s="60"/>
      <c r="AM26" s="60"/>
      <c r="AN26" s="60"/>
      <c r="AO26" s="60"/>
      <c r="AP26" s="60"/>
      <c r="AQ26" s="60"/>
      <c r="AR26" s="60"/>
      <c r="AS26" s="60"/>
      <c r="AT26" s="60"/>
      <c r="AU26" s="60">
        <v>5</v>
      </c>
      <c r="AV26" s="60"/>
      <c r="AW26" s="60"/>
      <c r="AX26" s="60"/>
      <c r="AY26" s="60"/>
      <c r="AZ26" s="60"/>
      <c r="BA26" s="60"/>
      <c r="BB26" s="60"/>
      <c r="BC26" s="60"/>
      <c r="BD26" s="60"/>
      <c r="BE26" s="60">
        <v>6</v>
      </c>
      <c r="BF26" s="60"/>
      <c r="BG26" s="60"/>
      <c r="BH26" s="60"/>
      <c r="BI26" s="60"/>
      <c r="BJ26" s="60"/>
      <c r="BK26" s="60"/>
      <c r="BL26" s="60"/>
      <c r="BM26" s="60"/>
      <c r="BN26" s="60"/>
    </row>
    <row r="27" spans="1:79" ht="15" hidden="1" customHeight="1" x14ac:dyDescent="0.2">
      <c r="A27" s="167" t="s">
        <v>187</v>
      </c>
      <c r="B27" s="167"/>
      <c r="C27" s="167"/>
      <c r="D27" s="167"/>
      <c r="E27" s="167"/>
      <c r="F27" s="167"/>
      <c r="G27" s="168" t="s">
        <v>78</v>
      </c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70"/>
      <c r="AF27" s="167" t="s">
        <v>91</v>
      </c>
      <c r="AG27" s="167"/>
      <c r="AH27" s="167"/>
      <c r="AI27" s="167"/>
      <c r="AJ27" s="167"/>
      <c r="AK27" s="167" t="s">
        <v>92</v>
      </c>
      <c r="AL27" s="167"/>
      <c r="AM27" s="167"/>
      <c r="AN27" s="167"/>
      <c r="AO27" s="167"/>
      <c r="AP27" s="167"/>
      <c r="AQ27" s="167"/>
      <c r="AR27" s="167"/>
      <c r="AS27" s="167"/>
      <c r="AT27" s="167"/>
      <c r="AU27" s="167" t="s">
        <v>139</v>
      </c>
      <c r="AV27" s="167"/>
      <c r="AW27" s="167"/>
      <c r="AX27" s="167"/>
      <c r="AY27" s="167"/>
      <c r="AZ27" s="167"/>
      <c r="BA27" s="167"/>
      <c r="BB27" s="167"/>
      <c r="BC27" s="167"/>
      <c r="BD27" s="167"/>
      <c r="BE27" s="167" t="s">
        <v>141</v>
      </c>
      <c r="BF27" s="167"/>
      <c r="BG27" s="167"/>
      <c r="BH27" s="167"/>
      <c r="BI27" s="167"/>
      <c r="BJ27" s="167"/>
      <c r="BK27" s="167"/>
      <c r="BL27" s="167"/>
      <c r="BM27" s="167"/>
      <c r="BN27" s="167"/>
      <c r="CA27" t="s">
        <v>66</v>
      </c>
    </row>
    <row r="28" spans="1:79" s="7" customFormat="1" x14ac:dyDescent="0.2">
      <c r="A28" s="163"/>
      <c r="B28" s="163"/>
      <c r="C28" s="163"/>
      <c r="D28" s="163"/>
      <c r="E28" s="163"/>
      <c r="F28" s="163"/>
      <c r="G28" s="164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6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CA28" s="7" t="s">
        <v>67</v>
      </c>
    </row>
    <row r="30" spans="1:79" ht="14.25" customHeight="1" x14ac:dyDescent="0.2">
      <c r="A30" s="83" t="s">
        <v>338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</row>
    <row r="31" spans="1:79" ht="15" customHeight="1" x14ac:dyDescent="0.2">
      <c r="A31" s="160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/>
      <c r="BF31" s="160"/>
      <c r="BG31" s="160"/>
      <c r="BH31" s="160"/>
      <c r="BI31" s="160"/>
      <c r="BJ31" s="160"/>
      <c r="BK31" s="160"/>
      <c r="BL31" s="160"/>
    </row>
    <row r="33" spans="1:79" s="1" customFormat="1" ht="28.5" hidden="1" customHeight="1" x14ac:dyDescent="0.2">
      <c r="A33" s="101"/>
      <c r="B33" s="101"/>
      <c r="C33" s="101"/>
      <c r="D33" s="101"/>
      <c r="E33" s="101"/>
      <c r="F33" s="101"/>
      <c r="G33" s="94" t="s">
        <v>1</v>
      </c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 t="s">
        <v>101</v>
      </c>
      <c r="U33" s="95"/>
      <c r="V33" s="95"/>
      <c r="W33" s="95"/>
      <c r="X33" s="95"/>
      <c r="Y33" s="95"/>
      <c r="Z33" s="95"/>
      <c r="AA33" s="95" t="s">
        <v>102</v>
      </c>
      <c r="AB33" s="95"/>
      <c r="AC33" s="95"/>
      <c r="AD33" s="95"/>
      <c r="AE33" s="95"/>
      <c r="AF33" s="95"/>
      <c r="AG33" s="95"/>
      <c r="AH33" s="95" t="s">
        <v>103</v>
      </c>
      <c r="AI33" s="95"/>
      <c r="AJ33" s="95"/>
      <c r="AK33" s="95"/>
      <c r="AL33" s="95"/>
      <c r="AM33" s="95"/>
      <c r="AN33" s="111"/>
      <c r="AO33" s="94" t="s">
        <v>104</v>
      </c>
      <c r="AP33" s="95"/>
      <c r="AQ33" s="95"/>
      <c r="AR33" s="95"/>
      <c r="AS33" s="95"/>
      <c r="AT33" s="95"/>
      <c r="AU33" s="95"/>
      <c r="AV33" s="12"/>
      <c r="AW33" s="12"/>
      <c r="AX33" s="12"/>
      <c r="AY33" s="12"/>
      <c r="AZ33" s="12"/>
      <c r="BA33" s="12"/>
      <c r="BB33" s="12"/>
      <c r="BC33" s="12"/>
      <c r="BD33" s="13"/>
      <c r="BE33" s="11"/>
      <c r="BF33" s="12"/>
      <c r="BG33" s="12"/>
      <c r="BH33" s="12"/>
      <c r="BI33" s="12"/>
      <c r="BJ33" s="12"/>
      <c r="BK33" s="12"/>
      <c r="BL33" s="12"/>
      <c r="BM33" s="12"/>
      <c r="BN33" s="13"/>
      <c r="CA33" t="s">
        <v>129</v>
      </c>
    </row>
    <row r="34" spans="1:79" s="9" customFormat="1" ht="12.75" customHeight="1" x14ac:dyDescent="0.2">
      <c r="A34" s="101" t="s">
        <v>179</v>
      </c>
      <c r="B34" s="101"/>
      <c r="C34" s="101"/>
      <c r="D34" s="101"/>
      <c r="E34" s="101"/>
      <c r="F34" s="101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4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CA34" s="9" t="s">
        <v>130</v>
      </c>
    </row>
    <row r="37" spans="1:79" ht="14.25" customHeight="1" x14ac:dyDescent="0.2">
      <c r="A37" s="115" t="s">
        <v>342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</row>
    <row r="38" spans="1:79" ht="15" x14ac:dyDescent="0.25">
      <c r="A38" s="172" t="s">
        <v>239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</row>
    <row r="39" spans="1:79" ht="12.95" customHeight="1" x14ac:dyDescent="0.2">
      <c r="A39" s="60" t="s">
        <v>3</v>
      </c>
      <c r="B39" s="60"/>
      <c r="C39" s="60"/>
      <c r="D39" s="60"/>
      <c r="E39" s="60"/>
      <c r="F39" s="60"/>
      <c r="G39" s="60" t="s">
        <v>20</v>
      </c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 t="s">
        <v>243</v>
      </c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 t="s">
        <v>245</v>
      </c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 t="s">
        <v>343</v>
      </c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</row>
    <row r="40" spans="1:79" ht="47.1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 t="s">
        <v>22</v>
      </c>
      <c r="U40" s="60"/>
      <c r="V40" s="60"/>
      <c r="W40" s="60"/>
      <c r="X40" s="60"/>
      <c r="Y40" s="60"/>
      <c r="Z40" s="60"/>
      <c r="AA40" s="60" t="s">
        <v>121</v>
      </c>
      <c r="AB40" s="60"/>
      <c r="AC40" s="60"/>
      <c r="AD40" s="60"/>
      <c r="AE40" s="60"/>
      <c r="AF40" s="60"/>
      <c r="AG40" s="60"/>
      <c r="AH40" s="60" t="s">
        <v>22</v>
      </c>
      <c r="AI40" s="60"/>
      <c r="AJ40" s="60"/>
      <c r="AK40" s="60"/>
      <c r="AL40" s="60"/>
      <c r="AM40" s="60"/>
      <c r="AN40" s="60"/>
      <c r="AO40" s="60" t="s">
        <v>121</v>
      </c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</row>
    <row r="41" spans="1:79" ht="15" customHeight="1" x14ac:dyDescent="0.2">
      <c r="A41" s="60">
        <v>1</v>
      </c>
      <c r="B41" s="60"/>
      <c r="C41" s="60"/>
      <c r="D41" s="60"/>
      <c r="E41" s="60"/>
      <c r="F41" s="60"/>
      <c r="G41" s="60">
        <v>2</v>
      </c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>
        <v>3</v>
      </c>
      <c r="U41" s="60"/>
      <c r="V41" s="60"/>
      <c r="W41" s="60"/>
      <c r="X41" s="60"/>
      <c r="Y41" s="60"/>
      <c r="Z41" s="60"/>
      <c r="AA41" s="60">
        <v>4</v>
      </c>
      <c r="AB41" s="60"/>
      <c r="AC41" s="60"/>
      <c r="AD41" s="60"/>
      <c r="AE41" s="60"/>
      <c r="AF41" s="60"/>
      <c r="AG41" s="60"/>
      <c r="AH41" s="60">
        <v>5</v>
      </c>
      <c r="AI41" s="60"/>
      <c r="AJ41" s="60"/>
      <c r="AK41" s="60"/>
      <c r="AL41" s="60"/>
      <c r="AM41" s="60"/>
      <c r="AN41" s="60"/>
      <c r="AO41" s="60">
        <v>6</v>
      </c>
      <c r="AP41" s="60"/>
      <c r="AQ41" s="60"/>
      <c r="AR41" s="60"/>
      <c r="AS41" s="60"/>
      <c r="AT41" s="60"/>
      <c r="AU41" s="60"/>
      <c r="AV41" s="60">
        <v>7</v>
      </c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</row>
    <row r="42" spans="1:79" s="2" customFormat="1" ht="12.75" hidden="1" customHeight="1" x14ac:dyDescent="0.2">
      <c r="A42" s="58" t="s">
        <v>128</v>
      </c>
      <c r="B42" s="58"/>
      <c r="C42" s="58"/>
      <c r="D42" s="58"/>
      <c r="E42" s="58"/>
      <c r="F42" s="58"/>
      <c r="G42" s="116" t="s">
        <v>78</v>
      </c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76" t="s">
        <v>101</v>
      </c>
      <c r="U42" s="76"/>
      <c r="V42" s="76"/>
      <c r="W42" s="76"/>
      <c r="X42" s="76"/>
      <c r="Y42" s="76"/>
      <c r="Z42" s="76"/>
      <c r="AA42" s="76" t="s">
        <v>102</v>
      </c>
      <c r="AB42" s="76"/>
      <c r="AC42" s="76"/>
      <c r="AD42" s="76"/>
      <c r="AE42" s="76"/>
      <c r="AF42" s="76"/>
      <c r="AG42" s="76"/>
      <c r="AH42" s="76" t="s">
        <v>103</v>
      </c>
      <c r="AI42" s="76"/>
      <c r="AJ42" s="76"/>
      <c r="AK42" s="76"/>
      <c r="AL42" s="76"/>
      <c r="AM42" s="76"/>
      <c r="AN42" s="76"/>
      <c r="AO42" s="76" t="s">
        <v>104</v>
      </c>
      <c r="AP42" s="76"/>
      <c r="AQ42" s="76"/>
      <c r="AR42" s="76"/>
      <c r="AS42" s="76"/>
      <c r="AT42" s="76"/>
      <c r="AU42" s="76"/>
      <c r="AV42" s="58" t="s">
        <v>110</v>
      </c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CA42" s="2" t="s">
        <v>68</v>
      </c>
    </row>
    <row r="43" spans="1:79" s="8" customFormat="1" ht="12.75" customHeight="1" x14ac:dyDescent="0.2">
      <c r="A43" s="58" t="s">
        <v>1</v>
      </c>
      <c r="B43" s="58"/>
      <c r="C43" s="58"/>
      <c r="D43" s="58"/>
      <c r="E43" s="58"/>
      <c r="F43" s="58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CA43" s="8" t="s">
        <v>69</v>
      </c>
    </row>
    <row r="45" spans="1:79" ht="15" customHeight="1" x14ac:dyDescent="0.2">
      <c r="A45" s="115" t="s">
        <v>189</v>
      </c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</row>
    <row r="47" spans="1:79" ht="90.95" customHeight="1" x14ac:dyDescent="0.2">
      <c r="A47" s="60" t="s">
        <v>7</v>
      </c>
      <c r="B47" s="60"/>
      <c r="C47" s="60"/>
      <c r="D47" s="60"/>
      <c r="E47" s="60"/>
      <c r="F47" s="60"/>
      <c r="G47" s="64" t="s">
        <v>20</v>
      </c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0" t="s">
        <v>9</v>
      </c>
      <c r="AG47" s="60"/>
      <c r="AH47" s="60"/>
      <c r="AI47" s="60"/>
      <c r="AJ47" s="60"/>
      <c r="AK47" s="60" t="s">
        <v>8</v>
      </c>
      <c r="AL47" s="60"/>
      <c r="AM47" s="60"/>
      <c r="AN47" s="60"/>
      <c r="AO47" s="60"/>
      <c r="AP47" s="60"/>
      <c r="AQ47" s="60"/>
      <c r="AR47" s="60"/>
      <c r="AS47" s="60"/>
      <c r="AT47" s="60"/>
      <c r="AU47" s="60" t="s">
        <v>339</v>
      </c>
      <c r="AV47" s="60"/>
      <c r="AW47" s="60"/>
      <c r="AX47" s="60"/>
      <c r="AY47" s="60"/>
      <c r="AZ47" s="60"/>
      <c r="BA47" s="60" t="s">
        <v>340</v>
      </c>
      <c r="BB47" s="60"/>
      <c r="BC47" s="60"/>
      <c r="BD47" s="60"/>
      <c r="BE47" s="60"/>
      <c r="BF47" s="60"/>
      <c r="BG47" s="60" t="s">
        <v>344</v>
      </c>
      <c r="BH47" s="60"/>
      <c r="BI47" s="60"/>
      <c r="BJ47" s="60"/>
      <c r="BK47" s="60"/>
      <c r="BL47" s="60"/>
      <c r="BM47" s="60" t="s">
        <v>345</v>
      </c>
      <c r="BN47" s="60"/>
      <c r="BO47" s="60"/>
      <c r="BP47" s="60"/>
      <c r="BQ47" s="60"/>
      <c r="BR47" s="60"/>
    </row>
    <row r="48" spans="1:79" ht="15" customHeight="1" x14ac:dyDescent="0.2">
      <c r="A48" s="60">
        <v>1</v>
      </c>
      <c r="B48" s="60"/>
      <c r="C48" s="60"/>
      <c r="D48" s="60"/>
      <c r="E48" s="60"/>
      <c r="F48" s="60"/>
      <c r="G48" s="64">
        <v>2</v>
      </c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6"/>
      <c r="AF48" s="60">
        <v>3</v>
      </c>
      <c r="AG48" s="60"/>
      <c r="AH48" s="60"/>
      <c r="AI48" s="60"/>
      <c r="AJ48" s="60"/>
      <c r="AK48" s="60">
        <v>4</v>
      </c>
      <c r="AL48" s="60"/>
      <c r="AM48" s="60"/>
      <c r="AN48" s="60"/>
      <c r="AO48" s="60"/>
      <c r="AP48" s="60"/>
      <c r="AQ48" s="60"/>
      <c r="AR48" s="60"/>
      <c r="AS48" s="60"/>
      <c r="AT48" s="60"/>
      <c r="AU48" s="60">
        <v>5</v>
      </c>
      <c r="AV48" s="60"/>
      <c r="AW48" s="60"/>
      <c r="AX48" s="60"/>
      <c r="AY48" s="60"/>
      <c r="AZ48" s="60"/>
      <c r="BA48" s="60">
        <v>6</v>
      </c>
      <c r="BB48" s="60"/>
      <c r="BC48" s="60"/>
      <c r="BD48" s="60"/>
      <c r="BE48" s="60"/>
      <c r="BF48" s="60"/>
      <c r="BG48" s="60">
        <v>7</v>
      </c>
      <c r="BH48" s="60"/>
      <c r="BI48" s="60"/>
      <c r="BJ48" s="60"/>
      <c r="BK48" s="60"/>
      <c r="BL48" s="60"/>
      <c r="BM48" s="60">
        <v>8</v>
      </c>
      <c r="BN48" s="60"/>
      <c r="BO48" s="60"/>
      <c r="BP48" s="60"/>
      <c r="BQ48" s="60"/>
      <c r="BR48" s="60"/>
    </row>
    <row r="49" spans="1:79" ht="9.75" hidden="1" customHeight="1" x14ac:dyDescent="0.2">
      <c r="A49" s="167" t="s">
        <v>187</v>
      </c>
      <c r="B49" s="167"/>
      <c r="C49" s="167"/>
      <c r="D49" s="167"/>
      <c r="E49" s="167"/>
      <c r="F49" s="167"/>
      <c r="G49" s="168" t="s">
        <v>78</v>
      </c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70"/>
      <c r="AF49" s="167" t="s">
        <v>91</v>
      </c>
      <c r="AG49" s="167"/>
      <c r="AH49" s="167"/>
      <c r="AI49" s="167"/>
      <c r="AJ49" s="167"/>
      <c r="AK49" s="167" t="s">
        <v>92</v>
      </c>
      <c r="AL49" s="167"/>
      <c r="AM49" s="167"/>
      <c r="AN49" s="167"/>
      <c r="AO49" s="167"/>
      <c r="AP49" s="167"/>
      <c r="AQ49" s="167"/>
      <c r="AR49" s="167"/>
      <c r="AS49" s="167"/>
      <c r="AT49" s="167"/>
      <c r="AU49" s="167" t="s">
        <v>139</v>
      </c>
      <c r="AV49" s="167"/>
      <c r="AW49" s="167"/>
      <c r="AX49" s="167"/>
      <c r="AY49" s="167"/>
      <c r="AZ49" s="167"/>
      <c r="BA49" s="167" t="s">
        <v>141</v>
      </c>
      <c r="BB49" s="167"/>
      <c r="BC49" s="167"/>
      <c r="BD49" s="167"/>
      <c r="BE49" s="167"/>
      <c r="BF49" s="167"/>
      <c r="BG49" s="167" t="s">
        <v>133</v>
      </c>
      <c r="BH49" s="167"/>
      <c r="BI49" s="167"/>
      <c r="BJ49" s="167"/>
      <c r="BK49" s="167"/>
      <c r="BL49" s="167"/>
      <c r="BM49" s="167" t="s">
        <v>135</v>
      </c>
      <c r="BN49" s="167"/>
      <c r="BO49" s="167"/>
      <c r="BP49" s="167"/>
      <c r="BQ49" s="167"/>
      <c r="BR49" s="167"/>
      <c r="CA49" t="s">
        <v>70</v>
      </c>
    </row>
    <row r="50" spans="1:79" s="7" customFormat="1" x14ac:dyDescent="0.2">
      <c r="A50" s="163"/>
      <c r="B50" s="163"/>
      <c r="C50" s="163"/>
      <c r="D50" s="163"/>
      <c r="E50" s="163"/>
      <c r="F50" s="163"/>
      <c r="G50" s="164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6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59"/>
      <c r="BJ50" s="159"/>
      <c r="BK50" s="159"/>
      <c r="BL50" s="159"/>
      <c r="BM50" s="159"/>
      <c r="BN50" s="159"/>
      <c r="BO50" s="159"/>
      <c r="BP50" s="159"/>
      <c r="BQ50" s="159"/>
      <c r="BR50" s="159"/>
      <c r="CA50" s="7" t="s">
        <v>71</v>
      </c>
    </row>
    <row r="52" spans="1:79" ht="28.5" customHeight="1" x14ac:dyDescent="0.2">
      <c r="A52" s="87" t="s">
        <v>346</v>
      </c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</row>
    <row r="53" spans="1:79" ht="15" customHeight="1" x14ac:dyDescent="0.2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0"/>
      <c r="AP53" s="160"/>
      <c r="AQ53" s="160"/>
      <c r="AR53" s="160"/>
      <c r="AS53" s="160"/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  <c r="BF53" s="160"/>
      <c r="BG53" s="160"/>
      <c r="BH53" s="160"/>
      <c r="BI53" s="160"/>
      <c r="BJ53" s="160"/>
      <c r="BK53" s="160"/>
      <c r="BL53" s="160"/>
    </row>
    <row r="54" spans="1:79" ht="15" customHeight="1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</row>
    <row r="55" spans="1:79" s="2" customFormat="1" ht="15.75" hidden="1" customHeight="1" x14ac:dyDescent="0.2">
      <c r="A55" s="58"/>
      <c r="B55" s="58"/>
      <c r="C55" s="58"/>
      <c r="D55" s="58"/>
      <c r="E55" s="58"/>
      <c r="F55" s="58"/>
      <c r="G55" s="67" t="s">
        <v>1</v>
      </c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 t="s">
        <v>101</v>
      </c>
      <c r="U55" s="68"/>
      <c r="V55" s="68"/>
      <c r="W55" s="68"/>
      <c r="X55" s="68"/>
      <c r="Y55" s="68"/>
      <c r="Z55" s="68"/>
      <c r="AA55" s="68" t="s">
        <v>102</v>
      </c>
      <c r="AB55" s="68"/>
      <c r="AC55" s="68"/>
      <c r="AD55" s="68"/>
      <c r="AE55" s="68"/>
      <c r="AF55" s="68"/>
      <c r="AG55" s="68"/>
      <c r="AH55" s="68" t="s">
        <v>103</v>
      </c>
      <c r="AI55" s="68"/>
      <c r="AJ55" s="68"/>
      <c r="AK55" s="68"/>
      <c r="AL55" s="68"/>
      <c r="AM55" s="68"/>
      <c r="AN55" s="68"/>
      <c r="AO55" s="161" t="s">
        <v>104</v>
      </c>
      <c r="AP55" s="161"/>
      <c r="AQ55" s="161"/>
      <c r="AR55" s="161"/>
      <c r="AS55" s="161"/>
      <c r="AT55" s="161"/>
      <c r="AU55" s="162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CA55" s="2" t="s">
        <v>131</v>
      </c>
    </row>
    <row r="56" spans="1:79" s="9" customFormat="1" ht="15" customHeight="1" x14ac:dyDescent="0.2">
      <c r="A56" s="101" t="s">
        <v>179</v>
      </c>
      <c r="B56" s="101"/>
      <c r="C56" s="101"/>
      <c r="D56" s="101"/>
      <c r="E56" s="101"/>
      <c r="F56" s="101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CA56" s="9" t="s">
        <v>132</v>
      </c>
    </row>
    <row r="57" spans="1:79" s="1" customFormat="1" ht="12.7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1:79" s="1" customFormat="1" ht="12.75" customHeigh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60" spans="1:79" ht="18.95" customHeight="1" x14ac:dyDescent="0.2">
      <c r="A60" s="73" t="s">
        <v>233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35"/>
      <c r="AC60" s="35"/>
      <c r="AD60" s="35"/>
      <c r="AE60" s="35"/>
      <c r="AF60" s="35"/>
      <c r="AG60" s="35"/>
      <c r="AH60" s="77"/>
      <c r="AI60" s="77"/>
      <c r="AJ60" s="77"/>
      <c r="AK60" s="77"/>
      <c r="AL60" s="77"/>
      <c r="AM60" s="77"/>
      <c r="AN60" s="77"/>
      <c r="AO60" s="77"/>
      <c r="AP60" s="77"/>
      <c r="AQ60" s="35"/>
      <c r="AR60" s="35"/>
      <c r="AS60" s="35"/>
      <c r="AT60" s="35"/>
      <c r="AU60" s="75" t="s">
        <v>235</v>
      </c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</row>
    <row r="61" spans="1:79" ht="12.75" customHeight="1" x14ac:dyDescent="0.2">
      <c r="AB61" s="36"/>
      <c r="AC61" s="36"/>
      <c r="AD61" s="36"/>
      <c r="AE61" s="36"/>
      <c r="AF61" s="36"/>
      <c r="AG61" s="36"/>
      <c r="AH61" s="70" t="s">
        <v>2</v>
      </c>
      <c r="AI61" s="70"/>
      <c r="AJ61" s="70"/>
      <c r="AK61" s="70"/>
      <c r="AL61" s="70"/>
      <c r="AM61" s="70"/>
      <c r="AN61" s="70"/>
      <c r="AO61" s="70"/>
      <c r="AP61" s="70"/>
      <c r="AQ61" s="36"/>
      <c r="AR61" s="36"/>
      <c r="AS61" s="36"/>
      <c r="AT61" s="36"/>
      <c r="AU61" s="70" t="s">
        <v>205</v>
      </c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</row>
    <row r="62" spans="1:79" ht="15" x14ac:dyDescent="0.2">
      <c r="AB62" s="36"/>
      <c r="AC62" s="36"/>
      <c r="AD62" s="36"/>
      <c r="AE62" s="36"/>
      <c r="AF62" s="36"/>
      <c r="AG62" s="36"/>
      <c r="AH62" s="37"/>
      <c r="AI62" s="37"/>
      <c r="AJ62" s="37"/>
      <c r="AK62" s="37"/>
      <c r="AL62" s="37"/>
      <c r="AM62" s="37"/>
      <c r="AN62" s="37"/>
      <c r="AO62" s="37"/>
      <c r="AP62" s="37"/>
      <c r="AQ62" s="36"/>
      <c r="AR62" s="36"/>
      <c r="AS62" s="36"/>
      <c r="AT62" s="36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</row>
    <row r="63" spans="1:79" ht="18" customHeight="1" x14ac:dyDescent="0.2">
      <c r="A63" s="73" t="s">
        <v>234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36"/>
      <c r="AC63" s="36"/>
      <c r="AD63" s="36"/>
      <c r="AE63" s="36"/>
      <c r="AF63" s="36"/>
      <c r="AG63" s="36"/>
      <c r="AH63" s="78"/>
      <c r="AI63" s="78"/>
      <c r="AJ63" s="78"/>
      <c r="AK63" s="78"/>
      <c r="AL63" s="78"/>
      <c r="AM63" s="78"/>
      <c r="AN63" s="78"/>
      <c r="AO63" s="78"/>
      <c r="AP63" s="78"/>
      <c r="AQ63" s="36"/>
      <c r="AR63" s="36"/>
      <c r="AS63" s="36"/>
      <c r="AT63" s="36"/>
      <c r="AU63" s="71" t="s">
        <v>236</v>
      </c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</row>
    <row r="64" spans="1:79" ht="12" customHeight="1" x14ac:dyDescent="0.2">
      <c r="AB64" s="36"/>
      <c r="AC64" s="36"/>
      <c r="AD64" s="36"/>
      <c r="AE64" s="36"/>
      <c r="AF64" s="36"/>
      <c r="AG64" s="36"/>
      <c r="AH64" s="70" t="s">
        <v>2</v>
      </c>
      <c r="AI64" s="70"/>
      <c r="AJ64" s="70"/>
      <c r="AK64" s="70"/>
      <c r="AL64" s="70"/>
      <c r="AM64" s="70"/>
      <c r="AN64" s="70"/>
      <c r="AO64" s="70"/>
      <c r="AP64" s="70"/>
      <c r="AQ64" s="36"/>
      <c r="AR64" s="36"/>
      <c r="AS64" s="36"/>
      <c r="AT64" s="36"/>
      <c r="AU64" s="70" t="s">
        <v>205</v>
      </c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</row>
  </sheetData>
  <mergeCells count="184">
    <mergeCell ref="B7:AF7"/>
    <mergeCell ref="AH7:BA7"/>
    <mergeCell ref="BC7:BJ7"/>
    <mergeCell ref="A8:AF8"/>
    <mergeCell ref="AH8:BA8"/>
    <mergeCell ref="BC8:BJ8"/>
    <mergeCell ref="AX1:BL1"/>
    <mergeCell ref="A2:BL2"/>
    <mergeCell ref="B4:AF4"/>
    <mergeCell ref="AH4:AR4"/>
    <mergeCell ref="AT4:BA4"/>
    <mergeCell ref="A5:AF5"/>
    <mergeCell ref="AH5:AR5"/>
    <mergeCell ref="AT5:BA5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A14:BL14"/>
    <mergeCell ref="A15:BL15"/>
    <mergeCell ref="A16:BL16"/>
    <mergeCell ref="A17:F18"/>
    <mergeCell ref="G17:S18"/>
    <mergeCell ref="T17:Z18"/>
    <mergeCell ref="AA17:AG18"/>
    <mergeCell ref="AH17:AU17"/>
    <mergeCell ref="AV17:BL18"/>
    <mergeCell ref="AH18:AN18"/>
    <mergeCell ref="AV19:BL19"/>
    <mergeCell ref="A20:F20"/>
    <mergeCell ref="G20:S20"/>
    <mergeCell ref="T20:Z20"/>
    <mergeCell ref="AA20:AG20"/>
    <mergeCell ref="AH20:AN20"/>
    <mergeCell ref="AO20:AU20"/>
    <mergeCell ref="AV20:BL20"/>
    <mergeCell ref="AO18:AU18"/>
    <mergeCell ref="A19:F19"/>
    <mergeCell ref="G19:S19"/>
    <mergeCell ref="T19:Z19"/>
    <mergeCell ref="AA19:AG19"/>
    <mergeCell ref="AH19:AN19"/>
    <mergeCell ref="AO19:AU19"/>
    <mergeCell ref="A26:F26"/>
    <mergeCell ref="G26:AE26"/>
    <mergeCell ref="AF26:AJ26"/>
    <mergeCell ref="AK26:AT26"/>
    <mergeCell ref="AU26:BD26"/>
    <mergeCell ref="BE26:BN26"/>
    <mergeCell ref="AV21:BL21"/>
    <mergeCell ref="A23:BL23"/>
    <mergeCell ref="A25:F25"/>
    <mergeCell ref="G25:AE25"/>
    <mergeCell ref="AF25:AJ25"/>
    <mergeCell ref="AK25:AT25"/>
    <mergeCell ref="AU25:BD25"/>
    <mergeCell ref="BE25:BN25"/>
    <mergeCell ref="A21:F21"/>
    <mergeCell ref="G21:S21"/>
    <mergeCell ref="T21:Z21"/>
    <mergeCell ref="AA21:AG21"/>
    <mergeCell ref="AH21:AN21"/>
    <mergeCell ref="AO21:AU21"/>
    <mergeCell ref="A28:F28"/>
    <mergeCell ref="G28:AE28"/>
    <mergeCell ref="AF28:AJ28"/>
    <mergeCell ref="AK28:AT28"/>
    <mergeCell ref="AU28:BD28"/>
    <mergeCell ref="BE28:BN28"/>
    <mergeCell ref="A27:F27"/>
    <mergeCell ref="G27:AE27"/>
    <mergeCell ref="AF27:AJ27"/>
    <mergeCell ref="AK27:AT27"/>
    <mergeCell ref="AU27:BD27"/>
    <mergeCell ref="BE27:BN27"/>
    <mergeCell ref="A34:F34"/>
    <mergeCell ref="G34:S34"/>
    <mergeCell ref="T34:Z34"/>
    <mergeCell ref="AA34:AG34"/>
    <mergeCell ref="AH34:AN34"/>
    <mergeCell ref="AO34:AU34"/>
    <mergeCell ref="A30:BQ30"/>
    <mergeCell ref="A31:BL31"/>
    <mergeCell ref="A33:F33"/>
    <mergeCell ref="G33:S33"/>
    <mergeCell ref="T33:Z33"/>
    <mergeCell ref="AA33:AG33"/>
    <mergeCell ref="AH33:AN33"/>
    <mergeCell ref="AO33:AU33"/>
    <mergeCell ref="A37:BL37"/>
    <mergeCell ref="A38:BQ38"/>
    <mergeCell ref="A39:F40"/>
    <mergeCell ref="G39:S40"/>
    <mergeCell ref="T39:AG39"/>
    <mergeCell ref="AH39:AU39"/>
    <mergeCell ref="AV39:BQ40"/>
    <mergeCell ref="T40:Z40"/>
    <mergeCell ref="AA40:AG40"/>
    <mergeCell ref="AH40:AN40"/>
    <mergeCell ref="AV41:BQ41"/>
    <mergeCell ref="A42:F42"/>
    <mergeCell ref="G42:S42"/>
    <mergeCell ref="T42:Z42"/>
    <mergeCell ref="AA42:AG42"/>
    <mergeCell ref="AH42:AN42"/>
    <mergeCell ref="AO42:AU42"/>
    <mergeCell ref="AV42:BQ42"/>
    <mergeCell ref="AO40:AU40"/>
    <mergeCell ref="A41:F41"/>
    <mergeCell ref="G41:S41"/>
    <mergeCell ref="T41:Z41"/>
    <mergeCell ref="AA41:AG41"/>
    <mergeCell ref="AH41:AN41"/>
    <mergeCell ref="AO41:AU41"/>
    <mergeCell ref="AV43:BQ43"/>
    <mergeCell ref="A45:BL45"/>
    <mergeCell ref="A47:F47"/>
    <mergeCell ref="G47:AE47"/>
    <mergeCell ref="AF47:AJ47"/>
    <mergeCell ref="AK47:AT47"/>
    <mergeCell ref="AU47:AZ47"/>
    <mergeCell ref="BA47:BF47"/>
    <mergeCell ref="BG47:BL47"/>
    <mergeCell ref="BM47:BR47"/>
    <mergeCell ref="A43:F43"/>
    <mergeCell ref="G43:S43"/>
    <mergeCell ref="T43:Z43"/>
    <mergeCell ref="AA43:AG43"/>
    <mergeCell ref="AH43:AN43"/>
    <mergeCell ref="AO43:AU43"/>
    <mergeCell ref="BG48:BL48"/>
    <mergeCell ref="BM48:BR48"/>
    <mergeCell ref="A49:F49"/>
    <mergeCell ref="G49:AE49"/>
    <mergeCell ref="AF49:AJ49"/>
    <mergeCell ref="AK49:AT49"/>
    <mergeCell ref="AU49:AZ49"/>
    <mergeCell ref="BA49:BF49"/>
    <mergeCell ref="BG49:BL49"/>
    <mergeCell ref="BM49:BR49"/>
    <mergeCell ref="A48:F48"/>
    <mergeCell ref="G48:AE48"/>
    <mergeCell ref="AF48:AJ48"/>
    <mergeCell ref="AK48:AT48"/>
    <mergeCell ref="AU48:AZ48"/>
    <mergeCell ref="BA48:BF48"/>
    <mergeCell ref="A56:F56"/>
    <mergeCell ref="G56:S56"/>
    <mergeCell ref="T56:Z56"/>
    <mergeCell ref="AA56:AG56"/>
    <mergeCell ref="AH56:AN56"/>
    <mergeCell ref="AO56:AU56"/>
    <mergeCell ref="BG50:BL50"/>
    <mergeCell ref="BM50:BR50"/>
    <mergeCell ref="A52:BL52"/>
    <mergeCell ref="A53:BL53"/>
    <mergeCell ref="A55:F55"/>
    <mergeCell ref="G55:S55"/>
    <mergeCell ref="T55:Z55"/>
    <mergeCell ref="AA55:AG55"/>
    <mergeCell ref="AH55:AN55"/>
    <mergeCell ref="AO55:AU55"/>
    <mergeCell ref="A50:F50"/>
    <mergeCell ref="G50:AE50"/>
    <mergeCell ref="AF50:AJ50"/>
    <mergeCell ref="AK50:AT50"/>
    <mergeCell ref="AU50:AZ50"/>
    <mergeCell ref="BA50:BF50"/>
    <mergeCell ref="AH64:AP64"/>
    <mergeCell ref="AU64:BF64"/>
    <mergeCell ref="A60:AA60"/>
    <mergeCell ref="AH60:AP60"/>
    <mergeCell ref="AU60:BF60"/>
    <mergeCell ref="AH61:AP61"/>
    <mergeCell ref="AU61:BF61"/>
    <mergeCell ref="A63:AA63"/>
    <mergeCell ref="AH63:AP63"/>
    <mergeCell ref="AU63:BF63"/>
  </mergeCells>
  <conditionalFormatting sqref="A50:F50 A28:F28">
    <cfRule type="cellIs" dxfId="0" priority="1" stopIfTrue="1" operator="equal">
      <formula>0</formula>
    </cfRule>
  </conditionalFormatting>
  <pageMargins left="0.32" right="0.33" top="0.39370078740157499" bottom="0.39370078740157499" header="0" footer="0"/>
  <pageSetup paperSize="9" scale="71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Додаток1 </vt:lpstr>
      <vt:lpstr>Додаток2 КПК1610160</vt:lpstr>
      <vt:lpstr>Додаток3 КПК1610160</vt:lpstr>
      <vt:lpstr>'Додаток1 '!Область_печати</vt:lpstr>
      <vt:lpstr>'Додаток2 КПК1610160'!Область_печати</vt:lpstr>
      <vt:lpstr>'Додаток3 КПК1610160'!Область_печати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</cp:lastModifiedBy>
  <cp:lastPrinted>2019-10-19T14:09:19Z</cp:lastPrinted>
  <dcterms:created xsi:type="dcterms:W3CDTF">2016-07-02T12:27:50Z</dcterms:created>
  <dcterms:modified xsi:type="dcterms:W3CDTF">2024-11-13T07:19:08Z</dcterms:modified>
</cp:coreProperties>
</file>