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БЮДЖЕТ на 2025 рік\ВИКОНАННЯ БЮДЖЕТУ 2025 рік\"/>
    </mc:Choice>
  </mc:AlternateContent>
  <xr:revisionPtr revIDLastSave="0" documentId="13_ncr:1_{44948D38-010F-4986-8CEA-4219A0009540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доходи" sheetId="1" r:id="rId1"/>
    <sheet name="видатки" sheetId="2" r:id="rId2"/>
  </sheets>
  <definedNames>
    <definedName name="_xlnm.Print_Titles" localSheetId="0">доходи!$A:$B</definedName>
  </definedNames>
  <calcPr calcId="191029"/>
</workbook>
</file>

<file path=xl/calcChain.xml><?xml version="1.0" encoding="utf-8"?>
<calcChain xmlns="http://schemas.openxmlformats.org/spreadsheetml/2006/main">
  <c r="F19" i="1" l="1"/>
  <c r="H47" i="2" l="1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</calcChain>
</file>

<file path=xl/sharedStrings.xml><?xml version="1.0" encoding="utf-8"?>
<sst xmlns="http://schemas.openxmlformats.org/spreadsheetml/2006/main" count="131" uniqueCount="124">
  <si>
    <t>ККД</t>
  </si>
  <si>
    <t>Доходи</t>
  </si>
  <si>
    <t>Факт</t>
  </si>
  <si>
    <t>% викон.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</si>
  <si>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</si>
  <si>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</si>
  <si>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</si>
  <si>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прибуток підприємств</t>
  </si>
  <si>
    <t>Рентна плата та плата за використання інших природних ресурсів</t>
  </si>
  <si>
    <t>Внутрішні податки на товари та послуги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</si>
  <si>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</si>
  <si>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</si>
  <si>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Єдиний податок</t>
  </si>
  <si>
    <t>Неподаткові надходження</t>
  </si>
  <si>
    <t>Офіційні трансферти</t>
  </si>
  <si>
    <t>Базова дотація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</si>
  <si>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</t>
  </si>
  <si>
    <t>Субвенція з державного бюджету місцевим бюджетам на забезпечення харчуванням учнів закладів загальної середньої освіти</t>
  </si>
  <si>
    <t>Субвенція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 морських, військово-спор</t>
  </si>
  <si>
    <t>Освітня субвенція з державного бюджету місцевим бюджетам</t>
  </si>
  <si>
    <t>Субвенція з державного бюджету місцевим бюджетам на надання державної підтримки особам з особливими освітніми потребами</t>
  </si>
  <si>
    <t>Субвенція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</si>
  <si>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</si>
  <si>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Субвенція з місцевого бюджету на здійснення переданих видатків у сфері освіти за рахунок коштів освітньої субвенції</t>
  </si>
  <si>
    <t>Інші субвенції з місцевого бюджету</t>
  </si>
  <si>
    <t>Субвенція з місцевого бюджету на реалізацію публічного інвестиційного проекту на облаштування безпечних умов у закладах, що надають загальну середню освіту (протипожежний захист), зокрема військових (військово-морських, військово- спортивних) ліцеях, ліце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</si>
  <si>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</t>
  </si>
  <si>
    <t>0852300000 - Бюджет Широкiвської сiльської територiальної громади</t>
  </si>
  <si>
    <t>тис. грн</t>
  </si>
  <si>
    <t>ІНФОРМАЦІЯ</t>
  </si>
  <si>
    <t>про виконання доходної частини місцевого бюджету</t>
  </si>
  <si>
    <t>загальний фонд</t>
  </si>
  <si>
    <t>за січень-листопад 2025 року</t>
  </si>
  <si>
    <t>Всього без урахування трансфертів</t>
  </si>
  <si>
    <t>ВСЬОГО</t>
  </si>
  <si>
    <t>про виконання видаткової частини місцевого бюджету</t>
  </si>
  <si>
    <t>тис.грн</t>
  </si>
  <si>
    <t>Код</t>
  </si>
  <si>
    <t>Показник</t>
  </si>
  <si>
    <t>План на рік з урахуванням змін</t>
  </si>
  <si>
    <t>План на вказаний період з урахуванням змін</t>
  </si>
  <si>
    <t>Касові видатки за вказаний період</t>
  </si>
  <si>
    <t>Залишки плану на рік відносно касових</t>
  </si>
  <si>
    <t>Залишки плану на період відносно касових</t>
  </si>
  <si>
    <t>% виконання на вказаний період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</si>
  <si>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</si>
  <si>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</si>
  <si>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</si>
  <si>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</si>
  <si>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</si>
  <si>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</si>
  <si>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0111183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</si>
  <si>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</si>
  <si>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0111184</t>
  </si>
  <si>
    <t>Виконання заходів, спрямованих на реалізацію публічного інвестиційного проекту на забезпечення якісної, сучасної та доступної загальної середньої освіти `Нова українська школа` за рахунок субвенції з державного бюджету місцевим бюджетам</t>
  </si>
  <si>
    <t>0111200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</si>
  <si>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</si>
  <si>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</si>
  <si>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</si>
  <si>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0111702</t>
  </si>
  <si>
    <t>Забезпечення харчуванням учнів закладів загальної середньої освіти за рахунок субвенції з державного бюджету місцевим бюджетам</t>
  </si>
  <si>
    <t>0112010</t>
  </si>
  <si>
    <t>Багатопрофільна стаціонарна медична допомога населенню</t>
  </si>
  <si>
    <t>0112151</t>
  </si>
  <si>
    <t>Забезпечення діяльності інших закладів у сфері охорони здоров`я</t>
  </si>
  <si>
    <t>0113031</t>
  </si>
  <si>
    <t>Надання інших пільг окремим категоріям громадян відповідно до законодавства</t>
  </si>
  <si>
    <t>0113032</t>
  </si>
  <si>
    <t>Надання пільг окремим категоріям громадян з оплати послуг зв`язку</t>
  </si>
  <si>
    <t>0113090</t>
  </si>
  <si>
    <t>Видатки на поховання учасників бойових дій та осіб з інвалідністю внаслідок війни</t>
  </si>
  <si>
    <t>0113112</t>
  </si>
  <si>
    <t>Заходи державної політики з питань дітей та їх соціального захисту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</si>
  <si>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</si>
  <si>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</si>
  <si>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</si>
  <si>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</si>
  <si>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0113193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</si>
  <si>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</si>
  <si>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0113230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</si>
  <si>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</si>
  <si>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</si>
  <si>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</si>
  <si>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0113242</t>
  </si>
  <si>
    <t>Інші заходи у сфері соціального захисту і соціального забезпечення</t>
  </si>
  <si>
    <t>0114081</t>
  </si>
  <si>
    <t>Забезпечення діяльності інших закладів в галузі культури і мистецтва</t>
  </si>
  <si>
    <t>0116013</t>
  </si>
  <si>
    <t>Забезпечення діяльності водопровідно-каналізаційного господарства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</si>
  <si>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</si>
  <si>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</si>
  <si>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0116030</t>
  </si>
  <si>
    <t>Організація благоустрою населених пунктів</t>
  </si>
  <si>
    <t>0117130</t>
  </si>
  <si>
    <t>Здійснення заходів із землеустрою</t>
  </si>
  <si>
    <t>0117680</t>
  </si>
  <si>
    <t>Членські внески до асоціацій органів місцевого самоврядування</t>
  </si>
  <si>
    <t>0117693</t>
  </si>
  <si>
    <t>Інші заходи, пов`язані з економічною діяльністю</t>
  </si>
  <si>
    <t>0118110</t>
  </si>
  <si>
    <t>Заходи із запобігання та ліквідації надзвичайних ситуацій та наслідків стихійного лиха</t>
  </si>
  <si>
    <t>0118130</t>
  </si>
  <si>
    <t>Забезпечення діяльності місцевої та добровільної пожежної охорони</t>
  </si>
  <si>
    <t>0118240</t>
  </si>
  <si>
    <t>Заходи та роботи з територіальної оборони</t>
  </si>
  <si>
    <t>0118420</t>
  </si>
  <si>
    <t>Інші заходи у сфері медіа (засобів масової інформації)</t>
  </si>
  <si>
    <t>0119150</t>
  </si>
  <si>
    <t>Інші дотації з місцевого бюджету</t>
  </si>
  <si>
    <t>0119770</t>
  </si>
  <si>
    <t>0119800</t>
  </si>
  <si>
    <t>Субвенція з місцевого бюджету державному бюджету на виконання програм соціально-економічного розвитку регіонів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</si>
  <si>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</si>
  <si>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</si>
  <si>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1610160</t>
  </si>
  <si>
    <t>1616030</t>
  </si>
  <si>
    <t>3710160</t>
  </si>
  <si>
    <t>3718710</t>
  </si>
  <si>
    <t>Резервний фонд місцевого бюджету</t>
  </si>
  <si>
    <t xml:space="preserve"> </t>
  </si>
  <si>
    <t xml:space="preserve">Усього </t>
  </si>
  <si>
    <t>Уточн.річн. план</t>
  </si>
  <si>
    <t xml:space="preserve"> Уточ.пл. за період</t>
  </si>
  <si>
    <t>+/-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</si>
</sst>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0" x14ac:knownFonts="1"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Arial"/>
      <charset val="204"/>
    </font>
    <font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4" fillId="0" borderId="0" xfId="1" applyFont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center"/>
    </xf>
    <xf numFmtId="0" fontId="5" fillId="0" borderId="0" xfId="1" applyFont="1" applyAlignment="1">
      <alignment wrapText="1"/>
    </xf>
    <xf numFmtId="4" fontId="5" fillId="0" borderId="0" xfId="1" applyNumberFormat="1" applyFont="1" applyAlignment="1">
      <alignment vertical="center"/>
    </xf>
    <xf numFmtId="0" fontId="7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/>
    <xf numFmtId="0" fontId="6" fillId="0" borderId="2" xfId="0" applyFont="1" applyBorder="1" applyAlignment="1">
      <alignment wrapText="1"/>
    </xf>
    <xf numFmtId="164" fontId="6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wrapText="1"/>
    </xf>
    <xf numFmtId="164" fontId="7" fillId="0" borderId="2" xfId="0" applyNumberFormat="1" applyFont="1" applyBorder="1"/>
    <xf numFmtId="2" fontId="6" fillId="0" borderId="2" xfId="0" applyNumberFormat="1" applyFont="1" applyBorder="1"/>
    <xf numFmtId="164" fontId="6" fillId="2" borderId="2" xfId="0" applyNumberFormat="1" applyFont="1" applyFill="1" applyBorder="1"/>
    <xf numFmtId="0" fontId="9" fillId="0" borderId="0" xfId="1" applyFont="1" applyAlignment="1">
      <alignment horizontal="center"/>
    </xf>
    <xf numFmtId="0" fontId="9" fillId="0" borderId="0" xfId="1" applyFont="1" applyAlignment="1">
      <alignment wrapText="1"/>
    </xf>
    <xf numFmtId="0" fontId="9" fillId="0" borderId="0" xfId="1" applyFont="1"/>
    <xf numFmtId="0" fontId="9" fillId="0" borderId="0" xfId="1" applyFont="1" applyAlignment="1">
      <alignment horizontal="right"/>
    </xf>
    <xf numFmtId="0" fontId="8" fillId="0" borderId="2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vertical="center" wrapText="1"/>
    </xf>
    <xf numFmtId="4" fontId="9" fillId="0" borderId="2" xfId="1" applyNumberFormat="1" applyFont="1" applyBorder="1" applyAlignment="1">
      <alignment vertical="center"/>
    </xf>
    <xf numFmtId="4" fontId="8" fillId="2" borderId="2" xfId="1" applyNumberFormat="1" applyFont="1" applyFill="1" applyBorder="1" applyAlignment="1">
      <alignment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 wrapText="1"/>
    </xf>
    <xf numFmtId="4" fontId="9" fillId="0" borderId="0" xfId="1" applyNumberFormat="1" applyFont="1" applyAlignment="1">
      <alignment vertical="center"/>
    </xf>
    <xf numFmtId="4" fontId="8" fillId="0" borderId="2" xfId="1" applyNumberFormat="1" applyFont="1" applyBorder="1" applyAlignment="1">
      <alignment vertical="center"/>
    </xf>
    <xf numFmtId="4" fontId="6" fillId="0" borderId="2" xfId="0" applyNumberFormat="1" applyFont="1" applyBorder="1"/>
    <xf numFmtId="4" fontId="7" fillId="0" borderId="2" xfId="0" applyNumberFormat="1" applyFont="1" applyBorder="1"/>
    <xf numFmtId="4" fontId="6" fillId="2" borderId="2" xfId="0" applyNumberFormat="1" applyFont="1" applyFill="1" applyBorder="1"/>
    <xf numFmtId="0" fontId="6" fillId="0" borderId="0" xfId="0" applyFont="1" applyAlignment="1">
      <alignment horizontal="center"/>
    </xf>
    <xf numFmtId="2" fontId="6" fillId="2" borderId="1" xfId="0" applyNumberFormat="1" applyFont="1" applyFill="1" applyBorder="1" applyAlignment="1">
      <alignment horizontal="left"/>
    </xf>
    <xf numFmtId="2" fontId="6" fillId="2" borderId="4" xfId="0" applyNumberFormat="1" applyFont="1" applyFill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quotePrefix="1" applyFont="1" applyBorder="1" applyAlignment="1">
      <alignment horizontal="center"/>
    </xf>
    <xf numFmtId="0" fontId="6" fillId="0" borderId="4" xfId="0" quotePrefix="1" applyFont="1" applyBorder="1" applyAlignment="1">
      <alignment horizontal="center"/>
    </xf>
    <xf numFmtId="0" fontId="8" fillId="0" borderId="0" xfId="1" applyFont="1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51"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opLeftCell="A31" workbookViewId="0">
      <selection activeCell="N20" sqref="N20"/>
    </sheetView>
  </sheetViews>
  <sheetFormatPr defaultRowHeight="12.75" x14ac:dyDescent="0.2"/>
  <cols>
    <col min="1" max="1" width="10.140625" bestFit="1" customWidth="1"/>
    <col min="2" max="2" width="47.140625" customWidth="1"/>
    <col min="3" max="7" width="14.7109375" customWidth="1"/>
  </cols>
  <sheetData>
    <row r="1" spans="1:12" x14ac:dyDescent="0.2">
      <c r="A1" s="5"/>
      <c r="B1" s="5"/>
      <c r="C1" s="5"/>
      <c r="D1" s="5"/>
      <c r="E1" s="5"/>
      <c r="F1" s="5"/>
      <c r="G1" s="5"/>
    </row>
    <row r="2" spans="1:12" ht="14.25" x14ac:dyDescent="0.2">
      <c r="A2" s="38" t="s">
        <v>29</v>
      </c>
      <c r="B2" s="38"/>
      <c r="C2" s="38"/>
      <c r="D2" s="38"/>
      <c r="E2" s="38"/>
      <c r="F2" s="38"/>
      <c r="G2" s="38"/>
      <c r="H2" s="1"/>
      <c r="I2" s="1"/>
      <c r="J2" s="1"/>
      <c r="K2" s="1"/>
      <c r="L2" s="1"/>
    </row>
    <row r="3" spans="1:12" ht="14.25" x14ac:dyDescent="0.2">
      <c r="A3" s="38" t="s">
        <v>30</v>
      </c>
      <c r="B3" s="38"/>
      <c r="C3" s="38"/>
      <c r="D3" s="38"/>
      <c r="E3" s="38"/>
      <c r="F3" s="38"/>
      <c r="G3" s="38"/>
      <c r="H3" s="4"/>
      <c r="I3" s="4"/>
      <c r="J3" s="4"/>
      <c r="K3" s="4"/>
      <c r="L3" s="4"/>
    </row>
    <row r="4" spans="1:12" ht="14.25" x14ac:dyDescent="0.2">
      <c r="A4" s="38" t="s">
        <v>31</v>
      </c>
      <c r="B4" s="38"/>
      <c r="C4" s="38"/>
      <c r="D4" s="38"/>
      <c r="E4" s="38"/>
      <c r="F4" s="38"/>
      <c r="G4" s="38"/>
      <c r="H4" s="1"/>
      <c r="I4" s="1"/>
      <c r="J4" s="1"/>
      <c r="K4" s="1"/>
      <c r="L4" s="1"/>
    </row>
    <row r="5" spans="1:12" ht="14.25" x14ac:dyDescent="0.2">
      <c r="A5" s="38" t="s">
        <v>32</v>
      </c>
      <c r="B5" s="38"/>
      <c r="C5" s="38"/>
      <c r="D5" s="38"/>
      <c r="E5" s="38"/>
      <c r="F5" s="38"/>
      <c r="G5" s="38"/>
      <c r="H5" s="4"/>
      <c r="I5" s="4"/>
      <c r="J5" s="4"/>
      <c r="K5" s="4"/>
      <c r="L5" s="4"/>
    </row>
    <row r="6" spans="1:12" ht="15" x14ac:dyDescent="0.25">
      <c r="A6" s="11"/>
      <c r="B6" s="11"/>
      <c r="C6" s="11"/>
      <c r="D6" s="11"/>
      <c r="E6" s="11"/>
      <c r="F6" s="11"/>
      <c r="G6" s="11" t="s">
        <v>28</v>
      </c>
    </row>
    <row r="7" spans="1:12" s="2" customFormat="1" ht="14.25" x14ac:dyDescent="0.2">
      <c r="A7" s="41" t="s">
        <v>0</v>
      </c>
      <c r="B7" s="41" t="s">
        <v>1</v>
      </c>
      <c r="C7" s="43" t="s">
        <v>27</v>
      </c>
      <c r="D7" s="44"/>
      <c r="E7" s="44"/>
      <c r="F7" s="44"/>
      <c r="G7" s="45"/>
    </row>
    <row r="8" spans="1:12" s="3" customFormat="1" ht="46.5" customHeight="1" x14ac:dyDescent="0.2">
      <c r="A8" s="42"/>
      <c r="B8" s="42"/>
      <c r="C8" s="12" t="s">
        <v>121</v>
      </c>
      <c r="D8" s="12" t="s">
        <v>122</v>
      </c>
      <c r="E8" s="13" t="s">
        <v>2</v>
      </c>
      <c r="F8" s="13" t="s">
        <v>123</v>
      </c>
      <c r="G8" s="13" t="s">
        <v>3</v>
      </c>
    </row>
    <row r="9" spans="1:12" ht="14.25" x14ac:dyDescent="0.2">
      <c r="A9" s="14">
        <v>10000000</v>
      </c>
      <c r="B9" s="15" t="s">
        <v>4</v>
      </c>
      <c r="C9" s="35">
        <v>158162.4</v>
      </c>
      <c r="D9" s="35">
        <v>149805.48499999999</v>
      </c>
      <c r="E9" s="35">
        <v>155138.01586999997</v>
      </c>
      <c r="F9" s="35">
        <v>5332.5308699999878</v>
      </c>
      <c r="G9" s="16">
        <v>103.55963659808585</v>
      </c>
    </row>
    <row r="10" spans="1:12" ht="30" x14ac:dyDescent="0.25">
      <c r="A10" s="17">
        <v>11000000</v>
      </c>
      <c r="B10" s="18" t="s">
        <v>5</v>
      </c>
      <c r="C10" s="36">
        <v>67656.3</v>
      </c>
      <c r="D10" s="36">
        <v>62381.413999999997</v>
      </c>
      <c r="E10" s="36">
        <v>65350.249859999989</v>
      </c>
      <c r="F10" s="36">
        <v>2968.835859999992</v>
      </c>
      <c r="G10" s="19">
        <v>104.75916730582604</v>
      </c>
    </row>
    <row r="11" spans="1:12" ht="15" x14ac:dyDescent="0.25">
      <c r="A11" s="17">
        <v>11010000</v>
      </c>
      <c r="B11" s="18" t="s">
        <v>6</v>
      </c>
      <c r="C11" s="36">
        <v>67442.600000000006</v>
      </c>
      <c r="D11" s="36">
        <v>62167.714</v>
      </c>
      <c r="E11" s="36">
        <v>65073.405239999993</v>
      </c>
      <c r="F11" s="36">
        <v>2905.6912399999928</v>
      </c>
      <c r="G11" s="19">
        <v>104.67395542322819</v>
      </c>
    </row>
    <row r="12" spans="1:12" ht="15" x14ac:dyDescent="0.25">
      <c r="A12" s="17">
        <v>11020000</v>
      </c>
      <c r="B12" s="18" t="s">
        <v>7</v>
      </c>
      <c r="C12" s="36">
        <v>213.7</v>
      </c>
      <c r="D12" s="36">
        <v>213.7</v>
      </c>
      <c r="E12" s="36">
        <v>276.84462000000002</v>
      </c>
      <c r="F12" s="36">
        <v>63.144620000000032</v>
      </c>
      <c r="G12" s="19">
        <v>129.54825456247076</v>
      </c>
    </row>
    <row r="13" spans="1:12" ht="30" x14ac:dyDescent="0.25">
      <c r="A13" s="17">
        <v>13000000</v>
      </c>
      <c r="B13" s="18" t="s">
        <v>8</v>
      </c>
      <c r="C13" s="36">
        <v>3</v>
      </c>
      <c r="D13" s="36">
        <v>2.5209999999999999</v>
      </c>
      <c r="E13" s="36">
        <v>1.4577599999999999</v>
      </c>
      <c r="F13" s="36">
        <v>-1.06324</v>
      </c>
      <c r="G13" s="19">
        <v>57.824672748909165</v>
      </c>
    </row>
    <row r="14" spans="1:12" ht="17.25" customHeight="1" x14ac:dyDescent="0.25">
      <c r="A14" s="17">
        <v>14000000</v>
      </c>
      <c r="B14" s="18" t="s">
        <v>9</v>
      </c>
      <c r="C14" s="36">
        <v>30222.400000000001</v>
      </c>
      <c r="D14" s="36">
        <v>28608</v>
      </c>
      <c r="E14" s="36">
        <v>29950.794469999997</v>
      </c>
      <c r="F14" s="36">
        <v>1342.7944699999971</v>
      </c>
      <c r="G14" s="19">
        <v>104.69377261605143</v>
      </c>
    </row>
    <row r="15" spans="1:12" ht="42.75" x14ac:dyDescent="0.2">
      <c r="A15" s="14">
        <v>18000000</v>
      </c>
      <c r="B15" s="15" t="s">
        <v>10</v>
      </c>
      <c r="C15" s="35">
        <v>60280.7</v>
      </c>
      <c r="D15" s="35">
        <v>58813.55</v>
      </c>
      <c r="E15" s="35">
        <v>59835.513780000001</v>
      </c>
      <c r="F15" s="35">
        <v>1021.9637799999982</v>
      </c>
      <c r="G15" s="16">
        <v>101.737633215475</v>
      </c>
    </row>
    <row r="16" spans="1:12" ht="15" x14ac:dyDescent="0.25">
      <c r="A16" s="17">
        <v>18010000</v>
      </c>
      <c r="B16" s="18" t="s">
        <v>11</v>
      </c>
      <c r="C16" s="36">
        <v>20274.8</v>
      </c>
      <c r="D16" s="36">
        <v>19648.650000000001</v>
      </c>
      <c r="E16" s="36">
        <v>20761.995950000004</v>
      </c>
      <c r="F16" s="36">
        <v>1113.3459500000026</v>
      </c>
      <c r="G16" s="19">
        <v>105.66627198306247</v>
      </c>
    </row>
    <row r="17" spans="1:7" ht="15" x14ac:dyDescent="0.25">
      <c r="A17" s="17">
        <v>18050000</v>
      </c>
      <c r="B17" s="18" t="s">
        <v>12</v>
      </c>
      <c r="C17" s="36">
        <v>40005.9</v>
      </c>
      <c r="D17" s="36">
        <v>39164.9</v>
      </c>
      <c r="E17" s="36">
        <v>39073.517829999997</v>
      </c>
      <c r="F17" s="36">
        <v>-91.382170000004407</v>
      </c>
      <c r="G17" s="19">
        <v>99.766673296752955</v>
      </c>
    </row>
    <row r="18" spans="1:7" ht="14.25" x14ac:dyDescent="0.2">
      <c r="A18" s="14">
        <v>20000000</v>
      </c>
      <c r="B18" s="15" t="s">
        <v>13</v>
      </c>
      <c r="C18" s="35">
        <v>5601.8</v>
      </c>
      <c r="D18" s="35">
        <v>5398.98</v>
      </c>
      <c r="E18" s="35">
        <v>5418.0935899999995</v>
      </c>
      <c r="F18" s="35">
        <v>19.113589999999931</v>
      </c>
      <c r="G18" s="16">
        <v>100.35402224123816</v>
      </c>
    </row>
    <row r="19" spans="1:7" ht="14.25" x14ac:dyDescent="0.2">
      <c r="A19" s="14">
        <v>40000000</v>
      </c>
      <c r="B19" s="15" t="s">
        <v>14</v>
      </c>
      <c r="C19" s="35">
        <v>108995.86</v>
      </c>
      <c r="D19" s="35">
        <v>100355.46</v>
      </c>
      <c r="E19" s="35">
        <v>100093.88500000001</v>
      </c>
      <c r="F19" s="35">
        <f>E19-D19</f>
        <v>-261.57499999999709</v>
      </c>
      <c r="G19" s="20">
        <v>99.74</v>
      </c>
    </row>
    <row r="20" spans="1:7" ht="15" x14ac:dyDescent="0.25">
      <c r="A20" s="17">
        <v>41020100</v>
      </c>
      <c r="B20" s="18" t="s">
        <v>15</v>
      </c>
      <c r="C20" s="36">
        <v>17634.2</v>
      </c>
      <c r="D20" s="36">
        <v>16164.5</v>
      </c>
      <c r="E20" s="36">
        <v>16164.5</v>
      </c>
      <c r="F20" s="36">
        <v>0</v>
      </c>
      <c r="G20" s="19">
        <v>100</v>
      </c>
    </row>
    <row r="21" spans="1:7" ht="90.75" customHeight="1" x14ac:dyDescent="0.25">
      <c r="A21" s="17">
        <v>41021400</v>
      </c>
      <c r="B21" s="18" t="s">
        <v>16</v>
      </c>
      <c r="C21" s="36">
        <v>19759.7</v>
      </c>
      <c r="D21" s="36">
        <v>17656.900000000001</v>
      </c>
      <c r="E21" s="36">
        <v>17656.900000000001</v>
      </c>
      <c r="F21" s="36">
        <v>0</v>
      </c>
      <c r="G21" s="19">
        <v>100</v>
      </c>
    </row>
    <row r="22" spans="1:7" ht="45" x14ac:dyDescent="0.25">
      <c r="A22" s="17">
        <v>41031100</v>
      </c>
      <c r="B22" s="18" t="s">
        <v>17</v>
      </c>
      <c r="C22" s="36">
        <v>549.9</v>
      </c>
      <c r="D22" s="36">
        <v>366.6</v>
      </c>
      <c r="E22" s="36">
        <v>366.6</v>
      </c>
      <c r="F22" s="36">
        <v>0</v>
      </c>
      <c r="G22" s="19">
        <v>100</v>
      </c>
    </row>
    <row r="23" spans="1:7" ht="90" x14ac:dyDescent="0.25">
      <c r="A23" s="17">
        <v>41032800</v>
      </c>
      <c r="B23" s="18" t="s">
        <v>18</v>
      </c>
      <c r="C23" s="36">
        <v>15032.1</v>
      </c>
      <c r="D23" s="36">
        <v>15032.1</v>
      </c>
      <c r="E23" s="36">
        <v>15032.1</v>
      </c>
      <c r="F23" s="36">
        <v>0</v>
      </c>
      <c r="G23" s="19">
        <v>100</v>
      </c>
    </row>
    <row r="24" spans="1:7" ht="30" x14ac:dyDescent="0.25">
      <c r="A24" s="17">
        <v>41033900</v>
      </c>
      <c r="B24" s="18" t="s">
        <v>19</v>
      </c>
      <c r="C24" s="36">
        <v>47438.9</v>
      </c>
      <c r="D24" s="36">
        <v>43491.7</v>
      </c>
      <c r="E24" s="36">
        <v>43491.7</v>
      </c>
      <c r="F24" s="36">
        <v>0</v>
      </c>
      <c r="G24" s="19">
        <v>100</v>
      </c>
    </row>
    <row r="25" spans="1:7" ht="45" x14ac:dyDescent="0.25">
      <c r="A25" s="17">
        <v>41035400</v>
      </c>
      <c r="B25" s="18" t="s">
        <v>20</v>
      </c>
      <c r="C25" s="36">
        <v>205.4</v>
      </c>
      <c r="D25" s="36">
        <v>184.5</v>
      </c>
      <c r="E25" s="36">
        <v>184.5</v>
      </c>
      <c r="F25" s="36">
        <v>0</v>
      </c>
      <c r="G25" s="19">
        <v>100</v>
      </c>
    </row>
    <row r="26" spans="1:7" ht="75" x14ac:dyDescent="0.25">
      <c r="A26" s="17">
        <v>41036000</v>
      </c>
      <c r="B26" s="18" t="s">
        <v>21</v>
      </c>
      <c r="C26" s="36">
        <v>253.6</v>
      </c>
      <c r="D26" s="36">
        <v>253.6</v>
      </c>
      <c r="E26" s="36">
        <v>253.6</v>
      </c>
      <c r="F26" s="36">
        <v>0</v>
      </c>
      <c r="G26" s="19">
        <v>100</v>
      </c>
    </row>
    <row r="27" spans="1:7" ht="45" x14ac:dyDescent="0.25">
      <c r="A27" s="17">
        <v>41036300</v>
      </c>
      <c r="B27" s="18" t="s">
        <v>22</v>
      </c>
      <c r="C27" s="36">
        <v>5608.1</v>
      </c>
      <c r="D27" s="36">
        <v>4691.6000000000004</v>
      </c>
      <c r="E27" s="36">
        <v>4691.6000000000004</v>
      </c>
      <c r="F27" s="36">
        <v>0</v>
      </c>
      <c r="G27" s="19">
        <v>100</v>
      </c>
    </row>
    <row r="28" spans="1:7" ht="45" x14ac:dyDescent="0.25">
      <c r="A28" s="17">
        <v>41051000</v>
      </c>
      <c r="B28" s="18" t="s">
        <v>23</v>
      </c>
      <c r="C28" s="36">
        <v>481.83199999999999</v>
      </c>
      <c r="D28" s="36">
        <v>481.83199999999999</v>
      </c>
      <c r="E28" s="36">
        <v>481.83199999999999</v>
      </c>
      <c r="F28" s="36">
        <v>0</v>
      </c>
      <c r="G28" s="19">
        <v>100</v>
      </c>
    </row>
    <row r="29" spans="1:7" ht="15" x14ac:dyDescent="0.25">
      <c r="A29" s="17">
        <v>41053900</v>
      </c>
      <c r="B29" s="18" t="s">
        <v>24</v>
      </c>
      <c r="C29" s="36">
        <v>508</v>
      </c>
      <c r="D29" s="36">
        <v>508</v>
      </c>
      <c r="E29" s="36">
        <v>400</v>
      </c>
      <c r="F29" s="36">
        <v>-108</v>
      </c>
      <c r="G29" s="19">
        <v>78.740157480314963</v>
      </c>
    </row>
    <row r="30" spans="1:7" ht="105" x14ac:dyDescent="0.25">
      <c r="A30" s="17">
        <v>41057900</v>
      </c>
      <c r="B30" s="18" t="s">
        <v>25</v>
      </c>
      <c r="C30" s="36">
        <v>883.3</v>
      </c>
      <c r="D30" s="36">
        <v>883.3</v>
      </c>
      <c r="E30" s="36">
        <v>883.3</v>
      </c>
      <c r="F30" s="36">
        <v>0</v>
      </c>
      <c r="G30" s="19">
        <v>100</v>
      </c>
    </row>
    <row r="31" spans="1:7" ht="90" x14ac:dyDescent="0.25">
      <c r="A31" s="17">
        <v>41059300</v>
      </c>
      <c r="B31" s="18" t="s">
        <v>26</v>
      </c>
      <c r="C31" s="36">
        <v>640.82799999999997</v>
      </c>
      <c r="D31" s="36">
        <v>640.82799999999997</v>
      </c>
      <c r="E31" s="36">
        <v>487.25299999999999</v>
      </c>
      <c r="F31" s="36">
        <v>-153.57499999999999</v>
      </c>
      <c r="G31" s="19">
        <v>76.034911083785346</v>
      </c>
    </row>
    <row r="32" spans="1:7" ht="14.25" x14ac:dyDescent="0.2">
      <c r="A32" s="39" t="s">
        <v>33</v>
      </c>
      <c r="B32" s="40"/>
      <c r="C32" s="37">
        <v>163764.20000000001</v>
      </c>
      <c r="D32" s="37">
        <v>155204.465</v>
      </c>
      <c r="E32" s="37">
        <v>160556.10946000001</v>
      </c>
      <c r="F32" s="37">
        <v>5351.6444600000104</v>
      </c>
      <c r="G32" s="21">
        <v>103.44812532294094</v>
      </c>
    </row>
    <row r="33" spans="1:7" ht="14.25" x14ac:dyDescent="0.2">
      <c r="A33" s="39" t="s">
        <v>34</v>
      </c>
      <c r="B33" s="40"/>
      <c r="C33" s="37">
        <v>272760.06</v>
      </c>
      <c r="D33" s="37">
        <v>255559.92499999999</v>
      </c>
      <c r="E33" s="37">
        <v>260649.99446000002</v>
      </c>
      <c r="F33" s="37">
        <v>5090.0694600000279</v>
      </c>
      <c r="G33" s="21">
        <v>101.99173225614307</v>
      </c>
    </row>
  </sheetData>
  <mergeCells count="9">
    <mergeCell ref="A33:B33"/>
    <mergeCell ref="A7:A8"/>
    <mergeCell ref="B7:B8"/>
    <mergeCell ref="C7:G7"/>
    <mergeCell ref="A2:G2"/>
    <mergeCell ref="A3:G3"/>
    <mergeCell ref="A4:G4"/>
    <mergeCell ref="A5:G5"/>
    <mergeCell ref="A32:B32"/>
  </mergeCells>
  <pageMargins left="0.59055118110236227" right="0.59055118110236227" top="0.39370078740157483" bottom="0.39370078740157483" header="0" footer="0"/>
  <pageSetup paperSize="9" scale="7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57"/>
  <sheetViews>
    <sheetView tabSelected="1" workbookViewId="0">
      <selection activeCell="L7" sqref="L7"/>
    </sheetView>
  </sheetViews>
  <sheetFormatPr defaultRowHeight="12.75" x14ac:dyDescent="0.2"/>
  <cols>
    <col min="1" max="1" width="12.7109375" style="8" customWidth="1"/>
    <col min="2" max="2" width="50.7109375" style="9" customWidth="1"/>
    <col min="3" max="7" width="15.7109375" style="7" customWidth="1"/>
    <col min="8" max="8" width="13.28515625" style="7" customWidth="1"/>
    <col min="9" max="256" width="9.140625" style="7"/>
    <col min="257" max="257" width="12.7109375" style="7" customWidth="1"/>
    <col min="258" max="258" width="50.7109375" style="7" customWidth="1"/>
    <col min="259" max="263" width="15.7109375" style="7" customWidth="1"/>
    <col min="264" max="264" width="13.28515625" style="7" customWidth="1"/>
    <col min="265" max="512" width="9.140625" style="7"/>
    <col min="513" max="513" width="12.7109375" style="7" customWidth="1"/>
    <col min="514" max="514" width="50.7109375" style="7" customWidth="1"/>
    <col min="515" max="519" width="15.7109375" style="7" customWidth="1"/>
    <col min="520" max="520" width="13.28515625" style="7" customWidth="1"/>
    <col min="521" max="768" width="9.140625" style="7"/>
    <col min="769" max="769" width="12.7109375" style="7" customWidth="1"/>
    <col min="770" max="770" width="50.7109375" style="7" customWidth="1"/>
    <col min="771" max="775" width="15.7109375" style="7" customWidth="1"/>
    <col min="776" max="776" width="13.28515625" style="7" customWidth="1"/>
    <col min="777" max="1024" width="9.140625" style="7"/>
    <col min="1025" max="1025" width="12.7109375" style="7" customWidth="1"/>
    <col min="1026" max="1026" width="50.7109375" style="7" customWidth="1"/>
    <col min="1027" max="1031" width="15.7109375" style="7" customWidth="1"/>
    <col min="1032" max="1032" width="13.28515625" style="7" customWidth="1"/>
    <col min="1033" max="1280" width="9.140625" style="7"/>
    <col min="1281" max="1281" width="12.7109375" style="7" customWidth="1"/>
    <col min="1282" max="1282" width="50.7109375" style="7" customWidth="1"/>
    <col min="1283" max="1287" width="15.7109375" style="7" customWidth="1"/>
    <col min="1288" max="1288" width="13.28515625" style="7" customWidth="1"/>
    <col min="1289" max="1536" width="9.140625" style="7"/>
    <col min="1537" max="1537" width="12.7109375" style="7" customWidth="1"/>
    <col min="1538" max="1538" width="50.7109375" style="7" customWidth="1"/>
    <col min="1539" max="1543" width="15.7109375" style="7" customWidth="1"/>
    <col min="1544" max="1544" width="13.28515625" style="7" customWidth="1"/>
    <col min="1545" max="1792" width="9.140625" style="7"/>
    <col min="1793" max="1793" width="12.7109375" style="7" customWidth="1"/>
    <col min="1794" max="1794" width="50.7109375" style="7" customWidth="1"/>
    <col min="1795" max="1799" width="15.7109375" style="7" customWidth="1"/>
    <col min="1800" max="1800" width="13.28515625" style="7" customWidth="1"/>
    <col min="1801" max="2048" width="9.140625" style="7"/>
    <col min="2049" max="2049" width="12.7109375" style="7" customWidth="1"/>
    <col min="2050" max="2050" width="50.7109375" style="7" customWidth="1"/>
    <col min="2051" max="2055" width="15.7109375" style="7" customWidth="1"/>
    <col min="2056" max="2056" width="13.28515625" style="7" customWidth="1"/>
    <col min="2057" max="2304" width="9.140625" style="7"/>
    <col min="2305" max="2305" width="12.7109375" style="7" customWidth="1"/>
    <col min="2306" max="2306" width="50.7109375" style="7" customWidth="1"/>
    <col min="2307" max="2311" width="15.7109375" style="7" customWidth="1"/>
    <col min="2312" max="2312" width="13.28515625" style="7" customWidth="1"/>
    <col min="2313" max="2560" width="9.140625" style="7"/>
    <col min="2561" max="2561" width="12.7109375" style="7" customWidth="1"/>
    <col min="2562" max="2562" width="50.7109375" style="7" customWidth="1"/>
    <col min="2563" max="2567" width="15.7109375" style="7" customWidth="1"/>
    <col min="2568" max="2568" width="13.28515625" style="7" customWidth="1"/>
    <col min="2569" max="2816" width="9.140625" style="7"/>
    <col min="2817" max="2817" width="12.7109375" style="7" customWidth="1"/>
    <col min="2818" max="2818" width="50.7109375" style="7" customWidth="1"/>
    <col min="2819" max="2823" width="15.7109375" style="7" customWidth="1"/>
    <col min="2824" max="2824" width="13.28515625" style="7" customWidth="1"/>
    <col min="2825" max="3072" width="9.140625" style="7"/>
    <col min="3073" max="3073" width="12.7109375" style="7" customWidth="1"/>
    <col min="3074" max="3074" width="50.7109375" style="7" customWidth="1"/>
    <col min="3075" max="3079" width="15.7109375" style="7" customWidth="1"/>
    <col min="3080" max="3080" width="13.28515625" style="7" customWidth="1"/>
    <col min="3081" max="3328" width="9.140625" style="7"/>
    <col min="3329" max="3329" width="12.7109375" style="7" customWidth="1"/>
    <col min="3330" max="3330" width="50.7109375" style="7" customWidth="1"/>
    <col min="3331" max="3335" width="15.7109375" style="7" customWidth="1"/>
    <col min="3336" max="3336" width="13.28515625" style="7" customWidth="1"/>
    <col min="3337" max="3584" width="9.140625" style="7"/>
    <col min="3585" max="3585" width="12.7109375" style="7" customWidth="1"/>
    <col min="3586" max="3586" width="50.7109375" style="7" customWidth="1"/>
    <col min="3587" max="3591" width="15.7109375" style="7" customWidth="1"/>
    <col min="3592" max="3592" width="13.28515625" style="7" customWidth="1"/>
    <col min="3593" max="3840" width="9.140625" style="7"/>
    <col min="3841" max="3841" width="12.7109375" style="7" customWidth="1"/>
    <col min="3842" max="3842" width="50.7109375" style="7" customWidth="1"/>
    <col min="3843" max="3847" width="15.7109375" style="7" customWidth="1"/>
    <col min="3848" max="3848" width="13.28515625" style="7" customWidth="1"/>
    <col min="3849" max="4096" width="9.140625" style="7"/>
    <col min="4097" max="4097" width="12.7109375" style="7" customWidth="1"/>
    <col min="4098" max="4098" width="50.7109375" style="7" customWidth="1"/>
    <col min="4099" max="4103" width="15.7109375" style="7" customWidth="1"/>
    <col min="4104" max="4104" width="13.28515625" style="7" customWidth="1"/>
    <col min="4105" max="4352" width="9.140625" style="7"/>
    <col min="4353" max="4353" width="12.7109375" style="7" customWidth="1"/>
    <col min="4354" max="4354" width="50.7109375" style="7" customWidth="1"/>
    <col min="4355" max="4359" width="15.7109375" style="7" customWidth="1"/>
    <col min="4360" max="4360" width="13.28515625" style="7" customWidth="1"/>
    <col min="4361" max="4608" width="9.140625" style="7"/>
    <col min="4609" max="4609" width="12.7109375" style="7" customWidth="1"/>
    <col min="4610" max="4610" width="50.7109375" style="7" customWidth="1"/>
    <col min="4611" max="4615" width="15.7109375" style="7" customWidth="1"/>
    <col min="4616" max="4616" width="13.28515625" style="7" customWidth="1"/>
    <col min="4617" max="4864" width="9.140625" style="7"/>
    <col min="4865" max="4865" width="12.7109375" style="7" customWidth="1"/>
    <col min="4866" max="4866" width="50.7109375" style="7" customWidth="1"/>
    <col min="4867" max="4871" width="15.7109375" style="7" customWidth="1"/>
    <col min="4872" max="4872" width="13.28515625" style="7" customWidth="1"/>
    <col min="4873" max="5120" width="9.140625" style="7"/>
    <col min="5121" max="5121" width="12.7109375" style="7" customWidth="1"/>
    <col min="5122" max="5122" width="50.7109375" style="7" customWidth="1"/>
    <col min="5123" max="5127" width="15.7109375" style="7" customWidth="1"/>
    <col min="5128" max="5128" width="13.28515625" style="7" customWidth="1"/>
    <col min="5129" max="5376" width="9.140625" style="7"/>
    <col min="5377" max="5377" width="12.7109375" style="7" customWidth="1"/>
    <col min="5378" max="5378" width="50.7109375" style="7" customWidth="1"/>
    <col min="5379" max="5383" width="15.7109375" style="7" customWidth="1"/>
    <col min="5384" max="5384" width="13.28515625" style="7" customWidth="1"/>
    <col min="5385" max="5632" width="9.140625" style="7"/>
    <col min="5633" max="5633" width="12.7109375" style="7" customWidth="1"/>
    <col min="5634" max="5634" width="50.7109375" style="7" customWidth="1"/>
    <col min="5635" max="5639" width="15.7109375" style="7" customWidth="1"/>
    <col min="5640" max="5640" width="13.28515625" style="7" customWidth="1"/>
    <col min="5641" max="5888" width="9.140625" style="7"/>
    <col min="5889" max="5889" width="12.7109375" style="7" customWidth="1"/>
    <col min="5890" max="5890" width="50.7109375" style="7" customWidth="1"/>
    <col min="5891" max="5895" width="15.7109375" style="7" customWidth="1"/>
    <col min="5896" max="5896" width="13.28515625" style="7" customWidth="1"/>
    <col min="5897" max="6144" width="9.140625" style="7"/>
    <col min="6145" max="6145" width="12.7109375" style="7" customWidth="1"/>
    <col min="6146" max="6146" width="50.7109375" style="7" customWidth="1"/>
    <col min="6147" max="6151" width="15.7109375" style="7" customWidth="1"/>
    <col min="6152" max="6152" width="13.28515625" style="7" customWidth="1"/>
    <col min="6153" max="6400" width="9.140625" style="7"/>
    <col min="6401" max="6401" width="12.7109375" style="7" customWidth="1"/>
    <col min="6402" max="6402" width="50.7109375" style="7" customWidth="1"/>
    <col min="6403" max="6407" width="15.7109375" style="7" customWidth="1"/>
    <col min="6408" max="6408" width="13.28515625" style="7" customWidth="1"/>
    <col min="6409" max="6656" width="9.140625" style="7"/>
    <col min="6657" max="6657" width="12.7109375" style="7" customWidth="1"/>
    <col min="6658" max="6658" width="50.7109375" style="7" customWidth="1"/>
    <col min="6659" max="6663" width="15.7109375" style="7" customWidth="1"/>
    <col min="6664" max="6664" width="13.28515625" style="7" customWidth="1"/>
    <col min="6665" max="6912" width="9.140625" style="7"/>
    <col min="6913" max="6913" width="12.7109375" style="7" customWidth="1"/>
    <col min="6914" max="6914" width="50.7109375" style="7" customWidth="1"/>
    <col min="6915" max="6919" width="15.7109375" style="7" customWidth="1"/>
    <col min="6920" max="6920" width="13.28515625" style="7" customWidth="1"/>
    <col min="6921" max="7168" width="9.140625" style="7"/>
    <col min="7169" max="7169" width="12.7109375" style="7" customWidth="1"/>
    <col min="7170" max="7170" width="50.7109375" style="7" customWidth="1"/>
    <col min="7171" max="7175" width="15.7109375" style="7" customWidth="1"/>
    <col min="7176" max="7176" width="13.28515625" style="7" customWidth="1"/>
    <col min="7177" max="7424" width="9.140625" style="7"/>
    <col min="7425" max="7425" width="12.7109375" style="7" customWidth="1"/>
    <col min="7426" max="7426" width="50.7109375" style="7" customWidth="1"/>
    <col min="7427" max="7431" width="15.7109375" style="7" customWidth="1"/>
    <col min="7432" max="7432" width="13.28515625" style="7" customWidth="1"/>
    <col min="7433" max="7680" width="9.140625" style="7"/>
    <col min="7681" max="7681" width="12.7109375" style="7" customWidth="1"/>
    <col min="7682" max="7682" width="50.7109375" style="7" customWidth="1"/>
    <col min="7683" max="7687" width="15.7109375" style="7" customWidth="1"/>
    <col min="7688" max="7688" width="13.28515625" style="7" customWidth="1"/>
    <col min="7689" max="7936" width="9.140625" style="7"/>
    <col min="7937" max="7937" width="12.7109375" style="7" customWidth="1"/>
    <col min="7938" max="7938" width="50.7109375" style="7" customWidth="1"/>
    <col min="7939" max="7943" width="15.7109375" style="7" customWidth="1"/>
    <col min="7944" max="7944" width="13.28515625" style="7" customWidth="1"/>
    <col min="7945" max="8192" width="9.140625" style="7"/>
    <col min="8193" max="8193" width="12.7109375" style="7" customWidth="1"/>
    <col min="8194" max="8194" width="50.7109375" style="7" customWidth="1"/>
    <col min="8195" max="8199" width="15.7109375" style="7" customWidth="1"/>
    <col min="8200" max="8200" width="13.28515625" style="7" customWidth="1"/>
    <col min="8201" max="8448" width="9.140625" style="7"/>
    <col min="8449" max="8449" width="12.7109375" style="7" customWidth="1"/>
    <col min="8450" max="8450" width="50.7109375" style="7" customWidth="1"/>
    <col min="8451" max="8455" width="15.7109375" style="7" customWidth="1"/>
    <col min="8456" max="8456" width="13.28515625" style="7" customWidth="1"/>
    <col min="8457" max="8704" width="9.140625" style="7"/>
    <col min="8705" max="8705" width="12.7109375" style="7" customWidth="1"/>
    <col min="8706" max="8706" width="50.7109375" style="7" customWidth="1"/>
    <col min="8707" max="8711" width="15.7109375" style="7" customWidth="1"/>
    <col min="8712" max="8712" width="13.28515625" style="7" customWidth="1"/>
    <col min="8713" max="8960" width="9.140625" style="7"/>
    <col min="8961" max="8961" width="12.7109375" style="7" customWidth="1"/>
    <col min="8962" max="8962" width="50.7109375" style="7" customWidth="1"/>
    <col min="8963" max="8967" width="15.7109375" style="7" customWidth="1"/>
    <col min="8968" max="8968" width="13.28515625" style="7" customWidth="1"/>
    <col min="8969" max="9216" width="9.140625" style="7"/>
    <col min="9217" max="9217" width="12.7109375" style="7" customWidth="1"/>
    <col min="9218" max="9218" width="50.7109375" style="7" customWidth="1"/>
    <col min="9219" max="9223" width="15.7109375" style="7" customWidth="1"/>
    <col min="9224" max="9224" width="13.28515625" style="7" customWidth="1"/>
    <col min="9225" max="9472" width="9.140625" style="7"/>
    <col min="9473" max="9473" width="12.7109375" style="7" customWidth="1"/>
    <col min="9474" max="9474" width="50.7109375" style="7" customWidth="1"/>
    <col min="9475" max="9479" width="15.7109375" style="7" customWidth="1"/>
    <col min="9480" max="9480" width="13.28515625" style="7" customWidth="1"/>
    <col min="9481" max="9728" width="9.140625" style="7"/>
    <col min="9729" max="9729" width="12.7109375" style="7" customWidth="1"/>
    <col min="9730" max="9730" width="50.7109375" style="7" customWidth="1"/>
    <col min="9731" max="9735" width="15.7109375" style="7" customWidth="1"/>
    <col min="9736" max="9736" width="13.28515625" style="7" customWidth="1"/>
    <col min="9737" max="9984" width="9.140625" style="7"/>
    <col min="9985" max="9985" width="12.7109375" style="7" customWidth="1"/>
    <col min="9986" max="9986" width="50.7109375" style="7" customWidth="1"/>
    <col min="9987" max="9991" width="15.7109375" style="7" customWidth="1"/>
    <col min="9992" max="9992" width="13.28515625" style="7" customWidth="1"/>
    <col min="9993" max="10240" width="9.140625" style="7"/>
    <col min="10241" max="10241" width="12.7109375" style="7" customWidth="1"/>
    <col min="10242" max="10242" width="50.7109375" style="7" customWidth="1"/>
    <col min="10243" max="10247" width="15.7109375" style="7" customWidth="1"/>
    <col min="10248" max="10248" width="13.28515625" style="7" customWidth="1"/>
    <col min="10249" max="10496" width="9.140625" style="7"/>
    <col min="10497" max="10497" width="12.7109375" style="7" customWidth="1"/>
    <col min="10498" max="10498" width="50.7109375" style="7" customWidth="1"/>
    <col min="10499" max="10503" width="15.7109375" style="7" customWidth="1"/>
    <col min="10504" max="10504" width="13.28515625" style="7" customWidth="1"/>
    <col min="10505" max="10752" width="9.140625" style="7"/>
    <col min="10753" max="10753" width="12.7109375" style="7" customWidth="1"/>
    <col min="10754" max="10754" width="50.7109375" style="7" customWidth="1"/>
    <col min="10755" max="10759" width="15.7109375" style="7" customWidth="1"/>
    <col min="10760" max="10760" width="13.28515625" style="7" customWidth="1"/>
    <col min="10761" max="11008" width="9.140625" style="7"/>
    <col min="11009" max="11009" width="12.7109375" style="7" customWidth="1"/>
    <col min="11010" max="11010" width="50.7109375" style="7" customWidth="1"/>
    <col min="11011" max="11015" width="15.7109375" style="7" customWidth="1"/>
    <col min="11016" max="11016" width="13.28515625" style="7" customWidth="1"/>
    <col min="11017" max="11264" width="9.140625" style="7"/>
    <col min="11265" max="11265" width="12.7109375" style="7" customWidth="1"/>
    <col min="11266" max="11266" width="50.7109375" style="7" customWidth="1"/>
    <col min="11267" max="11271" width="15.7109375" style="7" customWidth="1"/>
    <col min="11272" max="11272" width="13.28515625" style="7" customWidth="1"/>
    <col min="11273" max="11520" width="9.140625" style="7"/>
    <col min="11521" max="11521" width="12.7109375" style="7" customWidth="1"/>
    <col min="11522" max="11522" width="50.7109375" style="7" customWidth="1"/>
    <col min="11523" max="11527" width="15.7109375" style="7" customWidth="1"/>
    <col min="11528" max="11528" width="13.28515625" style="7" customWidth="1"/>
    <col min="11529" max="11776" width="9.140625" style="7"/>
    <col min="11777" max="11777" width="12.7109375" style="7" customWidth="1"/>
    <col min="11778" max="11778" width="50.7109375" style="7" customWidth="1"/>
    <col min="11779" max="11783" width="15.7109375" style="7" customWidth="1"/>
    <col min="11784" max="11784" width="13.28515625" style="7" customWidth="1"/>
    <col min="11785" max="12032" width="9.140625" style="7"/>
    <col min="12033" max="12033" width="12.7109375" style="7" customWidth="1"/>
    <col min="12034" max="12034" width="50.7109375" style="7" customWidth="1"/>
    <col min="12035" max="12039" width="15.7109375" style="7" customWidth="1"/>
    <col min="12040" max="12040" width="13.28515625" style="7" customWidth="1"/>
    <col min="12041" max="12288" width="9.140625" style="7"/>
    <col min="12289" max="12289" width="12.7109375" style="7" customWidth="1"/>
    <col min="12290" max="12290" width="50.7109375" style="7" customWidth="1"/>
    <col min="12291" max="12295" width="15.7109375" style="7" customWidth="1"/>
    <col min="12296" max="12296" width="13.28515625" style="7" customWidth="1"/>
    <col min="12297" max="12544" width="9.140625" style="7"/>
    <col min="12545" max="12545" width="12.7109375" style="7" customWidth="1"/>
    <col min="12546" max="12546" width="50.7109375" style="7" customWidth="1"/>
    <col min="12547" max="12551" width="15.7109375" style="7" customWidth="1"/>
    <col min="12552" max="12552" width="13.28515625" style="7" customWidth="1"/>
    <col min="12553" max="12800" width="9.140625" style="7"/>
    <col min="12801" max="12801" width="12.7109375" style="7" customWidth="1"/>
    <col min="12802" max="12802" width="50.7109375" style="7" customWidth="1"/>
    <col min="12803" max="12807" width="15.7109375" style="7" customWidth="1"/>
    <col min="12808" max="12808" width="13.28515625" style="7" customWidth="1"/>
    <col min="12809" max="13056" width="9.140625" style="7"/>
    <col min="13057" max="13057" width="12.7109375" style="7" customWidth="1"/>
    <col min="13058" max="13058" width="50.7109375" style="7" customWidth="1"/>
    <col min="13059" max="13063" width="15.7109375" style="7" customWidth="1"/>
    <col min="13064" max="13064" width="13.28515625" style="7" customWidth="1"/>
    <col min="13065" max="13312" width="9.140625" style="7"/>
    <col min="13313" max="13313" width="12.7109375" style="7" customWidth="1"/>
    <col min="13314" max="13314" width="50.7109375" style="7" customWidth="1"/>
    <col min="13315" max="13319" width="15.7109375" style="7" customWidth="1"/>
    <col min="13320" max="13320" width="13.28515625" style="7" customWidth="1"/>
    <col min="13321" max="13568" width="9.140625" style="7"/>
    <col min="13569" max="13569" width="12.7109375" style="7" customWidth="1"/>
    <col min="13570" max="13570" width="50.7109375" style="7" customWidth="1"/>
    <col min="13571" max="13575" width="15.7109375" style="7" customWidth="1"/>
    <col min="13576" max="13576" width="13.28515625" style="7" customWidth="1"/>
    <col min="13577" max="13824" width="9.140625" style="7"/>
    <col min="13825" max="13825" width="12.7109375" style="7" customWidth="1"/>
    <col min="13826" max="13826" width="50.7109375" style="7" customWidth="1"/>
    <col min="13827" max="13831" width="15.7109375" style="7" customWidth="1"/>
    <col min="13832" max="13832" width="13.28515625" style="7" customWidth="1"/>
    <col min="13833" max="14080" width="9.140625" style="7"/>
    <col min="14081" max="14081" width="12.7109375" style="7" customWidth="1"/>
    <col min="14082" max="14082" width="50.7109375" style="7" customWidth="1"/>
    <col min="14083" max="14087" width="15.7109375" style="7" customWidth="1"/>
    <col min="14088" max="14088" width="13.28515625" style="7" customWidth="1"/>
    <col min="14089" max="14336" width="9.140625" style="7"/>
    <col min="14337" max="14337" width="12.7109375" style="7" customWidth="1"/>
    <col min="14338" max="14338" width="50.7109375" style="7" customWidth="1"/>
    <col min="14339" max="14343" width="15.7109375" style="7" customWidth="1"/>
    <col min="14344" max="14344" width="13.28515625" style="7" customWidth="1"/>
    <col min="14345" max="14592" width="9.140625" style="7"/>
    <col min="14593" max="14593" width="12.7109375" style="7" customWidth="1"/>
    <col min="14594" max="14594" width="50.7109375" style="7" customWidth="1"/>
    <col min="14595" max="14599" width="15.7109375" style="7" customWidth="1"/>
    <col min="14600" max="14600" width="13.28515625" style="7" customWidth="1"/>
    <col min="14601" max="14848" width="9.140625" style="7"/>
    <col min="14849" max="14849" width="12.7109375" style="7" customWidth="1"/>
    <col min="14850" max="14850" width="50.7109375" style="7" customWidth="1"/>
    <col min="14851" max="14855" width="15.7109375" style="7" customWidth="1"/>
    <col min="14856" max="14856" width="13.28515625" style="7" customWidth="1"/>
    <col min="14857" max="15104" width="9.140625" style="7"/>
    <col min="15105" max="15105" width="12.7109375" style="7" customWidth="1"/>
    <col min="15106" max="15106" width="50.7109375" style="7" customWidth="1"/>
    <col min="15107" max="15111" width="15.7109375" style="7" customWidth="1"/>
    <col min="15112" max="15112" width="13.28515625" style="7" customWidth="1"/>
    <col min="15113" max="15360" width="9.140625" style="7"/>
    <col min="15361" max="15361" width="12.7109375" style="7" customWidth="1"/>
    <col min="15362" max="15362" width="50.7109375" style="7" customWidth="1"/>
    <col min="15363" max="15367" width="15.7109375" style="7" customWidth="1"/>
    <col min="15368" max="15368" width="13.28515625" style="7" customWidth="1"/>
    <col min="15369" max="15616" width="9.140625" style="7"/>
    <col min="15617" max="15617" width="12.7109375" style="7" customWidth="1"/>
    <col min="15618" max="15618" width="50.7109375" style="7" customWidth="1"/>
    <col min="15619" max="15623" width="15.7109375" style="7" customWidth="1"/>
    <col min="15624" max="15624" width="13.28515625" style="7" customWidth="1"/>
    <col min="15625" max="15872" width="9.140625" style="7"/>
    <col min="15873" max="15873" width="12.7109375" style="7" customWidth="1"/>
    <col min="15874" max="15874" width="50.7109375" style="7" customWidth="1"/>
    <col min="15875" max="15879" width="15.7109375" style="7" customWidth="1"/>
    <col min="15880" max="15880" width="13.28515625" style="7" customWidth="1"/>
    <col min="15881" max="16128" width="9.140625" style="7"/>
    <col min="16129" max="16129" width="12.7109375" style="7" customWidth="1"/>
    <col min="16130" max="16130" width="50.7109375" style="7" customWidth="1"/>
    <col min="16131" max="16135" width="15.7109375" style="7" customWidth="1"/>
    <col min="16136" max="16136" width="13.28515625" style="7" customWidth="1"/>
    <col min="16137" max="16384" width="9.140625" style="7"/>
  </cols>
  <sheetData>
    <row r="1" spans="1:9" ht="16.5" customHeight="1" x14ac:dyDescent="0.2">
      <c r="A1" s="46" t="s">
        <v>29</v>
      </c>
      <c r="B1" s="46"/>
      <c r="C1" s="46"/>
      <c r="D1" s="46"/>
      <c r="E1" s="46"/>
      <c r="F1" s="46"/>
      <c r="G1" s="46"/>
      <c r="H1" s="46"/>
    </row>
    <row r="2" spans="1:9" ht="17.25" customHeight="1" x14ac:dyDescent="0.2">
      <c r="A2" s="46" t="s">
        <v>35</v>
      </c>
      <c r="B2" s="46"/>
      <c r="C2" s="46"/>
      <c r="D2" s="46"/>
      <c r="E2" s="46"/>
      <c r="F2" s="46"/>
      <c r="G2" s="46"/>
      <c r="H2" s="46"/>
    </row>
    <row r="3" spans="1:9" ht="16.5" customHeight="1" x14ac:dyDescent="0.2">
      <c r="A3" s="46" t="s">
        <v>31</v>
      </c>
      <c r="B3" s="46"/>
      <c r="C3" s="46"/>
      <c r="D3" s="46"/>
      <c r="E3" s="46"/>
      <c r="F3" s="46"/>
      <c r="G3" s="46"/>
      <c r="H3" s="46"/>
    </row>
    <row r="4" spans="1:9" ht="15.75" customHeight="1" x14ac:dyDescent="0.2">
      <c r="A4" s="46" t="s">
        <v>32</v>
      </c>
      <c r="B4" s="46"/>
      <c r="C4" s="46"/>
      <c r="D4" s="46"/>
      <c r="E4" s="46"/>
      <c r="F4" s="46"/>
      <c r="G4" s="46"/>
      <c r="H4" s="46"/>
    </row>
    <row r="5" spans="1:9" ht="15" x14ac:dyDescent="0.25">
      <c r="A5" s="22"/>
      <c r="B5" s="23"/>
      <c r="C5" s="24"/>
      <c r="D5" s="24"/>
      <c r="E5" s="24"/>
      <c r="F5" s="24"/>
      <c r="G5" s="24"/>
      <c r="H5" s="25" t="s">
        <v>36</v>
      </c>
    </row>
    <row r="6" spans="1:9" s="6" customFormat="1" ht="71.25" x14ac:dyDescent="0.2">
      <c r="A6" s="26" t="s">
        <v>37</v>
      </c>
      <c r="B6" s="26" t="s">
        <v>38</v>
      </c>
      <c r="C6" s="26" t="s">
        <v>39</v>
      </c>
      <c r="D6" s="26" t="s">
        <v>40</v>
      </c>
      <c r="E6" s="26" t="s">
        <v>41</v>
      </c>
      <c r="F6" s="26" t="s">
        <v>42</v>
      </c>
      <c r="G6" s="26" t="s">
        <v>43</v>
      </c>
      <c r="H6" s="26" t="s">
        <v>44</v>
      </c>
    </row>
    <row r="7" spans="1:9" ht="14.25" x14ac:dyDescent="0.2">
      <c r="A7" s="26">
        <v>1</v>
      </c>
      <c r="B7" s="26">
        <v>2</v>
      </c>
      <c r="C7" s="26">
        <v>3</v>
      </c>
      <c r="D7" s="26">
        <v>4</v>
      </c>
      <c r="E7" s="26">
        <v>5</v>
      </c>
      <c r="F7" s="26">
        <v>6</v>
      </c>
      <c r="G7" s="26">
        <v>7</v>
      </c>
      <c r="H7" s="26">
        <v>8</v>
      </c>
    </row>
    <row r="8" spans="1:9" ht="56.25" customHeight="1" x14ac:dyDescent="0.2">
      <c r="A8" s="27" t="s">
        <v>45</v>
      </c>
      <c r="B8" s="28" t="s">
        <v>46</v>
      </c>
      <c r="C8" s="29">
        <v>37815.780000000006</v>
      </c>
      <c r="D8" s="29">
        <v>32549.413</v>
      </c>
      <c r="E8" s="29">
        <v>29628.023069999992</v>
      </c>
      <c r="F8" s="34">
        <f t="shared" ref="F8:F47" si="0">C8-E8</f>
        <v>8187.7569300000141</v>
      </c>
      <c r="G8" s="34">
        <f t="shared" ref="G8:G47" si="1">D8-E8</f>
        <v>2921.3899300000085</v>
      </c>
      <c r="H8" s="34">
        <f t="shared" ref="H8:H47" si="2">IF(D8=0,0,(E8/D8)*100)</f>
        <v>91.024753871905446</v>
      </c>
      <c r="I8" s="10"/>
    </row>
    <row r="9" spans="1:9" ht="45" x14ac:dyDescent="0.2">
      <c r="A9" s="27" t="s">
        <v>47</v>
      </c>
      <c r="B9" s="28" t="s">
        <v>48</v>
      </c>
      <c r="C9" s="29">
        <v>23438.195</v>
      </c>
      <c r="D9" s="29">
        <v>21454.296000000002</v>
      </c>
      <c r="E9" s="29">
        <v>16869.939699999999</v>
      </c>
      <c r="F9" s="34">
        <f t="shared" si="0"/>
        <v>6568.2553000000007</v>
      </c>
      <c r="G9" s="34">
        <f t="shared" si="1"/>
        <v>4584.3563000000031</v>
      </c>
      <c r="H9" s="34">
        <f t="shared" si="2"/>
        <v>78.631989136348253</v>
      </c>
      <c r="I9" s="10"/>
    </row>
    <row r="10" spans="1:9" ht="45" x14ac:dyDescent="0.2">
      <c r="A10" s="27" t="s">
        <v>49</v>
      </c>
      <c r="B10" s="28" t="s">
        <v>50</v>
      </c>
      <c r="C10" s="29">
        <v>47920.732000000004</v>
      </c>
      <c r="D10" s="29">
        <v>43973.532000000007</v>
      </c>
      <c r="E10" s="29">
        <v>42903.151899999997</v>
      </c>
      <c r="F10" s="34">
        <f t="shared" si="0"/>
        <v>5017.5801000000065</v>
      </c>
      <c r="G10" s="34">
        <f t="shared" si="1"/>
        <v>1070.3801000000094</v>
      </c>
      <c r="H10" s="34">
        <f t="shared" si="2"/>
        <v>97.565853704905919</v>
      </c>
      <c r="I10" s="10"/>
    </row>
    <row r="11" spans="1:9" ht="69.75" customHeight="1" x14ac:dyDescent="0.2">
      <c r="A11" s="27" t="s">
        <v>51</v>
      </c>
      <c r="B11" s="28" t="s">
        <v>52</v>
      </c>
      <c r="C11" s="29">
        <v>41.698</v>
      </c>
      <c r="D11" s="29">
        <v>41.698</v>
      </c>
      <c r="E11" s="29">
        <v>41.681550000000001</v>
      </c>
      <c r="F11" s="34">
        <f t="shared" si="0"/>
        <v>1.6449999999998965E-2</v>
      </c>
      <c r="G11" s="34">
        <f t="shared" si="1"/>
        <v>1.6449999999998965E-2</v>
      </c>
      <c r="H11" s="34">
        <f t="shared" si="2"/>
        <v>99.960549666650678</v>
      </c>
      <c r="I11" s="10"/>
    </row>
    <row r="12" spans="1:9" ht="74.25" customHeight="1" x14ac:dyDescent="0.2">
      <c r="A12" s="27" t="s">
        <v>53</v>
      </c>
      <c r="B12" s="28" t="s">
        <v>54</v>
      </c>
      <c r="C12" s="29">
        <v>253.60000000000002</v>
      </c>
      <c r="D12" s="29">
        <v>253.60000000000002</v>
      </c>
      <c r="E12" s="29">
        <v>253.60000000000002</v>
      </c>
      <c r="F12" s="34">
        <f t="shared" si="0"/>
        <v>0</v>
      </c>
      <c r="G12" s="34">
        <f t="shared" si="1"/>
        <v>0</v>
      </c>
      <c r="H12" s="34">
        <f t="shared" si="2"/>
        <v>100</v>
      </c>
      <c r="I12" s="10"/>
    </row>
    <row r="13" spans="1:9" ht="72.75" customHeight="1" x14ac:dyDescent="0.2">
      <c r="A13" s="27" t="s">
        <v>55</v>
      </c>
      <c r="B13" s="28" t="s">
        <v>56</v>
      </c>
      <c r="C13" s="29">
        <v>205.4</v>
      </c>
      <c r="D13" s="29">
        <v>184.5</v>
      </c>
      <c r="E13" s="29">
        <v>184.32634999999999</v>
      </c>
      <c r="F13" s="34">
        <f t="shared" si="0"/>
        <v>21.073650000000015</v>
      </c>
      <c r="G13" s="34">
        <f t="shared" si="1"/>
        <v>0.17365000000000919</v>
      </c>
      <c r="H13" s="34">
        <f t="shared" si="2"/>
        <v>99.905880758807584</v>
      </c>
      <c r="I13" s="10"/>
    </row>
    <row r="14" spans="1:9" ht="43.5" customHeight="1" x14ac:dyDescent="0.2">
      <c r="A14" s="27" t="s">
        <v>57</v>
      </c>
      <c r="B14" s="28" t="s">
        <v>58</v>
      </c>
      <c r="C14" s="29">
        <v>5608.1</v>
      </c>
      <c r="D14" s="29">
        <v>4691.6000000000004</v>
      </c>
      <c r="E14" s="29">
        <v>4460.8253599999998</v>
      </c>
      <c r="F14" s="34">
        <f t="shared" si="0"/>
        <v>1147.2746400000005</v>
      </c>
      <c r="G14" s="34">
        <f t="shared" si="1"/>
        <v>230.77464000000055</v>
      </c>
      <c r="H14" s="34">
        <f t="shared" si="2"/>
        <v>95.081110069059577</v>
      </c>
      <c r="I14" s="10"/>
    </row>
    <row r="15" spans="1:9" ht="46.5" customHeight="1" x14ac:dyDescent="0.2">
      <c r="A15" s="27" t="s">
        <v>59</v>
      </c>
      <c r="B15" s="28" t="s">
        <v>60</v>
      </c>
      <c r="C15" s="29">
        <v>549.9</v>
      </c>
      <c r="D15" s="29">
        <v>366.6</v>
      </c>
      <c r="E15" s="29">
        <v>91.51</v>
      </c>
      <c r="F15" s="34">
        <f t="shared" si="0"/>
        <v>458.39</v>
      </c>
      <c r="G15" s="34">
        <f t="shared" si="1"/>
        <v>275.09000000000003</v>
      </c>
      <c r="H15" s="34">
        <f t="shared" si="2"/>
        <v>24.961811238406984</v>
      </c>
      <c r="I15" s="10"/>
    </row>
    <row r="16" spans="1:9" ht="27" customHeight="1" x14ac:dyDescent="0.2">
      <c r="A16" s="27" t="s">
        <v>61</v>
      </c>
      <c r="B16" s="28" t="s">
        <v>62</v>
      </c>
      <c r="C16" s="29">
        <v>2387.5059999999999</v>
      </c>
      <c r="D16" s="29">
        <v>2387.5059999999999</v>
      </c>
      <c r="E16" s="29">
        <v>2386.5880000000002</v>
      </c>
      <c r="F16" s="34">
        <f t="shared" si="0"/>
        <v>0.91799999999966531</v>
      </c>
      <c r="G16" s="34">
        <f t="shared" si="1"/>
        <v>0.91799999999966531</v>
      </c>
      <c r="H16" s="34">
        <f t="shared" si="2"/>
        <v>99.961549834848597</v>
      </c>
      <c r="I16" s="10"/>
    </row>
    <row r="17" spans="1:9" ht="27.75" customHeight="1" x14ac:dyDescent="0.2">
      <c r="A17" s="27" t="s">
        <v>63</v>
      </c>
      <c r="B17" s="28" t="s">
        <v>64</v>
      </c>
      <c r="C17" s="29">
        <v>1416.0550000000001</v>
      </c>
      <c r="D17" s="29">
        <v>1416.0550000000001</v>
      </c>
      <c r="E17" s="29">
        <v>1383.71551</v>
      </c>
      <c r="F17" s="34">
        <f t="shared" si="0"/>
        <v>32.339490000000069</v>
      </c>
      <c r="G17" s="34">
        <f t="shared" si="1"/>
        <v>32.339490000000069</v>
      </c>
      <c r="H17" s="34">
        <f t="shared" si="2"/>
        <v>97.716226417759188</v>
      </c>
      <c r="I17" s="10"/>
    </row>
    <row r="18" spans="1:9" ht="32.25" customHeight="1" x14ac:dyDescent="0.2">
      <c r="A18" s="27" t="s">
        <v>65</v>
      </c>
      <c r="B18" s="28" t="s">
        <v>66</v>
      </c>
      <c r="C18" s="29">
        <v>60</v>
      </c>
      <c r="D18" s="29">
        <v>55</v>
      </c>
      <c r="E18" s="29">
        <v>0</v>
      </c>
      <c r="F18" s="34">
        <f t="shared" si="0"/>
        <v>60</v>
      </c>
      <c r="G18" s="34">
        <f t="shared" si="1"/>
        <v>55</v>
      </c>
      <c r="H18" s="34">
        <f t="shared" si="2"/>
        <v>0</v>
      </c>
      <c r="I18" s="10"/>
    </row>
    <row r="19" spans="1:9" ht="29.25" customHeight="1" x14ac:dyDescent="0.2">
      <c r="A19" s="27" t="s">
        <v>67</v>
      </c>
      <c r="B19" s="28" t="s">
        <v>68</v>
      </c>
      <c r="C19" s="29">
        <v>1.62</v>
      </c>
      <c r="D19" s="29">
        <v>1.4850000000000001</v>
      </c>
      <c r="E19" s="29">
        <v>0</v>
      </c>
      <c r="F19" s="34">
        <f t="shared" si="0"/>
        <v>1.62</v>
      </c>
      <c r="G19" s="34">
        <f t="shared" si="1"/>
        <v>1.4850000000000001</v>
      </c>
      <c r="H19" s="34">
        <f t="shared" si="2"/>
        <v>0</v>
      </c>
      <c r="I19" s="10"/>
    </row>
    <row r="20" spans="1:9" ht="29.25" customHeight="1" x14ac:dyDescent="0.2">
      <c r="A20" s="27" t="s">
        <v>69</v>
      </c>
      <c r="B20" s="28" t="s">
        <v>70</v>
      </c>
      <c r="C20" s="29">
        <v>0</v>
      </c>
      <c r="D20" s="29">
        <v>0</v>
      </c>
      <c r="E20" s="29">
        <v>0</v>
      </c>
      <c r="F20" s="34">
        <f t="shared" si="0"/>
        <v>0</v>
      </c>
      <c r="G20" s="34">
        <f t="shared" si="1"/>
        <v>0</v>
      </c>
      <c r="H20" s="34">
        <f t="shared" si="2"/>
        <v>0</v>
      </c>
      <c r="I20" s="10"/>
    </row>
    <row r="21" spans="1:9" ht="30" x14ac:dyDescent="0.2">
      <c r="A21" s="27" t="s">
        <v>71</v>
      </c>
      <c r="B21" s="28" t="s">
        <v>72</v>
      </c>
      <c r="C21" s="29">
        <v>28.8</v>
      </c>
      <c r="D21" s="29">
        <v>28.8</v>
      </c>
      <c r="E21" s="29">
        <v>14</v>
      </c>
      <c r="F21" s="34">
        <f t="shared" si="0"/>
        <v>14.8</v>
      </c>
      <c r="G21" s="34">
        <f t="shared" si="1"/>
        <v>14.8</v>
      </c>
      <c r="H21" s="34">
        <f t="shared" si="2"/>
        <v>48.611111111111107</v>
      </c>
      <c r="I21" s="10"/>
    </row>
    <row r="22" spans="1:9" ht="60" x14ac:dyDescent="0.2">
      <c r="A22" s="27" t="s">
        <v>73</v>
      </c>
      <c r="B22" s="28" t="s">
        <v>74</v>
      </c>
      <c r="C22" s="29">
        <v>720</v>
      </c>
      <c r="D22" s="29">
        <v>720</v>
      </c>
      <c r="E22" s="29">
        <v>17</v>
      </c>
      <c r="F22" s="34">
        <f t="shared" si="0"/>
        <v>703</v>
      </c>
      <c r="G22" s="34">
        <f t="shared" si="1"/>
        <v>703</v>
      </c>
      <c r="H22" s="34">
        <f t="shared" si="2"/>
        <v>2.3611111111111112</v>
      </c>
      <c r="I22" s="10"/>
    </row>
    <row r="23" spans="1:9" ht="75" x14ac:dyDescent="0.2">
      <c r="A23" s="27" t="s">
        <v>75</v>
      </c>
      <c r="B23" s="28" t="s">
        <v>76</v>
      </c>
      <c r="C23" s="29">
        <v>824.00200000000007</v>
      </c>
      <c r="D23" s="29">
        <v>745.6</v>
      </c>
      <c r="E23" s="29">
        <v>265.96924000000001</v>
      </c>
      <c r="F23" s="34">
        <f t="shared" si="0"/>
        <v>558.03276000000005</v>
      </c>
      <c r="G23" s="34">
        <f t="shared" si="1"/>
        <v>479.63076000000001</v>
      </c>
      <c r="H23" s="34">
        <f t="shared" si="2"/>
        <v>35.671840128755363</v>
      </c>
      <c r="I23" s="10"/>
    </row>
    <row r="24" spans="1:9" ht="60" x14ac:dyDescent="0.2">
      <c r="A24" s="27" t="s">
        <v>77</v>
      </c>
      <c r="B24" s="28" t="s">
        <v>78</v>
      </c>
      <c r="C24" s="29">
        <v>640.82799999999997</v>
      </c>
      <c r="D24" s="29">
        <v>640.82799999999997</v>
      </c>
      <c r="E24" s="29">
        <v>421.33493000000004</v>
      </c>
      <c r="F24" s="34">
        <f t="shared" si="0"/>
        <v>219.49306999999993</v>
      </c>
      <c r="G24" s="34">
        <f t="shared" si="1"/>
        <v>219.49306999999993</v>
      </c>
      <c r="H24" s="34">
        <f t="shared" si="2"/>
        <v>65.7485206638911</v>
      </c>
      <c r="I24" s="10"/>
    </row>
    <row r="25" spans="1:9" ht="45" x14ac:dyDescent="0.2">
      <c r="A25" s="27" t="s">
        <v>79</v>
      </c>
      <c r="B25" s="28" t="s">
        <v>80</v>
      </c>
      <c r="C25" s="29">
        <v>1194</v>
      </c>
      <c r="D25" s="29">
        <v>1194</v>
      </c>
      <c r="E25" s="29">
        <v>1187.4773200000002</v>
      </c>
      <c r="F25" s="34">
        <f t="shared" si="0"/>
        <v>6.5226799999998093</v>
      </c>
      <c r="G25" s="34">
        <f t="shared" si="1"/>
        <v>6.5226799999998093</v>
      </c>
      <c r="H25" s="34">
        <f t="shared" si="2"/>
        <v>99.45371189279733</v>
      </c>
      <c r="I25" s="10"/>
    </row>
    <row r="26" spans="1:9" ht="45" x14ac:dyDescent="0.2">
      <c r="A26" s="27" t="s">
        <v>81</v>
      </c>
      <c r="B26" s="28" t="s">
        <v>82</v>
      </c>
      <c r="C26" s="29">
        <v>9741.6730000000007</v>
      </c>
      <c r="D26" s="29">
        <v>8909.5520000000015</v>
      </c>
      <c r="E26" s="29">
        <v>7665.6759000000002</v>
      </c>
      <c r="F26" s="34">
        <f t="shared" si="0"/>
        <v>2075.9971000000005</v>
      </c>
      <c r="G26" s="34">
        <f t="shared" si="1"/>
        <v>1243.8761000000013</v>
      </c>
      <c r="H26" s="34">
        <f t="shared" si="2"/>
        <v>86.038847969011229</v>
      </c>
      <c r="I26" s="10"/>
    </row>
    <row r="27" spans="1:9" ht="30" x14ac:dyDescent="0.2">
      <c r="A27" s="27" t="s">
        <v>83</v>
      </c>
      <c r="B27" s="28" t="s">
        <v>84</v>
      </c>
      <c r="C27" s="29">
        <v>3376.17</v>
      </c>
      <c r="D27" s="29">
        <v>3103.9</v>
      </c>
      <c r="E27" s="29">
        <v>735.64373000000001</v>
      </c>
      <c r="F27" s="34">
        <f t="shared" si="0"/>
        <v>2640.5262700000003</v>
      </c>
      <c r="G27" s="34">
        <f t="shared" si="1"/>
        <v>2368.2562699999999</v>
      </c>
      <c r="H27" s="34">
        <f t="shared" si="2"/>
        <v>23.70062598666194</v>
      </c>
      <c r="I27" s="10"/>
    </row>
    <row r="28" spans="1:9" ht="30" x14ac:dyDescent="0.2">
      <c r="A28" s="27" t="s">
        <v>85</v>
      </c>
      <c r="B28" s="28" t="s">
        <v>86</v>
      </c>
      <c r="C28" s="29">
        <v>10476.731</v>
      </c>
      <c r="D28" s="29">
        <v>9718.777</v>
      </c>
      <c r="E28" s="29">
        <v>8367.2969300000004</v>
      </c>
      <c r="F28" s="34">
        <f t="shared" si="0"/>
        <v>2109.4340699999993</v>
      </c>
      <c r="G28" s="34">
        <f t="shared" si="1"/>
        <v>1351.4800699999996</v>
      </c>
      <c r="H28" s="34">
        <f t="shared" si="2"/>
        <v>86.094134375137941</v>
      </c>
      <c r="I28" s="10"/>
    </row>
    <row r="29" spans="1:9" ht="30" x14ac:dyDescent="0.2">
      <c r="A29" s="27" t="s">
        <v>87</v>
      </c>
      <c r="B29" s="28" t="s">
        <v>88</v>
      </c>
      <c r="C29" s="29">
        <v>100</v>
      </c>
      <c r="D29" s="29">
        <v>100</v>
      </c>
      <c r="E29" s="29">
        <v>99.984999999999999</v>
      </c>
      <c r="F29" s="34">
        <f t="shared" si="0"/>
        <v>1.5000000000000568E-2</v>
      </c>
      <c r="G29" s="34">
        <f t="shared" si="1"/>
        <v>1.5000000000000568E-2</v>
      </c>
      <c r="H29" s="34">
        <f t="shared" si="2"/>
        <v>99.984999999999999</v>
      </c>
      <c r="I29" s="10"/>
    </row>
    <row r="30" spans="1:9" ht="45" x14ac:dyDescent="0.2">
      <c r="A30" s="27" t="s">
        <v>89</v>
      </c>
      <c r="B30" s="28" t="s">
        <v>90</v>
      </c>
      <c r="C30" s="29">
        <v>43185.648999999998</v>
      </c>
      <c r="D30" s="29">
        <v>43185.648999999998</v>
      </c>
      <c r="E30" s="29">
        <v>42795.39933</v>
      </c>
      <c r="F30" s="34">
        <f t="shared" si="0"/>
        <v>390.24966999999742</v>
      </c>
      <c r="G30" s="34">
        <f t="shared" si="1"/>
        <v>390.24966999999742</v>
      </c>
      <c r="H30" s="34">
        <f t="shared" si="2"/>
        <v>99.096344088750413</v>
      </c>
      <c r="I30" s="10"/>
    </row>
    <row r="31" spans="1:9" ht="15" x14ac:dyDescent="0.2">
      <c r="A31" s="27" t="s">
        <v>91</v>
      </c>
      <c r="B31" s="28" t="s">
        <v>92</v>
      </c>
      <c r="C31" s="29">
        <v>30783.644000000004</v>
      </c>
      <c r="D31" s="29">
        <v>29502.087000000003</v>
      </c>
      <c r="E31" s="29">
        <v>27139.091639999999</v>
      </c>
      <c r="F31" s="34">
        <f t="shared" si="0"/>
        <v>3644.5523600000051</v>
      </c>
      <c r="G31" s="34">
        <f t="shared" si="1"/>
        <v>2362.9953600000044</v>
      </c>
      <c r="H31" s="34">
        <f t="shared" si="2"/>
        <v>91.990412881637823</v>
      </c>
      <c r="I31" s="10"/>
    </row>
    <row r="32" spans="1:9" ht="15" x14ac:dyDescent="0.2">
      <c r="A32" s="27" t="s">
        <v>93</v>
      </c>
      <c r="B32" s="28" t="s">
        <v>94</v>
      </c>
      <c r="C32" s="29">
        <v>697.995</v>
      </c>
      <c r="D32" s="29">
        <v>697.995</v>
      </c>
      <c r="E32" s="29">
        <v>597.99599999999998</v>
      </c>
      <c r="F32" s="34">
        <f t="shared" si="0"/>
        <v>99.999000000000024</v>
      </c>
      <c r="G32" s="34">
        <f t="shared" si="1"/>
        <v>99.999000000000024</v>
      </c>
      <c r="H32" s="34">
        <f t="shared" si="2"/>
        <v>85.673393075881634</v>
      </c>
      <c r="I32" s="10"/>
    </row>
    <row r="33" spans="1:9" ht="27" customHeight="1" x14ac:dyDescent="0.2">
      <c r="A33" s="27" t="s">
        <v>95</v>
      </c>
      <c r="B33" s="28" t="s">
        <v>96</v>
      </c>
      <c r="C33" s="29">
        <v>133.892</v>
      </c>
      <c r="D33" s="29">
        <v>133.892</v>
      </c>
      <c r="E33" s="29">
        <v>114.8045</v>
      </c>
      <c r="F33" s="34">
        <f t="shared" si="0"/>
        <v>19.087499999999991</v>
      </c>
      <c r="G33" s="34">
        <f t="shared" si="1"/>
        <v>19.087499999999991</v>
      </c>
      <c r="H33" s="34">
        <f t="shared" si="2"/>
        <v>85.744107190870253</v>
      </c>
      <c r="I33" s="10"/>
    </row>
    <row r="34" spans="1:9" ht="15" x14ac:dyDescent="0.2">
      <c r="A34" s="27" t="s">
        <v>97</v>
      </c>
      <c r="B34" s="28" t="s">
        <v>98</v>
      </c>
      <c r="C34" s="29">
        <v>5896.4340000000002</v>
      </c>
      <c r="D34" s="29">
        <v>5592.63</v>
      </c>
      <c r="E34" s="29">
        <v>4990.0607300000001</v>
      </c>
      <c r="F34" s="34">
        <f t="shared" si="0"/>
        <v>906.37327000000005</v>
      </c>
      <c r="G34" s="34">
        <f t="shared" si="1"/>
        <v>602.56926999999996</v>
      </c>
      <c r="H34" s="34">
        <f t="shared" si="2"/>
        <v>89.225654656217202</v>
      </c>
      <c r="I34" s="10"/>
    </row>
    <row r="35" spans="1:9" ht="28.5" customHeight="1" x14ac:dyDescent="0.2">
      <c r="A35" s="27" t="s">
        <v>99</v>
      </c>
      <c r="B35" s="28" t="s">
        <v>100</v>
      </c>
      <c r="C35" s="29">
        <v>499.8</v>
      </c>
      <c r="D35" s="29">
        <v>499.8</v>
      </c>
      <c r="E35" s="29">
        <v>356.84474</v>
      </c>
      <c r="F35" s="34">
        <f t="shared" si="0"/>
        <v>142.95526000000001</v>
      </c>
      <c r="G35" s="34">
        <f t="shared" si="1"/>
        <v>142.95526000000001</v>
      </c>
      <c r="H35" s="34">
        <f t="shared" si="2"/>
        <v>71.39750700280112</v>
      </c>
      <c r="I35" s="10"/>
    </row>
    <row r="36" spans="1:9" ht="29.25" customHeight="1" x14ac:dyDescent="0.2">
      <c r="A36" s="27" t="s">
        <v>101</v>
      </c>
      <c r="B36" s="28" t="s">
        <v>102</v>
      </c>
      <c r="C36" s="29">
        <v>7878.4589999999998</v>
      </c>
      <c r="D36" s="29">
        <v>7397.97</v>
      </c>
      <c r="E36" s="29">
        <v>6108.3355199999996</v>
      </c>
      <c r="F36" s="34">
        <f t="shared" si="0"/>
        <v>1770.1234800000002</v>
      </c>
      <c r="G36" s="34">
        <f t="shared" si="1"/>
        <v>1289.6344800000006</v>
      </c>
      <c r="H36" s="34">
        <f t="shared" si="2"/>
        <v>82.567724929946991</v>
      </c>
      <c r="I36" s="10"/>
    </row>
    <row r="37" spans="1:9" ht="17.25" customHeight="1" x14ac:dyDescent="0.2">
      <c r="A37" s="27" t="s">
        <v>103</v>
      </c>
      <c r="B37" s="28" t="s">
        <v>104</v>
      </c>
      <c r="C37" s="29">
        <v>100</v>
      </c>
      <c r="D37" s="29">
        <v>100</v>
      </c>
      <c r="E37" s="29">
        <v>0</v>
      </c>
      <c r="F37" s="34">
        <f t="shared" si="0"/>
        <v>100</v>
      </c>
      <c r="G37" s="34">
        <f t="shared" si="1"/>
        <v>100</v>
      </c>
      <c r="H37" s="34">
        <f t="shared" si="2"/>
        <v>0</v>
      </c>
      <c r="I37" s="10"/>
    </row>
    <row r="38" spans="1:9" ht="25.5" customHeight="1" x14ac:dyDescent="0.2">
      <c r="A38" s="27" t="s">
        <v>105</v>
      </c>
      <c r="B38" s="28" t="s">
        <v>106</v>
      </c>
      <c r="C38" s="29">
        <v>428.93799999999999</v>
      </c>
      <c r="D38" s="29">
        <v>405.57</v>
      </c>
      <c r="E38" s="29">
        <v>299.0557</v>
      </c>
      <c r="F38" s="34">
        <f t="shared" si="0"/>
        <v>129.88229999999999</v>
      </c>
      <c r="G38" s="34">
        <f t="shared" si="1"/>
        <v>106.51429999999999</v>
      </c>
      <c r="H38" s="34">
        <f t="shared" si="2"/>
        <v>73.737135389698452</v>
      </c>
      <c r="I38" s="10"/>
    </row>
    <row r="39" spans="1:9" ht="17.25" customHeight="1" x14ac:dyDescent="0.2">
      <c r="A39" s="27" t="s">
        <v>107</v>
      </c>
      <c r="B39" s="28" t="s">
        <v>108</v>
      </c>
      <c r="C39" s="29">
        <v>3000</v>
      </c>
      <c r="D39" s="29">
        <v>3000</v>
      </c>
      <c r="E39" s="29">
        <v>3000</v>
      </c>
      <c r="F39" s="34">
        <f t="shared" si="0"/>
        <v>0</v>
      </c>
      <c r="G39" s="34">
        <f t="shared" si="1"/>
        <v>0</v>
      </c>
      <c r="H39" s="34">
        <f t="shared" si="2"/>
        <v>100</v>
      </c>
      <c r="I39" s="10"/>
    </row>
    <row r="40" spans="1:9" ht="17.25" customHeight="1" x14ac:dyDescent="0.2">
      <c r="A40" s="27" t="s">
        <v>109</v>
      </c>
      <c r="B40" s="28" t="s">
        <v>24</v>
      </c>
      <c r="C40" s="29">
        <v>19.911999999999999</v>
      </c>
      <c r="D40" s="29">
        <v>19.911999999999999</v>
      </c>
      <c r="E40" s="29">
        <v>0</v>
      </c>
      <c r="F40" s="34">
        <f t="shared" si="0"/>
        <v>19.911999999999999</v>
      </c>
      <c r="G40" s="34">
        <f t="shared" si="1"/>
        <v>19.911999999999999</v>
      </c>
      <c r="H40" s="34">
        <f t="shared" si="2"/>
        <v>0</v>
      </c>
      <c r="I40" s="10"/>
    </row>
    <row r="41" spans="1:9" ht="42.75" customHeight="1" x14ac:dyDescent="0.2">
      <c r="A41" s="27" t="s">
        <v>110</v>
      </c>
      <c r="B41" s="28" t="s">
        <v>111</v>
      </c>
      <c r="C41" s="29">
        <v>918.20299999999997</v>
      </c>
      <c r="D41" s="29">
        <v>918.20299999999997</v>
      </c>
      <c r="E41" s="29">
        <v>918.04330000000004</v>
      </c>
      <c r="F41" s="34">
        <f t="shared" si="0"/>
        <v>0.15969999999992979</v>
      </c>
      <c r="G41" s="34">
        <f t="shared" si="1"/>
        <v>0.15969999999992979</v>
      </c>
      <c r="H41" s="34">
        <f t="shared" si="2"/>
        <v>99.98260733192987</v>
      </c>
      <c r="I41" s="10"/>
    </row>
    <row r="42" spans="1:9" ht="39" customHeight="1" x14ac:dyDescent="0.2">
      <c r="A42" s="27" t="s">
        <v>112</v>
      </c>
      <c r="B42" s="28" t="s">
        <v>113</v>
      </c>
      <c r="C42" s="29">
        <v>1710.5629999999999</v>
      </c>
      <c r="D42" s="29">
        <v>1544.3440000000001</v>
      </c>
      <c r="E42" s="29">
        <v>1257.99767</v>
      </c>
      <c r="F42" s="34">
        <f t="shared" si="0"/>
        <v>452.5653299999999</v>
      </c>
      <c r="G42" s="34">
        <f t="shared" si="1"/>
        <v>286.34633000000008</v>
      </c>
      <c r="H42" s="34">
        <f t="shared" si="2"/>
        <v>81.45838427189797</v>
      </c>
      <c r="I42" s="10"/>
    </row>
    <row r="43" spans="1:9" ht="38.25" customHeight="1" x14ac:dyDescent="0.2">
      <c r="A43" s="27" t="s">
        <v>114</v>
      </c>
      <c r="B43" s="28" t="s">
        <v>113</v>
      </c>
      <c r="C43" s="29">
        <v>8763.9189999999999</v>
      </c>
      <c r="D43" s="29">
        <v>8249.2840000000015</v>
      </c>
      <c r="E43" s="29">
        <v>7776.1327400000009</v>
      </c>
      <c r="F43" s="34">
        <f t="shared" si="0"/>
        <v>987.78625999999895</v>
      </c>
      <c r="G43" s="34">
        <f t="shared" si="1"/>
        <v>473.15126000000055</v>
      </c>
      <c r="H43" s="34">
        <f t="shared" si="2"/>
        <v>94.264335425959388</v>
      </c>
      <c r="I43" s="10"/>
    </row>
    <row r="44" spans="1:9" ht="18" customHeight="1" x14ac:dyDescent="0.2">
      <c r="A44" s="27" t="s">
        <v>115</v>
      </c>
      <c r="B44" s="28" t="s">
        <v>92</v>
      </c>
      <c r="C44" s="29">
        <v>2397</v>
      </c>
      <c r="D44" s="29">
        <v>2397</v>
      </c>
      <c r="E44" s="29">
        <v>2393.0160000000001</v>
      </c>
      <c r="F44" s="34">
        <f t="shared" si="0"/>
        <v>3.9839999999999236</v>
      </c>
      <c r="G44" s="34">
        <f t="shared" si="1"/>
        <v>3.9839999999999236</v>
      </c>
      <c r="H44" s="34">
        <f t="shared" si="2"/>
        <v>99.833792240300383</v>
      </c>
      <c r="I44" s="10"/>
    </row>
    <row r="45" spans="1:9" ht="41.25" customHeight="1" x14ac:dyDescent="0.2">
      <c r="A45" s="27" t="s">
        <v>116</v>
      </c>
      <c r="B45" s="28" t="s">
        <v>113</v>
      </c>
      <c r="C45" s="29">
        <v>2380.7290000000003</v>
      </c>
      <c r="D45" s="29">
        <v>2214.7139999999999</v>
      </c>
      <c r="E45" s="29">
        <v>1792.5721600000002</v>
      </c>
      <c r="F45" s="34">
        <f t="shared" si="0"/>
        <v>588.1568400000001</v>
      </c>
      <c r="G45" s="34">
        <f t="shared" si="1"/>
        <v>422.14183999999977</v>
      </c>
      <c r="H45" s="34">
        <f t="shared" si="2"/>
        <v>80.939216530892935</v>
      </c>
      <c r="I45" s="10"/>
    </row>
    <row r="46" spans="1:9" ht="19.5" customHeight="1" x14ac:dyDescent="0.2">
      <c r="A46" s="27" t="s">
        <v>117</v>
      </c>
      <c r="B46" s="28" t="s">
        <v>118</v>
      </c>
      <c r="C46" s="29">
        <v>100</v>
      </c>
      <c r="D46" s="29">
        <v>100</v>
      </c>
      <c r="E46" s="29">
        <v>0</v>
      </c>
      <c r="F46" s="34">
        <f t="shared" si="0"/>
        <v>100</v>
      </c>
      <c r="G46" s="34">
        <f t="shared" si="1"/>
        <v>100</v>
      </c>
      <c r="H46" s="34">
        <f t="shared" si="2"/>
        <v>0</v>
      </c>
      <c r="I46" s="10"/>
    </row>
    <row r="47" spans="1:9" ht="23.25" customHeight="1" x14ac:dyDescent="0.2">
      <c r="A47" s="30" t="s">
        <v>119</v>
      </c>
      <c r="B47" s="30" t="s">
        <v>120</v>
      </c>
      <c r="C47" s="30">
        <v>255695.92699999997</v>
      </c>
      <c r="D47" s="30">
        <v>238495.79199999993</v>
      </c>
      <c r="E47" s="30">
        <v>216517.09451999996</v>
      </c>
      <c r="F47" s="30">
        <f t="shared" si="0"/>
        <v>39178.832480000012</v>
      </c>
      <c r="G47" s="30">
        <f t="shared" si="1"/>
        <v>21978.697479999973</v>
      </c>
      <c r="H47" s="30">
        <f t="shared" si="2"/>
        <v>90.784450620411789</v>
      </c>
      <c r="I47" s="10"/>
    </row>
    <row r="48" spans="1:9" ht="15" x14ac:dyDescent="0.25">
      <c r="A48" s="22"/>
      <c r="B48" s="23"/>
      <c r="C48" s="24"/>
      <c r="D48" s="24"/>
      <c r="E48" s="24"/>
      <c r="F48" s="24"/>
      <c r="G48" s="24"/>
      <c r="H48" s="24"/>
    </row>
    <row r="49" spans="1:8" ht="15" x14ac:dyDescent="0.2">
      <c r="A49" s="31"/>
      <c r="B49" s="32"/>
      <c r="C49" s="33"/>
      <c r="D49" s="33"/>
      <c r="E49" s="33"/>
      <c r="F49" s="33"/>
      <c r="G49" s="33"/>
      <c r="H49" s="33"/>
    </row>
    <row r="57" spans="1:8" hidden="1" x14ac:dyDescent="0.2"/>
  </sheetData>
  <mergeCells count="4">
    <mergeCell ref="A1:H1"/>
    <mergeCell ref="A2:H2"/>
    <mergeCell ref="A3:H3"/>
    <mergeCell ref="A4:H4"/>
  </mergeCells>
  <conditionalFormatting sqref="A8:A46">
    <cfRule type="expression" dxfId="50" priority="28" stopIfTrue="1">
      <formula>#REF!=1</formula>
    </cfRule>
    <cfRule type="expression" dxfId="49" priority="29" stopIfTrue="1">
      <formula>#REF!=2</formula>
    </cfRule>
    <cfRule type="expression" dxfId="48" priority="30" stopIfTrue="1">
      <formula>#REF!=3</formula>
    </cfRule>
  </conditionalFormatting>
  <conditionalFormatting sqref="B8:B46">
    <cfRule type="expression" dxfId="47" priority="31" stopIfTrue="1">
      <formula>#REF!=1</formula>
    </cfRule>
    <cfRule type="expression" dxfId="46" priority="32" stopIfTrue="1">
      <formula>#REF!=2</formula>
    </cfRule>
    <cfRule type="expression" dxfId="45" priority="33" stopIfTrue="1">
      <formula>#REF!=3</formula>
    </cfRule>
  </conditionalFormatting>
  <conditionalFormatting sqref="C8:C46">
    <cfRule type="expression" dxfId="44" priority="34" stopIfTrue="1">
      <formula>#REF!=1</formula>
    </cfRule>
    <cfRule type="expression" dxfId="43" priority="35" stopIfTrue="1">
      <formula>#REF!=2</formula>
    </cfRule>
    <cfRule type="expression" dxfId="42" priority="36" stopIfTrue="1">
      <formula>#REF!=3</formula>
    </cfRule>
  </conditionalFormatting>
  <conditionalFormatting sqref="D8:D46">
    <cfRule type="expression" dxfId="41" priority="37" stopIfTrue="1">
      <formula>#REF!=1</formula>
    </cfRule>
    <cfRule type="expression" dxfId="40" priority="38" stopIfTrue="1">
      <formula>#REF!=2</formula>
    </cfRule>
    <cfRule type="expression" dxfId="39" priority="39" stopIfTrue="1">
      <formula>#REF!=3</formula>
    </cfRule>
  </conditionalFormatting>
  <conditionalFormatting sqref="E8:E46">
    <cfRule type="expression" dxfId="38" priority="40" stopIfTrue="1">
      <formula>#REF!=1</formula>
    </cfRule>
    <cfRule type="expression" dxfId="37" priority="41" stopIfTrue="1">
      <formula>#REF!=2</formula>
    </cfRule>
    <cfRule type="expression" dxfId="36" priority="42" stopIfTrue="1">
      <formula>#REF!=3</formula>
    </cfRule>
  </conditionalFormatting>
  <conditionalFormatting sqref="F8:F47">
    <cfRule type="expression" dxfId="35" priority="43" stopIfTrue="1">
      <formula>#REF!=1</formula>
    </cfRule>
    <cfRule type="expression" dxfId="34" priority="44" stopIfTrue="1">
      <formula>#REF!=2</formula>
    </cfRule>
    <cfRule type="expression" dxfId="33" priority="45" stopIfTrue="1">
      <formula>#REF!=3</formula>
    </cfRule>
  </conditionalFormatting>
  <conditionalFormatting sqref="G8:G47">
    <cfRule type="expression" dxfId="32" priority="46" stopIfTrue="1">
      <formula>#REF!=1</formula>
    </cfRule>
    <cfRule type="expression" dxfId="31" priority="47" stopIfTrue="1">
      <formula>#REF!=2</formula>
    </cfRule>
    <cfRule type="expression" dxfId="30" priority="48" stopIfTrue="1">
      <formula>#REF!=3</formula>
    </cfRule>
  </conditionalFormatting>
  <conditionalFormatting sqref="H8:H47">
    <cfRule type="expression" dxfId="29" priority="49" stopIfTrue="1">
      <formula>#REF!=1</formula>
    </cfRule>
    <cfRule type="expression" dxfId="28" priority="50" stopIfTrue="1">
      <formula>#REF!=2</formula>
    </cfRule>
    <cfRule type="expression" dxfId="27" priority="51" stopIfTrue="1">
      <formula>#REF!=3</formula>
    </cfRule>
  </conditionalFormatting>
  <conditionalFormatting sqref="A49:A58">
    <cfRule type="expression" dxfId="26" priority="4" stopIfTrue="1">
      <formula>#REF!=1</formula>
    </cfRule>
    <cfRule type="expression" dxfId="25" priority="5" stopIfTrue="1">
      <formula>#REF!=2</formula>
    </cfRule>
    <cfRule type="expression" dxfId="24" priority="6" stopIfTrue="1">
      <formula>#REF!=3</formula>
    </cfRule>
  </conditionalFormatting>
  <conditionalFormatting sqref="B49:B58">
    <cfRule type="expression" dxfId="23" priority="7" stopIfTrue="1">
      <formula>#REF!=1</formula>
    </cfRule>
    <cfRule type="expression" dxfId="22" priority="8" stopIfTrue="1">
      <formula>#REF!=2</formula>
    </cfRule>
    <cfRule type="expression" dxfId="21" priority="9" stopIfTrue="1">
      <formula>#REF!=3</formula>
    </cfRule>
  </conditionalFormatting>
  <conditionalFormatting sqref="C49:C58">
    <cfRule type="expression" dxfId="20" priority="10" stopIfTrue="1">
      <formula>#REF!=1</formula>
    </cfRule>
    <cfRule type="expression" dxfId="19" priority="11" stopIfTrue="1">
      <formula>#REF!=2</formula>
    </cfRule>
    <cfRule type="expression" dxfId="18" priority="12" stopIfTrue="1">
      <formula>#REF!=3</formula>
    </cfRule>
  </conditionalFormatting>
  <conditionalFormatting sqref="D49:D58">
    <cfRule type="expression" dxfId="17" priority="13" stopIfTrue="1">
      <formula>#REF!=1</formula>
    </cfRule>
    <cfRule type="expression" dxfId="16" priority="14" stopIfTrue="1">
      <formula>#REF!=2</formula>
    </cfRule>
    <cfRule type="expression" dxfId="15" priority="15" stopIfTrue="1">
      <formula>#REF!=3</formula>
    </cfRule>
  </conditionalFormatting>
  <conditionalFormatting sqref="E49:E58">
    <cfRule type="expression" dxfId="14" priority="16" stopIfTrue="1">
      <formula>#REF!=1</formula>
    </cfRule>
    <cfRule type="expression" dxfId="13" priority="17" stopIfTrue="1">
      <formula>#REF!=2</formula>
    </cfRule>
    <cfRule type="expression" dxfId="12" priority="18" stopIfTrue="1">
      <formula>#REF!=3</formula>
    </cfRule>
  </conditionalFormatting>
  <conditionalFormatting sqref="F49:F58">
    <cfRule type="expression" dxfId="11" priority="19" stopIfTrue="1">
      <formula>#REF!=1</formula>
    </cfRule>
    <cfRule type="expression" dxfId="10" priority="20" stopIfTrue="1">
      <formula>#REF!=2</formula>
    </cfRule>
    <cfRule type="expression" dxfId="9" priority="21" stopIfTrue="1">
      <formula>#REF!=3</formula>
    </cfRule>
  </conditionalFormatting>
  <conditionalFormatting sqref="G49:G58">
    <cfRule type="expression" dxfId="8" priority="22" stopIfTrue="1">
      <formula>#REF!=1</formula>
    </cfRule>
    <cfRule type="expression" dxfId="7" priority="23" stopIfTrue="1">
      <formula>#REF!=2</formula>
    </cfRule>
    <cfRule type="expression" dxfId="6" priority="24" stopIfTrue="1">
      <formula>#REF!=3</formula>
    </cfRule>
  </conditionalFormatting>
  <conditionalFormatting sqref="H49:H58">
    <cfRule type="expression" dxfId="5" priority="25" stopIfTrue="1">
      <formula>#REF!=1</formula>
    </cfRule>
    <cfRule type="expression" dxfId="4" priority="26" stopIfTrue="1">
      <formula>#REF!=2</formula>
    </cfRule>
    <cfRule type="expression" dxfId="3" priority="27" stopIfTrue="1">
      <formula>#REF!=3</formula>
    </cfRule>
  </conditionalFormatting>
  <conditionalFormatting sqref="A47:E47">
    <cfRule type="expression" dxfId="2" priority="1" stopIfTrue="1">
      <formula>#REF!=1</formula>
    </cfRule>
    <cfRule type="expression" dxfId="1" priority="2" stopIfTrue="1">
      <formula>#REF!=2</formula>
    </cfRule>
    <cfRule type="expression" dxfId="0" priority="3" stopIfTrue="1">
      <formula>#REF!=3</formula>
    </cfRule>
  </conditionalFormatting>
  <pageMargins left="0.70866141732283472" right="0.70866141732283472" top="0.74803149606299213" bottom="0.74803149606299213" header="0.31496062992125984" footer="0.31496062992125984"/>
  <pageSetup paperSize="9" scale="62" fitToHeight="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доходи</vt:lpstr>
      <vt:lpstr>видатки</vt:lpstr>
      <vt:lpstr>доходи!Заголовки_для_печати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</cp:lastModifiedBy>
  <cp:lastPrinted>2025-12-08T10:36:24Z</cp:lastPrinted>
  <dcterms:created xsi:type="dcterms:W3CDTF">2025-12-08T08:08:21Z</dcterms:created>
  <dcterms:modified xsi:type="dcterms:W3CDTF">2025-12-11T07:07:27Z</dcterms:modified>
</cp:coreProperties>
</file>